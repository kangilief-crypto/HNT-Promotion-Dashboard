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atour0-my.sharepoint.com/personal/kangilief_hanatour_com/Documents/바탕 화면/HNT-PROMOTION-DASHBOARD/"/>
    </mc:Choice>
  </mc:AlternateContent>
  <xr:revisionPtr revIDLastSave="204" documentId="8_{77CC12C8-3D6D-4E95-9122-61BE2BC1AEAC}" xr6:coauthVersionLast="47" xr6:coauthVersionMax="47" xr10:uidLastSave="{7805A39C-FED1-4898-8AD2-858AF575E233}"/>
  <bookViews>
    <workbookView xWindow="-120" yWindow="-120" windowWidth="29040" windowHeight="15720" activeTab="4" xr2:uid="{00000000-000D-0000-FFFF-FFFF00000000}"/>
  </bookViews>
  <sheets>
    <sheet name="보정매출" sheetId="9" r:id="rId1"/>
    <sheet name="총보정매출 피벗" sheetId="8" r:id="rId2"/>
    <sheet name="매출 배수적용" sheetId="6" r:id="rId3"/>
    <sheet name="Sheet2" sheetId="14" r:id="rId4"/>
    <sheet name="실매출" sheetId="12" r:id="rId5"/>
    <sheet name="휴일예약" sheetId="13" r:id="rId6"/>
    <sheet name="피벗" sheetId="2" r:id="rId7"/>
    <sheet name="2026 유통점 프로모션(1)" sheetId="1" r:id="rId8"/>
    <sheet name="대리점 리스트" sheetId="10" r:id="rId9"/>
    <sheet name="2025매출" sheetId="11" r:id="rId10"/>
  </sheets>
  <definedNames>
    <definedName name="_xlnm._FilterDatabase" localSheetId="2" hidden="1">'매출 배수적용'!$A$2:$N$1121</definedName>
  </definedNames>
  <calcPr calcId="191029"/>
  <pivotCaches>
    <pivotCache cacheId="0" r:id="rId11"/>
    <pivotCache cacheId="1" r:id="rId12"/>
    <pivotCache cacheId="2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9" i="11" l="1"/>
  <c r="J139" i="11" s="1"/>
  <c r="Q1070" i="6" l="1"/>
  <c r="Q1052" i="6"/>
  <c r="Q1015" i="6"/>
  <c r="Q1007" i="6"/>
  <c r="Q936" i="6"/>
  <c r="Q849" i="6"/>
  <c r="Q812" i="6"/>
  <c r="Q773" i="6"/>
  <c r="Q759" i="6"/>
  <c r="Q706" i="6"/>
  <c r="Q683" i="6"/>
  <c r="Q615" i="6"/>
  <c r="Q580" i="6"/>
  <c r="Q518" i="6"/>
  <c r="Q458" i="6"/>
  <c r="Q440" i="6"/>
  <c r="Q406" i="6"/>
  <c r="Q399" i="6"/>
  <c r="Q357" i="6"/>
  <c r="Q346" i="6"/>
  <c r="Q319" i="6"/>
  <c r="Q317" i="6"/>
  <c r="Q283" i="6"/>
  <c r="Q238" i="6"/>
  <c r="Q212" i="6"/>
  <c r="Q186" i="6"/>
  <c r="Q184" i="6"/>
  <c r="Q174" i="6"/>
  <c r="Q169" i="6"/>
  <c r="Q151" i="6"/>
  <c r="Q149" i="6"/>
  <c r="Q140" i="6"/>
  <c r="Q135" i="6"/>
  <c r="Q119" i="6"/>
  <c r="Q117" i="6"/>
  <c r="Q103" i="6"/>
  <c r="Q101" i="6"/>
  <c r="Q62" i="6"/>
  <c r="Q60" i="6"/>
  <c r="Q48" i="6"/>
  <c r="Q31" i="6"/>
  <c r="Q25" i="6"/>
  <c r="Q11" i="6"/>
  <c r="Q9" i="6"/>
  <c r="P285" i="6"/>
  <c r="Q285" i="6" s="1"/>
  <c r="N3" i="6"/>
  <c r="O3" i="6" s="1"/>
  <c r="Q3" i="6" s="1"/>
  <c r="N1110" i="6"/>
  <c r="P1110" i="6" s="1"/>
  <c r="Q1110" i="6" s="1"/>
  <c r="N1109" i="6"/>
  <c r="P1109" i="6" s="1"/>
  <c r="Q1109" i="6" s="1"/>
  <c r="N1106" i="6"/>
  <c r="P1106" i="6" s="1"/>
  <c r="Q1106" i="6" s="1"/>
  <c r="N1103" i="6"/>
  <c r="N1098" i="6"/>
  <c r="P1098" i="6" s="1"/>
  <c r="Q1098" i="6" s="1"/>
  <c r="N1097" i="6"/>
  <c r="P1097" i="6" s="1"/>
  <c r="Q1097" i="6" s="1"/>
  <c r="N1096" i="6"/>
  <c r="P1096" i="6" s="1"/>
  <c r="Q1096" i="6" s="1"/>
  <c r="N1095" i="6"/>
  <c r="P1095" i="6" s="1"/>
  <c r="Q1095" i="6" s="1"/>
  <c r="N1094" i="6"/>
  <c r="P1094" i="6" s="1"/>
  <c r="Q1094" i="6" s="1"/>
  <c r="N1093" i="6"/>
  <c r="O1093" i="6" s="1"/>
  <c r="Q1093" i="6" s="1"/>
  <c r="N1092" i="6"/>
  <c r="P1092" i="6" s="1"/>
  <c r="Q1092" i="6" s="1"/>
  <c r="N1091" i="6"/>
  <c r="O1091" i="6" s="1"/>
  <c r="Q1091" i="6" s="1"/>
  <c r="N1090" i="6"/>
  <c r="P1090" i="6" s="1"/>
  <c r="Q1090" i="6" s="1"/>
  <c r="N1089" i="6"/>
  <c r="P1089" i="6" s="1"/>
  <c r="Q1089" i="6" s="1"/>
  <c r="N1088" i="6"/>
  <c r="O1088" i="6" s="1"/>
  <c r="Q1088" i="6" s="1"/>
  <c r="N1087" i="6"/>
  <c r="P1087" i="6" s="1"/>
  <c r="Q1087" i="6" s="1"/>
  <c r="N1086" i="6"/>
  <c r="P1086" i="6" s="1"/>
  <c r="Q1086" i="6" s="1"/>
  <c r="N1085" i="6"/>
  <c r="P1085" i="6" s="1"/>
  <c r="Q1085" i="6" s="1"/>
  <c r="N1084" i="6"/>
  <c r="P1084" i="6" s="1"/>
  <c r="Q1084" i="6" s="1"/>
  <c r="N1083" i="6"/>
  <c r="P1083" i="6" s="1"/>
  <c r="Q1083" i="6" s="1"/>
  <c r="N1082" i="6"/>
  <c r="P1082" i="6" s="1"/>
  <c r="Q1082" i="6" s="1"/>
  <c r="N1081" i="6"/>
  <c r="N1074" i="6"/>
  <c r="N1073" i="6"/>
  <c r="N1070" i="6"/>
  <c r="P1070" i="6" s="1"/>
  <c r="N1065" i="6"/>
  <c r="N1064" i="6"/>
  <c r="N1047" i="6"/>
  <c r="P1047" i="6" s="1"/>
  <c r="Q1047" i="6" s="1"/>
  <c r="N1046" i="6"/>
  <c r="P1046" i="6" s="1"/>
  <c r="Q1046" i="6" s="1"/>
  <c r="N1045" i="6"/>
  <c r="P1045" i="6" s="1"/>
  <c r="Q1045" i="6" s="1"/>
  <c r="N1044" i="6"/>
  <c r="P1044" i="6" s="1"/>
  <c r="Q1044" i="6" s="1"/>
  <c r="N1043" i="6"/>
  <c r="P1043" i="6" s="1"/>
  <c r="Q1043" i="6" s="1"/>
  <c r="N1042" i="6"/>
  <c r="P1042" i="6" s="1"/>
  <c r="Q1042" i="6" s="1"/>
  <c r="N1041" i="6"/>
  <c r="P1041" i="6" s="1"/>
  <c r="Q1041" i="6" s="1"/>
  <c r="N1040" i="6"/>
  <c r="P1040" i="6" s="1"/>
  <c r="Q1040" i="6" s="1"/>
  <c r="N1039" i="6"/>
  <c r="P1039" i="6" s="1"/>
  <c r="Q1039" i="6" s="1"/>
  <c r="N1038" i="6"/>
  <c r="P1038" i="6" s="1"/>
  <c r="Q1038" i="6" s="1"/>
  <c r="N1037" i="6"/>
  <c r="O1037" i="6" s="1"/>
  <c r="Q1037" i="6" s="1"/>
  <c r="N1036" i="6"/>
  <c r="P1036" i="6" s="1"/>
  <c r="Q1036" i="6" s="1"/>
  <c r="N1035" i="6"/>
  <c r="P1035" i="6" s="1"/>
  <c r="Q1035" i="6" s="1"/>
  <c r="N1034" i="6"/>
  <c r="P1034" i="6" s="1"/>
  <c r="Q1034" i="6" s="1"/>
  <c r="N1033" i="6"/>
  <c r="O1033" i="6" s="1"/>
  <c r="Q1033" i="6" s="1"/>
  <c r="N1032" i="6"/>
  <c r="O1032" i="6" s="1"/>
  <c r="Q1032" i="6" s="1"/>
  <c r="N1031" i="6"/>
  <c r="O1031" i="6" s="1"/>
  <c r="Q1031" i="6" s="1"/>
  <c r="N1030" i="6"/>
  <c r="P1030" i="6" s="1"/>
  <c r="Q1030" i="6" s="1"/>
  <c r="N1029" i="6"/>
  <c r="O1029" i="6" s="1"/>
  <c r="Q1029" i="6" s="1"/>
  <c r="N1028" i="6"/>
  <c r="N1027" i="6"/>
  <c r="N1026" i="6"/>
  <c r="P1026" i="6" s="1"/>
  <c r="Q1026" i="6" s="1"/>
  <c r="N1025" i="6"/>
  <c r="O1025" i="6" s="1"/>
  <c r="Q1025" i="6" s="1"/>
  <c r="N1024" i="6"/>
  <c r="O1024" i="6" s="1"/>
  <c r="Q1024" i="6" s="1"/>
  <c r="N1023" i="6"/>
  <c r="P1023" i="6" s="1"/>
  <c r="Q1023" i="6" s="1"/>
  <c r="N1019" i="6"/>
  <c r="P1019" i="6" s="1"/>
  <c r="Q1019" i="6" s="1"/>
  <c r="N1018" i="6"/>
  <c r="P1018" i="6" s="1"/>
  <c r="Q1018" i="6" s="1"/>
  <c r="N1017" i="6"/>
  <c r="N1016" i="6"/>
  <c r="N1005" i="6"/>
  <c r="P1005" i="6" s="1"/>
  <c r="Q1005" i="6" s="1"/>
  <c r="N1004" i="6"/>
  <c r="P1004" i="6" s="1"/>
  <c r="Q1004" i="6" s="1"/>
  <c r="N1003" i="6"/>
  <c r="P1003" i="6" s="1"/>
  <c r="Q1003" i="6" s="1"/>
  <c r="N1002" i="6"/>
  <c r="O1002" i="6" s="1"/>
  <c r="Q1002" i="6" s="1"/>
  <c r="N1001" i="6"/>
  <c r="P1001" i="6" s="1"/>
  <c r="Q1001" i="6" s="1"/>
  <c r="N1000" i="6"/>
  <c r="P1000" i="6" s="1"/>
  <c r="Q1000" i="6" s="1"/>
  <c r="N999" i="6"/>
  <c r="P999" i="6" s="1"/>
  <c r="Q999" i="6" s="1"/>
  <c r="N998" i="6"/>
  <c r="O998" i="6" s="1"/>
  <c r="Q998" i="6" s="1"/>
  <c r="N997" i="6"/>
  <c r="P997" i="6" s="1"/>
  <c r="Q997" i="6" s="1"/>
  <c r="N996" i="6"/>
  <c r="O996" i="6" s="1"/>
  <c r="Q996" i="6" s="1"/>
  <c r="N995" i="6"/>
  <c r="P995" i="6" s="1"/>
  <c r="Q995" i="6" s="1"/>
  <c r="N994" i="6"/>
  <c r="O994" i="6" s="1"/>
  <c r="Q994" i="6" s="1"/>
  <c r="N993" i="6"/>
  <c r="O993" i="6" s="1"/>
  <c r="Q993" i="6" s="1"/>
  <c r="N992" i="6"/>
  <c r="P992" i="6" s="1"/>
  <c r="Q992" i="6" s="1"/>
  <c r="N991" i="6"/>
  <c r="N990" i="6"/>
  <c r="N989" i="6"/>
  <c r="P989" i="6" s="1"/>
  <c r="Q989" i="6" s="1"/>
  <c r="N988" i="6"/>
  <c r="P988" i="6" s="1"/>
  <c r="Q988" i="6" s="1"/>
  <c r="N987" i="6"/>
  <c r="O987" i="6" s="1"/>
  <c r="Q987" i="6" s="1"/>
  <c r="N986" i="6"/>
  <c r="P986" i="6" s="1"/>
  <c r="Q986" i="6" s="1"/>
  <c r="N985" i="6"/>
  <c r="P985" i="6" s="1"/>
  <c r="Q985" i="6" s="1"/>
  <c r="N981" i="6"/>
  <c r="N959" i="6"/>
  <c r="P959" i="6" s="1"/>
  <c r="Q959" i="6" s="1"/>
  <c r="N958" i="6"/>
  <c r="O958" i="6" s="1"/>
  <c r="Q958" i="6" s="1"/>
  <c r="N957" i="6"/>
  <c r="P957" i="6" s="1"/>
  <c r="Q957" i="6" s="1"/>
  <c r="N956" i="6"/>
  <c r="P956" i="6" s="1"/>
  <c r="Q956" i="6" s="1"/>
  <c r="N955" i="6"/>
  <c r="P955" i="6" s="1"/>
  <c r="Q955" i="6" s="1"/>
  <c r="N954" i="6"/>
  <c r="P954" i="6" s="1"/>
  <c r="Q954" i="6" s="1"/>
  <c r="N953" i="6"/>
  <c r="P953" i="6" s="1"/>
  <c r="Q953" i="6" s="1"/>
  <c r="N952" i="6"/>
  <c r="P952" i="6" s="1"/>
  <c r="Q952" i="6" s="1"/>
  <c r="N951" i="6"/>
  <c r="P951" i="6" s="1"/>
  <c r="Q951" i="6" s="1"/>
  <c r="N950" i="6"/>
  <c r="O950" i="6" s="1"/>
  <c r="Q950" i="6" s="1"/>
  <c r="N949" i="6"/>
  <c r="P949" i="6" s="1"/>
  <c r="Q949" i="6" s="1"/>
  <c r="N948" i="6"/>
  <c r="O948" i="6" s="1"/>
  <c r="Q948" i="6" s="1"/>
  <c r="N947" i="6"/>
  <c r="P947" i="6" s="1"/>
  <c r="Q947" i="6" s="1"/>
  <c r="N946" i="6"/>
  <c r="P946" i="6" s="1"/>
  <c r="Q946" i="6" s="1"/>
  <c r="N945" i="6"/>
  <c r="O945" i="6" s="1"/>
  <c r="Q945" i="6" s="1"/>
  <c r="N944" i="6"/>
  <c r="P944" i="6" s="1"/>
  <c r="Q944" i="6" s="1"/>
  <c r="N943" i="6"/>
  <c r="P943" i="6" s="1"/>
  <c r="Q943" i="6" s="1"/>
  <c r="N938" i="6"/>
  <c r="P938" i="6" s="1"/>
  <c r="Q938" i="6" s="1"/>
  <c r="N937" i="6"/>
  <c r="O937" i="6" s="1"/>
  <c r="Q937" i="6" s="1"/>
  <c r="N934" i="6"/>
  <c r="P934" i="6" s="1"/>
  <c r="Q934" i="6" s="1"/>
  <c r="N933" i="6"/>
  <c r="O933" i="6" s="1"/>
  <c r="Q933" i="6" s="1"/>
  <c r="N932" i="6"/>
  <c r="P932" i="6" s="1"/>
  <c r="Q932" i="6" s="1"/>
  <c r="N931" i="6"/>
  <c r="N930" i="6"/>
  <c r="O930" i="6" s="1"/>
  <c r="Q930" i="6" s="1"/>
  <c r="N925" i="6"/>
  <c r="P925" i="6" s="1"/>
  <c r="Q925" i="6" s="1"/>
  <c r="N924" i="6"/>
  <c r="P924" i="6" s="1"/>
  <c r="Q924" i="6" s="1"/>
  <c r="N923" i="6"/>
  <c r="P923" i="6" s="1"/>
  <c r="Q923" i="6" s="1"/>
  <c r="N922" i="6"/>
  <c r="P922" i="6" s="1"/>
  <c r="Q922" i="6" s="1"/>
  <c r="N921" i="6"/>
  <c r="P921" i="6" s="1"/>
  <c r="Q921" i="6" s="1"/>
  <c r="N920" i="6"/>
  <c r="P920" i="6" s="1"/>
  <c r="Q920" i="6" s="1"/>
  <c r="N919" i="6"/>
  <c r="N901" i="6"/>
  <c r="P901" i="6" s="1"/>
  <c r="Q901" i="6" s="1"/>
  <c r="N900" i="6"/>
  <c r="O900" i="6" s="1"/>
  <c r="Q900" i="6" s="1"/>
  <c r="N899" i="6"/>
  <c r="P899" i="6" s="1"/>
  <c r="Q899" i="6" s="1"/>
  <c r="N898" i="6"/>
  <c r="O898" i="6" s="1"/>
  <c r="Q898" i="6" s="1"/>
  <c r="N897" i="6"/>
  <c r="P897" i="6" s="1"/>
  <c r="Q897" i="6" s="1"/>
  <c r="N896" i="6"/>
  <c r="O896" i="6" s="1"/>
  <c r="Q896" i="6" s="1"/>
  <c r="N895" i="6"/>
  <c r="O895" i="6" s="1"/>
  <c r="Q895" i="6" s="1"/>
  <c r="N894" i="6"/>
  <c r="O894" i="6" s="1"/>
  <c r="Q894" i="6" s="1"/>
  <c r="N893" i="6"/>
  <c r="O893" i="6" s="1"/>
  <c r="Q893" i="6" s="1"/>
  <c r="N892" i="6"/>
  <c r="O892" i="6" s="1"/>
  <c r="Q892" i="6" s="1"/>
  <c r="N891" i="6"/>
  <c r="O891" i="6" s="1"/>
  <c r="Q891" i="6" s="1"/>
  <c r="N890" i="6"/>
  <c r="O890" i="6" s="1"/>
  <c r="Q890" i="6" s="1"/>
  <c r="N889" i="6"/>
  <c r="O889" i="6" s="1"/>
  <c r="Q889" i="6" s="1"/>
  <c r="N888" i="6"/>
  <c r="P888" i="6" s="1"/>
  <c r="Q888" i="6" s="1"/>
  <c r="N887" i="6"/>
  <c r="P887" i="6" s="1"/>
  <c r="Q887" i="6" s="1"/>
  <c r="N886" i="6"/>
  <c r="P886" i="6" s="1"/>
  <c r="Q886" i="6" s="1"/>
  <c r="N885" i="6"/>
  <c r="P885" i="6" s="1"/>
  <c r="Q885" i="6" s="1"/>
  <c r="N884" i="6"/>
  <c r="P884" i="6" s="1"/>
  <c r="Q884" i="6" s="1"/>
  <c r="N883" i="6"/>
  <c r="P883" i="6" s="1"/>
  <c r="Q883" i="6" s="1"/>
  <c r="N882" i="6"/>
  <c r="O882" i="6" s="1"/>
  <c r="Q882" i="6" s="1"/>
  <c r="N881" i="6"/>
  <c r="O881" i="6" s="1"/>
  <c r="Q881" i="6" s="1"/>
  <c r="N880" i="6"/>
  <c r="N879" i="6"/>
  <c r="N878" i="6"/>
  <c r="N877" i="6"/>
  <c r="P877" i="6" s="1"/>
  <c r="Q877" i="6" s="1"/>
  <c r="N872" i="6"/>
  <c r="O872" i="6" s="1"/>
  <c r="Q872" i="6" s="1"/>
  <c r="N871" i="6"/>
  <c r="P871" i="6" s="1"/>
  <c r="Q871" i="6" s="1"/>
  <c r="N870" i="6"/>
  <c r="P870" i="6" s="1"/>
  <c r="Q870" i="6" s="1"/>
  <c r="N869" i="6"/>
  <c r="P869" i="6" s="1"/>
  <c r="Q869" i="6" s="1"/>
  <c r="N868" i="6"/>
  <c r="P868" i="6" s="1"/>
  <c r="Q868" i="6" s="1"/>
  <c r="N867" i="6"/>
  <c r="O867" i="6" s="1"/>
  <c r="Q867" i="6" s="1"/>
  <c r="N866" i="6"/>
  <c r="P866" i="6" s="1"/>
  <c r="Q866" i="6" s="1"/>
  <c r="N865" i="6"/>
  <c r="O865" i="6" s="1"/>
  <c r="Q865" i="6" s="1"/>
  <c r="N864" i="6"/>
  <c r="O864" i="6" s="1"/>
  <c r="Q864" i="6" s="1"/>
  <c r="N863" i="6"/>
  <c r="P863" i="6" s="1"/>
  <c r="Q863" i="6" s="1"/>
  <c r="N861" i="6"/>
  <c r="P861" i="6" s="1"/>
  <c r="Q861" i="6" s="1"/>
  <c r="N855" i="6"/>
  <c r="P855" i="6" s="1"/>
  <c r="Q855" i="6" s="1"/>
  <c r="N854" i="6"/>
  <c r="P854" i="6" s="1"/>
  <c r="Q854" i="6" s="1"/>
  <c r="N853" i="6"/>
  <c r="P853" i="6" s="1"/>
  <c r="Q853" i="6" s="1"/>
  <c r="N852" i="6"/>
  <c r="O852" i="6" s="1"/>
  <c r="Q852" i="6" s="1"/>
  <c r="N851" i="6"/>
  <c r="O851" i="6" s="1"/>
  <c r="Q851" i="6" s="1"/>
  <c r="N850" i="6"/>
  <c r="P850" i="6" s="1"/>
  <c r="Q850" i="6" s="1"/>
  <c r="N849" i="6"/>
  <c r="P849" i="6" s="1"/>
  <c r="N848" i="6"/>
  <c r="N847" i="6"/>
  <c r="P847" i="6" s="1"/>
  <c r="Q847" i="6" s="1"/>
  <c r="N845" i="6"/>
  <c r="N841" i="6"/>
  <c r="O841" i="6" s="1"/>
  <c r="Q841" i="6" s="1"/>
  <c r="N840" i="6"/>
  <c r="P840" i="6" s="1"/>
  <c r="Q840" i="6" s="1"/>
  <c r="N839" i="6"/>
  <c r="P839" i="6" s="1"/>
  <c r="Q839" i="6" s="1"/>
  <c r="N836" i="6"/>
  <c r="P836" i="6" s="1"/>
  <c r="Q836" i="6" s="1"/>
  <c r="N835" i="6"/>
  <c r="P835" i="6" s="1"/>
  <c r="Q835" i="6" s="1"/>
  <c r="N834" i="6"/>
  <c r="P834" i="6" s="1"/>
  <c r="Q834" i="6" s="1"/>
  <c r="N833" i="6"/>
  <c r="P833" i="6" s="1"/>
  <c r="Q833" i="6" s="1"/>
  <c r="N832" i="6"/>
  <c r="O832" i="6" s="1"/>
  <c r="Q832" i="6" s="1"/>
  <c r="N831" i="6"/>
  <c r="O831" i="6" s="1"/>
  <c r="Q831" i="6" s="1"/>
  <c r="N830" i="6"/>
  <c r="O830" i="6" s="1"/>
  <c r="Q830" i="6" s="1"/>
  <c r="N829" i="6"/>
  <c r="P829" i="6" s="1"/>
  <c r="Q829" i="6" s="1"/>
  <c r="N828" i="6"/>
  <c r="O828" i="6" s="1"/>
  <c r="Q828" i="6" s="1"/>
  <c r="N827" i="6"/>
  <c r="P827" i="6" s="1"/>
  <c r="Q827" i="6" s="1"/>
  <c r="N826" i="6"/>
  <c r="P826" i="6" s="1"/>
  <c r="Q826" i="6" s="1"/>
  <c r="N825" i="6"/>
  <c r="P825" i="6" s="1"/>
  <c r="Q825" i="6" s="1"/>
  <c r="N824" i="6"/>
  <c r="P824" i="6" s="1"/>
  <c r="Q824" i="6" s="1"/>
  <c r="N823" i="6"/>
  <c r="N819" i="6"/>
  <c r="O819" i="6" s="1"/>
  <c r="Q819" i="6" s="1"/>
  <c r="N818" i="6"/>
  <c r="P818" i="6" s="1"/>
  <c r="Q818" i="6" s="1"/>
  <c r="N817" i="6"/>
  <c r="O817" i="6" s="1"/>
  <c r="Q817" i="6" s="1"/>
  <c r="N816" i="6"/>
  <c r="P816" i="6" s="1"/>
  <c r="Q816" i="6" s="1"/>
  <c r="N815" i="6"/>
  <c r="O815" i="6" s="1"/>
  <c r="Q815" i="6" s="1"/>
  <c r="N802" i="6"/>
  <c r="P802" i="6" s="1"/>
  <c r="Q802" i="6" s="1"/>
  <c r="N801" i="6"/>
  <c r="P801" i="6" s="1"/>
  <c r="Q801" i="6" s="1"/>
  <c r="N800" i="6"/>
  <c r="O800" i="6" s="1"/>
  <c r="Q800" i="6" s="1"/>
  <c r="N799" i="6"/>
  <c r="P799" i="6" s="1"/>
  <c r="Q799" i="6" s="1"/>
  <c r="N798" i="6"/>
  <c r="O798" i="6" s="1"/>
  <c r="Q798" i="6" s="1"/>
  <c r="N797" i="6"/>
  <c r="P797" i="6" s="1"/>
  <c r="Q797" i="6" s="1"/>
  <c r="N796" i="6"/>
  <c r="O796" i="6" s="1"/>
  <c r="Q796" i="6" s="1"/>
  <c r="N795" i="6"/>
  <c r="P795" i="6" s="1"/>
  <c r="Q795" i="6" s="1"/>
  <c r="N794" i="6"/>
  <c r="O794" i="6" s="1"/>
  <c r="Q794" i="6" s="1"/>
  <c r="N793" i="6"/>
  <c r="P793" i="6" s="1"/>
  <c r="Q793" i="6" s="1"/>
  <c r="N792" i="6"/>
  <c r="O792" i="6" s="1"/>
  <c r="Q792" i="6" s="1"/>
  <c r="N791" i="6"/>
  <c r="P791" i="6" s="1"/>
  <c r="Q791" i="6" s="1"/>
  <c r="N790" i="6"/>
  <c r="O790" i="6" s="1"/>
  <c r="Q790" i="6" s="1"/>
  <c r="N789" i="6"/>
  <c r="P789" i="6" s="1"/>
  <c r="Q789" i="6" s="1"/>
  <c r="N788" i="6"/>
  <c r="O788" i="6" s="1"/>
  <c r="Q788" i="6" s="1"/>
  <c r="N787" i="6"/>
  <c r="O787" i="6" s="1"/>
  <c r="Q787" i="6" s="1"/>
  <c r="N786" i="6"/>
  <c r="P786" i="6" s="1"/>
  <c r="Q786" i="6" s="1"/>
  <c r="N785" i="6"/>
  <c r="P785" i="6" s="1"/>
  <c r="Q785" i="6" s="1"/>
  <c r="N784" i="6"/>
  <c r="P784" i="6" s="1"/>
  <c r="Q784" i="6" s="1"/>
  <c r="N783" i="6"/>
  <c r="O783" i="6" s="1"/>
  <c r="Q783" i="6" s="1"/>
  <c r="N782" i="6"/>
  <c r="P782" i="6" s="1"/>
  <c r="Q782" i="6" s="1"/>
  <c r="N781" i="6"/>
  <c r="P781" i="6" s="1"/>
  <c r="Q781" i="6" s="1"/>
  <c r="N780" i="6"/>
  <c r="P780" i="6" s="1"/>
  <c r="Q780" i="6" s="1"/>
  <c r="N779" i="6"/>
  <c r="P779" i="6" s="1"/>
  <c r="Q779" i="6" s="1"/>
  <c r="N775" i="6"/>
  <c r="P775" i="6" s="1"/>
  <c r="Q775" i="6" s="1"/>
  <c r="N774" i="6"/>
  <c r="O774" i="6" s="1"/>
  <c r="Q774" i="6" s="1"/>
  <c r="N773" i="6"/>
  <c r="O773" i="6" s="1"/>
  <c r="N772" i="6"/>
  <c r="P772" i="6" s="1"/>
  <c r="Q772" i="6" s="1"/>
  <c r="N771" i="6"/>
  <c r="P771" i="6" s="1"/>
  <c r="Q771" i="6" s="1"/>
  <c r="N770" i="6"/>
  <c r="O770" i="6" s="1"/>
  <c r="Q770" i="6" s="1"/>
  <c r="N769" i="6"/>
  <c r="O769" i="6" s="1"/>
  <c r="Q769" i="6" s="1"/>
  <c r="N768" i="6"/>
  <c r="P768" i="6" s="1"/>
  <c r="Q768" i="6" s="1"/>
  <c r="N767" i="6"/>
  <c r="P767" i="6" s="1"/>
  <c r="Q767" i="6" s="1"/>
  <c r="N766" i="6"/>
  <c r="N761" i="6"/>
  <c r="P761" i="6" s="1"/>
  <c r="Q761" i="6" s="1"/>
  <c r="N760" i="6"/>
  <c r="P760" i="6" s="1"/>
  <c r="Q760" i="6" s="1"/>
  <c r="N759" i="6"/>
  <c r="P759" i="6" s="1"/>
  <c r="N758" i="6"/>
  <c r="P758" i="6" s="1"/>
  <c r="Q758" i="6" s="1"/>
  <c r="N757" i="6"/>
  <c r="O757" i="6" s="1"/>
  <c r="Q757" i="6" s="1"/>
  <c r="N756" i="6"/>
  <c r="P756" i="6" s="1"/>
  <c r="Q756" i="6" s="1"/>
  <c r="N755" i="6"/>
  <c r="O755" i="6" s="1"/>
  <c r="Q755" i="6" s="1"/>
  <c r="N754" i="6"/>
  <c r="P754" i="6" s="1"/>
  <c r="Q754" i="6" s="1"/>
  <c r="N753" i="6"/>
  <c r="P753" i="6" s="1"/>
  <c r="Q753" i="6" s="1"/>
  <c r="N752" i="6"/>
  <c r="O752" i="6" s="1"/>
  <c r="Q752" i="6" s="1"/>
  <c r="N751" i="6"/>
  <c r="P751" i="6" s="1"/>
  <c r="Q751" i="6" s="1"/>
  <c r="N750" i="6"/>
  <c r="P750" i="6" s="1"/>
  <c r="Q750" i="6" s="1"/>
  <c r="N746" i="6"/>
  <c r="P746" i="6" s="1"/>
  <c r="Q746" i="6" s="1"/>
  <c r="N745" i="6"/>
  <c r="P745" i="6" s="1"/>
  <c r="Q745" i="6" s="1"/>
  <c r="N744" i="6"/>
  <c r="N739" i="6"/>
  <c r="O739" i="6" s="1"/>
  <c r="Q739" i="6" s="1"/>
  <c r="N738" i="6"/>
  <c r="O738" i="6" s="1"/>
  <c r="Q738" i="6" s="1"/>
  <c r="N737" i="6"/>
  <c r="O737" i="6" s="1"/>
  <c r="Q737" i="6" s="1"/>
  <c r="N736" i="6"/>
  <c r="P736" i="6" s="1"/>
  <c r="Q736" i="6" s="1"/>
  <c r="N735" i="6"/>
  <c r="P735" i="6" s="1"/>
  <c r="Q735" i="6" s="1"/>
  <c r="N734" i="6"/>
  <c r="P734" i="6" s="1"/>
  <c r="Q734" i="6" s="1"/>
  <c r="N733" i="6"/>
  <c r="O733" i="6" s="1"/>
  <c r="Q733" i="6" s="1"/>
  <c r="N732" i="6"/>
  <c r="N726" i="6"/>
  <c r="P726" i="6" s="1"/>
  <c r="Q726" i="6" s="1"/>
  <c r="N725" i="6"/>
  <c r="P725" i="6" s="1"/>
  <c r="Q725" i="6" s="1"/>
  <c r="N724" i="6"/>
  <c r="P724" i="6" s="1"/>
  <c r="Q724" i="6" s="1"/>
  <c r="N716" i="6"/>
  <c r="P716" i="6" s="1"/>
  <c r="Q716" i="6" s="1"/>
  <c r="N715" i="6"/>
  <c r="O715" i="6" s="1"/>
  <c r="Q715" i="6" s="1"/>
  <c r="N714" i="6"/>
  <c r="O714" i="6" s="1"/>
  <c r="Q714" i="6" s="1"/>
  <c r="N713" i="6"/>
  <c r="P713" i="6" s="1"/>
  <c r="Q713" i="6" s="1"/>
  <c r="N712" i="6"/>
  <c r="P712" i="6" s="1"/>
  <c r="Q712" i="6" s="1"/>
  <c r="N711" i="6"/>
  <c r="O711" i="6" s="1"/>
  <c r="Q711" i="6" s="1"/>
  <c r="N710" i="6"/>
  <c r="P710" i="6" s="1"/>
  <c r="Q710" i="6" s="1"/>
  <c r="N709" i="6"/>
  <c r="P709" i="6" s="1"/>
  <c r="Q709" i="6" s="1"/>
  <c r="N708" i="6"/>
  <c r="P708" i="6" s="1"/>
  <c r="Q708" i="6" s="1"/>
  <c r="N707" i="6"/>
  <c r="P707" i="6" s="1"/>
  <c r="Q707" i="6" s="1"/>
  <c r="N706" i="6"/>
  <c r="O706" i="6" s="1"/>
  <c r="N705" i="6"/>
  <c r="O705" i="6" s="1"/>
  <c r="Q705" i="6" s="1"/>
  <c r="N704" i="6"/>
  <c r="P704" i="6" s="1"/>
  <c r="Q704" i="6" s="1"/>
  <c r="N703" i="6"/>
  <c r="O703" i="6" s="1"/>
  <c r="Q703" i="6" s="1"/>
  <c r="N702" i="6"/>
  <c r="P702" i="6" s="1"/>
  <c r="Q702" i="6" s="1"/>
  <c r="N701" i="6"/>
  <c r="P701" i="6" s="1"/>
  <c r="Q701" i="6" s="1"/>
  <c r="N700" i="6"/>
  <c r="O700" i="6" s="1"/>
  <c r="Q700" i="6" s="1"/>
  <c r="N699" i="6"/>
  <c r="O699" i="6" s="1"/>
  <c r="Q699" i="6" s="1"/>
  <c r="N698" i="6"/>
  <c r="P698" i="6" s="1"/>
  <c r="Q698" i="6" s="1"/>
  <c r="N697" i="6"/>
  <c r="P697" i="6" s="1"/>
  <c r="Q697" i="6" s="1"/>
  <c r="N696" i="6"/>
  <c r="N694" i="6"/>
  <c r="O694" i="6" s="1"/>
  <c r="Q694" i="6" s="1"/>
  <c r="N693" i="6"/>
  <c r="O693" i="6" s="1"/>
  <c r="Q693" i="6" s="1"/>
  <c r="N692" i="6"/>
  <c r="P692" i="6" s="1"/>
  <c r="Q692" i="6" s="1"/>
  <c r="N691" i="6"/>
  <c r="P691" i="6" s="1"/>
  <c r="Q691" i="6" s="1"/>
  <c r="N687" i="6"/>
  <c r="O687" i="6" s="1"/>
  <c r="Q687" i="6" s="1"/>
  <c r="N686" i="6"/>
  <c r="O686" i="6" s="1"/>
  <c r="Q686" i="6" s="1"/>
  <c r="N685" i="6"/>
  <c r="P685" i="6" s="1"/>
  <c r="Q685" i="6" s="1"/>
  <c r="N684" i="6"/>
  <c r="O684" i="6" s="1"/>
  <c r="Q684" i="6" s="1"/>
  <c r="N683" i="6"/>
  <c r="P683" i="6" s="1"/>
  <c r="N682" i="6"/>
  <c r="O682" i="6" s="1"/>
  <c r="Q682" i="6" s="1"/>
  <c r="N681" i="6"/>
  <c r="O681" i="6" s="1"/>
  <c r="Q681" i="6" s="1"/>
  <c r="N680" i="6"/>
  <c r="P680" i="6" s="1"/>
  <c r="Q680" i="6" s="1"/>
  <c r="N677" i="6"/>
  <c r="P677" i="6" s="1"/>
  <c r="Q677" i="6" s="1"/>
  <c r="N668" i="6"/>
  <c r="N667" i="6"/>
  <c r="P667" i="6" s="1"/>
  <c r="Q667" i="6" s="1"/>
  <c r="N666" i="6"/>
  <c r="P666" i="6" s="1"/>
  <c r="Q666" i="6" s="1"/>
  <c r="N665" i="6"/>
  <c r="P665" i="6" s="1"/>
  <c r="Q665" i="6" s="1"/>
  <c r="N664" i="6"/>
  <c r="P664" i="6" s="1"/>
  <c r="Q664" i="6" s="1"/>
  <c r="N663" i="6"/>
  <c r="P663" i="6" s="1"/>
  <c r="Q663" i="6" s="1"/>
  <c r="N662" i="6"/>
  <c r="P662" i="6" s="1"/>
  <c r="Q662" i="6" s="1"/>
  <c r="N661" i="6"/>
  <c r="P661" i="6" s="1"/>
  <c r="Q661" i="6" s="1"/>
  <c r="N660" i="6"/>
  <c r="O660" i="6" s="1"/>
  <c r="Q660" i="6" s="1"/>
  <c r="N659" i="6"/>
  <c r="O659" i="6" s="1"/>
  <c r="Q659" i="6" s="1"/>
  <c r="N658" i="6"/>
  <c r="P658" i="6" s="1"/>
  <c r="Q658" i="6" s="1"/>
  <c r="N657" i="6"/>
  <c r="P657" i="6" s="1"/>
  <c r="Q657" i="6" s="1"/>
  <c r="N656" i="6"/>
  <c r="P656" i="6" s="1"/>
  <c r="Q656" i="6" s="1"/>
  <c r="N655" i="6"/>
  <c r="P655" i="6" s="1"/>
  <c r="Q655" i="6" s="1"/>
  <c r="N654" i="6"/>
  <c r="P654" i="6" s="1"/>
  <c r="Q654" i="6" s="1"/>
  <c r="N653" i="6"/>
  <c r="P653" i="6" s="1"/>
  <c r="Q653" i="6" s="1"/>
  <c r="N652" i="6"/>
  <c r="P652" i="6" s="1"/>
  <c r="Q652" i="6" s="1"/>
  <c r="N651" i="6"/>
  <c r="P651" i="6" s="1"/>
  <c r="Q651" i="6" s="1"/>
  <c r="N650" i="6"/>
  <c r="P650" i="6" s="1"/>
  <c r="Q650" i="6" s="1"/>
  <c r="N649" i="6"/>
  <c r="P649" i="6" s="1"/>
  <c r="Q649" i="6" s="1"/>
  <c r="N648" i="6"/>
  <c r="N647" i="6"/>
  <c r="N646" i="6"/>
  <c r="N645" i="6"/>
  <c r="N644" i="6"/>
  <c r="N643" i="6"/>
  <c r="P643" i="6" s="1"/>
  <c r="Q643" i="6" s="1"/>
  <c r="N642" i="6"/>
  <c r="P642" i="6" s="1"/>
  <c r="Q642" i="6" s="1"/>
  <c r="N641" i="6"/>
  <c r="P641" i="6" s="1"/>
  <c r="Q641" i="6" s="1"/>
  <c r="N640" i="6"/>
  <c r="N639" i="6"/>
  <c r="O639" i="6" s="1"/>
  <c r="Q639" i="6" s="1"/>
  <c r="N638" i="6"/>
  <c r="P638" i="6" s="1"/>
  <c r="Q638" i="6" s="1"/>
  <c r="N637" i="6"/>
  <c r="P637" i="6" s="1"/>
  <c r="Q637" i="6" s="1"/>
  <c r="N636" i="6"/>
  <c r="P636" i="6" s="1"/>
  <c r="Q636" i="6" s="1"/>
  <c r="N635" i="6"/>
  <c r="O635" i="6" s="1"/>
  <c r="Q635" i="6" s="1"/>
  <c r="N634" i="6"/>
  <c r="O634" i="6" s="1"/>
  <c r="Q634" i="6" s="1"/>
  <c r="N626" i="6"/>
  <c r="P626" i="6" s="1"/>
  <c r="Q626" i="6" s="1"/>
  <c r="N625" i="6"/>
  <c r="O625" i="6" s="1"/>
  <c r="Q625" i="6" s="1"/>
  <c r="N624" i="6"/>
  <c r="P624" i="6" s="1"/>
  <c r="Q624" i="6" s="1"/>
  <c r="N623" i="6"/>
  <c r="P623" i="6" s="1"/>
  <c r="Q623" i="6" s="1"/>
  <c r="N622" i="6"/>
  <c r="P622" i="6" s="1"/>
  <c r="Q622" i="6" s="1"/>
  <c r="N621" i="6"/>
  <c r="P621" i="6" s="1"/>
  <c r="Q621" i="6" s="1"/>
  <c r="N620" i="6"/>
  <c r="P620" i="6" s="1"/>
  <c r="Q620" i="6" s="1"/>
  <c r="N614" i="6"/>
  <c r="P614" i="6" s="1"/>
  <c r="Q614" i="6" s="1"/>
  <c r="N613" i="6"/>
  <c r="P613" i="6" s="1"/>
  <c r="Q613" i="6" s="1"/>
  <c r="N612" i="6"/>
  <c r="P612" i="6" s="1"/>
  <c r="Q612" i="6" s="1"/>
  <c r="N611" i="6"/>
  <c r="N610" i="6"/>
  <c r="N609" i="6"/>
  <c r="N608" i="6"/>
  <c r="P608" i="6" s="1"/>
  <c r="Q608" i="6" s="1"/>
  <c r="N607" i="6"/>
  <c r="P607" i="6" s="1"/>
  <c r="Q607" i="6" s="1"/>
  <c r="N586" i="6"/>
  <c r="O586" i="6" s="1"/>
  <c r="Q586" i="6" s="1"/>
  <c r="N585" i="6"/>
  <c r="P585" i="6" s="1"/>
  <c r="Q585" i="6" s="1"/>
  <c r="N584" i="6"/>
  <c r="O584" i="6" s="1"/>
  <c r="Q584" i="6" s="1"/>
  <c r="N583" i="6"/>
  <c r="O583" i="6" s="1"/>
  <c r="Q583" i="6" s="1"/>
  <c r="N582" i="6"/>
  <c r="O582" i="6" s="1"/>
  <c r="Q582" i="6" s="1"/>
  <c r="N581" i="6"/>
  <c r="P581" i="6" s="1"/>
  <c r="Q581" i="6" s="1"/>
  <c r="N580" i="6"/>
  <c r="O580" i="6" s="1"/>
  <c r="N579" i="6"/>
  <c r="O579" i="6" s="1"/>
  <c r="Q579" i="6" s="1"/>
  <c r="N578" i="6"/>
  <c r="O578" i="6" s="1"/>
  <c r="Q578" i="6" s="1"/>
  <c r="N577" i="6"/>
  <c r="O577" i="6" s="1"/>
  <c r="Q577" i="6" s="1"/>
  <c r="N576" i="6"/>
  <c r="O576" i="6" s="1"/>
  <c r="Q576" i="6" s="1"/>
  <c r="N575" i="6"/>
  <c r="P575" i="6" s="1"/>
  <c r="Q575" i="6" s="1"/>
  <c r="N574" i="6"/>
  <c r="N573" i="6"/>
  <c r="N572" i="6"/>
  <c r="P572" i="6" s="1"/>
  <c r="Q572" i="6" s="1"/>
  <c r="N571" i="6"/>
  <c r="P571" i="6" s="1"/>
  <c r="Q571" i="6" s="1"/>
  <c r="N570" i="6"/>
  <c r="O570" i="6" s="1"/>
  <c r="Q570" i="6" s="1"/>
  <c r="N545" i="6"/>
  <c r="P545" i="6" s="1"/>
  <c r="Q545" i="6" s="1"/>
  <c r="N544" i="6"/>
  <c r="O544" i="6" s="1"/>
  <c r="Q544" i="6" s="1"/>
  <c r="N543" i="6"/>
  <c r="O543" i="6" s="1"/>
  <c r="Q543" i="6" s="1"/>
  <c r="N542" i="6"/>
  <c r="O542" i="6" s="1"/>
  <c r="Q542" i="6" s="1"/>
  <c r="N541" i="6"/>
  <c r="P541" i="6" s="1"/>
  <c r="Q541" i="6" s="1"/>
  <c r="N540" i="6"/>
  <c r="O540" i="6" s="1"/>
  <c r="Q540" i="6" s="1"/>
  <c r="N539" i="6"/>
  <c r="O539" i="6" s="1"/>
  <c r="Q539" i="6" s="1"/>
  <c r="N538" i="6"/>
  <c r="O538" i="6" s="1"/>
  <c r="Q538" i="6" s="1"/>
  <c r="N537" i="6"/>
  <c r="O537" i="6" s="1"/>
  <c r="Q537" i="6" s="1"/>
  <c r="N536" i="6"/>
  <c r="P536" i="6" s="1"/>
  <c r="Q536" i="6" s="1"/>
  <c r="N535" i="6"/>
  <c r="O535" i="6" s="1"/>
  <c r="Q535" i="6" s="1"/>
  <c r="N534" i="6"/>
  <c r="O534" i="6" s="1"/>
  <c r="Q534" i="6" s="1"/>
  <c r="N533" i="6"/>
  <c r="P533" i="6" s="1"/>
  <c r="Q533" i="6" s="1"/>
  <c r="N532" i="6"/>
  <c r="P532" i="6" s="1"/>
  <c r="Q532" i="6" s="1"/>
  <c r="N531" i="6"/>
  <c r="O531" i="6" s="1"/>
  <c r="Q531" i="6" s="1"/>
  <c r="N530" i="6"/>
  <c r="N510" i="6"/>
  <c r="N509" i="6"/>
  <c r="P509" i="6" s="1"/>
  <c r="Q509" i="6" s="1"/>
  <c r="N508" i="6"/>
  <c r="O508" i="6" s="1"/>
  <c r="Q508" i="6" s="1"/>
  <c r="N507" i="6"/>
  <c r="P507" i="6" s="1"/>
  <c r="Q507" i="6" s="1"/>
  <c r="N506" i="6"/>
  <c r="P506" i="6" s="1"/>
  <c r="Q506" i="6" s="1"/>
  <c r="N505" i="6"/>
  <c r="O505" i="6" s="1"/>
  <c r="Q505" i="6" s="1"/>
  <c r="N504" i="6"/>
  <c r="O504" i="6" s="1"/>
  <c r="Q504" i="6" s="1"/>
  <c r="N503" i="6"/>
  <c r="P503" i="6" s="1"/>
  <c r="Q503" i="6" s="1"/>
  <c r="N502" i="6"/>
  <c r="O502" i="6" s="1"/>
  <c r="Q502" i="6" s="1"/>
  <c r="N501" i="6"/>
  <c r="O501" i="6" s="1"/>
  <c r="Q501" i="6" s="1"/>
  <c r="N500" i="6"/>
  <c r="O500" i="6" s="1"/>
  <c r="Q500" i="6" s="1"/>
  <c r="N499" i="6"/>
  <c r="P499" i="6" s="1"/>
  <c r="Q499" i="6" s="1"/>
  <c r="N498" i="6"/>
  <c r="O498" i="6" s="1"/>
  <c r="Q498" i="6" s="1"/>
  <c r="N497" i="6"/>
  <c r="O497" i="6" s="1"/>
  <c r="Q497" i="6" s="1"/>
  <c r="N496" i="6"/>
  <c r="P496" i="6" s="1"/>
  <c r="Q496" i="6" s="1"/>
  <c r="N495" i="6"/>
  <c r="P495" i="6" s="1"/>
  <c r="Q495" i="6" s="1"/>
  <c r="N494" i="6"/>
  <c r="P494" i="6" s="1"/>
  <c r="Q494" i="6" s="1"/>
  <c r="N493" i="6"/>
  <c r="P493" i="6" s="1"/>
  <c r="Q493" i="6" s="1"/>
  <c r="N492" i="6"/>
  <c r="P492" i="6" s="1"/>
  <c r="Q492" i="6" s="1"/>
  <c r="N491" i="6"/>
  <c r="P491" i="6" s="1"/>
  <c r="Q491" i="6" s="1"/>
  <c r="N490" i="6"/>
  <c r="P490" i="6" s="1"/>
  <c r="Q490" i="6" s="1"/>
  <c r="N489" i="6"/>
  <c r="O489" i="6" s="1"/>
  <c r="Q489" i="6" s="1"/>
  <c r="N488" i="6"/>
  <c r="P488" i="6" s="1"/>
  <c r="Q488" i="6" s="1"/>
  <c r="N487" i="6"/>
  <c r="O487" i="6" s="1"/>
  <c r="Q487" i="6" s="1"/>
  <c r="N486" i="6"/>
  <c r="O486" i="6" s="1"/>
  <c r="Q486" i="6" s="1"/>
  <c r="N485" i="6"/>
  <c r="P485" i="6" s="1"/>
  <c r="Q485" i="6" s="1"/>
  <c r="N484" i="6"/>
  <c r="O484" i="6" s="1"/>
  <c r="Q484" i="6" s="1"/>
  <c r="N483" i="6"/>
  <c r="P483" i="6" s="1"/>
  <c r="Q483" i="6" s="1"/>
  <c r="N482" i="6"/>
  <c r="P482" i="6" s="1"/>
  <c r="Q482" i="6" s="1"/>
  <c r="N481" i="6"/>
  <c r="P481" i="6" s="1"/>
  <c r="Q481" i="6" s="1"/>
  <c r="N480" i="6"/>
  <c r="P480" i="6" s="1"/>
  <c r="Q480" i="6" s="1"/>
  <c r="N479" i="6"/>
  <c r="O479" i="6" s="1"/>
  <c r="Q479" i="6" s="1"/>
  <c r="N478" i="6"/>
  <c r="P478" i="6" s="1"/>
  <c r="Q478" i="6" s="1"/>
  <c r="N477" i="6"/>
  <c r="N476" i="6"/>
  <c r="N475" i="6"/>
  <c r="N474" i="6"/>
  <c r="P474" i="6" s="1"/>
  <c r="Q474" i="6" s="1"/>
  <c r="N473" i="6"/>
  <c r="N472" i="6"/>
  <c r="N471" i="6"/>
  <c r="N470" i="6"/>
  <c r="P470" i="6" s="1"/>
  <c r="Q470" i="6" s="1"/>
  <c r="N469" i="6"/>
  <c r="O469" i="6" s="1"/>
  <c r="Q469" i="6" s="1"/>
  <c r="N468" i="6"/>
  <c r="N467" i="6"/>
  <c r="N449" i="6"/>
  <c r="P449" i="6" s="1"/>
  <c r="Q449" i="6" s="1"/>
  <c r="N448" i="6"/>
  <c r="P448" i="6" s="1"/>
  <c r="Q448" i="6" s="1"/>
  <c r="N447" i="6"/>
  <c r="O447" i="6" s="1"/>
  <c r="Q447" i="6" s="1"/>
  <c r="N446" i="6"/>
  <c r="P446" i="6" s="1"/>
  <c r="Q446" i="6" s="1"/>
  <c r="N445" i="6"/>
  <c r="P445" i="6" s="1"/>
  <c r="Q445" i="6" s="1"/>
  <c r="N444" i="6"/>
  <c r="O444" i="6" s="1"/>
  <c r="Q444" i="6" s="1"/>
  <c r="N443" i="6"/>
  <c r="P443" i="6" s="1"/>
  <c r="Q443" i="6" s="1"/>
  <c r="N442" i="6"/>
  <c r="O442" i="6" s="1"/>
  <c r="Q442" i="6" s="1"/>
  <c r="N441" i="6"/>
  <c r="P441" i="6" s="1"/>
  <c r="Q441" i="6" s="1"/>
  <c r="N440" i="6"/>
  <c r="O440" i="6" s="1"/>
  <c r="N439" i="6"/>
  <c r="P439" i="6" s="1"/>
  <c r="Q439" i="6" s="1"/>
  <c r="N438" i="6"/>
  <c r="P438" i="6" s="1"/>
  <c r="Q438" i="6" s="1"/>
  <c r="N437" i="6"/>
  <c r="P437" i="6" s="1"/>
  <c r="Q437" i="6" s="1"/>
  <c r="N436" i="6"/>
  <c r="P436" i="6" s="1"/>
  <c r="Q436" i="6" s="1"/>
  <c r="N435" i="6"/>
  <c r="P435" i="6" s="1"/>
  <c r="Q435" i="6" s="1"/>
  <c r="N434" i="6"/>
  <c r="P434" i="6" s="1"/>
  <c r="Q434" i="6" s="1"/>
  <c r="N433" i="6"/>
  <c r="N432" i="6"/>
  <c r="N431" i="6"/>
  <c r="P431" i="6" s="1"/>
  <c r="Q431" i="6" s="1"/>
  <c r="N430" i="6"/>
  <c r="P430" i="6" s="1"/>
  <c r="Q430" i="6" s="1"/>
  <c r="N429" i="6"/>
  <c r="P429" i="6" s="1"/>
  <c r="Q429" i="6" s="1"/>
  <c r="N428" i="6"/>
  <c r="P428" i="6" s="1"/>
  <c r="Q428" i="6" s="1"/>
  <c r="N427" i="6"/>
  <c r="N426" i="6"/>
  <c r="N425" i="6"/>
  <c r="P425" i="6" s="1"/>
  <c r="Q425" i="6" s="1"/>
  <c r="N422" i="6"/>
  <c r="N421" i="6"/>
  <c r="N399" i="6"/>
  <c r="P399" i="6" s="1"/>
  <c r="N398" i="6"/>
  <c r="P398" i="6" s="1"/>
  <c r="Q398" i="6" s="1"/>
  <c r="N397" i="6"/>
  <c r="P397" i="6" s="1"/>
  <c r="Q397" i="6" s="1"/>
  <c r="N396" i="6"/>
  <c r="O396" i="6" s="1"/>
  <c r="Q396" i="6" s="1"/>
  <c r="N395" i="6"/>
  <c r="O395" i="6" s="1"/>
  <c r="Q395" i="6" s="1"/>
  <c r="N394" i="6"/>
  <c r="O394" i="6" s="1"/>
  <c r="Q394" i="6" s="1"/>
  <c r="N393" i="6"/>
  <c r="P393" i="6" s="1"/>
  <c r="Q393" i="6" s="1"/>
  <c r="N392" i="6"/>
  <c r="P392" i="6" s="1"/>
  <c r="Q392" i="6" s="1"/>
  <c r="N391" i="6"/>
  <c r="O391" i="6" s="1"/>
  <c r="Q391" i="6" s="1"/>
  <c r="N390" i="6"/>
  <c r="P390" i="6" s="1"/>
  <c r="Q390" i="6" s="1"/>
  <c r="N389" i="6"/>
  <c r="P389" i="6" s="1"/>
  <c r="Q389" i="6" s="1"/>
  <c r="N388" i="6"/>
  <c r="N387" i="6"/>
  <c r="N386" i="6"/>
  <c r="N385" i="6"/>
  <c r="N384" i="6"/>
  <c r="N383" i="6"/>
  <c r="O383" i="6" s="1"/>
  <c r="Q383" i="6" s="1"/>
  <c r="N382" i="6"/>
  <c r="P382" i="6" s="1"/>
  <c r="Q382" i="6" s="1"/>
  <c r="N381" i="6"/>
  <c r="O381" i="6" s="1"/>
  <c r="Q381" i="6" s="1"/>
  <c r="N380" i="6"/>
  <c r="P380" i="6" s="1"/>
  <c r="Q380" i="6" s="1"/>
  <c r="N379" i="6"/>
  <c r="P379" i="6" s="1"/>
  <c r="Q379" i="6" s="1"/>
  <c r="N364" i="6"/>
  <c r="P364" i="6" s="1"/>
  <c r="Q364" i="6" s="1"/>
  <c r="N363" i="6"/>
  <c r="P363" i="6" s="1"/>
  <c r="Q363" i="6" s="1"/>
  <c r="N362" i="6"/>
  <c r="P362" i="6" s="1"/>
  <c r="Q362" i="6" s="1"/>
  <c r="N361" i="6"/>
  <c r="P361" i="6" s="1"/>
  <c r="Q361" i="6" s="1"/>
  <c r="N360" i="6"/>
  <c r="P360" i="6" s="1"/>
  <c r="Q360" i="6" s="1"/>
  <c r="N359" i="6"/>
  <c r="P359" i="6" s="1"/>
  <c r="Q359" i="6" s="1"/>
  <c r="N358" i="6"/>
  <c r="P358" i="6" s="1"/>
  <c r="Q358" i="6" s="1"/>
  <c r="N355" i="6"/>
  <c r="P355" i="6" s="1"/>
  <c r="Q355" i="6" s="1"/>
  <c r="N354" i="6"/>
  <c r="P354" i="6" s="1"/>
  <c r="Q354" i="6" s="1"/>
  <c r="N353" i="6"/>
  <c r="P353" i="6" s="1"/>
  <c r="Q353" i="6" s="1"/>
  <c r="N352" i="6"/>
  <c r="P352" i="6" s="1"/>
  <c r="Q352" i="6" s="1"/>
  <c r="N351" i="6"/>
  <c r="P351" i="6" s="1"/>
  <c r="Q351" i="6" s="1"/>
  <c r="N350" i="6"/>
  <c r="P350" i="6" s="1"/>
  <c r="Q350" i="6" s="1"/>
  <c r="N340" i="6"/>
  <c r="P340" i="6" s="1"/>
  <c r="Q340" i="6" s="1"/>
  <c r="N339" i="6"/>
  <c r="P339" i="6" s="1"/>
  <c r="Q339" i="6" s="1"/>
  <c r="N338" i="6"/>
  <c r="P338" i="6" s="1"/>
  <c r="Q338" i="6" s="1"/>
  <c r="N337" i="6"/>
  <c r="P337" i="6" s="1"/>
  <c r="Q337" i="6" s="1"/>
  <c r="N336" i="6"/>
  <c r="P336" i="6" s="1"/>
  <c r="Q336" i="6" s="1"/>
  <c r="N335" i="6"/>
  <c r="P335" i="6" s="1"/>
  <c r="Q335" i="6" s="1"/>
  <c r="N334" i="6"/>
  <c r="P334" i="6" s="1"/>
  <c r="Q334" i="6" s="1"/>
  <c r="N333" i="6"/>
  <c r="P333" i="6" s="1"/>
  <c r="Q333" i="6" s="1"/>
  <c r="N327" i="6"/>
  <c r="P327" i="6" s="1"/>
  <c r="Q327" i="6" s="1"/>
  <c r="N326" i="6"/>
  <c r="P326" i="6" s="1"/>
  <c r="Q326" i="6" s="1"/>
  <c r="N325" i="6"/>
  <c r="O325" i="6" s="1"/>
  <c r="Q325" i="6" s="1"/>
  <c r="N318" i="6"/>
  <c r="P318" i="6" s="1"/>
  <c r="Q318" i="6" s="1"/>
  <c r="N317" i="6"/>
  <c r="O317" i="6" s="1"/>
  <c r="N316" i="6"/>
  <c r="N315" i="6"/>
  <c r="P315" i="6" s="1"/>
  <c r="Q315" i="6" s="1"/>
  <c r="N314" i="6"/>
  <c r="P314" i="6" s="1"/>
  <c r="Q314" i="6" s="1"/>
  <c r="N313" i="6"/>
  <c r="O313" i="6" s="1"/>
  <c r="Q313" i="6" s="1"/>
  <c r="N303" i="6"/>
  <c r="P303" i="6" s="1"/>
  <c r="Q303" i="6" s="1"/>
  <c r="N302" i="6"/>
  <c r="P302" i="6" s="1"/>
  <c r="Q302" i="6" s="1"/>
  <c r="N301" i="6"/>
  <c r="P301" i="6" s="1"/>
  <c r="Q301" i="6" s="1"/>
  <c r="N300" i="6"/>
  <c r="P300" i="6" s="1"/>
  <c r="Q300" i="6" s="1"/>
  <c r="N299" i="6"/>
  <c r="O299" i="6" s="1"/>
  <c r="Q299" i="6" s="1"/>
  <c r="N297" i="6"/>
  <c r="N296" i="6"/>
  <c r="N295" i="6"/>
  <c r="N294" i="6"/>
  <c r="N293" i="6"/>
  <c r="N287" i="6"/>
  <c r="N286" i="6"/>
  <c r="P286" i="6" s="1"/>
  <c r="Q286" i="6" s="1"/>
  <c r="N285" i="6"/>
  <c r="N284" i="6"/>
  <c r="O284" i="6" s="1"/>
  <c r="Q284" i="6" s="1"/>
  <c r="N283" i="6"/>
  <c r="P283" i="6" s="1"/>
  <c r="N282" i="6"/>
  <c r="O282" i="6" s="1"/>
  <c r="Q282" i="6" s="1"/>
  <c r="N281" i="6"/>
  <c r="P281" i="6" s="1"/>
  <c r="Q281" i="6" s="1"/>
  <c r="N280" i="6"/>
  <c r="O280" i="6" s="1"/>
  <c r="Q280" i="6" s="1"/>
  <c r="N279" i="6"/>
  <c r="N278" i="6"/>
  <c r="N277" i="6"/>
  <c r="N276" i="6"/>
  <c r="N275" i="6"/>
  <c r="N274" i="6"/>
  <c r="N273" i="6"/>
  <c r="N272" i="6"/>
  <c r="N271" i="6"/>
  <c r="P271" i="6" s="1"/>
  <c r="Q271" i="6" s="1"/>
  <c r="N265" i="6"/>
  <c r="N264" i="6"/>
  <c r="P264" i="6" s="1"/>
  <c r="Q264" i="6" s="1"/>
  <c r="N263" i="6"/>
  <c r="P263" i="6" s="1"/>
  <c r="Q263" i="6" s="1"/>
  <c r="N262" i="6"/>
  <c r="N261" i="6"/>
  <c r="N260" i="6"/>
  <c r="N259" i="6"/>
  <c r="N258" i="6"/>
  <c r="O258" i="6" s="1"/>
  <c r="Q258" i="6" s="1"/>
  <c r="N256" i="6"/>
  <c r="N251" i="6"/>
  <c r="P251" i="6" s="1"/>
  <c r="Q251" i="6" s="1"/>
  <c r="N250" i="6"/>
  <c r="O250" i="6" s="1"/>
  <c r="Q250" i="6" s="1"/>
  <c r="N249" i="6"/>
  <c r="N248" i="6"/>
  <c r="P248" i="6" s="1"/>
  <c r="Q248" i="6" s="1"/>
  <c r="N235" i="6"/>
  <c r="P235" i="6" s="1"/>
  <c r="Q235" i="6" s="1"/>
  <c r="N234" i="6"/>
  <c r="O234" i="6" s="1"/>
  <c r="Q234" i="6" s="1"/>
  <c r="N233" i="6"/>
  <c r="O233" i="6" s="1"/>
  <c r="Q233" i="6" s="1"/>
  <c r="N232" i="6"/>
  <c r="P232" i="6" s="1"/>
  <c r="Q232" i="6" s="1"/>
  <c r="N231" i="6"/>
  <c r="O231" i="6" s="1"/>
  <c r="Q231" i="6" s="1"/>
  <c r="N230" i="6"/>
  <c r="O230" i="6" s="1"/>
  <c r="Q230" i="6" s="1"/>
  <c r="N229" i="6"/>
  <c r="P229" i="6" s="1"/>
  <c r="Q229" i="6" s="1"/>
  <c r="N228" i="6"/>
  <c r="O228" i="6" s="1"/>
  <c r="Q228" i="6" s="1"/>
  <c r="N227" i="6"/>
  <c r="P227" i="6" s="1"/>
  <c r="Q227" i="6" s="1"/>
  <c r="N226" i="6"/>
  <c r="O226" i="6" s="1"/>
  <c r="Q226" i="6" s="1"/>
  <c r="N225" i="6"/>
  <c r="P225" i="6" s="1"/>
  <c r="Q225" i="6" s="1"/>
  <c r="N224" i="6"/>
  <c r="O224" i="6" s="1"/>
  <c r="Q224" i="6" s="1"/>
  <c r="N223" i="6"/>
  <c r="O223" i="6" s="1"/>
  <c r="Q223" i="6" s="1"/>
  <c r="N211" i="6"/>
  <c r="P211" i="6" s="1"/>
  <c r="Q211" i="6" s="1"/>
  <c r="N210" i="6"/>
  <c r="P210" i="6" s="1"/>
  <c r="Q210" i="6" s="1"/>
  <c r="N209" i="6"/>
  <c r="P209" i="6" s="1"/>
  <c r="Q209" i="6" s="1"/>
  <c r="N208" i="6"/>
  <c r="P208" i="6" s="1"/>
  <c r="Q208" i="6" s="1"/>
  <c r="N207" i="6"/>
  <c r="P207" i="6" s="1"/>
  <c r="Q207" i="6" s="1"/>
  <c r="N206" i="6"/>
  <c r="P206" i="6" s="1"/>
  <c r="Q206" i="6" s="1"/>
  <c r="N205" i="6"/>
  <c r="P205" i="6" s="1"/>
  <c r="Q205" i="6" s="1"/>
  <c r="N204" i="6"/>
  <c r="P204" i="6" s="1"/>
  <c r="Q204" i="6" s="1"/>
  <c r="N203" i="6"/>
  <c r="P203" i="6" s="1"/>
  <c r="Q203" i="6" s="1"/>
  <c r="N202" i="6"/>
  <c r="P202" i="6" s="1"/>
  <c r="Q202" i="6" s="1"/>
  <c r="N201" i="6"/>
  <c r="O201" i="6" s="1"/>
  <c r="Q201" i="6" s="1"/>
  <c r="N200" i="6"/>
  <c r="P200" i="6" s="1"/>
  <c r="Q200" i="6" s="1"/>
  <c r="N199" i="6"/>
  <c r="P199" i="6" s="1"/>
  <c r="Q199" i="6" s="1"/>
  <c r="N198" i="6"/>
  <c r="P198" i="6" s="1"/>
  <c r="Q198" i="6" s="1"/>
  <c r="N197" i="6"/>
  <c r="O197" i="6" s="1"/>
  <c r="Q197" i="6" s="1"/>
  <c r="N196" i="6"/>
  <c r="P196" i="6" s="1"/>
  <c r="Q196" i="6" s="1"/>
  <c r="N195" i="6"/>
  <c r="P195" i="6" s="1"/>
  <c r="Q195" i="6" s="1"/>
  <c r="N192" i="6"/>
  <c r="N173" i="6"/>
  <c r="P173" i="6" s="1"/>
  <c r="Q173" i="6" s="1"/>
  <c r="N172" i="6"/>
  <c r="P172" i="6" s="1"/>
  <c r="Q172" i="6" s="1"/>
  <c r="N171" i="6"/>
  <c r="O171" i="6" s="1"/>
  <c r="Q171" i="6" s="1"/>
  <c r="N170" i="6"/>
  <c r="O170" i="6" s="1"/>
  <c r="Q170" i="6" s="1"/>
  <c r="N169" i="6"/>
  <c r="P169" i="6" s="1"/>
  <c r="N168" i="6"/>
  <c r="P168" i="6" s="1"/>
  <c r="Q168" i="6" s="1"/>
  <c r="N167" i="6"/>
  <c r="N166" i="6"/>
  <c r="N165" i="6"/>
  <c r="P165" i="6" s="1"/>
  <c r="Q165" i="6" s="1"/>
  <c r="N164" i="6"/>
  <c r="P164" i="6" s="1"/>
  <c r="Q164" i="6" s="1"/>
  <c r="N163" i="6"/>
  <c r="P163" i="6" s="1"/>
  <c r="Q163" i="6" s="1"/>
  <c r="N144" i="6"/>
  <c r="O144" i="6" s="1"/>
  <c r="Q144" i="6" s="1"/>
  <c r="N143" i="6"/>
  <c r="P143" i="6" s="1"/>
  <c r="Q143" i="6" s="1"/>
  <c r="N142" i="6"/>
  <c r="P142" i="6" s="1"/>
  <c r="Q142" i="6" s="1"/>
  <c r="N141" i="6"/>
  <c r="P141" i="6" s="1"/>
  <c r="Q141" i="6" s="1"/>
  <c r="N140" i="6"/>
  <c r="O140" i="6" s="1"/>
  <c r="N139" i="6"/>
  <c r="O139" i="6" s="1"/>
  <c r="Q139" i="6" s="1"/>
  <c r="N138" i="6"/>
  <c r="P138" i="6" s="1"/>
  <c r="Q138" i="6" s="1"/>
  <c r="N137" i="6"/>
  <c r="O137" i="6" s="1"/>
  <c r="Q137" i="6" s="1"/>
  <c r="N136" i="6"/>
  <c r="P136" i="6" s="1"/>
  <c r="Q136" i="6" s="1"/>
  <c r="N135" i="6"/>
  <c r="P135" i="6" s="1"/>
  <c r="N134" i="6"/>
  <c r="P134" i="6" s="1"/>
  <c r="Q134" i="6" s="1"/>
  <c r="N133" i="6"/>
  <c r="P133" i="6" s="1"/>
  <c r="Q133" i="6" s="1"/>
  <c r="N122" i="6"/>
  <c r="P122" i="6" s="1"/>
  <c r="Q122" i="6" s="1"/>
  <c r="N121" i="6"/>
  <c r="P121" i="6" s="1"/>
  <c r="Q121" i="6" s="1"/>
  <c r="N120" i="6"/>
  <c r="P120" i="6" s="1"/>
  <c r="Q120" i="6" s="1"/>
  <c r="N119" i="6"/>
  <c r="P119" i="6" s="1"/>
  <c r="N118" i="6"/>
  <c r="O118" i="6" s="1"/>
  <c r="Q118" i="6" s="1"/>
  <c r="N117" i="6"/>
  <c r="P117" i="6" s="1"/>
  <c r="N116" i="6"/>
  <c r="O116" i="6" s="1"/>
  <c r="Q116" i="6" s="1"/>
  <c r="N115" i="6"/>
  <c r="P115" i="6" s="1"/>
  <c r="Q115" i="6" s="1"/>
  <c r="N114" i="6"/>
  <c r="P114" i="6" s="1"/>
  <c r="Q114" i="6" s="1"/>
  <c r="N113" i="6"/>
  <c r="O113" i="6" s="1"/>
  <c r="Q113" i="6" s="1"/>
  <c r="N112" i="6"/>
  <c r="P112" i="6" s="1"/>
  <c r="Q112" i="6" s="1"/>
  <c r="N111" i="6"/>
  <c r="P111" i="6" s="1"/>
  <c r="Q111" i="6" s="1"/>
  <c r="N110" i="6"/>
  <c r="P110" i="6" s="1"/>
  <c r="Q110" i="6" s="1"/>
  <c r="N109" i="6"/>
  <c r="P109" i="6" s="1"/>
  <c r="Q109" i="6" s="1"/>
  <c r="N108" i="6"/>
  <c r="P108" i="6" s="1"/>
  <c r="Q108" i="6" s="1"/>
  <c r="N107" i="6"/>
  <c r="P107" i="6" s="1"/>
  <c r="Q107" i="6" s="1"/>
  <c r="N106" i="6"/>
  <c r="P106" i="6" s="1"/>
  <c r="Q106" i="6" s="1"/>
  <c r="N105" i="6"/>
  <c r="O105" i="6" s="1"/>
  <c r="Q105" i="6" s="1"/>
  <c r="N104" i="6"/>
  <c r="P104" i="6" s="1"/>
  <c r="Q104" i="6" s="1"/>
  <c r="N103" i="6"/>
  <c r="P103" i="6" s="1"/>
  <c r="N102" i="6"/>
  <c r="P102" i="6" s="1"/>
  <c r="Q102" i="6" s="1"/>
  <c r="N101" i="6"/>
  <c r="P101" i="6" s="1"/>
  <c r="N100" i="6"/>
  <c r="P100" i="6" s="1"/>
  <c r="Q100" i="6" s="1"/>
  <c r="N99" i="6"/>
  <c r="N97" i="6"/>
  <c r="P97" i="6" s="1"/>
  <c r="Q97" i="6" s="1"/>
  <c r="N66" i="6"/>
  <c r="O66" i="6" s="1"/>
  <c r="Q66" i="6" s="1"/>
  <c r="N65" i="6"/>
  <c r="O65" i="6" s="1"/>
  <c r="Q65" i="6" s="1"/>
  <c r="N64" i="6"/>
  <c r="P64" i="6" s="1"/>
  <c r="Q64" i="6" s="1"/>
  <c r="N63" i="6"/>
  <c r="P63" i="6" s="1"/>
  <c r="Q63" i="6" s="1"/>
  <c r="N62" i="6"/>
  <c r="P62" i="6" s="1"/>
  <c r="N61" i="6"/>
  <c r="O61" i="6" s="1"/>
  <c r="Q61" i="6" s="1"/>
  <c r="N60" i="6"/>
  <c r="P60" i="6" s="1"/>
  <c r="N59" i="6"/>
  <c r="P59" i="6" s="1"/>
  <c r="Q59" i="6" s="1"/>
  <c r="N58" i="6"/>
  <c r="O58" i="6" s="1"/>
  <c r="Q58" i="6" s="1"/>
  <c r="N57" i="6"/>
  <c r="P57" i="6" s="1"/>
  <c r="Q57" i="6" s="1"/>
  <c r="N56" i="6"/>
  <c r="P56" i="6" s="1"/>
  <c r="Q56" i="6" s="1"/>
  <c r="N55" i="6"/>
  <c r="O55" i="6" s="1"/>
  <c r="Q55" i="6" s="1"/>
  <c r="N54" i="6"/>
  <c r="P54" i="6" s="1"/>
  <c r="Q54" i="6" s="1"/>
  <c r="N53" i="6"/>
  <c r="P53" i="6" s="1"/>
  <c r="Q53" i="6" s="1"/>
  <c r="N52" i="6"/>
  <c r="P52" i="6" s="1"/>
  <c r="Q52" i="6" s="1"/>
  <c r="N51" i="6"/>
  <c r="P51" i="6" s="1"/>
  <c r="Q51" i="6" s="1"/>
  <c r="N48" i="6"/>
  <c r="P48" i="6" s="1"/>
  <c r="N47" i="6"/>
  <c r="O47" i="6" s="1"/>
  <c r="Q47" i="6" s="1"/>
  <c r="N46" i="6"/>
  <c r="P46" i="6" s="1"/>
  <c r="Q46" i="6" s="1"/>
  <c r="N45" i="6"/>
  <c r="O45" i="6" s="1"/>
  <c r="Q45" i="6" s="1"/>
  <c r="N44" i="6"/>
  <c r="P44" i="6" s="1"/>
  <c r="Q44" i="6" s="1"/>
  <c r="N43" i="6"/>
  <c r="P43" i="6" s="1"/>
  <c r="Q43" i="6" s="1"/>
  <c r="N42" i="6"/>
  <c r="P42" i="6" s="1"/>
  <c r="Q42" i="6" s="1"/>
  <c r="N40" i="6"/>
  <c r="P40" i="6" s="1"/>
  <c r="Q40" i="6" s="1"/>
  <c r="N39" i="6"/>
  <c r="P39" i="6" s="1"/>
  <c r="Q39" i="6" s="1"/>
  <c r="N14" i="6"/>
  <c r="P14" i="6" s="1"/>
  <c r="Q14" i="6" s="1"/>
  <c r="N13" i="6"/>
  <c r="O13" i="6" s="1"/>
  <c r="Q13" i="6" s="1"/>
  <c r="N12" i="6"/>
  <c r="O12" i="6" s="1"/>
  <c r="Q12" i="6" s="1"/>
  <c r="N11" i="6"/>
  <c r="P11" i="6" s="1"/>
  <c r="N10" i="6"/>
  <c r="O10" i="6" s="1"/>
  <c r="Q10" i="6" s="1"/>
  <c r="N9" i="6"/>
  <c r="O9" i="6" s="1"/>
  <c r="N8" i="6"/>
  <c r="P8" i="6" s="1"/>
  <c r="Q8" i="6" s="1"/>
  <c r="N7" i="6"/>
  <c r="P7" i="6" s="1"/>
  <c r="Q7" i="6" s="1"/>
  <c r="N5" i="6"/>
  <c r="P5" i="6" s="1"/>
  <c r="Q5" i="6" s="1"/>
  <c r="N4" i="6"/>
  <c r="P4" i="6" s="1"/>
  <c r="Q4" i="6" s="1"/>
  <c r="L1120" i="6"/>
  <c r="N1120" i="6" s="1"/>
  <c r="P1120" i="6" s="1"/>
  <c r="Q1120" i="6" s="1"/>
  <c r="L1119" i="6"/>
  <c r="N1119" i="6" s="1"/>
  <c r="P1119" i="6" s="1"/>
  <c r="Q1119" i="6" s="1"/>
  <c r="L1118" i="6"/>
  <c r="N1118" i="6" s="1"/>
  <c r="P1118" i="6" s="1"/>
  <c r="Q1118" i="6" s="1"/>
  <c r="L1117" i="6"/>
  <c r="N1117" i="6" s="1"/>
  <c r="P1117" i="6" s="1"/>
  <c r="Q1117" i="6" s="1"/>
  <c r="L1116" i="6"/>
  <c r="N1116" i="6" s="1"/>
  <c r="P1116" i="6" s="1"/>
  <c r="Q1116" i="6" s="1"/>
  <c r="L1115" i="6"/>
  <c r="N1115" i="6" s="1"/>
  <c r="P1115" i="6" s="1"/>
  <c r="Q1115" i="6" s="1"/>
  <c r="L1114" i="6"/>
  <c r="N1114" i="6" s="1"/>
  <c r="P1114" i="6" s="1"/>
  <c r="Q1114" i="6" s="1"/>
  <c r="L1113" i="6"/>
  <c r="N1113" i="6" s="1"/>
  <c r="P1113" i="6" s="1"/>
  <c r="Q1113" i="6" s="1"/>
  <c r="L1112" i="6"/>
  <c r="N1112" i="6" s="1"/>
  <c r="P1112" i="6" s="1"/>
  <c r="Q1112" i="6" s="1"/>
  <c r="L1111" i="6"/>
  <c r="N1111" i="6" s="1"/>
  <c r="P1111" i="6" s="1"/>
  <c r="Q1111" i="6" s="1"/>
  <c r="L1108" i="6"/>
  <c r="N1108" i="6" s="1"/>
  <c r="O1108" i="6" s="1"/>
  <c r="Q1108" i="6" s="1"/>
  <c r="L1107" i="6"/>
  <c r="N1107" i="6" s="1"/>
  <c r="O1107" i="6" s="1"/>
  <c r="Q1107" i="6" s="1"/>
  <c r="L1105" i="6"/>
  <c r="N1105" i="6" s="1"/>
  <c r="P1105" i="6" s="1"/>
  <c r="Q1105" i="6" s="1"/>
  <c r="L1104" i="6"/>
  <c r="N1104" i="6" s="1"/>
  <c r="O1104" i="6" s="1"/>
  <c r="Q1104" i="6" s="1"/>
  <c r="L1102" i="6"/>
  <c r="N1102" i="6" s="1"/>
  <c r="O1102" i="6" s="1"/>
  <c r="Q1102" i="6" s="1"/>
  <c r="L1101" i="6"/>
  <c r="N1101" i="6" s="1"/>
  <c r="P1101" i="6" s="1"/>
  <c r="Q1101" i="6" s="1"/>
  <c r="L1100" i="6"/>
  <c r="N1100" i="6" s="1"/>
  <c r="P1100" i="6" s="1"/>
  <c r="Q1100" i="6" s="1"/>
  <c r="L1099" i="6"/>
  <c r="N1099" i="6" s="1"/>
  <c r="P1099" i="6" s="1"/>
  <c r="Q1099" i="6" s="1"/>
  <c r="L1080" i="6"/>
  <c r="N1080" i="6" s="1"/>
  <c r="O1080" i="6" s="1"/>
  <c r="Q1080" i="6" s="1"/>
  <c r="L1079" i="6"/>
  <c r="N1079" i="6" s="1"/>
  <c r="P1079" i="6" s="1"/>
  <c r="Q1079" i="6" s="1"/>
  <c r="L1078" i="6"/>
  <c r="N1078" i="6" s="1"/>
  <c r="P1078" i="6" s="1"/>
  <c r="Q1078" i="6" s="1"/>
  <c r="L1077" i="6"/>
  <c r="N1077" i="6" s="1"/>
  <c r="O1077" i="6" s="1"/>
  <c r="Q1077" i="6" s="1"/>
  <c r="L1076" i="6"/>
  <c r="N1076" i="6" s="1"/>
  <c r="P1076" i="6" s="1"/>
  <c r="Q1076" i="6" s="1"/>
  <c r="L1075" i="6"/>
  <c r="N1075" i="6" s="1"/>
  <c r="O1075" i="6" s="1"/>
  <c r="Q1075" i="6" s="1"/>
  <c r="L1072" i="6"/>
  <c r="N1072" i="6" s="1"/>
  <c r="P1072" i="6" s="1"/>
  <c r="Q1072" i="6" s="1"/>
  <c r="L1071" i="6"/>
  <c r="N1071" i="6" s="1"/>
  <c r="P1071" i="6" s="1"/>
  <c r="Q1071" i="6" s="1"/>
  <c r="L1069" i="6"/>
  <c r="N1069" i="6" s="1"/>
  <c r="P1069" i="6" s="1"/>
  <c r="Q1069" i="6" s="1"/>
  <c r="L1068" i="6"/>
  <c r="N1068" i="6" s="1"/>
  <c r="P1068" i="6" s="1"/>
  <c r="Q1068" i="6" s="1"/>
  <c r="L1067" i="6"/>
  <c r="N1067" i="6" s="1"/>
  <c r="P1067" i="6" s="1"/>
  <c r="Q1067" i="6" s="1"/>
  <c r="L1066" i="6"/>
  <c r="N1066" i="6" s="1"/>
  <c r="O1066" i="6" s="1"/>
  <c r="Q1066" i="6" s="1"/>
  <c r="L1063" i="6"/>
  <c r="N1063" i="6" s="1"/>
  <c r="P1063" i="6" s="1"/>
  <c r="Q1063" i="6" s="1"/>
  <c r="L1062" i="6"/>
  <c r="N1062" i="6" s="1"/>
  <c r="P1062" i="6" s="1"/>
  <c r="Q1062" i="6" s="1"/>
  <c r="L1061" i="6"/>
  <c r="N1061" i="6" s="1"/>
  <c r="P1061" i="6" s="1"/>
  <c r="Q1061" i="6" s="1"/>
  <c r="L1060" i="6"/>
  <c r="N1060" i="6" s="1"/>
  <c r="P1060" i="6" s="1"/>
  <c r="Q1060" i="6" s="1"/>
  <c r="L1059" i="6"/>
  <c r="N1059" i="6" s="1"/>
  <c r="P1059" i="6" s="1"/>
  <c r="Q1059" i="6" s="1"/>
  <c r="L1058" i="6"/>
  <c r="N1058" i="6" s="1"/>
  <c r="O1058" i="6" s="1"/>
  <c r="Q1058" i="6" s="1"/>
  <c r="L1057" i="6"/>
  <c r="N1057" i="6" s="1"/>
  <c r="O1057" i="6" s="1"/>
  <c r="Q1057" i="6" s="1"/>
  <c r="L1056" i="6"/>
  <c r="N1056" i="6" s="1"/>
  <c r="O1056" i="6" s="1"/>
  <c r="Q1056" i="6" s="1"/>
  <c r="L1055" i="6"/>
  <c r="N1055" i="6" s="1"/>
  <c r="P1055" i="6" s="1"/>
  <c r="Q1055" i="6" s="1"/>
  <c r="L1054" i="6"/>
  <c r="N1054" i="6" s="1"/>
  <c r="P1054" i="6" s="1"/>
  <c r="Q1054" i="6" s="1"/>
  <c r="L1053" i="6"/>
  <c r="N1053" i="6" s="1"/>
  <c r="P1053" i="6" s="1"/>
  <c r="Q1053" i="6" s="1"/>
  <c r="L1052" i="6"/>
  <c r="N1052" i="6" s="1"/>
  <c r="P1052" i="6" s="1"/>
  <c r="L1051" i="6"/>
  <c r="N1051" i="6" s="1"/>
  <c r="P1051" i="6" s="1"/>
  <c r="Q1051" i="6" s="1"/>
  <c r="L1050" i="6"/>
  <c r="N1050" i="6" s="1"/>
  <c r="O1050" i="6" s="1"/>
  <c r="Q1050" i="6" s="1"/>
  <c r="L1049" i="6"/>
  <c r="N1049" i="6" s="1"/>
  <c r="P1049" i="6" s="1"/>
  <c r="Q1049" i="6" s="1"/>
  <c r="L1048" i="6"/>
  <c r="N1048" i="6" s="1"/>
  <c r="O1048" i="6" s="1"/>
  <c r="Q1048" i="6" s="1"/>
  <c r="L1022" i="6"/>
  <c r="N1022" i="6" s="1"/>
  <c r="P1022" i="6" s="1"/>
  <c r="Q1022" i="6" s="1"/>
  <c r="L1021" i="6"/>
  <c r="N1021" i="6" s="1"/>
  <c r="P1021" i="6" s="1"/>
  <c r="Q1021" i="6" s="1"/>
  <c r="L1020" i="6"/>
  <c r="N1020" i="6" s="1"/>
  <c r="P1020" i="6" s="1"/>
  <c r="Q1020" i="6" s="1"/>
  <c r="L1015" i="6"/>
  <c r="N1015" i="6" s="1"/>
  <c r="P1015" i="6" s="1"/>
  <c r="L1014" i="6"/>
  <c r="N1014" i="6" s="1"/>
  <c r="O1014" i="6" s="1"/>
  <c r="Q1014" i="6" s="1"/>
  <c r="L1013" i="6"/>
  <c r="N1013" i="6" s="1"/>
  <c r="P1013" i="6" s="1"/>
  <c r="Q1013" i="6" s="1"/>
  <c r="L1012" i="6"/>
  <c r="N1012" i="6" s="1"/>
  <c r="P1012" i="6" s="1"/>
  <c r="Q1012" i="6" s="1"/>
  <c r="L1011" i="6"/>
  <c r="N1011" i="6" s="1"/>
  <c r="P1011" i="6" s="1"/>
  <c r="Q1011" i="6" s="1"/>
  <c r="L1010" i="6"/>
  <c r="N1010" i="6" s="1"/>
  <c r="O1010" i="6" s="1"/>
  <c r="Q1010" i="6" s="1"/>
  <c r="L1009" i="6"/>
  <c r="N1009" i="6" s="1"/>
  <c r="O1009" i="6" s="1"/>
  <c r="Q1009" i="6" s="1"/>
  <c r="L1008" i="6"/>
  <c r="N1008" i="6" s="1"/>
  <c r="O1008" i="6" s="1"/>
  <c r="Q1008" i="6" s="1"/>
  <c r="L1007" i="6"/>
  <c r="N1007" i="6" s="1"/>
  <c r="P1007" i="6" s="1"/>
  <c r="L1006" i="6"/>
  <c r="N1006" i="6" s="1"/>
  <c r="P1006" i="6" s="1"/>
  <c r="Q1006" i="6" s="1"/>
  <c r="L984" i="6"/>
  <c r="N984" i="6" s="1"/>
  <c r="P984" i="6" s="1"/>
  <c r="Q984" i="6" s="1"/>
  <c r="L983" i="6"/>
  <c r="N983" i="6" s="1"/>
  <c r="P983" i="6" s="1"/>
  <c r="Q983" i="6" s="1"/>
  <c r="L982" i="6"/>
  <c r="N982" i="6" s="1"/>
  <c r="P982" i="6" s="1"/>
  <c r="Q982" i="6" s="1"/>
  <c r="L980" i="6"/>
  <c r="N980" i="6" s="1"/>
  <c r="O980" i="6" s="1"/>
  <c r="Q980" i="6" s="1"/>
  <c r="L979" i="6"/>
  <c r="N979" i="6" s="1"/>
  <c r="P979" i="6" s="1"/>
  <c r="Q979" i="6" s="1"/>
  <c r="L978" i="6"/>
  <c r="N978" i="6" s="1"/>
  <c r="P978" i="6" s="1"/>
  <c r="Q978" i="6" s="1"/>
  <c r="L977" i="6"/>
  <c r="N977" i="6" s="1"/>
  <c r="P977" i="6" s="1"/>
  <c r="Q977" i="6" s="1"/>
  <c r="L976" i="6"/>
  <c r="N976" i="6" s="1"/>
  <c r="O976" i="6" s="1"/>
  <c r="Q976" i="6" s="1"/>
  <c r="L975" i="6"/>
  <c r="N975" i="6" s="1"/>
  <c r="O975" i="6" s="1"/>
  <c r="Q975" i="6" s="1"/>
  <c r="L974" i="6"/>
  <c r="N974" i="6" s="1"/>
  <c r="P974" i="6" s="1"/>
  <c r="Q974" i="6" s="1"/>
  <c r="L973" i="6"/>
  <c r="N973" i="6" s="1"/>
  <c r="O973" i="6" s="1"/>
  <c r="Q973" i="6" s="1"/>
  <c r="L972" i="6"/>
  <c r="N972" i="6" s="1"/>
  <c r="O972" i="6" s="1"/>
  <c r="Q972" i="6" s="1"/>
  <c r="L971" i="6"/>
  <c r="N971" i="6" s="1"/>
  <c r="O971" i="6" s="1"/>
  <c r="Q971" i="6" s="1"/>
  <c r="L970" i="6"/>
  <c r="N970" i="6" s="1"/>
  <c r="P970" i="6" s="1"/>
  <c r="Q970" i="6" s="1"/>
  <c r="L969" i="6"/>
  <c r="N969" i="6" s="1"/>
  <c r="P969" i="6" s="1"/>
  <c r="Q969" i="6" s="1"/>
  <c r="L968" i="6"/>
  <c r="N968" i="6" s="1"/>
  <c r="P968" i="6" s="1"/>
  <c r="Q968" i="6" s="1"/>
  <c r="L967" i="6"/>
  <c r="N967" i="6" s="1"/>
  <c r="O967" i="6" s="1"/>
  <c r="Q967" i="6" s="1"/>
  <c r="L966" i="6"/>
  <c r="N966" i="6" s="1"/>
  <c r="P966" i="6" s="1"/>
  <c r="Q966" i="6" s="1"/>
  <c r="L965" i="6"/>
  <c r="N965" i="6" s="1"/>
  <c r="P965" i="6" s="1"/>
  <c r="Q965" i="6" s="1"/>
  <c r="L964" i="6"/>
  <c r="N964" i="6" s="1"/>
  <c r="P964" i="6" s="1"/>
  <c r="Q964" i="6" s="1"/>
  <c r="L963" i="6"/>
  <c r="N963" i="6" s="1"/>
  <c r="P963" i="6" s="1"/>
  <c r="Q963" i="6" s="1"/>
  <c r="L962" i="6"/>
  <c r="N962" i="6" s="1"/>
  <c r="O962" i="6" s="1"/>
  <c r="Q962" i="6" s="1"/>
  <c r="L961" i="6"/>
  <c r="N961" i="6" s="1"/>
  <c r="O961" i="6" s="1"/>
  <c r="Q961" i="6" s="1"/>
  <c r="L960" i="6"/>
  <c r="N960" i="6" s="1"/>
  <c r="P960" i="6" s="1"/>
  <c r="Q960" i="6" s="1"/>
  <c r="L942" i="6"/>
  <c r="N942" i="6" s="1"/>
  <c r="P942" i="6" s="1"/>
  <c r="Q942" i="6" s="1"/>
  <c r="L941" i="6"/>
  <c r="N941" i="6" s="1"/>
  <c r="P941" i="6" s="1"/>
  <c r="Q941" i="6" s="1"/>
  <c r="L940" i="6"/>
  <c r="N940" i="6" s="1"/>
  <c r="O940" i="6" s="1"/>
  <c r="Q940" i="6" s="1"/>
  <c r="L939" i="6"/>
  <c r="N939" i="6" s="1"/>
  <c r="P939" i="6" s="1"/>
  <c r="Q939" i="6" s="1"/>
  <c r="L936" i="6"/>
  <c r="N936" i="6" s="1"/>
  <c r="P936" i="6" s="1"/>
  <c r="L935" i="6"/>
  <c r="N935" i="6" s="1"/>
  <c r="P935" i="6" s="1"/>
  <c r="Q935" i="6" s="1"/>
  <c r="L929" i="6"/>
  <c r="N929" i="6" s="1"/>
  <c r="P929" i="6" s="1"/>
  <c r="Q929" i="6" s="1"/>
  <c r="L928" i="6"/>
  <c r="N928" i="6" s="1"/>
  <c r="O928" i="6" s="1"/>
  <c r="Q928" i="6" s="1"/>
  <c r="L927" i="6"/>
  <c r="N927" i="6" s="1"/>
  <c r="P927" i="6" s="1"/>
  <c r="Q927" i="6" s="1"/>
  <c r="L926" i="6"/>
  <c r="N926" i="6" s="1"/>
  <c r="P926" i="6" s="1"/>
  <c r="Q926" i="6" s="1"/>
  <c r="L918" i="6"/>
  <c r="N918" i="6" s="1"/>
  <c r="P918" i="6" s="1"/>
  <c r="Q918" i="6" s="1"/>
  <c r="L917" i="6"/>
  <c r="N917" i="6" s="1"/>
  <c r="P917" i="6" s="1"/>
  <c r="Q917" i="6" s="1"/>
  <c r="L916" i="6"/>
  <c r="N916" i="6" s="1"/>
  <c r="P916" i="6" s="1"/>
  <c r="Q916" i="6" s="1"/>
  <c r="L915" i="6"/>
  <c r="N915" i="6" s="1"/>
  <c r="O915" i="6" s="1"/>
  <c r="Q915" i="6" s="1"/>
  <c r="L914" i="6"/>
  <c r="N914" i="6" s="1"/>
  <c r="P914" i="6" s="1"/>
  <c r="Q914" i="6" s="1"/>
  <c r="L913" i="6"/>
  <c r="N913" i="6" s="1"/>
  <c r="O913" i="6" s="1"/>
  <c r="Q913" i="6" s="1"/>
  <c r="L912" i="6"/>
  <c r="N912" i="6" s="1"/>
  <c r="P912" i="6" s="1"/>
  <c r="Q912" i="6" s="1"/>
  <c r="L911" i="6"/>
  <c r="N911" i="6" s="1"/>
  <c r="O911" i="6" s="1"/>
  <c r="Q911" i="6" s="1"/>
  <c r="L910" i="6"/>
  <c r="N910" i="6" s="1"/>
  <c r="P910" i="6" s="1"/>
  <c r="Q910" i="6" s="1"/>
  <c r="L909" i="6"/>
  <c r="N909" i="6" s="1"/>
  <c r="O909" i="6" s="1"/>
  <c r="Q909" i="6" s="1"/>
  <c r="L908" i="6"/>
  <c r="N908" i="6" s="1"/>
  <c r="O908" i="6" s="1"/>
  <c r="Q908" i="6" s="1"/>
  <c r="L907" i="6"/>
  <c r="N907" i="6" s="1"/>
  <c r="O907" i="6" s="1"/>
  <c r="Q907" i="6" s="1"/>
  <c r="L906" i="6"/>
  <c r="N906" i="6" s="1"/>
  <c r="O906" i="6" s="1"/>
  <c r="Q906" i="6" s="1"/>
  <c r="L905" i="6"/>
  <c r="N905" i="6" s="1"/>
  <c r="P905" i="6" s="1"/>
  <c r="Q905" i="6" s="1"/>
  <c r="L904" i="6"/>
  <c r="N904" i="6" s="1"/>
  <c r="O904" i="6" s="1"/>
  <c r="Q904" i="6" s="1"/>
  <c r="L903" i="6"/>
  <c r="N903" i="6" s="1"/>
  <c r="O903" i="6" s="1"/>
  <c r="Q903" i="6" s="1"/>
  <c r="L902" i="6"/>
  <c r="N902" i="6" s="1"/>
  <c r="O902" i="6" s="1"/>
  <c r="Q902" i="6" s="1"/>
  <c r="L876" i="6"/>
  <c r="N876" i="6" s="1"/>
  <c r="P876" i="6" s="1"/>
  <c r="Q876" i="6" s="1"/>
  <c r="L875" i="6"/>
  <c r="N875" i="6" s="1"/>
  <c r="P875" i="6" s="1"/>
  <c r="Q875" i="6" s="1"/>
  <c r="L874" i="6"/>
  <c r="N874" i="6" s="1"/>
  <c r="P874" i="6" s="1"/>
  <c r="Q874" i="6" s="1"/>
  <c r="L873" i="6"/>
  <c r="N873" i="6" s="1"/>
  <c r="P873" i="6" s="1"/>
  <c r="Q873" i="6" s="1"/>
  <c r="L862" i="6"/>
  <c r="N862" i="6" s="1"/>
  <c r="O862" i="6" s="1"/>
  <c r="Q862" i="6" s="1"/>
  <c r="L860" i="6"/>
  <c r="N860" i="6" s="1"/>
  <c r="P860" i="6" s="1"/>
  <c r="Q860" i="6" s="1"/>
  <c r="L859" i="6"/>
  <c r="N859" i="6" s="1"/>
  <c r="P859" i="6" s="1"/>
  <c r="Q859" i="6" s="1"/>
  <c r="L858" i="6"/>
  <c r="N858" i="6" s="1"/>
  <c r="P858" i="6" s="1"/>
  <c r="Q858" i="6" s="1"/>
  <c r="L857" i="6"/>
  <c r="N857" i="6" s="1"/>
  <c r="P857" i="6" s="1"/>
  <c r="Q857" i="6" s="1"/>
  <c r="L856" i="6"/>
  <c r="N856" i="6" s="1"/>
  <c r="P856" i="6" s="1"/>
  <c r="Q856" i="6" s="1"/>
  <c r="L846" i="6"/>
  <c r="N846" i="6" s="1"/>
  <c r="P846" i="6" s="1"/>
  <c r="Q846" i="6" s="1"/>
  <c r="L844" i="6"/>
  <c r="N844" i="6" s="1"/>
  <c r="P844" i="6" s="1"/>
  <c r="Q844" i="6" s="1"/>
  <c r="L843" i="6"/>
  <c r="N843" i="6" s="1"/>
  <c r="O843" i="6" s="1"/>
  <c r="Q843" i="6" s="1"/>
  <c r="L842" i="6"/>
  <c r="N842" i="6" s="1"/>
  <c r="O842" i="6" s="1"/>
  <c r="Q842" i="6" s="1"/>
  <c r="L838" i="6"/>
  <c r="N838" i="6" s="1"/>
  <c r="P838" i="6" s="1"/>
  <c r="Q838" i="6" s="1"/>
  <c r="L837" i="6"/>
  <c r="N837" i="6" s="1"/>
  <c r="P837" i="6" s="1"/>
  <c r="Q837" i="6" s="1"/>
  <c r="L822" i="6"/>
  <c r="N822" i="6" s="1"/>
  <c r="P822" i="6" s="1"/>
  <c r="Q822" i="6" s="1"/>
  <c r="L821" i="6"/>
  <c r="N821" i="6" s="1"/>
  <c r="O821" i="6" s="1"/>
  <c r="Q821" i="6" s="1"/>
  <c r="L820" i="6"/>
  <c r="N820" i="6" s="1"/>
  <c r="O820" i="6" s="1"/>
  <c r="Q820" i="6" s="1"/>
  <c r="L814" i="6"/>
  <c r="N814" i="6" s="1"/>
  <c r="O814" i="6" s="1"/>
  <c r="Q814" i="6" s="1"/>
  <c r="L813" i="6"/>
  <c r="N813" i="6" s="1"/>
  <c r="O813" i="6" s="1"/>
  <c r="Q813" i="6" s="1"/>
  <c r="L812" i="6"/>
  <c r="N812" i="6" s="1"/>
  <c r="O812" i="6" s="1"/>
  <c r="L811" i="6"/>
  <c r="N811" i="6" s="1"/>
  <c r="P811" i="6" s="1"/>
  <c r="Q811" i="6" s="1"/>
  <c r="L810" i="6"/>
  <c r="N810" i="6" s="1"/>
  <c r="P810" i="6" s="1"/>
  <c r="Q810" i="6" s="1"/>
  <c r="L809" i="6"/>
  <c r="N809" i="6" s="1"/>
  <c r="O809" i="6" s="1"/>
  <c r="Q809" i="6" s="1"/>
  <c r="L808" i="6"/>
  <c r="N808" i="6" s="1"/>
  <c r="P808" i="6" s="1"/>
  <c r="Q808" i="6" s="1"/>
  <c r="L807" i="6"/>
  <c r="N807" i="6" s="1"/>
  <c r="P807" i="6" s="1"/>
  <c r="Q807" i="6" s="1"/>
  <c r="L806" i="6"/>
  <c r="N806" i="6" s="1"/>
  <c r="P806" i="6" s="1"/>
  <c r="Q806" i="6" s="1"/>
  <c r="L805" i="6"/>
  <c r="N805" i="6" s="1"/>
  <c r="O805" i="6" s="1"/>
  <c r="Q805" i="6" s="1"/>
  <c r="L804" i="6"/>
  <c r="N804" i="6" s="1"/>
  <c r="O804" i="6" s="1"/>
  <c r="Q804" i="6" s="1"/>
  <c r="L803" i="6"/>
  <c r="N803" i="6" s="1"/>
  <c r="P803" i="6" s="1"/>
  <c r="Q803" i="6" s="1"/>
  <c r="L778" i="6"/>
  <c r="N778" i="6" s="1"/>
  <c r="P778" i="6" s="1"/>
  <c r="Q778" i="6" s="1"/>
  <c r="L777" i="6"/>
  <c r="N777" i="6" s="1"/>
  <c r="P777" i="6" s="1"/>
  <c r="Q777" i="6" s="1"/>
  <c r="L776" i="6"/>
  <c r="N776" i="6" s="1"/>
  <c r="O776" i="6" s="1"/>
  <c r="Q776" i="6" s="1"/>
  <c r="L765" i="6"/>
  <c r="N765" i="6" s="1"/>
  <c r="P765" i="6" s="1"/>
  <c r="Q765" i="6" s="1"/>
  <c r="L764" i="6"/>
  <c r="N764" i="6" s="1"/>
  <c r="O764" i="6" s="1"/>
  <c r="Q764" i="6" s="1"/>
  <c r="L763" i="6"/>
  <c r="N763" i="6" s="1"/>
  <c r="P763" i="6" s="1"/>
  <c r="Q763" i="6" s="1"/>
  <c r="L762" i="6"/>
  <c r="N762" i="6" s="1"/>
  <c r="O762" i="6" s="1"/>
  <c r="Q762" i="6" s="1"/>
  <c r="L749" i="6"/>
  <c r="N749" i="6" s="1"/>
  <c r="P749" i="6" s="1"/>
  <c r="Q749" i="6" s="1"/>
  <c r="L748" i="6"/>
  <c r="N748" i="6" s="1"/>
  <c r="P748" i="6" s="1"/>
  <c r="Q748" i="6" s="1"/>
  <c r="L747" i="6"/>
  <c r="N747" i="6" s="1"/>
  <c r="P747" i="6" s="1"/>
  <c r="Q747" i="6" s="1"/>
  <c r="L743" i="6"/>
  <c r="N743" i="6" s="1"/>
  <c r="O743" i="6" s="1"/>
  <c r="Q743" i="6" s="1"/>
  <c r="L742" i="6"/>
  <c r="N742" i="6" s="1"/>
  <c r="P742" i="6" s="1"/>
  <c r="Q742" i="6" s="1"/>
  <c r="L741" i="6"/>
  <c r="N741" i="6" s="1"/>
  <c r="P741" i="6" s="1"/>
  <c r="Q741" i="6" s="1"/>
  <c r="L740" i="6"/>
  <c r="N740" i="6" s="1"/>
  <c r="O740" i="6" s="1"/>
  <c r="Q740" i="6" s="1"/>
  <c r="L731" i="6"/>
  <c r="N731" i="6" s="1"/>
  <c r="P731" i="6" s="1"/>
  <c r="Q731" i="6" s="1"/>
  <c r="L730" i="6"/>
  <c r="N730" i="6" s="1"/>
  <c r="O730" i="6" s="1"/>
  <c r="Q730" i="6" s="1"/>
  <c r="L729" i="6"/>
  <c r="N729" i="6" s="1"/>
  <c r="P729" i="6" s="1"/>
  <c r="Q729" i="6" s="1"/>
  <c r="L728" i="6"/>
  <c r="N728" i="6" s="1"/>
  <c r="O728" i="6" s="1"/>
  <c r="Q728" i="6" s="1"/>
  <c r="L727" i="6"/>
  <c r="N727" i="6" s="1"/>
  <c r="P727" i="6" s="1"/>
  <c r="Q727" i="6" s="1"/>
  <c r="L723" i="6"/>
  <c r="N723" i="6" s="1"/>
  <c r="P723" i="6" s="1"/>
  <c r="Q723" i="6" s="1"/>
  <c r="L722" i="6"/>
  <c r="N722" i="6" s="1"/>
  <c r="P722" i="6" s="1"/>
  <c r="Q722" i="6" s="1"/>
  <c r="L721" i="6"/>
  <c r="N721" i="6" s="1"/>
  <c r="O721" i="6" s="1"/>
  <c r="Q721" i="6" s="1"/>
  <c r="L720" i="6"/>
  <c r="N720" i="6" s="1"/>
  <c r="O720" i="6" s="1"/>
  <c r="Q720" i="6" s="1"/>
  <c r="L719" i="6"/>
  <c r="N719" i="6" s="1"/>
  <c r="P719" i="6" s="1"/>
  <c r="Q719" i="6" s="1"/>
  <c r="L718" i="6"/>
  <c r="N718" i="6" s="1"/>
  <c r="P718" i="6" s="1"/>
  <c r="Q718" i="6" s="1"/>
  <c r="L717" i="6"/>
  <c r="N717" i="6" s="1"/>
  <c r="O717" i="6" s="1"/>
  <c r="Q717" i="6" s="1"/>
  <c r="L695" i="6"/>
  <c r="N695" i="6" s="1"/>
  <c r="P695" i="6" s="1"/>
  <c r="Q695" i="6" s="1"/>
  <c r="L690" i="6"/>
  <c r="N690" i="6" s="1"/>
  <c r="P690" i="6" s="1"/>
  <c r="Q690" i="6" s="1"/>
  <c r="L689" i="6"/>
  <c r="N689" i="6" s="1"/>
  <c r="P689" i="6" s="1"/>
  <c r="Q689" i="6" s="1"/>
  <c r="L688" i="6"/>
  <c r="N688" i="6" s="1"/>
  <c r="O688" i="6" s="1"/>
  <c r="Q688" i="6" s="1"/>
  <c r="L679" i="6"/>
  <c r="N679" i="6" s="1"/>
  <c r="O679" i="6" s="1"/>
  <c r="Q679" i="6" s="1"/>
  <c r="L678" i="6"/>
  <c r="N678" i="6" s="1"/>
  <c r="P678" i="6" s="1"/>
  <c r="Q678" i="6" s="1"/>
  <c r="L675" i="6"/>
  <c r="N675" i="6" s="1"/>
  <c r="P675" i="6" s="1"/>
  <c r="Q675" i="6" s="1"/>
  <c r="L674" i="6"/>
  <c r="N674" i="6" s="1"/>
  <c r="O674" i="6" s="1"/>
  <c r="Q674" i="6" s="1"/>
  <c r="L673" i="6"/>
  <c r="N673" i="6" s="1"/>
  <c r="P673" i="6" s="1"/>
  <c r="Q673" i="6" s="1"/>
  <c r="L672" i="6"/>
  <c r="N672" i="6" s="1"/>
  <c r="O672" i="6" s="1"/>
  <c r="Q672" i="6" s="1"/>
  <c r="L671" i="6"/>
  <c r="N671" i="6" s="1"/>
  <c r="P671" i="6" s="1"/>
  <c r="Q671" i="6" s="1"/>
  <c r="L670" i="6"/>
  <c r="N670" i="6" s="1"/>
  <c r="O670" i="6" s="1"/>
  <c r="Q670" i="6" s="1"/>
  <c r="L669" i="6"/>
  <c r="N669" i="6" s="1"/>
  <c r="P669" i="6" s="1"/>
  <c r="Q669" i="6" s="1"/>
  <c r="L633" i="6"/>
  <c r="N633" i="6" s="1"/>
  <c r="P633" i="6" s="1"/>
  <c r="Q633" i="6" s="1"/>
  <c r="L632" i="6"/>
  <c r="N632" i="6" s="1"/>
  <c r="P632" i="6" s="1"/>
  <c r="Q632" i="6" s="1"/>
  <c r="L631" i="6"/>
  <c r="N631" i="6" s="1"/>
  <c r="P631" i="6" s="1"/>
  <c r="Q631" i="6" s="1"/>
  <c r="L630" i="6"/>
  <c r="N630" i="6" s="1"/>
  <c r="O630" i="6" s="1"/>
  <c r="Q630" i="6" s="1"/>
  <c r="L629" i="6"/>
  <c r="N629" i="6" s="1"/>
  <c r="P629" i="6" s="1"/>
  <c r="Q629" i="6" s="1"/>
  <c r="L628" i="6"/>
  <c r="N628" i="6" s="1"/>
  <c r="P628" i="6" s="1"/>
  <c r="Q628" i="6" s="1"/>
  <c r="L627" i="6"/>
  <c r="N627" i="6" s="1"/>
  <c r="P627" i="6" s="1"/>
  <c r="Q627" i="6" s="1"/>
  <c r="L619" i="6"/>
  <c r="N619" i="6" s="1"/>
  <c r="P619" i="6" s="1"/>
  <c r="Q619" i="6" s="1"/>
  <c r="L618" i="6"/>
  <c r="N618" i="6" s="1"/>
  <c r="P618" i="6" s="1"/>
  <c r="Q618" i="6" s="1"/>
  <c r="L617" i="6"/>
  <c r="N617" i="6" s="1"/>
  <c r="P617" i="6" s="1"/>
  <c r="Q617" i="6" s="1"/>
  <c r="L616" i="6"/>
  <c r="N616" i="6" s="1"/>
  <c r="P616" i="6" s="1"/>
  <c r="Q616" i="6" s="1"/>
  <c r="L615" i="6"/>
  <c r="N615" i="6" s="1"/>
  <c r="O615" i="6" s="1"/>
  <c r="L606" i="6"/>
  <c r="N606" i="6" s="1"/>
  <c r="P606" i="6" s="1"/>
  <c r="Q606" i="6" s="1"/>
  <c r="L605" i="6"/>
  <c r="N605" i="6" s="1"/>
  <c r="P605" i="6" s="1"/>
  <c r="Q605" i="6" s="1"/>
  <c r="L604" i="6"/>
  <c r="N604" i="6" s="1"/>
  <c r="P604" i="6" s="1"/>
  <c r="Q604" i="6" s="1"/>
  <c r="L603" i="6"/>
  <c r="N603" i="6" s="1"/>
  <c r="P603" i="6" s="1"/>
  <c r="Q603" i="6" s="1"/>
  <c r="L602" i="6"/>
  <c r="N602" i="6" s="1"/>
  <c r="P602" i="6" s="1"/>
  <c r="Q602" i="6" s="1"/>
  <c r="L601" i="6"/>
  <c r="N601" i="6" s="1"/>
  <c r="P601" i="6" s="1"/>
  <c r="Q601" i="6" s="1"/>
  <c r="L600" i="6"/>
  <c r="N600" i="6" s="1"/>
  <c r="O600" i="6" s="1"/>
  <c r="Q600" i="6" s="1"/>
  <c r="L599" i="6"/>
  <c r="N599" i="6" s="1"/>
  <c r="O599" i="6" s="1"/>
  <c r="Q599" i="6" s="1"/>
  <c r="L598" i="6"/>
  <c r="N598" i="6" s="1"/>
  <c r="P598" i="6" s="1"/>
  <c r="Q598" i="6" s="1"/>
  <c r="L597" i="6"/>
  <c r="N597" i="6" s="1"/>
  <c r="O597" i="6" s="1"/>
  <c r="Q597" i="6" s="1"/>
  <c r="L596" i="6"/>
  <c r="N596" i="6" s="1"/>
  <c r="P596" i="6" s="1"/>
  <c r="Q596" i="6" s="1"/>
  <c r="L595" i="6"/>
  <c r="N595" i="6" s="1"/>
  <c r="O595" i="6" s="1"/>
  <c r="Q595" i="6" s="1"/>
  <c r="L594" i="6"/>
  <c r="N594" i="6" s="1"/>
  <c r="O594" i="6" s="1"/>
  <c r="Q594" i="6" s="1"/>
  <c r="L593" i="6"/>
  <c r="N593" i="6" s="1"/>
  <c r="P593" i="6" s="1"/>
  <c r="Q593" i="6" s="1"/>
  <c r="L592" i="6"/>
  <c r="N592" i="6" s="1"/>
  <c r="O592" i="6" s="1"/>
  <c r="Q592" i="6" s="1"/>
  <c r="L591" i="6"/>
  <c r="N591" i="6" s="1"/>
  <c r="P591" i="6" s="1"/>
  <c r="Q591" i="6" s="1"/>
  <c r="L590" i="6"/>
  <c r="N590" i="6" s="1"/>
  <c r="P590" i="6" s="1"/>
  <c r="Q590" i="6" s="1"/>
  <c r="L589" i="6"/>
  <c r="N589" i="6" s="1"/>
  <c r="O589" i="6" s="1"/>
  <c r="Q589" i="6" s="1"/>
  <c r="L588" i="6"/>
  <c r="N588" i="6" s="1"/>
  <c r="O588" i="6" s="1"/>
  <c r="Q588" i="6" s="1"/>
  <c r="L587" i="6"/>
  <c r="N587" i="6" s="1"/>
  <c r="P587" i="6" s="1"/>
  <c r="Q587" i="6" s="1"/>
  <c r="L569" i="6"/>
  <c r="N569" i="6" s="1"/>
  <c r="P569" i="6" s="1"/>
  <c r="Q569" i="6" s="1"/>
  <c r="L568" i="6"/>
  <c r="N568" i="6" s="1"/>
  <c r="P568" i="6" s="1"/>
  <c r="Q568" i="6" s="1"/>
  <c r="L567" i="6"/>
  <c r="N567" i="6" s="1"/>
  <c r="O567" i="6" s="1"/>
  <c r="Q567" i="6" s="1"/>
  <c r="L566" i="6"/>
  <c r="N566" i="6" s="1"/>
  <c r="O566" i="6" s="1"/>
  <c r="Q566" i="6" s="1"/>
  <c r="L565" i="6"/>
  <c r="N565" i="6" s="1"/>
  <c r="P565" i="6" s="1"/>
  <c r="Q565" i="6" s="1"/>
  <c r="L564" i="6"/>
  <c r="N564" i="6" s="1"/>
  <c r="O564" i="6" s="1"/>
  <c r="Q564" i="6" s="1"/>
  <c r="L563" i="6"/>
  <c r="N563" i="6" s="1"/>
  <c r="O563" i="6" s="1"/>
  <c r="Q563" i="6" s="1"/>
  <c r="L562" i="6"/>
  <c r="N562" i="6" s="1"/>
  <c r="P562" i="6" s="1"/>
  <c r="Q562" i="6" s="1"/>
  <c r="L561" i="6"/>
  <c r="N561" i="6" s="1"/>
  <c r="O561" i="6" s="1"/>
  <c r="Q561" i="6" s="1"/>
  <c r="L560" i="6"/>
  <c r="N560" i="6" s="1"/>
  <c r="P560" i="6" s="1"/>
  <c r="Q560" i="6" s="1"/>
  <c r="L559" i="6"/>
  <c r="N559" i="6" s="1"/>
  <c r="O559" i="6" s="1"/>
  <c r="Q559" i="6" s="1"/>
  <c r="L558" i="6"/>
  <c r="N558" i="6" s="1"/>
  <c r="O558" i="6" s="1"/>
  <c r="Q558" i="6" s="1"/>
  <c r="L557" i="6"/>
  <c r="N557" i="6" s="1"/>
  <c r="P557" i="6" s="1"/>
  <c r="Q557" i="6" s="1"/>
  <c r="L556" i="6"/>
  <c r="N556" i="6" s="1"/>
  <c r="P556" i="6" s="1"/>
  <c r="Q556" i="6" s="1"/>
  <c r="L555" i="6"/>
  <c r="N555" i="6" s="1"/>
  <c r="P555" i="6" s="1"/>
  <c r="Q555" i="6" s="1"/>
  <c r="L554" i="6"/>
  <c r="N554" i="6" s="1"/>
  <c r="P554" i="6" s="1"/>
  <c r="Q554" i="6" s="1"/>
  <c r="L553" i="6"/>
  <c r="N553" i="6" s="1"/>
  <c r="P553" i="6" s="1"/>
  <c r="Q553" i="6" s="1"/>
  <c r="L552" i="6"/>
  <c r="N552" i="6" s="1"/>
  <c r="P552" i="6" s="1"/>
  <c r="Q552" i="6" s="1"/>
  <c r="L551" i="6"/>
  <c r="N551" i="6" s="1"/>
  <c r="P551" i="6" s="1"/>
  <c r="Q551" i="6" s="1"/>
  <c r="L550" i="6"/>
  <c r="N550" i="6" s="1"/>
  <c r="P550" i="6" s="1"/>
  <c r="Q550" i="6" s="1"/>
  <c r="L549" i="6"/>
  <c r="N549" i="6" s="1"/>
  <c r="P549" i="6" s="1"/>
  <c r="Q549" i="6" s="1"/>
  <c r="L548" i="6"/>
  <c r="N548" i="6" s="1"/>
  <c r="P548" i="6" s="1"/>
  <c r="Q548" i="6" s="1"/>
  <c r="L547" i="6"/>
  <c r="N547" i="6" s="1"/>
  <c r="P547" i="6" s="1"/>
  <c r="Q547" i="6" s="1"/>
  <c r="L546" i="6"/>
  <c r="N546" i="6" s="1"/>
  <c r="O546" i="6" s="1"/>
  <c r="Q546" i="6" s="1"/>
  <c r="L529" i="6"/>
  <c r="N529" i="6" s="1"/>
  <c r="P529" i="6" s="1"/>
  <c r="Q529" i="6" s="1"/>
  <c r="L528" i="6"/>
  <c r="N528" i="6" s="1"/>
  <c r="P528" i="6" s="1"/>
  <c r="Q528" i="6" s="1"/>
  <c r="L527" i="6"/>
  <c r="N527" i="6" s="1"/>
  <c r="P527" i="6" s="1"/>
  <c r="Q527" i="6" s="1"/>
  <c r="L526" i="6"/>
  <c r="N526" i="6" s="1"/>
  <c r="P526" i="6" s="1"/>
  <c r="Q526" i="6" s="1"/>
  <c r="L525" i="6"/>
  <c r="N525" i="6" s="1"/>
  <c r="P525" i="6" s="1"/>
  <c r="Q525" i="6" s="1"/>
  <c r="L524" i="6"/>
  <c r="N524" i="6" s="1"/>
  <c r="P524" i="6" s="1"/>
  <c r="Q524" i="6" s="1"/>
  <c r="L523" i="6"/>
  <c r="N523" i="6" s="1"/>
  <c r="P523" i="6" s="1"/>
  <c r="Q523" i="6" s="1"/>
  <c r="L522" i="6"/>
  <c r="N522" i="6" s="1"/>
  <c r="P522" i="6" s="1"/>
  <c r="Q522" i="6" s="1"/>
  <c r="L521" i="6"/>
  <c r="N521" i="6" s="1"/>
  <c r="P521" i="6" s="1"/>
  <c r="Q521" i="6" s="1"/>
  <c r="L520" i="6"/>
  <c r="N520" i="6" s="1"/>
  <c r="P520" i="6" s="1"/>
  <c r="Q520" i="6" s="1"/>
  <c r="L519" i="6"/>
  <c r="N519" i="6" s="1"/>
  <c r="P519" i="6" s="1"/>
  <c r="Q519" i="6" s="1"/>
  <c r="L518" i="6"/>
  <c r="N518" i="6" s="1"/>
  <c r="O518" i="6" s="1"/>
  <c r="L517" i="6"/>
  <c r="N517" i="6" s="1"/>
  <c r="P517" i="6" s="1"/>
  <c r="Q517" i="6" s="1"/>
  <c r="L516" i="6"/>
  <c r="N516" i="6" s="1"/>
  <c r="P516" i="6" s="1"/>
  <c r="Q516" i="6" s="1"/>
  <c r="L515" i="6"/>
  <c r="N515" i="6" s="1"/>
  <c r="P515" i="6" s="1"/>
  <c r="Q515" i="6" s="1"/>
  <c r="L514" i="6"/>
  <c r="N514" i="6" s="1"/>
  <c r="P514" i="6" s="1"/>
  <c r="Q514" i="6" s="1"/>
  <c r="L513" i="6"/>
  <c r="N513" i="6" s="1"/>
  <c r="P513" i="6" s="1"/>
  <c r="Q513" i="6" s="1"/>
  <c r="L512" i="6"/>
  <c r="N512" i="6" s="1"/>
  <c r="P512" i="6" s="1"/>
  <c r="Q512" i="6" s="1"/>
  <c r="L511" i="6"/>
  <c r="N511" i="6" s="1"/>
  <c r="P511" i="6" s="1"/>
  <c r="Q511" i="6" s="1"/>
  <c r="L466" i="6"/>
  <c r="N466" i="6" s="1"/>
  <c r="P466" i="6" s="1"/>
  <c r="Q466" i="6" s="1"/>
  <c r="L465" i="6"/>
  <c r="N465" i="6" s="1"/>
  <c r="O465" i="6" s="1"/>
  <c r="Q465" i="6" s="1"/>
  <c r="L464" i="6"/>
  <c r="N464" i="6" s="1"/>
  <c r="O464" i="6" s="1"/>
  <c r="Q464" i="6" s="1"/>
  <c r="L463" i="6"/>
  <c r="N463" i="6" s="1"/>
  <c r="P463" i="6" s="1"/>
  <c r="Q463" i="6" s="1"/>
  <c r="L462" i="6"/>
  <c r="N462" i="6" s="1"/>
  <c r="P462" i="6" s="1"/>
  <c r="Q462" i="6" s="1"/>
  <c r="L461" i="6"/>
  <c r="N461" i="6" s="1"/>
  <c r="O461" i="6" s="1"/>
  <c r="Q461" i="6" s="1"/>
  <c r="L460" i="6"/>
  <c r="N460" i="6" s="1"/>
  <c r="P460" i="6" s="1"/>
  <c r="Q460" i="6" s="1"/>
  <c r="L459" i="6"/>
  <c r="N459" i="6" s="1"/>
  <c r="P459" i="6" s="1"/>
  <c r="Q459" i="6" s="1"/>
  <c r="L458" i="6"/>
  <c r="N458" i="6" s="1"/>
  <c r="P458" i="6" s="1"/>
  <c r="L457" i="6"/>
  <c r="N457" i="6" s="1"/>
  <c r="P457" i="6" s="1"/>
  <c r="Q457" i="6" s="1"/>
  <c r="L456" i="6"/>
  <c r="N456" i="6" s="1"/>
  <c r="P456" i="6" s="1"/>
  <c r="Q456" i="6" s="1"/>
  <c r="L455" i="6"/>
  <c r="N455" i="6" s="1"/>
  <c r="O455" i="6" s="1"/>
  <c r="Q455" i="6" s="1"/>
  <c r="L454" i="6"/>
  <c r="N454" i="6" s="1"/>
  <c r="P454" i="6" s="1"/>
  <c r="Q454" i="6" s="1"/>
  <c r="L453" i="6"/>
  <c r="N453" i="6" s="1"/>
  <c r="P453" i="6" s="1"/>
  <c r="Q453" i="6" s="1"/>
  <c r="L452" i="6"/>
  <c r="N452" i="6" s="1"/>
  <c r="O452" i="6" s="1"/>
  <c r="Q452" i="6" s="1"/>
  <c r="L451" i="6"/>
  <c r="N451" i="6" s="1"/>
  <c r="P451" i="6" s="1"/>
  <c r="Q451" i="6" s="1"/>
  <c r="L450" i="6"/>
  <c r="N450" i="6" s="1"/>
  <c r="P450" i="6" s="1"/>
  <c r="Q450" i="6" s="1"/>
  <c r="L424" i="6"/>
  <c r="N424" i="6" s="1"/>
  <c r="P424" i="6" s="1"/>
  <c r="Q424" i="6" s="1"/>
  <c r="L420" i="6"/>
  <c r="N420" i="6" s="1"/>
  <c r="P420" i="6" s="1"/>
  <c r="Q420" i="6" s="1"/>
  <c r="L419" i="6"/>
  <c r="N419" i="6" s="1"/>
  <c r="P419" i="6" s="1"/>
  <c r="Q419" i="6" s="1"/>
  <c r="L418" i="6"/>
  <c r="N418" i="6" s="1"/>
  <c r="P418" i="6" s="1"/>
  <c r="Q418" i="6" s="1"/>
  <c r="L417" i="6"/>
  <c r="N417" i="6" s="1"/>
  <c r="P417" i="6" s="1"/>
  <c r="Q417" i="6" s="1"/>
  <c r="L416" i="6"/>
  <c r="N416" i="6" s="1"/>
  <c r="O416" i="6" s="1"/>
  <c r="Q416" i="6" s="1"/>
  <c r="L415" i="6"/>
  <c r="N415" i="6" s="1"/>
  <c r="P415" i="6" s="1"/>
  <c r="Q415" i="6" s="1"/>
  <c r="L414" i="6"/>
  <c r="N414" i="6" s="1"/>
  <c r="P414" i="6" s="1"/>
  <c r="Q414" i="6" s="1"/>
  <c r="L413" i="6"/>
  <c r="N413" i="6" s="1"/>
  <c r="P413" i="6" s="1"/>
  <c r="Q413" i="6" s="1"/>
  <c r="L412" i="6"/>
  <c r="N412" i="6" s="1"/>
  <c r="P412" i="6" s="1"/>
  <c r="Q412" i="6" s="1"/>
  <c r="L411" i="6"/>
  <c r="N411" i="6" s="1"/>
  <c r="O411" i="6" s="1"/>
  <c r="Q411" i="6" s="1"/>
  <c r="L410" i="6"/>
  <c r="N410" i="6" s="1"/>
  <c r="O410" i="6" s="1"/>
  <c r="Q410" i="6" s="1"/>
  <c r="L409" i="6"/>
  <c r="N409" i="6" s="1"/>
  <c r="P409" i="6" s="1"/>
  <c r="Q409" i="6" s="1"/>
  <c r="L408" i="6"/>
  <c r="N408" i="6" s="1"/>
  <c r="P408" i="6" s="1"/>
  <c r="Q408" i="6" s="1"/>
  <c r="L407" i="6"/>
  <c r="N407" i="6" s="1"/>
  <c r="P407" i="6" s="1"/>
  <c r="Q407" i="6" s="1"/>
  <c r="L406" i="6"/>
  <c r="N406" i="6" s="1"/>
  <c r="P406" i="6" s="1"/>
  <c r="L405" i="6"/>
  <c r="N405" i="6" s="1"/>
  <c r="O405" i="6" s="1"/>
  <c r="Q405" i="6" s="1"/>
  <c r="L404" i="6"/>
  <c r="N404" i="6" s="1"/>
  <c r="P404" i="6" s="1"/>
  <c r="Q404" i="6" s="1"/>
  <c r="L403" i="6"/>
  <c r="N403" i="6" s="1"/>
  <c r="P403" i="6" s="1"/>
  <c r="Q403" i="6" s="1"/>
  <c r="L402" i="6"/>
  <c r="N402" i="6" s="1"/>
  <c r="P402" i="6" s="1"/>
  <c r="Q402" i="6" s="1"/>
  <c r="L401" i="6"/>
  <c r="N401" i="6" s="1"/>
  <c r="P401" i="6" s="1"/>
  <c r="Q401" i="6" s="1"/>
  <c r="L400" i="6"/>
  <c r="N400" i="6" s="1"/>
  <c r="P400" i="6" s="1"/>
  <c r="Q400" i="6" s="1"/>
  <c r="L378" i="6"/>
  <c r="N378" i="6" s="1"/>
  <c r="P378" i="6" s="1"/>
  <c r="Q378" i="6" s="1"/>
  <c r="L377" i="6"/>
  <c r="N377" i="6" s="1"/>
  <c r="P377" i="6" s="1"/>
  <c r="Q377" i="6" s="1"/>
  <c r="L376" i="6"/>
  <c r="N376" i="6" s="1"/>
  <c r="O376" i="6" s="1"/>
  <c r="Q376" i="6" s="1"/>
  <c r="L375" i="6"/>
  <c r="N375" i="6" s="1"/>
  <c r="P375" i="6" s="1"/>
  <c r="Q375" i="6" s="1"/>
  <c r="L374" i="6"/>
  <c r="N374" i="6" s="1"/>
  <c r="O374" i="6" s="1"/>
  <c r="Q374" i="6" s="1"/>
  <c r="L373" i="6"/>
  <c r="N373" i="6" s="1"/>
  <c r="P373" i="6" s="1"/>
  <c r="Q373" i="6" s="1"/>
  <c r="L372" i="6"/>
  <c r="N372" i="6" s="1"/>
  <c r="P372" i="6" s="1"/>
  <c r="Q372" i="6" s="1"/>
  <c r="L371" i="6"/>
  <c r="N371" i="6" s="1"/>
  <c r="O371" i="6" s="1"/>
  <c r="Q371" i="6" s="1"/>
  <c r="L370" i="6"/>
  <c r="N370" i="6" s="1"/>
  <c r="P370" i="6" s="1"/>
  <c r="Q370" i="6" s="1"/>
  <c r="L369" i="6"/>
  <c r="N369" i="6" s="1"/>
  <c r="O369" i="6" s="1"/>
  <c r="Q369" i="6" s="1"/>
  <c r="L368" i="6"/>
  <c r="N368" i="6" s="1"/>
  <c r="O368" i="6" s="1"/>
  <c r="Q368" i="6" s="1"/>
  <c r="L367" i="6"/>
  <c r="N367" i="6" s="1"/>
  <c r="P367" i="6" s="1"/>
  <c r="Q367" i="6" s="1"/>
  <c r="L366" i="6"/>
  <c r="N366" i="6" s="1"/>
  <c r="O366" i="6" s="1"/>
  <c r="Q366" i="6" s="1"/>
  <c r="L365" i="6"/>
  <c r="N365" i="6" s="1"/>
  <c r="O365" i="6" s="1"/>
  <c r="Q365" i="6" s="1"/>
  <c r="L357" i="6"/>
  <c r="N357" i="6" s="1"/>
  <c r="O357" i="6" s="1"/>
  <c r="L356" i="6"/>
  <c r="N356" i="6" s="1"/>
  <c r="P356" i="6" s="1"/>
  <c r="Q356" i="6" s="1"/>
  <c r="L349" i="6"/>
  <c r="N349" i="6" s="1"/>
  <c r="P349" i="6" s="1"/>
  <c r="Q349" i="6" s="1"/>
  <c r="L348" i="6"/>
  <c r="N348" i="6" s="1"/>
  <c r="P348" i="6" s="1"/>
  <c r="Q348" i="6" s="1"/>
  <c r="L347" i="6"/>
  <c r="N347" i="6" s="1"/>
  <c r="P347" i="6" s="1"/>
  <c r="Q347" i="6" s="1"/>
  <c r="L346" i="6"/>
  <c r="N346" i="6" s="1"/>
  <c r="O346" i="6" s="1"/>
  <c r="L345" i="6"/>
  <c r="N345" i="6" s="1"/>
  <c r="P345" i="6" s="1"/>
  <c r="Q345" i="6" s="1"/>
  <c r="L344" i="6"/>
  <c r="N344" i="6" s="1"/>
  <c r="P344" i="6" s="1"/>
  <c r="Q344" i="6" s="1"/>
  <c r="L343" i="6"/>
  <c r="N343" i="6" s="1"/>
  <c r="P343" i="6" s="1"/>
  <c r="Q343" i="6" s="1"/>
  <c r="L342" i="6"/>
  <c r="N342" i="6" s="1"/>
  <c r="O342" i="6" s="1"/>
  <c r="Q342" i="6" s="1"/>
  <c r="L341" i="6"/>
  <c r="N341" i="6" s="1"/>
  <c r="P341" i="6" s="1"/>
  <c r="Q341" i="6" s="1"/>
  <c r="L332" i="6"/>
  <c r="N332" i="6" s="1"/>
  <c r="P332" i="6" s="1"/>
  <c r="Q332" i="6" s="1"/>
  <c r="L331" i="6"/>
  <c r="N331" i="6" s="1"/>
  <c r="P331" i="6" s="1"/>
  <c r="Q331" i="6" s="1"/>
  <c r="L330" i="6"/>
  <c r="N330" i="6" s="1"/>
  <c r="P330" i="6" s="1"/>
  <c r="Q330" i="6" s="1"/>
  <c r="L329" i="6"/>
  <c r="N329" i="6" s="1"/>
  <c r="P329" i="6" s="1"/>
  <c r="Q329" i="6" s="1"/>
  <c r="L328" i="6"/>
  <c r="N328" i="6" s="1"/>
  <c r="P328" i="6" s="1"/>
  <c r="Q328" i="6" s="1"/>
  <c r="L324" i="6"/>
  <c r="N324" i="6" s="1"/>
  <c r="O324" i="6" s="1"/>
  <c r="Q324" i="6" s="1"/>
  <c r="L323" i="6"/>
  <c r="N323" i="6" s="1"/>
  <c r="P323" i="6" s="1"/>
  <c r="Q323" i="6" s="1"/>
  <c r="L322" i="6"/>
  <c r="N322" i="6" s="1"/>
  <c r="P322" i="6" s="1"/>
  <c r="Q322" i="6" s="1"/>
  <c r="L321" i="6"/>
  <c r="N321" i="6" s="1"/>
  <c r="P321" i="6" s="1"/>
  <c r="Q321" i="6" s="1"/>
  <c r="L320" i="6"/>
  <c r="N320" i="6" s="1"/>
  <c r="P320" i="6" s="1"/>
  <c r="Q320" i="6" s="1"/>
  <c r="L319" i="6"/>
  <c r="N319" i="6" s="1"/>
  <c r="P319" i="6" s="1"/>
  <c r="L312" i="6"/>
  <c r="N312" i="6" s="1"/>
  <c r="P312" i="6" s="1"/>
  <c r="Q312" i="6" s="1"/>
  <c r="L311" i="6"/>
  <c r="N311" i="6" s="1"/>
  <c r="O311" i="6" s="1"/>
  <c r="Q311" i="6" s="1"/>
  <c r="L310" i="6"/>
  <c r="N310" i="6" s="1"/>
  <c r="O310" i="6" s="1"/>
  <c r="Q310" i="6" s="1"/>
  <c r="L309" i="6"/>
  <c r="N309" i="6" s="1"/>
  <c r="P309" i="6" s="1"/>
  <c r="Q309" i="6" s="1"/>
  <c r="L308" i="6"/>
  <c r="N308" i="6" s="1"/>
  <c r="P308" i="6" s="1"/>
  <c r="Q308" i="6" s="1"/>
  <c r="L307" i="6"/>
  <c r="N307" i="6" s="1"/>
  <c r="P307" i="6" s="1"/>
  <c r="Q307" i="6" s="1"/>
  <c r="L306" i="6"/>
  <c r="N306" i="6" s="1"/>
  <c r="P306" i="6" s="1"/>
  <c r="Q306" i="6" s="1"/>
  <c r="L305" i="6"/>
  <c r="N305" i="6" s="1"/>
  <c r="P305" i="6" s="1"/>
  <c r="Q305" i="6" s="1"/>
  <c r="L304" i="6"/>
  <c r="N304" i="6" s="1"/>
  <c r="P304" i="6" s="1"/>
  <c r="Q304" i="6" s="1"/>
  <c r="L298" i="6"/>
  <c r="N298" i="6" s="1"/>
  <c r="P298" i="6" s="1"/>
  <c r="Q298" i="6" s="1"/>
  <c r="L292" i="6"/>
  <c r="N292" i="6" s="1"/>
  <c r="P292" i="6" s="1"/>
  <c r="Q292" i="6" s="1"/>
  <c r="L291" i="6"/>
  <c r="N291" i="6" s="1"/>
  <c r="P291" i="6" s="1"/>
  <c r="Q291" i="6" s="1"/>
  <c r="L290" i="6"/>
  <c r="N290" i="6" s="1"/>
  <c r="O290" i="6" s="1"/>
  <c r="Q290" i="6" s="1"/>
  <c r="L289" i="6"/>
  <c r="N289" i="6" s="1"/>
  <c r="P289" i="6" s="1"/>
  <c r="Q289" i="6" s="1"/>
  <c r="L288" i="6"/>
  <c r="N288" i="6" s="1"/>
  <c r="O288" i="6" s="1"/>
  <c r="Q288" i="6" s="1"/>
  <c r="L270" i="6"/>
  <c r="N270" i="6" s="1"/>
  <c r="O270" i="6" s="1"/>
  <c r="Q270" i="6" s="1"/>
  <c r="L269" i="6"/>
  <c r="N269" i="6" s="1"/>
  <c r="P269" i="6" s="1"/>
  <c r="Q269" i="6" s="1"/>
  <c r="L268" i="6"/>
  <c r="N268" i="6" s="1"/>
  <c r="P268" i="6" s="1"/>
  <c r="Q268" i="6" s="1"/>
  <c r="L267" i="6"/>
  <c r="N267" i="6" s="1"/>
  <c r="P267" i="6" s="1"/>
  <c r="Q267" i="6" s="1"/>
  <c r="L266" i="6"/>
  <c r="N266" i="6" s="1"/>
  <c r="P266" i="6" s="1"/>
  <c r="Q266" i="6" s="1"/>
  <c r="L257" i="6"/>
  <c r="N257" i="6" s="1"/>
  <c r="P257" i="6" s="1"/>
  <c r="Q257" i="6" s="1"/>
  <c r="L255" i="6"/>
  <c r="N255" i="6" s="1"/>
  <c r="P255" i="6" s="1"/>
  <c r="Q255" i="6" s="1"/>
  <c r="L254" i="6"/>
  <c r="N254" i="6" s="1"/>
  <c r="O254" i="6" s="1"/>
  <c r="Q254" i="6" s="1"/>
  <c r="L253" i="6"/>
  <c r="N253" i="6" s="1"/>
  <c r="O253" i="6" s="1"/>
  <c r="Q253" i="6" s="1"/>
  <c r="L252" i="6"/>
  <c r="N252" i="6" s="1"/>
  <c r="O252" i="6" s="1"/>
  <c r="Q252" i="6" s="1"/>
  <c r="L247" i="6"/>
  <c r="N247" i="6" s="1"/>
  <c r="P247" i="6" s="1"/>
  <c r="Q247" i="6" s="1"/>
  <c r="L246" i="6"/>
  <c r="N246" i="6" s="1"/>
  <c r="P246" i="6" s="1"/>
  <c r="Q246" i="6" s="1"/>
  <c r="L245" i="6"/>
  <c r="N245" i="6" s="1"/>
  <c r="O245" i="6" s="1"/>
  <c r="Q245" i="6" s="1"/>
  <c r="L244" i="6"/>
  <c r="N244" i="6" s="1"/>
  <c r="P244" i="6" s="1"/>
  <c r="Q244" i="6" s="1"/>
  <c r="L243" i="6"/>
  <c r="N243" i="6" s="1"/>
  <c r="P243" i="6" s="1"/>
  <c r="Q243" i="6" s="1"/>
  <c r="L242" i="6"/>
  <c r="N242" i="6" s="1"/>
  <c r="P242" i="6" s="1"/>
  <c r="Q242" i="6" s="1"/>
  <c r="L241" i="6"/>
  <c r="N241" i="6" s="1"/>
  <c r="O241" i="6" s="1"/>
  <c r="Q241" i="6" s="1"/>
  <c r="L240" i="6"/>
  <c r="N240" i="6" s="1"/>
  <c r="P240" i="6" s="1"/>
  <c r="Q240" i="6" s="1"/>
  <c r="L239" i="6"/>
  <c r="N239" i="6" s="1"/>
  <c r="P239" i="6" s="1"/>
  <c r="Q239" i="6" s="1"/>
  <c r="L238" i="6"/>
  <c r="N238" i="6" s="1"/>
  <c r="O238" i="6" s="1"/>
  <c r="L237" i="6"/>
  <c r="N237" i="6" s="1"/>
  <c r="P237" i="6" s="1"/>
  <c r="Q237" i="6" s="1"/>
  <c r="L236" i="6"/>
  <c r="N236" i="6" s="1"/>
  <c r="P236" i="6" s="1"/>
  <c r="Q236" i="6" s="1"/>
  <c r="L222" i="6"/>
  <c r="N222" i="6" s="1"/>
  <c r="P222" i="6" s="1"/>
  <c r="Q222" i="6" s="1"/>
  <c r="L221" i="6"/>
  <c r="N221" i="6" s="1"/>
  <c r="P221" i="6" s="1"/>
  <c r="Q221" i="6" s="1"/>
  <c r="L220" i="6"/>
  <c r="N220" i="6" s="1"/>
  <c r="P220" i="6" s="1"/>
  <c r="Q220" i="6" s="1"/>
  <c r="L219" i="6"/>
  <c r="N219" i="6" s="1"/>
  <c r="P219" i="6" s="1"/>
  <c r="Q219" i="6" s="1"/>
  <c r="L218" i="6"/>
  <c r="N218" i="6" s="1"/>
  <c r="P218" i="6" s="1"/>
  <c r="Q218" i="6" s="1"/>
  <c r="L217" i="6"/>
  <c r="N217" i="6" s="1"/>
  <c r="O217" i="6" s="1"/>
  <c r="Q217" i="6" s="1"/>
  <c r="L216" i="6"/>
  <c r="N216" i="6" s="1"/>
  <c r="P216" i="6" s="1"/>
  <c r="Q216" i="6" s="1"/>
  <c r="L215" i="6"/>
  <c r="N215" i="6" s="1"/>
  <c r="P215" i="6" s="1"/>
  <c r="Q215" i="6" s="1"/>
  <c r="L214" i="6"/>
  <c r="N214" i="6" s="1"/>
  <c r="P214" i="6" s="1"/>
  <c r="Q214" i="6" s="1"/>
  <c r="L213" i="6"/>
  <c r="N213" i="6" s="1"/>
  <c r="O213" i="6" s="1"/>
  <c r="Q213" i="6" s="1"/>
  <c r="L212" i="6"/>
  <c r="N212" i="6" s="1"/>
  <c r="O212" i="6" s="1"/>
  <c r="L194" i="6"/>
  <c r="N194" i="6" s="1"/>
  <c r="O194" i="6" s="1"/>
  <c r="Q194" i="6" s="1"/>
  <c r="L193" i="6"/>
  <c r="N193" i="6" s="1"/>
  <c r="P193" i="6" s="1"/>
  <c r="Q193" i="6" s="1"/>
  <c r="L191" i="6"/>
  <c r="N191" i="6" s="1"/>
  <c r="P191" i="6" s="1"/>
  <c r="Q191" i="6" s="1"/>
  <c r="L190" i="6"/>
  <c r="N190" i="6" s="1"/>
  <c r="O190" i="6" s="1"/>
  <c r="Q190" i="6" s="1"/>
  <c r="L189" i="6"/>
  <c r="N189" i="6" s="1"/>
  <c r="O189" i="6" s="1"/>
  <c r="Q189" i="6" s="1"/>
  <c r="L188" i="6"/>
  <c r="N188" i="6" s="1"/>
  <c r="P188" i="6" s="1"/>
  <c r="Q188" i="6" s="1"/>
  <c r="L187" i="6"/>
  <c r="N187" i="6" s="1"/>
  <c r="P187" i="6" s="1"/>
  <c r="Q187" i="6" s="1"/>
  <c r="L186" i="6"/>
  <c r="N186" i="6" s="1"/>
  <c r="O186" i="6" s="1"/>
  <c r="L185" i="6"/>
  <c r="N185" i="6" s="1"/>
  <c r="P185" i="6" s="1"/>
  <c r="Q185" i="6" s="1"/>
  <c r="L184" i="6"/>
  <c r="N184" i="6" s="1"/>
  <c r="O184" i="6" s="1"/>
  <c r="L183" i="6"/>
  <c r="N183" i="6" s="1"/>
  <c r="P183" i="6" s="1"/>
  <c r="Q183" i="6" s="1"/>
  <c r="L182" i="6"/>
  <c r="N182" i="6" s="1"/>
  <c r="O182" i="6" s="1"/>
  <c r="Q182" i="6" s="1"/>
  <c r="L181" i="6"/>
  <c r="N181" i="6" s="1"/>
  <c r="O181" i="6" s="1"/>
  <c r="Q181" i="6" s="1"/>
  <c r="L180" i="6"/>
  <c r="N180" i="6" s="1"/>
  <c r="P180" i="6" s="1"/>
  <c r="Q180" i="6" s="1"/>
  <c r="L179" i="6"/>
  <c r="N179" i="6" s="1"/>
  <c r="O179" i="6" s="1"/>
  <c r="Q179" i="6" s="1"/>
  <c r="L178" i="6"/>
  <c r="N178" i="6" s="1"/>
  <c r="P178" i="6" s="1"/>
  <c r="Q178" i="6" s="1"/>
  <c r="L177" i="6"/>
  <c r="N177" i="6" s="1"/>
  <c r="P177" i="6" s="1"/>
  <c r="Q177" i="6" s="1"/>
  <c r="L176" i="6"/>
  <c r="N176" i="6" s="1"/>
  <c r="P176" i="6" s="1"/>
  <c r="Q176" i="6" s="1"/>
  <c r="L175" i="6"/>
  <c r="N175" i="6" s="1"/>
  <c r="O175" i="6" s="1"/>
  <c r="Q175" i="6" s="1"/>
  <c r="L174" i="6"/>
  <c r="N174" i="6" s="1"/>
  <c r="P174" i="6" s="1"/>
  <c r="L162" i="6"/>
  <c r="N162" i="6" s="1"/>
  <c r="P162" i="6" s="1"/>
  <c r="Q162" i="6" s="1"/>
  <c r="L161" i="6"/>
  <c r="N161" i="6" s="1"/>
  <c r="O161" i="6" s="1"/>
  <c r="Q161" i="6" s="1"/>
  <c r="L160" i="6"/>
  <c r="N160" i="6" s="1"/>
  <c r="P160" i="6" s="1"/>
  <c r="Q160" i="6" s="1"/>
  <c r="L159" i="6"/>
  <c r="N159" i="6" s="1"/>
  <c r="P159" i="6" s="1"/>
  <c r="Q159" i="6" s="1"/>
  <c r="L158" i="6"/>
  <c r="N158" i="6" s="1"/>
  <c r="P158" i="6" s="1"/>
  <c r="Q158" i="6" s="1"/>
  <c r="L157" i="6"/>
  <c r="N157" i="6" s="1"/>
  <c r="P157" i="6" s="1"/>
  <c r="Q157" i="6" s="1"/>
  <c r="L156" i="6"/>
  <c r="N156" i="6" s="1"/>
  <c r="P156" i="6" s="1"/>
  <c r="Q156" i="6" s="1"/>
  <c r="L155" i="6"/>
  <c r="N155" i="6" s="1"/>
  <c r="P155" i="6" s="1"/>
  <c r="Q155" i="6" s="1"/>
  <c r="L154" i="6"/>
  <c r="N154" i="6" s="1"/>
  <c r="P154" i="6" s="1"/>
  <c r="Q154" i="6" s="1"/>
  <c r="L153" i="6"/>
  <c r="N153" i="6" s="1"/>
  <c r="P153" i="6" s="1"/>
  <c r="Q153" i="6" s="1"/>
  <c r="L152" i="6"/>
  <c r="N152" i="6" s="1"/>
  <c r="O152" i="6" s="1"/>
  <c r="Q152" i="6" s="1"/>
  <c r="L151" i="6"/>
  <c r="N151" i="6" s="1"/>
  <c r="P151" i="6" s="1"/>
  <c r="L150" i="6"/>
  <c r="N150" i="6" s="1"/>
  <c r="O150" i="6" s="1"/>
  <c r="Q150" i="6" s="1"/>
  <c r="L149" i="6"/>
  <c r="N149" i="6" s="1"/>
  <c r="O149" i="6" s="1"/>
  <c r="L148" i="6"/>
  <c r="N148" i="6" s="1"/>
  <c r="O148" i="6" s="1"/>
  <c r="Q148" i="6" s="1"/>
  <c r="L147" i="6"/>
  <c r="N147" i="6" s="1"/>
  <c r="P147" i="6" s="1"/>
  <c r="Q147" i="6" s="1"/>
  <c r="L146" i="6"/>
  <c r="N146" i="6" s="1"/>
  <c r="P146" i="6" s="1"/>
  <c r="Q146" i="6" s="1"/>
  <c r="L145" i="6"/>
  <c r="N145" i="6" s="1"/>
  <c r="O145" i="6" s="1"/>
  <c r="Q145" i="6" s="1"/>
  <c r="L132" i="6"/>
  <c r="N132" i="6" s="1"/>
  <c r="P132" i="6" s="1"/>
  <c r="Q132" i="6" s="1"/>
  <c r="L131" i="6"/>
  <c r="N131" i="6" s="1"/>
  <c r="P131" i="6" s="1"/>
  <c r="Q131" i="6" s="1"/>
  <c r="L130" i="6"/>
  <c r="N130" i="6" s="1"/>
  <c r="P130" i="6" s="1"/>
  <c r="Q130" i="6" s="1"/>
  <c r="L129" i="6"/>
  <c r="N129" i="6" s="1"/>
  <c r="P129" i="6" s="1"/>
  <c r="Q129" i="6" s="1"/>
  <c r="L128" i="6"/>
  <c r="N128" i="6" s="1"/>
  <c r="P128" i="6" s="1"/>
  <c r="Q128" i="6" s="1"/>
  <c r="L127" i="6"/>
  <c r="N127" i="6" s="1"/>
  <c r="O127" i="6" s="1"/>
  <c r="Q127" i="6" s="1"/>
  <c r="L126" i="6"/>
  <c r="N126" i="6" s="1"/>
  <c r="O126" i="6" s="1"/>
  <c r="Q126" i="6" s="1"/>
  <c r="L125" i="6"/>
  <c r="N125" i="6" s="1"/>
  <c r="P125" i="6" s="1"/>
  <c r="Q125" i="6" s="1"/>
  <c r="L124" i="6"/>
  <c r="N124" i="6" s="1"/>
  <c r="P124" i="6" s="1"/>
  <c r="Q124" i="6" s="1"/>
  <c r="L123" i="6"/>
  <c r="N123" i="6" s="1"/>
  <c r="P123" i="6" s="1"/>
  <c r="Q123" i="6" s="1"/>
  <c r="L96" i="6"/>
  <c r="N96" i="6" s="1"/>
  <c r="P96" i="6" s="1"/>
  <c r="Q96" i="6" s="1"/>
  <c r="L94" i="6"/>
  <c r="N94" i="6" s="1"/>
  <c r="P94" i="6" s="1"/>
  <c r="Q94" i="6" s="1"/>
  <c r="L93" i="6"/>
  <c r="N93" i="6" s="1"/>
  <c r="O93" i="6" s="1"/>
  <c r="Q93" i="6" s="1"/>
  <c r="L92" i="6"/>
  <c r="N92" i="6" s="1"/>
  <c r="P92" i="6" s="1"/>
  <c r="Q92" i="6" s="1"/>
  <c r="L91" i="6"/>
  <c r="N91" i="6" s="1"/>
  <c r="P91" i="6" s="1"/>
  <c r="Q91" i="6" s="1"/>
  <c r="L90" i="6"/>
  <c r="N90" i="6" s="1"/>
  <c r="P90" i="6" s="1"/>
  <c r="Q90" i="6" s="1"/>
  <c r="L89" i="6"/>
  <c r="N89" i="6" s="1"/>
  <c r="P89" i="6" s="1"/>
  <c r="Q89" i="6" s="1"/>
  <c r="L88" i="6"/>
  <c r="N88" i="6" s="1"/>
  <c r="P88" i="6" s="1"/>
  <c r="Q88" i="6" s="1"/>
  <c r="L87" i="6"/>
  <c r="N87" i="6" s="1"/>
  <c r="P87" i="6" s="1"/>
  <c r="Q87" i="6" s="1"/>
  <c r="L86" i="6"/>
  <c r="N86" i="6" s="1"/>
  <c r="P86" i="6" s="1"/>
  <c r="Q86" i="6" s="1"/>
  <c r="L85" i="6"/>
  <c r="N85" i="6" s="1"/>
  <c r="P85" i="6" s="1"/>
  <c r="Q85" i="6" s="1"/>
  <c r="L84" i="6"/>
  <c r="N84" i="6" s="1"/>
  <c r="O84" i="6" s="1"/>
  <c r="Q84" i="6" s="1"/>
  <c r="L83" i="6"/>
  <c r="N83" i="6" s="1"/>
  <c r="O83" i="6" s="1"/>
  <c r="Q83" i="6" s="1"/>
  <c r="L82" i="6"/>
  <c r="N82" i="6" s="1"/>
  <c r="O82" i="6" s="1"/>
  <c r="Q82" i="6" s="1"/>
  <c r="L81" i="6"/>
  <c r="N81" i="6" s="1"/>
  <c r="P81" i="6" s="1"/>
  <c r="Q81" i="6" s="1"/>
  <c r="L80" i="6"/>
  <c r="N80" i="6" s="1"/>
  <c r="P80" i="6" s="1"/>
  <c r="Q80" i="6" s="1"/>
  <c r="L79" i="6"/>
  <c r="N79" i="6" s="1"/>
  <c r="O79" i="6" s="1"/>
  <c r="Q79" i="6" s="1"/>
  <c r="L78" i="6"/>
  <c r="N78" i="6" s="1"/>
  <c r="P78" i="6" s="1"/>
  <c r="Q78" i="6" s="1"/>
  <c r="L77" i="6"/>
  <c r="N77" i="6" s="1"/>
  <c r="P77" i="6" s="1"/>
  <c r="Q77" i="6" s="1"/>
  <c r="L76" i="6"/>
  <c r="N76" i="6" s="1"/>
  <c r="P76" i="6" s="1"/>
  <c r="Q76" i="6" s="1"/>
  <c r="L75" i="6"/>
  <c r="N75" i="6" s="1"/>
  <c r="O75" i="6" s="1"/>
  <c r="Q75" i="6" s="1"/>
  <c r="L74" i="6"/>
  <c r="N74" i="6" s="1"/>
  <c r="P74" i="6" s="1"/>
  <c r="Q74" i="6" s="1"/>
  <c r="L73" i="6"/>
  <c r="N73" i="6" s="1"/>
  <c r="O73" i="6" s="1"/>
  <c r="Q73" i="6" s="1"/>
  <c r="L72" i="6"/>
  <c r="N72" i="6" s="1"/>
  <c r="P72" i="6" s="1"/>
  <c r="Q72" i="6" s="1"/>
  <c r="L71" i="6"/>
  <c r="N71" i="6" s="1"/>
  <c r="P71" i="6" s="1"/>
  <c r="Q71" i="6" s="1"/>
  <c r="L70" i="6"/>
  <c r="N70" i="6" s="1"/>
  <c r="P70" i="6" s="1"/>
  <c r="Q70" i="6" s="1"/>
  <c r="L69" i="6"/>
  <c r="N69" i="6" s="1"/>
  <c r="O69" i="6" s="1"/>
  <c r="Q69" i="6" s="1"/>
  <c r="L68" i="6"/>
  <c r="N68" i="6" s="1"/>
  <c r="P68" i="6" s="1"/>
  <c r="Q68" i="6" s="1"/>
  <c r="L67" i="6"/>
  <c r="N67" i="6" s="1"/>
  <c r="P67" i="6" s="1"/>
  <c r="Q67" i="6" s="1"/>
  <c r="L38" i="6"/>
  <c r="N38" i="6" s="1"/>
  <c r="P38" i="6" s="1"/>
  <c r="Q38" i="6" s="1"/>
  <c r="L16" i="6"/>
  <c r="N16" i="6" s="1"/>
  <c r="P16" i="6" s="1"/>
  <c r="Q16" i="6" s="1"/>
  <c r="L17" i="6"/>
  <c r="N17" i="6" s="1"/>
  <c r="P17" i="6" s="1"/>
  <c r="Q17" i="6" s="1"/>
  <c r="L18" i="6"/>
  <c r="N18" i="6" s="1"/>
  <c r="P18" i="6" s="1"/>
  <c r="Q18" i="6" s="1"/>
  <c r="L19" i="6"/>
  <c r="N19" i="6" s="1"/>
  <c r="P19" i="6" s="1"/>
  <c r="Q19" i="6" s="1"/>
  <c r="L20" i="6"/>
  <c r="N20" i="6" s="1"/>
  <c r="P20" i="6" s="1"/>
  <c r="Q20" i="6" s="1"/>
  <c r="L21" i="6"/>
  <c r="N21" i="6" s="1"/>
  <c r="P21" i="6" s="1"/>
  <c r="Q21" i="6" s="1"/>
  <c r="L22" i="6"/>
  <c r="N22" i="6" s="1"/>
  <c r="P22" i="6" s="1"/>
  <c r="Q22" i="6" s="1"/>
  <c r="L23" i="6"/>
  <c r="N23" i="6" s="1"/>
  <c r="P23" i="6" s="1"/>
  <c r="Q23" i="6" s="1"/>
  <c r="L24" i="6"/>
  <c r="N24" i="6" s="1"/>
  <c r="P24" i="6" s="1"/>
  <c r="Q24" i="6" s="1"/>
  <c r="L25" i="6"/>
  <c r="N25" i="6" s="1"/>
  <c r="P25" i="6" s="1"/>
  <c r="L26" i="6"/>
  <c r="N26" i="6" s="1"/>
  <c r="P26" i="6" s="1"/>
  <c r="Q26" i="6" s="1"/>
  <c r="L27" i="6"/>
  <c r="N27" i="6" s="1"/>
  <c r="P27" i="6" s="1"/>
  <c r="Q27" i="6" s="1"/>
  <c r="L28" i="6"/>
  <c r="N28" i="6" s="1"/>
  <c r="P28" i="6" s="1"/>
  <c r="Q28" i="6" s="1"/>
  <c r="L29" i="6"/>
  <c r="N29" i="6" s="1"/>
  <c r="P29" i="6" s="1"/>
  <c r="Q29" i="6" s="1"/>
  <c r="L30" i="6"/>
  <c r="N30" i="6" s="1"/>
  <c r="P30" i="6" s="1"/>
  <c r="Q30" i="6" s="1"/>
  <c r="L31" i="6"/>
  <c r="N31" i="6" s="1"/>
  <c r="P31" i="6" s="1"/>
  <c r="L32" i="6"/>
  <c r="N32" i="6" s="1"/>
  <c r="P32" i="6" s="1"/>
  <c r="Q32" i="6" s="1"/>
  <c r="L33" i="6"/>
  <c r="N33" i="6" s="1"/>
  <c r="O33" i="6" s="1"/>
  <c r="Q33" i="6" s="1"/>
  <c r="L34" i="6"/>
  <c r="N34" i="6" s="1"/>
  <c r="P34" i="6" s="1"/>
  <c r="Q34" i="6" s="1"/>
  <c r="L35" i="6"/>
  <c r="N35" i="6" s="1"/>
  <c r="P35" i="6" s="1"/>
  <c r="Q35" i="6" s="1"/>
  <c r="L36" i="6"/>
  <c r="N36" i="6" s="1"/>
  <c r="P36" i="6" s="1"/>
  <c r="Q36" i="6" s="1"/>
  <c r="L37" i="6"/>
  <c r="N37" i="6" s="1"/>
  <c r="O37" i="6" s="1"/>
  <c r="Q37" i="6" s="1"/>
  <c r="L15" i="6"/>
  <c r="N15" i="6" s="1"/>
  <c r="P15" i="6" s="1"/>
  <c r="Q15" i="6" s="1"/>
  <c r="K676" i="6"/>
  <c r="N676" i="6" s="1"/>
  <c r="P676" i="6" s="1"/>
  <c r="Q676" i="6" s="1"/>
  <c r="K423" i="6"/>
  <c r="N423" i="6" s="1"/>
  <c r="O423" i="6" s="1"/>
  <c r="Q423" i="6" s="1"/>
  <c r="K95" i="6"/>
  <c r="N95" i="6" s="1"/>
  <c r="P95" i="6" s="1"/>
  <c r="Q95" i="6" s="1"/>
  <c r="N1121" i="6" l="1"/>
</calcChain>
</file>

<file path=xl/sharedStrings.xml><?xml version="1.0" encoding="utf-8"?>
<sst xmlns="http://schemas.openxmlformats.org/spreadsheetml/2006/main" count="111323" uniqueCount="4037">
  <si>
    <t>2026 유통점 프로모션(1)</t>
  </si>
  <si>
    <t>대리점조직본부명_현재</t>
  </si>
  <si>
    <t>대리점조직사업부명_현재</t>
  </si>
  <si>
    <t>대리점조직하나투어주담당자팀명_현재</t>
  </si>
  <si>
    <t>대리점조직하나투어주담당자사원명_현재</t>
  </si>
  <si>
    <t>대리점코드</t>
  </si>
  <si>
    <t>대리점한글명</t>
  </si>
  <si>
    <t>최초예약일자</t>
  </si>
  <si>
    <t>최초예약주말여부</t>
  </si>
  <si>
    <t>최초예약휴일여부</t>
  </si>
  <si>
    <t>상품브랜드명</t>
  </si>
  <si>
    <t>통합상품속성코드</t>
  </si>
  <si>
    <t>패키지구분코드</t>
  </si>
  <si>
    <t>여행자연령구분명</t>
  </si>
  <si>
    <t>예약시점연령</t>
  </si>
  <si>
    <t>출발시점연령</t>
  </si>
  <si>
    <t>입력예약경로대그룹명</t>
  </si>
  <si>
    <t>입력예약경로중그룹명</t>
  </si>
  <si>
    <t>상품구분자명</t>
  </si>
  <si>
    <t>예약취소여부</t>
  </si>
  <si>
    <t>판매상품코드</t>
  </si>
  <si>
    <t>예약코드</t>
  </si>
  <si>
    <t>메트릭</t>
  </si>
  <si>
    <t>영업본부</t>
  </si>
  <si>
    <t>영업1실</t>
  </si>
  <si>
    <t>영업1팀</t>
  </si>
  <si>
    <t>김세윤</t>
  </si>
  <si>
    <t>A9F92</t>
  </si>
  <si>
    <t>오리엔탈[이마트 명일점]</t>
  </si>
  <si>
    <t>20261001</t>
  </si>
  <si>
    <t>N</t>
  </si>
  <si>
    <t>세이브</t>
  </si>
  <si>
    <t>P</t>
  </si>
  <si>
    <t>성인</t>
  </si>
  <si>
    <t>대리점</t>
  </si>
  <si>
    <t>파트너포탈</t>
  </si>
  <si>
    <t>N번째 여행</t>
  </si>
  <si>
    <t>AVP205261112OZM</t>
  </si>
  <si>
    <t>HP2636923298</t>
  </si>
  <si>
    <t>순예약인원</t>
  </si>
  <si>
    <t>판매금액</t>
  </si>
  <si>
    <t>스탠다드</t>
  </si>
  <si>
    <t>범용/상용닷컴</t>
  </si>
  <si>
    <t>코브랜드</t>
  </si>
  <si>
    <t>단풍여행</t>
  </si>
  <si>
    <t>JSP143261104ZEX</t>
  </si>
  <si>
    <t>HP2636932422</t>
  </si>
  <si>
    <t>ATP514261106ZES</t>
  </si>
  <si>
    <t>HP2636938826</t>
  </si>
  <si>
    <t>20261002</t>
  </si>
  <si>
    <t>ATP207261104LJT</t>
  </si>
  <si>
    <t>HP2636954342</t>
  </si>
  <si>
    <t>Y</t>
  </si>
  <si>
    <t>HP2636953538</t>
  </si>
  <si>
    <t>스타가이드</t>
  </si>
  <si>
    <t>JOP1402611257CK</t>
  </si>
  <si>
    <t>HP2636952860</t>
  </si>
  <si>
    <t>프리미엄</t>
  </si>
  <si>
    <t>하나포커스</t>
  </si>
  <si>
    <t>EMP113270205KEP</t>
  </si>
  <si>
    <t>HP2636956178</t>
  </si>
  <si>
    <t>20261003</t>
  </si>
  <si>
    <t>ATP004261219ZEB</t>
  </si>
  <si>
    <t>HP2636963798</t>
  </si>
  <si>
    <t>20261005</t>
  </si>
  <si>
    <t>CCP387261224KE1</t>
  </si>
  <si>
    <t>HP2636990980</t>
  </si>
  <si>
    <t>20261006</t>
  </si>
  <si>
    <t>스타 인솔자</t>
  </si>
  <si>
    <t>EEP133261014KEX</t>
  </si>
  <si>
    <t>HP2637015506</t>
  </si>
  <si>
    <t>ASP210270205KED</t>
  </si>
  <si>
    <t>HP2637004732</t>
  </si>
  <si>
    <t>유류할증료 인상 걱정 FREE</t>
  </si>
  <si>
    <t>EMP132261016TKA</t>
  </si>
  <si>
    <t>HP2637009660</t>
  </si>
  <si>
    <t>CJP1042612013U1</t>
  </si>
  <si>
    <t>HP2637014502</t>
  </si>
  <si>
    <t>JAP240261027TW7</t>
  </si>
  <si>
    <t>HP2637014042</t>
  </si>
  <si>
    <t>EEP133261107KEN</t>
  </si>
  <si>
    <t>HP2637004134</t>
  </si>
  <si>
    <t>HP2637013532</t>
  </si>
  <si>
    <t>ATP3222611137CB</t>
  </si>
  <si>
    <t>HP2637005664</t>
  </si>
  <si>
    <t>EMP135270113EKT</t>
  </si>
  <si>
    <t>HP2637009742</t>
  </si>
  <si>
    <t>EEP134261014KEC</t>
  </si>
  <si>
    <t>HP2637009888</t>
  </si>
  <si>
    <t>20261007</t>
  </si>
  <si>
    <t>JCP421261111D0T</t>
  </si>
  <si>
    <t>HP2636711486</t>
  </si>
  <si>
    <t>CCP104261026CZC</t>
  </si>
  <si>
    <t>HP2637024732</t>
  </si>
  <si>
    <t>JSP140261103TWN</t>
  </si>
  <si>
    <t>HP2637033092</t>
  </si>
  <si>
    <t>2개국 깊이보기</t>
  </si>
  <si>
    <t>EWP136261226OZ1</t>
  </si>
  <si>
    <t>HP2637035742</t>
  </si>
  <si>
    <t>비즈니스석 탑승</t>
  </si>
  <si>
    <t>EMP133270201TWZ</t>
  </si>
  <si>
    <t>HP2637034772</t>
  </si>
  <si>
    <t>EEP133261102KEN</t>
  </si>
  <si>
    <t>HP2637025248</t>
  </si>
  <si>
    <t>EEP133261103KEZ</t>
  </si>
  <si>
    <t>HP2637037718</t>
  </si>
  <si>
    <t>20261008</t>
  </si>
  <si>
    <t>내나라여행</t>
  </si>
  <si>
    <t>고품격여행</t>
  </si>
  <si>
    <t>AKP559261222000</t>
  </si>
  <si>
    <t>HP2637062758</t>
  </si>
  <si>
    <t>AVP322261101TWD</t>
  </si>
  <si>
    <t>HP2637053508</t>
  </si>
  <si>
    <t>CJP1012611293UK</t>
  </si>
  <si>
    <t>HP2637057416</t>
  </si>
  <si>
    <t>AVP227261108TWA</t>
  </si>
  <si>
    <t>HP2637055640</t>
  </si>
  <si>
    <t>JSP140261201TWN</t>
  </si>
  <si>
    <t>HP2637061752</t>
  </si>
  <si>
    <t>20261009</t>
  </si>
  <si>
    <t>JOP141261029TWH</t>
  </si>
  <si>
    <t>HP2637069404</t>
  </si>
  <si>
    <t>JOP331261124TWV</t>
  </si>
  <si>
    <t>HP2637077396</t>
  </si>
  <si>
    <t>효도여행</t>
  </si>
  <si>
    <t>CGP1072610247C2</t>
  </si>
  <si>
    <t>HP2637071738</t>
  </si>
  <si>
    <t>20261010</t>
  </si>
  <si>
    <t>브랜드미적용</t>
  </si>
  <si>
    <t>연합상품</t>
  </si>
  <si>
    <t>AKP40926112000A</t>
  </si>
  <si>
    <t>HP2637089072</t>
  </si>
  <si>
    <t>JTP130261108TWK</t>
  </si>
  <si>
    <t>HB2637091728</t>
  </si>
  <si>
    <t>20261011</t>
  </si>
  <si>
    <t>B</t>
  </si>
  <si>
    <t>에어텔+</t>
  </si>
  <si>
    <t>JTB339261119LJI</t>
  </si>
  <si>
    <t>HB2637102240</t>
  </si>
  <si>
    <t>20261012</t>
  </si>
  <si>
    <t>JKP130261015TWL</t>
  </si>
  <si>
    <t>HP2637115240</t>
  </si>
  <si>
    <t>CYP1082702219H9</t>
  </si>
  <si>
    <t>HP2637114184</t>
  </si>
  <si>
    <t>AVP203261228OZ1</t>
  </si>
  <si>
    <t>HP2637122574</t>
  </si>
  <si>
    <t>A9KFW</t>
  </si>
  <si>
    <t>케이에이피투어[이마트 의정부점]</t>
  </si>
  <si>
    <t>가족여행</t>
  </si>
  <si>
    <t>PAP101261123OZ3</t>
  </si>
  <si>
    <t>HP2636944788</t>
  </si>
  <si>
    <t>락in</t>
  </si>
  <si>
    <t>PAP103261214KEY</t>
  </si>
  <si>
    <t>HP2636964482</t>
  </si>
  <si>
    <t>A9LNN</t>
  </si>
  <si>
    <t>주식회사 퍼즐여행[롯데몰 은평점]</t>
  </si>
  <si>
    <t>AVB354261018LJ1</t>
  </si>
  <si>
    <t>HB2636927314</t>
  </si>
  <si>
    <t>CHP308261106ZE3</t>
  </si>
  <si>
    <t>HP2636922632</t>
  </si>
  <si>
    <t>CJP104261125GJG</t>
  </si>
  <si>
    <t>HP2636923982</t>
  </si>
  <si>
    <t>1개국 깊이보기</t>
  </si>
  <si>
    <t>EWP171261101TW1</t>
  </si>
  <si>
    <t>HP2636954148</t>
  </si>
  <si>
    <t>ATP300261007BXY</t>
  </si>
  <si>
    <t>HP2636965000</t>
  </si>
  <si>
    <t>ATP3202610307C0</t>
  </si>
  <si>
    <t>HP2636966330</t>
  </si>
  <si>
    <t>청소년</t>
  </si>
  <si>
    <t>20261004</t>
  </si>
  <si>
    <t>CYP1072611189HA</t>
  </si>
  <si>
    <t>HP2636979100</t>
  </si>
  <si>
    <t>세미팩</t>
  </si>
  <si>
    <t>JKP141261119TWY</t>
  </si>
  <si>
    <t>HP2636990498</t>
  </si>
  <si>
    <t>아동</t>
  </si>
  <si>
    <t>APB2202611257CC</t>
  </si>
  <si>
    <t>HB2637008042</t>
  </si>
  <si>
    <t>ATP302261231ITB</t>
  </si>
  <si>
    <t>HP2637002998</t>
  </si>
  <si>
    <t>Q</t>
  </si>
  <si>
    <t>JTQ100270109ZEG</t>
  </si>
  <si>
    <t>HQ2637037458</t>
  </si>
  <si>
    <t>휴&amp;락</t>
  </si>
  <si>
    <t>JKP140261026TW2</t>
  </si>
  <si>
    <t>HP2637032656</t>
  </si>
  <si>
    <t>ASP3112612317CZ</t>
  </si>
  <si>
    <t>HP2637028312</t>
  </si>
  <si>
    <t>CVP111261102OZA</t>
  </si>
  <si>
    <t>HP2637030724</t>
  </si>
  <si>
    <t>CHP131261101TWA</t>
  </si>
  <si>
    <t>HP2637027540</t>
  </si>
  <si>
    <t>EWP132261120OZR</t>
  </si>
  <si>
    <t>HP2637033648</t>
  </si>
  <si>
    <t>유아</t>
  </si>
  <si>
    <t>AVP233261206TWB</t>
  </si>
  <si>
    <t>HP2637055058</t>
  </si>
  <si>
    <t>JSP344261210BX3</t>
  </si>
  <si>
    <t>HP2637052894</t>
  </si>
  <si>
    <t>CCP505261106ZET</t>
  </si>
  <si>
    <t>HP2637086590</t>
  </si>
  <si>
    <t>AVP350261216ZEA</t>
  </si>
  <si>
    <t>HP2637081686</t>
  </si>
  <si>
    <t>EEP133270205KET</t>
  </si>
  <si>
    <t>HP2637082372</t>
  </si>
  <si>
    <t>EWP159261202TWB</t>
  </si>
  <si>
    <t>HP2637112734</t>
  </si>
  <si>
    <t>김준한</t>
  </si>
  <si>
    <t>A9B36</t>
  </si>
  <si>
    <t>여행세상[NC 일산점]</t>
  </si>
  <si>
    <t>골프</t>
  </si>
  <si>
    <t>G</t>
  </si>
  <si>
    <t>닷컴</t>
  </si>
  <si>
    <t>닷컴SCF</t>
  </si>
  <si>
    <t>다색골프</t>
  </si>
  <si>
    <t>JNG327261127BXG</t>
  </si>
  <si>
    <t>HG2636921988</t>
  </si>
  <si>
    <t>JOP141261230TWH</t>
  </si>
  <si>
    <t>HP2636922946</t>
  </si>
  <si>
    <t>CMP1002610177CW</t>
  </si>
  <si>
    <t>HP2636930622</t>
  </si>
  <si>
    <t>AVG221261129BX2</t>
  </si>
  <si>
    <t>HG2636954330</t>
  </si>
  <si>
    <t>AVQ2512611267C4</t>
  </si>
  <si>
    <t>HQ2636954596</t>
  </si>
  <si>
    <t>AVQ251261125OZ4</t>
  </si>
  <si>
    <t>HQ2635804004</t>
  </si>
  <si>
    <t>노옵션</t>
  </si>
  <si>
    <t>AVP226261011TWC</t>
  </si>
  <si>
    <t>HP2636951920</t>
  </si>
  <si>
    <t>JCP421261009D0V</t>
  </si>
  <si>
    <t>HP2636944962</t>
  </si>
  <si>
    <t>우리끼리</t>
  </si>
  <si>
    <t>U</t>
  </si>
  <si>
    <t>AVU231261210VNA</t>
  </si>
  <si>
    <t>HU2636949994</t>
  </si>
  <si>
    <t>HU2636953126</t>
  </si>
  <si>
    <t>JCP421261026D0Y</t>
  </si>
  <si>
    <t>HP2636962896</t>
  </si>
  <si>
    <t>AKP660261020001</t>
  </si>
  <si>
    <t>HP2636974298</t>
  </si>
  <si>
    <t>골프텔</t>
  </si>
  <si>
    <t>JNG110261108OZB</t>
  </si>
  <si>
    <t>HG2637009020</t>
  </si>
  <si>
    <t>CXQ100261129KEB</t>
  </si>
  <si>
    <t>HQ2637012480</t>
  </si>
  <si>
    <t>JOP141261113TWQ</t>
  </si>
  <si>
    <t>HP2637001056</t>
  </si>
  <si>
    <t>HP2637005348</t>
  </si>
  <si>
    <t>CHP131261123TWA</t>
  </si>
  <si>
    <t>HP2637008064</t>
  </si>
  <si>
    <t>EMP135270215QRA</t>
  </si>
  <si>
    <t>HP2637004958</t>
  </si>
  <si>
    <t>ACG204261128KES</t>
  </si>
  <si>
    <t>HG2637025466</t>
  </si>
  <si>
    <t>ACG2222701117CE</t>
  </si>
  <si>
    <t>HG2637032616</t>
  </si>
  <si>
    <t>AVP2032611127CV</t>
  </si>
  <si>
    <t>HP2637023860</t>
  </si>
  <si>
    <t>EEP136261226OZK</t>
  </si>
  <si>
    <t>HP2637025394</t>
  </si>
  <si>
    <t>CAG620261115QWT</t>
  </si>
  <si>
    <t>HG2637048440</t>
  </si>
  <si>
    <t>ACP200261027KE1</t>
  </si>
  <si>
    <t>HP2637049708</t>
  </si>
  <si>
    <t>EEP133270209KEM</t>
  </si>
  <si>
    <t>HP2637061726</t>
  </si>
  <si>
    <t>CCP3272611067C2</t>
  </si>
  <si>
    <t>HP2637048600</t>
  </si>
  <si>
    <t>EMP135261216EKA</t>
  </si>
  <si>
    <t>HP2637068232</t>
  </si>
  <si>
    <t>CAG1202611127CA</t>
  </si>
  <si>
    <t>HG2637124228</t>
  </si>
  <si>
    <t>예약즉시확정</t>
  </si>
  <si>
    <t>ATB282261130TWC</t>
  </si>
  <si>
    <t>HB2637115350</t>
  </si>
  <si>
    <t>AAP306261124BXD</t>
  </si>
  <si>
    <t>HP2637120436</t>
  </si>
  <si>
    <t>A9I5P</t>
  </si>
  <si>
    <t>하나더투어[이마트 수색점]</t>
  </si>
  <si>
    <t>AVP2312611177C3</t>
  </si>
  <si>
    <t>HP2637001416</t>
  </si>
  <si>
    <t>AVP222261205VNB</t>
  </si>
  <si>
    <t>HP2637011530</t>
  </si>
  <si>
    <t>쉼표in료칸</t>
  </si>
  <si>
    <t>JSP140270113YPA</t>
  </si>
  <si>
    <t>HP2637121974</t>
  </si>
  <si>
    <t>JSP140270114YPA</t>
  </si>
  <si>
    <t>HP2637121932</t>
  </si>
  <si>
    <t>A9L6R</t>
  </si>
  <si>
    <t>(주)하나여행[하나로마트 고양점]</t>
  </si>
  <si>
    <t>JKP130261103TWJ</t>
  </si>
  <si>
    <t>HP2636927956</t>
  </si>
  <si>
    <t>多드림</t>
  </si>
  <si>
    <t>CJP104261110RS1</t>
  </si>
  <si>
    <t>HP2636930444</t>
  </si>
  <si>
    <t>AVP226261223ZE0</t>
  </si>
  <si>
    <t>HP2636954976</t>
  </si>
  <si>
    <t>JOP147270113TWF</t>
  </si>
  <si>
    <t>HP2636955802</t>
  </si>
  <si>
    <t>CCP104261209MUC</t>
  </si>
  <si>
    <t>HP2636959710</t>
  </si>
  <si>
    <t>ESP132261119KEA</t>
  </si>
  <si>
    <t>HP2636947858</t>
  </si>
  <si>
    <t>ESP132261124KE1</t>
  </si>
  <si>
    <t>HP2636947272</t>
  </si>
  <si>
    <t>PNP101261110KE5</t>
  </si>
  <si>
    <t>HP2636950100</t>
  </si>
  <si>
    <t>JOP131261106TWH</t>
  </si>
  <si>
    <t>HP2636966676</t>
  </si>
  <si>
    <t>EWP161270110OZY</t>
  </si>
  <si>
    <t>HP2637036508</t>
  </si>
  <si>
    <t>JOP140261104TWD</t>
  </si>
  <si>
    <t>HP2637028342</t>
  </si>
  <si>
    <t>EWP131270109KEE</t>
  </si>
  <si>
    <t>HP2637035466</t>
  </si>
  <si>
    <t>EWP131270109OZC</t>
  </si>
  <si>
    <t>HP2637035876</t>
  </si>
  <si>
    <t>여행 취향 블렌디드</t>
  </si>
  <si>
    <t>JKP141261111RS1</t>
  </si>
  <si>
    <t>HP2637069168</t>
  </si>
  <si>
    <t>CGP1042611217C2</t>
  </si>
  <si>
    <t>HP2637069484</t>
  </si>
  <si>
    <t>JSP140261210TWN</t>
  </si>
  <si>
    <t>HP2637069320</t>
  </si>
  <si>
    <t>ALP211270111TWK</t>
  </si>
  <si>
    <t>HP2637072036</t>
  </si>
  <si>
    <t>ALP211270115TWK</t>
  </si>
  <si>
    <t>HP2637096154</t>
  </si>
  <si>
    <t>A9LDT</t>
  </si>
  <si>
    <t>(주)하나월드[이마트 은평점]</t>
  </si>
  <si>
    <t>L</t>
  </si>
  <si>
    <t>ETP131261108KEA</t>
  </si>
  <si>
    <t>HP2636925580</t>
  </si>
  <si>
    <t>AYP261261012AKF</t>
  </si>
  <si>
    <t>HP2636925838</t>
  </si>
  <si>
    <t>PGB225261116RS3</t>
  </si>
  <si>
    <t>HB2636944742</t>
  </si>
  <si>
    <t>AVP2032611167CM</t>
  </si>
  <si>
    <t>HP2636952548</t>
  </si>
  <si>
    <t>AKP600261017001</t>
  </si>
  <si>
    <t>HP2636988072</t>
  </si>
  <si>
    <t>JKP130261224TWH</t>
  </si>
  <si>
    <t>HP2637048266</t>
  </si>
  <si>
    <t>AKP713261027001</t>
  </si>
  <si>
    <t>HP2637072398</t>
  </si>
  <si>
    <t>A9LRG</t>
  </si>
  <si>
    <t>에어비즈투어[스타필드마켓 일산점]</t>
  </si>
  <si>
    <t>ETP131261129KEJ</t>
  </si>
  <si>
    <t>HP2636934490</t>
  </si>
  <si>
    <t>JSP1402611087CU</t>
  </si>
  <si>
    <t>HP2636985672</t>
  </si>
  <si>
    <t>하나투어단독</t>
  </si>
  <si>
    <t>HWP163261012KE1</t>
  </si>
  <si>
    <t>HP2637010118</t>
  </si>
  <si>
    <t>허니문</t>
  </si>
  <si>
    <t>W</t>
  </si>
  <si>
    <t>EEW148270131OZQ</t>
  </si>
  <si>
    <t>HW2637031492</t>
  </si>
  <si>
    <t>AAQ300261026BXA</t>
  </si>
  <si>
    <t>HQ2637058982</t>
  </si>
  <si>
    <t>AVP233261020TW1</t>
  </si>
  <si>
    <t>HP2637059140</t>
  </si>
  <si>
    <t>JKP140261116BX1</t>
  </si>
  <si>
    <t>HP2637071616</t>
  </si>
  <si>
    <t>ATP2142612087CB</t>
  </si>
  <si>
    <t>HP2637086046</t>
  </si>
  <si>
    <t>A9LUB</t>
  </si>
  <si>
    <t>더베이스투어[롯데마트 고양점]</t>
  </si>
  <si>
    <t>AVB2252610017CH</t>
  </si>
  <si>
    <t>HB2636931002</t>
  </si>
  <si>
    <t>직원</t>
  </si>
  <si>
    <t>업무포탈</t>
  </si>
  <si>
    <t>AVQ229261001LJ5</t>
  </si>
  <si>
    <t>HQ2636934824</t>
  </si>
  <si>
    <t>ESP132261101KEA</t>
  </si>
  <si>
    <t>HP2636931890</t>
  </si>
  <si>
    <t>AVP303261121VND</t>
  </si>
  <si>
    <t>HP2636933678</t>
  </si>
  <si>
    <t>AVP251261025TWA</t>
  </si>
  <si>
    <t>HP2636950536</t>
  </si>
  <si>
    <t>JSP143261015ZEA</t>
  </si>
  <si>
    <t>HP2636948846</t>
  </si>
  <si>
    <t>HP2636944712</t>
  </si>
  <si>
    <t>AVP2562611049GA</t>
  </si>
  <si>
    <t>HP2636956434</t>
  </si>
  <si>
    <t>AVP201261020WEZ</t>
  </si>
  <si>
    <t>HP2636974928</t>
  </si>
  <si>
    <t>AVP301261012VJM</t>
  </si>
  <si>
    <t>HP2637011374</t>
  </si>
  <si>
    <t>HP2637005668</t>
  </si>
  <si>
    <t>JTP3452611167CN</t>
  </si>
  <si>
    <t>HP2637008140</t>
  </si>
  <si>
    <t>AVP203261025OZV</t>
  </si>
  <si>
    <t>HP2637013986</t>
  </si>
  <si>
    <t>AVP2032610257CV</t>
  </si>
  <si>
    <t>HP2637012978</t>
  </si>
  <si>
    <t>CCP104261110MUC</t>
  </si>
  <si>
    <t>HP2637008698</t>
  </si>
  <si>
    <t>CJP324261101BX1</t>
  </si>
  <si>
    <t>HP2637011660</t>
  </si>
  <si>
    <t>CJP324261102BX1</t>
  </si>
  <si>
    <t>HP2637014392</t>
  </si>
  <si>
    <t>JOB149261227TW4</t>
  </si>
  <si>
    <t>HB2637038852</t>
  </si>
  <si>
    <t>JOP333261208TWV</t>
  </si>
  <si>
    <t>HP2637034092</t>
  </si>
  <si>
    <t>JCP421261028L0J</t>
  </si>
  <si>
    <t>HP2637033936</t>
  </si>
  <si>
    <t>CJP321261102BX9</t>
  </si>
  <si>
    <t>HP2637034766</t>
  </si>
  <si>
    <t>AVP203270206VNH</t>
  </si>
  <si>
    <t>HP2637037316</t>
  </si>
  <si>
    <t>CAP1012611197C9</t>
  </si>
  <si>
    <t>HP2637047966</t>
  </si>
  <si>
    <t>JTP130261202TWK</t>
  </si>
  <si>
    <t>HP2637052262</t>
  </si>
  <si>
    <t>AVP221270108TWC</t>
  </si>
  <si>
    <t>HP2637118578</t>
  </si>
  <si>
    <t>EEP132261105OZI</t>
  </si>
  <si>
    <t>HP2637117474</t>
  </si>
  <si>
    <t>JTP147270120KEN</t>
  </si>
  <si>
    <t>HP2637110948</t>
  </si>
  <si>
    <t>HHP103270131KEC</t>
  </si>
  <si>
    <t>HP2637124950</t>
  </si>
  <si>
    <t>A9M3P</t>
  </si>
  <si>
    <t>마이핏투어[NC 불광점]</t>
  </si>
  <si>
    <t>JKP130261111TWX</t>
  </si>
  <si>
    <t>HP2636925820</t>
  </si>
  <si>
    <t>ATP2072702067CR</t>
  </si>
  <si>
    <t>HP2636927388</t>
  </si>
  <si>
    <t>CHP141261129YPB</t>
  </si>
  <si>
    <t>HP2636926272</t>
  </si>
  <si>
    <t>CHP131261018YPB</t>
  </si>
  <si>
    <t>HP2636924122</t>
  </si>
  <si>
    <t>AKP664261113001</t>
  </si>
  <si>
    <t>HP2637053330</t>
  </si>
  <si>
    <t>JSP148261026TWV</t>
  </si>
  <si>
    <t>HP2637088136</t>
  </si>
  <si>
    <t>PH06648</t>
  </si>
  <si>
    <t>(주)삼송나비투어[하나로마트 삼송점]</t>
  </si>
  <si>
    <t>AKP31326100900A</t>
  </si>
  <si>
    <t>HP2636922740</t>
  </si>
  <si>
    <t>CCP104261111MUC</t>
  </si>
  <si>
    <t>HP2636932654</t>
  </si>
  <si>
    <t>CJP107261121RS1</t>
  </si>
  <si>
    <t>HP2636931774</t>
  </si>
  <si>
    <t>AVP203261125VNV</t>
  </si>
  <si>
    <t>HP2636964452</t>
  </si>
  <si>
    <t>JOP131261109TWD</t>
  </si>
  <si>
    <t>HP2637068938</t>
  </si>
  <si>
    <t>PAP101261103OZ3</t>
  </si>
  <si>
    <t>HP2637114056</t>
  </si>
  <si>
    <t>오형석</t>
  </si>
  <si>
    <t>A9HJ5</t>
  </si>
  <si>
    <t>여행이야기[롯데백화점 건대스타시티점]</t>
  </si>
  <si>
    <t>AVP233261025TWB</t>
  </si>
  <si>
    <t>HP2636927630</t>
  </si>
  <si>
    <t>ATQ280261110BRG</t>
  </si>
  <si>
    <t>HQ2636957654</t>
  </si>
  <si>
    <t>AAP203270107OZA</t>
  </si>
  <si>
    <t>HP2636858146</t>
  </si>
  <si>
    <t>PAP101261128TW3</t>
  </si>
  <si>
    <t>HP2636963898</t>
  </si>
  <si>
    <t>JKP130261014TW1</t>
  </si>
  <si>
    <t>HP2636987810</t>
  </si>
  <si>
    <t>JKP130261023ZEP</t>
  </si>
  <si>
    <t>HP2637003284</t>
  </si>
  <si>
    <t>APP2292611037CY</t>
  </si>
  <si>
    <t>HP2637028110</t>
  </si>
  <si>
    <t>AVP231261017TWA</t>
  </si>
  <si>
    <t>HP2637032822</t>
  </si>
  <si>
    <t>JTP140270217TW6</t>
  </si>
  <si>
    <t>HP2637059524</t>
  </si>
  <si>
    <t>AYP201270113LJD</t>
  </si>
  <si>
    <t>HP2637055656</t>
  </si>
  <si>
    <t>JOP140261201KES</t>
  </si>
  <si>
    <t>HP2637070506</t>
  </si>
  <si>
    <t>AVP232261026TWC</t>
  </si>
  <si>
    <t>HP2637122528</t>
  </si>
  <si>
    <t>A9LKH</t>
  </si>
  <si>
    <t>온투어세상</t>
  </si>
  <si>
    <t>ATP002261025TWA</t>
  </si>
  <si>
    <t>HP2636930854</t>
  </si>
  <si>
    <t>CJP108261101LJ1</t>
  </si>
  <si>
    <t>HP2636924178</t>
  </si>
  <si>
    <t>PNP119270224KEV</t>
  </si>
  <si>
    <t>HP2637003754</t>
  </si>
  <si>
    <t>JKP1302611017CD</t>
  </si>
  <si>
    <t>HP2637009768</t>
  </si>
  <si>
    <t>AKQ111270122ZEG</t>
  </si>
  <si>
    <t>HQ2637031544</t>
  </si>
  <si>
    <t>JKP140261219TWI</t>
  </si>
  <si>
    <t>HP2637072336</t>
  </si>
  <si>
    <t>JAP240261018TW7</t>
  </si>
  <si>
    <t>HP2637071944</t>
  </si>
  <si>
    <t>[실속+]</t>
  </si>
  <si>
    <t>PAP220270212KE1</t>
  </si>
  <si>
    <t>HP2637114758</t>
  </si>
  <si>
    <t>ADP282261117ZEH</t>
  </si>
  <si>
    <t>HP2637113428</t>
  </si>
  <si>
    <t>JNP140261103ZE1</t>
  </si>
  <si>
    <t>HP2637117792</t>
  </si>
  <si>
    <t>JOP1312611147C0</t>
  </si>
  <si>
    <t>HP2637119806</t>
  </si>
  <si>
    <t>CJP1042611153U1</t>
  </si>
  <si>
    <t>HP2637122412</t>
  </si>
  <si>
    <t>PH05738</t>
  </si>
  <si>
    <t>하나트립[이마트 청계천점]</t>
  </si>
  <si>
    <t>PGQ151261012LJQ</t>
  </si>
  <si>
    <t>HG2636936084</t>
  </si>
  <si>
    <t>AVP225261008ZEH</t>
  </si>
  <si>
    <t>HP2636925090</t>
  </si>
  <si>
    <t>ATQ054261030KES</t>
  </si>
  <si>
    <t>HQ2636321926</t>
  </si>
  <si>
    <t>EWP161261113OZY</t>
  </si>
  <si>
    <t>HP2636951878</t>
  </si>
  <si>
    <t>AVP227261103RSA</t>
  </si>
  <si>
    <t>HP2636957330</t>
  </si>
  <si>
    <t>AVP203261214VNV</t>
  </si>
  <si>
    <t>HP2636956996</t>
  </si>
  <si>
    <t>CGP187261201KE1</t>
  </si>
  <si>
    <t>HP2636945482</t>
  </si>
  <si>
    <t>HP2636945810</t>
  </si>
  <si>
    <t>CAP101261029SC9</t>
  </si>
  <si>
    <t>HP2636966886</t>
  </si>
  <si>
    <t>CCP131261122OZF</t>
  </si>
  <si>
    <t>HP2636962626</t>
  </si>
  <si>
    <t>EWP161261027TWR</t>
  </si>
  <si>
    <t>HP2636962742</t>
  </si>
  <si>
    <t>JOP1752610097CS</t>
  </si>
  <si>
    <t>HP2636978996</t>
  </si>
  <si>
    <t>APB232270116LJA</t>
  </si>
  <si>
    <t>HB2636989946</t>
  </si>
  <si>
    <t>AKP542261031002</t>
  </si>
  <si>
    <t>HP2636982678</t>
  </si>
  <si>
    <t>HP2637003628</t>
  </si>
  <si>
    <t>JOP131261106BXY</t>
  </si>
  <si>
    <t>HP2637008836</t>
  </si>
  <si>
    <t>JWP137261226ZEM</t>
  </si>
  <si>
    <t>HP2637004816</t>
  </si>
  <si>
    <t>ATP207261020LJK</t>
  </si>
  <si>
    <t>HP2637015516</t>
  </si>
  <si>
    <t>CCP104261114KEC</t>
  </si>
  <si>
    <t>HP2637005762</t>
  </si>
  <si>
    <t>EWP141261020TWK</t>
  </si>
  <si>
    <t>HP2637001934</t>
  </si>
  <si>
    <t>HP2637007138</t>
  </si>
  <si>
    <t>CJP627261105GJ1</t>
  </si>
  <si>
    <t>HP2637003818</t>
  </si>
  <si>
    <t>CJP337261119BXA</t>
  </si>
  <si>
    <t>HP2637006000</t>
  </si>
  <si>
    <t>JOP1412610267CX</t>
  </si>
  <si>
    <t>HP2637032970</t>
  </si>
  <si>
    <t>CCP104261109MUZ</t>
  </si>
  <si>
    <t>HP2637034012</t>
  </si>
  <si>
    <t>JNP1402612047CM</t>
  </si>
  <si>
    <t>HP2637047868</t>
  </si>
  <si>
    <t>AVP239261123WEJ</t>
  </si>
  <si>
    <t>HP2637071718</t>
  </si>
  <si>
    <t>HP2637072920</t>
  </si>
  <si>
    <t>HP2637072786</t>
  </si>
  <si>
    <t>AVP639261226TWL</t>
  </si>
  <si>
    <t>HP2637068156</t>
  </si>
  <si>
    <t>JKP140261110TW3</t>
  </si>
  <si>
    <t>HP2637089450</t>
  </si>
  <si>
    <t>ESP131270114KEA</t>
  </si>
  <si>
    <t>HP2637079154</t>
  </si>
  <si>
    <t>JAP240261017TW8</t>
  </si>
  <si>
    <t>HP2637088954</t>
  </si>
  <si>
    <t>HP2637089012</t>
  </si>
  <si>
    <t>ASP211261104SQD</t>
  </si>
  <si>
    <t>HP2637094248</t>
  </si>
  <si>
    <t>JOP331261202TW5</t>
  </si>
  <si>
    <t>HP2637124618</t>
  </si>
  <si>
    <t>CAP1012611087CT</t>
  </si>
  <si>
    <t>HP2637117938</t>
  </si>
  <si>
    <t>HP2637120248</t>
  </si>
  <si>
    <t>AVP233261210RSC</t>
  </si>
  <si>
    <t>HP2637112490</t>
  </si>
  <si>
    <t>윤상원B</t>
  </si>
  <si>
    <t>A9ALY</t>
  </si>
  <si>
    <t>하나매니아[2001아울렛 중계점]</t>
  </si>
  <si>
    <t>AKP2012610317CG</t>
  </si>
  <si>
    <t>HP2637033116</t>
  </si>
  <si>
    <t>CJP117261031RS1</t>
  </si>
  <si>
    <t>HP2637035664</t>
  </si>
  <si>
    <t>AKP2012611077CG</t>
  </si>
  <si>
    <t>HP2637034070</t>
  </si>
  <si>
    <t>CAP101261123LJ2</t>
  </si>
  <si>
    <t>HP2637060878</t>
  </si>
  <si>
    <t>ATP214261117OZC</t>
  </si>
  <si>
    <t>HP2637113660</t>
  </si>
  <si>
    <t>A9HAR</t>
  </si>
  <si>
    <t>하나윈투어[이마트 하월곡점]</t>
  </si>
  <si>
    <t>JKP1402611037CD</t>
  </si>
  <si>
    <t>HP2636927624</t>
  </si>
  <si>
    <t>AVP239261026WED</t>
  </si>
  <si>
    <t>HP2636951286</t>
  </si>
  <si>
    <t>JKP140261116TW2</t>
  </si>
  <si>
    <t>HP2637010592</t>
  </si>
  <si>
    <t>CHP131270224OZA</t>
  </si>
  <si>
    <t>HP2637027446</t>
  </si>
  <si>
    <t>ACP2012611267C1</t>
  </si>
  <si>
    <t>HP2637122542</t>
  </si>
  <si>
    <t>A9JKZ</t>
  </si>
  <si>
    <t>엘투어[롯데백화점 노원점]</t>
  </si>
  <si>
    <t>CJP107261114RS1</t>
  </si>
  <si>
    <t>HP2636954410</t>
  </si>
  <si>
    <t>현지투어플러스</t>
  </si>
  <si>
    <t>X</t>
  </si>
  <si>
    <t>근교 투어</t>
  </si>
  <si>
    <t>EMX73026101900A</t>
  </si>
  <si>
    <t>HX2636955862</t>
  </si>
  <si>
    <t>CHP141261217TWB</t>
  </si>
  <si>
    <t>HP2636965188</t>
  </si>
  <si>
    <t>JKP130261019TW5</t>
  </si>
  <si>
    <t>HP2636976236</t>
  </si>
  <si>
    <t>ATP214261120LJO</t>
  </si>
  <si>
    <t>HP2636881250</t>
  </si>
  <si>
    <t>CJP115261029RS1</t>
  </si>
  <si>
    <t>HP2636985850</t>
  </si>
  <si>
    <t>JKP140261109RS2</t>
  </si>
  <si>
    <t>HP2637015118</t>
  </si>
  <si>
    <t>EWP136261111KE1</t>
  </si>
  <si>
    <t>HP2637032858</t>
  </si>
  <si>
    <t>CCQ110261201KEX</t>
  </si>
  <si>
    <t>HQ2637056236</t>
  </si>
  <si>
    <t>ALP201270107TW2</t>
  </si>
  <si>
    <t>HP2637086804</t>
  </si>
  <si>
    <t>JKP140261111BX9</t>
  </si>
  <si>
    <t>HP2637096598</t>
  </si>
  <si>
    <t>ASP210270228TW4</t>
  </si>
  <si>
    <t>HP2637098892</t>
  </si>
  <si>
    <t>CGP1042611047CB</t>
  </si>
  <si>
    <t>HP2637098532</t>
  </si>
  <si>
    <t>A9MQW</t>
  </si>
  <si>
    <t>연우투어[NC천호점]</t>
  </si>
  <si>
    <t>JOP141261009WEG</t>
  </si>
  <si>
    <t>HP2636953560</t>
  </si>
  <si>
    <t>CHP131270111YPB</t>
  </si>
  <si>
    <t>HP2637123006</t>
  </si>
  <si>
    <t>PH03846</t>
  </si>
  <si>
    <t>이든트래블[이마트 묵동점]</t>
  </si>
  <si>
    <t>HP2636786940</t>
  </si>
  <si>
    <t>CGP104261205LJ2</t>
  </si>
  <si>
    <t>HP2636987198</t>
  </si>
  <si>
    <t>JKP140261111TW7</t>
  </si>
  <si>
    <t>HP2637009638</t>
  </si>
  <si>
    <t>HP2637004920</t>
  </si>
  <si>
    <t>JKP1402611257CD</t>
  </si>
  <si>
    <t>HP2637121894</t>
  </si>
  <si>
    <t>PH03861</t>
  </si>
  <si>
    <t>한그린[세이브존 노원점]</t>
  </si>
  <si>
    <t>CWP101261226KEK</t>
  </si>
  <si>
    <t>HP2636968428</t>
  </si>
  <si>
    <t>CJP1092611063U1</t>
  </si>
  <si>
    <t>HP2636976570</t>
  </si>
  <si>
    <t>CJP1042611053U1</t>
  </si>
  <si>
    <t>HP2637009132</t>
  </si>
  <si>
    <t>AKP716261028001</t>
  </si>
  <si>
    <t>HP2637031946</t>
  </si>
  <si>
    <t>AVP203261122OZV</t>
  </si>
  <si>
    <t>HP2637033290</t>
  </si>
  <si>
    <t>AVP203261207OZV</t>
  </si>
  <si>
    <t>HP2637031192</t>
  </si>
  <si>
    <t>JKB130261020TWZ</t>
  </si>
  <si>
    <t>HB2637124462</t>
  </si>
  <si>
    <t>JSP148270121TWK</t>
  </si>
  <si>
    <t>HP2637121254</t>
  </si>
  <si>
    <t>이찬호</t>
  </si>
  <si>
    <t>A9GDN</t>
  </si>
  <si>
    <t>한나여행사[스타필드빌리지 운정]</t>
  </si>
  <si>
    <t>CTP104261118KE4</t>
  </si>
  <si>
    <t>HP2636931456</t>
  </si>
  <si>
    <t>CVP114261025OZ1</t>
  </si>
  <si>
    <t>HP2636927354</t>
  </si>
  <si>
    <t>HP2636927362</t>
  </si>
  <si>
    <t>HP2636927732</t>
  </si>
  <si>
    <t>JKP130261101TWH</t>
  </si>
  <si>
    <t>HP2636949846</t>
  </si>
  <si>
    <t>JWP1472611277CK</t>
  </si>
  <si>
    <t>HP2636977174</t>
  </si>
  <si>
    <t>CCP132261121MUL</t>
  </si>
  <si>
    <t>HP2637001920</t>
  </si>
  <si>
    <t>AVQ229270107TWA</t>
  </si>
  <si>
    <t>HQ2637025080</t>
  </si>
  <si>
    <t>AVP221270107ZEB</t>
  </si>
  <si>
    <t>HP2637027524</t>
  </si>
  <si>
    <t>AVP221270107TWB</t>
  </si>
  <si>
    <t>HP2637027344</t>
  </si>
  <si>
    <t>HP2637027352</t>
  </si>
  <si>
    <t>소그룹</t>
  </si>
  <si>
    <t>AVQ259261104TWX</t>
  </si>
  <si>
    <t>HQ2636056320</t>
  </si>
  <si>
    <t>CJP1072611153U1</t>
  </si>
  <si>
    <t>HP2637055340</t>
  </si>
  <si>
    <t>AVG211270103YPZ</t>
  </si>
  <si>
    <t>HG2637121668</t>
  </si>
  <si>
    <t>HG2637121676</t>
  </si>
  <si>
    <t>AVP239270206WEJ</t>
  </si>
  <si>
    <t>HP2637113700</t>
  </si>
  <si>
    <t>ATP2042612157CB</t>
  </si>
  <si>
    <t>HP2637120788</t>
  </si>
  <si>
    <t>JSQ040261227KEX</t>
  </si>
  <si>
    <t>HQ2637109370</t>
  </si>
  <si>
    <t>A9GKT</t>
  </si>
  <si>
    <t>(주) 월투어[이마트 풍산점]</t>
  </si>
  <si>
    <t>AVB259261129ZEX</t>
  </si>
  <si>
    <t>HB2634835724</t>
  </si>
  <si>
    <t>JWP137270129ZEM</t>
  </si>
  <si>
    <t>HP2637000712</t>
  </si>
  <si>
    <t>JAP240261018TW8</t>
  </si>
  <si>
    <t>HP2637050208</t>
  </si>
  <si>
    <t>CRP114261019OZA</t>
  </si>
  <si>
    <t>HP2637070796</t>
  </si>
  <si>
    <t>JSP148261113TW8</t>
  </si>
  <si>
    <t>HP2637094630</t>
  </si>
  <si>
    <t>JSP1482611137CI</t>
  </si>
  <si>
    <t>HP2637094526</t>
  </si>
  <si>
    <t>A9H58</t>
  </si>
  <si>
    <t>뉴스트래블[롯데마트 주엽점]</t>
  </si>
  <si>
    <t>ASP2102610187CA</t>
  </si>
  <si>
    <t>HP2636932790</t>
  </si>
  <si>
    <t>CJP1042610263U1</t>
  </si>
  <si>
    <t>HP2636931960</t>
  </si>
  <si>
    <t>ATP203261111LJB</t>
  </si>
  <si>
    <t>HP2636934294</t>
  </si>
  <si>
    <t>AKP211261012KEB</t>
  </si>
  <si>
    <t>HP2637028408</t>
  </si>
  <si>
    <t>AKP2112610197C5</t>
  </si>
  <si>
    <t>HP2637051740</t>
  </si>
  <si>
    <t>ATP504261101RFB</t>
  </si>
  <si>
    <t>HP2637089568</t>
  </si>
  <si>
    <t>A9LUM</t>
  </si>
  <si>
    <t>수여행사[롯데백화점 일산점]</t>
  </si>
  <si>
    <t>EEP134261028KEE</t>
  </si>
  <si>
    <t>HP2636931514</t>
  </si>
  <si>
    <t>EMP113270205KEN</t>
  </si>
  <si>
    <t>HP2636973714</t>
  </si>
  <si>
    <t>유네스코</t>
  </si>
  <si>
    <t>AWP203270113KEB</t>
  </si>
  <si>
    <t>HP2637057554</t>
  </si>
  <si>
    <t>CGP182261020OZ1</t>
  </si>
  <si>
    <t>HP2637058484</t>
  </si>
  <si>
    <t>APP2322702067CI</t>
  </si>
  <si>
    <t>HP2637075120</t>
  </si>
  <si>
    <t>HP2637117576</t>
  </si>
  <si>
    <t>A9MR2</t>
  </si>
  <si>
    <t>씨엘투어[이마트 화정점]</t>
  </si>
  <si>
    <t>AKP2112610197CB</t>
  </si>
  <si>
    <t>HP2636925754</t>
  </si>
  <si>
    <t>JSP1472610097CW</t>
  </si>
  <si>
    <t>HP2636948018</t>
  </si>
  <si>
    <t>CCP132261108CZL</t>
  </si>
  <si>
    <t>HP2634233048</t>
  </si>
  <si>
    <t>JKP140261209TWO</t>
  </si>
  <si>
    <t>HP2636965318</t>
  </si>
  <si>
    <t>JOP141261103TWH</t>
  </si>
  <si>
    <t>HP2636986762</t>
  </si>
  <si>
    <t>JOP141261103WE5</t>
  </si>
  <si>
    <t>HP2636986514</t>
  </si>
  <si>
    <t>CXP135261128KEA</t>
  </si>
  <si>
    <t>HP2636986532</t>
  </si>
  <si>
    <t>JOP1412611087CX</t>
  </si>
  <si>
    <t>HP2637027304</t>
  </si>
  <si>
    <t>ESP132261201KEA</t>
  </si>
  <si>
    <t>HP2637050872</t>
  </si>
  <si>
    <t>JSP148261213TWL</t>
  </si>
  <si>
    <t>HP2637055974</t>
  </si>
  <si>
    <t>JYP140261026RSG</t>
  </si>
  <si>
    <t>HP2637051568</t>
  </si>
  <si>
    <t>AAP215270208TWB</t>
  </si>
  <si>
    <t>HP2637099264</t>
  </si>
  <si>
    <t>CCP104261128MUC</t>
  </si>
  <si>
    <t>HP2637098466</t>
  </si>
  <si>
    <t>CXQ100270218KE1</t>
  </si>
  <si>
    <t>HQ2637110978</t>
  </si>
  <si>
    <t>CXQ100270218ZE1</t>
  </si>
  <si>
    <t>HQ2637111188</t>
  </si>
  <si>
    <t>CJP1042612063U1</t>
  </si>
  <si>
    <t>HP2637121172</t>
  </si>
  <si>
    <t>HP2637121200</t>
  </si>
  <si>
    <t>CYP1042702179HO</t>
  </si>
  <si>
    <t>HP2637117306</t>
  </si>
  <si>
    <t>PH00277</t>
  </si>
  <si>
    <t>굿타임여행사[에브리데이 탄현역점]</t>
  </si>
  <si>
    <t>CCP109270112CZ3</t>
  </si>
  <si>
    <t>HP2637060800</t>
  </si>
  <si>
    <t>AVP239270116WEJ</t>
  </si>
  <si>
    <t>HP2637070746</t>
  </si>
  <si>
    <t>AVP239270109WEJ</t>
  </si>
  <si>
    <t>HP2637070606</t>
  </si>
  <si>
    <t>HP2637070714</t>
  </si>
  <si>
    <t>PAP101261108TW3</t>
  </si>
  <si>
    <t>HP2637115470</t>
  </si>
  <si>
    <t>장승민</t>
  </si>
  <si>
    <t>A9JSF</t>
  </si>
  <si>
    <t>휴앤조이트레블[이마트 남양주점]</t>
  </si>
  <si>
    <t>AKP201261020ZEG</t>
  </si>
  <si>
    <t>HP2636963410</t>
  </si>
  <si>
    <t>ASP211261010SQV</t>
  </si>
  <si>
    <t>HP2636964062</t>
  </si>
  <si>
    <t>CCP104270206KEC</t>
  </si>
  <si>
    <t>HP2636988724</t>
  </si>
  <si>
    <t>AKP550261109000</t>
  </si>
  <si>
    <t>HP2637057004</t>
  </si>
  <si>
    <t>A9JYB</t>
  </si>
  <si>
    <t>누누로여행사[이마트 별내점]</t>
  </si>
  <si>
    <t>AKP559261027001</t>
  </si>
  <si>
    <t>HP2636954876</t>
  </si>
  <si>
    <t>JOP146261013WEL</t>
  </si>
  <si>
    <t>HP2637006876</t>
  </si>
  <si>
    <t>AAG200261120KEQ</t>
  </si>
  <si>
    <t>HG2637025194</t>
  </si>
  <si>
    <t>JOP140261102OZB</t>
  </si>
  <si>
    <t>HP2637079550</t>
  </si>
  <si>
    <t>A9LYT</t>
  </si>
  <si>
    <t>여행시작[롯데백화점 구리점]</t>
  </si>
  <si>
    <t>JSP148270108TWK</t>
  </si>
  <si>
    <t>HP2636925198</t>
  </si>
  <si>
    <t>HHP106261219KE2</t>
  </si>
  <si>
    <t>HP2636947130</t>
  </si>
  <si>
    <t>JKP130261113TWX</t>
  </si>
  <si>
    <t>HP2637034622</t>
  </si>
  <si>
    <t>AKP110261027BXG</t>
  </si>
  <si>
    <t>HP2637035954</t>
  </si>
  <si>
    <t>AKP31026102300A</t>
  </si>
  <si>
    <t>HP2637053838</t>
  </si>
  <si>
    <t>JWP140270108TWL</t>
  </si>
  <si>
    <t>HP2637117844</t>
  </si>
  <si>
    <t>A9M7W</t>
  </si>
  <si>
    <t>투어스토리[이마트 하남점]</t>
  </si>
  <si>
    <t>PAP102270105OZ3</t>
  </si>
  <si>
    <t>HP2636926606</t>
  </si>
  <si>
    <t>JCP421261012D0T</t>
  </si>
  <si>
    <t>HP2636609208</t>
  </si>
  <si>
    <t>HP2636925592</t>
  </si>
  <si>
    <t>AAP205261125TWB</t>
  </si>
  <si>
    <t>HP2636932266</t>
  </si>
  <si>
    <t>AVB2522610299GC</t>
  </si>
  <si>
    <t>HB2636950240</t>
  </si>
  <si>
    <t>EWP171261022TWE</t>
  </si>
  <si>
    <t>HP2636954276</t>
  </si>
  <si>
    <t>JTP641261024TWS</t>
  </si>
  <si>
    <t>HP2636951504</t>
  </si>
  <si>
    <t>JOP1412610257CX</t>
  </si>
  <si>
    <t>HP2636957734</t>
  </si>
  <si>
    <t>ATP322261116LJQ</t>
  </si>
  <si>
    <t>HP2636947972</t>
  </si>
  <si>
    <t>AVP203261021KEB</t>
  </si>
  <si>
    <t>HP2636964658</t>
  </si>
  <si>
    <t>EWP194261119OZV</t>
  </si>
  <si>
    <t>HP2636984408</t>
  </si>
  <si>
    <t>크루즈</t>
  </si>
  <si>
    <t>C</t>
  </si>
  <si>
    <t>ASC001270114OZ0</t>
  </si>
  <si>
    <t>HC2636983286</t>
  </si>
  <si>
    <t>EEP113261022OZZ</t>
  </si>
  <si>
    <t>HP2636984184</t>
  </si>
  <si>
    <t>AVP233261026KE1</t>
  </si>
  <si>
    <t>HP2637016446</t>
  </si>
  <si>
    <t>CGP104261108TW2</t>
  </si>
  <si>
    <t>HP2637014968</t>
  </si>
  <si>
    <t>AVB2322702037C1</t>
  </si>
  <si>
    <t>HB2637032008</t>
  </si>
  <si>
    <t>JAP141261112LJA</t>
  </si>
  <si>
    <t>HP2637032760</t>
  </si>
  <si>
    <t>JWP147261119TWC</t>
  </si>
  <si>
    <t>HP2637052040</t>
  </si>
  <si>
    <t>PAP102270116OZ3</t>
  </si>
  <si>
    <t>HP2637062632</t>
  </si>
  <si>
    <t>ETP131261102KEA</t>
  </si>
  <si>
    <t>HP2637053622</t>
  </si>
  <si>
    <t>JAP644261030TW8</t>
  </si>
  <si>
    <t>HP2637052240</t>
  </si>
  <si>
    <t>APB2322611277CA</t>
  </si>
  <si>
    <t>HB2637074320</t>
  </si>
  <si>
    <t>ACP2012612137C1</t>
  </si>
  <si>
    <t>HP2637069198</t>
  </si>
  <si>
    <t>AVP201261203OZM</t>
  </si>
  <si>
    <t>HP2637086850</t>
  </si>
  <si>
    <t>JOP136261220TWH</t>
  </si>
  <si>
    <t>HP2637087656</t>
  </si>
  <si>
    <t>JMB1382611027CV</t>
  </si>
  <si>
    <t>HB2637113720</t>
  </si>
  <si>
    <t>PAP102270210OZ3</t>
  </si>
  <si>
    <t>HP2637114212</t>
  </si>
  <si>
    <t>CXP111261101ZET</t>
  </si>
  <si>
    <t>HP2637127000</t>
  </si>
  <si>
    <t>APP2322612287CI</t>
  </si>
  <si>
    <t>HP2637117728</t>
  </si>
  <si>
    <t>정솔빈</t>
  </si>
  <si>
    <t>A9ESY</t>
  </si>
  <si>
    <t>유매인터내셔널[롯데백화점 미아점]</t>
  </si>
  <si>
    <t>AVP634261021TWA</t>
  </si>
  <si>
    <t>HP2636924002</t>
  </si>
  <si>
    <t>AVP229261214TW1</t>
  </si>
  <si>
    <t>HP2636932440</t>
  </si>
  <si>
    <t>EWP144261025OZ1</t>
  </si>
  <si>
    <t>HP2636925796</t>
  </si>
  <si>
    <t>AVP2332611157C2</t>
  </si>
  <si>
    <t>HP2636932686</t>
  </si>
  <si>
    <t>JOP140261007LJA</t>
  </si>
  <si>
    <t>HP2636932210</t>
  </si>
  <si>
    <t>HP2636932204</t>
  </si>
  <si>
    <t>CCP325261203KE7</t>
  </si>
  <si>
    <t>HP2636934062</t>
  </si>
  <si>
    <t>HP2636934054</t>
  </si>
  <si>
    <t>AVP221270105VJB</t>
  </si>
  <si>
    <t>HP2636956622</t>
  </si>
  <si>
    <t>HP2636956632</t>
  </si>
  <si>
    <t>AVP231261202TWC</t>
  </si>
  <si>
    <t>HP2636955258</t>
  </si>
  <si>
    <t>AVP321270105VJA</t>
  </si>
  <si>
    <t>HP2636956606</t>
  </si>
  <si>
    <t>AVP531270104RFB</t>
  </si>
  <si>
    <t>HP2636941558</t>
  </si>
  <si>
    <t>JKP332261022BXK</t>
  </si>
  <si>
    <t>HP2636950580</t>
  </si>
  <si>
    <t>ABP203261101KEG</t>
  </si>
  <si>
    <t>HP2636957378</t>
  </si>
  <si>
    <t>CNP134261018CZI</t>
  </si>
  <si>
    <t>HP2636950662</t>
  </si>
  <si>
    <t>CSP134261029MUT</t>
  </si>
  <si>
    <t>HP2636947568</t>
  </si>
  <si>
    <t>HP2636947570</t>
  </si>
  <si>
    <t>CTP117261108SCT</t>
  </si>
  <si>
    <t>HP2636941750</t>
  </si>
  <si>
    <t>JWP1482612237C4</t>
  </si>
  <si>
    <t>HP2636968718</t>
  </si>
  <si>
    <t>JOB1382611017CL</t>
  </si>
  <si>
    <t>HB2636977844</t>
  </si>
  <si>
    <t>CAP101261027SC9</t>
  </si>
  <si>
    <t>HP2636979066</t>
  </si>
  <si>
    <t>JSP345261212TW5</t>
  </si>
  <si>
    <t>HP2636977110</t>
  </si>
  <si>
    <t>CEP101261023CAE</t>
  </si>
  <si>
    <t>HP2636708714</t>
  </si>
  <si>
    <t>PAP101261022TW3</t>
  </si>
  <si>
    <t>HP2637011596</t>
  </si>
  <si>
    <t>JOP631261030TWB</t>
  </si>
  <si>
    <t>HP2637011690</t>
  </si>
  <si>
    <t>AVP231261119TWA</t>
  </si>
  <si>
    <t>HP2637002496</t>
  </si>
  <si>
    <t>CBP104261109KEB</t>
  </si>
  <si>
    <t>HP2637011202</t>
  </si>
  <si>
    <t>ALP3002702217C2</t>
  </si>
  <si>
    <t>HP2637034332</t>
  </si>
  <si>
    <t>EWP141261122KEW</t>
  </si>
  <si>
    <t>HP2637041828</t>
  </si>
  <si>
    <t>JOP340270225LJS</t>
  </si>
  <si>
    <t>HP2637055178</t>
  </si>
  <si>
    <t>HP2637055194</t>
  </si>
  <si>
    <t>HP2637062336</t>
  </si>
  <si>
    <t>HP2637069034</t>
  </si>
  <si>
    <t>HP2637069000</t>
  </si>
  <si>
    <t>HP2637068966</t>
  </si>
  <si>
    <t>JSP548270113RFS</t>
  </si>
  <si>
    <t>HP2637070908</t>
  </si>
  <si>
    <t>CAP1012611197C2</t>
  </si>
  <si>
    <t>HP2637070586</t>
  </si>
  <si>
    <t>CAP101261119SC9</t>
  </si>
  <si>
    <t>HP2637070444</t>
  </si>
  <si>
    <t>CJP321261116BXO</t>
  </si>
  <si>
    <t>HP2637068926</t>
  </si>
  <si>
    <t>JOB149261116TW4</t>
  </si>
  <si>
    <t>HB2637088428</t>
  </si>
  <si>
    <t>JKB130261118ZEN</t>
  </si>
  <si>
    <t>HB2637090998</t>
  </si>
  <si>
    <t>AVP2342612267C5</t>
  </si>
  <si>
    <t>HP2637090158</t>
  </si>
  <si>
    <t>밍글링 투어</t>
  </si>
  <si>
    <t>CCP259261126CZA</t>
  </si>
  <si>
    <t>HP2637128844</t>
  </si>
  <si>
    <t>JKP140261119TWO</t>
  </si>
  <si>
    <t>HP2637113252</t>
  </si>
  <si>
    <t>영업5팀</t>
  </si>
  <si>
    <t>김용섭C</t>
  </si>
  <si>
    <t>PH03749</t>
  </si>
  <si>
    <t>감성여행사[이마트 원주점]</t>
  </si>
  <si>
    <t>ATP2042611157CB</t>
  </si>
  <si>
    <t>HP2636927064</t>
  </si>
  <si>
    <t>CJP104261022KEA</t>
  </si>
  <si>
    <t>HP2636966850</t>
  </si>
  <si>
    <t>AVP259270106TWZ</t>
  </si>
  <si>
    <t>HP2636973740</t>
  </si>
  <si>
    <t>AKP31026101900A</t>
  </si>
  <si>
    <t>HP2637005626</t>
  </si>
  <si>
    <t>CMQ1902612167CA</t>
  </si>
  <si>
    <t>HP2637001918</t>
  </si>
  <si>
    <t>AVP225261110BXH</t>
  </si>
  <si>
    <t>HP2637033604</t>
  </si>
  <si>
    <t>AVP2212612307CB</t>
  </si>
  <si>
    <t>HP2637096428</t>
  </si>
  <si>
    <t>박재영B</t>
  </si>
  <si>
    <t>A9D5G</t>
  </si>
  <si>
    <t>(주)중부여행사[롯데마트 석사점]</t>
  </si>
  <si>
    <t>트레킹</t>
  </si>
  <si>
    <t>CDQ252261102KEQ</t>
  </si>
  <si>
    <t>HQ2636636874</t>
  </si>
  <si>
    <t>CYP1082702289H1</t>
  </si>
  <si>
    <t>HP2636951646</t>
  </si>
  <si>
    <t>JOP140270115RFT</t>
  </si>
  <si>
    <t>HP2637030844</t>
  </si>
  <si>
    <t>박준석</t>
  </si>
  <si>
    <t>A9IVD</t>
  </si>
  <si>
    <t>아타여행사</t>
  </si>
  <si>
    <t>JOP1312610227CX</t>
  </si>
  <si>
    <t>HP2636984660</t>
  </si>
  <si>
    <t>JSP148270108TWV</t>
  </si>
  <si>
    <t>HP2637008452</t>
  </si>
  <si>
    <t>ATP204270109OZY</t>
  </si>
  <si>
    <t>HP2637061182</t>
  </si>
  <si>
    <t>A9N5O</t>
  </si>
  <si>
    <t>샤인투어(주)[이마트 춘천점]</t>
  </si>
  <si>
    <t>AAQ200261216TW6</t>
  </si>
  <si>
    <t>HQ2636930702</t>
  </si>
  <si>
    <t>ATQ2802702257C1</t>
  </si>
  <si>
    <t>HQ2636875130</t>
  </si>
  <si>
    <t>AVQ239270224TW1</t>
  </si>
  <si>
    <t>HQ2636931550</t>
  </si>
  <si>
    <t>CJQ100270126RS1</t>
  </si>
  <si>
    <t>HQ2636928664</t>
  </si>
  <si>
    <t>AVB533261117RFA</t>
  </si>
  <si>
    <t>HB2636963924</t>
  </si>
  <si>
    <t>CJP104261105RS1</t>
  </si>
  <si>
    <t>HP2637010764</t>
  </si>
  <si>
    <t>CJQ100270112RSU</t>
  </si>
  <si>
    <t>HQ2637034926</t>
  </si>
  <si>
    <t>EEP133261106KEX</t>
  </si>
  <si>
    <t>HP2637030952</t>
  </si>
  <si>
    <t>JOP140261020LJA</t>
  </si>
  <si>
    <t>HP2637121898</t>
  </si>
  <si>
    <t>PH02793</t>
  </si>
  <si>
    <t>브리즈투어[롯데슈퍼 춘천점]</t>
  </si>
  <si>
    <t>APP210261112TWK</t>
  </si>
  <si>
    <t>HP2637001964</t>
  </si>
  <si>
    <t>ATP214261211LJO</t>
  </si>
  <si>
    <t>HP2637081910</t>
  </si>
  <si>
    <t>임창수</t>
  </si>
  <si>
    <t>A9KFO</t>
  </si>
  <si>
    <t>하나트래블[롯데마트 원주점]</t>
  </si>
  <si>
    <t>AVQ259261207LJD</t>
  </si>
  <si>
    <t>HQ2636932120</t>
  </si>
  <si>
    <t>CNQ053261017OZ1</t>
  </si>
  <si>
    <t>HQ2635735162</t>
  </si>
  <si>
    <t>JOP146261224ZEZ</t>
  </si>
  <si>
    <t>HP2636930790</t>
  </si>
  <si>
    <t>JKP140270205RS2</t>
  </si>
  <si>
    <t>HP2636948040</t>
  </si>
  <si>
    <t>JTP140261109ZET</t>
  </si>
  <si>
    <t>HP2636947682</t>
  </si>
  <si>
    <t>AVQ2592702067CX</t>
  </si>
  <si>
    <t>HQ2636953666</t>
  </si>
  <si>
    <t>AVQ259261109LJX</t>
  </si>
  <si>
    <t>HQ2636953622</t>
  </si>
  <si>
    <t>CTQ130261114KEQ</t>
  </si>
  <si>
    <t>HP2636691966</t>
  </si>
  <si>
    <t>AMP202261212MHA</t>
  </si>
  <si>
    <t>HP2637005102</t>
  </si>
  <si>
    <t>APQ251270110PR7</t>
  </si>
  <si>
    <t>HQ2637034428</t>
  </si>
  <si>
    <t>APQ251270117PR7</t>
  </si>
  <si>
    <t>HQ2637049438</t>
  </si>
  <si>
    <t>CJQ621261120ZET</t>
  </si>
  <si>
    <t>HQ2636756242</t>
  </si>
  <si>
    <t>HWP135270111OZ1</t>
  </si>
  <si>
    <t>HP2637058610</t>
  </si>
  <si>
    <t>CJQ100261120ZE1</t>
  </si>
  <si>
    <t>HQ2636755506</t>
  </si>
  <si>
    <t>AVQ209270110WEX</t>
  </si>
  <si>
    <t>HQ2637055000</t>
  </si>
  <si>
    <t>AVP351261220ZEG</t>
  </si>
  <si>
    <t>HP2637080700</t>
  </si>
  <si>
    <t>PAP101270228JQ3</t>
  </si>
  <si>
    <t>HP2637094764</t>
  </si>
  <si>
    <t>AVQ229270126TWA</t>
  </si>
  <si>
    <t>HQ2637116410</t>
  </si>
  <si>
    <t>CCP104261107MUC</t>
  </si>
  <si>
    <t>HP2637119746</t>
  </si>
  <si>
    <t>CGP107261024LJ2</t>
  </si>
  <si>
    <t>HP2637115664</t>
  </si>
  <si>
    <t>PH03809</t>
  </si>
  <si>
    <t>레미투어[이마트 제천점]</t>
  </si>
  <si>
    <t>CWQ100261118KE1</t>
  </si>
  <si>
    <t>HQ2635315558</t>
  </si>
  <si>
    <t>AVP202261022OZA</t>
  </si>
  <si>
    <t>HP2636929428</t>
  </si>
  <si>
    <t>ACQ200270110ZEY</t>
  </si>
  <si>
    <t>HQ2636953030</t>
  </si>
  <si>
    <t>AKP93226103000A</t>
  </si>
  <si>
    <t>HP2636988076</t>
  </si>
  <si>
    <t>AVQ229270213VNA</t>
  </si>
  <si>
    <t>HQ2637008210</t>
  </si>
  <si>
    <t>JKP140261125TW9</t>
  </si>
  <si>
    <t>HP2637028582</t>
  </si>
  <si>
    <t>AVQ239261214TWX</t>
  </si>
  <si>
    <t>HQ2637030140</t>
  </si>
  <si>
    <t>EWP141261029OZW</t>
  </si>
  <si>
    <t>HP2637048910</t>
  </si>
  <si>
    <t>AVP351261212ZEF</t>
  </si>
  <si>
    <t>HP2637102484</t>
  </si>
  <si>
    <t>JKP130261114RF0</t>
  </si>
  <si>
    <t>HP2637115204</t>
  </si>
  <si>
    <t>ATP504270214RFB</t>
  </si>
  <si>
    <t>HP2637111142</t>
  </si>
  <si>
    <t>영업2실</t>
  </si>
  <si>
    <t>영업10팀</t>
  </si>
  <si>
    <t>김성수D</t>
  </si>
  <si>
    <t>A9F9O</t>
  </si>
  <si>
    <t>하늘여행사[이마트 안성점]</t>
  </si>
  <si>
    <t>JCP422261113N0S</t>
  </si>
  <si>
    <t>HP2636926728</t>
  </si>
  <si>
    <t>JNG1272612267CG</t>
  </si>
  <si>
    <t>HG2636946280</t>
  </si>
  <si>
    <t>CCP132261028CZL</t>
  </si>
  <si>
    <t>HP2636946862</t>
  </si>
  <si>
    <t>JOP130261119TWN</t>
  </si>
  <si>
    <t>HP2636963752</t>
  </si>
  <si>
    <t>AVP251261214TWD</t>
  </si>
  <si>
    <t>HP2637028724</t>
  </si>
  <si>
    <t>JNP1402612097CY</t>
  </si>
  <si>
    <t>HP2637027586</t>
  </si>
  <si>
    <t>AKQ995261113009</t>
  </si>
  <si>
    <t>HQ2637050834</t>
  </si>
  <si>
    <t>AVP2052702197CM</t>
  </si>
  <si>
    <t>HP2637048852</t>
  </si>
  <si>
    <t>ATP214261112OZB</t>
  </si>
  <si>
    <t>HP2637118220</t>
  </si>
  <si>
    <t>A9JTS</t>
  </si>
  <si>
    <t>허니문클럽[이마트 평택점]</t>
  </si>
  <si>
    <t>AVQ239270113TWA</t>
  </si>
  <si>
    <t>HP2636929198</t>
  </si>
  <si>
    <t>기타</t>
  </si>
  <si>
    <t>AVP539261231TWB</t>
  </si>
  <si>
    <t>HP2636923424</t>
  </si>
  <si>
    <t>CHP131270121ZE7</t>
  </si>
  <si>
    <t>HP2636929222</t>
  </si>
  <si>
    <t>ATP207261114LJT</t>
  </si>
  <si>
    <t>HP2636957042</t>
  </si>
  <si>
    <t>AVP231270112KEB</t>
  </si>
  <si>
    <t>HP2636957408</t>
  </si>
  <si>
    <t>AVP231270114KEB</t>
  </si>
  <si>
    <t>HP2636957444</t>
  </si>
  <si>
    <t>AVB251261214TWA</t>
  </si>
  <si>
    <t>HB2636966062</t>
  </si>
  <si>
    <t>JSP148261106TWL</t>
  </si>
  <si>
    <t>HP2636967124</t>
  </si>
  <si>
    <t>JWP137261106ZEA</t>
  </si>
  <si>
    <t>HP2636986280</t>
  </si>
  <si>
    <t>HP2636984558</t>
  </si>
  <si>
    <t>HP2636984474</t>
  </si>
  <si>
    <t>HP2636984894</t>
  </si>
  <si>
    <t>AVQ251261125RS2</t>
  </si>
  <si>
    <t>HQ2636885930</t>
  </si>
  <si>
    <t>AVQ251261125RS3</t>
  </si>
  <si>
    <t>HQ2637002808</t>
  </si>
  <si>
    <t>하나프리팩</t>
  </si>
  <si>
    <t>AVB222261214TWB</t>
  </si>
  <si>
    <t>HB2637010092</t>
  </si>
  <si>
    <t>JOP146261103RSY</t>
  </si>
  <si>
    <t>HP2637010376</t>
  </si>
  <si>
    <t>CJQ100261111GJG</t>
  </si>
  <si>
    <t>HQ2635428498</t>
  </si>
  <si>
    <t>AVB253261218TWA</t>
  </si>
  <si>
    <t>HB2637037710</t>
  </si>
  <si>
    <t>HHB102270111KE6</t>
  </si>
  <si>
    <t>HB2637034374</t>
  </si>
  <si>
    <t>JSP148261222TWL</t>
  </si>
  <si>
    <t>HP2636350768</t>
  </si>
  <si>
    <t>AVP207270108OZA</t>
  </si>
  <si>
    <t>HP2637031080</t>
  </si>
  <si>
    <t>PSP1352611127CC</t>
  </si>
  <si>
    <t>HP2637032026</t>
  </si>
  <si>
    <t>ASP210270116TWA</t>
  </si>
  <si>
    <t>HP2637030892</t>
  </si>
  <si>
    <t>AVB533270107TWA</t>
  </si>
  <si>
    <t>HB2637051574</t>
  </si>
  <si>
    <t>AVQ239270113KED</t>
  </si>
  <si>
    <t>HB2637053200</t>
  </si>
  <si>
    <t>APP2302611197CI</t>
  </si>
  <si>
    <t>HP2637057394</t>
  </si>
  <si>
    <t>JSP148261230TW8</t>
  </si>
  <si>
    <t>HP2637069562</t>
  </si>
  <si>
    <t>JSP148261223TW8</t>
  </si>
  <si>
    <t>HP2637087324</t>
  </si>
  <si>
    <t>JSP148261229TW8</t>
  </si>
  <si>
    <t>HP2637113170</t>
  </si>
  <si>
    <t>CWQ100261030OZX</t>
  </si>
  <si>
    <t>HQ2637122872</t>
  </si>
  <si>
    <t>A9NPJ</t>
  </si>
  <si>
    <t>아름여행사[이마트 화성봉담점]</t>
  </si>
  <si>
    <t>AVP231270125LJB</t>
  </si>
  <si>
    <t>HP2636974572</t>
  </si>
  <si>
    <t>ADW273261206KE2</t>
  </si>
  <si>
    <t>HW2637073104</t>
  </si>
  <si>
    <t>PH08246</t>
  </si>
  <si>
    <t>티엘투어(주)[AK평택점]</t>
  </si>
  <si>
    <t>JKP140261023TWI</t>
  </si>
  <si>
    <t>HP2636936452</t>
  </si>
  <si>
    <t>CJP102261107RS1</t>
  </si>
  <si>
    <t>HP2636934328</t>
  </si>
  <si>
    <t>EEP163261106LO1</t>
  </si>
  <si>
    <t>HP2637009366</t>
  </si>
  <si>
    <t>JOP140270117TWK</t>
  </si>
  <si>
    <t>HP2637013514</t>
  </si>
  <si>
    <t>APP2322611037CI</t>
  </si>
  <si>
    <t>HP2637007058</t>
  </si>
  <si>
    <t>AAP203261103TWS</t>
  </si>
  <si>
    <t>HP2637032086</t>
  </si>
  <si>
    <t>JSP148261018TWV</t>
  </si>
  <si>
    <t>HP2637059132</t>
  </si>
  <si>
    <t>AVP221270108KEC</t>
  </si>
  <si>
    <t>HP2637056560</t>
  </si>
  <si>
    <t>APP2322611247CI</t>
  </si>
  <si>
    <t>HP2637063306</t>
  </si>
  <si>
    <t>JSP150261109WEL</t>
  </si>
  <si>
    <t>HP2637058562</t>
  </si>
  <si>
    <t>AVP252261227LJC</t>
  </si>
  <si>
    <t>HP2637069950</t>
  </si>
  <si>
    <t>JSP148261018TWL</t>
  </si>
  <si>
    <t>HP2637087110</t>
  </si>
  <si>
    <t>JSP140261223YPA</t>
  </si>
  <si>
    <t>HP2637086248</t>
  </si>
  <si>
    <t>APP232270105LJI</t>
  </si>
  <si>
    <t>HP2637094524</t>
  </si>
  <si>
    <t>JWP148261027TW2</t>
  </si>
  <si>
    <t>HP2637113804</t>
  </si>
  <si>
    <t>JOP181270127OZB</t>
  </si>
  <si>
    <t>HP2637122978</t>
  </si>
  <si>
    <t>ABP223270111OZD</t>
  </si>
  <si>
    <t>HP2637127714</t>
  </si>
  <si>
    <t>김홍식</t>
  </si>
  <si>
    <t>A3164</t>
  </si>
  <si>
    <t>하나관광여행사[이마트 오산점]</t>
  </si>
  <si>
    <t>HP2636921826</t>
  </si>
  <si>
    <t>EWP132261026KE7</t>
  </si>
  <si>
    <t>HP2636936026</t>
  </si>
  <si>
    <t>AVP203261108WEA</t>
  </si>
  <si>
    <t>HP2636952126</t>
  </si>
  <si>
    <t>HP2636964004</t>
  </si>
  <si>
    <t>JSP1412701107CK</t>
  </si>
  <si>
    <t>HP2636966106</t>
  </si>
  <si>
    <t>JSP1482611197CI</t>
  </si>
  <si>
    <t>HP2636991414</t>
  </si>
  <si>
    <t>JOP141261106TWH</t>
  </si>
  <si>
    <t>HP2637004466</t>
  </si>
  <si>
    <t>JOP141261124TWH</t>
  </si>
  <si>
    <t>HP2637003480</t>
  </si>
  <si>
    <t>CAQ290261222AG1</t>
  </si>
  <si>
    <t>HQ2637013592</t>
  </si>
  <si>
    <t>HQ2637013626</t>
  </si>
  <si>
    <t>JOP1402612217CK</t>
  </si>
  <si>
    <t>HP2637014028</t>
  </si>
  <si>
    <t>ATP2072701017C0</t>
  </si>
  <si>
    <t>HP2637039860</t>
  </si>
  <si>
    <t>ATP214261125LJS</t>
  </si>
  <si>
    <t>HP2637037918</t>
  </si>
  <si>
    <t>ATP214261127LJO</t>
  </si>
  <si>
    <t>HP2637031512</t>
  </si>
  <si>
    <t>JOP141261016TWG</t>
  </si>
  <si>
    <t>HP2637056210</t>
  </si>
  <si>
    <t>AVP233270228KE1</t>
  </si>
  <si>
    <t>HP2637062326</t>
  </si>
  <si>
    <t>APP216270101TWA</t>
  </si>
  <si>
    <t>HP2637070882</t>
  </si>
  <si>
    <t>APP216261208TWQ</t>
  </si>
  <si>
    <t>HP2637121138</t>
  </si>
  <si>
    <t>JNP1402610287CB</t>
  </si>
  <si>
    <t>HP2637125500</t>
  </si>
  <si>
    <t>EWP171261210TWW</t>
  </si>
  <si>
    <t>HP2637115170</t>
  </si>
  <si>
    <t>HP2637120472</t>
  </si>
  <si>
    <t>AVP203261205OZA</t>
  </si>
  <si>
    <t>HP2637117324</t>
  </si>
  <si>
    <t>CHP141261120YPB</t>
  </si>
  <si>
    <t>HP2637119734</t>
  </si>
  <si>
    <t>A9KRA</t>
  </si>
  <si>
    <t>예스여행[이마트 흥덕점]</t>
  </si>
  <si>
    <t>CAG1202610257CA</t>
  </si>
  <si>
    <t>HG2636926306</t>
  </si>
  <si>
    <t>ESP162261129OZZ</t>
  </si>
  <si>
    <t>HP2636955856</t>
  </si>
  <si>
    <t>CHP131261213YPA</t>
  </si>
  <si>
    <t>HP2637031642</t>
  </si>
  <si>
    <t>CAP101261205SCT</t>
  </si>
  <si>
    <t>HP2637062996</t>
  </si>
  <si>
    <t>AVP232270107VNE</t>
  </si>
  <si>
    <t>HP2637116540</t>
  </si>
  <si>
    <t>PH01378</t>
  </si>
  <si>
    <t>티엘투어(주)[트레이더스 동탄점]</t>
  </si>
  <si>
    <t>CXQ100261215KE1</t>
  </si>
  <si>
    <t>HQ2636194682</t>
  </si>
  <si>
    <t>JKP140261019ZE3</t>
  </si>
  <si>
    <t>HP2637055862</t>
  </si>
  <si>
    <t>JSP148261231ZEV</t>
  </si>
  <si>
    <t>HP2637051962</t>
  </si>
  <si>
    <t>JOP141261123ZED</t>
  </si>
  <si>
    <t>HP2637056528</t>
  </si>
  <si>
    <t>AAP203261110TWS</t>
  </si>
  <si>
    <t>HP2637056338</t>
  </si>
  <si>
    <t>CCP3322611137CN</t>
  </si>
  <si>
    <t>HP2637122208</t>
  </si>
  <si>
    <t>PH04582</t>
  </si>
  <si>
    <t>올데이트래블[롯데백화점 수원점]</t>
  </si>
  <si>
    <t>ACP201261116LJ1</t>
  </si>
  <si>
    <t>HP2636932628</t>
  </si>
  <si>
    <t>AVQ251261212KE2</t>
  </si>
  <si>
    <t>HQ2636956998</t>
  </si>
  <si>
    <t>ATP207261107LJQ</t>
  </si>
  <si>
    <t>HP2637002090</t>
  </si>
  <si>
    <t>AKP2012611227CG</t>
  </si>
  <si>
    <t>HP2637013924</t>
  </si>
  <si>
    <t>AVQ251261212BX2</t>
  </si>
  <si>
    <t>HQ2637025604</t>
  </si>
  <si>
    <t>JOP141261126BXF</t>
  </si>
  <si>
    <t>HP2637072334</t>
  </si>
  <si>
    <t>CJP117261109LJ1</t>
  </si>
  <si>
    <t>HP2637071966</t>
  </si>
  <si>
    <t>AVQ251261211KE2</t>
  </si>
  <si>
    <t>HQ2637121536</t>
  </si>
  <si>
    <t>ATB282261106TWC</t>
  </si>
  <si>
    <t>HB2637109650</t>
  </si>
  <si>
    <t>JWQ04026121200Y</t>
  </si>
  <si>
    <t>HQ2637115094</t>
  </si>
  <si>
    <t>PH05631</t>
  </si>
  <si>
    <t>정투어[롯데마트 권선점]</t>
  </si>
  <si>
    <t>JKP140261227RSN</t>
  </si>
  <si>
    <t>HP2636985726</t>
  </si>
  <si>
    <t>HP2636987044</t>
  </si>
  <si>
    <t>AKP2012611067CG</t>
  </si>
  <si>
    <t>HP2636985396</t>
  </si>
  <si>
    <t>AVP255261028TWB</t>
  </si>
  <si>
    <t>HP2635351010</t>
  </si>
  <si>
    <t>ATP014261107ZEB</t>
  </si>
  <si>
    <t>HP2637037578</t>
  </si>
  <si>
    <t>JCP421261120D0D</t>
  </si>
  <si>
    <t>HP2637052438</t>
  </si>
  <si>
    <t>HP2637087000</t>
  </si>
  <si>
    <t>JSP148261113ZEW</t>
  </si>
  <si>
    <t>HP2637086662</t>
  </si>
  <si>
    <t>HP2637095542</t>
  </si>
  <si>
    <t>JKP140261021RSF</t>
  </si>
  <si>
    <t>HP2637117008</t>
  </si>
  <si>
    <t>PH07497</t>
  </si>
  <si>
    <t>오션디티[스타필드마켓 동탄점]</t>
  </si>
  <si>
    <t>HP2636934090</t>
  </si>
  <si>
    <t>HWP135261102KE1</t>
  </si>
  <si>
    <t>HP2636933068</t>
  </si>
  <si>
    <t>ACP201261213KE1</t>
  </si>
  <si>
    <t>HP2636934208</t>
  </si>
  <si>
    <t>JTP147261213KEN</t>
  </si>
  <si>
    <t>HP2636934610</t>
  </si>
  <si>
    <t>신상품</t>
  </si>
  <si>
    <t>ADX72026100700E</t>
  </si>
  <si>
    <t>HX2636935812</t>
  </si>
  <si>
    <t>AVP2502612137CM</t>
  </si>
  <si>
    <t>HP2636967264</t>
  </si>
  <si>
    <t>PGP234270104KE3</t>
  </si>
  <si>
    <t>HP2636985304</t>
  </si>
  <si>
    <t>JKB631261106TWF</t>
  </si>
  <si>
    <t>HB2637014738</t>
  </si>
  <si>
    <t>JOP141261030TW4</t>
  </si>
  <si>
    <t>HP2637013516</t>
  </si>
  <si>
    <t>CHP131270206CXA</t>
  </si>
  <si>
    <t>HP2637000830</t>
  </si>
  <si>
    <t>JOP141261031TWH</t>
  </si>
  <si>
    <t>HP2637030468</t>
  </si>
  <si>
    <t>JSP1482611027CI</t>
  </si>
  <si>
    <t>HP2637029036</t>
  </si>
  <si>
    <t>JOP131261031TWD</t>
  </si>
  <si>
    <t>HP2637030506</t>
  </si>
  <si>
    <t>AVP231261124TWB</t>
  </si>
  <si>
    <t>HP2637027798</t>
  </si>
  <si>
    <t>AVQ209270121OZD</t>
  </si>
  <si>
    <t>HQ2637047474</t>
  </si>
  <si>
    <t>HP2637070950</t>
  </si>
  <si>
    <t>CJP1042610293U1</t>
  </si>
  <si>
    <t>HP2637070976</t>
  </si>
  <si>
    <t>EWP141261119OZW</t>
  </si>
  <si>
    <t>HP2637084060</t>
  </si>
  <si>
    <t>ALP3112701037C1</t>
  </si>
  <si>
    <t>HP2637124050</t>
  </si>
  <si>
    <t>PH07659</t>
  </si>
  <si>
    <t>(주)월드투어넷[롯데백화점 안산점]</t>
  </si>
  <si>
    <t>CAP101261101SC5</t>
  </si>
  <si>
    <t>HP2636925146</t>
  </si>
  <si>
    <t>ABW221270111KE5</t>
  </si>
  <si>
    <t>HW2636965812</t>
  </si>
  <si>
    <t>EEP134270105OZE</t>
  </si>
  <si>
    <t>HP2636987842</t>
  </si>
  <si>
    <t>AVQ209261202OZD</t>
  </si>
  <si>
    <t>HQ2637070668</t>
  </si>
  <si>
    <t>APP2262612117CA</t>
  </si>
  <si>
    <t>HP2637087438</t>
  </si>
  <si>
    <t>최은명</t>
  </si>
  <si>
    <t>A9251</t>
  </si>
  <si>
    <t>행복한여행자클럽[스타필드마켓 죽전점]</t>
  </si>
  <si>
    <t>HP2636926658</t>
  </si>
  <si>
    <t>JSP140261028ZEH</t>
  </si>
  <si>
    <t>HP2636947540</t>
  </si>
  <si>
    <t>PGP135261120RS3</t>
  </si>
  <si>
    <t>HP2636983464</t>
  </si>
  <si>
    <t>CJP104261126RS1</t>
  </si>
  <si>
    <t>HP2636985852</t>
  </si>
  <si>
    <t>JOP131261121TWD</t>
  </si>
  <si>
    <t>HP2637024172</t>
  </si>
  <si>
    <t>HP2637030692</t>
  </si>
  <si>
    <t>JOP1312612027CS</t>
  </si>
  <si>
    <t>HP2637084852</t>
  </si>
  <si>
    <t>AKP552261027000</t>
  </si>
  <si>
    <t>HP2637112158</t>
  </si>
  <si>
    <t>HP2637112384</t>
  </si>
  <si>
    <t>JOP1312611057CX</t>
  </si>
  <si>
    <t>HP2637112116</t>
  </si>
  <si>
    <t>A9A6A</t>
  </si>
  <si>
    <t>하나여행사[롯데몰 수지점]</t>
  </si>
  <si>
    <t>CGP1042611147C2</t>
  </si>
  <si>
    <t>HP2636928418</t>
  </si>
  <si>
    <t>AKP551261016000</t>
  </si>
  <si>
    <t>HP2636945364</t>
  </si>
  <si>
    <t>ACP2012612307C1</t>
  </si>
  <si>
    <t>HP2636945202</t>
  </si>
  <si>
    <t>EMP113270108KEM</t>
  </si>
  <si>
    <t>HP2636945760</t>
  </si>
  <si>
    <t>PAP101270107OZ3</t>
  </si>
  <si>
    <t>HP2636967220</t>
  </si>
  <si>
    <t>EWP137270108OZR</t>
  </si>
  <si>
    <t>HP2636572388</t>
  </si>
  <si>
    <t>EWP131261107OZC</t>
  </si>
  <si>
    <t>HP2636985600</t>
  </si>
  <si>
    <t>EWP135261125KER</t>
  </si>
  <si>
    <t>HP2637012574</t>
  </si>
  <si>
    <t>EMP113270108KEP</t>
  </si>
  <si>
    <t>HP2637014436</t>
  </si>
  <si>
    <t>CCP104261126KEA</t>
  </si>
  <si>
    <t>HP2637026994</t>
  </si>
  <si>
    <t>CCP104261125KEA</t>
  </si>
  <si>
    <t>HP2637027768</t>
  </si>
  <si>
    <t>CCP104261124KEA</t>
  </si>
  <si>
    <t>HP2637027024</t>
  </si>
  <si>
    <t>AKP606261020001</t>
  </si>
  <si>
    <t>HP2637062058</t>
  </si>
  <si>
    <t>CCP104261025CZA</t>
  </si>
  <si>
    <t>HP2636499820</t>
  </si>
  <si>
    <t>CCP104261114OZA</t>
  </si>
  <si>
    <t>HP2637055664</t>
  </si>
  <si>
    <t>CGP104261118LJ2</t>
  </si>
  <si>
    <t>HP2637062110</t>
  </si>
  <si>
    <t>APP232270123LJB</t>
  </si>
  <si>
    <t>HP2637088020</t>
  </si>
  <si>
    <t>HP2637109372</t>
  </si>
  <si>
    <t>PH04817</t>
  </si>
  <si>
    <t>더존투어[이마트 용인점]</t>
  </si>
  <si>
    <t>AVP231261021WEC</t>
  </si>
  <si>
    <t>HP2636963344</t>
  </si>
  <si>
    <t>ESP131270121KEA</t>
  </si>
  <si>
    <t>HP2636963888</t>
  </si>
  <si>
    <t>CJP117261226KE1</t>
  </si>
  <si>
    <t>HP2636416806</t>
  </si>
  <si>
    <t>ETP131261219TKM</t>
  </si>
  <si>
    <t>HP2636985220</t>
  </si>
  <si>
    <t>EWP162261114KEN</t>
  </si>
  <si>
    <t>HP2637057464</t>
  </si>
  <si>
    <t>AKP559261117000</t>
  </si>
  <si>
    <t>HP2637084936</t>
  </si>
  <si>
    <t>CHP101270110TWV</t>
  </si>
  <si>
    <t>HP2637081026</t>
  </si>
  <si>
    <t>PH07268</t>
  </si>
  <si>
    <t>(주) 핑투어[이마트 수지점]</t>
  </si>
  <si>
    <t>AKP154261108KEU</t>
  </si>
  <si>
    <t>HP2636965730</t>
  </si>
  <si>
    <t>AVP231261122RSC</t>
  </si>
  <si>
    <t>HP2636977852</t>
  </si>
  <si>
    <t>AMP202270105MHA</t>
  </si>
  <si>
    <t>HP2636973690</t>
  </si>
  <si>
    <t>ADP284270205ZEA</t>
  </si>
  <si>
    <t>HP2636974696</t>
  </si>
  <si>
    <t>JSP140261111TWM</t>
  </si>
  <si>
    <t>HP2636988554</t>
  </si>
  <si>
    <t>PGP235261014RS1</t>
  </si>
  <si>
    <t>HP2637002694</t>
  </si>
  <si>
    <t>AVP229261124KE5</t>
  </si>
  <si>
    <t>HP2637005242</t>
  </si>
  <si>
    <t>HP2637007354</t>
  </si>
  <si>
    <t>AVQ229261124KEX</t>
  </si>
  <si>
    <t>HQ2637027498</t>
  </si>
  <si>
    <t>AVP239261130WEJ</t>
  </si>
  <si>
    <t>HP2637084582</t>
  </si>
  <si>
    <t>AVP239261231WEJ</t>
  </si>
  <si>
    <t>HP2637091046</t>
  </si>
  <si>
    <t>AVP229270106TW2</t>
  </si>
  <si>
    <t>HP2637086380</t>
  </si>
  <si>
    <t>영업11팀</t>
  </si>
  <si>
    <t>강준구</t>
  </si>
  <si>
    <t>A7153</t>
  </si>
  <si>
    <t>퍼시픽스타투어[롯데백화점 중동점]</t>
  </si>
  <si>
    <t>AVP259261123LJZ</t>
  </si>
  <si>
    <t>HP2636954542</t>
  </si>
  <si>
    <t>HP2636946064</t>
  </si>
  <si>
    <t>AKP2112610257CB</t>
  </si>
  <si>
    <t>HP2636954180</t>
  </si>
  <si>
    <t>APP2322612147CA</t>
  </si>
  <si>
    <t>HP2636949442</t>
  </si>
  <si>
    <t>AVP239261205TWD</t>
  </si>
  <si>
    <t>HP2636966574</t>
  </si>
  <si>
    <t>ESP132270109TK1</t>
  </si>
  <si>
    <t>HP2636421444</t>
  </si>
  <si>
    <t>AVP204261027WEA</t>
  </si>
  <si>
    <t>HP2637008934</t>
  </si>
  <si>
    <t>CGP104261114LJ2</t>
  </si>
  <si>
    <t>HP2637034784</t>
  </si>
  <si>
    <t>JKP141261104TWY</t>
  </si>
  <si>
    <t>HP2637058958</t>
  </si>
  <si>
    <t>AKP211261019KES</t>
  </si>
  <si>
    <t>HP2637056890</t>
  </si>
  <si>
    <t>APP2322611027CA</t>
  </si>
  <si>
    <t>HP2637049262</t>
  </si>
  <si>
    <t>ATP277261109TWB</t>
  </si>
  <si>
    <t>HP2637070504</t>
  </si>
  <si>
    <t>PH05074</t>
  </si>
  <si>
    <t>여행플래너[이마트 중동점]</t>
  </si>
  <si>
    <t>JKP1402610187CA</t>
  </si>
  <si>
    <t>HP2636926722</t>
  </si>
  <si>
    <t>HP2636926198</t>
  </si>
  <si>
    <t>JKP140261030TW7</t>
  </si>
  <si>
    <t>HP2636923436</t>
  </si>
  <si>
    <t>EMP135270114QRE</t>
  </si>
  <si>
    <t>HP2636936100</t>
  </si>
  <si>
    <t>AVP233261109WEA</t>
  </si>
  <si>
    <t>HP2636925674</t>
  </si>
  <si>
    <t>AVP239261025TWD</t>
  </si>
  <si>
    <t>HP2636925688</t>
  </si>
  <si>
    <t>CUP137261103KE5</t>
  </si>
  <si>
    <t>HP2636930322</t>
  </si>
  <si>
    <t>JWQ040261202ZE2</t>
  </si>
  <si>
    <t>HQ2636953888</t>
  </si>
  <si>
    <t>JWQ040261202ZER</t>
  </si>
  <si>
    <t>HQ2636953710</t>
  </si>
  <si>
    <t>JOP1412611017CX</t>
  </si>
  <si>
    <t>HP2636944618</t>
  </si>
  <si>
    <t>JOP141261021LJO</t>
  </si>
  <si>
    <t>HP2636948242</t>
  </si>
  <si>
    <t>HP2636948264</t>
  </si>
  <si>
    <t>AVP205261029KEM</t>
  </si>
  <si>
    <t>HP2636947010</t>
  </si>
  <si>
    <t>JSP148261029TW8</t>
  </si>
  <si>
    <t>HP2636948974</t>
  </si>
  <si>
    <t>EMP135261028EKT</t>
  </si>
  <si>
    <t>HP2636949784</t>
  </si>
  <si>
    <t>EMP135261230EKA</t>
  </si>
  <si>
    <t>HP2636161882</t>
  </si>
  <si>
    <t>HP2636947838</t>
  </si>
  <si>
    <t>CAP101261103SC2</t>
  </si>
  <si>
    <t>HP2636964368</t>
  </si>
  <si>
    <t>JOP185261119OZV</t>
  </si>
  <si>
    <t>HP2636963666</t>
  </si>
  <si>
    <t>AAP203270226TWA</t>
  </si>
  <si>
    <t>HP2636964070</t>
  </si>
  <si>
    <t>ACP363270105BXA</t>
  </si>
  <si>
    <t>HP2636965334</t>
  </si>
  <si>
    <t>ETP161261115KEC</t>
  </si>
  <si>
    <t>HP2636986624</t>
  </si>
  <si>
    <t>PNP101261208KE1</t>
  </si>
  <si>
    <t>HP2637012146</t>
  </si>
  <si>
    <t>JKP140270104TW2</t>
  </si>
  <si>
    <t>HP2637000146</t>
  </si>
  <si>
    <t>JSP140270105TWN</t>
  </si>
  <si>
    <t>HP2637006048</t>
  </si>
  <si>
    <t>JSP148261028TWL</t>
  </si>
  <si>
    <t>HP2637014864</t>
  </si>
  <si>
    <t>JSP548270109RFS</t>
  </si>
  <si>
    <t>HP2637038532</t>
  </si>
  <si>
    <t>AVP225261223VJD</t>
  </si>
  <si>
    <t>HP2637028900</t>
  </si>
  <si>
    <t>ATP214261116LJB</t>
  </si>
  <si>
    <t>HP2637034794</t>
  </si>
  <si>
    <t>JOB331261104TWA</t>
  </si>
  <si>
    <t>HB2637049124</t>
  </si>
  <si>
    <t>JKP433261030CRJ</t>
  </si>
  <si>
    <t>HP2635892006</t>
  </si>
  <si>
    <t>AKP33826111300A</t>
  </si>
  <si>
    <t>HP2637071996</t>
  </si>
  <si>
    <t>PAP101261031TW3</t>
  </si>
  <si>
    <t>HP2637070160</t>
  </si>
  <si>
    <t>ETP161270127TKC</t>
  </si>
  <si>
    <t>HP2637071662</t>
  </si>
  <si>
    <t>JSP147261230WEE</t>
  </si>
  <si>
    <t>HP2637069664</t>
  </si>
  <si>
    <t>CXP164261103KEA</t>
  </si>
  <si>
    <t>HP2637069356</t>
  </si>
  <si>
    <t>CGP3252610177CA</t>
  </si>
  <si>
    <t>HP2637068546</t>
  </si>
  <si>
    <t>HP2637068564</t>
  </si>
  <si>
    <t>EEP133261224OZN</t>
  </si>
  <si>
    <t>HP2637068552</t>
  </si>
  <si>
    <t>에어카텔</t>
  </si>
  <si>
    <t>AKB2772612217CA</t>
  </si>
  <si>
    <t>HB2637079980</t>
  </si>
  <si>
    <t>JOP1852610287CX</t>
  </si>
  <si>
    <t>HP2637086738</t>
  </si>
  <si>
    <t>AVP231261217TWC</t>
  </si>
  <si>
    <t>HP2637079556</t>
  </si>
  <si>
    <t>CJP1172612033U1</t>
  </si>
  <si>
    <t>HP2637088308</t>
  </si>
  <si>
    <t>JKP140261115TWA</t>
  </si>
  <si>
    <t>HP2637089294</t>
  </si>
  <si>
    <t>CJP1172611283U1</t>
  </si>
  <si>
    <t>HP2637088456</t>
  </si>
  <si>
    <t>EEP163270121KE9</t>
  </si>
  <si>
    <t>HP2637089348</t>
  </si>
  <si>
    <t>JOP1462610287CX</t>
  </si>
  <si>
    <t>HP2637086668</t>
  </si>
  <si>
    <t>HP2637079062</t>
  </si>
  <si>
    <t>AVP207261229WEA</t>
  </si>
  <si>
    <t>HP2637089314</t>
  </si>
  <si>
    <t>EWP146270218EKO</t>
  </si>
  <si>
    <t>HP2637097712</t>
  </si>
  <si>
    <t>AVP225261031BXA</t>
  </si>
  <si>
    <t>HP2637112610</t>
  </si>
  <si>
    <t>CAP104261109KE5</t>
  </si>
  <si>
    <t>HP2637121486</t>
  </si>
  <si>
    <t>ATP612261106TWB</t>
  </si>
  <si>
    <t>HP2637121474</t>
  </si>
  <si>
    <t>CJP627261109TWS</t>
  </si>
  <si>
    <t>HP2637113206</t>
  </si>
  <si>
    <t>CJP627261116TWS</t>
  </si>
  <si>
    <t>HP2637114094</t>
  </si>
  <si>
    <t>ETX734261023001</t>
  </si>
  <si>
    <t>HX2637119742</t>
  </si>
  <si>
    <t>시내 투어</t>
  </si>
  <si>
    <t>AVX75126101500H</t>
  </si>
  <si>
    <t>HX2637122032</t>
  </si>
  <si>
    <t>AVX75126102600H</t>
  </si>
  <si>
    <t>HX2637124386</t>
  </si>
  <si>
    <t>권준성</t>
  </si>
  <si>
    <t>A9IWT</t>
  </si>
  <si>
    <t>정투어[이마트 검단점]</t>
  </si>
  <si>
    <t>AVP201261012WEW</t>
  </si>
  <si>
    <t>HP2636929876</t>
  </si>
  <si>
    <t>HP2636929900</t>
  </si>
  <si>
    <t>ATP204261113LJB</t>
  </si>
  <si>
    <t>HP2636931544</t>
  </si>
  <si>
    <t>CJP107261213OZ1</t>
  </si>
  <si>
    <t>HP2636938404</t>
  </si>
  <si>
    <t>PAP103261116KE2</t>
  </si>
  <si>
    <t>HP2637002770</t>
  </si>
  <si>
    <t>ATP204261105LJB</t>
  </si>
  <si>
    <t>HP2637009692</t>
  </si>
  <si>
    <t>CHP171270205CXA</t>
  </si>
  <si>
    <t>HP2637011446</t>
  </si>
  <si>
    <t>APQ054270215PRA</t>
  </si>
  <si>
    <t>HQ2637055248</t>
  </si>
  <si>
    <t>A9LN2</t>
  </si>
  <si>
    <t>세계로투어</t>
  </si>
  <si>
    <t>AWP206270117KEC</t>
  </si>
  <si>
    <t>HP2636946308</t>
  </si>
  <si>
    <t>AVQ2592611207CG</t>
  </si>
  <si>
    <t>HQ2636888094</t>
  </si>
  <si>
    <t>AVQ2392701207CD</t>
  </si>
  <si>
    <t>HB2637033030</t>
  </si>
  <si>
    <t>AKP966261030006</t>
  </si>
  <si>
    <t>HP2637119394</t>
  </si>
  <si>
    <t>JWP137261118ZE6</t>
  </si>
  <si>
    <t>HP2637123966</t>
  </si>
  <si>
    <t>김우진B</t>
  </si>
  <si>
    <t>A0667</t>
  </si>
  <si>
    <t>초원여행</t>
  </si>
  <si>
    <t>AVP2502612219GM</t>
  </si>
  <si>
    <t>HP2636948206</t>
  </si>
  <si>
    <t>A8710</t>
  </si>
  <si>
    <t>가자여행사[뉴코아 인천점]</t>
  </si>
  <si>
    <t>AKP560261009000</t>
  </si>
  <si>
    <t>HP2636947518</t>
  </si>
  <si>
    <t>ADB235261222KEA</t>
  </si>
  <si>
    <t>HB2636956422</t>
  </si>
  <si>
    <t>JKP1302612187CD</t>
  </si>
  <si>
    <t>HP2636965612</t>
  </si>
  <si>
    <t>JKP130261127TW1</t>
  </si>
  <si>
    <t>HP2636965634</t>
  </si>
  <si>
    <t>ETP131261109KEA</t>
  </si>
  <si>
    <t>HP2636985424</t>
  </si>
  <si>
    <t>CGP104261031LJ2</t>
  </si>
  <si>
    <t>HP2637001822</t>
  </si>
  <si>
    <t>AVP227261028WEA</t>
  </si>
  <si>
    <t>HP2637015058</t>
  </si>
  <si>
    <t>CGP107261121LJ2</t>
  </si>
  <si>
    <t>HP2637037304</t>
  </si>
  <si>
    <t>ASP210261103SQD</t>
  </si>
  <si>
    <t>HP2637057058</t>
  </si>
  <si>
    <t>ACP201261202ZE1</t>
  </si>
  <si>
    <t>HP2637048236</t>
  </si>
  <si>
    <t>JKP130261121TWQ</t>
  </si>
  <si>
    <t>HP2637059790</t>
  </si>
  <si>
    <t>ASP210261103SQ4</t>
  </si>
  <si>
    <t>HP2637057010</t>
  </si>
  <si>
    <t>JSB147261025LJT</t>
  </si>
  <si>
    <t>HB2637121444</t>
  </si>
  <si>
    <t>AAQ2002612307C7</t>
  </si>
  <si>
    <t>HP2636475328</t>
  </si>
  <si>
    <t>PH03840</t>
  </si>
  <si>
    <t>래빗투어[이마트 계양점]</t>
  </si>
  <si>
    <t>JOP341261217BXP</t>
  </si>
  <si>
    <t>HP2636931306</t>
  </si>
  <si>
    <t>AAP203261128KE3</t>
  </si>
  <si>
    <t>HP2636953618</t>
  </si>
  <si>
    <t>AKP91126112000A</t>
  </si>
  <si>
    <t>HP2637006400</t>
  </si>
  <si>
    <t>AKP91226110500A</t>
  </si>
  <si>
    <t>HP2637055626</t>
  </si>
  <si>
    <t>JKP1402701067CA</t>
  </si>
  <si>
    <t>HP2637126010</t>
  </si>
  <si>
    <t>김지민C</t>
  </si>
  <si>
    <t>A9M2G</t>
  </si>
  <si>
    <t>올인원트레이닝[롯데마트 청라점]</t>
  </si>
  <si>
    <t>JOP131270116BXK</t>
  </si>
  <si>
    <t>HP2636968632</t>
  </si>
  <si>
    <t>레포츠</t>
  </si>
  <si>
    <t>K</t>
  </si>
  <si>
    <t>JWK254261117LJA</t>
  </si>
  <si>
    <t>HK2637072934</t>
  </si>
  <si>
    <t>ASP211270210SQW</t>
  </si>
  <si>
    <t>HP2637075440</t>
  </si>
  <si>
    <t>영업7팀</t>
  </si>
  <si>
    <t>김소윤B</t>
  </si>
  <si>
    <t>A9HS8</t>
  </si>
  <si>
    <t>정성여행사[스타필드 코엑스점]</t>
  </si>
  <si>
    <t>EMP133270118TWL</t>
  </si>
  <si>
    <t>HP2636953188</t>
  </si>
  <si>
    <t>JOP140261115TWU</t>
  </si>
  <si>
    <t>HP2636974588</t>
  </si>
  <si>
    <t>AXW233270208MHB</t>
  </si>
  <si>
    <t>HW2636977942</t>
  </si>
  <si>
    <t>HP2636984602</t>
  </si>
  <si>
    <t>HP2636984840</t>
  </si>
  <si>
    <t>AKP31026102000A</t>
  </si>
  <si>
    <t>HP2637008776</t>
  </si>
  <si>
    <t>CCP132261231OZ2</t>
  </si>
  <si>
    <t>HP2637012452</t>
  </si>
  <si>
    <t>JSP140261219TWN</t>
  </si>
  <si>
    <t>HP2637010506</t>
  </si>
  <si>
    <t>HP2637052208</t>
  </si>
  <si>
    <t>ESP132261206OZ1</t>
  </si>
  <si>
    <t>HP2637062098</t>
  </si>
  <si>
    <t>HHP101261025KEQ</t>
  </si>
  <si>
    <t>HP2637082064</t>
  </si>
  <si>
    <t>HP2637098906</t>
  </si>
  <si>
    <t>CXP122261101ZEG</t>
  </si>
  <si>
    <t>HP2637120784</t>
  </si>
  <si>
    <t>ATP214261101LJO</t>
  </si>
  <si>
    <t>HP2637113514</t>
  </si>
  <si>
    <t>CSP134261101KE9</t>
  </si>
  <si>
    <t>HP2637125170</t>
  </si>
  <si>
    <t>CXP164261119KE1</t>
  </si>
  <si>
    <t>HP2637125588</t>
  </si>
  <si>
    <t>EBP132270202KEB</t>
  </si>
  <si>
    <t>HP2637119618</t>
  </si>
  <si>
    <t>유지호C</t>
  </si>
  <si>
    <t>A9MTM</t>
  </si>
  <si>
    <t>제이에스투어[롯데백화점 잠실점]</t>
  </si>
  <si>
    <t>CCP104261027CZC</t>
  </si>
  <si>
    <t>HP2636931014</t>
  </si>
  <si>
    <t>HP2636931012</t>
  </si>
  <si>
    <t>ACG2222612097C0</t>
  </si>
  <si>
    <t>HG2636948634</t>
  </si>
  <si>
    <t>ACG333261209BX0</t>
  </si>
  <si>
    <t>HG2636948730</t>
  </si>
  <si>
    <t>EWP137261223KEF</t>
  </si>
  <si>
    <t>HP2636945228</t>
  </si>
  <si>
    <t>JSP148261011TWL</t>
  </si>
  <si>
    <t>HP2636946522</t>
  </si>
  <si>
    <t>JSP140261012TWN</t>
  </si>
  <si>
    <t>HP2636957428</t>
  </si>
  <si>
    <t>CAP1512610257C1</t>
  </si>
  <si>
    <t>HP2636978498</t>
  </si>
  <si>
    <t>CAP1542610257CA</t>
  </si>
  <si>
    <t>HP2636978502</t>
  </si>
  <si>
    <t>CCP687261027MU1</t>
  </si>
  <si>
    <t>HP2636989044</t>
  </si>
  <si>
    <t>PAP101261010JQ1</t>
  </si>
  <si>
    <t>HP2636986310</t>
  </si>
  <si>
    <t>PGP126261015LJ1</t>
  </si>
  <si>
    <t>HP2636985486</t>
  </si>
  <si>
    <t>AVP303261130VJD</t>
  </si>
  <si>
    <t>HP2636988272</t>
  </si>
  <si>
    <t>EWQ111261120OZ5</t>
  </si>
  <si>
    <t>HQ2637011784</t>
  </si>
  <si>
    <t>JMP133261112ZEE</t>
  </si>
  <si>
    <t>HP2637008392</t>
  </si>
  <si>
    <t>JAP240261011TWA</t>
  </si>
  <si>
    <t>HP2637033268</t>
  </si>
  <si>
    <t>JKP334270121ZEG</t>
  </si>
  <si>
    <t>HP2637054486</t>
  </si>
  <si>
    <t>AVP209261108WEJ</t>
  </si>
  <si>
    <t>HP2637069256</t>
  </si>
  <si>
    <t>JSP140261210YPA</t>
  </si>
  <si>
    <t>HP2637071138</t>
  </si>
  <si>
    <t>ATP514261106ZEB</t>
  </si>
  <si>
    <t>HP2637089644</t>
  </si>
  <si>
    <t>EWP135261119KEL</t>
  </si>
  <si>
    <t>HP2637082890</t>
  </si>
  <si>
    <t>HP2637089376</t>
  </si>
  <si>
    <t>CNP131261021OZU</t>
  </si>
  <si>
    <t>HP2637096760</t>
  </si>
  <si>
    <t>JAP341261109LJ2</t>
  </si>
  <si>
    <t>HP2637099808</t>
  </si>
  <si>
    <t>영업8팀</t>
  </si>
  <si>
    <t>김선우</t>
  </si>
  <si>
    <t>A9JP4</t>
  </si>
  <si>
    <t>힐링트레블[롯데마트 김포공항점]</t>
  </si>
  <si>
    <t>ABP200261216KEB</t>
  </si>
  <si>
    <t>HP2636928178</t>
  </si>
  <si>
    <t>CJP104261029RS1</t>
  </si>
  <si>
    <t>HP2636983970</t>
  </si>
  <si>
    <t>CGP1042611157C2</t>
  </si>
  <si>
    <t>HP2637012802</t>
  </si>
  <si>
    <t>AAP241261221OZA</t>
  </si>
  <si>
    <t>HP2637006644</t>
  </si>
  <si>
    <t>CJP104270220RS1</t>
  </si>
  <si>
    <t>HP2637004476</t>
  </si>
  <si>
    <t>CJP104270227RS1</t>
  </si>
  <si>
    <t>HP2637004450</t>
  </si>
  <si>
    <t>CGP1042611157CB</t>
  </si>
  <si>
    <t>HP2637012592</t>
  </si>
  <si>
    <t>AVB236261214KEE</t>
  </si>
  <si>
    <t>HB2637069678</t>
  </si>
  <si>
    <t>AVP252270113LJC</t>
  </si>
  <si>
    <t>HP2637124072</t>
  </si>
  <si>
    <t>APP232270113LJI</t>
  </si>
  <si>
    <t>HP2637124168</t>
  </si>
  <si>
    <t>김성원</t>
  </si>
  <si>
    <t>A9G5M</t>
  </si>
  <si>
    <t>투어메모리[이마트 목동점]</t>
  </si>
  <si>
    <t>ATG235270120TWQ</t>
  </si>
  <si>
    <t>HG2636945036</t>
  </si>
  <si>
    <t>AVB2522611119GI</t>
  </si>
  <si>
    <t>HB2636955800</t>
  </si>
  <si>
    <t>CJP104261114CZ1</t>
  </si>
  <si>
    <t>HP2636967806</t>
  </si>
  <si>
    <t>AKP560261016000</t>
  </si>
  <si>
    <t>HP2637015144</t>
  </si>
  <si>
    <t>트라밸</t>
  </si>
  <si>
    <t>APP220261023KEZ</t>
  </si>
  <si>
    <t>HP2637013258</t>
  </si>
  <si>
    <t>CJP1152611043U1</t>
  </si>
  <si>
    <t>HP2637026290</t>
  </si>
  <si>
    <t>A9H68</t>
  </si>
  <si>
    <t>미루트래블[이마트 신도림점]</t>
  </si>
  <si>
    <t>JMB1382611307CC</t>
  </si>
  <si>
    <t>HB2636952558</t>
  </si>
  <si>
    <t>PAP102261118OZ3</t>
  </si>
  <si>
    <t>HP2636948068</t>
  </si>
  <si>
    <t>AVP221261203TWC</t>
  </si>
  <si>
    <t>HP2636958118</t>
  </si>
  <si>
    <t>JSP140261216YPA</t>
  </si>
  <si>
    <t>HP2636953782</t>
  </si>
  <si>
    <t>JSP143261216YPL</t>
  </si>
  <si>
    <t>HP2636953690</t>
  </si>
  <si>
    <t>AYP2942702147CT</t>
  </si>
  <si>
    <t>HP2636953008</t>
  </si>
  <si>
    <t>CHP103261117TWA</t>
  </si>
  <si>
    <t>HP2637009614</t>
  </si>
  <si>
    <t>CJP107261015CZ1</t>
  </si>
  <si>
    <t>HP2637000802</t>
  </si>
  <si>
    <t>CXP135261202ZEA</t>
  </si>
  <si>
    <t>HP2637085534</t>
  </si>
  <si>
    <t>AVP225261025RSH</t>
  </si>
  <si>
    <t>HP2637111988</t>
  </si>
  <si>
    <t>CHP141261203KEC</t>
  </si>
  <si>
    <t>HP2637118444</t>
  </si>
  <si>
    <t>백지영</t>
  </si>
  <si>
    <t>A9HSC</t>
  </si>
  <si>
    <t>아름다운여행사[NC 강서점]</t>
  </si>
  <si>
    <t>JOP131261027TWD</t>
  </si>
  <si>
    <t>HP2636944796</t>
  </si>
  <si>
    <t>HP2634412854</t>
  </si>
  <si>
    <t>JKP140261109TW7</t>
  </si>
  <si>
    <t>HP2637010246</t>
  </si>
  <si>
    <t>AKP2112611147CS</t>
  </si>
  <si>
    <t>HP2637001012</t>
  </si>
  <si>
    <t>JOQ0402701147CX</t>
  </si>
  <si>
    <t>HQ2637015766</t>
  </si>
  <si>
    <t>ETP161261218TKC</t>
  </si>
  <si>
    <t>HP2637034860</t>
  </si>
  <si>
    <t>HP2637033250</t>
  </si>
  <si>
    <t>JOP141261110TWH</t>
  </si>
  <si>
    <t>HP2637055508</t>
  </si>
  <si>
    <t>JKP1302612177CD</t>
  </si>
  <si>
    <t>HP2637053376</t>
  </si>
  <si>
    <t>JKP140261028TWN</t>
  </si>
  <si>
    <t>HP2637115312</t>
  </si>
  <si>
    <t>영업9팀</t>
  </si>
  <si>
    <t>권오윤</t>
  </si>
  <si>
    <t>A3197</t>
  </si>
  <si>
    <t>화린여행사[이마트 과천점]</t>
  </si>
  <si>
    <t>AVP213270120OZB</t>
  </si>
  <si>
    <t>HP2635517140</t>
  </si>
  <si>
    <t>A3473</t>
  </si>
  <si>
    <t>대한여행사[AK 분당점]</t>
  </si>
  <si>
    <t>JWB1402611227C0</t>
  </si>
  <si>
    <t>HB2636923912</t>
  </si>
  <si>
    <t>JKP1402702067CC</t>
  </si>
  <si>
    <t>HP2636933064</t>
  </si>
  <si>
    <t>ALP2112610217CK</t>
  </si>
  <si>
    <t>HP2636932276</t>
  </si>
  <si>
    <t>JWP341261122LJL</t>
  </si>
  <si>
    <t>HP2636954970</t>
  </si>
  <si>
    <t>ESP131261030TWA</t>
  </si>
  <si>
    <t>HP2636950644</t>
  </si>
  <si>
    <t>CJP107261102OZ1</t>
  </si>
  <si>
    <t>HP2636945644</t>
  </si>
  <si>
    <t>ATP204270206OZY</t>
  </si>
  <si>
    <t>HP2636965154</t>
  </si>
  <si>
    <t>JSP140261026TWN</t>
  </si>
  <si>
    <t>HP2636966474</t>
  </si>
  <si>
    <t>JOP141261019TWG</t>
  </si>
  <si>
    <t>HP2637007732</t>
  </si>
  <si>
    <t>CJP107270109RS1</t>
  </si>
  <si>
    <t>HP2637011142</t>
  </si>
  <si>
    <t>JWP137270124ZE1</t>
  </si>
  <si>
    <t>HP2637025400</t>
  </si>
  <si>
    <t>JSP141261014TWR</t>
  </si>
  <si>
    <t>HP2637023704</t>
  </si>
  <si>
    <t>JTP140261112TW6</t>
  </si>
  <si>
    <t>HP2637049716</t>
  </si>
  <si>
    <t>HP2637045198</t>
  </si>
  <si>
    <t>JAP240261027TWM</t>
  </si>
  <si>
    <t>HP2637098190</t>
  </si>
  <si>
    <t>PAP102261126KE5</t>
  </si>
  <si>
    <t>HP2637097176</t>
  </si>
  <si>
    <t>JAP240261027TWH</t>
  </si>
  <si>
    <t>HP2637096952</t>
  </si>
  <si>
    <t>JKP140261030BXA</t>
  </si>
  <si>
    <t>HP2637122248</t>
  </si>
  <si>
    <t>A9AKO</t>
  </si>
  <si>
    <t>굿모닝하나여행[이마트 평촌점]</t>
  </si>
  <si>
    <t>CHP131261019OZA</t>
  </si>
  <si>
    <t>HP2637001702</t>
  </si>
  <si>
    <t>A9HKT</t>
  </si>
  <si>
    <t>제이여행사[이마트 안양점]</t>
  </si>
  <si>
    <t>PAP221261109KEB</t>
  </si>
  <si>
    <t>HP2636930318</t>
  </si>
  <si>
    <t>AVP241261031VNZ</t>
  </si>
  <si>
    <t>HP2636931354</t>
  </si>
  <si>
    <t>CWP101261123OZL</t>
  </si>
  <si>
    <t>HP2636931524</t>
  </si>
  <si>
    <t>AVP233261203WEA</t>
  </si>
  <si>
    <t>HP2636952366</t>
  </si>
  <si>
    <t>ATP214270227LJY</t>
  </si>
  <si>
    <t>HP2636966572</t>
  </si>
  <si>
    <t>JOX710261024001</t>
  </si>
  <si>
    <t>HX2636983372</t>
  </si>
  <si>
    <t>JOP140261026TWU</t>
  </si>
  <si>
    <t>HP2637003900</t>
  </si>
  <si>
    <t>ADP285261107ZEA</t>
  </si>
  <si>
    <t>HP2637027790</t>
  </si>
  <si>
    <t>AVP229261220ZE8</t>
  </si>
  <si>
    <t>HP2637058546</t>
  </si>
  <si>
    <t>CCP132261113MUL</t>
  </si>
  <si>
    <t>HP2637052304</t>
  </si>
  <si>
    <t>이준현</t>
  </si>
  <si>
    <t>A9D5Q</t>
  </si>
  <si>
    <t>초록여행사[이마트 산본점]</t>
  </si>
  <si>
    <t>AVQ239270210TWA</t>
  </si>
  <si>
    <t>HP2636947382</t>
  </si>
  <si>
    <t>PAP102261012OZ3</t>
  </si>
  <si>
    <t>HP2635938940</t>
  </si>
  <si>
    <t>CHP109261218TWB</t>
  </si>
  <si>
    <t>HP2636951454</t>
  </si>
  <si>
    <t>AVP2032702187CV</t>
  </si>
  <si>
    <t>HP2636955018</t>
  </si>
  <si>
    <t>AKP922261016001</t>
  </si>
  <si>
    <t>HP2636968906</t>
  </si>
  <si>
    <t>AKP922261017001</t>
  </si>
  <si>
    <t>HP2636968950</t>
  </si>
  <si>
    <t>CJP105261201RS1</t>
  </si>
  <si>
    <t>HP2637016378</t>
  </si>
  <si>
    <t>EWP136261103OZ1</t>
  </si>
  <si>
    <t>HP2637016650</t>
  </si>
  <si>
    <t>EWP136261111TWB</t>
  </si>
  <si>
    <t>HP2637014172</t>
  </si>
  <si>
    <t>CXP135261107KEG</t>
  </si>
  <si>
    <t>HP2637033380</t>
  </si>
  <si>
    <t>좌석확보</t>
  </si>
  <si>
    <t>PAP101261112TW1</t>
  </si>
  <si>
    <t>HP2637051218</t>
  </si>
  <si>
    <t>JSP140270118TWN</t>
  </si>
  <si>
    <t>HP2637058720</t>
  </si>
  <si>
    <t>JSP1402611187CS</t>
  </si>
  <si>
    <t>HP2637062478</t>
  </si>
  <si>
    <t>JOP185261129TWH</t>
  </si>
  <si>
    <t>HP2637088544</t>
  </si>
  <si>
    <t>JSP140270130TWN</t>
  </si>
  <si>
    <t>HP2637086488</t>
  </si>
  <si>
    <t>JSP1402611017C1</t>
  </si>
  <si>
    <t>HP2637125036</t>
  </si>
  <si>
    <t>A9LSH</t>
  </si>
  <si>
    <t>리앤최투어[이마트 성남점]</t>
  </si>
  <si>
    <t>AAP203261101VZA</t>
  </si>
  <si>
    <t>HP2636923370</t>
  </si>
  <si>
    <t>AAP276261101VZA</t>
  </si>
  <si>
    <t>HP2636923862</t>
  </si>
  <si>
    <t>CJP1072610133U1</t>
  </si>
  <si>
    <t>HP2636925800</t>
  </si>
  <si>
    <t>JSP140261218TWN</t>
  </si>
  <si>
    <t>HP2636946896</t>
  </si>
  <si>
    <t>ATP203261213KEB</t>
  </si>
  <si>
    <t>HP2636948614</t>
  </si>
  <si>
    <t>CTP107261123KE4</t>
  </si>
  <si>
    <t>HP2636951218</t>
  </si>
  <si>
    <t>PGB225261102KE2</t>
  </si>
  <si>
    <t>HB2636966622</t>
  </si>
  <si>
    <t>JKP1402611257CA</t>
  </si>
  <si>
    <t>HP2636968270</t>
  </si>
  <si>
    <t>JOP171261113BXA</t>
  </si>
  <si>
    <t>HP2636968768</t>
  </si>
  <si>
    <t>JOQ940261204TWH</t>
  </si>
  <si>
    <t>HQ2636328752</t>
  </si>
  <si>
    <t>PGB225261102KE1</t>
  </si>
  <si>
    <t>HB2637015236</t>
  </si>
  <si>
    <t>JSQ040261112TWX</t>
  </si>
  <si>
    <t>HQ2637034500</t>
  </si>
  <si>
    <t>CTQ110261126SCQ</t>
  </si>
  <si>
    <t>HQ2636550796</t>
  </si>
  <si>
    <t>JOQ0402611227CX</t>
  </si>
  <si>
    <t>HQ2637108656</t>
  </si>
  <si>
    <t>A9NMI</t>
  </si>
  <si>
    <t>캐슬투어[롯데마트 맥스금천점]</t>
  </si>
  <si>
    <t>ASP210261108SQV</t>
  </si>
  <si>
    <t>HP2636948030</t>
  </si>
  <si>
    <t>HP2636952516</t>
  </si>
  <si>
    <t>AVP233270125KE1</t>
  </si>
  <si>
    <t>HP2637015024</t>
  </si>
  <si>
    <t>PH04924</t>
  </si>
  <si>
    <t>여행가는길[이마트 분당점]</t>
  </si>
  <si>
    <t>AVQ239261125KEA</t>
  </si>
  <si>
    <t>HQ2636928608</t>
  </si>
  <si>
    <t>EMP133270205KEB</t>
  </si>
  <si>
    <t>HP2636921282</t>
  </si>
  <si>
    <t>AVP233261125KEA</t>
  </si>
  <si>
    <t>HP2636920756</t>
  </si>
  <si>
    <t>CCP321261128KEL</t>
  </si>
  <si>
    <t>HP2636947254</t>
  </si>
  <si>
    <t>HP2636957074</t>
  </si>
  <si>
    <t>AVQ2392612237CD</t>
  </si>
  <si>
    <t>HP2636969022</t>
  </si>
  <si>
    <t>AVP232261203RSC</t>
  </si>
  <si>
    <t>HP2636964824</t>
  </si>
  <si>
    <t>CWU140270227KE1</t>
  </si>
  <si>
    <t>HU2636973824</t>
  </si>
  <si>
    <t>JCP421261013N0S</t>
  </si>
  <si>
    <t>HP2637013212</t>
  </si>
  <si>
    <t>CAP101261016TW2</t>
  </si>
  <si>
    <t>HP2637006594</t>
  </si>
  <si>
    <t>HP2637014712</t>
  </si>
  <si>
    <t>AYP2832611057CB</t>
  </si>
  <si>
    <t>HP2637006142</t>
  </si>
  <si>
    <t>HP2636998828</t>
  </si>
  <si>
    <t>AVP406261217VNO</t>
  </si>
  <si>
    <t>HP2637040134</t>
  </si>
  <si>
    <t>JWP140261118TWL</t>
  </si>
  <si>
    <t>HP2637033484</t>
  </si>
  <si>
    <t>EMP133270201TW7</t>
  </si>
  <si>
    <t>HP2636394408</t>
  </si>
  <si>
    <t>HP2637037826</t>
  </si>
  <si>
    <t>APP222261113KED</t>
  </si>
  <si>
    <t>HP2637047552</t>
  </si>
  <si>
    <t>JKP148261108TWN</t>
  </si>
  <si>
    <t>HP2637074664</t>
  </si>
  <si>
    <t>JOP131261021TWH</t>
  </si>
  <si>
    <t>HP2637074130</t>
  </si>
  <si>
    <t>AVP300261129VJJ</t>
  </si>
  <si>
    <t>HP2637069274</t>
  </si>
  <si>
    <t>AKP211261108KEB</t>
  </si>
  <si>
    <t>HP2637071110</t>
  </si>
  <si>
    <t>CJP621261027ZE3</t>
  </si>
  <si>
    <t>HP2637119676</t>
  </si>
  <si>
    <t>PH08198</t>
  </si>
  <si>
    <t>온드림 여행사[하나로마트 성남점]</t>
  </si>
  <si>
    <t>ATP277261230TWA</t>
  </si>
  <si>
    <t>HP2636925622</t>
  </si>
  <si>
    <t>HHB102261216KE7</t>
  </si>
  <si>
    <t>HB2636988220</t>
  </si>
  <si>
    <t>JSP140261204TWN</t>
  </si>
  <si>
    <t>HP2636987600</t>
  </si>
  <si>
    <t>HP2636987614</t>
  </si>
  <si>
    <t>ATP204261119KE2</t>
  </si>
  <si>
    <t>HP2637007658</t>
  </si>
  <si>
    <t>AVP2262612037CJ</t>
  </si>
  <si>
    <t>HP2637062398</t>
  </si>
  <si>
    <t>ASP210270214SQ4</t>
  </si>
  <si>
    <t>HP2637059928</t>
  </si>
  <si>
    <t>AKP112261026KEG</t>
  </si>
  <si>
    <t>HP2637111414</t>
  </si>
  <si>
    <t>지방사업본부</t>
  </si>
  <si>
    <t>지방영업1실</t>
  </si>
  <si>
    <t>경남팀</t>
  </si>
  <si>
    <t>김태관</t>
  </si>
  <si>
    <t>PH04776</t>
  </si>
  <si>
    <t>주식회사 글로벌교육문화교류원</t>
  </si>
  <si>
    <t>AVQ351270106ZEA</t>
  </si>
  <si>
    <t>HQ2637049706</t>
  </si>
  <si>
    <t>AVQ259270106TWT</t>
  </si>
  <si>
    <t>HQ2637053560</t>
  </si>
  <si>
    <t>CGQ3002610317CY</t>
  </si>
  <si>
    <t>HQ2637054718</t>
  </si>
  <si>
    <t>배창선</t>
  </si>
  <si>
    <t>A9DBN</t>
  </si>
  <si>
    <t>이좋은여행사[이마트 마산점]</t>
  </si>
  <si>
    <t>모바일SCO</t>
  </si>
  <si>
    <t>CCP303261108MUJ</t>
  </si>
  <si>
    <t>HP2636935664</t>
  </si>
  <si>
    <t>ACP361261204ZEA</t>
  </si>
  <si>
    <t>HP2636939636</t>
  </si>
  <si>
    <t>CJP321261031BXO</t>
  </si>
  <si>
    <t>HP2636464900</t>
  </si>
  <si>
    <t>닷컴SCO</t>
  </si>
  <si>
    <t>ATP3222610087CA</t>
  </si>
  <si>
    <t>HP2636923988</t>
  </si>
  <si>
    <t>JKP334270202TW1</t>
  </si>
  <si>
    <t>HP2636927214</t>
  </si>
  <si>
    <t>JOP331261021TWT</t>
  </si>
  <si>
    <t>HP2636958754</t>
  </si>
  <si>
    <t>JKP331270106BXG</t>
  </si>
  <si>
    <t>HP2636960488</t>
  </si>
  <si>
    <t>JOP330261012ZEL</t>
  </si>
  <si>
    <t>HP2636952566</t>
  </si>
  <si>
    <t>AAP302261128BXB</t>
  </si>
  <si>
    <t>HP2636957332</t>
  </si>
  <si>
    <t>JKP331261030ZEH</t>
  </si>
  <si>
    <t>HP2636969544</t>
  </si>
  <si>
    <t>ATP371270106LJ1</t>
  </si>
  <si>
    <t>HP2636979870</t>
  </si>
  <si>
    <t>AVB336261017BX1</t>
  </si>
  <si>
    <t>HP2636986552</t>
  </si>
  <si>
    <t>JOP333261022TWN</t>
  </si>
  <si>
    <t>HP2636607354</t>
  </si>
  <si>
    <t>HP2637014048</t>
  </si>
  <si>
    <t>EEP133261227KET</t>
  </si>
  <si>
    <t>HP2636994734</t>
  </si>
  <si>
    <t>CVP334261018BX1</t>
  </si>
  <si>
    <t>HP2637010410</t>
  </si>
  <si>
    <t>AVP323261130VNA</t>
  </si>
  <si>
    <t>HP2636994628</t>
  </si>
  <si>
    <t>HP2637014762</t>
  </si>
  <si>
    <t>CJP3372611097C1</t>
  </si>
  <si>
    <t>HP2637002084</t>
  </si>
  <si>
    <t>JCP421261028L0A</t>
  </si>
  <si>
    <t>HP2637028780</t>
  </si>
  <si>
    <t>JKP331261105TW5</t>
  </si>
  <si>
    <t>HP2637028522</t>
  </si>
  <si>
    <t>CJP321261118BXN</t>
  </si>
  <si>
    <t>HP2637027036</t>
  </si>
  <si>
    <t>CJP324261116BX1</t>
  </si>
  <si>
    <t>HP2637028664</t>
  </si>
  <si>
    <t>JKP334261113TW1</t>
  </si>
  <si>
    <t>HP2637042094</t>
  </si>
  <si>
    <t>ATP302261017KEB</t>
  </si>
  <si>
    <t>HP2637030974</t>
  </si>
  <si>
    <t>CXP324261203ZE2</t>
  </si>
  <si>
    <t>HP2637025988</t>
  </si>
  <si>
    <t>JWB341261029ZEL</t>
  </si>
  <si>
    <t>HB2637049876</t>
  </si>
  <si>
    <t>CWQ300261010BXN</t>
  </si>
  <si>
    <t>HQ2634615854</t>
  </si>
  <si>
    <t>CJP3212611027C1</t>
  </si>
  <si>
    <t>HP2637071308</t>
  </si>
  <si>
    <t>JOP332261028TWT</t>
  </si>
  <si>
    <t>HP2637067548</t>
  </si>
  <si>
    <t>CCP325261029MU7</t>
  </si>
  <si>
    <t>HP2637072322</t>
  </si>
  <si>
    <t>JOP331261111TWV</t>
  </si>
  <si>
    <t>HP2637090676</t>
  </si>
  <si>
    <t>JOP331261119TW5</t>
  </si>
  <si>
    <t>HP2637103146</t>
  </si>
  <si>
    <t>HP2637128288</t>
  </si>
  <si>
    <t>AVP301261027VJP</t>
  </si>
  <si>
    <t>HP2637115028</t>
  </si>
  <si>
    <t>CJP327261118BXA</t>
  </si>
  <si>
    <t>HP2637117716</t>
  </si>
  <si>
    <t>윤성범</t>
  </si>
  <si>
    <t>A1845</t>
  </si>
  <si>
    <t>브이아이피여행사[이마트 진주점]</t>
  </si>
  <si>
    <t>CAP321261106KEG</t>
  </si>
  <si>
    <t>HP2636933226</t>
  </si>
  <si>
    <t>CAP343261021KEB</t>
  </si>
  <si>
    <t>HP2636941128</t>
  </si>
  <si>
    <t>HP2636958462</t>
  </si>
  <si>
    <t>AVP322270115BXE</t>
  </si>
  <si>
    <t>HP2636963356</t>
  </si>
  <si>
    <t>HP2636970090</t>
  </si>
  <si>
    <t>ADP304261030BX2</t>
  </si>
  <si>
    <t>HP2636979566</t>
  </si>
  <si>
    <t>CCP3542702027C4</t>
  </si>
  <si>
    <t>HP2636986600</t>
  </si>
  <si>
    <t>JSP342261113ZE7</t>
  </si>
  <si>
    <t>HP2636994360</t>
  </si>
  <si>
    <t>PGP343270101LJ0</t>
  </si>
  <si>
    <t>HP2637015420</t>
  </si>
  <si>
    <t>CGP3202610107CP</t>
  </si>
  <si>
    <t>HP2637022468</t>
  </si>
  <si>
    <t>HP2637039516</t>
  </si>
  <si>
    <t>AAP302261014LJB</t>
  </si>
  <si>
    <t>HP2637027740</t>
  </si>
  <si>
    <t>HP2637032514</t>
  </si>
  <si>
    <t>HP2637032604</t>
  </si>
  <si>
    <t>AVQ331270110BXH</t>
  </si>
  <si>
    <t>HP2637051162</t>
  </si>
  <si>
    <t>ATP3222611307CB</t>
  </si>
  <si>
    <t>HP2637063628</t>
  </si>
  <si>
    <t>마침표</t>
  </si>
  <si>
    <t>AVP307261027VNC</t>
  </si>
  <si>
    <t>HP2637053764</t>
  </si>
  <si>
    <t>Slim</t>
  </si>
  <si>
    <t>APP3732611017C2</t>
  </si>
  <si>
    <t>HP2637072868</t>
  </si>
  <si>
    <t>AVB2342611017C4</t>
  </si>
  <si>
    <t>HB2637080878</t>
  </si>
  <si>
    <t>JOP331261112TWV</t>
  </si>
  <si>
    <t>HP2637078830</t>
  </si>
  <si>
    <t>HP2637086944</t>
  </si>
  <si>
    <t>AVP332270108BXH</t>
  </si>
  <si>
    <t>HP2637094452</t>
  </si>
  <si>
    <t>CCP3472611077CA</t>
  </si>
  <si>
    <t>HP2637110984</t>
  </si>
  <si>
    <t>AVP321261025TWB</t>
  </si>
  <si>
    <t>HP2637127048</t>
  </si>
  <si>
    <t>AVP621261206TW2</t>
  </si>
  <si>
    <t>HP2637110630</t>
  </si>
  <si>
    <t>AVP406270109VNO</t>
  </si>
  <si>
    <t>HP2637127664</t>
  </si>
  <si>
    <t>대구경북1팀</t>
  </si>
  <si>
    <t>김효진D</t>
  </si>
  <si>
    <t>PH06540</t>
  </si>
  <si>
    <t>영차투어[이마트 성서점]</t>
  </si>
  <si>
    <t>ATP612270104TWQ</t>
  </si>
  <si>
    <t>HP2636927576</t>
  </si>
  <si>
    <t>AVP322261028TWJ</t>
  </si>
  <si>
    <t>HP2636955806</t>
  </si>
  <si>
    <t>CJP621261013ZE3</t>
  </si>
  <si>
    <t>HP2636965408</t>
  </si>
  <si>
    <t>CHP645261120UO3</t>
  </si>
  <si>
    <t>HP2636977592</t>
  </si>
  <si>
    <t>AVP632270116TW1</t>
  </si>
  <si>
    <t>HP2637015572</t>
  </si>
  <si>
    <t>AWP206261120KEC</t>
  </si>
  <si>
    <t>HP2637003246</t>
  </si>
  <si>
    <t>AVP632261105TWD</t>
  </si>
  <si>
    <t>HP2637058340</t>
  </si>
  <si>
    <t>CCP687261203MU1</t>
  </si>
  <si>
    <t>HP2637055436</t>
  </si>
  <si>
    <t>JKP331270218ZEV</t>
  </si>
  <si>
    <t>HP2637061580</t>
  </si>
  <si>
    <t>JOP343261104TWB</t>
  </si>
  <si>
    <t>HP2637050674</t>
  </si>
  <si>
    <t>JSP641270120TW7</t>
  </si>
  <si>
    <t>HP2637055648</t>
  </si>
  <si>
    <t>PH08592</t>
  </si>
  <si>
    <t>(주)감승투어[롯데마트 구미점]</t>
  </si>
  <si>
    <t>JTP641261014TWT</t>
  </si>
  <si>
    <t>HP2636920898</t>
  </si>
  <si>
    <t>AVP634261128TWA</t>
  </si>
  <si>
    <t>HP2636930864</t>
  </si>
  <si>
    <t>ATP514261114ZEB</t>
  </si>
  <si>
    <t>HP2636927570</t>
  </si>
  <si>
    <t>ATP612261128TWQ</t>
  </si>
  <si>
    <t>HP2636959114</t>
  </si>
  <si>
    <t>ADP287261130ZEA</t>
  </si>
  <si>
    <t>HP2636947136</t>
  </si>
  <si>
    <t>AVP634261216TW1</t>
  </si>
  <si>
    <t>HP2636965950</t>
  </si>
  <si>
    <t>ATP612270105TWW</t>
  </si>
  <si>
    <t>HP2636971358</t>
  </si>
  <si>
    <t>HP2636965992</t>
  </si>
  <si>
    <t>CJP624261116TWP</t>
  </si>
  <si>
    <t>HP2636962998</t>
  </si>
  <si>
    <t>CJP627261113ZES</t>
  </si>
  <si>
    <t>HP2636964900</t>
  </si>
  <si>
    <t>HP2636964892</t>
  </si>
  <si>
    <t>ATP610270109TWB</t>
  </si>
  <si>
    <t>HP2636976134</t>
  </si>
  <si>
    <t>ATP610270110TWQ</t>
  </si>
  <si>
    <t>HP2636976078</t>
  </si>
  <si>
    <t>AVP321270104VJA</t>
  </si>
  <si>
    <t>HP2636985716</t>
  </si>
  <si>
    <t>AVP352270218ZEZ</t>
  </si>
  <si>
    <t>HP2636984356</t>
  </si>
  <si>
    <t>CHP341261218TWA</t>
  </si>
  <si>
    <t>HP2636987758</t>
  </si>
  <si>
    <t>JTP641261030TWR</t>
  </si>
  <si>
    <t>HP2636989760</t>
  </si>
  <si>
    <t>JOP631261107TWZ</t>
  </si>
  <si>
    <t>HP2637014086</t>
  </si>
  <si>
    <t>CHP608270106UOA</t>
  </si>
  <si>
    <t>HP2636840016</t>
  </si>
  <si>
    <t>EMP135261116QR0</t>
  </si>
  <si>
    <t>HP2637011510</t>
  </si>
  <si>
    <t>CJP624261117ZE1</t>
  </si>
  <si>
    <t>HP2637015660</t>
  </si>
  <si>
    <t>APP321261108LJC</t>
  </si>
  <si>
    <t>HP2637014366</t>
  </si>
  <si>
    <t>ATP610261102TWA</t>
  </si>
  <si>
    <t>HP2637037468</t>
  </si>
  <si>
    <t>JKP631261027TWD</t>
  </si>
  <si>
    <t>HP2637025818</t>
  </si>
  <si>
    <t>JKP631261104TWZ</t>
  </si>
  <si>
    <t>HP2637028912</t>
  </si>
  <si>
    <t>HP2637030520</t>
  </si>
  <si>
    <t>APP321261107LJC</t>
  </si>
  <si>
    <t>HP2637031146</t>
  </si>
  <si>
    <t>JOP633261103TWB</t>
  </si>
  <si>
    <t>HP2637051690</t>
  </si>
  <si>
    <t>JOP633270206TWB</t>
  </si>
  <si>
    <t>HP2637051310</t>
  </si>
  <si>
    <t>AAP602261118TWB</t>
  </si>
  <si>
    <t>HP2637065308</t>
  </si>
  <si>
    <t>JCP422261114L0J</t>
  </si>
  <si>
    <t>HP2637071916</t>
  </si>
  <si>
    <t>APP3732611257CX</t>
  </si>
  <si>
    <t>HP2637071520</t>
  </si>
  <si>
    <t>AVP332261227LJ1</t>
  </si>
  <si>
    <t>HP2637069964</t>
  </si>
  <si>
    <t>JOP631261218TW7</t>
  </si>
  <si>
    <t>HP2637073866</t>
  </si>
  <si>
    <t>EEP165261114OZI</t>
  </si>
  <si>
    <t>HP2637089512</t>
  </si>
  <si>
    <t>JOP632261220TWB</t>
  </si>
  <si>
    <t>HP2637095156</t>
  </si>
  <si>
    <t>CJP624261020ZES</t>
  </si>
  <si>
    <t>HP2637097626</t>
  </si>
  <si>
    <t>CJP627261116TWG</t>
  </si>
  <si>
    <t>HP2637098086</t>
  </si>
  <si>
    <t>CCP325270113KE7</t>
  </si>
  <si>
    <t>HP2637097214</t>
  </si>
  <si>
    <t>JCP421261114D0Z</t>
  </si>
  <si>
    <t>HP2637114626</t>
  </si>
  <si>
    <t>CVP622261028TWH</t>
  </si>
  <si>
    <t>HP2637118960</t>
  </si>
  <si>
    <t>AAP602261025TW8</t>
  </si>
  <si>
    <t>HP2637114648</t>
  </si>
  <si>
    <t>AAP602261118TW1</t>
  </si>
  <si>
    <t>HP2637117534</t>
  </si>
  <si>
    <t>안기범</t>
  </si>
  <si>
    <t>PH07401</t>
  </si>
  <si>
    <t>(주)여행가[트레이더스 비산점]</t>
  </si>
  <si>
    <t>4+가족여행</t>
  </si>
  <si>
    <t>JOP641261118TWY</t>
  </si>
  <si>
    <t>HP2636925292</t>
  </si>
  <si>
    <t>JKP631261123TWA</t>
  </si>
  <si>
    <t>HP2636947172</t>
  </si>
  <si>
    <t>JNP341261101BXB</t>
  </si>
  <si>
    <t>HP2636974260</t>
  </si>
  <si>
    <t>CCP627261203MU2</t>
  </si>
  <si>
    <t>HP2637010990</t>
  </si>
  <si>
    <t>HP2637010446</t>
  </si>
  <si>
    <t>CCP332261123KEN</t>
  </si>
  <si>
    <t>HP2637070776</t>
  </si>
  <si>
    <t>CGP3222611217CV</t>
  </si>
  <si>
    <t>HP2637072938</t>
  </si>
  <si>
    <t>HP2637072612</t>
  </si>
  <si>
    <t>JTP641261112TWS</t>
  </si>
  <si>
    <t>HP2637088824</t>
  </si>
  <si>
    <t>HP2637095112</t>
  </si>
  <si>
    <t>ETP131261114OZG</t>
  </si>
  <si>
    <t>HP2637097168</t>
  </si>
  <si>
    <t>이정열</t>
  </si>
  <si>
    <t>A9HAH</t>
  </si>
  <si>
    <t>여행산책[이마트 월배점]</t>
  </si>
  <si>
    <t>JOB630261030TW8</t>
  </si>
  <si>
    <t>HB2636935314</t>
  </si>
  <si>
    <t>CJP621261006ZE8</t>
  </si>
  <si>
    <t>HP2636919682</t>
  </si>
  <si>
    <t>ATP350270111BXB</t>
  </si>
  <si>
    <t>HP2636926072</t>
  </si>
  <si>
    <t>PAP101261107JQ3</t>
  </si>
  <si>
    <t>HP2636956762</t>
  </si>
  <si>
    <t>JSP641270218TWX</t>
  </si>
  <si>
    <t>HP2636967206</t>
  </si>
  <si>
    <t>JCP421261108N0T</t>
  </si>
  <si>
    <t>HP2636963502</t>
  </si>
  <si>
    <t>JOP343261028TWB</t>
  </si>
  <si>
    <t>HP2636965036</t>
  </si>
  <si>
    <t>CGP6952611157CA</t>
  </si>
  <si>
    <t>HP2636965362</t>
  </si>
  <si>
    <t>JOB631261113TWK</t>
  </si>
  <si>
    <t>HB2636977538</t>
  </si>
  <si>
    <t>JOP631261103TWB</t>
  </si>
  <si>
    <t>HP2636979998</t>
  </si>
  <si>
    <t>JSP641270121TWF</t>
  </si>
  <si>
    <t>HP2636984906</t>
  </si>
  <si>
    <t>JOQ631261019TWQ</t>
  </si>
  <si>
    <t>HQ2637000654</t>
  </si>
  <si>
    <t>JOP631270101TWB</t>
  </si>
  <si>
    <t>HP2637019026</t>
  </si>
  <si>
    <t>JCP421261009D0Z</t>
  </si>
  <si>
    <t>HP2637014110</t>
  </si>
  <si>
    <t>HP2637006272</t>
  </si>
  <si>
    <t>CAP624261115QWA</t>
  </si>
  <si>
    <t>HP2636999580</t>
  </si>
  <si>
    <t>CHP363261023TWA</t>
  </si>
  <si>
    <t>HP2637026192</t>
  </si>
  <si>
    <t>APP214261215TWP</t>
  </si>
  <si>
    <t>HP2637034094</t>
  </si>
  <si>
    <t>JOP642270206TWL</t>
  </si>
  <si>
    <t>HP2637047844</t>
  </si>
  <si>
    <t>ATP369261017ZE1</t>
  </si>
  <si>
    <t>HP2637058908</t>
  </si>
  <si>
    <t>JSP342261102LJP</t>
  </si>
  <si>
    <t>HP2637063222</t>
  </si>
  <si>
    <t>CJP624261106ZEA</t>
  </si>
  <si>
    <t>HP2637051846</t>
  </si>
  <si>
    <t>JKP631261110TWD</t>
  </si>
  <si>
    <t>HP2637069458</t>
  </si>
  <si>
    <t>HP2637069612</t>
  </si>
  <si>
    <t>CJP621261108TW6</t>
  </si>
  <si>
    <t>HP2637072694</t>
  </si>
  <si>
    <t>ATP610261117TWP</t>
  </si>
  <si>
    <t>HP2637085526</t>
  </si>
  <si>
    <t>JKP631261120TWY</t>
  </si>
  <si>
    <t>HP2637127082</t>
  </si>
  <si>
    <t>ASP3112612067CM</t>
  </si>
  <si>
    <t>HP2637122352</t>
  </si>
  <si>
    <t>ATP320270102ZEP</t>
  </si>
  <si>
    <t>HP2637119858</t>
  </si>
  <si>
    <t>HP2637113940</t>
  </si>
  <si>
    <t>최경득</t>
  </si>
  <si>
    <t>A9LUJ</t>
  </si>
  <si>
    <t>(주)퍼스트투어[대백프라자]</t>
  </si>
  <si>
    <t>CBP107261014OZA</t>
  </si>
  <si>
    <t>HP2636922914</t>
  </si>
  <si>
    <t>M</t>
  </si>
  <si>
    <t>JAM640261015TW2</t>
  </si>
  <si>
    <t>HM2636950170</t>
  </si>
  <si>
    <t>ATP610261119TWP</t>
  </si>
  <si>
    <t>HP2636959588</t>
  </si>
  <si>
    <t>JAP641261015TW2</t>
  </si>
  <si>
    <t>HP2636949796</t>
  </si>
  <si>
    <t>CJP621261023TW5</t>
  </si>
  <si>
    <t>HP2636970024</t>
  </si>
  <si>
    <t>ATP612270205TWB</t>
  </si>
  <si>
    <t>HP2636977806</t>
  </si>
  <si>
    <t>AVQ631270115TWD</t>
  </si>
  <si>
    <t>HQ2636979218</t>
  </si>
  <si>
    <t>JAP641261027TW6</t>
  </si>
  <si>
    <t>HP2636985332</t>
  </si>
  <si>
    <t>JOP631270114TWB</t>
  </si>
  <si>
    <t>HP2636983790</t>
  </si>
  <si>
    <t>JKP631261108TWY</t>
  </si>
  <si>
    <t>HP2637005152</t>
  </si>
  <si>
    <t>JOP633270114TWB</t>
  </si>
  <si>
    <t>HP2637006446</t>
  </si>
  <si>
    <t>CJP622261115TWP</t>
  </si>
  <si>
    <t>HP2637027766</t>
  </si>
  <si>
    <t>ASP211261013SQC</t>
  </si>
  <si>
    <t>HP2637027894</t>
  </si>
  <si>
    <t>CJP624261027ZE2</t>
  </si>
  <si>
    <t>HP2637024984</t>
  </si>
  <si>
    <t>PAP101261206OZ3</t>
  </si>
  <si>
    <t>HP2637070426</t>
  </si>
  <si>
    <t>ASP210270220TWY</t>
  </si>
  <si>
    <t>HP2637069420</t>
  </si>
  <si>
    <t>HP2637081558</t>
  </si>
  <si>
    <t>AMP202261121MHA</t>
  </si>
  <si>
    <t>HP2637084424</t>
  </si>
  <si>
    <t>대구경북2팀</t>
  </si>
  <si>
    <t>김민우C</t>
  </si>
  <si>
    <t>A6064</t>
  </si>
  <si>
    <t>하나여행사[이마트 포항이동점]</t>
  </si>
  <si>
    <t>AVP325261229VNB</t>
  </si>
  <si>
    <t>HP2636924410</t>
  </si>
  <si>
    <t>AVP325261229VND</t>
  </si>
  <si>
    <t>HP2636924354</t>
  </si>
  <si>
    <t>JSP3422701147CT</t>
  </si>
  <si>
    <t>HP2636977678</t>
  </si>
  <si>
    <t>JSP3422701147C7</t>
  </si>
  <si>
    <t>HP2636977716</t>
  </si>
  <si>
    <t>AVB225270117ZEH</t>
  </si>
  <si>
    <t>HB2637007400</t>
  </si>
  <si>
    <t>JTP331261105LJJ</t>
  </si>
  <si>
    <t>HP2637002218</t>
  </si>
  <si>
    <t>HP2637009640</t>
  </si>
  <si>
    <t>JSP641270114TWX</t>
  </si>
  <si>
    <t>HP2637006468</t>
  </si>
  <si>
    <t>JHC010261101ODZ</t>
  </si>
  <si>
    <t>HC2637000652</t>
  </si>
  <si>
    <t>CJP621261020ZE3</t>
  </si>
  <si>
    <t>HP2637056720</t>
  </si>
  <si>
    <t>CJP627261020ZE3</t>
  </si>
  <si>
    <t>HP2637087770</t>
  </si>
  <si>
    <t>JKP332261020BXV</t>
  </si>
  <si>
    <t>HP2637113530</t>
  </si>
  <si>
    <t>JWP341261204LJW</t>
  </si>
  <si>
    <t>HP2637110820</t>
  </si>
  <si>
    <t>CJP624261110ZE2</t>
  </si>
  <si>
    <t>HP2637110600</t>
  </si>
  <si>
    <t>A9KRY</t>
  </si>
  <si>
    <t>여행대장[롯데백화점 포항점]</t>
  </si>
  <si>
    <t>JOP3312611117CM</t>
  </si>
  <si>
    <t>HP2636954254</t>
  </si>
  <si>
    <t>CEP104261105OZC</t>
  </si>
  <si>
    <t>HP2636946462</t>
  </si>
  <si>
    <t>ESP132270220TKA</t>
  </si>
  <si>
    <t>HP2636956588</t>
  </si>
  <si>
    <t>CGP3222610247CV</t>
  </si>
  <si>
    <t>HP2637033032</t>
  </si>
  <si>
    <t>HP2637029918</t>
  </si>
  <si>
    <t>HP2637033038</t>
  </si>
  <si>
    <t>JKP342261213LJE</t>
  </si>
  <si>
    <t>HP2637057442</t>
  </si>
  <si>
    <t>AVQ331270205KE1</t>
  </si>
  <si>
    <t>HQ2637120766</t>
  </si>
  <si>
    <t>양건모</t>
  </si>
  <si>
    <t>A9JVF</t>
  </si>
  <si>
    <t>투어패밀리[이마트 만촌점]</t>
  </si>
  <si>
    <t>CAP622270110QWT</t>
  </si>
  <si>
    <t>HP2636938512</t>
  </si>
  <si>
    <t>JCP421261101D0J</t>
  </si>
  <si>
    <t>HP2636925704</t>
  </si>
  <si>
    <t>EWP132261104KEM</t>
  </si>
  <si>
    <t>HP2636924888</t>
  </si>
  <si>
    <t>JOP631261128TWB</t>
  </si>
  <si>
    <t>HP2636958704</t>
  </si>
  <si>
    <t>HP2636963212</t>
  </si>
  <si>
    <t>CAP623261028QW1</t>
  </si>
  <si>
    <t>HP2636963722</t>
  </si>
  <si>
    <t>AVP632261021TWD</t>
  </si>
  <si>
    <t>HP2636977584</t>
  </si>
  <si>
    <t>JKP631261128TWZ</t>
  </si>
  <si>
    <t>HP2636974412</t>
  </si>
  <si>
    <t>CHP341261113TWA</t>
  </si>
  <si>
    <t>HP2636976198</t>
  </si>
  <si>
    <t>CHP341261121TWA</t>
  </si>
  <si>
    <t>HP2636976206</t>
  </si>
  <si>
    <t>CJP627261013ZE7</t>
  </si>
  <si>
    <t>HP2636972718</t>
  </si>
  <si>
    <t>CHB634261106UOC</t>
  </si>
  <si>
    <t>HB2636991062</t>
  </si>
  <si>
    <t>JOP631261201TWB</t>
  </si>
  <si>
    <t>HP2636990224</t>
  </si>
  <si>
    <t>ASP3112612057CX</t>
  </si>
  <si>
    <t>HP2637012048</t>
  </si>
  <si>
    <t>EWP131261027TWR</t>
  </si>
  <si>
    <t>HP2637015480</t>
  </si>
  <si>
    <t>HP2637027820</t>
  </si>
  <si>
    <t>JKP631261029TWY</t>
  </si>
  <si>
    <t>HP2637040428</t>
  </si>
  <si>
    <t>JSP641270116TW5</t>
  </si>
  <si>
    <t>HP2637031650</t>
  </si>
  <si>
    <t>HP2637040314</t>
  </si>
  <si>
    <t>JOP631261028TWT</t>
  </si>
  <si>
    <t>HP2637054870</t>
  </si>
  <si>
    <t>ADP313261214BXX</t>
  </si>
  <si>
    <t>HP2637054206</t>
  </si>
  <si>
    <t>CXP135261120KEG</t>
  </si>
  <si>
    <t>HP2637082374</t>
  </si>
  <si>
    <t>ATP610261116TWA</t>
  </si>
  <si>
    <t>HP2637097040</t>
  </si>
  <si>
    <t>CAP621270110QWB</t>
  </si>
  <si>
    <t>HP2637101504</t>
  </si>
  <si>
    <t>JOP631261208TWB</t>
  </si>
  <si>
    <t>HP2637126642</t>
  </si>
  <si>
    <t>PH05501</t>
  </si>
  <si>
    <t>스타항공여행사[이마트 반야월점]</t>
  </si>
  <si>
    <t>JKP631261113TWZ</t>
  </si>
  <si>
    <t>HP2636988590</t>
  </si>
  <si>
    <t>CWP104261127OZ4</t>
  </si>
  <si>
    <t>HP2637035368</t>
  </si>
  <si>
    <t>JKP631261124TWD</t>
  </si>
  <si>
    <t>HP2637083718</t>
  </si>
  <si>
    <t>AVP632261230TW1</t>
  </si>
  <si>
    <t>HP2637117240</t>
  </si>
  <si>
    <t>이승학</t>
  </si>
  <si>
    <t>A9I58</t>
  </si>
  <si>
    <t>스카이투어[스타필드마켓 경산점]</t>
  </si>
  <si>
    <t>JOP634261125TW4</t>
  </si>
  <si>
    <t>HP2636917464</t>
  </si>
  <si>
    <t>ASP3102611037CV</t>
  </si>
  <si>
    <t>HP2636923012</t>
  </si>
  <si>
    <t>CJP627261021TWS</t>
  </si>
  <si>
    <t>HP2636935302</t>
  </si>
  <si>
    <t>APP324270108LJA</t>
  </si>
  <si>
    <t>HP2636930334</t>
  </si>
  <si>
    <t>CJM621261013ZEV</t>
  </si>
  <si>
    <t>HM2636949056</t>
  </si>
  <si>
    <t>HM2636952474</t>
  </si>
  <si>
    <t>CGP6242610187CA</t>
  </si>
  <si>
    <t>HP2636941812</t>
  </si>
  <si>
    <t>JAP641261030TWG</t>
  </si>
  <si>
    <t>HP2636953128</t>
  </si>
  <si>
    <t>CJP117261030LJ1</t>
  </si>
  <si>
    <t>HP2636950434</t>
  </si>
  <si>
    <t>PGP275261207LJ1</t>
  </si>
  <si>
    <t>HP2636957754</t>
  </si>
  <si>
    <t>ATP322261015ZE2</t>
  </si>
  <si>
    <t>HP2636957438</t>
  </si>
  <si>
    <t>JKP331270221TW5</t>
  </si>
  <si>
    <t>HP2636964048</t>
  </si>
  <si>
    <t>JOP641270122TWL</t>
  </si>
  <si>
    <t>HP2636967352</t>
  </si>
  <si>
    <t>JOP643261116TWY</t>
  </si>
  <si>
    <t>HP2636963466</t>
  </si>
  <si>
    <t>JSP641270219TWX</t>
  </si>
  <si>
    <t>HP2636965050</t>
  </si>
  <si>
    <t>CJP104261204OZ1</t>
  </si>
  <si>
    <t>HP2636962578</t>
  </si>
  <si>
    <t>HP2636963184</t>
  </si>
  <si>
    <t>HP2636962704</t>
  </si>
  <si>
    <t>CGP104261111LJ2</t>
  </si>
  <si>
    <t>HP2636964278</t>
  </si>
  <si>
    <t>JKP631261203TWI</t>
  </si>
  <si>
    <t>HP2636978430</t>
  </si>
  <si>
    <t>HP2636981402</t>
  </si>
  <si>
    <t>JTP331261113LJR</t>
  </si>
  <si>
    <t>HP2636975280</t>
  </si>
  <si>
    <t>CGP105261118LJ1</t>
  </si>
  <si>
    <t>HP2636977798</t>
  </si>
  <si>
    <t>APP321270211LJG</t>
  </si>
  <si>
    <t>HP2636974556</t>
  </si>
  <si>
    <t>EEP135261107KEB</t>
  </si>
  <si>
    <t>HP2636977710</t>
  </si>
  <si>
    <t>HP2636986228</t>
  </si>
  <si>
    <t>CJP624261103ZE2</t>
  </si>
  <si>
    <t>HP2636989016</t>
  </si>
  <si>
    <t>CJP1042611273U1</t>
  </si>
  <si>
    <t>HP2636984838</t>
  </si>
  <si>
    <t>ALG3012701207CM</t>
  </si>
  <si>
    <t>HG2637002024</t>
  </si>
  <si>
    <t>AVP342261223BXE</t>
  </si>
  <si>
    <t>HP2637015630</t>
  </si>
  <si>
    <t>CVP622261021TW8</t>
  </si>
  <si>
    <t>HP2637008548</t>
  </si>
  <si>
    <t>JOP631261208TW7</t>
  </si>
  <si>
    <t>HP2637000910</t>
  </si>
  <si>
    <t>CJP104261104ZE1</t>
  </si>
  <si>
    <t>HP2637009184</t>
  </si>
  <si>
    <t>AVB2592611109GX</t>
  </si>
  <si>
    <t>HB2637038986</t>
  </si>
  <si>
    <t>CVB600261014TWA</t>
  </si>
  <si>
    <t>HB2637023768</t>
  </si>
  <si>
    <t>CHP363261109TWA</t>
  </si>
  <si>
    <t>HP2637031724</t>
  </si>
  <si>
    <t>CVP622261104TW1</t>
  </si>
  <si>
    <t>HP2637062770</t>
  </si>
  <si>
    <t>HP2637062070</t>
  </si>
  <si>
    <t>AAP602261111TWB</t>
  </si>
  <si>
    <t>HP2637054980</t>
  </si>
  <si>
    <t>CJP1042611283U1</t>
  </si>
  <si>
    <t>HP2637057984</t>
  </si>
  <si>
    <t>ATP612261106TWA</t>
  </si>
  <si>
    <t>HP2637061654</t>
  </si>
  <si>
    <t>AVP634261107TWA</t>
  </si>
  <si>
    <t>HP2637073936</t>
  </si>
  <si>
    <t>AVP229261117KE8</t>
  </si>
  <si>
    <t>HP2637069016</t>
  </si>
  <si>
    <t>HP2637069714</t>
  </si>
  <si>
    <t>AVP625261231TWB</t>
  </si>
  <si>
    <t>HP2637070774</t>
  </si>
  <si>
    <t>HP2637073350</t>
  </si>
  <si>
    <t>ASP3102611107CV</t>
  </si>
  <si>
    <t>HP2637069322</t>
  </si>
  <si>
    <t>AVP308261119VJM</t>
  </si>
  <si>
    <t>HP2637084670</t>
  </si>
  <si>
    <t>CTP111261128SCA</t>
  </si>
  <si>
    <t>HP2637089038</t>
  </si>
  <si>
    <t>JSP342261201ZE7</t>
  </si>
  <si>
    <t>HP2637086796</t>
  </si>
  <si>
    <t>AVP201261223WEM</t>
  </si>
  <si>
    <t>HP2637091074</t>
  </si>
  <si>
    <t>CGP6262611017CB</t>
  </si>
  <si>
    <t>HP2637086288</t>
  </si>
  <si>
    <t>AVP533261201RFA</t>
  </si>
  <si>
    <t>HP2637082906</t>
  </si>
  <si>
    <t>AVP232261104TWD</t>
  </si>
  <si>
    <t>HP2637097900</t>
  </si>
  <si>
    <t>ATP610261027TWP</t>
  </si>
  <si>
    <t>HP2637099688</t>
  </si>
  <si>
    <t>HP2637116790</t>
  </si>
  <si>
    <t>HP2637126540</t>
  </si>
  <si>
    <t>AVP201261111WEW</t>
  </si>
  <si>
    <t>HP2637119876</t>
  </si>
  <si>
    <t>CAP327261022KE2</t>
  </si>
  <si>
    <t>HP2637117390</t>
  </si>
  <si>
    <t>PH06548</t>
  </si>
  <si>
    <t>황금여행사[롯데백화점 대구점]</t>
  </si>
  <si>
    <t>AKQ2222611277C2</t>
  </si>
  <si>
    <t>HQ2636094824</t>
  </si>
  <si>
    <t>HP2636929778</t>
  </si>
  <si>
    <t>JKP631261104TWA</t>
  </si>
  <si>
    <t>HP2636946664</t>
  </si>
  <si>
    <t>HP2636967136</t>
  </si>
  <si>
    <t>PAP221261124KE1</t>
  </si>
  <si>
    <t>HP2636964508</t>
  </si>
  <si>
    <t>JKP631261118TWZ</t>
  </si>
  <si>
    <t>HP2637002204</t>
  </si>
  <si>
    <t>AVP639261112TWK</t>
  </si>
  <si>
    <t>HP2637009032</t>
  </si>
  <si>
    <t>HP2637008952</t>
  </si>
  <si>
    <t>AVQ351270207ZEH</t>
  </si>
  <si>
    <t>HQ2637034582</t>
  </si>
  <si>
    <t>JTP648261108TWS</t>
  </si>
  <si>
    <t>HP2637031402</t>
  </si>
  <si>
    <t>AKQ2222611277C1</t>
  </si>
  <si>
    <t>HQ2636094438</t>
  </si>
  <si>
    <t>JOP631261215TWB</t>
  </si>
  <si>
    <t>HP2637056262</t>
  </si>
  <si>
    <t>HP2637061798</t>
  </si>
  <si>
    <t>ADP304261113BX3</t>
  </si>
  <si>
    <t>HP2637057910</t>
  </si>
  <si>
    <t>JOP642261115TWY</t>
  </si>
  <si>
    <t>HP2637071564</t>
  </si>
  <si>
    <t>EWP136261115TWB</t>
  </si>
  <si>
    <t>HP2637071006</t>
  </si>
  <si>
    <t>ATP612261125TWB</t>
  </si>
  <si>
    <t>HP2637071958</t>
  </si>
  <si>
    <t>AVP322261115TWD</t>
  </si>
  <si>
    <t>HP2637097906</t>
  </si>
  <si>
    <t>부산1팀</t>
  </si>
  <si>
    <t>박영훈</t>
  </si>
  <si>
    <t>A9NSB</t>
  </si>
  <si>
    <t>그린투어[롯데마트 부산점]</t>
  </si>
  <si>
    <t>CAP101261108SC9</t>
  </si>
  <si>
    <t>HP2636935682</t>
  </si>
  <si>
    <t>JCP410261012D0Q</t>
  </si>
  <si>
    <t>HP2637017166</t>
  </si>
  <si>
    <t>JCP421261229L0J</t>
  </si>
  <si>
    <t>HP2637029936</t>
  </si>
  <si>
    <t>JOP330270106LJL</t>
  </si>
  <si>
    <t>HP2637090864</t>
  </si>
  <si>
    <t>이충현</t>
  </si>
  <si>
    <t>A9N46</t>
  </si>
  <si>
    <t>DO DREAM[이마트 문현점]</t>
  </si>
  <si>
    <t>AVB252270114TWD</t>
  </si>
  <si>
    <t>HB2636925482</t>
  </si>
  <si>
    <t>JCP410261014D0Q</t>
  </si>
  <si>
    <t>HP2636926622</t>
  </si>
  <si>
    <t>JAM340261008LJ3</t>
  </si>
  <si>
    <t>HM2636950002</t>
  </si>
  <si>
    <t>CGP3232610077CG</t>
  </si>
  <si>
    <t>HP2636949360</t>
  </si>
  <si>
    <t>JKP332261101BX5</t>
  </si>
  <si>
    <t>HP2636952424</t>
  </si>
  <si>
    <t>ATP202261104OZX</t>
  </si>
  <si>
    <t>HP2636948978</t>
  </si>
  <si>
    <t>HP2636946246</t>
  </si>
  <si>
    <t>EEP133261126OZN</t>
  </si>
  <si>
    <t>HP2636954188</t>
  </si>
  <si>
    <t>AAP303270213BXA</t>
  </si>
  <si>
    <t>HP2636945742</t>
  </si>
  <si>
    <t>JKG393261120ZEA</t>
  </si>
  <si>
    <t>HG2636964858</t>
  </si>
  <si>
    <t>CCP132261105CZL</t>
  </si>
  <si>
    <t>HP2636968154</t>
  </si>
  <si>
    <t>JAP240261026TW7</t>
  </si>
  <si>
    <t>HP2636975694</t>
  </si>
  <si>
    <t>CJP327261025BX4</t>
  </si>
  <si>
    <t>HP2636978054</t>
  </si>
  <si>
    <t>JCP421261020L0Y</t>
  </si>
  <si>
    <t>HP2636986656</t>
  </si>
  <si>
    <t>JSP1402611137CS</t>
  </si>
  <si>
    <t>HP2636988666</t>
  </si>
  <si>
    <t>EEP137261215OZQ</t>
  </si>
  <si>
    <t>HP2636984862</t>
  </si>
  <si>
    <t>JKG188261120KEB</t>
  </si>
  <si>
    <t>HG2637015276</t>
  </si>
  <si>
    <t>JKG180261120KEB</t>
  </si>
  <si>
    <t>HG2637015358</t>
  </si>
  <si>
    <t>AVP201261029WEM</t>
  </si>
  <si>
    <t>HP2637015852</t>
  </si>
  <si>
    <t>JKP332261025BX5</t>
  </si>
  <si>
    <t>HP2637003262</t>
  </si>
  <si>
    <t>JKP331261020TWL</t>
  </si>
  <si>
    <t>HP2636998414</t>
  </si>
  <si>
    <t>HP2637001802</t>
  </si>
  <si>
    <t>JAP240261011TW8</t>
  </si>
  <si>
    <t>HP2636998546</t>
  </si>
  <si>
    <t>CSP134261107MUT</t>
  </si>
  <si>
    <t>HP2637009856</t>
  </si>
  <si>
    <t>HP2637008018</t>
  </si>
  <si>
    <t>ATQ580261116RF1</t>
  </si>
  <si>
    <t>HP2637037982</t>
  </si>
  <si>
    <t>ATP202261028LJA</t>
  </si>
  <si>
    <t>HP2637023838</t>
  </si>
  <si>
    <t>JSP143270113ZEK</t>
  </si>
  <si>
    <t>HP2637026406</t>
  </si>
  <si>
    <t>HP2637027722</t>
  </si>
  <si>
    <t>EBP132261115KEA</t>
  </si>
  <si>
    <t>HP2637039380</t>
  </si>
  <si>
    <t>CJQ321261208BXZ</t>
  </si>
  <si>
    <t>HP2635493310</t>
  </si>
  <si>
    <t>ATP350261023BXA</t>
  </si>
  <si>
    <t>HP2637055496</t>
  </si>
  <si>
    <t>HP2637050392</t>
  </si>
  <si>
    <t>AVP523261112TWC</t>
  </si>
  <si>
    <t>HP2637063760</t>
  </si>
  <si>
    <t>APP3712611117CB</t>
  </si>
  <si>
    <t>HP2637058594</t>
  </si>
  <si>
    <t>HP2637049276</t>
  </si>
  <si>
    <t>JWP341261026LJL</t>
  </si>
  <si>
    <t>HP2637084800</t>
  </si>
  <si>
    <t>JOP131261101TWH</t>
  </si>
  <si>
    <t>HP2637084344</t>
  </si>
  <si>
    <t>HP2637087396</t>
  </si>
  <si>
    <t>JKQ351261120TWA</t>
  </si>
  <si>
    <t>HP2637112532</t>
  </si>
  <si>
    <t>HWP163261030YP5</t>
  </si>
  <si>
    <t>HP2637119154</t>
  </si>
  <si>
    <t>AVP232261231WEC</t>
  </si>
  <si>
    <t>HP2637126196</t>
  </si>
  <si>
    <t>CSP134261226MUG</t>
  </si>
  <si>
    <t>HP2637125376</t>
  </si>
  <si>
    <t>CJP1042610273U1</t>
  </si>
  <si>
    <t>HP2637115398</t>
  </si>
  <si>
    <t>AVP323261212BXB</t>
  </si>
  <si>
    <t>HP2637111408</t>
  </si>
  <si>
    <t>PGP125261218RS1</t>
  </si>
  <si>
    <t>HP2637119630</t>
  </si>
  <si>
    <t>PH04251</t>
  </si>
  <si>
    <t>H.브릿지[트레이더스 연산점]</t>
  </si>
  <si>
    <t>PGB225270102RS2</t>
  </si>
  <si>
    <t>HB2636939056</t>
  </si>
  <si>
    <t>APQ320261109BXC</t>
  </si>
  <si>
    <t>HQ2636932016</t>
  </si>
  <si>
    <t>AVQ351261202ZED</t>
  </si>
  <si>
    <t>HQ2636927270</t>
  </si>
  <si>
    <t>JOP331261031TW5</t>
  </si>
  <si>
    <t>HP2636921770</t>
  </si>
  <si>
    <t>AMX30026101800A</t>
  </si>
  <si>
    <t>HX2636925304</t>
  </si>
  <si>
    <t>ATP302270105KEA</t>
  </si>
  <si>
    <t>HP2636966616</t>
  </si>
  <si>
    <t>ATP302270104KEA</t>
  </si>
  <si>
    <t>HP2636966620</t>
  </si>
  <si>
    <t>EMP135261223EKA</t>
  </si>
  <si>
    <t>HP2636963358</t>
  </si>
  <si>
    <t>HP2636974428</t>
  </si>
  <si>
    <t>JSP3422701047CT</t>
  </si>
  <si>
    <t>HP2636986580</t>
  </si>
  <si>
    <t>CCP687261103MU1</t>
  </si>
  <si>
    <t>HP2637015988</t>
  </si>
  <si>
    <t>JSP342270124TW7</t>
  </si>
  <si>
    <t>HP2637006176</t>
  </si>
  <si>
    <t>우리끼리 단독여행</t>
  </si>
  <si>
    <t>JWU148261022KEK</t>
  </si>
  <si>
    <t>HU2637011732</t>
  </si>
  <si>
    <t>AVP228261217TWB</t>
  </si>
  <si>
    <t>HP2637010902</t>
  </si>
  <si>
    <t>AKQ500261023001</t>
  </si>
  <si>
    <t>HQ2637033242</t>
  </si>
  <si>
    <t>HQ2637033416</t>
  </si>
  <si>
    <t>CCC314270226MC6</t>
  </si>
  <si>
    <t>HC2637032082</t>
  </si>
  <si>
    <t>PGB341261112BX3</t>
  </si>
  <si>
    <t>HB2637048532</t>
  </si>
  <si>
    <t>JKP332261019BXV</t>
  </si>
  <si>
    <t>HP2637050284</t>
  </si>
  <si>
    <t>CJP321261018BX9</t>
  </si>
  <si>
    <t>HP2637061912</t>
  </si>
  <si>
    <t>JWQ340270114ZEO</t>
  </si>
  <si>
    <t>HQ2637049968</t>
  </si>
  <si>
    <t>HP2637069330</t>
  </si>
  <si>
    <t>CAP101261025SCT</t>
  </si>
  <si>
    <t>HP2637074156</t>
  </si>
  <si>
    <t>ATB3202612297CP</t>
  </si>
  <si>
    <t>HB2637115668</t>
  </si>
  <si>
    <t>HB2637128056</t>
  </si>
  <si>
    <t>AKP606261024001</t>
  </si>
  <si>
    <t>HP2637120408</t>
  </si>
  <si>
    <t>HQ2637121312</t>
  </si>
  <si>
    <t>ATP2072611047CJ</t>
  </si>
  <si>
    <t>HP2637110300</t>
  </si>
  <si>
    <t>JOP3312610297CV</t>
  </si>
  <si>
    <t>HP2637122706</t>
  </si>
  <si>
    <t>HP2637122724</t>
  </si>
  <si>
    <t>JTP342261125BXE</t>
  </si>
  <si>
    <t>HP2637109410</t>
  </si>
  <si>
    <t>CHP363261031TWA</t>
  </si>
  <si>
    <t>HP2637109734</t>
  </si>
  <si>
    <t>AVP333261214KE5</t>
  </si>
  <si>
    <t>HP2637111270</t>
  </si>
  <si>
    <t>AVU2012611277CA</t>
  </si>
  <si>
    <t>HU2637119086</t>
  </si>
  <si>
    <t>정용찬B</t>
  </si>
  <si>
    <t>A9MBZ</t>
  </si>
  <si>
    <t>세주투어[롯데백화점 부산점]</t>
  </si>
  <si>
    <t>HP2636775310</t>
  </si>
  <si>
    <t>JKP331261229TWL</t>
  </si>
  <si>
    <t>HP2636837596</t>
  </si>
  <si>
    <t>CHP363261130TWW</t>
  </si>
  <si>
    <t>HP2636934228</t>
  </si>
  <si>
    <t>JKP332261007BX5</t>
  </si>
  <si>
    <t>HP2636937856</t>
  </si>
  <si>
    <t>JSP341261009LJD</t>
  </si>
  <si>
    <t>HP2636925388</t>
  </si>
  <si>
    <t>HP2636933582</t>
  </si>
  <si>
    <t>PGB361270102LJ3</t>
  </si>
  <si>
    <t>HB2636952284</t>
  </si>
  <si>
    <t>JMB331270206BXU</t>
  </si>
  <si>
    <t>HB2636945594</t>
  </si>
  <si>
    <t>JSP342261008LJA</t>
  </si>
  <si>
    <t>HP2636944838</t>
  </si>
  <si>
    <t>HP2636950508</t>
  </si>
  <si>
    <t>CXP324261126ZE2</t>
  </si>
  <si>
    <t>HP2636954858</t>
  </si>
  <si>
    <t>AVP307261202VNC</t>
  </si>
  <si>
    <t>HP2636958070</t>
  </si>
  <si>
    <t>APP3732611277CB</t>
  </si>
  <si>
    <t>HP2636838048</t>
  </si>
  <si>
    <t>CCP312261127GJA</t>
  </si>
  <si>
    <t>HP2636964054</t>
  </si>
  <si>
    <t>CAP343261104BXB</t>
  </si>
  <si>
    <t>HP2636973634</t>
  </si>
  <si>
    <t>ATP3702610317CQ</t>
  </si>
  <si>
    <t>HP2636991274</t>
  </si>
  <si>
    <t>AVP331261109KEF</t>
  </si>
  <si>
    <t>HP2636982836</t>
  </si>
  <si>
    <t>CHP345270207ZE6</t>
  </si>
  <si>
    <t>HP2636987444</t>
  </si>
  <si>
    <t>JKP331261117ZEV</t>
  </si>
  <si>
    <t>HP2637000962</t>
  </si>
  <si>
    <t>JOP343261119BX5</t>
  </si>
  <si>
    <t>HP2637020204</t>
  </si>
  <si>
    <t>CAP337261025KE1</t>
  </si>
  <si>
    <t>HP2637013814</t>
  </si>
  <si>
    <t>JOP333261020TWV</t>
  </si>
  <si>
    <t>HP2637033948</t>
  </si>
  <si>
    <t>ADP315261123BXA</t>
  </si>
  <si>
    <t>HP2637041316</t>
  </si>
  <si>
    <t>JMB331261224BXV</t>
  </si>
  <si>
    <t>HB2637064066</t>
  </si>
  <si>
    <t>HP2637051150</t>
  </si>
  <si>
    <t>HP2637053172</t>
  </si>
  <si>
    <t>JNP331261104BXC</t>
  </si>
  <si>
    <t>HP2637056514</t>
  </si>
  <si>
    <t>CHP341261224ZE5</t>
  </si>
  <si>
    <t>HP2637058452</t>
  </si>
  <si>
    <t>HP2637054936</t>
  </si>
  <si>
    <t>HP2637085960</t>
  </si>
  <si>
    <t>AVP300261109VJJ</t>
  </si>
  <si>
    <t>HP2637092420</t>
  </si>
  <si>
    <t>JSP345261125ZEC</t>
  </si>
  <si>
    <t>HP2637078546</t>
  </si>
  <si>
    <t>JSP3422701087CT</t>
  </si>
  <si>
    <t>HP2637099014</t>
  </si>
  <si>
    <t>ATP302261210BXC</t>
  </si>
  <si>
    <t>HP2637096540</t>
  </si>
  <si>
    <t>AVP322261108TWD</t>
  </si>
  <si>
    <t>HP2637104508</t>
  </si>
  <si>
    <t>ATP302261205KEB</t>
  </si>
  <si>
    <t>HP2637116176</t>
  </si>
  <si>
    <t>AVP307261111VJC</t>
  </si>
  <si>
    <t>HP2637108054</t>
  </si>
  <si>
    <t>조성재</t>
  </si>
  <si>
    <t>PH06828</t>
  </si>
  <si>
    <t>주식회사 디케이월드[롯데마트 사상점]</t>
  </si>
  <si>
    <t>JCP410261007D0Q</t>
  </si>
  <si>
    <t>HP2636922688</t>
  </si>
  <si>
    <t>JCP421261011N05</t>
  </si>
  <si>
    <t>HP2636973488</t>
  </si>
  <si>
    <t>AVP332261202KED</t>
  </si>
  <si>
    <t>HP2636984764</t>
  </si>
  <si>
    <t>HQ2637004922</t>
  </si>
  <si>
    <t>JOP331261113TWV</t>
  </si>
  <si>
    <t>HP2637035952</t>
  </si>
  <si>
    <t>AVP301261127VJW</t>
  </si>
  <si>
    <t>HP2636663912</t>
  </si>
  <si>
    <t>EWP141261110OZO</t>
  </si>
  <si>
    <t>HP2637059000</t>
  </si>
  <si>
    <t>CNP338261017BX1</t>
  </si>
  <si>
    <t>HP2637063126</t>
  </si>
  <si>
    <t>부산2팀</t>
  </si>
  <si>
    <t>김태수</t>
  </si>
  <si>
    <t>A8943</t>
  </si>
  <si>
    <t>태평양해외여행사[이마트 금정점]</t>
  </si>
  <si>
    <t>AVP301261104VJA</t>
  </si>
  <si>
    <t>HP2636930036</t>
  </si>
  <si>
    <t>CXP321261203ZE1</t>
  </si>
  <si>
    <t>HP2636932750</t>
  </si>
  <si>
    <t>JOP331261101TWT</t>
  </si>
  <si>
    <t>HP2636956488</t>
  </si>
  <si>
    <t>JOP331261111LJL</t>
  </si>
  <si>
    <t>HP2636941646</t>
  </si>
  <si>
    <t>ETP131261128OZG</t>
  </si>
  <si>
    <t>HP2636954068</t>
  </si>
  <si>
    <t>AVP303261209VJA</t>
  </si>
  <si>
    <t>HP2636965646</t>
  </si>
  <si>
    <t>CGP3202611077CP</t>
  </si>
  <si>
    <t>HP2636973348</t>
  </si>
  <si>
    <t>JKP332261028BXV</t>
  </si>
  <si>
    <t>HP2636981284</t>
  </si>
  <si>
    <t>AVP321261115BXH</t>
  </si>
  <si>
    <t>HP2636987360</t>
  </si>
  <si>
    <t>HP2636984076</t>
  </si>
  <si>
    <t>CGP3952610187CJ</t>
  </si>
  <si>
    <t>HP2636985780</t>
  </si>
  <si>
    <t>JTP332261109BXF</t>
  </si>
  <si>
    <t>HP2636983388</t>
  </si>
  <si>
    <t>ALP3012702257CB</t>
  </si>
  <si>
    <t>HP2637014872</t>
  </si>
  <si>
    <t>AVP339261012LJK</t>
  </si>
  <si>
    <t>HP2637002300</t>
  </si>
  <si>
    <t>CJP3272611057CA</t>
  </si>
  <si>
    <t>HP2637012542</t>
  </si>
  <si>
    <t>JKB331261030TWB</t>
  </si>
  <si>
    <t>HB2637040570</t>
  </si>
  <si>
    <t>CCP387261110KE1</t>
  </si>
  <si>
    <t>HP2637035998</t>
  </si>
  <si>
    <t>CCP3672612267CA</t>
  </si>
  <si>
    <t>HP2637025356</t>
  </si>
  <si>
    <t>EEP163261227OZK</t>
  </si>
  <si>
    <t>HP2637038080</t>
  </si>
  <si>
    <t>ATP3202611027CQ</t>
  </si>
  <si>
    <t>HP2637054914</t>
  </si>
  <si>
    <t>HP2637057782</t>
  </si>
  <si>
    <t>JTP3412610257CR</t>
  </si>
  <si>
    <t>HP2637057326</t>
  </si>
  <si>
    <t>CJP321261028BXZ</t>
  </si>
  <si>
    <t>HP2637070198</t>
  </si>
  <si>
    <t>CJP321261104BXQ</t>
  </si>
  <si>
    <t>HP2637070162</t>
  </si>
  <si>
    <t>AVP353270106ZEA</t>
  </si>
  <si>
    <t>HP2637073436</t>
  </si>
  <si>
    <t>CEP335261121ZED</t>
  </si>
  <si>
    <t>HP2637072586</t>
  </si>
  <si>
    <t>AVP301261101VJP</t>
  </si>
  <si>
    <t>HP2637085272</t>
  </si>
  <si>
    <t>CJP321261111BXQ</t>
  </si>
  <si>
    <t>HP2637095292</t>
  </si>
  <si>
    <t>JSP342261223TWT</t>
  </si>
  <si>
    <t>HP2637094412</t>
  </si>
  <si>
    <t>ASP3112702067CX</t>
  </si>
  <si>
    <t>HP2637096188</t>
  </si>
  <si>
    <t>CJP321261118BXZ</t>
  </si>
  <si>
    <t>HP2637096990</t>
  </si>
  <si>
    <t>HP2637127092</t>
  </si>
  <si>
    <t>PGP331270209LJU</t>
  </si>
  <si>
    <t>HP2637111184</t>
  </si>
  <si>
    <t>PH04152</t>
  </si>
  <si>
    <t>내일여행(주)</t>
  </si>
  <si>
    <t>HP2637005516</t>
  </si>
  <si>
    <t>JOP333261112TWV</t>
  </si>
  <si>
    <t>HP2637036882</t>
  </si>
  <si>
    <t>AVP322270112LJD</t>
  </si>
  <si>
    <t>HP2637061582</t>
  </si>
  <si>
    <t>PH06985</t>
  </si>
  <si>
    <t>메모리투어[롯데마트 동래점]</t>
  </si>
  <si>
    <t>HP2636935486</t>
  </si>
  <si>
    <t>AVP301261114VJW</t>
  </si>
  <si>
    <t>HP2636957468</t>
  </si>
  <si>
    <t>JOP331261103BXF</t>
  </si>
  <si>
    <t>HP2636946772</t>
  </si>
  <si>
    <t>JKP331261029BXG</t>
  </si>
  <si>
    <t>HP2636967398</t>
  </si>
  <si>
    <t>CCP3322611137C2</t>
  </si>
  <si>
    <t>HP2636989060</t>
  </si>
  <si>
    <t>CCP3072610307C1</t>
  </si>
  <si>
    <t>HP2636988812</t>
  </si>
  <si>
    <t>ETP131261116KEA</t>
  </si>
  <si>
    <t>HP2637005456</t>
  </si>
  <si>
    <t>CCP332261103KE1</t>
  </si>
  <si>
    <t>HP2637037828</t>
  </si>
  <si>
    <t>JKQ340270114LJE</t>
  </si>
  <si>
    <t>HQ2637050770</t>
  </si>
  <si>
    <t>HQ2637051160</t>
  </si>
  <si>
    <t>CCP332261117KE1</t>
  </si>
  <si>
    <t>HP2637059108</t>
  </si>
  <si>
    <t>JKP332261207LJX</t>
  </si>
  <si>
    <t>HP2637073048</t>
  </si>
  <si>
    <t>AVP301261115VJW</t>
  </si>
  <si>
    <t>HP2637081954</t>
  </si>
  <si>
    <t>EEP133261209KET</t>
  </si>
  <si>
    <t>HP2637097986</t>
  </si>
  <si>
    <t>김홍열</t>
  </si>
  <si>
    <t>A7234</t>
  </si>
  <si>
    <t>토성관광[메가마트 동래점]</t>
  </si>
  <si>
    <t>CJP3212611127CZ</t>
  </si>
  <si>
    <t>HP2636931554</t>
  </si>
  <si>
    <t>AVP351261206VJG</t>
  </si>
  <si>
    <t>HP2636926850</t>
  </si>
  <si>
    <t>AVP333261111BX5</t>
  </si>
  <si>
    <t>HP2636934310</t>
  </si>
  <si>
    <t>CJP3272611127CA</t>
  </si>
  <si>
    <t>HP2636956326</t>
  </si>
  <si>
    <t>JSQ040270114ZE0</t>
  </si>
  <si>
    <t>HQ2636962828</t>
  </si>
  <si>
    <t>CGP3222611257CV</t>
  </si>
  <si>
    <t>HP2636967022</t>
  </si>
  <si>
    <t>JSP345261215TW5</t>
  </si>
  <si>
    <t>HP2636976090</t>
  </si>
  <si>
    <t>CJP321261029BXQ</t>
  </si>
  <si>
    <t>HP2637034888</t>
  </si>
  <si>
    <t>HP2637112342</t>
  </si>
  <si>
    <t>최찬재</t>
  </si>
  <si>
    <t>A9D5N</t>
  </si>
  <si>
    <t>유니버셜투어[롯데마트 화명점]</t>
  </si>
  <si>
    <t>AAP302261219BXB</t>
  </si>
  <si>
    <t>HP2636932310</t>
  </si>
  <si>
    <t>AVP303261231VNB</t>
  </si>
  <si>
    <t>HP2636931872</t>
  </si>
  <si>
    <t>JKB332261225ZEB</t>
  </si>
  <si>
    <t>HB2636949934</t>
  </si>
  <si>
    <t>JOP331261012TWV</t>
  </si>
  <si>
    <t>HP2636916720</t>
  </si>
  <si>
    <t>COP332261206BXA</t>
  </si>
  <si>
    <t>HP2636949598</t>
  </si>
  <si>
    <t>HP2636962592</t>
  </si>
  <si>
    <t>ATP302270103BX3</t>
  </si>
  <si>
    <t>HP2636969574</t>
  </si>
  <si>
    <t>ATP302261224ITB</t>
  </si>
  <si>
    <t>HP2636965980</t>
  </si>
  <si>
    <t>CCP325261231KE7</t>
  </si>
  <si>
    <t>HP2636971248</t>
  </si>
  <si>
    <t>JSP342261219TWT</t>
  </si>
  <si>
    <t>HP2636979194</t>
  </si>
  <si>
    <t>HP2636985986</t>
  </si>
  <si>
    <t>HP2636982854</t>
  </si>
  <si>
    <t>CAQ321261015BX8</t>
  </si>
  <si>
    <t>HP2635204216</t>
  </si>
  <si>
    <t>AVP334270130VJA</t>
  </si>
  <si>
    <t>HP2637003604</t>
  </si>
  <si>
    <t>AVP300261105VJJ</t>
  </si>
  <si>
    <t>HP2637016472</t>
  </si>
  <si>
    <t>JKP332261103BXV</t>
  </si>
  <si>
    <t>HP2637001926</t>
  </si>
  <si>
    <t>ATP3502611137CC</t>
  </si>
  <si>
    <t>HP2637041352</t>
  </si>
  <si>
    <t>AVP322261126TWU</t>
  </si>
  <si>
    <t>HP2637034004</t>
  </si>
  <si>
    <t>AVP308261101VJE</t>
  </si>
  <si>
    <t>HP2637024038</t>
  </si>
  <si>
    <t>AVP308261118VNE</t>
  </si>
  <si>
    <t>HP2637032446</t>
  </si>
  <si>
    <t>JOP331261208TWV</t>
  </si>
  <si>
    <t>HP2637068798</t>
  </si>
  <si>
    <t>HP2637071254</t>
  </si>
  <si>
    <t>AVP227270127ZEB</t>
  </si>
  <si>
    <t>HP2637074650</t>
  </si>
  <si>
    <t>HP2637087020</t>
  </si>
  <si>
    <t>AAP306261216BXD</t>
  </si>
  <si>
    <t>HP2637086210</t>
  </si>
  <si>
    <t>JOP3312612207CM</t>
  </si>
  <si>
    <t>HP2637084656</t>
  </si>
  <si>
    <t>CCP344270110KED</t>
  </si>
  <si>
    <t>HP2637097540</t>
  </si>
  <si>
    <t>ATB3202611077CM</t>
  </si>
  <si>
    <t>HB2637128006</t>
  </si>
  <si>
    <t>JMB331261121BXY</t>
  </si>
  <si>
    <t>HB2637115990</t>
  </si>
  <si>
    <t>JKP3322611117CH</t>
  </si>
  <si>
    <t>HP2637120000</t>
  </si>
  <si>
    <t>AVP351261215ZEF</t>
  </si>
  <si>
    <t>HP2637112898</t>
  </si>
  <si>
    <t>현종민B</t>
  </si>
  <si>
    <t>A9FKO</t>
  </si>
  <si>
    <t>하나제주여행[이마트 신제주점]</t>
  </si>
  <si>
    <t>ATP910261116LJA</t>
  </si>
  <si>
    <t>HP2636926586</t>
  </si>
  <si>
    <t>ATP910261221LJA</t>
  </si>
  <si>
    <t>HP2636926636</t>
  </si>
  <si>
    <t>ATP910261113LJA</t>
  </si>
  <si>
    <t>HP2636972854</t>
  </si>
  <si>
    <t>ATP902261029TWB</t>
  </si>
  <si>
    <t>HP2636999326</t>
  </si>
  <si>
    <t>ATP902261219TWA</t>
  </si>
  <si>
    <t>HP2637005658</t>
  </si>
  <si>
    <t>JOQ940261030TWH</t>
  </si>
  <si>
    <t>HQ2637030206</t>
  </si>
  <si>
    <t>JOP943261026TWN</t>
  </si>
  <si>
    <t>HP2637025932</t>
  </si>
  <si>
    <t>AVP239270219ZEJ</t>
  </si>
  <si>
    <t>HP2637050542</t>
  </si>
  <si>
    <t>HP2637062074</t>
  </si>
  <si>
    <t>ATP971261123LJ1</t>
  </si>
  <si>
    <t>HP2637065018</t>
  </si>
  <si>
    <t>CCP944261126HOD</t>
  </si>
  <si>
    <t>HP2637052476</t>
  </si>
  <si>
    <t>JKP941261109TWH</t>
  </si>
  <si>
    <t>HP2637073478</t>
  </si>
  <si>
    <t xml:space="preserve">온천休 </t>
  </si>
  <si>
    <t>ATP901270114TWA</t>
  </si>
  <si>
    <t>HP2637089010</t>
  </si>
  <si>
    <t>ATP902270114TWA</t>
  </si>
  <si>
    <t>HP2637096822</t>
  </si>
  <si>
    <t>JKP941261117TWH</t>
  </si>
  <si>
    <t>HP2637128120</t>
  </si>
  <si>
    <t>ATP902261110TWA</t>
  </si>
  <si>
    <t>HP2637128772</t>
  </si>
  <si>
    <t>ASP910261106TWB</t>
  </si>
  <si>
    <t>HP2637111348</t>
  </si>
  <si>
    <t>울산팀</t>
  </si>
  <si>
    <t>빈기문</t>
  </si>
  <si>
    <t>A9FWR</t>
  </si>
  <si>
    <t>(주)여행매니저[메가마트 김해점]</t>
  </si>
  <si>
    <t>APP361261201LJA</t>
  </si>
  <si>
    <t>HP2636936112</t>
  </si>
  <si>
    <t>APQ360261201LJ6</t>
  </si>
  <si>
    <t>HQ2636947186</t>
  </si>
  <si>
    <t>PAP101261206JQ1</t>
  </si>
  <si>
    <t>HP2637001932</t>
  </si>
  <si>
    <t>CCC314270126MC5</t>
  </si>
  <si>
    <t>HC2637012118</t>
  </si>
  <si>
    <t>JSP342270220LJT</t>
  </si>
  <si>
    <t>HP2637027392</t>
  </si>
  <si>
    <t>정수빈B</t>
  </si>
  <si>
    <t>A9LY1</t>
  </si>
  <si>
    <t>다인여행사[롯데마트 울산점]</t>
  </si>
  <si>
    <t>JCP421261010L0J</t>
  </si>
  <si>
    <t>HP2636929622</t>
  </si>
  <si>
    <t>JKP342261108ZEA</t>
  </si>
  <si>
    <t>HP2636938340</t>
  </si>
  <si>
    <t>ATP370261114BXQ</t>
  </si>
  <si>
    <t>HP2636924356</t>
  </si>
  <si>
    <t>CHP363270102TWA</t>
  </si>
  <si>
    <t>HP2636957410</t>
  </si>
  <si>
    <t>JTP331261017LJM</t>
  </si>
  <si>
    <t>HP2636958498</t>
  </si>
  <si>
    <t>JWP331261113LJV</t>
  </si>
  <si>
    <t>HP2636965276</t>
  </si>
  <si>
    <t>AVP353261101VJA</t>
  </si>
  <si>
    <t>HP2636964780</t>
  </si>
  <si>
    <t>JOP342261111TWO</t>
  </si>
  <si>
    <t>HP2636973364</t>
  </si>
  <si>
    <t>AVP333261018BX0</t>
  </si>
  <si>
    <t>HP2636977560</t>
  </si>
  <si>
    <t>JKP332261108BXW</t>
  </si>
  <si>
    <t>HP2636990678</t>
  </si>
  <si>
    <t>CAP343261225KEA</t>
  </si>
  <si>
    <t>HP2637010228</t>
  </si>
  <si>
    <t>CJP322261026BXE</t>
  </si>
  <si>
    <t>HP2637008794</t>
  </si>
  <si>
    <t>AVP300261103VJJ</t>
  </si>
  <si>
    <t>HP2637021766</t>
  </si>
  <si>
    <t>APP3712611087C5</t>
  </si>
  <si>
    <t>HP2637030960</t>
  </si>
  <si>
    <t>AVP300261117VJJ</t>
  </si>
  <si>
    <t>HP2637048326</t>
  </si>
  <si>
    <t>JOP331261024TWV</t>
  </si>
  <si>
    <t>HP2637064458</t>
  </si>
  <si>
    <t>HP2637072192</t>
  </si>
  <si>
    <t>JTP332261128BXF</t>
  </si>
  <si>
    <t>HP2637091714</t>
  </si>
  <si>
    <t>CXP321261108ZEB</t>
  </si>
  <si>
    <t>HP2637107096</t>
  </si>
  <si>
    <t>JOP331261021TWN</t>
  </si>
  <si>
    <t>HP2637109694</t>
  </si>
  <si>
    <t>HP2637110644</t>
  </si>
  <si>
    <t>CAP327261105BX2</t>
  </si>
  <si>
    <t>HP2637119062</t>
  </si>
  <si>
    <t>PH03146</t>
  </si>
  <si>
    <t>여행가자[롯데마트 김해점]</t>
  </si>
  <si>
    <t>JKP331270207BXL</t>
  </si>
  <si>
    <t>HP2636926512</t>
  </si>
  <si>
    <t>JOP146261113TWH</t>
  </si>
  <si>
    <t>HP2636927614</t>
  </si>
  <si>
    <t>JOP331261028BXO</t>
  </si>
  <si>
    <t>HP2636946514</t>
  </si>
  <si>
    <t>ACP364270205ZER</t>
  </si>
  <si>
    <t>HP2636947032</t>
  </si>
  <si>
    <t>ATP3702701147C1</t>
  </si>
  <si>
    <t>HP2636964632</t>
  </si>
  <si>
    <t>HP2636998626</t>
  </si>
  <si>
    <t>JSP342270226ZE7</t>
  </si>
  <si>
    <t>HP2637038174</t>
  </si>
  <si>
    <t>HHQ100270110KE1</t>
  </si>
  <si>
    <t>HQ2637024030</t>
  </si>
  <si>
    <t>AVP321270220LJA</t>
  </si>
  <si>
    <t>HP2637071524</t>
  </si>
  <si>
    <t>HP2637069134</t>
  </si>
  <si>
    <t>ASP3112612167CX</t>
  </si>
  <si>
    <t>HP2637116878</t>
  </si>
  <si>
    <t>최형석</t>
  </si>
  <si>
    <t>A9JHC</t>
  </si>
  <si>
    <t>티유[이마트 김해점]</t>
  </si>
  <si>
    <t>ATP370261007ZEQ</t>
  </si>
  <si>
    <t>HP2636935702</t>
  </si>
  <si>
    <t>HP2636918968</t>
  </si>
  <si>
    <t>JKP331261109TW3</t>
  </si>
  <si>
    <t>HP2636948130</t>
  </si>
  <si>
    <t>JSP342261203TW7</t>
  </si>
  <si>
    <t>HP2636948528</t>
  </si>
  <si>
    <t>CGP3222610077CV</t>
  </si>
  <si>
    <t>HP2636951116</t>
  </si>
  <si>
    <t>JOP331261225LJN</t>
  </si>
  <si>
    <t>HP2636968088</t>
  </si>
  <si>
    <t>APP3712611217CL</t>
  </si>
  <si>
    <t>HP2636979826</t>
  </si>
  <si>
    <t>CGP3232610107CA</t>
  </si>
  <si>
    <t>HP2636976478</t>
  </si>
  <si>
    <t>JKP332270130BXK</t>
  </si>
  <si>
    <t>HP2636991040</t>
  </si>
  <si>
    <t>AVP351261127ZEF</t>
  </si>
  <si>
    <t>HP2637007346</t>
  </si>
  <si>
    <t>JKP332261206BXW</t>
  </si>
  <si>
    <t>HP2637000336</t>
  </si>
  <si>
    <t>JCP421261023N0V</t>
  </si>
  <si>
    <t>HP2637004798</t>
  </si>
  <si>
    <t>HP2637007338</t>
  </si>
  <si>
    <t>JOP343261018BXZ</t>
  </si>
  <si>
    <t>HP2637022038</t>
  </si>
  <si>
    <t>ATP300261022CIB</t>
  </si>
  <si>
    <t>HP2637026370</t>
  </si>
  <si>
    <t>AVP345261026VJA</t>
  </si>
  <si>
    <t>HP2637026998</t>
  </si>
  <si>
    <t>APP3712610197CW</t>
  </si>
  <si>
    <t>HP2637051464</t>
  </si>
  <si>
    <t>HP2637055528</t>
  </si>
  <si>
    <t>HP2637051598</t>
  </si>
  <si>
    <t>APP3712610137CX</t>
  </si>
  <si>
    <t>HP2637062500</t>
  </si>
  <si>
    <t>CCP331261122KE1</t>
  </si>
  <si>
    <t>HP2637049218</t>
  </si>
  <si>
    <t>CCP327261224KE1</t>
  </si>
  <si>
    <t>HP2637053276</t>
  </si>
  <si>
    <t>AVP300261101VJJ</t>
  </si>
  <si>
    <t>HP2637074898</t>
  </si>
  <si>
    <t>AVP321261108TWB</t>
  </si>
  <si>
    <t>HP2637089908</t>
  </si>
  <si>
    <t>JSP342261016ZEA</t>
  </si>
  <si>
    <t>HP2637086636</t>
  </si>
  <si>
    <t>HP2637087304</t>
  </si>
  <si>
    <t>JOP341261203BXL</t>
  </si>
  <si>
    <t>HP2637084836</t>
  </si>
  <si>
    <t>ASP3102611197CZ</t>
  </si>
  <si>
    <t>HP2637084486</t>
  </si>
  <si>
    <t>CGP3202611257CP</t>
  </si>
  <si>
    <t>HP2637095042</t>
  </si>
  <si>
    <t>JOP3312611057CH</t>
  </si>
  <si>
    <t>HP2637117096</t>
  </si>
  <si>
    <t>AVP301261118VNP</t>
  </si>
  <si>
    <t>HP2637128516</t>
  </si>
  <si>
    <t>ATP322261118LJA</t>
  </si>
  <si>
    <t>HP2637121978</t>
  </si>
  <si>
    <t>지방영업2실</t>
  </si>
  <si>
    <t>전남팀</t>
  </si>
  <si>
    <t>윤준곤</t>
  </si>
  <si>
    <t>A5561</t>
  </si>
  <si>
    <t>아이티여행사[이마트 광주점]</t>
  </si>
  <si>
    <t>CHP101261227TWV</t>
  </si>
  <si>
    <t>HP2636934156</t>
  </si>
  <si>
    <t>HP2636933252</t>
  </si>
  <si>
    <t>AVQ239261201TWZ</t>
  </si>
  <si>
    <t>HQ2636946872</t>
  </si>
  <si>
    <t>AVP331261228LJA</t>
  </si>
  <si>
    <t>HP2636987626</t>
  </si>
  <si>
    <t>AAP203270217TWA</t>
  </si>
  <si>
    <t>HP2637014724</t>
  </si>
  <si>
    <t>ATP300261223CIA</t>
  </si>
  <si>
    <t>HP2637062072</t>
  </si>
  <si>
    <t>CHP101261130ZE9</t>
  </si>
  <si>
    <t>HP2637053300</t>
  </si>
  <si>
    <t>CXP122261111ZEW</t>
  </si>
  <si>
    <t>HP2637068664</t>
  </si>
  <si>
    <t>ETP161261118KED</t>
  </si>
  <si>
    <t>HP2637117352</t>
  </si>
  <si>
    <t>AVP201261108WEZ</t>
  </si>
  <si>
    <t>HP2637121336</t>
  </si>
  <si>
    <t>ETP161261123TKC</t>
  </si>
  <si>
    <t>HP2637123800</t>
  </si>
  <si>
    <t>CJP621261115GJS</t>
  </si>
  <si>
    <t>HP2633743632</t>
  </si>
  <si>
    <t>A9J50</t>
  </si>
  <si>
    <t>진향여행사[롯데마트 여수점]</t>
  </si>
  <si>
    <t>ACP364270128ZER</t>
  </si>
  <si>
    <t>HP2636983730</t>
  </si>
  <si>
    <t>AYP211270223LJG</t>
  </si>
  <si>
    <t>HP2637072240</t>
  </si>
  <si>
    <t>AVP352270112ZEZ</t>
  </si>
  <si>
    <t>HP2637084454</t>
  </si>
  <si>
    <t>A9KV4</t>
  </si>
  <si>
    <t>우리들여행사[롯데마트 여천점]</t>
  </si>
  <si>
    <t>CJP321261117BXQ</t>
  </si>
  <si>
    <t>HP2636967732</t>
  </si>
  <si>
    <t>JCP421261026D0J</t>
  </si>
  <si>
    <t>HP2637010616</t>
  </si>
  <si>
    <t>APQ258261229RFQ</t>
  </si>
  <si>
    <t>HQ2637033550</t>
  </si>
  <si>
    <t>ACP362270111ZEC</t>
  </si>
  <si>
    <t>HP2637034626</t>
  </si>
  <si>
    <t>ASQ301270221SQU</t>
  </si>
  <si>
    <t>HQ2637114414</t>
  </si>
  <si>
    <t>AVP233270205WEC</t>
  </si>
  <si>
    <t>HP2637118204</t>
  </si>
  <si>
    <t>A9M27</t>
  </si>
  <si>
    <t>라도스투어[롯데마트 월드컵점]</t>
  </si>
  <si>
    <t>CJP327261029BXA</t>
  </si>
  <si>
    <t>HP2636923860</t>
  </si>
  <si>
    <t>ESP131270115TWA</t>
  </si>
  <si>
    <t>HP2636966314</t>
  </si>
  <si>
    <t>AVP201261206KEM</t>
  </si>
  <si>
    <t>HP2637011158</t>
  </si>
  <si>
    <t>AVP232261130WEC</t>
  </si>
  <si>
    <t>HP2637003676</t>
  </si>
  <si>
    <t>PH02764</t>
  </si>
  <si>
    <t>두리투어[롯데마트 MAXX상무점]</t>
  </si>
  <si>
    <t>AVP2212610167CQ</t>
  </si>
  <si>
    <t>HP2637013824</t>
  </si>
  <si>
    <t>ALP203270218TWL</t>
  </si>
  <si>
    <t>HP2636610476</t>
  </si>
  <si>
    <t>최성주B</t>
  </si>
  <si>
    <t>PH02915</t>
  </si>
  <si>
    <t>(유)좋은여행[롯데마트 수완점]</t>
  </si>
  <si>
    <t>HP2636953376</t>
  </si>
  <si>
    <t>AVP333270125KE5</t>
  </si>
  <si>
    <t>HP2636968622</t>
  </si>
  <si>
    <t>AVP333261108KE5</t>
  </si>
  <si>
    <t>HP2637002242</t>
  </si>
  <si>
    <t>JOB149261120TWT</t>
  </si>
  <si>
    <t>HB2637053738</t>
  </si>
  <si>
    <t>홍제선</t>
  </si>
  <si>
    <t>A9EAT</t>
  </si>
  <si>
    <t>가람여행사[이마트 봉선점]</t>
  </si>
  <si>
    <t>AVP254261103LJB</t>
  </si>
  <si>
    <t>HP2636922852</t>
  </si>
  <si>
    <t>CHP131261107TWF</t>
  </si>
  <si>
    <t>HP2636922716</t>
  </si>
  <si>
    <t>HP2636933292</t>
  </si>
  <si>
    <t>CJP104261128KEA</t>
  </si>
  <si>
    <t>HP2636947530</t>
  </si>
  <si>
    <t>HP2636947538</t>
  </si>
  <si>
    <t>PAP127261030KE5</t>
  </si>
  <si>
    <t>HP2637010528</t>
  </si>
  <si>
    <t>AVP233261109TWA</t>
  </si>
  <si>
    <t>HP2637007618</t>
  </si>
  <si>
    <t>ATP214261106LJB</t>
  </si>
  <si>
    <t>HP2637004120</t>
  </si>
  <si>
    <t>CJP324261114BX1</t>
  </si>
  <si>
    <t>HP2637000986</t>
  </si>
  <si>
    <t>CJP107261110RS1</t>
  </si>
  <si>
    <t>HP2637003290</t>
  </si>
  <si>
    <t>AAP203270122OZA</t>
  </si>
  <si>
    <t>HP2637024456</t>
  </si>
  <si>
    <t>ESP132261207KE1</t>
  </si>
  <si>
    <t>HP2637051112</t>
  </si>
  <si>
    <t>JOB341261212BXA</t>
  </si>
  <si>
    <t>HB2637118124</t>
  </si>
  <si>
    <t>A9MPP</t>
  </si>
  <si>
    <t>첨단하나여행[롯데마트 첨단점]</t>
  </si>
  <si>
    <t>JOP140270218TWK</t>
  </si>
  <si>
    <t>HP2636945194</t>
  </si>
  <si>
    <t>AAP203261219ZEA</t>
  </si>
  <si>
    <t>HP2637022154</t>
  </si>
  <si>
    <t>충청1팀</t>
  </si>
  <si>
    <t>김승원B</t>
  </si>
  <si>
    <t>A7333</t>
  </si>
  <si>
    <t>투어플러스주식회사[롯데마트 노은점]</t>
  </si>
  <si>
    <t>AVP532261120RFC</t>
  </si>
  <si>
    <t>HP2636963300</t>
  </si>
  <si>
    <t>HP2636999704</t>
  </si>
  <si>
    <t>FCP131270116EKN</t>
  </si>
  <si>
    <t>HP2637007690</t>
  </si>
  <si>
    <t>ADP285261125ZEH</t>
  </si>
  <si>
    <t>HP2637113302</t>
  </si>
  <si>
    <t>A9GBA</t>
  </si>
  <si>
    <t>안나여행사[GS 대전도마점]</t>
  </si>
  <si>
    <t>ETP131270212TKM</t>
  </si>
  <si>
    <t>HP2636989906</t>
  </si>
  <si>
    <t>CJP104261111GJG</t>
  </si>
  <si>
    <t>HP2637035814</t>
  </si>
  <si>
    <t>JKP130261128RF0</t>
  </si>
  <si>
    <t>HP2637062504</t>
  </si>
  <si>
    <t>PH07123</t>
  </si>
  <si>
    <t>라이언여행사(주) 연무대지점</t>
  </si>
  <si>
    <t>AVP532270123RFD</t>
  </si>
  <si>
    <t>HP2637030222</t>
  </si>
  <si>
    <t>HP2637050380</t>
  </si>
  <si>
    <t>노형진</t>
  </si>
  <si>
    <t>A2816</t>
  </si>
  <si>
    <t>알프스투어&amp;골프</t>
  </si>
  <si>
    <t>CCP104261106CZA</t>
  </si>
  <si>
    <t>HP2636930964</t>
  </si>
  <si>
    <t>CJP627261009ZES</t>
  </si>
  <si>
    <t>HP2636931498</t>
  </si>
  <si>
    <t>HP2636952624</t>
  </si>
  <si>
    <t>CCP3572612297CB</t>
  </si>
  <si>
    <t>HP2636949496</t>
  </si>
  <si>
    <t>JOP1412612017CX</t>
  </si>
  <si>
    <t>HP2636963484</t>
  </si>
  <si>
    <t>CCP318261024MUB</t>
  </si>
  <si>
    <t>HP2636964594</t>
  </si>
  <si>
    <t>JAP240261024TW8</t>
  </si>
  <si>
    <t>HP2636975870</t>
  </si>
  <si>
    <t>JMB1382611037CR</t>
  </si>
  <si>
    <t>HB2637014936</t>
  </si>
  <si>
    <t>AVP300270109VNJ</t>
  </si>
  <si>
    <t>HP2637010484</t>
  </si>
  <si>
    <t>CJP104261031RS1</t>
  </si>
  <si>
    <t>HP2637005904</t>
  </si>
  <si>
    <t>ASP210270215KEV</t>
  </si>
  <si>
    <t>HP2637011438</t>
  </si>
  <si>
    <t>HP2637004792</t>
  </si>
  <si>
    <t>HP2637005938</t>
  </si>
  <si>
    <t>AAP205270101OZB</t>
  </si>
  <si>
    <t>HP2637001728</t>
  </si>
  <si>
    <t>JOP343261024TWB</t>
  </si>
  <si>
    <t>HP2637033508</t>
  </si>
  <si>
    <t>JSP148261102TWV</t>
  </si>
  <si>
    <t>HP2637027274</t>
  </si>
  <si>
    <t>AVP250261204LJM</t>
  </si>
  <si>
    <t>HP2637032306</t>
  </si>
  <si>
    <t>JSP540261016RFS</t>
  </si>
  <si>
    <t>HP2637035956</t>
  </si>
  <si>
    <t>HP2637037886</t>
  </si>
  <si>
    <t>HP2637034600</t>
  </si>
  <si>
    <t>ESP132261115KEA</t>
  </si>
  <si>
    <t>HP2637048946</t>
  </si>
  <si>
    <t>COP115261116KE5</t>
  </si>
  <si>
    <t>HP2637054106</t>
  </si>
  <si>
    <t>HHP101261118KEP</t>
  </si>
  <si>
    <t>HP2637072310</t>
  </si>
  <si>
    <t>HP2637069284</t>
  </si>
  <si>
    <t>ATP214261029LJS</t>
  </si>
  <si>
    <t>HP2637086576</t>
  </si>
  <si>
    <t>HP2637086510</t>
  </si>
  <si>
    <t>JOP185270106TWQ</t>
  </si>
  <si>
    <t>HP2637096698</t>
  </si>
  <si>
    <t>AVP2032701107CV</t>
  </si>
  <si>
    <t>HP2637094778</t>
  </si>
  <si>
    <t>AVP231261117WEA</t>
  </si>
  <si>
    <t>HP2637125270</t>
  </si>
  <si>
    <t>JKP140270114TWA</t>
  </si>
  <si>
    <t>HP2637125722</t>
  </si>
  <si>
    <t>JKP148261212TWN</t>
  </si>
  <si>
    <t>HP2637104894</t>
  </si>
  <si>
    <t>AVP203261114WEB</t>
  </si>
  <si>
    <t>HP2637124358</t>
  </si>
  <si>
    <t>A9AQ8</t>
  </si>
  <si>
    <t>세기항공여행사[NC유성점]</t>
  </si>
  <si>
    <t>AVP531261107TWC</t>
  </si>
  <si>
    <t>HP2636925014</t>
  </si>
  <si>
    <t>CJP107261018ZE1</t>
  </si>
  <si>
    <t>HP2636923812</t>
  </si>
  <si>
    <t>HP2636953600</t>
  </si>
  <si>
    <t>CJP106261116RF1</t>
  </si>
  <si>
    <t>HP2636954972</t>
  </si>
  <si>
    <t>CJP107261101ZE1</t>
  </si>
  <si>
    <t>HP2636950700</t>
  </si>
  <si>
    <t>JKP130261230TW9</t>
  </si>
  <si>
    <t>HP2636970384</t>
  </si>
  <si>
    <t>HP2636972954</t>
  </si>
  <si>
    <t>JOP131270120RFJ</t>
  </si>
  <si>
    <t>HP2636986964</t>
  </si>
  <si>
    <t>JOP141261028TWH</t>
  </si>
  <si>
    <t>HP2636989650</t>
  </si>
  <si>
    <t>ATP507261031ZEJ</t>
  </si>
  <si>
    <t>HP2637009090</t>
  </si>
  <si>
    <t>ESP132270209KEA</t>
  </si>
  <si>
    <t>HP2637037590</t>
  </si>
  <si>
    <t>JSP544261224RFB</t>
  </si>
  <si>
    <t>HP2637040468</t>
  </si>
  <si>
    <t>ATP502261109RFA</t>
  </si>
  <si>
    <t>HP2637058728</t>
  </si>
  <si>
    <t>JOP185261210RFE</t>
  </si>
  <si>
    <t>HP2637047662</t>
  </si>
  <si>
    <t>AKP211261103OZC</t>
  </si>
  <si>
    <t>HP2637051664</t>
  </si>
  <si>
    <t>ATP514261106RFC</t>
  </si>
  <si>
    <t>HP2637074278</t>
  </si>
  <si>
    <t>AVP525261108TWH</t>
  </si>
  <si>
    <t>HP2637088240</t>
  </si>
  <si>
    <t>JOP141261224TWY</t>
  </si>
  <si>
    <t>HP2637099222</t>
  </si>
  <si>
    <t>JWP1472612257CN</t>
  </si>
  <si>
    <t>HP2637113446</t>
  </si>
  <si>
    <t>PH02519</t>
  </si>
  <si>
    <t>스마트투어[이마트 대전터미널점]</t>
  </si>
  <si>
    <t>AAP267270114TWB</t>
  </si>
  <si>
    <t>HP2636957366</t>
  </si>
  <si>
    <t>CJP108261109RF1</t>
  </si>
  <si>
    <t>HP2636949306</t>
  </si>
  <si>
    <t>JKP130270206TWZ</t>
  </si>
  <si>
    <t>HP2637033410</t>
  </si>
  <si>
    <t>CJP107261124ZE1</t>
  </si>
  <si>
    <t>HP2637034304</t>
  </si>
  <si>
    <t>HP2637087780</t>
  </si>
  <si>
    <t>JWP547270118RFZ</t>
  </si>
  <si>
    <t>HP2637118216</t>
  </si>
  <si>
    <t>PH05795</t>
  </si>
  <si>
    <t>(주)여행의 온도</t>
  </si>
  <si>
    <t>JOP185261028RFA</t>
  </si>
  <si>
    <t>HP2636938742</t>
  </si>
  <si>
    <t>HP2636934142</t>
  </si>
  <si>
    <t>JSP540261105RFS</t>
  </si>
  <si>
    <t>HP2636922034</t>
  </si>
  <si>
    <t>AVP525261025RFA</t>
  </si>
  <si>
    <t>HP2636966598</t>
  </si>
  <si>
    <t>HP2636963516</t>
  </si>
  <si>
    <t>CAP501261225QWT</t>
  </si>
  <si>
    <t>HP2636975094</t>
  </si>
  <si>
    <t>ATP502261102ZEA</t>
  </si>
  <si>
    <t>HP2636989938</t>
  </si>
  <si>
    <t>AVP203270206VNV</t>
  </si>
  <si>
    <t>HP2636985984</t>
  </si>
  <si>
    <t>EMP133270214TKB</t>
  </si>
  <si>
    <t>HP2636985472</t>
  </si>
  <si>
    <t>HP2637013170</t>
  </si>
  <si>
    <t>CJP104261028ZE1</t>
  </si>
  <si>
    <t>HP2637005392</t>
  </si>
  <si>
    <t>CCP104261102KEC</t>
  </si>
  <si>
    <t>HP2637009986</t>
  </si>
  <si>
    <t>AVP259261210LJW</t>
  </si>
  <si>
    <t>HP2637032472</t>
  </si>
  <si>
    <t>JKP140261123TW9</t>
  </si>
  <si>
    <t>HP2637021998</t>
  </si>
  <si>
    <t>CXP122261225KE1</t>
  </si>
  <si>
    <t>HP2637031160</t>
  </si>
  <si>
    <t>CCP104261102OZC</t>
  </si>
  <si>
    <t>HP2637032790</t>
  </si>
  <si>
    <t>AVP525261025RFD</t>
  </si>
  <si>
    <t>HP2637043734</t>
  </si>
  <si>
    <t>ATP253270113TWB</t>
  </si>
  <si>
    <t>HP2637055538</t>
  </si>
  <si>
    <t>JTP130270125RFD</t>
  </si>
  <si>
    <t>HP2637078786</t>
  </si>
  <si>
    <t>JWP141270221ZER</t>
  </si>
  <si>
    <t>HP2637086732</t>
  </si>
  <si>
    <t>AVP521270114TWC</t>
  </si>
  <si>
    <t>HP2637098718</t>
  </si>
  <si>
    <t>JKP140261220TWV</t>
  </si>
  <si>
    <t>HP2637095894</t>
  </si>
  <si>
    <t>CJP108261125GJ1</t>
  </si>
  <si>
    <t>HP2637128430</t>
  </si>
  <si>
    <t>CXP125270103ZEG</t>
  </si>
  <si>
    <t>HP2637113812</t>
  </si>
  <si>
    <t>CGQ1002610247C2</t>
  </si>
  <si>
    <t>HQ2635318356</t>
  </si>
  <si>
    <t>정지민C</t>
  </si>
  <si>
    <t>A9KXZ</t>
  </si>
  <si>
    <t>세계관광여행사[갤러리아점]</t>
  </si>
  <si>
    <t>HP2636955854</t>
  </si>
  <si>
    <t>APP2332612197CJ</t>
  </si>
  <si>
    <t>HP2636956770</t>
  </si>
  <si>
    <t>JOP146261128TWY</t>
  </si>
  <si>
    <t>HP2636941132</t>
  </si>
  <si>
    <t>AVQ529261102RFX</t>
  </si>
  <si>
    <t>HQ2636946024</t>
  </si>
  <si>
    <t>ESQ111261220OZW</t>
  </si>
  <si>
    <t>HQ2636956246</t>
  </si>
  <si>
    <t>HQ2636956242</t>
  </si>
  <si>
    <t>JOB148261104TWJ</t>
  </si>
  <si>
    <t>HB2636965916</t>
  </si>
  <si>
    <t>CJP108261111GJ1</t>
  </si>
  <si>
    <t>HP2636975286</t>
  </si>
  <si>
    <t>AVP532261101RFD</t>
  </si>
  <si>
    <t>HP2636975964</t>
  </si>
  <si>
    <t>JOP141261020ZEA</t>
  </si>
  <si>
    <t>HP2636975790</t>
  </si>
  <si>
    <t>JKP130261020RF0</t>
  </si>
  <si>
    <t>HP2637011752</t>
  </si>
  <si>
    <t>JOP185261025RFA</t>
  </si>
  <si>
    <t>HP2636994278</t>
  </si>
  <si>
    <t>EEQ111261207KEW</t>
  </si>
  <si>
    <t>HQ2637019634</t>
  </si>
  <si>
    <t>AVP532261017RFC</t>
  </si>
  <si>
    <t>HP2637041746</t>
  </si>
  <si>
    <t>JOP141261102RFA</t>
  </si>
  <si>
    <t>HP2637036340</t>
  </si>
  <si>
    <t>JOP140261215TWR</t>
  </si>
  <si>
    <t>HP2637025646</t>
  </si>
  <si>
    <t>JOP140261026RFJ</t>
  </si>
  <si>
    <t>HP2637029756</t>
  </si>
  <si>
    <t>AVQ539261123RFX</t>
  </si>
  <si>
    <t>HQ2637021110</t>
  </si>
  <si>
    <t>AVQ539261127RFX</t>
  </si>
  <si>
    <t>HQ2637021124</t>
  </si>
  <si>
    <t>AKP33226110300A</t>
  </si>
  <si>
    <t>HP2637049498</t>
  </si>
  <si>
    <t>JOP641261106TWY</t>
  </si>
  <si>
    <t>HP2637058300</t>
  </si>
  <si>
    <t>CJP104261122ZES</t>
  </si>
  <si>
    <t>HP2637051916</t>
  </si>
  <si>
    <t>HQ2637049856</t>
  </si>
  <si>
    <t>JSP345270209TWC</t>
  </si>
  <si>
    <t>HP2637071750</t>
  </si>
  <si>
    <t>AVP525261121RFA</t>
  </si>
  <si>
    <t>HP2637077640</t>
  </si>
  <si>
    <t>JKP130261225RF6</t>
  </si>
  <si>
    <t>HP2637089602</t>
  </si>
  <si>
    <t>PAP108270103KE3</t>
  </si>
  <si>
    <t>HP2637096230</t>
  </si>
  <si>
    <t>AVP232261222LJE</t>
  </si>
  <si>
    <t>HP2637096418</t>
  </si>
  <si>
    <t>APQ211270113TWR</t>
  </si>
  <si>
    <t>HQ2636642952</t>
  </si>
  <si>
    <t>CJP104261019ZE1</t>
  </si>
  <si>
    <t>HP2637104646</t>
  </si>
  <si>
    <t>AVP253261219ZEC</t>
  </si>
  <si>
    <t>HP2637119834</t>
  </si>
  <si>
    <t>A9MBN</t>
  </si>
  <si>
    <t>하나멤버스[신세계 충청점]</t>
  </si>
  <si>
    <t>JSP148261017RFE</t>
  </si>
  <si>
    <t>HP2636922592</t>
  </si>
  <si>
    <t>ETP131261019TKG</t>
  </si>
  <si>
    <t>HP2636924934</t>
  </si>
  <si>
    <t>랜드팩</t>
  </si>
  <si>
    <t>ADX723261021002</t>
  </si>
  <si>
    <t>HX2636927994</t>
  </si>
  <si>
    <t>JOP141261120ZEA</t>
  </si>
  <si>
    <t>HP2636949668</t>
  </si>
  <si>
    <t>HP2636949664</t>
  </si>
  <si>
    <t>CKP104261102CAA</t>
  </si>
  <si>
    <t>HP2636953222</t>
  </si>
  <si>
    <t>AVG231270123KET</t>
  </si>
  <si>
    <t>HG2636974110</t>
  </si>
  <si>
    <t>JSB147270218ZE6</t>
  </si>
  <si>
    <t>HB2636987958</t>
  </si>
  <si>
    <t>CJP104261014GJG</t>
  </si>
  <si>
    <t>HP2636986714</t>
  </si>
  <si>
    <t>CCP104261106KEC</t>
  </si>
  <si>
    <t>HP2637007804</t>
  </si>
  <si>
    <t>EWX75226100800U</t>
  </si>
  <si>
    <t>HX2637001596</t>
  </si>
  <si>
    <t>JOP343261111BXZ</t>
  </si>
  <si>
    <t>HP2637028730</t>
  </si>
  <si>
    <t>APP2202611307CA</t>
  </si>
  <si>
    <t>HP2637029856</t>
  </si>
  <si>
    <t>ETP131270122KEA</t>
  </si>
  <si>
    <t>HP2637031874</t>
  </si>
  <si>
    <t>AKG936261026002</t>
  </si>
  <si>
    <t>HG2637054990</t>
  </si>
  <si>
    <t>JCP421261030D0J</t>
  </si>
  <si>
    <t>HP2637049306</t>
  </si>
  <si>
    <t>ATP503261229RFB</t>
  </si>
  <si>
    <t>HP2637086114</t>
  </si>
  <si>
    <t>EEP133261117KEM</t>
  </si>
  <si>
    <t>HP2637095182</t>
  </si>
  <si>
    <t>AVG231270121KEW</t>
  </si>
  <si>
    <t>HG2637114022</t>
  </si>
  <si>
    <t>ASP211270114OZC</t>
  </si>
  <si>
    <t>HP2637110110</t>
  </si>
  <si>
    <t>HP2637124430</t>
  </si>
  <si>
    <t>PH06731</t>
  </si>
  <si>
    <t>(주)시티에스[이마트 보령점]</t>
  </si>
  <si>
    <t>CFQ154261026HY1</t>
  </si>
  <si>
    <t>HQ2636944858</t>
  </si>
  <si>
    <t>ATP000261106TW1</t>
  </si>
  <si>
    <t>HP2637002342</t>
  </si>
  <si>
    <t>JOP1312610117C3</t>
  </si>
  <si>
    <t>HP2637005056</t>
  </si>
  <si>
    <t>충청2팀</t>
  </si>
  <si>
    <t>김현민C</t>
  </si>
  <si>
    <t>A9GHQ</t>
  </si>
  <si>
    <t>해피투어[롯데마트 상당점]</t>
  </si>
  <si>
    <t>JOP141261120TWQ</t>
  </si>
  <si>
    <t>HP2637007552</t>
  </si>
  <si>
    <t>HP2637010014</t>
  </si>
  <si>
    <t>ATP504261029RFB</t>
  </si>
  <si>
    <t>HP2637122474</t>
  </si>
  <si>
    <t>ATP504261031RFB</t>
  </si>
  <si>
    <t>HP2637129472</t>
  </si>
  <si>
    <t>JSP540270113RFS</t>
  </si>
  <si>
    <t>HP2637117942</t>
  </si>
  <si>
    <t>이미소D</t>
  </si>
  <si>
    <t>A9D60</t>
  </si>
  <si>
    <t>투어뱅크[청주]</t>
  </si>
  <si>
    <t>JOP130261108RFT</t>
  </si>
  <si>
    <t>HP2636918736</t>
  </si>
  <si>
    <t>CXP525270218ZE5</t>
  </si>
  <si>
    <t>HP2636921236</t>
  </si>
  <si>
    <t>AVQ539261211RFZ</t>
  </si>
  <si>
    <t>HP2636928882</t>
  </si>
  <si>
    <t>CXP537270107ZE5</t>
  </si>
  <si>
    <t>HP2636926844</t>
  </si>
  <si>
    <t>APP232270104LJA</t>
  </si>
  <si>
    <t>HP2636927452</t>
  </si>
  <si>
    <t>ESP131270101TWI</t>
  </si>
  <si>
    <t>HP2636945862</t>
  </si>
  <si>
    <t>JSP540261220RFS</t>
  </si>
  <si>
    <t>HP2636949910</t>
  </si>
  <si>
    <t>AVB536261212RFC</t>
  </si>
  <si>
    <t>HB2636966614</t>
  </si>
  <si>
    <t>JOP130261201RFT</t>
  </si>
  <si>
    <t>HP2636968350</t>
  </si>
  <si>
    <t>APP232270115LJA</t>
  </si>
  <si>
    <t>HP2636967216</t>
  </si>
  <si>
    <t>HP2636973696</t>
  </si>
  <si>
    <t>HP2636983398</t>
  </si>
  <si>
    <t>JSP548261211RFS</t>
  </si>
  <si>
    <t>HP2636988626</t>
  </si>
  <si>
    <t>ATP502261112ZEA</t>
  </si>
  <si>
    <t>HP2636986968</t>
  </si>
  <si>
    <t>AVP532270107TWF</t>
  </si>
  <si>
    <t>HP2636986044</t>
  </si>
  <si>
    <t>JKP140270114TWC</t>
  </si>
  <si>
    <t>HP2636986196</t>
  </si>
  <si>
    <t>CJP104261104GJS</t>
  </si>
  <si>
    <t>HP2637018976</t>
  </si>
  <si>
    <t>AVP2502612109GM</t>
  </si>
  <si>
    <t>HP2637012972</t>
  </si>
  <si>
    <t>JOP130261120RFT</t>
  </si>
  <si>
    <t>HP2637011714</t>
  </si>
  <si>
    <t>JKP130261125RF0</t>
  </si>
  <si>
    <t>HP2637034222</t>
  </si>
  <si>
    <t>JOP141270119TWM</t>
  </si>
  <si>
    <t>HP2637036134</t>
  </si>
  <si>
    <t>JSP548261205RFT</t>
  </si>
  <si>
    <t>HP2637032456</t>
  </si>
  <si>
    <t>CGP104261024LJB</t>
  </si>
  <si>
    <t>HP2636791154</t>
  </si>
  <si>
    <t>CJP107261122ZE1</t>
  </si>
  <si>
    <t>HP2635607816</t>
  </si>
  <si>
    <t>JWG140261224OZA</t>
  </si>
  <si>
    <t>HG2637053192</t>
  </si>
  <si>
    <t>ATB522261109ZEV</t>
  </si>
  <si>
    <t>HB2637064232</t>
  </si>
  <si>
    <t>AVP532270105RFC</t>
  </si>
  <si>
    <t>HP2637053960</t>
  </si>
  <si>
    <t>CJP104261122ZE1</t>
  </si>
  <si>
    <t>HP2637053502</t>
  </si>
  <si>
    <t>AVP532270104RFC</t>
  </si>
  <si>
    <t>HP2637068392</t>
  </si>
  <si>
    <t>HP2637069588</t>
  </si>
  <si>
    <t>ATP514270103RFB</t>
  </si>
  <si>
    <t>HP2637068618</t>
  </si>
  <si>
    <t>AVP532270218TWE</t>
  </si>
  <si>
    <t>HP2637087972</t>
  </si>
  <si>
    <t>CHP103261207TWA</t>
  </si>
  <si>
    <t>HP2637081846</t>
  </si>
  <si>
    <t>JOP141261226TW7</t>
  </si>
  <si>
    <t>HP2637082380</t>
  </si>
  <si>
    <t>CAP501270101QWT</t>
  </si>
  <si>
    <t>HP2637085042</t>
  </si>
  <si>
    <t>JWP548261218RFS</t>
  </si>
  <si>
    <t>HP2637099706</t>
  </si>
  <si>
    <t>ATP502261220ZEA</t>
  </si>
  <si>
    <t>HP2637093640</t>
  </si>
  <si>
    <t>CCP504270205ZEA</t>
  </si>
  <si>
    <t>HP2637096078</t>
  </si>
  <si>
    <t>JOP141270107TW8</t>
  </si>
  <si>
    <t>HP2637114378</t>
  </si>
  <si>
    <t>JSP548261116RF4</t>
  </si>
  <si>
    <t>HP2637116480</t>
  </si>
  <si>
    <t>JSP548261212RFT</t>
  </si>
  <si>
    <t>HP2637128280</t>
  </si>
  <si>
    <t>JAP240261023TW8</t>
  </si>
  <si>
    <t>HP2637117562</t>
  </si>
  <si>
    <t>A9KZI</t>
  </si>
  <si>
    <t>도도투어[이마트 세종점]</t>
  </si>
  <si>
    <t>HP2636939716</t>
  </si>
  <si>
    <t>APP210270109TW0</t>
  </si>
  <si>
    <t>HP2636935932</t>
  </si>
  <si>
    <t>JKQ100261216LJJ</t>
  </si>
  <si>
    <t>HQ2636951850</t>
  </si>
  <si>
    <t>CJP104261014GJM</t>
  </si>
  <si>
    <t>HP2636958732</t>
  </si>
  <si>
    <t>ATP514261104ZEB</t>
  </si>
  <si>
    <t>HP2636952744</t>
  </si>
  <si>
    <t>CNP531261020ZE3</t>
  </si>
  <si>
    <t>HP2636979332</t>
  </si>
  <si>
    <t>JKB140261015TWC</t>
  </si>
  <si>
    <t>HB2636992546</t>
  </si>
  <si>
    <t>AVB252261225ZED</t>
  </si>
  <si>
    <t>HB2636988574</t>
  </si>
  <si>
    <t>AVB534261018RFC</t>
  </si>
  <si>
    <t>HB2636986408</t>
  </si>
  <si>
    <t>JKB130261018RF3</t>
  </si>
  <si>
    <t>HB2636986458</t>
  </si>
  <si>
    <t>HP2636988790</t>
  </si>
  <si>
    <t>AMP202270107MHA</t>
  </si>
  <si>
    <t>HP2636986760</t>
  </si>
  <si>
    <t>HP2636987144</t>
  </si>
  <si>
    <t>CJP104261104ZEG</t>
  </si>
  <si>
    <t>HP2636986290</t>
  </si>
  <si>
    <t>HP2636986302</t>
  </si>
  <si>
    <t>AVP236261128KE2</t>
  </si>
  <si>
    <t>HP2636987036</t>
  </si>
  <si>
    <t>JNG101261129OZD</t>
  </si>
  <si>
    <t>HG2637006924</t>
  </si>
  <si>
    <t>FCP131261114EKN</t>
  </si>
  <si>
    <t>HP2637002838</t>
  </si>
  <si>
    <t>AVP533261031RFA</t>
  </si>
  <si>
    <t>HP2637028330</t>
  </si>
  <si>
    <t>JNG101261213OZD</t>
  </si>
  <si>
    <t>HG2637057402</t>
  </si>
  <si>
    <t>JOP131261121TW7</t>
  </si>
  <si>
    <t>HP2637055086</t>
  </si>
  <si>
    <t>ATP514261108RFB</t>
  </si>
  <si>
    <t>HP2637050850</t>
  </si>
  <si>
    <t>HG2637070458</t>
  </si>
  <si>
    <t>AAP203270206LJA</t>
  </si>
  <si>
    <t>HP2637073642</t>
  </si>
  <si>
    <t>JKP130261126RF0</t>
  </si>
  <si>
    <t>HP2637090922</t>
  </si>
  <si>
    <t>바로 출국 수속 서비스</t>
  </si>
  <si>
    <t>AVB535261024RFA</t>
  </si>
  <si>
    <t>HB2637126258</t>
  </si>
  <si>
    <t>AVP525270101TWH</t>
  </si>
  <si>
    <t>HP2637121320</t>
  </si>
  <si>
    <t>JOP141261105TWX</t>
  </si>
  <si>
    <t>HP2637126562</t>
  </si>
  <si>
    <t>ATQ280261103CIY</t>
  </si>
  <si>
    <t>HQ2637124978</t>
  </si>
  <si>
    <t>PH00686</t>
  </si>
  <si>
    <t>뉴월드트래블[이마트 둔산점]</t>
  </si>
  <si>
    <t>CHQ191261123KEA</t>
  </si>
  <si>
    <t>HQ2635415560</t>
  </si>
  <si>
    <t>PNP101261117KE1</t>
  </si>
  <si>
    <t>HP2637032316</t>
  </si>
  <si>
    <t>CJP109261118ZEG</t>
  </si>
  <si>
    <t>HP2637121824</t>
  </si>
  <si>
    <t>AVP523270119RFC</t>
  </si>
  <si>
    <t>HP2637117928</t>
  </si>
  <si>
    <t>충청전북팀</t>
  </si>
  <si>
    <t>김대운B</t>
  </si>
  <si>
    <t>PH05389</t>
  </si>
  <si>
    <t>쏭투어[롯데백화점 전주점]</t>
  </si>
  <si>
    <t>JKP140261220BX1</t>
  </si>
  <si>
    <t>HP2636755522</t>
  </si>
  <si>
    <t>CCP104261112MUZ</t>
  </si>
  <si>
    <t>HP2636946230</t>
  </si>
  <si>
    <t>CHP131261120CXJ</t>
  </si>
  <si>
    <t>HP2636956344</t>
  </si>
  <si>
    <t>AVP227261026TWA</t>
  </si>
  <si>
    <t>HP2637003880</t>
  </si>
  <si>
    <t>CVP621261024TWN</t>
  </si>
  <si>
    <t>HP2637026262</t>
  </si>
  <si>
    <t>ESP132261118OZA</t>
  </si>
  <si>
    <t>HP2637030430</t>
  </si>
  <si>
    <t>CBQ100261203OZA</t>
  </si>
  <si>
    <t>HQ2637058946</t>
  </si>
  <si>
    <t>최관종B</t>
  </si>
  <si>
    <t>PH02870</t>
  </si>
  <si>
    <t>여행일기[롯데마트 군산점]</t>
  </si>
  <si>
    <t>HP2636932582</t>
  </si>
  <si>
    <t>AVQ229270106TW5</t>
  </si>
  <si>
    <t>HQ2636963224</t>
  </si>
  <si>
    <t>ADP285270127ZEH</t>
  </si>
  <si>
    <t>HP2636963940</t>
  </si>
  <si>
    <t>AVP325261229BXB</t>
  </si>
  <si>
    <t>HP2637035390</t>
  </si>
  <si>
    <t>HP2637039050</t>
  </si>
  <si>
    <t>ASP212270216SQV</t>
  </si>
  <si>
    <t>HP2637055546</t>
  </si>
  <si>
    <t>AVP203261231WEV</t>
  </si>
  <si>
    <t>HP2637051708</t>
  </si>
  <si>
    <t>값</t>
    <phoneticPr fontId="2" type="noConversion"/>
  </si>
  <si>
    <t>행 레이블</t>
  </si>
  <si>
    <t>총합계</t>
  </si>
  <si>
    <t>(모두)</t>
  </si>
  <si>
    <t>(비어 있음)</t>
  </si>
  <si>
    <t>합계 : 값2</t>
  </si>
  <si>
    <t>(다중 항목)</t>
  </si>
  <si>
    <t>우리끼리</t>
    <phoneticPr fontId="2" type="noConversion"/>
  </si>
  <si>
    <t>제우스</t>
    <phoneticPr fontId="2" type="noConversion"/>
  </si>
  <si>
    <t>휴일예약</t>
    <phoneticPr fontId="2" type="noConversion"/>
  </si>
  <si>
    <t>매출</t>
    <phoneticPr fontId="2" type="noConversion"/>
  </si>
  <si>
    <t>-</t>
    <phoneticPr fontId="2" type="noConversion"/>
  </si>
  <si>
    <t>보정매출</t>
    <phoneticPr fontId="2" type="noConversion"/>
  </si>
  <si>
    <t xml:space="preserve"> - </t>
    <phoneticPr fontId="2" type="noConversion"/>
  </si>
  <si>
    <t>주중예약</t>
    <phoneticPr fontId="2" type="noConversion"/>
  </si>
  <si>
    <t>총보정매출</t>
    <phoneticPr fontId="2" type="noConversion"/>
  </si>
  <si>
    <t>합계 : 총보정매출</t>
  </si>
  <si>
    <t>담당실</t>
    <phoneticPr fontId="2" type="noConversion"/>
  </si>
  <si>
    <t>담당팀</t>
    <phoneticPr fontId="2" type="noConversion"/>
  </si>
  <si>
    <t>담당세일즈</t>
    <phoneticPr fontId="2" type="noConversion"/>
  </si>
  <si>
    <t>번호</t>
    <phoneticPr fontId="2" type="noConversion"/>
  </si>
  <si>
    <t>번호</t>
    <phoneticPr fontId="9" type="noConversion"/>
  </si>
  <si>
    <t>채널구분</t>
    <phoneticPr fontId="9" type="noConversion"/>
  </si>
  <si>
    <t>본부</t>
    <phoneticPr fontId="2" type="noConversion"/>
  </si>
  <si>
    <t>담당영업실</t>
    <phoneticPr fontId="2" type="noConversion"/>
  </si>
  <si>
    <t>담당영업팀</t>
    <phoneticPr fontId="2" type="noConversion"/>
  </si>
  <si>
    <t>계약여부</t>
    <phoneticPr fontId="9" type="noConversion"/>
  </si>
  <si>
    <t>상품권</t>
    <phoneticPr fontId="9" type="noConversion"/>
  </si>
  <si>
    <t>금액</t>
    <phoneticPr fontId="9" type="noConversion"/>
  </si>
  <si>
    <t>지급개수</t>
    <phoneticPr fontId="9" type="noConversion"/>
  </si>
  <si>
    <t>비용</t>
    <phoneticPr fontId="9" type="noConversion"/>
  </si>
  <si>
    <t>이마트</t>
    <phoneticPr fontId="9" type="noConversion"/>
  </si>
  <si>
    <t>본사계약</t>
    <phoneticPr fontId="9" type="noConversion"/>
  </si>
  <si>
    <t>신세계</t>
    <phoneticPr fontId="9" type="noConversion"/>
  </si>
  <si>
    <t>롯데백화점(몰)</t>
    <phoneticPr fontId="9" type="noConversion"/>
  </si>
  <si>
    <t>롯데</t>
    <phoneticPr fontId="9" type="noConversion"/>
  </si>
  <si>
    <t>NC</t>
    <phoneticPr fontId="9" type="noConversion"/>
  </si>
  <si>
    <t>다이소</t>
    <phoneticPr fontId="9" type="noConversion"/>
  </si>
  <si>
    <t>하나로마트</t>
    <phoneticPr fontId="9" type="noConversion"/>
  </si>
  <si>
    <t>직계약</t>
    <phoneticPr fontId="9" type="noConversion"/>
  </si>
  <si>
    <t>롯데마트</t>
    <phoneticPr fontId="9" type="noConversion"/>
  </si>
  <si>
    <t>롯데백화점</t>
    <phoneticPr fontId="9" type="noConversion"/>
  </si>
  <si>
    <t>비트플렉스몰</t>
    <phoneticPr fontId="9" type="noConversion"/>
  </si>
  <si>
    <t>오형석</t>
    <phoneticPr fontId="2" type="noConversion"/>
  </si>
  <si>
    <t>PH08285</t>
    <phoneticPr fontId="9" type="noConversion"/>
  </si>
  <si>
    <t>여행이야기[롯데백화점 관악점]</t>
  </si>
  <si>
    <t>NC(2001아울렛)</t>
    <phoneticPr fontId="9" type="noConversion"/>
  </si>
  <si>
    <t>세이브존</t>
    <phoneticPr fontId="9" type="noConversion"/>
  </si>
  <si>
    <t>스타필드</t>
    <phoneticPr fontId="9" type="noConversion"/>
  </si>
  <si>
    <t>에브리데이</t>
    <phoneticPr fontId="9" type="noConversion"/>
  </si>
  <si>
    <t>롯데슈퍼</t>
    <phoneticPr fontId="9" type="noConversion"/>
  </si>
  <si>
    <t>염현선</t>
  </si>
  <si>
    <t>A7604</t>
  </si>
  <si>
    <t>통일여행사[이마트 속초점]</t>
  </si>
  <si>
    <t>AK프라자</t>
    <phoneticPr fontId="9" type="noConversion"/>
  </si>
  <si>
    <t>이준현</t>
    <phoneticPr fontId="2" type="noConversion"/>
  </si>
  <si>
    <t>PH08198</t>
    <phoneticPr fontId="9" type="noConversion"/>
  </si>
  <si>
    <t>온드림 여행사[하나로마트 성남점]</t>
    <phoneticPr fontId="9" type="noConversion"/>
  </si>
  <si>
    <t>A3068</t>
  </si>
  <si>
    <t>그랜드여행사[이마트 서수원점]</t>
  </si>
  <si>
    <t>김성수D</t>
    <phoneticPr fontId="2" type="noConversion"/>
  </si>
  <si>
    <t>PH08246</t>
    <phoneticPr fontId="9" type="noConversion"/>
  </si>
  <si>
    <t>A9I6R</t>
  </si>
  <si>
    <t>디케이여행사[롯데마트 시화점]</t>
  </si>
  <si>
    <t>메가마트</t>
    <phoneticPr fontId="9" type="noConversion"/>
  </si>
  <si>
    <t>울산팀</t>
    <phoneticPr fontId="2" type="noConversion"/>
  </si>
  <si>
    <t>빈기문</t>
    <phoneticPr fontId="2" type="noConversion"/>
  </si>
  <si>
    <t>A9FWR</t>
    <phoneticPr fontId="9" type="noConversion"/>
  </si>
  <si>
    <t>(주)여행매니저[메가마트 김해점]</t>
    <phoneticPr fontId="9" type="noConversion"/>
  </si>
  <si>
    <t>김효진D</t>
    <phoneticPr fontId="2" type="noConversion"/>
  </si>
  <si>
    <t>PH08592</t>
    <phoneticPr fontId="9" type="noConversion"/>
  </si>
  <si>
    <t>감승투어[롯데마트 구미점]</t>
  </si>
  <si>
    <t>PH02623</t>
  </si>
  <si>
    <t>칸여행사[에브리데이 성주점]</t>
  </si>
  <si>
    <t>대구백화점</t>
    <phoneticPr fontId="9" type="noConversion"/>
  </si>
  <si>
    <t>탑마트</t>
    <phoneticPr fontId="9" type="noConversion"/>
  </si>
  <si>
    <t>GS슈퍼마켓</t>
    <phoneticPr fontId="9" type="noConversion"/>
  </si>
  <si>
    <t>김승원B</t>
    <phoneticPr fontId="2" type="noConversion"/>
  </si>
  <si>
    <t>A9IRM</t>
  </si>
  <si>
    <t>코리아투어[이마트 서산점]</t>
  </si>
  <si>
    <t>갤러리아</t>
    <phoneticPr fontId="9" type="noConversion"/>
  </si>
  <si>
    <t>신세계백화점</t>
    <phoneticPr fontId="9" type="noConversion"/>
  </si>
  <si>
    <t>A9M0D</t>
  </si>
  <si>
    <t>여행스토리[이마트 익산점]</t>
  </si>
  <si>
    <t>2025 매출</t>
    <phoneticPr fontId="2" type="noConversion"/>
  </si>
  <si>
    <t>비고</t>
    <phoneticPr fontId="2" type="noConversion"/>
  </si>
  <si>
    <t>신규코드</t>
    <phoneticPr fontId="2" type="noConversion"/>
  </si>
  <si>
    <t>PH02736 코드변경</t>
    <phoneticPr fontId="2" type="noConversion"/>
  </si>
  <si>
    <t>PH03930 코드변경</t>
    <phoneticPr fontId="2" type="noConversion"/>
  </si>
  <si>
    <t>본부</t>
    <phoneticPr fontId="2" type="noConversion"/>
  </si>
  <si>
    <t>영업실</t>
    <phoneticPr fontId="2" type="noConversion"/>
  </si>
  <si>
    <t>영업팀</t>
    <phoneticPr fontId="2" type="noConversion"/>
  </si>
  <si>
    <t>담당세일즈</t>
    <phoneticPr fontId="2" type="noConversion"/>
  </si>
  <si>
    <t>영업실</t>
  </si>
  <si>
    <t>영업팀</t>
  </si>
  <si>
    <t>담당세일즈</t>
  </si>
  <si>
    <t>휴일 매출</t>
    <phoneticPr fontId="2" type="noConversion"/>
  </si>
  <si>
    <t>합계 : 매출</t>
  </si>
  <si>
    <t>실매출</t>
    <phoneticPr fontId="2" type="noConversion"/>
  </si>
  <si>
    <t>본부</t>
    <phoneticPr fontId="2" type="noConversion"/>
  </si>
  <si>
    <t>스탠다드, 프리미엄</t>
    <phoneticPr fontId="2" type="noConversion"/>
  </si>
  <si>
    <t>예약인원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</si>
</sst>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\(#,##0\)"/>
  </numFmts>
  <fonts count="12" x14ac:knownFonts="1">
    <font>
      <sz val="10"/>
      <color rgb="FF000000"/>
      <name val="Arial"/>
    </font>
    <font>
      <sz val="10"/>
      <color rgb="FF000000"/>
      <name val="Arial"/>
      <family val="2"/>
    </font>
    <font>
      <sz val="8"/>
      <name val="돋움"/>
      <family val="3"/>
      <charset val="129"/>
    </font>
    <font>
      <sz val="10"/>
      <color rgb="FF000000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b/>
      <sz val="11"/>
      <color rgb="FF00000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rgb="FF000000"/>
      <name val="맑은 고딕"/>
      <family val="3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AF1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EB8FB"/>
        <bgColor indexed="64"/>
      </patternFill>
    </fill>
    <fill>
      <patternFill patternType="solid">
        <fgColor rgb="FF51B4E5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176" fontId="0" fillId="0" borderId="0" xfId="0" applyNumberFormat="1" applyAlignment="1"/>
    <xf numFmtId="0" fontId="3" fillId="0" borderId="0" xfId="0" applyFont="1">
      <alignment vertical="center"/>
    </xf>
    <xf numFmtId="0" fontId="0" fillId="0" borderId="0" xfId="0" pivotButton="1">
      <alignment vertical="center"/>
    </xf>
    <xf numFmtId="176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Border="1">
      <alignment vertical="center"/>
    </xf>
    <xf numFmtId="176" fontId="6" fillId="0" borderId="1" xfId="0" applyNumberFormat="1" applyFont="1" applyBorder="1">
      <alignment vertical="center"/>
    </xf>
    <xf numFmtId="0" fontId="5" fillId="2" borderId="1" xfId="0" applyFont="1" applyFill="1" applyBorder="1" applyAlignment="1">
      <alignment horizontal="center" vertical="center"/>
    </xf>
    <xf numFmtId="176" fontId="5" fillId="2" borderId="1" xfId="0" applyNumberFormat="1" applyFont="1" applyFill="1" applyBorder="1">
      <alignment vertical="center"/>
    </xf>
    <xf numFmtId="0" fontId="5" fillId="0" borderId="2" xfId="0" applyFont="1" applyBorder="1">
      <alignment vertical="center"/>
    </xf>
    <xf numFmtId="0" fontId="6" fillId="0" borderId="2" xfId="0" applyFont="1" applyBorder="1">
      <alignment vertical="center"/>
    </xf>
    <xf numFmtId="176" fontId="6" fillId="0" borderId="2" xfId="0" applyNumberFormat="1" applyFont="1" applyBorder="1">
      <alignment vertical="center"/>
    </xf>
    <xf numFmtId="0" fontId="0" fillId="0" borderId="1" xfId="0" applyBorder="1">
      <alignment vertical="center"/>
    </xf>
    <xf numFmtId="3" fontId="0" fillId="0" borderId="1" xfId="0" applyNumberFormat="1" applyBorder="1">
      <alignment vertical="center"/>
    </xf>
    <xf numFmtId="3" fontId="1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3" fontId="1" fillId="0" borderId="2" xfId="0" applyNumberFormat="1" applyFont="1" applyBorder="1">
      <alignment vertical="center"/>
    </xf>
    <xf numFmtId="3" fontId="0" fillId="0" borderId="2" xfId="0" applyNumberFormat="1" applyBorder="1">
      <alignment vertical="center"/>
    </xf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0" fillId="0" borderId="1" xfId="0" applyNumberFormat="1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3" fontId="7" fillId="3" borderId="1" xfId="0" applyNumberFormat="1" applyFont="1" applyFill="1" applyBorder="1">
      <alignment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>
      <alignment vertical="center"/>
    </xf>
    <xf numFmtId="3" fontId="6" fillId="0" borderId="1" xfId="0" applyNumberFormat="1" applyFont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</cellXfs>
  <cellStyles count="1">
    <cellStyle name="표준" xfId="0" builtinId="0"/>
  </cellStyles>
  <dxfs count="13"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bgColor rgb="FFFF5757"/>
        </patternFill>
      </fill>
    </dxf>
    <dxf>
      <fill>
        <patternFill>
          <bgColor rgb="FFE4BD16"/>
        </patternFill>
      </fill>
    </dxf>
    <dxf>
      <fill>
        <patternFill>
          <bgColor rgb="FFFF9797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08.581931365741" createdVersion="8" refreshedVersion="8" minRefreshableVersion="3" recordCount="4664" xr:uid="{81F62675-F0F4-4F52-A5F2-FD224B6ED5AD}">
  <cacheSource type="worksheet">
    <worksheetSource ref="A3:W4667" sheet="2026 유통점 프로모션(1)"/>
  </cacheSource>
  <cacheFields count="23">
    <cacheField name="대리점조직본부명_현재" numFmtId="0">
      <sharedItems count="2">
        <s v="영업본부"/>
        <s v="지방사업본부"/>
      </sharedItems>
    </cacheField>
    <cacheField name="대리점조직사업부명_현재" numFmtId="0">
      <sharedItems count="4">
        <s v="영업1실"/>
        <s v="영업2실"/>
        <s v="지방영업1실"/>
        <s v="지방영업2실"/>
      </sharedItems>
    </cacheField>
    <cacheField name="대리점조직하나투어주담당자팀명_현재" numFmtId="0">
      <sharedItems count="17">
        <s v="영업1팀"/>
        <s v="영업5팀"/>
        <s v="영업10팀"/>
        <s v="영업11팀"/>
        <s v="영업7팀"/>
        <s v="영업8팀"/>
        <s v="영업9팀"/>
        <s v="경남팀"/>
        <s v="대구경북1팀"/>
        <s v="대구경북2팀"/>
        <s v="부산1팀"/>
        <s v="부산2팀"/>
        <s v="울산팀"/>
        <s v="전남팀"/>
        <s v="충청1팀"/>
        <s v="충청2팀"/>
        <s v="충청전북팀"/>
      </sharedItems>
    </cacheField>
    <cacheField name="대리점조직하나투어주담당자사원명_현재" numFmtId="0">
      <sharedItems count="56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임창수"/>
        <s v="김성수D"/>
        <s v="김홍식"/>
        <s v="최은명"/>
        <s v="강준구"/>
        <s v="권준성"/>
        <s v="김우진B"/>
        <s v="김지민C"/>
        <s v="김소윤B"/>
        <s v="유지호C"/>
        <s v="김선우"/>
        <s v="김성원"/>
        <s v="백지영"/>
        <s v="권오윤"/>
        <s v="이준현"/>
        <s v="김태관"/>
        <s v="배창선"/>
        <s v="윤성범"/>
        <s v="김효진D"/>
        <s v="안기범"/>
        <s v="이정열"/>
        <s v="최경득"/>
        <s v="김민우C"/>
        <s v="양건모"/>
        <s v="이승학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윤준곤"/>
        <s v="최성주B"/>
        <s v="홍제선"/>
        <s v="김승원B"/>
        <s v="노형진"/>
        <s v="정지민C"/>
        <s v="김현민C"/>
        <s v="이미소D"/>
        <s v="김대운B"/>
        <s v="최관종B"/>
      </sharedItems>
    </cacheField>
    <cacheField name="대리점코드" numFmtId="0">
      <sharedItems count="129">
        <s v="A9F92"/>
        <s v="A9KFW"/>
        <s v="A9LNN"/>
        <s v="A9B36"/>
        <s v="A9I5P"/>
        <s v="A9L6R"/>
        <s v="A9LDT"/>
        <s v="A9LRG"/>
        <s v="A9LUB"/>
        <s v="A9M3P"/>
        <s v="PH06648"/>
        <s v="A9HJ5"/>
        <s v="A9LKH"/>
        <s v="PH05738"/>
        <s v="A9ALY"/>
        <s v="A9HAR"/>
        <s v="A9JKZ"/>
        <s v="A9MQW"/>
        <s v="PH03846"/>
        <s v="PH03861"/>
        <s v="A9GDN"/>
        <s v="A9GKT"/>
        <s v="A9H58"/>
        <s v="A9LUM"/>
        <s v="A9MR2"/>
        <s v="PH00277"/>
        <s v="A9JSF"/>
        <s v="A9JYB"/>
        <s v="A9LYT"/>
        <s v="A9M7W"/>
        <s v="A9ESY"/>
        <s v="PH03749"/>
        <s v="A9D5G"/>
        <s v="A9IVD"/>
        <s v="A9N5O"/>
        <s v="PH02793"/>
        <s v="A9KFO"/>
        <s v="PH03809"/>
        <s v="A9F9O"/>
        <s v="A9JTS"/>
        <s v="A9NPJ"/>
        <s v="PH08246"/>
        <s v="A3164"/>
        <s v="A9KRA"/>
        <s v="PH01378"/>
        <s v="PH04582"/>
        <s v="PH05631"/>
        <s v="PH07497"/>
        <s v="PH07659"/>
        <s v="A9251"/>
        <s v="A9A6A"/>
        <s v="PH04817"/>
        <s v="PH07268"/>
        <s v="A7153"/>
        <s v="PH05074"/>
        <s v="A9IWT"/>
        <s v="A9LN2"/>
        <s v="A0667"/>
        <s v="A8710"/>
        <s v="PH03840"/>
        <s v="A9M2G"/>
        <s v="A9HS8"/>
        <s v="A9MTM"/>
        <s v="A9JP4"/>
        <s v="A9G5M"/>
        <s v="A9H68"/>
        <s v="A9HSC"/>
        <s v="A3197"/>
        <s v="A3473"/>
        <s v="A9AKO"/>
        <s v="A9HKT"/>
        <s v="A9D5Q"/>
        <s v="A9LSH"/>
        <s v="A9NMI"/>
        <s v="PH04924"/>
        <s v="PH08198"/>
        <s v="PH04776"/>
        <s v="A9DBN"/>
        <s v="A1845"/>
        <s v="PH06540"/>
        <s v="PH08592"/>
        <s v="PH07401"/>
        <s v="A9HAH"/>
        <s v="A9LUJ"/>
        <s v="A6064"/>
        <s v="A9KRY"/>
        <s v="A9JVF"/>
        <s v="PH05501"/>
        <s v="A9I58"/>
        <s v="PH06548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A5561"/>
        <s v="A9J50"/>
        <s v="A9KV4"/>
        <s v="A9M27"/>
        <s v="PH02764"/>
        <s v="PH02915"/>
        <s v="A9EAT"/>
        <s v="A9MPP"/>
        <s v="A7333"/>
        <s v="A9GBA"/>
        <s v="PH07123"/>
        <s v="A2816"/>
        <s v="A9AQ8"/>
        <s v="PH02519"/>
        <s v="PH05795"/>
        <s v="A9KXZ"/>
        <s v="A9MBN"/>
        <s v="PH06731"/>
        <s v="A9GHQ"/>
        <s v="A9D60"/>
        <s v="A9KZI"/>
        <s v="PH00686"/>
        <s v="PH05389"/>
        <s v="PH02870"/>
      </sharedItems>
    </cacheField>
    <cacheField name="대리점한글명" numFmtId="0">
      <sharedItems count="129">
        <s v="오리엔탈[이마트 명일점]"/>
        <s v="케이에이피투어[이마트 의정부점]"/>
        <s v="주식회사 퍼즐여행[롯데몰 은평점]"/>
        <s v="여행세상[NC 일산점]"/>
        <s v="하나더투어[이마트 수색점]"/>
        <s v="(주)하나여행[하나로마트 고양점]"/>
        <s v="(주)하나월드[이마트 은평점]"/>
        <s v="에어비즈투어[스타필드마켓 일산점]"/>
        <s v="더베이스투어[롯데마트 고양점]"/>
        <s v="마이핏투어[NC 불광점]"/>
        <s v="(주)삼송나비투어[하나로마트 삼송점]"/>
        <s v="여행이야기[롯데백화점 건대스타시티점]"/>
        <s v="온투어세상"/>
        <s v="하나트립[이마트 청계천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그린[세이브존 노원점]"/>
        <s v="한나여행사[스타필드빌리지 운정]"/>
        <s v="(주) 월투어[이마트 풍산점]"/>
        <s v="뉴스트래블[롯데마트 주엽점]"/>
        <s v="수여행사[롯데백화점 일산점]"/>
        <s v="씨엘투어[이마트 화정점]"/>
        <s v="굿타임여행사[에브리데이 탄현역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아타여행사"/>
        <s v="샤인투어(주)[이마트 춘천점]"/>
        <s v="브리즈투어[롯데슈퍼 춘천점]"/>
        <s v="하나트래블[롯데마트 원주점]"/>
        <s v="레미투어[이마트 제천점]"/>
        <s v="하늘여행사[이마트 안성점]"/>
        <s v="허니문클럽[이마트 평택점]"/>
        <s v="아름여행사[이마트 화성봉담점]"/>
        <s v="티엘투어(주)[AK평택점]"/>
        <s v="하나관광여행사[이마트 오산점]"/>
        <s v="예스여행[이마트 흥덕점]"/>
        <s v="티엘투어(주)[트레이더스 동탄점]"/>
        <s v="올데이트래블[롯데백화점 수원점]"/>
        <s v="정투어[롯데마트 권선점]"/>
        <s v="오션디티[스타필드마켓 동탄점]"/>
        <s v="(주)월드투어넷[롯데백화점 안산점]"/>
        <s v="행복한여행자클럽[스타필드마켓 죽전점]"/>
        <s v="하나여행사[롯데몰 수지점]"/>
        <s v="더존투어[이마트 용인점]"/>
        <s v="(주) 핑투어[이마트 수지점]"/>
        <s v="퍼시픽스타투어[롯데백화점 중동점]"/>
        <s v="여행플래너[이마트 중동점]"/>
        <s v="정투어[이마트 검단점]"/>
        <s v="세계로투어"/>
        <s v="초원여행"/>
        <s v="가자여행사[뉴코아 인천점]"/>
        <s v="래빗투어[이마트 계양점]"/>
        <s v="올인원트레이닝[롯데마트 청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굿모닝하나여행[이마트 평촌점]"/>
        <s v="제이여행사[이마트 안양점]"/>
        <s v="초록여행사[이마트 산본점]"/>
        <s v="리앤최투어[이마트 성남점]"/>
        <s v="캐슬투어[롯데마트 맥스금천점]"/>
        <s v="여행가는길[이마트 분당점]"/>
        <s v="온드림 여행사[하나로마트 성남점]"/>
        <s v="주식회사 글로벌교육문화교류원"/>
        <s v="이좋은여행사[이마트 마산점]"/>
        <s v="브이아이피여행사[이마트 진주점]"/>
        <s v="영차투어[이마트 성서점]"/>
        <s v="(주)감승투어[롯데마트 구미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s v="투어플러스주식회사[롯데마트 노은점]"/>
        <s v="안나여행사[GS 대전도마점]"/>
        <s v="라이언여행사(주) 연무대지점"/>
        <s v="알프스투어&amp;골프"/>
        <s v="세기항공여행사[NC유성점]"/>
        <s v="스마트투어[이마트 대전터미널점]"/>
        <s v="(주)여행의 온도"/>
        <s v="세계관광여행사[갤러리아점]"/>
        <s v="하나멤버스[신세계 충청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여행일기[롯데마트 군산점]"/>
      </sharedItems>
    </cacheField>
    <cacheField name="최초예약일자" numFmtId="0">
      <sharedItems count="12">
        <s v="20261001"/>
        <s v="20261002"/>
        <s v="20261003"/>
        <s v="20261005"/>
        <s v="20261006"/>
        <s v="20261007"/>
        <s v="20261008"/>
        <s v="20261009"/>
        <s v="20261010"/>
        <s v="20261011"/>
        <s v="20261012"/>
        <s v="20261004"/>
      </sharedItems>
    </cacheField>
    <cacheField name="최초예약주말여부" numFmtId="0">
      <sharedItems/>
    </cacheField>
    <cacheField name="최초예약휴일여부" numFmtId="0">
      <sharedItems/>
    </cacheField>
    <cacheField name="상품브랜드명" numFmtId="0">
      <sharedItems count="12">
        <s v="세이브"/>
        <s v="스탠다드"/>
        <s v="프리미엄"/>
        <s v="내나라여행"/>
        <s v="브랜드미적용"/>
        <s v="골프"/>
        <s v="우리끼리"/>
        <s v="허니문"/>
        <s v="현지투어플러스"/>
        <s v="크루즈"/>
        <s v="트레킹"/>
        <s v="레포츠"/>
      </sharedItems>
    </cacheField>
    <cacheField name="통합상품속성코드" numFmtId="0">
      <sharedItems count="10">
        <s v="P"/>
        <s v="B"/>
        <s v="Q"/>
        <s v="G"/>
        <s v="U"/>
        <s v="W"/>
        <s v="X"/>
        <s v="C"/>
        <s v="K"/>
        <s v="M"/>
      </sharedItems>
    </cacheField>
    <cacheField name="패키지구분코드" numFmtId="0">
      <sharedItems count="2">
        <s v="P"/>
        <s v="L"/>
      </sharedItems>
    </cacheField>
    <cacheField name="여행자연령구분명" numFmtId="0">
      <sharedItems count="3">
        <s v="성인"/>
        <s v="아동"/>
        <s v="유아"/>
      </sharedItems>
    </cacheField>
    <cacheField name="예약시점연령" numFmtId="0">
      <sharedItems containsBlank="1"/>
    </cacheField>
    <cacheField name="출발시점연령" numFmtId="0">
      <sharedItems containsBlank="1"/>
    </cacheField>
    <cacheField name="입력예약경로대그룹명" numFmtId="0">
      <sharedItems/>
    </cacheField>
    <cacheField name="입력예약경로중그룹명" numFmtId="0">
      <sharedItems count="6">
        <s v="파트너포탈"/>
        <s v="코브랜드"/>
        <s v="닷컴SCF"/>
        <s v="업무포탈"/>
        <s v="모바일SCO"/>
        <s v="닷컴SCO"/>
      </sharedItems>
    </cacheField>
    <cacheField name="상품구분자명" numFmtId="0">
      <sharedItems containsBlank="1" count="44">
        <s v="N번째 여행"/>
        <s v="단풍여행"/>
        <m/>
        <s v="스타가이드"/>
        <s v="하나포커스"/>
        <s v="스타 인솔자"/>
        <s v="유류할증료 인상 걱정 FREE"/>
        <s v="2개국 깊이보기"/>
        <s v="비즈니스석 탑승"/>
        <s v="고품격여행"/>
        <s v="효도여행"/>
        <s v="연합상품"/>
        <s v="에어텔+"/>
        <s v="가족여행"/>
        <s v="락in"/>
        <s v="1개국 깊이보기"/>
        <s v="세미팩"/>
        <s v="휴&amp;락"/>
        <s v="다색골프"/>
        <s v="노옵션"/>
        <s v="골프텔"/>
        <s v="예약즉시확정"/>
        <s v="쉼표in료칸"/>
        <s v="多드림"/>
        <s v="여행 취향 블렌디드"/>
        <s v="하나투어단독"/>
        <s v="[실속+]"/>
        <s v="근교 투어"/>
        <s v="소그룹"/>
        <s v="유네스코"/>
        <s v="밍글링 투어"/>
        <s v="하나프리팩"/>
        <s v="신상품"/>
        <s v="에어카텔"/>
        <s v="시내 투어"/>
        <s v="트라밸"/>
        <s v="좌석확보"/>
        <s v="마침표"/>
        <s v="Slim"/>
        <s v="4+가족여행"/>
        <s v="우리끼리 단독여행"/>
        <s v="온천休 "/>
        <s v="랜드팩"/>
        <s v="바로 출국 수속 서비스"/>
      </sharedItems>
    </cacheField>
    <cacheField name="예약취소여부" numFmtId="0">
      <sharedItems count="2">
        <s v="N"/>
        <s v="Y"/>
      </sharedItems>
    </cacheField>
    <cacheField name="판매상품코드" numFmtId="0">
      <sharedItems count="1645">
        <s v="AVP205261112OZM"/>
        <s v="JSP143261104ZEX"/>
        <s v="ATP514261106ZES"/>
        <s v="ATP207261104LJT"/>
        <s v="JOP1402611257CK"/>
        <s v="EMP113270205KEP"/>
        <s v="ATP004261219ZEB"/>
        <s v="CCP387261224KE1"/>
        <s v="EEP133261014KEX"/>
        <s v="ASP210270205KED"/>
        <s v="EMP132261016TKA"/>
        <s v="CJP1042612013U1"/>
        <s v="JAP240261027TW7"/>
        <s v="EEP133261107KEN"/>
        <s v="ATP3222611137CB"/>
        <s v="EMP135270113EKT"/>
        <s v="EEP134261014KEC"/>
        <s v="JCP421261111D0T"/>
        <s v="CCP104261026CZC"/>
        <s v="JSP140261103TWN"/>
        <s v="EWP136261226OZ1"/>
        <s v="EMP133270201TWZ"/>
        <s v="EEP133261102KEN"/>
        <s v="EEP133261103KEZ"/>
        <s v="AKP559261222000"/>
        <s v="AVP322261101TWD"/>
        <s v="CJP1012611293UK"/>
        <s v="AVP227261108TWA"/>
        <s v="JSP140261201TWN"/>
        <s v="JOP141261029TWH"/>
        <s v="JOP331261124TWV"/>
        <s v="CGP1072610247C2"/>
        <s v="AKP40926112000A"/>
        <s v="JTP130261108TWK"/>
        <s v="JTB339261119LJI"/>
        <s v="JKP130261015TWL"/>
        <s v="CYP1082702219H9"/>
        <s v="AVP203261228OZ1"/>
        <s v="PAP101261123OZ3"/>
        <s v="PAP103261214KEY"/>
        <s v="AVB354261018LJ1"/>
        <s v="CHP308261106ZE3"/>
        <s v="CJP104261125GJG"/>
        <s v="EWP171261101TW1"/>
        <s v="ATP300261007BXY"/>
        <s v="ATP3202610307C0"/>
        <s v="CYP1072611189HA"/>
        <s v="JKP141261119TWY"/>
        <s v="APB2202611257CC"/>
        <s v="ATP302261231ITB"/>
        <s v="JTQ100270109ZEG"/>
        <s v="JKP140261026TW2"/>
        <s v="ASP3112612317CZ"/>
        <s v="CVP111261102OZA"/>
        <s v="CHP131261101TWA"/>
        <s v="EWP132261120OZR"/>
        <s v="AVP233261206TWB"/>
        <s v="JSP344261210BX3"/>
        <s v="CCP505261106ZET"/>
        <s v="AVP350261216ZEA"/>
        <s v="EEP133270205KET"/>
        <s v="EWP159261202TWB"/>
        <s v="JNG327261127BXG"/>
        <s v="JOP141261230TWH"/>
        <s v="CMP1002610177CW"/>
        <s v="AVG221261129BX2"/>
        <s v="AVQ2512611267C4"/>
        <s v="AVQ251261125OZ4"/>
        <s v="AVP226261011TWC"/>
        <s v="JCP421261009D0V"/>
        <s v="AVU231261210VNA"/>
        <s v="JCP421261026D0Y"/>
        <s v="AKP660261020001"/>
        <s v="JNG110261108OZB"/>
        <s v="CXQ100261129KEB"/>
        <s v="JOP141261113TWQ"/>
        <s v="CHP131261123TWA"/>
        <s v="EMP135270215QRA"/>
        <s v="ACG204261128KES"/>
        <s v="ACG2222701117CE"/>
        <s v="AVP2032611127CV"/>
        <s v="EEP136261226OZK"/>
        <s v="CAG620261115QWT"/>
        <s v="ACP200261027KE1"/>
        <s v="EEP133270209KEM"/>
        <s v="CCP3272611067C2"/>
        <s v="EMP135261216EKA"/>
        <s v="CAG1202611127CA"/>
        <s v="ATB282261130TWC"/>
        <s v="AAP306261124BXD"/>
        <s v="AVP2312611177C3"/>
        <s v="AVP222261205VNB"/>
        <s v="JSP140270113YPA"/>
        <s v="JSP140270114YPA"/>
        <s v="JKP130261103TWJ"/>
        <s v="CJP104261110RS1"/>
        <s v="AVP226261223ZE0"/>
        <s v="JOP147270113TWF"/>
        <s v="CCP104261209MUC"/>
        <s v="ESP132261119KEA"/>
        <s v="ESP132261124KE1"/>
        <s v="PNP101261110KE5"/>
        <s v="JOP131261106TWH"/>
        <s v="EWP161270110OZY"/>
        <s v="JOP140261104TWD"/>
        <s v="EWP131270109KEE"/>
        <s v="EWP131270109OZC"/>
        <s v="JKP141261111RS1"/>
        <s v="CGP1042611217C2"/>
        <s v="JSP140261210TWN"/>
        <s v="ALP211270111TWK"/>
        <s v="ALP211270115TWK"/>
        <s v="ETP131261108KEA"/>
        <s v="AYP261261012AKF"/>
        <s v="PGB225261116RS3"/>
        <s v="AVP2032611167CM"/>
        <s v="AKP600261017001"/>
        <s v="JKP130261224TWH"/>
        <s v="AKP713261027001"/>
        <s v="ETP131261129KEJ"/>
        <s v="JSP1402611087CU"/>
        <s v="HWP163261012KE1"/>
        <s v="EEW148270131OZQ"/>
        <s v="AAQ300261026BXA"/>
        <s v="AVP233261020TW1"/>
        <s v="JKP140261116BX1"/>
        <s v="ATP2142612087CB"/>
        <s v="AVB2252610017CH"/>
        <s v="AVQ229261001LJ5"/>
        <s v="ESP132261101KEA"/>
        <s v="AVP303261121VND"/>
        <s v="AVP251261025TWA"/>
        <s v="JSP143261015ZEA"/>
        <s v="AVP2562611049GA"/>
        <s v="AVP201261020WEZ"/>
        <s v="AVP301261012VJM"/>
        <s v="JTP3452611167CN"/>
        <s v="AVP203261025OZV"/>
        <s v="AVP2032610257CV"/>
        <s v="CCP104261110MUC"/>
        <s v="CJP324261101BX1"/>
        <s v="CJP324261102BX1"/>
        <s v="JOB149261227TW4"/>
        <s v="JOP333261208TWV"/>
        <s v="JCP421261028L0J"/>
        <s v="CJP321261102BX9"/>
        <s v="AVP203270206VNH"/>
        <s v="CAP1012611197C9"/>
        <s v="JTP130261202TWK"/>
        <s v="AVP221270108TWC"/>
        <s v="EEP132261105OZI"/>
        <s v="JTP147270120KEN"/>
        <s v="HHP103270131KEC"/>
        <s v="JKP130261111TWX"/>
        <s v="ATP2072702067CR"/>
        <s v="CHP141261129YPB"/>
        <s v="CHP131261018YPB"/>
        <s v="AKP664261113001"/>
        <s v="JSP148261026TWV"/>
        <s v="AKP31326100900A"/>
        <s v="CCP104261111MUC"/>
        <s v="CJP107261121RS1"/>
        <s v="AVP203261125VNV"/>
        <s v="JOP131261109TWD"/>
        <s v="PAP101261103OZ3"/>
        <s v="AVP233261025TWB"/>
        <s v="ATQ280261110BRG"/>
        <s v="AAP203270107OZA"/>
        <s v="PAP101261128TW3"/>
        <s v="JKP130261014TW1"/>
        <s v="JKP130261023ZEP"/>
        <s v="APP2292611037CY"/>
        <s v="AVP231261017TWA"/>
        <s v="JTP140270217TW6"/>
        <s v="AYP201270113LJD"/>
        <s v="JOP140261201KES"/>
        <s v="AVP232261026TWC"/>
        <s v="ATP002261025TWA"/>
        <s v="CJP108261101LJ1"/>
        <s v="PNP119270224KEV"/>
        <s v="JKP1302611017CD"/>
        <s v="AKQ111270122ZEG"/>
        <s v="JKP140261219TWI"/>
        <s v="JAP240261018TW7"/>
        <s v="PAP220270212KE1"/>
        <s v="ADP282261117ZEH"/>
        <s v="JNP140261103ZE1"/>
        <s v="JOP1312611147C0"/>
        <s v="CJP1042611153U1"/>
        <s v="PGQ151261012LJQ"/>
        <s v="AVP225261008ZEH"/>
        <s v="ATQ054261030KES"/>
        <s v="EWP161261113OZY"/>
        <s v="AVP227261103RSA"/>
        <s v="AVP203261214VNV"/>
        <s v="CGP187261201KE1"/>
        <s v="CAP101261029SC9"/>
        <s v="CCP131261122OZF"/>
        <s v="EWP161261027TWR"/>
        <s v="JOP1752610097CS"/>
        <s v="APB232270116LJA"/>
        <s v="AKP542261031002"/>
        <s v="JOP131261106BXY"/>
        <s v="JWP137261226ZEM"/>
        <s v="ATP207261020LJK"/>
        <s v="CCP104261114KEC"/>
        <s v="EWP141261020TWK"/>
        <s v="CJP627261105GJ1"/>
        <s v="CJP337261119BXA"/>
        <s v="JOP1412610267CX"/>
        <s v="CCP104261109MUZ"/>
        <s v="JNP1402612047CM"/>
        <s v="AVP239261123WEJ"/>
        <s v="AVP639261226TWL"/>
        <s v="JKP140261110TW3"/>
        <s v="ESP131270114KEA"/>
        <s v="JAP240261017TW8"/>
        <s v="ASP211261104SQD"/>
        <s v="JOP331261202TW5"/>
        <s v="CAP1012611087CT"/>
        <s v="AVP233261210RSC"/>
        <s v="AKP2012610317CG"/>
        <s v="CJP117261031RS1"/>
        <s v="AKP2012611077CG"/>
        <s v="CAP101261123LJ2"/>
        <s v="ATP214261117OZC"/>
        <s v="JKP1402611037CD"/>
        <s v="AVP239261026WED"/>
        <s v="JKP140261116TW2"/>
        <s v="CHP131270224OZA"/>
        <s v="ACP2012611267C1"/>
        <s v="CJP107261114RS1"/>
        <s v="EMX73026101900A"/>
        <s v="CHP141261217TWB"/>
        <s v="JKP130261019TW5"/>
        <s v="ATP214261120LJO"/>
        <s v="CJP115261029RS1"/>
        <s v="JKP140261109RS2"/>
        <s v="EWP136261111KE1"/>
        <s v="CCQ110261201KEX"/>
        <s v="ALP201270107TW2"/>
        <s v="JKP140261111BX9"/>
        <s v="ASP210270228TW4"/>
        <s v="CGP1042611047CB"/>
        <s v="JOP141261009WEG"/>
        <s v="CHP131270111YPB"/>
        <s v="CGP104261205LJ2"/>
        <s v="JKP140261111TW7"/>
        <s v="JKP1402611257CD"/>
        <s v="CWP101261226KEK"/>
        <s v="CJP1092611063U1"/>
        <s v="CJP1042611053U1"/>
        <s v="AKP716261028001"/>
        <s v="AVP203261122OZV"/>
        <s v="AVP203261207OZV"/>
        <s v="JKB130261020TWZ"/>
        <s v="JSP148270121TWK"/>
        <s v="CTP104261118KE4"/>
        <s v="CVP114261025OZ1"/>
        <s v="JKP130261101TWH"/>
        <s v="JWP1472611277CK"/>
        <s v="CCP132261121MUL"/>
        <s v="AVQ229270107TWA"/>
        <s v="AVP221270107ZEB"/>
        <s v="AVP221270107TWB"/>
        <s v="AVQ259261104TWX"/>
        <s v="CJP1072611153U1"/>
        <s v="AVG211270103YPZ"/>
        <s v="AVP239270206WEJ"/>
        <s v="ATP2042612157CB"/>
        <s v="JSQ040261227KEX"/>
        <s v="AVB259261129ZEX"/>
        <s v="JWP137270129ZEM"/>
        <s v="JAP240261018TW8"/>
        <s v="CRP114261019OZA"/>
        <s v="JSP148261113TW8"/>
        <s v="JSP1482611137CI"/>
        <s v="ASP2102610187CA"/>
        <s v="CJP1042610263U1"/>
        <s v="ATP203261111LJB"/>
        <s v="AKP211261012KEB"/>
        <s v="AKP2112610197C5"/>
        <s v="ATP504261101RFB"/>
        <s v="EEP134261028KEE"/>
        <s v="EMP113270205KEN"/>
        <s v="AWP203270113KEB"/>
        <s v="CGP182261020OZ1"/>
        <s v="APP2322702067CI"/>
        <s v="AKP2112610197CB"/>
        <s v="JSP1472610097CW"/>
        <s v="CCP132261108CZL"/>
        <s v="JKP140261209TWO"/>
        <s v="JOP141261103TWH"/>
        <s v="JOP141261103WE5"/>
        <s v="CXP135261128KEA"/>
        <s v="JOP1412611087CX"/>
        <s v="ESP132261201KEA"/>
        <s v="JSP148261213TWL"/>
        <s v="JYP140261026RSG"/>
        <s v="AAP215270208TWB"/>
        <s v="CCP104261128MUC"/>
        <s v="CXQ100270218KE1"/>
        <s v="CXQ100270218ZE1"/>
        <s v="CJP1042612063U1"/>
        <s v="CYP1042702179HO"/>
        <s v="CCP109270112CZ3"/>
        <s v="AVP239270116WEJ"/>
        <s v="AVP239270109WEJ"/>
        <s v="PAP101261108TW3"/>
        <s v="AKP201261020ZEG"/>
        <s v="ASP211261010SQV"/>
        <s v="CCP104270206KEC"/>
        <s v="AKP550261109000"/>
        <s v="AKP559261027001"/>
        <s v="JOP146261013WEL"/>
        <s v="AAG200261120KEQ"/>
        <s v="JOP140261102OZB"/>
        <s v="JSP148270108TWK"/>
        <s v="HHP106261219KE2"/>
        <s v="JKP130261113TWX"/>
        <s v="AKP110261027BXG"/>
        <s v="AKP31026102300A"/>
        <s v="JWP140270108TWL"/>
        <s v="PAP102270105OZ3"/>
        <s v="JCP421261012D0T"/>
        <s v="AAP205261125TWB"/>
        <s v="AVB2522610299GC"/>
        <s v="EWP171261022TWE"/>
        <s v="JTP641261024TWS"/>
        <s v="JOP1412610257CX"/>
        <s v="ATP322261116LJQ"/>
        <s v="AVP203261021KEB"/>
        <s v="EWP194261119OZV"/>
        <s v="ASC001270114OZ0"/>
        <s v="EEP113261022OZZ"/>
        <s v="AVP233261026KE1"/>
        <s v="CGP104261108TW2"/>
        <s v="AVB2322702037C1"/>
        <s v="JAP141261112LJA"/>
        <s v="JWP147261119TWC"/>
        <s v="PAP102270116OZ3"/>
        <s v="ETP131261102KEA"/>
        <s v="JAP644261030TW8"/>
        <s v="APB2322611277CA"/>
        <s v="ACP2012612137C1"/>
        <s v="AVP201261203OZM"/>
        <s v="JOP136261220TWH"/>
        <s v="JMB1382611027CV"/>
        <s v="PAP102270210OZ3"/>
        <s v="CXP111261101ZET"/>
        <s v="APP2322612287CI"/>
        <s v="AVP634261021TWA"/>
        <s v="AVP229261214TW1"/>
        <s v="EWP144261025OZ1"/>
        <s v="AVP2332611157C2"/>
        <s v="JOP140261007LJA"/>
        <s v="CCP325261203KE7"/>
        <s v="AVP221270105VJB"/>
        <s v="AVP231261202TWC"/>
        <s v="AVP321270105VJA"/>
        <s v="AVP531270104RFB"/>
        <s v="JKP332261022BXK"/>
        <s v="ABP203261101KEG"/>
        <s v="CNP134261018CZI"/>
        <s v="CSP134261029MUT"/>
        <s v="CTP117261108SCT"/>
        <s v="JWP1482612237C4"/>
        <s v="JOB1382611017CL"/>
        <s v="CAP101261027SC9"/>
        <s v="JSP345261212TW5"/>
        <s v="CEP101261023CAE"/>
        <s v="PAP101261022TW3"/>
        <s v="JOP631261030TWB"/>
        <s v="AVP231261119TWA"/>
        <s v="CBP104261109KEB"/>
        <s v="ALP3002702217C2"/>
        <s v="EWP141261122KEW"/>
        <s v="JOP340270225LJS"/>
        <s v="JSP548270113RFS"/>
        <s v="CAP1012611197C2"/>
        <s v="CAP101261119SC9"/>
        <s v="CJP321261116BXO"/>
        <s v="JOB149261116TW4"/>
        <s v="JKB130261118ZEN"/>
        <s v="AVP2342612267C5"/>
        <s v="CCP259261126CZA"/>
        <s v="JKP140261119TWO"/>
        <s v="ATP2042611157CB"/>
        <s v="CJP104261022KEA"/>
        <s v="AVP259270106TWZ"/>
        <s v="AKP31026101900A"/>
        <s v="CMQ1902612167CA"/>
        <s v="AVP225261110BXH"/>
        <s v="AVP2212612307CB"/>
        <s v="CDQ252261102KEQ"/>
        <s v="CYP1082702289H1"/>
        <s v="JOP140270115RFT"/>
        <s v="JOP1312610227CX"/>
        <s v="JSP148270108TWV"/>
        <s v="ATP204270109OZY"/>
        <s v="AAQ200261216TW6"/>
        <s v="ATQ2802702257C1"/>
        <s v="AVQ239270224TW1"/>
        <s v="CJQ100270126RS1"/>
        <s v="AVB533261117RFA"/>
        <s v="CJP104261105RS1"/>
        <s v="CJQ100270112RSU"/>
        <s v="EEP133261106KEX"/>
        <s v="JOP140261020LJA"/>
        <s v="APP210261112TWK"/>
        <s v="ATP214261211LJO"/>
        <s v="AVQ259261207LJD"/>
        <s v="CNQ053261017OZ1"/>
        <s v="JOP146261224ZEZ"/>
        <s v="JKP140270205RS2"/>
        <s v="JTP140261109ZET"/>
        <s v="AVQ2592702067CX"/>
        <s v="AVQ259261109LJX"/>
        <s v="CTQ130261114KEQ"/>
        <s v="AMP202261212MHA"/>
        <s v="APQ251270110PR7"/>
        <s v="APQ251270117PR7"/>
        <s v="CJQ621261120ZET"/>
        <s v="HWP135270111OZ1"/>
        <s v="CJQ100261120ZE1"/>
        <s v="AVQ209270110WEX"/>
        <s v="AVP351261220ZEG"/>
        <s v="PAP101270228JQ3"/>
        <s v="AVQ229270126TWA"/>
        <s v="CCP104261107MUC"/>
        <s v="CGP107261024LJ2"/>
        <s v="CWQ100261118KE1"/>
        <s v="AVP202261022OZA"/>
        <s v="ACQ200270110ZEY"/>
        <s v="AKP93226103000A"/>
        <s v="AVQ229270213VNA"/>
        <s v="JKP140261125TW9"/>
        <s v="AVQ239261214TWX"/>
        <s v="EWP141261029OZW"/>
        <s v="AVP351261212ZEF"/>
        <s v="JKP130261114RF0"/>
        <s v="ATP504270214RFB"/>
        <s v="JCP422261113N0S"/>
        <s v="JNG1272612267CG"/>
        <s v="CCP132261028CZL"/>
        <s v="JOP130261119TWN"/>
        <s v="AVP251261214TWD"/>
        <s v="JNP1402612097CY"/>
        <s v="AKQ995261113009"/>
        <s v="AVP2052702197CM"/>
        <s v="ATP214261112OZB"/>
        <s v="AVQ239270113TWA"/>
        <s v="AVP539261231TWB"/>
        <s v="CHP131270121ZE7"/>
        <s v="ATP207261114LJT"/>
        <s v="AVP231270112KEB"/>
        <s v="AVP231270114KEB"/>
        <s v="AVB251261214TWA"/>
        <s v="JSP148261106TWL"/>
        <s v="JWP137261106ZEA"/>
        <s v="AVQ251261125RS2"/>
        <s v="AVQ251261125RS3"/>
        <s v="AVB222261214TWB"/>
        <s v="JOP146261103RSY"/>
        <s v="CJQ100261111GJG"/>
        <s v="AVB253261218TWA"/>
        <s v="HHB102270111KE6"/>
        <s v="JSP148261222TWL"/>
        <s v="AVP207270108OZA"/>
        <s v="PSP1352611127CC"/>
        <s v="ASP210270116TWA"/>
        <s v="AVB533270107TWA"/>
        <s v="AVQ239270113KED"/>
        <s v="APP2302611197CI"/>
        <s v="JSP148261230TW8"/>
        <s v="JSP148261223TW8"/>
        <s v="JSP148261229TW8"/>
        <s v="CWQ100261030OZX"/>
        <s v="AVP231270125LJB"/>
        <s v="ADW273261206KE2"/>
        <s v="JKP140261023TWI"/>
        <s v="CJP102261107RS1"/>
        <s v="EEP163261106LO1"/>
        <s v="JOP140270117TWK"/>
        <s v="APP2322611037CI"/>
        <s v="AAP203261103TWS"/>
        <s v="JSP148261018TWV"/>
        <s v="AVP221270108KEC"/>
        <s v="APP2322611247CI"/>
        <s v="JSP150261109WEL"/>
        <s v="AVP252261227LJC"/>
        <s v="JSP148261018TWL"/>
        <s v="JSP140261223YPA"/>
        <s v="APP232270105LJI"/>
        <s v="JWP148261027TW2"/>
        <s v="JOP181270127OZB"/>
        <s v="ABP223270111OZD"/>
        <s v="EWP132261026KE7"/>
        <s v="AVP203261108WEA"/>
        <s v="JSP1412701107CK"/>
        <s v="JSP1482611197CI"/>
        <s v="JOP141261106TWH"/>
        <s v="JOP141261124TWH"/>
        <s v="CAQ290261222AG1"/>
        <s v="JOP1402612217CK"/>
        <s v="ATP2072701017C0"/>
        <s v="ATP214261125LJS"/>
        <s v="ATP214261127LJO"/>
        <s v="JOP141261016TWG"/>
        <s v="AVP233270228KE1"/>
        <s v="APP216270101TWA"/>
        <s v="APP216261208TWQ"/>
        <s v="JNP1402610287CB"/>
        <s v="EWP171261210TWW"/>
        <s v="AVP203261205OZA"/>
        <s v="CHP141261120YPB"/>
        <s v="CAG1202610257CA"/>
        <s v="ESP162261129OZZ"/>
        <s v="CHP131261213YPA"/>
        <s v="CAP101261205SCT"/>
        <s v="AVP232270107VNE"/>
        <s v="CXQ100261215KE1"/>
        <s v="JKP140261019ZE3"/>
        <s v="JSP148261231ZEV"/>
        <s v="JOP141261123ZED"/>
        <s v="AAP203261110TWS"/>
        <s v="CCP3322611137CN"/>
        <s v="ACP201261116LJ1"/>
        <s v="AVQ251261212KE2"/>
        <s v="ATP207261107LJQ"/>
        <s v="AKP2012611227CG"/>
        <s v="AVQ251261212BX2"/>
        <s v="JOP141261126BXF"/>
        <s v="CJP117261109LJ1"/>
        <s v="AVQ251261211KE2"/>
        <s v="ATB282261106TWC"/>
        <s v="JWQ04026121200Y"/>
        <s v="JKP140261227RSN"/>
        <s v="AKP2012611067CG"/>
        <s v="AVP255261028TWB"/>
        <s v="ATP014261107ZEB"/>
        <s v="JCP421261120D0D"/>
        <s v="JSP148261113ZEW"/>
        <s v="JKP140261021RSF"/>
        <s v="HWP135261102KE1"/>
        <s v="ACP201261213KE1"/>
        <s v="JTP147261213KEN"/>
        <s v="ADX72026100700E"/>
        <s v="AVP2502612137CM"/>
        <s v="PGP234270104KE3"/>
        <s v="JKB631261106TWF"/>
        <s v="JOP141261030TW4"/>
        <s v="CHP131270206CXA"/>
        <s v="JOP141261031TWH"/>
        <s v="JSP1482611027CI"/>
        <s v="JOP131261031TWD"/>
        <s v="AVP231261124TWB"/>
        <s v="AVQ209270121OZD"/>
        <s v="CJP1042610293U1"/>
        <s v="EWP141261119OZW"/>
        <s v="ALP3112701037C1"/>
        <s v="CAP101261101SC5"/>
        <s v="ABW221270111KE5"/>
        <s v="EEP134270105OZE"/>
        <s v="AVQ209261202OZD"/>
        <s v="APP2262612117CA"/>
        <s v="JSP140261028ZEH"/>
        <s v="PGP135261120RS3"/>
        <s v="CJP104261126RS1"/>
        <s v="JOP131261121TWD"/>
        <s v="JOP1312612027CS"/>
        <s v="AKP552261027000"/>
        <s v="JOP1312611057CX"/>
        <s v="CGP1042611147C2"/>
        <s v="AKP551261016000"/>
        <s v="ACP2012612307C1"/>
        <s v="EMP113270108KEM"/>
        <s v="PAP101270107OZ3"/>
        <s v="EWP137270108OZR"/>
        <s v="EWP131261107OZC"/>
        <s v="EWP135261125KER"/>
        <s v="EMP113270108KEP"/>
        <s v="CCP104261126KEA"/>
        <s v="CCP104261125KEA"/>
        <s v="CCP104261124KEA"/>
        <s v="AKP606261020001"/>
        <s v="CCP104261025CZA"/>
        <s v="CCP104261114OZA"/>
        <s v="CGP104261118LJ2"/>
        <s v="APP232270123LJB"/>
        <s v="AVP231261021WEC"/>
        <s v="ESP131270121KEA"/>
        <s v="CJP117261226KE1"/>
        <s v="ETP131261219TKM"/>
        <s v="EWP162261114KEN"/>
        <s v="AKP559261117000"/>
        <s v="CHP101270110TWV"/>
        <s v="AKP154261108KEU"/>
        <s v="AVP231261122RSC"/>
        <s v="AMP202270105MHA"/>
        <s v="ADP284270205ZEA"/>
        <s v="JSP140261111TWM"/>
        <s v="PGP235261014RS1"/>
        <s v="AVP229261124KE5"/>
        <s v="AVQ229261124KEX"/>
        <s v="AVP239261130WEJ"/>
        <s v="AVP239261231WEJ"/>
        <s v="AVP229270106TW2"/>
        <s v="AVP259261123LJZ"/>
        <s v="AKP2112610257CB"/>
        <s v="APP2322612147CA"/>
        <s v="AVP239261205TWD"/>
        <s v="ESP132270109TK1"/>
        <s v="AVP204261027WEA"/>
        <s v="CGP104261114LJ2"/>
        <s v="JKP141261104TWY"/>
        <s v="AKP211261019KES"/>
        <s v="APP2322611027CA"/>
        <s v="ATP277261109TWB"/>
        <s v="JKP1402610187CA"/>
        <s v="JKP140261030TW7"/>
        <s v="EMP135270114QRE"/>
        <s v="AVP233261109WEA"/>
        <s v="AVP239261025TWD"/>
        <s v="CUP137261103KE5"/>
        <s v="JWQ040261202ZE2"/>
        <s v="JWQ040261202ZER"/>
        <s v="JOP1412611017CX"/>
        <s v="JOP141261021LJO"/>
        <s v="AVP205261029KEM"/>
        <s v="JSP148261029TW8"/>
        <s v="EMP135261028EKT"/>
        <s v="EMP135261230EKA"/>
        <s v="CAP101261103SC2"/>
        <s v="JOP185261119OZV"/>
        <s v="AAP203270226TWA"/>
        <s v="ACP363270105BXA"/>
        <s v="ETP161261115KEC"/>
        <s v="PNP101261208KE1"/>
        <s v="JKP140270104TW2"/>
        <s v="JSP140270105TWN"/>
        <s v="JSP148261028TWL"/>
        <s v="JSP548270109RFS"/>
        <s v="AVP225261223VJD"/>
        <s v="ATP214261116LJB"/>
        <s v="JOB331261104TWA"/>
        <s v="JKP433261030CRJ"/>
        <s v="AKP33826111300A"/>
        <s v="PAP101261031TW3"/>
        <s v="ETP161270127TKC"/>
        <s v="JSP147261230WEE"/>
        <s v="CXP164261103KEA"/>
        <s v="CGP3252610177CA"/>
        <s v="EEP133261224OZN"/>
        <s v="AKB2772612217CA"/>
        <s v="JOP1852610287CX"/>
        <s v="AVP231261217TWC"/>
        <s v="CJP1172612033U1"/>
        <s v="JKP140261115TWA"/>
        <s v="CJP1172611283U1"/>
        <s v="EEP163270121KE9"/>
        <s v="JOP1462610287CX"/>
        <s v="AVP207261229WEA"/>
        <s v="EWP146270218EKO"/>
        <s v="AVP225261031BXA"/>
        <s v="CAP104261109KE5"/>
        <s v="ATP612261106TWB"/>
        <s v="CJP627261109TWS"/>
        <s v="CJP627261116TWS"/>
        <s v="ETX734261023001"/>
        <s v="AVX75126101500H"/>
        <s v="AVX75126102600H"/>
        <s v="AVP201261012WEW"/>
        <s v="ATP204261113LJB"/>
        <s v="CJP107261213OZ1"/>
        <s v="PAP103261116KE2"/>
        <s v="ATP204261105LJB"/>
        <s v="CHP171270205CXA"/>
        <s v="APQ054270215PRA"/>
        <s v="AWP206270117KEC"/>
        <s v="AVQ2592611207CG"/>
        <s v="AVQ2392701207CD"/>
        <s v="AKP966261030006"/>
        <s v="JWP137261118ZE6"/>
        <s v="AVP2502612219GM"/>
        <s v="AKP560261009000"/>
        <s v="ADB235261222KEA"/>
        <s v="JKP1302612187CD"/>
        <s v="JKP130261127TW1"/>
        <s v="ETP131261109KEA"/>
        <s v="CGP104261031LJ2"/>
        <s v="AVP227261028WEA"/>
        <s v="CGP107261121LJ2"/>
        <s v="ASP210261103SQD"/>
        <s v="ACP201261202ZE1"/>
        <s v="JKP130261121TWQ"/>
        <s v="ASP210261103SQ4"/>
        <s v="JSB147261025LJT"/>
        <s v="AAQ2002612307C7"/>
        <s v="JOP341261217BXP"/>
        <s v="AAP203261128KE3"/>
        <s v="AKP91126112000A"/>
        <s v="AKP91226110500A"/>
        <s v="JKP1402701067CA"/>
        <s v="JOP131270116BXK"/>
        <s v="JWK254261117LJA"/>
        <s v="ASP211270210SQW"/>
        <s v="EMP133270118TWL"/>
        <s v="JOP140261115TWU"/>
        <s v="AXW233270208MHB"/>
        <s v="AKP31026102000A"/>
        <s v="CCP132261231OZ2"/>
        <s v="JSP140261219TWN"/>
        <s v="ESP132261206OZ1"/>
        <s v="HHP101261025KEQ"/>
        <s v="CXP122261101ZEG"/>
        <s v="ATP214261101LJO"/>
        <s v="CSP134261101KE9"/>
        <s v="CXP164261119KE1"/>
        <s v="EBP132270202KEB"/>
        <s v="CCP104261027CZC"/>
        <s v="ACG2222612097C0"/>
        <s v="ACG333261209BX0"/>
        <s v="EWP137261223KEF"/>
        <s v="JSP148261011TWL"/>
        <s v="JSP140261012TWN"/>
        <s v="CAP1512610257C1"/>
        <s v="CAP1542610257CA"/>
        <s v="CCP687261027MU1"/>
        <s v="PAP101261010JQ1"/>
        <s v="PGP126261015LJ1"/>
        <s v="AVP303261130VJD"/>
        <s v="EWQ111261120OZ5"/>
        <s v="JMP133261112ZEE"/>
        <s v="JAP240261011TWA"/>
        <s v="JKP334270121ZEG"/>
        <s v="AVP209261108WEJ"/>
        <s v="JSP140261210YPA"/>
        <s v="ATP514261106ZEB"/>
        <s v="EWP135261119KEL"/>
        <s v="CNP131261021OZU"/>
        <s v="JAP341261109LJ2"/>
        <s v="ABP200261216KEB"/>
        <s v="CJP104261029RS1"/>
        <s v="CGP1042611157C2"/>
        <s v="AAP241261221OZA"/>
        <s v="CJP104270220RS1"/>
        <s v="CJP104270227RS1"/>
        <s v="CGP1042611157CB"/>
        <s v="AVB236261214KEE"/>
        <s v="AVP252270113LJC"/>
        <s v="APP232270113LJI"/>
        <s v="ATG235270120TWQ"/>
        <s v="AVB2522611119GI"/>
        <s v="CJP104261114CZ1"/>
        <s v="AKP560261016000"/>
        <s v="APP220261023KEZ"/>
        <s v="CJP1152611043U1"/>
        <s v="JMB1382611307CC"/>
        <s v="PAP102261118OZ3"/>
        <s v="AVP221261203TWC"/>
        <s v="JSP140261216YPA"/>
        <s v="JSP143261216YPL"/>
        <s v="AYP2942702147CT"/>
        <s v="CHP103261117TWA"/>
        <s v="CJP107261015CZ1"/>
        <s v="CXP135261202ZEA"/>
        <s v="AVP225261025RSH"/>
        <s v="CHP141261203KEC"/>
        <s v="JOP131261027TWD"/>
        <s v="JKP140261109TW7"/>
        <s v="AKP2112611147CS"/>
        <s v="JOQ0402701147CX"/>
        <s v="ETP161261218TKC"/>
        <s v="JOP141261110TWH"/>
        <s v="JKP1302612177CD"/>
        <s v="JKP140261028TWN"/>
        <s v="AVP213270120OZB"/>
        <s v="JWB1402611227C0"/>
        <s v="JKP1402702067CC"/>
        <s v="ALP2112610217CK"/>
        <s v="JWP341261122LJL"/>
        <s v="ESP131261030TWA"/>
        <s v="CJP107261102OZ1"/>
        <s v="ATP204270206OZY"/>
        <s v="JSP140261026TWN"/>
        <s v="JOP141261019TWG"/>
        <s v="CJP107270109RS1"/>
        <s v="JWP137270124ZE1"/>
        <s v="JSP141261014TWR"/>
        <s v="JTP140261112TW6"/>
        <s v="JAP240261027TWM"/>
        <s v="PAP102261126KE5"/>
        <s v="JAP240261027TWH"/>
        <s v="JKP140261030BXA"/>
        <s v="CHP131261019OZA"/>
        <s v="PAP221261109KEB"/>
        <s v="AVP241261031VNZ"/>
        <s v="CWP101261123OZL"/>
        <s v="AVP233261203WEA"/>
        <s v="ATP214270227LJY"/>
        <s v="JOX710261024001"/>
        <s v="JOP140261026TWU"/>
        <s v="ADP285261107ZEA"/>
        <s v="AVP229261220ZE8"/>
        <s v="CCP132261113MUL"/>
        <s v="AVQ239270210TWA"/>
        <s v="PAP102261012OZ3"/>
        <s v="CHP109261218TWB"/>
        <s v="AVP2032702187CV"/>
        <s v="AKP922261016001"/>
        <s v="AKP922261017001"/>
        <s v="CJP105261201RS1"/>
        <s v="EWP136261103OZ1"/>
        <s v="EWP136261111TWB"/>
        <s v="CXP135261107KEG"/>
        <s v="PAP101261112TW1"/>
        <s v="JSP140270118TWN"/>
        <s v="JSP1402611187CS"/>
        <s v="JOP185261129TWH"/>
        <s v="JSP140270130TWN"/>
        <s v="JSP1402611017C1"/>
        <s v="AAP203261101VZA"/>
        <s v="AAP276261101VZA"/>
        <s v="CJP1072610133U1"/>
        <s v="JSP140261218TWN"/>
        <s v="ATP203261213KEB"/>
        <s v="CTP107261123KE4"/>
        <s v="PGB225261102KE2"/>
        <s v="JKP1402611257CA"/>
        <s v="JOP171261113BXA"/>
        <s v="JOQ940261204TWH"/>
        <s v="PGB225261102KE1"/>
        <s v="JSQ040261112TWX"/>
        <s v="CTQ110261126SCQ"/>
        <s v="JOQ0402611227CX"/>
        <s v="ASP210261108SQV"/>
        <s v="AVP233270125KE1"/>
        <s v="AVQ239261125KEA"/>
        <s v="EMP133270205KEB"/>
        <s v="AVP233261125KEA"/>
        <s v="CCP321261128KEL"/>
        <s v="AVQ2392612237CD"/>
        <s v="AVP232261203RSC"/>
        <s v="CWU140270227KE1"/>
        <s v="JCP421261013N0S"/>
        <s v="CAP101261016TW2"/>
        <s v="AYP2832611057CB"/>
        <s v="AVP406261217VNO"/>
        <s v="JWP140261118TWL"/>
        <s v="EMP133270201TW7"/>
        <s v="APP222261113KED"/>
        <s v="JKP148261108TWN"/>
        <s v="JOP131261021TWH"/>
        <s v="AVP300261129VJJ"/>
        <s v="AKP211261108KEB"/>
        <s v="CJP621261027ZE3"/>
        <s v="ATP277261230TWA"/>
        <s v="HHB102261216KE7"/>
        <s v="JSP140261204TWN"/>
        <s v="ATP204261119KE2"/>
        <s v="AVP2262612037CJ"/>
        <s v="ASP210270214SQ4"/>
        <s v="AKP112261026KEG"/>
        <s v="AVQ351270106ZEA"/>
        <s v="AVQ259270106TWT"/>
        <s v="CGQ3002610317CY"/>
        <s v="CCP303261108MUJ"/>
        <s v="ACP361261204ZEA"/>
        <s v="CJP321261031BXO"/>
        <s v="ATP3222610087CA"/>
        <s v="JKP334270202TW1"/>
        <s v="JOP331261021TWT"/>
        <s v="JKP331270106BXG"/>
        <s v="JOP330261012ZEL"/>
        <s v="AAP302261128BXB"/>
        <s v="JKP331261030ZEH"/>
        <s v="ATP371270106LJ1"/>
        <s v="AVB336261017BX1"/>
        <s v="JOP333261022TWN"/>
        <s v="EEP133261227KET"/>
        <s v="CVP334261018BX1"/>
        <s v="AVP323261130VNA"/>
        <s v="CJP3372611097C1"/>
        <s v="JCP421261028L0A"/>
        <s v="JKP331261105TW5"/>
        <s v="CJP321261118BXN"/>
        <s v="CJP324261116BX1"/>
        <s v="JKP334261113TW1"/>
        <s v="ATP302261017KEB"/>
        <s v="CXP324261203ZE2"/>
        <s v="JWB341261029ZEL"/>
        <s v="CWQ300261010BXN"/>
        <s v="CJP3212611027C1"/>
        <s v="JOP332261028TWT"/>
        <s v="CCP325261029MU7"/>
        <s v="JOP331261111TWV"/>
        <s v="JOP331261119TW5"/>
        <s v="AVP301261027VJP"/>
        <s v="CJP327261118BXA"/>
        <s v="CAP321261106KEG"/>
        <s v="CAP343261021KEB"/>
        <s v="AVP322270115BXE"/>
        <s v="ADP304261030BX2"/>
        <s v="CCP3542702027C4"/>
        <s v="JSP342261113ZE7"/>
        <s v="PGP343270101LJ0"/>
        <s v="CGP3202610107CP"/>
        <s v="AAP302261014LJB"/>
        <s v="AVQ331270110BXH"/>
        <s v="ATP3222611307CB"/>
        <s v="AVP307261027VNC"/>
        <s v="APP3732611017C2"/>
        <s v="AVB2342611017C4"/>
        <s v="JOP331261112TWV"/>
        <s v="AVP332270108BXH"/>
        <s v="CCP3472611077CA"/>
        <s v="AVP321261025TWB"/>
        <s v="AVP621261206TW2"/>
        <s v="AVP406270109VNO"/>
        <s v="ATP612270104TWQ"/>
        <s v="AVP322261028TWJ"/>
        <s v="CJP621261013ZE3"/>
        <s v="CHP645261120UO3"/>
        <s v="AVP632270116TW1"/>
        <s v="AWP206261120KEC"/>
        <s v="AVP632261105TWD"/>
        <s v="CCP687261203MU1"/>
        <s v="JKP331270218ZEV"/>
        <s v="JOP343261104TWB"/>
        <s v="JSP641270120TW7"/>
        <s v="JTP641261014TWT"/>
        <s v="AVP634261128TWA"/>
        <s v="ATP514261114ZEB"/>
        <s v="ATP612261128TWQ"/>
        <s v="ADP287261130ZEA"/>
        <s v="AVP634261216TW1"/>
        <s v="ATP612270105TWW"/>
        <s v="CJP624261116TWP"/>
        <s v="CJP627261113ZES"/>
        <s v="ATP610270109TWB"/>
        <s v="ATP610270110TWQ"/>
        <s v="AVP321270104VJA"/>
        <s v="AVP352270218ZEZ"/>
        <s v="CHP341261218TWA"/>
        <s v="JTP641261030TWR"/>
        <s v="JOP631261107TWZ"/>
        <s v="CHP608270106UOA"/>
        <s v="EMP135261116QR0"/>
        <s v="CJP624261117ZE1"/>
        <s v="APP321261108LJC"/>
        <s v="ATP610261102TWA"/>
        <s v="JKP631261027TWD"/>
        <s v="JKP631261104TWZ"/>
        <s v="APP321261107LJC"/>
        <s v="JOP633261103TWB"/>
        <s v="JOP633270206TWB"/>
        <s v="AAP602261118TWB"/>
        <s v="JCP422261114L0J"/>
        <s v="APP3732611257CX"/>
        <s v="AVP332261227LJ1"/>
        <s v="JOP631261218TW7"/>
        <s v="EEP165261114OZI"/>
        <s v="JOP632261220TWB"/>
        <s v="CJP624261020ZES"/>
        <s v="CJP627261116TWG"/>
        <s v="CCP325270113KE7"/>
        <s v="JCP421261114D0Z"/>
        <s v="CVP622261028TWH"/>
        <s v="AAP602261025TW8"/>
        <s v="AAP602261118TW1"/>
        <s v="JOP641261118TWY"/>
        <s v="JKP631261123TWA"/>
        <s v="JNP341261101BXB"/>
        <s v="CCP627261203MU2"/>
        <s v="CCP332261123KEN"/>
        <s v="CGP3222611217CV"/>
        <s v="JTP641261112TWS"/>
        <s v="ETP131261114OZG"/>
        <s v="JOB630261030TW8"/>
        <s v="CJP621261006ZE8"/>
        <s v="ATP350270111BXB"/>
        <s v="PAP101261107JQ3"/>
        <s v="JSP641270218TWX"/>
        <s v="JCP421261108N0T"/>
        <s v="JOP343261028TWB"/>
        <s v="CGP6952611157CA"/>
        <s v="JOB631261113TWK"/>
        <s v="JOP631261103TWB"/>
        <s v="JSP641270121TWF"/>
        <s v="JOQ631261019TWQ"/>
        <s v="JOP631270101TWB"/>
        <s v="JCP421261009D0Z"/>
        <s v="CAP624261115QWA"/>
        <s v="CHP363261023TWA"/>
        <s v="APP214261215TWP"/>
        <s v="JOP642270206TWL"/>
        <s v="ATP369261017ZE1"/>
        <s v="JSP342261102LJP"/>
        <s v="CJP624261106ZEA"/>
        <s v="JKP631261110TWD"/>
        <s v="CJP621261108TW6"/>
        <s v="ATP610261117TWP"/>
        <s v="JKP631261120TWY"/>
        <s v="ASP3112612067CM"/>
        <s v="ATP320270102ZEP"/>
        <s v="CBP107261014OZA"/>
        <s v="JAM640261015TW2"/>
        <s v="ATP610261119TWP"/>
        <s v="JAP641261015TW2"/>
        <s v="CJP621261023TW5"/>
        <s v="ATP612270205TWB"/>
        <s v="AVQ631270115TWD"/>
        <s v="JAP641261027TW6"/>
        <s v="JOP631270114TWB"/>
        <s v="JKP631261108TWY"/>
        <s v="JOP633270114TWB"/>
        <s v="CJP622261115TWP"/>
        <s v="ASP211261013SQC"/>
        <s v="CJP624261027ZE2"/>
        <s v="PAP101261206OZ3"/>
        <s v="ASP210270220TWY"/>
        <s v="AMP202261121MHA"/>
        <s v="AVP325261229VNB"/>
        <s v="AVP325261229VND"/>
        <s v="JSP3422701147CT"/>
        <s v="JSP3422701147C7"/>
        <s v="AVB225270117ZEH"/>
        <s v="JTP331261105LJJ"/>
        <s v="JSP641270114TWX"/>
        <s v="JHC010261101ODZ"/>
        <s v="CJP621261020ZE3"/>
        <s v="CJP627261020ZE3"/>
        <s v="JKP332261020BXV"/>
        <s v="JWP341261204LJW"/>
        <s v="CJP624261110ZE2"/>
        <s v="JOP3312611117CM"/>
        <s v="CEP104261105OZC"/>
        <s v="ESP132270220TKA"/>
        <s v="CGP3222610247CV"/>
        <s v="JKP342261213LJE"/>
        <s v="AVQ331270205KE1"/>
        <s v="CAP622270110QWT"/>
        <s v="JCP421261101D0J"/>
        <s v="EWP132261104KEM"/>
        <s v="JOP631261128TWB"/>
        <s v="CAP623261028QW1"/>
        <s v="AVP632261021TWD"/>
        <s v="JKP631261128TWZ"/>
        <s v="CHP341261113TWA"/>
        <s v="CHP341261121TWA"/>
        <s v="CJP627261013ZE7"/>
        <s v="CHB634261106UOC"/>
        <s v="JOP631261201TWB"/>
        <s v="ASP3112612057CX"/>
        <s v="EWP131261027TWR"/>
        <s v="JKP631261029TWY"/>
        <s v="JSP641270116TW5"/>
        <s v="JOP631261028TWT"/>
        <s v="ADP313261214BXX"/>
        <s v="CXP135261120KEG"/>
        <s v="ATP610261116TWA"/>
        <s v="CAP621270110QWB"/>
        <s v="JOP631261208TWB"/>
        <s v="JKP631261113TWZ"/>
        <s v="CWP104261127OZ4"/>
        <s v="JKP631261124TWD"/>
        <s v="AVP632261230TW1"/>
        <s v="JOP634261125TW4"/>
        <s v="ASP3102611037CV"/>
        <s v="CJP627261021TWS"/>
        <s v="APP324270108LJA"/>
        <s v="CJM621261013ZEV"/>
        <s v="CGP6242610187CA"/>
        <s v="JAP641261030TWG"/>
        <s v="CJP117261030LJ1"/>
        <s v="PGP275261207LJ1"/>
        <s v="ATP322261015ZE2"/>
        <s v="JKP331270221TW5"/>
        <s v="JOP641270122TWL"/>
        <s v="JOP643261116TWY"/>
        <s v="JSP641270219TWX"/>
        <s v="CJP104261204OZ1"/>
        <s v="CGP104261111LJ2"/>
        <s v="JKP631261203TWI"/>
        <s v="JTP331261113LJR"/>
        <s v="CGP105261118LJ1"/>
        <s v="APP321270211LJG"/>
        <s v="EEP135261107KEB"/>
        <s v="CJP624261103ZE2"/>
        <s v="CJP1042611273U1"/>
        <s v="ALG3012701207CM"/>
        <s v="AVP342261223BXE"/>
        <s v="CVP622261021TW8"/>
        <s v="JOP631261208TW7"/>
        <s v="CJP104261104ZE1"/>
        <s v="AVB2592611109GX"/>
        <s v="CVB600261014TWA"/>
        <s v="CHP363261109TWA"/>
        <s v="CVP622261104TW1"/>
        <s v="AAP602261111TWB"/>
        <s v="CJP1042611283U1"/>
        <s v="ATP612261106TWA"/>
        <s v="AVP634261107TWA"/>
        <s v="AVP229261117KE8"/>
        <s v="AVP625261231TWB"/>
        <s v="ASP3102611107CV"/>
        <s v="AVP308261119VJM"/>
        <s v="CTP111261128SCA"/>
        <s v="JSP342261201ZE7"/>
        <s v="AVP201261223WEM"/>
        <s v="CGP6262611017CB"/>
        <s v="AVP533261201RFA"/>
        <s v="AVP232261104TWD"/>
        <s v="ATP610261027TWP"/>
        <s v="AVP201261111WEW"/>
        <s v="CAP327261022KE2"/>
        <s v="AKQ2222611277C2"/>
        <s v="JKP631261104TWA"/>
        <s v="PAP221261124KE1"/>
        <s v="JKP631261118TWZ"/>
        <s v="AVP639261112TWK"/>
        <s v="AVQ351270207ZEH"/>
        <s v="JTP648261108TWS"/>
        <s v="AKQ2222611277C1"/>
        <s v="JOP631261215TWB"/>
        <s v="ADP304261113BX3"/>
        <s v="JOP642261115TWY"/>
        <s v="EWP136261115TWB"/>
        <s v="ATP612261125TWB"/>
        <s v="AVP322261115TWD"/>
        <s v="CAP101261108SC9"/>
        <s v="JCP410261012D0Q"/>
        <s v="JCP421261229L0J"/>
        <s v="JOP330270106LJL"/>
        <s v="AVB252270114TWD"/>
        <s v="JCP410261014D0Q"/>
        <s v="JAM340261008LJ3"/>
        <s v="CGP3232610077CG"/>
        <s v="JKP332261101BX5"/>
        <s v="ATP202261104OZX"/>
        <s v="EEP133261126OZN"/>
        <s v="AAP303270213BXA"/>
        <s v="JKG393261120ZEA"/>
        <s v="CCP132261105CZL"/>
        <s v="JAP240261026TW7"/>
        <s v="CJP327261025BX4"/>
        <s v="JCP421261020L0Y"/>
        <s v="JSP1402611137CS"/>
        <s v="EEP137261215OZQ"/>
        <s v="JKG188261120KEB"/>
        <s v="JKG180261120KEB"/>
        <s v="AVP201261029WEM"/>
        <s v="JKP332261025BX5"/>
        <s v="JKP331261020TWL"/>
        <s v="JAP240261011TW8"/>
        <s v="CSP134261107MUT"/>
        <s v="ATQ580261116RF1"/>
        <s v="ATP202261028LJA"/>
        <s v="JSP143270113ZEK"/>
        <s v="EBP132261115KEA"/>
        <s v="CJQ321261208BXZ"/>
        <s v="ATP350261023BXA"/>
        <s v="AVP523261112TWC"/>
        <s v="APP3712611117CB"/>
        <s v="JWP341261026LJL"/>
        <s v="JOP131261101TWH"/>
        <s v="JKQ351261120TWA"/>
        <s v="HWP163261030YP5"/>
        <s v="AVP232261231WEC"/>
        <s v="CSP134261226MUG"/>
        <s v="CJP1042610273U1"/>
        <s v="AVP323261212BXB"/>
        <s v="PGP125261218RS1"/>
        <s v="PGB225270102RS2"/>
        <s v="APQ320261109BXC"/>
        <s v="AVQ351261202ZED"/>
        <s v="JOP331261031TW5"/>
        <s v="AMX30026101800A"/>
        <s v="ATP302270105KEA"/>
        <s v="ATP302270104KEA"/>
        <s v="EMP135261223EKA"/>
        <s v="JSP3422701047CT"/>
        <s v="CCP687261103MU1"/>
        <s v="JSP342270124TW7"/>
        <s v="JWU148261022KEK"/>
        <s v="AVP228261217TWB"/>
        <s v="AKQ500261023001"/>
        <s v="CCC314270226MC6"/>
        <s v="PGB341261112BX3"/>
        <s v="JKP332261019BXV"/>
        <s v="CJP321261018BX9"/>
        <s v="JWQ340270114ZEO"/>
        <s v="CAP101261025SCT"/>
        <s v="ATB3202612297CP"/>
        <s v="AKP606261024001"/>
        <s v="ATP2072611047CJ"/>
        <s v="JOP3312610297CV"/>
        <s v="JTP342261125BXE"/>
        <s v="CHP363261031TWA"/>
        <s v="AVP333261214KE5"/>
        <s v="AVU2012611277CA"/>
        <s v="JKP331261229TWL"/>
        <s v="CHP363261130TWW"/>
        <s v="JKP332261007BX5"/>
        <s v="JSP341261009LJD"/>
        <s v="PGB361270102LJ3"/>
        <s v="JMB331270206BXU"/>
        <s v="JSP342261008LJA"/>
        <s v="CXP324261126ZE2"/>
        <s v="AVP307261202VNC"/>
        <s v="APP3732611277CB"/>
        <s v="CCP312261127GJA"/>
        <s v="CAP343261104BXB"/>
        <s v="ATP3702610317CQ"/>
        <s v="AVP331261109KEF"/>
        <s v="CHP345270207ZE6"/>
        <s v="JKP331261117ZEV"/>
        <s v="JOP343261119BX5"/>
        <s v="CAP337261025KE1"/>
        <s v="JOP333261020TWV"/>
        <s v="ADP315261123BXA"/>
        <s v="JMB331261224BXV"/>
        <s v="JNP331261104BXC"/>
        <s v="CHP341261224ZE5"/>
        <s v="AVP300261109VJJ"/>
        <s v="JSP345261125ZEC"/>
        <s v="JSP3422701087CT"/>
        <s v="ATP302261210BXC"/>
        <s v="AVP322261108TWD"/>
        <s v="ATP302261205KEB"/>
        <s v="AVP307261111VJC"/>
        <s v="JCP410261007D0Q"/>
        <s v="JCP421261011N05"/>
        <s v="AVP332261202KED"/>
        <s v="JOP331261113TWV"/>
        <s v="AVP301261127VJW"/>
        <s v="EWP141261110OZO"/>
        <s v="CNP338261017BX1"/>
        <s v="AVP301261104VJA"/>
        <s v="CXP321261203ZE1"/>
        <s v="JOP331261101TWT"/>
        <s v="JOP331261111LJL"/>
        <s v="ETP131261128OZG"/>
        <s v="AVP303261209VJA"/>
        <s v="CGP3202611077CP"/>
        <s v="JKP332261028BXV"/>
        <s v="AVP321261115BXH"/>
        <s v="CGP3952610187CJ"/>
        <s v="JTP332261109BXF"/>
        <s v="ALP3012702257CB"/>
        <s v="AVP339261012LJK"/>
        <s v="CJP3272611057CA"/>
        <s v="JKB331261030TWB"/>
        <s v="CCP387261110KE1"/>
        <s v="CCP3672612267CA"/>
        <s v="EEP163261227OZK"/>
        <s v="ATP3202611027CQ"/>
        <s v="JTP3412610257CR"/>
        <s v="CJP321261028BXZ"/>
        <s v="CJP321261104BXQ"/>
        <s v="AVP353270106ZEA"/>
        <s v="CEP335261121ZED"/>
        <s v="AVP301261101VJP"/>
        <s v="CJP321261111BXQ"/>
        <s v="JSP342261223TWT"/>
        <s v="ASP3112702067CX"/>
        <s v="CJP321261118BXZ"/>
        <s v="PGP331270209LJU"/>
        <s v="JOP333261112TWV"/>
        <s v="AVP322270112LJD"/>
        <s v="AVP301261114VJW"/>
        <s v="JOP331261103BXF"/>
        <s v="JKP331261029BXG"/>
        <s v="CCP3322611137C2"/>
        <s v="CCP3072610307C1"/>
        <s v="ETP131261116KEA"/>
        <s v="CCP332261103KE1"/>
        <s v="JKQ340270114LJE"/>
        <s v="CCP332261117KE1"/>
        <s v="JKP332261207LJX"/>
        <s v="AVP301261115VJW"/>
        <s v="EEP133261209KET"/>
        <s v="CJP3212611127CZ"/>
        <s v="AVP351261206VJG"/>
        <s v="AVP333261111BX5"/>
        <s v="CJP3272611127CA"/>
        <s v="JSQ040270114ZE0"/>
        <s v="CGP3222611257CV"/>
        <s v="JSP345261215TW5"/>
        <s v="CJP321261029BXQ"/>
        <s v="AAP302261219BXB"/>
        <s v="AVP303261231VNB"/>
        <s v="JKB332261225ZEB"/>
        <s v="JOP331261012TWV"/>
        <s v="COP332261206BXA"/>
        <s v="ATP302270103BX3"/>
        <s v="ATP302261224ITB"/>
        <s v="CCP325261231KE7"/>
        <s v="JSP342261219TWT"/>
        <s v="CAQ321261015BX8"/>
        <s v="AVP334270130VJA"/>
        <s v="AVP300261105VJJ"/>
        <s v="JKP332261103BXV"/>
        <s v="ATP3502611137CC"/>
        <s v="AVP322261126TWU"/>
        <s v="AVP308261101VJE"/>
        <s v="AVP308261118VNE"/>
        <s v="JOP331261208TWV"/>
        <s v="AVP227270127ZEB"/>
        <s v="AAP306261216BXD"/>
        <s v="JOP3312612207CM"/>
        <s v="CCP344270110KED"/>
        <s v="ATB3202611077CM"/>
        <s v="JMB331261121BXY"/>
        <s v="JKP3322611117CH"/>
        <s v="AVP351261215ZEF"/>
        <s v="ATP910261116LJA"/>
        <s v="ATP910261221LJA"/>
        <s v="ATP910261113LJA"/>
        <s v="ATP902261029TWB"/>
        <s v="ATP902261219TWA"/>
        <s v="JOQ940261030TWH"/>
        <s v="JOP943261026TWN"/>
        <s v="AVP239270219ZEJ"/>
        <s v="ATP971261123LJ1"/>
        <s v="CCP944261126HOD"/>
        <s v="JKP941261109TWH"/>
        <s v="ATP901270114TWA"/>
        <s v="ATP902270114TWA"/>
        <s v="JKP941261117TWH"/>
        <s v="ATP902261110TWA"/>
        <s v="ASP910261106TWB"/>
        <s v="APP361261201LJA"/>
        <s v="APQ360261201LJ6"/>
        <s v="PAP101261206JQ1"/>
        <s v="CCC314270126MC5"/>
        <s v="JSP342270220LJT"/>
        <s v="JCP421261010L0J"/>
        <s v="JKP342261108ZEA"/>
        <s v="ATP370261114BXQ"/>
        <s v="CHP363270102TWA"/>
        <s v="JTP331261017LJM"/>
        <s v="JWP331261113LJV"/>
        <s v="AVP353261101VJA"/>
        <s v="JOP342261111TWO"/>
        <s v="AVP333261018BX0"/>
        <s v="JKP332261108BXW"/>
        <s v="CAP343261225KEA"/>
        <s v="CJP322261026BXE"/>
        <s v="AVP300261103VJJ"/>
        <s v="APP3712611087C5"/>
        <s v="AVP300261117VJJ"/>
        <s v="JOP331261024TWV"/>
        <s v="JTP332261128BXF"/>
        <s v="CXP321261108ZEB"/>
        <s v="JOP331261021TWN"/>
        <s v="CAP327261105BX2"/>
        <s v="JKP331270207BXL"/>
        <s v="JOP146261113TWH"/>
        <s v="JOP331261028BXO"/>
        <s v="ACP364270205ZER"/>
        <s v="ATP3702701147C1"/>
        <s v="JSP342270226ZE7"/>
        <s v="HHQ100270110KE1"/>
        <s v="AVP321270220LJA"/>
        <s v="ASP3112612167CX"/>
        <s v="ATP370261007ZEQ"/>
        <s v="JKP331261109TW3"/>
        <s v="JSP342261203TW7"/>
        <s v="CGP3222610077CV"/>
        <s v="JOP331261225LJN"/>
        <s v="APP3712611217CL"/>
        <s v="CGP3232610107CA"/>
        <s v="JKP332270130BXK"/>
        <s v="AVP351261127ZEF"/>
        <s v="JKP332261206BXW"/>
        <s v="JCP421261023N0V"/>
        <s v="JOP343261018BXZ"/>
        <s v="ATP300261022CIB"/>
        <s v="AVP345261026VJA"/>
        <s v="APP3712610197CW"/>
        <s v="APP3712610137CX"/>
        <s v="CCP331261122KE1"/>
        <s v="CCP327261224KE1"/>
        <s v="AVP300261101VJJ"/>
        <s v="AVP321261108TWB"/>
        <s v="JSP342261016ZEA"/>
        <s v="JOP341261203BXL"/>
        <s v="ASP3102611197CZ"/>
        <s v="CGP3202611257CP"/>
        <s v="JOP3312611057CH"/>
        <s v="AVP301261118VNP"/>
        <s v="ATP322261118LJA"/>
        <s v="CHP101261227TWV"/>
        <s v="AVQ239261201TWZ"/>
        <s v="AVP331261228LJA"/>
        <s v="AAP203270217TWA"/>
        <s v="ATP300261223CIA"/>
        <s v="CHP101261130ZE9"/>
        <s v="CXP122261111ZEW"/>
        <s v="ETP161261118KED"/>
        <s v="AVP201261108WEZ"/>
        <s v="ETP161261123TKC"/>
        <s v="CJP621261115GJS"/>
        <s v="ACP364270128ZER"/>
        <s v="AYP211270223LJG"/>
        <s v="AVP352270112ZEZ"/>
        <s v="CJP321261117BXQ"/>
        <s v="JCP421261026D0J"/>
        <s v="APQ258261229RFQ"/>
        <s v="ACP362270111ZEC"/>
        <s v="ASQ301270221SQU"/>
        <s v="AVP233270205WEC"/>
        <s v="CJP327261029BXA"/>
        <s v="ESP131270115TWA"/>
        <s v="AVP201261206KEM"/>
        <s v="AVP232261130WEC"/>
        <s v="AVP2212610167CQ"/>
        <s v="ALP203270218TWL"/>
        <s v="AVP333270125KE5"/>
        <s v="AVP333261108KE5"/>
        <s v="JOB149261120TWT"/>
        <s v="AVP254261103LJB"/>
        <s v="CHP131261107TWF"/>
        <s v="CJP104261128KEA"/>
        <s v="PAP127261030KE5"/>
        <s v="AVP233261109TWA"/>
        <s v="ATP214261106LJB"/>
        <s v="CJP324261114BX1"/>
        <s v="CJP107261110RS1"/>
        <s v="AAP203270122OZA"/>
        <s v="ESP132261207KE1"/>
        <s v="JOB341261212BXA"/>
        <s v="JOP140270218TWK"/>
        <s v="AAP203261219ZEA"/>
        <s v="AVP532261120RFC"/>
        <s v="FCP131270116EKN"/>
        <s v="ADP285261125ZEH"/>
        <s v="ETP131270212TKM"/>
        <s v="CJP104261111GJG"/>
        <s v="JKP130261128RF0"/>
        <s v="AVP532270123RFD"/>
        <s v="CCP104261106CZA"/>
        <s v="CJP627261009ZES"/>
        <s v="CCP3572612297CB"/>
        <s v="JOP1412612017CX"/>
        <s v="CCP318261024MUB"/>
        <s v="JAP240261024TW8"/>
        <s v="JMB1382611037CR"/>
        <s v="AVP300270109VNJ"/>
        <s v="CJP104261031RS1"/>
        <s v="ASP210270215KEV"/>
        <s v="AAP205270101OZB"/>
        <s v="JOP343261024TWB"/>
        <s v="JSP148261102TWV"/>
        <s v="AVP250261204LJM"/>
        <s v="JSP540261016RFS"/>
        <s v="ESP132261115KEA"/>
        <s v="COP115261116KE5"/>
        <s v="HHP101261118KEP"/>
        <s v="ATP214261029LJS"/>
        <s v="JOP185270106TWQ"/>
        <s v="AVP2032701107CV"/>
        <s v="AVP231261117WEA"/>
        <s v="JKP140270114TWA"/>
        <s v="JKP148261212TWN"/>
        <s v="AVP203261114WEB"/>
        <s v="AVP531261107TWC"/>
        <s v="CJP107261018ZE1"/>
        <s v="CJP106261116RF1"/>
        <s v="CJP107261101ZE1"/>
        <s v="JKP130261230TW9"/>
        <s v="JOP131270120RFJ"/>
        <s v="JOP141261028TWH"/>
        <s v="ATP507261031ZEJ"/>
        <s v="ESP132270209KEA"/>
        <s v="JSP544261224RFB"/>
        <s v="ATP502261109RFA"/>
        <s v="JOP185261210RFE"/>
        <s v="AKP211261103OZC"/>
        <s v="ATP514261106RFC"/>
        <s v="AVP525261108TWH"/>
        <s v="JOP141261224TWY"/>
        <s v="JWP1472612257CN"/>
        <s v="AAP267270114TWB"/>
        <s v="CJP108261109RF1"/>
        <s v="JKP130270206TWZ"/>
        <s v="CJP107261124ZE1"/>
        <s v="JWP547270118RFZ"/>
        <s v="JOP185261028RFA"/>
        <s v="JSP540261105RFS"/>
        <s v="AVP525261025RFA"/>
        <s v="CAP501261225QWT"/>
        <s v="ATP502261102ZEA"/>
        <s v="AVP203270206VNV"/>
        <s v="EMP133270214TKB"/>
        <s v="CJP104261028ZE1"/>
        <s v="CCP104261102KEC"/>
        <s v="AVP259261210LJW"/>
        <s v="JKP140261123TW9"/>
        <s v="CXP122261225KE1"/>
        <s v="CCP104261102OZC"/>
        <s v="AVP525261025RFD"/>
        <s v="ATP253270113TWB"/>
        <s v="JTP130270125RFD"/>
        <s v="JWP141270221ZER"/>
        <s v="AVP521270114TWC"/>
        <s v="JKP140261220TWV"/>
        <s v="CJP108261125GJ1"/>
        <s v="CXP125270103ZEG"/>
        <s v="CGQ1002610247C2"/>
        <s v="APP2332612197CJ"/>
        <s v="JOP146261128TWY"/>
        <s v="AVQ529261102RFX"/>
        <s v="ESQ111261220OZW"/>
        <s v="JOB148261104TWJ"/>
        <s v="CJP108261111GJ1"/>
        <s v="AVP532261101RFD"/>
        <s v="JOP141261020ZEA"/>
        <s v="JKP130261020RF0"/>
        <s v="JOP185261025RFA"/>
        <s v="EEQ111261207KEW"/>
        <s v="AVP532261017RFC"/>
        <s v="JOP141261102RFA"/>
        <s v="JOP140261215TWR"/>
        <s v="JOP140261026RFJ"/>
        <s v="AVQ539261123RFX"/>
        <s v="AVQ539261127RFX"/>
        <s v="AKP33226110300A"/>
        <s v="JOP641261106TWY"/>
        <s v="CJP104261122ZES"/>
        <s v="JSP345270209TWC"/>
        <s v="AVP525261121RFA"/>
        <s v="JKP130261225RF6"/>
        <s v="PAP108270103KE3"/>
        <s v="AVP232261222LJE"/>
        <s v="APQ211270113TWR"/>
        <s v="CJP104261019ZE1"/>
        <s v="AVP253261219ZEC"/>
        <s v="JSP148261017RFE"/>
        <s v="ETP131261019TKG"/>
        <s v="ADX723261021002"/>
        <s v="JOP141261120ZEA"/>
        <s v="CKP104261102CAA"/>
        <s v="AVG231270123KET"/>
        <s v="JSB147270218ZE6"/>
        <s v="CJP104261014GJG"/>
        <s v="CCP104261106KEC"/>
        <s v="EWX75226100800U"/>
        <s v="JOP343261111BXZ"/>
        <s v="APP2202611307CA"/>
        <s v="ETP131270122KEA"/>
        <s v="AKG936261026002"/>
        <s v="JCP421261030D0J"/>
        <s v="ATP503261229RFB"/>
        <s v="EEP133261117KEM"/>
        <s v="AVG231270121KEW"/>
        <s v="ASP211270114OZC"/>
        <s v="CFQ154261026HY1"/>
        <s v="ATP000261106TW1"/>
        <s v="JOP1312610117C3"/>
        <s v="JOP141261120TWQ"/>
        <s v="ATP504261029RFB"/>
        <s v="ATP504261031RFB"/>
        <s v="JSP540270113RFS"/>
        <s v="JOP130261108RFT"/>
        <s v="CXP525270218ZE5"/>
        <s v="AVQ539261211RFZ"/>
        <s v="CXP537270107ZE5"/>
        <s v="APP232270104LJA"/>
        <s v="ESP131270101TWI"/>
        <s v="JSP540261220RFS"/>
        <s v="AVB536261212RFC"/>
        <s v="JOP130261201RFT"/>
        <s v="APP232270115LJA"/>
        <s v="JSP548261211RFS"/>
        <s v="ATP502261112ZEA"/>
        <s v="AVP532270107TWF"/>
        <s v="JKP140270114TWC"/>
        <s v="CJP104261104GJS"/>
        <s v="AVP2502612109GM"/>
        <s v="JOP130261120RFT"/>
        <s v="JKP130261125RF0"/>
        <s v="JOP141270119TWM"/>
        <s v="JSP548261205RFT"/>
        <s v="CGP104261024LJB"/>
        <s v="CJP107261122ZE1"/>
        <s v="JWG140261224OZA"/>
        <s v="ATB522261109ZEV"/>
        <s v="AVP532270105RFC"/>
        <s v="CJP104261122ZE1"/>
        <s v="AVP532270104RFC"/>
        <s v="ATP514270103RFB"/>
        <s v="AVP532270218TWE"/>
        <s v="CHP103261207TWA"/>
        <s v="JOP141261226TW7"/>
        <s v="CAP501270101QWT"/>
        <s v="JWP548261218RFS"/>
        <s v="ATP502261220ZEA"/>
        <s v="CCP504270205ZEA"/>
        <s v="JOP141270107TW8"/>
        <s v="JSP548261116RF4"/>
        <s v="JSP548261212RFT"/>
        <s v="JAP240261023TW8"/>
        <s v="APP210270109TW0"/>
        <s v="JKQ100261216LJJ"/>
        <s v="CJP104261014GJM"/>
        <s v="ATP514261104ZEB"/>
        <s v="CNP531261020ZE3"/>
        <s v="JKB140261015TWC"/>
        <s v="AVB252261225ZED"/>
        <s v="AVB534261018RFC"/>
        <s v="JKB130261018RF3"/>
        <s v="AMP202270107MHA"/>
        <s v="CJP104261104ZEG"/>
        <s v="AVP236261128KE2"/>
        <s v="JNG101261129OZD"/>
        <s v="FCP131261114EKN"/>
        <s v="AVP533261031RFA"/>
        <s v="JNG101261213OZD"/>
        <s v="JOP131261121TW7"/>
        <s v="ATP514261108RFB"/>
        <s v="AAP203270206LJA"/>
        <s v="JKP130261126RF0"/>
        <s v="AVB535261024RFA"/>
        <s v="AVP525270101TWH"/>
        <s v="JOP141261105TWX"/>
        <s v="ATQ280261103CIY"/>
        <s v="CHQ191261123KEA"/>
        <s v="PNP101261117KE1"/>
        <s v="CJP109261118ZEG"/>
        <s v="AVP523270119RFC"/>
        <s v="JKP140261220BX1"/>
        <s v="CCP104261112MUZ"/>
        <s v="CHP131261120CXJ"/>
        <s v="AVP227261026TWA"/>
        <s v="CVP621261024TWN"/>
        <s v="ESP132261118OZA"/>
        <s v="CBQ100261203OZA"/>
        <s v="AVQ229270106TW5"/>
        <s v="ADP285270127ZEH"/>
        <s v="AVP325261229BXB"/>
        <s v="ASP212270216SQV"/>
        <s v="AVP203261231WEV"/>
      </sharedItems>
    </cacheField>
    <cacheField name="예약코드" numFmtId="0">
      <sharedItems/>
    </cacheField>
    <cacheField name="메트릭" numFmtId="0">
      <sharedItems count="2">
        <s v="순예약인원"/>
        <s v="판매금액"/>
      </sharedItems>
    </cacheField>
    <cacheField name="값2" numFmtId="176">
      <sharedItems containsSemiMixedTypes="0" containsString="0" containsNumber="1" containsInteger="1" minValue="-200000" maxValue="130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08.70926354167" createdVersion="8" refreshedVersion="8" minRefreshableVersion="3" recordCount="1119" xr:uid="{D18F7A30-2A71-44BF-9036-3E99699B80DB}">
  <cacheSource type="worksheet">
    <worksheetSource ref="A2:Q1121" sheet="매출 배수적용"/>
  </cacheSource>
  <cacheFields count="17">
    <cacheField name="행 레이블" numFmtId="0">
      <sharedItems count="3">
        <s v="영업본부"/>
        <s v="지방사업본부"/>
        <s v="총합계"/>
      </sharedItems>
    </cacheField>
    <cacheField name="대리점조직사업부명_현재" numFmtId="0">
      <sharedItems containsBlank="1" count="5">
        <s v="영업1실"/>
        <s v="영업2실"/>
        <s v="지방영업1실"/>
        <s v="지방영업2실"/>
        <m/>
      </sharedItems>
    </cacheField>
    <cacheField name="대리점조직하나투어주담당자팀명_현재" numFmtId="0">
      <sharedItems containsBlank="1" count="18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  <m/>
      </sharedItems>
    </cacheField>
    <cacheField name="대리점조직하나투어주담당자사원명_현재" numFmtId="0">
      <sharedItems containsBlank="1" count="57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임창수"/>
        <s v="김소윤B"/>
        <s v="유지호C"/>
        <s v="김선우"/>
        <s v="김성원"/>
        <s v="백지영"/>
        <s v="권오윤"/>
        <s v="이준현"/>
        <s v="김성수D"/>
        <s v="김홍식"/>
        <s v="최은명"/>
        <s v="강준구"/>
        <s v="권준성"/>
        <s v="김우진B"/>
        <s v="김지민C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김효진D"/>
        <s v="안기범"/>
        <s v="이정열"/>
        <s v="최경득"/>
        <s v="김민우C"/>
        <s v="양건모"/>
        <s v="이승학"/>
        <s v="김태관"/>
        <s v="배창선"/>
        <s v="윤성범"/>
        <s v="김승원B"/>
        <s v="노형진"/>
        <s v="정지민C"/>
        <s v="김현민C"/>
        <s v="이미소D"/>
        <s v="김대운B"/>
        <s v="최관종B"/>
        <s v="윤준곤"/>
        <s v="최성주B"/>
        <s v="홍제선"/>
        <m/>
      </sharedItems>
    </cacheField>
    <cacheField name="상품브랜드명" numFmtId="0">
      <sharedItems containsBlank="1" count="13">
        <s v="브랜드미적용"/>
        <s v="세이브"/>
        <s v="스탠다드"/>
        <s v="프리미엄"/>
        <s v="골프"/>
        <s v="우리끼리"/>
        <s v="현지투어플러스"/>
        <s v="내나라여행"/>
        <s v="트레킹"/>
        <s v="허니문"/>
        <s v="레포츠"/>
        <s v="크루즈"/>
        <m/>
      </sharedItems>
    </cacheField>
    <cacheField name="통합상품속성코드" numFmtId="0">
      <sharedItems containsBlank="1" count="10">
        <s v="B"/>
        <s v="Q"/>
        <s v="P"/>
        <s v="G"/>
        <s v="U"/>
        <s v="X"/>
        <s v="W"/>
        <s v="K"/>
        <s v="C"/>
        <m/>
      </sharedItems>
    </cacheField>
    <cacheField name="대리점코드" numFmtId="0">
      <sharedItems containsBlank="1" count="130">
        <s v="A9F92"/>
        <s v="A9LNN"/>
        <s v="A9KFW"/>
        <s v="A9B36"/>
        <s v="A9LDT"/>
        <s v="A9LUB"/>
        <s v="A9M3P"/>
        <s v="A9LRG"/>
        <s v="A9L6R"/>
        <s v="PH06648"/>
        <s v="A9I5P"/>
        <s v="PH05738"/>
        <s v="A9HJ5"/>
        <s v="A9LKH"/>
        <s v="PH03861"/>
        <s v="A9ALY"/>
        <s v="A9HAR"/>
        <s v="A9JKZ"/>
        <s v="A9MQW"/>
        <s v="PH03846"/>
        <s v="A9GDN"/>
        <s v="A9GKT"/>
        <s v="A9MR2"/>
        <s v="PH00277"/>
        <s v="A9H58"/>
        <s v="A9LUM"/>
        <s v="A9JYB"/>
        <s v="A9JSF"/>
        <s v="A9M7W"/>
        <s v="A9LYT"/>
        <s v="A9ESY"/>
        <s v="PH03749"/>
        <s v="A9D5G"/>
        <s v="A9N5O"/>
        <s v="A9IVD"/>
        <s v="PH02793"/>
        <s v="PH03809"/>
        <s v="A9KFO"/>
        <s v="A9HS8"/>
        <s v="A9MTM"/>
        <s v="A9JP4"/>
        <s v="A9G5M"/>
        <s v="A9H68"/>
        <s v="A9HSC"/>
        <s v="A3197"/>
        <s v="A3473"/>
        <s v="A9HKT"/>
        <s v="A9AKO"/>
        <s v="A9LSH"/>
        <s v="PH08198"/>
        <s v="A9D5Q"/>
        <s v="PH04924"/>
        <s v="A9NMI"/>
        <s v="A9F9O"/>
        <s v="A9JTS"/>
        <s v="A9NPJ"/>
        <s v="PH08246"/>
        <s v="A9KRA"/>
        <s v="PH04582"/>
        <s v="PH07497"/>
        <s v="PH01378"/>
        <s v="PH07659"/>
        <s v="A3164"/>
        <s v="PH05631"/>
        <s v="A9251"/>
        <s v="PH04817"/>
        <s v="PH07268"/>
        <s v="A9A6A"/>
        <s v="PH05074"/>
        <s v="A7153"/>
        <s v="A9LN2"/>
        <s v="A9IWT"/>
        <s v="A8710"/>
        <s v="PH03840"/>
        <s v="A0667"/>
        <s v="A9M2G"/>
        <s v="A9NSB"/>
        <s v="A9N46"/>
        <s v="PH04251"/>
        <s v="A9MBZ"/>
        <s v="PH06828"/>
        <s v="PH06985"/>
        <s v="A8943"/>
        <s v="PH04152"/>
        <s v="A7234"/>
        <s v="A9D5N"/>
        <s v="A9FKO"/>
        <s v="A9FWR"/>
        <s v="A9LY1"/>
        <s v="PH03146"/>
        <s v="A9JHC"/>
        <s v="PH06540"/>
        <s v="PH08592"/>
        <s v="PH07401"/>
        <s v="A9HAH"/>
        <s v="A9LUJ"/>
        <s v="A6064"/>
        <s v="A9KRY"/>
        <s v="A9JVF"/>
        <s v="PH05501"/>
        <s v="A9I58"/>
        <s v="PH06548"/>
        <s v="PH04776"/>
        <s v="A9DBN"/>
        <s v="A1845"/>
        <s v="A7333"/>
        <s v="PH07123"/>
        <s v="A9GBA"/>
        <s v="A2816"/>
        <s v="A9AQ8"/>
        <s v="PH02519"/>
        <s v="PH05795"/>
        <s v="A9MBN"/>
        <s v="A9KXZ"/>
        <s v="PH06731"/>
        <s v="A9GHQ"/>
        <s v="A9D60"/>
        <s v="A9KZI"/>
        <s v="PH00686"/>
        <s v="PH05389"/>
        <s v="PH02870"/>
        <s v="A9KV4"/>
        <s v="A5561"/>
        <s v="A9J50"/>
        <s v="A9M27"/>
        <s v="PH02764"/>
        <s v="PH02915"/>
        <s v="A9EAT"/>
        <s v="A9MPP"/>
        <m/>
      </sharedItems>
    </cacheField>
    <cacheField name="대리점한글명" numFmtId="0">
      <sharedItems containsBlank="1" count="130">
        <s v="오리엔탈[이마트 명일점]"/>
        <s v="주식회사 퍼즐여행[롯데몰 은평점]"/>
        <s v="케이에이피투어[이마트 의정부점]"/>
        <s v="여행세상[NC 일산점]"/>
        <s v="(주)하나월드[이마트 은평점]"/>
        <s v="더베이스투어[롯데마트 고양점]"/>
        <s v="마이핏투어[NC 불광점]"/>
        <s v="에어비즈투어[스타필드마켓 일산점]"/>
        <s v="(주)하나여행[하나로마트 고양점]"/>
        <s v="(주)삼송나비투어[하나로마트 삼송점]"/>
        <s v="하나더투어[이마트 수색점]"/>
        <s v="하나트립[이마트 청계천점]"/>
        <s v="여행이야기[롯데백화점 건대스타시티점]"/>
        <s v="온투어세상"/>
        <s v="한그린[세이브존 노원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나여행사[스타필드빌리지 운정]"/>
        <s v="(주) 월투어[이마트 풍산점]"/>
        <s v="씨엘투어[이마트 화정점]"/>
        <s v="굿타임여행사[에브리데이 탄현역점]"/>
        <s v="뉴스트래블[롯데마트 주엽점]"/>
        <s v="수여행사[롯데백화점 일산점]"/>
        <s v="누누로여행사[이마트 별내점]"/>
        <s v="휴앤조이트레블[이마트 남양주점]"/>
        <s v="투어스토리[이마트 하남점]"/>
        <s v="여행시작[롯데백화점 구리점]"/>
        <s v="유매인터내셔널[롯데백화점 미아점]"/>
        <s v="감성여행사[이마트 원주점]"/>
        <s v="(주)중부여행사[롯데마트 석사점]"/>
        <s v="샤인투어(주)[이마트 춘천점]"/>
        <s v="아타여행사"/>
        <s v="브리즈투어[롯데슈퍼 춘천점]"/>
        <s v="레미투어[이마트 제천점]"/>
        <s v="하나트래블[롯데마트 원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제이여행사[이마트 안양점]"/>
        <s v="굿모닝하나여행[이마트 평촌점]"/>
        <s v="리앤최투어[이마트 성남점]"/>
        <s v="온드림 여행사[하나로마트 성남점]"/>
        <s v="초록여행사[이마트 산본점]"/>
        <s v="여행가는길[이마트 분당점]"/>
        <s v="캐슬투어[롯데마트 맥스금천점]"/>
        <s v="하늘여행사[이마트 안성점]"/>
        <s v="허니문클럽[이마트 평택점]"/>
        <s v="아름여행사[이마트 화성봉담점]"/>
        <s v="티엘투어(주)[AK평택점]"/>
        <s v="예스여행[이마트 흥덕점]"/>
        <s v="올데이트래블[롯데백화점 수원점]"/>
        <s v="오션디티[스타필드마켓 동탄점]"/>
        <s v="티엘투어(주)[트레이더스 동탄점]"/>
        <s v="(주)월드투어넷[롯데백화점 안산점]"/>
        <s v="하나관광여행사[이마트 오산점]"/>
        <s v="정투어[롯데마트 권선점]"/>
        <s v="행복한여행자클럽[스타필드마켓 죽전점]"/>
        <s v="더존투어[이마트 용인점]"/>
        <s v="(주) 핑투어[이마트 수지점]"/>
        <s v="하나여행사[롯데몰 수지점]"/>
        <s v="여행플래너[이마트 중동점]"/>
        <s v="퍼시픽스타투어[롯데백화점 중동점]"/>
        <s v="세계로투어"/>
        <s v="정투어[이마트 검단점]"/>
        <s v="가자여행사[뉴코아 인천점]"/>
        <s v="래빗투어[이마트 계양점]"/>
        <s v="초원여행"/>
        <s v="올인원트레이닝[롯데마트 청라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메모리투어[롯데마트 동래점]"/>
        <s v="태평양해외여행사[이마트 금정점]"/>
        <s v="내일여행(주)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영차투어[이마트 성서점]"/>
        <s v="(주)감승투어[롯데마트 구미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주식회사 글로벌교육문화교류원"/>
        <s v="이좋은여행사[이마트 마산점]"/>
        <s v="브이아이피여행사[이마트 진주점]"/>
        <s v="투어플러스주식회사[롯데마트 노은점]"/>
        <s v="라이언여행사(주) 연무대지점"/>
        <s v="안나여행사[GS 대전도마점]"/>
        <s v="알프스투어&amp;골프"/>
        <s v="세기항공여행사[NC유성점]"/>
        <s v="스마트투어[이마트 대전터미널점]"/>
        <s v="(주)여행의 온도"/>
        <s v="하나멤버스[신세계 충청점]"/>
        <s v="세계관광여행사[갤러리아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여행일기[롯데마트 군산점]"/>
        <s v="우리들여행사[롯데마트 여천점]"/>
        <s v="아이티여행사[이마트 광주점]"/>
        <s v="진향여행사[롯데마트 여수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m/>
      </sharedItems>
    </cacheField>
    <cacheField name="판매상품코드" numFmtId="0">
      <sharedItems containsBlank="1" count="1078">
        <s v="JTB339261119LJI"/>
        <s v="APB2202611257CC"/>
        <s v="AVB354261018LJ1"/>
        <s v="JTQ100270109ZEG"/>
        <s v="AVP205261112OZM"/>
        <s v="JCP421261111D0T"/>
        <s v="JOP141261029TWH"/>
        <s v="JOP331261124TWV"/>
        <s v="PAP101261123OZ3"/>
        <s v="PAP103261214KEY"/>
        <s v="ATP300261007BXY"/>
        <s v="JKP140261026TW2"/>
        <s v="ASP210270205KED"/>
        <s v="ATP3222611137CB"/>
        <s v="AVP203261228OZ1"/>
        <s v="AVP227261108TWA"/>
        <s v="CCP104261026CZC"/>
        <s v="CJP1042612013U1"/>
        <s v="CYP1082702219H9"/>
        <s v="EEP133261014KEX"/>
        <s v="EMP132261016TKA"/>
        <s v="EMP133270201TWZ"/>
        <s v="EMP135270113EKT"/>
        <s v="EWP136261226OZ1"/>
        <s v="JKP130261015TWL"/>
        <s v="JOP1402611257CK"/>
        <s v="JSP140261103TWN"/>
        <s v="JSP140261201TWN"/>
        <s v="AVP233261206TWB"/>
        <s v="CHP131261101TWA"/>
        <s v="EEP133270205KET"/>
        <s v="EWP132261120OZR"/>
        <s v="EWP159261202TWB"/>
        <s v="JSP344261210BX3"/>
        <s v="CGP1072610247C2"/>
        <s v="EMP113270205KEP"/>
        <s v="ACG2222701117CE"/>
        <s v="JNG110261108OZB"/>
        <s v="AVQ2512611267C4"/>
        <s v="ATB282261130TWC"/>
        <s v="PGB225261116RS3"/>
        <s v="JOB149261227TW4"/>
        <s v="AKP660261020001"/>
        <s v="AKP600261017001"/>
        <s v="AKP713261027001"/>
        <s v="AKP664261113001"/>
        <s v="CXQ100261129KEB"/>
        <s v="AAQ300261026BXA"/>
        <s v="ACP200261027KE1"/>
        <s v="AVP226261223ZE0"/>
        <s v="EWP161270110OZY"/>
        <s v="JKP130261103TWJ"/>
        <s v="JKP141261111RS1"/>
        <s v="JKP130261224TWH"/>
        <s v="HWP163261012KE1"/>
        <s v="AVP201261020WEZ"/>
        <s v="AVP221270108TWC"/>
        <s v="CAP1012611197C9"/>
        <s v="CJP321261102BX9"/>
        <s v="JCP421261028L0J"/>
        <s v="JTP130261202TWK"/>
        <s v="JKP130261111TWX"/>
        <s v="JSP148261026TWV"/>
        <s v="JOP131261109TWD"/>
        <s v="AVP2032611127CV"/>
        <s v="EEP133270209KEM"/>
        <s v="EMP135261216EKA"/>
        <s v="AVP222261205VNB"/>
        <s v="JSP140270113YPA"/>
        <s v="JSP140270114YPA"/>
        <s v="ALP211270115TWK"/>
        <s v="CCP104261209MUC"/>
        <s v="CGP1042611217C2"/>
        <s v="CJP104261110RS1"/>
        <s v="JOP140261104TWD"/>
        <s v="JOP147270113TWF"/>
        <s v="JSP140261210TWN"/>
        <s v="AVP2032611167CM"/>
        <s v="AYP261261012AKF"/>
        <s v="ETP131261108KEA"/>
        <s v="ATP2142612087CB"/>
        <s v="JKP140261116BX1"/>
        <s v="JSP1402611087CU"/>
        <s v="AVP203261025OZV"/>
        <s v="AVP203270206VNH"/>
        <s v="AVP303261121VND"/>
        <s v="EEP132261105OZI"/>
        <s v="HHP103270131KEC"/>
        <s v="JSP143261015ZEA"/>
        <s v="JTP147270120KEN"/>
        <s v="AVP203261125VNV"/>
        <s v="CCP104261111MUC"/>
        <s v="AVU231261210VNA"/>
        <s v="CJP107261121RS1"/>
        <s v="AKP542261031002"/>
        <s v="ATQ280261110BRG"/>
        <s v="ATQ054261030KES"/>
        <s v="APP2292611037CY"/>
        <s v="AVP231261017TWA"/>
        <s v="AVP232261026TWC"/>
        <s v="JKP130261023ZEP"/>
        <s v="JTP140270217TW6"/>
        <s v="PAP101261128TW3"/>
        <s v="ADP282261117ZEH"/>
        <s v="ATP002261025TWA"/>
        <s v="CJP108261101LJ1"/>
        <s v="JNP140261103ZE1"/>
        <s v="JOP1312611147C0"/>
        <s v="PAP220270212KE1"/>
        <s v="PNP119270224KEV"/>
        <s v="ASP211261104SQD"/>
        <s v="AVP225261008ZEH"/>
        <s v="CAP1012611087CT"/>
        <s v="CCP131261122OZF"/>
        <s v="EWP161261113OZY"/>
        <s v="JKP140261110TW3"/>
        <s v="JNP1402612047CM"/>
        <s v="JOP1412610267CX"/>
        <s v="JOP331261202TW5"/>
        <s v="JWP137261226ZEM"/>
        <s v="AAP203270107OZA"/>
        <s v="AVP233261025TWB"/>
        <s v="AYP201270113LJD"/>
        <s v="JOP140261201KES"/>
        <s v="CJP1042611153U1"/>
        <s v="AVP203261214VNV"/>
        <s v="AVP233261210RSC"/>
        <s v="CCP104261114KEC"/>
        <s v="EWP141261020TWK"/>
        <s v="CJP337261119BXA"/>
        <s v="JKB130261020TWZ"/>
        <s v="AKP2012610317CG"/>
        <s v="AKP2012611077CG"/>
        <s v="CAP101261123LJ2"/>
        <s v="CJP117261031RS1"/>
        <s v="JKP140261116TW2"/>
        <s v="JKP130261019TW5"/>
        <s v="JKP140261111BX9"/>
        <s v="JOP141261009WEG"/>
        <s v="JKP140261111TW7"/>
        <s v="JKP1402611257CD"/>
        <s v="CWP101261226KEK"/>
        <s v="ACP2012611267C1"/>
        <s v="AVP239261026WED"/>
        <s v="CHP131270224OZA"/>
        <s v="ASP210270228TW4"/>
        <s v="CGP1042611047CB"/>
        <s v="CHP141261217TWB"/>
        <s v="CJP115261029RS1"/>
        <s v="EWP136261111KE1"/>
        <s v="CHP131270111YPB"/>
        <s v="CCP104261110MUC"/>
        <s v="CGP104261205LJ2"/>
        <s v="AVP203261122OZV"/>
        <s v="AVP203261207OZV"/>
        <s v="CJP1042611053U1"/>
        <s v="JSP148270121TWK"/>
        <s v="ATP214261117OZC"/>
        <s v="ALP201270107TW2"/>
        <s v="CJP107261114RS1"/>
        <s v="EMX73026101900A"/>
        <s v="AVG211270103YPZ"/>
        <s v="AVB259261129ZEX"/>
        <s v="CXQ100270218KE1"/>
        <s v="CXQ100270218ZE1"/>
        <s v="CCP132261121MUL"/>
        <s v="JKP130261101TWH"/>
        <s v="JSP148261113TW8"/>
        <s v="AVP239270116WEJ"/>
        <s v="CCP109270112CZ3"/>
        <s v="PAP101261108TW3"/>
        <s v="ATP2042612157CB"/>
        <s v="CRP114261019OZA"/>
        <s v="JAP240261018TW8"/>
        <s v="AKP2112610197C5"/>
        <s v="ASP2102610187CA"/>
        <s v="ATP504261101RFB"/>
        <s v="CJP1042610263U1"/>
        <s v="APP2322702067CI"/>
        <s v="EEP134261028KEE"/>
        <s v="AAP215270208TWB"/>
        <s v="AKP2112610197CB"/>
        <s v="CCP104261128MUC"/>
        <s v="CJP1042612063U1"/>
        <s v="CYP1042702179HO"/>
        <s v="ESP132261201KEA"/>
        <s v="JKP140261209TWO"/>
        <s v="JSP148261213TWL"/>
        <s v="AVQ259261104TWX"/>
        <s v="CJP1072611153U1"/>
        <s v="EMP113270205KEN"/>
        <s v="AAG200261120KEQ"/>
        <s v="AKP550261109000"/>
        <s v="AKP559261027001"/>
        <s v="AVB2322702037C1"/>
        <s v="JMB1382611027CV"/>
        <s v="AKP31026102300A"/>
        <s v="AKP201261020ZEG"/>
        <s v="JOP146261013WEL"/>
        <s v="AKP110261027BXG"/>
        <s v="JKP130261113TWX"/>
        <s v="CXP111261101ZET"/>
        <s v="JAP141261112LJA"/>
        <s v="JCP421261012D0T"/>
        <s v="JOP1412610257CX"/>
        <s v="JWP147261119TWC"/>
        <s v="PAP102270105OZ3"/>
        <s v="PAP102270210OZ3"/>
        <s v="CCP104270206KEC"/>
        <s v="JOP140261102OZB"/>
        <s v="HHP106261219KE2"/>
        <s v="JSP148270108TWK"/>
        <s v="JWP140270108TWL"/>
        <s v="ACP2012612137C1"/>
        <s v="APP2322612287CI"/>
        <s v="ATP322261116LJQ"/>
        <s v="ETP131261102KEA"/>
        <s v="JAP644261030TW8"/>
        <s v="AAP205261125TWB"/>
        <s v="JOB1382611017CL"/>
        <s v="JOB149261116TW4"/>
        <s v="ALP3002702217C2"/>
        <s v="AVP221270105VJB"/>
        <s v="AVP231261119TWA"/>
        <s v="AVP321270105VJA"/>
        <s v="AVP634261021TWA"/>
        <s v="CAP1012611197C2"/>
        <s v="CAP101261119SC9"/>
        <s v="CEP101261023CAE"/>
        <s v="CJP321261116BXO"/>
        <s v="JOP340270225LJS"/>
        <s v="JOP631261030TWB"/>
        <s v="ABP203261101KEG"/>
        <s v="AVP2332611157C2"/>
        <s v="AVP2342612267C5"/>
        <s v="CBP104261109KEB"/>
        <s v="CNP134261018CZI"/>
        <s v="EWP144261025OZ1"/>
        <s v="JKP140261119TWO"/>
        <s v="JOP140261007LJA"/>
        <s v="JSP345261212TW5"/>
        <s v="CCP325261203KE7"/>
        <s v="CTP117261108SCT"/>
        <s v="AKP31026101900A"/>
        <s v="CMQ1902612167CA"/>
        <s v="AVP2212612307CB"/>
        <s v="AVP225261110BXH"/>
        <s v="ATP2042611157CB"/>
        <s v="AVP259270106TWZ"/>
        <s v="CJP104261022KEA"/>
        <s v="JOP140270115RFT"/>
        <s v="CDQ252261102KEQ"/>
        <s v="CYP1082702289H1"/>
        <s v="AVB533261117RFA"/>
        <s v="AAQ200261216TW6"/>
        <s v="ATQ2802702257C1"/>
        <s v="AVQ239270224TW1"/>
        <s v="CJQ100270126RS1"/>
        <s v="JOP1312610227CX"/>
        <s v="JSP148270108TWV"/>
        <s v="CJQ100270112RSU"/>
        <s v="ATP204270109OZY"/>
        <s v="CJP104261105RS1"/>
        <s v="JOP140261020LJA"/>
        <s v="APP210261112TWK"/>
        <s v="ATP214261211LJO"/>
        <s v="AKP93226103000A"/>
        <s v="APQ251270110PR7"/>
        <s v="APQ251270117PR7"/>
        <s v="AVQ229270126TWA"/>
        <s v="AVQ259261207LJD"/>
        <s v="CNQ053261017OZ1"/>
        <s v="CTQ130261114KEQ"/>
        <s v="AVQ229270213VNA"/>
        <s v="CWQ100261118KE1"/>
        <s v="AVP351261220ZEG"/>
        <s v="JOP146261224ZEZ"/>
        <s v="PAP101270228JQ3"/>
        <s v="AVP202261022OZA"/>
        <s v="AVP351261212ZEF"/>
        <s v="JKP130261114RF0"/>
        <s v="JKP140261125TW9"/>
        <s v="CJQ621261120ZET"/>
        <s v="AMP202261212MHA"/>
        <s v="HWP135270111OZ1"/>
        <s v="JTP140261109ZET"/>
        <s v="ATP504270214RFB"/>
        <s v="EWP141261029OZW"/>
        <s v="CJQ100261120ZE1"/>
        <s v="AVQ209270110WEX"/>
        <s v="AVQ2592702067CX"/>
        <s v="ACQ200270110ZEY"/>
        <s v="AVQ239261214TWX"/>
        <s v="CGP107261024LJ2"/>
        <s v="AKP31026102000A"/>
        <s v="CCP132261231OZ2"/>
        <s v="CXP122261101ZEG"/>
        <s v="JKP141261104TWY"/>
        <s v="ATP214261101LJO"/>
        <s v="CSP134261101KE9"/>
        <s v="CXP164261119KE1"/>
        <s v="EBP132270202KEB"/>
        <s v="EMP133270118TWL"/>
        <s v="ESP132261206OZ1"/>
        <s v="HHP101261025KEQ"/>
        <s v="JOP140261115TWU"/>
        <s v="JSP140261219TWN"/>
        <s v="AXW233270208MHB"/>
        <s v="ACG2222612097C0"/>
        <s v="ACG333261209BX0"/>
        <s v="EWQ111261120OZ5"/>
        <s v="CNP131261021OZU"/>
        <s v="JMP133261112ZEE"/>
        <s v="AVP303261130VJD"/>
        <s v="CCP104261027CZC"/>
        <s v="EWP137261223KEF"/>
        <s v="JAP240261011TWA"/>
        <s v="JKP334270121ZEG"/>
        <s v="JSP140261210YPA"/>
        <s v="AVB236261214KEE"/>
        <s v="ABP200261216KEB"/>
        <s v="AVP252270113LJC"/>
        <s v="AAP241261221OZA"/>
        <s v="APP232270113LJI"/>
        <s v="CGP1042611157C2"/>
        <s v="CJP104270220RS1"/>
        <s v="CJP104270227RS1"/>
        <s v="ATG235270120TWQ"/>
        <s v="AKP560261016000"/>
        <s v="AVB2522611119GI"/>
        <s v="JMB1382611307CC"/>
        <s v="AVP221261203TWC"/>
        <s v="AVP225261025RSH"/>
        <s v="CHP103261117TWA"/>
        <s v="PAP102261118OZ3"/>
        <s v="APP220261023KEZ"/>
        <s v="CJP104261114CZ1"/>
        <s v="CJP1152611043U1"/>
        <s v="AYP2942702147CT"/>
        <s v="CHP141261203KEC"/>
        <s v="CXP135261202ZEA"/>
        <s v="JSP140261216YPA"/>
        <s v="JSP143261216YPL"/>
        <s v="CJP107261015CZ1"/>
        <s v="ETP161261218TKC"/>
        <s v="JKP1302612177CD"/>
        <s v="JKP140261028TWN"/>
        <s v="JKP140261109TW7"/>
        <s v="JOP131261027TWD"/>
        <s v="JOP141261110TWH"/>
        <s v="AKP2112611147CS"/>
        <s v="AVP213270120OZB"/>
        <s v="JOP141261019TWG"/>
        <s v="JTP140261112TW6"/>
        <s v="JWP341261122LJL"/>
        <s v="AVP229261220ZE8"/>
        <s v="CCP132261113MUL"/>
        <s v="PAP221261109KEB"/>
        <s v="ATP204270206OZY"/>
        <s v="JAP240261027TWM"/>
        <s v="JKP140261030BXA"/>
        <s v="JKP1402702067CC"/>
        <s v="JSP140261026TWN"/>
        <s v="JSP141261014TWR"/>
        <s v="PAP102261126KE5"/>
        <s v="CHP131261019OZA"/>
        <s v="ADP285261107ZEA"/>
        <s v="ATP214270227LJY"/>
        <s v="AVP233261203WEA"/>
        <s v="JOP140261026TWU"/>
        <s v="CJP107261102OZ1"/>
        <s v="CJP107270109RS1"/>
        <s v="JOX710261024001"/>
        <s v="PGB225261102KE1"/>
        <s v="PGB225261102KE2"/>
        <s v="HHB102261216KE7"/>
        <s v="AKP922261016001"/>
        <s v="AVQ239270210TWA"/>
        <s v="CTQ110261126SCQ"/>
        <s v="JOQ940261204TWH"/>
        <s v="AVQ239261125KEA"/>
        <s v="AVQ2392612237CD"/>
        <s v="CHP109261218TWB"/>
        <s v="CJP105261201RS1"/>
        <s v="JOP185261129TWH"/>
        <s v="PAP101261112TW1"/>
        <s v="PAP102261012OZ3"/>
        <s v="JKP1402611257CA"/>
        <s v="AVP300261129VJJ"/>
        <s v="CJP621261027ZE3"/>
        <s v="AKP112261026KEG"/>
        <s v="ATP277261230TWA"/>
        <s v="AVP2262612037CJ"/>
        <s v="AVP2032702187CV"/>
        <s v="CXP135261107KEG"/>
        <s v="EWP136261103OZ1"/>
        <s v="JSP1402611017C1"/>
        <s v="JSP140270118TWN"/>
        <s v="JSP140270130TWN"/>
        <s v="ATP203261213KEB"/>
        <s v="JSP140261218TWN"/>
        <s v="ASP210261108SQV"/>
        <s v="AVP233270125KE1"/>
        <s v="AKP211261108KEB"/>
        <s v="APP222261113KED"/>
        <s v="AVP406261217VNO"/>
        <s v="EMP133270201TW7"/>
        <s v="EMP133270205KEB"/>
        <s v="JWP140261118TWL"/>
        <s v="ASP210270214SQ4"/>
        <s v="ATP204261119KE2"/>
        <s v="JSP140261204TWN"/>
        <s v="JOQ0402611227CX"/>
        <s v="JSQ040261112TWX"/>
        <s v="CWU140270227KE1"/>
        <s v="CJP1072610133U1"/>
        <s v="JNG1272612267CG"/>
        <s v="AVQ251261125RS2"/>
        <s v="AVQ251261125RS3"/>
        <s v="AVB222261214TWB"/>
        <s v="AVB253261218TWA"/>
        <s v="AVB533270107TWA"/>
        <s v="HHB102270111KE6"/>
        <s v="AVQ239270113KED"/>
        <s v="AVQ239270113TWA"/>
        <s v="AVP2052702197CM"/>
        <s v="AVP251261214TWD"/>
        <s v="JCP422261113N0S"/>
        <s v="ATP207261114LJT"/>
        <s v="AVP539261231TWB"/>
        <s v="JOP146261103RSY"/>
        <s v="JSP148261223TW8"/>
        <s v="JSP148261229TW8"/>
        <s v="JSP148261230TW8"/>
        <s v="JWP137261106ZEA"/>
        <s v="AVP231270125LJB"/>
        <s v="AVP221270108KEC"/>
        <s v="EEP163261106LO1"/>
        <s v="JKP140261023TWI"/>
        <s v="JSP148261018TWV"/>
        <s v="JWP148261027TW2"/>
        <s v="ATP214261112OZB"/>
        <s v="JNP1402612097CY"/>
        <s v="JOP130261119TWN"/>
        <s v="AVP207270108OZA"/>
        <s v="CHP131270121ZE7"/>
        <s v="JSP148261106TWL"/>
        <s v="JSP148261222TWL"/>
        <s v="PSP1352611127CC"/>
        <s v="AAP203261103TWS"/>
        <s v="ABP223270111OZD"/>
        <s v="APP2322611247CI"/>
        <s v="APP232270105LJI"/>
        <s v="JOP140270117TWK"/>
        <s v="JOP181270127OZB"/>
        <s v="JSP140261223YPA"/>
        <s v="JSP148261018TWL"/>
        <s v="JSP150261109WEL"/>
        <s v="CJQ100261111GJG"/>
        <s v="CWQ100261030OZX"/>
        <s v="ADW273261206KE2"/>
        <s v="CAG1202610257CA"/>
        <s v="AVQ251261211KE2"/>
        <s v="AVQ251261212BX2"/>
        <s v="AVQ251261212KE2"/>
        <s v="JKB631261106TWF"/>
        <s v="CXQ100261215KE1"/>
        <s v="AVQ209270121OZD"/>
        <s v="AVQ209261202OZD"/>
        <s v="APP216261208TWQ"/>
        <s v="APP216270101TWA"/>
        <s v="ATP2072701017C0"/>
        <s v="EWP171261210TWW"/>
        <s v="JNP1402610287CB"/>
        <s v="JOP141261016TWG"/>
        <s v="JOP141261106TWH"/>
        <s v="JOP141261124TWH"/>
        <s v="JSP1412701107CK"/>
        <s v="JSP1482611197CI"/>
        <s v="AVP232270107VNE"/>
        <s v="CAP101261205SCT"/>
        <s v="ESP162261129OZZ"/>
        <s v="JKP140261019ZE3"/>
        <s v="JOP141261123ZED"/>
        <s v="JSP148261231ZEV"/>
        <s v="ATP207261107LJQ"/>
        <s v="CJP117261109LJ1"/>
        <s v="JOP141261126BXF"/>
        <s v="AKP2012611067CG"/>
        <s v="JCP421261120D0D"/>
        <s v="JKP140261021RSF"/>
        <s v="JKP140261227RSN"/>
        <s v="JSP1482611137CI"/>
        <s v="JOP141261031TWH"/>
        <s v="JSP1482611027CI"/>
        <s v="APP2262612117CA"/>
        <s v="CAP101261101SC5"/>
        <s v="CAQ290261222AG1"/>
        <s v="ATP214261125LJS"/>
        <s v="ATP214261127LJO"/>
        <s v="AVP203261108WEA"/>
        <s v="AVP203261205OZA"/>
        <s v="AVP233270228KE1"/>
        <s v="CHP141261120YPB"/>
        <s v="JOP1402612217CK"/>
        <s v="CHP131261213YPA"/>
        <s v="CCP3322611137CN"/>
        <s v="ACP201261116LJ1"/>
        <s v="ATP014261107ZEB"/>
        <s v="AVP255261028TWB"/>
        <s v="ACP201261213KE1"/>
        <s v="ALP3112701037C1"/>
        <s v="CHP131270206CXA"/>
        <s v="HWP135261102KE1"/>
        <s v="JTP147261213KEN"/>
        <s v="PGP234270104KE3"/>
        <s v="EEP134270105OZE"/>
        <s v="JWQ04026121200Y"/>
        <s v="ABW221270111KE5"/>
        <s v="ADX72026100700E"/>
        <s v="AKP552261027000"/>
        <s v="AKP559261117000"/>
        <s v="AKP154261108KEU"/>
        <s v="JOP131261121TWD"/>
        <s v="JOP1312612027CS"/>
        <s v="PAP101270107OZ3"/>
        <s v="AVP231261021WEC"/>
        <s v="CHP101270110TWV"/>
        <s v="CJP117261226KE1"/>
        <s v="AVP231261122RSC"/>
        <s v="AVP239261130WEJ"/>
        <s v="AVP239261231WEJ"/>
        <s v="PGP235261014RS1"/>
        <s v="CJP104261126RS1"/>
        <s v="EEP133261103KEZ"/>
        <s v="JSP140261028ZEH"/>
        <s v="PGP135261120RS3"/>
        <s v="ACP2012612307C1"/>
        <s v="CCP104261025CZA"/>
        <s v="CCP104261114OZA"/>
        <s v="CCP104261125KEA"/>
        <s v="CCP104261126KEA"/>
        <s v="CGP1042611147C2"/>
        <s v="CGP104261118LJ2"/>
        <s v="EWP135261125KER"/>
        <s v="EWP137270108OZR"/>
        <s v="JAP240261017TW8"/>
        <s v="ESP131270121KEA"/>
        <s v="ETP131261219TKM"/>
        <s v="ADP284270205ZEA"/>
        <s v="AMP202270105MHA"/>
        <s v="AVP203261021KEB"/>
        <s v="AVP229270106TW2"/>
        <s v="APP232270123LJB"/>
        <s v="EMP113270108KEM"/>
        <s v="EMP113270108KEP"/>
        <s v="AKB2772612217CA"/>
        <s v="JOB331261104TWA"/>
        <s v="JKP433261030CRJ"/>
        <s v="JWQ040261202ZE2"/>
        <s v="JWQ040261202ZER"/>
        <s v="AVP225261031BXA"/>
        <s v="AVP231261217TWC"/>
        <s v="CAP101261103SC2"/>
        <s v="CJP1172611283U1"/>
        <s v="CJP1172612033U1"/>
        <s v="EEP163270121KE9"/>
        <s v="JKP1402610187CA"/>
        <s v="JKP140261115TWA"/>
        <s v="JOP1852610287CX"/>
        <s v="JSP548270109RFS"/>
        <s v="PAP101261031TW3"/>
        <s v="AKP211261019KES"/>
        <s v="ATP277261109TWB"/>
        <s v="AVP239261205TWD"/>
        <s v="AVP259261123LJZ"/>
        <s v="CGP104261114LJ2"/>
        <s v="ESP132270109TK1"/>
        <s v="AAP203270226TWA"/>
        <s v="ATP612261106TWB"/>
        <s v="AVP207261229WEA"/>
        <s v="CAP104261109KE5"/>
        <s v="CXP164261103KEA"/>
        <s v="EEP133261224OZN"/>
        <s v="EMP135261028EKT"/>
        <s v="EMP135261230EKA"/>
        <s v="JSP140270105TWN"/>
        <s v="APP2322611027CA"/>
        <s v="APP2322612147CA"/>
        <s v="AVP204261027WEA"/>
        <s v="ETX734261023001"/>
        <s v="AKP966261030006"/>
        <s v="APQ054270215PRA"/>
        <s v="AVQ2392701207CD"/>
        <s v="AVQ2592611207CG"/>
        <s v="AVP201261012WEW"/>
        <s v="PAP103261116KE2"/>
        <s v="JWP137261118ZE6"/>
        <s v="ATP204261105LJB"/>
        <s v="ATP204261113LJB"/>
        <s v="CHP171270205CXA"/>
        <s v="CJP107261213OZ1"/>
        <s v="AWP206270117KEC"/>
        <s v="AKP560261009000"/>
        <s v="ADB235261222KEA"/>
        <s v="JSB147261025LJT"/>
        <s v="AKP91126112000A"/>
        <s v="AKP91226110500A"/>
        <s v="JKP1302612187CD"/>
        <s v="JKP1402701067CA"/>
        <s v="AVP2502612219GM"/>
        <s v="ACP201261202ZE1"/>
        <s v="AVP227261028WEA"/>
        <s v="CGP104261031LJ2"/>
        <s v="ETP131261109KEA"/>
        <s v="AAP203261128KE3"/>
        <s v="CGP107261121LJ2"/>
        <s v="JWK254261117LJA"/>
        <s v="JOP131270116BXK"/>
        <s v="CAP101261108SC9"/>
        <s v="JCP410261012D0Q"/>
        <s v="JCP421261229L0J"/>
        <s v="JOP330270106LJL"/>
        <s v="JKQ351261120TWA"/>
        <s v="AVB252270114TWD"/>
        <s v="PGB341261112BX3"/>
        <s v="AKP606261024001"/>
        <s v="ATQ580261116RF1"/>
        <s v="CJQ321261208BXZ"/>
        <s v="AKQ500261023001"/>
        <s v="APQ320261109BXC"/>
        <s v="AVQ351261202ZED"/>
        <s v="ATP202261028LJA"/>
        <s v="ATP350261023BXA"/>
        <s v="AVP232261231WEC"/>
        <s v="CGP3232610077CG"/>
        <s v="HWP163261030YP5"/>
        <s v="JCP410261014D0Q"/>
        <s v="JCP421261020L0Y"/>
        <s v="JKP331261020TWL"/>
        <s v="JKP332261101BX5"/>
        <s v="JSP143270113ZEK"/>
        <s v="JWP341261026LJL"/>
        <s v="AVP322261101TWD"/>
        <s v="CJP321261018BX9"/>
        <s v="JKP332261019BXV"/>
        <s v="JOP3312610297CV"/>
        <s v="JOP331261031TW5"/>
        <s v="JSP3422701047CT"/>
        <s v="JSP342270124TW7"/>
        <s v="JTP342261125BXE"/>
        <s v="JWQ340270114ZEO"/>
        <s v="AVP323261212BXB"/>
        <s v="CSP134261226MUG"/>
        <s v="CXP324261203ZE2"/>
        <s v="JSP1402611137CS"/>
        <s v="ATP302270105KEA"/>
        <s v="AVP333261214KE5"/>
        <s v="JWU148261022KEK"/>
        <s v="CCC314270226MC6"/>
        <s v="AAP303270213BXA"/>
        <s v="CJP327261025BX4"/>
        <s v="AMX30026101800A"/>
        <s v="CHP341261224ZE5"/>
        <s v="JKP331261229TWL"/>
        <s v="JNP331261104BXC"/>
        <s v="JSP342261008LJA"/>
        <s v="JSP3422701087CT"/>
        <s v="JTP331261105LJJ"/>
        <s v="ATP302261210BXC"/>
        <s v="CHP345270207ZE6"/>
        <s v="CXP324261126ZE2"/>
        <s v="AVP301261127VJW"/>
        <s v="JCP410261007D0Q"/>
        <s v="JCP421261011N05"/>
        <s v="JOP331261113TWV"/>
        <s v="EWP141261110OZO"/>
        <s v="JKQ340270114LJE"/>
        <s v="ATP3202611027CQ"/>
        <s v="CCP387261110KE1"/>
        <s v="CJP321261111BXQ"/>
        <s v="CJP321261118BXZ"/>
        <s v="CXP321261203ZE1"/>
        <s v="EEP163261227OZK"/>
        <s v="JOP331261101TWT"/>
        <s v="JSP342261223TWT"/>
        <s v="AVP322270112LJD"/>
        <s v="JKP332261025BX5"/>
        <s v="JOP333261112TWV"/>
        <s v="AVP301261114VJW"/>
        <s v="AVP301261115VJW"/>
        <s v="CCP3322611137C2"/>
        <s v="CCP332261117KE1"/>
        <s v="JKP331261029BXG"/>
        <s v="JKP332261207LJX"/>
        <s v="JOP331261103BXF"/>
        <s v="AVP353270106ZEA"/>
        <s v="CGP3952610187CJ"/>
        <s v="JTP332261109BXF"/>
        <s v="EEP133261209KET"/>
        <s v="ETP131261116KEA"/>
        <s v="CJP3272611057CA"/>
        <s v="AVP351261206VJG"/>
        <s v="CJP321261029BXQ"/>
        <s v="CJP3212611127CZ"/>
        <s v="AVP333261111BX5"/>
        <s v="CGP3222611257CV"/>
        <s v="CJP324261101BX1"/>
        <s v="JSP345261215TW5"/>
        <s v="CJP3272611127CA"/>
        <s v="CAQ321261015BX8"/>
        <s v="AAP306261216BXD"/>
        <s v="AVP351261215ZEF"/>
        <s v="COP332261206BXA"/>
        <s v="JKP332261103BXV"/>
        <s v="JOP3312612207CM"/>
        <s v="JSP342261219TWT"/>
        <s v="ATP302261224ITB"/>
        <s v="AVP303261231VNB"/>
        <s v="AVP308261118VNE"/>
        <s v="CCP325261231KE7"/>
        <s v="JOQ940261030TWH"/>
        <s v="ATP910261116LJA"/>
        <s v="ATP910261221LJA"/>
        <s v="ASP910261106TWB"/>
        <s v="ATP902261029TWB"/>
        <s v="ATP902261219TWA"/>
        <s v="JSP342270220LJT"/>
        <s v="PAP101261206JQ1"/>
        <s v="CJP322261026BXE"/>
        <s v="JCP421261010L0J"/>
        <s v="JOP331261021TWN"/>
        <s v="JWP331261113LJV"/>
        <s v="ASP3112612167CX"/>
        <s v="AVP321270220LJA"/>
        <s v="JKP331270207BXL"/>
        <s v="JOP146261113TWH"/>
        <s v="JOP331261028BXO"/>
        <s v="JSP342270226ZE7"/>
        <s v="AVP353261101VJA"/>
        <s v="ACP364270205ZER"/>
        <s v="ATP3702701147C1"/>
        <s v="CAP327261105BX2"/>
        <s v="HHQ100270110KE1"/>
        <s v="ATP300261022CIB"/>
        <s v="AVP351261127ZEF"/>
        <s v="JKP331261109TW3"/>
        <s v="JKP332261206BXW"/>
        <s v="JOP341261203BXL"/>
        <s v="JSP342261016ZEA"/>
        <s v="JSP342261203TW7"/>
        <s v="ASP3102611197CZ"/>
        <s v="ATP322261118LJA"/>
        <s v="CCP327261224KE1"/>
        <s v="AVP322261028TWJ"/>
        <s v="AVP632261105TWD"/>
        <s v="AVP632270116TW1"/>
        <s v="CCP687261203MU1"/>
        <s v="CJP621261013ZE3"/>
        <s v="JKP331270218ZEV"/>
        <s v="JOP343261104TWB"/>
        <s v="JSP641270120TW7"/>
        <s v="APP3732611257CX"/>
        <s v="ATP610270109TWB"/>
        <s v="AVP321270104VJA"/>
        <s v="AVP332261227LJ1"/>
        <s v="AVP352270218ZEZ"/>
        <s v="AVP634261216TW1"/>
        <s v="CHP341261218TWA"/>
        <s v="EEP165261114OZI"/>
        <s v="JCP421261114D0Z"/>
        <s v="JCP422261114L0J"/>
        <s v="JKP631261027TWD"/>
        <s v="JKP631261104TWZ"/>
        <s v="JOP631261107TWZ"/>
        <s v="JOP631261218TW7"/>
        <s v="JOP633261103TWB"/>
        <s v="JOP633270206TWB"/>
        <s v="ATP612270104TWQ"/>
        <s v="CHP645261120UO3"/>
        <s v="AAP602261118TW1"/>
        <s v="ATP514261114ZEB"/>
        <s v="ATP612261128TWQ"/>
        <s v="EMP135261116QR0"/>
        <s v="AWP206261120KEC"/>
        <s v="ADP287261130ZEA"/>
        <s v="CCP325270113KE7"/>
        <s v="CJP627261113ZES"/>
        <s v="CJP627261116TWG"/>
        <s v="JKP631261123TWA"/>
        <s v="JNP341261101BXB"/>
        <s v="JOP641261118TWY"/>
        <s v="JTP641261112TWS"/>
        <s v="CCP332261123KEN"/>
        <s v="ETP131261114OZG"/>
        <s v="CCP627261203MU2"/>
        <s v="JOQ631261019TWQ"/>
        <s v="ASP3112612067CM"/>
        <s v="ATP320270102ZEP"/>
        <s v="ATP350270111BXB"/>
        <s v="ATP369261017ZE1"/>
        <s v="CJP621261108TW6"/>
        <s v="JCP421261009D0Z"/>
        <s v="JCP421261108N0T"/>
        <s v="JKP631261110TWD"/>
        <s v="JOP343261028TWB"/>
        <s v="JOP642270206TWL"/>
        <s v="JSP342261102LJP"/>
        <s v="JSP641270121TWF"/>
        <s v="PAP101261107JQ3"/>
        <s v="CAP624261115QWA"/>
        <s v="APP214261215TWP"/>
        <s v="JAP641261027TW6"/>
        <s v="JOP633270114TWB"/>
        <s v="PAP101261206OZ3"/>
        <s v="AMP202261121MHA"/>
        <s v="ASP210270220TWY"/>
        <s v="CJP624261027ZE2"/>
        <s v="AVQ631270115TWD"/>
        <s v="CBP107261014OZA"/>
        <s v="AVB225270117ZEH"/>
        <s v="AVQ331270205KE1"/>
        <s v="CJP621261020ZE3"/>
        <s v="JKP332261020BXV"/>
        <s v="JSP3422701147CT"/>
        <s v="JWP341261204LJW"/>
        <s v="JKP342261213LJE"/>
        <s v="JOP3312611117CM"/>
        <s v="AVP325261229VNB"/>
        <s v="CJP624261110ZE2"/>
        <s v="CEP104261105OZC"/>
        <s v="CGP3222610247CV"/>
        <s v="ESP132270220TKA"/>
        <s v="JHC010261101ODZ"/>
        <s v="CJP627261020ZE3"/>
        <s v="ASP3112612057CX"/>
        <s v="AVP632261021TWD"/>
        <s v="CAP623261028QW1"/>
        <s v="JCP421261101D0J"/>
        <s v="JKP631261128TWZ"/>
        <s v="JSP641270114TWX"/>
        <s v="JSP641270116TW5"/>
        <s v="AVP632261230TW1"/>
        <s v="JKP631261113TWZ"/>
        <s v="JKP631261124TWD"/>
        <s v="ADP313261214BXX"/>
        <s v="EWP131261027TWR"/>
        <s v="EWP132261104KEM"/>
        <s v="CWP104261127OZ4"/>
        <s v="ALG3012701207CM"/>
        <s v="AKQ2222611277C1"/>
        <s v="AKQ2222611277C2"/>
        <s v="AVQ351270207ZEH"/>
        <s v="AVP229261117KE8"/>
        <s v="AVP308261119VJM"/>
        <s v="CCP687261027MU1"/>
        <s v="CGP105261118LJ1"/>
        <s v="CHP363261109TWA"/>
        <s v="CVP622261021TW8"/>
        <s v="CVP622261104TW1"/>
        <s v="JAP641261030TWG"/>
        <s v="JKP331270221TW5"/>
        <s v="JOP643261116TWY"/>
        <s v="JSP342261201ZE7"/>
        <s v="JSP641270219TWX"/>
        <s v="JTP331261113LJR"/>
        <s v="JTP641261030TWR"/>
        <s v="AVP322261115TWD"/>
        <s v="JKP631261104TWA"/>
        <s v="JOP631261215TWB"/>
        <s v="JOP642261115TWY"/>
        <s v="JTP648261108TWS"/>
        <s v="AAP602261118TWB"/>
        <s v="APP321270211LJG"/>
        <s v="ASP3102611037CV"/>
        <s v="ASP3102611107CV"/>
        <s v="ATP322261015ZE2"/>
        <s v="AVP625261231TWB"/>
        <s v="CGP6262611017CB"/>
        <s v="CJP1042611273U1"/>
        <s v="CJP104261204OZ1"/>
        <s v="CJP624261103ZE2"/>
        <s v="EEP135261107KEB"/>
        <s v="ADP304261113BX3"/>
        <s v="ATP612261125TWB"/>
        <s v="AVP639261112TWK"/>
        <s v="APP324270108LJA"/>
        <s v="CJP627261021TWS"/>
        <s v="AVQ351270106ZEA"/>
        <s v="CJP321261031BXO"/>
        <s v="CJP321261118BXN"/>
        <s v="JCP421261028L0A"/>
        <s v="JKP331261105TW5"/>
        <s v="JKP331270106BXG"/>
        <s v="JOP330261012ZEL"/>
        <s v="AAP302261128BXB"/>
        <s v="ATP302261017KEB"/>
        <s v="EEP133261227KET"/>
        <s v="AVB2342611017C4"/>
        <s v="AVQ331270110BXH"/>
        <s v="AVP321261025TWB"/>
        <s v="AVP322270115BXE"/>
        <s v="AVP621261206TW2"/>
        <s v="AAP302261014LJB"/>
        <s v="AVP307261027VNC"/>
        <s v="AVP532261120RFC"/>
        <s v="AVP532270123RFD"/>
        <s v="ADP285261125ZEH"/>
        <s v="CJP104261111GJG"/>
        <s v="ETP131270212TKM"/>
        <s v="JMB1382611037CR"/>
        <s v="AVP231261117WEA"/>
        <s v="JKP140270114TWA"/>
        <s v="JKP148261212TWN"/>
        <s v="JOP185270106TWQ"/>
        <s v="JSP148261102TWV"/>
        <s v="JOP141261028TWH"/>
        <s v="JWP1472612257CN"/>
        <s v="AAP267270114TWB"/>
        <s v="CJP108261109RF1"/>
        <s v="JKP130270206TWZ"/>
        <s v="JWP547270118RFZ"/>
        <s v="AVP259261210LJW"/>
        <s v="CCP132261028CZL"/>
        <s v="CXP122261225KE1"/>
        <s v="ASP210270215KEV"/>
        <s v="ATP214261029LJS"/>
        <s v="AVP2032701107CV"/>
        <s v="CCP104261106CZA"/>
        <s v="CCP3572612297CB"/>
        <s v="COP115261116KE5"/>
        <s v="ESP132261115KEA"/>
        <s v="HHP101261118KEP"/>
        <s v="JSP540261016RFS"/>
        <s v="AKP211261103OZC"/>
        <s v="ESP132270209KEA"/>
        <s v="AVP203270206VNV"/>
        <s v="CCP104261102OZC"/>
        <s v="CJP104261028ZE1"/>
        <s v="CXP125270103ZEG"/>
        <s v="JSP540261105RFS"/>
        <s v="JWP141270221ZER"/>
        <s v="CGQ1002610247C2"/>
        <s v="AAP205270101OZB"/>
        <s v="CJP627261009ZES"/>
        <s v="CJP107261124ZE1"/>
        <s v="AKG936261026002"/>
        <s v="AVG231270121KEW"/>
        <s v="AVG231270123KET"/>
        <s v="JSB147270218ZE6"/>
        <s v="AKP33226110300A"/>
        <s v="APQ211270113TWR"/>
        <s v="CFQ154261026HY1"/>
        <s v="APP2332612197CJ"/>
        <s v="AVP232261222LJE"/>
        <s v="AVP532261101RFD"/>
        <s v="EWP171261101TW1"/>
        <s v="JOP141261020ZEA"/>
        <s v="JOP641261106TWY"/>
        <s v="PAP108270103KE3"/>
        <s v="APP2202611307CA"/>
        <s v="ASP211270114OZC"/>
        <s v="JOP141261120ZEA"/>
        <s v="JSP148261017RFE"/>
        <s v="ATP000261106TW1"/>
        <s v="JOP1312610117C3"/>
        <s v="AVP253261219ZEC"/>
        <s v="CJP104261122ZES"/>
        <s v="JOP140261215TWR"/>
        <s v="JSP345270209TWC"/>
        <s v="ATP503261229RFB"/>
        <s v="CCP104261106KEC"/>
        <s v="CJP104261014GJG"/>
        <s v="CKP104261102CAA"/>
        <s v="EEP133261117KEM"/>
        <s v="ETP131261019TKG"/>
        <s v="EEQ111261207KEW"/>
        <s v="ESQ111261220OZW"/>
        <s v="EWX75226100800U"/>
        <s v="JOP141261120TWQ"/>
        <s v="ATP504261029RFB"/>
        <s v="ATP504261031RFB"/>
        <s v="JSP540270113RFS"/>
        <s v="JWG140261224OZA"/>
        <s v="JNG101261213OZD"/>
        <s v="AVB536261212RFC"/>
        <s v="AVB252261225ZED"/>
        <s v="JKQ100261216LJJ"/>
        <s v="CHQ191261123KEA"/>
        <s v="AVP532270104RFC"/>
        <s v="AVP532270107TWF"/>
        <s v="AVP532270218TWE"/>
        <s v="CAP501270101QWT"/>
        <s v="CHP103261207TWA"/>
        <s v="JKP130261125RF0"/>
        <s v="JKP140261123TW9"/>
        <s v="JKP140270114TWC"/>
        <s v="JOP141261226TW7"/>
        <s v="JOP141270107TW8"/>
        <s v="JOP141270119TWM"/>
        <s v="JSP548261116RF4"/>
        <s v="JSP548261205RFT"/>
        <s v="JSP548261211RFS"/>
        <s v="JSP548261212RFT"/>
        <s v="APP210270109TW0"/>
        <s v="JOP141261105TWX"/>
        <s v="CJP109261118ZEG"/>
        <s v="PNP101261117KE1"/>
        <s v="ATP514270103RFB"/>
        <s v="AVP2502612109GM"/>
        <s v="CCP504270205ZEA"/>
        <s v="CGP104261024LJB"/>
        <s v="CXP525270218ZE5"/>
        <s v="ESP131270101TWI"/>
        <s v="JAP240261023TW8"/>
        <s v="JOP130261120RFT"/>
        <s v="JOP130261201RFT"/>
        <s v="AAP203270206LJA"/>
        <s v="AMP202270107MHA"/>
        <s v="ATP514261104ZEB"/>
        <s v="CJP104261104ZEG"/>
        <s v="FCP131261114EKN"/>
        <s v="AVP523270119RFC"/>
        <s v="AVQ539261211RFZ"/>
        <s v="ATQ280261103CIY"/>
        <s v="APP232270115LJA"/>
        <s v="CJP107261122ZE1"/>
        <s v="CXP537270107ZE5"/>
        <s v="AVP236261128KE2"/>
        <s v="CVP621261024TWN"/>
        <s v="ESP132261118OZA"/>
        <s v="JKP140261220BX1"/>
        <s v="CBQ100261203OZA"/>
        <s v="AVQ229270106TW5"/>
        <s v="ADP285270127ZEH"/>
        <s v="ASP212270216SQV"/>
        <s v="AVP203261231WEV"/>
        <s v="AVP325261229BXB"/>
        <s v="ASQ301270221SQU"/>
        <s v="ATP300261223CIA"/>
        <s v="AVP201261108WEZ"/>
        <s v="AVP331261228LJA"/>
        <s v="CHP101261130ZE9"/>
        <s v="CHP101261227TWV"/>
        <s v="CJP621261115GJS"/>
        <s v="CXP122261111ZEW"/>
        <s v="ETP161261118KED"/>
        <s v="ETP161261123TKC"/>
        <s v="AVP352270112ZEZ"/>
        <s v="ACP362270111ZEC"/>
        <s v="CJP321261117BXQ"/>
        <s v="JCP421261026D0J"/>
        <s v="AVP201261206KEM"/>
        <s v="AVP232261130WEC"/>
        <s v="ALP203270218TWL"/>
        <s v="AVP2212610167CQ"/>
        <s v="AAP203270217TWA"/>
        <s v="ACP364270128ZER"/>
        <s v="AVP233270205WEC"/>
        <s v="ESP131270115TWA"/>
        <s v="AVQ239261201TWZ"/>
        <s v="AYP211270223LJG"/>
        <s v="CJP327261029BXA"/>
        <s v="JOB149261120TWT"/>
        <s v="AVP333270125KE5"/>
        <s v="JOB341261212BXA"/>
        <s v="PAP127261030KE5"/>
        <s v="AAP203270122OZA"/>
        <s v="ATP214261106LJB"/>
        <s v="AVP233261109TWA"/>
        <s v="AVP254261103LJB"/>
        <s v="CHP131261107TWF"/>
        <s v="CJP324261114BX1"/>
        <s v="ESP132261207KE1"/>
        <s v="AAP203261219ZEA"/>
        <s v="JOP140270218TWK"/>
        <s v="CJP107261110RS1"/>
        <m/>
      </sharedItems>
    </cacheField>
    <cacheField name="매출" numFmtId="176">
      <sharedItems containsMixedTypes="1" containsNumber="1" containsInteger="1" minValue="0" maxValue="5367928925"/>
    </cacheField>
    <cacheField name="우리끼리" numFmtId="0">
      <sharedItems containsString="0" containsBlank="1" containsNumber="1" containsInteger="1" minValue="13860000" maxValue="15036000"/>
    </cacheField>
    <cacheField name="세이브,스탠다드" numFmtId="0">
      <sharedItems containsString="0" containsBlank="1" containsNumber="1" containsInteger="1" minValue="1608600" maxValue="49170000"/>
    </cacheField>
    <cacheField name="제우스" numFmtId="0">
      <sharedItems containsNonDate="0" containsString="0" containsBlank="1"/>
    </cacheField>
    <cacheField name="보정매출" numFmtId="3">
      <sharedItems containsMixedTypes="1" containsNumber="1" containsInteger="1" minValue="0" maxValue="6133541390"/>
    </cacheField>
    <cacheField name="휴일예약" numFmtId="0">
      <sharedItems containsString="0" containsBlank="1" containsNumber="1" containsInteger="1" minValue="281850" maxValue="57145500"/>
    </cacheField>
    <cacheField name="주중예약" numFmtId="0">
      <sharedItems containsString="0" containsBlank="1" containsNumber="1" containsInteger="1" minValue="0" maxValue="49170000"/>
    </cacheField>
    <cacheField name="총보정매출" numFmtId="0">
      <sharedItems containsString="0" containsBlank="1" containsNumber="1" containsInteger="1" minValue="0" maxValue="57145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09.73117997685" createdVersion="8" refreshedVersion="8" minRefreshableVersion="3" recordCount="335" xr:uid="{BA08E434-7287-4CA0-AD7E-69EB93E92996}">
  <cacheSource type="worksheet">
    <worksheetSource ref="A2:G130" sheet="실매출"/>
  </cacheSource>
  <cacheFields count="8">
    <cacheField name="번호" numFmtId="0">
      <sharedItems containsSemiMixedTypes="0" containsString="0" containsNumber="1" containsInteger="1" minValue="1" maxValue="335"/>
    </cacheField>
    <cacheField name="본부" numFmtId="3">
      <sharedItems count="2">
        <s v="영업본부"/>
        <s v="지방사업본부"/>
      </sharedItems>
    </cacheField>
    <cacheField name="영업실" numFmtId="3">
      <sharedItems count="4">
        <s v="영업1실"/>
        <s v="영업2실"/>
        <s v="지방영업1실"/>
        <s v="지방영업2실"/>
      </sharedItems>
    </cacheField>
    <cacheField name="영업팀" numFmtId="3">
      <sharedItems count="17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</sharedItems>
    </cacheField>
    <cacheField name="담당세일즈" numFmtId="3">
      <sharedItems count="55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임창수"/>
        <s v="김소윤B"/>
        <s v="유지호C"/>
        <s v="김선우"/>
        <s v="김성원"/>
        <s v="백지영"/>
        <s v="권오윤"/>
        <s v="이준현"/>
        <s v="김성수D"/>
        <s v="김홍식"/>
        <s v="최은명"/>
        <s v="강준구"/>
        <s v="권준성"/>
        <s v="김우진B"/>
        <s v="김지민C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김효진D"/>
        <s v="안기범"/>
        <s v="이정열"/>
        <s v="최경득"/>
        <s v="김민우C"/>
        <s v="양건모"/>
        <s v="이승학"/>
        <s v="배창선"/>
        <s v="윤성범"/>
        <s v="김승원B"/>
        <s v="노형진"/>
        <s v="정지민C"/>
        <s v="김현민C"/>
        <s v="이미소D"/>
        <s v="김대운B"/>
        <s v="최관종B"/>
        <s v="윤준곤"/>
        <s v="최성주B"/>
        <s v="홍제선"/>
      </sharedItems>
    </cacheField>
    <cacheField name="대리점코드" numFmtId="3">
      <sharedItems count="128">
        <s v="A9F92"/>
        <s v="A9LNN"/>
        <s v="A9KFW"/>
        <s v="A9B36"/>
        <s v="A9LDT"/>
        <s v="A9LUB"/>
        <s v="A9M3P"/>
        <s v="A9L6R"/>
        <s v="PH06648"/>
        <s v="A9I5P"/>
        <s v="A9LRG"/>
        <s v="PH05738"/>
        <s v="A9HJ5"/>
        <s v="A9LKH"/>
        <s v="PH03861"/>
        <s v="A9ALY"/>
        <s v="A9HAR"/>
        <s v="A9JKZ"/>
        <s v="A9MQW"/>
        <s v="PH03846"/>
        <s v="A9GDN"/>
        <s v="A9GKT"/>
        <s v="PH00277"/>
        <s v="A9H58"/>
        <s v="A9LUM"/>
        <s v="A9MR2"/>
        <s v="A9JSF"/>
        <s v="A9JYB"/>
        <s v="A9LYT"/>
        <s v="A9M7W"/>
        <s v="A9ESY"/>
        <s v="PH03749"/>
        <s v="A9D5G"/>
        <s v="A9N5O"/>
        <s v="A9IVD"/>
        <s v="PH02793"/>
        <s v="PH03809"/>
        <s v="A9KFO"/>
        <s v="A9HS8"/>
        <s v="A9MTM"/>
        <s v="A9JP4"/>
        <s v="A9G5M"/>
        <s v="A9H68"/>
        <s v="A9HSC"/>
        <s v="A3197"/>
        <s v="A3473"/>
        <s v="A9HKT"/>
        <s v="A9AKO"/>
        <s v="A9D5Q"/>
        <s v="A9LSH"/>
        <s v="PH08198"/>
        <s v="PH04924"/>
        <s v="A9NMI"/>
        <s v="A9F9O"/>
        <s v="A9JTS"/>
        <s v="A9NPJ"/>
        <s v="PH08246"/>
        <s v="A9KRA"/>
        <s v="PH07497"/>
        <s v="A3164"/>
        <s v="PH01378"/>
        <s v="PH04582"/>
        <s v="PH05631"/>
        <s v="PH07659"/>
        <s v="A9251"/>
        <s v="PH04817"/>
        <s v="PH07268"/>
        <s v="A9A6A"/>
        <s v="PH05074"/>
        <s v="A7153"/>
        <s v="A9LN2"/>
        <s v="A9IWT"/>
        <s v="A8710"/>
        <s v="PH03840"/>
        <s v="A0667"/>
        <s v="A9M2G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PH06540"/>
        <s v="PH08592"/>
        <s v="PH07401"/>
        <s v="A9HAH"/>
        <s v="A9LUJ"/>
        <s v="A6064"/>
        <s v="A9KRY"/>
        <s v="A9JVF"/>
        <s v="PH05501"/>
        <s v="A9I58"/>
        <s v="PH06548"/>
        <s v="A9DBN"/>
        <s v="A1845"/>
        <s v="A7333"/>
        <s v="PH07123"/>
        <s v="A9GBA"/>
        <s v="A2816"/>
        <s v="A9AQ8"/>
        <s v="PH02519"/>
        <s v="PH05795"/>
        <s v="A9MBN"/>
        <s v="A9KXZ"/>
        <s v="PH06731"/>
        <s v="A9GHQ"/>
        <s v="A9D60"/>
        <s v="A9KZI"/>
        <s v="PH00686"/>
        <s v="PH05389"/>
        <s v="PH02870"/>
        <s v="A5561"/>
        <s v="A9J50"/>
        <s v="A9KV4"/>
        <s v="A9M27"/>
        <s v="PH02764"/>
        <s v="PH02915"/>
        <s v="A9EAT"/>
        <s v="A9MPP"/>
      </sharedItems>
    </cacheField>
    <cacheField name="대리점한글명" numFmtId="3">
      <sharedItems count="128">
        <s v="오리엔탈[이마트 명일점]"/>
        <s v="주식회사 퍼즐여행[롯데몰 은평점]"/>
        <s v="케이에이피투어[이마트 의정부점]"/>
        <s v="여행세상[NC 일산점]"/>
        <s v="(주)하나월드[이마트 은평점]"/>
        <s v="더베이스투어[롯데마트 고양점]"/>
        <s v="마이핏투어[NC 불광점]"/>
        <s v="(주)하나여행[하나로마트 고양점]"/>
        <s v="(주)삼송나비투어[하나로마트 삼송점]"/>
        <s v="하나더투어[이마트 수색점]"/>
        <s v="에어비즈투어[스타필드마켓 일산점]"/>
        <s v="하나트립[이마트 청계천점]"/>
        <s v="여행이야기[롯데백화점 건대스타시티점]"/>
        <s v="온투어세상"/>
        <s v="한그린[세이브존 노원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나여행사[스타필드빌리지 운정]"/>
        <s v="(주) 월투어[이마트 풍산점]"/>
        <s v="굿타임여행사[에브리데이 탄현역점]"/>
        <s v="뉴스트래블[롯데마트 주엽점]"/>
        <s v="수여행사[롯데백화점 일산점]"/>
        <s v="씨엘투어[이마트 화정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샤인투어(주)[이마트 춘천점]"/>
        <s v="아타여행사"/>
        <s v="브리즈투어[롯데슈퍼 춘천점]"/>
        <s v="레미투어[이마트 제천점]"/>
        <s v="하나트래블[롯데마트 원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제이여행사[이마트 안양점]"/>
        <s v="굿모닝하나여행[이마트 평촌점]"/>
        <s v="초록여행사[이마트 산본점]"/>
        <s v="리앤최투어[이마트 성남점]"/>
        <s v="온드림 여행사[하나로마트 성남점]"/>
        <s v="여행가는길[이마트 분당점]"/>
        <s v="캐슬투어[롯데마트 맥스금천점]"/>
        <s v="하늘여행사[이마트 안성점]"/>
        <s v="허니문클럽[이마트 평택점]"/>
        <s v="아름여행사[이마트 화성봉담점]"/>
        <s v="티엘투어(주)[AK평택점]"/>
        <s v="예스여행[이마트 흥덕점]"/>
        <s v="오션디티[스타필드마켓 동탄점]"/>
        <s v="하나관광여행사[이마트 오산점]"/>
        <s v="티엘투어(주)[트레이더스 동탄점]"/>
        <s v="올데이트래블[롯데백화점 수원점]"/>
        <s v="정투어[롯데마트 권선점]"/>
        <s v="(주)월드투어넷[롯데백화점 안산점]"/>
        <s v="행복한여행자클럽[스타필드마켓 죽전점]"/>
        <s v="더존투어[이마트 용인점]"/>
        <s v="(주) 핑투어[이마트 수지점]"/>
        <s v="하나여행사[롯데몰 수지점]"/>
        <s v="여행플래너[이마트 중동점]"/>
        <s v="퍼시픽스타투어[롯데백화점 중동점]"/>
        <s v="세계로투어"/>
        <s v="정투어[이마트 검단점]"/>
        <s v="가자여행사[뉴코아 인천점]"/>
        <s v="래빗투어[이마트 계양점]"/>
        <s v="초원여행"/>
        <s v="올인원트레이닝[롯데마트 청라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영차투어[이마트 성서점]"/>
        <s v="(주)감승투어[롯데마트 구미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이좋은여행사[이마트 마산점]"/>
        <s v="브이아이피여행사[이마트 진주점]"/>
        <s v="투어플러스주식회사[롯데마트 노은점]"/>
        <s v="라이언여행사(주) 연무대지점"/>
        <s v="안나여행사[GS 대전도마점]"/>
        <s v="알프스투어&amp;골프"/>
        <s v="세기항공여행사[NC유성점]"/>
        <s v="스마트투어[이마트 대전터미널점]"/>
        <s v="(주)여행의 온도"/>
        <s v="하나멤버스[신세계 충청점]"/>
        <s v="세계관광여행사[갤러리아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여행일기[롯데마트 군산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</sharedItems>
    </cacheField>
    <cacheField name="매출" numFmtId="3">
      <sharedItems containsSemiMixedTypes="0" containsString="0" containsNumber="1" containsInteger="1" minValue="0" maxValue="1195388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64"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s v="HP2636923298"/>
    <x v="0"/>
    <n v="3"/>
  </r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s v="HP2636923298"/>
    <x v="1"/>
    <n v="28848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s v="HP2636932422"/>
    <x v="0"/>
    <n v="2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s v="HP2636932422"/>
    <x v="1"/>
    <n v="23360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s v="HP2636938826"/>
    <x v="0"/>
    <n v="4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s v="HP2636938826"/>
    <x v="1"/>
    <n v="4031600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s v="HP2636954342"/>
    <x v="0"/>
    <n v="1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s v="HP2636954342"/>
    <x v="1"/>
    <n v="70500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s v="HP2636953538"/>
    <x v="0"/>
    <n v="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s v="HP2636953538"/>
    <x v="1"/>
    <n v="705000"/>
  </r>
  <r>
    <x v="0"/>
    <x v="0"/>
    <x v="0"/>
    <x v="0"/>
    <x v="0"/>
    <x v="0"/>
    <x v="1"/>
    <s v="N"/>
    <s v="N"/>
    <x v="1"/>
    <x v="0"/>
    <x v="0"/>
    <x v="0"/>
    <m/>
    <m/>
    <s v="대리점"/>
    <x v="0"/>
    <x v="3"/>
    <x v="0"/>
    <x v="4"/>
    <s v="HP2636952860"/>
    <x v="0"/>
    <n v="2"/>
  </r>
  <r>
    <x v="0"/>
    <x v="0"/>
    <x v="0"/>
    <x v="0"/>
    <x v="0"/>
    <x v="0"/>
    <x v="1"/>
    <s v="N"/>
    <s v="N"/>
    <x v="1"/>
    <x v="0"/>
    <x v="0"/>
    <x v="0"/>
    <m/>
    <m/>
    <s v="대리점"/>
    <x v="0"/>
    <x v="3"/>
    <x v="0"/>
    <x v="4"/>
    <s v="HP2636952860"/>
    <x v="1"/>
    <n v="2840200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s v="HP2636956178"/>
    <x v="0"/>
    <n v="3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s v="HP2636956178"/>
    <x v="1"/>
    <n v="23397000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s v="HP2636963798"/>
    <x v="0"/>
    <n v="2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s v="HP2636963798"/>
    <x v="1"/>
    <n v="2455800"/>
  </r>
  <r>
    <x v="0"/>
    <x v="0"/>
    <x v="0"/>
    <x v="0"/>
    <x v="0"/>
    <x v="0"/>
    <x v="2"/>
    <s v="Y"/>
    <s v="Y"/>
    <x v="1"/>
    <x v="0"/>
    <x v="0"/>
    <x v="0"/>
    <m/>
    <m/>
    <s v="범용/상용닷컴"/>
    <x v="1"/>
    <x v="2"/>
    <x v="0"/>
    <x v="6"/>
    <s v="HP2636963798"/>
    <x v="0"/>
    <n v="1"/>
  </r>
  <r>
    <x v="0"/>
    <x v="0"/>
    <x v="0"/>
    <x v="0"/>
    <x v="0"/>
    <x v="0"/>
    <x v="2"/>
    <s v="Y"/>
    <s v="Y"/>
    <x v="1"/>
    <x v="0"/>
    <x v="0"/>
    <x v="0"/>
    <m/>
    <m/>
    <s v="범용/상용닷컴"/>
    <x v="1"/>
    <x v="2"/>
    <x v="0"/>
    <x v="6"/>
    <s v="HP2636963798"/>
    <x v="1"/>
    <n v="1227900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s v="HP2636990980"/>
    <x v="0"/>
    <n v="4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s v="HP2636990980"/>
    <x v="1"/>
    <n v="37676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s v="HP2637015506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s v="HP2637015506"/>
    <x v="1"/>
    <n v="9310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s v="HP2637004732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s v="HP2637004732"/>
    <x v="1"/>
    <n v="91404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s v="HP2637009660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s v="HP2637009660"/>
    <x v="1"/>
    <n v="1049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s v="HP2637014502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s v="HP2637014502"/>
    <x v="1"/>
    <n v="29380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2"/>
    <s v="HP2637014042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2"/>
    <s v="HP2637014042"/>
    <x v="1"/>
    <n v="24998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3"/>
    <s v="HP2637004134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3"/>
    <s v="HP2637004134"/>
    <x v="1"/>
    <n v="8110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2"/>
    <s v="HP2637013532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2"/>
    <s v="HP2637013532"/>
    <x v="1"/>
    <n v="24998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4"/>
    <s v="HP2637005664"/>
    <x v="0"/>
    <n v="3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4"/>
    <s v="HP2637005664"/>
    <x v="1"/>
    <n v="3054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s v="HP2637009742"/>
    <x v="0"/>
    <n v="4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s v="HP2637009742"/>
    <x v="1"/>
    <n v="203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s v="HP2637009888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s v="HP2637009888"/>
    <x v="1"/>
    <n v="84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s v="HP2637009742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s v="HP2637009742"/>
    <x v="1"/>
    <n v="5099000"/>
  </r>
  <r>
    <x v="0"/>
    <x v="0"/>
    <x v="0"/>
    <x v="0"/>
    <x v="0"/>
    <x v="0"/>
    <x v="5"/>
    <s v="N"/>
    <s v="N"/>
    <x v="0"/>
    <x v="0"/>
    <x v="0"/>
    <x v="0"/>
    <m/>
    <m/>
    <s v="대리점"/>
    <x v="0"/>
    <x v="2"/>
    <x v="0"/>
    <x v="17"/>
    <s v="HP2636711486"/>
    <x v="0"/>
    <n v="1"/>
  </r>
  <r>
    <x v="0"/>
    <x v="0"/>
    <x v="0"/>
    <x v="0"/>
    <x v="0"/>
    <x v="0"/>
    <x v="5"/>
    <s v="N"/>
    <s v="N"/>
    <x v="0"/>
    <x v="0"/>
    <x v="0"/>
    <x v="0"/>
    <m/>
    <m/>
    <s v="대리점"/>
    <x v="0"/>
    <x v="2"/>
    <x v="0"/>
    <x v="17"/>
    <s v="HP2636711486"/>
    <x v="1"/>
    <n v="1529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8"/>
    <s v="HP263702473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8"/>
    <s v="HP2637024732"/>
    <x v="1"/>
    <n v="4556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s v="HP263703309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s v="HP2637033092"/>
    <x v="1"/>
    <n v="5596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7"/>
    <x v="0"/>
    <x v="20"/>
    <s v="HP2637035742"/>
    <x v="0"/>
    <n v="3"/>
  </r>
  <r>
    <x v="0"/>
    <x v="0"/>
    <x v="0"/>
    <x v="0"/>
    <x v="0"/>
    <x v="0"/>
    <x v="5"/>
    <s v="N"/>
    <s v="N"/>
    <x v="1"/>
    <x v="0"/>
    <x v="0"/>
    <x v="0"/>
    <m/>
    <m/>
    <s v="대리점"/>
    <x v="0"/>
    <x v="7"/>
    <x v="0"/>
    <x v="20"/>
    <s v="HP2637035742"/>
    <x v="1"/>
    <n v="155898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0"/>
    <x v="21"/>
    <s v="HP2637034772"/>
    <x v="0"/>
    <n v="2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0"/>
    <x v="21"/>
    <s v="HP2637034772"/>
    <x v="1"/>
    <n v="17598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s v="HP2637025248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s v="HP2637025248"/>
    <x v="1"/>
    <n v="7710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s v="HP2637037718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s v="HP2637037718"/>
    <x v="1"/>
    <n v="7910000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s v="HP2637062758"/>
    <x v="0"/>
    <n v="4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s v="HP2637062758"/>
    <x v="1"/>
    <n v="3120000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s v="HP2637053508"/>
    <x v="0"/>
    <n v="2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s v="HP2637053508"/>
    <x v="1"/>
    <n v="37580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0"/>
    <x v="26"/>
    <s v="HP2637057416"/>
    <x v="0"/>
    <n v="2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0"/>
    <x v="26"/>
    <s v="HP2637057416"/>
    <x v="1"/>
    <n v="129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7"/>
    <s v="HP2637055640"/>
    <x v="0"/>
    <n v="2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7"/>
    <s v="HP2637055640"/>
    <x v="1"/>
    <n v="197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s v="HP2637061752"/>
    <x v="0"/>
    <n v="3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s v="HP2637061752"/>
    <x v="1"/>
    <n v="41970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s v="HP2637069404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s v="HP2637069404"/>
    <x v="1"/>
    <n v="19998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s v="HP2637077396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s v="HP2637077396"/>
    <x v="1"/>
    <n v="1453800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s v="HP2637071738"/>
    <x v="0"/>
    <n v="2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s v="HP2637071738"/>
    <x v="1"/>
    <n v="3198000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1"/>
    <x v="0"/>
    <x v="32"/>
    <s v="HP2637089072"/>
    <x v="0"/>
    <n v="6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1"/>
    <x v="0"/>
    <x v="32"/>
    <s v="HP2637089072"/>
    <x v="1"/>
    <n v="2844000"/>
  </r>
  <r>
    <x v="0"/>
    <x v="0"/>
    <x v="0"/>
    <x v="0"/>
    <x v="0"/>
    <x v="0"/>
    <x v="8"/>
    <s v="Y"/>
    <s v="N"/>
    <x v="0"/>
    <x v="0"/>
    <x v="0"/>
    <x v="0"/>
    <s v="성인"/>
    <s v="성인"/>
    <s v="범용/상용닷컴"/>
    <x v="1"/>
    <x v="2"/>
    <x v="0"/>
    <x v="33"/>
    <s v="HB2637091728"/>
    <x v="0"/>
    <n v="2"/>
  </r>
  <r>
    <x v="0"/>
    <x v="0"/>
    <x v="0"/>
    <x v="0"/>
    <x v="0"/>
    <x v="0"/>
    <x v="8"/>
    <s v="Y"/>
    <s v="N"/>
    <x v="0"/>
    <x v="0"/>
    <x v="0"/>
    <x v="0"/>
    <s v="성인"/>
    <s v="성인"/>
    <s v="범용/상용닷컴"/>
    <x v="1"/>
    <x v="2"/>
    <x v="0"/>
    <x v="33"/>
    <s v="HB2637091728"/>
    <x v="1"/>
    <n v="2156200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2"/>
    <x v="0"/>
    <x v="34"/>
    <s v="HB2637102240"/>
    <x v="0"/>
    <n v="2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2"/>
    <x v="0"/>
    <x v="34"/>
    <s v="HB2637102240"/>
    <x v="1"/>
    <n v="1375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s v="HP2637115240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s v="HP2637115240"/>
    <x v="1"/>
    <n v="2199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s v="HP2637114184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s v="HP2637114184"/>
    <x v="1"/>
    <n v="2498000"/>
  </r>
  <r>
    <x v="0"/>
    <x v="0"/>
    <x v="0"/>
    <x v="0"/>
    <x v="0"/>
    <x v="0"/>
    <x v="10"/>
    <s v="N"/>
    <s v="N"/>
    <x v="1"/>
    <x v="0"/>
    <x v="0"/>
    <x v="0"/>
    <m/>
    <m/>
    <s v="대리점"/>
    <x v="0"/>
    <x v="2"/>
    <x v="0"/>
    <x v="37"/>
    <s v="HP2637122574"/>
    <x v="0"/>
    <n v="6"/>
  </r>
  <r>
    <x v="0"/>
    <x v="0"/>
    <x v="0"/>
    <x v="0"/>
    <x v="0"/>
    <x v="0"/>
    <x v="10"/>
    <s v="N"/>
    <s v="N"/>
    <x v="1"/>
    <x v="0"/>
    <x v="0"/>
    <x v="0"/>
    <m/>
    <m/>
    <s v="대리점"/>
    <x v="0"/>
    <x v="2"/>
    <x v="0"/>
    <x v="37"/>
    <s v="HP2637122574"/>
    <x v="1"/>
    <n v="7149600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3"/>
    <x v="0"/>
    <x v="38"/>
    <s v="HP2636944788"/>
    <x v="0"/>
    <n v="2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3"/>
    <x v="0"/>
    <x v="38"/>
    <s v="HP2636944788"/>
    <x v="1"/>
    <n v="3793200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4"/>
    <x v="0"/>
    <x v="39"/>
    <s v="HP2636964482"/>
    <x v="0"/>
    <n v="3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4"/>
    <x v="0"/>
    <x v="39"/>
    <s v="HP2636964482"/>
    <x v="1"/>
    <n v="9630600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2"/>
    <x v="0"/>
    <x v="40"/>
    <s v="HB2636927314"/>
    <x v="0"/>
    <n v="2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2"/>
    <x v="0"/>
    <x v="40"/>
    <s v="HB2636927314"/>
    <x v="1"/>
    <n v="2161800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41"/>
    <s v="HP2636922632"/>
    <x v="0"/>
    <n v="3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41"/>
    <s v="HP2636922632"/>
    <x v="1"/>
    <n v="281970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41"/>
    <s v="HP2636922632"/>
    <x v="0"/>
    <n v="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41"/>
    <s v="HP2636922632"/>
    <x v="1"/>
    <n v="82990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42"/>
    <s v="HP2636923982"/>
    <x v="0"/>
    <n v="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42"/>
    <s v="HP2636923982"/>
    <x v="1"/>
    <n v="5796000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5"/>
    <x v="0"/>
    <x v="43"/>
    <s v="HP2636954148"/>
    <x v="0"/>
    <n v="2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5"/>
    <x v="0"/>
    <x v="43"/>
    <s v="HP2636954148"/>
    <x v="1"/>
    <n v="2971600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44"/>
    <s v="HP2636965000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44"/>
    <s v="HP2636965000"/>
    <x v="1"/>
    <n v="515000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45"/>
    <s v="HP2636966330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45"/>
    <s v="HP2636966330"/>
    <x v="1"/>
    <n v="418000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45"/>
    <s v="HP2636966330"/>
    <x v="0"/>
    <n v="1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45"/>
    <s v="HP2636966330"/>
    <x v="1"/>
    <n v="418000"/>
  </r>
  <r>
    <x v="0"/>
    <x v="0"/>
    <x v="0"/>
    <x v="0"/>
    <x v="2"/>
    <x v="2"/>
    <x v="11"/>
    <s v="Y"/>
    <s v="N"/>
    <x v="2"/>
    <x v="0"/>
    <x v="0"/>
    <x v="0"/>
    <s v="성인"/>
    <s v="성인"/>
    <s v="범용/상용닷컴"/>
    <x v="1"/>
    <x v="2"/>
    <x v="0"/>
    <x v="46"/>
    <s v="HP2636979100"/>
    <x v="0"/>
    <n v="2"/>
  </r>
  <r>
    <x v="0"/>
    <x v="0"/>
    <x v="0"/>
    <x v="0"/>
    <x v="2"/>
    <x v="2"/>
    <x v="11"/>
    <s v="Y"/>
    <s v="N"/>
    <x v="2"/>
    <x v="0"/>
    <x v="0"/>
    <x v="0"/>
    <s v="성인"/>
    <s v="성인"/>
    <s v="범용/상용닷컴"/>
    <x v="1"/>
    <x v="2"/>
    <x v="0"/>
    <x v="46"/>
    <s v="HP2636979100"/>
    <x v="1"/>
    <n v="3498000"/>
  </r>
  <r>
    <x v="0"/>
    <x v="0"/>
    <x v="0"/>
    <x v="0"/>
    <x v="2"/>
    <x v="2"/>
    <x v="3"/>
    <s v="N"/>
    <s v="Y"/>
    <x v="0"/>
    <x v="0"/>
    <x v="0"/>
    <x v="0"/>
    <s v="성인"/>
    <s v="성인"/>
    <s v="범용/상용닷컴"/>
    <x v="1"/>
    <x v="16"/>
    <x v="0"/>
    <x v="47"/>
    <s v="HP2636990498"/>
    <x v="0"/>
    <n v="1"/>
  </r>
  <r>
    <x v="0"/>
    <x v="0"/>
    <x v="0"/>
    <x v="0"/>
    <x v="2"/>
    <x v="2"/>
    <x v="3"/>
    <s v="N"/>
    <s v="Y"/>
    <x v="0"/>
    <x v="0"/>
    <x v="0"/>
    <x v="0"/>
    <s v="성인"/>
    <s v="성인"/>
    <s v="범용/상용닷컴"/>
    <x v="1"/>
    <x v="16"/>
    <x v="0"/>
    <x v="47"/>
    <s v="HP2636990498"/>
    <x v="1"/>
    <n v="949900"/>
  </r>
  <r>
    <x v="0"/>
    <x v="0"/>
    <x v="0"/>
    <x v="0"/>
    <x v="2"/>
    <x v="2"/>
    <x v="3"/>
    <s v="N"/>
    <s v="Y"/>
    <x v="0"/>
    <x v="0"/>
    <x v="0"/>
    <x v="1"/>
    <s v="아동"/>
    <s v="아동"/>
    <s v="범용/상용닷컴"/>
    <x v="1"/>
    <x v="16"/>
    <x v="0"/>
    <x v="47"/>
    <s v="HP2636990498"/>
    <x v="0"/>
    <n v="1"/>
  </r>
  <r>
    <x v="0"/>
    <x v="0"/>
    <x v="0"/>
    <x v="0"/>
    <x v="2"/>
    <x v="2"/>
    <x v="3"/>
    <s v="N"/>
    <s v="Y"/>
    <x v="0"/>
    <x v="0"/>
    <x v="0"/>
    <x v="1"/>
    <s v="아동"/>
    <s v="아동"/>
    <s v="범용/상용닷컴"/>
    <x v="1"/>
    <x v="16"/>
    <x v="0"/>
    <x v="47"/>
    <s v="HP2636990498"/>
    <x v="1"/>
    <n v="949900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2"/>
    <x v="0"/>
    <x v="48"/>
    <s v="HB2637008042"/>
    <x v="0"/>
    <n v="3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2"/>
    <x v="0"/>
    <x v="48"/>
    <s v="HB2637008042"/>
    <x v="1"/>
    <n v="2244000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2"/>
    <x v="0"/>
    <x v="48"/>
    <s v="HB2637008042"/>
    <x v="0"/>
    <n v="3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2"/>
    <x v="0"/>
    <x v="48"/>
    <s v="HB2637008042"/>
    <x v="1"/>
    <n v="2244000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2"/>
    <x v="0"/>
    <x v="48"/>
    <s v="HB2637008042"/>
    <x v="0"/>
    <n v="2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2"/>
    <x v="0"/>
    <x v="48"/>
    <s v="HB2637008042"/>
    <x v="1"/>
    <n v="716000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49"/>
    <s v="HP2637002998"/>
    <x v="0"/>
    <n v="4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49"/>
    <s v="HP2637002998"/>
    <x v="1"/>
    <n v="5439600"/>
  </r>
  <r>
    <x v="0"/>
    <x v="0"/>
    <x v="0"/>
    <x v="0"/>
    <x v="2"/>
    <x v="2"/>
    <x v="5"/>
    <s v="N"/>
    <s v="N"/>
    <x v="4"/>
    <x v="2"/>
    <x v="0"/>
    <x v="0"/>
    <m/>
    <m/>
    <s v="대리점"/>
    <x v="0"/>
    <x v="2"/>
    <x v="0"/>
    <x v="50"/>
    <s v="HQ2637037458"/>
    <x v="0"/>
    <n v="40"/>
  </r>
  <r>
    <x v="0"/>
    <x v="0"/>
    <x v="0"/>
    <x v="0"/>
    <x v="2"/>
    <x v="2"/>
    <x v="5"/>
    <s v="N"/>
    <s v="N"/>
    <x v="4"/>
    <x v="2"/>
    <x v="0"/>
    <x v="0"/>
    <m/>
    <m/>
    <s v="대리점"/>
    <x v="0"/>
    <x v="2"/>
    <x v="0"/>
    <x v="50"/>
    <s v="HQ2637037458"/>
    <x v="1"/>
    <n v="0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7"/>
    <x v="0"/>
    <x v="51"/>
    <s v="HP2637032656"/>
    <x v="0"/>
    <n v="2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7"/>
    <x v="0"/>
    <x v="51"/>
    <s v="HP2637032656"/>
    <x v="1"/>
    <n v="20518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16"/>
    <x v="1"/>
    <x v="52"/>
    <s v="HP2637028312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16"/>
    <x v="1"/>
    <x v="52"/>
    <s v="HP2637028312"/>
    <x v="1"/>
    <n v="170472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53"/>
    <s v="HP2637030724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53"/>
    <s v="HP2637030724"/>
    <x v="1"/>
    <n v="2002000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16"/>
    <x v="0"/>
    <x v="54"/>
    <s v="HP2637027540"/>
    <x v="0"/>
    <n v="3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16"/>
    <x v="0"/>
    <x v="54"/>
    <s v="HP2637027540"/>
    <x v="1"/>
    <n v="3253200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16"/>
    <x v="0"/>
    <x v="54"/>
    <s v="HP2637027540"/>
    <x v="0"/>
    <n v="1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16"/>
    <x v="0"/>
    <x v="54"/>
    <s v="HP2637027540"/>
    <x v="1"/>
    <n v="108440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0"/>
    <x v="55"/>
    <s v="HP2637033648"/>
    <x v="0"/>
    <n v="3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0"/>
    <x v="55"/>
    <s v="HP2637033648"/>
    <x v="1"/>
    <n v="16639800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16"/>
    <x v="0"/>
    <x v="54"/>
    <s v="HP2637027540"/>
    <x v="0"/>
    <n v="4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16"/>
    <x v="0"/>
    <x v="54"/>
    <s v="HP2637027540"/>
    <x v="1"/>
    <n v="4337600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16"/>
    <x v="0"/>
    <x v="54"/>
    <s v="HP2637027540"/>
    <x v="0"/>
    <n v="2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16"/>
    <x v="0"/>
    <x v="54"/>
    <s v="HP2637027540"/>
    <x v="1"/>
    <n v="21688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56"/>
    <s v="HP2637055058"/>
    <x v="0"/>
    <n v="2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56"/>
    <s v="HP2637055058"/>
    <x v="1"/>
    <n v="2238000"/>
  </r>
  <r>
    <x v="0"/>
    <x v="0"/>
    <x v="0"/>
    <x v="0"/>
    <x v="2"/>
    <x v="2"/>
    <x v="6"/>
    <s v="N"/>
    <s v="N"/>
    <x v="1"/>
    <x v="0"/>
    <x v="0"/>
    <x v="0"/>
    <m/>
    <m/>
    <s v="대리점"/>
    <x v="0"/>
    <x v="2"/>
    <x v="0"/>
    <x v="57"/>
    <s v="HP2637052894"/>
    <x v="0"/>
    <n v="8"/>
  </r>
  <r>
    <x v="0"/>
    <x v="0"/>
    <x v="0"/>
    <x v="0"/>
    <x v="2"/>
    <x v="2"/>
    <x v="6"/>
    <s v="N"/>
    <s v="N"/>
    <x v="1"/>
    <x v="0"/>
    <x v="0"/>
    <x v="0"/>
    <m/>
    <m/>
    <s v="대리점"/>
    <x v="0"/>
    <x v="2"/>
    <x v="0"/>
    <x v="57"/>
    <s v="HP2637052894"/>
    <x v="1"/>
    <n v="127992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58"/>
    <s v="HP2637086590"/>
    <x v="0"/>
    <n v="1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58"/>
    <s v="HP2637086590"/>
    <x v="1"/>
    <n v="519000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58"/>
    <s v="HP2637086590"/>
    <x v="0"/>
    <n v="1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58"/>
    <s v="HP2637086590"/>
    <x v="1"/>
    <n v="519000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59"/>
    <s v="HP2637081686"/>
    <x v="0"/>
    <n v="6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59"/>
    <s v="HP2637081686"/>
    <x v="1"/>
    <n v="3545400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60"/>
    <s v="HP2637082372"/>
    <x v="0"/>
    <n v="4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60"/>
    <s v="HP2637082372"/>
    <x v="1"/>
    <n v="13820000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"/>
    <x v="0"/>
    <x v="61"/>
    <s v="HP2637112734"/>
    <x v="0"/>
    <n v="4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"/>
    <x v="0"/>
    <x v="61"/>
    <s v="HP2637112734"/>
    <x v="1"/>
    <n v="15942400"/>
  </r>
  <r>
    <x v="0"/>
    <x v="0"/>
    <x v="0"/>
    <x v="1"/>
    <x v="3"/>
    <x v="3"/>
    <x v="0"/>
    <s v="N"/>
    <s v="N"/>
    <x v="5"/>
    <x v="3"/>
    <x v="0"/>
    <x v="0"/>
    <s v="성인"/>
    <s v="성인"/>
    <s v="닷컴"/>
    <x v="2"/>
    <x v="18"/>
    <x v="0"/>
    <x v="62"/>
    <s v="HG2636921988"/>
    <x v="0"/>
    <n v="2"/>
  </r>
  <r>
    <x v="0"/>
    <x v="0"/>
    <x v="0"/>
    <x v="1"/>
    <x v="3"/>
    <x v="3"/>
    <x v="0"/>
    <s v="N"/>
    <s v="N"/>
    <x v="5"/>
    <x v="3"/>
    <x v="0"/>
    <x v="0"/>
    <s v="성인"/>
    <s v="성인"/>
    <s v="닷컴"/>
    <x v="2"/>
    <x v="18"/>
    <x v="0"/>
    <x v="62"/>
    <s v="HG2636921988"/>
    <x v="1"/>
    <n v="203800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63"/>
    <s v="HP2636922946"/>
    <x v="0"/>
    <n v="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63"/>
    <s v="HP2636922946"/>
    <x v="1"/>
    <n v="344970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64"/>
    <s v="HP2636930622"/>
    <x v="0"/>
    <n v="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64"/>
    <s v="HP2636930622"/>
    <x v="1"/>
    <n v="1048400"/>
  </r>
  <r>
    <x v="0"/>
    <x v="0"/>
    <x v="0"/>
    <x v="1"/>
    <x v="3"/>
    <x v="3"/>
    <x v="1"/>
    <s v="N"/>
    <s v="N"/>
    <x v="5"/>
    <x v="3"/>
    <x v="0"/>
    <x v="0"/>
    <s v="성인"/>
    <s v="성인"/>
    <s v="닷컴"/>
    <x v="2"/>
    <x v="18"/>
    <x v="0"/>
    <x v="65"/>
    <s v="HG2636954330"/>
    <x v="0"/>
    <n v="4"/>
  </r>
  <r>
    <x v="0"/>
    <x v="0"/>
    <x v="0"/>
    <x v="1"/>
    <x v="3"/>
    <x v="3"/>
    <x v="1"/>
    <s v="N"/>
    <s v="N"/>
    <x v="5"/>
    <x v="3"/>
    <x v="0"/>
    <x v="0"/>
    <s v="성인"/>
    <s v="성인"/>
    <s v="닷컴"/>
    <x v="2"/>
    <x v="18"/>
    <x v="0"/>
    <x v="65"/>
    <s v="HG2636954330"/>
    <x v="1"/>
    <n v="4839600"/>
  </r>
  <r>
    <x v="0"/>
    <x v="0"/>
    <x v="0"/>
    <x v="1"/>
    <x v="3"/>
    <x v="3"/>
    <x v="1"/>
    <s v="N"/>
    <s v="N"/>
    <x v="5"/>
    <x v="2"/>
    <x v="0"/>
    <x v="0"/>
    <s v="성인"/>
    <s v="성인"/>
    <s v="대리점"/>
    <x v="0"/>
    <x v="18"/>
    <x v="0"/>
    <x v="66"/>
    <s v="HQ2636954596"/>
    <x v="0"/>
    <n v="1"/>
  </r>
  <r>
    <x v="0"/>
    <x v="0"/>
    <x v="0"/>
    <x v="1"/>
    <x v="3"/>
    <x v="3"/>
    <x v="1"/>
    <s v="N"/>
    <s v="N"/>
    <x v="5"/>
    <x v="2"/>
    <x v="0"/>
    <x v="0"/>
    <s v="성인"/>
    <s v="성인"/>
    <s v="대리점"/>
    <x v="0"/>
    <x v="18"/>
    <x v="0"/>
    <x v="66"/>
    <s v="HQ2636954596"/>
    <x v="1"/>
    <n v="2341400"/>
  </r>
  <r>
    <x v="0"/>
    <x v="0"/>
    <x v="0"/>
    <x v="1"/>
    <x v="3"/>
    <x v="3"/>
    <x v="1"/>
    <s v="N"/>
    <s v="N"/>
    <x v="5"/>
    <x v="2"/>
    <x v="0"/>
    <x v="0"/>
    <m/>
    <m/>
    <s v="대리점"/>
    <x v="0"/>
    <x v="18"/>
    <x v="1"/>
    <x v="67"/>
    <s v="HQ2635804004"/>
    <x v="0"/>
    <n v="0"/>
  </r>
  <r>
    <x v="0"/>
    <x v="0"/>
    <x v="0"/>
    <x v="1"/>
    <x v="3"/>
    <x v="3"/>
    <x v="1"/>
    <s v="N"/>
    <s v="N"/>
    <x v="5"/>
    <x v="2"/>
    <x v="0"/>
    <x v="0"/>
    <m/>
    <m/>
    <s v="대리점"/>
    <x v="0"/>
    <x v="18"/>
    <x v="1"/>
    <x v="67"/>
    <s v="HQ2635804004"/>
    <x v="1"/>
    <n v="2335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9"/>
    <x v="0"/>
    <x v="68"/>
    <s v="HP2636951920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9"/>
    <x v="0"/>
    <x v="68"/>
    <s v="HP2636951920"/>
    <x v="1"/>
    <n v="1827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69"/>
    <s v="HP2636944962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69"/>
    <s v="HP2636944962"/>
    <x v="1"/>
    <n v="1121700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0"/>
    <x v="70"/>
    <s v="HU2636949994"/>
    <x v="0"/>
    <n v="7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0"/>
    <x v="70"/>
    <s v="HU2636949994"/>
    <x v="1"/>
    <n v="6930000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1"/>
    <x v="70"/>
    <s v="HU2636953126"/>
    <x v="0"/>
    <n v="0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1"/>
    <x v="70"/>
    <s v="HU2636953126"/>
    <x v="1"/>
    <n v="6930000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71"/>
    <s v="HP2636962896"/>
    <x v="0"/>
    <n v="4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71"/>
    <s v="HP2636962896"/>
    <x v="1"/>
    <n v="691600"/>
  </r>
  <r>
    <x v="0"/>
    <x v="0"/>
    <x v="0"/>
    <x v="1"/>
    <x v="3"/>
    <x v="3"/>
    <x v="11"/>
    <s v="Y"/>
    <s v="N"/>
    <x v="4"/>
    <x v="0"/>
    <x v="0"/>
    <x v="0"/>
    <m/>
    <m/>
    <s v="대리점"/>
    <x v="0"/>
    <x v="11"/>
    <x v="0"/>
    <x v="72"/>
    <s v="HP2636974298"/>
    <x v="0"/>
    <n v="2"/>
  </r>
  <r>
    <x v="0"/>
    <x v="0"/>
    <x v="0"/>
    <x v="1"/>
    <x v="3"/>
    <x v="3"/>
    <x v="11"/>
    <s v="Y"/>
    <s v="N"/>
    <x v="4"/>
    <x v="0"/>
    <x v="0"/>
    <x v="0"/>
    <m/>
    <m/>
    <s v="대리점"/>
    <x v="0"/>
    <x v="11"/>
    <x v="0"/>
    <x v="72"/>
    <s v="HP2636974298"/>
    <x v="1"/>
    <n v="678000"/>
  </r>
  <r>
    <x v="0"/>
    <x v="0"/>
    <x v="0"/>
    <x v="1"/>
    <x v="3"/>
    <x v="3"/>
    <x v="4"/>
    <s v="N"/>
    <s v="N"/>
    <x v="5"/>
    <x v="3"/>
    <x v="0"/>
    <x v="0"/>
    <s v="성인"/>
    <s v="성인"/>
    <s v="대리점"/>
    <x v="0"/>
    <x v="20"/>
    <x v="0"/>
    <x v="73"/>
    <s v="HG2637009020"/>
    <x v="0"/>
    <n v="4"/>
  </r>
  <r>
    <x v="0"/>
    <x v="0"/>
    <x v="0"/>
    <x v="1"/>
    <x v="3"/>
    <x v="3"/>
    <x v="4"/>
    <s v="N"/>
    <s v="N"/>
    <x v="5"/>
    <x v="3"/>
    <x v="0"/>
    <x v="0"/>
    <s v="성인"/>
    <s v="성인"/>
    <s v="대리점"/>
    <x v="0"/>
    <x v="20"/>
    <x v="0"/>
    <x v="73"/>
    <s v="HG2637009020"/>
    <x v="1"/>
    <n v="5119600"/>
  </r>
  <r>
    <x v="0"/>
    <x v="0"/>
    <x v="0"/>
    <x v="1"/>
    <x v="3"/>
    <x v="3"/>
    <x v="4"/>
    <s v="N"/>
    <s v="N"/>
    <x v="4"/>
    <x v="2"/>
    <x v="0"/>
    <x v="0"/>
    <s v="성인"/>
    <s v="성인"/>
    <s v="대리점"/>
    <x v="0"/>
    <x v="2"/>
    <x v="0"/>
    <x v="74"/>
    <s v="HQ2637012480"/>
    <x v="0"/>
    <n v="42"/>
  </r>
  <r>
    <x v="0"/>
    <x v="0"/>
    <x v="0"/>
    <x v="1"/>
    <x v="3"/>
    <x v="3"/>
    <x v="4"/>
    <s v="N"/>
    <s v="N"/>
    <x v="4"/>
    <x v="2"/>
    <x v="0"/>
    <x v="0"/>
    <s v="성인"/>
    <s v="성인"/>
    <s v="대리점"/>
    <x v="0"/>
    <x v="2"/>
    <x v="0"/>
    <x v="74"/>
    <s v="HQ2637012480"/>
    <x v="1"/>
    <n v="62580000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75"/>
    <s v="HP2637001056"/>
    <x v="0"/>
    <n v="2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75"/>
    <s v="HP2637001056"/>
    <x v="1"/>
    <n v="2315000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75"/>
    <s v="HP2637001056"/>
    <x v="0"/>
    <n v="1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75"/>
    <s v="HP2637001056"/>
    <x v="1"/>
    <n v="1157500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75"/>
    <s v="HP2637001056"/>
    <x v="0"/>
    <n v="1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75"/>
    <s v="HP2637001056"/>
    <x v="1"/>
    <n v="115750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75"/>
    <s v="HP2637005348"/>
    <x v="0"/>
    <n v="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75"/>
    <s v="HP2637005348"/>
    <x v="1"/>
    <n v="4670000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16"/>
    <x v="0"/>
    <x v="76"/>
    <s v="HP2637008064"/>
    <x v="0"/>
    <n v="3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16"/>
    <x v="0"/>
    <x v="76"/>
    <s v="HP2637008064"/>
    <x v="1"/>
    <n v="310320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77"/>
    <s v="HP2637004958"/>
    <x v="0"/>
    <n v="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77"/>
    <s v="HP2637004958"/>
    <x v="1"/>
    <n v="10398000"/>
  </r>
  <r>
    <x v="0"/>
    <x v="0"/>
    <x v="0"/>
    <x v="1"/>
    <x v="3"/>
    <x v="3"/>
    <x v="5"/>
    <s v="N"/>
    <s v="N"/>
    <x v="5"/>
    <x v="3"/>
    <x v="0"/>
    <x v="0"/>
    <s v="성인"/>
    <s v="성인"/>
    <s v="닷컴"/>
    <x v="2"/>
    <x v="18"/>
    <x v="0"/>
    <x v="78"/>
    <s v="HG2637025466"/>
    <x v="0"/>
    <n v="1"/>
  </r>
  <r>
    <x v="0"/>
    <x v="0"/>
    <x v="0"/>
    <x v="1"/>
    <x v="3"/>
    <x v="3"/>
    <x v="5"/>
    <s v="N"/>
    <s v="N"/>
    <x v="5"/>
    <x v="3"/>
    <x v="0"/>
    <x v="0"/>
    <s v="성인"/>
    <s v="성인"/>
    <s v="닷컴"/>
    <x v="2"/>
    <x v="18"/>
    <x v="0"/>
    <x v="78"/>
    <s v="HG2637025466"/>
    <x v="1"/>
    <n v="1149000"/>
  </r>
  <r>
    <x v="0"/>
    <x v="0"/>
    <x v="0"/>
    <x v="1"/>
    <x v="3"/>
    <x v="3"/>
    <x v="5"/>
    <s v="N"/>
    <s v="N"/>
    <x v="5"/>
    <x v="3"/>
    <x v="0"/>
    <x v="0"/>
    <s v="성인"/>
    <s v="성인"/>
    <s v="대리점"/>
    <x v="0"/>
    <x v="20"/>
    <x v="0"/>
    <x v="79"/>
    <s v="HG2637032616"/>
    <x v="0"/>
    <n v="4"/>
  </r>
  <r>
    <x v="0"/>
    <x v="0"/>
    <x v="0"/>
    <x v="1"/>
    <x v="3"/>
    <x v="3"/>
    <x v="5"/>
    <s v="N"/>
    <s v="N"/>
    <x v="5"/>
    <x v="3"/>
    <x v="0"/>
    <x v="0"/>
    <s v="성인"/>
    <s v="성인"/>
    <s v="대리점"/>
    <x v="0"/>
    <x v="20"/>
    <x v="0"/>
    <x v="79"/>
    <s v="HG2637032616"/>
    <x v="1"/>
    <n v="3676000"/>
  </r>
  <r>
    <x v="0"/>
    <x v="0"/>
    <x v="0"/>
    <x v="1"/>
    <x v="3"/>
    <x v="3"/>
    <x v="5"/>
    <s v="N"/>
    <s v="N"/>
    <x v="5"/>
    <x v="3"/>
    <x v="0"/>
    <x v="0"/>
    <m/>
    <m/>
    <s v="닷컴"/>
    <x v="2"/>
    <x v="18"/>
    <x v="0"/>
    <x v="78"/>
    <s v="HG2637025466"/>
    <x v="0"/>
    <n v="3"/>
  </r>
  <r>
    <x v="0"/>
    <x v="0"/>
    <x v="0"/>
    <x v="1"/>
    <x v="3"/>
    <x v="3"/>
    <x v="5"/>
    <s v="N"/>
    <s v="N"/>
    <x v="5"/>
    <x v="3"/>
    <x v="0"/>
    <x v="0"/>
    <m/>
    <m/>
    <s v="닷컴"/>
    <x v="2"/>
    <x v="18"/>
    <x v="0"/>
    <x v="78"/>
    <s v="HG2637025466"/>
    <x v="1"/>
    <n v="3447000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80"/>
    <s v="HP2637023860"/>
    <x v="0"/>
    <n v="2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80"/>
    <s v="HP2637023860"/>
    <x v="1"/>
    <n v="188600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81"/>
    <s v="HP2637025394"/>
    <x v="0"/>
    <n v="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81"/>
    <s v="HP2637025394"/>
    <x v="1"/>
    <n v="13586400"/>
  </r>
  <r>
    <x v="0"/>
    <x v="0"/>
    <x v="0"/>
    <x v="1"/>
    <x v="3"/>
    <x v="3"/>
    <x v="6"/>
    <s v="N"/>
    <s v="N"/>
    <x v="5"/>
    <x v="3"/>
    <x v="0"/>
    <x v="0"/>
    <s v="성인"/>
    <s v="성인"/>
    <s v="닷컴"/>
    <x v="2"/>
    <x v="20"/>
    <x v="0"/>
    <x v="82"/>
    <s v="HG2637048440"/>
    <x v="0"/>
    <n v="4"/>
  </r>
  <r>
    <x v="0"/>
    <x v="0"/>
    <x v="0"/>
    <x v="1"/>
    <x v="3"/>
    <x v="3"/>
    <x v="6"/>
    <s v="N"/>
    <s v="N"/>
    <x v="5"/>
    <x v="3"/>
    <x v="0"/>
    <x v="0"/>
    <s v="성인"/>
    <s v="성인"/>
    <s v="닷컴"/>
    <x v="2"/>
    <x v="20"/>
    <x v="0"/>
    <x v="82"/>
    <s v="HG2637048440"/>
    <x v="1"/>
    <n v="2036000"/>
  </r>
  <r>
    <x v="0"/>
    <x v="0"/>
    <x v="0"/>
    <x v="1"/>
    <x v="3"/>
    <x v="3"/>
    <x v="6"/>
    <s v="N"/>
    <s v="N"/>
    <x v="5"/>
    <x v="3"/>
    <x v="0"/>
    <x v="0"/>
    <m/>
    <m/>
    <s v="대리점"/>
    <x v="0"/>
    <x v="20"/>
    <x v="1"/>
    <x v="79"/>
    <s v="HG2637032616"/>
    <x v="0"/>
    <n v="0"/>
  </r>
  <r>
    <x v="0"/>
    <x v="0"/>
    <x v="0"/>
    <x v="1"/>
    <x v="3"/>
    <x v="3"/>
    <x v="6"/>
    <s v="N"/>
    <s v="N"/>
    <x v="5"/>
    <x v="3"/>
    <x v="0"/>
    <x v="0"/>
    <m/>
    <m/>
    <s v="대리점"/>
    <x v="0"/>
    <x v="20"/>
    <x v="1"/>
    <x v="79"/>
    <s v="HG2637032616"/>
    <x v="1"/>
    <n v="919000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83"/>
    <s v="HP2637049708"/>
    <x v="0"/>
    <n v="2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83"/>
    <s v="HP2637049708"/>
    <x v="1"/>
    <n v="11484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0"/>
    <x v="84"/>
    <s v="HP2637061726"/>
    <x v="0"/>
    <n v="3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0"/>
    <x v="84"/>
    <s v="HP2637061726"/>
    <x v="1"/>
    <n v="91650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85"/>
    <s v="HP2637048600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85"/>
    <s v="HP2637048600"/>
    <x v="1"/>
    <n v="1779800"/>
  </r>
  <r>
    <x v="0"/>
    <x v="0"/>
    <x v="0"/>
    <x v="1"/>
    <x v="3"/>
    <x v="3"/>
    <x v="7"/>
    <s v="N"/>
    <s v="Y"/>
    <x v="1"/>
    <x v="0"/>
    <x v="0"/>
    <x v="0"/>
    <m/>
    <m/>
    <s v="대리점"/>
    <x v="0"/>
    <x v="2"/>
    <x v="0"/>
    <x v="86"/>
    <s v="HP2637068232"/>
    <x v="0"/>
    <n v="2"/>
  </r>
  <r>
    <x v="0"/>
    <x v="0"/>
    <x v="0"/>
    <x v="1"/>
    <x v="3"/>
    <x v="3"/>
    <x v="7"/>
    <s v="N"/>
    <s v="Y"/>
    <x v="1"/>
    <x v="0"/>
    <x v="0"/>
    <x v="0"/>
    <m/>
    <m/>
    <s v="대리점"/>
    <x v="0"/>
    <x v="2"/>
    <x v="0"/>
    <x v="86"/>
    <s v="HP2637068232"/>
    <x v="1"/>
    <n v="10698000"/>
  </r>
  <r>
    <x v="0"/>
    <x v="0"/>
    <x v="0"/>
    <x v="1"/>
    <x v="3"/>
    <x v="3"/>
    <x v="10"/>
    <s v="N"/>
    <s v="N"/>
    <x v="5"/>
    <x v="3"/>
    <x v="0"/>
    <x v="0"/>
    <s v="성인"/>
    <s v="성인"/>
    <s v="닷컴"/>
    <x v="2"/>
    <x v="20"/>
    <x v="0"/>
    <x v="87"/>
    <s v="HG2637124228"/>
    <x v="0"/>
    <n v="1"/>
  </r>
  <r>
    <x v="0"/>
    <x v="0"/>
    <x v="0"/>
    <x v="1"/>
    <x v="3"/>
    <x v="3"/>
    <x v="10"/>
    <s v="N"/>
    <s v="N"/>
    <x v="5"/>
    <x v="3"/>
    <x v="0"/>
    <x v="0"/>
    <s v="성인"/>
    <s v="성인"/>
    <s v="닷컴"/>
    <x v="2"/>
    <x v="20"/>
    <x v="0"/>
    <x v="87"/>
    <s v="HG2637124228"/>
    <x v="1"/>
    <n v="439000"/>
  </r>
  <r>
    <x v="0"/>
    <x v="0"/>
    <x v="0"/>
    <x v="1"/>
    <x v="3"/>
    <x v="3"/>
    <x v="10"/>
    <s v="N"/>
    <s v="N"/>
    <x v="5"/>
    <x v="3"/>
    <x v="0"/>
    <x v="0"/>
    <m/>
    <m/>
    <s v="닷컴"/>
    <x v="2"/>
    <x v="20"/>
    <x v="0"/>
    <x v="87"/>
    <s v="HG2637124228"/>
    <x v="0"/>
    <n v="1"/>
  </r>
  <r>
    <x v="0"/>
    <x v="0"/>
    <x v="0"/>
    <x v="1"/>
    <x v="3"/>
    <x v="3"/>
    <x v="10"/>
    <s v="N"/>
    <s v="N"/>
    <x v="5"/>
    <x v="3"/>
    <x v="0"/>
    <x v="0"/>
    <m/>
    <m/>
    <s v="닷컴"/>
    <x v="2"/>
    <x v="20"/>
    <x v="0"/>
    <x v="87"/>
    <s v="HG2637124228"/>
    <x v="1"/>
    <n v="439000"/>
  </r>
  <r>
    <x v="0"/>
    <x v="0"/>
    <x v="0"/>
    <x v="1"/>
    <x v="3"/>
    <x v="3"/>
    <x v="10"/>
    <s v="N"/>
    <s v="N"/>
    <x v="4"/>
    <x v="1"/>
    <x v="0"/>
    <x v="0"/>
    <s v="성인"/>
    <s v="성인"/>
    <s v="대리점"/>
    <x v="0"/>
    <x v="21"/>
    <x v="0"/>
    <x v="88"/>
    <s v="HB2637115350"/>
    <x v="0"/>
    <n v="2"/>
  </r>
  <r>
    <x v="0"/>
    <x v="0"/>
    <x v="0"/>
    <x v="1"/>
    <x v="3"/>
    <x v="3"/>
    <x v="10"/>
    <s v="N"/>
    <s v="N"/>
    <x v="4"/>
    <x v="1"/>
    <x v="0"/>
    <x v="0"/>
    <s v="성인"/>
    <s v="성인"/>
    <s v="대리점"/>
    <x v="0"/>
    <x v="21"/>
    <x v="0"/>
    <x v="88"/>
    <s v="HB2637115350"/>
    <x v="1"/>
    <n v="862200"/>
  </r>
  <r>
    <x v="0"/>
    <x v="0"/>
    <x v="0"/>
    <x v="1"/>
    <x v="3"/>
    <x v="3"/>
    <x v="10"/>
    <s v="N"/>
    <s v="N"/>
    <x v="4"/>
    <x v="2"/>
    <x v="0"/>
    <x v="0"/>
    <s v="성인"/>
    <s v="성인"/>
    <s v="대리점"/>
    <x v="0"/>
    <x v="2"/>
    <x v="0"/>
    <x v="74"/>
    <s v="HQ2637012480"/>
    <x v="0"/>
    <n v="1"/>
  </r>
  <r>
    <x v="0"/>
    <x v="0"/>
    <x v="0"/>
    <x v="1"/>
    <x v="3"/>
    <x v="3"/>
    <x v="10"/>
    <s v="N"/>
    <s v="N"/>
    <x v="4"/>
    <x v="2"/>
    <x v="0"/>
    <x v="0"/>
    <s v="성인"/>
    <s v="성인"/>
    <s v="대리점"/>
    <x v="0"/>
    <x v="2"/>
    <x v="0"/>
    <x v="74"/>
    <s v="HQ2637012480"/>
    <x v="1"/>
    <n v="1490000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89"/>
    <s v="HP2637120436"/>
    <x v="0"/>
    <n v="1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89"/>
    <s v="HP2637120436"/>
    <x v="1"/>
    <n v="377600"/>
  </r>
  <r>
    <x v="0"/>
    <x v="0"/>
    <x v="0"/>
    <x v="1"/>
    <x v="3"/>
    <x v="3"/>
    <x v="10"/>
    <s v="N"/>
    <s v="N"/>
    <x v="0"/>
    <x v="0"/>
    <x v="0"/>
    <x v="0"/>
    <m/>
    <m/>
    <s v="닷컴"/>
    <x v="2"/>
    <x v="2"/>
    <x v="0"/>
    <x v="89"/>
    <s v="HP2637120436"/>
    <x v="0"/>
    <n v="3"/>
  </r>
  <r>
    <x v="0"/>
    <x v="0"/>
    <x v="0"/>
    <x v="1"/>
    <x v="3"/>
    <x v="3"/>
    <x v="10"/>
    <s v="N"/>
    <s v="N"/>
    <x v="0"/>
    <x v="0"/>
    <x v="0"/>
    <x v="0"/>
    <m/>
    <m/>
    <s v="닷컴"/>
    <x v="2"/>
    <x v="2"/>
    <x v="0"/>
    <x v="89"/>
    <s v="HP2637120436"/>
    <x v="1"/>
    <n v="113280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90"/>
    <s v="HP2637001416"/>
    <x v="0"/>
    <n v="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90"/>
    <s v="HP2637001416"/>
    <x v="1"/>
    <n v="1230000"/>
  </r>
  <r>
    <x v="0"/>
    <x v="0"/>
    <x v="0"/>
    <x v="1"/>
    <x v="4"/>
    <x v="4"/>
    <x v="4"/>
    <s v="N"/>
    <s v="N"/>
    <x v="1"/>
    <x v="0"/>
    <x v="0"/>
    <x v="0"/>
    <m/>
    <m/>
    <s v="대리점"/>
    <x v="0"/>
    <x v="0"/>
    <x v="0"/>
    <x v="91"/>
    <s v="HP2637011530"/>
    <x v="0"/>
    <n v="6"/>
  </r>
  <r>
    <x v="0"/>
    <x v="0"/>
    <x v="0"/>
    <x v="1"/>
    <x v="4"/>
    <x v="4"/>
    <x v="4"/>
    <s v="N"/>
    <s v="N"/>
    <x v="1"/>
    <x v="0"/>
    <x v="0"/>
    <x v="0"/>
    <m/>
    <m/>
    <s v="대리점"/>
    <x v="0"/>
    <x v="0"/>
    <x v="0"/>
    <x v="91"/>
    <s v="HP2637011530"/>
    <x v="1"/>
    <n v="58764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2"/>
    <s v="HP2637121974"/>
    <x v="0"/>
    <n v="4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2"/>
    <s v="HP2637121974"/>
    <x v="1"/>
    <n v="59456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3"/>
    <s v="HP2637121932"/>
    <x v="0"/>
    <n v="4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3"/>
    <s v="HP2637121932"/>
    <x v="1"/>
    <n v="5945600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94"/>
    <s v="HP2636927956"/>
    <x v="0"/>
    <n v="4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94"/>
    <s v="HP2636927956"/>
    <x v="1"/>
    <n v="4143600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23"/>
    <x v="0"/>
    <x v="95"/>
    <s v="HP2636930444"/>
    <x v="0"/>
    <n v="2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23"/>
    <x v="0"/>
    <x v="95"/>
    <s v="HP2636930444"/>
    <x v="1"/>
    <n v="3626800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9"/>
    <x v="0"/>
    <x v="96"/>
    <s v="HP2636954976"/>
    <x v="0"/>
    <n v="2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9"/>
    <x v="0"/>
    <x v="96"/>
    <s v="HP2636954976"/>
    <x v="1"/>
    <n v="1296200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9"/>
    <x v="0"/>
    <x v="96"/>
    <s v="HP2636954976"/>
    <x v="0"/>
    <n v="1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9"/>
    <x v="0"/>
    <x v="96"/>
    <s v="HP2636954976"/>
    <x v="1"/>
    <n v="6481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97"/>
    <s v="HP2636955802"/>
    <x v="0"/>
    <n v="8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97"/>
    <s v="HP2636955802"/>
    <x v="1"/>
    <n v="10540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98"/>
    <s v="HP2636959710"/>
    <x v="0"/>
    <n v="3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98"/>
    <s v="HP2636959710"/>
    <x v="1"/>
    <n v="28566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99"/>
    <s v="HP2636947858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99"/>
    <s v="HP2636947858"/>
    <x v="1"/>
    <n v="218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00"/>
    <s v="HP2636947272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00"/>
    <s v="HP2636947272"/>
    <x v="1"/>
    <n v="212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01"/>
    <s v="HP2636950100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01"/>
    <s v="HP2636950100"/>
    <x v="1"/>
    <n v="12610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97"/>
    <s v="HP2636955802"/>
    <x v="0"/>
    <n v="2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97"/>
    <s v="HP2636955802"/>
    <x v="1"/>
    <n v="2635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98"/>
    <s v="HP2636959710"/>
    <x v="0"/>
    <n v="1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98"/>
    <s v="HP2636959710"/>
    <x v="1"/>
    <n v="95220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01"/>
    <s v="HP2636950100"/>
    <x v="0"/>
    <n v="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01"/>
    <s v="HP2636950100"/>
    <x v="1"/>
    <n v="567450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02"/>
    <s v="HP2636966676"/>
    <x v="0"/>
    <n v="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02"/>
    <s v="HP2636966676"/>
    <x v="1"/>
    <n v="35996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0"/>
    <x v="103"/>
    <s v="HP2637036508"/>
    <x v="0"/>
    <n v="3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0"/>
    <x v="103"/>
    <s v="HP2637036508"/>
    <x v="1"/>
    <n v="125898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03"/>
    <s v="HP2637036508"/>
    <x v="0"/>
    <n v="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03"/>
    <s v="HP2637036508"/>
    <x v="1"/>
    <n v="41966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98"/>
    <s v="HP2636959710"/>
    <x v="0"/>
    <n v="1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98"/>
    <s v="HP2636959710"/>
    <x v="1"/>
    <n v="9522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04"/>
    <s v="HP2637028342"/>
    <x v="0"/>
    <n v="2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04"/>
    <s v="HP2637028342"/>
    <x v="1"/>
    <n v="24518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5"/>
    <s v="HP2637035466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5"/>
    <s v="HP2637035466"/>
    <x v="1"/>
    <n v="242200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6"/>
    <s v="HP2637035876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6"/>
    <s v="HP2637035876"/>
    <x v="1"/>
    <n v="23186400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98"/>
    <s v="HP2636959710"/>
    <x v="0"/>
    <n v="1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98"/>
    <s v="HP2636959710"/>
    <x v="1"/>
    <n v="952200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4"/>
    <x v="0"/>
    <x v="107"/>
    <s v="HP2637069168"/>
    <x v="0"/>
    <n v="1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4"/>
    <x v="0"/>
    <x v="107"/>
    <s v="HP2637069168"/>
    <x v="1"/>
    <n v="1099300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4"/>
    <x v="0"/>
    <x v="107"/>
    <s v="HP2637069168"/>
    <x v="0"/>
    <n v="1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4"/>
    <x v="0"/>
    <x v="107"/>
    <s v="HP2637069168"/>
    <x v="1"/>
    <n v="10993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23"/>
    <x v="0"/>
    <x v="108"/>
    <s v="HP2637069484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23"/>
    <x v="0"/>
    <x v="108"/>
    <s v="HP2637069484"/>
    <x v="1"/>
    <n v="22980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09"/>
    <s v="HP2637069320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09"/>
    <s v="HP2637069320"/>
    <x v="1"/>
    <n v="339800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10"/>
    <s v="HP2637072036"/>
    <x v="0"/>
    <n v="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10"/>
    <s v="HP2637072036"/>
    <x v="1"/>
    <n v="838080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0"/>
    <x v="111"/>
    <s v="HP2637096154"/>
    <x v="0"/>
    <n v="8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0"/>
    <x v="111"/>
    <s v="HP2637096154"/>
    <x v="1"/>
    <n v="8380800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5"/>
    <x v="0"/>
    <x v="112"/>
    <s v="HP2636925580"/>
    <x v="0"/>
    <n v="2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5"/>
    <x v="0"/>
    <x v="112"/>
    <s v="HP2636925580"/>
    <x v="1"/>
    <n v="4780000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13"/>
    <s v="HP2636925838"/>
    <x v="0"/>
    <n v="2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13"/>
    <s v="HP2636925838"/>
    <x v="1"/>
    <n v="2318000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2"/>
    <x v="0"/>
    <x v="114"/>
    <s v="HB2636944742"/>
    <x v="0"/>
    <n v="2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2"/>
    <x v="0"/>
    <x v="114"/>
    <s v="HB2636944742"/>
    <x v="1"/>
    <n v="2304800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15"/>
    <s v="HP2636952548"/>
    <x v="0"/>
    <n v="2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15"/>
    <s v="HP2636952548"/>
    <x v="1"/>
    <n v="2006000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1"/>
    <x v="0"/>
    <x v="116"/>
    <s v="HP2636988072"/>
    <x v="0"/>
    <n v="6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1"/>
    <x v="0"/>
    <x v="116"/>
    <s v="HP2636988072"/>
    <x v="1"/>
    <n v="774000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17"/>
    <s v="HP2637048266"/>
    <x v="0"/>
    <n v="1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17"/>
    <s v="HP2637048266"/>
    <x v="1"/>
    <n v="749900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17"/>
    <s v="HP2637048266"/>
    <x v="0"/>
    <n v="1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17"/>
    <s v="HP2637048266"/>
    <x v="1"/>
    <n v="749900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1"/>
    <x v="0"/>
    <x v="118"/>
    <s v="HP2637072398"/>
    <x v="0"/>
    <n v="2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1"/>
    <x v="0"/>
    <x v="118"/>
    <s v="HP2637072398"/>
    <x v="1"/>
    <n v="75800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5"/>
    <x v="1"/>
    <x v="119"/>
    <s v="HP2636934490"/>
    <x v="0"/>
    <n v="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5"/>
    <x v="1"/>
    <x v="119"/>
    <s v="HP2636934490"/>
    <x v="1"/>
    <n v="6190800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120"/>
    <s v="HP2636985672"/>
    <x v="0"/>
    <n v="2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120"/>
    <s v="HP2636985672"/>
    <x v="1"/>
    <n v="2758400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25"/>
    <x v="0"/>
    <x v="121"/>
    <s v="HP2637010118"/>
    <x v="0"/>
    <n v="2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25"/>
    <x v="0"/>
    <x v="121"/>
    <s v="HP2637010118"/>
    <x v="1"/>
    <n v="4998000"/>
  </r>
  <r>
    <x v="0"/>
    <x v="0"/>
    <x v="0"/>
    <x v="1"/>
    <x v="7"/>
    <x v="7"/>
    <x v="5"/>
    <s v="N"/>
    <s v="N"/>
    <x v="7"/>
    <x v="5"/>
    <x v="0"/>
    <x v="0"/>
    <s v="성인"/>
    <s v="성인"/>
    <s v="닷컴"/>
    <x v="2"/>
    <x v="2"/>
    <x v="0"/>
    <x v="122"/>
    <s v="HW2637031492"/>
    <x v="0"/>
    <n v="2"/>
  </r>
  <r>
    <x v="0"/>
    <x v="0"/>
    <x v="0"/>
    <x v="1"/>
    <x v="7"/>
    <x v="7"/>
    <x v="5"/>
    <s v="N"/>
    <s v="N"/>
    <x v="7"/>
    <x v="5"/>
    <x v="0"/>
    <x v="0"/>
    <s v="성인"/>
    <s v="성인"/>
    <s v="닷컴"/>
    <x v="2"/>
    <x v="2"/>
    <x v="0"/>
    <x v="122"/>
    <s v="HW2637031492"/>
    <x v="1"/>
    <n v="10123200"/>
  </r>
  <r>
    <x v="0"/>
    <x v="0"/>
    <x v="0"/>
    <x v="1"/>
    <x v="7"/>
    <x v="7"/>
    <x v="6"/>
    <s v="N"/>
    <s v="N"/>
    <x v="4"/>
    <x v="2"/>
    <x v="0"/>
    <x v="0"/>
    <m/>
    <m/>
    <s v="대리점"/>
    <x v="0"/>
    <x v="2"/>
    <x v="0"/>
    <x v="123"/>
    <s v="HQ2637058982"/>
    <x v="0"/>
    <n v="8"/>
  </r>
  <r>
    <x v="0"/>
    <x v="0"/>
    <x v="0"/>
    <x v="1"/>
    <x v="7"/>
    <x v="7"/>
    <x v="6"/>
    <s v="N"/>
    <s v="N"/>
    <x v="4"/>
    <x v="2"/>
    <x v="0"/>
    <x v="0"/>
    <m/>
    <m/>
    <s v="대리점"/>
    <x v="0"/>
    <x v="2"/>
    <x v="0"/>
    <x v="123"/>
    <s v="HQ2637058982"/>
    <x v="1"/>
    <n v="816000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124"/>
    <s v="HP2637059140"/>
    <x v="0"/>
    <n v="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124"/>
    <s v="HP2637059140"/>
    <x v="1"/>
    <n v="3230400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125"/>
    <s v="HP2637071616"/>
    <x v="0"/>
    <n v="2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125"/>
    <s v="HP2637071616"/>
    <x v="1"/>
    <n v="3000200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126"/>
    <s v="HP2637086046"/>
    <x v="0"/>
    <n v="3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126"/>
    <s v="HP2637086046"/>
    <x v="1"/>
    <n v="324690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2"/>
    <x v="1"/>
    <x v="127"/>
    <s v="HB2636931002"/>
    <x v="0"/>
    <n v="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2"/>
    <x v="1"/>
    <x v="127"/>
    <s v="HB2636931002"/>
    <x v="1"/>
    <n v="240640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2"/>
    <x v="1"/>
    <x v="127"/>
    <s v="HB2636931002"/>
    <x v="0"/>
    <n v="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2"/>
    <x v="1"/>
    <x v="127"/>
    <s v="HB2636931002"/>
    <x v="1"/>
    <n v="1624320"/>
  </r>
  <r>
    <x v="0"/>
    <x v="0"/>
    <x v="0"/>
    <x v="1"/>
    <x v="8"/>
    <x v="8"/>
    <x v="0"/>
    <s v="N"/>
    <s v="N"/>
    <x v="4"/>
    <x v="2"/>
    <x v="1"/>
    <x v="0"/>
    <s v="성인"/>
    <s v="성인"/>
    <s v="직원"/>
    <x v="3"/>
    <x v="2"/>
    <x v="0"/>
    <x v="128"/>
    <s v="HQ2636934824"/>
    <x v="0"/>
    <n v="4"/>
  </r>
  <r>
    <x v="0"/>
    <x v="0"/>
    <x v="0"/>
    <x v="1"/>
    <x v="8"/>
    <x v="8"/>
    <x v="0"/>
    <s v="N"/>
    <s v="N"/>
    <x v="4"/>
    <x v="2"/>
    <x v="1"/>
    <x v="0"/>
    <s v="성인"/>
    <s v="성인"/>
    <s v="직원"/>
    <x v="3"/>
    <x v="2"/>
    <x v="0"/>
    <x v="128"/>
    <s v="HQ2636934824"/>
    <x v="1"/>
    <n v="1123200"/>
  </r>
  <r>
    <x v="0"/>
    <x v="0"/>
    <x v="0"/>
    <x v="1"/>
    <x v="8"/>
    <x v="8"/>
    <x v="0"/>
    <s v="N"/>
    <s v="N"/>
    <x v="4"/>
    <x v="2"/>
    <x v="1"/>
    <x v="1"/>
    <s v="아동"/>
    <s v="아동"/>
    <s v="직원"/>
    <x v="3"/>
    <x v="2"/>
    <x v="0"/>
    <x v="128"/>
    <s v="HQ2636934824"/>
    <x v="0"/>
    <n v="1"/>
  </r>
  <r>
    <x v="0"/>
    <x v="0"/>
    <x v="0"/>
    <x v="1"/>
    <x v="8"/>
    <x v="8"/>
    <x v="0"/>
    <s v="N"/>
    <s v="N"/>
    <x v="4"/>
    <x v="2"/>
    <x v="1"/>
    <x v="1"/>
    <s v="아동"/>
    <s v="아동"/>
    <s v="직원"/>
    <x v="3"/>
    <x v="2"/>
    <x v="0"/>
    <x v="128"/>
    <s v="HQ2636934824"/>
    <x v="1"/>
    <n v="280800"/>
  </r>
  <r>
    <x v="0"/>
    <x v="0"/>
    <x v="0"/>
    <x v="1"/>
    <x v="8"/>
    <x v="8"/>
    <x v="0"/>
    <s v="N"/>
    <s v="N"/>
    <x v="4"/>
    <x v="2"/>
    <x v="1"/>
    <x v="1"/>
    <s v="유아"/>
    <s v="유아"/>
    <s v="직원"/>
    <x v="3"/>
    <x v="2"/>
    <x v="0"/>
    <x v="128"/>
    <s v="HQ2636934824"/>
    <x v="0"/>
    <n v="2"/>
  </r>
  <r>
    <x v="0"/>
    <x v="0"/>
    <x v="0"/>
    <x v="1"/>
    <x v="8"/>
    <x v="8"/>
    <x v="0"/>
    <s v="N"/>
    <s v="N"/>
    <x v="4"/>
    <x v="2"/>
    <x v="1"/>
    <x v="1"/>
    <s v="유아"/>
    <s v="유아"/>
    <s v="직원"/>
    <x v="3"/>
    <x v="2"/>
    <x v="0"/>
    <x v="128"/>
    <s v="HQ2636934824"/>
    <x v="1"/>
    <n v="5616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129"/>
    <s v="HP2636931890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129"/>
    <s v="HP2636931890"/>
    <x v="1"/>
    <n v="111100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130"/>
    <s v="HP2636933678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130"/>
    <s v="HP2636933678"/>
    <x v="1"/>
    <n v="4519600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131"/>
    <s v="HP2636950536"/>
    <x v="0"/>
    <n v="2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131"/>
    <s v="HP2636950536"/>
    <x v="1"/>
    <n v="1098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1"/>
    <x v="0"/>
    <x v="132"/>
    <s v="HP2636948846"/>
    <x v="0"/>
    <n v="2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1"/>
    <x v="0"/>
    <x v="132"/>
    <s v="HP2636948846"/>
    <x v="1"/>
    <n v="3276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130"/>
    <s v="HP2636944712"/>
    <x v="0"/>
    <n v="4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130"/>
    <s v="HP2636944712"/>
    <x v="1"/>
    <n v="451960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133"/>
    <s v="HP2636956434"/>
    <x v="0"/>
    <n v="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133"/>
    <s v="HP2636956434"/>
    <x v="1"/>
    <n v="8596000"/>
  </r>
  <r>
    <x v="0"/>
    <x v="0"/>
    <x v="0"/>
    <x v="1"/>
    <x v="8"/>
    <x v="8"/>
    <x v="11"/>
    <s v="Y"/>
    <s v="N"/>
    <x v="0"/>
    <x v="0"/>
    <x v="0"/>
    <x v="0"/>
    <s v="성인"/>
    <s v="성인"/>
    <s v="대리점"/>
    <x v="0"/>
    <x v="14"/>
    <x v="0"/>
    <x v="134"/>
    <s v="HP2636974928"/>
    <x v="0"/>
    <n v="3"/>
  </r>
  <r>
    <x v="0"/>
    <x v="0"/>
    <x v="0"/>
    <x v="1"/>
    <x v="8"/>
    <x v="8"/>
    <x v="11"/>
    <s v="Y"/>
    <s v="N"/>
    <x v="0"/>
    <x v="0"/>
    <x v="0"/>
    <x v="0"/>
    <s v="성인"/>
    <s v="성인"/>
    <s v="대리점"/>
    <x v="0"/>
    <x v="14"/>
    <x v="0"/>
    <x v="134"/>
    <s v="HP2636974928"/>
    <x v="1"/>
    <n v="954300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9"/>
    <x v="0"/>
    <x v="135"/>
    <s v="HP2637011374"/>
    <x v="0"/>
    <n v="2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9"/>
    <x v="0"/>
    <x v="135"/>
    <s v="HP2637011374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9"/>
    <x v="1"/>
    <x v="135"/>
    <s v="HP2637005668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9"/>
    <x v="1"/>
    <x v="135"/>
    <s v="HP2637005668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136"/>
    <s v="HP2637008140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136"/>
    <s v="HP2637008140"/>
    <x v="1"/>
    <n v="3593700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137"/>
    <s v="HP2637013986"/>
    <x v="0"/>
    <n v="2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137"/>
    <s v="HP2637013986"/>
    <x v="1"/>
    <n v="19632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138"/>
    <s v="HP263701297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138"/>
    <s v="HP2637012978"/>
    <x v="1"/>
    <n v="18060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39"/>
    <s v="HP263700869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39"/>
    <s v="HP2637008698"/>
    <x v="1"/>
    <n v="19044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0"/>
    <s v="HP2637011660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0"/>
    <s v="HP2637011660"/>
    <x v="1"/>
    <n v="26598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1"/>
    <s v="HP2637014392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1"/>
    <s v="HP2637014392"/>
    <x v="1"/>
    <n v="2659800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2"/>
    <x v="0"/>
    <x v="142"/>
    <s v="HB2637038852"/>
    <x v="0"/>
    <n v="4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2"/>
    <x v="0"/>
    <x v="142"/>
    <s v="HB2637038852"/>
    <x v="1"/>
    <n v="1719600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143"/>
    <s v="HP2637034092"/>
    <x v="0"/>
    <n v="1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143"/>
    <s v="HP2637034092"/>
    <x v="1"/>
    <n v="6569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5"/>
    <x v="0"/>
    <x v="144"/>
    <s v="HP2637033936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5"/>
    <x v="0"/>
    <x v="144"/>
    <s v="HP2637033936"/>
    <x v="1"/>
    <n v="2598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145"/>
    <s v="HP2637034766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145"/>
    <s v="HP2637034766"/>
    <x v="1"/>
    <n v="2249800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143"/>
    <s v="HP2637034092"/>
    <x v="0"/>
    <n v="1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143"/>
    <s v="HP2637034092"/>
    <x v="1"/>
    <n v="6569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0"/>
    <x v="144"/>
    <s v="HP2637033936"/>
    <x v="0"/>
    <n v="13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0"/>
    <x v="144"/>
    <s v="HP2637033936"/>
    <x v="1"/>
    <n v="16887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1"/>
    <x v="144"/>
    <s v="HP2637033936"/>
    <x v="0"/>
    <n v="0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1"/>
    <x v="144"/>
    <s v="HP2637033936"/>
    <x v="1"/>
    <n v="259800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143"/>
    <s v="HP2637034092"/>
    <x v="0"/>
    <n v="1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143"/>
    <s v="HP2637034092"/>
    <x v="1"/>
    <n v="656900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146"/>
    <s v="HP2637037316"/>
    <x v="0"/>
    <n v="2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146"/>
    <s v="HP2637037316"/>
    <x v="1"/>
    <n v="3969800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147"/>
    <s v="HP2637047966"/>
    <x v="0"/>
    <n v="1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147"/>
    <s v="HP2637047966"/>
    <x v="1"/>
    <n v="1285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7"/>
    <s v="HP2637047966"/>
    <x v="0"/>
    <n v="2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7"/>
    <s v="HP2637047966"/>
    <x v="1"/>
    <n v="2570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8"/>
    <s v="HP2637052262"/>
    <x v="0"/>
    <n v="6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8"/>
    <s v="HP2637052262"/>
    <x v="1"/>
    <n v="6108600"/>
  </r>
  <r>
    <x v="0"/>
    <x v="0"/>
    <x v="0"/>
    <x v="1"/>
    <x v="8"/>
    <x v="8"/>
    <x v="6"/>
    <s v="N"/>
    <s v="N"/>
    <x v="0"/>
    <x v="0"/>
    <x v="0"/>
    <x v="0"/>
    <m/>
    <m/>
    <s v="직원"/>
    <x v="3"/>
    <x v="25"/>
    <x v="0"/>
    <x v="144"/>
    <s v="HP2637033936"/>
    <x v="0"/>
    <n v="1"/>
  </r>
  <r>
    <x v="0"/>
    <x v="0"/>
    <x v="0"/>
    <x v="1"/>
    <x v="8"/>
    <x v="8"/>
    <x v="6"/>
    <s v="N"/>
    <s v="N"/>
    <x v="0"/>
    <x v="0"/>
    <x v="0"/>
    <x v="0"/>
    <m/>
    <m/>
    <s v="직원"/>
    <x v="3"/>
    <x v="25"/>
    <x v="0"/>
    <x v="144"/>
    <s v="HP2637033936"/>
    <x v="1"/>
    <n v="129900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149"/>
    <s v="HP2637118578"/>
    <x v="0"/>
    <n v="5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149"/>
    <s v="HP2637118578"/>
    <x v="1"/>
    <n v="4745000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149"/>
    <s v="HP2637118578"/>
    <x v="0"/>
    <n v="1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149"/>
    <s v="HP2637118578"/>
    <x v="1"/>
    <n v="949000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149"/>
    <s v="HP2637118578"/>
    <x v="0"/>
    <n v="3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149"/>
    <s v="HP2637118578"/>
    <x v="1"/>
    <n v="2562300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149"/>
    <s v="HP2637118578"/>
    <x v="0"/>
    <n v="1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149"/>
    <s v="HP2637118578"/>
    <x v="1"/>
    <n v="8541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150"/>
    <s v="HP2637117474"/>
    <x v="0"/>
    <n v="2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150"/>
    <s v="HP2637117474"/>
    <x v="1"/>
    <n v="65932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3"/>
    <x v="0"/>
    <x v="151"/>
    <s v="HP2637110948"/>
    <x v="0"/>
    <n v="7"/>
  </r>
  <r>
    <x v="0"/>
    <x v="0"/>
    <x v="0"/>
    <x v="1"/>
    <x v="8"/>
    <x v="8"/>
    <x v="10"/>
    <s v="N"/>
    <s v="N"/>
    <x v="1"/>
    <x v="0"/>
    <x v="0"/>
    <x v="0"/>
    <m/>
    <m/>
    <s v="대리점"/>
    <x v="0"/>
    <x v="3"/>
    <x v="0"/>
    <x v="151"/>
    <s v="HP2637110948"/>
    <x v="1"/>
    <n v="116753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152"/>
    <s v="HP2637124950"/>
    <x v="0"/>
    <n v="2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152"/>
    <s v="HP2637124950"/>
    <x v="1"/>
    <n v="7970800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153"/>
    <s v="HP2636925820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153"/>
    <s v="HP2636925820"/>
    <x v="1"/>
    <n v="1099800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154"/>
    <s v="HP2636927388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154"/>
    <s v="HP2636927388"/>
    <x v="1"/>
    <n v="26046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155"/>
    <s v="HP2636926272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155"/>
    <s v="HP2636926272"/>
    <x v="1"/>
    <n v="43168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156"/>
    <s v="HP2636924122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156"/>
    <s v="HP2636924122"/>
    <x v="1"/>
    <n v="2937600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1"/>
    <x v="0"/>
    <x v="157"/>
    <s v="HP2637053330"/>
    <x v="0"/>
    <n v="2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1"/>
    <x v="0"/>
    <x v="157"/>
    <s v="HP2637053330"/>
    <x v="1"/>
    <n v="338000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158"/>
    <s v="HP2637088136"/>
    <x v="0"/>
    <n v="1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158"/>
    <s v="HP2637088136"/>
    <x v="1"/>
    <n v="116720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1"/>
    <x v="1"/>
    <x v="159"/>
    <s v="HP2636922740"/>
    <x v="0"/>
    <n v="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1"/>
    <x v="1"/>
    <x v="159"/>
    <s v="HP2636922740"/>
    <x v="1"/>
    <n v="1198000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160"/>
    <s v="HP2636932654"/>
    <x v="0"/>
    <n v="2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160"/>
    <s v="HP2636932654"/>
    <x v="1"/>
    <n v="2004400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23"/>
    <x v="0"/>
    <x v="161"/>
    <s v="HP2636931774"/>
    <x v="0"/>
    <n v="3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23"/>
    <x v="0"/>
    <x v="161"/>
    <s v="HP2636931774"/>
    <x v="1"/>
    <n v="5020200"/>
  </r>
  <r>
    <x v="0"/>
    <x v="0"/>
    <x v="0"/>
    <x v="1"/>
    <x v="10"/>
    <x v="10"/>
    <x v="2"/>
    <s v="Y"/>
    <s v="Y"/>
    <x v="1"/>
    <x v="0"/>
    <x v="0"/>
    <x v="0"/>
    <m/>
    <m/>
    <s v="대리점"/>
    <x v="0"/>
    <x v="3"/>
    <x v="0"/>
    <x v="162"/>
    <s v="HP2636964452"/>
    <x v="0"/>
    <n v="3"/>
  </r>
  <r>
    <x v="0"/>
    <x v="0"/>
    <x v="0"/>
    <x v="1"/>
    <x v="10"/>
    <x v="10"/>
    <x v="2"/>
    <s v="Y"/>
    <s v="Y"/>
    <x v="1"/>
    <x v="0"/>
    <x v="0"/>
    <x v="0"/>
    <m/>
    <m/>
    <s v="대리점"/>
    <x v="0"/>
    <x v="3"/>
    <x v="0"/>
    <x v="162"/>
    <s v="HP2636964452"/>
    <x v="1"/>
    <n v="3134700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163"/>
    <s v="HP2637068938"/>
    <x v="0"/>
    <n v="2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163"/>
    <s v="HP2637068938"/>
    <x v="1"/>
    <n v="181980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3"/>
    <x v="1"/>
    <x v="164"/>
    <s v="HP2637114056"/>
    <x v="0"/>
    <n v="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3"/>
    <x v="1"/>
    <x v="164"/>
    <s v="HP2637114056"/>
    <x v="1"/>
    <n v="3693200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165"/>
    <s v="HP2636927630"/>
    <x v="0"/>
    <n v="2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165"/>
    <s v="HP2636927630"/>
    <x v="1"/>
    <n v="2198000"/>
  </r>
  <r>
    <x v="0"/>
    <x v="0"/>
    <x v="0"/>
    <x v="2"/>
    <x v="11"/>
    <x v="11"/>
    <x v="1"/>
    <s v="N"/>
    <s v="N"/>
    <x v="4"/>
    <x v="2"/>
    <x v="0"/>
    <x v="0"/>
    <s v="성인"/>
    <s v="성인"/>
    <s v="대리점"/>
    <x v="0"/>
    <x v="2"/>
    <x v="0"/>
    <x v="166"/>
    <s v="HQ2636957654"/>
    <x v="0"/>
    <n v="14"/>
  </r>
  <r>
    <x v="0"/>
    <x v="0"/>
    <x v="0"/>
    <x v="2"/>
    <x v="11"/>
    <x v="11"/>
    <x v="1"/>
    <s v="N"/>
    <s v="N"/>
    <x v="4"/>
    <x v="2"/>
    <x v="0"/>
    <x v="0"/>
    <s v="성인"/>
    <s v="성인"/>
    <s v="대리점"/>
    <x v="0"/>
    <x v="2"/>
    <x v="0"/>
    <x v="166"/>
    <s v="HQ2636957654"/>
    <x v="1"/>
    <n v="18410000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167"/>
    <s v="HP2636858146"/>
    <x v="0"/>
    <n v="1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167"/>
    <s v="HP2636858146"/>
    <x v="1"/>
    <n v="1072400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168"/>
    <s v="HP2636963898"/>
    <x v="0"/>
    <n v="2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168"/>
    <s v="HP2636963898"/>
    <x v="1"/>
    <n v="329800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169"/>
    <s v="HP2636987810"/>
    <x v="0"/>
    <n v="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169"/>
    <s v="HP2636987810"/>
    <x v="1"/>
    <n v="5143600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3"/>
    <x v="0"/>
    <x v="170"/>
    <s v="HP2637003284"/>
    <x v="0"/>
    <n v="3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3"/>
    <x v="0"/>
    <x v="170"/>
    <s v="HP2637003284"/>
    <x v="1"/>
    <n v="3256500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3"/>
    <x v="0"/>
    <x v="170"/>
    <s v="HP2637003284"/>
    <x v="0"/>
    <n v="1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3"/>
    <x v="0"/>
    <x v="170"/>
    <s v="HP2637003284"/>
    <x v="1"/>
    <n v="10855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1"/>
    <s v="HP2637028110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1"/>
    <s v="HP2637028110"/>
    <x v="1"/>
    <n v="12360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2"/>
    <s v="HP2637032822"/>
    <x v="0"/>
    <n v="3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2"/>
    <s v="HP2637032822"/>
    <x v="1"/>
    <n v="897000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173"/>
    <s v="HP2637059524"/>
    <x v="0"/>
    <n v="2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173"/>
    <s v="HP2637059524"/>
    <x v="1"/>
    <n v="2676200"/>
  </r>
  <r>
    <x v="0"/>
    <x v="0"/>
    <x v="0"/>
    <x v="2"/>
    <x v="11"/>
    <x v="11"/>
    <x v="6"/>
    <s v="N"/>
    <s v="N"/>
    <x v="1"/>
    <x v="0"/>
    <x v="0"/>
    <x v="0"/>
    <m/>
    <m/>
    <s v="대리점"/>
    <x v="0"/>
    <x v="3"/>
    <x v="0"/>
    <x v="174"/>
    <s v="HP2637055656"/>
    <x v="0"/>
    <n v="13"/>
  </r>
  <r>
    <x v="0"/>
    <x v="0"/>
    <x v="0"/>
    <x v="2"/>
    <x v="11"/>
    <x v="11"/>
    <x v="6"/>
    <s v="N"/>
    <s v="N"/>
    <x v="1"/>
    <x v="0"/>
    <x v="0"/>
    <x v="0"/>
    <m/>
    <m/>
    <s v="대리점"/>
    <x v="0"/>
    <x v="3"/>
    <x v="0"/>
    <x v="174"/>
    <s v="HP2637055656"/>
    <x v="1"/>
    <n v="20826000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175"/>
    <s v="HP2637070506"/>
    <x v="0"/>
    <n v="2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175"/>
    <s v="HP2637070506"/>
    <x v="1"/>
    <n v="3350200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9"/>
    <x v="0"/>
    <x v="176"/>
    <s v="HP2637122528"/>
    <x v="0"/>
    <n v="1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9"/>
    <x v="0"/>
    <x v="176"/>
    <s v="HP2637122528"/>
    <x v="1"/>
    <n v="5990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7"/>
    <s v="HP2636930854"/>
    <x v="0"/>
    <n v="1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7"/>
    <s v="HP2636930854"/>
    <x v="1"/>
    <n v="7981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8"/>
    <s v="HP2636924178"/>
    <x v="0"/>
    <n v="3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8"/>
    <s v="HP2636924178"/>
    <x v="1"/>
    <n v="3224400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179"/>
    <s v="HP2637003754"/>
    <x v="0"/>
    <n v="2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179"/>
    <s v="HP2637003754"/>
    <x v="1"/>
    <n v="755800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180"/>
    <s v="HP2637009768"/>
    <x v="0"/>
    <n v="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180"/>
    <s v="HP2637009768"/>
    <x v="1"/>
    <n v="5230800"/>
  </r>
  <r>
    <x v="0"/>
    <x v="0"/>
    <x v="0"/>
    <x v="2"/>
    <x v="12"/>
    <x v="12"/>
    <x v="5"/>
    <s v="N"/>
    <s v="N"/>
    <x v="4"/>
    <x v="2"/>
    <x v="0"/>
    <x v="0"/>
    <s v="성인"/>
    <s v="성인"/>
    <s v="닷컴"/>
    <x v="2"/>
    <x v="2"/>
    <x v="0"/>
    <x v="181"/>
    <s v="HQ2637031544"/>
    <x v="0"/>
    <n v="10"/>
  </r>
  <r>
    <x v="0"/>
    <x v="0"/>
    <x v="0"/>
    <x v="2"/>
    <x v="12"/>
    <x v="12"/>
    <x v="5"/>
    <s v="N"/>
    <s v="N"/>
    <x v="4"/>
    <x v="2"/>
    <x v="0"/>
    <x v="0"/>
    <s v="성인"/>
    <s v="성인"/>
    <s v="닷컴"/>
    <x v="2"/>
    <x v="2"/>
    <x v="0"/>
    <x v="181"/>
    <s v="HQ2637031544"/>
    <x v="1"/>
    <n v="0"/>
  </r>
  <r>
    <x v="0"/>
    <x v="0"/>
    <x v="0"/>
    <x v="2"/>
    <x v="12"/>
    <x v="12"/>
    <x v="5"/>
    <s v="N"/>
    <s v="N"/>
    <x v="4"/>
    <x v="2"/>
    <x v="0"/>
    <x v="0"/>
    <s v="청소년"/>
    <s v="성인"/>
    <s v="닷컴"/>
    <x v="2"/>
    <x v="2"/>
    <x v="0"/>
    <x v="181"/>
    <s v="HQ2637031544"/>
    <x v="0"/>
    <n v="1"/>
  </r>
  <r>
    <x v="0"/>
    <x v="0"/>
    <x v="0"/>
    <x v="2"/>
    <x v="12"/>
    <x v="12"/>
    <x v="5"/>
    <s v="N"/>
    <s v="N"/>
    <x v="4"/>
    <x v="2"/>
    <x v="0"/>
    <x v="0"/>
    <s v="청소년"/>
    <s v="성인"/>
    <s v="닷컴"/>
    <x v="2"/>
    <x v="2"/>
    <x v="0"/>
    <x v="181"/>
    <s v="HQ2637031544"/>
    <x v="1"/>
    <n v="0"/>
  </r>
  <r>
    <x v="0"/>
    <x v="0"/>
    <x v="0"/>
    <x v="2"/>
    <x v="12"/>
    <x v="12"/>
    <x v="5"/>
    <s v="N"/>
    <s v="N"/>
    <x v="4"/>
    <x v="2"/>
    <x v="0"/>
    <x v="0"/>
    <s v="청소년"/>
    <s v="청소년"/>
    <s v="닷컴"/>
    <x v="2"/>
    <x v="2"/>
    <x v="0"/>
    <x v="181"/>
    <s v="HQ2637031544"/>
    <x v="0"/>
    <n v="7"/>
  </r>
  <r>
    <x v="0"/>
    <x v="0"/>
    <x v="0"/>
    <x v="2"/>
    <x v="12"/>
    <x v="12"/>
    <x v="5"/>
    <s v="N"/>
    <s v="N"/>
    <x v="4"/>
    <x v="2"/>
    <x v="0"/>
    <x v="0"/>
    <s v="청소년"/>
    <s v="청소년"/>
    <s v="닷컴"/>
    <x v="2"/>
    <x v="2"/>
    <x v="0"/>
    <x v="181"/>
    <s v="HQ2637031544"/>
    <x v="1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182"/>
    <s v="HP2637072336"/>
    <x v="0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182"/>
    <s v="HP2637072336"/>
    <x v="1"/>
    <n v="4599600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183"/>
    <s v="HP2637071944"/>
    <x v="0"/>
    <n v="1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183"/>
    <s v="HP2637071944"/>
    <x v="1"/>
    <n v="11499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6"/>
    <x v="0"/>
    <x v="184"/>
    <s v="HP2637114758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6"/>
    <x v="0"/>
    <x v="184"/>
    <s v="HP2637114758"/>
    <x v="1"/>
    <n v="8310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7"/>
    <x v="0"/>
    <x v="185"/>
    <s v="HP2637113428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7"/>
    <x v="0"/>
    <x v="185"/>
    <s v="HP2637113428"/>
    <x v="1"/>
    <n v="1778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186"/>
    <s v="HP2637117792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186"/>
    <s v="HP2637117792"/>
    <x v="1"/>
    <n v="1593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187"/>
    <s v="HP2637119806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187"/>
    <s v="HP2637119806"/>
    <x v="1"/>
    <n v="2359800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188"/>
    <s v="HP2637122412"/>
    <x v="0"/>
    <n v="2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188"/>
    <s v="HP2637122412"/>
    <x v="1"/>
    <n v="3698000"/>
  </r>
  <r>
    <x v="0"/>
    <x v="0"/>
    <x v="0"/>
    <x v="2"/>
    <x v="13"/>
    <x v="13"/>
    <x v="0"/>
    <s v="N"/>
    <s v="N"/>
    <x v="5"/>
    <x v="2"/>
    <x v="0"/>
    <x v="0"/>
    <s v="성인"/>
    <s v="성인"/>
    <s v="닷컴"/>
    <x v="2"/>
    <x v="24"/>
    <x v="0"/>
    <x v="189"/>
    <s v="HG2636936084"/>
    <x v="0"/>
    <n v="2"/>
  </r>
  <r>
    <x v="0"/>
    <x v="0"/>
    <x v="0"/>
    <x v="2"/>
    <x v="13"/>
    <x v="13"/>
    <x v="0"/>
    <s v="N"/>
    <s v="N"/>
    <x v="5"/>
    <x v="2"/>
    <x v="0"/>
    <x v="0"/>
    <s v="성인"/>
    <s v="성인"/>
    <s v="닷컴"/>
    <x v="2"/>
    <x v="24"/>
    <x v="0"/>
    <x v="189"/>
    <s v="HG2636936084"/>
    <x v="1"/>
    <n v="3240000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190"/>
    <s v="HP2636925090"/>
    <x v="0"/>
    <n v="2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190"/>
    <s v="HP2636925090"/>
    <x v="1"/>
    <n v="1316200"/>
  </r>
  <r>
    <x v="0"/>
    <x v="0"/>
    <x v="0"/>
    <x v="2"/>
    <x v="13"/>
    <x v="13"/>
    <x v="1"/>
    <s v="N"/>
    <s v="N"/>
    <x v="4"/>
    <x v="2"/>
    <x v="0"/>
    <x v="0"/>
    <s v="성인"/>
    <s v="성인"/>
    <s v="대리점"/>
    <x v="0"/>
    <x v="2"/>
    <x v="0"/>
    <x v="191"/>
    <s v="HQ2636321926"/>
    <x v="0"/>
    <n v="1"/>
  </r>
  <r>
    <x v="0"/>
    <x v="0"/>
    <x v="0"/>
    <x v="2"/>
    <x v="13"/>
    <x v="13"/>
    <x v="1"/>
    <s v="N"/>
    <s v="N"/>
    <x v="4"/>
    <x v="2"/>
    <x v="0"/>
    <x v="0"/>
    <s v="성인"/>
    <s v="성인"/>
    <s v="대리점"/>
    <x v="0"/>
    <x v="2"/>
    <x v="0"/>
    <x v="191"/>
    <s v="HQ2636321926"/>
    <x v="1"/>
    <n v="0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192"/>
    <s v="HP2636951878"/>
    <x v="0"/>
    <n v="2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192"/>
    <s v="HP2636951878"/>
    <x v="1"/>
    <n v="8393200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192"/>
    <s v="HP2636951878"/>
    <x v="0"/>
    <n v="1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192"/>
    <s v="HP2636951878"/>
    <x v="1"/>
    <n v="4196600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193"/>
    <s v="HP2636957330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193"/>
    <s v="HP2636957330"/>
    <x v="1"/>
    <n v="1584800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194"/>
    <s v="HP2636956996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194"/>
    <s v="HP2636956996"/>
    <x v="1"/>
    <n v="216980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195"/>
    <s v="HP2636945482"/>
    <x v="0"/>
    <n v="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195"/>
    <s v="HP2636945482"/>
    <x v="1"/>
    <n v="338800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195"/>
    <s v="HP2636945810"/>
    <x v="0"/>
    <n v="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195"/>
    <s v="HP2636945810"/>
    <x v="1"/>
    <n v="3388000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196"/>
    <s v="HP2636966886"/>
    <x v="0"/>
    <n v="2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196"/>
    <s v="HP2636966886"/>
    <x v="1"/>
    <n v="313600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197"/>
    <s v="HP2636962626"/>
    <x v="0"/>
    <n v="5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197"/>
    <s v="HP2636962626"/>
    <x v="1"/>
    <n v="350100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198"/>
    <s v="HP2636962742"/>
    <x v="0"/>
    <n v="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198"/>
    <s v="HP2636962742"/>
    <x v="1"/>
    <n v="6571600"/>
  </r>
  <r>
    <x v="0"/>
    <x v="0"/>
    <x v="0"/>
    <x v="2"/>
    <x v="13"/>
    <x v="13"/>
    <x v="11"/>
    <s v="Y"/>
    <s v="N"/>
    <x v="0"/>
    <x v="0"/>
    <x v="0"/>
    <x v="0"/>
    <m/>
    <m/>
    <s v="대리점"/>
    <x v="0"/>
    <x v="2"/>
    <x v="1"/>
    <x v="199"/>
    <s v="HP2636978996"/>
    <x v="0"/>
    <n v="0"/>
  </r>
  <r>
    <x v="0"/>
    <x v="0"/>
    <x v="0"/>
    <x v="2"/>
    <x v="13"/>
    <x v="13"/>
    <x v="11"/>
    <s v="Y"/>
    <s v="N"/>
    <x v="0"/>
    <x v="0"/>
    <x v="0"/>
    <x v="0"/>
    <m/>
    <m/>
    <s v="대리점"/>
    <x v="0"/>
    <x v="2"/>
    <x v="1"/>
    <x v="199"/>
    <s v="HP2636978996"/>
    <x v="1"/>
    <n v="285980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2"/>
    <x v="1"/>
    <x v="200"/>
    <s v="HB2636989946"/>
    <x v="0"/>
    <n v="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2"/>
    <x v="1"/>
    <x v="200"/>
    <s v="HB2636989946"/>
    <x v="1"/>
    <n v="9190000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201"/>
    <s v="HP2636982678"/>
    <x v="0"/>
    <n v="2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201"/>
    <s v="HP2636982678"/>
    <x v="1"/>
    <n v="78000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201"/>
    <s v="HP2637003628"/>
    <x v="0"/>
    <n v="1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201"/>
    <s v="HP2637003628"/>
    <x v="1"/>
    <n v="39000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7"/>
    <x v="0"/>
    <x v="202"/>
    <s v="HP2637008836"/>
    <x v="0"/>
    <n v="1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7"/>
    <x v="0"/>
    <x v="202"/>
    <s v="HP2637008836"/>
    <x v="1"/>
    <n v="123010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203"/>
    <s v="HP2637004816"/>
    <x v="0"/>
    <n v="1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203"/>
    <s v="HP2637004816"/>
    <x v="1"/>
    <n v="13380000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203"/>
    <s v="HP2637004816"/>
    <x v="0"/>
    <n v="1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203"/>
    <s v="HP2637004816"/>
    <x v="1"/>
    <n v="1338000"/>
  </r>
  <r>
    <x v="0"/>
    <x v="0"/>
    <x v="0"/>
    <x v="2"/>
    <x v="13"/>
    <x v="13"/>
    <x v="4"/>
    <s v="N"/>
    <s v="N"/>
    <x v="0"/>
    <x v="0"/>
    <x v="0"/>
    <x v="0"/>
    <m/>
    <m/>
    <s v="닷컴"/>
    <x v="2"/>
    <x v="17"/>
    <x v="0"/>
    <x v="202"/>
    <s v="HP2637008836"/>
    <x v="0"/>
    <n v="13"/>
  </r>
  <r>
    <x v="0"/>
    <x v="0"/>
    <x v="0"/>
    <x v="2"/>
    <x v="13"/>
    <x v="13"/>
    <x v="4"/>
    <s v="N"/>
    <s v="N"/>
    <x v="0"/>
    <x v="0"/>
    <x v="0"/>
    <x v="0"/>
    <m/>
    <m/>
    <s v="닷컴"/>
    <x v="2"/>
    <x v="17"/>
    <x v="0"/>
    <x v="202"/>
    <s v="HP2637008836"/>
    <x v="1"/>
    <n v="1599130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204"/>
    <s v="HP2637015516"/>
    <x v="0"/>
    <n v="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204"/>
    <s v="HP2637015516"/>
    <x v="1"/>
    <n v="2085000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203"/>
    <s v="HP2637004816"/>
    <x v="0"/>
    <n v="1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203"/>
    <s v="HP2637004816"/>
    <x v="1"/>
    <n v="1338000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203"/>
    <s v="HP2637004816"/>
    <x v="0"/>
    <n v="1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203"/>
    <s v="HP2637004816"/>
    <x v="1"/>
    <n v="133800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204"/>
    <s v="HP2637015516"/>
    <x v="0"/>
    <n v="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204"/>
    <s v="HP2637015516"/>
    <x v="1"/>
    <n v="1251000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205"/>
    <s v="HP2637005762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205"/>
    <s v="HP2637005762"/>
    <x v="1"/>
    <n v="11674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5"/>
    <x v="0"/>
    <x v="206"/>
    <s v="HP2637001934"/>
    <x v="0"/>
    <n v="2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5"/>
    <x v="0"/>
    <x v="206"/>
    <s v="HP2637001934"/>
    <x v="1"/>
    <n v="79716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205"/>
    <s v="HP2637007138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205"/>
    <s v="HP2637007138"/>
    <x v="1"/>
    <n v="1167400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205"/>
    <s v="HP2637005762"/>
    <x v="0"/>
    <n v="1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205"/>
    <s v="HP2637005762"/>
    <x v="1"/>
    <n v="116740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205"/>
    <s v="HP2637005762"/>
    <x v="0"/>
    <n v="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205"/>
    <s v="HP2637005762"/>
    <x v="1"/>
    <n v="2334800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205"/>
    <s v="HP2637007138"/>
    <x v="0"/>
    <n v="1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205"/>
    <s v="HP2637007138"/>
    <x v="1"/>
    <n v="1109030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207"/>
    <s v="HP2637003818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207"/>
    <s v="HP2637003818"/>
    <x v="1"/>
    <n v="3599800"/>
  </r>
  <r>
    <x v="0"/>
    <x v="0"/>
    <x v="0"/>
    <x v="2"/>
    <x v="13"/>
    <x v="13"/>
    <x v="4"/>
    <s v="N"/>
    <s v="N"/>
    <x v="2"/>
    <x v="0"/>
    <x v="0"/>
    <x v="0"/>
    <s v="성인"/>
    <s v="성인"/>
    <s v="대리점"/>
    <x v="0"/>
    <x v="2"/>
    <x v="0"/>
    <x v="208"/>
    <s v="HP2637006000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대리점"/>
    <x v="0"/>
    <x v="2"/>
    <x v="0"/>
    <x v="208"/>
    <s v="HP2637006000"/>
    <x v="1"/>
    <n v="3339800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209"/>
    <s v="HP2637032970"/>
    <x v="0"/>
    <n v="2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209"/>
    <s v="HP2637032970"/>
    <x v="1"/>
    <n v="19402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5"/>
    <x v="1"/>
    <x v="206"/>
    <s v="HP2637001934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5"/>
    <x v="1"/>
    <x v="206"/>
    <s v="HP2637001934"/>
    <x v="1"/>
    <n v="39858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210"/>
    <s v="HP2637034012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210"/>
    <s v="HP2637034012"/>
    <x v="1"/>
    <n v="2204400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211"/>
    <s v="HP2637047868"/>
    <x v="0"/>
    <n v="2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211"/>
    <s v="HP2637047868"/>
    <x v="1"/>
    <n v="21154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1718"/>
    <x v="0"/>
    <n v="4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1718"/>
    <x v="1"/>
    <n v="9080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2920"/>
    <x v="0"/>
    <n v="3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2920"/>
    <x v="1"/>
    <n v="65100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9"/>
    <x v="1"/>
    <x v="212"/>
    <s v="HP2637072786"/>
    <x v="0"/>
    <n v="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9"/>
    <x v="1"/>
    <x v="212"/>
    <s v="HP2637072786"/>
    <x v="1"/>
    <n v="22700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213"/>
    <s v="HP2637068156"/>
    <x v="0"/>
    <n v="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213"/>
    <s v="HP2637068156"/>
    <x v="1"/>
    <n v="3270000"/>
  </r>
  <r>
    <x v="0"/>
    <x v="0"/>
    <x v="0"/>
    <x v="2"/>
    <x v="13"/>
    <x v="13"/>
    <x v="8"/>
    <s v="Y"/>
    <s v="N"/>
    <x v="0"/>
    <x v="0"/>
    <x v="0"/>
    <x v="0"/>
    <s v="성인"/>
    <s v="성인"/>
    <s v="대리점"/>
    <x v="0"/>
    <x v="2"/>
    <x v="0"/>
    <x v="214"/>
    <s v="HP2637089450"/>
    <x v="0"/>
    <n v="1"/>
  </r>
  <r>
    <x v="0"/>
    <x v="0"/>
    <x v="0"/>
    <x v="2"/>
    <x v="13"/>
    <x v="13"/>
    <x v="8"/>
    <s v="Y"/>
    <s v="N"/>
    <x v="0"/>
    <x v="0"/>
    <x v="0"/>
    <x v="0"/>
    <s v="성인"/>
    <s v="성인"/>
    <s v="대리점"/>
    <x v="0"/>
    <x v="2"/>
    <x v="0"/>
    <x v="214"/>
    <s v="HP2637089450"/>
    <x v="1"/>
    <n v="99900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0"/>
    <x v="214"/>
    <s v="HP2637089450"/>
    <x v="0"/>
    <n v="5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0"/>
    <x v="214"/>
    <s v="HP2637089450"/>
    <x v="1"/>
    <n v="4995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5"/>
    <x v="0"/>
    <x v="215"/>
    <s v="HP2637079154"/>
    <x v="0"/>
    <n v="4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5"/>
    <x v="0"/>
    <x v="215"/>
    <s v="HP2637079154"/>
    <x v="1"/>
    <n v="16620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8954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8954"/>
    <x v="1"/>
    <n v="22998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9012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9012"/>
    <x v="1"/>
    <n v="2299800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5"/>
    <x v="0"/>
    <x v="215"/>
    <s v="HP2637079154"/>
    <x v="0"/>
    <n v="1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5"/>
    <x v="0"/>
    <x v="215"/>
    <s v="HP2637079154"/>
    <x v="1"/>
    <n v="4155000"/>
  </r>
  <r>
    <x v="0"/>
    <x v="0"/>
    <x v="0"/>
    <x v="2"/>
    <x v="13"/>
    <x v="13"/>
    <x v="8"/>
    <s v="Y"/>
    <s v="N"/>
    <x v="1"/>
    <x v="0"/>
    <x v="0"/>
    <x v="0"/>
    <m/>
    <m/>
    <s v="닷컴"/>
    <x v="2"/>
    <x v="15"/>
    <x v="1"/>
    <x v="215"/>
    <s v="HP2637079154"/>
    <x v="0"/>
    <n v="0"/>
  </r>
  <r>
    <x v="0"/>
    <x v="0"/>
    <x v="0"/>
    <x v="2"/>
    <x v="13"/>
    <x v="13"/>
    <x v="8"/>
    <s v="Y"/>
    <s v="N"/>
    <x v="1"/>
    <x v="0"/>
    <x v="0"/>
    <x v="0"/>
    <m/>
    <m/>
    <s v="닷컴"/>
    <x v="2"/>
    <x v="15"/>
    <x v="1"/>
    <x v="215"/>
    <s v="HP2637079154"/>
    <x v="1"/>
    <n v="4155000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16"/>
    <x v="0"/>
    <x v="217"/>
    <s v="HP2637094248"/>
    <x v="0"/>
    <n v="1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16"/>
    <x v="0"/>
    <x v="217"/>
    <s v="HP2637094248"/>
    <x v="1"/>
    <n v="1469900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16"/>
    <x v="0"/>
    <x v="217"/>
    <s v="HP2637094248"/>
    <x v="0"/>
    <n v="1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16"/>
    <x v="0"/>
    <x v="217"/>
    <s v="HP2637094248"/>
    <x v="1"/>
    <n v="1469900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16"/>
    <x v="0"/>
    <x v="217"/>
    <s v="HP2637094248"/>
    <x v="0"/>
    <n v="1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16"/>
    <x v="0"/>
    <x v="217"/>
    <s v="HP2637094248"/>
    <x v="1"/>
    <n v="1469900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"/>
    <x v="0"/>
    <x v="218"/>
    <s v="HP2637124618"/>
    <x v="0"/>
    <n v="2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"/>
    <x v="0"/>
    <x v="218"/>
    <s v="HP2637124618"/>
    <x v="1"/>
    <n v="125380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0"/>
    <x v="219"/>
    <s v="HP2637117938"/>
    <x v="0"/>
    <n v="6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0"/>
    <x v="219"/>
    <s v="HP2637117938"/>
    <x v="1"/>
    <n v="107100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5"/>
    <x v="1"/>
    <x v="215"/>
    <s v="HP2637120248"/>
    <x v="0"/>
    <n v="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5"/>
    <x v="1"/>
    <x v="215"/>
    <s v="HP2637120248"/>
    <x v="1"/>
    <n v="7380000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220"/>
    <s v="HP2637112490"/>
    <x v="0"/>
    <n v="4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220"/>
    <s v="HP2637112490"/>
    <x v="1"/>
    <n v="42064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3"/>
    <x v="0"/>
    <x v="221"/>
    <s v="HP2637033116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3"/>
    <x v="0"/>
    <x v="221"/>
    <s v="HP2637033116"/>
    <x v="1"/>
    <n v="814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222"/>
    <s v="HP2637035664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222"/>
    <s v="HP2637035664"/>
    <x v="1"/>
    <n v="285160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3"/>
    <x v="0"/>
    <x v="223"/>
    <s v="HP2637034070"/>
    <x v="0"/>
    <n v="2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3"/>
    <x v="0"/>
    <x v="223"/>
    <s v="HP2637034070"/>
    <x v="1"/>
    <n v="794000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224"/>
    <s v="HP2637060878"/>
    <x v="0"/>
    <n v="1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224"/>
    <s v="HP2637060878"/>
    <x v="1"/>
    <n v="162600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224"/>
    <s v="HP2637060878"/>
    <x v="0"/>
    <n v="1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224"/>
    <s v="HP2637060878"/>
    <x v="1"/>
    <n v="16260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224"/>
    <s v="HP2637060878"/>
    <x v="0"/>
    <n v="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224"/>
    <s v="HP2637060878"/>
    <x v="1"/>
    <n v="16260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0"/>
    <x v="225"/>
    <s v="HP2637113660"/>
    <x v="0"/>
    <n v="3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0"/>
    <x v="225"/>
    <s v="HP2637113660"/>
    <x v="1"/>
    <n v="438330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7"/>
    <x v="1"/>
    <x v="226"/>
    <s v="HP2636927624"/>
    <x v="0"/>
    <n v="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7"/>
    <x v="1"/>
    <x v="226"/>
    <s v="HP2636927624"/>
    <x v="1"/>
    <n v="5288500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227"/>
    <s v="HP2636951286"/>
    <x v="0"/>
    <n v="2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227"/>
    <s v="HP2636951286"/>
    <x v="1"/>
    <n v="1534000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7"/>
    <x v="0"/>
    <x v="228"/>
    <s v="HP2637010592"/>
    <x v="0"/>
    <n v="2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7"/>
    <x v="0"/>
    <x v="228"/>
    <s v="HP2637010592"/>
    <x v="1"/>
    <n v="1991800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16"/>
    <x v="0"/>
    <x v="229"/>
    <s v="HP2637027446"/>
    <x v="0"/>
    <n v="2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16"/>
    <x v="0"/>
    <x v="229"/>
    <s v="HP2637027446"/>
    <x v="1"/>
    <n v="3082000"/>
  </r>
  <r>
    <x v="0"/>
    <x v="0"/>
    <x v="0"/>
    <x v="3"/>
    <x v="15"/>
    <x v="15"/>
    <x v="5"/>
    <s v="N"/>
    <s v="N"/>
    <x v="1"/>
    <x v="0"/>
    <x v="0"/>
    <x v="0"/>
    <m/>
    <m/>
    <s v="대리점"/>
    <x v="0"/>
    <x v="16"/>
    <x v="0"/>
    <x v="229"/>
    <s v="HP2637027446"/>
    <x v="0"/>
    <n v="5"/>
  </r>
  <r>
    <x v="0"/>
    <x v="0"/>
    <x v="0"/>
    <x v="3"/>
    <x v="15"/>
    <x v="15"/>
    <x v="5"/>
    <s v="N"/>
    <s v="N"/>
    <x v="1"/>
    <x v="0"/>
    <x v="0"/>
    <x v="0"/>
    <m/>
    <m/>
    <s v="대리점"/>
    <x v="0"/>
    <x v="16"/>
    <x v="0"/>
    <x v="229"/>
    <s v="HP2637027446"/>
    <x v="1"/>
    <n v="7705000"/>
  </r>
  <r>
    <x v="0"/>
    <x v="0"/>
    <x v="0"/>
    <x v="3"/>
    <x v="15"/>
    <x v="15"/>
    <x v="6"/>
    <s v="N"/>
    <s v="N"/>
    <x v="1"/>
    <x v="0"/>
    <x v="0"/>
    <x v="1"/>
    <m/>
    <m/>
    <s v="대리점"/>
    <x v="0"/>
    <x v="16"/>
    <x v="0"/>
    <x v="229"/>
    <s v="HP2637027446"/>
    <x v="0"/>
    <n v="1"/>
  </r>
  <r>
    <x v="0"/>
    <x v="0"/>
    <x v="0"/>
    <x v="3"/>
    <x v="15"/>
    <x v="15"/>
    <x v="6"/>
    <s v="N"/>
    <s v="N"/>
    <x v="1"/>
    <x v="0"/>
    <x v="0"/>
    <x v="1"/>
    <m/>
    <m/>
    <s v="대리점"/>
    <x v="0"/>
    <x v="16"/>
    <x v="0"/>
    <x v="229"/>
    <s v="HP2637027446"/>
    <x v="1"/>
    <n v="15410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16"/>
    <x v="0"/>
    <x v="229"/>
    <s v="HP2637027446"/>
    <x v="0"/>
    <n v="1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16"/>
    <x v="0"/>
    <x v="229"/>
    <s v="HP2637027446"/>
    <x v="1"/>
    <n v="1541000"/>
  </r>
  <r>
    <x v="0"/>
    <x v="0"/>
    <x v="0"/>
    <x v="3"/>
    <x v="15"/>
    <x v="15"/>
    <x v="10"/>
    <s v="N"/>
    <s v="N"/>
    <x v="1"/>
    <x v="0"/>
    <x v="0"/>
    <x v="0"/>
    <m/>
    <m/>
    <s v="대리점"/>
    <x v="0"/>
    <x v="3"/>
    <x v="0"/>
    <x v="230"/>
    <s v="HP2637122542"/>
    <x v="0"/>
    <n v="4"/>
  </r>
  <r>
    <x v="0"/>
    <x v="0"/>
    <x v="0"/>
    <x v="3"/>
    <x v="15"/>
    <x v="15"/>
    <x v="10"/>
    <s v="N"/>
    <s v="N"/>
    <x v="1"/>
    <x v="0"/>
    <x v="0"/>
    <x v="0"/>
    <m/>
    <m/>
    <s v="대리점"/>
    <x v="0"/>
    <x v="3"/>
    <x v="0"/>
    <x v="230"/>
    <s v="HP2637122542"/>
    <x v="1"/>
    <n v="4164400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23"/>
    <x v="0"/>
    <x v="231"/>
    <s v="HP2636954410"/>
    <x v="0"/>
    <n v="2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23"/>
    <x v="0"/>
    <x v="231"/>
    <s v="HP2636954410"/>
    <x v="1"/>
    <n v="3746800"/>
  </r>
  <r>
    <x v="0"/>
    <x v="0"/>
    <x v="0"/>
    <x v="3"/>
    <x v="16"/>
    <x v="16"/>
    <x v="1"/>
    <s v="N"/>
    <s v="N"/>
    <x v="8"/>
    <x v="6"/>
    <x v="0"/>
    <x v="0"/>
    <s v="성인"/>
    <s v="성인"/>
    <s v="대리점"/>
    <x v="0"/>
    <x v="27"/>
    <x v="0"/>
    <x v="232"/>
    <s v="HX2636955862"/>
    <x v="0"/>
    <n v="2"/>
  </r>
  <r>
    <x v="0"/>
    <x v="0"/>
    <x v="0"/>
    <x v="3"/>
    <x v="16"/>
    <x v="16"/>
    <x v="1"/>
    <s v="N"/>
    <s v="N"/>
    <x v="8"/>
    <x v="6"/>
    <x v="0"/>
    <x v="0"/>
    <s v="성인"/>
    <s v="성인"/>
    <s v="대리점"/>
    <x v="0"/>
    <x v="27"/>
    <x v="0"/>
    <x v="232"/>
    <s v="HX2636955862"/>
    <x v="1"/>
    <n v="198000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233"/>
    <s v="HP2636965188"/>
    <x v="0"/>
    <n v="4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233"/>
    <s v="HP2636965188"/>
    <x v="1"/>
    <n v="4737600"/>
  </r>
  <r>
    <x v="0"/>
    <x v="0"/>
    <x v="0"/>
    <x v="3"/>
    <x v="16"/>
    <x v="16"/>
    <x v="11"/>
    <s v="Y"/>
    <s v="N"/>
    <x v="0"/>
    <x v="0"/>
    <x v="0"/>
    <x v="0"/>
    <s v="성인"/>
    <s v="성인"/>
    <s v="대리점"/>
    <x v="0"/>
    <x v="6"/>
    <x v="0"/>
    <x v="234"/>
    <s v="HP2636976236"/>
    <x v="0"/>
    <n v="2"/>
  </r>
  <r>
    <x v="0"/>
    <x v="0"/>
    <x v="0"/>
    <x v="3"/>
    <x v="16"/>
    <x v="16"/>
    <x v="11"/>
    <s v="Y"/>
    <s v="N"/>
    <x v="0"/>
    <x v="0"/>
    <x v="0"/>
    <x v="0"/>
    <s v="성인"/>
    <s v="성인"/>
    <s v="대리점"/>
    <x v="0"/>
    <x v="6"/>
    <x v="0"/>
    <x v="234"/>
    <s v="HP2636976236"/>
    <x v="1"/>
    <n v="1599800"/>
  </r>
  <r>
    <x v="0"/>
    <x v="0"/>
    <x v="0"/>
    <x v="3"/>
    <x v="16"/>
    <x v="16"/>
    <x v="11"/>
    <s v="Y"/>
    <s v="N"/>
    <x v="1"/>
    <x v="0"/>
    <x v="0"/>
    <x v="0"/>
    <m/>
    <m/>
    <s v="대리점"/>
    <x v="0"/>
    <x v="2"/>
    <x v="1"/>
    <x v="235"/>
    <s v="HP2636881250"/>
    <x v="0"/>
    <n v="0"/>
  </r>
  <r>
    <x v="0"/>
    <x v="0"/>
    <x v="0"/>
    <x v="3"/>
    <x v="16"/>
    <x v="16"/>
    <x v="11"/>
    <s v="Y"/>
    <s v="N"/>
    <x v="1"/>
    <x v="0"/>
    <x v="0"/>
    <x v="0"/>
    <m/>
    <m/>
    <s v="대리점"/>
    <x v="0"/>
    <x v="2"/>
    <x v="1"/>
    <x v="235"/>
    <s v="HP2636881250"/>
    <x v="1"/>
    <n v="1075000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236"/>
    <s v="HP2636985850"/>
    <x v="0"/>
    <n v="2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236"/>
    <s v="HP2636985850"/>
    <x v="1"/>
    <n v="365160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237"/>
    <s v="HP2637015118"/>
    <x v="0"/>
    <n v="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237"/>
    <s v="HP2637015118"/>
    <x v="1"/>
    <n v="2978600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238"/>
    <s v="HP2637032858"/>
    <x v="0"/>
    <n v="2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238"/>
    <s v="HP2637032858"/>
    <x v="1"/>
    <n v="10410000"/>
  </r>
  <r>
    <x v="0"/>
    <x v="0"/>
    <x v="0"/>
    <x v="3"/>
    <x v="16"/>
    <x v="16"/>
    <x v="6"/>
    <s v="N"/>
    <s v="N"/>
    <x v="4"/>
    <x v="2"/>
    <x v="0"/>
    <x v="0"/>
    <m/>
    <m/>
    <s v="직원"/>
    <x v="3"/>
    <x v="2"/>
    <x v="0"/>
    <x v="239"/>
    <s v="HQ2637056236"/>
    <x v="0"/>
    <n v="1"/>
  </r>
  <r>
    <x v="0"/>
    <x v="0"/>
    <x v="0"/>
    <x v="3"/>
    <x v="16"/>
    <x v="16"/>
    <x v="6"/>
    <s v="N"/>
    <s v="N"/>
    <x v="4"/>
    <x v="2"/>
    <x v="0"/>
    <x v="0"/>
    <m/>
    <m/>
    <s v="직원"/>
    <x v="3"/>
    <x v="2"/>
    <x v="0"/>
    <x v="239"/>
    <s v="HQ2637056236"/>
    <x v="1"/>
    <n v="16000000"/>
  </r>
  <r>
    <x v="0"/>
    <x v="0"/>
    <x v="0"/>
    <x v="3"/>
    <x v="16"/>
    <x v="16"/>
    <x v="8"/>
    <s v="Y"/>
    <s v="N"/>
    <x v="2"/>
    <x v="0"/>
    <x v="0"/>
    <x v="0"/>
    <m/>
    <m/>
    <s v="대리점"/>
    <x v="0"/>
    <x v="2"/>
    <x v="0"/>
    <x v="240"/>
    <s v="HP2637086804"/>
    <x v="0"/>
    <n v="6"/>
  </r>
  <r>
    <x v="0"/>
    <x v="0"/>
    <x v="0"/>
    <x v="3"/>
    <x v="16"/>
    <x v="16"/>
    <x v="8"/>
    <s v="Y"/>
    <s v="N"/>
    <x v="2"/>
    <x v="0"/>
    <x v="0"/>
    <x v="0"/>
    <m/>
    <m/>
    <s v="대리점"/>
    <x v="0"/>
    <x v="2"/>
    <x v="0"/>
    <x v="240"/>
    <s v="HP2637086804"/>
    <x v="1"/>
    <n v="6531000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241"/>
    <s v="HP2637096598"/>
    <x v="0"/>
    <n v="2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241"/>
    <s v="HP2637096598"/>
    <x v="1"/>
    <n v="28002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242"/>
    <s v="HP2637098892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242"/>
    <s v="HP2637098892"/>
    <x v="1"/>
    <n v="3559800"/>
  </r>
  <r>
    <x v="0"/>
    <x v="0"/>
    <x v="0"/>
    <x v="3"/>
    <x v="16"/>
    <x v="16"/>
    <x v="9"/>
    <s v="Y"/>
    <s v="N"/>
    <x v="1"/>
    <x v="0"/>
    <x v="0"/>
    <x v="0"/>
    <m/>
    <m/>
    <s v="대리점"/>
    <x v="0"/>
    <x v="23"/>
    <x v="0"/>
    <x v="243"/>
    <s v="HP2637098532"/>
    <x v="0"/>
    <n v="2"/>
  </r>
  <r>
    <x v="0"/>
    <x v="0"/>
    <x v="0"/>
    <x v="3"/>
    <x v="16"/>
    <x v="16"/>
    <x v="9"/>
    <s v="Y"/>
    <s v="N"/>
    <x v="1"/>
    <x v="0"/>
    <x v="0"/>
    <x v="0"/>
    <m/>
    <m/>
    <s v="대리점"/>
    <x v="0"/>
    <x v="23"/>
    <x v="0"/>
    <x v="243"/>
    <s v="HP2637098532"/>
    <x v="1"/>
    <n v="2398000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244"/>
    <s v="HP2636953560"/>
    <x v="0"/>
    <n v="2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244"/>
    <s v="HP2636953560"/>
    <x v="1"/>
    <n v="2437400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245"/>
    <s v="HP2637123006"/>
    <x v="0"/>
    <n v="4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245"/>
    <s v="HP2637123006"/>
    <x v="1"/>
    <n v="4196800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139"/>
    <s v="HP2636786940"/>
    <x v="0"/>
    <n v="1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139"/>
    <s v="HP2636786940"/>
    <x v="1"/>
    <n v="952200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23"/>
    <x v="0"/>
    <x v="246"/>
    <s v="HP2636987198"/>
    <x v="0"/>
    <n v="2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23"/>
    <x v="0"/>
    <x v="246"/>
    <s v="HP2636987198"/>
    <x v="1"/>
    <n v="2038000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247"/>
    <s v="HP2637009638"/>
    <x v="0"/>
    <n v="3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247"/>
    <s v="HP2637009638"/>
    <x v="1"/>
    <n v="3299700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139"/>
    <s v="HP2637004920"/>
    <x v="0"/>
    <n v="2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139"/>
    <s v="HP2637004920"/>
    <x v="1"/>
    <n v="1904400"/>
  </r>
  <r>
    <x v="0"/>
    <x v="0"/>
    <x v="0"/>
    <x v="3"/>
    <x v="18"/>
    <x v="18"/>
    <x v="10"/>
    <s v="N"/>
    <s v="N"/>
    <x v="0"/>
    <x v="0"/>
    <x v="0"/>
    <x v="0"/>
    <s v="성인"/>
    <s v="성인"/>
    <s v="대리점"/>
    <x v="0"/>
    <x v="17"/>
    <x v="0"/>
    <x v="248"/>
    <s v="HP2637121894"/>
    <x v="0"/>
    <n v="1"/>
  </r>
  <r>
    <x v="0"/>
    <x v="0"/>
    <x v="0"/>
    <x v="3"/>
    <x v="18"/>
    <x v="18"/>
    <x v="10"/>
    <s v="N"/>
    <s v="N"/>
    <x v="0"/>
    <x v="0"/>
    <x v="0"/>
    <x v="0"/>
    <s v="성인"/>
    <s v="성인"/>
    <s v="대리점"/>
    <x v="0"/>
    <x v="17"/>
    <x v="0"/>
    <x v="248"/>
    <s v="HP2637121894"/>
    <x v="1"/>
    <n v="84770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7"/>
    <x v="0"/>
    <x v="248"/>
    <s v="HP2637121894"/>
    <x v="0"/>
    <n v="1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7"/>
    <x v="0"/>
    <x v="248"/>
    <s v="HP2637121894"/>
    <x v="1"/>
    <n v="847700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249"/>
    <s v="HP2636968428"/>
    <x v="0"/>
    <n v="2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249"/>
    <s v="HP2636968428"/>
    <x v="1"/>
    <n v="1506000"/>
  </r>
  <r>
    <x v="0"/>
    <x v="0"/>
    <x v="0"/>
    <x v="3"/>
    <x v="19"/>
    <x v="19"/>
    <x v="11"/>
    <s v="Y"/>
    <s v="N"/>
    <x v="0"/>
    <x v="0"/>
    <x v="0"/>
    <x v="0"/>
    <m/>
    <m/>
    <s v="대리점"/>
    <x v="0"/>
    <x v="0"/>
    <x v="1"/>
    <x v="250"/>
    <s v="HP2636976570"/>
    <x v="0"/>
    <n v="0"/>
  </r>
  <r>
    <x v="0"/>
    <x v="0"/>
    <x v="0"/>
    <x v="3"/>
    <x v="19"/>
    <x v="19"/>
    <x v="11"/>
    <s v="Y"/>
    <s v="N"/>
    <x v="0"/>
    <x v="0"/>
    <x v="0"/>
    <x v="0"/>
    <m/>
    <m/>
    <s v="대리점"/>
    <x v="0"/>
    <x v="0"/>
    <x v="1"/>
    <x v="250"/>
    <s v="HP2636976570"/>
    <x v="1"/>
    <n v="4058000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251"/>
    <s v="HP2637009132"/>
    <x v="0"/>
    <n v="2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251"/>
    <s v="HP2637009132"/>
    <x v="1"/>
    <n v="415800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1"/>
    <x v="1"/>
    <x v="252"/>
    <s v="HP2637031946"/>
    <x v="0"/>
    <n v="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1"/>
    <x v="1"/>
    <x v="252"/>
    <s v="HP2637031946"/>
    <x v="1"/>
    <n v="7580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3"/>
    <s v="HP2637033290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3"/>
    <s v="HP2637033290"/>
    <x v="1"/>
    <n v="38464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4"/>
    <s v="HP2637031192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4"/>
    <s v="HP2637031192"/>
    <x v="1"/>
    <n v="3846400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2"/>
    <x v="0"/>
    <x v="255"/>
    <s v="HB2637124462"/>
    <x v="0"/>
    <n v="2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2"/>
    <x v="0"/>
    <x v="255"/>
    <s v="HB2637124462"/>
    <x v="1"/>
    <n v="595000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256"/>
    <s v="HP2637121254"/>
    <x v="0"/>
    <n v="16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256"/>
    <s v="HP2637121254"/>
    <x v="1"/>
    <n v="25584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257"/>
    <s v="HP2636931456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257"/>
    <s v="HP2636931456"/>
    <x v="1"/>
    <n v="55044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54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54"/>
    <x v="1"/>
    <n v="3582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62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62"/>
    <x v="1"/>
    <n v="209085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732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732"/>
    <x v="1"/>
    <n v="299850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259"/>
    <s v="HP2636949846"/>
    <x v="0"/>
    <n v="4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259"/>
    <s v="HP2636949846"/>
    <x v="1"/>
    <n v="2919600"/>
  </r>
  <r>
    <x v="0"/>
    <x v="0"/>
    <x v="0"/>
    <x v="4"/>
    <x v="20"/>
    <x v="20"/>
    <x v="11"/>
    <s v="Y"/>
    <s v="N"/>
    <x v="0"/>
    <x v="0"/>
    <x v="0"/>
    <x v="0"/>
    <m/>
    <m/>
    <s v="대리점"/>
    <x v="0"/>
    <x v="2"/>
    <x v="1"/>
    <x v="260"/>
    <s v="HP2636977174"/>
    <x v="0"/>
    <n v="0"/>
  </r>
  <r>
    <x v="0"/>
    <x v="0"/>
    <x v="0"/>
    <x v="4"/>
    <x v="20"/>
    <x v="20"/>
    <x v="11"/>
    <s v="Y"/>
    <s v="N"/>
    <x v="0"/>
    <x v="0"/>
    <x v="0"/>
    <x v="0"/>
    <m/>
    <m/>
    <s v="대리점"/>
    <x v="0"/>
    <x v="2"/>
    <x v="1"/>
    <x v="260"/>
    <s v="HP2636977174"/>
    <x v="1"/>
    <n v="8394400"/>
  </r>
  <r>
    <x v="0"/>
    <x v="0"/>
    <x v="0"/>
    <x v="4"/>
    <x v="20"/>
    <x v="20"/>
    <x v="11"/>
    <s v="Y"/>
    <s v="N"/>
    <x v="0"/>
    <x v="0"/>
    <x v="0"/>
    <x v="2"/>
    <m/>
    <m/>
    <s v="대리점"/>
    <x v="0"/>
    <x v="2"/>
    <x v="1"/>
    <x v="260"/>
    <s v="HP2636977174"/>
    <x v="0"/>
    <n v="0"/>
  </r>
  <r>
    <x v="0"/>
    <x v="0"/>
    <x v="0"/>
    <x v="4"/>
    <x v="20"/>
    <x v="20"/>
    <x v="11"/>
    <s v="Y"/>
    <s v="N"/>
    <x v="0"/>
    <x v="0"/>
    <x v="0"/>
    <x v="2"/>
    <m/>
    <m/>
    <s v="대리점"/>
    <x v="0"/>
    <x v="2"/>
    <x v="1"/>
    <x v="260"/>
    <s v="HP2636977174"/>
    <x v="1"/>
    <n v="119920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261"/>
    <s v="HP2637001920"/>
    <x v="0"/>
    <n v="4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261"/>
    <s v="HP2637001920"/>
    <x v="1"/>
    <n v="2008800"/>
  </r>
  <r>
    <x v="0"/>
    <x v="0"/>
    <x v="0"/>
    <x v="4"/>
    <x v="20"/>
    <x v="20"/>
    <x v="5"/>
    <s v="N"/>
    <s v="N"/>
    <x v="4"/>
    <x v="2"/>
    <x v="0"/>
    <x v="0"/>
    <m/>
    <m/>
    <s v="대리점"/>
    <x v="0"/>
    <x v="2"/>
    <x v="1"/>
    <x v="262"/>
    <s v="HQ2637025080"/>
    <x v="0"/>
    <n v="0"/>
  </r>
  <r>
    <x v="0"/>
    <x v="0"/>
    <x v="0"/>
    <x v="4"/>
    <x v="20"/>
    <x v="20"/>
    <x v="5"/>
    <s v="N"/>
    <s v="N"/>
    <x v="4"/>
    <x v="2"/>
    <x v="0"/>
    <x v="0"/>
    <m/>
    <m/>
    <s v="대리점"/>
    <x v="0"/>
    <x v="2"/>
    <x v="1"/>
    <x v="262"/>
    <s v="HQ2637025080"/>
    <x v="1"/>
    <n v="0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263"/>
    <s v="HP2637027524"/>
    <x v="0"/>
    <n v="11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263"/>
    <s v="HP2637027524"/>
    <x v="1"/>
    <n v="8349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44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44"/>
    <x v="1"/>
    <n v="9867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52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52"/>
    <x v="1"/>
    <n v="9867000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263"/>
    <s v="HP2637027524"/>
    <x v="0"/>
    <n v="2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263"/>
    <s v="HP2637027524"/>
    <x v="1"/>
    <n v="1480050"/>
  </r>
  <r>
    <x v="0"/>
    <x v="0"/>
    <x v="0"/>
    <x v="4"/>
    <x v="20"/>
    <x v="20"/>
    <x v="6"/>
    <s v="N"/>
    <s v="N"/>
    <x v="6"/>
    <x v="2"/>
    <x v="1"/>
    <x v="0"/>
    <s v="성인"/>
    <s v="성인"/>
    <s v="대리점"/>
    <x v="0"/>
    <x v="28"/>
    <x v="0"/>
    <x v="265"/>
    <s v="HQ2636056320"/>
    <x v="0"/>
    <n v="1"/>
  </r>
  <r>
    <x v="0"/>
    <x v="0"/>
    <x v="0"/>
    <x v="4"/>
    <x v="20"/>
    <x v="20"/>
    <x v="6"/>
    <s v="N"/>
    <s v="N"/>
    <x v="6"/>
    <x v="2"/>
    <x v="1"/>
    <x v="0"/>
    <s v="성인"/>
    <s v="성인"/>
    <s v="대리점"/>
    <x v="0"/>
    <x v="28"/>
    <x v="0"/>
    <x v="265"/>
    <s v="HQ2636056320"/>
    <x v="1"/>
    <n v="0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4"/>
    <x v="0"/>
    <x v="266"/>
    <s v="HP2637055340"/>
    <x v="0"/>
    <n v="4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4"/>
    <x v="0"/>
    <x v="266"/>
    <s v="HP2637055340"/>
    <x v="1"/>
    <n v="7996000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0"/>
    <x v="267"/>
    <s v="HG2637121668"/>
    <x v="0"/>
    <n v="4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0"/>
    <x v="267"/>
    <s v="HG2637121668"/>
    <x v="1"/>
    <n v="4959600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1"/>
    <x v="267"/>
    <s v="HG2637121676"/>
    <x v="0"/>
    <n v="0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1"/>
    <x v="267"/>
    <s v="HG2637121676"/>
    <x v="1"/>
    <n v="4959600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9"/>
    <x v="0"/>
    <x v="268"/>
    <s v="HP2637113700"/>
    <x v="0"/>
    <n v="3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9"/>
    <x v="0"/>
    <x v="268"/>
    <s v="HP2637113700"/>
    <x v="1"/>
    <n v="30870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269"/>
    <s v="HP2637120788"/>
    <x v="0"/>
    <n v="11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269"/>
    <s v="HP2637120788"/>
    <x v="1"/>
    <n v="11575300"/>
  </r>
  <r>
    <x v="0"/>
    <x v="0"/>
    <x v="0"/>
    <x v="4"/>
    <x v="20"/>
    <x v="20"/>
    <x v="10"/>
    <s v="N"/>
    <s v="N"/>
    <x v="6"/>
    <x v="2"/>
    <x v="0"/>
    <x v="0"/>
    <s v="성인"/>
    <s v="성인"/>
    <s v="닷컴"/>
    <x v="2"/>
    <x v="28"/>
    <x v="0"/>
    <x v="270"/>
    <s v="HQ2637109370"/>
    <x v="0"/>
    <n v="5"/>
  </r>
  <r>
    <x v="0"/>
    <x v="0"/>
    <x v="0"/>
    <x v="4"/>
    <x v="20"/>
    <x v="20"/>
    <x v="10"/>
    <s v="N"/>
    <s v="N"/>
    <x v="6"/>
    <x v="2"/>
    <x v="0"/>
    <x v="0"/>
    <s v="성인"/>
    <s v="성인"/>
    <s v="닷컴"/>
    <x v="2"/>
    <x v="28"/>
    <x v="0"/>
    <x v="270"/>
    <s v="HQ2637109370"/>
    <x v="1"/>
    <n v="0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2"/>
    <x v="0"/>
    <x v="271"/>
    <s v="HB2634835724"/>
    <x v="0"/>
    <n v="1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2"/>
    <x v="0"/>
    <x v="271"/>
    <s v="HB2634835724"/>
    <x v="1"/>
    <n v="82510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272"/>
    <s v="HP2637000712"/>
    <x v="0"/>
    <n v="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272"/>
    <s v="HP2637000712"/>
    <x v="1"/>
    <n v="9744000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273"/>
    <s v="HP2637050208"/>
    <x v="0"/>
    <n v="1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273"/>
    <s v="HP2637050208"/>
    <x v="1"/>
    <n v="1149900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274"/>
    <s v="HP2637070796"/>
    <x v="0"/>
    <n v="3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274"/>
    <s v="HP2637070796"/>
    <x v="1"/>
    <n v="1656600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275"/>
    <s v="HP2637094630"/>
    <x v="0"/>
    <n v="2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275"/>
    <s v="HP2637094630"/>
    <x v="1"/>
    <n v="193440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276"/>
    <s v="HP2637094526"/>
    <x v="0"/>
    <n v="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276"/>
    <s v="HP2637094526"/>
    <x v="1"/>
    <n v="2138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277"/>
    <s v="HP2636932790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277"/>
    <s v="HP2636932790"/>
    <x v="1"/>
    <n v="2587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278"/>
    <s v="HP2636931960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278"/>
    <s v="HP2636931960"/>
    <x v="1"/>
    <n v="399800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279"/>
    <s v="HP2636934294"/>
    <x v="0"/>
    <n v="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279"/>
    <s v="HP2636934294"/>
    <x v="1"/>
    <n v="213000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280"/>
    <s v="HP2637028408"/>
    <x v="0"/>
    <n v="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280"/>
    <s v="HP2637028408"/>
    <x v="1"/>
    <n v="1208400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281"/>
    <s v="HP2637051740"/>
    <x v="0"/>
    <n v="2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281"/>
    <s v="HP2637051740"/>
    <x v="1"/>
    <n v="1138400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2"/>
    <x v="0"/>
    <x v="282"/>
    <s v="HP2637089568"/>
    <x v="0"/>
    <n v="4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2"/>
    <x v="0"/>
    <x v="282"/>
    <s v="HP2637089568"/>
    <x v="1"/>
    <n v="4272000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283"/>
    <s v="HP2636931514"/>
    <x v="0"/>
    <n v="2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283"/>
    <s v="HP2636931514"/>
    <x v="1"/>
    <n v="8610000"/>
  </r>
  <r>
    <x v="0"/>
    <x v="0"/>
    <x v="0"/>
    <x v="4"/>
    <x v="23"/>
    <x v="23"/>
    <x v="11"/>
    <s v="Y"/>
    <s v="N"/>
    <x v="2"/>
    <x v="0"/>
    <x v="0"/>
    <x v="0"/>
    <s v="성인"/>
    <s v="성인"/>
    <s v="대리점"/>
    <x v="0"/>
    <x v="15"/>
    <x v="0"/>
    <x v="284"/>
    <s v="HP2636973714"/>
    <x v="0"/>
    <n v="2"/>
  </r>
  <r>
    <x v="0"/>
    <x v="0"/>
    <x v="0"/>
    <x v="4"/>
    <x v="23"/>
    <x v="23"/>
    <x v="11"/>
    <s v="Y"/>
    <s v="N"/>
    <x v="2"/>
    <x v="0"/>
    <x v="0"/>
    <x v="0"/>
    <s v="성인"/>
    <s v="성인"/>
    <s v="대리점"/>
    <x v="0"/>
    <x v="15"/>
    <x v="0"/>
    <x v="284"/>
    <s v="HP2636973714"/>
    <x v="1"/>
    <n v="253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285"/>
    <s v="HP2637057554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285"/>
    <s v="HP2637057554"/>
    <x v="1"/>
    <n v="47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286"/>
    <s v="HP2637058484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286"/>
    <s v="HP2637058484"/>
    <x v="1"/>
    <n v="2422000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7"/>
    <x v="0"/>
    <x v="287"/>
    <s v="HP2637075120"/>
    <x v="0"/>
    <n v="6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7"/>
    <x v="0"/>
    <x v="287"/>
    <s v="HP2637075120"/>
    <x v="1"/>
    <n v="15108000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7"/>
    <x v="0"/>
    <x v="287"/>
    <s v="HP2637075120"/>
    <x v="0"/>
    <n v="1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7"/>
    <x v="0"/>
    <x v="287"/>
    <s v="HP2637075120"/>
    <x v="1"/>
    <n v="1948000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23"/>
    <x v="0"/>
    <x v="243"/>
    <s v="HP2637117576"/>
    <x v="0"/>
    <n v="2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23"/>
    <x v="0"/>
    <x v="243"/>
    <s v="HP2637117576"/>
    <x v="1"/>
    <n v="2398000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288"/>
    <s v="HP2636925754"/>
    <x v="0"/>
    <n v="2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288"/>
    <s v="HP2636925754"/>
    <x v="1"/>
    <n v="1124000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289"/>
    <s v="HP2636948018"/>
    <x v="0"/>
    <n v="1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289"/>
    <s v="HP2636948018"/>
    <x v="1"/>
    <n v="96920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290"/>
    <s v="HP2634233048"/>
    <x v="0"/>
    <n v="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290"/>
    <s v="HP2634233048"/>
    <x v="1"/>
    <n v="1038000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291"/>
    <s v="HP2636965318"/>
    <x v="0"/>
    <n v="6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291"/>
    <s v="HP2636965318"/>
    <x v="1"/>
    <n v="77994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2"/>
    <s v="HP2636986762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2"/>
    <s v="HP2636986762"/>
    <x v="1"/>
    <n v="37996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3"/>
    <s v="HP2636986514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3"/>
    <s v="HP2636986514"/>
    <x v="1"/>
    <n v="444120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294"/>
    <s v="HP2636986532"/>
    <x v="0"/>
    <n v="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294"/>
    <s v="HP2636986532"/>
    <x v="1"/>
    <n v="224600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294"/>
    <s v="HP2636986532"/>
    <x v="0"/>
    <n v="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294"/>
    <s v="HP2636986532"/>
    <x v="1"/>
    <n v="224600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295"/>
    <s v="HP2637027304"/>
    <x v="0"/>
    <n v="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295"/>
    <s v="HP2637027304"/>
    <x v="1"/>
    <n v="18402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296"/>
    <s v="HP2637050872"/>
    <x v="0"/>
    <n v="1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296"/>
    <s v="HP2637050872"/>
    <x v="1"/>
    <n v="53550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297"/>
    <s v="HP2637055974"/>
    <x v="0"/>
    <n v="2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297"/>
    <s v="HP2637055974"/>
    <x v="1"/>
    <n v="299800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298"/>
    <s v="HP2637051568"/>
    <x v="0"/>
    <n v="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298"/>
    <s v="HP2637051568"/>
    <x v="1"/>
    <n v="44379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299"/>
    <s v="HP2637099264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299"/>
    <s v="HP2637099264"/>
    <x v="1"/>
    <n v="28980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300"/>
    <s v="HP2637098466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300"/>
    <s v="HP2637098466"/>
    <x v="1"/>
    <n v="1844400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300"/>
    <s v="HP2637098466"/>
    <x v="0"/>
    <n v="1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300"/>
    <s v="HP2637098466"/>
    <x v="1"/>
    <n v="922200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300"/>
    <s v="HP2637098466"/>
    <x v="0"/>
    <n v="1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300"/>
    <s v="HP2637098466"/>
    <x v="1"/>
    <n v="922200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1"/>
    <s v="HQ2637110978"/>
    <x v="0"/>
    <n v="8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1"/>
    <s v="HQ2637110978"/>
    <x v="1"/>
    <n v="0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2"/>
    <s v="HQ2637111188"/>
    <x v="0"/>
    <n v="7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2"/>
    <s v="HQ2637111188"/>
    <x v="1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172"/>
    <x v="0"/>
    <n v="2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172"/>
    <x v="1"/>
    <n v="283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200"/>
    <x v="0"/>
    <n v="4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200"/>
    <x v="1"/>
    <n v="5676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4"/>
    <s v="HP2637117306"/>
    <x v="0"/>
    <n v="4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4"/>
    <s v="HP2637117306"/>
    <x v="1"/>
    <n v="6196000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305"/>
    <s v="HP2637060800"/>
    <x v="0"/>
    <n v="3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305"/>
    <s v="HP2637060800"/>
    <x v="1"/>
    <n v="1497000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9"/>
    <x v="0"/>
    <x v="306"/>
    <s v="HP2637070746"/>
    <x v="0"/>
    <n v="5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9"/>
    <x v="0"/>
    <x v="306"/>
    <s v="HP2637070746"/>
    <x v="1"/>
    <n v="3645000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9"/>
    <x v="0"/>
    <x v="306"/>
    <s v="HP2637070746"/>
    <x v="0"/>
    <n v="1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9"/>
    <x v="0"/>
    <x v="306"/>
    <s v="HP2637070746"/>
    <x v="1"/>
    <n v="729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606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606"/>
    <x v="1"/>
    <n v="4374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714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714"/>
    <x v="1"/>
    <n v="4374000"/>
  </r>
  <r>
    <x v="0"/>
    <x v="0"/>
    <x v="0"/>
    <x v="4"/>
    <x v="25"/>
    <x v="25"/>
    <x v="10"/>
    <s v="N"/>
    <s v="N"/>
    <x v="0"/>
    <x v="0"/>
    <x v="0"/>
    <x v="0"/>
    <m/>
    <m/>
    <s v="대리점"/>
    <x v="0"/>
    <x v="2"/>
    <x v="0"/>
    <x v="308"/>
    <s v="HP2637115470"/>
    <x v="0"/>
    <n v="2"/>
  </r>
  <r>
    <x v="0"/>
    <x v="0"/>
    <x v="0"/>
    <x v="4"/>
    <x v="25"/>
    <x v="25"/>
    <x v="10"/>
    <s v="N"/>
    <s v="N"/>
    <x v="0"/>
    <x v="0"/>
    <x v="0"/>
    <x v="0"/>
    <m/>
    <m/>
    <s v="대리점"/>
    <x v="0"/>
    <x v="2"/>
    <x v="0"/>
    <x v="308"/>
    <s v="HP2637115470"/>
    <x v="1"/>
    <n v="3298000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3"/>
    <x v="0"/>
    <x v="309"/>
    <s v="HP2636963410"/>
    <x v="0"/>
    <n v="2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3"/>
    <x v="0"/>
    <x v="309"/>
    <s v="HP2636963410"/>
    <x v="1"/>
    <n v="75400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16"/>
    <x v="1"/>
    <x v="310"/>
    <s v="HP2636964062"/>
    <x v="0"/>
    <n v="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16"/>
    <x v="1"/>
    <x v="310"/>
    <s v="HP2636964062"/>
    <x v="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311"/>
    <s v="HP2636988724"/>
    <x v="0"/>
    <n v="4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311"/>
    <s v="HP2636988724"/>
    <x v="1"/>
    <n v="6149600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312"/>
    <s v="HP2637057004"/>
    <x v="0"/>
    <n v="2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312"/>
    <s v="HP2637057004"/>
    <x v="1"/>
    <n v="2340000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313"/>
    <s v="HP2636954876"/>
    <x v="0"/>
    <n v="2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313"/>
    <s v="HP2636954876"/>
    <x v="1"/>
    <n v="1560000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314"/>
    <s v="HP2637006876"/>
    <x v="0"/>
    <n v="2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314"/>
    <s v="HP2637006876"/>
    <x v="1"/>
    <n v="2020600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314"/>
    <s v="HP2637006876"/>
    <x v="0"/>
    <n v="1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314"/>
    <s v="HP2637006876"/>
    <x v="1"/>
    <n v="1010300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314"/>
    <s v="HP2637006876"/>
    <x v="0"/>
    <n v="1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314"/>
    <s v="HP2637006876"/>
    <x v="1"/>
    <n v="1010300"/>
  </r>
  <r>
    <x v="0"/>
    <x v="0"/>
    <x v="0"/>
    <x v="5"/>
    <x v="27"/>
    <x v="27"/>
    <x v="5"/>
    <s v="N"/>
    <s v="N"/>
    <x v="5"/>
    <x v="3"/>
    <x v="1"/>
    <x v="0"/>
    <s v="성인"/>
    <s v="성인"/>
    <s v="대리점"/>
    <x v="0"/>
    <x v="20"/>
    <x v="0"/>
    <x v="315"/>
    <s v="HG2637025194"/>
    <x v="0"/>
    <n v="2"/>
  </r>
  <r>
    <x v="0"/>
    <x v="0"/>
    <x v="0"/>
    <x v="5"/>
    <x v="27"/>
    <x v="27"/>
    <x v="5"/>
    <s v="N"/>
    <s v="N"/>
    <x v="5"/>
    <x v="3"/>
    <x v="1"/>
    <x v="0"/>
    <s v="성인"/>
    <s v="성인"/>
    <s v="대리점"/>
    <x v="0"/>
    <x v="20"/>
    <x v="0"/>
    <x v="315"/>
    <s v="HG2637025194"/>
    <x v="1"/>
    <n v="1280000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316"/>
    <s v="HP2637079550"/>
    <x v="0"/>
    <n v="2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316"/>
    <s v="HP2637079550"/>
    <x v="1"/>
    <n v="336000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0"/>
    <x v="317"/>
    <s v="HP2636925198"/>
    <x v="0"/>
    <n v="6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0"/>
    <x v="317"/>
    <s v="HP2636925198"/>
    <x v="1"/>
    <n v="9594000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318"/>
    <s v="HP2636947130"/>
    <x v="0"/>
    <n v="3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318"/>
    <s v="HP2636947130"/>
    <x v="1"/>
    <n v="9196200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318"/>
    <s v="HP2636947130"/>
    <x v="0"/>
    <n v="1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318"/>
    <s v="HP2636947130"/>
    <x v="1"/>
    <n v="30654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319"/>
    <s v="HP2637034622"/>
    <x v="0"/>
    <n v="1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319"/>
    <s v="HP2637034622"/>
    <x v="1"/>
    <n v="6999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320"/>
    <s v="HP2637035954"/>
    <x v="0"/>
    <n v="4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320"/>
    <s v="HP2637035954"/>
    <x v="1"/>
    <n v="1276800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1"/>
    <x v="0"/>
    <x v="321"/>
    <s v="HP2637053838"/>
    <x v="0"/>
    <n v="2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1"/>
    <x v="0"/>
    <x v="321"/>
    <s v="HP2637053838"/>
    <x v="1"/>
    <n v="958000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322"/>
    <s v="HP2637117844"/>
    <x v="0"/>
    <n v="5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322"/>
    <s v="HP2637117844"/>
    <x v="1"/>
    <n v="79450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3"/>
    <x v="0"/>
    <x v="323"/>
    <s v="HP2636926606"/>
    <x v="0"/>
    <n v="2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3"/>
    <x v="0"/>
    <x v="323"/>
    <s v="HP2636926606"/>
    <x v="1"/>
    <n v="4693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324"/>
    <s v="HP2636609208"/>
    <x v="0"/>
    <n v="1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324"/>
    <s v="HP2636609208"/>
    <x v="1"/>
    <n v="152900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5"/>
    <x v="0"/>
    <x v="206"/>
    <s v="HP2636925592"/>
    <x v="0"/>
    <n v="2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5"/>
    <x v="0"/>
    <x v="206"/>
    <s v="HP2636925592"/>
    <x v="1"/>
    <n v="7811600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325"/>
    <s v="HP2636932266"/>
    <x v="0"/>
    <n v="2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325"/>
    <s v="HP2636932266"/>
    <x v="1"/>
    <n v="315800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2"/>
    <x v="1"/>
    <x v="326"/>
    <s v="HB2636950240"/>
    <x v="0"/>
    <n v="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2"/>
    <x v="1"/>
    <x v="326"/>
    <s v="HB2636950240"/>
    <x v="1"/>
    <n v="2637000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5"/>
    <x v="0"/>
    <x v="327"/>
    <s v="HP2636954276"/>
    <x v="0"/>
    <n v="1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5"/>
    <x v="0"/>
    <x v="327"/>
    <s v="HP2636954276"/>
    <x v="1"/>
    <n v="1680000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328"/>
    <s v="HP2636951504"/>
    <x v="0"/>
    <n v="2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328"/>
    <s v="HP2636951504"/>
    <x v="1"/>
    <n v="2735800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329"/>
    <s v="HP2636957734"/>
    <x v="0"/>
    <n v="4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329"/>
    <s v="HP2636957734"/>
    <x v="1"/>
    <n v="3880400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330"/>
    <s v="HP2636947972"/>
    <x v="0"/>
    <n v="5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330"/>
    <s v="HP2636947972"/>
    <x v="1"/>
    <n v="430500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331"/>
    <s v="HP2636964658"/>
    <x v="0"/>
    <n v="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331"/>
    <s v="HP2636964658"/>
    <x v="1"/>
    <n v="2313200"/>
  </r>
  <r>
    <x v="0"/>
    <x v="0"/>
    <x v="0"/>
    <x v="5"/>
    <x v="29"/>
    <x v="29"/>
    <x v="3"/>
    <s v="N"/>
    <s v="Y"/>
    <x v="0"/>
    <x v="0"/>
    <x v="0"/>
    <x v="0"/>
    <s v="성인"/>
    <s v="성인"/>
    <s v="닷컴"/>
    <x v="2"/>
    <x v="0"/>
    <x v="0"/>
    <x v="332"/>
    <s v="HP2636984408"/>
    <x v="0"/>
    <n v="1"/>
  </r>
  <r>
    <x v="0"/>
    <x v="0"/>
    <x v="0"/>
    <x v="5"/>
    <x v="29"/>
    <x v="29"/>
    <x v="3"/>
    <s v="N"/>
    <s v="Y"/>
    <x v="0"/>
    <x v="0"/>
    <x v="0"/>
    <x v="0"/>
    <s v="성인"/>
    <s v="성인"/>
    <s v="닷컴"/>
    <x v="2"/>
    <x v="0"/>
    <x v="0"/>
    <x v="332"/>
    <s v="HP2636984408"/>
    <x v="1"/>
    <n v="2196600"/>
  </r>
  <r>
    <x v="0"/>
    <x v="0"/>
    <x v="0"/>
    <x v="5"/>
    <x v="29"/>
    <x v="29"/>
    <x v="3"/>
    <s v="N"/>
    <s v="Y"/>
    <x v="9"/>
    <x v="7"/>
    <x v="0"/>
    <x v="0"/>
    <m/>
    <m/>
    <s v="대리점"/>
    <x v="0"/>
    <x v="17"/>
    <x v="1"/>
    <x v="333"/>
    <s v="HC2636983286"/>
    <x v="0"/>
    <n v="0"/>
  </r>
  <r>
    <x v="0"/>
    <x v="0"/>
    <x v="0"/>
    <x v="5"/>
    <x v="29"/>
    <x v="29"/>
    <x v="3"/>
    <s v="N"/>
    <s v="Y"/>
    <x v="9"/>
    <x v="7"/>
    <x v="0"/>
    <x v="0"/>
    <m/>
    <m/>
    <s v="대리점"/>
    <x v="0"/>
    <x v="17"/>
    <x v="1"/>
    <x v="333"/>
    <s v="HC2636983286"/>
    <x v="1"/>
    <n v="3490000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334"/>
    <s v="HP2636984184"/>
    <x v="0"/>
    <n v="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334"/>
    <s v="HP2636984184"/>
    <x v="1"/>
    <n v="11693200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335"/>
    <s v="HP2637016446"/>
    <x v="0"/>
    <n v="2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335"/>
    <s v="HP2637016446"/>
    <x v="1"/>
    <n v="1740000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23"/>
    <x v="0"/>
    <x v="336"/>
    <s v="HP2637014968"/>
    <x v="0"/>
    <n v="2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23"/>
    <x v="0"/>
    <x v="336"/>
    <s v="HP2637014968"/>
    <x v="1"/>
    <n v="2598000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2"/>
    <x v="0"/>
    <x v="337"/>
    <s v="HB2637032008"/>
    <x v="0"/>
    <n v="6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2"/>
    <x v="0"/>
    <x v="337"/>
    <s v="HB2637032008"/>
    <x v="1"/>
    <n v="6870000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2"/>
    <x v="0"/>
    <x v="337"/>
    <s v="HB2637032008"/>
    <x v="0"/>
    <n v="1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2"/>
    <x v="0"/>
    <x v="337"/>
    <s v="HB2637032008"/>
    <x v="1"/>
    <n v="1145000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2"/>
    <x v="0"/>
    <x v="337"/>
    <s v="HB2637032008"/>
    <x v="0"/>
    <n v="2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2"/>
    <x v="0"/>
    <x v="337"/>
    <s v="HB2637032008"/>
    <x v="1"/>
    <n v="2175500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338"/>
    <s v="HP2637032760"/>
    <x v="0"/>
    <n v="2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338"/>
    <s v="HP2637032760"/>
    <x v="1"/>
    <n v="3149800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339"/>
    <s v="HP2637052040"/>
    <x v="0"/>
    <n v="4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339"/>
    <s v="HP2637052040"/>
    <x v="1"/>
    <n v="539600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3"/>
    <x v="1"/>
    <x v="340"/>
    <s v="HP2637062632"/>
    <x v="0"/>
    <n v="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3"/>
    <x v="1"/>
    <x v="340"/>
    <s v="HP2637062632"/>
    <x v="1"/>
    <n v="7789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5"/>
    <x v="0"/>
    <x v="341"/>
    <s v="HP2637053622"/>
    <x v="0"/>
    <n v="2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5"/>
    <x v="0"/>
    <x v="341"/>
    <s v="HP2637053622"/>
    <x v="1"/>
    <n v="6830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342"/>
    <s v="HP2637052240"/>
    <x v="0"/>
    <n v="4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342"/>
    <s v="HP2637052240"/>
    <x v="1"/>
    <n v="7199600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2"/>
    <x v="0"/>
    <x v="343"/>
    <s v="HB2637074320"/>
    <x v="0"/>
    <n v="2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2"/>
    <x v="0"/>
    <x v="343"/>
    <s v="HB2637074320"/>
    <x v="1"/>
    <n v="1700000"/>
  </r>
  <r>
    <x v="0"/>
    <x v="0"/>
    <x v="0"/>
    <x v="5"/>
    <x v="29"/>
    <x v="29"/>
    <x v="7"/>
    <s v="N"/>
    <s v="Y"/>
    <x v="1"/>
    <x v="0"/>
    <x v="0"/>
    <x v="0"/>
    <s v="성인"/>
    <s v="성인"/>
    <s v="대리점"/>
    <x v="0"/>
    <x v="3"/>
    <x v="0"/>
    <x v="344"/>
    <s v="HP2637069198"/>
    <x v="0"/>
    <n v="1"/>
  </r>
  <r>
    <x v="0"/>
    <x v="0"/>
    <x v="0"/>
    <x v="5"/>
    <x v="29"/>
    <x v="29"/>
    <x v="7"/>
    <s v="N"/>
    <s v="Y"/>
    <x v="1"/>
    <x v="0"/>
    <x v="0"/>
    <x v="0"/>
    <s v="성인"/>
    <s v="성인"/>
    <s v="대리점"/>
    <x v="0"/>
    <x v="3"/>
    <x v="0"/>
    <x v="344"/>
    <s v="HP2637069198"/>
    <x v="1"/>
    <n v="1041100"/>
  </r>
  <r>
    <x v="0"/>
    <x v="0"/>
    <x v="0"/>
    <x v="5"/>
    <x v="29"/>
    <x v="29"/>
    <x v="7"/>
    <s v="N"/>
    <s v="Y"/>
    <x v="1"/>
    <x v="0"/>
    <x v="0"/>
    <x v="0"/>
    <m/>
    <m/>
    <s v="대리점"/>
    <x v="0"/>
    <x v="3"/>
    <x v="0"/>
    <x v="344"/>
    <s v="HP2637069198"/>
    <x v="0"/>
    <n v="5"/>
  </r>
  <r>
    <x v="0"/>
    <x v="0"/>
    <x v="0"/>
    <x v="5"/>
    <x v="29"/>
    <x v="29"/>
    <x v="7"/>
    <s v="N"/>
    <s v="Y"/>
    <x v="1"/>
    <x v="0"/>
    <x v="0"/>
    <x v="0"/>
    <m/>
    <m/>
    <s v="대리점"/>
    <x v="0"/>
    <x v="3"/>
    <x v="0"/>
    <x v="344"/>
    <s v="HP2637069198"/>
    <x v="1"/>
    <n v="52055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9"/>
    <x v="0"/>
    <x v="345"/>
    <s v="HP2637086850"/>
    <x v="0"/>
    <n v="1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9"/>
    <x v="0"/>
    <x v="345"/>
    <s v="HP2637086850"/>
    <x v="1"/>
    <n v="6616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6"/>
    <x v="0"/>
    <x v="346"/>
    <s v="HP2637087656"/>
    <x v="0"/>
    <n v="4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6"/>
    <x v="0"/>
    <x v="346"/>
    <s v="HP2637087656"/>
    <x v="1"/>
    <n v="2719600"/>
  </r>
  <r>
    <x v="0"/>
    <x v="0"/>
    <x v="0"/>
    <x v="5"/>
    <x v="29"/>
    <x v="29"/>
    <x v="8"/>
    <s v="Y"/>
    <s v="N"/>
    <x v="0"/>
    <x v="0"/>
    <x v="0"/>
    <x v="0"/>
    <m/>
    <m/>
    <s v="닷컴"/>
    <x v="2"/>
    <x v="19"/>
    <x v="0"/>
    <x v="345"/>
    <s v="HP2637086850"/>
    <x v="0"/>
    <n v="3"/>
  </r>
  <r>
    <x v="0"/>
    <x v="0"/>
    <x v="0"/>
    <x v="5"/>
    <x v="29"/>
    <x v="29"/>
    <x v="8"/>
    <s v="Y"/>
    <s v="N"/>
    <x v="0"/>
    <x v="0"/>
    <x v="0"/>
    <x v="0"/>
    <m/>
    <m/>
    <s v="닷컴"/>
    <x v="2"/>
    <x v="19"/>
    <x v="0"/>
    <x v="345"/>
    <s v="HP2637086850"/>
    <x v="1"/>
    <n v="1984800"/>
  </r>
  <r>
    <x v="0"/>
    <x v="0"/>
    <x v="0"/>
    <x v="5"/>
    <x v="29"/>
    <x v="29"/>
    <x v="8"/>
    <s v="Y"/>
    <s v="N"/>
    <x v="0"/>
    <x v="0"/>
    <x v="0"/>
    <x v="0"/>
    <m/>
    <m/>
    <s v="닷컴"/>
    <x v="2"/>
    <x v="16"/>
    <x v="1"/>
    <x v="346"/>
    <s v="HP2637087656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16"/>
    <x v="1"/>
    <x v="346"/>
    <s v="HP2637087656"/>
    <x v="1"/>
    <n v="1359800"/>
  </r>
  <r>
    <x v="0"/>
    <x v="0"/>
    <x v="0"/>
    <x v="5"/>
    <x v="29"/>
    <x v="29"/>
    <x v="10"/>
    <s v="N"/>
    <s v="N"/>
    <x v="4"/>
    <x v="1"/>
    <x v="0"/>
    <x v="0"/>
    <s v="성인"/>
    <s v="성인"/>
    <s v="대리점"/>
    <x v="0"/>
    <x v="12"/>
    <x v="0"/>
    <x v="347"/>
    <s v="HB2637113720"/>
    <x v="0"/>
    <n v="1"/>
  </r>
  <r>
    <x v="0"/>
    <x v="0"/>
    <x v="0"/>
    <x v="5"/>
    <x v="29"/>
    <x v="29"/>
    <x v="10"/>
    <s v="N"/>
    <s v="N"/>
    <x v="4"/>
    <x v="1"/>
    <x v="0"/>
    <x v="0"/>
    <s v="성인"/>
    <s v="성인"/>
    <s v="대리점"/>
    <x v="0"/>
    <x v="12"/>
    <x v="0"/>
    <x v="347"/>
    <s v="HB2637113720"/>
    <x v="1"/>
    <n v="33270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2"/>
    <x v="0"/>
    <x v="347"/>
    <s v="HB2637113720"/>
    <x v="0"/>
    <n v="1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2"/>
    <x v="0"/>
    <x v="347"/>
    <s v="HB2637113720"/>
    <x v="1"/>
    <n v="3327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3"/>
    <x v="0"/>
    <x v="348"/>
    <s v="HP2637114212"/>
    <x v="0"/>
    <n v="2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3"/>
    <x v="0"/>
    <x v="348"/>
    <s v="HP2637114212"/>
    <x v="1"/>
    <n v="4293200"/>
  </r>
  <r>
    <x v="0"/>
    <x v="0"/>
    <x v="0"/>
    <x v="5"/>
    <x v="29"/>
    <x v="29"/>
    <x v="10"/>
    <s v="N"/>
    <s v="N"/>
    <x v="0"/>
    <x v="0"/>
    <x v="0"/>
    <x v="0"/>
    <m/>
    <m/>
    <s v="대리점"/>
    <x v="0"/>
    <x v="16"/>
    <x v="0"/>
    <x v="349"/>
    <s v="HP2637127000"/>
    <x v="0"/>
    <n v="4"/>
  </r>
  <r>
    <x v="0"/>
    <x v="0"/>
    <x v="0"/>
    <x v="5"/>
    <x v="29"/>
    <x v="29"/>
    <x v="10"/>
    <s v="N"/>
    <s v="N"/>
    <x v="0"/>
    <x v="0"/>
    <x v="0"/>
    <x v="0"/>
    <m/>
    <m/>
    <s v="대리점"/>
    <x v="0"/>
    <x v="16"/>
    <x v="0"/>
    <x v="349"/>
    <s v="HP2637127000"/>
    <x v="1"/>
    <n v="1372000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7"/>
    <x v="0"/>
    <x v="350"/>
    <s v="HP2637117728"/>
    <x v="0"/>
    <n v="2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7"/>
    <x v="0"/>
    <x v="350"/>
    <s v="HP2637117728"/>
    <x v="1"/>
    <n v="3216000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7"/>
    <x v="0"/>
    <x v="350"/>
    <s v="HP2637117728"/>
    <x v="0"/>
    <n v="2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7"/>
    <x v="0"/>
    <x v="350"/>
    <s v="HP2637117728"/>
    <x v="1"/>
    <n v="3216000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351"/>
    <s v="HP2636924002"/>
    <x v="0"/>
    <n v="3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351"/>
    <s v="HP2636924002"/>
    <x v="1"/>
    <n v="1322700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352"/>
    <s v="HP2636932440"/>
    <x v="0"/>
    <n v="2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352"/>
    <s v="HP2636932440"/>
    <x v="1"/>
    <n v="798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5"/>
    <x v="0"/>
    <x v="353"/>
    <s v="HP2636925796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5"/>
    <x v="0"/>
    <x v="353"/>
    <s v="HP2636925796"/>
    <x v="1"/>
    <n v="124532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354"/>
    <s v="HP2636932686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354"/>
    <s v="HP2636932686"/>
    <x v="1"/>
    <n v="2520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355"/>
    <s v="HP2636932210"/>
    <x v="0"/>
    <n v="1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355"/>
    <s v="HP2636932210"/>
    <x v="1"/>
    <n v="139680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355"/>
    <s v="HP2636932204"/>
    <x v="0"/>
    <n v="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355"/>
    <s v="HP2636932204"/>
    <x v="1"/>
    <n v="1617900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356"/>
    <s v="HP2636934062"/>
    <x v="0"/>
    <n v="3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356"/>
    <s v="HP2636934062"/>
    <x v="1"/>
    <n v="361170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356"/>
    <s v="HP2636934054"/>
    <x v="0"/>
    <n v="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356"/>
    <s v="HP2636934054"/>
    <x v="1"/>
    <n v="4815600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356"/>
    <s v="HP2636934062"/>
    <x v="0"/>
    <n v="1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356"/>
    <s v="HP2636934062"/>
    <x v="1"/>
    <n v="12039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22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22"/>
    <x v="1"/>
    <n v="1947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32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32"/>
    <x v="1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8"/>
    <s v="HP2636955258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8"/>
    <s v="HP2636955258"/>
    <x v="1"/>
    <n v="758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9"/>
    <s v="HP2636956606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9"/>
    <s v="HP2636956606"/>
    <x v="1"/>
    <n v="55993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360"/>
    <s v="HP2636941558"/>
    <x v="0"/>
    <n v="3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360"/>
    <s v="HP2636941558"/>
    <x v="1"/>
    <n v="19707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361"/>
    <s v="HP2636950580"/>
    <x v="0"/>
    <n v="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361"/>
    <s v="HP2636950580"/>
    <x v="1"/>
    <n v="12058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2"/>
    <s v="HP2636957378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2"/>
    <s v="HP2636957378"/>
    <x v="1"/>
    <n v="21284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3"/>
    <s v="HP2636950662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3"/>
    <s v="HP2636950662"/>
    <x v="1"/>
    <n v="18252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68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68"/>
    <x v="1"/>
    <n v="30508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70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70"/>
    <x v="1"/>
    <n v="2850800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365"/>
    <s v="HP2636941750"/>
    <x v="0"/>
    <n v="2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365"/>
    <s v="HP2636941750"/>
    <x v="1"/>
    <n v="211360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366"/>
    <s v="HP2636968718"/>
    <x v="0"/>
    <n v="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366"/>
    <s v="HP2636968718"/>
    <x v="1"/>
    <n v="5076800"/>
  </r>
  <r>
    <x v="0"/>
    <x v="0"/>
    <x v="0"/>
    <x v="6"/>
    <x v="30"/>
    <x v="30"/>
    <x v="11"/>
    <s v="Y"/>
    <s v="N"/>
    <x v="4"/>
    <x v="1"/>
    <x v="0"/>
    <x v="0"/>
    <s v="성인"/>
    <s v="성인"/>
    <s v="대리점"/>
    <x v="0"/>
    <x v="12"/>
    <x v="0"/>
    <x v="367"/>
    <s v="HB2636977844"/>
    <x v="0"/>
    <n v="2"/>
  </r>
  <r>
    <x v="0"/>
    <x v="0"/>
    <x v="0"/>
    <x v="6"/>
    <x v="30"/>
    <x v="30"/>
    <x v="11"/>
    <s v="Y"/>
    <s v="N"/>
    <x v="4"/>
    <x v="1"/>
    <x v="0"/>
    <x v="0"/>
    <s v="성인"/>
    <s v="성인"/>
    <s v="대리점"/>
    <x v="0"/>
    <x v="12"/>
    <x v="0"/>
    <x v="367"/>
    <s v="HB2636977844"/>
    <x v="1"/>
    <n v="1059800"/>
  </r>
  <r>
    <x v="0"/>
    <x v="0"/>
    <x v="0"/>
    <x v="6"/>
    <x v="30"/>
    <x v="30"/>
    <x v="11"/>
    <s v="Y"/>
    <s v="N"/>
    <x v="0"/>
    <x v="0"/>
    <x v="0"/>
    <x v="0"/>
    <m/>
    <m/>
    <s v="대리점"/>
    <x v="0"/>
    <x v="2"/>
    <x v="1"/>
    <x v="368"/>
    <s v="HP2636979066"/>
    <x v="0"/>
    <n v="0"/>
  </r>
  <r>
    <x v="0"/>
    <x v="0"/>
    <x v="0"/>
    <x v="6"/>
    <x v="30"/>
    <x v="30"/>
    <x v="11"/>
    <s v="Y"/>
    <s v="N"/>
    <x v="0"/>
    <x v="0"/>
    <x v="0"/>
    <x v="0"/>
    <m/>
    <m/>
    <s v="대리점"/>
    <x v="0"/>
    <x v="2"/>
    <x v="1"/>
    <x v="368"/>
    <s v="HP2636979066"/>
    <x v="1"/>
    <n v="313600"/>
  </r>
  <r>
    <x v="0"/>
    <x v="0"/>
    <x v="0"/>
    <x v="6"/>
    <x v="30"/>
    <x v="30"/>
    <x v="11"/>
    <s v="Y"/>
    <s v="N"/>
    <x v="1"/>
    <x v="0"/>
    <x v="0"/>
    <x v="0"/>
    <s v="성인"/>
    <s v="성인"/>
    <s v="대리점"/>
    <x v="0"/>
    <x v="2"/>
    <x v="0"/>
    <x v="369"/>
    <s v="HP2636977110"/>
    <x v="0"/>
    <n v="8"/>
  </r>
  <r>
    <x v="0"/>
    <x v="0"/>
    <x v="0"/>
    <x v="6"/>
    <x v="30"/>
    <x v="30"/>
    <x v="11"/>
    <s v="Y"/>
    <s v="N"/>
    <x v="1"/>
    <x v="0"/>
    <x v="0"/>
    <x v="0"/>
    <s v="성인"/>
    <s v="성인"/>
    <s v="대리점"/>
    <x v="0"/>
    <x v="2"/>
    <x v="0"/>
    <x v="369"/>
    <s v="HP2636977110"/>
    <x v="1"/>
    <n v="10799200"/>
  </r>
  <r>
    <x v="0"/>
    <x v="0"/>
    <x v="0"/>
    <x v="6"/>
    <x v="30"/>
    <x v="30"/>
    <x v="11"/>
    <s v="Y"/>
    <s v="N"/>
    <x v="1"/>
    <x v="0"/>
    <x v="0"/>
    <x v="0"/>
    <s v="아동"/>
    <s v="청소년"/>
    <s v="대리점"/>
    <x v="0"/>
    <x v="2"/>
    <x v="0"/>
    <x v="369"/>
    <s v="HP2636977110"/>
    <x v="0"/>
    <n v="1"/>
  </r>
  <r>
    <x v="0"/>
    <x v="0"/>
    <x v="0"/>
    <x v="6"/>
    <x v="30"/>
    <x v="30"/>
    <x v="11"/>
    <s v="Y"/>
    <s v="N"/>
    <x v="1"/>
    <x v="0"/>
    <x v="0"/>
    <x v="0"/>
    <s v="아동"/>
    <s v="청소년"/>
    <s v="대리점"/>
    <x v="0"/>
    <x v="2"/>
    <x v="0"/>
    <x v="369"/>
    <s v="HP2636977110"/>
    <x v="1"/>
    <n v="1349900"/>
  </r>
  <r>
    <x v="0"/>
    <x v="0"/>
    <x v="0"/>
    <x v="6"/>
    <x v="30"/>
    <x v="30"/>
    <x v="11"/>
    <s v="Y"/>
    <s v="N"/>
    <x v="1"/>
    <x v="0"/>
    <x v="0"/>
    <x v="0"/>
    <s v="청소년"/>
    <s v="청소년"/>
    <s v="대리점"/>
    <x v="0"/>
    <x v="2"/>
    <x v="0"/>
    <x v="369"/>
    <s v="HP2636977110"/>
    <x v="0"/>
    <n v="2"/>
  </r>
  <r>
    <x v="0"/>
    <x v="0"/>
    <x v="0"/>
    <x v="6"/>
    <x v="30"/>
    <x v="30"/>
    <x v="11"/>
    <s v="Y"/>
    <s v="N"/>
    <x v="1"/>
    <x v="0"/>
    <x v="0"/>
    <x v="0"/>
    <s v="청소년"/>
    <s v="청소년"/>
    <s v="대리점"/>
    <x v="0"/>
    <x v="2"/>
    <x v="0"/>
    <x v="369"/>
    <s v="HP2636977110"/>
    <x v="1"/>
    <n v="2699800"/>
  </r>
  <r>
    <x v="0"/>
    <x v="0"/>
    <x v="0"/>
    <x v="6"/>
    <x v="30"/>
    <x v="30"/>
    <x v="11"/>
    <s v="Y"/>
    <s v="N"/>
    <x v="1"/>
    <x v="0"/>
    <x v="0"/>
    <x v="1"/>
    <s v="아동"/>
    <s v="아동"/>
    <s v="대리점"/>
    <x v="0"/>
    <x v="2"/>
    <x v="0"/>
    <x v="369"/>
    <s v="HP2636977110"/>
    <x v="0"/>
    <n v="1"/>
  </r>
  <r>
    <x v="0"/>
    <x v="0"/>
    <x v="0"/>
    <x v="6"/>
    <x v="30"/>
    <x v="30"/>
    <x v="11"/>
    <s v="Y"/>
    <s v="N"/>
    <x v="1"/>
    <x v="0"/>
    <x v="0"/>
    <x v="1"/>
    <s v="아동"/>
    <s v="아동"/>
    <s v="대리점"/>
    <x v="0"/>
    <x v="2"/>
    <x v="0"/>
    <x v="369"/>
    <s v="HP2636977110"/>
    <x v="1"/>
    <n v="1343900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370"/>
    <s v="HP2636708714"/>
    <x v="0"/>
    <n v="2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370"/>
    <s v="HP2636708714"/>
    <x v="1"/>
    <n v="1350000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371"/>
    <s v="HP2637011596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371"/>
    <s v="HP2637011596"/>
    <x v="1"/>
    <n v="24112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3"/>
    <x v="0"/>
    <x v="372"/>
    <s v="HP2637011690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3"/>
    <x v="0"/>
    <x v="372"/>
    <s v="HP2637011690"/>
    <x v="1"/>
    <n v="20558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373"/>
    <s v="HP2637002496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373"/>
    <s v="HP2637002496"/>
    <x v="1"/>
    <n v="598000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371"/>
    <s v="HP2637011596"/>
    <x v="0"/>
    <n v="1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371"/>
    <s v="HP2637011596"/>
    <x v="1"/>
    <n v="1205600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371"/>
    <s v="HP2637011596"/>
    <x v="0"/>
    <n v="1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371"/>
    <s v="HP2637011596"/>
    <x v="1"/>
    <n v="1205600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374"/>
    <s v="HP2637011202"/>
    <x v="0"/>
    <n v="6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374"/>
    <s v="HP2637011202"/>
    <x v="1"/>
    <n v="580440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374"/>
    <s v="HP2637011202"/>
    <x v="0"/>
    <n v="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374"/>
    <s v="HP2637011202"/>
    <x v="1"/>
    <n v="0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375"/>
    <s v="HP2637034332"/>
    <x v="0"/>
    <n v="4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375"/>
    <s v="HP2637034332"/>
    <x v="1"/>
    <n v="244000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5"/>
    <x v="1"/>
    <x v="376"/>
    <s v="HP2637041828"/>
    <x v="0"/>
    <n v="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5"/>
    <x v="1"/>
    <x v="376"/>
    <s v="HP2637041828"/>
    <x v="1"/>
    <n v="8710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78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78"/>
    <x v="1"/>
    <n v="11033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94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94"/>
    <x v="1"/>
    <n v="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296"/>
    <s v="HP2637062336"/>
    <x v="0"/>
    <n v="2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296"/>
    <s v="HP2637062336"/>
    <x v="1"/>
    <n v="1091000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374"/>
    <s v="HP2637011202"/>
    <x v="0"/>
    <n v="1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374"/>
    <s v="HP2637011202"/>
    <x v="1"/>
    <n v="967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7"/>
    <s v="HP2637069034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7"/>
    <s v="HP2637069034"/>
    <x v="1"/>
    <n v="12980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9"/>
    <s v="HP2637069000"/>
    <x v="0"/>
    <n v="6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9"/>
    <s v="HP2637069000"/>
    <x v="1"/>
    <n v="4799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77"/>
    <s v="HP2637068966"/>
    <x v="0"/>
    <n v="11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77"/>
    <s v="HP2637068966"/>
    <x v="1"/>
    <n v="11033000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378"/>
    <s v="HP2637070908"/>
    <x v="0"/>
    <n v="5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378"/>
    <s v="HP2637070908"/>
    <x v="1"/>
    <n v="607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7"/>
    <s v="HP2637069034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7"/>
    <s v="HP2637069034"/>
    <x v="1"/>
    <n v="64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9"/>
    <s v="HP2637069000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9"/>
    <s v="HP2637069000"/>
    <x v="1"/>
    <n v="799900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378"/>
    <s v="HP2637070908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378"/>
    <s v="HP2637070908"/>
    <x v="1"/>
    <n v="1215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79"/>
    <s v="HP2637070586"/>
    <x v="0"/>
    <n v="6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79"/>
    <s v="HP2637070586"/>
    <x v="1"/>
    <n v="1251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0"/>
    <s v="HP2637070444"/>
    <x v="0"/>
    <n v="6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0"/>
    <s v="HP2637070444"/>
    <x v="1"/>
    <n v="940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1"/>
    <s v="HP2637068926"/>
    <x v="0"/>
    <n v="2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1"/>
    <s v="HP2637068926"/>
    <x v="1"/>
    <n v="1699800"/>
  </r>
  <r>
    <x v="0"/>
    <x v="0"/>
    <x v="0"/>
    <x v="6"/>
    <x v="30"/>
    <x v="30"/>
    <x v="7"/>
    <s v="N"/>
    <s v="Y"/>
    <x v="0"/>
    <x v="0"/>
    <x v="0"/>
    <x v="1"/>
    <m/>
    <m/>
    <s v="범용/상용닷컴"/>
    <x v="1"/>
    <x v="2"/>
    <x v="0"/>
    <x v="378"/>
    <s v="HP2637070908"/>
    <x v="0"/>
    <n v="1"/>
  </r>
  <r>
    <x v="0"/>
    <x v="0"/>
    <x v="0"/>
    <x v="6"/>
    <x v="30"/>
    <x v="30"/>
    <x v="7"/>
    <s v="N"/>
    <s v="Y"/>
    <x v="0"/>
    <x v="0"/>
    <x v="0"/>
    <x v="1"/>
    <m/>
    <m/>
    <s v="범용/상용닷컴"/>
    <x v="1"/>
    <x v="2"/>
    <x v="0"/>
    <x v="378"/>
    <s v="HP2637070908"/>
    <x v="1"/>
    <n v="1215800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2"/>
    <x v="0"/>
    <x v="382"/>
    <s v="HB2637088428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2"/>
    <x v="0"/>
    <x v="382"/>
    <s v="HB2637088428"/>
    <x v="1"/>
    <n v="739800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2"/>
    <x v="0"/>
    <x v="383"/>
    <s v="HB2637090998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2"/>
    <x v="0"/>
    <x v="383"/>
    <s v="HB2637090998"/>
    <x v="1"/>
    <n v="693000"/>
  </r>
  <r>
    <x v="0"/>
    <x v="0"/>
    <x v="0"/>
    <x v="6"/>
    <x v="30"/>
    <x v="30"/>
    <x v="8"/>
    <s v="Y"/>
    <s v="N"/>
    <x v="1"/>
    <x v="0"/>
    <x v="0"/>
    <x v="0"/>
    <s v="성인"/>
    <s v="성인"/>
    <s v="대리점"/>
    <x v="0"/>
    <x v="3"/>
    <x v="0"/>
    <x v="384"/>
    <s v="HP2637090158"/>
    <x v="0"/>
    <n v="2"/>
  </r>
  <r>
    <x v="0"/>
    <x v="0"/>
    <x v="0"/>
    <x v="6"/>
    <x v="30"/>
    <x v="30"/>
    <x v="8"/>
    <s v="Y"/>
    <s v="N"/>
    <x v="1"/>
    <x v="0"/>
    <x v="0"/>
    <x v="0"/>
    <s v="성인"/>
    <s v="성인"/>
    <s v="대리점"/>
    <x v="0"/>
    <x v="3"/>
    <x v="0"/>
    <x v="384"/>
    <s v="HP2637090158"/>
    <x v="1"/>
    <n v="2460000"/>
  </r>
  <r>
    <x v="0"/>
    <x v="0"/>
    <x v="0"/>
    <x v="6"/>
    <x v="30"/>
    <x v="30"/>
    <x v="10"/>
    <s v="N"/>
    <s v="N"/>
    <x v="4"/>
    <x v="0"/>
    <x v="0"/>
    <x v="0"/>
    <m/>
    <m/>
    <s v="범용/상용닷컴"/>
    <x v="1"/>
    <x v="30"/>
    <x v="0"/>
    <x v="385"/>
    <s v="HP2637128844"/>
    <x v="0"/>
    <n v="1"/>
  </r>
  <r>
    <x v="0"/>
    <x v="0"/>
    <x v="0"/>
    <x v="6"/>
    <x v="30"/>
    <x v="30"/>
    <x v="10"/>
    <s v="N"/>
    <s v="N"/>
    <x v="4"/>
    <x v="0"/>
    <x v="0"/>
    <x v="0"/>
    <m/>
    <m/>
    <s v="범용/상용닷컴"/>
    <x v="1"/>
    <x v="30"/>
    <x v="0"/>
    <x v="385"/>
    <s v="HP2637128844"/>
    <x v="1"/>
    <n v="1169000"/>
  </r>
  <r>
    <x v="0"/>
    <x v="0"/>
    <x v="0"/>
    <x v="6"/>
    <x v="30"/>
    <x v="30"/>
    <x v="10"/>
    <s v="N"/>
    <s v="N"/>
    <x v="1"/>
    <x v="0"/>
    <x v="0"/>
    <x v="0"/>
    <s v="성인"/>
    <s v="성인"/>
    <s v="대리점"/>
    <x v="0"/>
    <x v="1"/>
    <x v="0"/>
    <x v="386"/>
    <s v="HP2637113252"/>
    <x v="0"/>
    <n v="1"/>
  </r>
  <r>
    <x v="0"/>
    <x v="0"/>
    <x v="0"/>
    <x v="6"/>
    <x v="30"/>
    <x v="30"/>
    <x v="10"/>
    <s v="N"/>
    <s v="N"/>
    <x v="1"/>
    <x v="0"/>
    <x v="0"/>
    <x v="0"/>
    <s v="성인"/>
    <s v="성인"/>
    <s v="대리점"/>
    <x v="0"/>
    <x v="1"/>
    <x v="0"/>
    <x v="386"/>
    <s v="HP2637113252"/>
    <x v="1"/>
    <n v="1499900"/>
  </r>
  <r>
    <x v="0"/>
    <x v="0"/>
    <x v="0"/>
    <x v="6"/>
    <x v="30"/>
    <x v="30"/>
    <x v="10"/>
    <s v="N"/>
    <s v="N"/>
    <x v="1"/>
    <x v="0"/>
    <x v="0"/>
    <x v="0"/>
    <m/>
    <m/>
    <s v="대리점"/>
    <x v="0"/>
    <x v="1"/>
    <x v="0"/>
    <x v="386"/>
    <s v="HP2637113252"/>
    <x v="0"/>
    <n v="4"/>
  </r>
  <r>
    <x v="0"/>
    <x v="0"/>
    <x v="0"/>
    <x v="6"/>
    <x v="30"/>
    <x v="30"/>
    <x v="10"/>
    <s v="N"/>
    <s v="N"/>
    <x v="1"/>
    <x v="0"/>
    <x v="0"/>
    <x v="0"/>
    <m/>
    <m/>
    <s v="대리점"/>
    <x v="0"/>
    <x v="1"/>
    <x v="0"/>
    <x v="386"/>
    <s v="HP2637113252"/>
    <x v="1"/>
    <n v="5999600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387"/>
    <s v="HP2636927064"/>
    <x v="0"/>
    <n v="4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387"/>
    <s v="HP2636927064"/>
    <x v="1"/>
    <n v="3929200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388"/>
    <s v="HP2636966850"/>
    <x v="0"/>
    <n v="4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388"/>
    <s v="HP2636966850"/>
    <x v="1"/>
    <n v="6260800"/>
  </r>
  <r>
    <x v="0"/>
    <x v="0"/>
    <x v="1"/>
    <x v="7"/>
    <x v="31"/>
    <x v="31"/>
    <x v="11"/>
    <s v="Y"/>
    <s v="N"/>
    <x v="1"/>
    <x v="0"/>
    <x v="0"/>
    <x v="0"/>
    <s v="성인"/>
    <s v="성인"/>
    <s v="대리점"/>
    <x v="0"/>
    <x v="2"/>
    <x v="0"/>
    <x v="389"/>
    <s v="HP2636973740"/>
    <x v="0"/>
    <n v="6"/>
  </r>
  <r>
    <x v="0"/>
    <x v="0"/>
    <x v="1"/>
    <x v="7"/>
    <x v="31"/>
    <x v="31"/>
    <x v="11"/>
    <s v="Y"/>
    <s v="N"/>
    <x v="1"/>
    <x v="0"/>
    <x v="0"/>
    <x v="0"/>
    <s v="성인"/>
    <s v="성인"/>
    <s v="대리점"/>
    <x v="0"/>
    <x v="2"/>
    <x v="0"/>
    <x v="389"/>
    <s v="HP2636973740"/>
    <x v="1"/>
    <n v="8994000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1"/>
    <x v="0"/>
    <x v="390"/>
    <s v="HP2637005626"/>
    <x v="0"/>
    <n v="6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1"/>
    <x v="0"/>
    <x v="390"/>
    <s v="HP2637005626"/>
    <x v="1"/>
    <n v="2694000"/>
  </r>
  <r>
    <x v="0"/>
    <x v="0"/>
    <x v="1"/>
    <x v="7"/>
    <x v="31"/>
    <x v="31"/>
    <x v="4"/>
    <s v="N"/>
    <s v="N"/>
    <x v="4"/>
    <x v="2"/>
    <x v="0"/>
    <x v="0"/>
    <s v="성인"/>
    <s v="성인"/>
    <s v="대리점"/>
    <x v="0"/>
    <x v="2"/>
    <x v="0"/>
    <x v="391"/>
    <s v="HP2637001918"/>
    <x v="0"/>
    <n v="14"/>
  </r>
  <r>
    <x v="0"/>
    <x v="0"/>
    <x v="1"/>
    <x v="7"/>
    <x v="31"/>
    <x v="31"/>
    <x v="4"/>
    <s v="N"/>
    <s v="N"/>
    <x v="4"/>
    <x v="2"/>
    <x v="0"/>
    <x v="0"/>
    <s v="성인"/>
    <s v="성인"/>
    <s v="대리점"/>
    <x v="0"/>
    <x v="2"/>
    <x v="0"/>
    <x v="391"/>
    <s v="HP2637001918"/>
    <x v="1"/>
    <n v="28000000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392"/>
    <s v="HP2637033604"/>
    <x v="0"/>
    <n v="2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392"/>
    <s v="HP2637033604"/>
    <x v="1"/>
    <n v="378000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393"/>
    <s v="HP2637096428"/>
    <x v="0"/>
    <n v="2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393"/>
    <s v="HP2637096428"/>
    <x v="1"/>
    <n v="1525200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393"/>
    <s v="HP2637096428"/>
    <x v="0"/>
    <n v="1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393"/>
    <s v="HP2637096428"/>
    <x v="1"/>
    <n v="762600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393"/>
    <s v="HP2637096428"/>
    <x v="0"/>
    <n v="1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393"/>
    <s v="HP2637096428"/>
    <x v="1"/>
    <n v="762600"/>
  </r>
  <r>
    <x v="0"/>
    <x v="0"/>
    <x v="1"/>
    <x v="8"/>
    <x v="32"/>
    <x v="32"/>
    <x v="0"/>
    <s v="N"/>
    <s v="N"/>
    <x v="10"/>
    <x v="2"/>
    <x v="0"/>
    <x v="0"/>
    <s v="성인"/>
    <s v="성인"/>
    <s v="대리점"/>
    <x v="0"/>
    <x v="2"/>
    <x v="0"/>
    <x v="394"/>
    <s v="HQ2636636874"/>
    <x v="0"/>
    <n v="36"/>
  </r>
  <r>
    <x v="0"/>
    <x v="0"/>
    <x v="1"/>
    <x v="8"/>
    <x v="32"/>
    <x v="32"/>
    <x v="0"/>
    <s v="N"/>
    <s v="N"/>
    <x v="10"/>
    <x v="2"/>
    <x v="0"/>
    <x v="0"/>
    <s v="성인"/>
    <s v="성인"/>
    <s v="대리점"/>
    <x v="0"/>
    <x v="2"/>
    <x v="0"/>
    <x v="394"/>
    <s v="HQ2636636874"/>
    <x v="1"/>
    <n v="35640000"/>
  </r>
  <r>
    <x v="0"/>
    <x v="0"/>
    <x v="1"/>
    <x v="8"/>
    <x v="32"/>
    <x v="32"/>
    <x v="0"/>
    <s v="N"/>
    <s v="N"/>
    <x v="10"/>
    <x v="2"/>
    <x v="0"/>
    <x v="0"/>
    <m/>
    <m/>
    <s v="대리점"/>
    <x v="0"/>
    <x v="2"/>
    <x v="1"/>
    <x v="394"/>
    <s v="HQ2636636874"/>
    <x v="0"/>
    <n v="0"/>
  </r>
  <r>
    <x v="0"/>
    <x v="0"/>
    <x v="1"/>
    <x v="8"/>
    <x v="32"/>
    <x v="32"/>
    <x v="0"/>
    <s v="N"/>
    <s v="N"/>
    <x v="10"/>
    <x v="2"/>
    <x v="0"/>
    <x v="0"/>
    <m/>
    <m/>
    <s v="대리점"/>
    <x v="0"/>
    <x v="2"/>
    <x v="1"/>
    <x v="394"/>
    <s v="HQ2636636874"/>
    <x v="1"/>
    <n v="990000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395"/>
    <s v="HP2636951646"/>
    <x v="0"/>
    <n v="5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395"/>
    <s v="HP2636951646"/>
    <x v="1"/>
    <n v="7495000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396"/>
    <s v="HP2637030844"/>
    <x v="0"/>
    <n v="4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396"/>
    <s v="HP2637030844"/>
    <x v="1"/>
    <n v="5308400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396"/>
    <s v="HP2637030844"/>
    <x v="0"/>
    <n v="1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396"/>
    <s v="HP2637030844"/>
    <x v="1"/>
    <n v="1327100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397"/>
    <s v="HP2636984660"/>
    <x v="0"/>
    <n v="3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397"/>
    <s v="HP2636984660"/>
    <x v="1"/>
    <n v="2730300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398"/>
    <s v="HP2637008452"/>
    <x v="0"/>
    <n v="4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398"/>
    <s v="HP2637008452"/>
    <x v="1"/>
    <n v="489840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399"/>
    <s v="HP2637061182"/>
    <x v="0"/>
    <n v="7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399"/>
    <s v="HP2637061182"/>
    <x v="1"/>
    <n v="875770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0"/>
    <s v="HQ2636930702"/>
    <x v="0"/>
    <n v="21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0"/>
    <s v="HQ2636930702"/>
    <x v="1"/>
    <n v="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1"/>
    <s v="HQ2636875130"/>
    <x v="0"/>
    <n v="3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1"/>
    <s v="HQ2636875130"/>
    <x v="1"/>
    <n v="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2"/>
    <s v="HQ2636931550"/>
    <x v="0"/>
    <n v="21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2"/>
    <s v="HQ2636931550"/>
    <x v="1"/>
    <n v="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3"/>
    <s v="HQ2636928664"/>
    <x v="0"/>
    <n v="21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3"/>
    <s v="HQ2636928664"/>
    <x v="1"/>
    <n v="42000000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12"/>
    <x v="0"/>
    <x v="404"/>
    <s v="HB2636963924"/>
    <x v="0"/>
    <n v="2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12"/>
    <x v="0"/>
    <x v="404"/>
    <s v="HB2636963924"/>
    <x v="1"/>
    <n v="1113800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12"/>
    <x v="0"/>
    <x v="404"/>
    <s v="HB2636963924"/>
    <x v="0"/>
    <n v="2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12"/>
    <x v="0"/>
    <x v="404"/>
    <s v="HB2636963924"/>
    <x v="1"/>
    <n v="713800"/>
  </r>
  <r>
    <x v="0"/>
    <x v="0"/>
    <x v="1"/>
    <x v="9"/>
    <x v="34"/>
    <x v="34"/>
    <x v="4"/>
    <s v="N"/>
    <s v="N"/>
    <x v="1"/>
    <x v="0"/>
    <x v="0"/>
    <x v="0"/>
    <s v="성인"/>
    <s v="성인"/>
    <s v="대리점"/>
    <x v="0"/>
    <x v="23"/>
    <x v="0"/>
    <x v="405"/>
    <s v="HP2637010764"/>
    <x v="0"/>
    <n v="5"/>
  </r>
  <r>
    <x v="0"/>
    <x v="0"/>
    <x v="1"/>
    <x v="9"/>
    <x v="34"/>
    <x v="34"/>
    <x v="4"/>
    <s v="N"/>
    <s v="N"/>
    <x v="1"/>
    <x v="0"/>
    <x v="0"/>
    <x v="0"/>
    <s v="성인"/>
    <s v="성인"/>
    <s v="대리점"/>
    <x v="0"/>
    <x v="23"/>
    <x v="0"/>
    <x v="405"/>
    <s v="HP2637010764"/>
    <x v="1"/>
    <n v="9117000"/>
  </r>
  <r>
    <x v="0"/>
    <x v="0"/>
    <x v="1"/>
    <x v="9"/>
    <x v="34"/>
    <x v="34"/>
    <x v="5"/>
    <s v="N"/>
    <s v="N"/>
    <x v="0"/>
    <x v="2"/>
    <x v="0"/>
    <x v="0"/>
    <m/>
    <m/>
    <s v="대리점"/>
    <x v="0"/>
    <x v="2"/>
    <x v="0"/>
    <x v="406"/>
    <s v="HQ2637034926"/>
    <x v="0"/>
    <n v="19"/>
  </r>
  <r>
    <x v="0"/>
    <x v="0"/>
    <x v="1"/>
    <x v="9"/>
    <x v="34"/>
    <x v="34"/>
    <x v="5"/>
    <s v="N"/>
    <s v="N"/>
    <x v="0"/>
    <x v="2"/>
    <x v="0"/>
    <x v="0"/>
    <m/>
    <m/>
    <s v="대리점"/>
    <x v="0"/>
    <x v="2"/>
    <x v="0"/>
    <x v="406"/>
    <s v="HQ2637034926"/>
    <x v="1"/>
    <n v="3800000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407"/>
    <s v="HP2637030952"/>
    <x v="0"/>
    <n v="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407"/>
    <s v="HP2637030952"/>
    <x v="1"/>
    <n v="7710000"/>
  </r>
  <r>
    <x v="0"/>
    <x v="0"/>
    <x v="1"/>
    <x v="9"/>
    <x v="34"/>
    <x v="34"/>
    <x v="10"/>
    <s v="N"/>
    <s v="N"/>
    <x v="1"/>
    <x v="0"/>
    <x v="0"/>
    <x v="0"/>
    <s v="성인"/>
    <s v="성인"/>
    <s v="대리점"/>
    <x v="0"/>
    <x v="4"/>
    <x v="0"/>
    <x v="408"/>
    <s v="HP2637121898"/>
    <x v="0"/>
    <n v="1"/>
  </r>
  <r>
    <x v="0"/>
    <x v="0"/>
    <x v="1"/>
    <x v="9"/>
    <x v="34"/>
    <x v="34"/>
    <x v="10"/>
    <s v="N"/>
    <s v="N"/>
    <x v="1"/>
    <x v="0"/>
    <x v="0"/>
    <x v="0"/>
    <s v="성인"/>
    <s v="성인"/>
    <s v="대리점"/>
    <x v="0"/>
    <x v="4"/>
    <x v="0"/>
    <x v="408"/>
    <s v="HP2637121898"/>
    <x v="1"/>
    <n v="1417900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409"/>
    <s v="HP2637001964"/>
    <x v="0"/>
    <n v="3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409"/>
    <s v="HP2637001964"/>
    <x v="1"/>
    <n v="2917800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409"/>
    <s v="HP2637001964"/>
    <x v="0"/>
    <n v="1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409"/>
    <s v="HP2637001964"/>
    <x v="1"/>
    <n v="972600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410"/>
    <s v="HP2637081910"/>
    <x v="0"/>
    <n v="6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410"/>
    <s v="HP2637081910"/>
    <x v="1"/>
    <n v="6630000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1"/>
    <s v="HQ2636932120"/>
    <x v="0"/>
    <n v="11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1"/>
    <s v="HQ2636932120"/>
    <x v="1"/>
    <n v="0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2"/>
    <s v="HQ2635735162"/>
    <x v="0"/>
    <n v="1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2"/>
    <s v="HQ2635735162"/>
    <x v="1"/>
    <n v="1400000"/>
  </r>
  <r>
    <x v="0"/>
    <x v="0"/>
    <x v="1"/>
    <x v="10"/>
    <x v="36"/>
    <x v="36"/>
    <x v="0"/>
    <s v="N"/>
    <s v="N"/>
    <x v="0"/>
    <x v="0"/>
    <x v="0"/>
    <x v="0"/>
    <s v="성인"/>
    <s v="성인"/>
    <s v="대리점"/>
    <x v="0"/>
    <x v="16"/>
    <x v="0"/>
    <x v="413"/>
    <s v="HP2636930790"/>
    <x v="0"/>
    <n v="5"/>
  </r>
  <r>
    <x v="0"/>
    <x v="0"/>
    <x v="1"/>
    <x v="10"/>
    <x v="36"/>
    <x v="36"/>
    <x v="0"/>
    <s v="N"/>
    <s v="N"/>
    <x v="0"/>
    <x v="0"/>
    <x v="0"/>
    <x v="0"/>
    <s v="성인"/>
    <s v="성인"/>
    <s v="대리점"/>
    <x v="0"/>
    <x v="16"/>
    <x v="0"/>
    <x v="413"/>
    <s v="HP2636930790"/>
    <x v="1"/>
    <n v="6149500"/>
  </r>
  <r>
    <x v="0"/>
    <x v="0"/>
    <x v="1"/>
    <x v="10"/>
    <x v="36"/>
    <x v="36"/>
    <x v="0"/>
    <s v="N"/>
    <s v="N"/>
    <x v="0"/>
    <x v="0"/>
    <x v="0"/>
    <x v="0"/>
    <m/>
    <m/>
    <s v="대리점"/>
    <x v="0"/>
    <x v="16"/>
    <x v="0"/>
    <x v="413"/>
    <s v="HP2636930790"/>
    <x v="0"/>
    <n v="1"/>
  </r>
  <r>
    <x v="0"/>
    <x v="0"/>
    <x v="1"/>
    <x v="10"/>
    <x v="36"/>
    <x v="36"/>
    <x v="0"/>
    <s v="N"/>
    <s v="N"/>
    <x v="0"/>
    <x v="0"/>
    <x v="0"/>
    <x v="0"/>
    <m/>
    <m/>
    <s v="대리점"/>
    <x v="0"/>
    <x v="16"/>
    <x v="0"/>
    <x v="413"/>
    <s v="HP2636930790"/>
    <x v="1"/>
    <n v="1229900"/>
  </r>
  <r>
    <x v="0"/>
    <x v="0"/>
    <x v="1"/>
    <x v="10"/>
    <x v="36"/>
    <x v="36"/>
    <x v="1"/>
    <s v="N"/>
    <s v="N"/>
    <x v="1"/>
    <x v="0"/>
    <x v="0"/>
    <x v="0"/>
    <s v="성인"/>
    <s v="성인"/>
    <s v="닷컴"/>
    <x v="2"/>
    <x v="3"/>
    <x v="0"/>
    <x v="414"/>
    <s v="HP2636948040"/>
    <x v="0"/>
    <n v="1"/>
  </r>
  <r>
    <x v="0"/>
    <x v="0"/>
    <x v="1"/>
    <x v="10"/>
    <x v="36"/>
    <x v="36"/>
    <x v="1"/>
    <s v="N"/>
    <s v="N"/>
    <x v="1"/>
    <x v="0"/>
    <x v="0"/>
    <x v="0"/>
    <s v="성인"/>
    <s v="성인"/>
    <s v="닷컴"/>
    <x v="2"/>
    <x v="3"/>
    <x v="0"/>
    <x v="414"/>
    <s v="HP2636948040"/>
    <x v="1"/>
    <n v="2289300"/>
  </r>
  <r>
    <x v="0"/>
    <x v="0"/>
    <x v="1"/>
    <x v="10"/>
    <x v="36"/>
    <x v="36"/>
    <x v="1"/>
    <s v="N"/>
    <s v="N"/>
    <x v="1"/>
    <x v="0"/>
    <x v="0"/>
    <x v="0"/>
    <s v="성인"/>
    <s v="성인"/>
    <s v="대리점"/>
    <x v="0"/>
    <x v="2"/>
    <x v="0"/>
    <x v="415"/>
    <s v="HP2636947682"/>
    <x v="0"/>
    <n v="2"/>
  </r>
  <r>
    <x v="0"/>
    <x v="0"/>
    <x v="1"/>
    <x v="10"/>
    <x v="36"/>
    <x v="36"/>
    <x v="1"/>
    <s v="N"/>
    <s v="N"/>
    <x v="1"/>
    <x v="0"/>
    <x v="0"/>
    <x v="0"/>
    <s v="성인"/>
    <s v="성인"/>
    <s v="대리점"/>
    <x v="0"/>
    <x v="2"/>
    <x v="0"/>
    <x v="415"/>
    <s v="HP2636947682"/>
    <x v="1"/>
    <n v="2647800"/>
  </r>
  <r>
    <x v="0"/>
    <x v="0"/>
    <x v="1"/>
    <x v="10"/>
    <x v="36"/>
    <x v="36"/>
    <x v="1"/>
    <s v="N"/>
    <s v="N"/>
    <x v="1"/>
    <x v="0"/>
    <x v="0"/>
    <x v="0"/>
    <s v="청소년"/>
    <s v="청소년"/>
    <s v="대리점"/>
    <x v="0"/>
    <x v="2"/>
    <x v="0"/>
    <x v="415"/>
    <s v="HP2636947682"/>
    <x v="0"/>
    <n v="1"/>
  </r>
  <r>
    <x v="0"/>
    <x v="0"/>
    <x v="1"/>
    <x v="10"/>
    <x v="36"/>
    <x v="36"/>
    <x v="1"/>
    <s v="N"/>
    <s v="N"/>
    <x v="1"/>
    <x v="0"/>
    <x v="0"/>
    <x v="0"/>
    <s v="청소년"/>
    <s v="청소년"/>
    <s v="대리점"/>
    <x v="0"/>
    <x v="2"/>
    <x v="0"/>
    <x v="415"/>
    <s v="HP2636947682"/>
    <x v="1"/>
    <n v="1348900"/>
  </r>
  <r>
    <x v="0"/>
    <x v="0"/>
    <x v="1"/>
    <x v="10"/>
    <x v="36"/>
    <x v="36"/>
    <x v="1"/>
    <s v="N"/>
    <s v="N"/>
    <x v="1"/>
    <x v="0"/>
    <x v="0"/>
    <x v="0"/>
    <m/>
    <m/>
    <s v="닷컴"/>
    <x v="2"/>
    <x v="3"/>
    <x v="0"/>
    <x v="414"/>
    <s v="HP2636948040"/>
    <x v="0"/>
    <n v="4"/>
  </r>
  <r>
    <x v="0"/>
    <x v="0"/>
    <x v="1"/>
    <x v="10"/>
    <x v="36"/>
    <x v="36"/>
    <x v="1"/>
    <s v="N"/>
    <s v="N"/>
    <x v="1"/>
    <x v="0"/>
    <x v="0"/>
    <x v="0"/>
    <m/>
    <m/>
    <s v="닷컴"/>
    <x v="2"/>
    <x v="3"/>
    <x v="0"/>
    <x v="414"/>
    <s v="HP2636948040"/>
    <x v="1"/>
    <n v="9157200"/>
  </r>
  <r>
    <x v="0"/>
    <x v="0"/>
    <x v="1"/>
    <x v="10"/>
    <x v="36"/>
    <x v="36"/>
    <x v="1"/>
    <s v="N"/>
    <s v="N"/>
    <x v="1"/>
    <x v="0"/>
    <x v="0"/>
    <x v="1"/>
    <s v="아동"/>
    <s v="아동"/>
    <s v="대리점"/>
    <x v="0"/>
    <x v="2"/>
    <x v="0"/>
    <x v="415"/>
    <s v="HP2636947682"/>
    <x v="0"/>
    <n v="1"/>
  </r>
  <r>
    <x v="0"/>
    <x v="0"/>
    <x v="1"/>
    <x v="10"/>
    <x v="36"/>
    <x v="36"/>
    <x v="1"/>
    <s v="N"/>
    <s v="N"/>
    <x v="1"/>
    <x v="0"/>
    <x v="0"/>
    <x v="1"/>
    <s v="아동"/>
    <s v="아동"/>
    <s v="대리점"/>
    <x v="0"/>
    <x v="2"/>
    <x v="0"/>
    <x v="415"/>
    <s v="HP2636947682"/>
    <x v="1"/>
    <n v="1348900"/>
  </r>
  <r>
    <x v="0"/>
    <x v="0"/>
    <x v="1"/>
    <x v="10"/>
    <x v="36"/>
    <x v="36"/>
    <x v="1"/>
    <s v="N"/>
    <s v="N"/>
    <x v="6"/>
    <x v="2"/>
    <x v="0"/>
    <x v="0"/>
    <s v="성인"/>
    <s v="성인"/>
    <s v="대리점"/>
    <x v="0"/>
    <x v="28"/>
    <x v="0"/>
    <x v="416"/>
    <s v="HQ2636953666"/>
    <x v="0"/>
    <n v="7"/>
  </r>
  <r>
    <x v="0"/>
    <x v="0"/>
    <x v="1"/>
    <x v="10"/>
    <x v="36"/>
    <x v="36"/>
    <x v="1"/>
    <s v="N"/>
    <s v="N"/>
    <x v="6"/>
    <x v="2"/>
    <x v="0"/>
    <x v="0"/>
    <s v="성인"/>
    <s v="성인"/>
    <s v="대리점"/>
    <x v="0"/>
    <x v="28"/>
    <x v="0"/>
    <x v="416"/>
    <s v="HQ2636953666"/>
    <x v="1"/>
    <n v="0"/>
  </r>
  <r>
    <x v="0"/>
    <x v="0"/>
    <x v="1"/>
    <x v="10"/>
    <x v="36"/>
    <x v="36"/>
    <x v="1"/>
    <s v="N"/>
    <s v="N"/>
    <x v="6"/>
    <x v="2"/>
    <x v="0"/>
    <x v="0"/>
    <m/>
    <m/>
    <s v="대리점"/>
    <x v="0"/>
    <x v="28"/>
    <x v="1"/>
    <x v="417"/>
    <s v="HQ2636953622"/>
    <x v="0"/>
    <n v="0"/>
  </r>
  <r>
    <x v="0"/>
    <x v="0"/>
    <x v="1"/>
    <x v="10"/>
    <x v="36"/>
    <x v="36"/>
    <x v="1"/>
    <s v="N"/>
    <s v="N"/>
    <x v="6"/>
    <x v="2"/>
    <x v="0"/>
    <x v="0"/>
    <m/>
    <m/>
    <s v="대리점"/>
    <x v="0"/>
    <x v="28"/>
    <x v="1"/>
    <x v="417"/>
    <s v="HQ2636953622"/>
    <x v="1"/>
    <n v="0"/>
  </r>
  <r>
    <x v="0"/>
    <x v="0"/>
    <x v="1"/>
    <x v="10"/>
    <x v="36"/>
    <x v="36"/>
    <x v="1"/>
    <s v="N"/>
    <s v="N"/>
    <x v="6"/>
    <x v="2"/>
    <x v="0"/>
    <x v="1"/>
    <s v="아동"/>
    <s v="아동"/>
    <s v="대리점"/>
    <x v="0"/>
    <x v="28"/>
    <x v="0"/>
    <x v="416"/>
    <s v="HQ2636953666"/>
    <x v="0"/>
    <n v="1"/>
  </r>
  <r>
    <x v="0"/>
    <x v="0"/>
    <x v="1"/>
    <x v="10"/>
    <x v="36"/>
    <x v="36"/>
    <x v="1"/>
    <s v="N"/>
    <s v="N"/>
    <x v="6"/>
    <x v="2"/>
    <x v="0"/>
    <x v="1"/>
    <s v="아동"/>
    <s v="아동"/>
    <s v="대리점"/>
    <x v="0"/>
    <x v="28"/>
    <x v="0"/>
    <x v="416"/>
    <s v="HQ2636953666"/>
    <x v="1"/>
    <n v="0"/>
  </r>
  <r>
    <x v="0"/>
    <x v="0"/>
    <x v="1"/>
    <x v="10"/>
    <x v="36"/>
    <x v="36"/>
    <x v="4"/>
    <s v="N"/>
    <s v="N"/>
    <x v="4"/>
    <x v="2"/>
    <x v="0"/>
    <x v="0"/>
    <s v="성인"/>
    <s v="성인"/>
    <s v="대리점"/>
    <x v="0"/>
    <x v="2"/>
    <x v="0"/>
    <x v="418"/>
    <s v="HP2636691966"/>
    <x v="0"/>
    <n v="1"/>
  </r>
  <r>
    <x v="0"/>
    <x v="0"/>
    <x v="1"/>
    <x v="10"/>
    <x v="36"/>
    <x v="36"/>
    <x v="4"/>
    <s v="N"/>
    <s v="N"/>
    <x v="4"/>
    <x v="2"/>
    <x v="0"/>
    <x v="0"/>
    <s v="성인"/>
    <s v="성인"/>
    <s v="대리점"/>
    <x v="0"/>
    <x v="2"/>
    <x v="0"/>
    <x v="418"/>
    <s v="HP2636691966"/>
    <x v="1"/>
    <n v="1450000"/>
  </r>
  <r>
    <x v="0"/>
    <x v="0"/>
    <x v="1"/>
    <x v="10"/>
    <x v="36"/>
    <x v="36"/>
    <x v="4"/>
    <s v="N"/>
    <s v="N"/>
    <x v="1"/>
    <x v="0"/>
    <x v="0"/>
    <x v="0"/>
    <s v="성인"/>
    <s v="성인"/>
    <s v="대리점"/>
    <x v="0"/>
    <x v="6"/>
    <x v="0"/>
    <x v="419"/>
    <s v="HP2637005102"/>
    <x v="0"/>
    <n v="2"/>
  </r>
  <r>
    <x v="0"/>
    <x v="0"/>
    <x v="1"/>
    <x v="10"/>
    <x v="36"/>
    <x v="36"/>
    <x v="4"/>
    <s v="N"/>
    <s v="N"/>
    <x v="1"/>
    <x v="0"/>
    <x v="0"/>
    <x v="0"/>
    <s v="성인"/>
    <s v="성인"/>
    <s v="대리점"/>
    <x v="0"/>
    <x v="6"/>
    <x v="0"/>
    <x v="419"/>
    <s v="HP2637005102"/>
    <x v="1"/>
    <n v="3099800"/>
  </r>
  <r>
    <x v="0"/>
    <x v="0"/>
    <x v="1"/>
    <x v="10"/>
    <x v="36"/>
    <x v="36"/>
    <x v="5"/>
    <s v="N"/>
    <s v="N"/>
    <x v="4"/>
    <x v="2"/>
    <x v="0"/>
    <x v="0"/>
    <s v="성인"/>
    <s v="성인"/>
    <s v="대리점"/>
    <x v="0"/>
    <x v="2"/>
    <x v="0"/>
    <x v="420"/>
    <s v="HQ2637034428"/>
    <x v="0"/>
    <n v="8"/>
  </r>
  <r>
    <x v="0"/>
    <x v="0"/>
    <x v="1"/>
    <x v="10"/>
    <x v="36"/>
    <x v="36"/>
    <x v="5"/>
    <s v="N"/>
    <s v="N"/>
    <x v="4"/>
    <x v="2"/>
    <x v="0"/>
    <x v="0"/>
    <s v="성인"/>
    <s v="성인"/>
    <s v="대리점"/>
    <x v="0"/>
    <x v="2"/>
    <x v="0"/>
    <x v="420"/>
    <s v="HQ2637034428"/>
    <x v="1"/>
    <n v="0"/>
  </r>
  <r>
    <x v="0"/>
    <x v="0"/>
    <x v="1"/>
    <x v="10"/>
    <x v="36"/>
    <x v="36"/>
    <x v="6"/>
    <s v="N"/>
    <s v="N"/>
    <x v="4"/>
    <x v="2"/>
    <x v="0"/>
    <x v="0"/>
    <m/>
    <m/>
    <s v="대리점"/>
    <x v="0"/>
    <x v="2"/>
    <x v="0"/>
    <x v="421"/>
    <s v="HQ2637049438"/>
    <x v="0"/>
    <n v="16"/>
  </r>
  <r>
    <x v="0"/>
    <x v="0"/>
    <x v="1"/>
    <x v="10"/>
    <x v="36"/>
    <x v="36"/>
    <x v="6"/>
    <s v="N"/>
    <s v="N"/>
    <x v="4"/>
    <x v="2"/>
    <x v="0"/>
    <x v="0"/>
    <m/>
    <m/>
    <s v="대리점"/>
    <x v="0"/>
    <x v="2"/>
    <x v="0"/>
    <x v="421"/>
    <s v="HQ2637049438"/>
    <x v="1"/>
    <n v="0"/>
  </r>
  <r>
    <x v="0"/>
    <x v="0"/>
    <x v="1"/>
    <x v="10"/>
    <x v="36"/>
    <x v="36"/>
    <x v="6"/>
    <s v="N"/>
    <s v="N"/>
    <x v="0"/>
    <x v="2"/>
    <x v="0"/>
    <x v="0"/>
    <s v="성인"/>
    <s v="성인"/>
    <s v="대리점"/>
    <x v="0"/>
    <x v="2"/>
    <x v="0"/>
    <x v="422"/>
    <s v="HQ2636756242"/>
    <x v="0"/>
    <n v="2"/>
  </r>
  <r>
    <x v="0"/>
    <x v="0"/>
    <x v="1"/>
    <x v="10"/>
    <x v="36"/>
    <x v="36"/>
    <x v="6"/>
    <s v="N"/>
    <s v="N"/>
    <x v="0"/>
    <x v="2"/>
    <x v="0"/>
    <x v="0"/>
    <s v="성인"/>
    <s v="성인"/>
    <s v="대리점"/>
    <x v="0"/>
    <x v="2"/>
    <x v="0"/>
    <x v="422"/>
    <s v="HQ2636756242"/>
    <x v="1"/>
    <n v="1360000"/>
  </r>
  <r>
    <x v="0"/>
    <x v="0"/>
    <x v="1"/>
    <x v="10"/>
    <x v="36"/>
    <x v="36"/>
    <x v="6"/>
    <s v="N"/>
    <s v="N"/>
    <x v="1"/>
    <x v="0"/>
    <x v="0"/>
    <x v="0"/>
    <s v="성인"/>
    <s v="성인"/>
    <s v="대리점"/>
    <x v="0"/>
    <x v="25"/>
    <x v="0"/>
    <x v="423"/>
    <s v="HP2637058610"/>
    <x v="0"/>
    <n v="2"/>
  </r>
  <r>
    <x v="0"/>
    <x v="0"/>
    <x v="1"/>
    <x v="10"/>
    <x v="36"/>
    <x v="36"/>
    <x v="6"/>
    <s v="N"/>
    <s v="N"/>
    <x v="1"/>
    <x v="0"/>
    <x v="0"/>
    <x v="0"/>
    <s v="성인"/>
    <s v="성인"/>
    <s v="대리점"/>
    <x v="0"/>
    <x v="25"/>
    <x v="0"/>
    <x v="423"/>
    <s v="HP2637058610"/>
    <x v="1"/>
    <n v="11053200"/>
  </r>
  <r>
    <x v="0"/>
    <x v="0"/>
    <x v="1"/>
    <x v="10"/>
    <x v="36"/>
    <x v="36"/>
    <x v="6"/>
    <s v="N"/>
    <s v="N"/>
    <x v="1"/>
    <x v="2"/>
    <x v="1"/>
    <x v="0"/>
    <s v="성인"/>
    <s v="성인"/>
    <s v="대리점"/>
    <x v="0"/>
    <x v="2"/>
    <x v="0"/>
    <x v="424"/>
    <s v="HQ2636755506"/>
    <x v="0"/>
    <n v="2"/>
  </r>
  <r>
    <x v="0"/>
    <x v="0"/>
    <x v="1"/>
    <x v="10"/>
    <x v="36"/>
    <x v="36"/>
    <x v="6"/>
    <s v="N"/>
    <s v="N"/>
    <x v="1"/>
    <x v="2"/>
    <x v="1"/>
    <x v="0"/>
    <s v="성인"/>
    <s v="성인"/>
    <s v="대리점"/>
    <x v="0"/>
    <x v="2"/>
    <x v="0"/>
    <x v="424"/>
    <s v="HQ2636755506"/>
    <x v="1"/>
    <n v="4000000"/>
  </r>
  <r>
    <x v="0"/>
    <x v="0"/>
    <x v="1"/>
    <x v="10"/>
    <x v="36"/>
    <x v="36"/>
    <x v="6"/>
    <s v="N"/>
    <s v="N"/>
    <x v="6"/>
    <x v="2"/>
    <x v="0"/>
    <x v="0"/>
    <m/>
    <m/>
    <s v="대리점"/>
    <x v="0"/>
    <x v="28"/>
    <x v="0"/>
    <x v="425"/>
    <s v="HQ2637055000"/>
    <x v="0"/>
    <n v="10"/>
  </r>
  <r>
    <x v="0"/>
    <x v="0"/>
    <x v="1"/>
    <x v="10"/>
    <x v="36"/>
    <x v="36"/>
    <x v="6"/>
    <s v="N"/>
    <s v="N"/>
    <x v="6"/>
    <x v="2"/>
    <x v="0"/>
    <x v="0"/>
    <m/>
    <m/>
    <s v="대리점"/>
    <x v="0"/>
    <x v="28"/>
    <x v="0"/>
    <x v="425"/>
    <s v="HQ2637055000"/>
    <x v="1"/>
    <n v="0"/>
  </r>
  <r>
    <x v="0"/>
    <x v="0"/>
    <x v="1"/>
    <x v="10"/>
    <x v="36"/>
    <x v="36"/>
    <x v="8"/>
    <s v="Y"/>
    <s v="N"/>
    <x v="0"/>
    <x v="0"/>
    <x v="0"/>
    <x v="0"/>
    <s v="성인"/>
    <s v="성인"/>
    <s v="대리점"/>
    <x v="0"/>
    <x v="2"/>
    <x v="0"/>
    <x v="426"/>
    <s v="HP2637080700"/>
    <x v="0"/>
    <n v="3"/>
  </r>
  <r>
    <x v="0"/>
    <x v="0"/>
    <x v="1"/>
    <x v="10"/>
    <x v="36"/>
    <x v="36"/>
    <x v="8"/>
    <s v="Y"/>
    <s v="N"/>
    <x v="0"/>
    <x v="0"/>
    <x v="0"/>
    <x v="0"/>
    <s v="성인"/>
    <s v="성인"/>
    <s v="대리점"/>
    <x v="0"/>
    <x v="2"/>
    <x v="0"/>
    <x v="426"/>
    <s v="HP2637080700"/>
    <x v="1"/>
    <n v="1472700"/>
  </r>
  <r>
    <x v="0"/>
    <x v="0"/>
    <x v="1"/>
    <x v="10"/>
    <x v="36"/>
    <x v="36"/>
    <x v="9"/>
    <s v="Y"/>
    <s v="N"/>
    <x v="0"/>
    <x v="0"/>
    <x v="0"/>
    <x v="0"/>
    <s v="성인"/>
    <s v="성인"/>
    <s v="대리점"/>
    <x v="0"/>
    <x v="6"/>
    <x v="0"/>
    <x v="427"/>
    <s v="HP2637094764"/>
    <x v="0"/>
    <n v="2"/>
  </r>
  <r>
    <x v="0"/>
    <x v="0"/>
    <x v="1"/>
    <x v="10"/>
    <x v="36"/>
    <x v="36"/>
    <x v="9"/>
    <s v="Y"/>
    <s v="N"/>
    <x v="0"/>
    <x v="0"/>
    <x v="0"/>
    <x v="0"/>
    <s v="성인"/>
    <s v="성인"/>
    <s v="대리점"/>
    <x v="0"/>
    <x v="6"/>
    <x v="0"/>
    <x v="427"/>
    <s v="HP2637094764"/>
    <x v="1"/>
    <n v="2998000"/>
  </r>
  <r>
    <x v="0"/>
    <x v="0"/>
    <x v="1"/>
    <x v="10"/>
    <x v="36"/>
    <x v="36"/>
    <x v="10"/>
    <s v="N"/>
    <s v="N"/>
    <x v="4"/>
    <x v="2"/>
    <x v="0"/>
    <x v="0"/>
    <m/>
    <m/>
    <s v="대리점"/>
    <x v="0"/>
    <x v="2"/>
    <x v="0"/>
    <x v="428"/>
    <s v="HQ2637116410"/>
    <x v="0"/>
    <n v="21"/>
  </r>
  <r>
    <x v="0"/>
    <x v="0"/>
    <x v="1"/>
    <x v="10"/>
    <x v="36"/>
    <x v="36"/>
    <x v="10"/>
    <s v="N"/>
    <s v="N"/>
    <x v="4"/>
    <x v="2"/>
    <x v="0"/>
    <x v="0"/>
    <m/>
    <m/>
    <s v="대리점"/>
    <x v="0"/>
    <x v="2"/>
    <x v="0"/>
    <x v="428"/>
    <s v="HQ2637116410"/>
    <x v="1"/>
    <n v="0"/>
  </r>
  <r>
    <x v="0"/>
    <x v="0"/>
    <x v="1"/>
    <x v="10"/>
    <x v="36"/>
    <x v="36"/>
    <x v="10"/>
    <s v="N"/>
    <s v="N"/>
    <x v="1"/>
    <x v="0"/>
    <x v="0"/>
    <x v="0"/>
    <s v="성인"/>
    <s v="성인"/>
    <s v="닷컴"/>
    <x v="2"/>
    <x v="2"/>
    <x v="0"/>
    <x v="429"/>
    <s v="HP2637119746"/>
    <x v="0"/>
    <n v="2"/>
  </r>
  <r>
    <x v="0"/>
    <x v="0"/>
    <x v="1"/>
    <x v="10"/>
    <x v="36"/>
    <x v="36"/>
    <x v="10"/>
    <s v="N"/>
    <s v="N"/>
    <x v="1"/>
    <x v="0"/>
    <x v="0"/>
    <x v="0"/>
    <s v="성인"/>
    <s v="성인"/>
    <s v="닷컴"/>
    <x v="2"/>
    <x v="2"/>
    <x v="0"/>
    <x v="429"/>
    <s v="HP2637119746"/>
    <x v="1"/>
    <n v="1904400"/>
  </r>
  <r>
    <x v="0"/>
    <x v="0"/>
    <x v="1"/>
    <x v="10"/>
    <x v="36"/>
    <x v="36"/>
    <x v="10"/>
    <s v="N"/>
    <s v="N"/>
    <x v="2"/>
    <x v="0"/>
    <x v="0"/>
    <x v="0"/>
    <s v="성인"/>
    <s v="성인"/>
    <s v="대리점"/>
    <x v="0"/>
    <x v="10"/>
    <x v="0"/>
    <x v="430"/>
    <s v="HP2637115664"/>
    <x v="0"/>
    <n v="2"/>
  </r>
  <r>
    <x v="0"/>
    <x v="0"/>
    <x v="1"/>
    <x v="10"/>
    <x v="36"/>
    <x v="36"/>
    <x v="10"/>
    <s v="N"/>
    <s v="N"/>
    <x v="2"/>
    <x v="0"/>
    <x v="0"/>
    <x v="0"/>
    <s v="성인"/>
    <s v="성인"/>
    <s v="대리점"/>
    <x v="0"/>
    <x v="10"/>
    <x v="0"/>
    <x v="430"/>
    <s v="HP2637115664"/>
    <x v="1"/>
    <n v="2938000"/>
  </r>
  <r>
    <x v="0"/>
    <x v="0"/>
    <x v="1"/>
    <x v="10"/>
    <x v="37"/>
    <x v="37"/>
    <x v="0"/>
    <s v="N"/>
    <s v="N"/>
    <x v="4"/>
    <x v="2"/>
    <x v="1"/>
    <x v="0"/>
    <s v="성인"/>
    <s v="성인"/>
    <s v="대리점"/>
    <x v="0"/>
    <x v="2"/>
    <x v="0"/>
    <x v="431"/>
    <s v="HQ2635315558"/>
    <x v="0"/>
    <n v="2"/>
  </r>
  <r>
    <x v="0"/>
    <x v="0"/>
    <x v="1"/>
    <x v="10"/>
    <x v="37"/>
    <x v="37"/>
    <x v="0"/>
    <s v="N"/>
    <s v="N"/>
    <x v="4"/>
    <x v="2"/>
    <x v="1"/>
    <x v="0"/>
    <s v="성인"/>
    <s v="성인"/>
    <s v="대리점"/>
    <x v="0"/>
    <x v="2"/>
    <x v="0"/>
    <x v="431"/>
    <s v="HQ2635315558"/>
    <x v="1"/>
    <n v="3098000"/>
  </r>
  <r>
    <x v="0"/>
    <x v="0"/>
    <x v="1"/>
    <x v="10"/>
    <x v="37"/>
    <x v="37"/>
    <x v="0"/>
    <s v="N"/>
    <s v="N"/>
    <x v="0"/>
    <x v="0"/>
    <x v="0"/>
    <x v="0"/>
    <s v="성인"/>
    <s v="성인"/>
    <s v="대리점"/>
    <x v="0"/>
    <x v="14"/>
    <x v="0"/>
    <x v="432"/>
    <s v="HP2636929428"/>
    <x v="0"/>
    <n v="4"/>
  </r>
  <r>
    <x v="0"/>
    <x v="0"/>
    <x v="1"/>
    <x v="10"/>
    <x v="37"/>
    <x v="37"/>
    <x v="0"/>
    <s v="N"/>
    <s v="N"/>
    <x v="0"/>
    <x v="0"/>
    <x v="0"/>
    <x v="0"/>
    <s v="성인"/>
    <s v="성인"/>
    <s v="대리점"/>
    <x v="0"/>
    <x v="14"/>
    <x v="0"/>
    <x v="432"/>
    <s v="HP2636929428"/>
    <x v="1"/>
    <n v="2486400"/>
  </r>
  <r>
    <x v="0"/>
    <x v="0"/>
    <x v="1"/>
    <x v="10"/>
    <x v="37"/>
    <x v="37"/>
    <x v="1"/>
    <s v="N"/>
    <s v="N"/>
    <x v="6"/>
    <x v="2"/>
    <x v="0"/>
    <x v="0"/>
    <s v="성인"/>
    <s v="성인"/>
    <s v="대리점"/>
    <x v="0"/>
    <x v="28"/>
    <x v="0"/>
    <x v="433"/>
    <s v="HQ2636953030"/>
    <x v="0"/>
    <n v="13"/>
  </r>
  <r>
    <x v="0"/>
    <x v="0"/>
    <x v="1"/>
    <x v="10"/>
    <x v="37"/>
    <x v="37"/>
    <x v="1"/>
    <s v="N"/>
    <s v="N"/>
    <x v="6"/>
    <x v="2"/>
    <x v="0"/>
    <x v="0"/>
    <s v="성인"/>
    <s v="성인"/>
    <s v="대리점"/>
    <x v="0"/>
    <x v="28"/>
    <x v="0"/>
    <x v="433"/>
    <s v="HQ2636953030"/>
    <x v="1"/>
    <n v="0"/>
  </r>
  <r>
    <x v="0"/>
    <x v="0"/>
    <x v="1"/>
    <x v="10"/>
    <x v="37"/>
    <x v="37"/>
    <x v="3"/>
    <s v="N"/>
    <s v="Y"/>
    <x v="4"/>
    <x v="0"/>
    <x v="0"/>
    <x v="0"/>
    <s v="성인"/>
    <s v="성인"/>
    <s v="대리점"/>
    <x v="0"/>
    <x v="11"/>
    <x v="0"/>
    <x v="434"/>
    <s v="HP2636988076"/>
    <x v="0"/>
    <n v="2"/>
  </r>
  <r>
    <x v="0"/>
    <x v="0"/>
    <x v="1"/>
    <x v="10"/>
    <x v="37"/>
    <x v="37"/>
    <x v="3"/>
    <s v="N"/>
    <s v="Y"/>
    <x v="4"/>
    <x v="0"/>
    <x v="0"/>
    <x v="0"/>
    <s v="성인"/>
    <s v="성인"/>
    <s v="대리점"/>
    <x v="0"/>
    <x v="11"/>
    <x v="0"/>
    <x v="434"/>
    <s v="HP2636988076"/>
    <x v="1"/>
    <n v="662000"/>
  </r>
  <r>
    <x v="0"/>
    <x v="0"/>
    <x v="1"/>
    <x v="10"/>
    <x v="37"/>
    <x v="37"/>
    <x v="4"/>
    <s v="N"/>
    <s v="N"/>
    <x v="4"/>
    <x v="2"/>
    <x v="0"/>
    <x v="0"/>
    <s v="성인"/>
    <s v="성인"/>
    <s v="대리점"/>
    <x v="0"/>
    <x v="2"/>
    <x v="0"/>
    <x v="435"/>
    <s v="HQ2637008210"/>
    <x v="0"/>
    <n v="5"/>
  </r>
  <r>
    <x v="0"/>
    <x v="0"/>
    <x v="1"/>
    <x v="10"/>
    <x v="37"/>
    <x v="37"/>
    <x v="4"/>
    <s v="N"/>
    <s v="N"/>
    <x v="4"/>
    <x v="2"/>
    <x v="0"/>
    <x v="0"/>
    <s v="성인"/>
    <s v="성인"/>
    <s v="대리점"/>
    <x v="0"/>
    <x v="2"/>
    <x v="0"/>
    <x v="435"/>
    <s v="HQ2637008210"/>
    <x v="1"/>
    <n v="0"/>
  </r>
  <r>
    <x v="0"/>
    <x v="0"/>
    <x v="1"/>
    <x v="10"/>
    <x v="37"/>
    <x v="37"/>
    <x v="4"/>
    <s v="N"/>
    <s v="N"/>
    <x v="4"/>
    <x v="2"/>
    <x v="0"/>
    <x v="0"/>
    <m/>
    <m/>
    <s v="대리점"/>
    <x v="0"/>
    <x v="2"/>
    <x v="0"/>
    <x v="435"/>
    <s v="HQ2637008210"/>
    <x v="0"/>
    <n v="12"/>
  </r>
  <r>
    <x v="0"/>
    <x v="0"/>
    <x v="1"/>
    <x v="10"/>
    <x v="37"/>
    <x v="37"/>
    <x v="4"/>
    <s v="N"/>
    <s v="N"/>
    <x v="4"/>
    <x v="2"/>
    <x v="0"/>
    <x v="0"/>
    <m/>
    <m/>
    <s v="대리점"/>
    <x v="0"/>
    <x v="2"/>
    <x v="0"/>
    <x v="435"/>
    <s v="HQ2637008210"/>
    <x v="1"/>
    <n v="0"/>
  </r>
  <r>
    <x v="0"/>
    <x v="0"/>
    <x v="1"/>
    <x v="10"/>
    <x v="37"/>
    <x v="37"/>
    <x v="5"/>
    <s v="N"/>
    <s v="N"/>
    <x v="0"/>
    <x v="0"/>
    <x v="0"/>
    <x v="0"/>
    <s v="성인"/>
    <s v="성인"/>
    <s v="대리점"/>
    <x v="0"/>
    <x v="2"/>
    <x v="0"/>
    <x v="436"/>
    <s v="HP2637028582"/>
    <x v="0"/>
    <n v="2"/>
  </r>
  <r>
    <x v="0"/>
    <x v="0"/>
    <x v="1"/>
    <x v="10"/>
    <x v="37"/>
    <x v="37"/>
    <x v="5"/>
    <s v="N"/>
    <s v="N"/>
    <x v="0"/>
    <x v="0"/>
    <x v="0"/>
    <x v="0"/>
    <s v="성인"/>
    <s v="성인"/>
    <s v="대리점"/>
    <x v="0"/>
    <x v="2"/>
    <x v="0"/>
    <x v="436"/>
    <s v="HP2637028582"/>
    <x v="1"/>
    <n v="2255000"/>
  </r>
  <r>
    <x v="0"/>
    <x v="0"/>
    <x v="1"/>
    <x v="10"/>
    <x v="37"/>
    <x v="37"/>
    <x v="5"/>
    <s v="N"/>
    <s v="N"/>
    <x v="6"/>
    <x v="2"/>
    <x v="0"/>
    <x v="0"/>
    <m/>
    <m/>
    <s v="대리점"/>
    <x v="0"/>
    <x v="28"/>
    <x v="0"/>
    <x v="437"/>
    <s v="HQ2637030140"/>
    <x v="0"/>
    <n v="8"/>
  </r>
  <r>
    <x v="0"/>
    <x v="0"/>
    <x v="1"/>
    <x v="10"/>
    <x v="37"/>
    <x v="37"/>
    <x v="5"/>
    <s v="N"/>
    <s v="N"/>
    <x v="6"/>
    <x v="2"/>
    <x v="0"/>
    <x v="0"/>
    <m/>
    <m/>
    <s v="대리점"/>
    <x v="0"/>
    <x v="28"/>
    <x v="0"/>
    <x v="437"/>
    <s v="HQ2637030140"/>
    <x v="1"/>
    <n v="0"/>
  </r>
  <r>
    <x v="0"/>
    <x v="0"/>
    <x v="1"/>
    <x v="10"/>
    <x v="37"/>
    <x v="37"/>
    <x v="6"/>
    <s v="N"/>
    <s v="N"/>
    <x v="4"/>
    <x v="2"/>
    <x v="0"/>
    <x v="0"/>
    <m/>
    <m/>
    <s v="대리점"/>
    <x v="0"/>
    <x v="2"/>
    <x v="0"/>
    <x v="435"/>
    <s v="HQ2637008210"/>
    <x v="0"/>
    <n v="4"/>
  </r>
  <r>
    <x v="0"/>
    <x v="0"/>
    <x v="1"/>
    <x v="10"/>
    <x v="37"/>
    <x v="37"/>
    <x v="6"/>
    <s v="N"/>
    <s v="N"/>
    <x v="4"/>
    <x v="2"/>
    <x v="0"/>
    <x v="0"/>
    <m/>
    <m/>
    <s v="대리점"/>
    <x v="0"/>
    <x v="2"/>
    <x v="0"/>
    <x v="435"/>
    <s v="HQ2637008210"/>
    <x v="1"/>
    <n v="0"/>
  </r>
  <r>
    <x v="0"/>
    <x v="0"/>
    <x v="1"/>
    <x v="10"/>
    <x v="37"/>
    <x v="37"/>
    <x v="6"/>
    <s v="N"/>
    <s v="N"/>
    <x v="1"/>
    <x v="0"/>
    <x v="0"/>
    <x v="0"/>
    <s v="성인"/>
    <s v="성인"/>
    <s v="대리점"/>
    <x v="0"/>
    <x v="15"/>
    <x v="0"/>
    <x v="438"/>
    <s v="HP2637048910"/>
    <x v="0"/>
    <n v="1"/>
  </r>
  <r>
    <x v="0"/>
    <x v="0"/>
    <x v="1"/>
    <x v="10"/>
    <x v="37"/>
    <x v="37"/>
    <x v="6"/>
    <s v="N"/>
    <s v="N"/>
    <x v="1"/>
    <x v="0"/>
    <x v="0"/>
    <x v="0"/>
    <s v="성인"/>
    <s v="성인"/>
    <s v="대리점"/>
    <x v="0"/>
    <x v="15"/>
    <x v="0"/>
    <x v="438"/>
    <s v="HP2637048910"/>
    <x v="1"/>
    <n v="5016600"/>
  </r>
  <r>
    <x v="0"/>
    <x v="0"/>
    <x v="1"/>
    <x v="10"/>
    <x v="37"/>
    <x v="37"/>
    <x v="6"/>
    <s v="N"/>
    <s v="N"/>
    <x v="1"/>
    <x v="0"/>
    <x v="0"/>
    <x v="0"/>
    <s v="청소년"/>
    <s v="청소년"/>
    <s v="대리점"/>
    <x v="0"/>
    <x v="15"/>
    <x v="0"/>
    <x v="438"/>
    <s v="HP2637048910"/>
    <x v="0"/>
    <n v="1"/>
  </r>
  <r>
    <x v="0"/>
    <x v="0"/>
    <x v="1"/>
    <x v="10"/>
    <x v="37"/>
    <x v="37"/>
    <x v="6"/>
    <s v="N"/>
    <s v="N"/>
    <x v="1"/>
    <x v="0"/>
    <x v="0"/>
    <x v="0"/>
    <s v="청소년"/>
    <s v="청소년"/>
    <s v="대리점"/>
    <x v="0"/>
    <x v="15"/>
    <x v="0"/>
    <x v="438"/>
    <s v="HP2637048910"/>
    <x v="1"/>
    <n v="5016600"/>
  </r>
  <r>
    <x v="0"/>
    <x v="0"/>
    <x v="1"/>
    <x v="10"/>
    <x v="37"/>
    <x v="37"/>
    <x v="6"/>
    <s v="N"/>
    <s v="N"/>
    <x v="1"/>
    <x v="0"/>
    <x v="0"/>
    <x v="1"/>
    <s v="아동"/>
    <s v="아동"/>
    <s v="대리점"/>
    <x v="0"/>
    <x v="15"/>
    <x v="0"/>
    <x v="438"/>
    <s v="HP2637048910"/>
    <x v="0"/>
    <n v="1"/>
  </r>
  <r>
    <x v="0"/>
    <x v="0"/>
    <x v="1"/>
    <x v="10"/>
    <x v="37"/>
    <x v="37"/>
    <x v="6"/>
    <s v="N"/>
    <s v="N"/>
    <x v="1"/>
    <x v="0"/>
    <x v="0"/>
    <x v="1"/>
    <s v="아동"/>
    <s v="아동"/>
    <s v="대리점"/>
    <x v="0"/>
    <x v="15"/>
    <x v="0"/>
    <x v="438"/>
    <s v="HP2637048910"/>
    <x v="1"/>
    <n v="4757860"/>
  </r>
  <r>
    <x v="0"/>
    <x v="0"/>
    <x v="1"/>
    <x v="10"/>
    <x v="37"/>
    <x v="37"/>
    <x v="9"/>
    <s v="Y"/>
    <s v="N"/>
    <x v="0"/>
    <x v="0"/>
    <x v="0"/>
    <x v="0"/>
    <m/>
    <m/>
    <s v="대리점"/>
    <x v="0"/>
    <x v="2"/>
    <x v="0"/>
    <x v="439"/>
    <s v="HP2637102484"/>
    <x v="0"/>
    <n v="6"/>
  </r>
  <r>
    <x v="0"/>
    <x v="0"/>
    <x v="1"/>
    <x v="10"/>
    <x v="37"/>
    <x v="37"/>
    <x v="9"/>
    <s v="Y"/>
    <s v="N"/>
    <x v="0"/>
    <x v="0"/>
    <x v="0"/>
    <x v="0"/>
    <m/>
    <m/>
    <s v="대리점"/>
    <x v="0"/>
    <x v="2"/>
    <x v="0"/>
    <x v="439"/>
    <s v="HP2637102484"/>
    <x v="1"/>
    <n v="4445400"/>
  </r>
  <r>
    <x v="0"/>
    <x v="0"/>
    <x v="1"/>
    <x v="10"/>
    <x v="37"/>
    <x v="37"/>
    <x v="10"/>
    <s v="N"/>
    <s v="N"/>
    <x v="0"/>
    <x v="0"/>
    <x v="0"/>
    <x v="0"/>
    <m/>
    <m/>
    <s v="대리점"/>
    <x v="0"/>
    <x v="6"/>
    <x v="0"/>
    <x v="440"/>
    <s v="HP2637115204"/>
    <x v="0"/>
    <n v="7"/>
  </r>
  <r>
    <x v="0"/>
    <x v="0"/>
    <x v="1"/>
    <x v="10"/>
    <x v="37"/>
    <x v="37"/>
    <x v="10"/>
    <s v="N"/>
    <s v="N"/>
    <x v="0"/>
    <x v="0"/>
    <x v="0"/>
    <x v="0"/>
    <m/>
    <m/>
    <s v="대리점"/>
    <x v="0"/>
    <x v="6"/>
    <x v="0"/>
    <x v="440"/>
    <s v="HP2637115204"/>
    <x v="1"/>
    <n v="6649300"/>
  </r>
  <r>
    <x v="0"/>
    <x v="0"/>
    <x v="1"/>
    <x v="10"/>
    <x v="37"/>
    <x v="37"/>
    <x v="10"/>
    <s v="N"/>
    <s v="N"/>
    <x v="1"/>
    <x v="0"/>
    <x v="0"/>
    <x v="0"/>
    <m/>
    <m/>
    <s v="대리점"/>
    <x v="0"/>
    <x v="2"/>
    <x v="0"/>
    <x v="441"/>
    <s v="HP2637111142"/>
    <x v="0"/>
    <n v="4"/>
  </r>
  <r>
    <x v="0"/>
    <x v="0"/>
    <x v="1"/>
    <x v="10"/>
    <x v="37"/>
    <x v="37"/>
    <x v="10"/>
    <s v="N"/>
    <s v="N"/>
    <x v="1"/>
    <x v="0"/>
    <x v="0"/>
    <x v="0"/>
    <m/>
    <m/>
    <s v="대리점"/>
    <x v="0"/>
    <x v="2"/>
    <x v="0"/>
    <x v="441"/>
    <s v="HP2637111142"/>
    <x v="1"/>
    <n v="4432000"/>
  </r>
  <r>
    <x v="0"/>
    <x v="1"/>
    <x v="2"/>
    <x v="11"/>
    <x v="38"/>
    <x v="38"/>
    <x v="0"/>
    <s v="N"/>
    <s v="N"/>
    <x v="0"/>
    <x v="0"/>
    <x v="0"/>
    <x v="0"/>
    <s v="성인"/>
    <s v="성인"/>
    <s v="대리점"/>
    <x v="0"/>
    <x v="25"/>
    <x v="0"/>
    <x v="442"/>
    <s v="HP2636926728"/>
    <x v="0"/>
    <n v="1"/>
  </r>
  <r>
    <x v="0"/>
    <x v="1"/>
    <x v="2"/>
    <x v="11"/>
    <x v="38"/>
    <x v="38"/>
    <x v="0"/>
    <s v="N"/>
    <s v="N"/>
    <x v="0"/>
    <x v="0"/>
    <x v="0"/>
    <x v="0"/>
    <s v="성인"/>
    <s v="성인"/>
    <s v="대리점"/>
    <x v="0"/>
    <x v="25"/>
    <x v="0"/>
    <x v="442"/>
    <s v="HP2636926728"/>
    <x v="1"/>
    <n v="223900"/>
  </r>
  <r>
    <x v="0"/>
    <x v="1"/>
    <x v="2"/>
    <x v="11"/>
    <x v="38"/>
    <x v="38"/>
    <x v="0"/>
    <s v="N"/>
    <s v="N"/>
    <x v="0"/>
    <x v="0"/>
    <x v="0"/>
    <x v="0"/>
    <m/>
    <m/>
    <s v="대리점"/>
    <x v="0"/>
    <x v="25"/>
    <x v="0"/>
    <x v="442"/>
    <s v="HP2636926728"/>
    <x v="0"/>
    <n v="3"/>
  </r>
  <r>
    <x v="0"/>
    <x v="1"/>
    <x v="2"/>
    <x v="11"/>
    <x v="38"/>
    <x v="38"/>
    <x v="0"/>
    <s v="N"/>
    <s v="N"/>
    <x v="0"/>
    <x v="0"/>
    <x v="0"/>
    <x v="0"/>
    <m/>
    <m/>
    <s v="대리점"/>
    <x v="0"/>
    <x v="25"/>
    <x v="0"/>
    <x v="442"/>
    <s v="HP2636926728"/>
    <x v="1"/>
    <n v="671700"/>
  </r>
  <r>
    <x v="0"/>
    <x v="1"/>
    <x v="2"/>
    <x v="11"/>
    <x v="38"/>
    <x v="38"/>
    <x v="1"/>
    <s v="N"/>
    <s v="N"/>
    <x v="5"/>
    <x v="3"/>
    <x v="0"/>
    <x v="0"/>
    <s v="성인"/>
    <s v="성인"/>
    <s v="대리점"/>
    <x v="0"/>
    <x v="18"/>
    <x v="0"/>
    <x v="443"/>
    <s v="HG2636946280"/>
    <x v="0"/>
    <n v="4"/>
  </r>
  <r>
    <x v="0"/>
    <x v="1"/>
    <x v="2"/>
    <x v="11"/>
    <x v="38"/>
    <x v="38"/>
    <x v="1"/>
    <s v="N"/>
    <s v="N"/>
    <x v="5"/>
    <x v="3"/>
    <x v="0"/>
    <x v="0"/>
    <s v="성인"/>
    <s v="성인"/>
    <s v="대리점"/>
    <x v="0"/>
    <x v="18"/>
    <x v="0"/>
    <x v="443"/>
    <s v="HG2636946280"/>
    <x v="1"/>
    <n v="5919600"/>
  </r>
  <r>
    <x v="0"/>
    <x v="1"/>
    <x v="2"/>
    <x v="11"/>
    <x v="38"/>
    <x v="38"/>
    <x v="1"/>
    <s v="N"/>
    <s v="N"/>
    <x v="0"/>
    <x v="0"/>
    <x v="0"/>
    <x v="0"/>
    <s v="성인"/>
    <s v="성인"/>
    <s v="닷컴"/>
    <x v="2"/>
    <x v="2"/>
    <x v="0"/>
    <x v="444"/>
    <s v="HP2636946862"/>
    <x v="0"/>
    <n v="2"/>
  </r>
  <r>
    <x v="0"/>
    <x v="1"/>
    <x v="2"/>
    <x v="11"/>
    <x v="38"/>
    <x v="38"/>
    <x v="1"/>
    <s v="N"/>
    <s v="N"/>
    <x v="0"/>
    <x v="0"/>
    <x v="0"/>
    <x v="0"/>
    <s v="성인"/>
    <s v="성인"/>
    <s v="닷컴"/>
    <x v="2"/>
    <x v="2"/>
    <x v="0"/>
    <x v="444"/>
    <s v="HP2636946862"/>
    <x v="1"/>
    <n v="1278000"/>
  </r>
  <r>
    <x v="0"/>
    <x v="1"/>
    <x v="2"/>
    <x v="11"/>
    <x v="38"/>
    <x v="38"/>
    <x v="2"/>
    <s v="Y"/>
    <s v="Y"/>
    <x v="1"/>
    <x v="0"/>
    <x v="0"/>
    <x v="0"/>
    <s v="성인"/>
    <s v="성인"/>
    <s v="대리점"/>
    <x v="0"/>
    <x v="0"/>
    <x v="0"/>
    <x v="445"/>
    <s v="HP2636963752"/>
    <x v="0"/>
    <n v="3"/>
  </r>
  <r>
    <x v="0"/>
    <x v="1"/>
    <x v="2"/>
    <x v="11"/>
    <x v="38"/>
    <x v="38"/>
    <x v="2"/>
    <s v="Y"/>
    <s v="Y"/>
    <x v="1"/>
    <x v="0"/>
    <x v="0"/>
    <x v="0"/>
    <s v="성인"/>
    <s v="성인"/>
    <s v="대리점"/>
    <x v="0"/>
    <x v="0"/>
    <x v="0"/>
    <x v="445"/>
    <s v="HP2636963752"/>
    <x v="1"/>
    <n v="4007700"/>
  </r>
  <r>
    <x v="0"/>
    <x v="1"/>
    <x v="2"/>
    <x v="11"/>
    <x v="38"/>
    <x v="38"/>
    <x v="2"/>
    <s v="Y"/>
    <s v="Y"/>
    <x v="1"/>
    <x v="0"/>
    <x v="0"/>
    <x v="0"/>
    <m/>
    <m/>
    <s v="대리점"/>
    <x v="0"/>
    <x v="0"/>
    <x v="0"/>
    <x v="445"/>
    <s v="HP2636963752"/>
    <x v="0"/>
    <n v="2"/>
  </r>
  <r>
    <x v="0"/>
    <x v="1"/>
    <x v="2"/>
    <x v="11"/>
    <x v="38"/>
    <x v="38"/>
    <x v="2"/>
    <s v="Y"/>
    <s v="Y"/>
    <x v="1"/>
    <x v="0"/>
    <x v="0"/>
    <x v="0"/>
    <m/>
    <m/>
    <s v="대리점"/>
    <x v="0"/>
    <x v="0"/>
    <x v="0"/>
    <x v="445"/>
    <s v="HP2636963752"/>
    <x v="1"/>
    <n v="2671800"/>
  </r>
  <r>
    <x v="0"/>
    <x v="1"/>
    <x v="2"/>
    <x v="11"/>
    <x v="38"/>
    <x v="38"/>
    <x v="2"/>
    <s v="Y"/>
    <s v="Y"/>
    <x v="1"/>
    <x v="0"/>
    <x v="0"/>
    <x v="1"/>
    <s v="아동"/>
    <s v="아동"/>
    <s v="대리점"/>
    <x v="0"/>
    <x v="0"/>
    <x v="0"/>
    <x v="445"/>
    <s v="HP2636963752"/>
    <x v="0"/>
    <n v="2"/>
  </r>
  <r>
    <x v="0"/>
    <x v="1"/>
    <x v="2"/>
    <x v="11"/>
    <x v="38"/>
    <x v="38"/>
    <x v="2"/>
    <s v="Y"/>
    <s v="Y"/>
    <x v="1"/>
    <x v="0"/>
    <x v="0"/>
    <x v="1"/>
    <s v="아동"/>
    <s v="아동"/>
    <s v="대리점"/>
    <x v="0"/>
    <x v="0"/>
    <x v="0"/>
    <x v="445"/>
    <s v="HP2636963752"/>
    <x v="1"/>
    <n v="2671800"/>
  </r>
  <r>
    <x v="0"/>
    <x v="1"/>
    <x v="2"/>
    <x v="11"/>
    <x v="38"/>
    <x v="38"/>
    <x v="5"/>
    <s v="N"/>
    <s v="N"/>
    <x v="0"/>
    <x v="0"/>
    <x v="0"/>
    <x v="0"/>
    <s v="성인"/>
    <s v="성인"/>
    <s v="대리점"/>
    <x v="0"/>
    <x v="2"/>
    <x v="0"/>
    <x v="446"/>
    <s v="HP2637028724"/>
    <x v="0"/>
    <n v="3"/>
  </r>
  <r>
    <x v="0"/>
    <x v="1"/>
    <x v="2"/>
    <x v="11"/>
    <x v="38"/>
    <x v="38"/>
    <x v="5"/>
    <s v="N"/>
    <s v="N"/>
    <x v="0"/>
    <x v="0"/>
    <x v="0"/>
    <x v="0"/>
    <s v="성인"/>
    <s v="성인"/>
    <s v="대리점"/>
    <x v="0"/>
    <x v="2"/>
    <x v="0"/>
    <x v="446"/>
    <s v="HP2637028724"/>
    <x v="1"/>
    <n v="2067000"/>
  </r>
  <r>
    <x v="0"/>
    <x v="1"/>
    <x v="2"/>
    <x v="11"/>
    <x v="38"/>
    <x v="38"/>
    <x v="5"/>
    <s v="N"/>
    <s v="N"/>
    <x v="1"/>
    <x v="0"/>
    <x v="0"/>
    <x v="0"/>
    <s v="성인"/>
    <s v="성인"/>
    <s v="대리점"/>
    <x v="0"/>
    <x v="0"/>
    <x v="0"/>
    <x v="447"/>
    <s v="HP2637027586"/>
    <x v="0"/>
    <n v="12"/>
  </r>
  <r>
    <x v="0"/>
    <x v="1"/>
    <x v="2"/>
    <x v="11"/>
    <x v="38"/>
    <x v="38"/>
    <x v="5"/>
    <s v="N"/>
    <s v="N"/>
    <x v="1"/>
    <x v="0"/>
    <x v="0"/>
    <x v="0"/>
    <s v="성인"/>
    <s v="성인"/>
    <s v="대리점"/>
    <x v="0"/>
    <x v="0"/>
    <x v="0"/>
    <x v="447"/>
    <s v="HP2637027586"/>
    <x v="1"/>
    <n v="15332400"/>
  </r>
  <r>
    <x v="0"/>
    <x v="1"/>
    <x v="2"/>
    <x v="11"/>
    <x v="38"/>
    <x v="38"/>
    <x v="5"/>
    <s v="N"/>
    <s v="N"/>
    <x v="1"/>
    <x v="0"/>
    <x v="0"/>
    <x v="0"/>
    <m/>
    <m/>
    <s v="대리점"/>
    <x v="0"/>
    <x v="0"/>
    <x v="0"/>
    <x v="447"/>
    <s v="HP2637027586"/>
    <x v="0"/>
    <n v="2"/>
  </r>
  <r>
    <x v="0"/>
    <x v="1"/>
    <x v="2"/>
    <x v="11"/>
    <x v="38"/>
    <x v="38"/>
    <x v="5"/>
    <s v="N"/>
    <s v="N"/>
    <x v="1"/>
    <x v="0"/>
    <x v="0"/>
    <x v="0"/>
    <m/>
    <m/>
    <s v="대리점"/>
    <x v="0"/>
    <x v="0"/>
    <x v="0"/>
    <x v="447"/>
    <s v="HP2637027586"/>
    <x v="1"/>
    <n v="2555400"/>
  </r>
  <r>
    <x v="0"/>
    <x v="1"/>
    <x v="2"/>
    <x v="11"/>
    <x v="38"/>
    <x v="38"/>
    <x v="6"/>
    <s v="N"/>
    <s v="N"/>
    <x v="5"/>
    <x v="2"/>
    <x v="0"/>
    <x v="0"/>
    <m/>
    <m/>
    <s v="대리점"/>
    <x v="0"/>
    <x v="20"/>
    <x v="1"/>
    <x v="448"/>
    <s v="HQ2637050834"/>
    <x v="0"/>
    <n v="0"/>
  </r>
  <r>
    <x v="0"/>
    <x v="1"/>
    <x v="2"/>
    <x v="11"/>
    <x v="38"/>
    <x v="38"/>
    <x v="6"/>
    <s v="N"/>
    <s v="N"/>
    <x v="5"/>
    <x v="2"/>
    <x v="0"/>
    <x v="0"/>
    <m/>
    <m/>
    <s v="대리점"/>
    <x v="0"/>
    <x v="20"/>
    <x v="1"/>
    <x v="448"/>
    <s v="HQ2637050834"/>
    <x v="1"/>
    <n v="3516000"/>
  </r>
  <r>
    <x v="0"/>
    <x v="1"/>
    <x v="2"/>
    <x v="11"/>
    <x v="38"/>
    <x v="38"/>
    <x v="6"/>
    <s v="N"/>
    <s v="N"/>
    <x v="0"/>
    <x v="0"/>
    <x v="0"/>
    <x v="0"/>
    <s v="성인"/>
    <s v="성인"/>
    <s v="대리점"/>
    <x v="0"/>
    <x v="19"/>
    <x v="0"/>
    <x v="449"/>
    <s v="HP2637048852"/>
    <x v="0"/>
    <n v="8"/>
  </r>
  <r>
    <x v="0"/>
    <x v="1"/>
    <x v="2"/>
    <x v="11"/>
    <x v="38"/>
    <x v="38"/>
    <x v="6"/>
    <s v="N"/>
    <s v="N"/>
    <x v="0"/>
    <x v="0"/>
    <x v="0"/>
    <x v="0"/>
    <s v="성인"/>
    <s v="성인"/>
    <s v="대리점"/>
    <x v="0"/>
    <x v="19"/>
    <x v="0"/>
    <x v="449"/>
    <s v="HP2637048852"/>
    <x v="1"/>
    <n v="6633600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0"/>
    <x v="449"/>
    <s v="HP2637048852"/>
    <x v="0"/>
    <n v="1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0"/>
    <x v="449"/>
    <s v="HP2637048852"/>
    <x v="1"/>
    <n v="829200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1"/>
    <x v="449"/>
    <s v="HP2637048852"/>
    <x v="0"/>
    <n v="0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1"/>
    <x v="449"/>
    <s v="HP2637048852"/>
    <x v="1"/>
    <n v="829200"/>
  </r>
  <r>
    <x v="0"/>
    <x v="1"/>
    <x v="2"/>
    <x v="11"/>
    <x v="38"/>
    <x v="38"/>
    <x v="10"/>
    <s v="N"/>
    <s v="N"/>
    <x v="1"/>
    <x v="0"/>
    <x v="0"/>
    <x v="0"/>
    <s v="성인"/>
    <s v="성인"/>
    <s v="대리점"/>
    <x v="0"/>
    <x v="2"/>
    <x v="0"/>
    <x v="450"/>
    <s v="HP2637118220"/>
    <x v="0"/>
    <n v="10"/>
  </r>
  <r>
    <x v="0"/>
    <x v="1"/>
    <x v="2"/>
    <x v="11"/>
    <x v="38"/>
    <x v="38"/>
    <x v="10"/>
    <s v="N"/>
    <s v="N"/>
    <x v="1"/>
    <x v="0"/>
    <x v="0"/>
    <x v="0"/>
    <s v="성인"/>
    <s v="성인"/>
    <s v="대리점"/>
    <x v="0"/>
    <x v="2"/>
    <x v="0"/>
    <x v="450"/>
    <s v="HP2637118220"/>
    <x v="1"/>
    <n v="11331000"/>
  </r>
  <r>
    <x v="0"/>
    <x v="1"/>
    <x v="2"/>
    <x v="11"/>
    <x v="39"/>
    <x v="39"/>
    <x v="0"/>
    <s v="N"/>
    <s v="N"/>
    <x v="4"/>
    <x v="2"/>
    <x v="0"/>
    <x v="0"/>
    <s v="성인"/>
    <s v="성인"/>
    <s v="대리점"/>
    <x v="0"/>
    <x v="2"/>
    <x v="0"/>
    <x v="451"/>
    <s v="HP2636929198"/>
    <x v="0"/>
    <n v="11"/>
  </r>
  <r>
    <x v="0"/>
    <x v="1"/>
    <x v="2"/>
    <x v="11"/>
    <x v="39"/>
    <x v="39"/>
    <x v="0"/>
    <s v="N"/>
    <s v="N"/>
    <x v="4"/>
    <x v="2"/>
    <x v="0"/>
    <x v="0"/>
    <s v="성인"/>
    <s v="성인"/>
    <s v="대리점"/>
    <x v="0"/>
    <x v="2"/>
    <x v="0"/>
    <x v="451"/>
    <s v="HP2636929198"/>
    <x v="1"/>
    <n v="14025000"/>
  </r>
  <r>
    <x v="0"/>
    <x v="1"/>
    <x v="2"/>
    <x v="11"/>
    <x v="39"/>
    <x v="39"/>
    <x v="0"/>
    <s v="N"/>
    <s v="N"/>
    <x v="4"/>
    <x v="2"/>
    <x v="0"/>
    <x v="0"/>
    <s v="아동"/>
    <s v="청소년"/>
    <s v="대리점"/>
    <x v="0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0"/>
    <s v="아동"/>
    <s v="청소년"/>
    <s v="대리점"/>
    <x v="0"/>
    <x v="2"/>
    <x v="0"/>
    <x v="451"/>
    <s v="HP2636929198"/>
    <x v="1"/>
    <n v="1275000"/>
  </r>
  <r>
    <x v="0"/>
    <x v="1"/>
    <x v="2"/>
    <x v="11"/>
    <x v="39"/>
    <x v="39"/>
    <x v="0"/>
    <s v="N"/>
    <s v="N"/>
    <x v="4"/>
    <x v="2"/>
    <x v="0"/>
    <x v="0"/>
    <s v="청소년"/>
    <s v="청소년"/>
    <s v="대리점"/>
    <x v="0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0"/>
    <s v="청소년"/>
    <s v="청소년"/>
    <s v="대리점"/>
    <x v="0"/>
    <x v="2"/>
    <x v="0"/>
    <x v="451"/>
    <s v="HP2636929198"/>
    <x v="1"/>
    <n v="1275000"/>
  </r>
  <r>
    <x v="0"/>
    <x v="1"/>
    <x v="2"/>
    <x v="11"/>
    <x v="39"/>
    <x v="39"/>
    <x v="0"/>
    <s v="N"/>
    <s v="N"/>
    <x v="4"/>
    <x v="2"/>
    <x v="0"/>
    <x v="1"/>
    <s v="아동"/>
    <s v="아동"/>
    <s v="대리점"/>
    <x v="0"/>
    <x v="2"/>
    <x v="0"/>
    <x v="451"/>
    <s v="HP2636929198"/>
    <x v="0"/>
    <n v="2"/>
  </r>
  <r>
    <x v="0"/>
    <x v="1"/>
    <x v="2"/>
    <x v="11"/>
    <x v="39"/>
    <x v="39"/>
    <x v="0"/>
    <s v="N"/>
    <s v="N"/>
    <x v="4"/>
    <x v="2"/>
    <x v="0"/>
    <x v="1"/>
    <s v="아동"/>
    <s v="아동"/>
    <s v="대리점"/>
    <x v="0"/>
    <x v="2"/>
    <x v="0"/>
    <x v="451"/>
    <s v="HP2636929198"/>
    <x v="1"/>
    <n v="2550000"/>
  </r>
  <r>
    <x v="0"/>
    <x v="1"/>
    <x v="2"/>
    <x v="11"/>
    <x v="39"/>
    <x v="39"/>
    <x v="0"/>
    <s v="N"/>
    <s v="N"/>
    <x v="4"/>
    <x v="2"/>
    <x v="0"/>
    <x v="1"/>
    <s v="유아"/>
    <s v="유아"/>
    <s v="대리점"/>
    <x v="0"/>
    <x v="2"/>
    <x v="0"/>
    <x v="451"/>
    <s v="HP2636929198"/>
    <x v="0"/>
    <n v="2"/>
  </r>
  <r>
    <x v="0"/>
    <x v="1"/>
    <x v="2"/>
    <x v="11"/>
    <x v="39"/>
    <x v="39"/>
    <x v="0"/>
    <s v="N"/>
    <s v="N"/>
    <x v="4"/>
    <x v="2"/>
    <x v="0"/>
    <x v="1"/>
    <s v="유아"/>
    <s v="유아"/>
    <s v="대리점"/>
    <x v="0"/>
    <x v="2"/>
    <x v="0"/>
    <x v="451"/>
    <s v="HP2636929198"/>
    <x v="1"/>
    <n v="2550000"/>
  </r>
  <r>
    <x v="0"/>
    <x v="1"/>
    <x v="2"/>
    <x v="11"/>
    <x v="39"/>
    <x v="39"/>
    <x v="0"/>
    <s v="N"/>
    <s v="N"/>
    <x v="4"/>
    <x v="2"/>
    <x v="0"/>
    <x v="1"/>
    <s v="유아"/>
    <s v="유아"/>
    <s v="직원"/>
    <x v="3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1"/>
    <s v="유아"/>
    <s v="유아"/>
    <s v="직원"/>
    <x v="3"/>
    <x v="2"/>
    <x v="0"/>
    <x v="451"/>
    <s v="HP2636929198"/>
    <x v="1"/>
    <n v="1275000"/>
  </r>
  <r>
    <x v="0"/>
    <x v="1"/>
    <x v="2"/>
    <x v="11"/>
    <x v="39"/>
    <x v="39"/>
    <x v="0"/>
    <s v="N"/>
    <s v="N"/>
    <x v="4"/>
    <x v="2"/>
    <x v="0"/>
    <x v="2"/>
    <s v="기타"/>
    <s v="기타"/>
    <s v="대리점"/>
    <x v="0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2"/>
    <s v="기타"/>
    <s v="기타"/>
    <s v="대리점"/>
    <x v="0"/>
    <x v="2"/>
    <x v="0"/>
    <x v="451"/>
    <s v="HP2636929198"/>
    <x v="1"/>
    <n v="150000"/>
  </r>
  <r>
    <x v="0"/>
    <x v="1"/>
    <x v="2"/>
    <x v="11"/>
    <x v="39"/>
    <x v="39"/>
    <x v="0"/>
    <s v="N"/>
    <s v="N"/>
    <x v="0"/>
    <x v="0"/>
    <x v="0"/>
    <x v="0"/>
    <s v="성인"/>
    <s v="성인"/>
    <s v="대리점"/>
    <x v="0"/>
    <x v="2"/>
    <x v="0"/>
    <x v="452"/>
    <s v="HP2636923424"/>
    <x v="0"/>
    <n v="4"/>
  </r>
  <r>
    <x v="0"/>
    <x v="1"/>
    <x v="2"/>
    <x v="11"/>
    <x v="39"/>
    <x v="39"/>
    <x v="0"/>
    <s v="N"/>
    <s v="N"/>
    <x v="0"/>
    <x v="0"/>
    <x v="0"/>
    <x v="0"/>
    <s v="성인"/>
    <s v="성인"/>
    <s v="대리점"/>
    <x v="0"/>
    <x v="2"/>
    <x v="0"/>
    <x v="452"/>
    <s v="HP2636923424"/>
    <x v="1"/>
    <n v="3590400"/>
  </r>
  <r>
    <x v="0"/>
    <x v="1"/>
    <x v="2"/>
    <x v="11"/>
    <x v="39"/>
    <x v="39"/>
    <x v="0"/>
    <s v="N"/>
    <s v="N"/>
    <x v="1"/>
    <x v="0"/>
    <x v="0"/>
    <x v="0"/>
    <s v="성인"/>
    <s v="성인"/>
    <s v="대리점"/>
    <x v="0"/>
    <x v="2"/>
    <x v="0"/>
    <x v="453"/>
    <s v="HP2636929222"/>
    <x v="0"/>
    <n v="1"/>
  </r>
  <r>
    <x v="0"/>
    <x v="1"/>
    <x v="2"/>
    <x v="11"/>
    <x v="39"/>
    <x v="39"/>
    <x v="0"/>
    <s v="N"/>
    <s v="N"/>
    <x v="1"/>
    <x v="0"/>
    <x v="0"/>
    <x v="0"/>
    <s v="성인"/>
    <s v="성인"/>
    <s v="대리점"/>
    <x v="0"/>
    <x v="2"/>
    <x v="0"/>
    <x v="453"/>
    <s v="HP2636929222"/>
    <x v="1"/>
    <n v="843000"/>
  </r>
  <r>
    <x v="0"/>
    <x v="1"/>
    <x v="2"/>
    <x v="11"/>
    <x v="39"/>
    <x v="39"/>
    <x v="0"/>
    <s v="N"/>
    <s v="N"/>
    <x v="1"/>
    <x v="0"/>
    <x v="0"/>
    <x v="0"/>
    <m/>
    <m/>
    <s v="대리점"/>
    <x v="0"/>
    <x v="2"/>
    <x v="0"/>
    <x v="453"/>
    <s v="HP2636929222"/>
    <x v="0"/>
    <n v="3"/>
  </r>
  <r>
    <x v="0"/>
    <x v="1"/>
    <x v="2"/>
    <x v="11"/>
    <x v="39"/>
    <x v="39"/>
    <x v="0"/>
    <s v="N"/>
    <s v="N"/>
    <x v="1"/>
    <x v="0"/>
    <x v="0"/>
    <x v="0"/>
    <m/>
    <m/>
    <s v="대리점"/>
    <x v="0"/>
    <x v="2"/>
    <x v="0"/>
    <x v="453"/>
    <s v="HP2636929222"/>
    <x v="1"/>
    <n v="252900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4"/>
    <s v="HP2636957042"/>
    <x v="0"/>
    <n v="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4"/>
    <s v="HP2636957042"/>
    <x v="1"/>
    <n v="220500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5"/>
    <s v="HP2636957408"/>
    <x v="0"/>
    <n v="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5"/>
    <s v="HP2636957408"/>
    <x v="1"/>
    <n v="1048580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6"/>
    <s v="HP2636957444"/>
    <x v="0"/>
    <n v="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6"/>
    <s v="HP2636957444"/>
    <x v="1"/>
    <n v="11005800"/>
  </r>
  <r>
    <x v="0"/>
    <x v="1"/>
    <x v="2"/>
    <x v="11"/>
    <x v="39"/>
    <x v="39"/>
    <x v="2"/>
    <s v="Y"/>
    <s v="Y"/>
    <x v="4"/>
    <x v="1"/>
    <x v="0"/>
    <x v="0"/>
    <m/>
    <m/>
    <s v="대리점"/>
    <x v="0"/>
    <x v="2"/>
    <x v="1"/>
    <x v="457"/>
    <s v="HB2636966062"/>
    <x v="0"/>
    <n v="0"/>
  </r>
  <r>
    <x v="0"/>
    <x v="1"/>
    <x v="2"/>
    <x v="11"/>
    <x v="39"/>
    <x v="39"/>
    <x v="2"/>
    <s v="Y"/>
    <s v="Y"/>
    <x v="4"/>
    <x v="1"/>
    <x v="0"/>
    <x v="0"/>
    <m/>
    <m/>
    <s v="대리점"/>
    <x v="0"/>
    <x v="2"/>
    <x v="1"/>
    <x v="457"/>
    <s v="HB2636966062"/>
    <x v="1"/>
    <n v="1372000"/>
  </r>
  <r>
    <x v="0"/>
    <x v="1"/>
    <x v="2"/>
    <x v="11"/>
    <x v="39"/>
    <x v="39"/>
    <x v="2"/>
    <s v="Y"/>
    <s v="Y"/>
    <x v="1"/>
    <x v="0"/>
    <x v="0"/>
    <x v="0"/>
    <s v="성인"/>
    <s v="성인"/>
    <s v="대리점"/>
    <x v="0"/>
    <x v="5"/>
    <x v="0"/>
    <x v="458"/>
    <s v="HP2636967124"/>
    <x v="0"/>
    <n v="2"/>
  </r>
  <r>
    <x v="0"/>
    <x v="1"/>
    <x v="2"/>
    <x v="11"/>
    <x v="39"/>
    <x v="39"/>
    <x v="2"/>
    <s v="Y"/>
    <s v="Y"/>
    <x v="1"/>
    <x v="0"/>
    <x v="0"/>
    <x v="0"/>
    <s v="성인"/>
    <s v="성인"/>
    <s v="대리점"/>
    <x v="0"/>
    <x v="5"/>
    <x v="0"/>
    <x v="458"/>
    <s v="HP2636967124"/>
    <x v="1"/>
    <n v="3198000"/>
  </r>
  <r>
    <x v="0"/>
    <x v="1"/>
    <x v="2"/>
    <x v="11"/>
    <x v="39"/>
    <x v="39"/>
    <x v="3"/>
    <s v="N"/>
    <s v="Y"/>
    <x v="0"/>
    <x v="0"/>
    <x v="0"/>
    <x v="0"/>
    <s v="성인"/>
    <s v="성인"/>
    <s v="대리점"/>
    <x v="0"/>
    <x v="2"/>
    <x v="0"/>
    <x v="459"/>
    <s v="HP2636986280"/>
    <x v="0"/>
    <n v="2"/>
  </r>
  <r>
    <x v="0"/>
    <x v="1"/>
    <x v="2"/>
    <x v="11"/>
    <x v="39"/>
    <x v="39"/>
    <x v="3"/>
    <s v="N"/>
    <s v="Y"/>
    <x v="0"/>
    <x v="0"/>
    <x v="0"/>
    <x v="0"/>
    <s v="성인"/>
    <s v="성인"/>
    <s v="대리점"/>
    <x v="0"/>
    <x v="2"/>
    <x v="0"/>
    <x v="459"/>
    <s v="HP2636986280"/>
    <x v="1"/>
    <n v="213600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0"/>
    <x v="454"/>
    <s v="HP2636984558"/>
    <x v="0"/>
    <n v="3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0"/>
    <x v="454"/>
    <s v="HP2636984558"/>
    <x v="1"/>
    <n v="220500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474"/>
    <x v="0"/>
    <n v="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474"/>
    <x v="1"/>
    <n v="220500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894"/>
    <x v="0"/>
    <n v="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894"/>
    <x v="1"/>
    <n v="2205000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0"/>
    <s v="HQ2636885930"/>
    <x v="0"/>
    <n v="2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0"/>
    <s v="HQ2636885930"/>
    <x v="1"/>
    <n v="0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1"/>
    <s v="HQ2637002808"/>
    <x v="0"/>
    <n v="1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1"/>
    <s v="HQ2637002808"/>
    <x v="1"/>
    <n v="0"/>
  </r>
  <r>
    <x v="0"/>
    <x v="1"/>
    <x v="2"/>
    <x v="11"/>
    <x v="39"/>
    <x v="39"/>
    <x v="4"/>
    <s v="N"/>
    <s v="N"/>
    <x v="5"/>
    <x v="2"/>
    <x v="0"/>
    <x v="0"/>
    <m/>
    <m/>
    <s v="대리점"/>
    <x v="0"/>
    <x v="18"/>
    <x v="1"/>
    <x v="460"/>
    <s v="HQ2636885930"/>
    <x v="0"/>
    <n v="0"/>
  </r>
  <r>
    <x v="0"/>
    <x v="1"/>
    <x v="2"/>
    <x v="11"/>
    <x v="39"/>
    <x v="39"/>
    <x v="4"/>
    <s v="N"/>
    <s v="N"/>
    <x v="5"/>
    <x v="2"/>
    <x v="0"/>
    <x v="0"/>
    <m/>
    <m/>
    <s v="대리점"/>
    <x v="0"/>
    <x v="18"/>
    <x v="1"/>
    <x v="460"/>
    <s v="HQ2636885930"/>
    <x v="1"/>
    <n v="0"/>
  </r>
  <r>
    <x v="0"/>
    <x v="1"/>
    <x v="2"/>
    <x v="11"/>
    <x v="39"/>
    <x v="39"/>
    <x v="4"/>
    <s v="N"/>
    <s v="N"/>
    <x v="4"/>
    <x v="1"/>
    <x v="0"/>
    <x v="0"/>
    <s v="성인"/>
    <s v="성인"/>
    <s v="대리점"/>
    <x v="0"/>
    <x v="31"/>
    <x v="0"/>
    <x v="462"/>
    <s v="HB2637010092"/>
    <x v="0"/>
    <n v="2"/>
  </r>
  <r>
    <x v="0"/>
    <x v="1"/>
    <x v="2"/>
    <x v="11"/>
    <x v="39"/>
    <x v="39"/>
    <x v="4"/>
    <s v="N"/>
    <s v="N"/>
    <x v="4"/>
    <x v="1"/>
    <x v="0"/>
    <x v="0"/>
    <s v="성인"/>
    <s v="성인"/>
    <s v="대리점"/>
    <x v="0"/>
    <x v="31"/>
    <x v="0"/>
    <x v="462"/>
    <s v="HB2637010092"/>
    <x v="1"/>
    <n v="888000"/>
  </r>
  <r>
    <x v="0"/>
    <x v="1"/>
    <x v="2"/>
    <x v="11"/>
    <x v="39"/>
    <x v="39"/>
    <x v="4"/>
    <s v="N"/>
    <s v="N"/>
    <x v="0"/>
    <x v="0"/>
    <x v="0"/>
    <x v="0"/>
    <s v="성인"/>
    <s v="성인"/>
    <s v="대리점"/>
    <x v="0"/>
    <x v="2"/>
    <x v="0"/>
    <x v="463"/>
    <s v="HP2637010376"/>
    <x v="0"/>
    <n v="2"/>
  </r>
  <r>
    <x v="0"/>
    <x v="1"/>
    <x v="2"/>
    <x v="11"/>
    <x v="39"/>
    <x v="39"/>
    <x v="4"/>
    <s v="N"/>
    <s v="N"/>
    <x v="0"/>
    <x v="0"/>
    <x v="0"/>
    <x v="0"/>
    <s v="성인"/>
    <s v="성인"/>
    <s v="대리점"/>
    <x v="0"/>
    <x v="2"/>
    <x v="0"/>
    <x v="463"/>
    <s v="HP2637010376"/>
    <x v="1"/>
    <n v="2278600"/>
  </r>
  <r>
    <x v="0"/>
    <x v="1"/>
    <x v="2"/>
    <x v="11"/>
    <x v="39"/>
    <x v="39"/>
    <x v="4"/>
    <s v="N"/>
    <s v="N"/>
    <x v="0"/>
    <x v="0"/>
    <x v="0"/>
    <x v="0"/>
    <s v="청소년"/>
    <s v="청소년"/>
    <s v="대리점"/>
    <x v="0"/>
    <x v="2"/>
    <x v="0"/>
    <x v="463"/>
    <s v="HP2637010376"/>
    <x v="0"/>
    <n v="1"/>
  </r>
  <r>
    <x v="0"/>
    <x v="1"/>
    <x v="2"/>
    <x v="11"/>
    <x v="39"/>
    <x v="39"/>
    <x v="4"/>
    <s v="N"/>
    <s v="N"/>
    <x v="0"/>
    <x v="0"/>
    <x v="0"/>
    <x v="0"/>
    <s v="청소년"/>
    <s v="청소년"/>
    <s v="대리점"/>
    <x v="0"/>
    <x v="2"/>
    <x v="0"/>
    <x v="463"/>
    <s v="HP2637010376"/>
    <x v="1"/>
    <n v="1139300"/>
  </r>
  <r>
    <x v="0"/>
    <x v="1"/>
    <x v="2"/>
    <x v="11"/>
    <x v="39"/>
    <x v="39"/>
    <x v="4"/>
    <s v="N"/>
    <s v="N"/>
    <x v="1"/>
    <x v="2"/>
    <x v="0"/>
    <x v="0"/>
    <s v="성인"/>
    <s v="성인"/>
    <s v="대리점"/>
    <x v="0"/>
    <x v="2"/>
    <x v="0"/>
    <x v="464"/>
    <s v="HQ2635428498"/>
    <x v="0"/>
    <n v="2"/>
  </r>
  <r>
    <x v="0"/>
    <x v="1"/>
    <x v="2"/>
    <x v="11"/>
    <x v="39"/>
    <x v="39"/>
    <x v="4"/>
    <s v="N"/>
    <s v="N"/>
    <x v="1"/>
    <x v="2"/>
    <x v="0"/>
    <x v="0"/>
    <s v="성인"/>
    <s v="성인"/>
    <s v="대리점"/>
    <x v="0"/>
    <x v="2"/>
    <x v="0"/>
    <x v="464"/>
    <s v="HQ2635428498"/>
    <x v="1"/>
    <n v="400000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12"/>
    <x v="0"/>
    <x v="465"/>
    <s v="HB2637037710"/>
    <x v="0"/>
    <n v="3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12"/>
    <x v="0"/>
    <x v="465"/>
    <s v="HB2637037710"/>
    <x v="1"/>
    <n v="3408000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24"/>
    <x v="0"/>
    <x v="466"/>
    <s v="HB2637034374"/>
    <x v="0"/>
    <n v="2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24"/>
    <x v="0"/>
    <x v="466"/>
    <s v="HB2637034374"/>
    <x v="1"/>
    <n v="4750800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5"/>
    <x v="0"/>
    <x v="467"/>
    <s v="HP2636350768"/>
    <x v="0"/>
    <n v="2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5"/>
    <x v="0"/>
    <x v="467"/>
    <s v="HP2636350768"/>
    <x v="1"/>
    <n v="2578000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8"/>
    <s v="HP2637031080"/>
    <x v="0"/>
    <n v="4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8"/>
    <s v="HP2637031080"/>
    <x v="1"/>
    <n v="5236400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9"/>
    <s v="HP2637032026"/>
    <x v="0"/>
    <n v="2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9"/>
    <s v="HP2637032026"/>
    <x v="1"/>
    <n v="1780000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5"/>
    <x v="0"/>
    <x v="467"/>
    <s v="HP2636350768"/>
    <x v="0"/>
    <n v="1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5"/>
    <x v="0"/>
    <x v="467"/>
    <s v="HP2636350768"/>
    <x v="1"/>
    <n v="1289000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3"/>
    <x v="1"/>
    <x v="470"/>
    <s v="HP2637030892"/>
    <x v="0"/>
    <n v="0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3"/>
    <x v="1"/>
    <x v="470"/>
    <s v="HP2637030892"/>
    <x v="1"/>
    <n v="8952600"/>
  </r>
  <r>
    <x v="0"/>
    <x v="1"/>
    <x v="2"/>
    <x v="11"/>
    <x v="39"/>
    <x v="39"/>
    <x v="6"/>
    <s v="N"/>
    <s v="N"/>
    <x v="4"/>
    <x v="1"/>
    <x v="0"/>
    <x v="0"/>
    <m/>
    <m/>
    <s v="대리점"/>
    <x v="0"/>
    <x v="12"/>
    <x v="0"/>
    <x v="471"/>
    <s v="HB2637051574"/>
    <x v="0"/>
    <n v="17"/>
  </r>
  <r>
    <x v="0"/>
    <x v="1"/>
    <x v="2"/>
    <x v="11"/>
    <x v="39"/>
    <x v="39"/>
    <x v="6"/>
    <s v="N"/>
    <s v="N"/>
    <x v="4"/>
    <x v="1"/>
    <x v="0"/>
    <x v="0"/>
    <m/>
    <m/>
    <s v="대리점"/>
    <x v="0"/>
    <x v="12"/>
    <x v="0"/>
    <x v="471"/>
    <s v="HB2637051574"/>
    <x v="1"/>
    <n v="16449200"/>
  </r>
  <r>
    <x v="0"/>
    <x v="1"/>
    <x v="2"/>
    <x v="11"/>
    <x v="39"/>
    <x v="39"/>
    <x v="6"/>
    <s v="N"/>
    <s v="N"/>
    <x v="4"/>
    <x v="2"/>
    <x v="0"/>
    <x v="0"/>
    <m/>
    <m/>
    <s v="대리점"/>
    <x v="0"/>
    <x v="2"/>
    <x v="0"/>
    <x v="472"/>
    <s v="HB2637053200"/>
    <x v="0"/>
    <n v="14"/>
  </r>
  <r>
    <x v="0"/>
    <x v="1"/>
    <x v="2"/>
    <x v="11"/>
    <x v="39"/>
    <x v="39"/>
    <x v="6"/>
    <s v="N"/>
    <s v="N"/>
    <x v="4"/>
    <x v="2"/>
    <x v="0"/>
    <x v="0"/>
    <m/>
    <m/>
    <s v="대리점"/>
    <x v="0"/>
    <x v="2"/>
    <x v="0"/>
    <x v="472"/>
    <s v="HB2637053200"/>
    <x v="1"/>
    <n v="17990000"/>
  </r>
  <r>
    <x v="0"/>
    <x v="1"/>
    <x v="2"/>
    <x v="11"/>
    <x v="39"/>
    <x v="39"/>
    <x v="6"/>
    <s v="N"/>
    <s v="N"/>
    <x v="2"/>
    <x v="0"/>
    <x v="0"/>
    <x v="0"/>
    <m/>
    <m/>
    <s v="대리점"/>
    <x v="0"/>
    <x v="23"/>
    <x v="1"/>
    <x v="473"/>
    <s v="HP2637057394"/>
    <x v="0"/>
    <n v="0"/>
  </r>
  <r>
    <x v="0"/>
    <x v="1"/>
    <x v="2"/>
    <x v="11"/>
    <x v="39"/>
    <x v="39"/>
    <x v="6"/>
    <s v="N"/>
    <s v="N"/>
    <x v="2"/>
    <x v="0"/>
    <x v="0"/>
    <x v="0"/>
    <m/>
    <m/>
    <s v="대리점"/>
    <x v="0"/>
    <x v="23"/>
    <x v="1"/>
    <x v="473"/>
    <s v="HP2637057394"/>
    <x v="1"/>
    <n v="8928000"/>
  </r>
  <r>
    <x v="0"/>
    <x v="1"/>
    <x v="2"/>
    <x v="11"/>
    <x v="39"/>
    <x v="39"/>
    <x v="6"/>
    <s v="N"/>
    <s v="N"/>
    <x v="2"/>
    <x v="0"/>
    <x v="0"/>
    <x v="1"/>
    <m/>
    <m/>
    <s v="대리점"/>
    <x v="0"/>
    <x v="23"/>
    <x v="1"/>
    <x v="473"/>
    <s v="HP2637057394"/>
    <x v="0"/>
    <n v="0"/>
  </r>
  <r>
    <x v="0"/>
    <x v="1"/>
    <x v="2"/>
    <x v="11"/>
    <x v="39"/>
    <x v="39"/>
    <x v="6"/>
    <s v="N"/>
    <s v="N"/>
    <x v="2"/>
    <x v="0"/>
    <x v="0"/>
    <x v="1"/>
    <m/>
    <m/>
    <s v="대리점"/>
    <x v="0"/>
    <x v="23"/>
    <x v="1"/>
    <x v="473"/>
    <s v="HP2637057394"/>
    <x v="1"/>
    <n v="3444000"/>
  </r>
  <r>
    <x v="0"/>
    <x v="1"/>
    <x v="2"/>
    <x v="11"/>
    <x v="39"/>
    <x v="39"/>
    <x v="7"/>
    <s v="N"/>
    <s v="Y"/>
    <x v="0"/>
    <x v="0"/>
    <x v="0"/>
    <x v="0"/>
    <s v="성인"/>
    <s v="성인"/>
    <s v="대리점"/>
    <x v="0"/>
    <x v="2"/>
    <x v="0"/>
    <x v="474"/>
    <s v="HP2637069562"/>
    <x v="0"/>
    <n v="2"/>
  </r>
  <r>
    <x v="0"/>
    <x v="1"/>
    <x v="2"/>
    <x v="11"/>
    <x v="39"/>
    <x v="39"/>
    <x v="7"/>
    <s v="N"/>
    <s v="Y"/>
    <x v="0"/>
    <x v="0"/>
    <x v="0"/>
    <x v="0"/>
    <s v="성인"/>
    <s v="성인"/>
    <s v="대리점"/>
    <x v="0"/>
    <x v="2"/>
    <x v="0"/>
    <x v="474"/>
    <s v="HP2637069562"/>
    <x v="1"/>
    <n v="3534400"/>
  </r>
  <r>
    <x v="0"/>
    <x v="1"/>
    <x v="2"/>
    <x v="11"/>
    <x v="39"/>
    <x v="39"/>
    <x v="7"/>
    <s v="N"/>
    <s v="Y"/>
    <x v="0"/>
    <x v="0"/>
    <x v="0"/>
    <x v="0"/>
    <s v="청소년"/>
    <s v="청소년"/>
    <s v="대리점"/>
    <x v="0"/>
    <x v="2"/>
    <x v="0"/>
    <x v="474"/>
    <s v="HP2637069562"/>
    <x v="0"/>
    <n v="1"/>
  </r>
  <r>
    <x v="0"/>
    <x v="1"/>
    <x v="2"/>
    <x v="11"/>
    <x v="39"/>
    <x v="39"/>
    <x v="7"/>
    <s v="N"/>
    <s v="Y"/>
    <x v="0"/>
    <x v="0"/>
    <x v="0"/>
    <x v="0"/>
    <s v="청소년"/>
    <s v="청소년"/>
    <s v="대리점"/>
    <x v="0"/>
    <x v="2"/>
    <x v="0"/>
    <x v="474"/>
    <s v="HP2637069562"/>
    <x v="1"/>
    <n v="1767200"/>
  </r>
  <r>
    <x v="0"/>
    <x v="1"/>
    <x v="2"/>
    <x v="11"/>
    <x v="39"/>
    <x v="39"/>
    <x v="8"/>
    <s v="Y"/>
    <s v="N"/>
    <x v="0"/>
    <x v="0"/>
    <x v="0"/>
    <x v="0"/>
    <s v="성인"/>
    <s v="성인"/>
    <s v="대리점"/>
    <x v="0"/>
    <x v="2"/>
    <x v="0"/>
    <x v="475"/>
    <s v="HP2637087324"/>
    <x v="0"/>
    <n v="2"/>
  </r>
  <r>
    <x v="0"/>
    <x v="1"/>
    <x v="2"/>
    <x v="11"/>
    <x v="39"/>
    <x v="39"/>
    <x v="8"/>
    <s v="Y"/>
    <s v="N"/>
    <x v="0"/>
    <x v="0"/>
    <x v="0"/>
    <x v="0"/>
    <s v="성인"/>
    <s v="성인"/>
    <s v="대리점"/>
    <x v="0"/>
    <x v="2"/>
    <x v="0"/>
    <x v="475"/>
    <s v="HP2637087324"/>
    <x v="1"/>
    <n v="2734400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5"/>
    <s v="HP2637087324"/>
    <x v="0"/>
    <n v="2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5"/>
    <s v="HP2637087324"/>
    <x v="1"/>
    <n v="2734400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6"/>
    <s v="HP2637113170"/>
    <x v="0"/>
    <n v="2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6"/>
    <s v="HP2637113170"/>
    <x v="1"/>
    <n v="2934400"/>
  </r>
  <r>
    <x v="0"/>
    <x v="1"/>
    <x v="2"/>
    <x v="11"/>
    <x v="39"/>
    <x v="39"/>
    <x v="10"/>
    <s v="N"/>
    <s v="N"/>
    <x v="0"/>
    <x v="0"/>
    <x v="0"/>
    <x v="0"/>
    <s v="청소년"/>
    <s v="청소년"/>
    <s v="대리점"/>
    <x v="0"/>
    <x v="2"/>
    <x v="0"/>
    <x v="476"/>
    <s v="HP2637113170"/>
    <x v="0"/>
    <n v="1"/>
  </r>
  <r>
    <x v="0"/>
    <x v="1"/>
    <x v="2"/>
    <x v="11"/>
    <x v="39"/>
    <x v="39"/>
    <x v="10"/>
    <s v="N"/>
    <s v="N"/>
    <x v="0"/>
    <x v="0"/>
    <x v="0"/>
    <x v="0"/>
    <s v="청소년"/>
    <s v="청소년"/>
    <s v="대리점"/>
    <x v="0"/>
    <x v="2"/>
    <x v="0"/>
    <x v="476"/>
    <s v="HP2637113170"/>
    <x v="1"/>
    <n v="1467200"/>
  </r>
  <r>
    <x v="0"/>
    <x v="1"/>
    <x v="2"/>
    <x v="11"/>
    <x v="39"/>
    <x v="39"/>
    <x v="10"/>
    <s v="N"/>
    <s v="N"/>
    <x v="6"/>
    <x v="2"/>
    <x v="1"/>
    <x v="0"/>
    <s v="성인"/>
    <s v="성인"/>
    <s v="대리점"/>
    <x v="0"/>
    <x v="28"/>
    <x v="0"/>
    <x v="477"/>
    <s v="HQ2637122872"/>
    <x v="0"/>
    <n v="1"/>
  </r>
  <r>
    <x v="0"/>
    <x v="1"/>
    <x v="2"/>
    <x v="11"/>
    <x v="39"/>
    <x v="39"/>
    <x v="10"/>
    <s v="N"/>
    <s v="N"/>
    <x v="6"/>
    <x v="2"/>
    <x v="1"/>
    <x v="0"/>
    <s v="성인"/>
    <s v="성인"/>
    <s v="대리점"/>
    <x v="0"/>
    <x v="28"/>
    <x v="0"/>
    <x v="477"/>
    <s v="HQ2637122872"/>
    <x v="1"/>
    <n v="858000"/>
  </r>
  <r>
    <x v="0"/>
    <x v="1"/>
    <x v="2"/>
    <x v="11"/>
    <x v="39"/>
    <x v="39"/>
    <x v="10"/>
    <s v="N"/>
    <s v="N"/>
    <x v="6"/>
    <x v="2"/>
    <x v="0"/>
    <x v="0"/>
    <s v="성인"/>
    <s v="성인"/>
    <s v="대리점"/>
    <x v="0"/>
    <x v="28"/>
    <x v="0"/>
    <x v="477"/>
    <s v="HQ2637122872"/>
    <x v="0"/>
    <n v="2"/>
  </r>
  <r>
    <x v="0"/>
    <x v="1"/>
    <x v="2"/>
    <x v="11"/>
    <x v="39"/>
    <x v="39"/>
    <x v="10"/>
    <s v="N"/>
    <s v="N"/>
    <x v="6"/>
    <x v="2"/>
    <x v="0"/>
    <x v="0"/>
    <s v="성인"/>
    <s v="성인"/>
    <s v="대리점"/>
    <x v="0"/>
    <x v="28"/>
    <x v="0"/>
    <x v="477"/>
    <s v="HQ2637122872"/>
    <x v="1"/>
    <n v="2834800"/>
  </r>
  <r>
    <x v="0"/>
    <x v="1"/>
    <x v="2"/>
    <x v="11"/>
    <x v="40"/>
    <x v="40"/>
    <x v="11"/>
    <s v="Y"/>
    <s v="N"/>
    <x v="0"/>
    <x v="0"/>
    <x v="0"/>
    <x v="0"/>
    <m/>
    <m/>
    <s v="대리점"/>
    <x v="0"/>
    <x v="2"/>
    <x v="0"/>
    <x v="478"/>
    <s v="HP2636974572"/>
    <x v="0"/>
    <n v="4"/>
  </r>
  <r>
    <x v="0"/>
    <x v="1"/>
    <x v="2"/>
    <x v="11"/>
    <x v="40"/>
    <x v="40"/>
    <x v="11"/>
    <s v="Y"/>
    <s v="N"/>
    <x v="0"/>
    <x v="0"/>
    <x v="0"/>
    <x v="0"/>
    <m/>
    <m/>
    <s v="대리점"/>
    <x v="0"/>
    <x v="2"/>
    <x v="0"/>
    <x v="478"/>
    <s v="HP2636974572"/>
    <x v="1"/>
    <n v="2636000"/>
  </r>
  <r>
    <x v="0"/>
    <x v="1"/>
    <x v="2"/>
    <x v="11"/>
    <x v="40"/>
    <x v="40"/>
    <x v="7"/>
    <s v="N"/>
    <s v="Y"/>
    <x v="7"/>
    <x v="5"/>
    <x v="0"/>
    <x v="0"/>
    <s v="성인"/>
    <s v="성인"/>
    <s v="대리점"/>
    <x v="0"/>
    <x v="2"/>
    <x v="0"/>
    <x v="479"/>
    <s v="HW2637073104"/>
    <x v="0"/>
    <n v="2"/>
  </r>
  <r>
    <x v="0"/>
    <x v="1"/>
    <x v="2"/>
    <x v="11"/>
    <x v="40"/>
    <x v="40"/>
    <x v="7"/>
    <s v="N"/>
    <s v="Y"/>
    <x v="7"/>
    <x v="5"/>
    <x v="0"/>
    <x v="0"/>
    <s v="성인"/>
    <s v="성인"/>
    <s v="대리점"/>
    <x v="0"/>
    <x v="2"/>
    <x v="0"/>
    <x v="479"/>
    <s v="HW2637073104"/>
    <x v="1"/>
    <n v="5914000"/>
  </r>
  <r>
    <x v="0"/>
    <x v="1"/>
    <x v="2"/>
    <x v="11"/>
    <x v="41"/>
    <x v="41"/>
    <x v="0"/>
    <s v="N"/>
    <s v="N"/>
    <x v="0"/>
    <x v="0"/>
    <x v="0"/>
    <x v="0"/>
    <s v="성인"/>
    <s v="성인"/>
    <s v="대리점"/>
    <x v="0"/>
    <x v="2"/>
    <x v="0"/>
    <x v="480"/>
    <s v="HP2636936452"/>
    <x v="0"/>
    <n v="1"/>
  </r>
  <r>
    <x v="0"/>
    <x v="1"/>
    <x v="2"/>
    <x v="11"/>
    <x v="41"/>
    <x v="41"/>
    <x v="0"/>
    <s v="N"/>
    <s v="N"/>
    <x v="0"/>
    <x v="0"/>
    <x v="0"/>
    <x v="0"/>
    <s v="성인"/>
    <s v="성인"/>
    <s v="대리점"/>
    <x v="0"/>
    <x v="2"/>
    <x v="0"/>
    <x v="480"/>
    <s v="HP2636936452"/>
    <x v="1"/>
    <n v="1179900"/>
  </r>
  <r>
    <x v="0"/>
    <x v="1"/>
    <x v="2"/>
    <x v="11"/>
    <x v="41"/>
    <x v="41"/>
    <x v="0"/>
    <s v="N"/>
    <s v="N"/>
    <x v="0"/>
    <x v="0"/>
    <x v="0"/>
    <x v="0"/>
    <s v="아동"/>
    <s v="아동"/>
    <s v="대리점"/>
    <x v="0"/>
    <x v="2"/>
    <x v="0"/>
    <x v="480"/>
    <s v="HP2636936452"/>
    <x v="0"/>
    <n v="1"/>
  </r>
  <r>
    <x v="0"/>
    <x v="1"/>
    <x v="2"/>
    <x v="11"/>
    <x v="41"/>
    <x v="41"/>
    <x v="0"/>
    <s v="N"/>
    <s v="N"/>
    <x v="0"/>
    <x v="0"/>
    <x v="0"/>
    <x v="0"/>
    <s v="아동"/>
    <s v="아동"/>
    <s v="대리점"/>
    <x v="0"/>
    <x v="2"/>
    <x v="0"/>
    <x v="480"/>
    <s v="HP2636936452"/>
    <x v="1"/>
    <n v="1179900"/>
  </r>
  <r>
    <x v="0"/>
    <x v="1"/>
    <x v="2"/>
    <x v="11"/>
    <x v="41"/>
    <x v="41"/>
    <x v="0"/>
    <s v="N"/>
    <s v="N"/>
    <x v="0"/>
    <x v="0"/>
    <x v="0"/>
    <x v="0"/>
    <s v="청소년"/>
    <s v="청소년"/>
    <s v="대리점"/>
    <x v="0"/>
    <x v="2"/>
    <x v="0"/>
    <x v="480"/>
    <s v="HP2636936452"/>
    <x v="0"/>
    <n v="1"/>
  </r>
  <r>
    <x v="0"/>
    <x v="1"/>
    <x v="2"/>
    <x v="11"/>
    <x v="41"/>
    <x v="41"/>
    <x v="0"/>
    <s v="N"/>
    <s v="N"/>
    <x v="0"/>
    <x v="0"/>
    <x v="0"/>
    <x v="0"/>
    <s v="청소년"/>
    <s v="청소년"/>
    <s v="대리점"/>
    <x v="0"/>
    <x v="2"/>
    <x v="0"/>
    <x v="480"/>
    <s v="HP2636936452"/>
    <x v="1"/>
    <n v="1179900"/>
  </r>
  <r>
    <x v="0"/>
    <x v="1"/>
    <x v="2"/>
    <x v="11"/>
    <x v="41"/>
    <x v="41"/>
    <x v="0"/>
    <s v="N"/>
    <s v="N"/>
    <x v="0"/>
    <x v="0"/>
    <x v="0"/>
    <x v="0"/>
    <m/>
    <m/>
    <s v="대리점"/>
    <x v="0"/>
    <x v="2"/>
    <x v="1"/>
    <x v="481"/>
    <s v="HP2636934328"/>
    <x v="0"/>
    <n v="0"/>
  </r>
  <r>
    <x v="0"/>
    <x v="1"/>
    <x v="2"/>
    <x v="11"/>
    <x v="41"/>
    <x v="41"/>
    <x v="0"/>
    <s v="N"/>
    <s v="N"/>
    <x v="0"/>
    <x v="0"/>
    <x v="0"/>
    <x v="0"/>
    <m/>
    <m/>
    <s v="대리점"/>
    <x v="0"/>
    <x v="2"/>
    <x v="1"/>
    <x v="481"/>
    <s v="HP2636934328"/>
    <x v="1"/>
    <n v="2046800"/>
  </r>
  <r>
    <x v="0"/>
    <x v="1"/>
    <x v="2"/>
    <x v="11"/>
    <x v="41"/>
    <x v="41"/>
    <x v="4"/>
    <s v="N"/>
    <s v="N"/>
    <x v="0"/>
    <x v="0"/>
    <x v="0"/>
    <x v="0"/>
    <s v="성인"/>
    <s v="성인"/>
    <s v="대리점"/>
    <x v="0"/>
    <x v="2"/>
    <x v="0"/>
    <x v="482"/>
    <s v="HP2637009366"/>
    <x v="0"/>
    <n v="2"/>
  </r>
  <r>
    <x v="0"/>
    <x v="1"/>
    <x v="2"/>
    <x v="11"/>
    <x v="41"/>
    <x v="41"/>
    <x v="4"/>
    <s v="N"/>
    <s v="N"/>
    <x v="0"/>
    <x v="0"/>
    <x v="0"/>
    <x v="0"/>
    <s v="성인"/>
    <s v="성인"/>
    <s v="대리점"/>
    <x v="0"/>
    <x v="2"/>
    <x v="0"/>
    <x v="482"/>
    <s v="HP2637009366"/>
    <x v="1"/>
    <n v="3898000"/>
  </r>
  <r>
    <x v="0"/>
    <x v="1"/>
    <x v="2"/>
    <x v="11"/>
    <x v="41"/>
    <x v="41"/>
    <x v="4"/>
    <s v="N"/>
    <s v="N"/>
    <x v="1"/>
    <x v="0"/>
    <x v="0"/>
    <x v="0"/>
    <s v="성인"/>
    <s v="성인"/>
    <s v="대리점"/>
    <x v="0"/>
    <x v="6"/>
    <x v="0"/>
    <x v="483"/>
    <s v="HP2637013514"/>
    <x v="0"/>
    <n v="2"/>
  </r>
  <r>
    <x v="0"/>
    <x v="1"/>
    <x v="2"/>
    <x v="11"/>
    <x v="41"/>
    <x v="41"/>
    <x v="4"/>
    <s v="N"/>
    <s v="N"/>
    <x v="1"/>
    <x v="0"/>
    <x v="0"/>
    <x v="0"/>
    <s v="성인"/>
    <s v="성인"/>
    <s v="대리점"/>
    <x v="0"/>
    <x v="6"/>
    <x v="0"/>
    <x v="483"/>
    <s v="HP2637013514"/>
    <x v="1"/>
    <n v="2819800"/>
  </r>
  <r>
    <x v="0"/>
    <x v="1"/>
    <x v="2"/>
    <x v="11"/>
    <x v="41"/>
    <x v="41"/>
    <x v="4"/>
    <s v="N"/>
    <s v="N"/>
    <x v="1"/>
    <x v="0"/>
    <x v="0"/>
    <x v="0"/>
    <m/>
    <m/>
    <s v="대리점"/>
    <x v="0"/>
    <x v="17"/>
    <x v="1"/>
    <x v="484"/>
    <s v="HP2637007058"/>
    <x v="0"/>
    <n v="0"/>
  </r>
  <r>
    <x v="0"/>
    <x v="1"/>
    <x v="2"/>
    <x v="11"/>
    <x v="41"/>
    <x v="41"/>
    <x v="4"/>
    <s v="N"/>
    <s v="N"/>
    <x v="1"/>
    <x v="0"/>
    <x v="0"/>
    <x v="0"/>
    <m/>
    <m/>
    <s v="대리점"/>
    <x v="0"/>
    <x v="17"/>
    <x v="1"/>
    <x v="484"/>
    <s v="HP2637007058"/>
    <x v="1"/>
    <n v="2056000"/>
  </r>
  <r>
    <x v="0"/>
    <x v="1"/>
    <x v="2"/>
    <x v="11"/>
    <x v="41"/>
    <x v="41"/>
    <x v="5"/>
    <s v="N"/>
    <s v="N"/>
    <x v="1"/>
    <x v="0"/>
    <x v="0"/>
    <x v="0"/>
    <s v="성인"/>
    <s v="성인"/>
    <s v="대리점"/>
    <x v="0"/>
    <x v="2"/>
    <x v="0"/>
    <x v="485"/>
    <s v="HP2637032086"/>
    <x v="0"/>
    <n v="2"/>
  </r>
  <r>
    <x v="0"/>
    <x v="1"/>
    <x v="2"/>
    <x v="11"/>
    <x v="41"/>
    <x v="41"/>
    <x v="5"/>
    <s v="N"/>
    <s v="N"/>
    <x v="1"/>
    <x v="0"/>
    <x v="0"/>
    <x v="0"/>
    <s v="성인"/>
    <s v="성인"/>
    <s v="대리점"/>
    <x v="0"/>
    <x v="2"/>
    <x v="0"/>
    <x v="485"/>
    <s v="HP2637032086"/>
    <x v="1"/>
    <n v="1698000"/>
  </r>
  <r>
    <x v="0"/>
    <x v="1"/>
    <x v="2"/>
    <x v="11"/>
    <x v="41"/>
    <x v="41"/>
    <x v="6"/>
    <s v="N"/>
    <s v="N"/>
    <x v="0"/>
    <x v="0"/>
    <x v="0"/>
    <x v="0"/>
    <s v="성인"/>
    <s v="성인"/>
    <s v="대리점"/>
    <x v="0"/>
    <x v="2"/>
    <x v="0"/>
    <x v="486"/>
    <s v="HP2637059132"/>
    <x v="0"/>
    <n v="3"/>
  </r>
  <r>
    <x v="0"/>
    <x v="1"/>
    <x v="2"/>
    <x v="11"/>
    <x v="41"/>
    <x v="41"/>
    <x v="6"/>
    <s v="N"/>
    <s v="N"/>
    <x v="0"/>
    <x v="0"/>
    <x v="0"/>
    <x v="0"/>
    <s v="성인"/>
    <s v="성인"/>
    <s v="대리점"/>
    <x v="0"/>
    <x v="2"/>
    <x v="0"/>
    <x v="486"/>
    <s v="HP2637059132"/>
    <x v="1"/>
    <n v="4401600"/>
  </r>
  <r>
    <x v="0"/>
    <x v="1"/>
    <x v="2"/>
    <x v="11"/>
    <x v="41"/>
    <x v="41"/>
    <x v="6"/>
    <s v="N"/>
    <s v="N"/>
    <x v="0"/>
    <x v="0"/>
    <x v="0"/>
    <x v="0"/>
    <m/>
    <m/>
    <s v="대리점"/>
    <x v="0"/>
    <x v="2"/>
    <x v="0"/>
    <x v="487"/>
    <s v="HP2637056560"/>
    <x v="0"/>
    <n v="7"/>
  </r>
  <r>
    <x v="0"/>
    <x v="1"/>
    <x v="2"/>
    <x v="11"/>
    <x v="41"/>
    <x v="41"/>
    <x v="6"/>
    <s v="N"/>
    <s v="N"/>
    <x v="0"/>
    <x v="0"/>
    <x v="0"/>
    <x v="0"/>
    <m/>
    <m/>
    <s v="대리점"/>
    <x v="0"/>
    <x v="2"/>
    <x v="0"/>
    <x v="487"/>
    <s v="HP2637056560"/>
    <x v="1"/>
    <n v="6749400"/>
  </r>
  <r>
    <x v="0"/>
    <x v="1"/>
    <x v="2"/>
    <x v="11"/>
    <x v="41"/>
    <x v="41"/>
    <x v="6"/>
    <s v="N"/>
    <s v="N"/>
    <x v="1"/>
    <x v="0"/>
    <x v="0"/>
    <x v="0"/>
    <s v="성인"/>
    <s v="성인"/>
    <s v="대리점"/>
    <x v="0"/>
    <x v="17"/>
    <x v="0"/>
    <x v="488"/>
    <s v="HP2637063306"/>
    <x v="0"/>
    <n v="2"/>
  </r>
  <r>
    <x v="0"/>
    <x v="1"/>
    <x v="2"/>
    <x v="11"/>
    <x v="41"/>
    <x v="41"/>
    <x v="6"/>
    <s v="N"/>
    <s v="N"/>
    <x v="1"/>
    <x v="0"/>
    <x v="0"/>
    <x v="0"/>
    <s v="성인"/>
    <s v="성인"/>
    <s v="대리점"/>
    <x v="0"/>
    <x v="17"/>
    <x v="0"/>
    <x v="488"/>
    <s v="HP2637063306"/>
    <x v="1"/>
    <n v="2236000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17"/>
    <x v="0"/>
    <x v="488"/>
    <s v="HP2637063306"/>
    <x v="0"/>
    <n v="2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17"/>
    <x v="0"/>
    <x v="488"/>
    <s v="HP2637063306"/>
    <x v="1"/>
    <n v="2236000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2"/>
    <x v="0"/>
    <x v="489"/>
    <s v="HP2637058562"/>
    <x v="0"/>
    <n v="4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2"/>
    <x v="0"/>
    <x v="489"/>
    <s v="HP2637058562"/>
    <x v="1"/>
    <n v="6759200"/>
  </r>
  <r>
    <x v="0"/>
    <x v="1"/>
    <x v="2"/>
    <x v="11"/>
    <x v="41"/>
    <x v="41"/>
    <x v="7"/>
    <s v="N"/>
    <s v="Y"/>
    <x v="0"/>
    <x v="0"/>
    <x v="0"/>
    <x v="0"/>
    <m/>
    <m/>
    <s v="대리점"/>
    <x v="0"/>
    <x v="2"/>
    <x v="1"/>
    <x v="490"/>
    <s v="HP2637069950"/>
    <x v="0"/>
    <n v="0"/>
  </r>
  <r>
    <x v="0"/>
    <x v="1"/>
    <x v="2"/>
    <x v="11"/>
    <x v="41"/>
    <x v="41"/>
    <x v="7"/>
    <s v="N"/>
    <s v="Y"/>
    <x v="0"/>
    <x v="0"/>
    <x v="0"/>
    <x v="0"/>
    <m/>
    <m/>
    <s v="대리점"/>
    <x v="0"/>
    <x v="2"/>
    <x v="1"/>
    <x v="490"/>
    <s v="HP2637069950"/>
    <x v="1"/>
    <n v="7560000"/>
  </r>
  <r>
    <x v="0"/>
    <x v="1"/>
    <x v="2"/>
    <x v="11"/>
    <x v="41"/>
    <x v="41"/>
    <x v="8"/>
    <s v="Y"/>
    <s v="N"/>
    <x v="1"/>
    <x v="0"/>
    <x v="0"/>
    <x v="0"/>
    <s v="성인"/>
    <s v="성인"/>
    <s v="대리점"/>
    <x v="0"/>
    <x v="5"/>
    <x v="0"/>
    <x v="491"/>
    <s v="HP2637087110"/>
    <x v="0"/>
    <n v="2"/>
  </r>
  <r>
    <x v="0"/>
    <x v="1"/>
    <x v="2"/>
    <x v="11"/>
    <x v="41"/>
    <x v="41"/>
    <x v="8"/>
    <s v="Y"/>
    <s v="N"/>
    <x v="1"/>
    <x v="0"/>
    <x v="0"/>
    <x v="0"/>
    <s v="성인"/>
    <s v="성인"/>
    <s v="대리점"/>
    <x v="0"/>
    <x v="5"/>
    <x v="0"/>
    <x v="491"/>
    <s v="HP2637087110"/>
    <x v="1"/>
    <n v="3598000"/>
  </r>
  <r>
    <x v="0"/>
    <x v="1"/>
    <x v="2"/>
    <x v="11"/>
    <x v="41"/>
    <x v="41"/>
    <x v="8"/>
    <s v="Y"/>
    <s v="N"/>
    <x v="1"/>
    <x v="0"/>
    <x v="0"/>
    <x v="0"/>
    <m/>
    <m/>
    <s v="대리점"/>
    <x v="0"/>
    <x v="22"/>
    <x v="0"/>
    <x v="492"/>
    <s v="HP2637086248"/>
    <x v="0"/>
    <n v="3"/>
  </r>
  <r>
    <x v="0"/>
    <x v="1"/>
    <x v="2"/>
    <x v="11"/>
    <x v="41"/>
    <x v="41"/>
    <x v="8"/>
    <s v="Y"/>
    <s v="N"/>
    <x v="1"/>
    <x v="0"/>
    <x v="0"/>
    <x v="0"/>
    <m/>
    <m/>
    <s v="대리점"/>
    <x v="0"/>
    <x v="22"/>
    <x v="0"/>
    <x v="492"/>
    <s v="HP2637086248"/>
    <x v="1"/>
    <n v="4469400"/>
  </r>
  <r>
    <x v="0"/>
    <x v="1"/>
    <x v="2"/>
    <x v="11"/>
    <x v="41"/>
    <x v="41"/>
    <x v="9"/>
    <s v="Y"/>
    <s v="N"/>
    <x v="1"/>
    <x v="0"/>
    <x v="0"/>
    <x v="0"/>
    <s v="성인"/>
    <s v="성인"/>
    <s v="대리점"/>
    <x v="0"/>
    <x v="17"/>
    <x v="0"/>
    <x v="493"/>
    <s v="HP2637094524"/>
    <x v="0"/>
    <n v="2"/>
  </r>
  <r>
    <x v="0"/>
    <x v="1"/>
    <x v="2"/>
    <x v="11"/>
    <x v="41"/>
    <x v="41"/>
    <x v="9"/>
    <s v="Y"/>
    <s v="N"/>
    <x v="1"/>
    <x v="0"/>
    <x v="0"/>
    <x v="0"/>
    <s v="성인"/>
    <s v="성인"/>
    <s v="대리점"/>
    <x v="0"/>
    <x v="17"/>
    <x v="0"/>
    <x v="493"/>
    <s v="HP2637094524"/>
    <x v="1"/>
    <n v="2564000"/>
  </r>
  <r>
    <x v="0"/>
    <x v="1"/>
    <x v="2"/>
    <x v="11"/>
    <x v="41"/>
    <x v="41"/>
    <x v="9"/>
    <s v="Y"/>
    <s v="N"/>
    <x v="1"/>
    <x v="0"/>
    <x v="0"/>
    <x v="0"/>
    <s v="청소년"/>
    <s v="청소년"/>
    <s v="대리점"/>
    <x v="0"/>
    <x v="17"/>
    <x v="0"/>
    <x v="493"/>
    <s v="HP2637094524"/>
    <x v="0"/>
    <n v="2"/>
  </r>
  <r>
    <x v="0"/>
    <x v="1"/>
    <x v="2"/>
    <x v="11"/>
    <x v="41"/>
    <x v="41"/>
    <x v="9"/>
    <s v="Y"/>
    <s v="N"/>
    <x v="1"/>
    <x v="0"/>
    <x v="0"/>
    <x v="0"/>
    <s v="청소년"/>
    <s v="청소년"/>
    <s v="대리점"/>
    <x v="0"/>
    <x v="17"/>
    <x v="0"/>
    <x v="493"/>
    <s v="HP2637094524"/>
    <x v="1"/>
    <n v="2564000"/>
  </r>
  <r>
    <x v="0"/>
    <x v="1"/>
    <x v="2"/>
    <x v="11"/>
    <x v="41"/>
    <x v="41"/>
    <x v="10"/>
    <s v="N"/>
    <s v="N"/>
    <x v="0"/>
    <x v="0"/>
    <x v="0"/>
    <x v="0"/>
    <s v="성인"/>
    <s v="성인"/>
    <s v="대리점"/>
    <x v="0"/>
    <x v="2"/>
    <x v="0"/>
    <x v="494"/>
    <s v="HP2637113804"/>
    <x v="0"/>
    <n v="2"/>
  </r>
  <r>
    <x v="0"/>
    <x v="1"/>
    <x v="2"/>
    <x v="11"/>
    <x v="41"/>
    <x v="41"/>
    <x v="10"/>
    <s v="N"/>
    <s v="N"/>
    <x v="0"/>
    <x v="0"/>
    <x v="0"/>
    <x v="0"/>
    <s v="성인"/>
    <s v="성인"/>
    <s v="대리점"/>
    <x v="0"/>
    <x v="2"/>
    <x v="0"/>
    <x v="494"/>
    <s v="HP2637113804"/>
    <x v="1"/>
    <n v="1398000"/>
  </r>
  <r>
    <x v="0"/>
    <x v="1"/>
    <x v="2"/>
    <x v="11"/>
    <x v="41"/>
    <x v="41"/>
    <x v="10"/>
    <s v="N"/>
    <s v="N"/>
    <x v="0"/>
    <x v="0"/>
    <x v="0"/>
    <x v="0"/>
    <s v="청소년"/>
    <s v="청소년"/>
    <s v="대리점"/>
    <x v="0"/>
    <x v="2"/>
    <x v="0"/>
    <x v="494"/>
    <s v="HP2637113804"/>
    <x v="0"/>
    <n v="2"/>
  </r>
  <r>
    <x v="0"/>
    <x v="1"/>
    <x v="2"/>
    <x v="11"/>
    <x v="41"/>
    <x v="41"/>
    <x v="10"/>
    <s v="N"/>
    <s v="N"/>
    <x v="0"/>
    <x v="0"/>
    <x v="0"/>
    <x v="0"/>
    <s v="청소년"/>
    <s v="청소년"/>
    <s v="대리점"/>
    <x v="0"/>
    <x v="2"/>
    <x v="0"/>
    <x v="494"/>
    <s v="HP2637113804"/>
    <x v="1"/>
    <n v="1398000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3"/>
    <x v="0"/>
    <x v="495"/>
    <s v="HP2637122978"/>
    <x v="0"/>
    <n v="6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3"/>
    <x v="0"/>
    <x v="495"/>
    <s v="HP2637122978"/>
    <x v="1"/>
    <n v="10026600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2"/>
    <x v="0"/>
    <x v="496"/>
    <s v="HP2637127714"/>
    <x v="0"/>
    <n v="7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2"/>
    <x v="0"/>
    <x v="496"/>
    <s v="HP2637127714"/>
    <x v="1"/>
    <n v="8211000"/>
  </r>
  <r>
    <x v="0"/>
    <x v="1"/>
    <x v="2"/>
    <x v="11"/>
    <x v="41"/>
    <x v="41"/>
    <x v="10"/>
    <s v="N"/>
    <s v="N"/>
    <x v="1"/>
    <x v="0"/>
    <x v="0"/>
    <x v="1"/>
    <m/>
    <m/>
    <s v="대리점"/>
    <x v="0"/>
    <x v="2"/>
    <x v="0"/>
    <x v="496"/>
    <s v="HP2637127714"/>
    <x v="0"/>
    <n v="3"/>
  </r>
  <r>
    <x v="0"/>
    <x v="1"/>
    <x v="2"/>
    <x v="11"/>
    <x v="41"/>
    <x v="41"/>
    <x v="10"/>
    <s v="N"/>
    <s v="N"/>
    <x v="1"/>
    <x v="0"/>
    <x v="0"/>
    <x v="1"/>
    <m/>
    <m/>
    <s v="대리점"/>
    <x v="0"/>
    <x v="2"/>
    <x v="0"/>
    <x v="496"/>
    <s v="HP2637127714"/>
    <x v="1"/>
    <n v="3167100"/>
  </r>
  <r>
    <x v="0"/>
    <x v="1"/>
    <x v="2"/>
    <x v="12"/>
    <x v="42"/>
    <x v="42"/>
    <x v="0"/>
    <s v="N"/>
    <s v="N"/>
    <x v="0"/>
    <x v="0"/>
    <x v="0"/>
    <x v="0"/>
    <s v="성인"/>
    <s v="성인"/>
    <s v="대리점"/>
    <x v="0"/>
    <x v="2"/>
    <x v="0"/>
    <x v="475"/>
    <s v="HP2636921826"/>
    <x v="0"/>
    <n v="4"/>
  </r>
  <r>
    <x v="0"/>
    <x v="1"/>
    <x v="2"/>
    <x v="12"/>
    <x v="42"/>
    <x v="42"/>
    <x v="0"/>
    <s v="N"/>
    <s v="N"/>
    <x v="0"/>
    <x v="0"/>
    <x v="0"/>
    <x v="0"/>
    <s v="성인"/>
    <s v="성인"/>
    <s v="대리점"/>
    <x v="0"/>
    <x v="2"/>
    <x v="0"/>
    <x v="475"/>
    <s v="HP2636921826"/>
    <x v="1"/>
    <n v="4978400"/>
  </r>
  <r>
    <x v="0"/>
    <x v="1"/>
    <x v="2"/>
    <x v="12"/>
    <x v="42"/>
    <x v="42"/>
    <x v="0"/>
    <s v="N"/>
    <s v="N"/>
    <x v="1"/>
    <x v="0"/>
    <x v="0"/>
    <x v="0"/>
    <m/>
    <m/>
    <s v="대리점"/>
    <x v="0"/>
    <x v="2"/>
    <x v="1"/>
    <x v="497"/>
    <s v="HP2636936026"/>
    <x v="0"/>
    <n v="0"/>
  </r>
  <r>
    <x v="0"/>
    <x v="1"/>
    <x v="2"/>
    <x v="12"/>
    <x v="42"/>
    <x v="42"/>
    <x v="0"/>
    <s v="N"/>
    <s v="N"/>
    <x v="1"/>
    <x v="0"/>
    <x v="0"/>
    <x v="0"/>
    <m/>
    <m/>
    <s v="대리점"/>
    <x v="0"/>
    <x v="2"/>
    <x v="1"/>
    <x v="497"/>
    <s v="HP2636936026"/>
    <x v="1"/>
    <n v="25620000"/>
  </r>
  <r>
    <x v="0"/>
    <x v="1"/>
    <x v="2"/>
    <x v="12"/>
    <x v="42"/>
    <x v="42"/>
    <x v="1"/>
    <s v="N"/>
    <s v="N"/>
    <x v="1"/>
    <x v="0"/>
    <x v="0"/>
    <x v="0"/>
    <s v="성인"/>
    <s v="성인"/>
    <s v="대리점"/>
    <x v="0"/>
    <x v="3"/>
    <x v="0"/>
    <x v="498"/>
    <s v="HP2636952126"/>
    <x v="0"/>
    <n v="5"/>
  </r>
  <r>
    <x v="0"/>
    <x v="1"/>
    <x v="2"/>
    <x v="12"/>
    <x v="42"/>
    <x v="42"/>
    <x v="1"/>
    <s v="N"/>
    <s v="N"/>
    <x v="1"/>
    <x v="0"/>
    <x v="0"/>
    <x v="0"/>
    <s v="성인"/>
    <s v="성인"/>
    <s v="대리점"/>
    <x v="0"/>
    <x v="3"/>
    <x v="0"/>
    <x v="498"/>
    <s v="HP2636952126"/>
    <x v="1"/>
    <n v="4695000"/>
  </r>
  <r>
    <x v="0"/>
    <x v="1"/>
    <x v="2"/>
    <x v="12"/>
    <x v="42"/>
    <x v="42"/>
    <x v="1"/>
    <s v="N"/>
    <s v="N"/>
    <x v="1"/>
    <x v="0"/>
    <x v="0"/>
    <x v="1"/>
    <s v="아동"/>
    <s v="아동"/>
    <s v="대리점"/>
    <x v="0"/>
    <x v="3"/>
    <x v="0"/>
    <x v="498"/>
    <s v="HP2636952126"/>
    <x v="0"/>
    <n v="2"/>
  </r>
  <r>
    <x v="0"/>
    <x v="1"/>
    <x v="2"/>
    <x v="12"/>
    <x v="42"/>
    <x v="42"/>
    <x v="1"/>
    <s v="N"/>
    <s v="N"/>
    <x v="1"/>
    <x v="0"/>
    <x v="0"/>
    <x v="1"/>
    <s v="아동"/>
    <s v="아동"/>
    <s v="대리점"/>
    <x v="0"/>
    <x v="3"/>
    <x v="0"/>
    <x v="498"/>
    <s v="HP2636952126"/>
    <x v="1"/>
    <n v="1784100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29"/>
    <s v="HP2636964004"/>
    <x v="0"/>
    <n v="3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29"/>
    <s v="HP2636964004"/>
    <x v="1"/>
    <n v="2999700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499"/>
    <s v="HP2636966106"/>
    <x v="0"/>
    <n v="1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499"/>
    <s v="HP2636966106"/>
    <x v="1"/>
    <n v="1269200"/>
  </r>
  <r>
    <x v="0"/>
    <x v="1"/>
    <x v="2"/>
    <x v="12"/>
    <x v="42"/>
    <x v="42"/>
    <x v="2"/>
    <s v="Y"/>
    <s v="Y"/>
    <x v="0"/>
    <x v="0"/>
    <x v="0"/>
    <x v="0"/>
    <s v="청소년"/>
    <s v="청소년"/>
    <s v="대리점"/>
    <x v="0"/>
    <x v="2"/>
    <x v="0"/>
    <x v="499"/>
    <s v="HP2636966106"/>
    <x v="0"/>
    <n v="1"/>
  </r>
  <r>
    <x v="0"/>
    <x v="1"/>
    <x v="2"/>
    <x v="12"/>
    <x v="42"/>
    <x v="42"/>
    <x v="2"/>
    <s v="Y"/>
    <s v="Y"/>
    <x v="0"/>
    <x v="0"/>
    <x v="0"/>
    <x v="0"/>
    <s v="청소년"/>
    <s v="청소년"/>
    <s v="대리점"/>
    <x v="0"/>
    <x v="2"/>
    <x v="0"/>
    <x v="499"/>
    <s v="HP2636966106"/>
    <x v="1"/>
    <n v="1269200"/>
  </r>
  <r>
    <x v="0"/>
    <x v="1"/>
    <x v="2"/>
    <x v="12"/>
    <x v="42"/>
    <x v="42"/>
    <x v="3"/>
    <s v="N"/>
    <s v="Y"/>
    <x v="0"/>
    <x v="0"/>
    <x v="0"/>
    <x v="0"/>
    <s v="성인"/>
    <s v="성인"/>
    <s v="대리점"/>
    <x v="0"/>
    <x v="2"/>
    <x v="0"/>
    <x v="500"/>
    <s v="HP2636991414"/>
    <x v="0"/>
    <n v="6"/>
  </r>
  <r>
    <x v="0"/>
    <x v="1"/>
    <x v="2"/>
    <x v="12"/>
    <x v="42"/>
    <x v="42"/>
    <x v="3"/>
    <s v="N"/>
    <s v="Y"/>
    <x v="0"/>
    <x v="0"/>
    <x v="0"/>
    <x v="0"/>
    <s v="성인"/>
    <s v="성인"/>
    <s v="대리점"/>
    <x v="0"/>
    <x v="2"/>
    <x v="0"/>
    <x v="500"/>
    <s v="HP2636991414"/>
    <x v="1"/>
    <n v="5935200"/>
  </r>
  <r>
    <x v="0"/>
    <x v="1"/>
    <x v="2"/>
    <x v="12"/>
    <x v="42"/>
    <x v="42"/>
    <x v="3"/>
    <s v="N"/>
    <s v="Y"/>
    <x v="0"/>
    <x v="0"/>
    <x v="0"/>
    <x v="0"/>
    <s v="청소년"/>
    <s v="청소년"/>
    <s v="대리점"/>
    <x v="0"/>
    <x v="2"/>
    <x v="0"/>
    <x v="500"/>
    <s v="HP2636991414"/>
    <x v="0"/>
    <n v="2"/>
  </r>
  <r>
    <x v="0"/>
    <x v="1"/>
    <x v="2"/>
    <x v="12"/>
    <x v="42"/>
    <x v="42"/>
    <x v="3"/>
    <s v="N"/>
    <s v="Y"/>
    <x v="0"/>
    <x v="0"/>
    <x v="0"/>
    <x v="0"/>
    <s v="청소년"/>
    <s v="청소년"/>
    <s v="대리점"/>
    <x v="0"/>
    <x v="2"/>
    <x v="0"/>
    <x v="500"/>
    <s v="HP2636991414"/>
    <x v="1"/>
    <n v="1978400"/>
  </r>
  <r>
    <x v="0"/>
    <x v="1"/>
    <x v="2"/>
    <x v="12"/>
    <x v="42"/>
    <x v="42"/>
    <x v="3"/>
    <s v="N"/>
    <s v="Y"/>
    <x v="0"/>
    <x v="0"/>
    <x v="0"/>
    <x v="1"/>
    <s v="아동"/>
    <s v="아동"/>
    <s v="대리점"/>
    <x v="0"/>
    <x v="2"/>
    <x v="0"/>
    <x v="500"/>
    <s v="HP2636991414"/>
    <x v="0"/>
    <n v="3"/>
  </r>
  <r>
    <x v="0"/>
    <x v="1"/>
    <x v="2"/>
    <x v="12"/>
    <x v="42"/>
    <x v="42"/>
    <x v="3"/>
    <s v="N"/>
    <s v="Y"/>
    <x v="0"/>
    <x v="0"/>
    <x v="0"/>
    <x v="1"/>
    <s v="아동"/>
    <s v="아동"/>
    <s v="대리점"/>
    <x v="0"/>
    <x v="2"/>
    <x v="0"/>
    <x v="500"/>
    <s v="HP2636991414"/>
    <x v="1"/>
    <n v="2967600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1"/>
    <s v="HP2637004466"/>
    <x v="0"/>
    <n v="2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1"/>
    <s v="HP2637004466"/>
    <x v="1"/>
    <n v="1999800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2"/>
    <s v="HP2637003480"/>
    <x v="0"/>
    <n v="2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2"/>
    <s v="HP2637003480"/>
    <x v="1"/>
    <n v="167980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0"/>
    <x v="503"/>
    <s v="HQ2637013592"/>
    <x v="0"/>
    <n v="3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0"/>
    <x v="503"/>
    <s v="HQ2637013592"/>
    <x v="1"/>
    <n v="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1"/>
    <x v="503"/>
    <s v="HQ2637013626"/>
    <x v="0"/>
    <n v="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1"/>
    <x v="503"/>
    <s v="HQ2637013626"/>
    <x v="1"/>
    <n v="0"/>
  </r>
  <r>
    <x v="0"/>
    <x v="1"/>
    <x v="2"/>
    <x v="12"/>
    <x v="42"/>
    <x v="42"/>
    <x v="4"/>
    <s v="N"/>
    <s v="N"/>
    <x v="1"/>
    <x v="0"/>
    <x v="0"/>
    <x v="0"/>
    <s v="성인"/>
    <s v="성인"/>
    <s v="대리점"/>
    <x v="0"/>
    <x v="3"/>
    <x v="0"/>
    <x v="504"/>
    <s v="HP2637014028"/>
    <x v="0"/>
    <n v="2"/>
  </r>
  <r>
    <x v="0"/>
    <x v="1"/>
    <x v="2"/>
    <x v="12"/>
    <x v="42"/>
    <x v="42"/>
    <x v="4"/>
    <s v="N"/>
    <s v="N"/>
    <x v="1"/>
    <x v="0"/>
    <x v="0"/>
    <x v="0"/>
    <s v="성인"/>
    <s v="성인"/>
    <s v="대리점"/>
    <x v="0"/>
    <x v="3"/>
    <x v="0"/>
    <x v="504"/>
    <s v="HP2637014028"/>
    <x v="1"/>
    <n v="2640200"/>
  </r>
  <r>
    <x v="0"/>
    <x v="1"/>
    <x v="2"/>
    <x v="12"/>
    <x v="42"/>
    <x v="42"/>
    <x v="5"/>
    <s v="N"/>
    <s v="N"/>
    <x v="0"/>
    <x v="0"/>
    <x v="0"/>
    <x v="0"/>
    <m/>
    <m/>
    <s v="대리점"/>
    <x v="0"/>
    <x v="2"/>
    <x v="0"/>
    <x v="505"/>
    <s v="HP2637039860"/>
    <x v="0"/>
    <n v="8"/>
  </r>
  <r>
    <x v="0"/>
    <x v="1"/>
    <x v="2"/>
    <x v="12"/>
    <x v="42"/>
    <x v="42"/>
    <x v="5"/>
    <s v="N"/>
    <s v="N"/>
    <x v="0"/>
    <x v="0"/>
    <x v="0"/>
    <x v="0"/>
    <m/>
    <m/>
    <s v="대리점"/>
    <x v="0"/>
    <x v="2"/>
    <x v="0"/>
    <x v="505"/>
    <s v="HP2637039860"/>
    <x v="1"/>
    <n v="8098400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6"/>
    <s v="HP2637037918"/>
    <x v="0"/>
    <n v="1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6"/>
    <s v="HP2637037918"/>
    <x v="1"/>
    <n v="1005000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7"/>
    <s v="HP2637031512"/>
    <x v="0"/>
    <n v="4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7"/>
    <s v="HP2637031512"/>
    <x v="1"/>
    <n v="4060000"/>
  </r>
  <r>
    <x v="0"/>
    <x v="1"/>
    <x v="2"/>
    <x v="12"/>
    <x v="42"/>
    <x v="42"/>
    <x v="5"/>
    <s v="N"/>
    <s v="N"/>
    <x v="1"/>
    <x v="0"/>
    <x v="0"/>
    <x v="0"/>
    <m/>
    <m/>
    <s v="대리점"/>
    <x v="0"/>
    <x v="2"/>
    <x v="0"/>
    <x v="506"/>
    <s v="HP2637037918"/>
    <x v="0"/>
    <n v="4"/>
  </r>
  <r>
    <x v="0"/>
    <x v="1"/>
    <x v="2"/>
    <x v="12"/>
    <x v="42"/>
    <x v="42"/>
    <x v="5"/>
    <s v="N"/>
    <s v="N"/>
    <x v="1"/>
    <x v="0"/>
    <x v="0"/>
    <x v="0"/>
    <m/>
    <m/>
    <s v="대리점"/>
    <x v="0"/>
    <x v="2"/>
    <x v="0"/>
    <x v="506"/>
    <s v="HP2637037918"/>
    <x v="1"/>
    <n v="4020000"/>
  </r>
  <r>
    <x v="0"/>
    <x v="1"/>
    <x v="2"/>
    <x v="12"/>
    <x v="42"/>
    <x v="42"/>
    <x v="5"/>
    <s v="N"/>
    <s v="N"/>
    <x v="1"/>
    <x v="0"/>
    <x v="0"/>
    <x v="1"/>
    <m/>
    <m/>
    <s v="대리점"/>
    <x v="0"/>
    <x v="2"/>
    <x v="0"/>
    <x v="506"/>
    <s v="HP2637037918"/>
    <x v="0"/>
    <n v="1"/>
  </r>
  <r>
    <x v="0"/>
    <x v="1"/>
    <x v="2"/>
    <x v="12"/>
    <x v="42"/>
    <x v="42"/>
    <x v="5"/>
    <s v="N"/>
    <s v="N"/>
    <x v="1"/>
    <x v="0"/>
    <x v="0"/>
    <x v="1"/>
    <m/>
    <m/>
    <s v="대리점"/>
    <x v="0"/>
    <x v="2"/>
    <x v="0"/>
    <x v="506"/>
    <s v="HP2637037918"/>
    <x v="1"/>
    <n v="904500"/>
  </r>
  <r>
    <x v="0"/>
    <x v="1"/>
    <x v="2"/>
    <x v="12"/>
    <x v="42"/>
    <x v="42"/>
    <x v="6"/>
    <s v="N"/>
    <s v="N"/>
    <x v="0"/>
    <x v="0"/>
    <x v="0"/>
    <x v="0"/>
    <s v="성인"/>
    <s v="성인"/>
    <s v="대리점"/>
    <x v="0"/>
    <x v="2"/>
    <x v="0"/>
    <x v="508"/>
    <s v="HP2637056210"/>
    <x v="0"/>
    <n v="2"/>
  </r>
  <r>
    <x v="0"/>
    <x v="1"/>
    <x v="2"/>
    <x v="12"/>
    <x v="42"/>
    <x v="42"/>
    <x v="6"/>
    <s v="N"/>
    <s v="N"/>
    <x v="0"/>
    <x v="0"/>
    <x v="0"/>
    <x v="0"/>
    <s v="성인"/>
    <s v="성인"/>
    <s v="대리점"/>
    <x v="0"/>
    <x v="2"/>
    <x v="0"/>
    <x v="508"/>
    <s v="HP2637056210"/>
    <x v="1"/>
    <n v="2499800"/>
  </r>
  <r>
    <x v="0"/>
    <x v="1"/>
    <x v="2"/>
    <x v="12"/>
    <x v="42"/>
    <x v="42"/>
    <x v="6"/>
    <s v="N"/>
    <s v="N"/>
    <x v="1"/>
    <x v="0"/>
    <x v="0"/>
    <x v="0"/>
    <m/>
    <m/>
    <s v="대리점"/>
    <x v="0"/>
    <x v="3"/>
    <x v="0"/>
    <x v="509"/>
    <s v="HP2637062326"/>
    <x v="0"/>
    <n v="3"/>
  </r>
  <r>
    <x v="0"/>
    <x v="1"/>
    <x v="2"/>
    <x v="12"/>
    <x v="42"/>
    <x v="42"/>
    <x v="6"/>
    <s v="N"/>
    <s v="N"/>
    <x v="1"/>
    <x v="0"/>
    <x v="0"/>
    <x v="0"/>
    <m/>
    <m/>
    <s v="대리점"/>
    <x v="0"/>
    <x v="3"/>
    <x v="0"/>
    <x v="509"/>
    <s v="HP2637062326"/>
    <x v="1"/>
    <n v="4669800"/>
  </r>
  <r>
    <x v="0"/>
    <x v="1"/>
    <x v="2"/>
    <x v="12"/>
    <x v="42"/>
    <x v="42"/>
    <x v="7"/>
    <s v="N"/>
    <s v="Y"/>
    <x v="0"/>
    <x v="0"/>
    <x v="0"/>
    <x v="0"/>
    <m/>
    <m/>
    <s v="대리점"/>
    <x v="0"/>
    <x v="2"/>
    <x v="0"/>
    <x v="510"/>
    <s v="HP2637070882"/>
    <x v="0"/>
    <n v="8"/>
  </r>
  <r>
    <x v="0"/>
    <x v="1"/>
    <x v="2"/>
    <x v="12"/>
    <x v="42"/>
    <x v="42"/>
    <x v="7"/>
    <s v="N"/>
    <s v="Y"/>
    <x v="0"/>
    <x v="0"/>
    <x v="0"/>
    <x v="0"/>
    <m/>
    <m/>
    <s v="대리점"/>
    <x v="0"/>
    <x v="2"/>
    <x v="0"/>
    <x v="510"/>
    <s v="HP2637070882"/>
    <x v="1"/>
    <n v="6900800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16"/>
    <x v="0"/>
    <x v="511"/>
    <s v="HP2637121138"/>
    <x v="0"/>
    <n v="1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16"/>
    <x v="0"/>
    <x v="511"/>
    <s v="HP2637121138"/>
    <x v="1"/>
    <n v="404400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0"/>
    <x v="0"/>
    <x v="512"/>
    <s v="HP2637125500"/>
    <x v="0"/>
    <n v="3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0"/>
    <x v="0"/>
    <x v="512"/>
    <s v="HP2637125500"/>
    <x v="1"/>
    <n v="2393100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5"/>
    <x v="0"/>
    <x v="513"/>
    <s v="HP2637115170"/>
    <x v="0"/>
    <n v="3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5"/>
    <x v="0"/>
    <x v="513"/>
    <s v="HP2637115170"/>
    <x v="1"/>
    <n v="6017400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6"/>
    <x v="1"/>
    <x v="511"/>
    <s v="HP2637120472"/>
    <x v="0"/>
    <n v="0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6"/>
    <x v="1"/>
    <x v="511"/>
    <s v="HP2637120472"/>
    <x v="1"/>
    <n v="404400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3"/>
    <x v="0"/>
    <x v="514"/>
    <s v="HP2637117324"/>
    <x v="0"/>
    <n v="6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3"/>
    <x v="0"/>
    <x v="514"/>
    <s v="HP2637117324"/>
    <x v="1"/>
    <n v="5949600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0"/>
    <x v="0"/>
    <x v="515"/>
    <s v="HP2637119734"/>
    <x v="0"/>
    <n v="4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0"/>
    <x v="0"/>
    <x v="515"/>
    <s v="HP2637119734"/>
    <x v="1"/>
    <n v="4396800"/>
  </r>
  <r>
    <x v="0"/>
    <x v="1"/>
    <x v="2"/>
    <x v="12"/>
    <x v="42"/>
    <x v="42"/>
    <x v="10"/>
    <s v="N"/>
    <s v="N"/>
    <x v="1"/>
    <x v="0"/>
    <x v="0"/>
    <x v="1"/>
    <s v="아동"/>
    <s v="아동"/>
    <s v="대리점"/>
    <x v="0"/>
    <x v="3"/>
    <x v="0"/>
    <x v="514"/>
    <s v="HP2637117324"/>
    <x v="0"/>
    <n v="3"/>
  </r>
  <r>
    <x v="0"/>
    <x v="1"/>
    <x v="2"/>
    <x v="12"/>
    <x v="42"/>
    <x v="42"/>
    <x v="10"/>
    <s v="N"/>
    <s v="N"/>
    <x v="1"/>
    <x v="0"/>
    <x v="0"/>
    <x v="1"/>
    <s v="아동"/>
    <s v="아동"/>
    <s v="대리점"/>
    <x v="0"/>
    <x v="3"/>
    <x v="0"/>
    <x v="514"/>
    <s v="HP2637117324"/>
    <x v="1"/>
    <n v="2974800"/>
  </r>
  <r>
    <x v="0"/>
    <x v="1"/>
    <x v="2"/>
    <x v="12"/>
    <x v="42"/>
    <x v="42"/>
    <x v="10"/>
    <s v="N"/>
    <s v="N"/>
    <x v="1"/>
    <x v="0"/>
    <x v="0"/>
    <x v="1"/>
    <s v="유아"/>
    <s v="유아"/>
    <s v="대리점"/>
    <x v="0"/>
    <x v="3"/>
    <x v="0"/>
    <x v="514"/>
    <s v="HP2637117324"/>
    <x v="0"/>
    <n v="1"/>
  </r>
  <r>
    <x v="0"/>
    <x v="1"/>
    <x v="2"/>
    <x v="12"/>
    <x v="42"/>
    <x v="42"/>
    <x v="10"/>
    <s v="N"/>
    <s v="N"/>
    <x v="1"/>
    <x v="0"/>
    <x v="0"/>
    <x v="1"/>
    <s v="유아"/>
    <s v="유아"/>
    <s v="대리점"/>
    <x v="0"/>
    <x v="3"/>
    <x v="0"/>
    <x v="514"/>
    <s v="HP2637117324"/>
    <x v="1"/>
    <n v="937440"/>
  </r>
  <r>
    <x v="0"/>
    <x v="1"/>
    <x v="2"/>
    <x v="12"/>
    <x v="43"/>
    <x v="43"/>
    <x v="0"/>
    <s v="N"/>
    <s v="N"/>
    <x v="5"/>
    <x v="3"/>
    <x v="0"/>
    <x v="0"/>
    <s v="성인"/>
    <s v="성인"/>
    <s v="대리점"/>
    <x v="0"/>
    <x v="20"/>
    <x v="0"/>
    <x v="516"/>
    <s v="HG2636926306"/>
    <x v="0"/>
    <n v="6"/>
  </r>
  <r>
    <x v="0"/>
    <x v="1"/>
    <x v="2"/>
    <x v="12"/>
    <x v="43"/>
    <x v="43"/>
    <x v="0"/>
    <s v="N"/>
    <s v="N"/>
    <x v="5"/>
    <x v="3"/>
    <x v="0"/>
    <x v="0"/>
    <s v="성인"/>
    <s v="성인"/>
    <s v="대리점"/>
    <x v="0"/>
    <x v="20"/>
    <x v="0"/>
    <x v="516"/>
    <s v="HG2636926306"/>
    <x v="1"/>
    <n v="2454000"/>
  </r>
  <r>
    <x v="0"/>
    <x v="1"/>
    <x v="2"/>
    <x v="12"/>
    <x v="43"/>
    <x v="43"/>
    <x v="1"/>
    <s v="N"/>
    <s v="N"/>
    <x v="0"/>
    <x v="0"/>
    <x v="0"/>
    <x v="0"/>
    <s v="성인"/>
    <s v="성인"/>
    <s v="대리점"/>
    <x v="0"/>
    <x v="7"/>
    <x v="0"/>
    <x v="517"/>
    <s v="HP2636955856"/>
    <x v="0"/>
    <n v="2"/>
  </r>
  <r>
    <x v="0"/>
    <x v="1"/>
    <x v="2"/>
    <x v="12"/>
    <x v="43"/>
    <x v="43"/>
    <x v="1"/>
    <s v="N"/>
    <s v="N"/>
    <x v="0"/>
    <x v="0"/>
    <x v="0"/>
    <x v="0"/>
    <s v="성인"/>
    <s v="성인"/>
    <s v="대리점"/>
    <x v="0"/>
    <x v="7"/>
    <x v="0"/>
    <x v="517"/>
    <s v="HP2636955856"/>
    <x v="1"/>
    <n v="5145800"/>
  </r>
  <r>
    <x v="0"/>
    <x v="1"/>
    <x v="2"/>
    <x v="12"/>
    <x v="43"/>
    <x v="43"/>
    <x v="1"/>
    <s v="N"/>
    <s v="N"/>
    <x v="0"/>
    <x v="0"/>
    <x v="0"/>
    <x v="0"/>
    <s v="아동"/>
    <s v="청소년"/>
    <s v="대리점"/>
    <x v="0"/>
    <x v="7"/>
    <x v="0"/>
    <x v="517"/>
    <s v="HP2636955856"/>
    <x v="0"/>
    <n v="1"/>
  </r>
  <r>
    <x v="0"/>
    <x v="1"/>
    <x v="2"/>
    <x v="12"/>
    <x v="43"/>
    <x v="43"/>
    <x v="1"/>
    <s v="N"/>
    <s v="N"/>
    <x v="0"/>
    <x v="0"/>
    <x v="0"/>
    <x v="0"/>
    <s v="아동"/>
    <s v="청소년"/>
    <s v="대리점"/>
    <x v="0"/>
    <x v="7"/>
    <x v="0"/>
    <x v="517"/>
    <s v="HP2636955856"/>
    <x v="1"/>
    <n v="2572900"/>
  </r>
  <r>
    <x v="0"/>
    <x v="1"/>
    <x v="2"/>
    <x v="12"/>
    <x v="43"/>
    <x v="43"/>
    <x v="1"/>
    <s v="N"/>
    <s v="N"/>
    <x v="0"/>
    <x v="0"/>
    <x v="0"/>
    <x v="0"/>
    <m/>
    <m/>
    <s v="대리점"/>
    <x v="0"/>
    <x v="7"/>
    <x v="1"/>
    <x v="517"/>
    <s v="HP2636955856"/>
    <x v="0"/>
    <n v="0"/>
  </r>
  <r>
    <x v="0"/>
    <x v="1"/>
    <x v="2"/>
    <x v="12"/>
    <x v="43"/>
    <x v="43"/>
    <x v="1"/>
    <s v="N"/>
    <s v="N"/>
    <x v="0"/>
    <x v="0"/>
    <x v="0"/>
    <x v="0"/>
    <m/>
    <m/>
    <s v="대리점"/>
    <x v="0"/>
    <x v="7"/>
    <x v="1"/>
    <x v="517"/>
    <s v="HP2636955856"/>
    <x v="1"/>
    <n v="2572900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16"/>
    <x v="0"/>
    <x v="518"/>
    <s v="HP2637031642"/>
    <x v="0"/>
    <n v="2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16"/>
    <x v="0"/>
    <x v="518"/>
    <s v="HP2637031642"/>
    <x v="1"/>
    <n v="2058400"/>
  </r>
  <r>
    <x v="0"/>
    <x v="1"/>
    <x v="2"/>
    <x v="12"/>
    <x v="43"/>
    <x v="43"/>
    <x v="6"/>
    <s v="N"/>
    <s v="N"/>
    <x v="0"/>
    <x v="0"/>
    <x v="0"/>
    <x v="0"/>
    <m/>
    <m/>
    <s v="대리점"/>
    <x v="0"/>
    <x v="2"/>
    <x v="0"/>
    <x v="519"/>
    <s v="HP2637062996"/>
    <x v="0"/>
    <n v="9"/>
  </r>
  <r>
    <x v="0"/>
    <x v="1"/>
    <x v="2"/>
    <x v="12"/>
    <x v="43"/>
    <x v="43"/>
    <x v="6"/>
    <s v="N"/>
    <s v="N"/>
    <x v="0"/>
    <x v="0"/>
    <x v="0"/>
    <x v="0"/>
    <m/>
    <m/>
    <s v="대리점"/>
    <x v="0"/>
    <x v="2"/>
    <x v="0"/>
    <x v="519"/>
    <s v="HP2637062996"/>
    <x v="1"/>
    <n v="2131200"/>
  </r>
  <r>
    <x v="0"/>
    <x v="1"/>
    <x v="2"/>
    <x v="12"/>
    <x v="43"/>
    <x v="43"/>
    <x v="10"/>
    <s v="N"/>
    <s v="N"/>
    <x v="0"/>
    <x v="0"/>
    <x v="0"/>
    <x v="0"/>
    <m/>
    <m/>
    <s v="대리점"/>
    <x v="0"/>
    <x v="19"/>
    <x v="0"/>
    <x v="520"/>
    <s v="HP2637116540"/>
    <x v="0"/>
    <n v="5"/>
  </r>
  <r>
    <x v="0"/>
    <x v="1"/>
    <x v="2"/>
    <x v="12"/>
    <x v="43"/>
    <x v="43"/>
    <x v="10"/>
    <s v="N"/>
    <s v="N"/>
    <x v="0"/>
    <x v="0"/>
    <x v="0"/>
    <x v="0"/>
    <m/>
    <m/>
    <s v="대리점"/>
    <x v="0"/>
    <x v="19"/>
    <x v="0"/>
    <x v="520"/>
    <s v="HP2637116540"/>
    <x v="1"/>
    <n v="4750000"/>
  </r>
  <r>
    <x v="0"/>
    <x v="1"/>
    <x v="2"/>
    <x v="12"/>
    <x v="44"/>
    <x v="44"/>
    <x v="4"/>
    <s v="N"/>
    <s v="N"/>
    <x v="4"/>
    <x v="2"/>
    <x v="0"/>
    <x v="0"/>
    <s v="성인"/>
    <s v="성인"/>
    <s v="대리점"/>
    <x v="0"/>
    <x v="2"/>
    <x v="0"/>
    <x v="521"/>
    <s v="HQ2636194682"/>
    <x v="0"/>
    <n v="1"/>
  </r>
  <r>
    <x v="0"/>
    <x v="1"/>
    <x v="2"/>
    <x v="12"/>
    <x v="44"/>
    <x v="44"/>
    <x v="4"/>
    <s v="N"/>
    <s v="N"/>
    <x v="4"/>
    <x v="2"/>
    <x v="0"/>
    <x v="0"/>
    <s v="성인"/>
    <s v="성인"/>
    <s v="대리점"/>
    <x v="0"/>
    <x v="2"/>
    <x v="0"/>
    <x v="521"/>
    <s v="HQ2636194682"/>
    <x v="1"/>
    <n v="1100000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2"/>
    <s v="HP2637055862"/>
    <x v="0"/>
    <n v="2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2"/>
    <s v="HP2637055862"/>
    <x v="1"/>
    <n v="2013000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3"/>
    <s v="HP2637051962"/>
    <x v="0"/>
    <n v="1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3"/>
    <s v="HP2637051962"/>
    <x v="1"/>
    <n v="1718000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4"/>
    <s v="HP2637056528"/>
    <x v="0"/>
    <n v="4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4"/>
    <s v="HP2637056528"/>
    <x v="1"/>
    <n v="4275600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3"/>
    <s v="HP2637051962"/>
    <x v="0"/>
    <n v="1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3"/>
    <s v="HP2637051962"/>
    <x v="1"/>
    <n v="1718000"/>
  </r>
  <r>
    <x v="0"/>
    <x v="1"/>
    <x v="2"/>
    <x v="12"/>
    <x v="44"/>
    <x v="44"/>
    <x v="6"/>
    <s v="N"/>
    <s v="N"/>
    <x v="1"/>
    <x v="0"/>
    <x v="0"/>
    <x v="0"/>
    <m/>
    <m/>
    <s v="대리점"/>
    <x v="0"/>
    <x v="2"/>
    <x v="1"/>
    <x v="525"/>
    <s v="HP2637056338"/>
    <x v="0"/>
    <n v="0"/>
  </r>
  <r>
    <x v="0"/>
    <x v="1"/>
    <x v="2"/>
    <x v="12"/>
    <x v="44"/>
    <x v="44"/>
    <x v="6"/>
    <s v="N"/>
    <s v="N"/>
    <x v="1"/>
    <x v="0"/>
    <x v="0"/>
    <x v="0"/>
    <m/>
    <m/>
    <s v="대리점"/>
    <x v="0"/>
    <x v="2"/>
    <x v="1"/>
    <x v="525"/>
    <s v="HP2637056338"/>
    <x v="1"/>
    <n v="3196000"/>
  </r>
  <r>
    <x v="0"/>
    <x v="1"/>
    <x v="2"/>
    <x v="12"/>
    <x v="44"/>
    <x v="44"/>
    <x v="10"/>
    <s v="N"/>
    <s v="N"/>
    <x v="1"/>
    <x v="0"/>
    <x v="0"/>
    <x v="0"/>
    <s v="성인"/>
    <s v="성인"/>
    <s v="대리점"/>
    <x v="0"/>
    <x v="2"/>
    <x v="0"/>
    <x v="526"/>
    <s v="HP2637122208"/>
    <x v="0"/>
    <n v="3"/>
  </r>
  <r>
    <x v="0"/>
    <x v="1"/>
    <x v="2"/>
    <x v="12"/>
    <x v="44"/>
    <x v="44"/>
    <x v="10"/>
    <s v="N"/>
    <s v="N"/>
    <x v="1"/>
    <x v="0"/>
    <x v="0"/>
    <x v="0"/>
    <s v="성인"/>
    <s v="성인"/>
    <s v="대리점"/>
    <x v="0"/>
    <x v="2"/>
    <x v="0"/>
    <x v="526"/>
    <s v="HP2637122208"/>
    <x v="1"/>
    <n v="2669700"/>
  </r>
  <r>
    <x v="0"/>
    <x v="1"/>
    <x v="2"/>
    <x v="12"/>
    <x v="45"/>
    <x v="45"/>
    <x v="0"/>
    <s v="N"/>
    <s v="N"/>
    <x v="1"/>
    <x v="0"/>
    <x v="0"/>
    <x v="0"/>
    <s v="성인"/>
    <s v="성인"/>
    <s v="대리점"/>
    <x v="0"/>
    <x v="2"/>
    <x v="0"/>
    <x v="527"/>
    <s v="HP2636932628"/>
    <x v="0"/>
    <n v="3"/>
  </r>
  <r>
    <x v="0"/>
    <x v="1"/>
    <x v="2"/>
    <x v="12"/>
    <x v="45"/>
    <x v="45"/>
    <x v="0"/>
    <s v="N"/>
    <s v="N"/>
    <x v="1"/>
    <x v="0"/>
    <x v="0"/>
    <x v="0"/>
    <s v="성인"/>
    <s v="성인"/>
    <s v="대리점"/>
    <x v="0"/>
    <x v="2"/>
    <x v="0"/>
    <x v="527"/>
    <s v="HP2636932628"/>
    <x v="1"/>
    <n v="2895000"/>
  </r>
  <r>
    <x v="0"/>
    <x v="1"/>
    <x v="2"/>
    <x v="12"/>
    <x v="45"/>
    <x v="45"/>
    <x v="1"/>
    <s v="N"/>
    <s v="N"/>
    <x v="5"/>
    <x v="2"/>
    <x v="1"/>
    <x v="0"/>
    <m/>
    <m/>
    <s v="대리점"/>
    <x v="0"/>
    <x v="18"/>
    <x v="1"/>
    <x v="528"/>
    <s v="HQ2636956998"/>
    <x v="0"/>
    <n v="0"/>
  </r>
  <r>
    <x v="0"/>
    <x v="1"/>
    <x v="2"/>
    <x v="12"/>
    <x v="45"/>
    <x v="45"/>
    <x v="1"/>
    <s v="N"/>
    <s v="N"/>
    <x v="5"/>
    <x v="2"/>
    <x v="1"/>
    <x v="0"/>
    <m/>
    <m/>
    <s v="대리점"/>
    <x v="0"/>
    <x v="18"/>
    <x v="1"/>
    <x v="528"/>
    <s v="HQ2636956998"/>
    <x v="1"/>
    <n v="0"/>
  </r>
  <r>
    <x v="0"/>
    <x v="1"/>
    <x v="2"/>
    <x v="12"/>
    <x v="45"/>
    <x v="45"/>
    <x v="1"/>
    <s v="N"/>
    <s v="N"/>
    <x v="5"/>
    <x v="2"/>
    <x v="0"/>
    <x v="0"/>
    <s v="성인"/>
    <s v="성인"/>
    <s v="대리점"/>
    <x v="0"/>
    <x v="18"/>
    <x v="0"/>
    <x v="528"/>
    <s v="HQ2636956998"/>
    <x v="0"/>
    <n v="9"/>
  </r>
  <r>
    <x v="0"/>
    <x v="1"/>
    <x v="2"/>
    <x v="12"/>
    <x v="45"/>
    <x v="45"/>
    <x v="1"/>
    <s v="N"/>
    <s v="N"/>
    <x v="5"/>
    <x v="2"/>
    <x v="0"/>
    <x v="0"/>
    <s v="성인"/>
    <s v="성인"/>
    <s v="대리점"/>
    <x v="0"/>
    <x v="18"/>
    <x v="0"/>
    <x v="528"/>
    <s v="HQ2636956998"/>
    <x v="1"/>
    <n v="0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0"/>
    <x v="528"/>
    <s v="HQ2636956998"/>
    <x v="0"/>
    <n v="4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0"/>
    <x v="528"/>
    <s v="HQ2636956998"/>
    <x v="1"/>
    <n v="0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1"/>
    <x v="528"/>
    <s v="HQ2636956998"/>
    <x v="0"/>
    <n v="0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1"/>
    <x v="528"/>
    <s v="HQ2636956998"/>
    <x v="1"/>
    <n v="0"/>
  </r>
  <r>
    <x v="0"/>
    <x v="1"/>
    <x v="2"/>
    <x v="12"/>
    <x v="45"/>
    <x v="45"/>
    <x v="4"/>
    <s v="N"/>
    <s v="N"/>
    <x v="0"/>
    <x v="0"/>
    <x v="0"/>
    <x v="0"/>
    <s v="성인"/>
    <s v="성인"/>
    <s v="대리점"/>
    <x v="0"/>
    <x v="2"/>
    <x v="0"/>
    <x v="529"/>
    <s v="HP2637002090"/>
    <x v="0"/>
    <n v="11"/>
  </r>
  <r>
    <x v="0"/>
    <x v="1"/>
    <x v="2"/>
    <x v="12"/>
    <x v="45"/>
    <x v="45"/>
    <x v="4"/>
    <s v="N"/>
    <s v="N"/>
    <x v="0"/>
    <x v="0"/>
    <x v="0"/>
    <x v="0"/>
    <s v="성인"/>
    <s v="성인"/>
    <s v="대리점"/>
    <x v="0"/>
    <x v="2"/>
    <x v="0"/>
    <x v="529"/>
    <s v="HP2637002090"/>
    <x v="1"/>
    <n v="7755000"/>
  </r>
  <r>
    <x v="0"/>
    <x v="1"/>
    <x v="2"/>
    <x v="12"/>
    <x v="45"/>
    <x v="45"/>
    <x v="4"/>
    <s v="N"/>
    <s v="N"/>
    <x v="0"/>
    <x v="0"/>
    <x v="0"/>
    <x v="0"/>
    <s v="아동"/>
    <s v="아동"/>
    <s v="대리점"/>
    <x v="0"/>
    <x v="2"/>
    <x v="0"/>
    <x v="529"/>
    <s v="HP2637002090"/>
    <x v="0"/>
    <n v="1"/>
  </r>
  <r>
    <x v="0"/>
    <x v="1"/>
    <x v="2"/>
    <x v="12"/>
    <x v="45"/>
    <x v="45"/>
    <x v="4"/>
    <s v="N"/>
    <s v="N"/>
    <x v="0"/>
    <x v="0"/>
    <x v="0"/>
    <x v="0"/>
    <s v="아동"/>
    <s v="아동"/>
    <s v="대리점"/>
    <x v="0"/>
    <x v="2"/>
    <x v="0"/>
    <x v="529"/>
    <s v="HP2637002090"/>
    <x v="1"/>
    <n v="705000"/>
  </r>
  <r>
    <x v="0"/>
    <x v="1"/>
    <x v="2"/>
    <x v="12"/>
    <x v="45"/>
    <x v="45"/>
    <x v="4"/>
    <s v="N"/>
    <s v="N"/>
    <x v="0"/>
    <x v="0"/>
    <x v="0"/>
    <x v="0"/>
    <m/>
    <m/>
    <s v="대리점"/>
    <x v="0"/>
    <x v="13"/>
    <x v="1"/>
    <x v="530"/>
    <s v="HP2637013924"/>
    <x v="0"/>
    <n v="0"/>
  </r>
  <r>
    <x v="0"/>
    <x v="1"/>
    <x v="2"/>
    <x v="12"/>
    <x v="45"/>
    <x v="45"/>
    <x v="4"/>
    <s v="N"/>
    <s v="N"/>
    <x v="0"/>
    <x v="0"/>
    <x v="0"/>
    <x v="0"/>
    <m/>
    <m/>
    <s v="대리점"/>
    <x v="0"/>
    <x v="13"/>
    <x v="1"/>
    <x v="530"/>
    <s v="HP2637013924"/>
    <x v="1"/>
    <n v="1468000"/>
  </r>
  <r>
    <x v="0"/>
    <x v="1"/>
    <x v="2"/>
    <x v="12"/>
    <x v="45"/>
    <x v="45"/>
    <x v="4"/>
    <s v="N"/>
    <s v="N"/>
    <x v="0"/>
    <x v="0"/>
    <x v="0"/>
    <x v="1"/>
    <s v="아동"/>
    <s v="아동"/>
    <s v="대리점"/>
    <x v="0"/>
    <x v="2"/>
    <x v="0"/>
    <x v="529"/>
    <s v="HP2637002090"/>
    <x v="0"/>
    <n v="3"/>
  </r>
  <r>
    <x v="0"/>
    <x v="1"/>
    <x v="2"/>
    <x v="12"/>
    <x v="45"/>
    <x v="45"/>
    <x v="4"/>
    <s v="N"/>
    <s v="N"/>
    <x v="0"/>
    <x v="0"/>
    <x v="0"/>
    <x v="1"/>
    <s v="아동"/>
    <s v="아동"/>
    <s v="대리점"/>
    <x v="0"/>
    <x v="2"/>
    <x v="0"/>
    <x v="529"/>
    <s v="HP2637002090"/>
    <x v="1"/>
    <n v="2115000"/>
  </r>
  <r>
    <x v="0"/>
    <x v="1"/>
    <x v="2"/>
    <x v="12"/>
    <x v="45"/>
    <x v="45"/>
    <x v="5"/>
    <s v="N"/>
    <s v="N"/>
    <x v="5"/>
    <x v="2"/>
    <x v="0"/>
    <x v="0"/>
    <s v="성인"/>
    <s v="성인"/>
    <s v="대리점"/>
    <x v="0"/>
    <x v="18"/>
    <x v="0"/>
    <x v="531"/>
    <s v="HQ2637025604"/>
    <x v="0"/>
    <n v="4"/>
  </r>
  <r>
    <x v="0"/>
    <x v="1"/>
    <x v="2"/>
    <x v="12"/>
    <x v="45"/>
    <x v="45"/>
    <x v="5"/>
    <s v="N"/>
    <s v="N"/>
    <x v="5"/>
    <x v="2"/>
    <x v="0"/>
    <x v="0"/>
    <s v="성인"/>
    <s v="성인"/>
    <s v="대리점"/>
    <x v="0"/>
    <x v="18"/>
    <x v="0"/>
    <x v="531"/>
    <s v="HQ2637025604"/>
    <x v="1"/>
    <n v="0"/>
  </r>
  <r>
    <x v="0"/>
    <x v="1"/>
    <x v="2"/>
    <x v="12"/>
    <x v="45"/>
    <x v="45"/>
    <x v="7"/>
    <s v="N"/>
    <s v="Y"/>
    <x v="0"/>
    <x v="0"/>
    <x v="0"/>
    <x v="0"/>
    <s v="성인"/>
    <s v="성인"/>
    <s v="대리점"/>
    <x v="0"/>
    <x v="1"/>
    <x v="0"/>
    <x v="532"/>
    <s v="HP2637072334"/>
    <x v="0"/>
    <n v="2"/>
  </r>
  <r>
    <x v="0"/>
    <x v="1"/>
    <x v="2"/>
    <x v="12"/>
    <x v="45"/>
    <x v="45"/>
    <x v="7"/>
    <s v="N"/>
    <s v="Y"/>
    <x v="0"/>
    <x v="0"/>
    <x v="0"/>
    <x v="0"/>
    <s v="성인"/>
    <s v="성인"/>
    <s v="대리점"/>
    <x v="0"/>
    <x v="1"/>
    <x v="0"/>
    <x v="532"/>
    <s v="HP2637072334"/>
    <x v="1"/>
    <n v="2480200"/>
  </r>
  <r>
    <x v="0"/>
    <x v="1"/>
    <x v="2"/>
    <x v="12"/>
    <x v="45"/>
    <x v="45"/>
    <x v="7"/>
    <s v="N"/>
    <s v="Y"/>
    <x v="0"/>
    <x v="0"/>
    <x v="0"/>
    <x v="0"/>
    <s v="청소년"/>
    <s v="청소년"/>
    <s v="대리점"/>
    <x v="0"/>
    <x v="1"/>
    <x v="0"/>
    <x v="532"/>
    <s v="HP2637072334"/>
    <x v="0"/>
    <n v="1"/>
  </r>
  <r>
    <x v="0"/>
    <x v="1"/>
    <x v="2"/>
    <x v="12"/>
    <x v="45"/>
    <x v="45"/>
    <x v="7"/>
    <s v="N"/>
    <s v="Y"/>
    <x v="0"/>
    <x v="0"/>
    <x v="0"/>
    <x v="0"/>
    <s v="청소년"/>
    <s v="청소년"/>
    <s v="대리점"/>
    <x v="0"/>
    <x v="1"/>
    <x v="0"/>
    <x v="532"/>
    <s v="HP2637072334"/>
    <x v="1"/>
    <n v="1240100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1"/>
    <x v="0"/>
    <x v="532"/>
    <s v="HP2637072334"/>
    <x v="0"/>
    <n v="4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1"/>
    <x v="0"/>
    <x v="532"/>
    <s v="HP2637072334"/>
    <x v="1"/>
    <n v="4960400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2"/>
    <x v="0"/>
    <x v="533"/>
    <s v="HP2637071966"/>
    <x v="0"/>
    <n v="3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2"/>
    <x v="0"/>
    <x v="533"/>
    <s v="HP2637071966"/>
    <x v="1"/>
    <n v="3674400"/>
  </r>
  <r>
    <x v="0"/>
    <x v="1"/>
    <x v="2"/>
    <x v="12"/>
    <x v="45"/>
    <x v="45"/>
    <x v="7"/>
    <s v="N"/>
    <s v="Y"/>
    <x v="0"/>
    <x v="0"/>
    <x v="0"/>
    <x v="1"/>
    <m/>
    <m/>
    <s v="대리점"/>
    <x v="0"/>
    <x v="1"/>
    <x v="0"/>
    <x v="532"/>
    <s v="HP2637072334"/>
    <x v="0"/>
    <n v="1"/>
  </r>
  <r>
    <x v="0"/>
    <x v="1"/>
    <x v="2"/>
    <x v="12"/>
    <x v="45"/>
    <x v="45"/>
    <x v="7"/>
    <s v="N"/>
    <s v="Y"/>
    <x v="0"/>
    <x v="0"/>
    <x v="0"/>
    <x v="1"/>
    <m/>
    <m/>
    <s v="대리점"/>
    <x v="0"/>
    <x v="1"/>
    <x v="0"/>
    <x v="532"/>
    <s v="HP2637072334"/>
    <x v="1"/>
    <n v="1240100"/>
  </r>
  <r>
    <x v="0"/>
    <x v="1"/>
    <x v="2"/>
    <x v="12"/>
    <x v="45"/>
    <x v="45"/>
    <x v="10"/>
    <s v="N"/>
    <s v="N"/>
    <x v="5"/>
    <x v="2"/>
    <x v="1"/>
    <x v="0"/>
    <s v="성인"/>
    <s v="성인"/>
    <s v="대리점"/>
    <x v="0"/>
    <x v="18"/>
    <x v="0"/>
    <x v="534"/>
    <s v="HQ2637121536"/>
    <x v="0"/>
    <n v="2"/>
  </r>
  <r>
    <x v="0"/>
    <x v="1"/>
    <x v="2"/>
    <x v="12"/>
    <x v="45"/>
    <x v="45"/>
    <x v="10"/>
    <s v="N"/>
    <s v="N"/>
    <x v="5"/>
    <x v="2"/>
    <x v="1"/>
    <x v="0"/>
    <s v="성인"/>
    <s v="성인"/>
    <s v="대리점"/>
    <x v="0"/>
    <x v="18"/>
    <x v="0"/>
    <x v="534"/>
    <s v="HQ2637121536"/>
    <x v="1"/>
    <n v="0"/>
  </r>
  <r>
    <x v="0"/>
    <x v="1"/>
    <x v="2"/>
    <x v="12"/>
    <x v="45"/>
    <x v="45"/>
    <x v="10"/>
    <s v="N"/>
    <s v="N"/>
    <x v="5"/>
    <x v="2"/>
    <x v="0"/>
    <x v="0"/>
    <s v="성인"/>
    <s v="성인"/>
    <s v="대리점"/>
    <x v="0"/>
    <x v="18"/>
    <x v="0"/>
    <x v="534"/>
    <s v="HQ2637121536"/>
    <x v="0"/>
    <n v="2"/>
  </r>
  <r>
    <x v="0"/>
    <x v="1"/>
    <x v="2"/>
    <x v="12"/>
    <x v="45"/>
    <x v="45"/>
    <x v="10"/>
    <s v="N"/>
    <s v="N"/>
    <x v="5"/>
    <x v="2"/>
    <x v="0"/>
    <x v="0"/>
    <s v="성인"/>
    <s v="성인"/>
    <s v="대리점"/>
    <x v="0"/>
    <x v="18"/>
    <x v="0"/>
    <x v="534"/>
    <s v="HQ2637121536"/>
    <x v="1"/>
    <n v="0"/>
  </r>
  <r>
    <x v="0"/>
    <x v="1"/>
    <x v="2"/>
    <x v="12"/>
    <x v="45"/>
    <x v="45"/>
    <x v="10"/>
    <s v="N"/>
    <s v="N"/>
    <x v="4"/>
    <x v="1"/>
    <x v="0"/>
    <x v="0"/>
    <s v="성인"/>
    <s v="성인"/>
    <s v="닷컴"/>
    <x v="2"/>
    <x v="21"/>
    <x v="0"/>
    <x v="535"/>
    <s v="HB2637109650"/>
    <x v="0"/>
    <n v="7"/>
  </r>
  <r>
    <x v="0"/>
    <x v="1"/>
    <x v="2"/>
    <x v="12"/>
    <x v="45"/>
    <x v="45"/>
    <x v="10"/>
    <s v="N"/>
    <s v="N"/>
    <x v="4"/>
    <x v="1"/>
    <x v="0"/>
    <x v="0"/>
    <s v="성인"/>
    <s v="성인"/>
    <s v="닷컴"/>
    <x v="2"/>
    <x v="21"/>
    <x v="0"/>
    <x v="535"/>
    <s v="HB2637109650"/>
    <x v="1"/>
    <n v="3507700"/>
  </r>
  <r>
    <x v="0"/>
    <x v="1"/>
    <x v="2"/>
    <x v="12"/>
    <x v="45"/>
    <x v="45"/>
    <x v="10"/>
    <s v="N"/>
    <s v="N"/>
    <x v="4"/>
    <x v="1"/>
    <x v="0"/>
    <x v="0"/>
    <s v="청소년"/>
    <s v="청소년"/>
    <s v="닷컴"/>
    <x v="2"/>
    <x v="21"/>
    <x v="0"/>
    <x v="535"/>
    <s v="HB2637109650"/>
    <x v="0"/>
    <n v="1"/>
  </r>
  <r>
    <x v="0"/>
    <x v="1"/>
    <x v="2"/>
    <x v="12"/>
    <x v="45"/>
    <x v="45"/>
    <x v="10"/>
    <s v="N"/>
    <s v="N"/>
    <x v="4"/>
    <x v="1"/>
    <x v="0"/>
    <x v="0"/>
    <s v="청소년"/>
    <s v="청소년"/>
    <s v="닷컴"/>
    <x v="2"/>
    <x v="21"/>
    <x v="0"/>
    <x v="535"/>
    <s v="HB2637109650"/>
    <x v="1"/>
    <n v="501100"/>
  </r>
  <r>
    <x v="0"/>
    <x v="1"/>
    <x v="2"/>
    <x v="12"/>
    <x v="45"/>
    <x v="45"/>
    <x v="10"/>
    <s v="N"/>
    <s v="N"/>
    <x v="6"/>
    <x v="2"/>
    <x v="0"/>
    <x v="0"/>
    <m/>
    <m/>
    <s v="대리점"/>
    <x v="0"/>
    <x v="28"/>
    <x v="0"/>
    <x v="536"/>
    <s v="HQ2637115094"/>
    <x v="0"/>
    <n v="7"/>
  </r>
  <r>
    <x v="0"/>
    <x v="1"/>
    <x v="2"/>
    <x v="12"/>
    <x v="45"/>
    <x v="45"/>
    <x v="10"/>
    <s v="N"/>
    <s v="N"/>
    <x v="6"/>
    <x v="2"/>
    <x v="0"/>
    <x v="0"/>
    <m/>
    <m/>
    <s v="대리점"/>
    <x v="0"/>
    <x v="28"/>
    <x v="0"/>
    <x v="536"/>
    <s v="HQ2637115094"/>
    <x v="1"/>
    <n v="0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2"/>
    <x v="0"/>
    <x v="537"/>
    <s v="HP2636985726"/>
    <x v="0"/>
    <n v="1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2"/>
    <x v="0"/>
    <x v="537"/>
    <s v="HP2636985726"/>
    <x v="1"/>
    <n v="984500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"/>
    <x v="0"/>
    <x v="222"/>
    <s v="HP2636987044"/>
    <x v="0"/>
    <n v="1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"/>
    <x v="0"/>
    <x v="222"/>
    <s v="HP2636987044"/>
    <x v="1"/>
    <n v="14258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0"/>
    <x v="538"/>
    <s v="HP2636985396"/>
    <x v="0"/>
    <n v="12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0"/>
    <x v="538"/>
    <s v="HP2636985396"/>
    <x v="1"/>
    <n v="54840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1"/>
    <x v="538"/>
    <s v="HP2636985396"/>
    <x v="0"/>
    <n v="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1"/>
    <x v="538"/>
    <s v="HP2636985396"/>
    <x v="1"/>
    <n v="13710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2"/>
    <x v="0"/>
    <x v="537"/>
    <s v="HP2636985726"/>
    <x v="0"/>
    <n v="4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2"/>
    <x v="0"/>
    <x v="537"/>
    <s v="HP2636985726"/>
    <x v="1"/>
    <n v="39380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0"/>
    <x v="222"/>
    <s v="HP2636987044"/>
    <x v="0"/>
    <n v="2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0"/>
    <x v="222"/>
    <s v="HP2636987044"/>
    <x v="1"/>
    <n v="28516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1"/>
    <x v="222"/>
    <s v="HP2636987044"/>
    <x v="0"/>
    <n v="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1"/>
    <x v="222"/>
    <s v="HP2636987044"/>
    <x v="1"/>
    <n v="1425800"/>
  </r>
  <r>
    <x v="0"/>
    <x v="1"/>
    <x v="2"/>
    <x v="12"/>
    <x v="46"/>
    <x v="46"/>
    <x v="5"/>
    <s v="N"/>
    <s v="N"/>
    <x v="1"/>
    <x v="0"/>
    <x v="1"/>
    <x v="0"/>
    <s v="성인"/>
    <s v="성인"/>
    <s v="대리점"/>
    <x v="0"/>
    <x v="2"/>
    <x v="0"/>
    <x v="539"/>
    <s v="HP2635351010"/>
    <x v="0"/>
    <n v="1"/>
  </r>
  <r>
    <x v="0"/>
    <x v="1"/>
    <x v="2"/>
    <x v="12"/>
    <x v="46"/>
    <x v="46"/>
    <x v="5"/>
    <s v="N"/>
    <s v="N"/>
    <x v="1"/>
    <x v="0"/>
    <x v="1"/>
    <x v="0"/>
    <s v="성인"/>
    <s v="성인"/>
    <s v="대리점"/>
    <x v="0"/>
    <x v="2"/>
    <x v="0"/>
    <x v="539"/>
    <s v="HP2635351010"/>
    <x v="1"/>
    <n v="1147700"/>
  </r>
  <r>
    <x v="0"/>
    <x v="1"/>
    <x v="2"/>
    <x v="12"/>
    <x v="46"/>
    <x v="46"/>
    <x v="5"/>
    <s v="N"/>
    <s v="N"/>
    <x v="1"/>
    <x v="0"/>
    <x v="0"/>
    <x v="0"/>
    <m/>
    <m/>
    <s v="대리점"/>
    <x v="0"/>
    <x v="2"/>
    <x v="0"/>
    <x v="540"/>
    <s v="HP2637037578"/>
    <x v="0"/>
    <n v="1"/>
  </r>
  <r>
    <x v="0"/>
    <x v="1"/>
    <x v="2"/>
    <x v="12"/>
    <x v="46"/>
    <x v="46"/>
    <x v="5"/>
    <s v="N"/>
    <s v="N"/>
    <x v="1"/>
    <x v="0"/>
    <x v="0"/>
    <x v="0"/>
    <m/>
    <m/>
    <s v="대리점"/>
    <x v="0"/>
    <x v="2"/>
    <x v="0"/>
    <x v="540"/>
    <s v="HP2637037578"/>
    <x v="1"/>
    <n v="1137900"/>
  </r>
  <r>
    <x v="0"/>
    <x v="1"/>
    <x v="2"/>
    <x v="12"/>
    <x v="46"/>
    <x v="46"/>
    <x v="6"/>
    <s v="N"/>
    <s v="N"/>
    <x v="0"/>
    <x v="0"/>
    <x v="0"/>
    <x v="0"/>
    <m/>
    <m/>
    <s v="대리점"/>
    <x v="0"/>
    <x v="25"/>
    <x v="1"/>
    <x v="541"/>
    <s v="HP2637052438"/>
    <x v="0"/>
    <n v="0"/>
  </r>
  <r>
    <x v="0"/>
    <x v="1"/>
    <x v="2"/>
    <x v="12"/>
    <x v="46"/>
    <x v="46"/>
    <x v="6"/>
    <s v="N"/>
    <s v="N"/>
    <x v="0"/>
    <x v="0"/>
    <x v="0"/>
    <x v="0"/>
    <m/>
    <m/>
    <s v="대리점"/>
    <x v="0"/>
    <x v="25"/>
    <x v="1"/>
    <x v="541"/>
    <s v="HP2637052438"/>
    <x v="1"/>
    <n v="1067400"/>
  </r>
  <r>
    <x v="0"/>
    <x v="1"/>
    <x v="2"/>
    <x v="12"/>
    <x v="46"/>
    <x v="46"/>
    <x v="8"/>
    <s v="Y"/>
    <s v="N"/>
    <x v="0"/>
    <x v="0"/>
    <x v="0"/>
    <x v="0"/>
    <s v="성인"/>
    <s v="성인"/>
    <s v="대리점"/>
    <x v="0"/>
    <x v="2"/>
    <x v="0"/>
    <x v="276"/>
    <s v="HP2637087000"/>
    <x v="0"/>
    <n v="2"/>
  </r>
  <r>
    <x v="0"/>
    <x v="1"/>
    <x v="2"/>
    <x v="12"/>
    <x v="46"/>
    <x v="46"/>
    <x v="8"/>
    <s v="Y"/>
    <s v="N"/>
    <x v="0"/>
    <x v="0"/>
    <x v="0"/>
    <x v="0"/>
    <s v="성인"/>
    <s v="성인"/>
    <s v="대리점"/>
    <x v="0"/>
    <x v="2"/>
    <x v="0"/>
    <x v="276"/>
    <s v="HP2637087000"/>
    <x v="1"/>
    <n v="2138400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0"/>
    <x v="276"/>
    <s v="HP2637087000"/>
    <x v="0"/>
    <n v="2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0"/>
    <x v="276"/>
    <s v="HP2637087000"/>
    <x v="1"/>
    <n v="2138400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1"/>
    <x v="542"/>
    <s v="HP2637086662"/>
    <x v="0"/>
    <n v="0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1"/>
    <x v="542"/>
    <s v="HP2637086662"/>
    <x v="1"/>
    <n v="4632000"/>
  </r>
  <r>
    <x v="0"/>
    <x v="1"/>
    <x v="2"/>
    <x v="12"/>
    <x v="46"/>
    <x v="46"/>
    <x v="9"/>
    <s v="Y"/>
    <s v="N"/>
    <x v="0"/>
    <x v="0"/>
    <x v="0"/>
    <x v="0"/>
    <s v="성인"/>
    <s v="성인"/>
    <s v="대리점"/>
    <x v="0"/>
    <x v="25"/>
    <x v="0"/>
    <x v="541"/>
    <s v="HP2637095542"/>
    <x v="0"/>
    <n v="4"/>
  </r>
  <r>
    <x v="0"/>
    <x v="1"/>
    <x v="2"/>
    <x v="12"/>
    <x v="46"/>
    <x v="46"/>
    <x v="9"/>
    <s v="Y"/>
    <s v="N"/>
    <x v="0"/>
    <x v="0"/>
    <x v="0"/>
    <x v="0"/>
    <s v="성인"/>
    <s v="성인"/>
    <s v="대리점"/>
    <x v="0"/>
    <x v="25"/>
    <x v="0"/>
    <x v="541"/>
    <s v="HP2637095542"/>
    <x v="1"/>
    <n v="711600"/>
  </r>
  <r>
    <x v="0"/>
    <x v="1"/>
    <x v="2"/>
    <x v="12"/>
    <x v="46"/>
    <x v="46"/>
    <x v="9"/>
    <s v="Y"/>
    <s v="N"/>
    <x v="0"/>
    <x v="0"/>
    <x v="0"/>
    <x v="0"/>
    <s v="청소년"/>
    <s v="청소년"/>
    <s v="대리점"/>
    <x v="0"/>
    <x v="25"/>
    <x v="0"/>
    <x v="541"/>
    <s v="HP2637095542"/>
    <x v="0"/>
    <n v="1"/>
  </r>
  <r>
    <x v="0"/>
    <x v="1"/>
    <x v="2"/>
    <x v="12"/>
    <x v="46"/>
    <x v="46"/>
    <x v="9"/>
    <s v="Y"/>
    <s v="N"/>
    <x v="0"/>
    <x v="0"/>
    <x v="0"/>
    <x v="0"/>
    <s v="청소년"/>
    <s v="청소년"/>
    <s v="대리점"/>
    <x v="0"/>
    <x v="25"/>
    <x v="0"/>
    <x v="541"/>
    <s v="HP2637095542"/>
    <x v="1"/>
    <n v="177900"/>
  </r>
  <r>
    <x v="0"/>
    <x v="1"/>
    <x v="2"/>
    <x v="12"/>
    <x v="46"/>
    <x v="46"/>
    <x v="10"/>
    <s v="N"/>
    <s v="N"/>
    <x v="0"/>
    <x v="0"/>
    <x v="0"/>
    <x v="0"/>
    <s v="성인"/>
    <s v="성인"/>
    <s v="대리점"/>
    <x v="0"/>
    <x v="17"/>
    <x v="0"/>
    <x v="543"/>
    <s v="HP2637117008"/>
    <x v="0"/>
    <n v="2"/>
  </r>
  <r>
    <x v="0"/>
    <x v="1"/>
    <x v="2"/>
    <x v="12"/>
    <x v="46"/>
    <x v="46"/>
    <x v="10"/>
    <s v="N"/>
    <s v="N"/>
    <x v="0"/>
    <x v="0"/>
    <x v="0"/>
    <x v="0"/>
    <s v="성인"/>
    <s v="성인"/>
    <s v="대리점"/>
    <x v="0"/>
    <x v="17"/>
    <x v="0"/>
    <x v="543"/>
    <s v="HP2637117008"/>
    <x v="1"/>
    <n v="2118600"/>
  </r>
  <r>
    <x v="0"/>
    <x v="1"/>
    <x v="2"/>
    <x v="12"/>
    <x v="47"/>
    <x v="47"/>
    <x v="0"/>
    <s v="N"/>
    <s v="N"/>
    <x v="0"/>
    <x v="0"/>
    <x v="0"/>
    <x v="0"/>
    <s v="성인"/>
    <s v="성인"/>
    <s v="대리점"/>
    <x v="0"/>
    <x v="17"/>
    <x v="0"/>
    <x v="543"/>
    <s v="HP2636934090"/>
    <x v="0"/>
    <n v="2"/>
  </r>
  <r>
    <x v="0"/>
    <x v="1"/>
    <x v="2"/>
    <x v="12"/>
    <x v="47"/>
    <x v="47"/>
    <x v="0"/>
    <s v="N"/>
    <s v="N"/>
    <x v="0"/>
    <x v="0"/>
    <x v="0"/>
    <x v="0"/>
    <s v="성인"/>
    <s v="성인"/>
    <s v="대리점"/>
    <x v="0"/>
    <x v="17"/>
    <x v="0"/>
    <x v="543"/>
    <s v="HP2636934090"/>
    <x v="1"/>
    <n v="2058600"/>
  </r>
  <r>
    <x v="0"/>
    <x v="1"/>
    <x v="2"/>
    <x v="12"/>
    <x v="47"/>
    <x v="47"/>
    <x v="0"/>
    <s v="N"/>
    <s v="N"/>
    <x v="1"/>
    <x v="0"/>
    <x v="0"/>
    <x v="0"/>
    <s v="성인"/>
    <s v="성인"/>
    <s v="대리점"/>
    <x v="0"/>
    <x v="25"/>
    <x v="0"/>
    <x v="544"/>
    <s v="HP2636933068"/>
    <x v="0"/>
    <n v="1"/>
  </r>
  <r>
    <x v="0"/>
    <x v="1"/>
    <x v="2"/>
    <x v="12"/>
    <x v="47"/>
    <x v="47"/>
    <x v="0"/>
    <s v="N"/>
    <s v="N"/>
    <x v="1"/>
    <x v="0"/>
    <x v="0"/>
    <x v="0"/>
    <s v="성인"/>
    <s v="성인"/>
    <s v="대리점"/>
    <x v="0"/>
    <x v="25"/>
    <x v="0"/>
    <x v="544"/>
    <s v="HP2636933068"/>
    <x v="1"/>
    <n v="5355000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5"/>
    <s v="HP2636934208"/>
    <x v="0"/>
    <n v="4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5"/>
    <s v="HP2636934208"/>
    <x v="1"/>
    <n v="4936800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6"/>
    <s v="HP2636934610"/>
    <x v="0"/>
    <n v="4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6"/>
    <s v="HP2636934610"/>
    <x v="1"/>
    <n v="6831600"/>
  </r>
  <r>
    <x v="0"/>
    <x v="1"/>
    <x v="2"/>
    <x v="12"/>
    <x v="47"/>
    <x v="47"/>
    <x v="0"/>
    <s v="N"/>
    <s v="N"/>
    <x v="8"/>
    <x v="6"/>
    <x v="0"/>
    <x v="0"/>
    <s v="성인"/>
    <s v="성인"/>
    <s v="대리점"/>
    <x v="0"/>
    <x v="32"/>
    <x v="0"/>
    <x v="547"/>
    <s v="HX2636935812"/>
    <x v="0"/>
    <n v="2"/>
  </r>
  <r>
    <x v="0"/>
    <x v="1"/>
    <x v="2"/>
    <x v="12"/>
    <x v="47"/>
    <x v="47"/>
    <x v="0"/>
    <s v="N"/>
    <s v="N"/>
    <x v="8"/>
    <x v="6"/>
    <x v="0"/>
    <x v="0"/>
    <s v="성인"/>
    <s v="성인"/>
    <s v="대리점"/>
    <x v="0"/>
    <x v="32"/>
    <x v="0"/>
    <x v="547"/>
    <s v="HX2636935812"/>
    <x v="1"/>
    <n v="222000"/>
  </r>
  <r>
    <x v="0"/>
    <x v="1"/>
    <x v="2"/>
    <x v="12"/>
    <x v="47"/>
    <x v="47"/>
    <x v="2"/>
    <s v="Y"/>
    <s v="Y"/>
    <x v="1"/>
    <x v="0"/>
    <x v="0"/>
    <x v="0"/>
    <m/>
    <m/>
    <s v="대리점"/>
    <x v="0"/>
    <x v="2"/>
    <x v="1"/>
    <x v="548"/>
    <s v="HP2636967264"/>
    <x v="0"/>
    <n v="0"/>
  </r>
  <r>
    <x v="0"/>
    <x v="1"/>
    <x v="2"/>
    <x v="12"/>
    <x v="47"/>
    <x v="47"/>
    <x v="2"/>
    <s v="Y"/>
    <s v="Y"/>
    <x v="1"/>
    <x v="0"/>
    <x v="0"/>
    <x v="0"/>
    <m/>
    <m/>
    <s v="대리점"/>
    <x v="0"/>
    <x v="2"/>
    <x v="1"/>
    <x v="548"/>
    <s v="HP2636967264"/>
    <x v="1"/>
    <n v="4716000"/>
  </r>
  <r>
    <x v="0"/>
    <x v="1"/>
    <x v="2"/>
    <x v="12"/>
    <x v="47"/>
    <x v="47"/>
    <x v="3"/>
    <s v="N"/>
    <s v="Y"/>
    <x v="1"/>
    <x v="0"/>
    <x v="0"/>
    <x v="0"/>
    <s v="성인"/>
    <s v="성인"/>
    <s v="대리점"/>
    <x v="0"/>
    <x v="2"/>
    <x v="0"/>
    <x v="549"/>
    <s v="HP2636985304"/>
    <x v="0"/>
    <n v="3"/>
  </r>
  <r>
    <x v="0"/>
    <x v="1"/>
    <x v="2"/>
    <x v="12"/>
    <x v="47"/>
    <x v="47"/>
    <x v="3"/>
    <s v="N"/>
    <s v="Y"/>
    <x v="1"/>
    <x v="0"/>
    <x v="0"/>
    <x v="0"/>
    <s v="성인"/>
    <s v="성인"/>
    <s v="대리점"/>
    <x v="0"/>
    <x v="2"/>
    <x v="0"/>
    <x v="549"/>
    <s v="HP2636985304"/>
    <x v="1"/>
    <n v="4332600"/>
  </r>
  <r>
    <x v="0"/>
    <x v="1"/>
    <x v="2"/>
    <x v="12"/>
    <x v="47"/>
    <x v="47"/>
    <x v="4"/>
    <s v="N"/>
    <s v="N"/>
    <x v="4"/>
    <x v="1"/>
    <x v="0"/>
    <x v="0"/>
    <s v="성인"/>
    <s v="성인"/>
    <s v="대리점"/>
    <x v="0"/>
    <x v="2"/>
    <x v="0"/>
    <x v="550"/>
    <s v="HB2637014738"/>
    <x v="0"/>
    <n v="2"/>
  </r>
  <r>
    <x v="0"/>
    <x v="1"/>
    <x v="2"/>
    <x v="12"/>
    <x v="47"/>
    <x v="47"/>
    <x v="4"/>
    <s v="N"/>
    <s v="N"/>
    <x v="4"/>
    <x v="1"/>
    <x v="0"/>
    <x v="0"/>
    <s v="성인"/>
    <s v="성인"/>
    <s v="대리점"/>
    <x v="0"/>
    <x v="2"/>
    <x v="0"/>
    <x v="550"/>
    <s v="HB2637014738"/>
    <x v="1"/>
    <n v="871800"/>
  </r>
  <r>
    <x v="0"/>
    <x v="1"/>
    <x v="2"/>
    <x v="12"/>
    <x v="47"/>
    <x v="47"/>
    <x v="4"/>
    <s v="N"/>
    <s v="N"/>
    <x v="0"/>
    <x v="0"/>
    <x v="0"/>
    <x v="0"/>
    <m/>
    <m/>
    <s v="대리점"/>
    <x v="0"/>
    <x v="2"/>
    <x v="1"/>
    <x v="551"/>
    <s v="HP2637013516"/>
    <x v="0"/>
    <n v="0"/>
  </r>
  <r>
    <x v="0"/>
    <x v="1"/>
    <x v="2"/>
    <x v="12"/>
    <x v="47"/>
    <x v="47"/>
    <x v="4"/>
    <s v="N"/>
    <s v="N"/>
    <x v="0"/>
    <x v="0"/>
    <x v="0"/>
    <x v="0"/>
    <m/>
    <m/>
    <s v="대리점"/>
    <x v="0"/>
    <x v="2"/>
    <x v="1"/>
    <x v="551"/>
    <s v="HP2637013516"/>
    <x v="1"/>
    <n v="4519600"/>
  </r>
  <r>
    <x v="0"/>
    <x v="1"/>
    <x v="2"/>
    <x v="12"/>
    <x v="47"/>
    <x v="47"/>
    <x v="4"/>
    <s v="N"/>
    <s v="N"/>
    <x v="1"/>
    <x v="0"/>
    <x v="0"/>
    <x v="0"/>
    <m/>
    <m/>
    <s v="대리점"/>
    <x v="0"/>
    <x v="16"/>
    <x v="0"/>
    <x v="552"/>
    <s v="HP2637000830"/>
    <x v="0"/>
    <n v="2"/>
  </r>
  <r>
    <x v="0"/>
    <x v="1"/>
    <x v="2"/>
    <x v="12"/>
    <x v="47"/>
    <x v="47"/>
    <x v="4"/>
    <s v="N"/>
    <s v="N"/>
    <x v="1"/>
    <x v="0"/>
    <x v="0"/>
    <x v="0"/>
    <m/>
    <m/>
    <s v="대리점"/>
    <x v="0"/>
    <x v="16"/>
    <x v="0"/>
    <x v="552"/>
    <s v="HP2637000830"/>
    <x v="1"/>
    <n v="4155200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3"/>
    <s v="HP2637030468"/>
    <x v="0"/>
    <n v="4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3"/>
    <s v="HP2637030468"/>
    <x v="1"/>
    <n v="3879600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4"/>
    <s v="HP2637029036"/>
    <x v="0"/>
    <n v="2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4"/>
    <s v="HP2637029036"/>
    <x v="1"/>
    <n v="173840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6"/>
    <x v="1"/>
    <x v="555"/>
    <s v="HP2637030506"/>
    <x v="0"/>
    <n v="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6"/>
    <x v="1"/>
    <x v="555"/>
    <s v="HP2637030506"/>
    <x v="1"/>
    <n v="399960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2"/>
    <x v="1"/>
    <x v="556"/>
    <s v="HP2637027798"/>
    <x v="0"/>
    <n v="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2"/>
    <x v="1"/>
    <x v="556"/>
    <s v="HP2637027798"/>
    <x v="1"/>
    <n v="998000"/>
  </r>
  <r>
    <x v="0"/>
    <x v="1"/>
    <x v="2"/>
    <x v="12"/>
    <x v="47"/>
    <x v="47"/>
    <x v="6"/>
    <s v="N"/>
    <s v="N"/>
    <x v="4"/>
    <x v="2"/>
    <x v="0"/>
    <x v="0"/>
    <s v="성인"/>
    <s v="성인"/>
    <s v="대리점"/>
    <x v="0"/>
    <x v="2"/>
    <x v="0"/>
    <x v="557"/>
    <s v="HQ2637047474"/>
    <x v="0"/>
    <n v="6"/>
  </r>
  <r>
    <x v="0"/>
    <x v="1"/>
    <x v="2"/>
    <x v="12"/>
    <x v="47"/>
    <x v="47"/>
    <x v="6"/>
    <s v="N"/>
    <s v="N"/>
    <x v="4"/>
    <x v="2"/>
    <x v="0"/>
    <x v="0"/>
    <s v="성인"/>
    <s v="성인"/>
    <s v="대리점"/>
    <x v="0"/>
    <x v="2"/>
    <x v="0"/>
    <x v="557"/>
    <s v="HQ2637047474"/>
    <x v="1"/>
    <n v="7621200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0"/>
    <x v="557"/>
    <s v="HQ2637047474"/>
    <x v="0"/>
    <n v="5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0"/>
    <x v="557"/>
    <s v="HQ2637047474"/>
    <x v="1"/>
    <n v="6513500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1"/>
    <x v="557"/>
    <s v="HQ2637047474"/>
    <x v="0"/>
    <n v="0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1"/>
    <x v="557"/>
    <s v="HQ2637047474"/>
    <x v="1"/>
    <n v="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3"/>
    <x v="1"/>
    <x v="95"/>
    <s v="HP2637070950"/>
    <x v="0"/>
    <n v="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3"/>
    <x v="1"/>
    <x v="95"/>
    <s v="HP2637070950"/>
    <x v="1"/>
    <n v="362680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"/>
    <x v="1"/>
    <x v="558"/>
    <s v="HP2637070976"/>
    <x v="0"/>
    <n v="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"/>
    <x v="1"/>
    <x v="558"/>
    <s v="HP2637070976"/>
    <x v="1"/>
    <n v="4158000"/>
  </r>
  <r>
    <x v="0"/>
    <x v="1"/>
    <x v="2"/>
    <x v="12"/>
    <x v="47"/>
    <x v="47"/>
    <x v="8"/>
    <s v="Y"/>
    <s v="N"/>
    <x v="1"/>
    <x v="0"/>
    <x v="0"/>
    <x v="0"/>
    <m/>
    <m/>
    <s v="대리점"/>
    <x v="0"/>
    <x v="15"/>
    <x v="1"/>
    <x v="559"/>
    <s v="HP2637084060"/>
    <x v="0"/>
    <n v="0"/>
  </r>
  <r>
    <x v="0"/>
    <x v="1"/>
    <x v="2"/>
    <x v="12"/>
    <x v="47"/>
    <x v="47"/>
    <x v="8"/>
    <s v="Y"/>
    <s v="N"/>
    <x v="1"/>
    <x v="0"/>
    <x v="0"/>
    <x v="0"/>
    <m/>
    <m/>
    <s v="대리점"/>
    <x v="0"/>
    <x v="15"/>
    <x v="1"/>
    <x v="559"/>
    <s v="HP2637084060"/>
    <x v="1"/>
    <n v="16786400"/>
  </r>
  <r>
    <x v="0"/>
    <x v="1"/>
    <x v="2"/>
    <x v="12"/>
    <x v="47"/>
    <x v="47"/>
    <x v="10"/>
    <s v="N"/>
    <s v="N"/>
    <x v="4"/>
    <x v="2"/>
    <x v="0"/>
    <x v="0"/>
    <s v="성인"/>
    <s v="성인"/>
    <s v="대리점"/>
    <x v="0"/>
    <x v="2"/>
    <x v="0"/>
    <x v="557"/>
    <s v="HQ2637047474"/>
    <x v="0"/>
    <n v="1"/>
  </r>
  <r>
    <x v="0"/>
    <x v="1"/>
    <x v="2"/>
    <x v="12"/>
    <x v="47"/>
    <x v="47"/>
    <x v="10"/>
    <s v="N"/>
    <s v="N"/>
    <x v="4"/>
    <x v="2"/>
    <x v="0"/>
    <x v="0"/>
    <s v="성인"/>
    <s v="성인"/>
    <s v="대리점"/>
    <x v="0"/>
    <x v="2"/>
    <x v="0"/>
    <x v="557"/>
    <s v="HQ2637047474"/>
    <x v="1"/>
    <n v="0"/>
  </r>
  <r>
    <x v="0"/>
    <x v="1"/>
    <x v="2"/>
    <x v="12"/>
    <x v="47"/>
    <x v="47"/>
    <x v="10"/>
    <s v="N"/>
    <s v="N"/>
    <x v="1"/>
    <x v="0"/>
    <x v="0"/>
    <x v="0"/>
    <m/>
    <m/>
    <s v="대리점"/>
    <x v="0"/>
    <x v="2"/>
    <x v="0"/>
    <x v="560"/>
    <s v="HP2637124050"/>
    <x v="0"/>
    <n v="2"/>
  </r>
  <r>
    <x v="0"/>
    <x v="1"/>
    <x v="2"/>
    <x v="12"/>
    <x v="47"/>
    <x v="47"/>
    <x v="10"/>
    <s v="N"/>
    <s v="N"/>
    <x v="1"/>
    <x v="0"/>
    <x v="0"/>
    <x v="0"/>
    <m/>
    <m/>
    <s v="대리점"/>
    <x v="0"/>
    <x v="2"/>
    <x v="0"/>
    <x v="560"/>
    <s v="HP2637124050"/>
    <x v="1"/>
    <n v="1840000"/>
  </r>
  <r>
    <x v="0"/>
    <x v="1"/>
    <x v="2"/>
    <x v="12"/>
    <x v="48"/>
    <x v="48"/>
    <x v="0"/>
    <s v="N"/>
    <s v="N"/>
    <x v="0"/>
    <x v="0"/>
    <x v="0"/>
    <x v="0"/>
    <s v="성인"/>
    <s v="성인"/>
    <s v="대리점"/>
    <x v="0"/>
    <x v="2"/>
    <x v="0"/>
    <x v="561"/>
    <s v="HP2636925146"/>
    <x v="0"/>
    <n v="2"/>
  </r>
  <r>
    <x v="0"/>
    <x v="1"/>
    <x v="2"/>
    <x v="12"/>
    <x v="48"/>
    <x v="48"/>
    <x v="0"/>
    <s v="N"/>
    <s v="N"/>
    <x v="0"/>
    <x v="0"/>
    <x v="0"/>
    <x v="0"/>
    <s v="성인"/>
    <s v="성인"/>
    <s v="대리점"/>
    <x v="0"/>
    <x v="2"/>
    <x v="0"/>
    <x v="561"/>
    <s v="HP2636925146"/>
    <x v="1"/>
    <n v="333600"/>
  </r>
  <r>
    <x v="0"/>
    <x v="1"/>
    <x v="2"/>
    <x v="12"/>
    <x v="48"/>
    <x v="48"/>
    <x v="0"/>
    <s v="N"/>
    <s v="N"/>
    <x v="0"/>
    <x v="0"/>
    <x v="0"/>
    <x v="1"/>
    <s v="아동"/>
    <s v="아동"/>
    <s v="대리점"/>
    <x v="0"/>
    <x v="2"/>
    <x v="0"/>
    <x v="561"/>
    <s v="HP2636925146"/>
    <x v="0"/>
    <n v="1"/>
  </r>
  <r>
    <x v="0"/>
    <x v="1"/>
    <x v="2"/>
    <x v="12"/>
    <x v="48"/>
    <x v="48"/>
    <x v="0"/>
    <s v="N"/>
    <s v="N"/>
    <x v="0"/>
    <x v="0"/>
    <x v="0"/>
    <x v="1"/>
    <s v="아동"/>
    <s v="아동"/>
    <s v="대리점"/>
    <x v="0"/>
    <x v="2"/>
    <x v="0"/>
    <x v="561"/>
    <s v="HP2636925146"/>
    <x v="1"/>
    <n v="166800"/>
  </r>
  <r>
    <x v="0"/>
    <x v="1"/>
    <x v="2"/>
    <x v="12"/>
    <x v="48"/>
    <x v="48"/>
    <x v="2"/>
    <s v="Y"/>
    <s v="Y"/>
    <x v="7"/>
    <x v="5"/>
    <x v="0"/>
    <x v="0"/>
    <s v="성인"/>
    <s v="성인"/>
    <s v="대리점"/>
    <x v="0"/>
    <x v="2"/>
    <x v="0"/>
    <x v="562"/>
    <s v="HW2636965812"/>
    <x v="0"/>
    <n v="2"/>
  </r>
  <r>
    <x v="0"/>
    <x v="1"/>
    <x v="2"/>
    <x v="12"/>
    <x v="48"/>
    <x v="48"/>
    <x v="2"/>
    <s v="Y"/>
    <s v="Y"/>
    <x v="7"/>
    <x v="5"/>
    <x v="0"/>
    <x v="0"/>
    <s v="성인"/>
    <s v="성인"/>
    <s v="대리점"/>
    <x v="0"/>
    <x v="2"/>
    <x v="0"/>
    <x v="562"/>
    <s v="HW2636965812"/>
    <x v="1"/>
    <n v="4188400"/>
  </r>
  <r>
    <x v="0"/>
    <x v="1"/>
    <x v="2"/>
    <x v="12"/>
    <x v="48"/>
    <x v="48"/>
    <x v="3"/>
    <s v="N"/>
    <s v="Y"/>
    <x v="1"/>
    <x v="0"/>
    <x v="0"/>
    <x v="0"/>
    <s v="성인"/>
    <s v="성인"/>
    <s v="대리점"/>
    <x v="0"/>
    <x v="2"/>
    <x v="0"/>
    <x v="563"/>
    <s v="HP2636987842"/>
    <x v="0"/>
    <n v="2"/>
  </r>
  <r>
    <x v="0"/>
    <x v="1"/>
    <x v="2"/>
    <x v="12"/>
    <x v="48"/>
    <x v="48"/>
    <x v="3"/>
    <s v="N"/>
    <s v="Y"/>
    <x v="1"/>
    <x v="0"/>
    <x v="0"/>
    <x v="0"/>
    <s v="성인"/>
    <s v="성인"/>
    <s v="대리점"/>
    <x v="0"/>
    <x v="2"/>
    <x v="0"/>
    <x v="563"/>
    <s v="HP2636987842"/>
    <x v="1"/>
    <n v="5993200"/>
  </r>
  <r>
    <x v="0"/>
    <x v="1"/>
    <x v="2"/>
    <x v="12"/>
    <x v="48"/>
    <x v="48"/>
    <x v="7"/>
    <s v="N"/>
    <s v="Y"/>
    <x v="4"/>
    <x v="2"/>
    <x v="0"/>
    <x v="0"/>
    <s v="성인"/>
    <s v="성인"/>
    <s v="대리점"/>
    <x v="0"/>
    <x v="14"/>
    <x v="0"/>
    <x v="564"/>
    <s v="HQ2637070668"/>
    <x v="0"/>
    <n v="10"/>
  </r>
  <r>
    <x v="0"/>
    <x v="1"/>
    <x v="2"/>
    <x v="12"/>
    <x v="48"/>
    <x v="48"/>
    <x v="7"/>
    <s v="N"/>
    <s v="Y"/>
    <x v="4"/>
    <x v="2"/>
    <x v="0"/>
    <x v="0"/>
    <s v="성인"/>
    <s v="성인"/>
    <s v="대리점"/>
    <x v="0"/>
    <x v="14"/>
    <x v="0"/>
    <x v="564"/>
    <s v="HQ2637070668"/>
    <x v="1"/>
    <n v="0"/>
  </r>
  <r>
    <x v="0"/>
    <x v="1"/>
    <x v="2"/>
    <x v="12"/>
    <x v="48"/>
    <x v="48"/>
    <x v="8"/>
    <s v="Y"/>
    <s v="N"/>
    <x v="0"/>
    <x v="0"/>
    <x v="0"/>
    <x v="0"/>
    <s v="성인"/>
    <s v="성인"/>
    <s v="대리점"/>
    <x v="0"/>
    <x v="2"/>
    <x v="0"/>
    <x v="565"/>
    <s v="HP2637087438"/>
    <x v="0"/>
    <n v="2"/>
  </r>
  <r>
    <x v="0"/>
    <x v="1"/>
    <x v="2"/>
    <x v="12"/>
    <x v="48"/>
    <x v="48"/>
    <x v="8"/>
    <s v="Y"/>
    <s v="N"/>
    <x v="0"/>
    <x v="0"/>
    <x v="0"/>
    <x v="0"/>
    <s v="성인"/>
    <s v="성인"/>
    <s v="대리점"/>
    <x v="0"/>
    <x v="2"/>
    <x v="0"/>
    <x v="565"/>
    <s v="HP2637087438"/>
    <x v="1"/>
    <n v="1216000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2"/>
    <x v="0"/>
    <x v="23"/>
    <s v="HP2636926658"/>
    <x v="0"/>
    <n v="2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2"/>
    <x v="0"/>
    <x v="23"/>
    <s v="HP2636926658"/>
    <x v="1"/>
    <n v="7910000"/>
  </r>
  <r>
    <x v="0"/>
    <x v="1"/>
    <x v="2"/>
    <x v="13"/>
    <x v="49"/>
    <x v="49"/>
    <x v="1"/>
    <s v="N"/>
    <s v="N"/>
    <x v="1"/>
    <x v="0"/>
    <x v="0"/>
    <x v="0"/>
    <s v="성인"/>
    <s v="성인"/>
    <s v="대리점"/>
    <x v="0"/>
    <x v="22"/>
    <x v="0"/>
    <x v="566"/>
    <s v="HP2636947540"/>
    <x v="0"/>
    <n v="3"/>
  </r>
  <r>
    <x v="0"/>
    <x v="1"/>
    <x v="2"/>
    <x v="13"/>
    <x v="49"/>
    <x v="49"/>
    <x v="1"/>
    <s v="N"/>
    <s v="N"/>
    <x v="1"/>
    <x v="0"/>
    <x v="0"/>
    <x v="0"/>
    <s v="성인"/>
    <s v="성인"/>
    <s v="대리점"/>
    <x v="0"/>
    <x v="22"/>
    <x v="0"/>
    <x v="566"/>
    <s v="HP2636947540"/>
    <x v="1"/>
    <n v="4284000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567"/>
    <s v="HP2636983464"/>
    <x v="0"/>
    <n v="2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567"/>
    <s v="HP2636983464"/>
    <x v="1"/>
    <n v="2364800"/>
  </r>
  <r>
    <x v="0"/>
    <x v="1"/>
    <x v="2"/>
    <x v="13"/>
    <x v="49"/>
    <x v="49"/>
    <x v="3"/>
    <s v="N"/>
    <s v="Y"/>
    <x v="1"/>
    <x v="0"/>
    <x v="0"/>
    <x v="0"/>
    <m/>
    <m/>
    <s v="대리점"/>
    <x v="0"/>
    <x v="23"/>
    <x v="0"/>
    <x v="568"/>
    <s v="HP2636985852"/>
    <x v="0"/>
    <n v="2"/>
  </r>
  <r>
    <x v="0"/>
    <x v="1"/>
    <x v="2"/>
    <x v="13"/>
    <x v="49"/>
    <x v="49"/>
    <x v="3"/>
    <s v="N"/>
    <s v="Y"/>
    <x v="1"/>
    <x v="0"/>
    <x v="0"/>
    <x v="0"/>
    <m/>
    <m/>
    <s v="대리점"/>
    <x v="0"/>
    <x v="23"/>
    <x v="0"/>
    <x v="568"/>
    <s v="HP2636985852"/>
    <x v="1"/>
    <n v="29868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6"/>
    <x v="0"/>
    <x v="569"/>
    <s v="HP2637024172"/>
    <x v="0"/>
    <n v="4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6"/>
    <x v="0"/>
    <x v="569"/>
    <s v="HP2637024172"/>
    <x v="1"/>
    <n v="42396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0"/>
    <x v="569"/>
    <s v="HP2637024172"/>
    <x v="0"/>
    <n v="1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0"/>
    <x v="569"/>
    <s v="HP2637024172"/>
    <x v="1"/>
    <n v="1059900"/>
  </r>
  <r>
    <x v="0"/>
    <x v="1"/>
    <x v="2"/>
    <x v="13"/>
    <x v="49"/>
    <x v="49"/>
    <x v="5"/>
    <s v="N"/>
    <s v="N"/>
    <x v="1"/>
    <x v="0"/>
    <x v="0"/>
    <x v="0"/>
    <s v="성인"/>
    <s v="성인"/>
    <s v="대리점"/>
    <x v="0"/>
    <x v="16"/>
    <x v="0"/>
    <x v="518"/>
    <s v="HP2637030692"/>
    <x v="0"/>
    <n v="2"/>
  </r>
  <r>
    <x v="0"/>
    <x v="1"/>
    <x v="2"/>
    <x v="13"/>
    <x v="49"/>
    <x v="49"/>
    <x v="5"/>
    <s v="N"/>
    <s v="N"/>
    <x v="1"/>
    <x v="0"/>
    <x v="0"/>
    <x v="0"/>
    <s v="성인"/>
    <s v="성인"/>
    <s v="대리점"/>
    <x v="0"/>
    <x v="16"/>
    <x v="0"/>
    <x v="518"/>
    <s v="HP2637030692"/>
    <x v="1"/>
    <n v="2058400"/>
  </r>
  <r>
    <x v="0"/>
    <x v="1"/>
    <x v="2"/>
    <x v="13"/>
    <x v="49"/>
    <x v="49"/>
    <x v="8"/>
    <s v="Y"/>
    <s v="N"/>
    <x v="0"/>
    <x v="0"/>
    <x v="0"/>
    <x v="0"/>
    <s v="성인"/>
    <s v="성인"/>
    <s v="대리점"/>
    <x v="0"/>
    <x v="2"/>
    <x v="0"/>
    <x v="570"/>
    <s v="HP2637084852"/>
    <x v="0"/>
    <n v="2"/>
  </r>
  <r>
    <x v="0"/>
    <x v="1"/>
    <x v="2"/>
    <x v="13"/>
    <x v="49"/>
    <x v="49"/>
    <x v="8"/>
    <s v="Y"/>
    <s v="N"/>
    <x v="0"/>
    <x v="0"/>
    <x v="0"/>
    <x v="0"/>
    <s v="성인"/>
    <s v="성인"/>
    <s v="대리점"/>
    <x v="0"/>
    <x v="2"/>
    <x v="0"/>
    <x v="570"/>
    <s v="HP2637084852"/>
    <x v="1"/>
    <n v="1340200"/>
  </r>
  <r>
    <x v="0"/>
    <x v="1"/>
    <x v="2"/>
    <x v="13"/>
    <x v="49"/>
    <x v="49"/>
    <x v="10"/>
    <s v="N"/>
    <s v="N"/>
    <x v="3"/>
    <x v="0"/>
    <x v="0"/>
    <x v="0"/>
    <s v="성인"/>
    <s v="성인"/>
    <s v="대리점"/>
    <x v="0"/>
    <x v="9"/>
    <x v="0"/>
    <x v="571"/>
    <s v="HP2637112158"/>
    <x v="0"/>
    <n v="2"/>
  </r>
  <r>
    <x v="0"/>
    <x v="1"/>
    <x v="2"/>
    <x v="13"/>
    <x v="49"/>
    <x v="49"/>
    <x v="10"/>
    <s v="N"/>
    <s v="N"/>
    <x v="3"/>
    <x v="0"/>
    <x v="0"/>
    <x v="0"/>
    <s v="성인"/>
    <s v="성인"/>
    <s v="대리점"/>
    <x v="0"/>
    <x v="9"/>
    <x v="0"/>
    <x v="571"/>
    <s v="HP2637112158"/>
    <x v="1"/>
    <n v="152000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158"/>
    <x v="0"/>
    <n v="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158"/>
    <x v="1"/>
    <n v="76000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384"/>
    <x v="0"/>
    <n v="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384"/>
    <x v="1"/>
    <n v="1520000"/>
  </r>
  <r>
    <x v="0"/>
    <x v="1"/>
    <x v="2"/>
    <x v="13"/>
    <x v="49"/>
    <x v="49"/>
    <x v="10"/>
    <s v="N"/>
    <s v="N"/>
    <x v="0"/>
    <x v="0"/>
    <x v="0"/>
    <x v="0"/>
    <m/>
    <m/>
    <s v="대리점"/>
    <x v="0"/>
    <x v="2"/>
    <x v="1"/>
    <x v="572"/>
    <s v="HP2637112116"/>
    <x v="0"/>
    <n v="0"/>
  </r>
  <r>
    <x v="0"/>
    <x v="1"/>
    <x v="2"/>
    <x v="13"/>
    <x v="49"/>
    <x v="49"/>
    <x v="10"/>
    <s v="N"/>
    <s v="N"/>
    <x v="0"/>
    <x v="0"/>
    <x v="0"/>
    <x v="0"/>
    <m/>
    <m/>
    <s v="대리점"/>
    <x v="0"/>
    <x v="2"/>
    <x v="1"/>
    <x v="572"/>
    <s v="HP2637112116"/>
    <x v="1"/>
    <n v="2140200"/>
  </r>
  <r>
    <x v="0"/>
    <x v="1"/>
    <x v="2"/>
    <x v="13"/>
    <x v="50"/>
    <x v="50"/>
    <x v="0"/>
    <s v="N"/>
    <s v="N"/>
    <x v="1"/>
    <x v="0"/>
    <x v="0"/>
    <x v="0"/>
    <s v="성인"/>
    <s v="성인"/>
    <s v="대리점"/>
    <x v="0"/>
    <x v="23"/>
    <x v="0"/>
    <x v="573"/>
    <s v="HP2636928418"/>
    <x v="0"/>
    <n v="2"/>
  </r>
  <r>
    <x v="0"/>
    <x v="1"/>
    <x v="2"/>
    <x v="13"/>
    <x v="50"/>
    <x v="50"/>
    <x v="0"/>
    <s v="N"/>
    <s v="N"/>
    <x v="1"/>
    <x v="0"/>
    <x v="0"/>
    <x v="0"/>
    <s v="성인"/>
    <s v="성인"/>
    <s v="대리점"/>
    <x v="0"/>
    <x v="23"/>
    <x v="0"/>
    <x v="573"/>
    <s v="HP2636928418"/>
    <x v="1"/>
    <n v="2298000"/>
  </r>
  <r>
    <x v="0"/>
    <x v="1"/>
    <x v="2"/>
    <x v="13"/>
    <x v="50"/>
    <x v="50"/>
    <x v="1"/>
    <s v="N"/>
    <s v="N"/>
    <x v="3"/>
    <x v="0"/>
    <x v="0"/>
    <x v="0"/>
    <m/>
    <m/>
    <s v="대리점"/>
    <x v="0"/>
    <x v="9"/>
    <x v="1"/>
    <x v="574"/>
    <s v="HP2636945364"/>
    <x v="0"/>
    <n v="0"/>
  </r>
  <r>
    <x v="0"/>
    <x v="1"/>
    <x v="2"/>
    <x v="13"/>
    <x v="50"/>
    <x v="50"/>
    <x v="1"/>
    <s v="N"/>
    <s v="N"/>
    <x v="3"/>
    <x v="0"/>
    <x v="0"/>
    <x v="0"/>
    <m/>
    <m/>
    <s v="대리점"/>
    <x v="0"/>
    <x v="9"/>
    <x v="1"/>
    <x v="574"/>
    <s v="HP2636945364"/>
    <x v="1"/>
    <n v="3320000"/>
  </r>
  <r>
    <x v="0"/>
    <x v="1"/>
    <x v="2"/>
    <x v="13"/>
    <x v="50"/>
    <x v="50"/>
    <x v="1"/>
    <s v="N"/>
    <s v="N"/>
    <x v="1"/>
    <x v="0"/>
    <x v="0"/>
    <x v="0"/>
    <s v="성인"/>
    <s v="성인"/>
    <s v="대리점"/>
    <x v="0"/>
    <x v="3"/>
    <x v="0"/>
    <x v="575"/>
    <s v="HP2636945202"/>
    <x v="0"/>
    <n v="11"/>
  </r>
  <r>
    <x v="0"/>
    <x v="1"/>
    <x v="2"/>
    <x v="13"/>
    <x v="50"/>
    <x v="50"/>
    <x v="1"/>
    <s v="N"/>
    <s v="N"/>
    <x v="1"/>
    <x v="0"/>
    <x v="0"/>
    <x v="0"/>
    <s v="성인"/>
    <s v="성인"/>
    <s v="대리점"/>
    <x v="0"/>
    <x v="3"/>
    <x v="0"/>
    <x v="575"/>
    <s v="HP2636945202"/>
    <x v="1"/>
    <n v="14422100"/>
  </r>
  <r>
    <x v="0"/>
    <x v="1"/>
    <x v="2"/>
    <x v="13"/>
    <x v="50"/>
    <x v="50"/>
    <x v="1"/>
    <s v="N"/>
    <s v="N"/>
    <x v="2"/>
    <x v="0"/>
    <x v="0"/>
    <x v="0"/>
    <s v="성인"/>
    <s v="성인"/>
    <s v="대리점"/>
    <x v="0"/>
    <x v="4"/>
    <x v="0"/>
    <x v="576"/>
    <s v="HP2636945760"/>
    <x v="0"/>
    <n v="2"/>
  </r>
  <r>
    <x v="0"/>
    <x v="1"/>
    <x v="2"/>
    <x v="13"/>
    <x v="50"/>
    <x v="50"/>
    <x v="1"/>
    <s v="N"/>
    <s v="N"/>
    <x v="2"/>
    <x v="0"/>
    <x v="0"/>
    <x v="0"/>
    <s v="성인"/>
    <s v="성인"/>
    <s v="대리점"/>
    <x v="0"/>
    <x v="4"/>
    <x v="0"/>
    <x v="576"/>
    <s v="HP2636945760"/>
    <x v="1"/>
    <n v="14998000"/>
  </r>
  <r>
    <x v="0"/>
    <x v="1"/>
    <x v="2"/>
    <x v="13"/>
    <x v="50"/>
    <x v="50"/>
    <x v="2"/>
    <s v="Y"/>
    <s v="Y"/>
    <x v="0"/>
    <x v="0"/>
    <x v="0"/>
    <x v="0"/>
    <s v="성인"/>
    <s v="성인"/>
    <s v="대리점"/>
    <x v="0"/>
    <x v="13"/>
    <x v="0"/>
    <x v="577"/>
    <s v="HP2636967220"/>
    <x v="0"/>
    <n v="2"/>
  </r>
  <r>
    <x v="0"/>
    <x v="1"/>
    <x v="2"/>
    <x v="13"/>
    <x v="50"/>
    <x v="50"/>
    <x v="2"/>
    <s v="Y"/>
    <s v="Y"/>
    <x v="0"/>
    <x v="0"/>
    <x v="0"/>
    <x v="0"/>
    <s v="성인"/>
    <s v="성인"/>
    <s v="대리점"/>
    <x v="0"/>
    <x v="13"/>
    <x v="0"/>
    <x v="577"/>
    <s v="HP2636967220"/>
    <x v="1"/>
    <n v="4193200"/>
  </r>
  <r>
    <x v="0"/>
    <x v="1"/>
    <x v="2"/>
    <x v="13"/>
    <x v="50"/>
    <x v="50"/>
    <x v="2"/>
    <s v="Y"/>
    <s v="Y"/>
    <x v="0"/>
    <x v="0"/>
    <x v="0"/>
    <x v="0"/>
    <s v="청소년"/>
    <s v="청소년"/>
    <s v="대리점"/>
    <x v="0"/>
    <x v="13"/>
    <x v="0"/>
    <x v="577"/>
    <s v="HP2636967220"/>
    <x v="0"/>
    <n v="1"/>
  </r>
  <r>
    <x v="0"/>
    <x v="1"/>
    <x v="2"/>
    <x v="13"/>
    <x v="50"/>
    <x v="50"/>
    <x v="2"/>
    <s v="Y"/>
    <s v="Y"/>
    <x v="0"/>
    <x v="0"/>
    <x v="0"/>
    <x v="0"/>
    <s v="청소년"/>
    <s v="청소년"/>
    <s v="대리점"/>
    <x v="0"/>
    <x v="13"/>
    <x v="0"/>
    <x v="577"/>
    <s v="HP2636967220"/>
    <x v="1"/>
    <n v="2096600"/>
  </r>
  <r>
    <x v="0"/>
    <x v="1"/>
    <x v="2"/>
    <x v="13"/>
    <x v="50"/>
    <x v="50"/>
    <x v="2"/>
    <s v="Y"/>
    <s v="Y"/>
    <x v="0"/>
    <x v="0"/>
    <x v="0"/>
    <x v="1"/>
    <s v="아동"/>
    <s v="아동"/>
    <s v="대리점"/>
    <x v="0"/>
    <x v="13"/>
    <x v="0"/>
    <x v="577"/>
    <s v="HP2636967220"/>
    <x v="0"/>
    <n v="1"/>
  </r>
  <r>
    <x v="0"/>
    <x v="1"/>
    <x v="2"/>
    <x v="13"/>
    <x v="50"/>
    <x v="50"/>
    <x v="2"/>
    <s v="Y"/>
    <s v="Y"/>
    <x v="0"/>
    <x v="0"/>
    <x v="0"/>
    <x v="1"/>
    <s v="아동"/>
    <s v="아동"/>
    <s v="대리점"/>
    <x v="0"/>
    <x v="13"/>
    <x v="0"/>
    <x v="577"/>
    <s v="HP2636967220"/>
    <x v="1"/>
    <n v="1991770"/>
  </r>
  <r>
    <x v="0"/>
    <x v="1"/>
    <x v="2"/>
    <x v="13"/>
    <x v="50"/>
    <x v="50"/>
    <x v="2"/>
    <s v="Y"/>
    <s v="Y"/>
    <x v="1"/>
    <x v="0"/>
    <x v="0"/>
    <x v="0"/>
    <s v="성인"/>
    <s v="성인"/>
    <s v="대리점"/>
    <x v="0"/>
    <x v="7"/>
    <x v="0"/>
    <x v="578"/>
    <s v="HP2636572388"/>
    <x v="0"/>
    <n v="1"/>
  </r>
  <r>
    <x v="0"/>
    <x v="1"/>
    <x v="2"/>
    <x v="13"/>
    <x v="50"/>
    <x v="50"/>
    <x v="2"/>
    <s v="Y"/>
    <s v="Y"/>
    <x v="1"/>
    <x v="0"/>
    <x v="0"/>
    <x v="0"/>
    <s v="성인"/>
    <s v="성인"/>
    <s v="대리점"/>
    <x v="0"/>
    <x v="7"/>
    <x v="0"/>
    <x v="578"/>
    <s v="HP2636572388"/>
    <x v="1"/>
    <n v="489880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579"/>
    <s v="HP2636985600"/>
    <x v="0"/>
    <n v="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579"/>
    <s v="HP2636985600"/>
    <x v="1"/>
    <n v="12393200"/>
  </r>
  <r>
    <x v="0"/>
    <x v="1"/>
    <x v="2"/>
    <x v="13"/>
    <x v="50"/>
    <x v="50"/>
    <x v="4"/>
    <s v="N"/>
    <s v="N"/>
    <x v="1"/>
    <x v="0"/>
    <x v="0"/>
    <x v="0"/>
    <m/>
    <m/>
    <s v="대리점"/>
    <x v="0"/>
    <x v="2"/>
    <x v="0"/>
    <x v="580"/>
    <s v="HP2637012574"/>
    <x v="0"/>
    <n v="2"/>
  </r>
  <r>
    <x v="0"/>
    <x v="1"/>
    <x v="2"/>
    <x v="13"/>
    <x v="50"/>
    <x v="50"/>
    <x v="4"/>
    <s v="N"/>
    <s v="N"/>
    <x v="1"/>
    <x v="0"/>
    <x v="0"/>
    <x v="0"/>
    <m/>
    <m/>
    <s v="대리점"/>
    <x v="0"/>
    <x v="2"/>
    <x v="0"/>
    <x v="580"/>
    <s v="HP2637012574"/>
    <x v="1"/>
    <n v="10910000"/>
  </r>
  <r>
    <x v="0"/>
    <x v="1"/>
    <x v="2"/>
    <x v="13"/>
    <x v="50"/>
    <x v="50"/>
    <x v="4"/>
    <s v="N"/>
    <s v="N"/>
    <x v="2"/>
    <x v="0"/>
    <x v="0"/>
    <x v="0"/>
    <m/>
    <m/>
    <s v="대리점"/>
    <x v="0"/>
    <x v="4"/>
    <x v="0"/>
    <x v="581"/>
    <s v="HP2637014436"/>
    <x v="0"/>
    <n v="2"/>
  </r>
  <r>
    <x v="0"/>
    <x v="1"/>
    <x v="2"/>
    <x v="13"/>
    <x v="50"/>
    <x v="50"/>
    <x v="4"/>
    <s v="N"/>
    <s v="N"/>
    <x v="2"/>
    <x v="0"/>
    <x v="0"/>
    <x v="0"/>
    <m/>
    <m/>
    <s v="대리점"/>
    <x v="0"/>
    <x v="4"/>
    <x v="0"/>
    <x v="581"/>
    <s v="HP2637014436"/>
    <x v="1"/>
    <n v="15198000"/>
  </r>
  <r>
    <x v="0"/>
    <x v="1"/>
    <x v="2"/>
    <x v="13"/>
    <x v="50"/>
    <x v="50"/>
    <x v="5"/>
    <s v="N"/>
    <s v="N"/>
    <x v="1"/>
    <x v="0"/>
    <x v="0"/>
    <x v="0"/>
    <s v="성인"/>
    <s v="성인"/>
    <s v="대리점"/>
    <x v="0"/>
    <x v="0"/>
    <x v="0"/>
    <x v="582"/>
    <s v="HP2637026994"/>
    <x v="0"/>
    <n v="4"/>
  </r>
  <r>
    <x v="0"/>
    <x v="1"/>
    <x v="2"/>
    <x v="13"/>
    <x v="50"/>
    <x v="50"/>
    <x v="5"/>
    <s v="N"/>
    <s v="N"/>
    <x v="1"/>
    <x v="0"/>
    <x v="0"/>
    <x v="0"/>
    <s v="성인"/>
    <s v="성인"/>
    <s v="대리점"/>
    <x v="0"/>
    <x v="0"/>
    <x v="0"/>
    <x v="582"/>
    <s v="HP2637026994"/>
    <x v="1"/>
    <n v="5269600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0"/>
    <x v="583"/>
    <s v="HP2637027768"/>
    <x v="0"/>
    <n v="4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0"/>
    <x v="583"/>
    <s v="HP2637027768"/>
    <x v="1"/>
    <n v="5069600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1"/>
    <x v="584"/>
    <s v="HP2637027024"/>
    <x v="0"/>
    <n v="0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1"/>
    <x v="584"/>
    <s v="HP2637027024"/>
    <x v="1"/>
    <n v="4869600"/>
  </r>
  <r>
    <x v="0"/>
    <x v="1"/>
    <x v="2"/>
    <x v="13"/>
    <x v="50"/>
    <x v="50"/>
    <x v="6"/>
    <s v="N"/>
    <s v="N"/>
    <x v="4"/>
    <x v="0"/>
    <x v="0"/>
    <x v="0"/>
    <m/>
    <m/>
    <s v="대리점"/>
    <x v="0"/>
    <x v="11"/>
    <x v="1"/>
    <x v="585"/>
    <s v="HP2637062058"/>
    <x v="0"/>
    <n v="0"/>
  </r>
  <r>
    <x v="0"/>
    <x v="1"/>
    <x v="2"/>
    <x v="13"/>
    <x v="50"/>
    <x v="50"/>
    <x v="6"/>
    <s v="N"/>
    <s v="N"/>
    <x v="4"/>
    <x v="0"/>
    <x v="0"/>
    <x v="0"/>
    <m/>
    <m/>
    <s v="대리점"/>
    <x v="0"/>
    <x v="11"/>
    <x v="1"/>
    <x v="585"/>
    <s v="HP2637062058"/>
    <x v="1"/>
    <n v="1074000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6"/>
    <s v="HP2636499820"/>
    <x v="0"/>
    <n v="1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6"/>
    <s v="HP2636499820"/>
    <x v="1"/>
    <n v="1099000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7"/>
    <s v="HP2637055664"/>
    <x v="0"/>
    <n v="2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7"/>
    <s v="HP2637055664"/>
    <x v="1"/>
    <n v="2340400"/>
  </r>
  <r>
    <x v="0"/>
    <x v="1"/>
    <x v="2"/>
    <x v="13"/>
    <x v="50"/>
    <x v="50"/>
    <x v="6"/>
    <s v="N"/>
    <s v="N"/>
    <x v="1"/>
    <x v="0"/>
    <x v="0"/>
    <x v="0"/>
    <s v="아동"/>
    <s v="아동"/>
    <s v="대리점"/>
    <x v="0"/>
    <x v="0"/>
    <x v="0"/>
    <x v="587"/>
    <s v="HP2637055664"/>
    <x v="0"/>
    <n v="1"/>
  </r>
  <r>
    <x v="0"/>
    <x v="1"/>
    <x v="2"/>
    <x v="13"/>
    <x v="50"/>
    <x v="50"/>
    <x v="6"/>
    <s v="N"/>
    <s v="N"/>
    <x v="1"/>
    <x v="0"/>
    <x v="0"/>
    <x v="0"/>
    <s v="아동"/>
    <s v="아동"/>
    <s v="대리점"/>
    <x v="0"/>
    <x v="0"/>
    <x v="0"/>
    <x v="587"/>
    <s v="HP2637055664"/>
    <x v="1"/>
    <n v="1170200"/>
  </r>
  <r>
    <x v="0"/>
    <x v="1"/>
    <x v="2"/>
    <x v="13"/>
    <x v="50"/>
    <x v="50"/>
    <x v="6"/>
    <s v="N"/>
    <s v="N"/>
    <x v="1"/>
    <x v="0"/>
    <x v="0"/>
    <x v="0"/>
    <m/>
    <m/>
    <s v="대리점"/>
    <x v="0"/>
    <x v="23"/>
    <x v="0"/>
    <x v="588"/>
    <s v="HP2637062110"/>
    <x v="0"/>
    <n v="2"/>
  </r>
  <r>
    <x v="0"/>
    <x v="1"/>
    <x v="2"/>
    <x v="13"/>
    <x v="50"/>
    <x v="50"/>
    <x v="6"/>
    <s v="N"/>
    <s v="N"/>
    <x v="1"/>
    <x v="0"/>
    <x v="0"/>
    <x v="0"/>
    <m/>
    <m/>
    <s v="대리점"/>
    <x v="0"/>
    <x v="23"/>
    <x v="0"/>
    <x v="588"/>
    <s v="HP2637062110"/>
    <x v="1"/>
    <n v="2138000"/>
  </r>
  <r>
    <x v="0"/>
    <x v="1"/>
    <x v="2"/>
    <x v="13"/>
    <x v="50"/>
    <x v="50"/>
    <x v="8"/>
    <s v="Y"/>
    <s v="N"/>
    <x v="2"/>
    <x v="0"/>
    <x v="0"/>
    <x v="0"/>
    <s v="성인"/>
    <s v="성인"/>
    <s v="대리점"/>
    <x v="0"/>
    <x v="23"/>
    <x v="0"/>
    <x v="589"/>
    <s v="HP2637088020"/>
    <x v="0"/>
    <n v="2"/>
  </r>
  <r>
    <x v="0"/>
    <x v="1"/>
    <x v="2"/>
    <x v="13"/>
    <x v="50"/>
    <x v="50"/>
    <x v="8"/>
    <s v="Y"/>
    <s v="N"/>
    <x v="2"/>
    <x v="0"/>
    <x v="0"/>
    <x v="0"/>
    <s v="성인"/>
    <s v="성인"/>
    <s v="대리점"/>
    <x v="0"/>
    <x v="23"/>
    <x v="0"/>
    <x v="589"/>
    <s v="HP2637088020"/>
    <x v="1"/>
    <n v="2944000"/>
  </r>
  <r>
    <x v="0"/>
    <x v="1"/>
    <x v="2"/>
    <x v="13"/>
    <x v="50"/>
    <x v="50"/>
    <x v="8"/>
    <s v="Y"/>
    <s v="N"/>
    <x v="2"/>
    <x v="0"/>
    <x v="0"/>
    <x v="0"/>
    <s v="아동"/>
    <s v="아동"/>
    <s v="대리점"/>
    <x v="0"/>
    <x v="23"/>
    <x v="0"/>
    <x v="589"/>
    <s v="HP2637088020"/>
    <x v="0"/>
    <n v="1"/>
  </r>
  <r>
    <x v="0"/>
    <x v="1"/>
    <x v="2"/>
    <x v="13"/>
    <x v="50"/>
    <x v="50"/>
    <x v="8"/>
    <s v="Y"/>
    <s v="N"/>
    <x v="2"/>
    <x v="0"/>
    <x v="0"/>
    <x v="0"/>
    <s v="아동"/>
    <s v="아동"/>
    <s v="대리점"/>
    <x v="0"/>
    <x v="23"/>
    <x v="0"/>
    <x v="589"/>
    <s v="HP2637088020"/>
    <x v="1"/>
    <n v="1472000"/>
  </r>
  <r>
    <x v="0"/>
    <x v="1"/>
    <x v="2"/>
    <x v="13"/>
    <x v="50"/>
    <x v="50"/>
    <x v="8"/>
    <s v="Y"/>
    <s v="N"/>
    <x v="2"/>
    <x v="0"/>
    <x v="0"/>
    <x v="1"/>
    <s v="아동"/>
    <s v="아동"/>
    <s v="대리점"/>
    <x v="0"/>
    <x v="23"/>
    <x v="0"/>
    <x v="589"/>
    <s v="HP2637088020"/>
    <x v="0"/>
    <n v="2"/>
  </r>
  <r>
    <x v="0"/>
    <x v="1"/>
    <x v="2"/>
    <x v="13"/>
    <x v="50"/>
    <x v="50"/>
    <x v="8"/>
    <s v="Y"/>
    <s v="N"/>
    <x v="2"/>
    <x v="0"/>
    <x v="0"/>
    <x v="1"/>
    <s v="아동"/>
    <s v="아동"/>
    <s v="대리점"/>
    <x v="0"/>
    <x v="23"/>
    <x v="0"/>
    <x v="589"/>
    <s v="HP2637088020"/>
    <x v="1"/>
    <n v="2534000"/>
  </r>
  <r>
    <x v="0"/>
    <x v="1"/>
    <x v="2"/>
    <x v="13"/>
    <x v="50"/>
    <x v="50"/>
    <x v="10"/>
    <s v="N"/>
    <s v="N"/>
    <x v="1"/>
    <x v="0"/>
    <x v="0"/>
    <x v="0"/>
    <s v="성인"/>
    <s v="성인"/>
    <s v="대리점"/>
    <x v="0"/>
    <x v="4"/>
    <x v="0"/>
    <x v="216"/>
    <s v="HP2637109372"/>
    <x v="0"/>
    <n v="2"/>
  </r>
  <r>
    <x v="0"/>
    <x v="1"/>
    <x v="2"/>
    <x v="13"/>
    <x v="50"/>
    <x v="50"/>
    <x v="10"/>
    <s v="N"/>
    <s v="N"/>
    <x v="1"/>
    <x v="0"/>
    <x v="0"/>
    <x v="0"/>
    <s v="성인"/>
    <s v="성인"/>
    <s v="대리점"/>
    <x v="0"/>
    <x v="4"/>
    <x v="0"/>
    <x v="216"/>
    <s v="HP2637109372"/>
    <x v="1"/>
    <n v="2299800"/>
  </r>
  <r>
    <x v="0"/>
    <x v="1"/>
    <x v="2"/>
    <x v="13"/>
    <x v="51"/>
    <x v="51"/>
    <x v="2"/>
    <s v="Y"/>
    <s v="Y"/>
    <x v="0"/>
    <x v="0"/>
    <x v="0"/>
    <x v="0"/>
    <s v="성인"/>
    <s v="성인"/>
    <s v="대리점"/>
    <x v="0"/>
    <x v="2"/>
    <x v="0"/>
    <x v="590"/>
    <s v="HP2636963344"/>
    <x v="0"/>
    <n v="2"/>
  </r>
  <r>
    <x v="0"/>
    <x v="1"/>
    <x v="2"/>
    <x v="13"/>
    <x v="51"/>
    <x v="51"/>
    <x v="2"/>
    <s v="Y"/>
    <s v="Y"/>
    <x v="0"/>
    <x v="0"/>
    <x v="0"/>
    <x v="0"/>
    <s v="성인"/>
    <s v="성인"/>
    <s v="대리점"/>
    <x v="0"/>
    <x v="2"/>
    <x v="0"/>
    <x v="590"/>
    <s v="HP2636963344"/>
    <x v="1"/>
    <n v="334000"/>
  </r>
  <r>
    <x v="0"/>
    <x v="1"/>
    <x v="2"/>
    <x v="13"/>
    <x v="51"/>
    <x v="51"/>
    <x v="2"/>
    <s v="Y"/>
    <s v="Y"/>
    <x v="1"/>
    <x v="0"/>
    <x v="0"/>
    <x v="0"/>
    <s v="성인"/>
    <s v="성인"/>
    <s v="대리점"/>
    <x v="0"/>
    <x v="15"/>
    <x v="0"/>
    <x v="591"/>
    <s v="HP2636963888"/>
    <x v="0"/>
    <n v="3"/>
  </r>
  <r>
    <x v="0"/>
    <x v="1"/>
    <x v="2"/>
    <x v="13"/>
    <x v="51"/>
    <x v="51"/>
    <x v="2"/>
    <s v="Y"/>
    <s v="Y"/>
    <x v="1"/>
    <x v="0"/>
    <x v="0"/>
    <x v="0"/>
    <s v="성인"/>
    <s v="성인"/>
    <s v="대리점"/>
    <x v="0"/>
    <x v="15"/>
    <x v="0"/>
    <x v="591"/>
    <s v="HP2636963888"/>
    <x v="1"/>
    <n v="12165000"/>
  </r>
  <r>
    <x v="0"/>
    <x v="1"/>
    <x v="2"/>
    <x v="13"/>
    <x v="51"/>
    <x v="51"/>
    <x v="3"/>
    <s v="N"/>
    <s v="Y"/>
    <x v="0"/>
    <x v="0"/>
    <x v="0"/>
    <x v="0"/>
    <s v="성인"/>
    <s v="성인"/>
    <s v="대리점"/>
    <x v="0"/>
    <x v="2"/>
    <x v="0"/>
    <x v="592"/>
    <s v="HP2636416806"/>
    <x v="0"/>
    <n v="1"/>
  </r>
  <r>
    <x v="0"/>
    <x v="1"/>
    <x v="2"/>
    <x v="13"/>
    <x v="51"/>
    <x v="51"/>
    <x v="3"/>
    <s v="N"/>
    <s v="Y"/>
    <x v="0"/>
    <x v="0"/>
    <x v="0"/>
    <x v="0"/>
    <s v="성인"/>
    <s v="성인"/>
    <s v="대리점"/>
    <x v="0"/>
    <x v="2"/>
    <x v="0"/>
    <x v="592"/>
    <s v="HP2636416806"/>
    <x v="1"/>
    <n v="917400"/>
  </r>
  <r>
    <x v="0"/>
    <x v="1"/>
    <x v="2"/>
    <x v="13"/>
    <x v="51"/>
    <x v="51"/>
    <x v="3"/>
    <s v="N"/>
    <s v="Y"/>
    <x v="1"/>
    <x v="0"/>
    <x v="0"/>
    <x v="0"/>
    <s v="성인"/>
    <s v="성인"/>
    <s v="대리점"/>
    <x v="0"/>
    <x v="15"/>
    <x v="0"/>
    <x v="593"/>
    <s v="HP2636985220"/>
    <x v="0"/>
    <n v="2"/>
  </r>
  <r>
    <x v="0"/>
    <x v="1"/>
    <x v="2"/>
    <x v="13"/>
    <x v="51"/>
    <x v="51"/>
    <x v="3"/>
    <s v="N"/>
    <s v="Y"/>
    <x v="1"/>
    <x v="0"/>
    <x v="0"/>
    <x v="0"/>
    <s v="성인"/>
    <s v="성인"/>
    <s v="대리점"/>
    <x v="0"/>
    <x v="15"/>
    <x v="0"/>
    <x v="593"/>
    <s v="HP2636985220"/>
    <x v="1"/>
    <n v="4998000"/>
  </r>
  <r>
    <x v="0"/>
    <x v="1"/>
    <x v="2"/>
    <x v="13"/>
    <x v="51"/>
    <x v="51"/>
    <x v="6"/>
    <s v="N"/>
    <s v="N"/>
    <x v="0"/>
    <x v="0"/>
    <x v="0"/>
    <x v="0"/>
    <m/>
    <m/>
    <s v="대리점"/>
    <x v="0"/>
    <x v="2"/>
    <x v="1"/>
    <x v="594"/>
    <s v="HP2637057464"/>
    <x v="0"/>
    <n v="0"/>
  </r>
  <r>
    <x v="0"/>
    <x v="1"/>
    <x v="2"/>
    <x v="13"/>
    <x v="51"/>
    <x v="51"/>
    <x v="6"/>
    <s v="N"/>
    <s v="N"/>
    <x v="0"/>
    <x v="0"/>
    <x v="0"/>
    <x v="0"/>
    <m/>
    <m/>
    <s v="대리점"/>
    <x v="0"/>
    <x v="2"/>
    <x v="1"/>
    <x v="594"/>
    <s v="HP2637057464"/>
    <x v="1"/>
    <n v="8210000"/>
  </r>
  <r>
    <x v="0"/>
    <x v="1"/>
    <x v="2"/>
    <x v="13"/>
    <x v="51"/>
    <x v="51"/>
    <x v="8"/>
    <s v="Y"/>
    <s v="N"/>
    <x v="3"/>
    <x v="0"/>
    <x v="0"/>
    <x v="0"/>
    <s v="성인"/>
    <s v="성인"/>
    <s v="대리점"/>
    <x v="0"/>
    <x v="9"/>
    <x v="0"/>
    <x v="595"/>
    <s v="HP2637084936"/>
    <x v="0"/>
    <n v="2"/>
  </r>
  <r>
    <x v="0"/>
    <x v="1"/>
    <x v="2"/>
    <x v="13"/>
    <x v="51"/>
    <x v="51"/>
    <x v="8"/>
    <s v="Y"/>
    <s v="N"/>
    <x v="3"/>
    <x v="0"/>
    <x v="0"/>
    <x v="0"/>
    <s v="성인"/>
    <s v="성인"/>
    <s v="대리점"/>
    <x v="0"/>
    <x v="9"/>
    <x v="0"/>
    <x v="595"/>
    <s v="HP2637084936"/>
    <x v="1"/>
    <n v="1560000"/>
  </r>
  <r>
    <x v="0"/>
    <x v="1"/>
    <x v="2"/>
    <x v="13"/>
    <x v="51"/>
    <x v="51"/>
    <x v="8"/>
    <s v="Y"/>
    <s v="N"/>
    <x v="0"/>
    <x v="0"/>
    <x v="0"/>
    <x v="0"/>
    <m/>
    <m/>
    <s v="대리점"/>
    <x v="0"/>
    <x v="16"/>
    <x v="0"/>
    <x v="596"/>
    <s v="HP2637081026"/>
    <x v="0"/>
    <n v="6"/>
  </r>
  <r>
    <x v="0"/>
    <x v="1"/>
    <x v="2"/>
    <x v="13"/>
    <x v="51"/>
    <x v="51"/>
    <x v="8"/>
    <s v="Y"/>
    <s v="N"/>
    <x v="0"/>
    <x v="0"/>
    <x v="0"/>
    <x v="0"/>
    <m/>
    <m/>
    <s v="대리점"/>
    <x v="0"/>
    <x v="16"/>
    <x v="0"/>
    <x v="596"/>
    <s v="HP2637081026"/>
    <x v="1"/>
    <n v="4706400"/>
  </r>
  <r>
    <x v="0"/>
    <x v="1"/>
    <x v="2"/>
    <x v="13"/>
    <x v="52"/>
    <x v="52"/>
    <x v="2"/>
    <s v="Y"/>
    <s v="Y"/>
    <x v="4"/>
    <x v="0"/>
    <x v="0"/>
    <x v="0"/>
    <s v="성인"/>
    <s v="성인"/>
    <s v="대리점"/>
    <x v="0"/>
    <x v="11"/>
    <x v="0"/>
    <x v="597"/>
    <s v="HP2636965730"/>
    <x v="0"/>
    <n v="2"/>
  </r>
  <r>
    <x v="0"/>
    <x v="1"/>
    <x v="2"/>
    <x v="13"/>
    <x v="52"/>
    <x v="52"/>
    <x v="2"/>
    <s v="Y"/>
    <s v="Y"/>
    <x v="4"/>
    <x v="0"/>
    <x v="0"/>
    <x v="0"/>
    <s v="성인"/>
    <s v="성인"/>
    <s v="대리점"/>
    <x v="0"/>
    <x v="11"/>
    <x v="0"/>
    <x v="597"/>
    <s v="HP2636965730"/>
    <x v="1"/>
    <n v="864000"/>
  </r>
  <r>
    <x v="0"/>
    <x v="1"/>
    <x v="2"/>
    <x v="13"/>
    <x v="52"/>
    <x v="52"/>
    <x v="11"/>
    <s v="Y"/>
    <s v="N"/>
    <x v="0"/>
    <x v="0"/>
    <x v="0"/>
    <x v="0"/>
    <s v="성인"/>
    <s v="성인"/>
    <s v="대리점"/>
    <x v="0"/>
    <x v="2"/>
    <x v="0"/>
    <x v="598"/>
    <s v="HP2636977852"/>
    <x v="0"/>
    <n v="2"/>
  </r>
  <r>
    <x v="0"/>
    <x v="1"/>
    <x v="2"/>
    <x v="13"/>
    <x v="52"/>
    <x v="52"/>
    <x v="11"/>
    <s v="Y"/>
    <s v="N"/>
    <x v="0"/>
    <x v="0"/>
    <x v="0"/>
    <x v="0"/>
    <s v="성인"/>
    <s v="성인"/>
    <s v="대리점"/>
    <x v="0"/>
    <x v="2"/>
    <x v="0"/>
    <x v="598"/>
    <s v="HP2636977852"/>
    <x v="1"/>
    <n v="383200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6"/>
    <x v="0"/>
    <x v="599"/>
    <s v="HP2636973690"/>
    <x v="0"/>
    <n v="2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6"/>
    <x v="0"/>
    <x v="599"/>
    <s v="HP2636973690"/>
    <x v="1"/>
    <n v="3199800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17"/>
    <x v="0"/>
    <x v="600"/>
    <s v="HP2636974696"/>
    <x v="0"/>
    <n v="2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17"/>
    <x v="0"/>
    <x v="600"/>
    <s v="HP2636974696"/>
    <x v="1"/>
    <n v="4178000"/>
  </r>
  <r>
    <x v="0"/>
    <x v="1"/>
    <x v="2"/>
    <x v="13"/>
    <x v="52"/>
    <x v="52"/>
    <x v="3"/>
    <s v="N"/>
    <s v="Y"/>
    <x v="1"/>
    <x v="0"/>
    <x v="0"/>
    <x v="0"/>
    <m/>
    <m/>
    <s v="대리점"/>
    <x v="0"/>
    <x v="4"/>
    <x v="1"/>
    <x v="601"/>
    <s v="HP2636988554"/>
    <x v="0"/>
    <n v="0"/>
  </r>
  <r>
    <x v="0"/>
    <x v="1"/>
    <x v="2"/>
    <x v="13"/>
    <x v="52"/>
    <x v="52"/>
    <x v="3"/>
    <s v="N"/>
    <s v="Y"/>
    <x v="1"/>
    <x v="0"/>
    <x v="0"/>
    <x v="0"/>
    <m/>
    <m/>
    <s v="대리점"/>
    <x v="0"/>
    <x v="4"/>
    <x v="1"/>
    <x v="601"/>
    <s v="HP2636988554"/>
    <x v="1"/>
    <n v="2598000"/>
  </r>
  <r>
    <x v="0"/>
    <x v="1"/>
    <x v="2"/>
    <x v="13"/>
    <x v="52"/>
    <x v="52"/>
    <x v="4"/>
    <s v="N"/>
    <s v="N"/>
    <x v="0"/>
    <x v="0"/>
    <x v="0"/>
    <x v="0"/>
    <s v="성인"/>
    <s v="성인"/>
    <s v="대리점"/>
    <x v="0"/>
    <x v="2"/>
    <x v="0"/>
    <x v="602"/>
    <s v="HP2637002694"/>
    <x v="0"/>
    <n v="2"/>
  </r>
  <r>
    <x v="0"/>
    <x v="1"/>
    <x v="2"/>
    <x v="13"/>
    <x v="52"/>
    <x v="52"/>
    <x v="4"/>
    <s v="N"/>
    <s v="N"/>
    <x v="0"/>
    <x v="0"/>
    <x v="0"/>
    <x v="0"/>
    <s v="성인"/>
    <s v="성인"/>
    <s v="대리점"/>
    <x v="0"/>
    <x v="2"/>
    <x v="0"/>
    <x v="602"/>
    <s v="HP2637002694"/>
    <x v="1"/>
    <n v="1204800"/>
  </r>
  <r>
    <x v="0"/>
    <x v="1"/>
    <x v="2"/>
    <x v="13"/>
    <x v="52"/>
    <x v="52"/>
    <x v="4"/>
    <s v="N"/>
    <s v="N"/>
    <x v="0"/>
    <x v="0"/>
    <x v="0"/>
    <x v="0"/>
    <m/>
    <m/>
    <s v="대리점"/>
    <x v="0"/>
    <x v="2"/>
    <x v="1"/>
    <x v="603"/>
    <s v="HP2637005242"/>
    <x v="0"/>
    <n v="0"/>
  </r>
  <r>
    <x v="0"/>
    <x v="1"/>
    <x v="2"/>
    <x v="13"/>
    <x v="52"/>
    <x v="52"/>
    <x v="4"/>
    <s v="N"/>
    <s v="N"/>
    <x v="0"/>
    <x v="0"/>
    <x v="0"/>
    <x v="0"/>
    <m/>
    <m/>
    <s v="대리점"/>
    <x v="0"/>
    <x v="2"/>
    <x v="1"/>
    <x v="603"/>
    <s v="HP2637005242"/>
    <x v="1"/>
    <n v="5349400"/>
  </r>
  <r>
    <x v="0"/>
    <x v="1"/>
    <x v="2"/>
    <x v="13"/>
    <x v="52"/>
    <x v="52"/>
    <x v="4"/>
    <s v="N"/>
    <s v="N"/>
    <x v="0"/>
    <x v="0"/>
    <x v="0"/>
    <x v="1"/>
    <s v="아동"/>
    <s v="아동"/>
    <s v="대리점"/>
    <x v="0"/>
    <x v="2"/>
    <x v="0"/>
    <x v="602"/>
    <s v="HP2637002694"/>
    <x v="0"/>
    <n v="1"/>
  </r>
  <r>
    <x v="0"/>
    <x v="1"/>
    <x v="2"/>
    <x v="13"/>
    <x v="52"/>
    <x v="52"/>
    <x v="4"/>
    <s v="N"/>
    <s v="N"/>
    <x v="0"/>
    <x v="0"/>
    <x v="0"/>
    <x v="1"/>
    <s v="아동"/>
    <s v="아동"/>
    <s v="대리점"/>
    <x v="0"/>
    <x v="2"/>
    <x v="0"/>
    <x v="602"/>
    <s v="HP2637002694"/>
    <x v="1"/>
    <n v="232400"/>
  </r>
  <r>
    <x v="0"/>
    <x v="1"/>
    <x v="2"/>
    <x v="13"/>
    <x v="52"/>
    <x v="52"/>
    <x v="4"/>
    <s v="N"/>
    <s v="N"/>
    <x v="1"/>
    <x v="0"/>
    <x v="0"/>
    <x v="0"/>
    <s v="성인"/>
    <s v="성인"/>
    <s v="대리점"/>
    <x v="0"/>
    <x v="3"/>
    <x v="0"/>
    <x v="331"/>
    <s v="HP2637007354"/>
    <x v="0"/>
    <n v="2"/>
  </r>
  <r>
    <x v="0"/>
    <x v="1"/>
    <x v="2"/>
    <x v="13"/>
    <x v="52"/>
    <x v="52"/>
    <x v="4"/>
    <s v="N"/>
    <s v="N"/>
    <x v="1"/>
    <x v="0"/>
    <x v="0"/>
    <x v="0"/>
    <s v="성인"/>
    <s v="성인"/>
    <s v="대리점"/>
    <x v="0"/>
    <x v="3"/>
    <x v="0"/>
    <x v="331"/>
    <s v="HP2637007354"/>
    <x v="1"/>
    <n v="2313200"/>
  </r>
  <r>
    <x v="0"/>
    <x v="1"/>
    <x v="2"/>
    <x v="13"/>
    <x v="52"/>
    <x v="52"/>
    <x v="5"/>
    <s v="N"/>
    <s v="N"/>
    <x v="6"/>
    <x v="2"/>
    <x v="0"/>
    <x v="0"/>
    <m/>
    <m/>
    <s v="대리점"/>
    <x v="0"/>
    <x v="28"/>
    <x v="1"/>
    <x v="604"/>
    <s v="HQ2637027498"/>
    <x v="0"/>
    <n v="0"/>
  </r>
  <r>
    <x v="0"/>
    <x v="1"/>
    <x v="2"/>
    <x v="13"/>
    <x v="52"/>
    <x v="52"/>
    <x v="5"/>
    <s v="N"/>
    <s v="N"/>
    <x v="6"/>
    <x v="2"/>
    <x v="0"/>
    <x v="0"/>
    <m/>
    <m/>
    <s v="대리점"/>
    <x v="0"/>
    <x v="28"/>
    <x v="1"/>
    <x v="604"/>
    <s v="HQ2637027498"/>
    <x v="1"/>
    <n v="0"/>
  </r>
  <r>
    <x v="0"/>
    <x v="1"/>
    <x v="2"/>
    <x v="13"/>
    <x v="52"/>
    <x v="52"/>
    <x v="5"/>
    <s v="N"/>
    <s v="N"/>
    <x v="6"/>
    <x v="2"/>
    <x v="0"/>
    <x v="1"/>
    <m/>
    <m/>
    <s v="대리점"/>
    <x v="0"/>
    <x v="28"/>
    <x v="1"/>
    <x v="604"/>
    <s v="HQ2637027498"/>
    <x v="0"/>
    <n v="0"/>
  </r>
  <r>
    <x v="0"/>
    <x v="1"/>
    <x v="2"/>
    <x v="13"/>
    <x v="52"/>
    <x v="52"/>
    <x v="5"/>
    <s v="N"/>
    <s v="N"/>
    <x v="6"/>
    <x v="2"/>
    <x v="0"/>
    <x v="1"/>
    <m/>
    <m/>
    <s v="대리점"/>
    <x v="0"/>
    <x v="28"/>
    <x v="1"/>
    <x v="604"/>
    <s v="HQ2637027498"/>
    <x v="1"/>
    <n v="0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5"/>
    <s v="HP2637084582"/>
    <x v="0"/>
    <n v="4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5"/>
    <s v="HP2637084582"/>
    <x v="1"/>
    <n v="908000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6"/>
    <s v="HP2637091046"/>
    <x v="0"/>
    <n v="2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6"/>
    <s v="HP2637091046"/>
    <x v="1"/>
    <n v="1458000"/>
  </r>
  <r>
    <x v="0"/>
    <x v="1"/>
    <x v="2"/>
    <x v="13"/>
    <x v="52"/>
    <x v="52"/>
    <x v="8"/>
    <s v="Y"/>
    <s v="N"/>
    <x v="1"/>
    <x v="0"/>
    <x v="0"/>
    <x v="0"/>
    <m/>
    <m/>
    <s v="대리점"/>
    <x v="0"/>
    <x v="3"/>
    <x v="0"/>
    <x v="607"/>
    <s v="HP2637086380"/>
    <x v="0"/>
    <n v="11"/>
  </r>
  <r>
    <x v="0"/>
    <x v="1"/>
    <x v="2"/>
    <x v="13"/>
    <x v="52"/>
    <x v="52"/>
    <x v="8"/>
    <s v="Y"/>
    <s v="N"/>
    <x v="1"/>
    <x v="0"/>
    <x v="0"/>
    <x v="0"/>
    <m/>
    <m/>
    <s v="대리점"/>
    <x v="0"/>
    <x v="3"/>
    <x v="0"/>
    <x v="607"/>
    <s v="HP2637086380"/>
    <x v="1"/>
    <n v="13739000"/>
  </r>
  <r>
    <x v="0"/>
    <x v="1"/>
    <x v="2"/>
    <x v="13"/>
    <x v="52"/>
    <x v="52"/>
    <x v="10"/>
    <s v="N"/>
    <s v="N"/>
    <x v="0"/>
    <x v="0"/>
    <x v="0"/>
    <x v="0"/>
    <m/>
    <m/>
    <s v="대리점"/>
    <x v="0"/>
    <x v="19"/>
    <x v="0"/>
    <x v="606"/>
    <s v="HP2637091046"/>
    <x v="0"/>
    <n v="2"/>
  </r>
  <r>
    <x v="0"/>
    <x v="1"/>
    <x v="2"/>
    <x v="13"/>
    <x v="52"/>
    <x v="52"/>
    <x v="10"/>
    <s v="N"/>
    <s v="N"/>
    <x v="0"/>
    <x v="0"/>
    <x v="0"/>
    <x v="0"/>
    <m/>
    <m/>
    <s v="대리점"/>
    <x v="0"/>
    <x v="19"/>
    <x v="0"/>
    <x v="606"/>
    <s v="HP2637091046"/>
    <x v="1"/>
    <n v="1398000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608"/>
    <s v="HP2636954542"/>
    <x v="0"/>
    <n v="5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608"/>
    <s v="HP2636954542"/>
    <x v="1"/>
    <n v="5725000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188"/>
    <s v="HP2636946064"/>
    <x v="0"/>
    <n v="3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188"/>
    <s v="HP2636946064"/>
    <x v="1"/>
    <n v="5547000"/>
  </r>
  <r>
    <x v="0"/>
    <x v="1"/>
    <x v="3"/>
    <x v="14"/>
    <x v="53"/>
    <x v="53"/>
    <x v="1"/>
    <s v="N"/>
    <s v="N"/>
    <x v="1"/>
    <x v="0"/>
    <x v="0"/>
    <x v="0"/>
    <m/>
    <m/>
    <s v="대리점"/>
    <x v="0"/>
    <x v="10"/>
    <x v="1"/>
    <x v="609"/>
    <s v="HP2636954180"/>
    <x v="0"/>
    <n v="0"/>
  </r>
  <r>
    <x v="0"/>
    <x v="1"/>
    <x v="3"/>
    <x v="14"/>
    <x v="53"/>
    <x v="53"/>
    <x v="1"/>
    <s v="N"/>
    <s v="N"/>
    <x v="1"/>
    <x v="0"/>
    <x v="0"/>
    <x v="0"/>
    <m/>
    <m/>
    <s v="대리점"/>
    <x v="0"/>
    <x v="10"/>
    <x v="1"/>
    <x v="609"/>
    <s v="HP2636954180"/>
    <x v="1"/>
    <n v="60000"/>
  </r>
  <r>
    <x v="0"/>
    <x v="1"/>
    <x v="3"/>
    <x v="14"/>
    <x v="53"/>
    <x v="53"/>
    <x v="1"/>
    <s v="N"/>
    <s v="N"/>
    <x v="2"/>
    <x v="0"/>
    <x v="0"/>
    <x v="0"/>
    <s v="성인"/>
    <s v="성인"/>
    <s v="대리점"/>
    <x v="0"/>
    <x v="23"/>
    <x v="0"/>
    <x v="610"/>
    <s v="HP2636949442"/>
    <x v="0"/>
    <n v="4"/>
  </r>
  <r>
    <x v="0"/>
    <x v="1"/>
    <x v="3"/>
    <x v="14"/>
    <x v="53"/>
    <x v="53"/>
    <x v="1"/>
    <s v="N"/>
    <s v="N"/>
    <x v="2"/>
    <x v="0"/>
    <x v="0"/>
    <x v="0"/>
    <s v="성인"/>
    <s v="성인"/>
    <s v="대리점"/>
    <x v="0"/>
    <x v="23"/>
    <x v="0"/>
    <x v="610"/>
    <s v="HP2636949442"/>
    <x v="1"/>
    <n v="6032000"/>
  </r>
  <r>
    <x v="0"/>
    <x v="1"/>
    <x v="3"/>
    <x v="14"/>
    <x v="53"/>
    <x v="53"/>
    <x v="2"/>
    <s v="Y"/>
    <s v="Y"/>
    <x v="1"/>
    <x v="0"/>
    <x v="0"/>
    <x v="0"/>
    <s v="성인"/>
    <s v="성인"/>
    <s v="대리점"/>
    <x v="0"/>
    <x v="3"/>
    <x v="0"/>
    <x v="611"/>
    <s v="HP2636966574"/>
    <x v="0"/>
    <n v="3"/>
  </r>
  <r>
    <x v="0"/>
    <x v="1"/>
    <x v="3"/>
    <x v="14"/>
    <x v="53"/>
    <x v="53"/>
    <x v="2"/>
    <s v="Y"/>
    <s v="Y"/>
    <x v="1"/>
    <x v="0"/>
    <x v="0"/>
    <x v="0"/>
    <s v="성인"/>
    <s v="성인"/>
    <s v="대리점"/>
    <x v="0"/>
    <x v="3"/>
    <x v="0"/>
    <x v="611"/>
    <s v="HP2636966574"/>
    <x v="1"/>
    <n v="3447000"/>
  </r>
  <r>
    <x v="0"/>
    <x v="1"/>
    <x v="3"/>
    <x v="14"/>
    <x v="53"/>
    <x v="53"/>
    <x v="2"/>
    <s v="Y"/>
    <s v="Y"/>
    <x v="1"/>
    <x v="0"/>
    <x v="0"/>
    <x v="1"/>
    <s v="아동"/>
    <s v="아동"/>
    <s v="대리점"/>
    <x v="0"/>
    <x v="3"/>
    <x v="0"/>
    <x v="611"/>
    <s v="HP2636966574"/>
    <x v="0"/>
    <n v="1"/>
  </r>
  <r>
    <x v="0"/>
    <x v="1"/>
    <x v="3"/>
    <x v="14"/>
    <x v="53"/>
    <x v="53"/>
    <x v="2"/>
    <s v="Y"/>
    <s v="Y"/>
    <x v="1"/>
    <x v="0"/>
    <x v="0"/>
    <x v="1"/>
    <s v="아동"/>
    <s v="아동"/>
    <s v="대리점"/>
    <x v="0"/>
    <x v="3"/>
    <x v="0"/>
    <x v="611"/>
    <s v="HP2636966574"/>
    <x v="1"/>
    <n v="1034100"/>
  </r>
  <r>
    <x v="0"/>
    <x v="1"/>
    <x v="3"/>
    <x v="14"/>
    <x v="53"/>
    <x v="53"/>
    <x v="4"/>
    <s v="N"/>
    <s v="N"/>
    <x v="1"/>
    <x v="0"/>
    <x v="0"/>
    <x v="0"/>
    <s v="성인"/>
    <s v="성인"/>
    <s v="대리점"/>
    <x v="0"/>
    <x v="7"/>
    <x v="0"/>
    <x v="612"/>
    <s v="HP2636421444"/>
    <x v="0"/>
    <n v="1"/>
  </r>
  <r>
    <x v="0"/>
    <x v="1"/>
    <x v="3"/>
    <x v="14"/>
    <x v="53"/>
    <x v="53"/>
    <x v="4"/>
    <s v="N"/>
    <s v="N"/>
    <x v="1"/>
    <x v="0"/>
    <x v="0"/>
    <x v="0"/>
    <s v="성인"/>
    <s v="성인"/>
    <s v="대리점"/>
    <x v="0"/>
    <x v="7"/>
    <x v="0"/>
    <x v="612"/>
    <s v="HP2636421444"/>
    <x v="1"/>
    <n v="3349000"/>
  </r>
  <r>
    <x v="0"/>
    <x v="1"/>
    <x v="3"/>
    <x v="14"/>
    <x v="53"/>
    <x v="53"/>
    <x v="4"/>
    <s v="N"/>
    <s v="N"/>
    <x v="1"/>
    <x v="0"/>
    <x v="0"/>
    <x v="0"/>
    <m/>
    <m/>
    <s v="대리점"/>
    <x v="0"/>
    <x v="2"/>
    <x v="1"/>
    <x v="188"/>
    <s v="HP2636946064"/>
    <x v="0"/>
    <n v="0"/>
  </r>
  <r>
    <x v="0"/>
    <x v="1"/>
    <x v="3"/>
    <x v="14"/>
    <x v="53"/>
    <x v="53"/>
    <x v="4"/>
    <s v="N"/>
    <s v="N"/>
    <x v="1"/>
    <x v="0"/>
    <x v="0"/>
    <x v="0"/>
    <m/>
    <m/>
    <s v="대리점"/>
    <x v="0"/>
    <x v="2"/>
    <x v="1"/>
    <x v="188"/>
    <s v="HP2636946064"/>
    <x v="1"/>
    <n v="100000"/>
  </r>
  <r>
    <x v="0"/>
    <x v="1"/>
    <x v="3"/>
    <x v="14"/>
    <x v="53"/>
    <x v="53"/>
    <x v="4"/>
    <s v="N"/>
    <s v="N"/>
    <x v="2"/>
    <x v="0"/>
    <x v="0"/>
    <x v="0"/>
    <s v="성인"/>
    <s v="성인"/>
    <s v="대리점"/>
    <x v="0"/>
    <x v="2"/>
    <x v="0"/>
    <x v="613"/>
    <s v="HP2637008934"/>
    <x v="0"/>
    <n v="5"/>
  </r>
  <r>
    <x v="0"/>
    <x v="1"/>
    <x v="3"/>
    <x v="14"/>
    <x v="53"/>
    <x v="53"/>
    <x v="4"/>
    <s v="N"/>
    <s v="N"/>
    <x v="2"/>
    <x v="0"/>
    <x v="0"/>
    <x v="0"/>
    <s v="성인"/>
    <s v="성인"/>
    <s v="대리점"/>
    <x v="0"/>
    <x v="2"/>
    <x v="0"/>
    <x v="613"/>
    <s v="HP2637008934"/>
    <x v="1"/>
    <n v="7045000"/>
  </r>
  <r>
    <x v="0"/>
    <x v="1"/>
    <x v="3"/>
    <x v="14"/>
    <x v="53"/>
    <x v="53"/>
    <x v="5"/>
    <s v="N"/>
    <s v="N"/>
    <x v="1"/>
    <x v="0"/>
    <x v="0"/>
    <x v="0"/>
    <s v="성인"/>
    <s v="성인"/>
    <s v="대리점"/>
    <x v="0"/>
    <x v="23"/>
    <x v="0"/>
    <x v="614"/>
    <s v="HP2637034784"/>
    <x v="0"/>
    <n v="2"/>
  </r>
  <r>
    <x v="0"/>
    <x v="1"/>
    <x v="3"/>
    <x v="14"/>
    <x v="53"/>
    <x v="53"/>
    <x v="5"/>
    <s v="N"/>
    <s v="N"/>
    <x v="1"/>
    <x v="0"/>
    <x v="0"/>
    <x v="0"/>
    <s v="성인"/>
    <s v="성인"/>
    <s v="대리점"/>
    <x v="0"/>
    <x v="23"/>
    <x v="0"/>
    <x v="614"/>
    <s v="HP2637034784"/>
    <x v="1"/>
    <n v="2038000"/>
  </r>
  <r>
    <x v="0"/>
    <x v="1"/>
    <x v="3"/>
    <x v="14"/>
    <x v="53"/>
    <x v="53"/>
    <x v="6"/>
    <s v="N"/>
    <s v="N"/>
    <x v="0"/>
    <x v="0"/>
    <x v="1"/>
    <x v="0"/>
    <m/>
    <m/>
    <s v="대리점"/>
    <x v="0"/>
    <x v="16"/>
    <x v="1"/>
    <x v="615"/>
    <s v="HP2637058958"/>
    <x v="0"/>
    <n v="0"/>
  </r>
  <r>
    <x v="0"/>
    <x v="1"/>
    <x v="3"/>
    <x v="14"/>
    <x v="53"/>
    <x v="53"/>
    <x v="6"/>
    <s v="N"/>
    <s v="N"/>
    <x v="0"/>
    <x v="0"/>
    <x v="1"/>
    <x v="0"/>
    <m/>
    <m/>
    <s v="대리점"/>
    <x v="0"/>
    <x v="16"/>
    <x v="1"/>
    <x v="615"/>
    <s v="HP2637058958"/>
    <x v="1"/>
    <n v="2100000"/>
  </r>
  <r>
    <x v="0"/>
    <x v="1"/>
    <x v="3"/>
    <x v="14"/>
    <x v="53"/>
    <x v="53"/>
    <x v="6"/>
    <s v="N"/>
    <s v="N"/>
    <x v="0"/>
    <x v="0"/>
    <x v="0"/>
    <x v="0"/>
    <m/>
    <m/>
    <s v="대리점"/>
    <x v="0"/>
    <x v="16"/>
    <x v="1"/>
    <x v="615"/>
    <s v="HP2637058958"/>
    <x v="0"/>
    <n v="0"/>
  </r>
  <r>
    <x v="0"/>
    <x v="1"/>
    <x v="3"/>
    <x v="14"/>
    <x v="53"/>
    <x v="53"/>
    <x v="6"/>
    <s v="N"/>
    <s v="N"/>
    <x v="0"/>
    <x v="0"/>
    <x v="0"/>
    <x v="0"/>
    <m/>
    <m/>
    <s v="대리점"/>
    <x v="0"/>
    <x v="16"/>
    <x v="1"/>
    <x v="615"/>
    <s v="HP2637058958"/>
    <x v="1"/>
    <n v="1799800"/>
  </r>
  <r>
    <x v="0"/>
    <x v="1"/>
    <x v="3"/>
    <x v="14"/>
    <x v="53"/>
    <x v="53"/>
    <x v="6"/>
    <s v="N"/>
    <s v="N"/>
    <x v="1"/>
    <x v="0"/>
    <x v="0"/>
    <x v="0"/>
    <s v="성인"/>
    <s v="성인"/>
    <s v="대리점"/>
    <x v="0"/>
    <x v="10"/>
    <x v="0"/>
    <x v="616"/>
    <s v="HP2637056890"/>
    <x v="0"/>
    <n v="2"/>
  </r>
  <r>
    <x v="0"/>
    <x v="1"/>
    <x v="3"/>
    <x v="14"/>
    <x v="53"/>
    <x v="53"/>
    <x v="6"/>
    <s v="N"/>
    <s v="N"/>
    <x v="1"/>
    <x v="0"/>
    <x v="0"/>
    <x v="0"/>
    <s v="성인"/>
    <s v="성인"/>
    <s v="대리점"/>
    <x v="0"/>
    <x v="10"/>
    <x v="0"/>
    <x v="616"/>
    <s v="HP2637056890"/>
    <x v="1"/>
    <n v="1158400"/>
  </r>
  <r>
    <x v="0"/>
    <x v="1"/>
    <x v="3"/>
    <x v="14"/>
    <x v="53"/>
    <x v="53"/>
    <x v="6"/>
    <s v="N"/>
    <s v="N"/>
    <x v="2"/>
    <x v="0"/>
    <x v="0"/>
    <x v="0"/>
    <s v="성인"/>
    <s v="성인"/>
    <s v="대리점"/>
    <x v="0"/>
    <x v="23"/>
    <x v="0"/>
    <x v="617"/>
    <s v="HP2637049262"/>
    <x v="0"/>
    <n v="5"/>
  </r>
  <r>
    <x v="0"/>
    <x v="1"/>
    <x v="3"/>
    <x v="14"/>
    <x v="53"/>
    <x v="53"/>
    <x v="6"/>
    <s v="N"/>
    <s v="N"/>
    <x v="2"/>
    <x v="0"/>
    <x v="0"/>
    <x v="0"/>
    <s v="성인"/>
    <s v="성인"/>
    <s v="대리점"/>
    <x v="0"/>
    <x v="23"/>
    <x v="0"/>
    <x v="617"/>
    <s v="HP2637049262"/>
    <x v="1"/>
    <n v="6390000"/>
  </r>
  <r>
    <x v="0"/>
    <x v="1"/>
    <x v="3"/>
    <x v="14"/>
    <x v="53"/>
    <x v="53"/>
    <x v="7"/>
    <s v="N"/>
    <s v="Y"/>
    <x v="1"/>
    <x v="0"/>
    <x v="0"/>
    <x v="0"/>
    <m/>
    <m/>
    <s v="대리점"/>
    <x v="0"/>
    <x v="0"/>
    <x v="0"/>
    <x v="618"/>
    <s v="HP2637070504"/>
    <x v="0"/>
    <n v="5"/>
  </r>
  <r>
    <x v="0"/>
    <x v="1"/>
    <x v="3"/>
    <x v="14"/>
    <x v="53"/>
    <x v="53"/>
    <x v="7"/>
    <s v="N"/>
    <s v="Y"/>
    <x v="1"/>
    <x v="0"/>
    <x v="0"/>
    <x v="0"/>
    <m/>
    <m/>
    <s v="대리점"/>
    <x v="0"/>
    <x v="0"/>
    <x v="0"/>
    <x v="618"/>
    <s v="HP2637070504"/>
    <x v="1"/>
    <n v="4890500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17"/>
    <x v="0"/>
    <x v="619"/>
    <s v="HP2636926722"/>
    <x v="0"/>
    <n v="2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17"/>
    <x v="0"/>
    <x v="619"/>
    <s v="HP2636926722"/>
    <x v="1"/>
    <n v="2075400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2"/>
    <x v="0"/>
    <x v="158"/>
    <s v="HP2636926198"/>
    <x v="0"/>
    <n v="2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2"/>
    <x v="0"/>
    <x v="158"/>
    <s v="HP2636926198"/>
    <x v="1"/>
    <n v="2349200"/>
  </r>
  <r>
    <x v="0"/>
    <x v="1"/>
    <x v="3"/>
    <x v="14"/>
    <x v="54"/>
    <x v="54"/>
    <x v="0"/>
    <s v="N"/>
    <s v="N"/>
    <x v="0"/>
    <x v="0"/>
    <x v="0"/>
    <x v="0"/>
    <s v="성인"/>
    <s v="성인"/>
    <s v="범용/상용닷컴"/>
    <x v="1"/>
    <x v="6"/>
    <x v="0"/>
    <x v="620"/>
    <s v="HP2636923436"/>
    <x v="0"/>
    <n v="1"/>
  </r>
  <r>
    <x v="0"/>
    <x v="1"/>
    <x v="3"/>
    <x v="14"/>
    <x v="54"/>
    <x v="54"/>
    <x v="0"/>
    <s v="N"/>
    <s v="N"/>
    <x v="0"/>
    <x v="0"/>
    <x v="0"/>
    <x v="0"/>
    <s v="성인"/>
    <s v="성인"/>
    <s v="범용/상용닷컴"/>
    <x v="1"/>
    <x v="6"/>
    <x v="0"/>
    <x v="620"/>
    <s v="HP2636923436"/>
    <x v="1"/>
    <n v="1099900"/>
  </r>
  <r>
    <x v="0"/>
    <x v="1"/>
    <x v="3"/>
    <x v="14"/>
    <x v="54"/>
    <x v="54"/>
    <x v="0"/>
    <s v="N"/>
    <s v="N"/>
    <x v="0"/>
    <x v="0"/>
    <x v="0"/>
    <x v="0"/>
    <s v="아동"/>
    <s v="청소년"/>
    <s v="범용/상용닷컴"/>
    <x v="1"/>
    <x v="6"/>
    <x v="0"/>
    <x v="620"/>
    <s v="HP2636923436"/>
    <x v="0"/>
    <n v="1"/>
  </r>
  <r>
    <x v="0"/>
    <x v="1"/>
    <x v="3"/>
    <x v="14"/>
    <x v="54"/>
    <x v="54"/>
    <x v="0"/>
    <s v="N"/>
    <s v="N"/>
    <x v="0"/>
    <x v="0"/>
    <x v="0"/>
    <x v="0"/>
    <s v="아동"/>
    <s v="청소년"/>
    <s v="범용/상용닷컴"/>
    <x v="1"/>
    <x v="6"/>
    <x v="0"/>
    <x v="620"/>
    <s v="HP2636923436"/>
    <x v="1"/>
    <n v="1099900"/>
  </r>
  <r>
    <x v="0"/>
    <x v="1"/>
    <x v="3"/>
    <x v="14"/>
    <x v="54"/>
    <x v="54"/>
    <x v="0"/>
    <s v="N"/>
    <s v="N"/>
    <x v="0"/>
    <x v="0"/>
    <x v="0"/>
    <x v="0"/>
    <s v="청소년"/>
    <s v="청소년"/>
    <s v="범용/상용닷컴"/>
    <x v="1"/>
    <x v="6"/>
    <x v="0"/>
    <x v="620"/>
    <s v="HP2636923436"/>
    <x v="0"/>
    <n v="1"/>
  </r>
  <r>
    <x v="0"/>
    <x v="1"/>
    <x v="3"/>
    <x v="14"/>
    <x v="54"/>
    <x v="54"/>
    <x v="0"/>
    <s v="N"/>
    <s v="N"/>
    <x v="0"/>
    <x v="0"/>
    <x v="0"/>
    <x v="0"/>
    <s v="청소년"/>
    <s v="청소년"/>
    <s v="범용/상용닷컴"/>
    <x v="1"/>
    <x v="6"/>
    <x v="0"/>
    <x v="620"/>
    <s v="HP2636923436"/>
    <x v="1"/>
    <n v="1099900"/>
  </r>
  <r>
    <x v="0"/>
    <x v="1"/>
    <x v="3"/>
    <x v="14"/>
    <x v="54"/>
    <x v="54"/>
    <x v="0"/>
    <s v="N"/>
    <s v="N"/>
    <x v="1"/>
    <x v="0"/>
    <x v="0"/>
    <x v="0"/>
    <s v="성인"/>
    <s v="성인"/>
    <s v="범용/상용닷컴"/>
    <x v="1"/>
    <x v="2"/>
    <x v="0"/>
    <x v="621"/>
    <s v="HP2636936100"/>
    <x v="0"/>
    <n v="2"/>
  </r>
  <r>
    <x v="0"/>
    <x v="1"/>
    <x v="3"/>
    <x v="14"/>
    <x v="54"/>
    <x v="54"/>
    <x v="0"/>
    <s v="N"/>
    <s v="N"/>
    <x v="1"/>
    <x v="0"/>
    <x v="0"/>
    <x v="0"/>
    <s v="성인"/>
    <s v="성인"/>
    <s v="범용/상용닷컴"/>
    <x v="1"/>
    <x v="2"/>
    <x v="0"/>
    <x v="621"/>
    <s v="HP2636936100"/>
    <x v="1"/>
    <n v="959800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2"/>
    <s v="HP2636925674"/>
    <x v="0"/>
    <n v="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2"/>
    <s v="HP2636925674"/>
    <x v="1"/>
    <n v="141400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3"/>
    <s v="HP2636925688"/>
    <x v="0"/>
    <n v="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3"/>
    <s v="HP2636925688"/>
    <x v="1"/>
    <n v="1858000"/>
  </r>
  <r>
    <x v="0"/>
    <x v="1"/>
    <x v="3"/>
    <x v="14"/>
    <x v="54"/>
    <x v="54"/>
    <x v="0"/>
    <s v="N"/>
    <s v="N"/>
    <x v="2"/>
    <x v="0"/>
    <x v="0"/>
    <x v="0"/>
    <s v="성인"/>
    <s v="성인"/>
    <s v="범용/상용닷컴"/>
    <x v="1"/>
    <x v="23"/>
    <x v="0"/>
    <x v="624"/>
    <s v="HP2636930322"/>
    <x v="0"/>
    <n v="2"/>
  </r>
  <r>
    <x v="0"/>
    <x v="1"/>
    <x v="3"/>
    <x v="14"/>
    <x v="54"/>
    <x v="54"/>
    <x v="0"/>
    <s v="N"/>
    <s v="N"/>
    <x v="2"/>
    <x v="0"/>
    <x v="0"/>
    <x v="0"/>
    <s v="성인"/>
    <s v="성인"/>
    <s v="범용/상용닷컴"/>
    <x v="1"/>
    <x v="23"/>
    <x v="0"/>
    <x v="624"/>
    <s v="HP2636930322"/>
    <x v="1"/>
    <n v="3646000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5"/>
    <s v="HQ2636953888"/>
    <x v="0"/>
    <n v="1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5"/>
    <s v="HQ2636953888"/>
    <x v="1"/>
    <n v="975900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6"/>
    <s v="HQ2636953710"/>
    <x v="0"/>
    <n v="2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6"/>
    <s v="HQ2636953710"/>
    <x v="1"/>
    <n v="1949200"/>
  </r>
  <r>
    <x v="0"/>
    <x v="1"/>
    <x v="3"/>
    <x v="14"/>
    <x v="54"/>
    <x v="54"/>
    <x v="1"/>
    <s v="N"/>
    <s v="N"/>
    <x v="0"/>
    <x v="0"/>
    <x v="0"/>
    <x v="0"/>
    <s v="성인"/>
    <s v="성인"/>
    <s v="범용/상용닷컴"/>
    <x v="1"/>
    <x v="2"/>
    <x v="0"/>
    <x v="627"/>
    <s v="HP2636944618"/>
    <x v="0"/>
    <n v="6"/>
  </r>
  <r>
    <x v="0"/>
    <x v="1"/>
    <x v="3"/>
    <x v="14"/>
    <x v="54"/>
    <x v="54"/>
    <x v="1"/>
    <s v="N"/>
    <s v="N"/>
    <x v="0"/>
    <x v="0"/>
    <x v="0"/>
    <x v="0"/>
    <s v="성인"/>
    <s v="성인"/>
    <s v="범용/상용닷컴"/>
    <x v="1"/>
    <x v="2"/>
    <x v="0"/>
    <x v="627"/>
    <s v="HP2636944618"/>
    <x v="1"/>
    <n v="58206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42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42"/>
    <x v="1"/>
    <n v="20198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64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64"/>
    <x v="1"/>
    <n v="20198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0"/>
    <x v="1"/>
    <x v="629"/>
    <s v="HP2636947010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0"/>
    <x v="1"/>
    <x v="629"/>
    <s v="HP2636947010"/>
    <x v="1"/>
    <n v="60396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2"/>
    <x v="1"/>
    <x v="630"/>
    <s v="HP2636948974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2"/>
    <x v="1"/>
    <x v="630"/>
    <s v="HP2636948974"/>
    <x v="1"/>
    <n v="2349200"/>
  </r>
  <r>
    <x v="0"/>
    <x v="1"/>
    <x v="3"/>
    <x v="14"/>
    <x v="54"/>
    <x v="54"/>
    <x v="1"/>
    <s v="N"/>
    <s v="N"/>
    <x v="1"/>
    <x v="0"/>
    <x v="0"/>
    <x v="0"/>
    <s v="성인"/>
    <s v="성인"/>
    <s v="대리점"/>
    <x v="0"/>
    <x v="2"/>
    <x v="0"/>
    <x v="631"/>
    <s v="HP2636949784"/>
    <x v="0"/>
    <n v="2"/>
  </r>
  <r>
    <x v="0"/>
    <x v="1"/>
    <x v="3"/>
    <x v="14"/>
    <x v="54"/>
    <x v="54"/>
    <x v="1"/>
    <s v="N"/>
    <s v="N"/>
    <x v="1"/>
    <x v="0"/>
    <x v="0"/>
    <x v="0"/>
    <s v="성인"/>
    <s v="성인"/>
    <s v="대리점"/>
    <x v="0"/>
    <x v="2"/>
    <x v="0"/>
    <x v="631"/>
    <s v="HP2636949784"/>
    <x v="1"/>
    <n v="8998000"/>
  </r>
  <r>
    <x v="0"/>
    <x v="1"/>
    <x v="3"/>
    <x v="14"/>
    <x v="54"/>
    <x v="54"/>
    <x v="1"/>
    <s v="N"/>
    <s v="N"/>
    <x v="1"/>
    <x v="0"/>
    <x v="0"/>
    <x v="0"/>
    <m/>
    <m/>
    <s v="대리점"/>
    <x v="0"/>
    <x v="2"/>
    <x v="0"/>
    <x v="632"/>
    <s v="HP2636161882"/>
    <x v="0"/>
    <n v="2"/>
  </r>
  <r>
    <x v="0"/>
    <x v="1"/>
    <x v="3"/>
    <x v="14"/>
    <x v="54"/>
    <x v="54"/>
    <x v="1"/>
    <s v="N"/>
    <s v="N"/>
    <x v="1"/>
    <x v="0"/>
    <x v="0"/>
    <x v="0"/>
    <m/>
    <m/>
    <s v="대리점"/>
    <x v="0"/>
    <x v="2"/>
    <x v="0"/>
    <x v="632"/>
    <s v="HP2636161882"/>
    <x v="1"/>
    <n v="11598000"/>
  </r>
  <r>
    <x v="0"/>
    <x v="1"/>
    <x v="3"/>
    <x v="14"/>
    <x v="54"/>
    <x v="54"/>
    <x v="1"/>
    <s v="N"/>
    <s v="N"/>
    <x v="1"/>
    <x v="0"/>
    <x v="0"/>
    <x v="0"/>
    <m/>
    <m/>
    <s v="범용/상용닷컴"/>
    <x v="1"/>
    <x v="2"/>
    <x v="1"/>
    <x v="631"/>
    <s v="HP2636947838"/>
    <x v="0"/>
    <n v="0"/>
  </r>
  <r>
    <x v="0"/>
    <x v="1"/>
    <x v="3"/>
    <x v="14"/>
    <x v="54"/>
    <x v="54"/>
    <x v="1"/>
    <s v="N"/>
    <s v="N"/>
    <x v="1"/>
    <x v="0"/>
    <x v="0"/>
    <x v="0"/>
    <m/>
    <m/>
    <s v="범용/상용닷컴"/>
    <x v="1"/>
    <x v="2"/>
    <x v="1"/>
    <x v="631"/>
    <s v="HP2636947838"/>
    <x v="1"/>
    <n v="8998000"/>
  </r>
  <r>
    <x v="0"/>
    <x v="1"/>
    <x v="3"/>
    <x v="14"/>
    <x v="54"/>
    <x v="54"/>
    <x v="2"/>
    <s v="Y"/>
    <s v="Y"/>
    <x v="0"/>
    <x v="0"/>
    <x v="0"/>
    <x v="0"/>
    <s v="성인"/>
    <s v="성인"/>
    <s v="대리점"/>
    <x v="0"/>
    <x v="2"/>
    <x v="0"/>
    <x v="633"/>
    <s v="HP2636964368"/>
    <x v="0"/>
    <n v="2"/>
  </r>
  <r>
    <x v="0"/>
    <x v="1"/>
    <x v="3"/>
    <x v="14"/>
    <x v="54"/>
    <x v="54"/>
    <x v="2"/>
    <s v="Y"/>
    <s v="Y"/>
    <x v="0"/>
    <x v="0"/>
    <x v="0"/>
    <x v="0"/>
    <s v="성인"/>
    <s v="성인"/>
    <s v="대리점"/>
    <x v="0"/>
    <x v="2"/>
    <x v="0"/>
    <x v="633"/>
    <s v="HP2636964368"/>
    <x v="1"/>
    <n v="493600"/>
  </r>
  <r>
    <x v="0"/>
    <x v="1"/>
    <x v="3"/>
    <x v="14"/>
    <x v="54"/>
    <x v="54"/>
    <x v="2"/>
    <s v="Y"/>
    <s v="Y"/>
    <x v="0"/>
    <x v="0"/>
    <x v="0"/>
    <x v="0"/>
    <s v="성인"/>
    <s v="성인"/>
    <s v="범용/상용닷컴"/>
    <x v="1"/>
    <x v="17"/>
    <x v="0"/>
    <x v="634"/>
    <s v="HP2636963666"/>
    <x v="0"/>
    <n v="2"/>
  </r>
  <r>
    <x v="0"/>
    <x v="1"/>
    <x v="3"/>
    <x v="14"/>
    <x v="54"/>
    <x v="54"/>
    <x v="2"/>
    <s v="Y"/>
    <s v="Y"/>
    <x v="0"/>
    <x v="0"/>
    <x v="0"/>
    <x v="0"/>
    <s v="성인"/>
    <s v="성인"/>
    <s v="범용/상용닷컴"/>
    <x v="1"/>
    <x v="17"/>
    <x v="0"/>
    <x v="634"/>
    <s v="HP2636963666"/>
    <x v="1"/>
    <n v="2742200"/>
  </r>
  <r>
    <x v="0"/>
    <x v="1"/>
    <x v="3"/>
    <x v="14"/>
    <x v="54"/>
    <x v="54"/>
    <x v="2"/>
    <s v="Y"/>
    <s v="Y"/>
    <x v="0"/>
    <x v="0"/>
    <x v="0"/>
    <x v="0"/>
    <m/>
    <m/>
    <s v="대리점"/>
    <x v="0"/>
    <x v="2"/>
    <x v="0"/>
    <x v="633"/>
    <s v="HP2636964368"/>
    <x v="0"/>
    <n v="1"/>
  </r>
  <r>
    <x v="0"/>
    <x v="1"/>
    <x v="3"/>
    <x v="14"/>
    <x v="54"/>
    <x v="54"/>
    <x v="2"/>
    <s v="Y"/>
    <s v="Y"/>
    <x v="0"/>
    <x v="0"/>
    <x v="0"/>
    <x v="0"/>
    <m/>
    <m/>
    <s v="대리점"/>
    <x v="0"/>
    <x v="2"/>
    <x v="0"/>
    <x v="633"/>
    <s v="HP2636964368"/>
    <x v="1"/>
    <n v="246800"/>
  </r>
  <r>
    <x v="0"/>
    <x v="1"/>
    <x v="3"/>
    <x v="14"/>
    <x v="54"/>
    <x v="54"/>
    <x v="2"/>
    <s v="Y"/>
    <s v="Y"/>
    <x v="0"/>
    <x v="0"/>
    <x v="0"/>
    <x v="1"/>
    <s v="아동"/>
    <s v="아동"/>
    <s v="범용/상용닷컴"/>
    <x v="1"/>
    <x v="17"/>
    <x v="0"/>
    <x v="634"/>
    <s v="HP2636963666"/>
    <x v="0"/>
    <n v="1"/>
  </r>
  <r>
    <x v="0"/>
    <x v="1"/>
    <x v="3"/>
    <x v="14"/>
    <x v="54"/>
    <x v="54"/>
    <x v="2"/>
    <s v="Y"/>
    <s v="Y"/>
    <x v="0"/>
    <x v="0"/>
    <x v="0"/>
    <x v="1"/>
    <s v="아동"/>
    <s v="아동"/>
    <s v="범용/상용닷컴"/>
    <x v="1"/>
    <x v="17"/>
    <x v="0"/>
    <x v="634"/>
    <s v="HP2636963666"/>
    <x v="1"/>
    <n v="1233990"/>
  </r>
  <r>
    <x v="0"/>
    <x v="1"/>
    <x v="3"/>
    <x v="14"/>
    <x v="54"/>
    <x v="54"/>
    <x v="2"/>
    <s v="Y"/>
    <s v="Y"/>
    <x v="1"/>
    <x v="0"/>
    <x v="0"/>
    <x v="0"/>
    <s v="성인"/>
    <s v="성인"/>
    <s v="대리점"/>
    <x v="0"/>
    <x v="2"/>
    <x v="0"/>
    <x v="635"/>
    <s v="HP2636964070"/>
    <x v="0"/>
    <n v="1"/>
  </r>
  <r>
    <x v="0"/>
    <x v="1"/>
    <x v="3"/>
    <x v="14"/>
    <x v="54"/>
    <x v="54"/>
    <x v="2"/>
    <s v="Y"/>
    <s v="Y"/>
    <x v="1"/>
    <x v="0"/>
    <x v="0"/>
    <x v="0"/>
    <s v="성인"/>
    <s v="성인"/>
    <s v="대리점"/>
    <x v="0"/>
    <x v="2"/>
    <x v="0"/>
    <x v="635"/>
    <s v="HP2636964070"/>
    <x v="1"/>
    <n v="1249000"/>
  </r>
  <r>
    <x v="0"/>
    <x v="1"/>
    <x v="3"/>
    <x v="14"/>
    <x v="54"/>
    <x v="54"/>
    <x v="2"/>
    <s v="Y"/>
    <s v="Y"/>
    <x v="1"/>
    <x v="0"/>
    <x v="0"/>
    <x v="0"/>
    <m/>
    <m/>
    <s v="대리점"/>
    <x v="0"/>
    <x v="2"/>
    <x v="0"/>
    <x v="635"/>
    <s v="HP2636964070"/>
    <x v="0"/>
    <n v="3"/>
  </r>
  <r>
    <x v="0"/>
    <x v="1"/>
    <x v="3"/>
    <x v="14"/>
    <x v="54"/>
    <x v="54"/>
    <x v="2"/>
    <s v="Y"/>
    <s v="Y"/>
    <x v="1"/>
    <x v="0"/>
    <x v="0"/>
    <x v="0"/>
    <m/>
    <m/>
    <s v="대리점"/>
    <x v="0"/>
    <x v="2"/>
    <x v="0"/>
    <x v="635"/>
    <s v="HP2636964070"/>
    <x v="1"/>
    <n v="3747000"/>
  </r>
  <r>
    <x v="0"/>
    <x v="1"/>
    <x v="3"/>
    <x v="14"/>
    <x v="54"/>
    <x v="54"/>
    <x v="2"/>
    <s v="Y"/>
    <s v="Y"/>
    <x v="1"/>
    <x v="0"/>
    <x v="0"/>
    <x v="0"/>
    <m/>
    <m/>
    <s v="범용/상용닷컴"/>
    <x v="1"/>
    <x v="2"/>
    <x v="1"/>
    <x v="636"/>
    <s v="HP2636965334"/>
    <x v="0"/>
    <n v="0"/>
  </r>
  <r>
    <x v="0"/>
    <x v="1"/>
    <x v="3"/>
    <x v="14"/>
    <x v="54"/>
    <x v="54"/>
    <x v="2"/>
    <s v="Y"/>
    <s v="Y"/>
    <x v="1"/>
    <x v="0"/>
    <x v="0"/>
    <x v="0"/>
    <m/>
    <m/>
    <s v="범용/상용닷컴"/>
    <x v="1"/>
    <x v="2"/>
    <x v="1"/>
    <x v="636"/>
    <s v="HP2636965334"/>
    <x v="1"/>
    <n v="1933800"/>
  </r>
  <r>
    <x v="0"/>
    <x v="1"/>
    <x v="3"/>
    <x v="14"/>
    <x v="54"/>
    <x v="54"/>
    <x v="3"/>
    <s v="N"/>
    <s v="Y"/>
    <x v="0"/>
    <x v="0"/>
    <x v="0"/>
    <x v="0"/>
    <s v="성인"/>
    <s v="성인"/>
    <s v="범용/상용닷컴"/>
    <x v="1"/>
    <x v="15"/>
    <x v="0"/>
    <x v="637"/>
    <s v="HP2636986624"/>
    <x v="0"/>
    <n v="2"/>
  </r>
  <r>
    <x v="0"/>
    <x v="1"/>
    <x v="3"/>
    <x v="14"/>
    <x v="54"/>
    <x v="54"/>
    <x v="3"/>
    <s v="N"/>
    <s v="Y"/>
    <x v="0"/>
    <x v="0"/>
    <x v="0"/>
    <x v="0"/>
    <s v="성인"/>
    <s v="성인"/>
    <s v="범용/상용닷컴"/>
    <x v="1"/>
    <x v="15"/>
    <x v="0"/>
    <x v="637"/>
    <s v="HP2636986624"/>
    <x v="1"/>
    <n v="2690800"/>
  </r>
  <r>
    <x v="0"/>
    <x v="1"/>
    <x v="3"/>
    <x v="14"/>
    <x v="54"/>
    <x v="54"/>
    <x v="4"/>
    <s v="N"/>
    <s v="N"/>
    <x v="0"/>
    <x v="0"/>
    <x v="0"/>
    <x v="0"/>
    <m/>
    <m/>
    <s v="대리점"/>
    <x v="0"/>
    <x v="2"/>
    <x v="1"/>
    <x v="638"/>
    <s v="HP2637012146"/>
    <x v="0"/>
    <n v="0"/>
  </r>
  <r>
    <x v="0"/>
    <x v="1"/>
    <x v="3"/>
    <x v="14"/>
    <x v="54"/>
    <x v="54"/>
    <x v="4"/>
    <s v="N"/>
    <s v="N"/>
    <x v="0"/>
    <x v="0"/>
    <x v="0"/>
    <x v="0"/>
    <m/>
    <m/>
    <s v="대리점"/>
    <x v="0"/>
    <x v="2"/>
    <x v="1"/>
    <x v="638"/>
    <s v="HP2637012146"/>
    <x v="1"/>
    <n v="19025000"/>
  </r>
  <r>
    <x v="0"/>
    <x v="1"/>
    <x v="3"/>
    <x v="14"/>
    <x v="54"/>
    <x v="54"/>
    <x v="4"/>
    <s v="N"/>
    <s v="N"/>
    <x v="0"/>
    <x v="0"/>
    <x v="0"/>
    <x v="0"/>
    <m/>
    <m/>
    <s v="범용/상용닷컴"/>
    <x v="1"/>
    <x v="17"/>
    <x v="1"/>
    <x v="639"/>
    <s v="HP2637000146"/>
    <x v="0"/>
    <n v="0"/>
  </r>
  <r>
    <x v="0"/>
    <x v="1"/>
    <x v="3"/>
    <x v="14"/>
    <x v="54"/>
    <x v="54"/>
    <x v="4"/>
    <s v="N"/>
    <s v="N"/>
    <x v="0"/>
    <x v="0"/>
    <x v="0"/>
    <x v="0"/>
    <m/>
    <m/>
    <s v="범용/상용닷컴"/>
    <x v="1"/>
    <x v="17"/>
    <x v="1"/>
    <x v="639"/>
    <s v="HP2637000146"/>
    <x v="1"/>
    <n v="4303600"/>
  </r>
  <r>
    <x v="0"/>
    <x v="1"/>
    <x v="3"/>
    <x v="14"/>
    <x v="54"/>
    <x v="54"/>
    <x v="4"/>
    <s v="N"/>
    <s v="N"/>
    <x v="1"/>
    <x v="0"/>
    <x v="0"/>
    <x v="0"/>
    <s v="성인"/>
    <s v="성인"/>
    <s v="대리점"/>
    <x v="0"/>
    <x v="2"/>
    <x v="0"/>
    <x v="640"/>
    <s v="HP2637006048"/>
    <x v="0"/>
    <n v="4"/>
  </r>
  <r>
    <x v="0"/>
    <x v="1"/>
    <x v="3"/>
    <x v="14"/>
    <x v="54"/>
    <x v="54"/>
    <x v="4"/>
    <s v="N"/>
    <s v="N"/>
    <x v="1"/>
    <x v="0"/>
    <x v="0"/>
    <x v="0"/>
    <s v="성인"/>
    <s v="성인"/>
    <s v="대리점"/>
    <x v="0"/>
    <x v="2"/>
    <x v="0"/>
    <x v="640"/>
    <s v="HP2637006048"/>
    <x v="1"/>
    <n v="6396000"/>
  </r>
  <r>
    <x v="0"/>
    <x v="1"/>
    <x v="3"/>
    <x v="14"/>
    <x v="54"/>
    <x v="54"/>
    <x v="4"/>
    <s v="N"/>
    <s v="N"/>
    <x v="1"/>
    <x v="0"/>
    <x v="0"/>
    <x v="0"/>
    <m/>
    <m/>
    <s v="대리점"/>
    <x v="0"/>
    <x v="5"/>
    <x v="1"/>
    <x v="641"/>
    <s v="HP2637014864"/>
    <x v="0"/>
    <n v="0"/>
  </r>
  <r>
    <x v="0"/>
    <x v="1"/>
    <x v="3"/>
    <x v="14"/>
    <x v="54"/>
    <x v="54"/>
    <x v="4"/>
    <s v="N"/>
    <s v="N"/>
    <x v="1"/>
    <x v="0"/>
    <x v="0"/>
    <x v="0"/>
    <m/>
    <m/>
    <s v="대리점"/>
    <x v="0"/>
    <x v="5"/>
    <x v="1"/>
    <x v="641"/>
    <s v="HP2637014864"/>
    <x v="1"/>
    <n v="3398000"/>
  </r>
  <r>
    <x v="0"/>
    <x v="1"/>
    <x v="3"/>
    <x v="14"/>
    <x v="54"/>
    <x v="54"/>
    <x v="5"/>
    <s v="N"/>
    <s v="N"/>
    <x v="0"/>
    <x v="0"/>
    <x v="0"/>
    <x v="0"/>
    <s v="성인"/>
    <s v="성인"/>
    <s v="대리점"/>
    <x v="0"/>
    <x v="2"/>
    <x v="0"/>
    <x v="642"/>
    <s v="HP2637038532"/>
    <x v="0"/>
    <n v="6"/>
  </r>
  <r>
    <x v="0"/>
    <x v="1"/>
    <x v="3"/>
    <x v="14"/>
    <x v="54"/>
    <x v="54"/>
    <x v="5"/>
    <s v="N"/>
    <s v="N"/>
    <x v="0"/>
    <x v="0"/>
    <x v="0"/>
    <x v="0"/>
    <s v="성인"/>
    <s v="성인"/>
    <s v="대리점"/>
    <x v="0"/>
    <x v="2"/>
    <x v="0"/>
    <x v="642"/>
    <s v="HP2637038532"/>
    <x v="1"/>
    <n v="8194800"/>
  </r>
  <r>
    <x v="0"/>
    <x v="1"/>
    <x v="3"/>
    <x v="14"/>
    <x v="54"/>
    <x v="54"/>
    <x v="5"/>
    <s v="N"/>
    <s v="N"/>
    <x v="0"/>
    <x v="0"/>
    <x v="0"/>
    <x v="0"/>
    <s v="성인"/>
    <s v="성인"/>
    <s v="범용/상용닷컴"/>
    <x v="1"/>
    <x v="2"/>
    <x v="0"/>
    <x v="643"/>
    <s v="HP2637028900"/>
    <x v="0"/>
    <n v="2"/>
  </r>
  <r>
    <x v="0"/>
    <x v="1"/>
    <x v="3"/>
    <x v="14"/>
    <x v="54"/>
    <x v="54"/>
    <x v="5"/>
    <s v="N"/>
    <s v="N"/>
    <x v="0"/>
    <x v="0"/>
    <x v="0"/>
    <x v="0"/>
    <s v="성인"/>
    <s v="성인"/>
    <s v="범용/상용닷컴"/>
    <x v="1"/>
    <x v="2"/>
    <x v="0"/>
    <x v="643"/>
    <s v="HP2637028900"/>
    <x v="1"/>
    <n v="1298000"/>
  </r>
  <r>
    <x v="0"/>
    <x v="1"/>
    <x v="3"/>
    <x v="14"/>
    <x v="54"/>
    <x v="54"/>
    <x v="5"/>
    <s v="N"/>
    <s v="N"/>
    <x v="1"/>
    <x v="0"/>
    <x v="0"/>
    <x v="0"/>
    <m/>
    <m/>
    <s v="대리점"/>
    <x v="0"/>
    <x v="2"/>
    <x v="1"/>
    <x v="644"/>
    <s v="HP2637034794"/>
    <x v="0"/>
    <n v="0"/>
  </r>
  <r>
    <x v="0"/>
    <x v="1"/>
    <x v="3"/>
    <x v="14"/>
    <x v="54"/>
    <x v="54"/>
    <x v="5"/>
    <s v="N"/>
    <s v="N"/>
    <x v="1"/>
    <x v="0"/>
    <x v="0"/>
    <x v="0"/>
    <m/>
    <m/>
    <s v="대리점"/>
    <x v="0"/>
    <x v="2"/>
    <x v="1"/>
    <x v="644"/>
    <s v="HP2637034794"/>
    <x v="1"/>
    <n v="2110000"/>
  </r>
  <r>
    <x v="0"/>
    <x v="1"/>
    <x v="3"/>
    <x v="14"/>
    <x v="54"/>
    <x v="54"/>
    <x v="6"/>
    <s v="N"/>
    <s v="N"/>
    <x v="4"/>
    <x v="1"/>
    <x v="0"/>
    <x v="0"/>
    <s v="성인"/>
    <s v="성인"/>
    <s v="대리점"/>
    <x v="0"/>
    <x v="2"/>
    <x v="0"/>
    <x v="645"/>
    <s v="HB2637049124"/>
    <x v="0"/>
    <n v="2"/>
  </r>
  <r>
    <x v="0"/>
    <x v="1"/>
    <x v="3"/>
    <x v="14"/>
    <x v="54"/>
    <x v="54"/>
    <x v="6"/>
    <s v="N"/>
    <s v="N"/>
    <x v="4"/>
    <x v="1"/>
    <x v="0"/>
    <x v="0"/>
    <s v="성인"/>
    <s v="성인"/>
    <s v="대리점"/>
    <x v="0"/>
    <x v="2"/>
    <x v="0"/>
    <x v="645"/>
    <s v="HB2637049124"/>
    <x v="1"/>
    <n v="945800"/>
  </r>
  <r>
    <x v="0"/>
    <x v="1"/>
    <x v="3"/>
    <x v="14"/>
    <x v="54"/>
    <x v="54"/>
    <x v="6"/>
    <s v="N"/>
    <s v="N"/>
    <x v="4"/>
    <x v="1"/>
    <x v="0"/>
    <x v="1"/>
    <s v="유아"/>
    <s v="유아"/>
    <s v="대리점"/>
    <x v="0"/>
    <x v="2"/>
    <x v="0"/>
    <x v="645"/>
    <s v="HB2637049124"/>
    <x v="0"/>
    <n v="1"/>
  </r>
  <r>
    <x v="0"/>
    <x v="1"/>
    <x v="3"/>
    <x v="14"/>
    <x v="54"/>
    <x v="54"/>
    <x v="6"/>
    <s v="N"/>
    <s v="N"/>
    <x v="4"/>
    <x v="1"/>
    <x v="0"/>
    <x v="1"/>
    <s v="유아"/>
    <s v="유아"/>
    <s v="대리점"/>
    <x v="0"/>
    <x v="2"/>
    <x v="0"/>
    <x v="645"/>
    <s v="HB2637049124"/>
    <x v="1"/>
    <n v="472900"/>
  </r>
  <r>
    <x v="0"/>
    <x v="1"/>
    <x v="3"/>
    <x v="14"/>
    <x v="54"/>
    <x v="54"/>
    <x v="6"/>
    <s v="N"/>
    <s v="N"/>
    <x v="4"/>
    <x v="0"/>
    <x v="0"/>
    <x v="0"/>
    <s v="성인"/>
    <s v="성인"/>
    <s v="대리점"/>
    <x v="0"/>
    <x v="11"/>
    <x v="0"/>
    <x v="646"/>
    <s v="HP2635892006"/>
    <x v="0"/>
    <n v="1"/>
  </r>
  <r>
    <x v="0"/>
    <x v="1"/>
    <x v="3"/>
    <x v="14"/>
    <x v="54"/>
    <x v="54"/>
    <x v="6"/>
    <s v="N"/>
    <s v="N"/>
    <x v="4"/>
    <x v="0"/>
    <x v="0"/>
    <x v="0"/>
    <s v="성인"/>
    <s v="성인"/>
    <s v="대리점"/>
    <x v="0"/>
    <x v="11"/>
    <x v="0"/>
    <x v="646"/>
    <s v="HP2635892006"/>
    <x v="1"/>
    <n v="469900"/>
  </r>
  <r>
    <x v="0"/>
    <x v="1"/>
    <x v="3"/>
    <x v="14"/>
    <x v="54"/>
    <x v="54"/>
    <x v="7"/>
    <s v="N"/>
    <s v="Y"/>
    <x v="4"/>
    <x v="0"/>
    <x v="0"/>
    <x v="0"/>
    <s v="성인"/>
    <s v="성인"/>
    <s v="범용/상용닷컴"/>
    <x v="1"/>
    <x v="11"/>
    <x v="0"/>
    <x v="647"/>
    <s v="HP2637071996"/>
    <x v="0"/>
    <n v="8"/>
  </r>
  <r>
    <x v="0"/>
    <x v="1"/>
    <x v="3"/>
    <x v="14"/>
    <x v="54"/>
    <x v="54"/>
    <x v="7"/>
    <s v="N"/>
    <s v="Y"/>
    <x v="4"/>
    <x v="0"/>
    <x v="0"/>
    <x v="0"/>
    <s v="성인"/>
    <s v="성인"/>
    <s v="범용/상용닷컴"/>
    <x v="1"/>
    <x v="11"/>
    <x v="0"/>
    <x v="647"/>
    <s v="HP2637071996"/>
    <x v="1"/>
    <n v="4560000"/>
  </r>
  <r>
    <x v="0"/>
    <x v="1"/>
    <x v="3"/>
    <x v="14"/>
    <x v="54"/>
    <x v="54"/>
    <x v="7"/>
    <s v="N"/>
    <s v="Y"/>
    <x v="4"/>
    <x v="0"/>
    <x v="0"/>
    <x v="0"/>
    <m/>
    <m/>
    <s v="범용/상용닷컴"/>
    <x v="1"/>
    <x v="11"/>
    <x v="1"/>
    <x v="647"/>
    <s v="HP2637071996"/>
    <x v="0"/>
    <n v="0"/>
  </r>
  <r>
    <x v="0"/>
    <x v="1"/>
    <x v="3"/>
    <x v="14"/>
    <x v="54"/>
    <x v="54"/>
    <x v="7"/>
    <s v="N"/>
    <s v="Y"/>
    <x v="4"/>
    <x v="0"/>
    <x v="0"/>
    <x v="0"/>
    <m/>
    <m/>
    <s v="범용/상용닷컴"/>
    <x v="1"/>
    <x v="11"/>
    <x v="1"/>
    <x v="647"/>
    <s v="HP2637071996"/>
    <x v="1"/>
    <n v="1140000"/>
  </r>
  <r>
    <x v="0"/>
    <x v="1"/>
    <x v="3"/>
    <x v="14"/>
    <x v="54"/>
    <x v="54"/>
    <x v="7"/>
    <s v="N"/>
    <s v="Y"/>
    <x v="0"/>
    <x v="0"/>
    <x v="0"/>
    <x v="0"/>
    <s v="성인"/>
    <s v="성인"/>
    <s v="대리점"/>
    <x v="0"/>
    <x v="2"/>
    <x v="0"/>
    <x v="648"/>
    <s v="HP2637070160"/>
    <x v="0"/>
    <n v="1"/>
  </r>
  <r>
    <x v="0"/>
    <x v="1"/>
    <x v="3"/>
    <x v="14"/>
    <x v="54"/>
    <x v="54"/>
    <x v="7"/>
    <s v="N"/>
    <s v="Y"/>
    <x v="0"/>
    <x v="0"/>
    <x v="0"/>
    <x v="0"/>
    <s v="성인"/>
    <s v="성인"/>
    <s v="대리점"/>
    <x v="0"/>
    <x v="2"/>
    <x v="0"/>
    <x v="648"/>
    <s v="HP2637070160"/>
    <x v="1"/>
    <n v="1649000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15"/>
    <x v="0"/>
    <x v="649"/>
    <s v="HP2637071662"/>
    <x v="0"/>
    <n v="4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15"/>
    <x v="0"/>
    <x v="649"/>
    <s v="HP2637071662"/>
    <x v="1"/>
    <n v="3596000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2"/>
    <x v="0"/>
    <x v="650"/>
    <s v="HP2637069664"/>
    <x v="0"/>
    <n v="3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2"/>
    <x v="0"/>
    <x v="650"/>
    <s v="HP2637069664"/>
    <x v="1"/>
    <n v="5185800"/>
  </r>
  <r>
    <x v="0"/>
    <x v="1"/>
    <x v="3"/>
    <x v="14"/>
    <x v="54"/>
    <x v="54"/>
    <x v="7"/>
    <s v="N"/>
    <s v="Y"/>
    <x v="0"/>
    <x v="0"/>
    <x v="0"/>
    <x v="0"/>
    <m/>
    <m/>
    <s v="대리점"/>
    <x v="0"/>
    <x v="2"/>
    <x v="0"/>
    <x v="648"/>
    <s v="HP2637070160"/>
    <x v="0"/>
    <n v="1"/>
  </r>
  <r>
    <x v="0"/>
    <x v="1"/>
    <x v="3"/>
    <x v="14"/>
    <x v="54"/>
    <x v="54"/>
    <x v="7"/>
    <s v="N"/>
    <s v="Y"/>
    <x v="0"/>
    <x v="0"/>
    <x v="0"/>
    <x v="0"/>
    <m/>
    <m/>
    <s v="대리점"/>
    <x v="0"/>
    <x v="2"/>
    <x v="0"/>
    <x v="648"/>
    <s v="HP2637070160"/>
    <x v="1"/>
    <n v="1649000"/>
  </r>
  <r>
    <x v="0"/>
    <x v="1"/>
    <x v="3"/>
    <x v="14"/>
    <x v="54"/>
    <x v="54"/>
    <x v="7"/>
    <s v="N"/>
    <s v="Y"/>
    <x v="1"/>
    <x v="0"/>
    <x v="0"/>
    <x v="0"/>
    <s v="성인"/>
    <s v="성인"/>
    <s v="대리점"/>
    <x v="0"/>
    <x v="2"/>
    <x v="0"/>
    <x v="651"/>
    <s v="HP2637069356"/>
    <x v="0"/>
    <n v="2"/>
  </r>
  <r>
    <x v="0"/>
    <x v="1"/>
    <x v="3"/>
    <x v="14"/>
    <x v="54"/>
    <x v="54"/>
    <x v="7"/>
    <s v="N"/>
    <s v="Y"/>
    <x v="1"/>
    <x v="0"/>
    <x v="0"/>
    <x v="0"/>
    <s v="성인"/>
    <s v="성인"/>
    <s v="대리점"/>
    <x v="0"/>
    <x v="2"/>
    <x v="0"/>
    <x v="651"/>
    <s v="HP2637069356"/>
    <x v="1"/>
    <n v="1434800"/>
  </r>
  <r>
    <x v="0"/>
    <x v="1"/>
    <x v="3"/>
    <x v="14"/>
    <x v="54"/>
    <x v="54"/>
    <x v="7"/>
    <s v="N"/>
    <s v="Y"/>
    <x v="1"/>
    <x v="0"/>
    <x v="0"/>
    <x v="0"/>
    <s v="성인"/>
    <s v="성인"/>
    <s v="범용/상용닷컴"/>
    <x v="1"/>
    <x v="6"/>
    <x v="0"/>
    <x v="652"/>
    <s v="HP2637068546"/>
    <x v="0"/>
    <n v="4"/>
  </r>
  <r>
    <x v="0"/>
    <x v="1"/>
    <x v="3"/>
    <x v="14"/>
    <x v="54"/>
    <x v="54"/>
    <x v="7"/>
    <s v="N"/>
    <s v="Y"/>
    <x v="1"/>
    <x v="0"/>
    <x v="0"/>
    <x v="0"/>
    <s v="성인"/>
    <s v="성인"/>
    <s v="범용/상용닷컴"/>
    <x v="1"/>
    <x v="6"/>
    <x v="0"/>
    <x v="652"/>
    <s v="HP2637068546"/>
    <x v="1"/>
    <n v="3999600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387"/>
    <s v="HP2637068564"/>
    <x v="0"/>
    <n v="4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387"/>
    <s v="HP2637068564"/>
    <x v="1"/>
    <n v="4089200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653"/>
    <s v="HP2637068552"/>
    <x v="0"/>
    <n v="4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653"/>
    <s v="HP2637068552"/>
    <x v="1"/>
    <n v="13186400"/>
  </r>
  <r>
    <x v="0"/>
    <x v="1"/>
    <x v="3"/>
    <x v="14"/>
    <x v="54"/>
    <x v="54"/>
    <x v="8"/>
    <s v="Y"/>
    <s v="N"/>
    <x v="4"/>
    <x v="1"/>
    <x v="0"/>
    <x v="0"/>
    <m/>
    <m/>
    <s v="대리점"/>
    <x v="0"/>
    <x v="33"/>
    <x v="0"/>
    <x v="654"/>
    <s v="HB2637079980"/>
    <x v="0"/>
    <n v="2"/>
  </r>
  <r>
    <x v="0"/>
    <x v="1"/>
    <x v="3"/>
    <x v="14"/>
    <x v="54"/>
    <x v="54"/>
    <x v="8"/>
    <s v="Y"/>
    <s v="N"/>
    <x v="4"/>
    <x v="1"/>
    <x v="0"/>
    <x v="0"/>
    <m/>
    <m/>
    <s v="대리점"/>
    <x v="0"/>
    <x v="33"/>
    <x v="0"/>
    <x v="654"/>
    <s v="HB2637079980"/>
    <x v="1"/>
    <n v="614000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17"/>
    <x v="0"/>
    <x v="655"/>
    <s v="HP2637086738"/>
    <x v="0"/>
    <n v="1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17"/>
    <x v="0"/>
    <x v="655"/>
    <s v="HP2637086738"/>
    <x v="1"/>
    <n v="1170100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6"/>
    <s v="HP2637079556"/>
    <x v="0"/>
    <n v="1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6"/>
    <s v="HP2637079556"/>
    <x v="1"/>
    <n v="399000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7"/>
    <s v="HP2637088308"/>
    <x v="0"/>
    <n v="1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7"/>
    <s v="HP2637088308"/>
    <x v="1"/>
    <n v="1199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17"/>
    <x v="0"/>
    <x v="658"/>
    <s v="HP2637089294"/>
    <x v="0"/>
    <n v="5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17"/>
    <x v="0"/>
    <x v="658"/>
    <s v="HP2637089294"/>
    <x v="1"/>
    <n v="46295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6"/>
    <s v="HP2637079556"/>
    <x v="0"/>
    <n v="6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6"/>
    <s v="HP2637079556"/>
    <x v="1"/>
    <n v="2394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9"/>
    <s v="HP2637088456"/>
    <x v="0"/>
    <n v="8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9"/>
    <s v="HP2637088456"/>
    <x v="1"/>
    <n v="10392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7"/>
    <s v="HP2637088308"/>
    <x v="0"/>
    <n v="7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7"/>
    <s v="HP2637088308"/>
    <x v="1"/>
    <n v="8393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60"/>
    <s v="HP2637089348"/>
    <x v="0"/>
    <n v="4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60"/>
    <s v="HP2637089348"/>
    <x v="1"/>
    <n v="7420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1"/>
    <x v="661"/>
    <s v="HP2637086668"/>
    <x v="0"/>
    <n v="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1"/>
    <x v="661"/>
    <s v="HP2637086668"/>
    <x v="1"/>
    <n v="2040200"/>
  </r>
  <r>
    <x v="0"/>
    <x v="1"/>
    <x v="3"/>
    <x v="14"/>
    <x v="54"/>
    <x v="54"/>
    <x v="8"/>
    <s v="Y"/>
    <s v="N"/>
    <x v="0"/>
    <x v="0"/>
    <x v="0"/>
    <x v="1"/>
    <s v="아동"/>
    <s v="아동"/>
    <s v="대리점"/>
    <x v="0"/>
    <x v="17"/>
    <x v="0"/>
    <x v="655"/>
    <s v="HP2637086738"/>
    <x v="0"/>
    <n v="1"/>
  </r>
  <r>
    <x v="0"/>
    <x v="1"/>
    <x v="3"/>
    <x v="14"/>
    <x v="54"/>
    <x v="54"/>
    <x v="8"/>
    <s v="Y"/>
    <s v="N"/>
    <x v="0"/>
    <x v="0"/>
    <x v="0"/>
    <x v="1"/>
    <s v="아동"/>
    <s v="아동"/>
    <s v="대리점"/>
    <x v="0"/>
    <x v="17"/>
    <x v="0"/>
    <x v="655"/>
    <s v="HP2637086738"/>
    <x v="1"/>
    <n v="1170100"/>
  </r>
  <r>
    <x v="0"/>
    <x v="1"/>
    <x v="3"/>
    <x v="14"/>
    <x v="54"/>
    <x v="54"/>
    <x v="8"/>
    <s v="Y"/>
    <s v="N"/>
    <x v="1"/>
    <x v="0"/>
    <x v="0"/>
    <x v="0"/>
    <s v="성인"/>
    <s v="성인"/>
    <s v="범용/상용닷컴"/>
    <x v="1"/>
    <x v="2"/>
    <x v="0"/>
    <x v="636"/>
    <s v="HP2637079062"/>
    <x v="0"/>
    <n v="2"/>
  </r>
  <r>
    <x v="0"/>
    <x v="1"/>
    <x v="3"/>
    <x v="14"/>
    <x v="54"/>
    <x v="54"/>
    <x v="8"/>
    <s v="Y"/>
    <s v="N"/>
    <x v="1"/>
    <x v="0"/>
    <x v="0"/>
    <x v="0"/>
    <s v="성인"/>
    <s v="성인"/>
    <s v="범용/상용닷컴"/>
    <x v="1"/>
    <x v="2"/>
    <x v="0"/>
    <x v="636"/>
    <s v="HP2637079062"/>
    <x v="1"/>
    <n v="1933800"/>
  </r>
  <r>
    <x v="0"/>
    <x v="1"/>
    <x v="3"/>
    <x v="14"/>
    <x v="54"/>
    <x v="54"/>
    <x v="8"/>
    <s v="Y"/>
    <s v="N"/>
    <x v="1"/>
    <x v="0"/>
    <x v="0"/>
    <x v="0"/>
    <m/>
    <m/>
    <s v="대리점"/>
    <x v="0"/>
    <x v="2"/>
    <x v="0"/>
    <x v="662"/>
    <s v="HP2637089314"/>
    <x v="0"/>
    <n v="4"/>
  </r>
  <r>
    <x v="0"/>
    <x v="1"/>
    <x v="3"/>
    <x v="14"/>
    <x v="54"/>
    <x v="54"/>
    <x v="8"/>
    <s v="Y"/>
    <s v="N"/>
    <x v="1"/>
    <x v="0"/>
    <x v="0"/>
    <x v="0"/>
    <m/>
    <m/>
    <s v="대리점"/>
    <x v="0"/>
    <x v="2"/>
    <x v="0"/>
    <x v="662"/>
    <s v="HP2637089314"/>
    <x v="1"/>
    <n v="5796000"/>
  </r>
  <r>
    <x v="0"/>
    <x v="1"/>
    <x v="3"/>
    <x v="14"/>
    <x v="54"/>
    <x v="54"/>
    <x v="9"/>
    <s v="Y"/>
    <s v="N"/>
    <x v="1"/>
    <x v="0"/>
    <x v="0"/>
    <x v="0"/>
    <s v="성인"/>
    <s v="성인"/>
    <s v="범용/상용닷컴"/>
    <x v="1"/>
    <x v="24"/>
    <x v="0"/>
    <x v="663"/>
    <s v="HP2637097712"/>
    <x v="0"/>
    <n v="2"/>
  </r>
  <r>
    <x v="0"/>
    <x v="1"/>
    <x v="3"/>
    <x v="14"/>
    <x v="54"/>
    <x v="54"/>
    <x v="9"/>
    <s v="Y"/>
    <s v="N"/>
    <x v="1"/>
    <x v="0"/>
    <x v="0"/>
    <x v="0"/>
    <s v="성인"/>
    <s v="성인"/>
    <s v="범용/상용닷컴"/>
    <x v="1"/>
    <x v="24"/>
    <x v="0"/>
    <x v="663"/>
    <s v="HP2637097712"/>
    <x v="1"/>
    <n v="7618000"/>
  </r>
  <r>
    <x v="0"/>
    <x v="1"/>
    <x v="3"/>
    <x v="14"/>
    <x v="54"/>
    <x v="54"/>
    <x v="10"/>
    <s v="N"/>
    <s v="N"/>
    <x v="4"/>
    <x v="1"/>
    <x v="0"/>
    <x v="0"/>
    <s v="청소년"/>
    <s v="청소년"/>
    <s v="대리점"/>
    <x v="0"/>
    <x v="2"/>
    <x v="0"/>
    <x v="645"/>
    <s v="HB2637049124"/>
    <x v="0"/>
    <n v="1"/>
  </r>
  <r>
    <x v="0"/>
    <x v="1"/>
    <x v="3"/>
    <x v="14"/>
    <x v="54"/>
    <x v="54"/>
    <x v="10"/>
    <s v="N"/>
    <s v="N"/>
    <x v="4"/>
    <x v="1"/>
    <x v="0"/>
    <x v="0"/>
    <s v="청소년"/>
    <s v="청소년"/>
    <s v="대리점"/>
    <x v="0"/>
    <x v="2"/>
    <x v="0"/>
    <x v="645"/>
    <s v="HB2637049124"/>
    <x v="1"/>
    <n v="472900"/>
  </r>
  <r>
    <x v="0"/>
    <x v="1"/>
    <x v="3"/>
    <x v="14"/>
    <x v="54"/>
    <x v="54"/>
    <x v="10"/>
    <s v="N"/>
    <s v="N"/>
    <x v="0"/>
    <x v="0"/>
    <x v="0"/>
    <x v="0"/>
    <s v="성인"/>
    <s v="성인"/>
    <s v="대리점"/>
    <x v="0"/>
    <x v="2"/>
    <x v="0"/>
    <x v="664"/>
    <s v="HP2637112610"/>
    <x v="0"/>
    <n v="2"/>
  </r>
  <r>
    <x v="0"/>
    <x v="1"/>
    <x v="3"/>
    <x v="14"/>
    <x v="54"/>
    <x v="54"/>
    <x v="10"/>
    <s v="N"/>
    <s v="N"/>
    <x v="0"/>
    <x v="0"/>
    <x v="0"/>
    <x v="0"/>
    <s v="성인"/>
    <s v="성인"/>
    <s v="대리점"/>
    <x v="0"/>
    <x v="2"/>
    <x v="0"/>
    <x v="664"/>
    <s v="HP2637112610"/>
    <x v="1"/>
    <n v="238000"/>
  </r>
  <r>
    <x v="0"/>
    <x v="1"/>
    <x v="3"/>
    <x v="14"/>
    <x v="54"/>
    <x v="54"/>
    <x v="10"/>
    <s v="N"/>
    <s v="N"/>
    <x v="0"/>
    <x v="0"/>
    <x v="0"/>
    <x v="0"/>
    <m/>
    <m/>
    <s v="대리점"/>
    <x v="0"/>
    <x v="17"/>
    <x v="0"/>
    <x v="658"/>
    <s v="HP2637089294"/>
    <x v="0"/>
    <n v="3"/>
  </r>
  <r>
    <x v="0"/>
    <x v="1"/>
    <x v="3"/>
    <x v="14"/>
    <x v="54"/>
    <x v="54"/>
    <x v="10"/>
    <s v="N"/>
    <s v="N"/>
    <x v="0"/>
    <x v="0"/>
    <x v="0"/>
    <x v="0"/>
    <m/>
    <m/>
    <s v="대리점"/>
    <x v="0"/>
    <x v="17"/>
    <x v="0"/>
    <x v="658"/>
    <s v="HP2637089294"/>
    <x v="1"/>
    <n v="2777700"/>
  </r>
  <r>
    <x v="0"/>
    <x v="1"/>
    <x v="3"/>
    <x v="14"/>
    <x v="54"/>
    <x v="54"/>
    <x v="10"/>
    <s v="N"/>
    <s v="N"/>
    <x v="1"/>
    <x v="0"/>
    <x v="0"/>
    <x v="0"/>
    <s v="성인"/>
    <s v="성인"/>
    <s v="대리점"/>
    <x v="0"/>
    <x v="2"/>
    <x v="0"/>
    <x v="665"/>
    <s v="HP2637121486"/>
    <x v="0"/>
    <n v="4"/>
  </r>
  <r>
    <x v="0"/>
    <x v="1"/>
    <x v="3"/>
    <x v="14"/>
    <x v="54"/>
    <x v="54"/>
    <x v="10"/>
    <s v="N"/>
    <s v="N"/>
    <x v="1"/>
    <x v="0"/>
    <x v="0"/>
    <x v="0"/>
    <s v="성인"/>
    <s v="성인"/>
    <s v="대리점"/>
    <x v="0"/>
    <x v="2"/>
    <x v="0"/>
    <x v="665"/>
    <s v="HP2637121486"/>
    <x v="1"/>
    <n v="2612000"/>
  </r>
  <r>
    <x v="0"/>
    <x v="1"/>
    <x v="3"/>
    <x v="14"/>
    <x v="54"/>
    <x v="54"/>
    <x v="10"/>
    <s v="N"/>
    <s v="N"/>
    <x v="1"/>
    <x v="0"/>
    <x v="0"/>
    <x v="0"/>
    <m/>
    <m/>
    <s v="대리점"/>
    <x v="0"/>
    <x v="2"/>
    <x v="0"/>
    <x v="666"/>
    <s v="HP2637121474"/>
    <x v="0"/>
    <n v="5"/>
  </r>
  <r>
    <x v="0"/>
    <x v="1"/>
    <x v="3"/>
    <x v="14"/>
    <x v="54"/>
    <x v="54"/>
    <x v="10"/>
    <s v="N"/>
    <s v="N"/>
    <x v="1"/>
    <x v="0"/>
    <x v="0"/>
    <x v="0"/>
    <m/>
    <m/>
    <s v="대리점"/>
    <x v="0"/>
    <x v="2"/>
    <x v="0"/>
    <x v="666"/>
    <s v="HP2637121474"/>
    <x v="1"/>
    <n v="6090500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7"/>
    <s v="HP2637113206"/>
    <x v="0"/>
    <n v="2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7"/>
    <s v="HP2637113206"/>
    <x v="1"/>
    <n v="3075800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8"/>
    <s v="HP2637114094"/>
    <x v="0"/>
    <n v="2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8"/>
    <s v="HP2637114094"/>
    <x v="1"/>
    <n v="2975800"/>
  </r>
  <r>
    <x v="0"/>
    <x v="1"/>
    <x v="3"/>
    <x v="14"/>
    <x v="54"/>
    <x v="54"/>
    <x v="10"/>
    <s v="N"/>
    <s v="N"/>
    <x v="8"/>
    <x v="6"/>
    <x v="0"/>
    <x v="0"/>
    <s v="성인"/>
    <s v="성인"/>
    <s v="대리점"/>
    <x v="0"/>
    <x v="2"/>
    <x v="0"/>
    <x v="669"/>
    <s v="HX2637119742"/>
    <x v="0"/>
    <n v="1"/>
  </r>
  <r>
    <x v="0"/>
    <x v="1"/>
    <x v="3"/>
    <x v="14"/>
    <x v="54"/>
    <x v="54"/>
    <x v="10"/>
    <s v="N"/>
    <s v="N"/>
    <x v="8"/>
    <x v="6"/>
    <x v="0"/>
    <x v="0"/>
    <s v="성인"/>
    <s v="성인"/>
    <s v="대리점"/>
    <x v="0"/>
    <x v="2"/>
    <x v="0"/>
    <x v="669"/>
    <s v="HX2637119742"/>
    <x v="1"/>
    <n v="99000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0"/>
    <s v="HX2637122032"/>
    <x v="0"/>
    <n v="2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0"/>
    <s v="HX2637122032"/>
    <x v="1"/>
    <n v="98000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1"/>
    <s v="HX2637124386"/>
    <x v="0"/>
    <n v="5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1"/>
    <s v="HX2637124386"/>
    <x v="1"/>
    <n v="245000"/>
  </r>
  <r>
    <x v="0"/>
    <x v="1"/>
    <x v="3"/>
    <x v="14"/>
    <x v="54"/>
    <x v="54"/>
    <x v="10"/>
    <s v="N"/>
    <s v="N"/>
    <x v="8"/>
    <x v="6"/>
    <x v="0"/>
    <x v="0"/>
    <s v="성인"/>
    <m/>
    <s v="대리점"/>
    <x v="0"/>
    <x v="2"/>
    <x v="0"/>
    <x v="669"/>
    <s v="HX2637119742"/>
    <x v="0"/>
    <n v="1"/>
  </r>
  <r>
    <x v="0"/>
    <x v="1"/>
    <x v="3"/>
    <x v="14"/>
    <x v="54"/>
    <x v="54"/>
    <x v="10"/>
    <s v="N"/>
    <s v="N"/>
    <x v="8"/>
    <x v="6"/>
    <x v="0"/>
    <x v="0"/>
    <s v="성인"/>
    <m/>
    <s v="대리점"/>
    <x v="0"/>
    <x v="2"/>
    <x v="0"/>
    <x v="669"/>
    <s v="HX2637119742"/>
    <x v="1"/>
    <n v="99000"/>
  </r>
  <r>
    <x v="0"/>
    <x v="1"/>
    <x v="3"/>
    <x v="14"/>
    <x v="54"/>
    <x v="54"/>
    <x v="10"/>
    <s v="N"/>
    <s v="N"/>
    <x v="8"/>
    <x v="6"/>
    <x v="0"/>
    <x v="0"/>
    <s v="청소년"/>
    <s v="청소년"/>
    <s v="범용/상용닷컴"/>
    <x v="1"/>
    <x v="34"/>
    <x v="0"/>
    <x v="671"/>
    <s v="HX2637124386"/>
    <x v="0"/>
    <n v="2"/>
  </r>
  <r>
    <x v="0"/>
    <x v="1"/>
    <x v="3"/>
    <x v="14"/>
    <x v="54"/>
    <x v="54"/>
    <x v="10"/>
    <s v="N"/>
    <s v="N"/>
    <x v="8"/>
    <x v="6"/>
    <x v="0"/>
    <x v="0"/>
    <s v="청소년"/>
    <s v="청소년"/>
    <s v="범용/상용닷컴"/>
    <x v="1"/>
    <x v="34"/>
    <x v="0"/>
    <x v="671"/>
    <s v="HX2637124386"/>
    <x v="1"/>
    <n v="98000"/>
  </r>
  <r>
    <x v="0"/>
    <x v="1"/>
    <x v="3"/>
    <x v="14"/>
    <x v="54"/>
    <x v="54"/>
    <x v="10"/>
    <s v="N"/>
    <s v="N"/>
    <x v="8"/>
    <x v="6"/>
    <x v="0"/>
    <x v="1"/>
    <s v="아동"/>
    <s v="아동"/>
    <s v="범용/상용닷컴"/>
    <x v="1"/>
    <x v="34"/>
    <x v="0"/>
    <x v="671"/>
    <s v="HX2637124386"/>
    <x v="0"/>
    <n v="1"/>
  </r>
  <r>
    <x v="0"/>
    <x v="1"/>
    <x v="3"/>
    <x v="14"/>
    <x v="54"/>
    <x v="54"/>
    <x v="10"/>
    <s v="N"/>
    <s v="N"/>
    <x v="8"/>
    <x v="6"/>
    <x v="0"/>
    <x v="1"/>
    <s v="아동"/>
    <s v="아동"/>
    <s v="범용/상용닷컴"/>
    <x v="1"/>
    <x v="34"/>
    <x v="0"/>
    <x v="671"/>
    <s v="HX2637124386"/>
    <x v="1"/>
    <n v="36000"/>
  </r>
  <r>
    <x v="0"/>
    <x v="1"/>
    <x v="3"/>
    <x v="15"/>
    <x v="55"/>
    <x v="55"/>
    <x v="0"/>
    <s v="N"/>
    <s v="N"/>
    <x v="0"/>
    <x v="0"/>
    <x v="0"/>
    <x v="0"/>
    <s v="성인"/>
    <s v="성인"/>
    <s v="대리점"/>
    <x v="0"/>
    <x v="19"/>
    <x v="0"/>
    <x v="672"/>
    <s v="HP2636929876"/>
    <x v="0"/>
    <n v="2"/>
  </r>
  <r>
    <x v="0"/>
    <x v="1"/>
    <x v="3"/>
    <x v="15"/>
    <x v="55"/>
    <x v="55"/>
    <x v="0"/>
    <s v="N"/>
    <s v="N"/>
    <x v="0"/>
    <x v="0"/>
    <x v="0"/>
    <x v="0"/>
    <s v="성인"/>
    <s v="성인"/>
    <s v="대리점"/>
    <x v="0"/>
    <x v="19"/>
    <x v="0"/>
    <x v="672"/>
    <s v="HP2636929876"/>
    <x v="1"/>
    <n v="916200"/>
  </r>
  <r>
    <x v="0"/>
    <x v="1"/>
    <x v="3"/>
    <x v="15"/>
    <x v="55"/>
    <x v="55"/>
    <x v="0"/>
    <s v="N"/>
    <s v="N"/>
    <x v="0"/>
    <x v="0"/>
    <x v="0"/>
    <x v="0"/>
    <m/>
    <m/>
    <s v="대리점"/>
    <x v="0"/>
    <x v="19"/>
    <x v="1"/>
    <x v="672"/>
    <s v="HP2636929900"/>
    <x v="0"/>
    <n v="0"/>
  </r>
  <r>
    <x v="0"/>
    <x v="1"/>
    <x v="3"/>
    <x v="15"/>
    <x v="55"/>
    <x v="55"/>
    <x v="0"/>
    <s v="N"/>
    <s v="N"/>
    <x v="0"/>
    <x v="0"/>
    <x v="0"/>
    <x v="0"/>
    <m/>
    <m/>
    <s v="대리점"/>
    <x v="0"/>
    <x v="19"/>
    <x v="1"/>
    <x v="672"/>
    <s v="HP2636929900"/>
    <x v="1"/>
    <n v="916200"/>
  </r>
  <r>
    <x v="0"/>
    <x v="1"/>
    <x v="3"/>
    <x v="15"/>
    <x v="55"/>
    <x v="55"/>
    <x v="0"/>
    <s v="N"/>
    <s v="N"/>
    <x v="1"/>
    <x v="0"/>
    <x v="0"/>
    <x v="0"/>
    <s v="성인"/>
    <s v="성인"/>
    <s v="대리점"/>
    <x v="0"/>
    <x v="2"/>
    <x v="0"/>
    <x v="673"/>
    <s v="HP2636931544"/>
    <x v="0"/>
    <n v="4"/>
  </r>
  <r>
    <x v="0"/>
    <x v="1"/>
    <x v="3"/>
    <x v="15"/>
    <x v="55"/>
    <x v="55"/>
    <x v="0"/>
    <s v="N"/>
    <s v="N"/>
    <x v="1"/>
    <x v="0"/>
    <x v="0"/>
    <x v="0"/>
    <s v="성인"/>
    <s v="성인"/>
    <s v="대리점"/>
    <x v="0"/>
    <x v="2"/>
    <x v="0"/>
    <x v="673"/>
    <s v="HP2636931544"/>
    <x v="1"/>
    <n v="3980000"/>
  </r>
  <r>
    <x v="0"/>
    <x v="1"/>
    <x v="3"/>
    <x v="15"/>
    <x v="55"/>
    <x v="55"/>
    <x v="0"/>
    <s v="N"/>
    <s v="N"/>
    <x v="2"/>
    <x v="0"/>
    <x v="0"/>
    <x v="0"/>
    <s v="성인"/>
    <s v="성인"/>
    <s v="대리점"/>
    <x v="0"/>
    <x v="23"/>
    <x v="0"/>
    <x v="674"/>
    <s v="HP2636938404"/>
    <x v="0"/>
    <n v="2"/>
  </r>
  <r>
    <x v="0"/>
    <x v="1"/>
    <x v="3"/>
    <x v="15"/>
    <x v="55"/>
    <x v="55"/>
    <x v="0"/>
    <s v="N"/>
    <s v="N"/>
    <x v="2"/>
    <x v="0"/>
    <x v="0"/>
    <x v="0"/>
    <s v="성인"/>
    <s v="성인"/>
    <s v="대리점"/>
    <x v="0"/>
    <x v="23"/>
    <x v="0"/>
    <x v="674"/>
    <s v="HP2636938404"/>
    <x v="1"/>
    <n v="2880400"/>
  </r>
  <r>
    <x v="0"/>
    <x v="1"/>
    <x v="3"/>
    <x v="15"/>
    <x v="55"/>
    <x v="55"/>
    <x v="0"/>
    <s v="N"/>
    <s v="N"/>
    <x v="2"/>
    <x v="0"/>
    <x v="0"/>
    <x v="0"/>
    <m/>
    <m/>
    <s v="대리점"/>
    <x v="0"/>
    <x v="23"/>
    <x v="0"/>
    <x v="674"/>
    <s v="HP2636938404"/>
    <x v="0"/>
    <n v="5"/>
  </r>
  <r>
    <x v="0"/>
    <x v="1"/>
    <x v="3"/>
    <x v="15"/>
    <x v="55"/>
    <x v="55"/>
    <x v="0"/>
    <s v="N"/>
    <s v="N"/>
    <x v="2"/>
    <x v="0"/>
    <x v="0"/>
    <x v="0"/>
    <m/>
    <m/>
    <s v="대리점"/>
    <x v="0"/>
    <x v="23"/>
    <x v="0"/>
    <x v="674"/>
    <s v="HP2636938404"/>
    <x v="1"/>
    <n v="7201000"/>
  </r>
  <r>
    <x v="0"/>
    <x v="1"/>
    <x v="3"/>
    <x v="15"/>
    <x v="55"/>
    <x v="55"/>
    <x v="4"/>
    <s v="N"/>
    <s v="N"/>
    <x v="0"/>
    <x v="0"/>
    <x v="0"/>
    <x v="0"/>
    <s v="성인"/>
    <s v="성인"/>
    <s v="대리점"/>
    <x v="0"/>
    <x v="2"/>
    <x v="0"/>
    <x v="675"/>
    <s v="HP2637002770"/>
    <x v="0"/>
    <n v="2"/>
  </r>
  <r>
    <x v="0"/>
    <x v="1"/>
    <x v="3"/>
    <x v="15"/>
    <x v="55"/>
    <x v="55"/>
    <x v="4"/>
    <s v="N"/>
    <s v="N"/>
    <x v="0"/>
    <x v="0"/>
    <x v="0"/>
    <x v="0"/>
    <s v="성인"/>
    <s v="성인"/>
    <s v="대리점"/>
    <x v="0"/>
    <x v="2"/>
    <x v="0"/>
    <x v="675"/>
    <s v="HP2637002770"/>
    <x v="1"/>
    <n v="3820400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2"/>
    <x v="0"/>
    <x v="676"/>
    <s v="HP2637009692"/>
    <x v="0"/>
    <n v="3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2"/>
    <x v="0"/>
    <x v="676"/>
    <s v="HP2637009692"/>
    <x v="1"/>
    <n v="3285000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4"/>
    <x v="0"/>
    <x v="677"/>
    <s v="HP2637011446"/>
    <x v="0"/>
    <n v="2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4"/>
    <x v="0"/>
    <x v="677"/>
    <s v="HP2637011446"/>
    <x v="1"/>
    <n v="5555200"/>
  </r>
  <r>
    <x v="0"/>
    <x v="1"/>
    <x v="3"/>
    <x v="15"/>
    <x v="55"/>
    <x v="55"/>
    <x v="4"/>
    <s v="N"/>
    <s v="N"/>
    <x v="2"/>
    <x v="0"/>
    <x v="0"/>
    <x v="0"/>
    <m/>
    <m/>
    <s v="대리점"/>
    <x v="0"/>
    <x v="24"/>
    <x v="0"/>
    <x v="677"/>
    <s v="HP2637011446"/>
    <x v="0"/>
    <n v="1"/>
  </r>
  <r>
    <x v="0"/>
    <x v="1"/>
    <x v="3"/>
    <x v="15"/>
    <x v="55"/>
    <x v="55"/>
    <x v="4"/>
    <s v="N"/>
    <s v="N"/>
    <x v="2"/>
    <x v="0"/>
    <x v="0"/>
    <x v="0"/>
    <m/>
    <m/>
    <s v="대리점"/>
    <x v="0"/>
    <x v="24"/>
    <x v="0"/>
    <x v="677"/>
    <s v="HP2637011446"/>
    <x v="1"/>
    <n v="2777600"/>
  </r>
  <r>
    <x v="0"/>
    <x v="1"/>
    <x v="3"/>
    <x v="15"/>
    <x v="55"/>
    <x v="55"/>
    <x v="6"/>
    <s v="N"/>
    <s v="N"/>
    <x v="4"/>
    <x v="2"/>
    <x v="0"/>
    <x v="0"/>
    <m/>
    <m/>
    <s v="대리점"/>
    <x v="0"/>
    <x v="2"/>
    <x v="0"/>
    <x v="678"/>
    <s v="HQ2637055248"/>
    <x v="0"/>
    <n v="35"/>
  </r>
  <r>
    <x v="0"/>
    <x v="1"/>
    <x v="3"/>
    <x v="15"/>
    <x v="55"/>
    <x v="55"/>
    <x v="6"/>
    <s v="N"/>
    <s v="N"/>
    <x v="4"/>
    <x v="2"/>
    <x v="0"/>
    <x v="0"/>
    <m/>
    <m/>
    <s v="대리점"/>
    <x v="0"/>
    <x v="2"/>
    <x v="0"/>
    <x v="678"/>
    <s v="HQ2637055248"/>
    <x v="1"/>
    <n v="0"/>
  </r>
  <r>
    <x v="0"/>
    <x v="1"/>
    <x v="3"/>
    <x v="15"/>
    <x v="56"/>
    <x v="56"/>
    <x v="1"/>
    <s v="N"/>
    <s v="N"/>
    <x v="2"/>
    <x v="0"/>
    <x v="0"/>
    <x v="0"/>
    <s v="성인"/>
    <s v="성인"/>
    <s v="대리점"/>
    <x v="0"/>
    <x v="29"/>
    <x v="0"/>
    <x v="679"/>
    <s v="HP2636946308"/>
    <x v="0"/>
    <n v="6"/>
  </r>
  <r>
    <x v="0"/>
    <x v="1"/>
    <x v="3"/>
    <x v="15"/>
    <x v="56"/>
    <x v="56"/>
    <x v="1"/>
    <s v="N"/>
    <s v="N"/>
    <x v="2"/>
    <x v="0"/>
    <x v="0"/>
    <x v="0"/>
    <s v="성인"/>
    <s v="성인"/>
    <s v="대리점"/>
    <x v="0"/>
    <x v="29"/>
    <x v="0"/>
    <x v="679"/>
    <s v="HP2636946308"/>
    <x v="1"/>
    <n v="23259400"/>
  </r>
  <r>
    <x v="0"/>
    <x v="1"/>
    <x v="3"/>
    <x v="15"/>
    <x v="56"/>
    <x v="56"/>
    <x v="4"/>
    <s v="N"/>
    <s v="N"/>
    <x v="4"/>
    <x v="2"/>
    <x v="0"/>
    <x v="0"/>
    <s v="성인"/>
    <s v="성인"/>
    <s v="대리점"/>
    <x v="0"/>
    <x v="2"/>
    <x v="0"/>
    <x v="680"/>
    <s v="HQ2636888094"/>
    <x v="0"/>
    <n v="1"/>
  </r>
  <r>
    <x v="0"/>
    <x v="1"/>
    <x v="3"/>
    <x v="15"/>
    <x v="56"/>
    <x v="56"/>
    <x v="4"/>
    <s v="N"/>
    <s v="N"/>
    <x v="4"/>
    <x v="2"/>
    <x v="0"/>
    <x v="0"/>
    <s v="성인"/>
    <s v="성인"/>
    <s v="대리점"/>
    <x v="0"/>
    <x v="2"/>
    <x v="0"/>
    <x v="680"/>
    <s v="HQ2636888094"/>
    <x v="1"/>
    <n v="0"/>
  </r>
  <r>
    <x v="0"/>
    <x v="1"/>
    <x v="3"/>
    <x v="15"/>
    <x v="56"/>
    <x v="56"/>
    <x v="5"/>
    <s v="N"/>
    <s v="N"/>
    <x v="4"/>
    <x v="2"/>
    <x v="0"/>
    <x v="0"/>
    <m/>
    <m/>
    <s v="대리점"/>
    <x v="0"/>
    <x v="2"/>
    <x v="0"/>
    <x v="681"/>
    <s v="HB2637033030"/>
    <x v="0"/>
    <n v="50"/>
  </r>
  <r>
    <x v="0"/>
    <x v="1"/>
    <x v="3"/>
    <x v="15"/>
    <x v="56"/>
    <x v="56"/>
    <x v="5"/>
    <s v="N"/>
    <s v="N"/>
    <x v="4"/>
    <x v="2"/>
    <x v="0"/>
    <x v="0"/>
    <m/>
    <m/>
    <s v="대리점"/>
    <x v="0"/>
    <x v="2"/>
    <x v="0"/>
    <x v="681"/>
    <s v="HB2637033030"/>
    <x v="1"/>
    <n v="0"/>
  </r>
  <r>
    <x v="0"/>
    <x v="1"/>
    <x v="3"/>
    <x v="15"/>
    <x v="56"/>
    <x v="56"/>
    <x v="10"/>
    <s v="N"/>
    <s v="N"/>
    <x v="4"/>
    <x v="0"/>
    <x v="0"/>
    <x v="0"/>
    <s v="성인"/>
    <s v="성인"/>
    <s v="대리점"/>
    <x v="0"/>
    <x v="11"/>
    <x v="0"/>
    <x v="682"/>
    <s v="HP2637119394"/>
    <x v="0"/>
    <n v="1"/>
  </r>
  <r>
    <x v="0"/>
    <x v="1"/>
    <x v="3"/>
    <x v="15"/>
    <x v="56"/>
    <x v="56"/>
    <x v="10"/>
    <s v="N"/>
    <s v="N"/>
    <x v="4"/>
    <x v="0"/>
    <x v="0"/>
    <x v="0"/>
    <s v="성인"/>
    <s v="성인"/>
    <s v="대리점"/>
    <x v="0"/>
    <x v="11"/>
    <x v="0"/>
    <x v="682"/>
    <s v="HP2637119394"/>
    <x v="1"/>
    <n v="50000"/>
  </r>
  <r>
    <x v="0"/>
    <x v="1"/>
    <x v="3"/>
    <x v="15"/>
    <x v="56"/>
    <x v="56"/>
    <x v="10"/>
    <s v="N"/>
    <s v="N"/>
    <x v="4"/>
    <x v="0"/>
    <x v="0"/>
    <x v="0"/>
    <m/>
    <m/>
    <s v="대리점"/>
    <x v="0"/>
    <x v="11"/>
    <x v="0"/>
    <x v="682"/>
    <s v="HP2637119394"/>
    <x v="0"/>
    <n v="2"/>
  </r>
  <r>
    <x v="0"/>
    <x v="1"/>
    <x v="3"/>
    <x v="15"/>
    <x v="56"/>
    <x v="56"/>
    <x v="10"/>
    <s v="N"/>
    <s v="N"/>
    <x v="4"/>
    <x v="0"/>
    <x v="0"/>
    <x v="0"/>
    <m/>
    <m/>
    <s v="대리점"/>
    <x v="0"/>
    <x v="11"/>
    <x v="0"/>
    <x v="682"/>
    <s v="HP2637119394"/>
    <x v="1"/>
    <n v="100000"/>
  </r>
  <r>
    <x v="0"/>
    <x v="1"/>
    <x v="3"/>
    <x v="15"/>
    <x v="56"/>
    <x v="56"/>
    <x v="10"/>
    <s v="N"/>
    <s v="N"/>
    <x v="0"/>
    <x v="0"/>
    <x v="0"/>
    <x v="0"/>
    <s v="성인"/>
    <s v="성인"/>
    <s v="대리점"/>
    <x v="0"/>
    <x v="2"/>
    <x v="0"/>
    <x v="683"/>
    <s v="HP2637123966"/>
    <x v="0"/>
    <n v="2"/>
  </r>
  <r>
    <x v="0"/>
    <x v="1"/>
    <x v="3"/>
    <x v="15"/>
    <x v="56"/>
    <x v="56"/>
    <x v="10"/>
    <s v="N"/>
    <s v="N"/>
    <x v="0"/>
    <x v="0"/>
    <x v="0"/>
    <x v="0"/>
    <s v="성인"/>
    <s v="성인"/>
    <s v="대리점"/>
    <x v="0"/>
    <x v="2"/>
    <x v="0"/>
    <x v="683"/>
    <s v="HP2637123966"/>
    <x v="1"/>
    <n v="1536000"/>
  </r>
  <r>
    <x v="0"/>
    <x v="1"/>
    <x v="3"/>
    <x v="16"/>
    <x v="57"/>
    <x v="57"/>
    <x v="1"/>
    <s v="N"/>
    <s v="N"/>
    <x v="1"/>
    <x v="0"/>
    <x v="0"/>
    <x v="0"/>
    <s v="성인"/>
    <s v="성인"/>
    <s v="대리점"/>
    <x v="0"/>
    <x v="2"/>
    <x v="0"/>
    <x v="684"/>
    <s v="HP2636948206"/>
    <x v="0"/>
    <n v="4"/>
  </r>
  <r>
    <x v="0"/>
    <x v="1"/>
    <x v="3"/>
    <x v="16"/>
    <x v="57"/>
    <x v="57"/>
    <x v="1"/>
    <s v="N"/>
    <s v="N"/>
    <x v="1"/>
    <x v="0"/>
    <x v="0"/>
    <x v="0"/>
    <s v="성인"/>
    <s v="성인"/>
    <s v="대리점"/>
    <x v="0"/>
    <x v="2"/>
    <x v="0"/>
    <x v="684"/>
    <s v="HP2636948206"/>
    <x v="1"/>
    <n v="5116000"/>
  </r>
  <r>
    <x v="0"/>
    <x v="1"/>
    <x v="3"/>
    <x v="16"/>
    <x v="58"/>
    <x v="58"/>
    <x v="1"/>
    <s v="N"/>
    <s v="N"/>
    <x v="3"/>
    <x v="0"/>
    <x v="0"/>
    <x v="0"/>
    <s v="성인"/>
    <s v="성인"/>
    <s v="대리점"/>
    <x v="0"/>
    <x v="9"/>
    <x v="0"/>
    <x v="685"/>
    <s v="HP2636947518"/>
    <x v="0"/>
    <n v="3"/>
  </r>
  <r>
    <x v="0"/>
    <x v="1"/>
    <x v="3"/>
    <x v="16"/>
    <x v="58"/>
    <x v="58"/>
    <x v="1"/>
    <s v="N"/>
    <s v="N"/>
    <x v="3"/>
    <x v="0"/>
    <x v="0"/>
    <x v="0"/>
    <s v="성인"/>
    <s v="성인"/>
    <s v="대리점"/>
    <x v="0"/>
    <x v="9"/>
    <x v="0"/>
    <x v="685"/>
    <s v="HP2636947518"/>
    <x v="1"/>
    <n v="6420000"/>
  </r>
  <r>
    <x v="0"/>
    <x v="1"/>
    <x v="3"/>
    <x v="16"/>
    <x v="58"/>
    <x v="58"/>
    <x v="1"/>
    <s v="N"/>
    <s v="N"/>
    <x v="4"/>
    <x v="1"/>
    <x v="0"/>
    <x v="0"/>
    <m/>
    <m/>
    <s v="대리점"/>
    <x v="0"/>
    <x v="12"/>
    <x v="0"/>
    <x v="686"/>
    <s v="HB2636956422"/>
    <x v="0"/>
    <n v="8"/>
  </r>
  <r>
    <x v="0"/>
    <x v="1"/>
    <x v="3"/>
    <x v="16"/>
    <x v="58"/>
    <x v="58"/>
    <x v="1"/>
    <s v="N"/>
    <s v="N"/>
    <x v="4"/>
    <x v="1"/>
    <x v="0"/>
    <x v="0"/>
    <m/>
    <m/>
    <s v="대리점"/>
    <x v="0"/>
    <x v="12"/>
    <x v="0"/>
    <x v="686"/>
    <s v="HB2636956422"/>
    <x v="1"/>
    <n v="13648000"/>
  </r>
  <r>
    <x v="0"/>
    <x v="1"/>
    <x v="3"/>
    <x v="16"/>
    <x v="58"/>
    <x v="58"/>
    <x v="1"/>
    <s v="N"/>
    <s v="N"/>
    <x v="4"/>
    <x v="1"/>
    <x v="0"/>
    <x v="1"/>
    <m/>
    <m/>
    <s v="대리점"/>
    <x v="0"/>
    <x v="12"/>
    <x v="0"/>
    <x v="686"/>
    <s v="HB2636956422"/>
    <x v="0"/>
    <n v="2"/>
  </r>
  <r>
    <x v="0"/>
    <x v="1"/>
    <x v="3"/>
    <x v="16"/>
    <x v="58"/>
    <x v="58"/>
    <x v="1"/>
    <s v="N"/>
    <s v="N"/>
    <x v="4"/>
    <x v="1"/>
    <x v="0"/>
    <x v="1"/>
    <m/>
    <m/>
    <s v="대리점"/>
    <x v="0"/>
    <x v="12"/>
    <x v="0"/>
    <x v="686"/>
    <s v="HB2636956422"/>
    <x v="1"/>
    <n v="2729600"/>
  </r>
  <r>
    <x v="0"/>
    <x v="1"/>
    <x v="3"/>
    <x v="16"/>
    <x v="58"/>
    <x v="58"/>
    <x v="2"/>
    <s v="Y"/>
    <s v="Y"/>
    <x v="0"/>
    <x v="0"/>
    <x v="0"/>
    <x v="0"/>
    <s v="성인"/>
    <s v="성인"/>
    <s v="대리점"/>
    <x v="0"/>
    <x v="17"/>
    <x v="0"/>
    <x v="687"/>
    <s v="HP2636965612"/>
    <x v="0"/>
    <n v="3"/>
  </r>
  <r>
    <x v="0"/>
    <x v="1"/>
    <x v="3"/>
    <x v="16"/>
    <x v="58"/>
    <x v="58"/>
    <x v="2"/>
    <s v="Y"/>
    <s v="Y"/>
    <x v="0"/>
    <x v="0"/>
    <x v="0"/>
    <x v="0"/>
    <s v="성인"/>
    <s v="성인"/>
    <s v="대리점"/>
    <x v="0"/>
    <x v="17"/>
    <x v="0"/>
    <x v="687"/>
    <s v="HP2636965612"/>
    <x v="1"/>
    <n v="3023100"/>
  </r>
  <r>
    <x v="0"/>
    <x v="1"/>
    <x v="3"/>
    <x v="16"/>
    <x v="58"/>
    <x v="58"/>
    <x v="2"/>
    <s v="Y"/>
    <s v="Y"/>
    <x v="1"/>
    <x v="0"/>
    <x v="0"/>
    <x v="0"/>
    <m/>
    <m/>
    <s v="대리점"/>
    <x v="0"/>
    <x v="4"/>
    <x v="1"/>
    <x v="688"/>
    <s v="HP2636965634"/>
    <x v="0"/>
    <n v="0"/>
  </r>
  <r>
    <x v="0"/>
    <x v="1"/>
    <x v="3"/>
    <x v="16"/>
    <x v="58"/>
    <x v="58"/>
    <x v="2"/>
    <s v="Y"/>
    <s v="Y"/>
    <x v="1"/>
    <x v="0"/>
    <x v="0"/>
    <x v="0"/>
    <m/>
    <m/>
    <s v="대리점"/>
    <x v="0"/>
    <x v="4"/>
    <x v="1"/>
    <x v="688"/>
    <s v="HP2636965634"/>
    <x v="1"/>
    <n v="4577700"/>
  </r>
  <r>
    <x v="0"/>
    <x v="1"/>
    <x v="3"/>
    <x v="16"/>
    <x v="58"/>
    <x v="58"/>
    <x v="3"/>
    <s v="N"/>
    <s v="Y"/>
    <x v="1"/>
    <x v="0"/>
    <x v="1"/>
    <x v="0"/>
    <s v="성인"/>
    <s v="성인"/>
    <s v="대리점"/>
    <x v="0"/>
    <x v="15"/>
    <x v="0"/>
    <x v="689"/>
    <s v="HP2636985424"/>
    <x v="0"/>
    <n v="2"/>
  </r>
  <r>
    <x v="0"/>
    <x v="1"/>
    <x v="3"/>
    <x v="16"/>
    <x v="58"/>
    <x v="58"/>
    <x v="3"/>
    <s v="N"/>
    <s v="Y"/>
    <x v="1"/>
    <x v="0"/>
    <x v="1"/>
    <x v="0"/>
    <s v="성인"/>
    <s v="성인"/>
    <s v="대리점"/>
    <x v="0"/>
    <x v="15"/>
    <x v="0"/>
    <x v="689"/>
    <s v="HP2636985424"/>
    <x v="1"/>
    <n v="47800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3"/>
    <x v="0"/>
    <x v="690"/>
    <s v="HP2637001822"/>
    <x v="0"/>
    <n v="2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3"/>
    <x v="0"/>
    <x v="690"/>
    <s v="HP2637001822"/>
    <x v="1"/>
    <n v="20380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3"/>
    <x v="0"/>
    <x v="691"/>
    <s v="HP2637015058"/>
    <x v="0"/>
    <n v="4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3"/>
    <x v="0"/>
    <x v="691"/>
    <s v="HP2637015058"/>
    <x v="1"/>
    <n v="2498400"/>
  </r>
  <r>
    <x v="0"/>
    <x v="1"/>
    <x v="3"/>
    <x v="16"/>
    <x v="58"/>
    <x v="58"/>
    <x v="5"/>
    <s v="N"/>
    <s v="N"/>
    <x v="2"/>
    <x v="0"/>
    <x v="0"/>
    <x v="0"/>
    <s v="성인"/>
    <s v="성인"/>
    <s v="대리점"/>
    <x v="0"/>
    <x v="10"/>
    <x v="0"/>
    <x v="692"/>
    <s v="HP2637037304"/>
    <x v="0"/>
    <n v="2"/>
  </r>
  <r>
    <x v="0"/>
    <x v="1"/>
    <x v="3"/>
    <x v="16"/>
    <x v="58"/>
    <x v="58"/>
    <x v="5"/>
    <s v="N"/>
    <s v="N"/>
    <x v="2"/>
    <x v="0"/>
    <x v="0"/>
    <x v="0"/>
    <s v="성인"/>
    <s v="성인"/>
    <s v="대리점"/>
    <x v="0"/>
    <x v="10"/>
    <x v="0"/>
    <x v="692"/>
    <s v="HP2637037304"/>
    <x v="1"/>
    <n v="2838000"/>
  </r>
  <r>
    <x v="0"/>
    <x v="1"/>
    <x v="3"/>
    <x v="16"/>
    <x v="58"/>
    <x v="58"/>
    <x v="6"/>
    <s v="N"/>
    <s v="N"/>
    <x v="1"/>
    <x v="0"/>
    <x v="0"/>
    <x v="0"/>
    <s v="성인"/>
    <s v="성인"/>
    <s v="닷컴"/>
    <x v="2"/>
    <x v="3"/>
    <x v="0"/>
    <x v="693"/>
    <s v="HP2637057058"/>
    <x v="0"/>
    <n v="2"/>
  </r>
  <r>
    <x v="0"/>
    <x v="1"/>
    <x v="3"/>
    <x v="16"/>
    <x v="58"/>
    <x v="58"/>
    <x v="6"/>
    <s v="N"/>
    <s v="N"/>
    <x v="1"/>
    <x v="0"/>
    <x v="0"/>
    <x v="0"/>
    <s v="성인"/>
    <s v="성인"/>
    <s v="닷컴"/>
    <x v="2"/>
    <x v="3"/>
    <x v="0"/>
    <x v="693"/>
    <s v="HP2637057058"/>
    <x v="1"/>
    <n v="3599800"/>
  </r>
  <r>
    <x v="0"/>
    <x v="1"/>
    <x v="3"/>
    <x v="16"/>
    <x v="58"/>
    <x v="58"/>
    <x v="6"/>
    <s v="N"/>
    <s v="N"/>
    <x v="1"/>
    <x v="0"/>
    <x v="0"/>
    <x v="0"/>
    <s v="성인"/>
    <s v="성인"/>
    <s v="대리점"/>
    <x v="0"/>
    <x v="3"/>
    <x v="0"/>
    <x v="694"/>
    <s v="HP2637048236"/>
    <x v="0"/>
    <n v="2"/>
  </r>
  <r>
    <x v="0"/>
    <x v="1"/>
    <x v="3"/>
    <x v="16"/>
    <x v="58"/>
    <x v="58"/>
    <x v="6"/>
    <s v="N"/>
    <s v="N"/>
    <x v="1"/>
    <x v="0"/>
    <x v="0"/>
    <x v="0"/>
    <s v="성인"/>
    <s v="성인"/>
    <s v="대리점"/>
    <x v="0"/>
    <x v="3"/>
    <x v="0"/>
    <x v="694"/>
    <s v="HP2637048236"/>
    <x v="1"/>
    <n v="2262200"/>
  </r>
  <r>
    <x v="0"/>
    <x v="1"/>
    <x v="3"/>
    <x v="16"/>
    <x v="58"/>
    <x v="58"/>
    <x v="6"/>
    <s v="N"/>
    <s v="N"/>
    <x v="1"/>
    <x v="0"/>
    <x v="0"/>
    <x v="0"/>
    <m/>
    <m/>
    <s v="닷컴"/>
    <x v="2"/>
    <x v="3"/>
    <x v="1"/>
    <x v="695"/>
    <s v="HP2637059790"/>
    <x v="0"/>
    <n v="0"/>
  </r>
  <r>
    <x v="0"/>
    <x v="1"/>
    <x v="3"/>
    <x v="16"/>
    <x v="58"/>
    <x v="58"/>
    <x v="6"/>
    <s v="N"/>
    <s v="N"/>
    <x v="1"/>
    <x v="0"/>
    <x v="0"/>
    <x v="0"/>
    <m/>
    <m/>
    <s v="닷컴"/>
    <x v="2"/>
    <x v="3"/>
    <x v="1"/>
    <x v="695"/>
    <s v="HP2637059790"/>
    <x v="1"/>
    <n v="27518000"/>
  </r>
  <r>
    <x v="0"/>
    <x v="1"/>
    <x v="3"/>
    <x v="16"/>
    <x v="58"/>
    <x v="58"/>
    <x v="6"/>
    <s v="N"/>
    <s v="N"/>
    <x v="1"/>
    <x v="0"/>
    <x v="0"/>
    <x v="0"/>
    <m/>
    <m/>
    <s v="대리점"/>
    <x v="0"/>
    <x v="3"/>
    <x v="1"/>
    <x v="696"/>
    <s v="HP2637057010"/>
    <x v="0"/>
    <n v="0"/>
  </r>
  <r>
    <x v="0"/>
    <x v="1"/>
    <x v="3"/>
    <x v="16"/>
    <x v="58"/>
    <x v="58"/>
    <x v="6"/>
    <s v="N"/>
    <s v="N"/>
    <x v="1"/>
    <x v="0"/>
    <x v="0"/>
    <x v="0"/>
    <m/>
    <m/>
    <s v="대리점"/>
    <x v="0"/>
    <x v="3"/>
    <x v="1"/>
    <x v="696"/>
    <s v="HP2637057010"/>
    <x v="1"/>
    <n v="3559800"/>
  </r>
  <r>
    <x v="0"/>
    <x v="1"/>
    <x v="3"/>
    <x v="16"/>
    <x v="58"/>
    <x v="58"/>
    <x v="10"/>
    <s v="N"/>
    <s v="N"/>
    <x v="4"/>
    <x v="1"/>
    <x v="0"/>
    <x v="0"/>
    <s v="성인"/>
    <s v="성인"/>
    <s v="대리점"/>
    <x v="0"/>
    <x v="12"/>
    <x v="0"/>
    <x v="697"/>
    <s v="HB2637121444"/>
    <x v="0"/>
    <n v="2"/>
  </r>
  <r>
    <x v="0"/>
    <x v="1"/>
    <x v="3"/>
    <x v="16"/>
    <x v="58"/>
    <x v="58"/>
    <x v="10"/>
    <s v="N"/>
    <s v="N"/>
    <x v="4"/>
    <x v="1"/>
    <x v="0"/>
    <x v="0"/>
    <s v="성인"/>
    <s v="성인"/>
    <s v="대리점"/>
    <x v="0"/>
    <x v="12"/>
    <x v="0"/>
    <x v="697"/>
    <s v="HB2637121444"/>
    <x v="1"/>
    <n v="1180800"/>
  </r>
  <r>
    <x v="0"/>
    <x v="1"/>
    <x v="3"/>
    <x v="16"/>
    <x v="58"/>
    <x v="58"/>
    <x v="10"/>
    <s v="N"/>
    <s v="N"/>
    <x v="4"/>
    <x v="2"/>
    <x v="0"/>
    <x v="0"/>
    <s v="성인"/>
    <s v="성인"/>
    <s v="닷컴"/>
    <x v="2"/>
    <x v="2"/>
    <x v="0"/>
    <x v="698"/>
    <s v="HP2636475328"/>
    <x v="0"/>
    <n v="1"/>
  </r>
  <r>
    <x v="0"/>
    <x v="1"/>
    <x v="3"/>
    <x v="16"/>
    <x v="58"/>
    <x v="58"/>
    <x v="10"/>
    <s v="N"/>
    <s v="N"/>
    <x v="4"/>
    <x v="2"/>
    <x v="0"/>
    <x v="0"/>
    <s v="성인"/>
    <s v="성인"/>
    <s v="닷컴"/>
    <x v="2"/>
    <x v="2"/>
    <x v="0"/>
    <x v="698"/>
    <s v="HP2636475328"/>
    <x v="1"/>
    <n v="1700000"/>
  </r>
  <r>
    <x v="0"/>
    <x v="1"/>
    <x v="3"/>
    <x v="16"/>
    <x v="58"/>
    <x v="58"/>
    <x v="10"/>
    <s v="N"/>
    <s v="N"/>
    <x v="4"/>
    <x v="2"/>
    <x v="0"/>
    <x v="1"/>
    <s v="유아"/>
    <s v="유아"/>
    <s v="닷컴"/>
    <x v="2"/>
    <x v="2"/>
    <x v="0"/>
    <x v="698"/>
    <s v="HP2636475328"/>
    <x v="0"/>
    <n v="2"/>
  </r>
  <r>
    <x v="0"/>
    <x v="1"/>
    <x v="3"/>
    <x v="16"/>
    <x v="58"/>
    <x v="58"/>
    <x v="10"/>
    <s v="N"/>
    <s v="N"/>
    <x v="4"/>
    <x v="2"/>
    <x v="0"/>
    <x v="1"/>
    <s v="유아"/>
    <s v="유아"/>
    <s v="닷컴"/>
    <x v="2"/>
    <x v="2"/>
    <x v="0"/>
    <x v="698"/>
    <s v="HP2636475328"/>
    <x v="1"/>
    <n v="0"/>
  </r>
  <r>
    <x v="0"/>
    <x v="1"/>
    <x v="3"/>
    <x v="16"/>
    <x v="59"/>
    <x v="59"/>
    <x v="0"/>
    <s v="N"/>
    <s v="N"/>
    <x v="0"/>
    <x v="0"/>
    <x v="0"/>
    <x v="0"/>
    <m/>
    <m/>
    <s v="대리점"/>
    <x v="0"/>
    <x v="2"/>
    <x v="1"/>
    <x v="699"/>
    <s v="HP2636931306"/>
    <x v="0"/>
    <n v="0"/>
  </r>
  <r>
    <x v="0"/>
    <x v="1"/>
    <x v="3"/>
    <x v="16"/>
    <x v="59"/>
    <x v="59"/>
    <x v="0"/>
    <s v="N"/>
    <s v="N"/>
    <x v="0"/>
    <x v="0"/>
    <x v="0"/>
    <x v="0"/>
    <m/>
    <m/>
    <s v="대리점"/>
    <x v="0"/>
    <x v="2"/>
    <x v="1"/>
    <x v="699"/>
    <s v="HP2636931306"/>
    <x v="1"/>
    <n v="9699000"/>
  </r>
  <r>
    <x v="0"/>
    <x v="1"/>
    <x v="3"/>
    <x v="16"/>
    <x v="59"/>
    <x v="59"/>
    <x v="1"/>
    <s v="N"/>
    <s v="N"/>
    <x v="1"/>
    <x v="0"/>
    <x v="0"/>
    <x v="0"/>
    <s v="성인"/>
    <s v="성인"/>
    <s v="대리점"/>
    <x v="0"/>
    <x v="2"/>
    <x v="0"/>
    <x v="700"/>
    <s v="HP2636953618"/>
    <x v="0"/>
    <n v="6"/>
  </r>
  <r>
    <x v="0"/>
    <x v="1"/>
    <x v="3"/>
    <x v="16"/>
    <x v="59"/>
    <x v="59"/>
    <x v="1"/>
    <s v="N"/>
    <s v="N"/>
    <x v="1"/>
    <x v="0"/>
    <x v="0"/>
    <x v="0"/>
    <s v="성인"/>
    <s v="성인"/>
    <s v="대리점"/>
    <x v="0"/>
    <x v="2"/>
    <x v="0"/>
    <x v="700"/>
    <s v="HP2636953618"/>
    <x v="1"/>
    <n v="5365200"/>
  </r>
  <r>
    <x v="0"/>
    <x v="1"/>
    <x v="3"/>
    <x v="16"/>
    <x v="59"/>
    <x v="59"/>
    <x v="4"/>
    <s v="N"/>
    <s v="N"/>
    <x v="4"/>
    <x v="0"/>
    <x v="0"/>
    <x v="0"/>
    <s v="성인"/>
    <s v="성인"/>
    <s v="대리점"/>
    <x v="0"/>
    <x v="11"/>
    <x v="0"/>
    <x v="701"/>
    <s v="HP2637006400"/>
    <x v="0"/>
    <n v="4"/>
  </r>
  <r>
    <x v="0"/>
    <x v="1"/>
    <x v="3"/>
    <x v="16"/>
    <x v="59"/>
    <x v="59"/>
    <x v="4"/>
    <s v="N"/>
    <s v="N"/>
    <x v="4"/>
    <x v="0"/>
    <x v="0"/>
    <x v="0"/>
    <s v="성인"/>
    <s v="성인"/>
    <s v="대리점"/>
    <x v="0"/>
    <x v="11"/>
    <x v="0"/>
    <x v="701"/>
    <s v="HP2637006400"/>
    <x v="1"/>
    <n v="696000"/>
  </r>
  <r>
    <x v="0"/>
    <x v="1"/>
    <x v="3"/>
    <x v="16"/>
    <x v="59"/>
    <x v="59"/>
    <x v="6"/>
    <s v="N"/>
    <s v="N"/>
    <x v="4"/>
    <x v="0"/>
    <x v="0"/>
    <x v="0"/>
    <s v="성인"/>
    <s v="성인"/>
    <s v="대리점"/>
    <x v="0"/>
    <x v="11"/>
    <x v="0"/>
    <x v="702"/>
    <s v="HP2637055626"/>
    <x v="0"/>
    <n v="3"/>
  </r>
  <r>
    <x v="0"/>
    <x v="1"/>
    <x v="3"/>
    <x v="16"/>
    <x v="59"/>
    <x v="59"/>
    <x v="6"/>
    <s v="N"/>
    <s v="N"/>
    <x v="4"/>
    <x v="0"/>
    <x v="0"/>
    <x v="0"/>
    <s v="성인"/>
    <s v="성인"/>
    <s v="대리점"/>
    <x v="0"/>
    <x v="11"/>
    <x v="0"/>
    <x v="702"/>
    <s v="HP2637055626"/>
    <x v="1"/>
    <n v="1227000"/>
  </r>
  <r>
    <x v="0"/>
    <x v="1"/>
    <x v="3"/>
    <x v="16"/>
    <x v="59"/>
    <x v="59"/>
    <x v="6"/>
    <s v="N"/>
    <s v="N"/>
    <x v="4"/>
    <x v="0"/>
    <x v="0"/>
    <x v="0"/>
    <m/>
    <m/>
    <s v="대리점"/>
    <x v="0"/>
    <x v="11"/>
    <x v="0"/>
    <x v="702"/>
    <s v="HP2637055626"/>
    <x v="0"/>
    <n v="2"/>
  </r>
  <r>
    <x v="0"/>
    <x v="1"/>
    <x v="3"/>
    <x v="16"/>
    <x v="59"/>
    <x v="59"/>
    <x v="6"/>
    <s v="N"/>
    <s v="N"/>
    <x v="4"/>
    <x v="0"/>
    <x v="0"/>
    <x v="0"/>
    <m/>
    <m/>
    <s v="대리점"/>
    <x v="0"/>
    <x v="11"/>
    <x v="0"/>
    <x v="702"/>
    <s v="HP2637055626"/>
    <x v="1"/>
    <n v="818000"/>
  </r>
  <r>
    <x v="0"/>
    <x v="1"/>
    <x v="3"/>
    <x v="16"/>
    <x v="59"/>
    <x v="59"/>
    <x v="10"/>
    <s v="N"/>
    <s v="N"/>
    <x v="0"/>
    <x v="0"/>
    <x v="0"/>
    <x v="0"/>
    <m/>
    <m/>
    <s v="대리점"/>
    <x v="0"/>
    <x v="17"/>
    <x v="0"/>
    <x v="703"/>
    <s v="HP2637126010"/>
    <x v="0"/>
    <n v="3"/>
  </r>
  <r>
    <x v="0"/>
    <x v="1"/>
    <x v="3"/>
    <x v="16"/>
    <x v="59"/>
    <x v="59"/>
    <x v="10"/>
    <s v="N"/>
    <s v="N"/>
    <x v="0"/>
    <x v="0"/>
    <x v="0"/>
    <x v="0"/>
    <m/>
    <m/>
    <s v="대리점"/>
    <x v="0"/>
    <x v="17"/>
    <x v="0"/>
    <x v="703"/>
    <s v="HP2637126010"/>
    <x v="1"/>
    <n v="2993100"/>
  </r>
  <r>
    <x v="0"/>
    <x v="1"/>
    <x v="3"/>
    <x v="17"/>
    <x v="60"/>
    <x v="60"/>
    <x v="2"/>
    <s v="Y"/>
    <s v="Y"/>
    <x v="0"/>
    <x v="0"/>
    <x v="0"/>
    <x v="0"/>
    <s v="성인"/>
    <s v="성인"/>
    <s v="대리점"/>
    <x v="0"/>
    <x v="2"/>
    <x v="0"/>
    <x v="704"/>
    <s v="HP2636968632"/>
    <x v="0"/>
    <n v="1"/>
  </r>
  <r>
    <x v="0"/>
    <x v="1"/>
    <x v="3"/>
    <x v="17"/>
    <x v="60"/>
    <x v="60"/>
    <x v="2"/>
    <s v="Y"/>
    <s v="Y"/>
    <x v="0"/>
    <x v="0"/>
    <x v="0"/>
    <x v="0"/>
    <s v="성인"/>
    <s v="성인"/>
    <s v="대리점"/>
    <x v="0"/>
    <x v="2"/>
    <x v="0"/>
    <x v="704"/>
    <s v="HP2636968632"/>
    <x v="1"/>
    <n v="1170100"/>
  </r>
  <r>
    <x v="0"/>
    <x v="1"/>
    <x v="3"/>
    <x v="17"/>
    <x v="60"/>
    <x v="60"/>
    <x v="2"/>
    <s v="Y"/>
    <s v="Y"/>
    <x v="0"/>
    <x v="0"/>
    <x v="0"/>
    <x v="0"/>
    <m/>
    <m/>
    <s v="대리점"/>
    <x v="0"/>
    <x v="2"/>
    <x v="0"/>
    <x v="704"/>
    <s v="HP2636968632"/>
    <x v="0"/>
    <n v="7"/>
  </r>
  <r>
    <x v="0"/>
    <x v="1"/>
    <x v="3"/>
    <x v="17"/>
    <x v="60"/>
    <x v="60"/>
    <x v="2"/>
    <s v="Y"/>
    <s v="Y"/>
    <x v="0"/>
    <x v="0"/>
    <x v="0"/>
    <x v="0"/>
    <m/>
    <m/>
    <s v="대리점"/>
    <x v="0"/>
    <x v="2"/>
    <x v="0"/>
    <x v="704"/>
    <s v="HP2636968632"/>
    <x v="1"/>
    <n v="8190700"/>
  </r>
  <r>
    <x v="0"/>
    <x v="1"/>
    <x v="3"/>
    <x v="17"/>
    <x v="60"/>
    <x v="60"/>
    <x v="7"/>
    <s v="N"/>
    <s v="Y"/>
    <x v="11"/>
    <x v="8"/>
    <x v="0"/>
    <x v="0"/>
    <s v="성인"/>
    <s v="성인"/>
    <s v="대리점"/>
    <x v="0"/>
    <x v="2"/>
    <x v="0"/>
    <x v="705"/>
    <s v="HK2637072934"/>
    <x v="0"/>
    <n v="4"/>
  </r>
  <r>
    <x v="0"/>
    <x v="1"/>
    <x v="3"/>
    <x v="17"/>
    <x v="60"/>
    <x v="60"/>
    <x v="7"/>
    <s v="N"/>
    <s v="Y"/>
    <x v="11"/>
    <x v="8"/>
    <x v="0"/>
    <x v="0"/>
    <s v="성인"/>
    <s v="성인"/>
    <s v="대리점"/>
    <x v="0"/>
    <x v="2"/>
    <x v="0"/>
    <x v="705"/>
    <s v="HK2637072934"/>
    <x v="1"/>
    <n v="5224000"/>
  </r>
  <r>
    <x v="0"/>
    <x v="1"/>
    <x v="3"/>
    <x v="17"/>
    <x v="60"/>
    <x v="60"/>
    <x v="7"/>
    <s v="N"/>
    <s v="Y"/>
    <x v="0"/>
    <x v="0"/>
    <x v="0"/>
    <x v="0"/>
    <m/>
    <m/>
    <s v="대리점"/>
    <x v="0"/>
    <x v="14"/>
    <x v="1"/>
    <x v="706"/>
    <s v="HP2637075440"/>
    <x v="0"/>
    <n v="0"/>
  </r>
  <r>
    <x v="0"/>
    <x v="1"/>
    <x v="3"/>
    <x v="17"/>
    <x v="60"/>
    <x v="60"/>
    <x v="7"/>
    <s v="N"/>
    <s v="Y"/>
    <x v="0"/>
    <x v="0"/>
    <x v="0"/>
    <x v="0"/>
    <m/>
    <m/>
    <s v="대리점"/>
    <x v="0"/>
    <x v="14"/>
    <x v="1"/>
    <x v="706"/>
    <s v="HP2637075440"/>
    <x v="1"/>
    <n v="12319200"/>
  </r>
  <r>
    <x v="0"/>
    <x v="1"/>
    <x v="4"/>
    <x v="18"/>
    <x v="61"/>
    <x v="61"/>
    <x v="1"/>
    <s v="N"/>
    <s v="N"/>
    <x v="1"/>
    <x v="0"/>
    <x v="0"/>
    <x v="0"/>
    <m/>
    <m/>
    <s v="대리점"/>
    <x v="0"/>
    <x v="15"/>
    <x v="1"/>
    <x v="707"/>
    <s v="HP2636953188"/>
    <x v="0"/>
    <n v="0"/>
  </r>
  <r>
    <x v="0"/>
    <x v="1"/>
    <x v="4"/>
    <x v="18"/>
    <x v="61"/>
    <x v="61"/>
    <x v="1"/>
    <s v="N"/>
    <s v="N"/>
    <x v="1"/>
    <x v="0"/>
    <x v="0"/>
    <x v="0"/>
    <m/>
    <m/>
    <s v="대리점"/>
    <x v="0"/>
    <x v="15"/>
    <x v="1"/>
    <x v="707"/>
    <s v="HP2636953188"/>
    <x v="1"/>
    <n v="9198000"/>
  </r>
  <r>
    <x v="0"/>
    <x v="1"/>
    <x v="4"/>
    <x v="18"/>
    <x v="61"/>
    <x v="61"/>
    <x v="11"/>
    <s v="Y"/>
    <s v="N"/>
    <x v="1"/>
    <x v="0"/>
    <x v="0"/>
    <x v="0"/>
    <s v="성인"/>
    <s v="성인"/>
    <s v="대리점"/>
    <x v="0"/>
    <x v="2"/>
    <x v="0"/>
    <x v="708"/>
    <s v="HP2636974588"/>
    <x v="0"/>
    <n v="2"/>
  </r>
  <r>
    <x v="0"/>
    <x v="1"/>
    <x v="4"/>
    <x v="18"/>
    <x v="61"/>
    <x v="61"/>
    <x v="11"/>
    <s v="Y"/>
    <s v="N"/>
    <x v="1"/>
    <x v="0"/>
    <x v="0"/>
    <x v="0"/>
    <s v="성인"/>
    <s v="성인"/>
    <s v="대리점"/>
    <x v="0"/>
    <x v="2"/>
    <x v="0"/>
    <x v="708"/>
    <s v="HP2636974588"/>
    <x v="1"/>
    <n v="2759800"/>
  </r>
  <r>
    <x v="0"/>
    <x v="1"/>
    <x v="4"/>
    <x v="18"/>
    <x v="61"/>
    <x v="61"/>
    <x v="11"/>
    <s v="Y"/>
    <s v="N"/>
    <x v="7"/>
    <x v="5"/>
    <x v="0"/>
    <x v="0"/>
    <s v="성인"/>
    <s v="성인"/>
    <s v="대리점"/>
    <x v="0"/>
    <x v="2"/>
    <x v="0"/>
    <x v="709"/>
    <s v="HW2636977942"/>
    <x v="0"/>
    <n v="2"/>
  </r>
  <r>
    <x v="0"/>
    <x v="1"/>
    <x v="4"/>
    <x v="18"/>
    <x v="61"/>
    <x v="61"/>
    <x v="11"/>
    <s v="Y"/>
    <s v="N"/>
    <x v="7"/>
    <x v="5"/>
    <x v="0"/>
    <x v="0"/>
    <s v="성인"/>
    <s v="성인"/>
    <s v="대리점"/>
    <x v="0"/>
    <x v="2"/>
    <x v="0"/>
    <x v="709"/>
    <s v="HW2636977942"/>
    <x v="1"/>
    <n v="10160000"/>
  </r>
  <r>
    <x v="0"/>
    <x v="1"/>
    <x v="4"/>
    <x v="18"/>
    <x v="61"/>
    <x v="61"/>
    <x v="3"/>
    <s v="N"/>
    <s v="Y"/>
    <x v="1"/>
    <x v="0"/>
    <x v="0"/>
    <x v="0"/>
    <s v="성인"/>
    <s v="성인"/>
    <s v="대리점"/>
    <x v="0"/>
    <x v="15"/>
    <x v="0"/>
    <x v="707"/>
    <s v="HP2636984602"/>
    <x v="0"/>
    <n v="2"/>
  </r>
  <r>
    <x v="0"/>
    <x v="1"/>
    <x v="4"/>
    <x v="18"/>
    <x v="61"/>
    <x v="61"/>
    <x v="3"/>
    <s v="N"/>
    <s v="Y"/>
    <x v="1"/>
    <x v="0"/>
    <x v="0"/>
    <x v="0"/>
    <s v="성인"/>
    <s v="성인"/>
    <s v="대리점"/>
    <x v="0"/>
    <x v="15"/>
    <x v="0"/>
    <x v="707"/>
    <s v="HP2636984602"/>
    <x v="1"/>
    <n v="8798000"/>
  </r>
  <r>
    <x v="0"/>
    <x v="1"/>
    <x v="4"/>
    <x v="18"/>
    <x v="61"/>
    <x v="61"/>
    <x v="3"/>
    <s v="N"/>
    <s v="Y"/>
    <x v="1"/>
    <x v="0"/>
    <x v="0"/>
    <x v="0"/>
    <m/>
    <m/>
    <s v="대리점"/>
    <x v="0"/>
    <x v="15"/>
    <x v="1"/>
    <x v="707"/>
    <s v="HP2636984840"/>
    <x v="0"/>
    <n v="0"/>
  </r>
  <r>
    <x v="0"/>
    <x v="1"/>
    <x v="4"/>
    <x v="18"/>
    <x v="61"/>
    <x v="61"/>
    <x v="3"/>
    <s v="N"/>
    <s v="Y"/>
    <x v="1"/>
    <x v="0"/>
    <x v="0"/>
    <x v="0"/>
    <m/>
    <m/>
    <s v="대리점"/>
    <x v="0"/>
    <x v="15"/>
    <x v="1"/>
    <x v="707"/>
    <s v="HP2636984840"/>
    <x v="1"/>
    <n v="4599000"/>
  </r>
  <r>
    <x v="0"/>
    <x v="1"/>
    <x v="4"/>
    <x v="18"/>
    <x v="61"/>
    <x v="61"/>
    <x v="4"/>
    <s v="N"/>
    <s v="N"/>
    <x v="4"/>
    <x v="0"/>
    <x v="0"/>
    <x v="0"/>
    <s v="성인"/>
    <s v="성인"/>
    <s v="대리점"/>
    <x v="0"/>
    <x v="11"/>
    <x v="0"/>
    <x v="710"/>
    <s v="HP2637008776"/>
    <x v="0"/>
    <n v="4"/>
  </r>
  <r>
    <x v="0"/>
    <x v="1"/>
    <x v="4"/>
    <x v="18"/>
    <x v="61"/>
    <x v="61"/>
    <x v="4"/>
    <s v="N"/>
    <s v="N"/>
    <x v="4"/>
    <x v="0"/>
    <x v="0"/>
    <x v="0"/>
    <s v="성인"/>
    <s v="성인"/>
    <s v="대리점"/>
    <x v="0"/>
    <x v="11"/>
    <x v="0"/>
    <x v="710"/>
    <s v="HP2637008776"/>
    <x v="1"/>
    <n v="1796000"/>
  </r>
  <r>
    <x v="0"/>
    <x v="1"/>
    <x v="4"/>
    <x v="18"/>
    <x v="61"/>
    <x v="61"/>
    <x v="4"/>
    <s v="N"/>
    <s v="N"/>
    <x v="0"/>
    <x v="0"/>
    <x v="0"/>
    <x v="0"/>
    <m/>
    <m/>
    <s v="대리점"/>
    <x v="0"/>
    <x v="2"/>
    <x v="0"/>
    <x v="711"/>
    <s v="HP2637012452"/>
    <x v="0"/>
    <n v="4"/>
  </r>
  <r>
    <x v="0"/>
    <x v="1"/>
    <x v="4"/>
    <x v="18"/>
    <x v="61"/>
    <x v="61"/>
    <x v="4"/>
    <s v="N"/>
    <s v="N"/>
    <x v="0"/>
    <x v="0"/>
    <x v="0"/>
    <x v="0"/>
    <m/>
    <m/>
    <s v="대리점"/>
    <x v="0"/>
    <x v="2"/>
    <x v="0"/>
    <x v="711"/>
    <s v="HP2637012452"/>
    <x v="1"/>
    <n v="4080800"/>
  </r>
  <r>
    <x v="0"/>
    <x v="1"/>
    <x v="4"/>
    <x v="18"/>
    <x v="61"/>
    <x v="61"/>
    <x v="4"/>
    <s v="N"/>
    <s v="N"/>
    <x v="1"/>
    <x v="0"/>
    <x v="0"/>
    <x v="0"/>
    <s v="성인"/>
    <s v="성인"/>
    <s v="대리점"/>
    <x v="0"/>
    <x v="3"/>
    <x v="0"/>
    <x v="712"/>
    <s v="HP2637010506"/>
    <x v="0"/>
    <n v="3"/>
  </r>
  <r>
    <x v="0"/>
    <x v="1"/>
    <x v="4"/>
    <x v="18"/>
    <x v="61"/>
    <x v="61"/>
    <x v="4"/>
    <s v="N"/>
    <s v="N"/>
    <x v="1"/>
    <x v="0"/>
    <x v="0"/>
    <x v="0"/>
    <s v="성인"/>
    <s v="성인"/>
    <s v="대리점"/>
    <x v="0"/>
    <x v="3"/>
    <x v="0"/>
    <x v="712"/>
    <s v="HP2637010506"/>
    <x v="1"/>
    <n v="5697000"/>
  </r>
  <r>
    <x v="0"/>
    <x v="1"/>
    <x v="4"/>
    <x v="18"/>
    <x v="61"/>
    <x v="61"/>
    <x v="6"/>
    <s v="N"/>
    <s v="N"/>
    <x v="0"/>
    <x v="0"/>
    <x v="0"/>
    <x v="0"/>
    <s v="성인"/>
    <s v="성인"/>
    <s v="대리점"/>
    <x v="0"/>
    <x v="16"/>
    <x v="0"/>
    <x v="615"/>
    <s v="HP2637052208"/>
    <x v="0"/>
    <n v="1"/>
  </r>
  <r>
    <x v="0"/>
    <x v="1"/>
    <x v="4"/>
    <x v="18"/>
    <x v="61"/>
    <x v="61"/>
    <x v="6"/>
    <s v="N"/>
    <s v="N"/>
    <x v="0"/>
    <x v="0"/>
    <x v="0"/>
    <x v="0"/>
    <s v="성인"/>
    <s v="성인"/>
    <s v="대리점"/>
    <x v="0"/>
    <x v="16"/>
    <x v="0"/>
    <x v="615"/>
    <s v="HP2637052208"/>
    <x v="1"/>
    <n v="899900"/>
  </r>
  <r>
    <x v="0"/>
    <x v="1"/>
    <x v="4"/>
    <x v="18"/>
    <x v="61"/>
    <x v="61"/>
    <x v="6"/>
    <s v="N"/>
    <s v="N"/>
    <x v="0"/>
    <x v="0"/>
    <x v="0"/>
    <x v="0"/>
    <m/>
    <m/>
    <s v="대리점"/>
    <x v="0"/>
    <x v="16"/>
    <x v="0"/>
    <x v="615"/>
    <s v="HP2637052208"/>
    <x v="0"/>
    <n v="1"/>
  </r>
  <r>
    <x v="0"/>
    <x v="1"/>
    <x v="4"/>
    <x v="18"/>
    <x v="61"/>
    <x v="61"/>
    <x v="6"/>
    <s v="N"/>
    <s v="N"/>
    <x v="0"/>
    <x v="0"/>
    <x v="0"/>
    <x v="0"/>
    <m/>
    <m/>
    <s v="대리점"/>
    <x v="0"/>
    <x v="16"/>
    <x v="0"/>
    <x v="615"/>
    <s v="HP2637052208"/>
    <x v="1"/>
    <n v="899900"/>
  </r>
  <r>
    <x v="0"/>
    <x v="1"/>
    <x v="4"/>
    <x v="18"/>
    <x v="61"/>
    <x v="61"/>
    <x v="6"/>
    <s v="N"/>
    <s v="N"/>
    <x v="0"/>
    <x v="0"/>
    <x v="0"/>
    <x v="1"/>
    <s v="아동"/>
    <s v="아동"/>
    <s v="대리점"/>
    <x v="0"/>
    <x v="16"/>
    <x v="0"/>
    <x v="615"/>
    <s v="HP2637052208"/>
    <x v="0"/>
    <n v="1"/>
  </r>
  <r>
    <x v="0"/>
    <x v="1"/>
    <x v="4"/>
    <x v="18"/>
    <x v="61"/>
    <x v="61"/>
    <x v="6"/>
    <s v="N"/>
    <s v="N"/>
    <x v="0"/>
    <x v="0"/>
    <x v="0"/>
    <x v="1"/>
    <s v="아동"/>
    <s v="아동"/>
    <s v="대리점"/>
    <x v="0"/>
    <x v="16"/>
    <x v="0"/>
    <x v="615"/>
    <s v="HP2637052208"/>
    <x v="1"/>
    <n v="899900"/>
  </r>
  <r>
    <x v="0"/>
    <x v="1"/>
    <x v="4"/>
    <x v="18"/>
    <x v="61"/>
    <x v="61"/>
    <x v="6"/>
    <s v="N"/>
    <s v="N"/>
    <x v="1"/>
    <x v="0"/>
    <x v="0"/>
    <x v="0"/>
    <m/>
    <m/>
    <s v="대리점"/>
    <x v="0"/>
    <x v="7"/>
    <x v="0"/>
    <x v="713"/>
    <s v="HP2637062098"/>
    <x v="0"/>
    <n v="2"/>
  </r>
  <r>
    <x v="0"/>
    <x v="1"/>
    <x v="4"/>
    <x v="18"/>
    <x v="61"/>
    <x v="61"/>
    <x v="6"/>
    <s v="N"/>
    <s v="N"/>
    <x v="1"/>
    <x v="0"/>
    <x v="0"/>
    <x v="0"/>
    <m/>
    <m/>
    <s v="대리점"/>
    <x v="0"/>
    <x v="7"/>
    <x v="0"/>
    <x v="713"/>
    <s v="HP2637062098"/>
    <x v="1"/>
    <n v="8945800"/>
  </r>
  <r>
    <x v="0"/>
    <x v="1"/>
    <x v="4"/>
    <x v="18"/>
    <x v="61"/>
    <x v="61"/>
    <x v="8"/>
    <s v="Y"/>
    <s v="N"/>
    <x v="1"/>
    <x v="0"/>
    <x v="0"/>
    <x v="0"/>
    <m/>
    <m/>
    <s v="대리점"/>
    <x v="0"/>
    <x v="2"/>
    <x v="0"/>
    <x v="714"/>
    <s v="HP2637082064"/>
    <x v="0"/>
    <n v="1"/>
  </r>
  <r>
    <x v="0"/>
    <x v="1"/>
    <x v="4"/>
    <x v="18"/>
    <x v="61"/>
    <x v="61"/>
    <x v="8"/>
    <s v="Y"/>
    <s v="N"/>
    <x v="1"/>
    <x v="0"/>
    <x v="0"/>
    <x v="0"/>
    <m/>
    <m/>
    <s v="대리점"/>
    <x v="0"/>
    <x v="2"/>
    <x v="0"/>
    <x v="714"/>
    <s v="HP2637082064"/>
    <x v="1"/>
    <n v="5555400"/>
  </r>
  <r>
    <x v="0"/>
    <x v="1"/>
    <x v="4"/>
    <x v="18"/>
    <x v="61"/>
    <x v="61"/>
    <x v="8"/>
    <s v="Y"/>
    <s v="N"/>
    <x v="1"/>
    <x v="0"/>
    <x v="0"/>
    <x v="1"/>
    <s v="유아"/>
    <s v="유아"/>
    <s v="대리점"/>
    <x v="0"/>
    <x v="2"/>
    <x v="0"/>
    <x v="714"/>
    <s v="HP2637082064"/>
    <x v="0"/>
    <n v="1"/>
  </r>
  <r>
    <x v="0"/>
    <x v="1"/>
    <x v="4"/>
    <x v="18"/>
    <x v="61"/>
    <x v="61"/>
    <x v="8"/>
    <s v="Y"/>
    <s v="N"/>
    <x v="1"/>
    <x v="0"/>
    <x v="0"/>
    <x v="1"/>
    <s v="유아"/>
    <s v="유아"/>
    <s v="대리점"/>
    <x v="0"/>
    <x v="2"/>
    <x v="0"/>
    <x v="714"/>
    <s v="HP2637082064"/>
    <x v="1"/>
    <n v="4992300"/>
  </r>
  <r>
    <x v="0"/>
    <x v="1"/>
    <x v="4"/>
    <x v="18"/>
    <x v="61"/>
    <x v="61"/>
    <x v="9"/>
    <s v="Y"/>
    <s v="N"/>
    <x v="3"/>
    <x v="0"/>
    <x v="0"/>
    <x v="0"/>
    <m/>
    <m/>
    <s v="대리점"/>
    <x v="0"/>
    <x v="9"/>
    <x v="0"/>
    <x v="313"/>
    <s v="HP2637098906"/>
    <x v="0"/>
    <n v="2"/>
  </r>
  <r>
    <x v="0"/>
    <x v="1"/>
    <x v="4"/>
    <x v="18"/>
    <x v="61"/>
    <x v="61"/>
    <x v="9"/>
    <s v="Y"/>
    <s v="N"/>
    <x v="3"/>
    <x v="0"/>
    <x v="0"/>
    <x v="0"/>
    <m/>
    <m/>
    <s v="대리점"/>
    <x v="0"/>
    <x v="9"/>
    <x v="0"/>
    <x v="313"/>
    <s v="HP2637098906"/>
    <x v="1"/>
    <n v="1560000"/>
  </r>
  <r>
    <x v="0"/>
    <x v="1"/>
    <x v="4"/>
    <x v="18"/>
    <x v="61"/>
    <x v="61"/>
    <x v="10"/>
    <s v="N"/>
    <s v="N"/>
    <x v="0"/>
    <x v="0"/>
    <x v="0"/>
    <x v="0"/>
    <s v="성인"/>
    <s v="성인"/>
    <s v="대리점"/>
    <x v="0"/>
    <x v="2"/>
    <x v="0"/>
    <x v="715"/>
    <s v="HP2637120784"/>
    <x v="0"/>
    <n v="2"/>
  </r>
  <r>
    <x v="0"/>
    <x v="1"/>
    <x v="4"/>
    <x v="18"/>
    <x v="61"/>
    <x v="61"/>
    <x v="10"/>
    <s v="N"/>
    <s v="N"/>
    <x v="0"/>
    <x v="0"/>
    <x v="0"/>
    <x v="0"/>
    <s v="성인"/>
    <s v="성인"/>
    <s v="대리점"/>
    <x v="0"/>
    <x v="2"/>
    <x v="0"/>
    <x v="715"/>
    <s v="HP2637120784"/>
    <x v="1"/>
    <n v="1086000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6"/>
    <s v="HP2637113514"/>
    <x v="0"/>
    <n v="2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6"/>
    <s v="HP2637113514"/>
    <x v="1"/>
    <n v="2310000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7"/>
    <s v="HP2637125170"/>
    <x v="0"/>
    <n v="2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7"/>
    <s v="HP2637125170"/>
    <x v="1"/>
    <n v="2473200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8"/>
    <s v="HP2637125588"/>
    <x v="0"/>
    <n v="9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8"/>
    <s v="HP2637125588"/>
    <x v="1"/>
    <n v="7356600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9"/>
    <s v="HP2637119618"/>
    <x v="0"/>
    <n v="2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9"/>
    <s v="HP2637119618"/>
    <x v="1"/>
    <n v="6110000"/>
  </r>
  <r>
    <x v="0"/>
    <x v="1"/>
    <x v="4"/>
    <x v="19"/>
    <x v="62"/>
    <x v="62"/>
    <x v="0"/>
    <s v="N"/>
    <s v="N"/>
    <x v="1"/>
    <x v="0"/>
    <x v="0"/>
    <x v="0"/>
    <s v="성인"/>
    <s v="성인"/>
    <s v="대리점"/>
    <x v="0"/>
    <x v="2"/>
    <x v="0"/>
    <x v="720"/>
    <s v="HP2636931014"/>
    <x v="0"/>
    <n v="4"/>
  </r>
  <r>
    <x v="0"/>
    <x v="1"/>
    <x v="4"/>
    <x v="19"/>
    <x v="62"/>
    <x v="62"/>
    <x v="0"/>
    <s v="N"/>
    <s v="N"/>
    <x v="1"/>
    <x v="0"/>
    <x v="0"/>
    <x v="0"/>
    <s v="성인"/>
    <s v="성인"/>
    <s v="대리점"/>
    <x v="0"/>
    <x v="2"/>
    <x v="0"/>
    <x v="720"/>
    <s v="HP2636931014"/>
    <x v="1"/>
    <n v="4156000"/>
  </r>
  <r>
    <x v="0"/>
    <x v="1"/>
    <x v="4"/>
    <x v="19"/>
    <x v="62"/>
    <x v="62"/>
    <x v="0"/>
    <s v="N"/>
    <s v="N"/>
    <x v="1"/>
    <x v="0"/>
    <x v="0"/>
    <x v="0"/>
    <m/>
    <m/>
    <s v="대리점"/>
    <x v="0"/>
    <x v="2"/>
    <x v="1"/>
    <x v="720"/>
    <s v="HP2636931012"/>
    <x v="0"/>
    <n v="0"/>
  </r>
  <r>
    <x v="0"/>
    <x v="1"/>
    <x v="4"/>
    <x v="19"/>
    <x v="62"/>
    <x v="62"/>
    <x v="0"/>
    <s v="N"/>
    <s v="N"/>
    <x v="1"/>
    <x v="0"/>
    <x v="0"/>
    <x v="0"/>
    <m/>
    <m/>
    <s v="대리점"/>
    <x v="0"/>
    <x v="2"/>
    <x v="1"/>
    <x v="720"/>
    <s v="HP2636931012"/>
    <x v="1"/>
    <n v="4156000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1"/>
    <s v="HG2636948634"/>
    <x v="0"/>
    <n v="1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1"/>
    <s v="HG2636948634"/>
    <x v="1"/>
    <n v="1366000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2"/>
    <s v="HG2636948730"/>
    <x v="0"/>
    <n v="2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2"/>
    <s v="HG2636948730"/>
    <x v="1"/>
    <n v="2578000"/>
  </r>
  <r>
    <x v="0"/>
    <x v="1"/>
    <x v="4"/>
    <x v="19"/>
    <x v="62"/>
    <x v="62"/>
    <x v="1"/>
    <s v="N"/>
    <s v="N"/>
    <x v="1"/>
    <x v="0"/>
    <x v="0"/>
    <x v="0"/>
    <s v="성인"/>
    <s v="성인"/>
    <s v="대리점"/>
    <x v="0"/>
    <x v="7"/>
    <x v="0"/>
    <x v="723"/>
    <s v="HP2636945228"/>
    <x v="0"/>
    <n v="2"/>
  </r>
  <r>
    <x v="0"/>
    <x v="1"/>
    <x v="4"/>
    <x v="19"/>
    <x v="62"/>
    <x v="62"/>
    <x v="1"/>
    <s v="N"/>
    <s v="N"/>
    <x v="1"/>
    <x v="0"/>
    <x v="0"/>
    <x v="0"/>
    <s v="성인"/>
    <s v="성인"/>
    <s v="대리점"/>
    <x v="0"/>
    <x v="7"/>
    <x v="0"/>
    <x v="723"/>
    <s v="HP2636945228"/>
    <x v="1"/>
    <n v="1105600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5"/>
    <x v="1"/>
    <x v="724"/>
    <s v="HP2636946522"/>
    <x v="0"/>
    <n v="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5"/>
    <x v="1"/>
    <x v="724"/>
    <s v="HP2636946522"/>
    <x v="1"/>
    <n v="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2"/>
    <x v="1"/>
    <x v="725"/>
    <s v="HP2636957428"/>
    <x v="0"/>
    <n v="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2"/>
    <x v="1"/>
    <x v="725"/>
    <s v="HP2636957428"/>
    <x v="1"/>
    <n v="0"/>
  </r>
  <r>
    <x v="0"/>
    <x v="1"/>
    <x v="4"/>
    <x v="19"/>
    <x v="62"/>
    <x v="62"/>
    <x v="2"/>
    <s v="Y"/>
    <s v="Y"/>
    <x v="5"/>
    <x v="3"/>
    <x v="0"/>
    <x v="0"/>
    <m/>
    <m/>
    <s v="대리점"/>
    <x v="0"/>
    <x v="20"/>
    <x v="1"/>
    <x v="722"/>
    <s v="HG2636948730"/>
    <x v="0"/>
    <n v="0"/>
  </r>
  <r>
    <x v="0"/>
    <x v="1"/>
    <x v="4"/>
    <x v="19"/>
    <x v="62"/>
    <x v="62"/>
    <x v="2"/>
    <s v="Y"/>
    <s v="Y"/>
    <x v="5"/>
    <x v="3"/>
    <x v="0"/>
    <x v="0"/>
    <m/>
    <m/>
    <s v="대리점"/>
    <x v="0"/>
    <x v="20"/>
    <x v="1"/>
    <x v="722"/>
    <s v="HG2636948730"/>
    <x v="1"/>
    <n v="0"/>
  </r>
  <r>
    <x v="0"/>
    <x v="1"/>
    <x v="4"/>
    <x v="19"/>
    <x v="62"/>
    <x v="62"/>
    <x v="11"/>
    <s v="Y"/>
    <s v="N"/>
    <x v="0"/>
    <x v="0"/>
    <x v="0"/>
    <x v="0"/>
    <m/>
    <m/>
    <s v="대리점"/>
    <x v="0"/>
    <x v="16"/>
    <x v="1"/>
    <x v="726"/>
    <s v="HP2636978498"/>
    <x v="0"/>
    <n v="0"/>
  </r>
  <r>
    <x v="0"/>
    <x v="1"/>
    <x v="4"/>
    <x v="19"/>
    <x v="62"/>
    <x v="62"/>
    <x v="11"/>
    <s v="Y"/>
    <s v="N"/>
    <x v="0"/>
    <x v="0"/>
    <x v="0"/>
    <x v="0"/>
    <m/>
    <m/>
    <s v="대리점"/>
    <x v="0"/>
    <x v="16"/>
    <x v="1"/>
    <x v="726"/>
    <s v="HP2636978498"/>
    <x v="1"/>
    <n v="0"/>
  </r>
  <r>
    <x v="0"/>
    <x v="1"/>
    <x v="4"/>
    <x v="19"/>
    <x v="62"/>
    <x v="62"/>
    <x v="11"/>
    <s v="Y"/>
    <s v="N"/>
    <x v="1"/>
    <x v="0"/>
    <x v="0"/>
    <x v="0"/>
    <m/>
    <m/>
    <s v="대리점"/>
    <x v="0"/>
    <x v="14"/>
    <x v="1"/>
    <x v="727"/>
    <s v="HP2636978502"/>
    <x v="0"/>
    <n v="0"/>
  </r>
  <r>
    <x v="0"/>
    <x v="1"/>
    <x v="4"/>
    <x v="19"/>
    <x v="62"/>
    <x v="62"/>
    <x v="11"/>
    <s v="Y"/>
    <s v="N"/>
    <x v="1"/>
    <x v="0"/>
    <x v="0"/>
    <x v="0"/>
    <m/>
    <m/>
    <s v="대리점"/>
    <x v="0"/>
    <x v="14"/>
    <x v="1"/>
    <x v="727"/>
    <s v="HP2636978502"/>
    <x v="1"/>
    <n v="0"/>
  </r>
  <r>
    <x v="0"/>
    <x v="1"/>
    <x v="4"/>
    <x v="19"/>
    <x v="62"/>
    <x v="62"/>
    <x v="3"/>
    <s v="N"/>
    <s v="Y"/>
    <x v="0"/>
    <x v="0"/>
    <x v="0"/>
    <x v="0"/>
    <s v="성인"/>
    <s v="성인"/>
    <s v="닷컴"/>
    <x v="2"/>
    <x v="2"/>
    <x v="0"/>
    <x v="728"/>
    <s v="HP2636989044"/>
    <x v="0"/>
    <n v="1"/>
  </r>
  <r>
    <x v="0"/>
    <x v="1"/>
    <x v="4"/>
    <x v="19"/>
    <x v="62"/>
    <x v="62"/>
    <x v="3"/>
    <s v="N"/>
    <s v="Y"/>
    <x v="0"/>
    <x v="0"/>
    <x v="0"/>
    <x v="0"/>
    <s v="성인"/>
    <s v="성인"/>
    <s v="닷컴"/>
    <x v="2"/>
    <x v="2"/>
    <x v="0"/>
    <x v="728"/>
    <s v="HP2636989044"/>
    <x v="1"/>
    <n v="542900"/>
  </r>
  <r>
    <x v="0"/>
    <x v="1"/>
    <x v="4"/>
    <x v="19"/>
    <x v="62"/>
    <x v="62"/>
    <x v="3"/>
    <s v="N"/>
    <s v="Y"/>
    <x v="0"/>
    <x v="0"/>
    <x v="0"/>
    <x v="0"/>
    <m/>
    <m/>
    <s v="닷컴"/>
    <x v="2"/>
    <x v="6"/>
    <x v="1"/>
    <x v="729"/>
    <s v="HP2636986310"/>
    <x v="0"/>
    <n v="0"/>
  </r>
  <r>
    <x v="0"/>
    <x v="1"/>
    <x v="4"/>
    <x v="19"/>
    <x v="62"/>
    <x v="62"/>
    <x v="3"/>
    <s v="N"/>
    <s v="Y"/>
    <x v="0"/>
    <x v="0"/>
    <x v="0"/>
    <x v="0"/>
    <m/>
    <m/>
    <s v="닷컴"/>
    <x v="2"/>
    <x v="6"/>
    <x v="1"/>
    <x v="729"/>
    <s v="HP2636986310"/>
    <x v="1"/>
    <n v="0"/>
  </r>
  <r>
    <x v="0"/>
    <x v="1"/>
    <x v="4"/>
    <x v="19"/>
    <x v="62"/>
    <x v="62"/>
    <x v="3"/>
    <s v="N"/>
    <s v="Y"/>
    <x v="0"/>
    <x v="0"/>
    <x v="0"/>
    <x v="0"/>
    <m/>
    <m/>
    <s v="닷컴"/>
    <x v="2"/>
    <x v="2"/>
    <x v="0"/>
    <x v="728"/>
    <s v="HP2636989044"/>
    <x v="0"/>
    <n v="2"/>
  </r>
  <r>
    <x v="0"/>
    <x v="1"/>
    <x v="4"/>
    <x v="19"/>
    <x v="62"/>
    <x v="62"/>
    <x v="3"/>
    <s v="N"/>
    <s v="Y"/>
    <x v="0"/>
    <x v="0"/>
    <x v="0"/>
    <x v="0"/>
    <m/>
    <m/>
    <s v="닷컴"/>
    <x v="2"/>
    <x v="2"/>
    <x v="0"/>
    <x v="728"/>
    <s v="HP2636989044"/>
    <x v="1"/>
    <n v="1085800"/>
  </r>
  <r>
    <x v="0"/>
    <x v="1"/>
    <x v="4"/>
    <x v="19"/>
    <x v="62"/>
    <x v="62"/>
    <x v="3"/>
    <s v="N"/>
    <s v="Y"/>
    <x v="1"/>
    <x v="0"/>
    <x v="0"/>
    <x v="0"/>
    <m/>
    <m/>
    <s v="닷컴"/>
    <x v="2"/>
    <x v="2"/>
    <x v="1"/>
    <x v="730"/>
    <s v="HP2636985486"/>
    <x v="0"/>
    <n v="0"/>
  </r>
  <r>
    <x v="0"/>
    <x v="1"/>
    <x v="4"/>
    <x v="19"/>
    <x v="62"/>
    <x v="62"/>
    <x v="3"/>
    <s v="N"/>
    <s v="Y"/>
    <x v="1"/>
    <x v="0"/>
    <x v="0"/>
    <x v="0"/>
    <m/>
    <m/>
    <s v="닷컴"/>
    <x v="2"/>
    <x v="2"/>
    <x v="1"/>
    <x v="730"/>
    <s v="HP2636985486"/>
    <x v="1"/>
    <n v="0"/>
  </r>
  <r>
    <x v="0"/>
    <x v="1"/>
    <x v="4"/>
    <x v="19"/>
    <x v="62"/>
    <x v="62"/>
    <x v="3"/>
    <s v="N"/>
    <s v="Y"/>
    <x v="1"/>
    <x v="0"/>
    <x v="0"/>
    <x v="0"/>
    <m/>
    <m/>
    <s v="대리점"/>
    <x v="0"/>
    <x v="3"/>
    <x v="0"/>
    <x v="731"/>
    <s v="HP2636988272"/>
    <x v="0"/>
    <n v="4"/>
  </r>
  <r>
    <x v="0"/>
    <x v="1"/>
    <x v="4"/>
    <x v="19"/>
    <x v="62"/>
    <x v="62"/>
    <x v="3"/>
    <s v="N"/>
    <s v="Y"/>
    <x v="1"/>
    <x v="0"/>
    <x v="0"/>
    <x v="0"/>
    <m/>
    <m/>
    <s v="대리점"/>
    <x v="0"/>
    <x v="3"/>
    <x v="0"/>
    <x v="731"/>
    <s v="HP2636988272"/>
    <x v="1"/>
    <n v="4599600"/>
  </r>
  <r>
    <x v="0"/>
    <x v="1"/>
    <x v="4"/>
    <x v="19"/>
    <x v="62"/>
    <x v="62"/>
    <x v="4"/>
    <s v="N"/>
    <s v="N"/>
    <x v="4"/>
    <x v="2"/>
    <x v="0"/>
    <x v="0"/>
    <s v="성인"/>
    <s v="성인"/>
    <s v="대리점"/>
    <x v="0"/>
    <x v="2"/>
    <x v="0"/>
    <x v="732"/>
    <s v="HQ2637011784"/>
    <x v="0"/>
    <n v="19"/>
  </r>
  <r>
    <x v="0"/>
    <x v="1"/>
    <x v="4"/>
    <x v="19"/>
    <x v="62"/>
    <x v="62"/>
    <x v="4"/>
    <s v="N"/>
    <s v="N"/>
    <x v="4"/>
    <x v="2"/>
    <x v="0"/>
    <x v="0"/>
    <s v="성인"/>
    <s v="성인"/>
    <s v="대리점"/>
    <x v="0"/>
    <x v="2"/>
    <x v="0"/>
    <x v="732"/>
    <s v="HQ2637011784"/>
    <x v="1"/>
    <n v="130150000"/>
  </r>
  <r>
    <x v="0"/>
    <x v="1"/>
    <x v="4"/>
    <x v="19"/>
    <x v="62"/>
    <x v="62"/>
    <x v="4"/>
    <s v="N"/>
    <s v="N"/>
    <x v="0"/>
    <x v="0"/>
    <x v="0"/>
    <x v="0"/>
    <m/>
    <m/>
    <s v="대리점"/>
    <x v="0"/>
    <x v="0"/>
    <x v="0"/>
    <x v="733"/>
    <s v="HP2637008392"/>
    <x v="0"/>
    <n v="2"/>
  </r>
  <r>
    <x v="0"/>
    <x v="1"/>
    <x v="4"/>
    <x v="19"/>
    <x v="62"/>
    <x v="62"/>
    <x v="4"/>
    <s v="N"/>
    <s v="N"/>
    <x v="0"/>
    <x v="0"/>
    <x v="0"/>
    <x v="0"/>
    <m/>
    <m/>
    <s v="대리점"/>
    <x v="0"/>
    <x v="0"/>
    <x v="0"/>
    <x v="733"/>
    <s v="HP2637008392"/>
    <x v="1"/>
    <n v="1459800"/>
  </r>
  <r>
    <x v="0"/>
    <x v="1"/>
    <x v="4"/>
    <x v="19"/>
    <x v="62"/>
    <x v="62"/>
    <x v="5"/>
    <s v="N"/>
    <s v="N"/>
    <x v="1"/>
    <x v="0"/>
    <x v="0"/>
    <x v="0"/>
    <s v="성인"/>
    <s v="성인"/>
    <s v="대리점"/>
    <x v="0"/>
    <x v="21"/>
    <x v="0"/>
    <x v="734"/>
    <s v="HP2637033268"/>
    <x v="0"/>
    <n v="2"/>
  </r>
  <r>
    <x v="0"/>
    <x v="1"/>
    <x v="4"/>
    <x v="19"/>
    <x v="62"/>
    <x v="62"/>
    <x v="5"/>
    <s v="N"/>
    <s v="N"/>
    <x v="1"/>
    <x v="0"/>
    <x v="0"/>
    <x v="0"/>
    <s v="성인"/>
    <s v="성인"/>
    <s v="대리점"/>
    <x v="0"/>
    <x v="21"/>
    <x v="0"/>
    <x v="734"/>
    <s v="HP2637033268"/>
    <x v="1"/>
    <n v="2299800"/>
  </r>
  <r>
    <x v="0"/>
    <x v="1"/>
    <x v="4"/>
    <x v="19"/>
    <x v="62"/>
    <x v="62"/>
    <x v="5"/>
    <s v="N"/>
    <s v="N"/>
    <x v="1"/>
    <x v="0"/>
    <x v="0"/>
    <x v="0"/>
    <m/>
    <m/>
    <s v="대리점"/>
    <x v="0"/>
    <x v="21"/>
    <x v="1"/>
    <x v="734"/>
    <s v="HP2637033268"/>
    <x v="0"/>
    <n v="0"/>
  </r>
  <r>
    <x v="0"/>
    <x v="1"/>
    <x v="4"/>
    <x v="19"/>
    <x v="62"/>
    <x v="62"/>
    <x v="5"/>
    <s v="N"/>
    <s v="N"/>
    <x v="1"/>
    <x v="0"/>
    <x v="0"/>
    <x v="0"/>
    <m/>
    <m/>
    <s v="대리점"/>
    <x v="0"/>
    <x v="21"/>
    <x v="1"/>
    <x v="734"/>
    <s v="HP2637033268"/>
    <x v="1"/>
    <n v="1149900"/>
  </r>
  <r>
    <x v="0"/>
    <x v="1"/>
    <x v="4"/>
    <x v="19"/>
    <x v="62"/>
    <x v="62"/>
    <x v="6"/>
    <s v="N"/>
    <s v="N"/>
    <x v="1"/>
    <x v="0"/>
    <x v="1"/>
    <x v="0"/>
    <s v="성인"/>
    <s v="성인"/>
    <s v="대리점"/>
    <x v="0"/>
    <x v="2"/>
    <x v="0"/>
    <x v="735"/>
    <s v="HP2637054486"/>
    <x v="0"/>
    <n v="2"/>
  </r>
  <r>
    <x v="0"/>
    <x v="1"/>
    <x v="4"/>
    <x v="19"/>
    <x v="62"/>
    <x v="62"/>
    <x v="6"/>
    <s v="N"/>
    <s v="N"/>
    <x v="1"/>
    <x v="0"/>
    <x v="1"/>
    <x v="0"/>
    <s v="성인"/>
    <s v="성인"/>
    <s v="대리점"/>
    <x v="0"/>
    <x v="2"/>
    <x v="0"/>
    <x v="735"/>
    <s v="HP2637054486"/>
    <x v="1"/>
    <n v="1780000"/>
  </r>
  <r>
    <x v="0"/>
    <x v="1"/>
    <x v="4"/>
    <x v="19"/>
    <x v="62"/>
    <x v="62"/>
    <x v="6"/>
    <s v="N"/>
    <s v="N"/>
    <x v="1"/>
    <x v="0"/>
    <x v="0"/>
    <x v="0"/>
    <s v="성인"/>
    <s v="성인"/>
    <s v="대리점"/>
    <x v="0"/>
    <x v="2"/>
    <x v="0"/>
    <x v="735"/>
    <s v="HP2637054486"/>
    <x v="0"/>
    <n v="3"/>
  </r>
  <r>
    <x v="0"/>
    <x v="1"/>
    <x v="4"/>
    <x v="19"/>
    <x v="62"/>
    <x v="62"/>
    <x v="6"/>
    <s v="N"/>
    <s v="N"/>
    <x v="1"/>
    <x v="0"/>
    <x v="0"/>
    <x v="0"/>
    <s v="성인"/>
    <s v="성인"/>
    <s v="대리점"/>
    <x v="0"/>
    <x v="2"/>
    <x v="0"/>
    <x v="735"/>
    <s v="HP2637054486"/>
    <x v="1"/>
    <n v="3449700"/>
  </r>
  <r>
    <x v="0"/>
    <x v="1"/>
    <x v="4"/>
    <x v="19"/>
    <x v="62"/>
    <x v="62"/>
    <x v="6"/>
    <s v="N"/>
    <s v="N"/>
    <x v="1"/>
    <x v="0"/>
    <x v="0"/>
    <x v="1"/>
    <s v="아동"/>
    <s v="아동"/>
    <s v="대리점"/>
    <x v="0"/>
    <x v="2"/>
    <x v="0"/>
    <x v="735"/>
    <s v="HP2637054486"/>
    <x v="0"/>
    <n v="1"/>
  </r>
  <r>
    <x v="0"/>
    <x v="1"/>
    <x v="4"/>
    <x v="19"/>
    <x v="62"/>
    <x v="62"/>
    <x v="6"/>
    <s v="N"/>
    <s v="N"/>
    <x v="1"/>
    <x v="0"/>
    <x v="0"/>
    <x v="1"/>
    <s v="아동"/>
    <s v="아동"/>
    <s v="대리점"/>
    <x v="0"/>
    <x v="2"/>
    <x v="0"/>
    <x v="735"/>
    <s v="HP2637054486"/>
    <x v="1"/>
    <n v="1034910"/>
  </r>
  <r>
    <x v="0"/>
    <x v="1"/>
    <x v="4"/>
    <x v="19"/>
    <x v="62"/>
    <x v="62"/>
    <x v="7"/>
    <s v="N"/>
    <s v="Y"/>
    <x v="0"/>
    <x v="0"/>
    <x v="0"/>
    <x v="0"/>
    <m/>
    <m/>
    <s v="닷컴"/>
    <x v="2"/>
    <x v="14"/>
    <x v="1"/>
    <x v="736"/>
    <s v="HP2637069256"/>
    <x v="0"/>
    <n v="0"/>
  </r>
  <r>
    <x v="0"/>
    <x v="1"/>
    <x v="4"/>
    <x v="19"/>
    <x v="62"/>
    <x v="62"/>
    <x v="7"/>
    <s v="N"/>
    <s v="Y"/>
    <x v="0"/>
    <x v="0"/>
    <x v="0"/>
    <x v="0"/>
    <m/>
    <m/>
    <s v="닷컴"/>
    <x v="2"/>
    <x v="14"/>
    <x v="1"/>
    <x v="736"/>
    <s v="HP2637069256"/>
    <x v="1"/>
    <n v="329000"/>
  </r>
  <r>
    <x v="0"/>
    <x v="1"/>
    <x v="4"/>
    <x v="19"/>
    <x v="62"/>
    <x v="62"/>
    <x v="7"/>
    <s v="N"/>
    <s v="Y"/>
    <x v="1"/>
    <x v="0"/>
    <x v="0"/>
    <x v="0"/>
    <s v="성인"/>
    <s v="성인"/>
    <s v="대리점"/>
    <x v="0"/>
    <x v="22"/>
    <x v="0"/>
    <x v="737"/>
    <s v="HP2637071138"/>
    <x v="0"/>
    <n v="2"/>
  </r>
  <r>
    <x v="0"/>
    <x v="1"/>
    <x v="4"/>
    <x v="19"/>
    <x v="62"/>
    <x v="62"/>
    <x v="7"/>
    <s v="N"/>
    <s v="Y"/>
    <x v="1"/>
    <x v="0"/>
    <x v="0"/>
    <x v="0"/>
    <s v="성인"/>
    <s v="성인"/>
    <s v="대리점"/>
    <x v="0"/>
    <x v="22"/>
    <x v="0"/>
    <x v="737"/>
    <s v="HP2637071138"/>
    <x v="1"/>
    <n v="2779600"/>
  </r>
  <r>
    <x v="0"/>
    <x v="1"/>
    <x v="4"/>
    <x v="19"/>
    <x v="62"/>
    <x v="62"/>
    <x v="7"/>
    <s v="N"/>
    <s v="Y"/>
    <x v="1"/>
    <x v="0"/>
    <x v="0"/>
    <x v="0"/>
    <m/>
    <m/>
    <s v="대리점"/>
    <x v="0"/>
    <x v="22"/>
    <x v="1"/>
    <x v="737"/>
    <s v="HP2637071138"/>
    <x v="0"/>
    <n v="0"/>
  </r>
  <r>
    <x v="0"/>
    <x v="1"/>
    <x v="4"/>
    <x v="19"/>
    <x v="62"/>
    <x v="62"/>
    <x v="7"/>
    <s v="N"/>
    <s v="Y"/>
    <x v="1"/>
    <x v="0"/>
    <x v="0"/>
    <x v="0"/>
    <m/>
    <m/>
    <s v="대리점"/>
    <x v="0"/>
    <x v="22"/>
    <x v="1"/>
    <x v="737"/>
    <s v="HP2637071138"/>
    <x v="1"/>
    <n v="1389800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8"/>
    <s v="HP2637089644"/>
    <x v="0"/>
    <n v="4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8"/>
    <s v="HP2637089644"/>
    <x v="1"/>
    <n v="4031600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9"/>
    <s v="HP2637082890"/>
    <x v="0"/>
    <n v="2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9"/>
    <s v="HP2637082890"/>
    <x v="1"/>
    <n v="13110000"/>
  </r>
  <r>
    <x v="0"/>
    <x v="1"/>
    <x v="4"/>
    <x v="19"/>
    <x v="62"/>
    <x v="62"/>
    <x v="8"/>
    <s v="Y"/>
    <s v="N"/>
    <x v="1"/>
    <x v="0"/>
    <x v="0"/>
    <x v="0"/>
    <m/>
    <m/>
    <s v="닷컴"/>
    <x v="2"/>
    <x v="2"/>
    <x v="1"/>
    <x v="2"/>
    <s v="HP2637089376"/>
    <x v="0"/>
    <n v="0"/>
  </r>
  <r>
    <x v="0"/>
    <x v="1"/>
    <x v="4"/>
    <x v="19"/>
    <x v="62"/>
    <x v="62"/>
    <x v="8"/>
    <s v="Y"/>
    <s v="N"/>
    <x v="1"/>
    <x v="0"/>
    <x v="0"/>
    <x v="0"/>
    <m/>
    <m/>
    <s v="닷컴"/>
    <x v="2"/>
    <x v="2"/>
    <x v="1"/>
    <x v="2"/>
    <s v="HP2637089376"/>
    <x v="1"/>
    <n v="4031600"/>
  </r>
  <r>
    <x v="0"/>
    <x v="1"/>
    <x v="4"/>
    <x v="19"/>
    <x v="62"/>
    <x v="62"/>
    <x v="9"/>
    <s v="Y"/>
    <s v="N"/>
    <x v="0"/>
    <x v="0"/>
    <x v="0"/>
    <x v="0"/>
    <s v="성인"/>
    <s v="성인"/>
    <s v="대리점"/>
    <x v="0"/>
    <x v="19"/>
    <x v="0"/>
    <x v="740"/>
    <s v="HP2637096760"/>
    <x v="0"/>
    <n v="1"/>
  </r>
  <r>
    <x v="0"/>
    <x v="1"/>
    <x v="4"/>
    <x v="19"/>
    <x v="62"/>
    <x v="62"/>
    <x v="9"/>
    <s v="Y"/>
    <s v="N"/>
    <x v="0"/>
    <x v="0"/>
    <x v="0"/>
    <x v="0"/>
    <s v="성인"/>
    <s v="성인"/>
    <s v="대리점"/>
    <x v="0"/>
    <x v="19"/>
    <x v="0"/>
    <x v="740"/>
    <s v="HP2637096760"/>
    <x v="1"/>
    <n v="912200"/>
  </r>
  <r>
    <x v="0"/>
    <x v="1"/>
    <x v="4"/>
    <x v="19"/>
    <x v="62"/>
    <x v="62"/>
    <x v="9"/>
    <s v="Y"/>
    <s v="N"/>
    <x v="0"/>
    <x v="0"/>
    <x v="0"/>
    <x v="0"/>
    <m/>
    <m/>
    <s v="닷컴"/>
    <x v="2"/>
    <x v="2"/>
    <x v="0"/>
    <x v="741"/>
    <s v="HP2637099808"/>
    <x v="0"/>
    <n v="6"/>
  </r>
  <r>
    <x v="0"/>
    <x v="1"/>
    <x v="4"/>
    <x v="19"/>
    <x v="62"/>
    <x v="62"/>
    <x v="9"/>
    <s v="Y"/>
    <s v="N"/>
    <x v="0"/>
    <x v="0"/>
    <x v="0"/>
    <x v="0"/>
    <m/>
    <m/>
    <s v="닷컴"/>
    <x v="2"/>
    <x v="2"/>
    <x v="0"/>
    <x v="741"/>
    <s v="HP2637099808"/>
    <x v="1"/>
    <n v="6269400"/>
  </r>
  <r>
    <x v="0"/>
    <x v="1"/>
    <x v="4"/>
    <x v="19"/>
    <x v="62"/>
    <x v="62"/>
    <x v="9"/>
    <s v="Y"/>
    <s v="N"/>
    <x v="0"/>
    <x v="0"/>
    <x v="0"/>
    <x v="0"/>
    <m/>
    <m/>
    <s v="대리점"/>
    <x v="0"/>
    <x v="19"/>
    <x v="1"/>
    <x v="740"/>
    <s v="HP2637096760"/>
    <x v="0"/>
    <n v="0"/>
  </r>
  <r>
    <x v="0"/>
    <x v="1"/>
    <x v="4"/>
    <x v="19"/>
    <x v="62"/>
    <x v="62"/>
    <x v="9"/>
    <s v="Y"/>
    <s v="N"/>
    <x v="0"/>
    <x v="0"/>
    <x v="0"/>
    <x v="0"/>
    <m/>
    <m/>
    <s v="대리점"/>
    <x v="0"/>
    <x v="19"/>
    <x v="1"/>
    <x v="740"/>
    <s v="HP2637096760"/>
    <x v="1"/>
    <n v="912200"/>
  </r>
  <r>
    <x v="0"/>
    <x v="1"/>
    <x v="5"/>
    <x v="20"/>
    <x v="63"/>
    <x v="63"/>
    <x v="0"/>
    <s v="N"/>
    <s v="N"/>
    <x v="0"/>
    <x v="0"/>
    <x v="0"/>
    <x v="0"/>
    <s v="성인"/>
    <s v="성인"/>
    <s v="대리점"/>
    <x v="0"/>
    <x v="2"/>
    <x v="0"/>
    <x v="742"/>
    <s v="HP2636928178"/>
    <x v="0"/>
    <n v="5"/>
  </r>
  <r>
    <x v="0"/>
    <x v="1"/>
    <x v="5"/>
    <x v="20"/>
    <x v="63"/>
    <x v="63"/>
    <x v="0"/>
    <s v="N"/>
    <s v="N"/>
    <x v="0"/>
    <x v="0"/>
    <x v="0"/>
    <x v="0"/>
    <s v="성인"/>
    <s v="성인"/>
    <s v="대리점"/>
    <x v="0"/>
    <x v="2"/>
    <x v="0"/>
    <x v="742"/>
    <s v="HP2636928178"/>
    <x v="1"/>
    <n v="3271000"/>
  </r>
  <r>
    <x v="0"/>
    <x v="1"/>
    <x v="5"/>
    <x v="20"/>
    <x v="63"/>
    <x v="63"/>
    <x v="3"/>
    <s v="N"/>
    <s v="Y"/>
    <x v="1"/>
    <x v="0"/>
    <x v="0"/>
    <x v="0"/>
    <m/>
    <m/>
    <s v="대리점"/>
    <x v="0"/>
    <x v="23"/>
    <x v="1"/>
    <x v="743"/>
    <s v="HP2636983970"/>
    <x v="0"/>
    <n v="0"/>
  </r>
  <r>
    <x v="0"/>
    <x v="1"/>
    <x v="5"/>
    <x v="20"/>
    <x v="63"/>
    <x v="63"/>
    <x v="3"/>
    <s v="N"/>
    <s v="Y"/>
    <x v="1"/>
    <x v="0"/>
    <x v="0"/>
    <x v="0"/>
    <m/>
    <m/>
    <s v="대리점"/>
    <x v="0"/>
    <x v="23"/>
    <x v="1"/>
    <x v="743"/>
    <s v="HP2636983970"/>
    <x v="1"/>
    <n v="3646800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23"/>
    <x v="0"/>
    <x v="744"/>
    <s v="HP2637012802"/>
    <x v="0"/>
    <n v="4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23"/>
    <x v="0"/>
    <x v="744"/>
    <s v="HP2637012802"/>
    <x v="1"/>
    <n v="4596000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32"/>
    <x v="0"/>
    <x v="745"/>
    <s v="HP2637006644"/>
    <x v="0"/>
    <n v="4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32"/>
    <x v="0"/>
    <x v="745"/>
    <s v="HP2637006644"/>
    <x v="1"/>
    <n v="436960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6"/>
    <s v="HP2637004476"/>
    <x v="0"/>
    <n v="1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6"/>
    <s v="HP2637004476"/>
    <x v="1"/>
    <n v="1323400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7"/>
    <s v="HP2637004450"/>
    <x v="0"/>
    <n v="1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7"/>
    <s v="HP2637004450"/>
    <x v="1"/>
    <n v="1623400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1"/>
    <x v="748"/>
    <s v="HP2637012592"/>
    <x v="0"/>
    <n v="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1"/>
    <x v="748"/>
    <s v="HP2637012592"/>
    <x v="1"/>
    <n v="4596000"/>
  </r>
  <r>
    <x v="0"/>
    <x v="1"/>
    <x v="5"/>
    <x v="20"/>
    <x v="63"/>
    <x v="63"/>
    <x v="7"/>
    <s v="N"/>
    <s v="Y"/>
    <x v="4"/>
    <x v="1"/>
    <x v="0"/>
    <x v="0"/>
    <s v="성인"/>
    <s v="성인"/>
    <s v="대리점"/>
    <x v="0"/>
    <x v="12"/>
    <x v="0"/>
    <x v="749"/>
    <s v="HB2637069678"/>
    <x v="0"/>
    <n v="2"/>
  </r>
  <r>
    <x v="0"/>
    <x v="1"/>
    <x v="5"/>
    <x v="20"/>
    <x v="63"/>
    <x v="63"/>
    <x v="7"/>
    <s v="N"/>
    <s v="Y"/>
    <x v="4"/>
    <x v="1"/>
    <x v="0"/>
    <x v="0"/>
    <s v="성인"/>
    <s v="성인"/>
    <s v="대리점"/>
    <x v="0"/>
    <x v="12"/>
    <x v="0"/>
    <x v="749"/>
    <s v="HB2637069678"/>
    <x v="1"/>
    <n v="1823200"/>
  </r>
  <r>
    <x v="0"/>
    <x v="1"/>
    <x v="5"/>
    <x v="20"/>
    <x v="63"/>
    <x v="63"/>
    <x v="10"/>
    <s v="N"/>
    <s v="N"/>
    <x v="0"/>
    <x v="0"/>
    <x v="0"/>
    <x v="0"/>
    <m/>
    <m/>
    <s v="대리점"/>
    <x v="0"/>
    <x v="2"/>
    <x v="0"/>
    <x v="750"/>
    <s v="HP2637124072"/>
    <x v="0"/>
    <n v="15"/>
  </r>
  <r>
    <x v="0"/>
    <x v="1"/>
    <x v="5"/>
    <x v="20"/>
    <x v="63"/>
    <x v="63"/>
    <x v="10"/>
    <s v="N"/>
    <s v="N"/>
    <x v="0"/>
    <x v="0"/>
    <x v="0"/>
    <x v="0"/>
    <m/>
    <m/>
    <s v="대리점"/>
    <x v="0"/>
    <x v="2"/>
    <x v="0"/>
    <x v="750"/>
    <s v="HP2637124072"/>
    <x v="1"/>
    <n v="15375000"/>
  </r>
  <r>
    <x v="0"/>
    <x v="1"/>
    <x v="5"/>
    <x v="20"/>
    <x v="63"/>
    <x v="63"/>
    <x v="10"/>
    <s v="N"/>
    <s v="N"/>
    <x v="1"/>
    <x v="0"/>
    <x v="0"/>
    <x v="0"/>
    <m/>
    <m/>
    <s v="대리점"/>
    <x v="0"/>
    <x v="17"/>
    <x v="0"/>
    <x v="751"/>
    <s v="HP2637124168"/>
    <x v="0"/>
    <n v="15"/>
  </r>
  <r>
    <x v="0"/>
    <x v="1"/>
    <x v="5"/>
    <x v="20"/>
    <x v="63"/>
    <x v="63"/>
    <x v="10"/>
    <s v="N"/>
    <s v="N"/>
    <x v="1"/>
    <x v="0"/>
    <x v="0"/>
    <x v="0"/>
    <m/>
    <m/>
    <s v="대리점"/>
    <x v="0"/>
    <x v="17"/>
    <x v="0"/>
    <x v="751"/>
    <s v="HP2637124168"/>
    <x v="1"/>
    <n v="19980000"/>
  </r>
  <r>
    <x v="0"/>
    <x v="1"/>
    <x v="5"/>
    <x v="21"/>
    <x v="64"/>
    <x v="64"/>
    <x v="1"/>
    <s v="N"/>
    <s v="N"/>
    <x v="5"/>
    <x v="3"/>
    <x v="0"/>
    <x v="0"/>
    <s v="성인"/>
    <s v="성인"/>
    <s v="대리점"/>
    <x v="0"/>
    <x v="18"/>
    <x v="0"/>
    <x v="752"/>
    <s v="HG2636945036"/>
    <x v="0"/>
    <n v="4"/>
  </r>
  <r>
    <x v="0"/>
    <x v="1"/>
    <x v="5"/>
    <x v="21"/>
    <x v="64"/>
    <x v="64"/>
    <x v="1"/>
    <s v="N"/>
    <s v="N"/>
    <x v="5"/>
    <x v="3"/>
    <x v="0"/>
    <x v="0"/>
    <s v="성인"/>
    <s v="성인"/>
    <s v="대리점"/>
    <x v="0"/>
    <x v="18"/>
    <x v="0"/>
    <x v="752"/>
    <s v="HG2636945036"/>
    <x v="1"/>
    <n v="8356000"/>
  </r>
  <r>
    <x v="0"/>
    <x v="1"/>
    <x v="5"/>
    <x v="21"/>
    <x v="64"/>
    <x v="64"/>
    <x v="1"/>
    <s v="N"/>
    <s v="N"/>
    <x v="4"/>
    <x v="1"/>
    <x v="0"/>
    <x v="0"/>
    <s v="성인"/>
    <s v="성인"/>
    <s v="대리점"/>
    <x v="0"/>
    <x v="12"/>
    <x v="0"/>
    <x v="753"/>
    <s v="HB2636955800"/>
    <x v="0"/>
    <n v="2"/>
  </r>
  <r>
    <x v="0"/>
    <x v="1"/>
    <x v="5"/>
    <x v="21"/>
    <x v="64"/>
    <x v="64"/>
    <x v="1"/>
    <s v="N"/>
    <s v="N"/>
    <x v="4"/>
    <x v="1"/>
    <x v="0"/>
    <x v="0"/>
    <s v="성인"/>
    <s v="성인"/>
    <s v="대리점"/>
    <x v="0"/>
    <x v="12"/>
    <x v="0"/>
    <x v="753"/>
    <s v="HB2636955800"/>
    <x v="1"/>
    <n v="1778000"/>
  </r>
  <r>
    <x v="0"/>
    <x v="1"/>
    <x v="5"/>
    <x v="21"/>
    <x v="64"/>
    <x v="64"/>
    <x v="1"/>
    <s v="N"/>
    <s v="N"/>
    <x v="4"/>
    <x v="1"/>
    <x v="0"/>
    <x v="1"/>
    <s v="아동"/>
    <s v="아동"/>
    <s v="대리점"/>
    <x v="0"/>
    <x v="12"/>
    <x v="0"/>
    <x v="753"/>
    <s v="HB2636955800"/>
    <x v="0"/>
    <n v="2"/>
  </r>
  <r>
    <x v="0"/>
    <x v="1"/>
    <x v="5"/>
    <x v="21"/>
    <x v="64"/>
    <x v="64"/>
    <x v="1"/>
    <s v="N"/>
    <s v="N"/>
    <x v="4"/>
    <x v="1"/>
    <x v="0"/>
    <x v="1"/>
    <s v="아동"/>
    <s v="아동"/>
    <s v="대리점"/>
    <x v="0"/>
    <x v="12"/>
    <x v="0"/>
    <x v="753"/>
    <s v="HB2636955800"/>
    <x v="1"/>
    <n v="1778000"/>
  </r>
  <r>
    <x v="0"/>
    <x v="1"/>
    <x v="5"/>
    <x v="21"/>
    <x v="64"/>
    <x v="64"/>
    <x v="2"/>
    <s v="Y"/>
    <s v="Y"/>
    <x v="1"/>
    <x v="0"/>
    <x v="0"/>
    <x v="0"/>
    <s v="성인"/>
    <s v="성인"/>
    <s v="대리점"/>
    <x v="0"/>
    <x v="2"/>
    <x v="0"/>
    <x v="754"/>
    <s v="HP2636967806"/>
    <x v="0"/>
    <n v="2"/>
  </r>
  <r>
    <x v="0"/>
    <x v="1"/>
    <x v="5"/>
    <x v="21"/>
    <x v="64"/>
    <x v="64"/>
    <x v="2"/>
    <s v="Y"/>
    <s v="Y"/>
    <x v="1"/>
    <x v="0"/>
    <x v="0"/>
    <x v="0"/>
    <s v="성인"/>
    <s v="성인"/>
    <s v="대리점"/>
    <x v="0"/>
    <x v="2"/>
    <x v="0"/>
    <x v="754"/>
    <s v="HP2636967806"/>
    <x v="1"/>
    <n v="2798000"/>
  </r>
  <r>
    <x v="0"/>
    <x v="1"/>
    <x v="5"/>
    <x v="21"/>
    <x v="64"/>
    <x v="64"/>
    <x v="2"/>
    <s v="Y"/>
    <s v="Y"/>
    <x v="1"/>
    <x v="0"/>
    <x v="0"/>
    <x v="1"/>
    <s v="아동"/>
    <s v="아동"/>
    <s v="대리점"/>
    <x v="0"/>
    <x v="2"/>
    <x v="0"/>
    <x v="754"/>
    <s v="HP2636967806"/>
    <x v="0"/>
    <n v="2"/>
  </r>
  <r>
    <x v="0"/>
    <x v="1"/>
    <x v="5"/>
    <x v="21"/>
    <x v="64"/>
    <x v="64"/>
    <x v="2"/>
    <s v="Y"/>
    <s v="Y"/>
    <x v="1"/>
    <x v="0"/>
    <x v="0"/>
    <x v="1"/>
    <s v="아동"/>
    <s v="아동"/>
    <s v="대리점"/>
    <x v="0"/>
    <x v="2"/>
    <x v="0"/>
    <x v="754"/>
    <s v="HP2636967806"/>
    <x v="1"/>
    <n v="2798000"/>
  </r>
  <r>
    <x v="0"/>
    <x v="1"/>
    <x v="5"/>
    <x v="21"/>
    <x v="64"/>
    <x v="64"/>
    <x v="4"/>
    <s v="N"/>
    <s v="N"/>
    <x v="3"/>
    <x v="0"/>
    <x v="0"/>
    <x v="0"/>
    <s v="성인"/>
    <s v="성인"/>
    <s v="대리점"/>
    <x v="0"/>
    <x v="9"/>
    <x v="0"/>
    <x v="755"/>
    <s v="HP2637015144"/>
    <x v="0"/>
    <n v="2"/>
  </r>
  <r>
    <x v="0"/>
    <x v="1"/>
    <x v="5"/>
    <x v="21"/>
    <x v="64"/>
    <x v="64"/>
    <x v="4"/>
    <s v="N"/>
    <s v="N"/>
    <x v="3"/>
    <x v="0"/>
    <x v="0"/>
    <x v="0"/>
    <s v="성인"/>
    <s v="성인"/>
    <s v="대리점"/>
    <x v="0"/>
    <x v="9"/>
    <x v="0"/>
    <x v="755"/>
    <s v="HP2637015144"/>
    <x v="1"/>
    <n v="4200000"/>
  </r>
  <r>
    <x v="0"/>
    <x v="1"/>
    <x v="5"/>
    <x v="21"/>
    <x v="64"/>
    <x v="64"/>
    <x v="4"/>
    <s v="N"/>
    <s v="N"/>
    <x v="1"/>
    <x v="0"/>
    <x v="0"/>
    <x v="0"/>
    <s v="성인"/>
    <s v="성인"/>
    <s v="대리점"/>
    <x v="0"/>
    <x v="35"/>
    <x v="0"/>
    <x v="756"/>
    <s v="HP2637013258"/>
    <x v="0"/>
    <n v="2"/>
  </r>
  <r>
    <x v="0"/>
    <x v="1"/>
    <x v="5"/>
    <x v="21"/>
    <x v="64"/>
    <x v="64"/>
    <x v="4"/>
    <s v="N"/>
    <s v="N"/>
    <x v="1"/>
    <x v="0"/>
    <x v="0"/>
    <x v="0"/>
    <s v="성인"/>
    <s v="성인"/>
    <s v="대리점"/>
    <x v="0"/>
    <x v="35"/>
    <x v="0"/>
    <x v="756"/>
    <s v="HP2637013258"/>
    <x v="1"/>
    <n v="2233200"/>
  </r>
  <r>
    <x v="0"/>
    <x v="1"/>
    <x v="5"/>
    <x v="21"/>
    <x v="64"/>
    <x v="64"/>
    <x v="4"/>
    <s v="N"/>
    <s v="N"/>
    <x v="1"/>
    <x v="0"/>
    <x v="0"/>
    <x v="0"/>
    <s v="청소년"/>
    <s v="청소년"/>
    <s v="대리점"/>
    <x v="0"/>
    <x v="35"/>
    <x v="0"/>
    <x v="756"/>
    <s v="HP2637013258"/>
    <x v="0"/>
    <n v="1"/>
  </r>
  <r>
    <x v="0"/>
    <x v="1"/>
    <x v="5"/>
    <x v="21"/>
    <x v="64"/>
    <x v="64"/>
    <x v="4"/>
    <s v="N"/>
    <s v="N"/>
    <x v="1"/>
    <x v="0"/>
    <x v="0"/>
    <x v="0"/>
    <s v="청소년"/>
    <s v="청소년"/>
    <s v="대리점"/>
    <x v="0"/>
    <x v="35"/>
    <x v="0"/>
    <x v="756"/>
    <s v="HP2637013258"/>
    <x v="1"/>
    <n v="1116600"/>
  </r>
  <r>
    <x v="0"/>
    <x v="1"/>
    <x v="5"/>
    <x v="21"/>
    <x v="64"/>
    <x v="64"/>
    <x v="5"/>
    <s v="N"/>
    <s v="N"/>
    <x v="1"/>
    <x v="0"/>
    <x v="0"/>
    <x v="0"/>
    <s v="성인"/>
    <s v="성인"/>
    <s v="대리점"/>
    <x v="0"/>
    <x v="2"/>
    <x v="0"/>
    <x v="757"/>
    <s v="HP2637026290"/>
    <x v="0"/>
    <n v="1"/>
  </r>
  <r>
    <x v="0"/>
    <x v="1"/>
    <x v="5"/>
    <x v="21"/>
    <x v="64"/>
    <x v="64"/>
    <x v="5"/>
    <s v="N"/>
    <s v="N"/>
    <x v="1"/>
    <x v="0"/>
    <x v="0"/>
    <x v="0"/>
    <s v="성인"/>
    <s v="성인"/>
    <s v="대리점"/>
    <x v="0"/>
    <x v="2"/>
    <x v="0"/>
    <x v="757"/>
    <s v="HP2637026290"/>
    <x v="1"/>
    <n v="1979000"/>
  </r>
  <r>
    <x v="0"/>
    <x v="1"/>
    <x v="5"/>
    <x v="21"/>
    <x v="65"/>
    <x v="65"/>
    <x v="1"/>
    <s v="N"/>
    <s v="N"/>
    <x v="4"/>
    <x v="1"/>
    <x v="0"/>
    <x v="0"/>
    <s v="성인"/>
    <s v="성인"/>
    <s v="대리점"/>
    <x v="0"/>
    <x v="12"/>
    <x v="0"/>
    <x v="758"/>
    <s v="HB2636952558"/>
    <x v="0"/>
    <n v="2"/>
  </r>
  <r>
    <x v="0"/>
    <x v="1"/>
    <x v="5"/>
    <x v="21"/>
    <x v="65"/>
    <x v="65"/>
    <x v="1"/>
    <s v="N"/>
    <s v="N"/>
    <x v="4"/>
    <x v="1"/>
    <x v="0"/>
    <x v="0"/>
    <s v="성인"/>
    <s v="성인"/>
    <s v="대리점"/>
    <x v="0"/>
    <x v="12"/>
    <x v="0"/>
    <x v="758"/>
    <s v="HB2636952558"/>
    <x v="1"/>
    <n v="865400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13"/>
    <x v="0"/>
    <x v="759"/>
    <s v="HP2636948068"/>
    <x v="0"/>
    <n v="2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13"/>
    <x v="0"/>
    <x v="759"/>
    <s v="HP2636948068"/>
    <x v="1"/>
    <n v="3993200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2"/>
    <x v="0"/>
    <x v="760"/>
    <s v="HP2636958118"/>
    <x v="0"/>
    <n v="4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2"/>
    <x v="0"/>
    <x v="760"/>
    <s v="HP2636958118"/>
    <x v="1"/>
    <n v="2676000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2"/>
    <x v="0"/>
    <x v="761"/>
    <s v="HP2636953782"/>
    <x v="0"/>
    <n v="2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2"/>
    <x v="0"/>
    <x v="761"/>
    <s v="HP2636953782"/>
    <x v="1"/>
    <n v="3099600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5"/>
    <x v="0"/>
    <x v="762"/>
    <s v="HP2636953690"/>
    <x v="0"/>
    <n v="2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5"/>
    <x v="0"/>
    <x v="762"/>
    <s v="HP2636953690"/>
    <x v="1"/>
    <n v="3099600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"/>
    <x v="0"/>
    <x v="763"/>
    <s v="HP2636953008"/>
    <x v="0"/>
    <n v="2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"/>
    <x v="0"/>
    <x v="763"/>
    <s v="HP2636953008"/>
    <x v="1"/>
    <n v="1845200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22"/>
    <x v="0"/>
    <x v="761"/>
    <s v="HP2636953782"/>
    <x v="0"/>
    <n v="2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22"/>
    <x v="0"/>
    <x v="761"/>
    <s v="HP2636953782"/>
    <x v="1"/>
    <n v="3099600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5"/>
    <x v="0"/>
    <x v="762"/>
    <s v="HP2636953690"/>
    <x v="0"/>
    <n v="2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5"/>
    <x v="0"/>
    <x v="762"/>
    <s v="HP2636953690"/>
    <x v="1"/>
    <n v="3099600"/>
  </r>
  <r>
    <x v="0"/>
    <x v="1"/>
    <x v="5"/>
    <x v="21"/>
    <x v="65"/>
    <x v="65"/>
    <x v="4"/>
    <s v="N"/>
    <s v="N"/>
    <x v="0"/>
    <x v="0"/>
    <x v="0"/>
    <x v="0"/>
    <s v="성인"/>
    <s v="성인"/>
    <s v="대리점"/>
    <x v="0"/>
    <x v="2"/>
    <x v="0"/>
    <x v="764"/>
    <s v="HP2637009614"/>
    <x v="0"/>
    <n v="2"/>
  </r>
  <r>
    <x v="0"/>
    <x v="1"/>
    <x v="5"/>
    <x v="21"/>
    <x v="65"/>
    <x v="65"/>
    <x v="4"/>
    <s v="N"/>
    <s v="N"/>
    <x v="0"/>
    <x v="0"/>
    <x v="0"/>
    <x v="0"/>
    <s v="성인"/>
    <s v="성인"/>
    <s v="대리점"/>
    <x v="0"/>
    <x v="2"/>
    <x v="0"/>
    <x v="764"/>
    <s v="HP2637009614"/>
    <x v="1"/>
    <n v="1868800"/>
  </r>
  <r>
    <x v="0"/>
    <x v="1"/>
    <x v="5"/>
    <x v="21"/>
    <x v="65"/>
    <x v="65"/>
    <x v="4"/>
    <s v="N"/>
    <s v="N"/>
    <x v="2"/>
    <x v="0"/>
    <x v="0"/>
    <x v="0"/>
    <s v="성인"/>
    <s v="성인"/>
    <s v="대리점"/>
    <x v="0"/>
    <x v="2"/>
    <x v="0"/>
    <x v="765"/>
    <s v="HP2637000802"/>
    <x v="0"/>
    <n v="2"/>
  </r>
  <r>
    <x v="0"/>
    <x v="1"/>
    <x v="5"/>
    <x v="21"/>
    <x v="65"/>
    <x v="65"/>
    <x v="4"/>
    <s v="N"/>
    <s v="N"/>
    <x v="2"/>
    <x v="0"/>
    <x v="0"/>
    <x v="0"/>
    <s v="성인"/>
    <s v="성인"/>
    <s v="대리점"/>
    <x v="0"/>
    <x v="2"/>
    <x v="0"/>
    <x v="765"/>
    <s v="HP2637000802"/>
    <x v="1"/>
    <n v="3198000"/>
  </r>
  <r>
    <x v="0"/>
    <x v="1"/>
    <x v="5"/>
    <x v="21"/>
    <x v="65"/>
    <x v="65"/>
    <x v="8"/>
    <s v="Y"/>
    <s v="N"/>
    <x v="1"/>
    <x v="0"/>
    <x v="0"/>
    <x v="0"/>
    <s v="성인"/>
    <s v="성인"/>
    <s v="대리점"/>
    <x v="0"/>
    <x v="2"/>
    <x v="0"/>
    <x v="766"/>
    <s v="HP2637085534"/>
    <x v="0"/>
    <n v="5"/>
  </r>
  <r>
    <x v="0"/>
    <x v="1"/>
    <x v="5"/>
    <x v="21"/>
    <x v="65"/>
    <x v="65"/>
    <x v="8"/>
    <s v="Y"/>
    <s v="N"/>
    <x v="1"/>
    <x v="0"/>
    <x v="0"/>
    <x v="0"/>
    <s v="성인"/>
    <s v="성인"/>
    <s v="대리점"/>
    <x v="0"/>
    <x v="2"/>
    <x v="0"/>
    <x v="766"/>
    <s v="HP2637085534"/>
    <x v="1"/>
    <n v="4315000"/>
  </r>
  <r>
    <x v="0"/>
    <x v="1"/>
    <x v="5"/>
    <x v="21"/>
    <x v="65"/>
    <x v="65"/>
    <x v="10"/>
    <s v="N"/>
    <s v="N"/>
    <x v="0"/>
    <x v="0"/>
    <x v="0"/>
    <x v="0"/>
    <s v="성인"/>
    <s v="성인"/>
    <s v="대리점"/>
    <x v="0"/>
    <x v="2"/>
    <x v="0"/>
    <x v="767"/>
    <s v="HP2637111988"/>
    <x v="0"/>
    <n v="2"/>
  </r>
  <r>
    <x v="0"/>
    <x v="1"/>
    <x v="5"/>
    <x v="21"/>
    <x v="65"/>
    <x v="65"/>
    <x v="10"/>
    <s v="N"/>
    <s v="N"/>
    <x v="0"/>
    <x v="0"/>
    <x v="0"/>
    <x v="0"/>
    <s v="성인"/>
    <s v="성인"/>
    <s v="대리점"/>
    <x v="0"/>
    <x v="2"/>
    <x v="0"/>
    <x v="767"/>
    <s v="HP2637111988"/>
    <x v="1"/>
    <n v="224800"/>
  </r>
  <r>
    <x v="0"/>
    <x v="1"/>
    <x v="5"/>
    <x v="21"/>
    <x v="65"/>
    <x v="65"/>
    <x v="10"/>
    <s v="N"/>
    <s v="N"/>
    <x v="1"/>
    <x v="0"/>
    <x v="0"/>
    <x v="0"/>
    <s v="성인"/>
    <s v="성인"/>
    <s v="대리점"/>
    <x v="0"/>
    <x v="0"/>
    <x v="0"/>
    <x v="768"/>
    <s v="HP2637118444"/>
    <x v="0"/>
    <n v="4"/>
  </r>
  <r>
    <x v="0"/>
    <x v="1"/>
    <x v="5"/>
    <x v="21"/>
    <x v="65"/>
    <x v="65"/>
    <x v="10"/>
    <s v="N"/>
    <s v="N"/>
    <x v="1"/>
    <x v="0"/>
    <x v="0"/>
    <x v="0"/>
    <s v="성인"/>
    <s v="성인"/>
    <s v="대리점"/>
    <x v="0"/>
    <x v="0"/>
    <x v="0"/>
    <x v="768"/>
    <s v="HP2637118444"/>
    <x v="1"/>
    <n v="6612000"/>
  </r>
  <r>
    <x v="0"/>
    <x v="1"/>
    <x v="5"/>
    <x v="21"/>
    <x v="65"/>
    <x v="65"/>
    <x v="10"/>
    <s v="N"/>
    <s v="N"/>
    <x v="1"/>
    <x v="0"/>
    <x v="0"/>
    <x v="0"/>
    <m/>
    <m/>
    <s v="대리점"/>
    <x v="0"/>
    <x v="2"/>
    <x v="0"/>
    <x v="766"/>
    <s v="HP2637085534"/>
    <x v="0"/>
    <n v="1"/>
  </r>
  <r>
    <x v="0"/>
    <x v="1"/>
    <x v="5"/>
    <x v="21"/>
    <x v="65"/>
    <x v="65"/>
    <x v="10"/>
    <s v="N"/>
    <s v="N"/>
    <x v="1"/>
    <x v="0"/>
    <x v="0"/>
    <x v="0"/>
    <m/>
    <m/>
    <s v="대리점"/>
    <x v="0"/>
    <x v="2"/>
    <x v="0"/>
    <x v="766"/>
    <s v="HP2637085534"/>
    <x v="1"/>
    <n v="863000"/>
  </r>
  <r>
    <x v="0"/>
    <x v="1"/>
    <x v="5"/>
    <x v="22"/>
    <x v="66"/>
    <x v="66"/>
    <x v="1"/>
    <s v="N"/>
    <s v="N"/>
    <x v="0"/>
    <x v="0"/>
    <x v="0"/>
    <x v="0"/>
    <s v="성인"/>
    <s v="성인"/>
    <s v="대리점"/>
    <x v="0"/>
    <x v="6"/>
    <x v="0"/>
    <x v="769"/>
    <s v="HP2636944796"/>
    <x v="0"/>
    <n v="4"/>
  </r>
  <r>
    <x v="0"/>
    <x v="1"/>
    <x v="5"/>
    <x v="22"/>
    <x v="66"/>
    <x v="66"/>
    <x v="1"/>
    <s v="N"/>
    <s v="N"/>
    <x v="0"/>
    <x v="0"/>
    <x v="0"/>
    <x v="0"/>
    <s v="성인"/>
    <s v="성인"/>
    <s v="대리점"/>
    <x v="0"/>
    <x v="6"/>
    <x v="0"/>
    <x v="769"/>
    <s v="HP2636944796"/>
    <x v="1"/>
    <n v="3399600"/>
  </r>
  <r>
    <x v="0"/>
    <x v="1"/>
    <x v="5"/>
    <x v="22"/>
    <x v="66"/>
    <x v="66"/>
    <x v="3"/>
    <s v="N"/>
    <s v="Y"/>
    <x v="1"/>
    <x v="0"/>
    <x v="0"/>
    <x v="0"/>
    <s v="성인"/>
    <s v="성인"/>
    <s v="대리점"/>
    <x v="0"/>
    <x v="2"/>
    <x v="0"/>
    <x v="311"/>
    <s v="HP2634412854"/>
    <x v="0"/>
    <n v="2"/>
  </r>
  <r>
    <x v="0"/>
    <x v="1"/>
    <x v="5"/>
    <x v="22"/>
    <x v="66"/>
    <x v="66"/>
    <x v="3"/>
    <s v="N"/>
    <s v="Y"/>
    <x v="1"/>
    <x v="0"/>
    <x v="0"/>
    <x v="0"/>
    <s v="성인"/>
    <s v="성인"/>
    <s v="대리점"/>
    <x v="0"/>
    <x v="2"/>
    <x v="0"/>
    <x v="311"/>
    <s v="HP2634412854"/>
    <x v="1"/>
    <n v="3074800"/>
  </r>
  <r>
    <x v="0"/>
    <x v="1"/>
    <x v="5"/>
    <x v="22"/>
    <x v="66"/>
    <x v="66"/>
    <x v="4"/>
    <s v="N"/>
    <s v="N"/>
    <x v="0"/>
    <x v="0"/>
    <x v="0"/>
    <x v="0"/>
    <s v="성인"/>
    <s v="성인"/>
    <s v="대리점"/>
    <x v="0"/>
    <x v="6"/>
    <x v="0"/>
    <x v="770"/>
    <s v="HP2637010246"/>
    <x v="0"/>
    <n v="7"/>
  </r>
  <r>
    <x v="0"/>
    <x v="1"/>
    <x v="5"/>
    <x v="22"/>
    <x v="66"/>
    <x v="66"/>
    <x v="4"/>
    <s v="N"/>
    <s v="N"/>
    <x v="0"/>
    <x v="0"/>
    <x v="0"/>
    <x v="0"/>
    <s v="성인"/>
    <s v="성인"/>
    <s v="대리점"/>
    <x v="0"/>
    <x v="6"/>
    <x v="0"/>
    <x v="770"/>
    <s v="HP2637010246"/>
    <x v="1"/>
    <n v="8049300"/>
  </r>
  <r>
    <x v="0"/>
    <x v="1"/>
    <x v="5"/>
    <x v="22"/>
    <x v="66"/>
    <x v="66"/>
    <x v="4"/>
    <s v="N"/>
    <s v="N"/>
    <x v="1"/>
    <x v="0"/>
    <x v="0"/>
    <x v="0"/>
    <s v="성인"/>
    <s v="성인"/>
    <s v="대리점"/>
    <x v="0"/>
    <x v="10"/>
    <x v="0"/>
    <x v="771"/>
    <s v="HP2637001012"/>
    <x v="0"/>
    <n v="7"/>
  </r>
  <r>
    <x v="0"/>
    <x v="1"/>
    <x v="5"/>
    <x v="22"/>
    <x v="66"/>
    <x v="66"/>
    <x v="4"/>
    <s v="N"/>
    <s v="N"/>
    <x v="1"/>
    <x v="0"/>
    <x v="0"/>
    <x v="0"/>
    <s v="성인"/>
    <s v="성인"/>
    <s v="대리점"/>
    <x v="0"/>
    <x v="10"/>
    <x v="0"/>
    <x v="771"/>
    <s v="HP2637001012"/>
    <x v="1"/>
    <n v="3984400"/>
  </r>
  <r>
    <x v="0"/>
    <x v="1"/>
    <x v="5"/>
    <x v="22"/>
    <x v="66"/>
    <x v="66"/>
    <x v="4"/>
    <s v="N"/>
    <s v="N"/>
    <x v="6"/>
    <x v="2"/>
    <x v="0"/>
    <x v="0"/>
    <s v="성인"/>
    <s v="성인"/>
    <s v="닷컴"/>
    <x v="2"/>
    <x v="28"/>
    <x v="0"/>
    <x v="772"/>
    <s v="HQ2637015766"/>
    <x v="0"/>
    <n v="7"/>
  </r>
  <r>
    <x v="0"/>
    <x v="1"/>
    <x v="5"/>
    <x v="22"/>
    <x v="66"/>
    <x v="66"/>
    <x v="4"/>
    <s v="N"/>
    <s v="N"/>
    <x v="6"/>
    <x v="2"/>
    <x v="0"/>
    <x v="0"/>
    <s v="성인"/>
    <s v="성인"/>
    <s v="닷컴"/>
    <x v="2"/>
    <x v="28"/>
    <x v="0"/>
    <x v="772"/>
    <s v="HQ2637015766"/>
    <x v="1"/>
    <n v="15435000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15"/>
    <x v="0"/>
    <x v="773"/>
    <s v="HP2637034860"/>
    <x v="0"/>
    <n v="2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15"/>
    <x v="0"/>
    <x v="773"/>
    <s v="HP2637034860"/>
    <x v="1"/>
    <n v="1798000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2"/>
    <x v="1"/>
    <x v="502"/>
    <s v="HP2637033250"/>
    <x v="0"/>
    <n v="0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2"/>
    <x v="1"/>
    <x v="502"/>
    <s v="HP2637033250"/>
    <x v="1"/>
    <n v="1679800"/>
  </r>
  <r>
    <x v="0"/>
    <x v="1"/>
    <x v="5"/>
    <x v="22"/>
    <x v="66"/>
    <x v="66"/>
    <x v="6"/>
    <s v="N"/>
    <s v="N"/>
    <x v="0"/>
    <x v="0"/>
    <x v="0"/>
    <x v="0"/>
    <s v="성인"/>
    <s v="성인"/>
    <s v="대리점"/>
    <x v="0"/>
    <x v="2"/>
    <x v="0"/>
    <x v="774"/>
    <s v="HP2637055508"/>
    <x v="0"/>
    <n v="2"/>
  </r>
  <r>
    <x v="0"/>
    <x v="1"/>
    <x v="5"/>
    <x v="22"/>
    <x v="66"/>
    <x v="66"/>
    <x v="6"/>
    <s v="N"/>
    <s v="N"/>
    <x v="0"/>
    <x v="0"/>
    <x v="0"/>
    <x v="0"/>
    <s v="성인"/>
    <s v="성인"/>
    <s v="대리점"/>
    <x v="0"/>
    <x v="2"/>
    <x v="0"/>
    <x v="774"/>
    <s v="HP2637055508"/>
    <x v="1"/>
    <n v="1799800"/>
  </r>
  <r>
    <x v="0"/>
    <x v="1"/>
    <x v="5"/>
    <x v="22"/>
    <x v="66"/>
    <x v="66"/>
    <x v="6"/>
    <s v="N"/>
    <s v="N"/>
    <x v="0"/>
    <x v="0"/>
    <x v="0"/>
    <x v="0"/>
    <m/>
    <m/>
    <s v="대리점"/>
    <x v="0"/>
    <x v="17"/>
    <x v="0"/>
    <x v="775"/>
    <s v="HP2637053376"/>
    <x v="0"/>
    <n v="5"/>
  </r>
  <r>
    <x v="0"/>
    <x v="1"/>
    <x v="5"/>
    <x v="22"/>
    <x v="66"/>
    <x v="66"/>
    <x v="6"/>
    <s v="N"/>
    <s v="N"/>
    <x v="0"/>
    <x v="0"/>
    <x v="0"/>
    <x v="0"/>
    <m/>
    <m/>
    <s v="대리점"/>
    <x v="0"/>
    <x v="17"/>
    <x v="0"/>
    <x v="775"/>
    <s v="HP2637053376"/>
    <x v="1"/>
    <n v="4738500"/>
  </r>
  <r>
    <x v="0"/>
    <x v="1"/>
    <x v="5"/>
    <x v="22"/>
    <x v="66"/>
    <x v="66"/>
    <x v="10"/>
    <s v="N"/>
    <s v="N"/>
    <x v="0"/>
    <x v="0"/>
    <x v="0"/>
    <x v="0"/>
    <m/>
    <m/>
    <s v="대리점"/>
    <x v="0"/>
    <x v="2"/>
    <x v="0"/>
    <x v="776"/>
    <s v="HP2637115312"/>
    <x v="0"/>
    <n v="2"/>
  </r>
  <r>
    <x v="0"/>
    <x v="1"/>
    <x v="5"/>
    <x v="22"/>
    <x v="66"/>
    <x v="66"/>
    <x v="10"/>
    <s v="N"/>
    <s v="N"/>
    <x v="0"/>
    <x v="0"/>
    <x v="0"/>
    <x v="0"/>
    <m/>
    <m/>
    <s v="대리점"/>
    <x v="0"/>
    <x v="2"/>
    <x v="0"/>
    <x v="776"/>
    <s v="HP2637115312"/>
    <x v="1"/>
    <n v="2599800"/>
  </r>
  <r>
    <x v="0"/>
    <x v="1"/>
    <x v="6"/>
    <x v="23"/>
    <x v="67"/>
    <x v="67"/>
    <x v="4"/>
    <s v="N"/>
    <s v="N"/>
    <x v="0"/>
    <x v="0"/>
    <x v="0"/>
    <x v="0"/>
    <s v="성인"/>
    <s v="성인"/>
    <s v="대리점"/>
    <x v="0"/>
    <x v="2"/>
    <x v="0"/>
    <x v="777"/>
    <s v="HP2635517140"/>
    <x v="0"/>
    <n v="3"/>
  </r>
  <r>
    <x v="0"/>
    <x v="1"/>
    <x v="6"/>
    <x v="23"/>
    <x v="67"/>
    <x v="67"/>
    <x v="4"/>
    <s v="N"/>
    <s v="N"/>
    <x v="0"/>
    <x v="0"/>
    <x v="0"/>
    <x v="0"/>
    <s v="성인"/>
    <s v="성인"/>
    <s v="대리점"/>
    <x v="0"/>
    <x v="2"/>
    <x v="0"/>
    <x v="777"/>
    <s v="HP2635517140"/>
    <x v="1"/>
    <n v="3090600"/>
  </r>
  <r>
    <x v="0"/>
    <x v="1"/>
    <x v="6"/>
    <x v="23"/>
    <x v="68"/>
    <x v="68"/>
    <x v="0"/>
    <s v="N"/>
    <s v="N"/>
    <x v="4"/>
    <x v="1"/>
    <x v="0"/>
    <x v="0"/>
    <m/>
    <m/>
    <s v="대리점"/>
    <x v="0"/>
    <x v="2"/>
    <x v="1"/>
    <x v="778"/>
    <s v="HB2636923912"/>
    <x v="0"/>
    <n v="0"/>
  </r>
  <r>
    <x v="0"/>
    <x v="1"/>
    <x v="6"/>
    <x v="23"/>
    <x v="68"/>
    <x v="68"/>
    <x v="0"/>
    <s v="N"/>
    <s v="N"/>
    <x v="4"/>
    <x v="1"/>
    <x v="0"/>
    <x v="0"/>
    <m/>
    <m/>
    <s v="대리점"/>
    <x v="0"/>
    <x v="2"/>
    <x v="1"/>
    <x v="778"/>
    <s v="HB2636923912"/>
    <x v="1"/>
    <n v="1992000"/>
  </r>
  <r>
    <x v="0"/>
    <x v="1"/>
    <x v="6"/>
    <x v="23"/>
    <x v="68"/>
    <x v="68"/>
    <x v="0"/>
    <s v="N"/>
    <s v="N"/>
    <x v="1"/>
    <x v="0"/>
    <x v="0"/>
    <x v="0"/>
    <s v="성인"/>
    <s v="성인"/>
    <s v="대리점"/>
    <x v="0"/>
    <x v="17"/>
    <x v="0"/>
    <x v="779"/>
    <s v="HP2636933064"/>
    <x v="0"/>
    <n v="3"/>
  </r>
  <r>
    <x v="0"/>
    <x v="1"/>
    <x v="6"/>
    <x v="23"/>
    <x v="68"/>
    <x v="68"/>
    <x v="0"/>
    <s v="N"/>
    <s v="N"/>
    <x v="1"/>
    <x v="0"/>
    <x v="0"/>
    <x v="0"/>
    <s v="성인"/>
    <s v="성인"/>
    <s v="대리점"/>
    <x v="0"/>
    <x v="17"/>
    <x v="0"/>
    <x v="779"/>
    <s v="HP2636933064"/>
    <x v="1"/>
    <n v="5693100"/>
  </r>
  <r>
    <x v="0"/>
    <x v="1"/>
    <x v="6"/>
    <x v="23"/>
    <x v="68"/>
    <x v="68"/>
    <x v="0"/>
    <s v="N"/>
    <s v="N"/>
    <x v="1"/>
    <x v="0"/>
    <x v="0"/>
    <x v="0"/>
    <m/>
    <m/>
    <s v="닷컴"/>
    <x v="2"/>
    <x v="2"/>
    <x v="1"/>
    <x v="780"/>
    <s v="HP2636932276"/>
    <x v="0"/>
    <n v="0"/>
  </r>
  <r>
    <x v="0"/>
    <x v="1"/>
    <x v="6"/>
    <x v="23"/>
    <x v="68"/>
    <x v="68"/>
    <x v="0"/>
    <s v="N"/>
    <s v="N"/>
    <x v="1"/>
    <x v="0"/>
    <x v="0"/>
    <x v="0"/>
    <m/>
    <m/>
    <s v="닷컴"/>
    <x v="2"/>
    <x v="2"/>
    <x v="1"/>
    <x v="780"/>
    <s v="HP2636932276"/>
    <x v="1"/>
    <n v="2380800"/>
  </r>
  <r>
    <x v="0"/>
    <x v="1"/>
    <x v="6"/>
    <x v="23"/>
    <x v="68"/>
    <x v="68"/>
    <x v="1"/>
    <s v="N"/>
    <s v="N"/>
    <x v="0"/>
    <x v="0"/>
    <x v="0"/>
    <x v="0"/>
    <s v="성인"/>
    <s v="성인"/>
    <s v="대리점"/>
    <x v="0"/>
    <x v="17"/>
    <x v="0"/>
    <x v="781"/>
    <s v="HP2636954970"/>
    <x v="0"/>
    <n v="2"/>
  </r>
  <r>
    <x v="0"/>
    <x v="1"/>
    <x v="6"/>
    <x v="23"/>
    <x v="68"/>
    <x v="68"/>
    <x v="1"/>
    <s v="N"/>
    <s v="N"/>
    <x v="0"/>
    <x v="0"/>
    <x v="0"/>
    <x v="0"/>
    <s v="성인"/>
    <s v="성인"/>
    <s v="대리점"/>
    <x v="0"/>
    <x v="17"/>
    <x v="0"/>
    <x v="781"/>
    <s v="HP2636954970"/>
    <x v="1"/>
    <n v="2593800"/>
  </r>
  <r>
    <x v="0"/>
    <x v="1"/>
    <x v="6"/>
    <x v="23"/>
    <x v="68"/>
    <x v="68"/>
    <x v="1"/>
    <s v="N"/>
    <s v="N"/>
    <x v="1"/>
    <x v="0"/>
    <x v="0"/>
    <x v="0"/>
    <m/>
    <m/>
    <s v="대리점"/>
    <x v="0"/>
    <x v="15"/>
    <x v="1"/>
    <x v="782"/>
    <s v="HP2636950644"/>
    <x v="0"/>
    <n v="0"/>
  </r>
  <r>
    <x v="0"/>
    <x v="1"/>
    <x v="6"/>
    <x v="23"/>
    <x v="68"/>
    <x v="68"/>
    <x v="1"/>
    <s v="N"/>
    <s v="N"/>
    <x v="1"/>
    <x v="0"/>
    <x v="0"/>
    <x v="0"/>
    <m/>
    <m/>
    <s v="대리점"/>
    <x v="0"/>
    <x v="15"/>
    <x v="1"/>
    <x v="782"/>
    <s v="HP2636950644"/>
    <x v="1"/>
    <n v="4666800"/>
  </r>
  <r>
    <x v="0"/>
    <x v="1"/>
    <x v="6"/>
    <x v="23"/>
    <x v="68"/>
    <x v="68"/>
    <x v="1"/>
    <s v="N"/>
    <s v="N"/>
    <x v="2"/>
    <x v="0"/>
    <x v="0"/>
    <x v="0"/>
    <s v="성인"/>
    <s v="성인"/>
    <s v="대리점"/>
    <x v="0"/>
    <x v="23"/>
    <x v="0"/>
    <x v="783"/>
    <s v="HP2636945644"/>
    <x v="0"/>
    <n v="2"/>
  </r>
  <r>
    <x v="0"/>
    <x v="1"/>
    <x v="6"/>
    <x v="23"/>
    <x v="68"/>
    <x v="68"/>
    <x v="1"/>
    <s v="N"/>
    <s v="N"/>
    <x v="2"/>
    <x v="0"/>
    <x v="0"/>
    <x v="0"/>
    <s v="성인"/>
    <s v="성인"/>
    <s v="대리점"/>
    <x v="0"/>
    <x v="23"/>
    <x v="0"/>
    <x v="783"/>
    <s v="HP2636945644"/>
    <x v="1"/>
    <n v="3840400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4"/>
    <s v="HP2636965154"/>
    <x v="0"/>
    <n v="4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4"/>
    <s v="HP2636965154"/>
    <x v="1"/>
    <n v="7884400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5"/>
    <s v="HP2636966474"/>
    <x v="0"/>
    <n v="3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5"/>
    <s v="HP2636966474"/>
    <x v="1"/>
    <n v="5097000"/>
  </r>
  <r>
    <x v="0"/>
    <x v="1"/>
    <x v="6"/>
    <x v="23"/>
    <x v="68"/>
    <x v="68"/>
    <x v="4"/>
    <s v="N"/>
    <s v="N"/>
    <x v="0"/>
    <x v="0"/>
    <x v="0"/>
    <x v="0"/>
    <s v="성인"/>
    <s v="성인"/>
    <s v="대리점"/>
    <x v="0"/>
    <x v="2"/>
    <x v="0"/>
    <x v="786"/>
    <s v="HP2637007732"/>
    <x v="0"/>
    <n v="2"/>
  </r>
  <r>
    <x v="0"/>
    <x v="1"/>
    <x v="6"/>
    <x v="23"/>
    <x v="68"/>
    <x v="68"/>
    <x v="4"/>
    <s v="N"/>
    <s v="N"/>
    <x v="0"/>
    <x v="0"/>
    <x v="0"/>
    <x v="0"/>
    <s v="성인"/>
    <s v="성인"/>
    <s v="대리점"/>
    <x v="0"/>
    <x v="2"/>
    <x v="0"/>
    <x v="786"/>
    <s v="HP2637007732"/>
    <x v="1"/>
    <n v="2199800"/>
  </r>
  <r>
    <x v="0"/>
    <x v="1"/>
    <x v="6"/>
    <x v="23"/>
    <x v="68"/>
    <x v="68"/>
    <x v="4"/>
    <s v="N"/>
    <s v="N"/>
    <x v="2"/>
    <x v="0"/>
    <x v="0"/>
    <x v="0"/>
    <s v="성인"/>
    <s v="성인"/>
    <s v="대리점"/>
    <x v="0"/>
    <x v="23"/>
    <x v="0"/>
    <x v="787"/>
    <s v="HP2637011142"/>
    <x v="0"/>
    <n v="10"/>
  </r>
  <r>
    <x v="0"/>
    <x v="1"/>
    <x v="6"/>
    <x v="23"/>
    <x v="68"/>
    <x v="68"/>
    <x v="4"/>
    <s v="N"/>
    <s v="N"/>
    <x v="2"/>
    <x v="0"/>
    <x v="0"/>
    <x v="0"/>
    <s v="성인"/>
    <s v="성인"/>
    <s v="대리점"/>
    <x v="0"/>
    <x v="23"/>
    <x v="0"/>
    <x v="787"/>
    <s v="HP2637011142"/>
    <x v="1"/>
    <n v="14734000"/>
  </r>
  <r>
    <x v="0"/>
    <x v="1"/>
    <x v="6"/>
    <x v="23"/>
    <x v="68"/>
    <x v="68"/>
    <x v="5"/>
    <s v="N"/>
    <s v="N"/>
    <x v="0"/>
    <x v="0"/>
    <x v="0"/>
    <x v="0"/>
    <s v="성인"/>
    <s v="성인"/>
    <s v="닷컴"/>
    <x v="2"/>
    <x v="2"/>
    <x v="0"/>
    <x v="788"/>
    <s v="HP2637025400"/>
    <x v="0"/>
    <n v="4"/>
  </r>
  <r>
    <x v="0"/>
    <x v="1"/>
    <x v="6"/>
    <x v="23"/>
    <x v="68"/>
    <x v="68"/>
    <x v="5"/>
    <s v="N"/>
    <s v="N"/>
    <x v="0"/>
    <x v="0"/>
    <x v="0"/>
    <x v="0"/>
    <s v="성인"/>
    <s v="성인"/>
    <s v="닷컴"/>
    <x v="2"/>
    <x v="2"/>
    <x v="0"/>
    <x v="788"/>
    <s v="HP2637025400"/>
    <x v="1"/>
    <n v="3712000"/>
  </r>
  <r>
    <x v="0"/>
    <x v="1"/>
    <x v="6"/>
    <x v="23"/>
    <x v="68"/>
    <x v="68"/>
    <x v="5"/>
    <s v="N"/>
    <s v="N"/>
    <x v="1"/>
    <x v="0"/>
    <x v="0"/>
    <x v="0"/>
    <s v="성인"/>
    <s v="성인"/>
    <s v="대리점"/>
    <x v="0"/>
    <x v="2"/>
    <x v="0"/>
    <x v="789"/>
    <s v="HP2637023704"/>
    <x v="0"/>
    <n v="2"/>
  </r>
  <r>
    <x v="0"/>
    <x v="1"/>
    <x v="6"/>
    <x v="23"/>
    <x v="68"/>
    <x v="68"/>
    <x v="5"/>
    <s v="N"/>
    <s v="N"/>
    <x v="1"/>
    <x v="0"/>
    <x v="0"/>
    <x v="0"/>
    <s v="성인"/>
    <s v="성인"/>
    <s v="대리점"/>
    <x v="0"/>
    <x v="2"/>
    <x v="0"/>
    <x v="789"/>
    <s v="HP2637023704"/>
    <x v="1"/>
    <n v="3049200"/>
  </r>
  <r>
    <x v="0"/>
    <x v="1"/>
    <x v="6"/>
    <x v="23"/>
    <x v="68"/>
    <x v="68"/>
    <x v="6"/>
    <s v="N"/>
    <s v="N"/>
    <x v="0"/>
    <x v="0"/>
    <x v="0"/>
    <x v="0"/>
    <s v="성인"/>
    <s v="성인"/>
    <s v="대리점"/>
    <x v="0"/>
    <x v="2"/>
    <x v="0"/>
    <x v="790"/>
    <s v="HP2637049716"/>
    <x v="0"/>
    <n v="1"/>
  </r>
  <r>
    <x v="0"/>
    <x v="1"/>
    <x v="6"/>
    <x v="23"/>
    <x v="68"/>
    <x v="68"/>
    <x v="6"/>
    <s v="N"/>
    <s v="N"/>
    <x v="0"/>
    <x v="0"/>
    <x v="0"/>
    <x v="0"/>
    <s v="성인"/>
    <s v="성인"/>
    <s v="대리점"/>
    <x v="0"/>
    <x v="2"/>
    <x v="0"/>
    <x v="790"/>
    <s v="HP2637049716"/>
    <x v="1"/>
    <n v="1338100"/>
  </r>
  <r>
    <x v="0"/>
    <x v="1"/>
    <x v="6"/>
    <x v="23"/>
    <x v="68"/>
    <x v="68"/>
    <x v="6"/>
    <s v="N"/>
    <s v="N"/>
    <x v="0"/>
    <x v="0"/>
    <x v="0"/>
    <x v="0"/>
    <s v="청소년"/>
    <s v="청소년"/>
    <s v="대리점"/>
    <x v="0"/>
    <x v="2"/>
    <x v="0"/>
    <x v="790"/>
    <s v="HP2637049716"/>
    <x v="0"/>
    <n v="1"/>
  </r>
  <r>
    <x v="0"/>
    <x v="1"/>
    <x v="6"/>
    <x v="23"/>
    <x v="68"/>
    <x v="68"/>
    <x v="6"/>
    <s v="N"/>
    <s v="N"/>
    <x v="0"/>
    <x v="0"/>
    <x v="0"/>
    <x v="0"/>
    <s v="청소년"/>
    <s v="청소년"/>
    <s v="대리점"/>
    <x v="0"/>
    <x v="2"/>
    <x v="0"/>
    <x v="790"/>
    <s v="HP2637049716"/>
    <x v="1"/>
    <n v="1338100"/>
  </r>
  <r>
    <x v="0"/>
    <x v="1"/>
    <x v="6"/>
    <x v="23"/>
    <x v="68"/>
    <x v="68"/>
    <x v="6"/>
    <s v="N"/>
    <s v="N"/>
    <x v="1"/>
    <x v="0"/>
    <x v="0"/>
    <x v="0"/>
    <m/>
    <m/>
    <s v="닷컴"/>
    <x v="2"/>
    <x v="2"/>
    <x v="0"/>
    <x v="718"/>
    <s v="HP2637045198"/>
    <x v="0"/>
    <n v="2"/>
  </r>
  <r>
    <x v="0"/>
    <x v="1"/>
    <x v="6"/>
    <x v="23"/>
    <x v="68"/>
    <x v="68"/>
    <x v="6"/>
    <s v="N"/>
    <s v="N"/>
    <x v="1"/>
    <x v="0"/>
    <x v="0"/>
    <x v="0"/>
    <m/>
    <m/>
    <s v="닷컴"/>
    <x v="2"/>
    <x v="2"/>
    <x v="0"/>
    <x v="718"/>
    <s v="HP2637045198"/>
    <x v="1"/>
    <n v="1634800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4"/>
    <x v="0"/>
    <x v="791"/>
    <s v="HP2637098190"/>
    <x v="0"/>
    <n v="2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4"/>
    <x v="0"/>
    <x v="791"/>
    <s v="HP2637098190"/>
    <x v="1"/>
    <n v="3599800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2"/>
    <x v="0"/>
    <x v="792"/>
    <s v="HP2637097176"/>
    <x v="0"/>
    <n v="2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2"/>
    <x v="0"/>
    <x v="792"/>
    <s v="HP2637097176"/>
    <x v="1"/>
    <n v="7310000"/>
  </r>
  <r>
    <x v="0"/>
    <x v="1"/>
    <x v="6"/>
    <x v="23"/>
    <x v="68"/>
    <x v="68"/>
    <x v="9"/>
    <s v="Y"/>
    <s v="N"/>
    <x v="1"/>
    <x v="0"/>
    <x v="0"/>
    <x v="0"/>
    <m/>
    <m/>
    <s v="대리점"/>
    <x v="0"/>
    <x v="4"/>
    <x v="1"/>
    <x v="793"/>
    <s v="HP2637096952"/>
    <x v="0"/>
    <n v="0"/>
  </r>
  <r>
    <x v="0"/>
    <x v="1"/>
    <x v="6"/>
    <x v="23"/>
    <x v="68"/>
    <x v="68"/>
    <x v="9"/>
    <s v="Y"/>
    <s v="N"/>
    <x v="1"/>
    <x v="0"/>
    <x v="0"/>
    <x v="0"/>
    <m/>
    <m/>
    <s v="대리점"/>
    <x v="0"/>
    <x v="4"/>
    <x v="1"/>
    <x v="793"/>
    <s v="HP2637096952"/>
    <x v="1"/>
    <n v="3899800"/>
  </r>
  <r>
    <x v="0"/>
    <x v="1"/>
    <x v="6"/>
    <x v="23"/>
    <x v="68"/>
    <x v="68"/>
    <x v="10"/>
    <s v="N"/>
    <s v="N"/>
    <x v="1"/>
    <x v="0"/>
    <x v="1"/>
    <x v="0"/>
    <s v="성인"/>
    <s v="성인"/>
    <s v="대리점"/>
    <x v="0"/>
    <x v="3"/>
    <x v="0"/>
    <x v="794"/>
    <s v="HP2637122248"/>
    <x v="0"/>
    <n v="2"/>
  </r>
  <r>
    <x v="0"/>
    <x v="1"/>
    <x v="6"/>
    <x v="23"/>
    <x v="68"/>
    <x v="68"/>
    <x v="10"/>
    <s v="N"/>
    <s v="N"/>
    <x v="1"/>
    <x v="0"/>
    <x v="1"/>
    <x v="0"/>
    <s v="성인"/>
    <s v="성인"/>
    <s v="대리점"/>
    <x v="0"/>
    <x v="3"/>
    <x v="0"/>
    <x v="794"/>
    <s v="HP2637122248"/>
    <x v="1"/>
    <n v="2580000"/>
  </r>
  <r>
    <x v="0"/>
    <x v="1"/>
    <x v="6"/>
    <x v="23"/>
    <x v="69"/>
    <x v="69"/>
    <x v="4"/>
    <s v="N"/>
    <s v="N"/>
    <x v="1"/>
    <x v="0"/>
    <x v="0"/>
    <x v="0"/>
    <s v="성인"/>
    <s v="성인"/>
    <s v="대리점"/>
    <x v="0"/>
    <x v="16"/>
    <x v="0"/>
    <x v="795"/>
    <s v="HP2637001702"/>
    <x v="0"/>
    <n v="2"/>
  </r>
  <r>
    <x v="0"/>
    <x v="1"/>
    <x v="6"/>
    <x v="23"/>
    <x v="69"/>
    <x v="69"/>
    <x v="4"/>
    <s v="N"/>
    <s v="N"/>
    <x v="1"/>
    <x v="0"/>
    <x v="0"/>
    <x v="0"/>
    <s v="성인"/>
    <s v="성인"/>
    <s v="대리점"/>
    <x v="0"/>
    <x v="16"/>
    <x v="0"/>
    <x v="795"/>
    <s v="HP2637001702"/>
    <x v="1"/>
    <n v="2582000"/>
  </r>
  <r>
    <x v="0"/>
    <x v="1"/>
    <x v="6"/>
    <x v="23"/>
    <x v="70"/>
    <x v="70"/>
    <x v="0"/>
    <s v="N"/>
    <s v="N"/>
    <x v="0"/>
    <x v="0"/>
    <x v="0"/>
    <x v="0"/>
    <s v="성인"/>
    <s v="성인"/>
    <s v="대리점"/>
    <x v="0"/>
    <x v="26"/>
    <x v="0"/>
    <x v="796"/>
    <s v="HP2636930318"/>
    <x v="0"/>
    <n v="2"/>
  </r>
  <r>
    <x v="0"/>
    <x v="1"/>
    <x v="6"/>
    <x v="23"/>
    <x v="70"/>
    <x v="70"/>
    <x v="0"/>
    <s v="N"/>
    <s v="N"/>
    <x v="0"/>
    <x v="0"/>
    <x v="0"/>
    <x v="0"/>
    <s v="성인"/>
    <s v="성인"/>
    <s v="대리점"/>
    <x v="0"/>
    <x v="26"/>
    <x v="0"/>
    <x v="796"/>
    <s v="HP2636930318"/>
    <x v="1"/>
    <n v="791600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7"/>
    <s v="HP2636931354"/>
    <x v="0"/>
    <n v="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7"/>
    <s v="HP2636931354"/>
    <x v="1"/>
    <n v="358850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8"/>
    <s v="HP2636931524"/>
    <x v="0"/>
    <n v="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8"/>
    <s v="HP2636931524"/>
    <x v="1"/>
    <n v="982000"/>
  </r>
  <r>
    <x v="0"/>
    <x v="1"/>
    <x v="6"/>
    <x v="23"/>
    <x v="70"/>
    <x v="70"/>
    <x v="1"/>
    <s v="N"/>
    <s v="N"/>
    <x v="1"/>
    <x v="0"/>
    <x v="0"/>
    <x v="0"/>
    <s v="성인"/>
    <s v="성인"/>
    <s v="대리점"/>
    <x v="0"/>
    <x v="3"/>
    <x v="0"/>
    <x v="799"/>
    <s v="HP2636952366"/>
    <x v="0"/>
    <n v="1"/>
  </r>
  <r>
    <x v="0"/>
    <x v="1"/>
    <x v="6"/>
    <x v="23"/>
    <x v="70"/>
    <x v="70"/>
    <x v="1"/>
    <s v="N"/>
    <s v="N"/>
    <x v="1"/>
    <x v="0"/>
    <x v="0"/>
    <x v="0"/>
    <s v="성인"/>
    <s v="성인"/>
    <s v="대리점"/>
    <x v="0"/>
    <x v="3"/>
    <x v="0"/>
    <x v="799"/>
    <s v="HP2636952366"/>
    <x v="1"/>
    <n v="967000"/>
  </r>
  <r>
    <x v="0"/>
    <x v="1"/>
    <x v="6"/>
    <x v="23"/>
    <x v="70"/>
    <x v="70"/>
    <x v="1"/>
    <s v="N"/>
    <s v="N"/>
    <x v="1"/>
    <x v="0"/>
    <x v="0"/>
    <x v="0"/>
    <m/>
    <m/>
    <s v="대리점"/>
    <x v="0"/>
    <x v="3"/>
    <x v="0"/>
    <x v="799"/>
    <s v="HP2636952366"/>
    <x v="0"/>
    <n v="3"/>
  </r>
  <r>
    <x v="0"/>
    <x v="1"/>
    <x v="6"/>
    <x v="23"/>
    <x v="70"/>
    <x v="70"/>
    <x v="1"/>
    <s v="N"/>
    <s v="N"/>
    <x v="1"/>
    <x v="0"/>
    <x v="0"/>
    <x v="0"/>
    <m/>
    <m/>
    <s v="대리점"/>
    <x v="0"/>
    <x v="3"/>
    <x v="0"/>
    <x v="799"/>
    <s v="HP2636952366"/>
    <x v="1"/>
    <n v="3051000"/>
  </r>
  <r>
    <x v="0"/>
    <x v="1"/>
    <x v="6"/>
    <x v="23"/>
    <x v="70"/>
    <x v="70"/>
    <x v="2"/>
    <s v="Y"/>
    <s v="Y"/>
    <x v="1"/>
    <x v="0"/>
    <x v="0"/>
    <x v="0"/>
    <m/>
    <m/>
    <s v="대리점"/>
    <x v="0"/>
    <x v="2"/>
    <x v="0"/>
    <x v="800"/>
    <s v="HP2636966572"/>
    <x v="0"/>
    <n v="3"/>
  </r>
  <r>
    <x v="0"/>
    <x v="1"/>
    <x v="6"/>
    <x v="23"/>
    <x v="70"/>
    <x v="70"/>
    <x v="2"/>
    <s v="Y"/>
    <s v="Y"/>
    <x v="1"/>
    <x v="0"/>
    <x v="0"/>
    <x v="0"/>
    <m/>
    <m/>
    <s v="대리점"/>
    <x v="0"/>
    <x v="2"/>
    <x v="0"/>
    <x v="800"/>
    <s v="HP2636966572"/>
    <x v="1"/>
    <n v="4005000"/>
  </r>
  <r>
    <x v="0"/>
    <x v="1"/>
    <x v="6"/>
    <x v="23"/>
    <x v="70"/>
    <x v="70"/>
    <x v="3"/>
    <s v="N"/>
    <s v="Y"/>
    <x v="8"/>
    <x v="6"/>
    <x v="0"/>
    <x v="0"/>
    <s v="성인"/>
    <s v="성인"/>
    <s v="대리점"/>
    <x v="0"/>
    <x v="27"/>
    <x v="0"/>
    <x v="801"/>
    <s v="HX2636983372"/>
    <x v="0"/>
    <n v="4"/>
  </r>
  <r>
    <x v="0"/>
    <x v="1"/>
    <x v="6"/>
    <x v="23"/>
    <x v="70"/>
    <x v="70"/>
    <x v="3"/>
    <s v="N"/>
    <s v="Y"/>
    <x v="8"/>
    <x v="6"/>
    <x v="0"/>
    <x v="0"/>
    <s v="성인"/>
    <s v="성인"/>
    <s v="대리점"/>
    <x v="0"/>
    <x v="27"/>
    <x v="0"/>
    <x v="801"/>
    <s v="HX2636983372"/>
    <x v="1"/>
    <n v="216000"/>
  </r>
  <r>
    <x v="0"/>
    <x v="1"/>
    <x v="6"/>
    <x v="23"/>
    <x v="70"/>
    <x v="70"/>
    <x v="3"/>
    <s v="N"/>
    <s v="Y"/>
    <x v="8"/>
    <x v="6"/>
    <x v="0"/>
    <x v="1"/>
    <s v="아동"/>
    <s v="아동"/>
    <s v="대리점"/>
    <x v="0"/>
    <x v="27"/>
    <x v="0"/>
    <x v="801"/>
    <s v="HX2636983372"/>
    <x v="0"/>
    <n v="1"/>
  </r>
  <r>
    <x v="0"/>
    <x v="1"/>
    <x v="6"/>
    <x v="23"/>
    <x v="70"/>
    <x v="70"/>
    <x v="3"/>
    <s v="N"/>
    <s v="Y"/>
    <x v="8"/>
    <x v="6"/>
    <x v="0"/>
    <x v="1"/>
    <s v="아동"/>
    <s v="아동"/>
    <s v="대리점"/>
    <x v="0"/>
    <x v="27"/>
    <x v="0"/>
    <x v="801"/>
    <s v="HX2636983372"/>
    <x v="1"/>
    <n v="54000"/>
  </r>
  <r>
    <x v="0"/>
    <x v="1"/>
    <x v="6"/>
    <x v="23"/>
    <x v="70"/>
    <x v="70"/>
    <x v="3"/>
    <s v="N"/>
    <s v="Y"/>
    <x v="8"/>
    <x v="6"/>
    <x v="0"/>
    <x v="1"/>
    <s v="유아"/>
    <s v="유아"/>
    <s v="대리점"/>
    <x v="0"/>
    <x v="27"/>
    <x v="0"/>
    <x v="801"/>
    <s v="HX2636983372"/>
    <x v="0"/>
    <n v="1"/>
  </r>
  <r>
    <x v="0"/>
    <x v="1"/>
    <x v="6"/>
    <x v="23"/>
    <x v="70"/>
    <x v="70"/>
    <x v="3"/>
    <s v="N"/>
    <s v="Y"/>
    <x v="8"/>
    <x v="6"/>
    <x v="0"/>
    <x v="1"/>
    <s v="유아"/>
    <s v="유아"/>
    <s v="대리점"/>
    <x v="0"/>
    <x v="27"/>
    <x v="0"/>
    <x v="801"/>
    <s v="HX2636983372"/>
    <x v="1"/>
    <n v="54000"/>
  </r>
  <r>
    <x v="0"/>
    <x v="1"/>
    <x v="6"/>
    <x v="23"/>
    <x v="70"/>
    <x v="70"/>
    <x v="4"/>
    <s v="N"/>
    <s v="N"/>
    <x v="1"/>
    <x v="0"/>
    <x v="0"/>
    <x v="0"/>
    <s v="성인"/>
    <s v="성인"/>
    <s v="대리점"/>
    <x v="0"/>
    <x v="2"/>
    <x v="0"/>
    <x v="802"/>
    <s v="HP2637003900"/>
    <x v="0"/>
    <n v="2"/>
  </r>
  <r>
    <x v="0"/>
    <x v="1"/>
    <x v="6"/>
    <x v="23"/>
    <x v="70"/>
    <x v="70"/>
    <x v="4"/>
    <s v="N"/>
    <s v="N"/>
    <x v="1"/>
    <x v="0"/>
    <x v="0"/>
    <x v="0"/>
    <s v="성인"/>
    <s v="성인"/>
    <s v="대리점"/>
    <x v="0"/>
    <x v="2"/>
    <x v="0"/>
    <x v="802"/>
    <s v="HP2637003900"/>
    <x v="1"/>
    <n v="2739800"/>
  </r>
  <r>
    <x v="0"/>
    <x v="1"/>
    <x v="6"/>
    <x v="23"/>
    <x v="70"/>
    <x v="70"/>
    <x v="5"/>
    <s v="N"/>
    <s v="N"/>
    <x v="1"/>
    <x v="0"/>
    <x v="0"/>
    <x v="0"/>
    <s v="성인"/>
    <s v="성인"/>
    <s v="대리점"/>
    <x v="0"/>
    <x v="17"/>
    <x v="0"/>
    <x v="803"/>
    <s v="HP2637027790"/>
    <x v="0"/>
    <n v="2"/>
  </r>
  <r>
    <x v="0"/>
    <x v="1"/>
    <x v="6"/>
    <x v="23"/>
    <x v="70"/>
    <x v="70"/>
    <x v="5"/>
    <s v="N"/>
    <s v="N"/>
    <x v="1"/>
    <x v="0"/>
    <x v="0"/>
    <x v="0"/>
    <s v="성인"/>
    <s v="성인"/>
    <s v="대리점"/>
    <x v="0"/>
    <x v="17"/>
    <x v="0"/>
    <x v="803"/>
    <s v="HP2637027790"/>
    <x v="1"/>
    <n v="2558000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4"/>
    <s v="HP2637058546"/>
    <x v="0"/>
    <n v="2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4"/>
    <s v="HP2637058546"/>
    <x v="1"/>
    <n v="976200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5"/>
    <s v="HP2637052304"/>
    <x v="0"/>
    <n v="2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5"/>
    <s v="HP2637052304"/>
    <x v="1"/>
    <n v="1004400"/>
  </r>
  <r>
    <x v="0"/>
    <x v="1"/>
    <x v="6"/>
    <x v="24"/>
    <x v="71"/>
    <x v="71"/>
    <x v="1"/>
    <s v="N"/>
    <s v="N"/>
    <x v="4"/>
    <x v="2"/>
    <x v="0"/>
    <x v="0"/>
    <m/>
    <m/>
    <s v="대리점"/>
    <x v="0"/>
    <x v="2"/>
    <x v="0"/>
    <x v="806"/>
    <s v="HP2636947382"/>
    <x v="0"/>
    <n v="15"/>
  </r>
  <r>
    <x v="0"/>
    <x v="1"/>
    <x v="6"/>
    <x v="24"/>
    <x v="71"/>
    <x v="71"/>
    <x v="1"/>
    <s v="N"/>
    <s v="N"/>
    <x v="4"/>
    <x v="2"/>
    <x v="0"/>
    <x v="0"/>
    <m/>
    <m/>
    <s v="대리점"/>
    <x v="0"/>
    <x v="2"/>
    <x v="0"/>
    <x v="806"/>
    <s v="HP2636947382"/>
    <x v="1"/>
    <n v="186000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3"/>
    <x v="0"/>
    <x v="807"/>
    <s v="HP2635938940"/>
    <x v="0"/>
    <n v="1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3"/>
    <x v="0"/>
    <x v="807"/>
    <s v="HP2635938940"/>
    <x v="1"/>
    <n v="30266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6"/>
    <x v="0"/>
    <x v="808"/>
    <s v="HP2636951454"/>
    <x v="0"/>
    <n v="4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6"/>
    <x v="0"/>
    <x v="808"/>
    <s v="HP2636951454"/>
    <x v="1"/>
    <n v="273760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3"/>
    <x v="0"/>
    <x v="809"/>
    <s v="HP2636955018"/>
    <x v="0"/>
    <n v="18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3"/>
    <x v="0"/>
    <x v="809"/>
    <s v="HP2636955018"/>
    <x v="1"/>
    <n v="17265600"/>
  </r>
  <r>
    <x v="0"/>
    <x v="1"/>
    <x v="6"/>
    <x v="24"/>
    <x v="71"/>
    <x v="71"/>
    <x v="2"/>
    <s v="Y"/>
    <s v="Y"/>
    <x v="4"/>
    <x v="0"/>
    <x v="0"/>
    <x v="0"/>
    <s v="성인"/>
    <s v="성인"/>
    <s v="대리점"/>
    <x v="0"/>
    <x v="11"/>
    <x v="0"/>
    <x v="810"/>
    <s v="HP2636968906"/>
    <x v="0"/>
    <n v="4"/>
  </r>
  <r>
    <x v="0"/>
    <x v="1"/>
    <x v="6"/>
    <x v="24"/>
    <x v="71"/>
    <x v="71"/>
    <x v="2"/>
    <s v="Y"/>
    <s v="Y"/>
    <x v="4"/>
    <x v="0"/>
    <x v="0"/>
    <x v="0"/>
    <s v="성인"/>
    <s v="성인"/>
    <s v="대리점"/>
    <x v="0"/>
    <x v="11"/>
    <x v="0"/>
    <x v="810"/>
    <s v="HP2636968906"/>
    <x v="1"/>
    <n v="1982000"/>
  </r>
  <r>
    <x v="0"/>
    <x v="1"/>
    <x v="6"/>
    <x v="24"/>
    <x v="71"/>
    <x v="71"/>
    <x v="2"/>
    <s v="Y"/>
    <s v="Y"/>
    <x v="4"/>
    <x v="0"/>
    <x v="0"/>
    <x v="0"/>
    <m/>
    <m/>
    <s v="대리점"/>
    <x v="0"/>
    <x v="11"/>
    <x v="1"/>
    <x v="811"/>
    <s v="HP2636968950"/>
    <x v="0"/>
    <n v="0"/>
  </r>
  <r>
    <x v="0"/>
    <x v="1"/>
    <x v="6"/>
    <x v="24"/>
    <x v="71"/>
    <x v="71"/>
    <x v="2"/>
    <s v="Y"/>
    <s v="Y"/>
    <x v="4"/>
    <x v="0"/>
    <x v="0"/>
    <x v="0"/>
    <m/>
    <m/>
    <s v="대리점"/>
    <x v="0"/>
    <x v="11"/>
    <x v="1"/>
    <x v="811"/>
    <s v="HP2636968950"/>
    <x v="1"/>
    <n v="1982000"/>
  </r>
  <r>
    <x v="0"/>
    <x v="1"/>
    <x v="6"/>
    <x v="24"/>
    <x v="71"/>
    <x v="71"/>
    <x v="4"/>
    <s v="N"/>
    <s v="N"/>
    <x v="4"/>
    <x v="2"/>
    <x v="0"/>
    <x v="0"/>
    <m/>
    <m/>
    <s v="대리점"/>
    <x v="0"/>
    <x v="2"/>
    <x v="0"/>
    <x v="806"/>
    <s v="HP2636947382"/>
    <x v="0"/>
    <n v="3"/>
  </r>
  <r>
    <x v="0"/>
    <x v="1"/>
    <x v="6"/>
    <x v="24"/>
    <x v="71"/>
    <x v="71"/>
    <x v="4"/>
    <s v="N"/>
    <s v="N"/>
    <x v="4"/>
    <x v="2"/>
    <x v="0"/>
    <x v="0"/>
    <m/>
    <m/>
    <s v="대리점"/>
    <x v="0"/>
    <x v="2"/>
    <x v="0"/>
    <x v="806"/>
    <s v="HP2636947382"/>
    <x v="1"/>
    <n v="3720000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812"/>
    <s v="HP2637016378"/>
    <x v="0"/>
    <n v="7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812"/>
    <s v="HP2637016378"/>
    <x v="1"/>
    <n v="6323800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7"/>
    <x v="0"/>
    <x v="813"/>
    <s v="HP2637016650"/>
    <x v="0"/>
    <n v="2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7"/>
    <x v="0"/>
    <x v="813"/>
    <s v="HP2637016650"/>
    <x v="1"/>
    <n v="10093200"/>
  </r>
  <r>
    <x v="0"/>
    <x v="1"/>
    <x v="6"/>
    <x v="24"/>
    <x v="71"/>
    <x v="71"/>
    <x v="4"/>
    <s v="N"/>
    <s v="N"/>
    <x v="1"/>
    <x v="0"/>
    <x v="0"/>
    <x v="0"/>
    <m/>
    <m/>
    <s v="대리점"/>
    <x v="0"/>
    <x v="4"/>
    <x v="1"/>
    <x v="814"/>
    <s v="HP2637014172"/>
    <x v="0"/>
    <n v="0"/>
  </r>
  <r>
    <x v="0"/>
    <x v="1"/>
    <x v="6"/>
    <x v="24"/>
    <x v="71"/>
    <x v="71"/>
    <x v="4"/>
    <s v="N"/>
    <s v="N"/>
    <x v="1"/>
    <x v="0"/>
    <x v="0"/>
    <x v="0"/>
    <m/>
    <m/>
    <s v="대리점"/>
    <x v="0"/>
    <x v="4"/>
    <x v="1"/>
    <x v="814"/>
    <s v="HP2637014172"/>
    <x v="1"/>
    <n v="8071600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13"/>
    <x v="0"/>
    <x v="815"/>
    <s v="HP2637033380"/>
    <x v="0"/>
    <n v="2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13"/>
    <x v="0"/>
    <x v="815"/>
    <s v="HP2637033380"/>
    <x v="1"/>
    <n v="1806000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36"/>
    <x v="0"/>
    <x v="816"/>
    <s v="HP2637051218"/>
    <x v="0"/>
    <n v="2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36"/>
    <x v="0"/>
    <x v="816"/>
    <s v="HP2637051218"/>
    <x v="1"/>
    <n v="2898000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3"/>
    <x v="0"/>
    <x v="817"/>
    <s v="HP2637058720"/>
    <x v="0"/>
    <n v="4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3"/>
    <x v="0"/>
    <x v="817"/>
    <s v="HP2637058720"/>
    <x v="1"/>
    <n v="5996000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4"/>
    <x v="1"/>
    <x v="818"/>
    <s v="HP2637062478"/>
    <x v="0"/>
    <n v="0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4"/>
    <x v="1"/>
    <x v="818"/>
    <s v="HP2637062478"/>
    <x v="1"/>
    <n v="9934400"/>
  </r>
  <r>
    <x v="0"/>
    <x v="1"/>
    <x v="6"/>
    <x v="24"/>
    <x v="71"/>
    <x v="71"/>
    <x v="8"/>
    <s v="Y"/>
    <s v="N"/>
    <x v="0"/>
    <x v="0"/>
    <x v="0"/>
    <x v="0"/>
    <s v="성인"/>
    <s v="성인"/>
    <s v="대리점"/>
    <x v="0"/>
    <x v="2"/>
    <x v="0"/>
    <x v="819"/>
    <s v="HP2637088544"/>
    <x v="0"/>
    <n v="1"/>
  </r>
  <r>
    <x v="0"/>
    <x v="1"/>
    <x v="6"/>
    <x v="24"/>
    <x v="71"/>
    <x v="71"/>
    <x v="8"/>
    <s v="Y"/>
    <s v="N"/>
    <x v="0"/>
    <x v="0"/>
    <x v="0"/>
    <x v="0"/>
    <s v="성인"/>
    <s v="성인"/>
    <s v="대리점"/>
    <x v="0"/>
    <x v="2"/>
    <x v="0"/>
    <x v="819"/>
    <s v="HP2637088544"/>
    <x v="1"/>
    <n v="1029900"/>
  </r>
  <r>
    <x v="0"/>
    <x v="1"/>
    <x v="6"/>
    <x v="24"/>
    <x v="71"/>
    <x v="71"/>
    <x v="8"/>
    <s v="Y"/>
    <s v="N"/>
    <x v="0"/>
    <x v="0"/>
    <x v="0"/>
    <x v="0"/>
    <s v="청소년"/>
    <s v="청소년"/>
    <s v="대리점"/>
    <x v="0"/>
    <x v="2"/>
    <x v="0"/>
    <x v="819"/>
    <s v="HP2637088544"/>
    <x v="0"/>
    <n v="1"/>
  </r>
  <r>
    <x v="0"/>
    <x v="1"/>
    <x v="6"/>
    <x v="24"/>
    <x v="71"/>
    <x v="71"/>
    <x v="8"/>
    <s v="Y"/>
    <s v="N"/>
    <x v="0"/>
    <x v="0"/>
    <x v="0"/>
    <x v="0"/>
    <s v="청소년"/>
    <s v="청소년"/>
    <s v="대리점"/>
    <x v="0"/>
    <x v="2"/>
    <x v="0"/>
    <x v="819"/>
    <s v="HP2637088544"/>
    <x v="1"/>
    <n v="1029900"/>
  </r>
  <r>
    <x v="0"/>
    <x v="1"/>
    <x v="6"/>
    <x v="24"/>
    <x v="71"/>
    <x v="71"/>
    <x v="8"/>
    <s v="Y"/>
    <s v="N"/>
    <x v="0"/>
    <x v="0"/>
    <x v="0"/>
    <x v="1"/>
    <s v="아동"/>
    <s v="아동"/>
    <s v="대리점"/>
    <x v="0"/>
    <x v="2"/>
    <x v="0"/>
    <x v="819"/>
    <s v="HP2637088544"/>
    <x v="0"/>
    <n v="1"/>
  </r>
  <r>
    <x v="0"/>
    <x v="1"/>
    <x v="6"/>
    <x v="24"/>
    <x v="71"/>
    <x v="71"/>
    <x v="8"/>
    <s v="Y"/>
    <s v="N"/>
    <x v="0"/>
    <x v="0"/>
    <x v="0"/>
    <x v="1"/>
    <s v="아동"/>
    <s v="아동"/>
    <s v="대리점"/>
    <x v="0"/>
    <x v="2"/>
    <x v="0"/>
    <x v="819"/>
    <s v="HP2637088544"/>
    <x v="1"/>
    <n v="1029900"/>
  </r>
  <r>
    <x v="0"/>
    <x v="1"/>
    <x v="6"/>
    <x v="24"/>
    <x v="71"/>
    <x v="71"/>
    <x v="8"/>
    <s v="Y"/>
    <s v="N"/>
    <x v="1"/>
    <x v="0"/>
    <x v="0"/>
    <x v="0"/>
    <s v="성인"/>
    <s v="성인"/>
    <s v="대리점"/>
    <x v="0"/>
    <x v="2"/>
    <x v="0"/>
    <x v="820"/>
    <s v="HP2637086488"/>
    <x v="0"/>
    <n v="3"/>
  </r>
  <r>
    <x v="0"/>
    <x v="1"/>
    <x v="6"/>
    <x v="24"/>
    <x v="71"/>
    <x v="71"/>
    <x v="8"/>
    <s v="Y"/>
    <s v="N"/>
    <x v="1"/>
    <x v="0"/>
    <x v="0"/>
    <x v="0"/>
    <s v="성인"/>
    <s v="성인"/>
    <s v="대리점"/>
    <x v="0"/>
    <x v="2"/>
    <x v="0"/>
    <x v="820"/>
    <s v="HP2637086488"/>
    <x v="1"/>
    <n v="5397000"/>
  </r>
  <r>
    <x v="0"/>
    <x v="1"/>
    <x v="6"/>
    <x v="24"/>
    <x v="71"/>
    <x v="71"/>
    <x v="8"/>
    <s v="Y"/>
    <s v="N"/>
    <x v="1"/>
    <x v="0"/>
    <x v="0"/>
    <x v="0"/>
    <s v="청소년"/>
    <s v="청소년"/>
    <s v="대리점"/>
    <x v="0"/>
    <x v="2"/>
    <x v="0"/>
    <x v="820"/>
    <s v="HP2637086488"/>
    <x v="0"/>
    <n v="1"/>
  </r>
  <r>
    <x v="0"/>
    <x v="1"/>
    <x v="6"/>
    <x v="24"/>
    <x v="71"/>
    <x v="71"/>
    <x v="8"/>
    <s v="Y"/>
    <s v="N"/>
    <x v="1"/>
    <x v="0"/>
    <x v="0"/>
    <x v="0"/>
    <s v="청소년"/>
    <s v="청소년"/>
    <s v="대리점"/>
    <x v="0"/>
    <x v="2"/>
    <x v="0"/>
    <x v="820"/>
    <s v="HP2637086488"/>
    <x v="1"/>
    <n v="1799000"/>
  </r>
  <r>
    <x v="0"/>
    <x v="1"/>
    <x v="6"/>
    <x v="24"/>
    <x v="71"/>
    <x v="71"/>
    <x v="10"/>
    <s v="N"/>
    <s v="N"/>
    <x v="1"/>
    <x v="0"/>
    <x v="0"/>
    <x v="0"/>
    <m/>
    <m/>
    <s v="대리점"/>
    <x v="0"/>
    <x v="2"/>
    <x v="0"/>
    <x v="821"/>
    <s v="HP2637125036"/>
    <x v="0"/>
    <n v="4"/>
  </r>
  <r>
    <x v="0"/>
    <x v="1"/>
    <x v="6"/>
    <x v="24"/>
    <x v="71"/>
    <x v="71"/>
    <x v="10"/>
    <s v="N"/>
    <s v="N"/>
    <x v="1"/>
    <x v="0"/>
    <x v="0"/>
    <x v="0"/>
    <m/>
    <m/>
    <s v="대리점"/>
    <x v="0"/>
    <x v="2"/>
    <x v="0"/>
    <x v="821"/>
    <s v="HP2637125036"/>
    <x v="1"/>
    <n v="507680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6"/>
    <x v="1"/>
    <x v="822"/>
    <s v="HP2636923370"/>
    <x v="0"/>
    <n v="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6"/>
    <x v="1"/>
    <x v="822"/>
    <s v="HP2636923370"/>
    <x v="1"/>
    <n v="237800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0"/>
    <x v="1"/>
    <x v="823"/>
    <s v="HP2636923862"/>
    <x v="0"/>
    <n v="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0"/>
    <x v="1"/>
    <x v="823"/>
    <s v="HP2636923862"/>
    <x v="1"/>
    <n v="2358000"/>
  </r>
  <r>
    <x v="0"/>
    <x v="1"/>
    <x v="6"/>
    <x v="24"/>
    <x v="72"/>
    <x v="72"/>
    <x v="0"/>
    <s v="N"/>
    <s v="N"/>
    <x v="2"/>
    <x v="0"/>
    <x v="0"/>
    <x v="0"/>
    <s v="성인"/>
    <s v="성인"/>
    <s v="대리점"/>
    <x v="0"/>
    <x v="23"/>
    <x v="0"/>
    <x v="824"/>
    <s v="HP2636925800"/>
    <x v="0"/>
    <n v="2"/>
  </r>
  <r>
    <x v="0"/>
    <x v="1"/>
    <x v="6"/>
    <x v="24"/>
    <x v="72"/>
    <x v="72"/>
    <x v="0"/>
    <s v="N"/>
    <s v="N"/>
    <x v="2"/>
    <x v="0"/>
    <x v="0"/>
    <x v="0"/>
    <s v="성인"/>
    <s v="성인"/>
    <s v="대리점"/>
    <x v="0"/>
    <x v="23"/>
    <x v="0"/>
    <x v="824"/>
    <s v="HP2636925800"/>
    <x v="1"/>
    <n v="4198000"/>
  </r>
  <r>
    <x v="0"/>
    <x v="1"/>
    <x v="6"/>
    <x v="24"/>
    <x v="72"/>
    <x v="72"/>
    <x v="1"/>
    <s v="N"/>
    <s v="N"/>
    <x v="1"/>
    <x v="0"/>
    <x v="1"/>
    <x v="0"/>
    <s v="성인"/>
    <s v="성인"/>
    <s v="대리점"/>
    <x v="0"/>
    <x v="3"/>
    <x v="0"/>
    <x v="825"/>
    <s v="HP2636946896"/>
    <x v="0"/>
    <n v="2"/>
  </r>
  <r>
    <x v="0"/>
    <x v="1"/>
    <x v="6"/>
    <x v="24"/>
    <x v="72"/>
    <x v="72"/>
    <x v="1"/>
    <s v="N"/>
    <s v="N"/>
    <x v="1"/>
    <x v="0"/>
    <x v="1"/>
    <x v="0"/>
    <s v="성인"/>
    <s v="성인"/>
    <s v="대리점"/>
    <x v="0"/>
    <x v="3"/>
    <x v="0"/>
    <x v="825"/>
    <s v="HP2636946896"/>
    <x v="1"/>
    <n v="2780000"/>
  </r>
  <r>
    <x v="0"/>
    <x v="1"/>
    <x v="6"/>
    <x v="24"/>
    <x v="72"/>
    <x v="72"/>
    <x v="1"/>
    <s v="N"/>
    <s v="N"/>
    <x v="1"/>
    <x v="0"/>
    <x v="0"/>
    <x v="0"/>
    <s v="성인"/>
    <s v="성인"/>
    <s v="대리점"/>
    <x v="0"/>
    <x v="0"/>
    <x v="0"/>
    <x v="826"/>
    <s v="HP2636948614"/>
    <x v="0"/>
    <n v="2"/>
  </r>
  <r>
    <x v="0"/>
    <x v="1"/>
    <x v="6"/>
    <x v="24"/>
    <x v="72"/>
    <x v="72"/>
    <x v="1"/>
    <s v="N"/>
    <s v="N"/>
    <x v="1"/>
    <x v="0"/>
    <x v="0"/>
    <x v="0"/>
    <s v="성인"/>
    <s v="성인"/>
    <s v="대리점"/>
    <x v="0"/>
    <x v="0"/>
    <x v="0"/>
    <x v="826"/>
    <s v="HP2636948614"/>
    <x v="1"/>
    <n v="2456600"/>
  </r>
  <r>
    <x v="0"/>
    <x v="1"/>
    <x v="6"/>
    <x v="24"/>
    <x v="72"/>
    <x v="72"/>
    <x v="1"/>
    <s v="N"/>
    <s v="N"/>
    <x v="2"/>
    <x v="0"/>
    <x v="0"/>
    <x v="0"/>
    <m/>
    <m/>
    <s v="대리점"/>
    <x v="0"/>
    <x v="2"/>
    <x v="1"/>
    <x v="827"/>
    <s v="HP2636951218"/>
    <x v="0"/>
    <n v="0"/>
  </r>
  <r>
    <x v="0"/>
    <x v="1"/>
    <x v="6"/>
    <x v="24"/>
    <x v="72"/>
    <x v="72"/>
    <x v="1"/>
    <s v="N"/>
    <s v="N"/>
    <x v="2"/>
    <x v="0"/>
    <x v="0"/>
    <x v="0"/>
    <m/>
    <m/>
    <s v="대리점"/>
    <x v="0"/>
    <x v="2"/>
    <x v="1"/>
    <x v="827"/>
    <s v="HP2636951218"/>
    <x v="1"/>
    <n v="2474800"/>
  </r>
  <r>
    <x v="0"/>
    <x v="1"/>
    <x v="6"/>
    <x v="24"/>
    <x v="72"/>
    <x v="72"/>
    <x v="2"/>
    <s v="Y"/>
    <s v="Y"/>
    <x v="4"/>
    <x v="1"/>
    <x v="0"/>
    <x v="0"/>
    <s v="성인"/>
    <s v="성인"/>
    <s v="대리점"/>
    <x v="0"/>
    <x v="12"/>
    <x v="0"/>
    <x v="828"/>
    <s v="HB2636966622"/>
    <x v="0"/>
    <n v="2"/>
  </r>
  <r>
    <x v="0"/>
    <x v="1"/>
    <x v="6"/>
    <x v="24"/>
    <x v="72"/>
    <x v="72"/>
    <x v="2"/>
    <s v="Y"/>
    <s v="Y"/>
    <x v="4"/>
    <x v="1"/>
    <x v="0"/>
    <x v="0"/>
    <s v="성인"/>
    <s v="성인"/>
    <s v="대리점"/>
    <x v="0"/>
    <x v="12"/>
    <x v="0"/>
    <x v="828"/>
    <s v="HB2636966622"/>
    <x v="1"/>
    <n v="1408400"/>
  </r>
  <r>
    <x v="0"/>
    <x v="1"/>
    <x v="6"/>
    <x v="24"/>
    <x v="72"/>
    <x v="72"/>
    <x v="2"/>
    <s v="Y"/>
    <s v="Y"/>
    <x v="4"/>
    <x v="1"/>
    <x v="0"/>
    <x v="0"/>
    <m/>
    <m/>
    <s v="대리점"/>
    <x v="0"/>
    <x v="12"/>
    <x v="1"/>
    <x v="828"/>
    <s v="HB2636966622"/>
    <x v="0"/>
    <n v="0"/>
  </r>
  <r>
    <x v="0"/>
    <x v="1"/>
    <x v="6"/>
    <x v="24"/>
    <x v="72"/>
    <x v="72"/>
    <x v="2"/>
    <s v="Y"/>
    <s v="Y"/>
    <x v="4"/>
    <x v="1"/>
    <x v="0"/>
    <x v="0"/>
    <m/>
    <m/>
    <s v="대리점"/>
    <x v="0"/>
    <x v="12"/>
    <x v="1"/>
    <x v="828"/>
    <s v="HB2636966622"/>
    <x v="1"/>
    <n v="1408400"/>
  </r>
  <r>
    <x v="0"/>
    <x v="1"/>
    <x v="6"/>
    <x v="24"/>
    <x v="72"/>
    <x v="72"/>
    <x v="2"/>
    <s v="Y"/>
    <s v="Y"/>
    <x v="4"/>
    <x v="1"/>
    <x v="0"/>
    <x v="1"/>
    <s v="유아"/>
    <s v="유아"/>
    <s v="대리점"/>
    <x v="0"/>
    <x v="12"/>
    <x v="0"/>
    <x v="828"/>
    <s v="HB2636966622"/>
    <x v="0"/>
    <n v="2"/>
  </r>
  <r>
    <x v="0"/>
    <x v="1"/>
    <x v="6"/>
    <x v="24"/>
    <x v="72"/>
    <x v="72"/>
    <x v="2"/>
    <s v="Y"/>
    <s v="Y"/>
    <x v="4"/>
    <x v="1"/>
    <x v="0"/>
    <x v="1"/>
    <s v="유아"/>
    <s v="유아"/>
    <s v="대리점"/>
    <x v="0"/>
    <x v="12"/>
    <x v="0"/>
    <x v="828"/>
    <s v="HB2636966622"/>
    <x v="1"/>
    <n v="1408400"/>
  </r>
  <r>
    <x v="0"/>
    <x v="1"/>
    <x v="6"/>
    <x v="24"/>
    <x v="72"/>
    <x v="72"/>
    <x v="2"/>
    <s v="Y"/>
    <s v="Y"/>
    <x v="0"/>
    <x v="0"/>
    <x v="0"/>
    <x v="0"/>
    <s v="성인"/>
    <s v="성인"/>
    <s v="대리점"/>
    <x v="0"/>
    <x v="17"/>
    <x v="0"/>
    <x v="829"/>
    <s v="HP2636968270"/>
    <x v="0"/>
    <n v="3"/>
  </r>
  <r>
    <x v="0"/>
    <x v="1"/>
    <x v="6"/>
    <x v="24"/>
    <x v="72"/>
    <x v="72"/>
    <x v="2"/>
    <s v="Y"/>
    <s v="Y"/>
    <x v="0"/>
    <x v="0"/>
    <x v="0"/>
    <x v="0"/>
    <s v="성인"/>
    <s v="성인"/>
    <s v="대리점"/>
    <x v="0"/>
    <x v="17"/>
    <x v="0"/>
    <x v="829"/>
    <s v="HP2636968270"/>
    <x v="1"/>
    <n v="2543100"/>
  </r>
  <r>
    <x v="0"/>
    <x v="1"/>
    <x v="6"/>
    <x v="24"/>
    <x v="72"/>
    <x v="72"/>
    <x v="2"/>
    <s v="Y"/>
    <s v="Y"/>
    <x v="1"/>
    <x v="0"/>
    <x v="0"/>
    <x v="0"/>
    <m/>
    <m/>
    <s v="대리점"/>
    <x v="0"/>
    <x v="2"/>
    <x v="1"/>
    <x v="830"/>
    <s v="HP2636968768"/>
    <x v="0"/>
    <n v="0"/>
  </r>
  <r>
    <x v="0"/>
    <x v="1"/>
    <x v="6"/>
    <x v="24"/>
    <x v="72"/>
    <x v="72"/>
    <x v="2"/>
    <s v="Y"/>
    <s v="Y"/>
    <x v="1"/>
    <x v="0"/>
    <x v="0"/>
    <x v="0"/>
    <m/>
    <m/>
    <s v="대리점"/>
    <x v="0"/>
    <x v="2"/>
    <x v="1"/>
    <x v="830"/>
    <s v="HP2636968768"/>
    <x v="1"/>
    <n v="4733100"/>
  </r>
  <r>
    <x v="0"/>
    <x v="1"/>
    <x v="6"/>
    <x v="24"/>
    <x v="72"/>
    <x v="72"/>
    <x v="3"/>
    <s v="N"/>
    <s v="Y"/>
    <x v="4"/>
    <x v="2"/>
    <x v="1"/>
    <x v="0"/>
    <s v="성인"/>
    <s v="성인"/>
    <s v="대리점"/>
    <x v="0"/>
    <x v="2"/>
    <x v="0"/>
    <x v="831"/>
    <s v="HQ2636328752"/>
    <x v="0"/>
    <n v="1"/>
  </r>
  <r>
    <x v="0"/>
    <x v="1"/>
    <x v="6"/>
    <x v="24"/>
    <x v="72"/>
    <x v="72"/>
    <x v="3"/>
    <s v="N"/>
    <s v="Y"/>
    <x v="4"/>
    <x v="2"/>
    <x v="1"/>
    <x v="0"/>
    <s v="성인"/>
    <s v="성인"/>
    <s v="대리점"/>
    <x v="0"/>
    <x v="2"/>
    <x v="0"/>
    <x v="831"/>
    <s v="HQ2636328752"/>
    <x v="1"/>
    <n v="880000"/>
  </r>
  <r>
    <x v="0"/>
    <x v="1"/>
    <x v="6"/>
    <x v="24"/>
    <x v="72"/>
    <x v="72"/>
    <x v="4"/>
    <s v="N"/>
    <s v="N"/>
    <x v="4"/>
    <x v="1"/>
    <x v="0"/>
    <x v="0"/>
    <s v="성인"/>
    <s v="성인"/>
    <s v="대리점"/>
    <x v="0"/>
    <x v="12"/>
    <x v="0"/>
    <x v="832"/>
    <s v="HB2637015236"/>
    <x v="0"/>
    <n v="2"/>
  </r>
  <r>
    <x v="0"/>
    <x v="1"/>
    <x v="6"/>
    <x v="24"/>
    <x v="72"/>
    <x v="72"/>
    <x v="4"/>
    <s v="N"/>
    <s v="N"/>
    <x v="4"/>
    <x v="1"/>
    <x v="0"/>
    <x v="0"/>
    <s v="성인"/>
    <s v="성인"/>
    <s v="대리점"/>
    <x v="0"/>
    <x v="12"/>
    <x v="0"/>
    <x v="832"/>
    <s v="HB2637015236"/>
    <x v="1"/>
    <n v="2188400"/>
  </r>
  <r>
    <x v="0"/>
    <x v="1"/>
    <x v="6"/>
    <x v="24"/>
    <x v="72"/>
    <x v="72"/>
    <x v="5"/>
    <s v="N"/>
    <s v="N"/>
    <x v="6"/>
    <x v="2"/>
    <x v="0"/>
    <x v="0"/>
    <s v="성인"/>
    <s v="성인"/>
    <s v="대리점"/>
    <x v="0"/>
    <x v="28"/>
    <x v="0"/>
    <x v="833"/>
    <s v="HQ2637034500"/>
    <x v="0"/>
    <n v="4"/>
  </r>
  <r>
    <x v="0"/>
    <x v="1"/>
    <x v="6"/>
    <x v="24"/>
    <x v="72"/>
    <x v="72"/>
    <x v="5"/>
    <s v="N"/>
    <s v="N"/>
    <x v="6"/>
    <x v="2"/>
    <x v="0"/>
    <x v="0"/>
    <s v="성인"/>
    <s v="성인"/>
    <s v="대리점"/>
    <x v="0"/>
    <x v="28"/>
    <x v="0"/>
    <x v="833"/>
    <s v="HQ2637034500"/>
    <x v="1"/>
    <n v="9255600"/>
  </r>
  <r>
    <x v="0"/>
    <x v="1"/>
    <x v="6"/>
    <x v="24"/>
    <x v="72"/>
    <x v="72"/>
    <x v="6"/>
    <s v="N"/>
    <s v="N"/>
    <x v="4"/>
    <x v="2"/>
    <x v="0"/>
    <x v="0"/>
    <s v="성인"/>
    <s v="성인"/>
    <s v="대리점"/>
    <x v="0"/>
    <x v="2"/>
    <x v="0"/>
    <x v="834"/>
    <s v="HQ2636550796"/>
    <x v="0"/>
    <n v="1"/>
  </r>
  <r>
    <x v="0"/>
    <x v="1"/>
    <x v="6"/>
    <x v="24"/>
    <x v="72"/>
    <x v="72"/>
    <x v="6"/>
    <s v="N"/>
    <s v="N"/>
    <x v="4"/>
    <x v="2"/>
    <x v="0"/>
    <x v="0"/>
    <s v="성인"/>
    <s v="성인"/>
    <s v="대리점"/>
    <x v="0"/>
    <x v="2"/>
    <x v="0"/>
    <x v="834"/>
    <s v="HQ2636550796"/>
    <x v="1"/>
    <n v="918000"/>
  </r>
  <r>
    <x v="0"/>
    <x v="1"/>
    <x v="6"/>
    <x v="24"/>
    <x v="72"/>
    <x v="72"/>
    <x v="10"/>
    <s v="N"/>
    <s v="N"/>
    <x v="6"/>
    <x v="2"/>
    <x v="0"/>
    <x v="0"/>
    <m/>
    <m/>
    <s v="대리점"/>
    <x v="0"/>
    <x v="28"/>
    <x v="0"/>
    <x v="835"/>
    <s v="HQ2637108656"/>
    <x v="0"/>
    <n v="8"/>
  </r>
  <r>
    <x v="0"/>
    <x v="1"/>
    <x v="6"/>
    <x v="24"/>
    <x v="72"/>
    <x v="72"/>
    <x v="10"/>
    <s v="N"/>
    <s v="N"/>
    <x v="6"/>
    <x v="2"/>
    <x v="0"/>
    <x v="0"/>
    <m/>
    <m/>
    <s v="대리점"/>
    <x v="0"/>
    <x v="28"/>
    <x v="0"/>
    <x v="835"/>
    <s v="HQ2637108656"/>
    <x v="1"/>
    <n v="116800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836"/>
    <s v="HP2636948030"/>
    <x v="0"/>
    <n v="2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836"/>
    <s v="HP2636948030"/>
    <x v="1"/>
    <n v="34198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17"/>
    <x v="0"/>
    <x v="779"/>
    <s v="HP2636952516"/>
    <x v="0"/>
    <n v="1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17"/>
    <x v="0"/>
    <x v="779"/>
    <s v="HP2636952516"/>
    <x v="1"/>
    <n v="1897700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3"/>
    <x v="0"/>
    <x v="837"/>
    <s v="HP2637015024"/>
    <x v="0"/>
    <n v="4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3"/>
    <x v="0"/>
    <x v="837"/>
    <s v="HP2637015024"/>
    <x v="1"/>
    <n v="6226400"/>
  </r>
  <r>
    <x v="0"/>
    <x v="1"/>
    <x v="6"/>
    <x v="24"/>
    <x v="74"/>
    <x v="74"/>
    <x v="0"/>
    <s v="N"/>
    <s v="N"/>
    <x v="4"/>
    <x v="2"/>
    <x v="0"/>
    <x v="0"/>
    <s v="성인"/>
    <s v="성인"/>
    <s v="대리점"/>
    <x v="0"/>
    <x v="2"/>
    <x v="0"/>
    <x v="838"/>
    <s v="HQ2636928608"/>
    <x v="0"/>
    <n v="13"/>
  </r>
  <r>
    <x v="0"/>
    <x v="1"/>
    <x v="6"/>
    <x v="24"/>
    <x v="74"/>
    <x v="74"/>
    <x v="0"/>
    <s v="N"/>
    <s v="N"/>
    <x v="4"/>
    <x v="2"/>
    <x v="0"/>
    <x v="0"/>
    <s v="성인"/>
    <s v="성인"/>
    <s v="대리점"/>
    <x v="0"/>
    <x v="2"/>
    <x v="0"/>
    <x v="838"/>
    <s v="HQ2636928608"/>
    <x v="1"/>
    <n v="18005000"/>
  </r>
  <r>
    <x v="0"/>
    <x v="1"/>
    <x v="6"/>
    <x v="24"/>
    <x v="74"/>
    <x v="74"/>
    <x v="0"/>
    <s v="N"/>
    <s v="N"/>
    <x v="4"/>
    <x v="2"/>
    <x v="0"/>
    <x v="0"/>
    <s v="아동"/>
    <s v="아동"/>
    <s v="대리점"/>
    <x v="0"/>
    <x v="2"/>
    <x v="0"/>
    <x v="838"/>
    <s v="HQ2636928608"/>
    <x v="0"/>
    <n v="1"/>
  </r>
  <r>
    <x v="0"/>
    <x v="1"/>
    <x v="6"/>
    <x v="24"/>
    <x v="74"/>
    <x v="74"/>
    <x v="0"/>
    <s v="N"/>
    <s v="N"/>
    <x v="4"/>
    <x v="2"/>
    <x v="0"/>
    <x v="0"/>
    <s v="아동"/>
    <s v="아동"/>
    <s v="대리점"/>
    <x v="0"/>
    <x v="2"/>
    <x v="0"/>
    <x v="838"/>
    <s v="HQ2636928608"/>
    <x v="1"/>
    <n v="1385000"/>
  </r>
  <r>
    <x v="0"/>
    <x v="1"/>
    <x v="6"/>
    <x v="24"/>
    <x v="74"/>
    <x v="74"/>
    <x v="0"/>
    <s v="N"/>
    <s v="N"/>
    <x v="4"/>
    <x v="2"/>
    <x v="0"/>
    <x v="1"/>
    <s v="유아"/>
    <s v="유아"/>
    <s v="대리점"/>
    <x v="0"/>
    <x v="2"/>
    <x v="0"/>
    <x v="838"/>
    <s v="HQ2636928608"/>
    <x v="0"/>
    <n v="1"/>
  </r>
  <r>
    <x v="0"/>
    <x v="1"/>
    <x v="6"/>
    <x v="24"/>
    <x v="74"/>
    <x v="74"/>
    <x v="0"/>
    <s v="N"/>
    <s v="N"/>
    <x v="4"/>
    <x v="2"/>
    <x v="0"/>
    <x v="1"/>
    <s v="유아"/>
    <s v="유아"/>
    <s v="대리점"/>
    <x v="0"/>
    <x v="2"/>
    <x v="0"/>
    <x v="838"/>
    <s v="HQ2636928608"/>
    <x v="1"/>
    <n v="1275000"/>
  </r>
  <r>
    <x v="0"/>
    <x v="1"/>
    <x v="6"/>
    <x v="24"/>
    <x v="74"/>
    <x v="74"/>
    <x v="0"/>
    <s v="N"/>
    <s v="N"/>
    <x v="1"/>
    <x v="0"/>
    <x v="0"/>
    <x v="0"/>
    <s v="성인"/>
    <s v="성인"/>
    <s v="대리점"/>
    <x v="0"/>
    <x v="4"/>
    <x v="0"/>
    <x v="839"/>
    <s v="HP2636921282"/>
    <x v="0"/>
    <n v="2"/>
  </r>
  <r>
    <x v="0"/>
    <x v="1"/>
    <x v="6"/>
    <x v="24"/>
    <x v="74"/>
    <x v="74"/>
    <x v="0"/>
    <s v="N"/>
    <s v="N"/>
    <x v="1"/>
    <x v="0"/>
    <x v="0"/>
    <x v="0"/>
    <s v="성인"/>
    <s v="성인"/>
    <s v="대리점"/>
    <x v="0"/>
    <x v="4"/>
    <x v="0"/>
    <x v="839"/>
    <s v="HP2636921282"/>
    <x v="1"/>
    <n v="12798000"/>
  </r>
  <r>
    <x v="0"/>
    <x v="1"/>
    <x v="6"/>
    <x v="24"/>
    <x v="74"/>
    <x v="74"/>
    <x v="0"/>
    <s v="N"/>
    <s v="N"/>
    <x v="1"/>
    <x v="0"/>
    <x v="0"/>
    <x v="0"/>
    <m/>
    <m/>
    <s v="대리점"/>
    <x v="0"/>
    <x v="3"/>
    <x v="1"/>
    <x v="840"/>
    <s v="HP2636920756"/>
    <x v="0"/>
    <n v="0"/>
  </r>
  <r>
    <x v="0"/>
    <x v="1"/>
    <x v="6"/>
    <x v="24"/>
    <x v="74"/>
    <x v="74"/>
    <x v="0"/>
    <s v="N"/>
    <s v="N"/>
    <x v="1"/>
    <x v="0"/>
    <x v="0"/>
    <x v="0"/>
    <m/>
    <m/>
    <s v="대리점"/>
    <x v="0"/>
    <x v="3"/>
    <x v="1"/>
    <x v="840"/>
    <s v="HP2636920756"/>
    <x v="1"/>
    <n v="18999000"/>
  </r>
  <r>
    <x v="0"/>
    <x v="1"/>
    <x v="6"/>
    <x v="24"/>
    <x v="74"/>
    <x v="74"/>
    <x v="1"/>
    <s v="N"/>
    <s v="N"/>
    <x v="0"/>
    <x v="0"/>
    <x v="0"/>
    <x v="0"/>
    <s v="성인"/>
    <s v="성인"/>
    <s v="닷컴"/>
    <x v="2"/>
    <x v="2"/>
    <x v="0"/>
    <x v="841"/>
    <s v="HP2636947254"/>
    <x v="0"/>
    <n v="1"/>
  </r>
  <r>
    <x v="0"/>
    <x v="1"/>
    <x v="6"/>
    <x v="24"/>
    <x v="74"/>
    <x v="74"/>
    <x v="1"/>
    <s v="N"/>
    <s v="N"/>
    <x v="0"/>
    <x v="0"/>
    <x v="0"/>
    <x v="0"/>
    <s v="성인"/>
    <s v="성인"/>
    <s v="닷컴"/>
    <x v="2"/>
    <x v="2"/>
    <x v="0"/>
    <x v="841"/>
    <s v="HP2636947254"/>
    <x v="1"/>
    <n v="761900"/>
  </r>
  <r>
    <x v="0"/>
    <x v="1"/>
    <x v="6"/>
    <x v="24"/>
    <x v="74"/>
    <x v="74"/>
    <x v="1"/>
    <s v="N"/>
    <s v="N"/>
    <x v="1"/>
    <x v="0"/>
    <x v="0"/>
    <x v="0"/>
    <s v="성인"/>
    <s v="성인"/>
    <s v="대리점"/>
    <x v="0"/>
    <x v="2"/>
    <x v="0"/>
    <x v="802"/>
    <s v="HP2636957074"/>
    <x v="0"/>
    <n v="2"/>
  </r>
  <r>
    <x v="0"/>
    <x v="1"/>
    <x v="6"/>
    <x v="24"/>
    <x v="74"/>
    <x v="74"/>
    <x v="1"/>
    <s v="N"/>
    <s v="N"/>
    <x v="1"/>
    <x v="0"/>
    <x v="0"/>
    <x v="0"/>
    <s v="성인"/>
    <s v="성인"/>
    <s v="대리점"/>
    <x v="0"/>
    <x v="2"/>
    <x v="0"/>
    <x v="802"/>
    <s v="HP2636957074"/>
    <x v="1"/>
    <n v="2739800"/>
  </r>
  <r>
    <x v="0"/>
    <x v="1"/>
    <x v="6"/>
    <x v="24"/>
    <x v="74"/>
    <x v="74"/>
    <x v="2"/>
    <s v="Y"/>
    <s v="Y"/>
    <x v="4"/>
    <x v="2"/>
    <x v="0"/>
    <x v="0"/>
    <s v="성인"/>
    <s v="성인"/>
    <s v="대리점"/>
    <x v="0"/>
    <x v="2"/>
    <x v="0"/>
    <x v="842"/>
    <s v="HP2636969022"/>
    <x v="0"/>
    <n v="10"/>
  </r>
  <r>
    <x v="0"/>
    <x v="1"/>
    <x v="6"/>
    <x v="24"/>
    <x v="74"/>
    <x v="74"/>
    <x v="2"/>
    <s v="Y"/>
    <s v="Y"/>
    <x v="4"/>
    <x v="2"/>
    <x v="0"/>
    <x v="0"/>
    <s v="성인"/>
    <s v="성인"/>
    <s v="대리점"/>
    <x v="0"/>
    <x v="2"/>
    <x v="0"/>
    <x v="842"/>
    <s v="HP2636969022"/>
    <x v="1"/>
    <n v="13350000"/>
  </r>
  <r>
    <x v="0"/>
    <x v="1"/>
    <x v="6"/>
    <x v="24"/>
    <x v="74"/>
    <x v="74"/>
    <x v="2"/>
    <s v="Y"/>
    <s v="Y"/>
    <x v="0"/>
    <x v="0"/>
    <x v="0"/>
    <x v="0"/>
    <s v="성인"/>
    <s v="성인"/>
    <s v="닷컴"/>
    <x v="2"/>
    <x v="19"/>
    <x v="0"/>
    <x v="843"/>
    <s v="HP2636964824"/>
    <x v="0"/>
    <n v="4"/>
  </r>
  <r>
    <x v="0"/>
    <x v="1"/>
    <x v="6"/>
    <x v="24"/>
    <x v="74"/>
    <x v="74"/>
    <x v="2"/>
    <s v="Y"/>
    <s v="Y"/>
    <x v="0"/>
    <x v="0"/>
    <x v="0"/>
    <x v="0"/>
    <s v="성인"/>
    <s v="성인"/>
    <s v="닷컴"/>
    <x v="2"/>
    <x v="19"/>
    <x v="0"/>
    <x v="843"/>
    <s v="HP2636964824"/>
    <x v="1"/>
    <n v="2286400"/>
  </r>
  <r>
    <x v="0"/>
    <x v="1"/>
    <x v="6"/>
    <x v="24"/>
    <x v="74"/>
    <x v="74"/>
    <x v="11"/>
    <s v="Y"/>
    <s v="N"/>
    <x v="6"/>
    <x v="4"/>
    <x v="0"/>
    <x v="0"/>
    <s v="성인"/>
    <s v="성인"/>
    <s v="대리점"/>
    <x v="0"/>
    <x v="2"/>
    <x v="0"/>
    <x v="844"/>
    <s v="HU2636973824"/>
    <x v="0"/>
    <n v="1"/>
  </r>
  <r>
    <x v="0"/>
    <x v="1"/>
    <x v="6"/>
    <x v="24"/>
    <x v="74"/>
    <x v="74"/>
    <x v="11"/>
    <s v="Y"/>
    <s v="N"/>
    <x v="6"/>
    <x v="4"/>
    <x v="0"/>
    <x v="0"/>
    <s v="성인"/>
    <s v="성인"/>
    <s v="대리점"/>
    <x v="0"/>
    <x v="2"/>
    <x v="0"/>
    <x v="844"/>
    <s v="HU2636973824"/>
    <x v="1"/>
    <n v="1253000"/>
  </r>
  <r>
    <x v="0"/>
    <x v="1"/>
    <x v="6"/>
    <x v="24"/>
    <x v="74"/>
    <x v="74"/>
    <x v="11"/>
    <s v="Y"/>
    <s v="N"/>
    <x v="6"/>
    <x v="4"/>
    <x v="0"/>
    <x v="0"/>
    <m/>
    <m/>
    <s v="대리점"/>
    <x v="0"/>
    <x v="2"/>
    <x v="0"/>
    <x v="844"/>
    <s v="HU2636973824"/>
    <x v="0"/>
    <n v="5"/>
  </r>
  <r>
    <x v="0"/>
    <x v="1"/>
    <x v="6"/>
    <x v="24"/>
    <x v="74"/>
    <x v="74"/>
    <x v="11"/>
    <s v="Y"/>
    <s v="N"/>
    <x v="6"/>
    <x v="4"/>
    <x v="0"/>
    <x v="0"/>
    <m/>
    <m/>
    <s v="대리점"/>
    <x v="0"/>
    <x v="2"/>
    <x v="0"/>
    <x v="844"/>
    <s v="HU2636973824"/>
    <x v="1"/>
    <n v="6265000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5"/>
    <x v="0"/>
    <x v="845"/>
    <s v="HP2637013212"/>
    <x v="0"/>
    <n v="1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5"/>
    <x v="0"/>
    <x v="845"/>
    <s v="HP2637013212"/>
    <x v="1"/>
    <n v="183900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"/>
    <x v="0"/>
    <x v="846"/>
    <s v="HP2637006594"/>
    <x v="0"/>
    <n v="2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"/>
    <x v="0"/>
    <x v="846"/>
    <s v="HP2637006594"/>
    <x v="1"/>
    <n v="75320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5"/>
    <x v="1"/>
    <x v="845"/>
    <s v="HP2637014712"/>
    <x v="0"/>
    <n v="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5"/>
    <x v="1"/>
    <x v="845"/>
    <s v="HP2637014712"/>
    <x v="1"/>
    <n v="18390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"/>
    <x v="1"/>
    <x v="847"/>
    <s v="HP2637006142"/>
    <x v="0"/>
    <n v="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"/>
    <x v="1"/>
    <x v="847"/>
    <s v="HP2637006142"/>
    <x v="1"/>
    <n v="1777800"/>
  </r>
  <r>
    <x v="0"/>
    <x v="1"/>
    <x v="6"/>
    <x v="24"/>
    <x v="74"/>
    <x v="74"/>
    <x v="4"/>
    <s v="N"/>
    <s v="N"/>
    <x v="1"/>
    <x v="0"/>
    <x v="0"/>
    <x v="0"/>
    <s v="성인"/>
    <s v="성인"/>
    <s v="닷컴"/>
    <x v="2"/>
    <x v="4"/>
    <x v="0"/>
    <x v="273"/>
    <s v="HP2636998828"/>
    <x v="0"/>
    <n v="2"/>
  </r>
  <r>
    <x v="0"/>
    <x v="1"/>
    <x v="6"/>
    <x v="24"/>
    <x v="74"/>
    <x v="74"/>
    <x v="4"/>
    <s v="N"/>
    <s v="N"/>
    <x v="1"/>
    <x v="0"/>
    <x v="0"/>
    <x v="0"/>
    <s v="성인"/>
    <s v="성인"/>
    <s v="닷컴"/>
    <x v="2"/>
    <x v="4"/>
    <x v="0"/>
    <x v="273"/>
    <s v="HP2636998828"/>
    <x v="1"/>
    <n v="2299800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8"/>
    <s v="HP2637040134"/>
    <x v="0"/>
    <n v="5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8"/>
    <s v="HP2637040134"/>
    <x v="1"/>
    <n v="7349500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9"/>
    <s v="HP2637033484"/>
    <x v="0"/>
    <n v="2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9"/>
    <s v="HP2637033484"/>
    <x v="1"/>
    <n v="2998000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15"/>
    <x v="0"/>
    <x v="850"/>
    <s v="HP2636394408"/>
    <x v="0"/>
    <n v="1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15"/>
    <x v="0"/>
    <x v="850"/>
    <s v="HP2636394408"/>
    <x v="1"/>
    <n v="4599000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2"/>
    <x v="1"/>
    <x v="848"/>
    <s v="HP2637037826"/>
    <x v="0"/>
    <n v="0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2"/>
    <x v="1"/>
    <x v="848"/>
    <s v="HP2637037826"/>
    <x v="1"/>
    <n v="7349500"/>
  </r>
  <r>
    <x v="0"/>
    <x v="1"/>
    <x v="6"/>
    <x v="24"/>
    <x v="74"/>
    <x v="74"/>
    <x v="6"/>
    <s v="N"/>
    <s v="N"/>
    <x v="1"/>
    <x v="0"/>
    <x v="0"/>
    <x v="0"/>
    <s v="성인"/>
    <s v="성인"/>
    <s v="대리점"/>
    <x v="0"/>
    <x v="35"/>
    <x v="0"/>
    <x v="851"/>
    <s v="HP2637047552"/>
    <x v="0"/>
    <n v="4"/>
  </r>
  <r>
    <x v="0"/>
    <x v="1"/>
    <x v="6"/>
    <x v="24"/>
    <x v="74"/>
    <x v="74"/>
    <x v="6"/>
    <s v="N"/>
    <s v="N"/>
    <x v="1"/>
    <x v="0"/>
    <x v="0"/>
    <x v="0"/>
    <s v="성인"/>
    <s v="성인"/>
    <s v="대리점"/>
    <x v="0"/>
    <x v="35"/>
    <x v="0"/>
    <x v="851"/>
    <s v="HP2637047552"/>
    <x v="1"/>
    <n v="4586400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4"/>
    <x v="0"/>
    <x v="852"/>
    <s v="HP2637074664"/>
    <x v="0"/>
    <n v="2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4"/>
    <x v="0"/>
    <x v="852"/>
    <s v="HP2637074664"/>
    <x v="1"/>
    <n v="2139800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2"/>
    <x v="0"/>
    <x v="853"/>
    <s v="HP2637074130"/>
    <x v="0"/>
    <n v="2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2"/>
    <x v="0"/>
    <x v="853"/>
    <s v="HP2637074130"/>
    <x v="1"/>
    <n v="1399800"/>
  </r>
  <r>
    <x v="0"/>
    <x v="1"/>
    <x v="6"/>
    <x v="24"/>
    <x v="74"/>
    <x v="74"/>
    <x v="7"/>
    <s v="N"/>
    <s v="Y"/>
    <x v="0"/>
    <x v="0"/>
    <x v="0"/>
    <x v="0"/>
    <s v="성인"/>
    <s v="성인"/>
    <s v="대리점"/>
    <x v="0"/>
    <x v="14"/>
    <x v="0"/>
    <x v="854"/>
    <s v="HP2637069274"/>
    <x v="0"/>
    <n v="1"/>
  </r>
  <r>
    <x v="0"/>
    <x v="1"/>
    <x v="6"/>
    <x v="24"/>
    <x v="74"/>
    <x v="74"/>
    <x v="7"/>
    <s v="N"/>
    <s v="Y"/>
    <x v="0"/>
    <x v="0"/>
    <x v="0"/>
    <x v="0"/>
    <s v="성인"/>
    <s v="성인"/>
    <s v="대리점"/>
    <x v="0"/>
    <x v="14"/>
    <x v="0"/>
    <x v="854"/>
    <s v="HP2637069274"/>
    <x v="1"/>
    <n v="429000"/>
  </r>
  <r>
    <x v="0"/>
    <x v="1"/>
    <x v="6"/>
    <x v="24"/>
    <x v="74"/>
    <x v="74"/>
    <x v="7"/>
    <s v="N"/>
    <s v="Y"/>
    <x v="0"/>
    <x v="0"/>
    <x v="0"/>
    <x v="0"/>
    <m/>
    <m/>
    <s v="대리점"/>
    <x v="0"/>
    <x v="14"/>
    <x v="0"/>
    <x v="854"/>
    <s v="HP2637069274"/>
    <x v="0"/>
    <n v="1"/>
  </r>
  <r>
    <x v="0"/>
    <x v="1"/>
    <x v="6"/>
    <x v="24"/>
    <x v="74"/>
    <x v="74"/>
    <x v="7"/>
    <s v="N"/>
    <s v="Y"/>
    <x v="0"/>
    <x v="0"/>
    <x v="0"/>
    <x v="0"/>
    <m/>
    <m/>
    <s v="대리점"/>
    <x v="0"/>
    <x v="14"/>
    <x v="0"/>
    <x v="854"/>
    <s v="HP2637069274"/>
    <x v="1"/>
    <n v="429000"/>
  </r>
  <r>
    <x v="0"/>
    <x v="1"/>
    <x v="6"/>
    <x v="24"/>
    <x v="74"/>
    <x v="74"/>
    <x v="7"/>
    <s v="N"/>
    <s v="Y"/>
    <x v="1"/>
    <x v="0"/>
    <x v="0"/>
    <x v="0"/>
    <s v="성인"/>
    <s v="성인"/>
    <s v="대리점"/>
    <x v="0"/>
    <x v="10"/>
    <x v="0"/>
    <x v="855"/>
    <s v="HP2637071110"/>
    <x v="0"/>
    <n v="2"/>
  </r>
  <r>
    <x v="0"/>
    <x v="1"/>
    <x v="6"/>
    <x v="24"/>
    <x v="74"/>
    <x v="74"/>
    <x v="7"/>
    <s v="N"/>
    <s v="Y"/>
    <x v="1"/>
    <x v="0"/>
    <x v="0"/>
    <x v="0"/>
    <s v="성인"/>
    <s v="성인"/>
    <s v="대리점"/>
    <x v="0"/>
    <x v="10"/>
    <x v="0"/>
    <x v="855"/>
    <s v="HP2637071110"/>
    <x v="1"/>
    <n v="1184000"/>
  </r>
  <r>
    <x v="0"/>
    <x v="1"/>
    <x v="6"/>
    <x v="24"/>
    <x v="74"/>
    <x v="74"/>
    <x v="10"/>
    <s v="N"/>
    <s v="N"/>
    <x v="0"/>
    <x v="0"/>
    <x v="0"/>
    <x v="0"/>
    <s v="성인"/>
    <s v="성인"/>
    <s v="대리점"/>
    <x v="0"/>
    <x v="2"/>
    <x v="0"/>
    <x v="856"/>
    <s v="HP2637119676"/>
    <x v="0"/>
    <n v="2"/>
  </r>
  <r>
    <x v="0"/>
    <x v="1"/>
    <x v="6"/>
    <x v="24"/>
    <x v="74"/>
    <x v="74"/>
    <x v="10"/>
    <s v="N"/>
    <s v="N"/>
    <x v="0"/>
    <x v="0"/>
    <x v="0"/>
    <x v="0"/>
    <s v="성인"/>
    <s v="성인"/>
    <s v="대리점"/>
    <x v="0"/>
    <x v="2"/>
    <x v="0"/>
    <x v="856"/>
    <s v="HP2637119676"/>
    <x v="1"/>
    <n v="1599800"/>
  </r>
  <r>
    <x v="0"/>
    <x v="1"/>
    <x v="6"/>
    <x v="24"/>
    <x v="75"/>
    <x v="75"/>
    <x v="0"/>
    <s v="N"/>
    <s v="N"/>
    <x v="0"/>
    <x v="0"/>
    <x v="0"/>
    <x v="0"/>
    <s v="성인"/>
    <s v="성인"/>
    <s v="대리점"/>
    <x v="0"/>
    <x v="0"/>
    <x v="0"/>
    <x v="857"/>
    <s v="HP2636925622"/>
    <x v="0"/>
    <n v="2"/>
  </r>
  <r>
    <x v="0"/>
    <x v="1"/>
    <x v="6"/>
    <x v="24"/>
    <x v="75"/>
    <x v="75"/>
    <x v="0"/>
    <s v="N"/>
    <s v="N"/>
    <x v="0"/>
    <x v="0"/>
    <x v="0"/>
    <x v="0"/>
    <s v="성인"/>
    <s v="성인"/>
    <s v="대리점"/>
    <x v="0"/>
    <x v="0"/>
    <x v="0"/>
    <x v="857"/>
    <s v="HP2636925622"/>
    <x v="1"/>
    <n v="2316200"/>
  </r>
  <r>
    <x v="0"/>
    <x v="1"/>
    <x v="6"/>
    <x v="24"/>
    <x v="75"/>
    <x v="75"/>
    <x v="0"/>
    <s v="N"/>
    <s v="N"/>
    <x v="0"/>
    <x v="0"/>
    <x v="0"/>
    <x v="0"/>
    <m/>
    <m/>
    <s v="대리점"/>
    <x v="0"/>
    <x v="0"/>
    <x v="0"/>
    <x v="857"/>
    <s v="HP2636925622"/>
    <x v="0"/>
    <n v="2"/>
  </r>
  <r>
    <x v="0"/>
    <x v="1"/>
    <x v="6"/>
    <x v="24"/>
    <x v="75"/>
    <x v="75"/>
    <x v="0"/>
    <s v="N"/>
    <s v="N"/>
    <x v="0"/>
    <x v="0"/>
    <x v="0"/>
    <x v="0"/>
    <m/>
    <m/>
    <s v="대리점"/>
    <x v="0"/>
    <x v="0"/>
    <x v="0"/>
    <x v="857"/>
    <s v="HP2636925622"/>
    <x v="1"/>
    <n v="2316200"/>
  </r>
  <r>
    <x v="0"/>
    <x v="1"/>
    <x v="6"/>
    <x v="24"/>
    <x v="75"/>
    <x v="75"/>
    <x v="3"/>
    <s v="N"/>
    <s v="Y"/>
    <x v="4"/>
    <x v="1"/>
    <x v="0"/>
    <x v="0"/>
    <s v="성인"/>
    <s v="성인"/>
    <s v="대리점"/>
    <x v="0"/>
    <x v="24"/>
    <x v="0"/>
    <x v="858"/>
    <s v="HB2636988220"/>
    <x v="0"/>
    <n v="2"/>
  </r>
  <r>
    <x v="0"/>
    <x v="1"/>
    <x v="6"/>
    <x v="24"/>
    <x v="75"/>
    <x v="75"/>
    <x v="3"/>
    <s v="N"/>
    <s v="Y"/>
    <x v="4"/>
    <x v="1"/>
    <x v="0"/>
    <x v="0"/>
    <s v="성인"/>
    <s v="성인"/>
    <s v="대리점"/>
    <x v="0"/>
    <x v="24"/>
    <x v="0"/>
    <x v="858"/>
    <s v="HB2636988220"/>
    <x v="1"/>
    <n v="4710800"/>
  </r>
  <r>
    <x v="0"/>
    <x v="1"/>
    <x v="6"/>
    <x v="24"/>
    <x v="75"/>
    <x v="75"/>
    <x v="3"/>
    <s v="N"/>
    <s v="Y"/>
    <x v="1"/>
    <x v="0"/>
    <x v="0"/>
    <x v="0"/>
    <s v="성인"/>
    <s v="성인"/>
    <s v="대리점"/>
    <x v="0"/>
    <x v="3"/>
    <x v="0"/>
    <x v="859"/>
    <s v="HP2636987600"/>
    <x v="0"/>
    <n v="2"/>
  </r>
  <r>
    <x v="0"/>
    <x v="1"/>
    <x v="6"/>
    <x v="24"/>
    <x v="75"/>
    <x v="75"/>
    <x v="3"/>
    <s v="N"/>
    <s v="Y"/>
    <x v="1"/>
    <x v="0"/>
    <x v="0"/>
    <x v="0"/>
    <s v="성인"/>
    <s v="성인"/>
    <s v="대리점"/>
    <x v="0"/>
    <x v="3"/>
    <x v="0"/>
    <x v="859"/>
    <s v="HP2636987600"/>
    <x v="1"/>
    <n v="3398000"/>
  </r>
  <r>
    <x v="0"/>
    <x v="1"/>
    <x v="6"/>
    <x v="24"/>
    <x v="75"/>
    <x v="75"/>
    <x v="3"/>
    <s v="N"/>
    <s v="Y"/>
    <x v="1"/>
    <x v="0"/>
    <x v="0"/>
    <x v="0"/>
    <m/>
    <m/>
    <s v="대리점"/>
    <x v="0"/>
    <x v="3"/>
    <x v="1"/>
    <x v="859"/>
    <s v="HP2636987614"/>
    <x v="0"/>
    <n v="0"/>
  </r>
  <r>
    <x v="0"/>
    <x v="1"/>
    <x v="6"/>
    <x v="24"/>
    <x v="75"/>
    <x v="75"/>
    <x v="3"/>
    <s v="N"/>
    <s v="Y"/>
    <x v="1"/>
    <x v="0"/>
    <x v="0"/>
    <x v="0"/>
    <m/>
    <m/>
    <s v="대리점"/>
    <x v="0"/>
    <x v="3"/>
    <x v="1"/>
    <x v="859"/>
    <s v="HP2636987614"/>
    <x v="1"/>
    <n v="3398000"/>
  </r>
  <r>
    <x v="0"/>
    <x v="1"/>
    <x v="6"/>
    <x v="24"/>
    <x v="75"/>
    <x v="75"/>
    <x v="4"/>
    <s v="N"/>
    <s v="N"/>
    <x v="4"/>
    <x v="1"/>
    <x v="1"/>
    <x v="0"/>
    <m/>
    <m/>
    <s v="대리점"/>
    <x v="0"/>
    <x v="24"/>
    <x v="0"/>
    <x v="858"/>
    <s v="HB2636988220"/>
    <x v="0"/>
    <n v="1"/>
  </r>
  <r>
    <x v="0"/>
    <x v="1"/>
    <x v="6"/>
    <x v="24"/>
    <x v="75"/>
    <x v="75"/>
    <x v="4"/>
    <s v="N"/>
    <s v="N"/>
    <x v="4"/>
    <x v="1"/>
    <x v="1"/>
    <x v="0"/>
    <m/>
    <m/>
    <s v="대리점"/>
    <x v="0"/>
    <x v="24"/>
    <x v="0"/>
    <x v="858"/>
    <s v="HB2636988220"/>
    <x v="1"/>
    <n v="1880000"/>
  </r>
  <r>
    <x v="0"/>
    <x v="1"/>
    <x v="6"/>
    <x v="24"/>
    <x v="75"/>
    <x v="75"/>
    <x v="4"/>
    <s v="N"/>
    <s v="N"/>
    <x v="1"/>
    <x v="0"/>
    <x v="0"/>
    <x v="0"/>
    <s v="성인"/>
    <s v="성인"/>
    <s v="대리점"/>
    <x v="0"/>
    <x v="2"/>
    <x v="0"/>
    <x v="860"/>
    <s v="HP2637007658"/>
    <x v="0"/>
    <n v="2"/>
  </r>
  <r>
    <x v="0"/>
    <x v="1"/>
    <x v="6"/>
    <x v="24"/>
    <x v="75"/>
    <x v="75"/>
    <x v="4"/>
    <s v="N"/>
    <s v="N"/>
    <x v="1"/>
    <x v="0"/>
    <x v="0"/>
    <x v="0"/>
    <s v="성인"/>
    <s v="성인"/>
    <s v="대리점"/>
    <x v="0"/>
    <x v="2"/>
    <x v="0"/>
    <x v="860"/>
    <s v="HP2637007658"/>
    <x v="1"/>
    <n v="2316600"/>
  </r>
  <r>
    <x v="0"/>
    <x v="1"/>
    <x v="6"/>
    <x v="24"/>
    <x v="75"/>
    <x v="75"/>
    <x v="6"/>
    <s v="N"/>
    <s v="N"/>
    <x v="0"/>
    <x v="0"/>
    <x v="0"/>
    <x v="0"/>
    <m/>
    <m/>
    <s v="대리점"/>
    <x v="0"/>
    <x v="19"/>
    <x v="0"/>
    <x v="861"/>
    <s v="HP2637062398"/>
    <x v="0"/>
    <n v="7"/>
  </r>
  <r>
    <x v="0"/>
    <x v="1"/>
    <x v="6"/>
    <x v="24"/>
    <x v="75"/>
    <x v="75"/>
    <x v="6"/>
    <s v="N"/>
    <s v="N"/>
    <x v="0"/>
    <x v="0"/>
    <x v="0"/>
    <x v="0"/>
    <m/>
    <m/>
    <s v="대리점"/>
    <x v="0"/>
    <x v="19"/>
    <x v="0"/>
    <x v="861"/>
    <s v="HP2637062398"/>
    <x v="1"/>
    <n v="3588200"/>
  </r>
  <r>
    <x v="0"/>
    <x v="1"/>
    <x v="6"/>
    <x v="24"/>
    <x v="75"/>
    <x v="75"/>
    <x v="6"/>
    <s v="N"/>
    <s v="N"/>
    <x v="1"/>
    <x v="0"/>
    <x v="0"/>
    <x v="0"/>
    <s v="성인"/>
    <s v="성인"/>
    <s v="대리점"/>
    <x v="0"/>
    <x v="3"/>
    <x v="0"/>
    <x v="862"/>
    <s v="HP2637059928"/>
    <x v="0"/>
    <n v="6"/>
  </r>
  <r>
    <x v="0"/>
    <x v="1"/>
    <x v="6"/>
    <x v="24"/>
    <x v="75"/>
    <x v="75"/>
    <x v="6"/>
    <s v="N"/>
    <s v="N"/>
    <x v="1"/>
    <x v="0"/>
    <x v="0"/>
    <x v="0"/>
    <s v="성인"/>
    <s v="성인"/>
    <s v="대리점"/>
    <x v="0"/>
    <x v="3"/>
    <x v="0"/>
    <x v="862"/>
    <s v="HP2637059928"/>
    <x v="1"/>
    <n v="11699400"/>
  </r>
  <r>
    <x v="0"/>
    <x v="1"/>
    <x v="6"/>
    <x v="24"/>
    <x v="75"/>
    <x v="75"/>
    <x v="10"/>
    <s v="N"/>
    <s v="N"/>
    <x v="0"/>
    <x v="0"/>
    <x v="0"/>
    <x v="0"/>
    <m/>
    <m/>
    <s v="대리점"/>
    <x v="0"/>
    <x v="2"/>
    <x v="0"/>
    <x v="863"/>
    <s v="HP2637111414"/>
    <x v="0"/>
    <n v="2"/>
  </r>
  <r>
    <x v="0"/>
    <x v="1"/>
    <x v="6"/>
    <x v="24"/>
    <x v="75"/>
    <x v="75"/>
    <x v="10"/>
    <s v="N"/>
    <s v="N"/>
    <x v="0"/>
    <x v="0"/>
    <x v="0"/>
    <x v="0"/>
    <m/>
    <m/>
    <s v="대리점"/>
    <x v="0"/>
    <x v="2"/>
    <x v="0"/>
    <x v="863"/>
    <s v="HP2637111414"/>
    <x v="1"/>
    <n v="798400"/>
  </r>
  <r>
    <x v="1"/>
    <x v="2"/>
    <x v="7"/>
    <x v="25"/>
    <x v="76"/>
    <x v="76"/>
    <x v="6"/>
    <s v="N"/>
    <s v="N"/>
    <x v="4"/>
    <x v="2"/>
    <x v="1"/>
    <x v="0"/>
    <s v="성인"/>
    <s v="성인"/>
    <s v="대리점"/>
    <x v="0"/>
    <x v="2"/>
    <x v="0"/>
    <x v="864"/>
    <s v="HQ2637049706"/>
    <x v="0"/>
    <n v="4"/>
  </r>
  <r>
    <x v="1"/>
    <x v="2"/>
    <x v="7"/>
    <x v="25"/>
    <x v="76"/>
    <x v="76"/>
    <x v="6"/>
    <s v="N"/>
    <s v="N"/>
    <x v="4"/>
    <x v="2"/>
    <x v="1"/>
    <x v="0"/>
    <s v="성인"/>
    <s v="성인"/>
    <s v="대리점"/>
    <x v="0"/>
    <x v="2"/>
    <x v="0"/>
    <x v="864"/>
    <s v="HQ2637049706"/>
    <x v="1"/>
    <n v="2600000"/>
  </r>
  <r>
    <x v="1"/>
    <x v="2"/>
    <x v="7"/>
    <x v="25"/>
    <x v="76"/>
    <x v="76"/>
    <x v="6"/>
    <s v="N"/>
    <s v="N"/>
    <x v="4"/>
    <x v="2"/>
    <x v="1"/>
    <x v="0"/>
    <s v="청소년"/>
    <s v="청소년"/>
    <s v="대리점"/>
    <x v="0"/>
    <x v="2"/>
    <x v="0"/>
    <x v="864"/>
    <s v="HQ2637049706"/>
    <x v="0"/>
    <n v="1"/>
  </r>
  <r>
    <x v="1"/>
    <x v="2"/>
    <x v="7"/>
    <x v="25"/>
    <x v="76"/>
    <x v="76"/>
    <x v="6"/>
    <s v="N"/>
    <s v="N"/>
    <x v="4"/>
    <x v="2"/>
    <x v="1"/>
    <x v="0"/>
    <s v="청소년"/>
    <s v="청소년"/>
    <s v="대리점"/>
    <x v="0"/>
    <x v="2"/>
    <x v="0"/>
    <x v="864"/>
    <s v="HQ2637049706"/>
    <x v="1"/>
    <n v="650000"/>
  </r>
  <r>
    <x v="1"/>
    <x v="2"/>
    <x v="7"/>
    <x v="25"/>
    <x v="76"/>
    <x v="76"/>
    <x v="6"/>
    <s v="N"/>
    <s v="N"/>
    <x v="4"/>
    <x v="2"/>
    <x v="0"/>
    <x v="0"/>
    <s v="성인"/>
    <s v="성인"/>
    <s v="대리점"/>
    <x v="0"/>
    <x v="2"/>
    <x v="0"/>
    <x v="864"/>
    <s v="HQ2637049706"/>
    <x v="0"/>
    <n v="4"/>
  </r>
  <r>
    <x v="1"/>
    <x v="2"/>
    <x v="7"/>
    <x v="25"/>
    <x v="76"/>
    <x v="76"/>
    <x v="6"/>
    <s v="N"/>
    <s v="N"/>
    <x v="4"/>
    <x v="2"/>
    <x v="0"/>
    <x v="0"/>
    <s v="성인"/>
    <s v="성인"/>
    <s v="대리점"/>
    <x v="0"/>
    <x v="2"/>
    <x v="0"/>
    <x v="864"/>
    <s v="HQ2637049706"/>
    <x v="1"/>
    <n v="5480000"/>
  </r>
  <r>
    <x v="1"/>
    <x v="2"/>
    <x v="7"/>
    <x v="25"/>
    <x v="76"/>
    <x v="76"/>
    <x v="6"/>
    <s v="N"/>
    <s v="N"/>
    <x v="4"/>
    <x v="2"/>
    <x v="0"/>
    <x v="0"/>
    <s v="청소년"/>
    <s v="청소년"/>
    <s v="대리점"/>
    <x v="0"/>
    <x v="2"/>
    <x v="0"/>
    <x v="864"/>
    <s v="HQ2637049706"/>
    <x v="0"/>
    <n v="1"/>
  </r>
  <r>
    <x v="1"/>
    <x v="2"/>
    <x v="7"/>
    <x v="25"/>
    <x v="76"/>
    <x v="76"/>
    <x v="6"/>
    <s v="N"/>
    <s v="N"/>
    <x v="4"/>
    <x v="2"/>
    <x v="0"/>
    <x v="0"/>
    <s v="청소년"/>
    <s v="청소년"/>
    <s v="대리점"/>
    <x v="0"/>
    <x v="2"/>
    <x v="0"/>
    <x v="864"/>
    <s v="HQ2637049706"/>
    <x v="1"/>
    <n v="1370000"/>
  </r>
  <r>
    <x v="1"/>
    <x v="2"/>
    <x v="7"/>
    <x v="25"/>
    <x v="76"/>
    <x v="76"/>
    <x v="6"/>
    <s v="N"/>
    <s v="N"/>
    <x v="4"/>
    <x v="2"/>
    <x v="0"/>
    <x v="0"/>
    <m/>
    <m/>
    <s v="직원"/>
    <x v="3"/>
    <x v="2"/>
    <x v="0"/>
    <x v="865"/>
    <s v="HQ2637053560"/>
    <x v="0"/>
    <n v="5"/>
  </r>
  <r>
    <x v="1"/>
    <x v="2"/>
    <x v="7"/>
    <x v="25"/>
    <x v="76"/>
    <x v="76"/>
    <x v="6"/>
    <s v="N"/>
    <s v="N"/>
    <x v="4"/>
    <x v="2"/>
    <x v="0"/>
    <x v="0"/>
    <m/>
    <m/>
    <s v="직원"/>
    <x v="3"/>
    <x v="2"/>
    <x v="0"/>
    <x v="865"/>
    <s v="HQ2637053560"/>
    <x v="1"/>
    <n v="3200000"/>
  </r>
  <r>
    <x v="1"/>
    <x v="2"/>
    <x v="7"/>
    <x v="25"/>
    <x v="76"/>
    <x v="76"/>
    <x v="6"/>
    <s v="N"/>
    <s v="N"/>
    <x v="1"/>
    <x v="2"/>
    <x v="0"/>
    <x v="0"/>
    <m/>
    <m/>
    <s v="직원"/>
    <x v="3"/>
    <x v="23"/>
    <x v="0"/>
    <x v="866"/>
    <s v="HQ2637054718"/>
    <x v="0"/>
    <n v="1"/>
  </r>
  <r>
    <x v="1"/>
    <x v="2"/>
    <x v="7"/>
    <x v="25"/>
    <x v="76"/>
    <x v="76"/>
    <x v="6"/>
    <s v="N"/>
    <s v="N"/>
    <x v="1"/>
    <x v="2"/>
    <x v="0"/>
    <x v="0"/>
    <m/>
    <m/>
    <s v="직원"/>
    <x v="3"/>
    <x v="23"/>
    <x v="0"/>
    <x v="866"/>
    <s v="HQ2637054718"/>
    <x v="1"/>
    <n v="299900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16"/>
    <x v="0"/>
    <x v="867"/>
    <s v="HP2636935664"/>
    <x v="0"/>
    <n v="1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16"/>
    <x v="0"/>
    <x v="867"/>
    <s v="HP2636935664"/>
    <x v="1"/>
    <n v="554900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2"/>
    <x v="0"/>
    <x v="868"/>
    <s v="HP2636939636"/>
    <x v="0"/>
    <n v="2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2"/>
    <x v="0"/>
    <x v="868"/>
    <s v="HP2636939636"/>
    <x v="1"/>
    <n v="479800"/>
  </r>
  <r>
    <x v="1"/>
    <x v="2"/>
    <x v="7"/>
    <x v="26"/>
    <x v="77"/>
    <x v="77"/>
    <x v="0"/>
    <s v="N"/>
    <s v="N"/>
    <x v="0"/>
    <x v="0"/>
    <x v="0"/>
    <x v="0"/>
    <s v="성인"/>
    <s v="성인"/>
    <s v="대리점"/>
    <x v="0"/>
    <x v="2"/>
    <x v="0"/>
    <x v="869"/>
    <s v="HP2636464900"/>
    <x v="0"/>
    <n v="1"/>
  </r>
  <r>
    <x v="1"/>
    <x v="2"/>
    <x v="7"/>
    <x v="26"/>
    <x v="77"/>
    <x v="77"/>
    <x v="0"/>
    <s v="N"/>
    <s v="N"/>
    <x v="0"/>
    <x v="0"/>
    <x v="0"/>
    <x v="0"/>
    <s v="성인"/>
    <s v="성인"/>
    <s v="대리점"/>
    <x v="0"/>
    <x v="2"/>
    <x v="0"/>
    <x v="869"/>
    <s v="HP2636464900"/>
    <x v="1"/>
    <n v="1229900"/>
  </r>
  <r>
    <x v="1"/>
    <x v="2"/>
    <x v="7"/>
    <x v="26"/>
    <x v="77"/>
    <x v="77"/>
    <x v="0"/>
    <s v="N"/>
    <s v="N"/>
    <x v="0"/>
    <x v="0"/>
    <x v="0"/>
    <x v="0"/>
    <s v="아동"/>
    <s v="아동"/>
    <s v="닷컴"/>
    <x v="4"/>
    <x v="16"/>
    <x v="0"/>
    <x v="867"/>
    <s v="HP2636935664"/>
    <x v="0"/>
    <n v="1"/>
  </r>
  <r>
    <x v="1"/>
    <x v="2"/>
    <x v="7"/>
    <x v="26"/>
    <x v="77"/>
    <x v="77"/>
    <x v="0"/>
    <s v="N"/>
    <s v="N"/>
    <x v="0"/>
    <x v="0"/>
    <x v="0"/>
    <x v="0"/>
    <s v="아동"/>
    <s v="아동"/>
    <s v="닷컴"/>
    <x v="4"/>
    <x v="16"/>
    <x v="0"/>
    <x v="867"/>
    <s v="HP2636935664"/>
    <x v="1"/>
    <n v="554900"/>
  </r>
  <r>
    <x v="1"/>
    <x v="2"/>
    <x v="7"/>
    <x v="26"/>
    <x v="77"/>
    <x v="77"/>
    <x v="0"/>
    <s v="N"/>
    <s v="N"/>
    <x v="1"/>
    <x v="0"/>
    <x v="0"/>
    <x v="0"/>
    <s v="성인"/>
    <s v="성인"/>
    <s v="닷컴"/>
    <x v="5"/>
    <x v="2"/>
    <x v="0"/>
    <x v="870"/>
    <s v="HP2636923988"/>
    <x v="0"/>
    <n v="2"/>
  </r>
  <r>
    <x v="1"/>
    <x v="2"/>
    <x v="7"/>
    <x v="26"/>
    <x v="77"/>
    <x v="77"/>
    <x v="0"/>
    <s v="N"/>
    <s v="N"/>
    <x v="1"/>
    <x v="0"/>
    <x v="0"/>
    <x v="0"/>
    <s v="성인"/>
    <s v="성인"/>
    <s v="닷컴"/>
    <x v="5"/>
    <x v="2"/>
    <x v="0"/>
    <x v="870"/>
    <s v="HP2636923988"/>
    <x v="1"/>
    <n v="1736000"/>
  </r>
  <r>
    <x v="1"/>
    <x v="2"/>
    <x v="7"/>
    <x v="26"/>
    <x v="77"/>
    <x v="77"/>
    <x v="0"/>
    <s v="N"/>
    <s v="N"/>
    <x v="1"/>
    <x v="0"/>
    <x v="0"/>
    <x v="0"/>
    <s v="성인"/>
    <s v="성인"/>
    <s v="범용/상용닷컴"/>
    <x v="1"/>
    <x v="2"/>
    <x v="0"/>
    <x v="871"/>
    <s v="HP2636927214"/>
    <x v="0"/>
    <n v="1"/>
  </r>
  <r>
    <x v="1"/>
    <x v="2"/>
    <x v="7"/>
    <x v="26"/>
    <x v="77"/>
    <x v="77"/>
    <x v="0"/>
    <s v="N"/>
    <s v="N"/>
    <x v="1"/>
    <x v="0"/>
    <x v="0"/>
    <x v="0"/>
    <s v="성인"/>
    <s v="성인"/>
    <s v="범용/상용닷컴"/>
    <x v="1"/>
    <x v="2"/>
    <x v="0"/>
    <x v="871"/>
    <s v="HP2636927214"/>
    <x v="1"/>
    <n v="749900"/>
  </r>
  <r>
    <x v="1"/>
    <x v="2"/>
    <x v="7"/>
    <x v="26"/>
    <x v="77"/>
    <x v="77"/>
    <x v="0"/>
    <s v="N"/>
    <s v="N"/>
    <x v="1"/>
    <x v="0"/>
    <x v="0"/>
    <x v="1"/>
    <s v="아동"/>
    <s v="아동"/>
    <s v="범용/상용닷컴"/>
    <x v="1"/>
    <x v="2"/>
    <x v="0"/>
    <x v="871"/>
    <s v="HP2636927214"/>
    <x v="0"/>
    <n v="1"/>
  </r>
  <r>
    <x v="1"/>
    <x v="2"/>
    <x v="7"/>
    <x v="26"/>
    <x v="77"/>
    <x v="77"/>
    <x v="0"/>
    <s v="N"/>
    <s v="N"/>
    <x v="1"/>
    <x v="0"/>
    <x v="0"/>
    <x v="1"/>
    <s v="아동"/>
    <s v="아동"/>
    <s v="범용/상용닷컴"/>
    <x v="1"/>
    <x v="2"/>
    <x v="0"/>
    <x v="871"/>
    <s v="HP2636927214"/>
    <x v="1"/>
    <n v="749900"/>
  </r>
  <r>
    <x v="1"/>
    <x v="2"/>
    <x v="7"/>
    <x v="26"/>
    <x v="77"/>
    <x v="77"/>
    <x v="1"/>
    <s v="N"/>
    <s v="N"/>
    <x v="0"/>
    <x v="0"/>
    <x v="0"/>
    <x v="0"/>
    <s v="성인"/>
    <s v="성인"/>
    <s v="닷컴"/>
    <x v="5"/>
    <x v="13"/>
    <x v="0"/>
    <x v="872"/>
    <s v="HP2636958754"/>
    <x v="0"/>
    <n v="2"/>
  </r>
  <r>
    <x v="1"/>
    <x v="2"/>
    <x v="7"/>
    <x v="26"/>
    <x v="77"/>
    <x v="77"/>
    <x v="1"/>
    <s v="N"/>
    <s v="N"/>
    <x v="0"/>
    <x v="0"/>
    <x v="0"/>
    <x v="0"/>
    <s v="성인"/>
    <s v="성인"/>
    <s v="닷컴"/>
    <x v="5"/>
    <x v="13"/>
    <x v="0"/>
    <x v="872"/>
    <s v="HP2636958754"/>
    <x v="1"/>
    <n v="1453800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3"/>
    <s v="HP2636960488"/>
    <x v="0"/>
    <n v="8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3"/>
    <s v="HP2636960488"/>
    <x v="1"/>
    <n v="7543200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4"/>
    <s v="HP2636952566"/>
    <x v="0"/>
    <n v="4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4"/>
    <s v="HP2636952566"/>
    <x v="1"/>
    <n v="2839600"/>
  </r>
  <r>
    <x v="1"/>
    <x v="2"/>
    <x v="7"/>
    <x v="26"/>
    <x v="77"/>
    <x v="77"/>
    <x v="1"/>
    <s v="N"/>
    <s v="N"/>
    <x v="0"/>
    <x v="0"/>
    <x v="0"/>
    <x v="0"/>
    <m/>
    <m/>
    <s v="대리점"/>
    <x v="0"/>
    <x v="2"/>
    <x v="0"/>
    <x v="873"/>
    <s v="HP2636960488"/>
    <x v="0"/>
    <n v="5"/>
  </r>
  <r>
    <x v="1"/>
    <x v="2"/>
    <x v="7"/>
    <x v="26"/>
    <x v="77"/>
    <x v="77"/>
    <x v="1"/>
    <s v="N"/>
    <s v="N"/>
    <x v="0"/>
    <x v="0"/>
    <x v="0"/>
    <x v="0"/>
    <m/>
    <m/>
    <s v="대리점"/>
    <x v="0"/>
    <x v="2"/>
    <x v="0"/>
    <x v="873"/>
    <s v="HP2636960488"/>
    <x v="1"/>
    <n v="4714500"/>
  </r>
  <r>
    <x v="1"/>
    <x v="2"/>
    <x v="7"/>
    <x v="26"/>
    <x v="77"/>
    <x v="77"/>
    <x v="1"/>
    <s v="N"/>
    <s v="N"/>
    <x v="1"/>
    <x v="0"/>
    <x v="0"/>
    <x v="0"/>
    <s v="성인"/>
    <s v="성인"/>
    <s v="대리점"/>
    <x v="0"/>
    <x v="2"/>
    <x v="0"/>
    <x v="875"/>
    <s v="HP2636957332"/>
    <x v="0"/>
    <n v="6"/>
  </r>
  <r>
    <x v="1"/>
    <x v="2"/>
    <x v="7"/>
    <x v="26"/>
    <x v="77"/>
    <x v="77"/>
    <x v="1"/>
    <s v="N"/>
    <s v="N"/>
    <x v="1"/>
    <x v="0"/>
    <x v="0"/>
    <x v="0"/>
    <s v="성인"/>
    <s v="성인"/>
    <s v="대리점"/>
    <x v="0"/>
    <x v="2"/>
    <x v="0"/>
    <x v="875"/>
    <s v="HP2636957332"/>
    <x v="1"/>
    <n v="5505600"/>
  </r>
  <r>
    <x v="1"/>
    <x v="2"/>
    <x v="7"/>
    <x v="26"/>
    <x v="77"/>
    <x v="77"/>
    <x v="2"/>
    <s v="Y"/>
    <s v="Y"/>
    <x v="0"/>
    <x v="0"/>
    <x v="0"/>
    <x v="0"/>
    <s v="성인"/>
    <s v="성인"/>
    <s v="닷컴"/>
    <x v="4"/>
    <x v="2"/>
    <x v="0"/>
    <x v="876"/>
    <s v="HP2636969544"/>
    <x v="0"/>
    <n v="3"/>
  </r>
  <r>
    <x v="1"/>
    <x v="2"/>
    <x v="7"/>
    <x v="26"/>
    <x v="77"/>
    <x v="77"/>
    <x v="2"/>
    <s v="Y"/>
    <s v="Y"/>
    <x v="0"/>
    <x v="0"/>
    <x v="0"/>
    <x v="0"/>
    <s v="성인"/>
    <s v="성인"/>
    <s v="닷컴"/>
    <x v="4"/>
    <x v="2"/>
    <x v="0"/>
    <x v="876"/>
    <s v="HP2636969544"/>
    <x v="1"/>
    <n v="3149700"/>
  </r>
  <r>
    <x v="1"/>
    <x v="2"/>
    <x v="7"/>
    <x v="26"/>
    <x v="77"/>
    <x v="77"/>
    <x v="11"/>
    <s v="Y"/>
    <s v="N"/>
    <x v="1"/>
    <x v="0"/>
    <x v="0"/>
    <x v="0"/>
    <s v="성인"/>
    <s v="성인"/>
    <s v="닷컴"/>
    <x v="4"/>
    <x v="2"/>
    <x v="0"/>
    <x v="877"/>
    <s v="HP2636979870"/>
    <x v="0"/>
    <n v="2"/>
  </r>
  <r>
    <x v="1"/>
    <x v="2"/>
    <x v="7"/>
    <x v="26"/>
    <x v="77"/>
    <x v="77"/>
    <x v="11"/>
    <s v="Y"/>
    <s v="N"/>
    <x v="1"/>
    <x v="0"/>
    <x v="0"/>
    <x v="0"/>
    <s v="성인"/>
    <s v="성인"/>
    <s v="닷컴"/>
    <x v="4"/>
    <x v="2"/>
    <x v="0"/>
    <x v="877"/>
    <s v="HP2636979870"/>
    <x v="1"/>
    <n v="1982000"/>
  </r>
  <r>
    <x v="1"/>
    <x v="2"/>
    <x v="7"/>
    <x v="26"/>
    <x v="77"/>
    <x v="77"/>
    <x v="11"/>
    <s v="Y"/>
    <s v="N"/>
    <x v="1"/>
    <x v="0"/>
    <x v="0"/>
    <x v="0"/>
    <s v="청소년"/>
    <s v="청소년"/>
    <s v="닷컴"/>
    <x v="4"/>
    <x v="2"/>
    <x v="0"/>
    <x v="877"/>
    <s v="HP2636979870"/>
    <x v="0"/>
    <n v="1"/>
  </r>
  <r>
    <x v="1"/>
    <x v="2"/>
    <x v="7"/>
    <x v="26"/>
    <x v="77"/>
    <x v="77"/>
    <x v="11"/>
    <s v="Y"/>
    <s v="N"/>
    <x v="1"/>
    <x v="0"/>
    <x v="0"/>
    <x v="0"/>
    <s v="청소년"/>
    <s v="청소년"/>
    <s v="닷컴"/>
    <x v="4"/>
    <x v="2"/>
    <x v="0"/>
    <x v="877"/>
    <s v="HP2636979870"/>
    <x v="1"/>
    <n v="991000"/>
  </r>
  <r>
    <x v="1"/>
    <x v="2"/>
    <x v="7"/>
    <x v="26"/>
    <x v="77"/>
    <x v="77"/>
    <x v="3"/>
    <s v="N"/>
    <s v="Y"/>
    <x v="4"/>
    <x v="1"/>
    <x v="0"/>
    <x v="0"/>
    <s v="성인"/>
    <s v="성인"/>
    <s v="닷컴"/>
    <x v="5"/>
    <x v="12"/>
    <x v="0"/>
    <x v="878"/>
    <s v="HP2636986552"/>
    <x v="0"/>
    <n v="2"/>
  </r>
  <r>
    <x v="1"/>
    <x v="2"/>
    <x v="7"/>
    <x v="26"/>
    <x v="77"/>
    <x v="77"/>
    <x v="3"/>
    <s v="N"/>
    <s v="Y"/>
    <x v="4"/>
    <x v="1"/>
    <x v="0"/>
    <x v="0"/>
    <s v="성인"/>
    <s v="성인"/>
    <s v="닷컴"/>
    <x v="5"/>
    <x v="12"/>
    <x v="0"/>
    <x v="878"/>
    <s v="HP2636986552"/>
    <x v="1"/>
    <n v="761800"/>
  </r>
  <r>
    <x v="1"/>
    <x v="2"/>
    <x v="7"/>
    <x v="26"/>
    <x v="77"/>
    <x v="77"/>
    <x v="4"/>
    <s v="N"/>
    <s v="N"/>
    <x v="0"/>
    <x v="0"/>
    <x v="0"/>
    <x v="0"/>
    <m/>
    <m/>
    <s v="닷컴"/>
    <x v="4"/>
    <x v="2"/>
    <x v="1"/>
    <x v="879"/>
    <s v="HP2636607354"/>
    <x v="0"/>
    <n v="0"/>
  </r>
  <r>
    <x v="1"/>
    <x v="2"/>
    <x v="7"/>
    <x v="26"/>
    <x v="77"/>
    <x v="77"/>
    <x v="4"/>
    <s v="N"/>
    <s v="N"/>
    <x v="0"/>
    <x v="0"/>
    <x v="0"/>
    <x v="0"/>
    <m/>
    <m/>
    <s v="닷컴"/>
    <x v="4"/>
    <x v="2"/>
    <x v="1"/>
    <x v="879"/>
    <s v="HP2636607354"/>
    <x v="1"/>
    <n v="0"/>
  </r>
  <r>
    <x v="1"/>
    <x v="2"/>
    <x v="7"/>
    <x v="26"/>
    <x v="77"/>
    <x v="77"/>
    <x v="4"/>
    <s v="N"/>
    <s v="N"/>
    <x v="1"/>
    <x v="0"/>
    <x v="0"/>
    <x v="0"/>
    <s v="성인"/>
    <s v="성인"/>
    <s v="닷컴"/>
    <x v="4"/>
    <x v="2"/>
    <x v="0"/>
    <x v="785"/>
    <s v="HP2637014048"/>
    <x v="0"/>
    <n v="2"/>
  </r>
  <r>
    <x v="1"/>
    <x v="2"/>
    <x v="7"/>
    <x v="26"/>
    <x v="77"/>
    <x v="77"/>
    <x v="4"/>
    <s v="N"/>
    <s v="N"/>
    <x v="1"/>
    <x v="0"/>
    <x v="0"/>
    <x v="0"/>
    <s v="성인"/>
    <s v="성인"/>
    <s v="닷컴"/>
    <x v="4"/>
    <x v="2"/>
    <x v="0"/>
    <x v="785"/>
    <s v="HP2637014048"/>
    <x v="1"/>
    <n v="3398000"/>
  </r>
  <r>
    <x v="1"/>
    <x v="2"/>
    <x v="7"/>
    <x v="26"/>
    <x v="77"/>
    <x v="77"/>
    <x v="4"/>
    <s v="N"/>
    <s v="N"/>
    <x v="1"/>
    <x v="0"/>
    <x v="0"/>
    <x v="0"/>
    <s v="성인"/>
    <s v="성인"/>
    <s v="대리점"/>
    <x v="0"/>
    <x v="2"/>
    <x v="0"/>
    <x v="880"/>
    <s v="HP2636994734"/>
    <x v="0"/>
    <n v="4"/>
  </r>
  <r>
    <x v="1"/>
    <x v="2"/>
    <x v="7"/>
    <x v="26"/>
    <x v="77"/>
    <x v="77"/>
    <x v="4"/>
    <s v="N"/>
    <s v="N"/>
    <x v="1"/>
    <x v="0"/>
    <x v="0"/>
    <x v="0"/>
    <s v="성인"/>
    <s v="성인"/>
    <s v="대리점"/>
    <x v="0"/>
    <x v="2"/>
    <x v="0"/>
    <x v="880"/>
    <s v="HP2636994734"/>
    <x v="1"/>
    <n v="14620000"/>
  </r>
  <r>
    <x v="1"/>
    <x v="2"/>
    <x v="7"/>
    <x v="26"/>
    <x v="77"/>
    <x v="77"/>
    <x v="4"/>
    <s v="N"/>
    <s v="N"/>
    <x v="1"/>
    <x v="0"/>
    <x v="0"/>
    <x v="0"/>
    <s v="성인"/>
    <s v="성인"/>
    <s v="범용/상용닷컴"/>
    <x v="1"/>
    <x v="2"/>
    <x v="0"/>
    <x v="881"/>
    <s v="HP2637010410"/>
    <x v="0"/>
    <n v="2"/>
  </r>
  <r>
    <x v="1"/>
    <x v="2"/>
    <x v="7"/>
    <x v="26"/>
    <x v="77"/>
    <x v="77"/>
    <x v="4"/>
    <s v="N"/>
    <s v="N"/>
    <x v="1"/>
    <x v="0"/>
    <x v="0"/>
    <x v="0"/>
    <s v="성인"/>
    <s v="성인"/>
    <s v="범용/상용닷컴"/>
    <x v="1"/>
    <x v="2"/>
    <x v="0"/>
    <x v="881"/>
    <s v="HP2637010410"/>
    <x v="1"/>
    <n v="3599800"/>
  </r>
  <r>
    <x v="1"/>
    <x v="2"/>
    <x v="7"/>
    <x v="26"/>
    <x v="77"/>
    <x v="77"/>
    <x v="4"/>
    <s v="N"/>
    <s v="N"/>
    <x v="1"/>
    <x v="0"/>
    <x v="0"/>
    <x v="0"/>
    <m/>
    <m/>
    <s v="닷컴"/>
    <x v="4"/>
    <x v="2"/>
    <x v="1"/>
    <x v="882"/>
    <s v="HP2636994628"/>
    <x v="0"/>
    <n v="0"/>
  </r>
  <r>
    <x v="1"/>
    <x v="2"/>
    <x v="7"/>
    <x v="26"/>
    <x v="77"/>
    <x v="77"/>
    <x v="4"/>
    <s v="N"/>
    <s v="N"/>
    <x v="1"/>
    <x v="0"/>
    <x v="0"/>
    <x v="0"/>
    <m/>
    <m/>
    <s v="닷컴"/>
    <x v="4"/>
    <x v="2"/>
    <x v="1"/>
    <x v="882"/>
    <s v="HP2636994628"/>
    <x v="1"/>
    <n v="0"/>
  </r>
  <r>
    <x v="1"/>
    <x v="2"/>
    <x v="7"/>
    <x v="26"/>
    <x v="77"/>
    <x v="77"/>
    <x v="4"/>
    <s v="N"/>
    <s v="N"/>
    <x v="1"/>
    <x v="0"/>
    <x v="0"/>
    <x v="0"/>
    <m/>
    <m/>
    <s v="대리점"/>
    <x v="0"/>
    <x v="2"/>
    <x v="1"/>
    <x v="785"/>
    <s v="HP2637014762"/>
    <x v="0"/>
    <n v="0"/>
  </r>
  <r>
    <x v="1"/>
    <x v="2"/>
    <x v="7"/>
    <x v="26"/>
    <x v="77"/>
    <x v="77"/>
    <x v="4"/>
    <s v="N"/>
    <s v="N"/>
    <x v="1"/>
    <x v="0"/>
    <x v="0"/>
    <x v="0"/>
    <m/>
    <m/>
    <s v="대리점"/>
    <x v="0"/>
    <x v="2"/>
    <x v="1"/>
    <x v="785"/>
    <s v="HP2637014762"/>
    <x v="1"/>
    <n v="0"/>
  </r>
  <r>
    <x v="1"/>
    <x v="2"/>
    <x v="7"/>
    <x v="26"/>
    <x v="77"/>
    <x v="77"/>
    <x v="4"/>
    <s v="N"/>
    <s v="N"/>
    <x v="2"/>
    <x v="0"/>
    <x v="0"/>
    <x v="0"/>
    <s v="성인"/>
    <s v="성인"/>
    <s v="닷컴"/>
    <x v="4"/>
    <x v="2"/>
    <x v="0"/>
    <x v="883"/>
    <s v="HP2637002084"/>
    <x v="0"/>
    <n v="2"/>
  </r>
  <r>
    <x v="1"/>
    <x v="2"/>
    <x v="7"/>
    <x v="26"/>
    <x v="77"/>
    <x v="77"/>
    <x v="4"/>
    <s v="N"/>
    <s v="N"/>
    <x v="2"/>
    <x v="0"/>
    <x v="0"/>
    <x v="0"/>
    <s v="성인"/>
    <s v="성인"/>
    <s v="닷컴"/>
    <x v="4"/>
    <x v="2"/>
    <x v="0"/>
    <x v="883"/>
    <s v="HP2637002084"/>
    <x v="1"/>
    <n v="3399800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5"/>
    <x v="0"/>
    <x v="884"/>
    <s v="HP2637028780"/>
    <x v="0"/>
    <n v="3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5"/>
    <x v="0"/>
    <x v="884"/>
    <s v="HP2637028780"/>
    <x v="1"/>
    <n v="404700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"/>
    <x v="0"/>
    <x v="885"/>
    <s v="HP2637028522"/>
    <x v="0"/>
    <n v="1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"/>
    <x v="0"/>
    <x v="885"/>
    <s v="HP2637028522"/>
    <x v="1"/>
    <n v="849900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0"/>
    <x v="886"/>
    <s v="HP2637027036"/>
    <x v="0"/>
    <n v="2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0"/>
    <x v="886"/>
    <s v="HP2637027036"/>
    <x v="1"/>
    <n v="2039800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1"/>
    <x v="885"/>
    <s v="HP2637028522"/>
    <x v="0"/>
    <n v="0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1"/>
    <x v="885"/>
    <s v="HP2637028522"/>
    <x v="1"/>
    <n v="0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7"/>
    <s v="HP2637028664"/>
    <x v="0"/>
    <n v="2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7"/>
    <s v="HP2637028664"/>
    <x v="1"/>
    <n v="2239800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8"/>
    <s v="HP2637042094"/>
    <x v="0"/>
    <n v="2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8"/>
    <s v="HP2637042094"/>
    <x v="1"/>
    <n v="2499800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89"/>
    <s v="HP2637030974"/>
    <x v="0"/>
    <n v="5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89"/>
    <s v="HP2637030974"/>
    <x v="1"/>
    <n v="5840000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90"/>
    <s v="HP2637025988"/>
    <x v="0"/>
    <n v="6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90"/>
    <s v="HP2637025988"/>
    <x v="1"/>
    <n v="6419400"/>
  </r>
  <r>
    <x v="1"/>
    <x v="2"/>
    <x v="7"/>
    <x v="26"/>
    <x v="77"/>
    <x v="77"/>
    <x v="6"/>
    <s v="N"/>
    <s v="N"/>
    <x v="4"/>
    <x v="1"/>
    <x v="0"/>
    <x v="0"/>
    <m/>
    <m/>
    <s v="대리점"/>
    <x v="0"/>
    <x v="12"/>
    <x v="1"/>
    <x v="891"/>
    <s v="HB2637049876"/>
    <x v="0"/>
    <n v="0"/>
  </r>
  <r>
    <x v="1"/>
    <x v="2"/>
    <x v="7"/>
    <x v="26"/>
    <x v="77"/>
    <x v="77"/>
    <x v="6"/>
    <s v="N"/>
    <s v="N"/>
    <x v="4"/>
    <x v="1"/>
    <x v="0"/>
    <x v="0"/>
    <m/>
    <m/>
    <s v="대리점"/>
    <x v="0"/>
    <x v="12"/>
    <x v="1"/>
    <x v="891"/>
    <s v="HB2637049876"/>
    <x v="1"/>
    <n v="0"/>
  </r>
  <r>
    <x v="1"/>
    <x v="2"/>
    <x v="7"/>
    <x v="26"/>
    <x v="77"/>
    <x v="77"/>
    <x v="6"/>
    <s v="N"/>
    <s v="N"/>
    <x v="4"/>
    <x v="2"/>
    <x v="0"/>
    <x v="0"/>
    <s v="성인"/>
    <s v="성인"/>
    <s v="직원"/>
    <x v="3"/>
    <x v="2"/>
    <x v="0"/>
    <x v="892"/>
    <s v="HQ2634615854"/>
    <x v="0"/>
    <n v="1"/>
  </r>
  <r>
    <x v="1"/>
    <x v="2"/>
    <x v="7"/>
    <x v="26"/>
    <x v="77"/>
    <x v="77"/>
    <x v="6"/>
    <s v="N"/>
    <s v="N"/>
    <x v="4"/>
    <x v="2"/>
    <x v="0"/>
    <x v="0"/>
    <s v="성인"/>
    <s v="성인"/>
    <s v="직원"/>
    <x v="3"/>
    <x v="2"/>
    <x v="0"/>
    <x v="892"/>
    <s v="HQ2634615854"/>
    <x v="1"/>
    <n v="1500000"/>
  </r>
  <r>
    <x v="1"/>
    <x v="2"/>
    <x v="7"/>
    <x v="26"/>
    <x v="77"/>
    <x v="77"/>
    <x v="6"/>
    <s v="N"/>
    <s v="N"/>
    <x v="0"/>
    <x v="0"/>
    <x v="0"/>
    <x v="0"/>
    <s v="성인"/>
    <s v="성인"/>
    <s v="대리점"/>
    <x v="0"/>
    <x v="2"/>
    <x v="0"/>
    <x v="885"/>
    <s v="HP2637028522"/>
    <x v="0"/>
    <n v="8"/>
  </r>
  <r>
    <x v="1"/>
    <x v="2"/>
    <x v="7"/>
    <x v="26"/>
    <x v="77"/>
    <x v="77"/>
    <x v="6"/>
    <s v="N"/>
    <s v="N"/>
    <x v="0"/>
    <x v="0"/>
    <x v="0"/>
    <x v="0"/>
    <s v="성인"/>
    <s v="성인"/>
    <s v="대리점"/>
    <x v="0"/>
    <x v="2"/>
    <x v="0"/>
    <x v="885"/>
    <s v="HP2637028522"/>
    <x v="1"/>
    <n v="6799200"/>
  </r>
  <r>
    <x v="1"/>
    <x v="2"/>
    <x v="7"/>
    <x v="26"/>
    <x v="77"/>
    <x v="77"/>
    <x v="6"/>
    <s v="N"/>
    <s v="N"/>
    <x v="0"/>
    <x v="0"/>
    <x v="0"/>
    <x v="0"/>
    <m/>
    <m/>
    <s v="대리점"/>
    <x v="0"/>
    <x v="2"/>
    <x v="0"/>
    <x v="885"/>
    <s v="HP2637028522"/>
    <x v="0"/>
    <n v="1"/>
  </r>
  <r>
    <x v="1"/>
    <x v="2"/>
    <x v="7"/>
    <x v="26"/>
    <x v="77"/>
    <x v="77"/>
    <x v="6"/>
    <s v="N"/>
    <s v="N"/>
    <x v="0"/>
    <x v="0"/>
    <x v="0"/>
    <x v="0"/>
    <m/>
    <m/>
    <s v="대리점"/>
    <x v="0"/>
    <x v="2"/>
    <x v="0"/>
    <x v="885"/>
    <s v="HP2637028522"/>
    <x v="1"/>
    <n v="849900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3"/>
    <s v="HP2637071308"/>
    <x v="0"/>
    <n v="1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3"/>
    <s v="HP2637071308"/>
    <x v="1"/>
    <n v="499900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4"/>
    <s v="HP2637067548"/>
    <x v="0"/>
    <n v="1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4"/>
    <s v="HP2637067548"/>
    <x v="1"/>
    <n v="676900"/>
  </r>
  <r>
    <x v="1"/>
    <x v="2"/>
    <x v="7"/>
    <x v="26"/>
    <x v="77"/>
    <x v="77"/>
    <x v="7"/>
    <s v="N"/>
    <s v="Y"/>
    <x v="0"/>
    <x v="0"/>
    <x v="0"/>
    <x v="0"/>
    <s v="청소년"/>
    <s v="청소년"/>
    <s v="닷컴"/>
    <x v="4"/>
    <x v="2"/>
    <x v="0"/>
    <x v="894"/>
    <s v="HP2637067548"/>
    <x v="0"/>
    <n v="1"/>
  </r>
  <r>
    <x v="1"/>
    <x v="2"/>
    <x v="7"/>
    <x v="26"/>
    <x v="77"/>
    <x v="77"/>
    <x v="7"/>
    <s v="N"/>
    <s v="Y"/>
    <x v="0"/>
    <x v="0"/>
    <x v="0"/>
    <x v="0"/>
    <s v="청소년"/>
    <s v="청소년"/>
    <s v="닷컴"/>
    <x v="4"/>
    <x v="2"/>
    <x v="0"/>
    <x v="894"/>
    <s v="HP2637067548"/>
    <x v="1"/>
    <n v="676900"/>
  </r>
  <r>
    <x v="1"/>
    <x v="2"/>
    <x v="7"/>
    <x v="26"/>
    <x v="77"/>
    <x v="77"/>
    <x v="7"/>
    <s v="N"/>
    <s v="Y"/>
    <x v="2"/>
    <x v="0"/>
    <x v="0"/>
    <x v="0"/>
    <m/>
    <m/>
    <s v="닷컴"/>
    <x v="4"/>
    <x v="2"/>
    <x v="1"/>
    <x v="895"/>
    <s v="HP2637072322"/>
    <x v="0"/>
    <n v="0"/>
  </r>
  <r>
    <x v="1"/>
    <x v="2"/>
    <x v="7"/>
    <x v="26"/>
    <x v="77"/>
    <x v="77"/>
    <x v="7"/>
    <s v="N"/>
    <s v="Y"/>
    <x v="2"/>
    <x v="0"/>
    <x v="0"/>
    <x v="0"/>
    <m/>
    <m/>
    <s v="닷컴"/>
    <x v="4"/>
    <x v="2"/>
    <x v="1"/>
    <x v="895"/>
    <s v="HP2637072322"/>
    <x v="1"/>
    <n v="7349400"/>
  </r>
  <r>
    <x v="1"/>
    <x v="2"/>
    <x v="7"/>
    <x v="26"/>
    <x v="77"/>
    <x v="77"/>
    <x v="8"/>
    <s v="Y"/>
    <s v="N"/>
    <x v="0"/>
    <x v="0"/>
    <x v="0"/>
    <x v="0"/>
    <s v="성인"/>
    <s v="성인"/>
    <s v="닷컴"/>
    <x v="5"/>
    <x v="2"/>
    <x v="0"/>
    <x v="896"/>
    <s v="HP2637090676"/>
    <x v="0"/>
    <n v="2"/>
  </r>
  <r>
    <x v="1"/>
    <x v="2"/>
    <x v="7"/>
    <x v="26"/>
    <x v="77"/>
    <x v="77"/>
    <x v="8"/>
    <s v="Y"/>
    <s v="N"/>
    <x v="0"/>
    <x v="0"/>
    <x v="0"/>
    <x v="0"/>
    <s v="성인"/>
    <s v="성인"/>
    <s v="닷컴"/>
    <x v="5"/>
    <x v="2"/>
    <x v="0"/>
    <x v="896"/>
    <s v="HP2637090676"/>
    <x v="1"/>
    <n v="1453800"/>
  </r>
  <r>
    <x v="1"/>
    <x v="2"/>
    <x v="7"/>
    <x v="26"/>
    <x v="77"/>
    <x v="77"/>
    <x v="9"/>
    <s v="Y"/>
    <s v="N"/>
    <x v="0"/>
    <x v="0"/>
    <x v="0"/>
    <x v="0"/>
    <s v="성인"/>
    <s v="성인"/>
    <s v="닷컴"/>
    <x v="4"/>
    <x v="2"/>
    <x v="0"/>
    <x v="897"/>
    <s v="HP2637103146"/>
    <x v="0"/>
    <n v="2"/>
  </r>
  <r>
    <x v="1"/>
    <x v="2"/>
    <x v="7"/>
    <x v="26"/>
    <x v="77"/>
    <x v="77"/>
    <x v="9"/>
    <s v="Y"/>
    <s v="N"/>
    <x v="0"/>
    <x v="0"/>
    <x v="0"/>
    <x v="0"/>
    <s v="성인"/>
    <s v="성인"/>
    <s v="닷컴"/>
    <x v="4"/>
    <x v="2"/>
    <x v="0"/>
    <x v="897"/>
    <s v="HP2637103146"/>
    <x v="1"/>
    <n v="1653800"/>
  </r>
  <r>
    <x v="1"/>
    <x v="2"/>
    <x v="7"/>
    <x v="26"/>
    <x v="77"/>
    <x v="77"/>
    <x v="9"/>
    <s v="Y"/>
    <s v="N"/>
    <x v="0"/>
    <x v="0"/>
    <x v="0"/>
    <x v="0"/>
    <s v="청소년"/>
    <s v="청소년"/>
    <s v="닷컴"/>
    <x v="4"/>
    <x v="2"/>
    <x v="0"/>
    <x v="897"/>
    <s v="HP2637103146"/>
    <x v="0"/>
    <n v="1"/>
  </r>
  <r>
    <x v="1"/>
    <x v="2"/>
    <x v="7"/>
    <x v="26"/>
    <x v="77"/>
    <x v="77"/>
    <x v="9"/>
    <s v="Y"/>
    <s v="N"/>
    <x v="0"/>
    <x v="0"/>
    <x v="0"/>
    <x v="0"/>
    <s v="청소년"/>
    <s v="청소년"/>
    <s v="닷컴"/>
    <x v="4"/>
    <x v="2"/>
    <x v="0"/>
    <x v="897"/>
    <s v="HP2637103146"/>
    <x v="1"/>
    <n v="826900"/>
  </r>
  <r>
    <x v="1"/>
    <x v="2"/>
    <x v="7"/>
    <x v="26"/>
    <x v="77"/>
    <x v="77"/>
    <x v="10"/>
    <s v="N"/>
    <s v="N"/>
    <x v="0"/>
    <x v="0"/>
    <x v="0"/>
    <x v="0"/>
    <s v="성인"/>
    <s v="성인"/>
    <s v="닷컴"/>
    <x v="4"/>
    <x v="2"/>
    <x v="0"/>
    <x v="45"/>
    <s v="HP2637128288"/>
    <x v="0"/>
    <n v="1"/>
  </r>
  <r>
    <x v="1"/>
    <x v="2"/>
    <x v="7"/>
    <x v="26"/>
    <x v="77"/>
    <x v="77"/>
    <x v="10"/>
    <s v="N"/>
    <s v="N"/>
    <x v="0"/>
    <x v="0"/>
    <x v="0"/>
    <x v="0"/>
    <s v="성인"/>
    <s v="성인"/>
    <s v="닷컴"/>
    <x v="4"/>
    <x v="2"/>
    <x v="0"/>
    <x v="45"/>
    <s v="HP2637128288"/>
    <x v="1"/>
    <n v="418000"/>
  </r>
  <r>
    <x v="1"/>
    <x v="2"/>
    <x v="7"/>
    <x v="26"/>
    <x v="77"/>
    <x v="77"/>
    <x v="10"/>
    <s v="N"/>
    <s v="N"/>
    <x v="0"/>
    <x v="0"/>
    <x v="0"/>
    <x v="0"/>
    <m/>
    <m/>
    <s v="닷컴"/>
    <x v="4"/>
    <x v="14"/>
    <x v="1"/>
    <x v="898"/>
    <s v="HP2637115028"/>
    <x v="0"/>
    <n v="0"/>
  </r>
  <r>
    <x v="1"/>
    <x v="2"/>
    <x v="7"/>
    <x v="26"/>
    <x v="77"/>
    <x v="77"/>
    <x v="10"/>
    <s v="N"/>
    <s v="N"/>
    <x v="0"/>
    <x v="0"/>
    <x v="0"/>
    <x v="0"/>
    <m/>
    <m/>
    <s v="닷컴"/>
    <x v="4"/>
    <x v="14"/>
    <x v="1"/>
    <x v="898"/>
    <s v="HP2637115028"/>
    <x v="1"/>
    <n v="0"/>
  </r>
  <r>
    <x v="1"/>
    <x v="2"/>
    <x v="7"/>
    <x v="26"/>
    <x v="77"/>
    <x v="77"/>
    <x v="10"/>
    <s v="N"/>
    <s v="N"/>
    <x v="0"/>
    <x v="0"/>
    <x v="0"/>
    <x v="1"/>
    <s v="아동"/>
    <s v="아동"/>
    <s v="닷컴"/>
    <x v="4"/>
    <x v="2"/>
    <x v="0"/>
    <x v="45"/>
    <s v="HP2637128288"/>
    <x v="0"/>
    <n v="1"/>
  </r>
  <r>
    <x v="1"/>
    <x v="2"/>
    <x v="7"/>
    <x v="26"/>
    <x v="77"/>
    <x v="77"/>
    <x v="10"/>
    <s v="N"/>
    <s v="N"/>
    <x v="0"/>
    <x v="0"/>
    <x v="0"/>
    <x v="1"/>
    <s v="아동"/>
    <s v="아동"/>
    <s v="닷컴"/>
    <x v="4"/>
    <x v="2"/>
    <x v="0"/>
    <x v="45"/>
    <s v="HP2637128288"/>
    <x v="1"/>
    <n v="418000"/>
  </r>
  <r>
    <x v="1"/>
    <x v="2"/>
    <x v="7"/>
    <x v="26"/>
    <x v="77"/>
    <x v="77"/>
    <x v="10"/>
    <s v="N"/>
    <s v="N"/>
    <x v="2"/>
    <x v="0"/>
    <x v="0"/>
    <x v="0"/>
    <s v="성인"/>
    <s v="성인"/>
    <s v="닷컴"/>
    <x v="4"/>
    <x v="2"/>
    <x v="0"/>
    <x v="899"/>
    <s v="HP2637117716"/>
    <x v="0"/>
    <n v="3"/>
  </r>
  <r>
    <x v="1"/>
    <x v="2"/>
    <x v="7"/>
    <x v="26"/>
    <x v="77"/>
    <x v="77"/>
    <x v="10"/>
    <s v="N"/>
    <s v="N"/>
    <x v="2"/>
    <x v="0"/>
    <x v="0"/>
    <x v="0"/>
    <s v="성인"/>
    <s v="성인"/>
    <s v="닷컴"/>
    <x v="4"/>
    <x v="2"/>
    <x v="0"/>
    <x v="899"/>
    <s v="HP2637117716"/>
    <x v="1"/>
    <n v="4709700"/>
  </r>
  <r>
    <x v="1"/>
    <x v="2"/>
    <x v="7"/>
    <x v="27"/>
    <x v="78"/>
    <x v="78"/>
    <x v="0"/>
    <s v="N"/>
    <s v="N"/>
    <x v="0"/>
    <x v="0"/>
    <x v="0"/>
    <x v="0"/>
    <m/>
    <m/>
    <s v="닷컴"/>
    <x v="4"/>
    <x v="16"/>
    <x v="1"/>
    <x v="900"/>
    <s v="HP2636933226"/>
    <x v="0"/>
    <n v="0"/>
  </r>
  <r>
    <x v="1"/>
    <x v="2"/>
    <x v="7"/>
    <x v="27"/>
    <x v="78"/>
    <x v="78"/>
    <x v="0"/>
    <s v="N"/>
    <s v="N"/>
    <x v="0"/>
    <x v="0"/>
    <x v="0"/>
    <x v="0"/>
    <m/>
    <m/>
    <s v="닷컴"/>
    <x v="4"/>
    <x v="16"/>
    <x v="1"/>
    <x v="900"/>
    <s v="HP2636933226"/>
    <x v="1"/>
    <n v="859800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5"/>
    <x v="2"/>
    <x v="0"/>
    <x v="901"/>
    <s v="HP2636941128"/>
    <x v="0"/>
    <n v="3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5"/>
    <x v="2"/>
    <x v="0"/>
    <x v="901"/>
    <s v="HP2636941128"/>
    <x v="1"/>
    <n v="989700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4"/>
    <x v="2"/>
    <x v="0"/>
    <x v="901"/>
    <s v="HP2636958462"/>
    <x v="0"/>
    <n v="1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4"/>
    <x v="2"/>
    <x v="0"/>
    <x v="901"/>
    <s v="HP2636958462"/>
    <x v="1"/>
    <n v="329900"/>
  </r>
  <r>
    <x v="1"/>
    <x v="2"/>
    <x v="7"/>
    <x v="27"/>
    <x v="78"/>
    <x v="78"/>
    <x v="2"/>
    <s v="Y"/>
    <s v="Y"/>
    <x v="0"/>
    <x v="0"/>
    <x v="0"/>
    <x v="0"/>
    <s v="성인"/>
    <s v="성인"/>
    <s v="대리점"/>
    <x v="0"/>
    <x v="2"/>
    <x v="0"/>
    <x v="902"/>
    <s v="HP2636963356"/>
    <x v="0"/>
    <n v="2"/>
  </r>
  <r>
    <x v="1"/>
    <x v="2"/>
    <x v="7"/>
    <x v="27"/>
    <x v="78"/>
    <x v="78"/>
    <x v="2"/>
    <s v="Y"/>
    <s v="Y"/>
    <x v="0"/>
    <x v="0"/>
    <x v="0"/>
    <x v="0"/>
    <s v="성인"/>
    <s v="성인"/>
    <s v="대리점"/>
    <x v="0"/>
    <x v="2"/>
    <x v="0"/>
    <x v="902"/>
    <s v="HP2636963356"/>
    <x v="1"/>
    <n v="1483800"/>
  </r>
  <r>
    <x v="1"/>
    <x v="2"/>
    <x v="7"/>
    <x v="27"/>
    <x v="78"/>
    <x v="78"/>
    <x v="2"/>
    <s v="Y"/>
    <s v="Y"/>
    <x v="0"/>
    <x v="0"/>
    <x v="0"/>
    <x v="0"/>
    <s v="청소년"/>
    <s v="청소년"/>
    <s v="대리점"/>
    <x v="0"/>
    <x v="2"/>
    <x v="0"/>
    <x v="902"/>
    <s v="HP2636963356"/>
    <x v="0"/>
    <n v="1"/>
  </r>
  <r>
    <x v="1"/>
    <x v="2"/>
    <x v="7"/>
    <x v="27"/>
    <x v="78"/>
    <x v="78"/>
    <x v="2"/>
    <s v="Y"/>
    <s v="Y"/>
    <x v="0"/>
    <x v="0"/>
    <x v="0"/>
    <x v="0"/>
    <s v="청소년"/>
    <s v="청소년"/>
    <s v="대리점"/>
    <x v="0"/>
    <x v="2"/>
    <x v="0"/>
    <x v="902"/>
    <s v="HP2636963356"/>
    <x v="1"/>
    <n v="741900"/>
  </r>
  <r>
    <x v="1"/>
    <x v="2"/>
    <x v="7"/>
    <x v="27"/>
    <x v="78"/>
    <x v="78"/>
    <x v="2"/>
    <s v="Y"/>
    <s v="Y"/>
    <x v="0"/>
    <x v="0"/>
    <x v="0"/>
    <x v="1"/>
    <s v="아동"/>
    <s v="아동"/>
    <s v="대리점"/>
    <x v="0"/>
    <x v="2"/>
    <x v="0"/>
    <x v="902"/>
    <s v="HP2636963356"/>
    <x v="0"/>
    <n v="2"/>
  </r>
  <r>
    <x v="1"/>
    <x v="2"/>
    <x v="7"/>
    <x v="27"/>
    <x v="78"/>
    <x v="78"/>
    <x v="2"/>
    <s v="Y"/>
    <s v="Y"/>
    <x v="0"/>
    <x v="0"/>
    <x v="0"/>
    <x v="1"/>
    <s v="아동"/>
    <s v="아동"/>
    <s v="대리점"/>
    <x v="0"/>
    <x v="2"/>
    <x v="0"/>
    <x v="902"/>
    <s v="HP2636963356"/>
    <x v="1"/>
    <n v="1483800"/>
  </r>
  <r>
    <x v="1"/>
    <x v="2"/>
    <x v="7"/>
    <x v="27"/>
    <x v="78"/>
    <x v="78"/>
    <x v="2"/>
    <s v="Y"/>
    <s v="Y"/>
    <x v="1"/>
    <x v="0"/>
    <x v="0"/>
    <x v="0"/>
    <m/>
    <m/>
    <s v="닷컴"/>
    <x v="4"/>
    <x v="6"/>
    <x v="1"/>
    <x v="652"/>
    <s v="HP2636970090"/>
    <x v="0"/>
    <n v="0"/>
  </r>
  <r>
    <x v="1"/>
    <x v="2"/>
    <x v="7"/>
    <x v="27"/>
    <x v="78"/>
    <x v="78"/>
    <x v="2"/>
    <s v="Y"/>
    <s v="Y"/>
    <x v="1"/>
    <x v="0"/>
    <x v="0"/>
    <x v="0"/>
    <m/>
    <m/>
    <s v="닷컴"/>
    <x v="4"/>
    <x v="6"/>
    <x v="1"/>
    <x v="652"/>
    <s v="HP2636970090"/>
    <x v="1"/>
    <n v="4199600"/>
  </r>
  <r>
    <x v="1"/>
    <x v="2"/>
    <x v="7"/>
    <x v="27"/>
    <x v="78"/>
    <x v="78"/>
    <x v="11"/>
    <s v="Y"/>
    <s v="N"/>
    <x v="1"/>
    <x v="0"/>
    <x v="0"/>
    <x v="0"/>
    <s v="성인"/>
    <s v="성인"/>
    <s v="닷컴"/>
    <x v="4"/>
    <x v="2"/>
    <x v="0"/>
    <x v="903"/>
    <s v="HP2636979566"/>
    <x v="0"/>
    <n v="2"/>
  </r>
  <r>
    <x v="1"/>
    <x v="2"/>
    <x v="7"/>
    <x v="27"/>
    <x v="78"/>
    <x v="78"/>
    <x v="11"/>
    <s v="Y"/>
    <s v="N"/>
    <x v="1"/>
    <x v="0"/>
    <x v="0"/>
    <x v="0"/>
    <s v="성인"/>
    <s v="성인"/>
    <s v="닷컴"/>
    <x v="4"/>
    <x v="2"/>
    <x v="0"/>
    <x v="903"/>
    <s v="HP2636979566"/>
    <x v="1"/>
    <n v="2641800"/>
  </r>
  <r>
    <x v="1"/>
    <x v="2"/>
    <x v="7"/>
    <x v="27"/>
    <x v="78"/>
    <x v="78"/>
    <x v="3"/>
    <s v="N"/>
    <s v="Y"/>
    <x v="0"/>
    <x v="0"/>
    <x v="0"/>
    <x v="0"/>
    <s v="성인"/>
    <s v="성인"/>
    <s v="닷컴"/>
    <x v="4"/>
    <x v="2"/>
    <x v="0"/>
    <x v="904"/>
    <s v="HP2636986600"/>
    <x v="0"/>
    <n v="2"/>
  </r>
  <r>
    <x v="1"/>
    <x v="2"/>
    <x v="7"/>
    <x v="27"/>
    <x v="78"/>
    <x v="78"/>
    <x v="3"/>
    <s v="N"/>
    <s v="Y"/>
    <x v="0"/>
    <x v="0"/>
    <x v="0"/>
    <x v="0"/>
    <s v="성인"/>
    <s v="성인"/>
    <s v="닷컴"/>
    <x v="4"/>
    <x v="2"/>
    <x v="0"/>
    <x v="904"/>
    <s v="HP2636986600"/>
    <x v="1"/>
    <n v="919800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5"/>
    <s v="HP2636994360"/>
    <x v="0"/>
    <n v="6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5"/>
    <s v="HP2636994360"/>
    <x v="1"/>
    <n v="5399400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6"/>
    <s v="HP2637015420"/>
    <x v="0"/>
    <n v="2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6"/>
    <s v="HP2637015420"/>
    <x v="1"/>
    <n v="1862000"/>
  </r>
  <r>
    <x v="1"/>
    <x v="2"/>
    <x v="7"/>
    <x v="27"/>
    <x v="78"/>
    <x v="78"/>
    <x v="4"/>
    <s v="N"/>
    <s v="N"/>
    <x v="0"/>
    <x v="0"/>
    <x v="0"/>
    <x v="0"/>
    <s v="청소년"/>
    <s v="청소년"/>
    <s v="닷컴"/>
    <x v="4"/>
    <x v="2"/>
    <x v="0"/>
    <x v="906"/>
    <s v="HP2637015420"/>
    <x v="0"/>
    <n v="1"/>
  </r>
  <r>
    <x v="1"/>
    <x v="2"/>
    <x v="7"/>
    <x v="27"/>
    <x v="78"/>
    <x v="78"/>
    <x v="4"/>
    <s v="N"/>
    <s v="N"/>
    <x v="0"/>
    <x v="0"/>
    <x v="0"/>
    <x v="0"/>
    <s v="청소년"/>
    <s v="청소년"/>
    <s v="닷컴"/>
    <x v="4"/>
    <x v="2"/>
    <x v="0"/>
    <x v="906"/>
    <s v="HP2637015420"/>
    <x v="1"/>
    <n v="931000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6"/>
    <x v="0"/>
    <x v="907"/>
    <s v="HP2637022468"/>
    <x v="0"/>
    <n v="2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6"/>
    <x v="0"/>
    <x v="907"/>
    <s v="HP2637022468"/>
    <x v="1"/>
    <n v="599800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2"/>
    <x v="0"/>
    <x v="741"/>
    <s v="HP2637039516"/>
    <x v="0"/>
    <n v="2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2"/>
    <x v="0"/>
    <x v="741"/>
    <s v="HP2637039516"/>
    <x v="1"/>
    <n v="2089800"/>
  </r>
  <r>
    <x v="1"/>
    <x v="2"/>
    <x v="7"/>
    <x v="27"/>
    <x v="78"/>
    <x v="78"/>
    <x v="5"/>
    <s v="N"/>
    <s v="N"/>
    <x v="1"/>
    <x v="0"/>
    <x v="0"/>
    <x v="0"/>
    <s v="성인"/>
    <s v="성인"/>
    <s v="대리점"/>
    <x v="0"/>
    <x v="2"/>
    <x v="0"/>
    <x v="908"/>
    <s v="HP2637027740"/>
    <x v="0"/>
    <n v="2"/>
  </r>
  <r>
    <x v="1"/>
    <x v="2"/>
    <x v="7"/>
    <x v="27"/>
    <x v="78"/>
    <x v="78"/>
    <x v="5"/>
    <s v="N"/>
    <s v="N"/>
    <x v="1"/>
    <x v="0"/>
    <x v="0"/>
    <x v="0"/>
    <s v="성인"/>
    <s v="성인"/>
    <s v="대리점"/>
    <x v="0"/>
    <x v="2"/>
    <x v="0"/>
    <x v="908"/>
    <s v="HP2637027740"/>
    <x v="1"/>
    <n v="158180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514"/>
    <x v="0"/>
    <n v="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514"/>
    <x v="1"/>
    <n v="158180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604"/>
    <x v="0"/>
    <n v="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604"/>
    <x v="1"/>
    <n v="1581800"/>
  </r>
  <r>
    <x v="1"/>
    <x v="2"/>
    <x v="7"/>
    <x v="27"/>
    <x v="78"/>
    <x v="78"/>
    <x v="6"/>
    <s v="N"/>
    <s v="N"/>
    <x v="4"/>
    <x v="2"/>
    <x v="0"/>
    <x v="0"/>
    <s v="성인"/>
    <s v="성인"/>
    <s v="대리점"/>
    <x v="0"/>
    <x v="2"/>
    <x v="0"/>
    <x v="909"/>
    <s v="HP2637051162"/>
    <x v="0"/>
    <n v="1"/>
  </r>
  <r>
    <x v="1"/>
    <x v="2"/>
    <x v="7"/>
    <x v="27"/>
    <x v="78"/>
    <x v="78"/>
    <x v="6"/>
    <s v="N"/>
    <s v="N"/>
    <x v="4"/>
    <x v="2"/>
    <x v="0"/>
    <x v="0"/>
    <s v="성인"/>
    <s v="성인"/>
    <s v="대리점"/>
    <x v="0"/>
    <x v="2"/>
    <x v="0"/>
    <x v="909"/>
    <s v="HP2637051162"/>
    <x v="1"/>
    <n v="0"/>
  </r>
  <r>
    <x v="1"/>
    <x v="2"/>
    <x v="7"/>
    <x v="27"/>
    <x v="78"/>
    <x v="78"/>
    <x v="6"/>
    <s v="N"/>
    <s v="N"/>
    <x v="4"/>
    <x v="2"/>
    <x v="0"/>
    <x v="0"/>
    <m/>
    <m/>
    <s v="대리점"/>
    <x v="0"/>
    <x v="2"/>
    <x v="0"/>
    <x v="909"/>
    <s v="HP2637051162"/>
    <x v="0"/>
    <n v="19"/>
  </r>
  <r>
    <x v="1"/>
    <x v="2"/>
    <x v="7"/>
    <x v="27"/>
    <x v="78"/>
    <x v="78"/>
    <x v="6"/>
    <s v="N"/>
    <s v="N"/>
    <x v="4"/>
    <x v="2"/>
    <x v="0"/>
    <x v="0"/>
    <m/>
    <m/>
    <s v="대리점"/>
    <x v="0"/>
    <x v="2"/>
    <x v="0"/>
    <x v="909"/>
    <s v="HP2637051162"/>
    <x v="1"/>
    <n v="0"/>
  </r>
  <r>
    <x v="1"/>
    <x v="2"/>
    <x v="7"/>
    <x v="27"/>
    <x v="78"/>
    <x v="78"/>
    <x v="6"/>
    <s v="N"/>
    <s v="N"/>
    <x v="1"/>
    <x v="0"/>
    <x v="0"/>
    <x v="0"/>
    <s v="성인"/>
    <s v="성인"/>
    <s v="닷컴"/>
    <x v="4"/>
    <x v="2"/>
    <x v="0"/>
    <x v="910"/>
    <s v="HP2637063628"/>
    <x v="0"/>
    <n v="2"/>
  </r>
  <r>
    <x v="1"/>
    <x v="2"/>
    <x v="7"/>
    <x v="27"/>
    <x v="78"/>
    <x v="78"/>
    <x v="6"/>
    <s v="N"/>
    <s v="N"/>
    <x v="1"/>
    <x v="0"/>
    <x v="0"/>
    <x v="0"/>
    <s v="성인"/>
    <s v="성인"/>
    <s v="닷컴"/>
    <x v="4"/>
    <x v="2"/>
    <x v="0"/>
    <x v="910"/>
    <s v="HP2637063628"/>
    <x v="1"/>
    <n v="1716000"/>
  </r>
  <r>
    <x v="1"/>
    <x v="2"/>
    <x v="7"/>
    <x v="27"/>
    <x v="78"/>
    <x v="78"/>
    <x v="6"/>
    <s v="N"/>
    <s v="N"/>
    <x v="2"/>
    <x v="0"/>
    <x v="0"/>
    <x v="0"/>
    <s v="성인"/>
    <s v="성인"/>
    <s v="대리점"/>
    <x v="0"/>
    <x v="37"/>
    <x v="0"/>
    <x v="911"/>
    <s v="HP2637053764"/>
    <x v="0"/>
    <n v="2"/>
  </r>
  <r>
    <x v="1"/>
    <x v="2"/>
    <x v="7"/>
    <x v="27"/>
    <x v="78"/>
    <x v="78"/>
    <x v="6"/>
    <s v="N"/>
    <s v="N"/>
    <x v="2"/>
    <x v="0"/>
    <x v="0"/>
    <x v="0"/>
    <s v="성인"/>
    <s v="성인"/>
    <s v="대리점"/>
    <x v="0"/>
    <x v="37"/>
    <x v="0"/>
    <x v="911"/>
    <s v="HP2637053764"/>
    <x v="1"/>
    <n v="2659800"/>
  </r>
  <r>
    <x v="1"/>
    <x v="2"/>
    <x v="7"/>
    <x v="27"/>
    <x v="78"/>
    <x v="78"/>
    <x v="7"/>
    <s v="N"/>
    <s v="Y"/>
    <x v="0"/>
    <x v="0"/>
    <x v="0"/>
    <x v="0"/>
    <s v="성인"/>
    <s v="성인"/>
    <s v="닷컴"/>
    <x v="4"/>
    <x v="38"/>
    <x v="0"/>
    <x v="912"/>
    <s v="HP2637072868"/>
    <x v="0"/>
    <n v="3"/>
  </r>
  <r>
    <x v="1"/>
    <x v="2"/>
    <x v="7"/>
    <x v="27"/>
    <x v="78"/>
    <x v="78"/>
    <x v="7"/>
    <s v="N"/>
    <s v="Y"/>
    <x v="0"/>
    <x v="0"/>
    <x v="0"/>
    <x v="0"/>
    <s v="성인"/>
    <s v="성인"/>
    <s v="닷컴"/>
    <x v="4"/>
    <x v="38"/>
    <x v="0"/>
    <x v="912"/>
    <s v="HP2637072868"/>
    <x v="1"/>
    <n v="1556700"/>
  </r>
  <r>
    <x v="1"/>
    <x v="2"/>
    <x v="7"/>
    <x v="27"/>
    <x v="78"/>
    <x v="78"/>
    <x v="7"/>
    <s v="N"/>
    <s v="Y"/>
    <x v="0"/>
    <x v="0"/>
    <x v="0"/>
    <x v="0"/>
    <s v="청소년"/>
    <s v="청소년"/>
    <s v="닷컴"/>
    <x v="4"/>
    <x v="38"/>
    <x v="0"/>
    <x v="912"/>
    <s v="HP2637072868"/>
    <x v="0"/>
    <n v="1"/>
  </r>
  <r>
    <x v="1"/>
    <x v="2"/>
    <x v="7"/>
    <x v="27"/>
    <x v="78"/>
    <x v="78"/>
    <x v="7"/>
    <s v="N"/>
    <s v="Y"/>
    <x v="0"/>
    <x v="0"/>
    <x v="0"/>
    <x v="0"/>
    <s v="청소년"/>
    <s v="청소년"/>
    <s v="닷컴"/>
    <x v="4"/>
    <x v="38"/>
    <x v="0"/>
    <x v="912"/>
    <s v="HP2637072868"/>
    <x v="1"/>
    <n v="518900"/>
  </r>
  <r>
    <x v="1"/>
    <x v="2"/>
    <x v="7"/>
    <x v="27"/>
    <x v="78"/>
    <x v="78"/>
    <x v="8"/>
    <s v="Y"/>
    <s v="N"/>
    <x v="4"/>
    <x v="1"/>
    <x v="0"/>
    <x v="0"/>
    <s v="성인"/>
    <s v="성인"/>
    <s v="대리점"/>
    <x v="0"/>
    <x v="12"/>
    <x v="0"/>
    <x v="913"/>
    <s v="HB2637080878"/>
    <x v="0"/>
    <n v="2"/>
  </r>
  <r>
    <x v="1"/>
    <x v="2"/>
    <x v="7"/>
    <x v="27"/>
    <x v="78"/>
    <x v="78"/>
    <x v="8"/>
    <s v="Y"/>
    <s v="N"/>
    <x v="4"/>
    <x v="1"/>
    <x v="0"/>
    <x v="0"/>
    <s v="성인"/>
    <s v="성인"/>
    <s v="대리점"/>
    <x v="0"/>
    <x v="12"/>
    <x v="0"/>
    <x v="913"/>
    <s v="HB2637080878"/>
    <x v="1"/>
    <n v="770000"/>
  </r>
  <r>
    <x v="1"/>
    <x v="2"/>
    <x v="7"/>
    <x v="27"/>
    <x v="78"/>
    <x v="78"/>
    <x v="8"/>
    <s v="Y"/>
    <s v="N"/>
    <x v="0"/>
    <x v="0"/>
    <x v="0"/>
    <x v="0"/>
    <s v="성인"/>
    <s v="성인"/>
    <s v="닷컴"/>
    <x v="4"/>
    <x v="2"/>
    <x v="0"/>
    <x v="914"/>
    <s v="HP2637078830"/>
    <x v="0"/>
    <n v="2"/>
  </r>
  <r>
    <x v="1"/>
    <x v="2"/>
    <x v="7"/>
    <x v="27"/>
    <x v="78"/>
    <x v="78"/>
    <x v="8"/>
    <s v="Y"/>
    <s v="N"/>
    <x v="0"/>
    <x v="0"/>
    <x v="0"/>
    <x v="0"/>
    <s v="성인"/>
    <s v="성인"/>
    <s v="닷컴"/>
    <x v="4"/>
    <x v="2"/>
    <x v="0"/>
    <x v="914"/>
    <s v="HP2637078830"/>
    <x v="1"/>
    <n v="1653800"/>
  </r>
  <r>
    <x v="1"/>
    <x v="2"/>
    <x v="7"/>
    <x v="27"/>
    <x v="78"/>
    <x v="78"/>
    <x v="8"/>
    <s v="Y"/>
    <s v="N"/>
    <x v="0"/>
    <x v="0"/>
    <x v="0"/>
    <x v="0"/>
    <m/>
    <m/>
    <s v="대리점"/>
    <x v="0"/>
    <x v="38"/>
    <x v="1"/>
    <x v="912"/>
    <s v="HP2637086944"/>
    <x v="0"/>
    <n v="0"/>
  </r>
  <r>
    <x v="1"/>
    <x v="2"/>
    <x v="7"/>
    <x v="27"/>
    <x v="78"/>
    <x v="78"/>
    <x v="8"/>
    <s v="Y"/>
    <s v="N"/>
    <x v="0"/>
    <x v="0"/>
    <x v="0"/>
    <x v="0"/>
    <m/>
    <m/>
    <s v="대리점"/>
    <x v="0"/>
    <x v="38"/>
    <x v="1"/>
    <x v="912"/>
    <s v="HP2637086944"/>
    <x v="1"/>
    <n v="2195600"/>
  </r>
  <r>
    <x v="1"/>
    <x v="2"/>
    <x v="7"/>
    <x v="27"/>
    <x v="78"/>
    <x v="78"/>
    <x v="9"/>
    <s v="Y"/>
    <s v="N"/>
    <x v="0"/>
    <x v="0"/>
    <x v="1"/>
    <x v="0"/>
    <s v="성인"/>
    <s v="성인"/>
    <s v="닷컴"/>
    <x v="5"/>
    <x v="2"/>
    <x v="0"/>
    <x v="915"/>
    <s v="HP2637094452"/>
    <x v="0"/>
    <n v="2"/>
  </r>
  <r>
    <x v="1"/>
    <x v="2"/>
    <x v="7"/>
    <x v="27"/>
    <x v="78"/>
    <x v="78"/>
    <x v="9"/>
    <s v="Y"/>
    <s v="N"/>
    <x v="0"/>
    <x v="0"/>
    <x v="1"/>
    <x v="0"/>
    <s v="성인"/>
    <s v="성인"/>
    <s v="닷컴"/>
    <x v="5"/>
    <x v="2"/>
    <x v="0"/>
    <x v="915"/>
    <s v="HP2637094452"/>
    <x v="1"/>
    <n v="600000"/>
  </r>
  <r>
    <x v="1"/>
    <x v="2"/>
    <x v="7"/>
    <x v="27"/>
    <x v="78"/>
    <x v="78"/>
    <x v="10"/>
    <s v="N"/>
    <s v="N"/>
    <x v="0"/>
    <x v="0"/>
    <x v="0"/>
    <x v="0"/>
    <s v="성인"/>
    <s v="성인"/>
    <s v="닷컴"/>
    <x v="4"/>
    <x v="2"/>
    <x v="0"/>
    <x v="916"/>
    <s v="HP2637110984"/>
    <x v="0"/>
    <n v="3"/>
  </r>
  <r>
    <x v="1"/>
    <x v="2"/>
    <x v="7"/>
    <x v="27"/>
    <x v="78"/>
    <x v="78"/>
    <x v="10"/>
    <s v="N"/>
    <s v="N"/>
    <x v="0"/>
    <x v="0"/>
    <x v="0"/>
    <x v="0"/>
    <s v="성인"/>
    <s v="성인"/>
    <s v="닷컴"/>
    <x v="4"/>
    <x v="2"/>
    <x v="0"/>
    <x v="916"/>
    <s v="HP2637110984"/>
    <x v="1"/>
    <n v="1709700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7"/>
    <s v="HP2637127048"/>
    <x v="0"/>
    <n v="2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7"/>
    <s v="HP2637127048"/>
    <x v="1"/>
    <n v="175800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8"/>
    <s v="HP2637110630"/>
    <x v="0"/>
    <n v="1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8"/>
    <s v="HP2637110630"/>
    <x v="1"/>
    <n v="360900"/>
  </r>
  <r>
    <x v="1"/>
    <x v="2"/>
    <x v="7"/>
    <x v="27"/>
    <x v="78"/>
    <x v="78"/>
    <x v="10"/>
    <s v="N"/>
    <s v="N"/>
    <x v="0"/>
    <x v="0"/>
    <x v="0"/>
    <x v="0"/>
    <m/>
    <m/>
    <s v="대리점"/>
    <x v="0"/>
    <x v="2"/>
    <x v="0"/>
    <x v="918"/>
    <s v="HP2637110630"/>
    <x v="0"/>
    <n v="1"/>
  </r>
  <r>
    <x v="1"/>
    <x v="2"/>
    <x v="7"/>
    <x v="27"/>
    <x v="78"/>
    <x v="78"/>
    <x v="10"/>
    <s v="N"/>
    <s v="N"/>
    <x v="0"/>
    <x v="0"/>
    <x v="0"/>
    <x v="0"/>
    <m/>
    <m/>
    <s v="대리점"/>
    <x v="0"/>
    <x v="2"/>
    <x v="0"/>
    <x v="918"/>
    <s v="HP2637110630"/>
    <x v="1"/>
    <n v="360900"/>
  </r>
  <r>
    <x v="1"/>
    <x v="2"/>
    <x v="7"/>
    <x v="27"/>
    <x v="78"/>
    <x v="78"/>
    <x v="10"/>
    <s v="N"/>
    <s v="N"/>
    <x v="0"/>
    <x v="0"/>
    <x v="0"/>
    <x v="1"/>
    <s v="유아"/>
    <s v="유아"/>
    <s v="닷컴"/>
    <x v="4"/>
    <x v="2"/>
    <x v="0"/>
    <x v="916"/>
    <s v="HP2637110984"/>
    <x v="0"/>
    <n v="1"/>
  </r>
  <r>
    <x v="1"/>
    <x v="2"/>
    <x v="7"/>
    <x v="27"/>
    <x v="78"/>
    <x v="78"/>
    <x v="10"/>
    <s v="N"/>
    <s v="N"/>
    <x v="0"/>
    <x v="0"/>
    <x v="0"/>
    <x v="1"/>
    <s v="유아"/>
    <s v="유아"/>
    <s v="닷컴"/>
    <x v="4"/>
    <x v="2"/>
    <x v="0"/>
    <x v="916"/>
    <s v="HP2637110984"/>
    <x v="1"/>
    <n v="569900"/>
  </r>
  <r>
    <x v="1"/>
    <x v="2"/>
    <x v="7"/>
    <x v="27"/>
    <x v="78"/>
    <x v="78"/>
    <x v="10"/>
    <s v="N"/>
    <s v="N"/>
    <x v="1"/>
    <x v="0"/>
    <x v="0"/>
    <x v="0"/>
    <m/>
    <m/>
    <s v="닷컴"/>
    <x v="4"/>
    <x v="2"/>
    <x v="1"/>
    <x v="919"/>
    <s v="HP2637127664"/>
    <x v="0"/>
    <n v="0"/>
  </r>
  <r>
    <x v="1"/>
    <x v="2"/>
    <x v="7"/>
    <x v="27"/>
    <x v="78"/>
    <x v="78"/>
    <x v="10"/>
    <s v="N"/>
    <s v="N"/>
    <x v="1"/>
    <x v="0"/>
    <x v="0"/>
    <x v="0"/>
    <m/>
    <m/>
    <s v="닷컴"/>
    <x v="4"/>
    <x v="2"/>
    <x v="1"/>
    <x v="919"/>
    <s v="HP2637127664"/>
    <x v="1"/>
    <n v="3139800"/>
  </r>
  <r>
    <x v="1"/>
    <x v="2"/>
    <x v="8"/>
    <x v="28"/>
    <x v="79"/>
    <x v="79"/>
    <x v="0"/>
    <s v="N"/>
    <s v="N"/>
    <x v="1"/>
    <x v="0"/>
    <x v="0"/>
    <x v="0"/>
    <s v="성인"/>
    <s v="성인"/>
    <s v="대리점"/>
    <x v="0"/>
    <x v="2"/>
    <x v="0"/>
    <x v="920"/>
    <s v="HP2636927576"/>
    <x v="0"/>
    <n v="2"/>
  </r>
  <r>
    <x v="1"/>
    <x v="2"/>
    <x v="8"/>
    <x v="28"/>
    <x v="79"/>
    <x v="79"/>
    <x v="0"/>
    <s v="N"/>
    <s v="N"/>
    <x v="1"/>
    <x v="0"/>
    <x v="0"/>
    <x v="0"/>
    <s v="성인"/>
    <s v="성인"/>
    <s v="대리점"/>
    <x v="0"/>
    <x v="2"/>
    <x v="0"/>
    <x v="920"/>
    <s v="HP2636927576"/>
    <x v="1"/>
    <n v="2256200"/>
  </r>
  <r>
    <x v="1"/>
    <x v="2"/>
    <x v="8"/>
    <x v="28"/>
    <x v="79"/>
    <x v="79"/>
    <x v="1"/>
    <s v="N"/>
    <s v="N"/>
    <x v="0"/>
    <x v="0"/>
    <x v="0"/>
    <x v="0"/>
    <s v="성인"/>
    <s v="성인"/>
    <s v="대리점"/>
    <x v="0"/>
    <x v="2"/>
    <x v="0"/>
    <x v="921"/>
    <s v="HP2636955806"/>
    <x v="0"/>
    <n v="4"/>
  </r>
  <r>
    <x v="1"/>
    <x v="2"/>
    <x v="8"/>
    <x v="28"/>
    <x v="79"/>
    <x v="79"/>
    <x v="1"/>
    <s v="N"/>
    <s v="N"/>
    <x v="0"/>
    <x v="0"/>
    <x v="0"/>
    <x v="0"/>
    <s v="성인"/>
    <s v="성인"/>
    <s v="대리점"/>
    <x v="0"/>
    <x v="2"/>
    <x v="0"/>
    <x v="921"/>
    <s v="HP2636955806"/>
    <x v="1"/>
    <n v="1791600"/>
  </r>
  <r>
    <x v="1"/>
    <x v="2"/>
    <x v="8"/>
    <x v="28"/>
    <x v="79"/>
    <x v="79"/>
    <x v="1"/>
    <s v="N"/>
    <s v="N"/>
    <x v="0"/>
    <x v="0"/>
    <x v="0"/>
    <x v="1"/>
    <s v="아동"/>
    <s v="아동"/>
    <s v="대리점"/>
    <x v="0"/>
    <x v="2"/>
    <x v="0"/>
    <x v="921"/>
    <s v="HP2636955806"/>
    <x v="0"/>
    <n v="1"/>
  </r>
  <r>
    <x v="1"/>
    <x v="2"/>
    <x v="8"/>
    <x v="28"/>
    <x v="79"/>
    <x v="79"/>
    <x v="1"/>
    <s v="N"/>
    <s v="N"/>
    <x v="0"/>
    <x v="0"/>
    <x v="0"/>
    <x v="1"/>
    <s v="아동"/>
    <s v="아동"/>
    <s v="대리점"/>
    <x v="0"/>
    <x v="2"/>
    <x v="0"/>
    <x v="921"/>
    <s v="HP2636955806"/>
    <x v="1"/>
    <n v="447900"/>
  </r>
  <r>
    <x v="1"/>
    <x v="2"/>
    <x v="8"/>
    <x v="28"/>
    <x v="79"/>
    <x v="79"/>
    <x v="2"/>
    <s v="Y"/>
    <s v="Y"/>
    <x v="0"/>
    <x v="0"/>
    <x v="0"/>
    <x v="0"/>
    <s v="성인"/>
    <s v="성인"/>
    <s v="대리점"/>
    <x v="0"/>
    <x v="2"/>
    <x v="0"/>
    <x v="922"/>
    <s v="HP2636965408"/>
    <x v="0"/>
    <n v="1"/>
  </r>
  <r>
    <x v="1"/>
    <x v="2"/>
    <x v="8"/>
    <x v="28"/>
    <x v="79"/>
    <x v="79"/>
    <x v="2"/>
    <s v="Y"/>
    <s v="Y"/>
    <x v="0"/>
    <x v="0"/>
    <x v="0"/>
    <x v="0"/>
    <s v="성인"/>
    <s v="성인"/>
    <s v="대리점"/>
    <x v="0"/>
    <x v="2"/>
    <x v="0"/>
    <x v="922"/>
    <s v="HP2636965408"/>
    <x v="1"/>
    <n v="599900"/>
  </r>
  <r>
    <x v="1"/>
    <x v="2"/>
    <x v="8"/>
    <x v="28"/>
    <x v="79"/>
    <x v="79"/>
    <x v="11"/>
    <s v="Y"/>
    <s v="N"/>
    <x v="1"/>
    <x v="0"/>
    <x v="0"/>
    <x v="0"/>
    <s v="성인"/>
    <s v="성인"/>
    <s v="대리점"/>
    <x v="0"/>
    <x v="16"/>
    <x v="0"/>
    <x v="923"/>
    <s v="HP2636977592"/>
    <x v="0"/>
    <n v="2"/>
  </r>
  <r>
    <x v="1"/>
    <x v="2"/>
    <x v="8"/>
    <x v="28"/>
    <x v="79"/>
    <x v="79"/>
    <x v="11"/>
    <s v="Y"/>
    <s v="N"/>
    <x v="1"/>
    <x v="0"/>
    <x v="0"/>
    <x v="0"/>
    <s v="성인"/>
    <s v="성인"/>
    <s v="대리점"/>
    <x v="0"/>
    <x v="16"/>
    <x v="0"/>
    <x v="923"/>
    <s v="HP2636977592"/>
    <x v="1"/>
    <n v="2043800"/>
  </r>
  <r>
    <x v="1"/>
    <x v="2"/>
    <x v="8"/>
    <x v="28"/>
    <x v="79"/>
    <x v="79"/>
    <x v="4"/>
    <s v="N"/>
    <s v="N"/>
    <x v="0"/>
    <x v="0"/>
    <x v="0"/>
    <x v="0"/>
    <s v="성인"/>
    <s v="성인"/>
    <s v="대리점"/>
    <x v="0"/>
    <x v="2"/>
    <x v="0"/>
    <x v="924"/>
    <s v="HP2637015572"/>
    <x v="0"/>
    <n v="4"/>
  </r>
  <r>
    <x v="1"/>
    <x v="2"/>
    <x v="8"/>
    <x v="28"/>
    <x v="79"/>
    <x v="79"/>
    <x v="4"/>
    <s v="N"/>
    <s v="N"/>
    <x v="0"/>
    <x v="0"/>
    <x v="0"/>
    <x v="0"/>
    <s v="성인"/>
    <s v="성인"/>
    <s v="대리점"/>
    <x v="0"/>
    <x v="2"/>
    <x v="0"/>
    <x v="924"/>
    <s v="HP2637015572"/>
    <x v="1"/>
    <n v="2763600"/>
  </r>
  <r>
    <x v="1"/>
    <x v="2"/>
    <x v="8"/>
    <x v="28"/>
    <x v="79"/>
    <x v="79"/>
    <x v="4"/>
    <s v="N"/>
    <s v="N"/>
    <x v="2"/>
    <x v="0"/>
    <x v="0"/>
    <x v="0"/>
    <s v="성인"/>
    <s v="성인"/>
    <s v="대리점"/>
    <x v="0"/>
    <x v="29"/>
    <x v="0"/>
    <x v="925"/>
    <s v="HP2637003246"/>
    <x v="0"/>
    <n v="2"/>
  </r>
  <r>
    <x v="1"/>
    <x v="2"/>
    <x v="8"/>
    <x v="28"/>
    <x v="79"/>
    <x v="79"/>
    <x v="4"/>
    <s v="N"/>
    <s v="N"/>
    <x v="2"/>
    <x v="0"/>
    <x v="0"/>
    <x v="0"/>
    <s v="성인"/>
    <s v="성인"/>
    <s v="대리점"/>
    <x v="0"/>
    <x v="29"/>
    <x v="0"/>
    <x v="925"/>
    <s v="HP2637003246"/>
    <x v="1"/>
    <n v="73998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6"/>
    <s v="HP2637058340"/>
    <x v="0"/>
    <n v="4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6"/>
    <s v="HP2637058340"/>
    <x v="1"/>
    <n v="19636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7"/>
    <s v="HP2637055436"/>
    <x v="0"/>
    <n v="1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7"/>
    <s v="HP2637055436"/>
    <x v="1"/>
    <n v="4929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8"/>
    <s v="HP2637061580"/>
    <x v="0"/>
    <n v="7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8"/>
    <s v="HP2637061580"/>
    <x v="1"/>
    <n v="66493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9"/>
    <s v="HP2637050674"/>
    <x v="0"/>
    <n v="2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9"/>
    <s v="HP2637050674"/>
    <x v="1"/>
    <n v="20118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30"/>
    <s v="HP2637055648"/>
    <x v="0"/>
    <n v="1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30"/>
    <s v="HP2637055648"/>
    <x v="1"/>
    <n v="1299900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8"/>
    <s v="HP2637061580"/>
    <x v="0"/>
    <n v="1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8"/>
    <s v="HP2637061580"/>
    <x v="1"/>
    <n v="949900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9"/>
    <s v="HP2637050674"/>
    <x v="0"/>
    <n v="1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9"/>
    <s v="HP2637050674"/>
    <x v="1"/>
    <n v="1005900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27"/>
    <s v="HP2637055436"/>
    <x v="0"/>
    <n v="5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27"/>
    <s v="HP2637055436"/>
    <x v="1"/>
    <n v="2464500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30"/>
    <s v="HP2637055648"/>
    <x v="0"/>
    <n v="1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30"/>
    <s v="HP2637055648"/>
    <x v="1"/>
    <n v="1299900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8"/>
    <s v="HP2637061580"/>
    <x v="0"/>
    <n v="1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8"/>
    <s v="HP2637061580"/>
    <x v="1"/>
    <n v="854910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9"/>
    <s v="HP2637050674"/>
    <x v="0"/>
    <n v="1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9"/>
    <s v="HP2637050674"/>
    <x v="1"/>
    <n v="1005900"/>
  </r>
  <r>
    <x v="1"/>
    <x v="2"/>
    <x v="8"/>
    <x v="28"/>
    <x v="80"/>
    <x v="80"/>
    <x v="0"/>
    <s v="N"/>
    <s v="N"/>
    <x v="0"/>
    <x v="0"/>
    <x v="0"/>
    <x v="0"/>
    <s v="성인"/>
    <s v="성인"/>
    <s v="닷컴"/>
    <x v="4"/>
    <x v="2"/>
    <x v="0"/>
    <x v="931"/>
    <s v="HP2636920898"/>
    <x v="0"/>
    <n v="2"/>
  </r>
  <r>
    <x v="1"/>
    <x v="2"/>
    <x v="8"/>
    <x v="28"/>
    <x v="80"/>
    <x v="80"/>
    <x v="0"/>
    <s v="N"/>
    <s v="N"/>
    <x v="0"/>
    <x v="0"/>
    <x v="0"/>
    <x v="0"/>
    <s v="성인"/>
    <s v="성인"/>
    <s v="닷컴"/>
    <x v="4"/>
    <x v="2"/>
    <x v="0"/>
    <x v="931"/>
    <s v="HP2636920898"/>
    <x v="1"/>
    <n v="2535800"/>
  </r>
  <r>
    <x v="1"/>
    <x v="2"/>
    <x v="8"/>
    <x v="28"/>
    <x v="80"/>
    <x v="80"/>
    <x v="0"/>
    <s v="N"/>
    <s v="N"/>
    <x v="0"/>
    <x v="0"/>
    <x v="0"/>
    <x v="0"/>
    <m/>
    <m/>
    <s v="닷컴"/>
    <x v="4"/>
    <x v="2"/>
    <x v="1"/>
    <x v="932"/>
    <s v="HP2636930864"/>
    <x v="0"/>
    <n v="0"/>
  </r>
  <r>
    <x v="1"/>
    <x v="2"/>
    <x v="8"/>
    <x v="28"/>
    <x v="80"/>
    <x v="80"/>
    <x v="0"/>
    <s v="N"/>
    <s v="N"/>
    <x v="0"/>
    <x v="0"/>
    <x v="0"/>
    <x v="0"/>
    <m/>
    <m/>
    <s v="닷컴"/>
    <x v="4"/>
    <x v="2"/>
    <x v="1"/>
    <x v="932"/>
    <s v="HP2636930864"/>
    <x v="1"/>
    <n v="0"/>
  </r>
  <r>
    <x v="1"/>
    <x v="2"/>
    <x v="8"/>
    <x v="28"/>
    <x v="80"/>
    <x v="80"/>
    <x v="0"/>
    <s v="N"/>
    <s v="N"/>
    <x v="1"/>
    <x v="0"/>
    <x v="0"/>
    <x v="0"/>
    <s v="성인"/>
    <s v="성인"/>
    <s v="대리점"/>
    <x v="0"/>
    <x v="2"/>
    <x v="0"/>
    <x v="933"/>
    <s v="HP2636927570"/>
    <x v="0"/>
    <n v="4"/>
  </r>
  <r>
    <x v="1"/>
    <x v="2"/>
    <x v="8"/>
    <x v="28"/>
    <x v="80"/>
    <x v="80"/>
    <x v="0"/>
    <s v="N"/>
    <s v="N"/>
    <x v="1"/>
    <x v="0"/>
    <x v="0"/>
    <x v="0"/>
    <s v="성인"/>
    <s v="성인"/>
    <s v="대리점"/>
    <x v="0"/>
    <x v="2"/>
    <x v="0"/>
    <x v="933"/>
    <s v="HP2636927570"/>
    <x v="1"/>
    <n v="4031600"/>
  </r>
  <r>
    <x v="1"/>
    <x v="2"/>
    <x v="8"/>
    <x v="28"/>
    <x v="80"/>
    <x v="80"/>
    <x v="1"/>
    <s v="N"/>
    <s v="N"/>
    <x v="1"/>
    <x v="0"/>
    <x v="0"/>
    <x v="0"/>
    <s v="성인"/>
    <s v="성인"/>
    <s v="대리점"/>
    <x v="0"/>
    <x v="2"/>
    <x v="0"/>
    <x v="934"/>
    <s v="HP2636959114"/>
    <x v="0"/>
    <n v="4"/>
  </r>
  <r>
    <x v="1"/>
    <x v="2"/>
    <x v="8"/>
    <x v="28"/>
    <x v="80"/>
    <x v="80"/>
    <x v="1"/>
    <s v="N"/>
    <s v="N"/>
    <x v="1"/>
    <x v="0"/>
    <x v="0"/>
    <x v="0"/>
    <s v="성인"/>
    <s v="성인"/>
    <s v="대리점"/>
    <x v="0"/>
    <x v="2"/>
    <x v="0"/>
    <x v="934"/>
    <s v="HP2636959114"/>
    <x v="1"/>
    <n v="4512400"/>
  </r>
  <r>
    <x v="1"/>
    <x v="2"/>
    <x v="8"/>
    <x v="28"/>
    <x v="80"/>
    <x v="80"/>
    <x v="1"/>
    <s v="N"/>
    <s v="N"/>
    <x v="2"/>
    <x v="0"/>
    <x v="0"/>
    <x v="0"/>
    <s v="성인"/>
    <s v="성인"/>
    <s v="대리점"/>
    <x v="0"/>
    <x v="17"/>
    <x v="0"/>
    <x v="935"/>
    <s v="HP2636947136"/>
    <x v="0"/>
    <n v="2"/>
  </r>
  <r>
    <x v="1"/>
    <x v="2"/>
    <x v="8"/>
    <x v="28"/>
    <x v="80"/>
    <x v="80"/>
    <x v="1"/>
    <s v="N"/>
    <s v="N"/>
    <x v="2"/>
    <x v="0"/>
    <x v="0"/>
    <x v="0"/>
    <s v="성인"/>
    <s v="성인"/>
    <s v="대리점"/>
    <x v="0"/>
    <x v="17"/>
    <x v="0"/>
    <x v="935"/>
    <s v="HP2636947136"/>
    <x v="1"/>
    <n v="2998000"/>
  </r>
  <r>
    <x v="1"/>
    <x v="2"/>
    <x v="8"/>
    <x v="28"/>
    <x v="80"/>
    <x v="80"/>
    <x v="2"/>
    <s v="Y"/>
    <s v="Y"/>
    <x v="0"/>
    <x v="0"/>
    <x v="0"/>
    <x v="0"/>
    <s v="성인"/>
    <s v="성인"/>
    <s v="대리점"/>
    <x v="0"/>
    <x v="2"/>
    <x v="0"/>
    <x v="936"/>
    <s v="HP2636965950"/>
    <x v="0"/>
    <n v="2"/>
  </r>
  <r>
    <x v="1"/>
    <x v="2"/>
    <x v="8"/>
    <x v="28"/>
    <x v="80"/>
    <x v="80"/>
    <x v="2"/>
    <s v="Y"/>
    <s v="Y"/>
    <x v="0"/>
    <x v="0"/>
    <x v="0"/>
    <x v="0"/>
    <s v="성인"/>
    <s v="성인"/>
    <s v="대리점"/>
    <x v="0"/>
    <x v="2"/>
    <x v="0"/>
    <x v="936"/>
    <s v="HP2636965950"/>
    <x v="1"/>
    <n v="1281800"/>
  </r>
  <r>
    <x v="1"/>
    <x v="2"/>
    <x v="8"/>
    <x v="28"/>
    <x v="80"/>
    <x v="80"/>
    <x v="2"/>
    <s v="Y"/>
    <s v="Y"/>
    <x v="1"/>
    <x v="0"/>
    <x v="0"/>
    <x v="0"/>
    <s v="성인"/>
    <s v="성인"/>
    <s v="닷컴"/>
    <x v="4"/>
    <x v="2"/>
    <x v="0"/>
    <x v="937"/>
    <s v="HP2636971358"/>
    <x v="0"/>
    <n v="3"/>
  </r>
  <r>
    <x v="1"/>
    <x v="2"/>
    <x v="8"/>
    <x v="28"/>
    <x v="80"/>
    <x v="80"/>
    <x v="2"/>
    <s v="Y"/>
    <s v="Y"/>
    <x v="1"/>
    <x v="0"/>
    <x v="0"/>
    <x v="0"/>
    <s v="성인"/>
    <s v="성인"/>
    <s v="닷컴"/>
    <x v="4"/>
    <x v="2"/>
    <x v="0"/>
    <x v="937"/>
    <s v="HP2636971358"/>
    <x v="1"/>
    <n v="3684300"/>
  </r>
  <r>
    <x v="1"/>
    <x v="2"/>
    <x v="8"/>
    <x v="28"/>
    <x v="80"/>
    <x v="80"/>
    <x v="2"/>
    <s v="Y"/>
    <s v="Y"/>
    <x v="1"/>
    <x v="0"/>
    <x v="0"/>
    <x v="0"/>
    <s v="성인"/>
    <s v="성인"/>
    <s v="대리점"/>
    <x v="0"/>
    <x v="2"/>
    <x v="0"/>
    <x v="580"/>
    <s v="HP2636965992"/>
    <x v="0"/>
    <n v="2"/>
  </r>
  <r>
    <x v="1"/>
    <x v="2"/>
    <x v="8"/>
    <x v="28"/>
    <x v="80"/>
    <x v="80"/>
    <x v="2"/>
    <s v="Y"/>
    <s v="Y"/>
    <x v="1"/>
    <x v="0"/>
    <x v="0"/>
    <x v="0"/>
    <s v="성인"/>
    <s v="성인"/>
    <s v="대리점"/>
    <x v="0"/>
    <x v="2"/>
    <x v="0"/>
    <x v="580"/>
    <s v="HP2636965992"/>
    <x v="1"/>
    <n v="10910000"/>
  </r>
  <r>
    <x v="1"/>
    <x v="2"/>
    <x v="8"/>
    <x v="28"/>
    <x v="80"/>
    <x v="80"/>
    <x v="2"/>
    <s v="Y"/>
    <s v="Y"/>
    <x v="1"/>
    <x v="0"/>
    <x v="0"/>
    <x v="0"/>
    <m/>
    <m/>
    <s v="닷컴"/>
    <x v="4"/>
    <x v="2"/>
    <x v="1"/>
    <x v="938"/>
    <s v="HP2636962998"/>
    <x v="0"/>
    <n v="0"/>
  </r>
  <r>
    <x v="1"/>
    <x v="2"/>
    <x v="8"/>
    <x v="28"/>
    <x v="80"/>
    <x v="80"/>
    <x v="2"/>
    <s v="Y"/>
    <s v="Y"/>
    <x v="1"/>
    <x v="0"/>
    <x v="0"/>
    <x v="0"/>
    <m/>
    <m/>
    <s v="닷컴"/>
    <x v="4"/>
    <x v="2"/>
    <x v="1"/>
    <x v="938"/>
    <s v="HP2636962998"/>
    <x v="1"/>
    <n v="0"/>
  </r>
  <r>
    <x v="1"/>
    <x v="2"/>
    <x v="8"/>
    <x v="28"/>
    <x v="80"/>
    <x v="80"/>
    <x v="2"/>
    <s v="Y"/>
    <s v="Y"/>
    <x v="2"/>
    <x v="0"/>
    <x v="0"/>
    <x v="0"/>
    <s v="성인"/>
    <s v="성인"/>
    <s v="대리점"/>
    <x v="0"/>
    <x v="32"/>
    <x v="0"/>
    <x v="939"/>
    <s v="HP2636964900"/>
    <x v="0"/>
    <n v="2"/>
  </r>
  <r>
    <x v="1"/>
    <x v="2"/>
    <x v="8"/>
    <x v="28"/>
    <x v="80"/>
    <x v="80"/>
    <x v="2"/>
    <s v="Y"/>
    <s v="Y"/>
    <x v="2"/>
    <x v="0"/>
    <x v="0"/>
    <x v="0"/>
    <s v="성인"/>
    <s v="성인"/>
    <s v="대리점"/>
    <x v="0"/>
    <x v="32"/>
    <x v="0"/>
    <x v="939"/>
    <s v="HP2636964900"/>
    <x v="1"/>
    <n v="3799800"/>
  </r>
  <r>
    <x v="1"/>
    <x v="2"/>
    <x v="8"/>
    <x v="28"/>
    <x v="80"/>
    <x v="80"/>
    <x v="2"/>
    <s v="Y"/>
    <s v="Y"/>
    <x v="2"/>
    <x v="0"/>
    <x v="0"/>
    <x v="0"/>
    <m/>
    <m/>
    <s v="대리점"/>
    <x v="0"/>
    <x v="32"/>
    <x v="1"/>
    <x v="939"/>
    <s v="HP2636964892"/>
    <x v="0"/>
    <n v="0"/>
  </r>
  <r>
    <x v="1"/>
    <x v="2"/>
    <x v="8"/>
    <x v="28"/>
    <x v="80"/>
    <x v="80"/>
    <x v="2"/>
    <s v="Y"/>
    <s v="Y"/>
    <x v="2"/>
    <x v="0"/>
    <x v="0"/>
    <x v="0"/>
    <m/>
    <m/>
    <s v="대리점"/>
    <x v="0"/>
    <x v="32"/>
    <x v="1"/>
    <x v="939"/>
    <s v="HP2636964892"/>
    <x v="1"/>
    <n v="0"/>
  </r>
  <r>
    <x v="1"/>
    <x v="2"/>
    <x v="8"/>
    <x v="28"/>
    <x v="80"/>
    <x v="80"/>
    <x v="11"/>
    <s v="Y"/>
    <s v="N"/>
    <x v="0"/>
    <x v="0"/>
    <x v="0"/>
    <x v="0"/>
    <s v="성인"/>
    <s v="성인"/>
    <s v="대리점"/>
    <x v="0"/>
    <x v="2"/>
    <x v="0"/>
    <x v="940"/>
    <s v="HP2636976134"/>
    <x v="0"/>
    <n v="3"/>
  </r>
  <r>
    <x v="1"/>
    <x v="2"/>
    <x v="8"/>
    <x v="28"/>
    <x v="80"/>
    <x v="80"/>
    <x v="11"/>
    <s v="Y"/>
    <s v="N"/>
    <x v="0"/>
    <x v="0"/>
    <x v="0"/>
    <x v="0"/>
    <s v="성인"/>
    <s v="성인"/>
    <s v="대리점"/>
    <x v="0"/>
    <x v="2"/>
    <x v="0"/>
    <x v="940"/>
    <s v="HP2636976134"/>
    <x v="1"/>
    <n v="2334300"/>
  </r>
  <r>
    <x v="1"/>
    <x v="2"/>
    <x v="8"/>
    <x v="28"/>
    <x v="80"/>
    <x v="80"/>
    <x v="11"/>
    <s v="Y"/>
    <s v="N"/>
    <x v="0"/>
    <x v="0"/>
    <x v="0"/>
    <x v="0"/>
    <m/>
    <m/>
    <s v="대리점"/>
    <x v="0"/>
    <x v="2"/>
    <x v="1"/>
    <x v="941"/>
    <s v="HP2636976078"/>
    <x v="0"/>
    <n v="0"/>
  </r>
  <r>
    <x v="1"/>
    <x v="2"/>
    <x v="8"/>
    <x v="28"/>
    <x v="80"/>
    <x v="80"/>
    <x v="11"/>
    <s v="Y"/>
    <s v="N"/>
    <x v="0"/>
    <x v="0"/>
    <x v="0"/>
    <x v="0"/>
    <m/>
    <m/>
    <s v="대리점"/>
    <x v="0"/>
    <x v="2"/>
    <x v="1"/>
    <x v="941"/>
    <s v="HP2636976078"/>
    <x v="1"/>
    <n v="2184300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2"/>
    <s v="HP2636985716"/>
    <x v="0"/>
    <n v="2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2"/>
    <s v="HP2636985716"/>
    <x v="1"/>
    <n v="1599800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3"/>
    <s v="HP2636984356"/>
    <x v="0"/>
    <n v="2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3"/>
    <s v="HP2636984356"/>
    <x v="1"/>
    <n v="2281800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4"/>
    <s v="HP2636987758"/>
    <x v="0"/>
    <n v="11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4"/>
    <s v="HP2636987758"/>
    <x v="1"/>
    <n v="10778900"/>
  </r>
  <r>
    <x v="1"/>
    <x v="2"/>
    <x v="8"/>
    <x v="28"/>
    <x v="80"/>
    <x v="80"/>
    <x v="3"/>
    <s v="N"/>
    <s v="Y"/>
    <x v="0"/>
    <x v="0"/>
    <x v="0"/>
    <x v="0"/>
    <m/>
    <m/>
    <s v="닷컴"/>
    <x v="4"/>
    <x v="2"/>
    <x v="1"/>
    <x v="945"/>
    <s v="HP2636989760"/>
    <x v="0"/>
    <n v="0"/>
  </r>
  <r>
    <x v="1"/>
    <x v="2"/>
    <x v="8"/>
    <x v="28"/>
    <x v="80"/>
    <x v="80"/>
    <x v="3"/>
    <s v="N"/>
    <s v="Y"/>
    <x v="0"/>
    <x v="0"/>
    <x v="0"/>
    <x v="0"/>
    <m/>
    <m/>
    <s v="닷컴"/>
    <x v="4"/>
    <x v="2"/>
    <x v="1"/>
    <x v="945"/>
    <s v="HP2636989760"/>
    <x v="1"/>
    <n v="0"/>
  </r>
  <r>
    <x v="1"/>
    <x v="2"/>
    <x v="8"/>
    <x v="28"/>
    <x v="80"/>
    <x v="80"/>
    <x v="3"/>
    <s v="N"/>
    <s v="Y"/>
    <x v="0"/>
    <x v="0"/>
    <x v="0"/>
    <x v="0"/>
    <m/>
    <m/>
    <s v="대리점"/>
    <x v="0"/>
    <x v="2"/>
    <x v="0"/>
    <x v="942"/>
    <s v="HP2636985716"/>
    <x v="0"/>
    <n v="4"/>
  </r>
  <r>
    <x v="1"/>
    <x v="2"/>
    <x v="8"/>
    <x v="28"/>
    <x v="80"/>
    <x v="80"/>
    <x v="3"/>
    <s v="N"/>
    <s v="Y"/>
    <x v="0"/>
    <x v="0"/>
    <x v="0"/>
    <x v="0"/>
    <m/>
    <m/>
    <s v="대리점"/>
    <x v="0"/>
    <x v="2"/>
    <x v="0"/>
    <x v="942"/>
    <s v="HP2636985716"/>
    <x v="1"/>
    <n v="3199600"/>
  </r>
  <r>
    <x v="1"/>
    <x v="2"/>
    <x v="8"/>
    <x v="28"/>
    <x v="80"/>
    <x v="80"/>
    <x v="4"/>
    <s v="N"/>
    <s v="N"/>
    <x v="0"/>
    <x v="0"/>
    <x v="0"/>
    <x v="0"/>
    <s v="성인"/>
    <s v="성인"/>
    <s v="대리점"/>
    <x v="0"/>
    <x v="2"/>
    <x v="0"/>
    <x v="946"/>
    <s v="HP2637014086"/>
    <x v="0"/>
    <n v="2"/>
  </r>
  <r>
    <x v="1"/>
    <x v="2"/>
    <x v="8"/>
    <x v="28"/>
    <x v="80"/>
    <x v="80"/>
    <x v="4"/>
    <s v="N"/>
    <s v="N"/>
    <x v="0"/>
    <x v="0"/>
    <x v="0"/>
    <x v="0"/>
    <s v="성인"/>
    <s v="성인"/>
    <s v="대리점"/>
    <x v="0"/>
    <x v="2"/>
    <x v="0"/>
    <x v="946"/>
    <s v="HP2637014086"/>
    <x v="1"/>
    <n v="2055800"/>
  </r>
  <r>
    <x v="1"/>
    <x v="2"/>
    <x v="8"/>
    <x v="28"/>
    <x v="80"/>
    <x v="80"/>
    <x v="4"/>
    <s v="N"/>
    <s v="N"/>
    <x v="0"/>
    <x v="0"/>
    <x v="0"/>
    <x v="0"/>
    <m/>
    <m/>
    <s v="닷컴"/>
    <x v="4"/>
    <x v="2"/>
    <x v="0"/>
    <x v="947"/>
    <s v="HP2636840016"/>
    <x v="0"/>
    <n v="3"/>
  </r>
  <r>
    <x v="1"/>
    <x v="2"/>
    <x v="8"/>
    <x v="28"/>
    <x v="80"/>
    <x v="80"/>
    <x v="4"/>
    <s v="N"/>
    <s v="N"/>
    <x v="0"/>
    <x v="0"/>
    <x v="0"/>
    <x v="0"/>
    <m/>
    <m/>
    <s v="닷컴"/>
    <x v="4"/>
    <x v="2"/>
    <x v="0"/>
    <x v="947"/>
    <s v="HP2636840016"/>
    <x v="1"/>
    <n v="3359700"/>
  </r>
  <r>
    <x v="1"/>
    <x v="2"/>
    <x v="8"/>
    <x v="28"/>
    <x v="80"/>
    <x v="80"/>
    <x v="4"/>
    <s v="N"/>
    <s v="N"/>
    <x v="1"/>
    <x v="0"/>
    <x v="0"/>
    <x v="0"/>
    <s v="성인"/>
    <s v="성인"/>
    <s v="대리점"/>
    <x v="0"/>
    <x v="6"/>
    <x v="0"/>
    <x v="948"/>
    <s v="HP2637011510"/>
    <x v="0"/>
    <n v="1"/>
  </r>
  <r>
    <x v="1"/>
    <x v="2"/>
    <x v="8"/>
    <x v="28"/>
    <x v="80"/>
    <x v="80"/>
    <x v="4"/>
    <s v="N"/>
    <s v="N"/>
    <x v="1"/>
    <x v="0"/>
    <x v="0"/>
    <x v="0"/>
    <s v="성인"/>
    <s v="성인"/>
    <s v="대리점"/>
    <x v="0"/>
    <x v="6"/>
    <x v="0"/>
    <x v="948"/>
    <s v="HP2637011510"/>
    <x v="1"/>
    <n v="4399000"/>
  </r>
  <r>
    <x v="1"/>
    <x v="2"/>
    <x v="8"/>
    <x v="28"/>
    <x v="80"/>
    <x v="80"/>
    <x v="4"/>
    <s v="N"/>
    <s v="N"/>
    <x v="1"/>
    <x v="0"/>
    <x v="0"/>
    <x v="0"/>
    <m/>
    <m/>
    <s v="닷컴"/>
    <x v="4"/>
    <x v="2"/>
    <x v="1"/>
    <x v="949"/>
    <s v="HP2637015660"/>
    <x v="0"/>
    <n v="0"/>
  </r>
  <r>
    <x v="1"/>
    <x v="2"/>
    <x v="8"/>
    <x v="28"/>
    <x v="80"/>
    <x v="80"/>
    <x v="4"/>
    <s v="N"/>
    <s v="N"/>
    <x v="1"/>
    <x v="0"/>
    <x v="0"/>
    <x v="0"/>
    <m/>
    <m/>
    <s v="닷컴"/>
    <x v="4"/>
    <x v="2"/>
    <x v="1"/>
    <x v="949"/>
    <s v="HP2637015660"/>
    <x v="1"/>
    <n v="2199800"/>
  </r>
  <r>
    <x v="1"/>
    <x v="2"/>
    <x v="8"/>
    <x v="28"/>
    <x v="80"/>
    <x v="80"/>
    <x v="4"/>
    <s v="N"/>
    <s v="N"/>
    <x v="1"/>
    <x v="0"/>
    <x v="0"/>
    <x v="0"/>
    <m/>
    <m/>
    <s v="대리점"/>
    <x v="0"/>
    <x v="17"/>
    <x v="1"/>
    <x v="950"/>
    <s v="HP2637014366"/>
    <x v="0"/>
    <n v="0"/>
  </r>
  <r>
    <x v="1"/>
    <x v="2"/>
    <x v="8"/>
    <x v="28"/>
    <x v="80"/>
    <x v="80"/>
    <x v="4"/>
    <s v="N"/>
    <s v="N"/>
    <x v="1"/>
    <x v="0"/>
    <x v="0"/>
    <x v="0"/>
    <m/>
    <m/>
    <s v="대리점"/>
    <x v="0"/>
    <x v="17"/>
    <x v="1"/>
    <x v="950"/>
    <s v="HP2637014366"/>
    <x v="1"/>
    <n v="0"/>
  </r>
  <r>
    <x v="1"/>
    <x v="2"/>
    <x v="8"/>
    <x v="28"/>
    <x v="80"/>
    <x v="80"/>
    <x v="4"/>
    <s v="N"/>
    <s v="N"/>
    <x v="1"/>
    <x v="0"/>
    <x v="0"/>
    <x v="1"/>
    <m/>
    <m/>
    <s v="대리점"/>
    <x v="0"/>
    <x v="17"/>
    <x v="1"/>
    <x v="950"/>
    <s v="HP2637014366"/>
    <x v="0"/>
    <n v="0"/>
  </r>
  <r>
    <x v="1"/>
    <x v="2"/>
    <x v="8"/>
    <x v="28"/>
    <x v="80"/>
    <x v="80"/>
    <x v="4"/>
    <s v="N"/>
    <s v="N"/>
    <x v="1"/>
    <x v="0"/>
    <x v="0"/>
    <x v="1"/>
    <m/>
    <m/>
    <s v="대리점"/>
    <x v="0"/>
    <x v="17"/>
    <x v="1"/>
    <x v="950"/>
    <s v="HP2637014366"/>
    <x v="1"/>
    <n v="0"/>
  </r>
  <r>
    <x v="1"/>
    <x v="2"/>
    <x v="8"/>
    <x v="28"/>
    <x v="80"/>
    <x v="80"/>
    <x v="5"/>
    <s v="N"/>
    <s v="N"/>
    <x v="0"/>
    <x v="0"/>
    <x v="0"/>
    <x v="0"/>
    <s v="성인"/>
    <s v="성인"/>
    <s v="닷컴"/>
    <x v="4"/>
    <x v="2"/>
    <x v="0"/>
    <x v="951"/>
    <s v="HP2637037468"/>
    <x v="0"/>
    <n v="1"/>
  </r>
  <r>
    <x v="1"/>
    <x v="2"/>
    <x v="8"/>
    <x v="28"/>
    <x v="80"/>
    <x v="80"/>
    <x v="5"/>
    <s v="N"/>
    <s v="N"/>
    <x v="0"/>
    <x v="0"/>
    <x v="0"/>
    <x v="0"/>
    <s v="성인"/>
    <s v="성인"/>
    <s v="닷컴"/>
    <x v="4"/>
    <x v="2"/>
    <x v="0"/>
    <x v="951"/>
    <s v="HP2637037468"/>
    <x v="1"/>
    <n v="518100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17"/>
    <x v="0"/>
    <x v="952"/>
    <s v="HP2637025818"/>
    <x v="0"/>
    <n v="2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17"/>
    <x v="0"/>
    <x v="952"/>
    <s v="HP2637025818"/>
    <x v="1"/>
    <n v="1053800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2"/>
    <x v="0"/>
    <x v="953"/>
    <s v="HP2637028912"/>
    <x v="0"/>
    <n v="2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2"/>
    <x v="0"/>
    <x v="953"/>
    <s v="HP2637028912"/>
    <x v="1"/>
    <n v="1053800"/>
  </r>
  <r>
    <x v="1"/>
    <x v="2"/>
    <x v="8"/>
    <x v="28"/>
    <x v="80"/>
    <x v="80"/>
    <x v="5"/>
    <s v="N"/>
    <s v="N"/>
    <x v="0"/>
    <x v="0"/>
    <x v="0"/>
    <x v="0"/>
    <m/>
    <m/>
    <s v="범용/상용닷컴"/>
    <x v="1"/>
    <x v="2"/>
    <x v="1"/>
    <x v="946"/>
    <s v="HP2637030520"/>
    <x v="0"/>
    <n v="0"/>
  </r>
  <r>
    <x v="1"/>
    <x v="2"/>
    <x v="8"/>
    <x v="28"/>
    <x v="80"/>
    <x v="80"/>
    <x v="5"/>
    <s v="N"/>
    <s v="N"/>
    <x v="0"/>
    <x v="0"/>
    <x v="0"/>
    <x v="0"/>
    <m/>
    <m/>
    <s v="범용/상용닷컴"/>
    <x v="1"/>
    <x v="2"/>
    <x v="1"/>
    <x v="946"/>
    <s v="HP2637030520"/>
    <x v="1"/>
    <n v="0"/>
  </r>
  <r>
    <x v="1"/>
    <x v="2"/>
    <x v="8"/>
    <x v="28"/>
    <x v="80"/>
    <x v="80"/>
    <x v="5"/>
    <s v="N"/>
    <s v="N"/>
    <x v="0"/>
    <x v="0"/>
    <x v="0"/>
    <x v="1"/>
    <s v="아동"/>
    <s v="아동"/>
    <s v="닷컴"/>
    <x v="4"/>
    <x v="2"/>
    <x v="0"/>
    <x v="951"/>
    <s v="HP2637037468"/>
    <x v="0"/>
    <n v="1"/>
  </r>
  <r>
    <x v="1"/>
    <x v="2"/>
    <x v="8"/>
    <x v="28"/>
    <x v="80"/>
    <x v="80"/>
    <x v="5"/>
    <s v="N"/>
    <s v="N"/>
    <x v="0"/>
    <x v="0"/>
    <x v="0"/>
    <x v="1"/>
    <s v="아동"/>
    <s v="아동"/>
    <s v="닷컴"/>
    <x v="4"/>
    <x v="2"/>
    <x v="0"/>
    <x v="951"/>
    <s v="HP2637037468"/>
    <x v="1"/>
    <n v="518100"/>
  </r>
  <r>
    <x v="1"/>
    <x v="2"/>
    <x v="8"/>
    <x v="28"/>
    <x v="80"/>
    <x v="80"/>
    <x v="5"/>
    <s v="N"/>
    <s v="N"/>
    <x v="1"/>
    <x v="0"/>
    <x v="0"/>
    <x v="0"/>
    <s v="성인"/>
    <s v="성인"/>
    <s v="범용/상용닷컴"/>
    <x v="1"/>
    <x v="17"/>
    <x v="0"/>
    <x v="954"/>
    <s v="HP2637031146"/>
    <x v="0"/>
    <n v="4"/>
  </r>
  <r>
    <x v="1"/>
    <x v="2"/>
    <x v="8"/>
    <x v="28"/>
    <x v="80"/>
    <x v="80"/>
    <x v="5"/>
    <s v="N"/>
    <s v="N"/>
    <x v="1"/>
    <x v="0"/>
    <x v="0"/>
    <x v="0"/>
    <s v="성인"/>
    <s v="성인"/>
    <s v="범용/상용닷컴"/>
    <x v="1"/>
    <x v="17"/>
    <x v="0"/>
    <x v="954"/>
    <s v="HP2637031146"/>
    <x v="1"/>
    <n v="3200000"/>
  </r>
  <r>
    <x v="1"/>
    <x v="2"/>
    <x v="8"/>
    <x v="28"/>
    <x v="80"/>
    <x v="80"/>
    <x v="5"/>
    <s v="N"/>
    <s v="N"/>
    <x v="1"/>
    <x v="0"/>
    <x v="0"/>
    <x v="1"/>
    <s v="유아"/>
    <s v="유아"/>
    <s v="범용/상용닷컴"/>
    <x v="1"/>
    <x v="17"/>
    <x v="0"/>
    <x v="954"/>
    <s v="HP2637031146"/>
    <x v="0"/>
    <n v="1"/>
  </r>
  <r>
    <x v="1"/>
    <x v="2"/>
    <x v="8"/>
    <x v="28"/>
    <x v="80"/>
    <x v="80"/>
    <x v="5"/>
    <s v="N"/>
    <s v="N"/>
    <x v="1"/>
    <x v="0"/>
    <x v="0"/>
    <x v="1"/>
    <s v="유아"/>
    <s v="유아"/>
    <s v="범용/상용닷컴"/>
    <x v="1"/>
    <x v="17"/>
    <x v="0"/>
    <x v="954"/>
    <s v="HP2637031146"/>
    <x v="1"/>
    <n v="320000"/>
  </r>
  <r>
    <x v="1"/>
    <x v="2"/>
    <x v="8"/>
    <x v="28"/>
    <x v="80"/>
    <x v="80"/>
    <x v="5"/>
    <s v="N"/>
    <s v="N"/>
    <x v="2"/>
    <x v="0"/>
    <x v="0"/>
    <x v="0"/>
    <s v="성인"/>
    <s v="성인"/>
    <s v="대리점"/>
    <x v="0"/>
    <x v="17"/>
    <x v="0"/>
    <x v="935"/>
    <s v="HP2636947136"/>
    <x v="0"/>
    <n v="1"/>
  </r>
  <r>
    <x v="1"/>
    <x v="2"/>
    <x v="8"/>
    <x v="28"/>
    <x v="80"/>
    <x v="80"/>
    <x v="5"/>
    <s v="N"/>
    <s v="N"/>
    <x v="2"/>
    <x v="0"/>
    <x v="0"/>
    <x v="0"/>
    <s v="성인"/>
    <s v="성인"/>
    <s v="대리점"/>
    <x v="0"/>
    <x v="17"/>
    <x v="0"/>
    <x v="935"/>
    <s v="HP2636947136"/>
    <x v="1"/>
    <n v="1499000"/>
  </r>
  <r>
    <x v="1"/>
    <x v="2"/>
    <x v="8"/>
    <x v="28"/>
    <x v="80"/>
    <x v="80"/>
    <x v="6"/>
    <s v="N"/>
    <s v="N"/>
    <x v="0"/>
    <x v="0"/>
    <x v="0"/>
    <x v="0"/>
    <s v="성인"/>
    <s v="성인"/>
    <s v="대리점"/>
    <x v="0"/>
    <x v="2"/>
    <x v="0"/>
    <x v="955"/>
    <s v="HP2637051690"/>
    <x v="0"/>
    <n v="1"/>
  </r>
  <r>
    <x v="1"/>
    <x v="2"/>
    <x v="8"/>
    <x v="28"/>
    <x v="80"/>
    <x v="80"/>
    <x v="6"/>
    <s v="N"/>
    <s v="N"/>
    <x v="0"/>
    <x v="0"/>
    <x v="0"/>
    <x v="0"/>
    <s v="성인"/>
    <s v="성인"/>
    <s v="대리점"/>
    <x v="0"/>
    <x v="2"/>
    <x v="0"/>
    <x v="955"/>
    <s v="HP2637051690"/>
    <x v="1"/>
    <n v="827900"/>
  </r>
  <r>
    <x v="1"/>
    <x v="2"/>
    <x v="8"/>
    <x v="28"/>
    <x v="80"/>
    <x v="80"/>
    <x v="6"/>
    <s v="N"/>
    <s v="N"/>
    <x v="0"/>
    <x v="0"/>
    <x v="0"/>
    <x v="0"/>
    <m/>
    <m/>
    <s v="대리점"/>
    <x v="0"/>
    <x v="2"/>
    <x v="0"/>
    <x v="956"/>
    <s v="HP2637051310"/>
    <x v="0"/>
    <n v="5"/>
  </r>
  <r>
    <x v="1"/>
    <x v="2"/>
    <x v="8"/>
    <x v="28"/>
    <x v="80"/>
    <x v="80"/>
    <x v="6"/>
    <s v="N"/>
    <s v="N"/>
    <x v="0"/>
    <x v="0"/>
    <x v="0"/>
    <x v="0"/>
    <m/>
    <m/>
    <s v="대리점"/>
    <x v="0"/>
    <x v="2"/>
    <x v="0"/>
    <x v="956"/>
    <s v="HP2637051310"/>
    <x v="1"/>
    <n v="8239500"/>
  </r>
  <r>
    <x v="1"/>
    <x v="2"/>
    <x v="8"/>
    <x v="28"/>
    <x v="80"/>
    <x v="80"/>
    <x v="6"/>
    <s v="N"/>
    <s v="N"/>
    <x v="0"/>
    <x v="0"/>
    <x v="0"/>
    <x v="1"/>
    <s v="아동"/>
    <s v="아동"/>
    <s v="대리점"/>
    <x v="0"/>
    <x v="2"/>
    <x v="0"/>
    <x v="955"/>
    <s v="HP2637051690"/>
    <x v="0"/>
    <n v="1"/>
  </r>
  <r>
    <x v="1"/>
    <x v="2"/>
    <x v="8"/>
    <x v="28"/>
    <x v="80"/>
    <x v="80"/>
    <x v="6"/>
    <s v="N"/>
    <s v="N"/>
    <x v="0"/>
    <x v="0"/>
    <x v="0"/>
    <x v="1"/>
    <s v="아동"/>
    <s v="아동"/>
    <s v="대리점"/>
    <x v="0"/>
    <x v="2"/>
    <x v="0"/>
    <x v="955"/>
    <s v="HP2637051690"/>
    <x v="1"/>
    <n v="827900"/>
  </r>
  <r>
    <x v="1"/>
    <x v="2"/>
    <x v="8"/>
    <x v="28"/>
    <x v="80"/>
    <x v="80"/>
    <x v="6"/>
    <s v="N"/>
    <s v="N"/>
    <x v="1"/>
    <x v="0"/>
    <x v="0"/>
    <x v="0"/>
    <m/>
    <m/>
    <s v="닷컴"/>
    <x v="4"/>
    <x v="2"/>
    <x v="1"/>
    <x v="957"/>
    <s v="HP2637065308"/>
    <x v="0"/>
    <n v="0"/>
  </r>
  <r>
    <x v="1"/>
    <x v="2"/>
    <x v="8"/>
    <x v="28"/>
    <x v="80"/>
    <x v="80"/>
    <x v="6"/>
    <s v="N"/>
    <s v="N"/>
    <x v="1"/>
    <x v="0"/>
    <x v="0"/>
    <x v="0"/>
    <m/>
    <m/>
    <s v="닷컴"/>
    <x v="4"/>
    <x v="2"/>
    <x v="1"/>
    <x v="957"/>
    <s v="HP2637065308"/>
    <x v="1"/>
    <n v="0"/>
  </r>
  <r>
    <x v="1"/>
    <x v="2"/>
    <x v="8"/>
    <x v="28"/>
    <x v="80"/>
    <x v="80"/>
    <x v="6"/>
    <s v="N"/>
    <s v="N"/>
    <x v="1"/>
    <x v="0"/>
    <x v="0"/>
    <x v="1"/>
    <m/>
    <m/>
    <s v="닷컴"/>
    <x v="4"/>
    <x v="2"/>
    <x v="1"/>
    <x v="957"/>
    <s v="HP2637065308"/>
    <x v="0"/>
    <n v="0"/>
  </r>
  <r>
    <x v="1"/>
    <x v="2"/>
    <x v="8"/>
    <x v="28"/>
    <x v="80"/>
    <x v="80"/>
    <x v="6"/>
    <s v="N"/>
    <s v="N"/>
    <x v="1"/>
    <x v="0"/>
    <x v="0"/>
    <x v="1"/>
    <m/>
    <m/>
    <s v="닷컴"/>
    <x v="4"/>
    <x v="2"/>
    <x v="1"/>
    <x v="957"/>
    <s v="HP2637065308"/>
    <x v="1"/>
    <n v="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5"/>
    <x v="0"/>
    <x v="958"/>
    <s v="HP2637071916"/>
    <x v="0"/>
    <n v="1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5"/>
    <x v="0"/>
    <x v="958"/>
    <s v="HP2637071916"/>
    <x v="1"/>
    <n v="30990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38"/>
    <x v="0"/>
    <x v="959"/>
    <s v="HP2637071520"/>
    <x v="0"/>
    <n v="2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38"/>
    <x v="0"/>
    <x v="959"/>
    <s v="HP2637071520"/>
    <x v="1"/>
    <n v="115780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0"/>
    <s v="HP2637069964"/>
    <x v="0"/>
    <n v="4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0"/>
    <s v="HP2637069964"/>
    <x v="1"/>
    <n v="240360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1"/>
    <s v="HP2637073866"/>
    <x v="0"/>
    <n v="1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1"/>
    <s v="HP2637073866"/>
    <x v="1"/>
    <n v="887900"/>
  </r>
  <r>
    <x v="1"/>
    <x v="2"/>
    <x v="8"/>
    <x v="28"/>
    <x v="80"/>
    <x v="80"/>
    <x v="7"/>
    <s v="N"/>
    <s v="Y"/>
    <x v="0"/>
    <x v="0"/>
    <x v="0"/>
    <x v="0"/>
    <s v="청소년"/>
    <s v="청소년"/>
    <s v="대리점"/>
    <x v="0"/>
    <x v="2"/>
    <x v="0"/>
    <x v="960"/>
    <s v="HP2637069964"/>
    <x v="0"/>
    <n v="1"/>
  </r>
  <r>
    <x v="1"/>
    <x v="2"/>
    <x v="8"/>
    <x v="28"/>
    <x v="80"/>
    <x v="80"/>
    <x v="7"/>
    <s v="N"/>
    <s v="Y"/>
    <x v="0"/>
    <x v="0"/>
    <x v="0"/>
    <x v="0"/>
    <s v="청소년"/>
    <s v="청소년"/>
    <s v="대리점"/>
    <x v="0"/>
    <x v="2"/>
    <x v="0"/>
    <x v="960"/>
    <s v="HP2637069964"/>
    <x v="1"/>
    <n v="600900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5"/>
    <x v="0"/>
    <x v="958"/>
    <s v="HP2637071916"/>
    <x v="0"/>
    <n v="4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5"/>
    <x v="0"/>
    <x v="958"/>
    <s v="HP2637071916"/>
    <x v="1"/>
    <n v="1239600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38"/>
    <x v="0"/>
    <x v="959"/>
    <s v="HP2637071520"/>
    <x v="0"/>
    <n v="2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38"/>
    <x v="0"/>
    <x v="959"/>
    <s v="HP2637071520"/>
    <x v="1"/>
    <n v="1157800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"/>
    <x v="0"/>
    <x v="961"/>
    <s v="HP2637073866"/>
    <x v="0"/>
    <n v="2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"/>
    <x v="0"/>
    <x v="961"/>
    <s v="HP2637073866"/>
    <x v="1"/>
    <n v="1775800"/>
  </r>
  <r>
    <x v="1"/>
    <x v="2"/>
    <x v="8"/>
    <x v="28"/>
    <x v="80"/>
    <x v="80"/>
    <x v="7"/>
    <s v="N"/>
    <s v="Y"/>
    <x v="0"/>
    <x v="0"/>
    <x v="0"/>
    <x v="1"/>
    <s v="아동"/>
    <s v="아동"/>
    <s v="대리점"/>
    <x v="0"/>
    <x v="2"/>
    <x v="0"/>
    <x v="961"/>
    <s v="HP2637073866"/>
    <x v="0"/>
    <n v="1"/>
  </r>
  <r>
    <x v="1"/>
    <x v="2"/>
    <x v="8"/>
    <x v="28"/>
    <x v="80"/>
    <x v="80"/>
    <x v="7"/>
    <s v="N"/>
    <s v="Y"/>
    <x v="0"/>
    <x v="0"/>
    <x v="0"/>
    <x v="1"/>
    <s v="아동"/>
    <s v="아동"/>
    <s v="대리점"/>
    <x v="0"/>
    <x v="2"/>
    <x v="0"/>
    <x v="961"/>
    <s v="HP2637073866"/>
    <x v="1"/>
    <n v="887900"/>
  </r>
  <r>
    <x v="1"/>
    <x v="2"/>
    <x v="8"/>
    <x v="28"/>
    <x v="80"/>
    <x v="80"/>
    <x v="8"/>
    <s v="Y"/>
    <s v="N"/>
    <x v="0"/>
    <x v="0"/>
    <x v="0"/>
    <x v="0"/>
    <m/>
    <m/>
    <s v="대리점"/>
    <x v="0"/>
    <x v="2"/>
    <x v="0"/>
    <x v="962"/>
    <s v="HP2637089512"/>
    <x v="0"/>
    <n v="2"/>
  </r>
  <r>
    <x v="1"/>
    <x v="2"/>
    <x v="8"/>
    <x v="28"/>
    <x v="80"/>
    <x v="80"/>
    <x v="8"/>
    <s v="Y"/>
    <s v="N"/>
    <x v="0"/>
    <x v="0"/>
    <x v="0"/>
    <x v="0"/>
    <m/>
    <m/>
    <s v="대리점"/>
    <x v="0"/>
    <x v="2"/>
    <x v="0"/>
    <x v="962"/>
    <s v="HP2637089512"/>
    <x v="1"/>
    <n v="4593200"/>
  </r>
  <r>
    <x v="1"/>
    <x v="2"/>
    <x v="8"/>
    <x v="28"/>
    <x v="80"/>
    <x v="80"/>
    <x v="9"/>
    <s v="Y"/>
    <s v="N"/>
    <x v="0"/>
    <x v="0"/>
    <x v="0"/>
    <x v="0"/>
    <m/>
    <m/>
    <s v="닷컴"/>
    <x v="4"/>
    <x v="16"/>
    <x v="0"/>
    <x v="963"/>
    <s v="HP2637095156"/>
    <x v="0"/>
    <n v="4"/>
  </r>
  <r>
    <x v="1"/>
    <x v="2"/>
    <x v="8"/>
    <x v="28"/>
    <x v="80"/>
    <x v="80"/>
    <x v="9"/>
    <s v="Y"/>
    <s v="N"/>
    <x v="0"/>
    <x v="0"/>
    <x v="0"/>
    <x v="0"/>
    <m/>
    <m/>
    <s v="닷컴"/>
    <x v="4"/>
    <x v="16"/>
    <x v="0"/>
    <x v="963"/>
    <s v="HP2637095156"/>
    <x v="1"/>
    <n v="3031600"/>
  </r>
  <r>
    <x v="1"/>
    <x v="2"/>
    <x v="8"/>
    <x v="28"/>
    <x v="80"/>
    <x v="80"/>
    <x v="9"/>
    <s v="Y"/>
    <s v="N"/>
    <x v="1"/>
    <x v="0"/>
    <x v="0"/>
    <x v="0"/>
    <m/>
    <m/>
    <s v="대리점"/>
    <x v="0"/>
    <x v="2"/>
    <x v="1"/>
    <x v="964"/>
    <s v="HP2637097626"/>
    <x v="0"/>
    <n v="0"/>
  </r>
  <r>
    <x v="1"/>
    <x v="2"/>
    <x v="8"/>
    <x v="28"/>
    <x v="80"/>
    <x v="80"/>
    <x v="9"/>
    <s v="Y"/>
    <s v="N"/>
    <x v="1"/>
    <x v="0"/>
    <x v="0"/>
    <x v="0"/>
    <m/>
    <m/>
    <s v="대리점"/>
    <x v="0"/>
    <x v="2"/>
    <x v="1"/>
    <x v="964"/>
    <s v="HP2637097626"/>
    <x v="1"/>
    <n v="0"/>
  </r>
  <r>
    <x v="1"/>
    <x v="2"/>
    <x v="8"/>
    <x v="28"/>
    <x v="80"/>
    <x v="80"/>
    <x v="9"/>
    <s v="Y"/>
    <s v="N"/>
    <x v="2"/>
    <x v="0"/>
    <x v="0"/>
    <x v="0"/>
    <s v="성인"/>
    <s v="성인"/>
    <s v="대리점"/>
    <x v="0"/>
    <x v="2"/>
    <x v="0"/>
    <x v="965"/>
    <s v="HP2637098086"/>
    <x v="0"/>
    <n v="3"/>
  </r>
  <r>
    <x v="1"/>
    <x v="2"/>
    <x v="8"/>
    <x v="28"/>
    <x v="80"/>
    <x v="80"/>
    <x v="9"/>
    <s v="Y"/>
    <s v="N"/>
    <x v="2"/>
    <x v="0"/>
    <x v="0"/>
    <x v="0"/>
    <s v="성인"/>
    <s v="성인"/>
    <s v="대리점"/>
    <x v="0"/>
    <x v="2"/>
    <x v="0"/>
    <x v="965"/>
    <s v="HP2637098086"/>
    <x v="1"/>
    <n v="4403700"/>
  </r>
  <r>
    <x v="1"/>
    <x v="2"/>
    <x v="8"/>
    <x v="28"/>
    <x v="80"/>
    <x v="80"/>
    <x v="9"/>
    <s v="Y"/>
    <s v="N"/>
    <x v="2"/>
    <x v="0"/>
    <x v="0"/>
    <x v="0"/>
    <m/>
    <m/>
    <s v="대리점"/>
    <x v="0"/>
    <x v="2"/>
    <x v="0"/>
    <x v="966"/>
    <s v="HP2637097214"/>
    <x v="0"/>
    <n v="4"/>
  </r>
  <r>
    <x v="1"/>
    <x v="2"/>
    <x v="8"/>
    <x v="28"/>
    <x v="80"/>
    <x v="80"/>
    <x v="9"/>
    <s v="Y"/>
    <s v="N"/>
    <x v="2"/>
    <x v="0"/>
    <x v="0"/>
    <x v="0"/>
    <m/>
    <m/>
    <s v="대리점"/>
    <x v="0"/>
    <x v="2"/>
    <x v="0"/>
    <x v="966"/>
    <s v="HP2637097214"/>
    <x v="1"/>
    <n v="4367600"/>
  </r>
  <r>
    <x v="1"/>
    <x v="2"/>
    <x v="8"/>
    <x v="28"/>
    <x v="80"/>
    <x v="80"/>
    <x v="10"/>
    <s v="N"/>
    <s v="N"/>
    <x v="0"/>
    <x v="0"/>
    <x v="0"/>
    <x v="0"/>
    <s v="성인"/>
    <s v="성인"/>
    <s v="대리점"/>
    <x v="0"/>
    <x v="2"/>
    <x v="0"/>
    <x v="967"/>
    <s v="HP2637114626"/>
    <x v="0"/>
    <n v="1"/>
  </r>
  <r>
    <x v="1"/>
    <x v="2"/>
    <x v="8"/>
    <x v="28"/>
    <x v="80"/>
    <x v="80"/>
    <x v="10"/>
    <s v="N"/>
    <s v="N"/>
    <x v="0"/>
    <x v="0"/>
    <x v="0"/>
    <x v="0"/>
    <s v="성인"/>
    <s v="성인"/>
    <s v="대리점"/>
    <x v="0"/>
    <x v="2"/>
    <x v="0"/>
    <x v="967"/>
    <s v="HP2637114626"/>
    <x v="1"/>
    <n v="283900"/>
  </r>
  <r>
    <x v="1"/>
    <x v="2"/>
    <x v="8"/>
    <x v="28"/>
    <x v="80"/>
    <x v="80"/>
    <x v="10"/>
    <s v="N"/>
    <s v="N"/>
    <x v="0"/>
    <x v="0"/>
    <x v="0"/>
    <x v="0"/>
    <s v="성인"/>
    <s v="성인"/>
    <s v="범용/상용닷컴"/>
    <x v="1"/>
    <x v="2"/>
    <x v="0"/>
    <x v="968"/>
    <s v="HP2637118960"/>
    <x v="0"/>
    <n v="2"/>
  </r>
  <r>
    <x v="1"/>
    <x v="2"/>
    <x v="8"/>
    <x v="28"/>
    <x v="80"/>
    <x v="80"/>
    <x v="10"/>
    <s v="N"/>
    <s v="N"/>
    <x v="0"/>
    <x v="0"/>
    <x v="0"/>
    <x v="0"/>
    <s v="성인"/>
    <s v="성인"/>
    <s v="범용/상용닷컴"/>
    <x v="1"/>
    <x v="2"/>
    <x v="0"/>
    <x v="968"/>
    <s v="HP2637118960"/>
    <x v="1"/>
    <n v="1799800"/>
  </r>
  <r>
    <x v="1"/>
    <x v="2"/>
    <x v="8"/>
    <x v="28"/>
    <x v="80"/>
    <x v="80"/>
    <x v="10"/>
    <s v="N"/>
    <s v="N"/>
    <x v="0"/>
    <x v="0"/>
    <x v="0"/>
    <x v="0"/>
    <m/>
    <m/>
    <s v="대리점"/>
    <x v="0"/>
    <x v="2"/>
    <x v="0"/>
    <x v="967"/>
    <s v="HP2637114626"/>
    <x v="0"/>
    <n v="4"/>
  </r>
  <r>
    <x v="1"/>
    <x v="2"/>
    <x v="8"/>
    <x v="28"/>
    <x v="80"/>
    <x v="80"/>
    <x v="10"/>
    <s v="N"/>
    <s v="N"/>
    <x v="0"/>
    <x v="0"/>
    <x v="0"/>
    <x v="0"/>
    <m/>
    <m/>
    <s v="대리점"/>
    <x v="0"/>
    <x v="2"/>
    <x v="0"/>
    <x v="967"/>
    <s v="HP2637114626"/>
    <x v="1"/>
    <n v="1135600"/>
  </r>
  <r>
    <x v="1"/>
    <x v="2"/>
    <x v="8"/>
    <x v="28"/>
    <x v="80"/>
    <x v="80"/>
    <x v="10"/>
    <s v="N"/>
    <s v="N"/>
    <x v="1"/>
    <x v="0"/>
    <x v="0"/>
    <x v="0"/>
    <m/>
    <m/>
    <s v="닷컴"/>
    <x v="5"/>
    <x v="2"/>
    <x v="1"/>
    <x v="969"/>
    <s v="HP2637114648"/>
    <x v="0"/>
    <n v="0"/>
  </r>
  <r>
    <x v="1"/>
    <x v="2"/>
    <x v="8"/>
    <x v="28"/>
    <x v="80"/>
    <x v="80"/>
    <x v="10"/>
    <s v="N"/>
    <s v="N"/>
    <x v="1"/>
    <x v="0"/>
    <x v="0"/>
    <x v="0"/>
    <m/>
    <m/>
    <s v="닷컴"/>
    <x v="5"/>
    <x v="2"/>
    <x v="1"/>
    <x v="969"/>
    <s v="HP2637114648"/>
    <x v="1"/>
    <n v="0"/>
  </r>
  <r>
    <x v="1"/>
    <x v="2"/>
    <x v="8"/>
    <x v="28"/>
    <x v="80"/>
    <x v="80"/>
    <x v="10"/>
    <s v="N"/>
    <s v="N"/>
    <x v="1"/>
    <x v="0"/>
    <x v="0"/>
    <x v="0"/>
    <m/>
    <m/>
    <s v="대리점"/>
    <x v="0"/>
    <x v="2"/>
    <x v="0"/>
    <x v="970"/>
    <s v="HP2637117534"/>
    <x v="0"/>
    <n v="2"/>
  </r>
  <r>
    <x v="1"/>
    <x v="2"/>
    <x v="8"/>
    <x v="28"/>
    <x v="80"/>
    <x v="80"/>
    <x v="10"/>
    <s v="N"/>
    <s v="N"/>
    <x v="1"/>
    <x v="0"/>
    <x v="0"/>
    <x v="0"/>
    <m/>
    <m/>
    <s v="대리점"/>
    <x v="0"/>
    <x v="2"/>
    <x v="0"/>
    <x v="970"/>
    <s v="HP2637117534"/>
    <x v="1"/>
    <n v="1881800"/>
  </r>
  <r>
    <x v="1"/>
    <x v="2"/>
    <x v="8"/>
    <x v="29"/>
    <x v="81"/>
    <x v="81"/>
    <x v="0"/>
    <s v="N"/>
    <s v="N"/>
    <x v="0"/>
    <x v="0"/>
    <x v="0"/>
    <x v="0"/>
    <s v="성인"/>
    <s v="성인"/>
    <s v="대리점"/>
    <x v="0"/>
    <x v="39"/>
    <x v="0"/>
    <x v="971"/>
    <s v="HP2636925292"/>
    <x v="0"/>
    <n v="4"/>
  </r>
  <r>
    <x v="1"/>
    <x v="2"/>
    <x v="8"/>
    <x v="29"/>
    <x v="81"/>
    <x v="81"/>
    <x v="0"/>
    <s v="N"/>
    <s v="N"/>
    <x v="0"/>
    <x v="0"/>
    <x v="0"/>
    <x v="0"/>
    <s v="성인"/>
    <s v="성인"/>
    <s v="대리점"/>
    <x v="0"/>
    <x v="39"/>
    <x v="0"/>
    <x v="971"/>
    <s v="HP2636925292"/>
    <x v="1"/>
    <n v="4231600"/>
  </r>
  <r>
    <x v="1"/>
    <x v="2"/>
    <x v="8"/>
    <x v="29"/>
    <x v="81"/>
    <x v="81"/>
    <x v="1"/>
    <s v="N"/>
    <s v="N"/>
    <x v="0"/>
    <x v="0"/>
    <x v="0"/>
    <x v="0"/>
    <s v="성인"/>
    <s v="성인"/>
    <s v="대리점"/>
    <x v="0"/>
    <x v="2"/>
    <x v="0"/>
    <x v="972"/>
    <s v="HP2636947172"/>
    <x v="0"/>
    <n v="4"/>
  </r>
  <r>
    <x v="1"/>
    <x v="2"/>
    <x v="8"/>
    <x v="29"/>
    <x v="81"/>
    <x v="81"/>
    <x v="1"/>
    <s v="N"/>
    <s v="N"/>
    <x v="0"/>
    <x v="0"/>
    <x v="0"/>
    <x v="0"/>
    <s v="성인"/>
    <s v="성인"/>
    <s v="대리점"/>
    <x v="0"/>
    <x v="2"/>
    <x v="0"/>
    <x v="972"/>
    <s v="HP2636947172"/>
    <x v="1"/>
    <n v="3307600"/>
  </r>
  <r>
    <x v="1"/>
    <x v="2"/>
    <x v="8"/>
    <x v="29"/>
    <x v="81"/>
    <x v="81"/>
    <x v="1"/>
    <s v="N"/>
    <s v="N"/>
    <x v="0"/>
    <x v="0"/>
    <x v="0"/>
    <x v="0"/>
    <m/>
    <m/>
    <s v="대리점"/>
    <x v="0"/>
    <x v="2"/>
    <x v="0"/>
    <x v="972"/>
    <s v="HP2636947172"/>
    <x v="0"/>
    <n v="1"/>
  </r>
  <r>
    <x v="1"/>
    <x v="2"/>
    <x v="8"/>
    <x v="29"/>
    <x v="81"/>
    <x v="81"/>
    <x v="1"/>
    <s v="N"/>
    <s v="N"/>
    <x v="0"/>
    <x v="0"/>
    <x v="0"/>
    <x v="0"/>
    <m/>
    <m/>
    <s v="대리점"/>
    <x v="0"/>
    <x v="2"/>
    <x v="0"/>
    <x v="972"/>
    <s v="HP2636947172"/>
    <x v="1"/>
    <n v="826900"/>
  </r>
  <r>
    <x v="1"/>
    <x v="2"/>
    <x v="8"/>
    <x v="29"/>
    <x v="81"/>
    <x v="81"/>
    <x v="11"/>
    <s v="Y"/>
    <s v="N"/>
    <x v="0"/>
    <x v="0"/>
    <x v="0"/>
    <x v="0"/>
    <s v="성인"/>
    <s v="성인"/>
    <s v="대리점"/>
    <x v="0"/>
    <x v="2"/>
    <x v="0"/>
    <x v="973"/>
    <s v="HP2636974260"/>
    <x v="0"/>
    <n v="2"/>
  </r>
  <r>
    <x v="1"/>
    <x v="2"/>
    <x v="8"/>
    <x v="29"/>
    <x v="81"/>
    <x v="81"/>
    <x v="11"/>
    <s v="Y"/>
    <s v="N"/>
    <x v="0"/>
    <x v="0"/>
    <x v="0"/>
    <x v="0"/>
    <s v="성인"/>
    <s v="성인"/>
    <s v="대리점"/>
    <x v="0"/>
    <x v="2"/>
    <x v="0"/>
    <x v="973"/>
    <s v="HP2636974260"/>
    <x v="1"/>
    <n v="1406000"/>
  </r>
  <r>
    <x v="1"/>
    <x v="2"/>
    <x v="8"/>
    <x v="29"/>
    <x v="81"/>
    <x v="81"/>
    <x v="4"/>
    <s v="N"/>
    <s v="N"/>
    <x v="2"/>
    <x v="0"/>
    <x v="0"/>
    <x v="0"/>
    <s v="성인"/>
    <s v="성인"/>
    <s v="대리점"/>
    <x v="0"/>
    <x v="3"/>
    <x v="0"/>
    <x v="974"/>
    <s v="HP2637010990"/>
    <x v="0"/>
    <n v="2"/>
  </r>
  <r>
    <x v="1"/>
    <x v="2"/>
    <x v="8"/>
    <x v="29"/>
    <x v="81"/>
    <x v="81"/>
    <x v="4"/>
    <s v="N"/>
    <s v="N"/>
    <x v="2"/>
    <x v="0"/>
    <x v="0"/>
    <x v="0"/>
    <s v="성인"/>
    <s v="성인"/>
    <s v="대리점"/>
    <x v="0"/>
    <x v="3"/>
    <x v="0"/>
    <x v="974"/>
    <s v="HP2637010990"/>
    <x v="1"/>
    <n v="2685800"/>
  </r>
  <r>
    <x v="1"/>
    <x v="2"/>
    <x v="8"/>
    <x v="29"/>
    <x v="81"/>
    <x v="81"/>
    <x v="4"/>
    <s v="N"/>
    <s v="N"/>
    <x v="2"/>
    <x v="0"/>
    <x v="0"/>
    <x v="0"/>
    <m/>
    <m/>
    <s v="대리점"/>
    <x v="0"/>
    <x v="3"/>
    <x v="1"/>
    <x v="974"/>
    <s v="HP2637010446"/>
    <x v="0"/>
    <n v="0"/>
  </r>
  <r>
    <x v="1"/>
    <x v="2"/>
    <x v="8"/>
    <x v="29"/>
    <x v="81"/>
    <x v="81"/>
    <x v="4"/>
    <s v="N"/>
    <s v="N"/>
    <x v="2"/>
    <x v="0"/>
    <x v="0"/>
    <x v="0"/>
    <m/>
    <m/>
    <s v="대리점"/>
    <x v="0"/>
    <x v="3"/>
    <x v="1"/>
    <x v="974"/>
    <s v="HP2637010446"/>
    <x v="1"/>
    <n v="2985800"/>
  </r>
  <r>
    <x v="1"/>
    <x v="2"/>
    <x v="8"/>
    <x v="29"/>
    <x v="81"/>
    <x v="81"/>
    <x v="7"/>
    <s v="N"/>
    <s v="Y"/>
    <x v="1"/>
    <x v="0"/>
    <x v="0"/>
    <x v="0"/>
    <s v="성인"/>
    <s v="성인"/>
    <s v="대리점"/>
    <x v="0"/>
    <x v="2"/>
    <x v="0"/>
    <x v="975"/>
    <s v="HP2637070776"/>
    <x v="0"/>
    <n v="2"/>
  </r>
  <r>
    <x v="1"/>
    <x v="2"/>
    <x v="8"/>
    <x v="29"/>
    <x v="81"/>
    <x v="81"/>
    <x v="7"/>
    <s v="N"/>
    <s v="Y"/>
    <x v="1"/>
    <x v="0"/>
    <x v="0"/>
    <x v="0"/>
    <s v="성인"/>
    <s v="성인"/>
    <s v="대리점"/>
    <x v="0"/>
    <x v="2"/>
    <x v="0"/>
    <x v="975"/>
    <s v="HP2637070776"/>
    <x v="1"/>
    <n v="1803800"/>
  </r>
  <r>
    <x v="1"/>
    <x v="2"/>
    <x v="8"/>
    <x v="29"/>
    <x v="81"/>
    <x v="81"/>
    <x v="7"/>
    <s v="N"/>
    <s v="Y"/>
    <x v="1"/>
    <x v="0"/>
    <x v="0"/>
    <x v="0"/>
    <s v="성인"/>
    <s v="성인"/>
    <s v="범용/상용닷컴"/>
    <x v="1"/>
    <x v="23"/>
    <x v="0"/>
    <x v="976"/>
    <s v="HP2637072938"/>
    <x v="0"/>
    <n v="2"/>
  </r>
  <r>
    <x v="1"/>
    <x v="2"/>
    <x v="8"/>
    <x v="29"/>
    <x v="81"/>
    <x v="81"/>
    <x v="7"/>
    <s v="N"/>
    <s v="Y"/>
    <x v="1"/>
    <x v="0"/>
    <x v="0"/>
    <x v="0"/>
    <s v="성인"/>
    <s v="성인"/>
    <s v="범용/상용닷컴"/>
    <x v="1"/>
    <x v="23"/>
    <x v="0"/>
    <x v="976"/>
    <s v="HP2637072938"/>
    <x v="1"/>
    <n v="2199800"/>
  </r>
  <r>
    <x v="1"/>
    <x v="2"/>
    <x v="8"/>
    <x v="29"/>
    <x v="81"/>
    <x v="81"/>
    <x v="7"/>
    <s v="N"/>
    <s v="Y"/>
    <x v="1"/>
    <x v="0"/>
    <x v="0"/>
    <x v="0"/>
    <m/>
    <m/>
    <s v="대리점"/>
    <x v="0"/>
    <x v="23"/>
    <x v="1"/>
    <x v="976"/>
    <s v="HP2637072612"/>
    <x v="0"/>
    <n v="0"/>
  </r>
  <r>
    <x v="1"/>
    <x v="2"/>
    <x v="8"/>
    <x v="29"/>
    <x v="81"/>
    <x v="81"/>
    <x v="7"/>
    <s v="N"/>
    <s v="Y"/>
    <x v="1"/>
    <x v="0"/>
    <x v="0"/>
    <x v="0"/>
    <m/>
    <m/>
    <s v="대리점"/>
    <x v="0"/>
    <x v="23"/>
    <x v="1"/>
    <x v="976"/>
    <s v="HP2637072612"/>
    <x v="1"/>
    <n v="2199800"/>
  </r>
  <r>
    <x v="1"/>
    <x v="2"/>
    <x v="8"/>
    <x v="29"/>
    <x v="81"/>
    <x v="81"/>
    <x v="8"/>
    <s v="Y"/>
    <s v="N"/>
    <x v="0"/>
    <x v="0"/>
    <x v="0"/>
    <x v="0"/>
    <s v="성인"/>
    <s v="성인"/>
    <s v="대리점"/>
    <x v="0"/>
    <x v="0"/>
    <x v="0"/>
    <x v="977"/>
    <s v="HP2637088824"/>
    <x v="0"/>
    <n v="2"/>
  </r>
  <r>
    <x v="1"/>
    <x v="2"/>
    <x v="8"/>
    <x v="29"/>
    <x v="81"/>
    <x v="81"/>
    <x v="8"/>
    <s v="Y"/>
    <s v="N"/>
    <x v="0"/>
    <x v="0"/>
    <x v="0"/>
    <x v="0"/>
    <s v="성인"/>
    <s v="성인"/>
    <s v="대리점"/>
    <x v="0"/>
    <x v="0"/>
    <x v="0"/>
    <x v="977"/>
    <s v="HP2637088824"/>
    <x v="1"/>
    <n v="2835800"/>
  </r>
  <r>
    <x v="1"/>
    <x v="2"/>
    <x v="8"/>
    <x v="29"/>
    <x v="81"/>
    <x v="81"/>
    <x v="9"/>
    <s v="Y"/>
    <s v="N"/>
    <x v="0"/>
    <x v="0"/>
    <x v="0"/>
    <x v="0"/>
    <s v="성인"/>
    <s v="성인"/>
    <s v="대리점"/>
    <x v="0"/>
    <x v="2"/>
    <x v="0"/>
    <x v="856"/>
    <s v="HP2637095112"/>
    <x v="0"/>
    <n v="2"/>
  </r>
  <r>
    <x v="1"/>
    <x v="2"/>
    <x v="8"/>
    <x v="29"/>
    <x v="81"/>
    <x v="81"/>
    <x v="9"/>
    <s v="Y"/>
    <s v="N"/>
    <x v="0"/>
    <x v="0"/>
    <x v="0"/>
    <x v="0"/>
    <s v="성인"/>
    <s v="성인"/>
    <s v="대리점"/>
    <x v="0"/>
    <x v="2"/>
    <x v="0"/>
    <x v="856"/>
    <s v="HP2637095112"/>
    <x v="1"/>
    <n v="1599800"/>
  </r>
  <r>
    <x v="1"/>
    <x v="2"/>
    <x v="8"/>
    <x v="29"/>
    <x v="81"/>
    <x v="81"/>
    <x v="9"/>
    <s v="Y"/>
    <s v="N"/>
    <x v="1"/>
    <x v="0"/>
    <x v="0"/>
    <x v="0"/>
    <s v="성인"/>
    <s v="성인"/>
    <s v="대리점"/>
    <x v="0"/>
    <x v="15"/>
    <x v="0"/>
    <x v="978"/>
    <s v="HP2637097168"/>
    <x v="0"/>
    <n v="2"/>
  </r>
  <r>
    <x v="1"/>
    <x v="2"/>
    <x v="8"/>
    <x v="29"/>
    <x v="81"/>
    <x v="81"/>
    <x v="9"/>
    <s v="Y"/>
    <s v="N"/>
    <x v="1"/>
    <x v="0"/>
    <x v="0"/>
    <x v="0"/>
    <s v="성인"/>
    <s v="성인"/>
    <s v="대리점"/>
    <x v="0"/>
    <x v="15"/>
    <x v="0"/>
    <x v="978"/>
    <s v="HP2637097168"/>
    <x v="1"/>
    <n v="5990400"/>
  </r>
  <r>
    <x v="1"/>
    <x v="2"/>
    <x v="8"/>
    <x v="30"/>
    <x v="82"/>
    <x v="82"/>
    <x v="0"/>
    <s v="N"/>
    <s v="N"/>
    <x v="4"/>
    <x v="1"/>
    <x v="0"/>
    <x v="0"/>
    <m/>
    <m/>
    <s v="닷컴"/>
    <x v="4"/>
    <x v="12"/>
    <x v="1"/>
    <x v="979"/>
    <s v="HB2636935314"/>
    <x v="0"/>
    <n v="0"/>
  </r>
  <r>
    <x v="1"/>
    <x v="2"/>
    <x v="8"/>
    <x v="30"/>
    <x v="82"/>
    <x v="82"/>
    <x v="0"/>
    <s v="N"/>
    <s v="N"/>
    <x v="4"/>
    <x v="1"/>
    <x v="0"/>
    <x v="0"/>
    <m/>
    <m/>
    <s v="닷컴"/>
    <x v="4"/>
    <x v="12"/>
    <x v="1"/>
    <x v="979"/>
    <s v="HB2636935314"/>
    <x v="1"/>
    <n v="665800"/>
  </r>
  <r>
    <x v="1"/>
    <x v="2"/>
    <x v="8"/>
    <x v="30"/>
    <x v="82"/>
    <x v="82"/>
    <x v="0"/>
    <s v="N"/>
    <s v="N"/>
    <x v="0"/>
    <x v="0"/>
    <x v="0"/>
    <x v="0"/>
    <s v="성인"/>
    <s v="성인"/>
    <s v="닷컴"/>
    <x v="4"/>
    <x v="2"/>
    <x v="0"/>
    <x v="980"/>
    <s v="HP2636919682"/>
    <x v="0"/>
    <n v="2"/>
  </r>
  <r>
    <x v="1"/>
    <x v="2"/>
    <x v="8"/>
    <x v="30"/>
    <x v="82"/>
    <x v="82"/>
    <x v="0"/>
    <s v="N"/>
    <s v="N"/>
    <x v="0"/>
    <x v="0"/>
    <x v="0"/>
    <x v="0"/>
    <s v="성인"/>
    <s v="성인"/>
    <s v="닷컴"/>
    <x v="4"/>
    <x v="2"/>
    <x v="0"/>
    <x v="980"/>
    <s v="HP2636919682"/>
    <x v="1"/>
    <n v="1399800"/>
  </r>
  <r>
    <x v="1"/>
    <x v="2"/>
    <x v="8"/>
    <x v="30"/>
    <x v="82"/>
    <x v="82"/>
    <x v="0"/>
    <s v="N"/>
    <s v="N"/>
    <x v="0"/>
    <x v="0"/>
    <x v="0"/>
    <x v="0"/>
    <m/>
    <m/>
    <s v="대리점"/>
    <x v="0"/>
    <x v="2"/>
    <x v="0"/>
    <x v="981"/>
    <s v="HP2636926072"/>
    <x v="0"/>
    <n v="12"/>
  </r>
  <r>
    <x v="1"/>
    <x v="2"/>
    <x v="8"/>
    <x v="30"/>
    <x v="82"/>
    <x v="82"/>
    <x v="0"/>
    <s v="N"/>
    <s v="N"/>
    <x v="0"/>
    <x v="0"/>
    <x v="0"/>
    <x v="0"/>
    <m/>
    <m/>
    <s v="대리점"/>
    <x v="0"/>
    <x v="2"/>
    <x v="0"/>
    <x v="981"/>
    <s v="HP2636926072"/>
    <x v="1"/>
    <n v="10140000"/>
  </r>
  <r>
    <x v="1"/>
    <x v="2"/>
    <x v="8"/>
    <x v="30"/>
    <x v="82"/>
    <x v="82"/>
    <x v="1"/>
    <s v="N"/>
    <s v="N"/>
    <x v="0"/>
    <x v="0"/>
    <x v="0"/>
    <x v="0"/>
    <s v="성인"/>
    <s v="성인"/>
    <s v="대리점"/>
    <x v="0"/>
    <x v="6"/>
    <x v="0"/>
    <x v="982"/>
    <s v="HP2636956762"/>
    <x v="0"/>
    <n v="1"/>
  </r>
  <r>
    <x v="1"/>
    <x v="2"/>
    <x v="8"/>
    <x v="30"/>
    <x v="82"/>
    <x v="82"/>
    <x v="1"/>
    <s v="N"/>
    <s v="N"/>
    <x v="0"/>
    <x v="0"/>
    <x v="0"/>
    <x v="0"/>
    <s v="성인"/>
    <s v="성인"/>
    <s v="대리점"/>
    <x v="0"/>
    <x v="6"/>
    <x v="0"/>
    <x v="982"/>
    <s v="HP2636956762"/>
    <x v="1"/>
    <n v="1599000"/>
  </r>
  <r>
    <x v="1"/>
    <x v="2"/>
    <x v="8"/>
    <x v="30"/>
    <x v="82"/>
    <x v="82"/>
    <x v="1"/>
    <s v="N"/>
    <s v="N"/>
    <x v="0"/>
    <x v="0"/>
    <x v="0"/>
    <x v="0"/>
    <s v="청소년"/>
    <s v="청소년"/>
    <s v="대리점"/>
    <x v="0"/>
    <x v="6"/>
    <x v="0"/>
    <x v="982"/>
    <s v="HP2636956762"/>
    <x v="0"/>
    <n v="2"/>
  </r>
  <r>
    <x v="1"/>
    <x v="2"/>
    <x v="8"/>
    <x v="30"/>
    <x v="82"/>
    <x v="82"/>
    <x v="1"/>
    <s v="N"/>
    <s v="N"/>
    <x v="0"/>
    <x v="0"/>
    <x v="0"/>
    <x v="0"/>
    <s v="청소년"/>
    <s v="청소년"/>
    <s v="대리점"/>
    <x v="0"/>
    <x v="6"/>
    <x v="0"/>
    <x v="982"/>
    <s v="HP2636956762"/>
    <x v="1"/>
    <n v="3198000"/>
  </r>
  <r>
    <x v="1"/>
    <x v="2"/>
    <x v="8"/>
    <x v="30"/>
    <x v="82"/>
    <x v="82"/>
    <x v="2"/>
    <s v="Y"/>
    <s v="Y"/>
    <x v="0"/>
    <x v="0"/>
    <x v="0"/>
    <x v="0"/>
    <s v="성인"/>
    <s v="성인"/>
    <s v="닷컴"/>
    <x v="5"/>
    <x v="2"/>
    <x v="0"/>
    <x v="983"/>
    <s v="HP2636967206"/>
    <x v="0"/>
    <n v="3"/>
  </r>
  <r>
    <x v="1"/>
    <x v="2"/>
    <x v="8"/>
    <x v="30"/>
    <x v="82"/>
    <x v="82"/>
    <x v="2"/>
    <s v="Y"/>
    <s v="Y"/>
    <x v="0"/>
    <x v="0"/>
    <x v="0"/>
    <x v="0"/>
    <s v="성인"/>
    <s v="성인"/>
    <s v="닷컴"/>
    <x v="5"/>
    <x v="2"/>
    <x v="0"/>
    <x v="983"/>
    <s v="HP2636967206"/>
    <x v="1"/>
    <n v="4739700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4"/>
    <s v="HP2636963502"/>
    <x v="0"/>
    <n v="3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4"/>
    <s v="HP2636963502"/>
    <x v="1"/>
    <n v="503700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5"/>
    <s v="HP2636965036"/>
    <x v="0"/>
    <n v="2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5"/>
    <s v="HP2636965036"/>
    <x v="1"/>
    <n v="1951800"/>
  </r>
  <r>
    <x v="1"/>
    <x v="2"/>
    <x v="8"/>
    <x v="30"/>
    <x v="82"/>
    <x v="82"/>
    <x v="2"/>
    <s v="Y"/>
    <s v="Y"/>
    <x v="0"/>
    <x v="0"/>
    <x v="0"/>
    <x v="0"/>
    <s v="아동"/>
    <s v="아동"/>
    <s v="닷컴"/>
    <x v="5"/>
    <x v="2"/>
    <x v="0"/>
    <x v="983"/>
    <s v="HP2636967206"/>
    <x v="0"/>
    <n v="1"/>
  </r>
  <r>
    <x v="1"/>
    <x v="2"/>
    <x v="8"/>
    <x v="30"/>
    <x v="82"/>
    <x v="82"/>
    <x v="2"/>
    <s v="Y"/>
    <s v="Y"/>
    <x v="0"/>
    <x v="0"/>
    <x v="0"/>
    <x v="0"/>
    <s v="아동"/>
    <s v="아동"/>
    <s v="닷컴"/>
    <x v="5"/>
    <x v="2"/>
    <x v="0"/>
    <x v="983"/>
    <s v="HP2636967206"/>
    <x v="1"/>
    <n v="1579900"/>
  </r>
  <r>
    <x v="1"/>
    <x v="2"/>
    <x v="8"/>
    <x v="30"/>
    <x v="82"/>
    <x v="82"/>
    <x v="2"/>
    <s v="Y"/>
    <s v="Y"/>
    <x v="0"/>
    <x v="0"/>
    <x v="0"/>
    <x v="0"/>
    <s v="아동"/>
    <s v="아동"/>
    <s v="대리점"/>
    <x v="0"/>
    <x v="2"/>
    <x v="0"/>
    <x v="985"/>
    <s v="HP2636965036"/>
    <x v="0"/>
    <n v="1"/>
  </r>
  <r>
    <x v="1"/>
    <x v="2"/>
    <x v="8"/>
    <x v="30"/>
    <x v="82"/>
    <x v="82"/>
    <x v="2"/>
    <s v="Y"/>
    <s v="Y"/>
    <x v="0"/>
    <x v="0"/>
    <x v="0"/>
    <x v="0"/>
    <s v="아동"/>
    <s v="아동"/>
    <s v="대리점"/>
    <x v="0"/>
    <x v="2"/>
    <x v="0"/>
    <x v="985"/>
    <s v="HP2636965036"/>
    <x v="1"/>
    <n v="975900"/>
  </r>
  <r>
    <x v="1"/>
    <x v="2"/>
    <x v="8"/>
    <x v="30"/>
    <x v="82"/>
    <x v="82"/>
    <x v="2"/>
    <s v="Y"/>
    <s v="Y"/>
    <x v="0"/>
    <x v="0"/>
    <x v="0"/>
    <x v="1"/>
    <s v="아동"/>
    <s v="아동"/>
    <s v="대리점"/>
    <x v="0"/>
    <x v="2"/>
    <x v="0"/>
    <x v="985"/>
    <s v="HP2636965036"/>
    <x v="0"/>
    <n v="1"/>
  </r>
  <r>
    <x v="1"/>
    <x v="2"/>
    <x v="8"/>
    <x v="30"/>
    <x v="82"/>
    <x v="82"/>
    <x v="2"/>
    <s v="Y"/>
    <s v="Y"/>
    <x v="0"/>
    <x v="0"/>
    <x v="0"/>
    <x v="1"/>
    <s v="아동"/>
    <s v="아동"/>
    <s v="대리점"/>
    <x v="0"/>
    <x v="2"/>
    <x v="0"/>
    <x v="985"/>
    <s v="HP2636965036"/>
    <x v="1"/>
    <n v="975900"/>
  </r>
  <r>
    <x v="1"/>
    <x v="2"/>
    <x v="8"/>
    <x v="30"/>
    <x v="82"/>
    <x v="82"/>
    <x v="2"/>
    <s v="Y"/>
    <s v="Y"/>
    <x v="1"/>
    <x v="0"/>
    <x v="0"/>
    <x v="0"/>
    <m/>
    <m/>
    <s v="대리점"/>
    <x v="0"/>
    <x v="2"/>
    <x v="1"/>
    <x v="986"/>
    <s v="HP2636965362"/>
    <x v="0"/>
    <n v="0"/>
  </r>
  <r>
    <x v="1"/>
    <x v="2"/>
    <x v="8"/>
    <x v="30"/>
    <x v="82"/>
    <x v="82"/>
    <x v="2"/>
    <s v="Y"/>
    <s v="Y"/>
    <x v="1"/>
    <x v="0"/>
    <x v="0"/>
    <x v="0"/>
    <m/>
    <m/>
    <s v="대리점"/>
    <x v="0"/>
    <x v="2"/>
    <x v="1"/>
    <x v="986"/>
    <s v="HP2636965362"/>
    <x v="1"/>
    <n v="10159200"/>
  </r>
  <r>
    <x v="1"/>
    <x v="2"/>
    <x v="8"/>
    <x v="30"/>
    <x v="82"/>
    <x v="82"/>
    <x v="11"/>
    <s v="Y"/>
    <s v="N"/>
    <x v="4"/>
    <x v="1"/>
    <x v="0"/>
    <x v="0"/>
    <s v="성인"/>
    <s v="성인"/>
    <s v="닷컴"/>
    <x v="4"/>
    <x v="12"/>
    <x v="0"/>
    <x v="987"/>
    <s v="HB2636977538"/>
    <x v="0"/>
    <n v="4"/>
  </r>
  <r>
    <x v="1"/>
    <x v="2"/>
    <x v="8"/>
    <x v="30"/>
    <x v="82"/>
    <x v="82"/>
    <x v="11"/>
    <s v="Y"/>
    <s v="N"/>
    <x v="4"/>
    <x v="1"/>
    <x v="0"/>
    <x v="0"/>
    <s v="성인"/>
    <s v="성인"/>
    <s v="닷컴"/>
    <x v="4"/>
    <x v="12"/>
    <x v="0"/>
    <x v="987"/>
    <s v="HB2636977538"/>
    <x v="1"/>
    <n v="2411600"/>
  </r>
  <r>
    <x v="1"/>
    <x v="2"/>
    <x v="8"/>
    <x v="30"/>
    <x v="82"/>
    <x v="82"/>
    <x v="11"/>
    <s v="Y"/>
    <s v="N"/>
    <x v="0"/>
    <x v="0"/>
    <x v="0"/>
    <x v="0"/>
    <s v="성인"/>
    <s v="성인"/>
    <s v="닷컴"/>
    <x v="4"/>
    <x v="13"/>
    <x v="0"/>
    <x v="988"/>
    <s v="HP2636979998"/>
    <x v="0"/>
    <n v="3"/>
  </r>
  <r>
    <x v="1"/>
    <x v="2"/>
    <x v="8"/>
    <x v="30"/>
    <x v="82"/>
    <x v="82"/>
    <x v="11"/>
    <s v="Y"/>
    <s v="N"/>
    <x v="0"/>
    <x v="0"/>
    <x v="0"/>
    <x v="0"/>
    <s v="성인"/>
    <s v="성인"/>
    <s v="닷컴"/>
    <x v="4"/>
    <x v="13"/>
    <x v="0"/>
    <x v="988"/>
    <s v="HP2636979998"/>
    <x v="1"/>
    <n v="2183700"/>
  </r>
  <r>
    <x v="1"/>
    <x v="2"/>
    <x v="8"/>
    <x v="30"/>
    <x v="82"/>
    <x v="82"/>
    <x v="3"/>
    <s v="N"/>
    <s v="Y"/>
    <x v="0"/>
    <x v="0"/>
    <x v="0"/>
    <x v="0"/>
    <s v="성인"/>
    <s v="성인"/>
    <s v="대리점"/>
    <x v="0"/>
    <x v="2"/>
    <x v="0"/>
    <x v="989"/>
    <s v="HP2636984906"/>
    <x v="0"/>
    <n v="4"/>
  </r>
  <r>
    <x v="1"/>
    <x v="2"/>
    <x v="8"/>
    <x v="30"/>
    <x v="82"/>
    <x v="82"/>
    <x v="3"/>
    <s v="N"/>
    <s v="Y"/>
    <x v="0"/>
    <x v="0"/>
    <x v="0"/>
    <x v="0"/>
    <s v="성인"/>
    <s v="성인"/>
    <s v="대리점"/>
    <x v="0"/>
    <x v="2"/>
    <x v="0"/>
    <x v="989"/>
    <s v="HP2636984906"/>
    <x v="1"/>
    <n v="6599600"/>
  </r>
  <r>
    <x v="1"/>
    <x v="2"/>
    <x v="8"/>
    <x v="30"/>
    <x v="82"/>
    <x v="82"/>
    <x v="3"/>
    <s v="N"/>
    <s v="Y"/>
    <x v="0"/>
    <x v="0"/>
    <x v="0"/>
    <x v="0"/>
    <s v="아동"/>
    <s v="아동"/>
    <s v="대리점"/>
    <x v="0"/>
    <x v="2"/>
    <x v="0"/>
    <x v="989"/>
    <s v="HP2636984906"/>
    <x v="0"/>
    <n v="1"/>
  </r>
  <r>
    <x v="1"/>
    <x v="2"/>
    <x v="8"/>
    <x v="30"/>
    <x v="82"/>
    <x v="82"/>
    <x v="3"/>
    <s v="N"/>
    <s v="Y"/>
    <x v="0"/>
    <x v="0"/>
    <x v="0"/>
    <x v="0"/>
    <s v="아동"/>
    <s v="아동"/>
    <s v="대리점"/>
    <x v="0"/>
    <x v="2"/>
    <x v="0"/>
    <x v="989"/>
    <s v="HP2636984906"/>
    <x v="1"/>
    <n v="1649900"/>
  </r>
  <r>
    <x v="1"/>
    <x v="2"/>
    <x v="8"/>
    <x v="30"/>
    <x v="82"/>
    <x v="82"/>
    <x v="3"/>
    <s v="N"/>
    <s v="Y"/>
    <x v="0"/>
    <x v="0"/>
    <x v="0"/>
    <x v="0"/>
    <s v="청소년"/>
    <s v="청소년"/>
    <s v="대리점"/>
    <x v="0"/>
    <x v="2"/>
    <x v="0"/>
    <x v="989"/>
    <s v="HP2636984906"/>
    <x v="0"/>
    <n v="2"/>
  </r>
  <r>
    <x v="1"/>
    <x v="2"/>
    <x v="8"/>
    <x v="30"/>
    <x v="82"/>
    <x v="82"/>
    <x v="3"/>
    <s v="N"/>
    <s v="Y"/>
    <x v="0"/>
    <x v="0"/>
    <x v="0"/>
    <x v="0"/>
    <s v="청소년"/>
    <s v="청소년"/>
    <s v="대리점"/>
    <x v="0"/>
    <x v="2"/>
    <x v="0"/>
    <x v="989"/>
    <s v="HP2636984906"/>
    <x v="1"/>
    <n v="3299800"/>
  </r>
  <r>
    <x v="1"/>
    <x v="2"/>
    <x v="8"/>
    <x v="30"/>
    <x v="82"/>
    <x v="82"/>
    <x v="4"/>
    <s v="N"/>
    <s v="N"/>
    <x v="4"/>
    <x v="2"/>
    <x v="0"/>
    <x v="0"/>
    <s v="성인"/>
    <s v="성인"/>
    <s v="대리점"/>
    <x v="0"/>
    <x v="2"/>
    <x v="0"/>
    <x v="990"/>
    <s v="HQ2637000654"/>
    <x v="0"/>
    <n v="8"/>
  </r>
  <r>
    <x v="1"/>
    <x v="2"/>
    <x v="8"/>
    <x v="30"/>
    <x v="82"/>
    <x v="82"/>
    <x v="4"/>
    <s v="N"/>
    <s v="N"/>
    <x v="4"/>
    <x v="2"/>
    <x v="0"/>
    <x v="0"/>
    <s v="성인"/>
    <s v="성인"/>
    <s v="대리점"/>
    <x v="0"/>
    <x v="2"/>
    <x v="0"/>
    <x v="990"/>
    <s v="HQ2637000654"/>
    <x v="1"/>
    <n v="7680000"/>
  </r>
  <r>
    <x v="1"/>
    <x v="2"/>
    <x v="8"/>
    <x v="30"/>
    <x v="82"/>
    <x v="82"/>
    <x v="4"/>
    <s v="N"/>
    <s v="N"/>
    <x v="4"/>
    <x v="2"/>
    <x v="0"/>
    <x v="1"/>
    <s v="유아"/>
    <s v="유아"/>
    <s v="대리점"/>
    <x v="0"/>
    <x v="2"/>
    <x v="0"/>
    <x v="990"/>
    <s v="HQ2637000654"/>
    <x v="0"/>
    <n v="1"/>
  </r>
  <r>
    <x v="1"/>
    <x v="2"/>
    <x v="8"/>
    <x v="30"/>
    <x v="82"/>
    <x v="82"/>
    <x v="4"/>
    <s v="N"/>
    <s v="N"/>
    <x v="4"/>
    <x v="2"/>
    <x v="0"/>
    <x v="1"/>
    <s v="유아"/>
    <s v="유아"/>
    <s v="대리점"/>
    <x v="0"/>
    <x v="2"/>
    <x v="0"/>
    <x v="990"/>
    <s v="HQ2637000654"/>
    <x v="1"/>
    <n v="960000"/>
  </r>
  <r>
    <x v="1"/>
    <x v="2"/>
    <x v="8"/>
    <x v="30"/>
    <x v="82"/>
    <x v="82"/>
    <x v="4"/>
    <s v="N"/>
    <s v="N"/>
    <x v="0"/>
    <x v="0"/>
    <x v="0"/>
    <x v="0"/>
    <s v="성인"/>
    <s v="성인"/>
    <s v="닷컴"/>
    <x v="4"/>
    <x v="2"/>
    <x v="0"/>
    <x v="991"/>
    <s v="HP2637019026"/>
    <x v="0"/>
    <n v="3"/>
  </r>
  <r>
    <x v="1"/>
    <x v="2"/>
    <x v="8"/>
    <x v="30"/>
    <x v="82"/>
    <x v="82"/>
    <x v="4"/>
    <s v="N"/>
    <s v="N"/>
    <x v="0"/>
    <x v="0"/>
    <x v="0"/>
    <x v="0"/>
    <s v="성인"/>
    <s v="성인"/>
    <s v="닷컴"/>
    <x v="4"/>
    <x v="2"/>
    <x v="0"/>
    <x v="991"/>
    <s v="HP2637019026"/>
    <x v="1"/>
    <n v="3203700"/>
  </r>
  <r>
    <x v="1"/>
    <x v="2"/>
    <x v="8"/>
    <x v="30"/>
    <x v="82"/>
    <x v="82"/>
    <x v="4"/>
    <s v="N"/>
    <s v="N"/>
    <x v="0"/>
    <x v="0"/>
    <x v="0"/>
    <x v="0"/>
    <s v="성인"/>
    <s v="성인"/>
    <s v="대리점"/>
    <x v="0"/>
    <x v="2"/>
    <x v="0"/>
    <x v="992"/>
    <s v="HP2637014110"/>
    <x v="0"/>
    <n v="2"/>
  </r>
  <r>
    <x v="1"/>
    <x v="2"/>
    <x v="8"/>
    <x v="30"/>
    <x v="82"/>
    <x v="82"/>
    <x v="4"/>
    <s v="N"/>
    <s v="N"/>
    <x v="0"/>
    <x v="0"/>
    <x v="0"/>
    <x v="0"/>
    <s v="성인"/>
    <s v="성인"/>
    <s v="대리점"/>
    <x v="0"/>
    <x v="2"/>
    <x v="0"/>
    <x v="992"/>
    <s v="HP2637014110"/>
    <x v="1"/>
    <n v="747800"/>
  </r>
  <r>
    <x v="1"/>
    <x v="2"/>
    <x v="8"/>
    <x v="30"/>
    <x v="82"/>
    <x v="82"/>
    <x v="4"/>
    <s v="N"/>
    <s v="N"/>
    <x v="0"/>
    <x v="0"/>
    <x v="0"/>
    <x v="0"/>
    <s v="청소년"/>
    <s v="청소년"/>
    <s v="닷컴"/>
    <x v="4"/>
    <x v="2"/>
    <x v="0"/>
    <x v="991"/>
    <s v="HP2637019026"/>
    <x v="0"/>
    <n v="1"/>
  </r>
  <r>
    <x v="1"/>
    <x v="2"/>
    <x v="8"/>
    <x v="30"/>
    <x v="82"/>
    <x v="82"/>
    <x v="4"/>
    <s v="N"/>
    <s v="N"/>
    <x v="0"/>
    <x v="0"/>
    <x v="0"/>
    <x v="0"/>
    <s v="청소년"/>
    <s v="청소년"/>
    <s v="닷컴"/>
    <x v="4"/>
    <x v="2"/>
    <x v="0"/>
    <x v="991"/>
    <s v="HP2637019026"/>
    <x v="1"/>
    <n v="1067900"/>
  </r>
  <r>
    <x v="1"/>
    <x v="2"/>
    <x v="8"/>
    <x v="30"/>
    <x v="82"/>
    <x v="82"/>
    <x v="4"/>
    <s v="N"/>
    <s v="N"/>
    <x v="0"/>
    <x v="0"/>
    <x v="0"/>
    <x v="0"/>
    <m/>
    <m/>
    <s v="닷컴"/>
    <x v="4"/>
    <x v="2"/>
    <x v="0"/>
    <x v="991"/>
    <s v="HP2637006272"/>
    <x v="0"/>
    <n v="9"/>
  </r>
  <r>
    <x v="1"/>
    <x v="2"/>
    <x v="8"/>
    <x v="30"/>
    <x v="82"/>
    <x v="82"/>
    <x v="4"/>
    <s v="N"/>
    <s v="N"/>
    <x v="0"/>
    <x v="0"/>
    <x v="0"/>
    <x v="0"/>
    <m/>
    <m/>
    <s v="닷컴"/>
    <x v="4"/>
    <x v="2"/>
    <x v="0"/>
    <x v="991"/>
    <s v="HP2637006272"/>
    <x v="1"/>
    <n v="9431100"/>
  </r>
  <r>
    <x v="1"/>
    <x v="2"/>
    <x v="8"/>
    <x v="30"/>
    <x v="82"/>
    <x v="82"/>
    <x v="4"/>
    <s v="N"/>
    <s v="N"/>
    <x v="1"/>
    <x v="0"/>
    <x v="0"/>
    <x v="0"/>
    <s v="성인"/>
    <s v="성인"/>
    <s v="대리점"/>
    <x v="0"/>
    <x v="3"/>
    <x v="0"/>
    <x v="993"/>
    <s v="HP2636999580"/>
    <x v="0"/>
    <n v="4"/>
  </r>
  <r>
    <x v="1"/>
    <x v="2"/>
    <x v="8"/>
    <x v="30"/>
    <x v="82"/>
    <x v="82"/>
    <x v="4"/>
    <s v="N"/>
    <s v="N"/>
    <x v="1"/>
    <x v="0"/>
    <x v="0"/>
    <x v="0"/>
    <s v="성인"/>
    <s v="성인"/>
    <s v="대리점"/>
    <x v="0"/>
    <x v="3"/>
    <x v="0"/>
    <x v="993"/>
    <s v="HP2636999580"/>
    <x v="1"/>
    <n v="2439600"/>
  </r>
  <r>
    <x v="1"/>
    <x v="2"/>
    <x v="8"/>
    <x v="30"/>
    <x v="82"/>
    <x v="82"/>
    <x v="4"/>
    <s v="N"/>
    <s v="N"/>
    <x v="1"/>
    <x v="0"/>
    <x v="0"/>
    <x v="0"/>
    <m/>
    <m/>
    <s v="대리점"/>
    <x v="0"/>
    <x v="3"/>
    <x v="1"/>
    <x v="993"/>
    <s v="HP2636999580"/>
    <x v="0"/>
    <n v="0"/>
  </r>
  <r>
    <x v="1"/>
    <x v="2"/>
    <x v="8"/>
    <x v="30"/>
    <x v="82"/>
    <x v="82"/>
    <x v="4"/>
    <s v="N"/>
    <s v="N"/>
    <x v="1"/>
    <x v="0"/>
    <x v="0"/>
    <x v="0"/>
    <m/>
    <m/>
    <s v="대리점"/>
    <x v="0"/>
    <x v="3"/>
    <x v="1"/>
    <x v="993"/>
    <s v="HP2636999580"/>
    <x v="1"/>
    <n v="609900"/>
  </r>
  <r>
    <x v="1"/>
    <x v="2"/>
    <x v="8"/>
    <x v="30"/>
    <x v="82"/>
    <x v="82"/>
    <x v="5"/>
    <s v="N"/>
    <s v="N"/>
    <x v="0"/>
    <x v="0"/>
    <x v="0"/>
    <x v="0"/>
    <m/>
    <m/>
    <s v="대리점"/>
    <x v="0"/>
    <x v="2"/>
    <x v="1"/>
    <x v="994"/>
    <s v="HP2637026192"/>
    <x v="0"/>
    <n v="0"/>
  </r>
  <r>
    <x v="1"/>
    <x v="2"/>
    <x v="8"/>
    <x v="30"/>
    <x v="82"/>
    <x v="82"/>
    <x v="5"/>
    <s v="N"/>
    <s v="N"/>
    <x v="0"/>
    <x v="0"/>
    <x v="0"/>
    <x v="0"/>
    <m/>
    <m/>
    <s v="대리점"/>
    <x v="0"/>
    <x v="2"/>
    <x v="1"/>
    <x v="994"/>
    <s v="HP2637026192"/>
    <x v="1"/>
    <n v="2059800"/>
  </r>
  <r>
    <x v="1"/>
    <x v="2"/>
    <x v="8"/>
    <x v="30"/>
    <x v="82"/>
    <x v="82"/>
    <x v="5"/>
    <s v="N"/>
    <s v="N"/>
    <x v="2"/>
    <x v="0"/>
    <x v="0"/>
    <x v="0"/>
    <s v="성인"/>
    <s v="성인"/>
    <s v="대리점"/>
    <x v="0"/>
    <x v="2"/>
    <x v="0"/>
    <x v="995"/>
    <s v="HP2637034094"/>
    <x v="0"/>
    <n v="2"/>
  </r>
  <r>
    <x v="1"/>
    <x v="2"/>
    <x v="8"/>
    <x v="30"/>
    <x v="82"/>
    <x v="82"/>
    <x v="5"/>
    <s v="N"/>
    <s v="N"/>
    <x v="2"/>
    <x v="0"/>
    <x v="0"/>
    <x v="0"/>
    <s v="성인"/>
    <s v="성인"/>
    <s v="대리점"/>
    <x v="0"/>
    <x v="2"/>
    <x v="0"/>
    <x v="995"/>
    <s v="HP2637034094"/>
    <x v="1"/>
    <n v="2948800"/>
  </r>
  <r>
    <x v="1"/>
    <x v="2"/>
    <x v="8"/>
    <x v="30"/>
    <x v="82"/>
    <x v="82"/>
    <x v="5"/>
    <s v="N"/>
    <s v="N"/>
    <x v="2"/>
    <x v="0"/>
    <x v="0"/>
    <x v="0"/>
    <s v="청소년"/>
    <s v="청소년"/>
    <s v="대리점"/>
    <x v="0"/>
    <x v="2"/>
    <x v="0"/>
    <x v="995"/>
    <s v="HP2637034094"/>
    <x v="0"/>
    <n v="1"/>
  </r>
  <r>
    <x v="1"/>
    <x v="2"/>
    <x v="8"/>
    <x v="30"/>
    <x v="82"/>
    <x v="82"/>
    <x v="5"/>
    <s v="N"/>
    <s v="N"/>
    <x v="2"/>
    <x v="0"/>
    <x v="0"/>
    <x v="0"/>
    <s v="청소년"/>
    <s v="청소년"/>
    <s v="대리점"/>
    <x v="0"/>
    <x v="2"/>
    <x v="0"/>
    <x v="995"/>
    <s v="HP2637034094"/>
    <x v="1"/>
    <n v="1474400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16"/>
    <x v="0"/>
    <x v="996"/>
    <s v="HP2637047844"/>
    <x v="0"/>
    <n v="2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16"/>
    <x v="0"/>
    <x v="996"/>
    <s v="HP2637047844"/>
    <x v="1"/>
    <n v="3155800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7"/>
    <s v="HP2637058908"/>
    <x v="0"/>
    <n v="3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7"/>
    <s v="HP2637058908"/>
    <x v="1"/>
    <n v="1974000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8"/>
    <s v="HP2637063222"/>
    <x v="0"/>
    <n v="4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8"/>
    <s v="HP2637063222"/>
    <x v="1"/>
    <n v="3079600"/>
  </r>
  <r>
    <x v="1"/>
    <x v="2"/>
    <x v="8"/>
    <x v="30"/>
    <x v="82"/>
    <x v="82"/>
    <x v="6"/>
    <s v="N"/>
    <s v="N"/>
    <x v="0"/>
    <x v="0"/>
    <x v="0"/>
    <x v="0"/>
    <m/>
    <m/>
    <s v="대리점"/>
    <x v="0"/>
    <x v="16"/>
    <x v="0"/>
    <x v="996"/>
    <s v="HP2637047844"/>
    <x v="0"/>
    <n v="2"/>
  </r>
  <r>
    <x v="1"/>
    <x v="2"/>
    <x v="8"/>
    <x v="30"/>
    <x v="82"/>
    <x v="82"/>
    <x v="6"/>
    <s v="N"/>
    <s v="N"/>
    <x v="0"/>
    <x v="0"/>
    <x v="0"/>
    <x v="0"/>
    <m/>
    <m/>
    <s v="대리점"/>
    <x v="0"/>
    <x v="16"/>
    <x v="0"/>
    <x v="996"/>
    <s v="HP2637047844"/>
    <x v="1"/>
    <n v="3155800"/>
  </r>
  <r>
    <x v="1"/>
    <x v="2"/>
    <x v="8"/>
    <x v="30"/>
    <x v="82"/>
    <x v="82"/>
    <x v="6"/>
    <s v="N"/>
    <s v="N"/>
    <x v="1"/>
    <x v="0"/>
    <x v="0"/>
    <x v="0"/>
    <s v="성인"/>
    <s v="성인"/>
    <s v="닷컴"/>
    <x v="4"/>
    <x v="2"/>
    <x v="0"/>
    <x v="999"/>
    <s v="HP2637051846"/>
    <x v="0"/>
    <n v="2"/>
  </r>
  <r>
    <x v="1"/>
    <x v="2"/>
    <x v="8"/>
    <x v="30"/>
    <x v="82"/>
    <x v="82"/>
    <x v="6"/>
    <s v="N"/>
    <s v="N"/>
    <x v="1"/>
    <x v="0"/>
    <x v="0"/>
    <x v="0"/>
    <s v="성인"/>
    <s v="성인"/>
    <s v="닷컴"/>
    <x v="4"/>
    <x v="2"/>
    <x v="0"/>
    <x v="999"/>
    <s v="HP2637051846"/>
    <x v="1"/>
    <n v="3299800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458"/>
    <x v="0"/>
    <n v="4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458"/>
    <x v="1"/>
    <n v="1707600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612"/>
    <x v="0"/>
    <n v="1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612"/>
    <x v="1"/>
    <n v="426900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2"/>
    <x v="0"/>
    <x v="1001"/>
    <s v="HP2637072694"/>
    <x v="0"/>
    <n v="4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2"/>
    <x v="0"/>
    <x v="1001"/>
    <s v="HP2637072694"/>
    <x v="1"/>
    <n v="2671600"/>
  </r>
  <r>
    <x v="1"/>
    <x v="2"/>
    <x v="8"/>
    <x v="30"/>
    <x v="82"/>
    <x v="82"/>
    <x v="7"/>
    <s v="N"/>
    <s v="Y"/>
    <x v="0"/>
    <x v="0"/>
    <x v="0"/>
    <x v="0"/>
    <m/>
    <m/>
    <s v="대리점"/>
    <x v="0"/>
    <x v="17"/>
    <x v="0"/>
    <x v="1000"/>
    <s v="HP2637069612"/>
    <x v="0"/>
    <n v="3"/>
  </r>
  <r>
    <x v="1"/>
    <x v="2"/>
    <x v="8"/>
    <x v="30"/>
    <x v="82"/>
    <x v="82"/>
    <x v="7"/>
    <s v="N"/>
    <s v="Y"/>
    <x v="0"/>
    <x v="0"/>
    <x v="0"/>
    <x v="0"/>
    <m/>
    <m/>
    <s v="대리점"/>
    <x v="0"/>
    <x v="17"/>
    <x v="0"/>
    <x v="1000"/>
    <s v="HP2637069612"/>
    <x v="1"/>
    <n v="1280700"/>
  </r>
  <r>
    <x v="1"/>
    <x v="2"/>
    <x v="8"/>
    <x v="30"/>
    <x v="82"/>
    <x v="82"/>
    <x v="8"/>
    <s v="Y"/>
    <s v="N"/>
    <x v="0"/>
    <x v="0"/>
    <x v="0"/>
    <x v="0"/>
    <s v="성인"/>
    <s v="성인"/>
    <s v="닷컴"/>
    <x v="4"/>
    <x v="2"/>
    <x v="0"/>
    <x v="1002"/>
    <s v="HP2637085526"/>
    <x v="0"/>
    <n v="7"/>
  </r>
  <r>
    <x v="1"/>
    <x v="2"/>
    <x v="8"/>
    <x v="30"/>
    <x v="82"/>
    <x v="82"/>
    <x v="8"/>
    <s v="Y"/>
    <s v="N"/>
    <x v="0"/>
    <x v="0"/>
    <x v="0"/>
    <x v="0"/>
    <s v="성인"/>
    <s v="성인"/>
    <s v="닷컴"/>
    <x v="4"/>
    <x v="2"/>
    <x v="0"/>
    <x v="1002"/>
    <s v="HP2637085526"/>
    <x v="1"/>
    <n v="5796700"/>
  </r>
  <r>
    <x v="1"/>
    <x v="2"/>
    <x v="8"/>
    <x v="30"/>
    <x v="82"/>
    <x v="82"/>
    <x v="10"/>
    <s v="N"/>
    <s v="N"/>
    <x v="0"/>
    <x v="0"/>
    <x v="0"/>
    <x v="0"/>
    <m/>
    <m/>
    <s v="닷컴"/>
    <x v="4"/>
    <x v="2"/>
    <x v="0"/>
    <x v="1003"/>
    <s v="HP2637127082"/>
    <x v="0"/>
    <n v="3"/>
  </r>
  <r>
    <x v="1"/>
    <x v="2"/>
    <x v="8"/>
    <x v="30"/>
    <x v="82"/>
    <x v="82"/>
    <x v="10"/>
    <s v="N"/>
    <s v="N"/>
    <x v="0"/>
    <x v="0"/>
    <x v="0"/>
    <x v="0"/>
    <m/>
    <m/>
    <s v="닷컴"/>
    <x v="4"/>
    <x v="2"/>
    <x v="0"/>
    <x v="1003"/>
    <s v="HP2637127082"/>
    <x v="1"/>
    <n v="263070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14"/>
    <x v="0"/>
    <x v="1004"/>
    <s v="HP2637122352"/>
    <x v="0"/>
    <n v="3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14"/>
    <x v="0"/>
    <x v="1004"/>
    <s v="HP2637122352"/>
    <x v="1"/>
    <n v="363270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0"/>
    <x v="1005"/>
    <s v="HP2637119858"/>
    <x v="0"/>
    <n v="2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0"/>
    <x v="1005"/>
    <s v="HP2637119858"/>
    <x v="1"/>
    <n v="147600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1"/>
    <x v="953"/>
    <s v="HP2637113940"/>
    <x v="0"/>
    <n v="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1"/>
    <x v="953"/>
    <s v="HP2637113940"/>
    <x v="1"/>
    <n v="1053800"/>
  </r>
  <r>
    <x v="1"/>
    <x v="2"/>
    <x v="8"/>
    <x v="30"/>
    <x v="82"/>
    <x v="82"/>
    <x v="10"/>
    <s v="N"/>
    <s v="N"/>
    <x v="0"/>
    <x v="0"/>
    <x v="0"/>
    <x v="1"/>
    <m/>
    <m/>
    <s v="대리점"/>
    <x v="0"/>
    <x v="2"/>
    <x v="1"/>
    <x v="953"/>
    <s v="HP2637113940"/>
    <x v="0"/>
    <n v="0"/>
  </r>
  <r>
    <x v="1"/>
    <x v="2"/>
    <x v="8"/>
    <x v="30"/>
    <x v="82"/>
    <x v="82"/>
    <x v="10"/>
    <s v="N"/>
    <s v="N"/>
    <x v="0"/>
    <x v="0"/>
    <x v="0"/>
    <x v="1"/>
    <m/>
    <m/>
    <s v="대리점"/>
    <x v="0"/>
    <x v="2"/>
    <x v="1"/>
    <x v="953"/>
    <s v="HP2637113940"/>
    <x v="1"/>
    <n v="1053800"/>
  </r>
  <r>
    <x v="1"/>
    <x v="2"/>
    <x v="8"/>
    <x v="31"/>
    <x v="83"/>
    <x v="83"/>
    <x v="0"/>
    <s v="N"/>
    <s v="N"/>
    <x v="2"/>
    <x v="0"/>
    <x v="0"/>
    <x v="0"/>
    <s v="성인"/>
    <s v="성인"/>
    <s v="대리점"/>
    <x v="0"/>
    <x v="2"/>
    <x v="0"/>
    <x v="1006"/>
    <s v="HP2636922914"/>
    <x v="0"/>
    <n v="3"/>
  </r>
  <r>
    <x v="1"/>
    <x v="2"/>
    <x v="8"/>
    <x v="31"/>
    <x v="83"/>
    <x v="83"/>
    <x v="0"/>
    <s v="N"/>
    <s v="N"/>
    <x v="2"/>
    <x v="0"/>
    <x v="0"/>
    <x v="0"/>
    <s v="성인"/>
    <s v="성인"/>
    <s v="대리점"/>
    <x v="0"/>
    <x v="2"/>
    <x v="0"/>
    <x v="1006"/>
    <s v="HP2636922914"/>
    <x v="1"/>
    <n v="4290600"/>
  </r>
  <r>
    <x v="1"/>
    <x v="2"/>
    <x v="8"/>
    <x v="31"/>
    <x v="83"/>
    <x v="83"/>
    <x v="1"/>
    <s v="N"/>
    <s v="N"/>
    <x v="4"/>
    <x v="9"/>
    <x v="0"/>
    <x v="0"/>
    <s v="성인"/>
    <s v="성인"/>
    <s v="직원"/>
    <x v="3"/>
    <x v="2"/>
    <x v="0"/>
    <x v="1007"/>
    <s v="HM2636950170"/>
    <x v="0"/>
    <n v="2"/>
  </r>
  <r>
    <x v="1"/>
    <x v="2"/>
    <x v="8"/>
    <x v="31"/>
    <x v="83"/>
    <x v="83"/>
    <x v="1"/>
    <s v="N"/>
    <s v="N"/>
    <x v="4"/>
    <x v="9"/>
    <x v="0"/>
    <x v="0"/>
    <s v="성인"/>
    <s v="성인"/>
    <s v="직원"/>
    <x v="3"/>
    <x v="2"/>
    <x v="0"/>
    <x v="1007"/>
    <s v="HM2636950170"/>
    <x v="1"/>
    <n v="1599800"/>
  </r>
  <r>
    <x v="1"/>
    <x v="2"/>
    <x v="8"/>
    <x v="31"/>
    <x v="83"/>
    <x v="83"/>
    <x v="1"/>
    <s v="N"/>
    <s v="N"/>
    <x v="0"/>
    <x v="0"/>
    <x v="0"/>
    <x v="0"/>
    <s v="성인"/>
    <s v="성인"/>
    <s v="닷컴"/>
    <x v="5"/>
    <x v="2"/>
    <x v="0"/>
    <x v="1008"/>
    <s v="HP2636959588"/>
    <x v="0"/>
    <n v="3"/>
  </r>
  <r>
    <x v="1"/>
    <x v="2"/>
    <x v="8"/>
    <x v="31"/>
    <x v="83"/>
    <x v="83"/>
    <x v="1"/>
    <s v="N"/>
    <s v="N"/>
    <x v="0"/>
    <x v="0"/>
    <x v="0"/>
    <x v="0"/>
    <s v="성인"/>
    <s v="성인"/>
    <s v="닷컴"/>
    <x v="5"/>
    <x v="2"/>
    <x v="0"/>
    <x v="1008"/>
    <s v="HP2636959588"/>
    <x v="1"/>
    <n v="2184300"/>
  </r>
  <r>
    <x v="1"/>
    <x v="2"/>
    <x v="8"/>
    <x v="31"/>
    <x v="83"/>
    <x v="83"/>
    <x v="1"/>
    <s v="N"/>
    <s v="N"/>
    <x v="0"/>
    <x v="0"/>
    <x v="0"/>
    <x v="0"/>
    <m/>
    <m/>
    <s v="대리점"/>
    <x v="0"/>
    <x v="6"/>
    <x v="1"/>
    <x v="1009"/>
    <s v="HP2636949796"/>
    <x v="0"/>
    <n v="0"/>
  </r>
  <r>
    <x v="1"/>
    <x v="2"/>
    <x v="8"/>
    <x v="31"/>
    <x v="83"/>
    <x v="83"/>
    <x v="1"/>
    <s v="N"/>
    <s v="N"/>
    <x v="0"/>
    <x v="0"/>
    <x v="0"/>
    <x v="0"/>
    <m/>
    <m/>
    <s v="대리점"/>
    <x v="0"/>
    <x v="6"/>
    <x v="1"/>
    <x v="1009"/>
    <s v="HP2636949796"/>
    <x v="1"/>
    <n v="0"/>
  </r>
  <r>
    <x v="1"/>
    <x v="2"/>
    <x v="8"/>
    <x v="31"/>
    <x v="83"/>
    <x v="83"/>
    <x v="2"/>
    <s v="Y"/>
    <s v="Y"/>
    <x v="0"/>
    <x v="0"/>
    <x v="0"/>
    <x v="0"/>
    <s v="성인"/>
    <s v="성인"/>
    <s v="닷컴"/>
    <x v="4"/>
    <x v="2"/>
    <x v="0"/>
    <x v="1010"/>
    <s v="HP2636970024"/>
    <x v="0"/>
    <n v="2"/>
  </r>
  <r>
    <x v="1"/>
    <x v="2"/>
    <x v="8"/>
    <x v="31"/>
    <x v="83"/>
    <x v="83"/>
    <x v="2"/>
    <s v="Y"/>
    <s v="Y"/>
    <x v="0"/>
    <x v="0"/>
    <x v="0"/>
    <x v="0"/>
    <s v="성인"/>
    <s v="성인"/>
    <s v="닷컴"/>
    <x v="4"/>
    <x v="2"/>
    <x v="0"/>
    <x v="1010"/>
    <s v="HP2636970024"/>
    <x v="1"/>
    <n v="2835800"/>
  </r>
  <r>
    <x v="1"/>
    <x v="2"/>
    <x v="8"/>
    <x v="31"/>
    <x v="83"/>
    <x v="83"/>
    <x v="11"/>
    <s v="Y"/>
    <s v="N"/>
    <x v="1"/>
    <x v="0"/>
    <x v="0"/>
    <x v="0"/>
    <s v="성인"/>
    <s v="성인"/>
    <s v="닷컴"/>
    <x v="4"/>
    <x v="2"/>
    <x v="0"/>
    <x v="1011"/>
    <s v="HP2636977806"/>
    <x v="0"/>
    <n v="2"/>
  </r>
  <r>
    <x v="1"/>
    <x v="2"/>
    <x v="8"/>
    <x v="31"/>
    <x v="83"/>
    <x v="83"/>
    <x v="11"/>
    <s v="Y"/>
    <s v="N"/>
    <x v="1"/>
    <x v="0"/>
    <x v="0"/>
    <x v="0"/>
    <s v="성인"/>
    <s v="성인"/>
    <s v="닷컴"/>
    <x v="4"/>
    <x v="2"/>
    <x v="0"/>
    <x v="1011"/>
    <s v="HP2636977806"/>
    <x v="1"/>
    <n v="3856200"/>
  </r>
  <r>
    <x v="1"/>
    <x v="2"/>
    <x v="8"/>
    <x v="31"/>
    <x v="83"/>
    <x v="83"/>
    <x v="11"/>
    <s v="Y"/>
    <s v="N"/>
    <x v="6"/>
    <x v="2"/>
    <x v="0"/>
    <x v="0"/>
    <s v="성인"/>
    <s v="성인"/>
    <s v="대리점"/>
    <x v="0"/>
    <x v="2"/>
    <x v="0"/>
    <x v="1012"/>
    <s v="HQ2636979218"/>
    <x v="0"/>
    <n v="8"/>
  </r>
  <r>
    <x v="1"/>
    <x v="2"/>
    <x v="8"/>
    <x v="31"/>
    <x v="83"/>
    <x v="83"/>
    <x v="11"/>
    <s v="Y"/>
    <s v="N"/>
    <x v="6"/>
    <x v="2"/>
    <x v="0"/>
    <x v="0"/>
    <s v="성인"/>
    <s v="성인"/>
    <s v="대리점"/>
    <x v="0"/>
    <x v="2"/>
    <x v="0"/>
    <x v="1012"/>
    <s v="HQ2636979218"/>
    <x v="1"/>
    <n v="10872000"/>
  </r>
  <r>
    <x v="1"/>
    <x v="2"/>
    <x v="8"/>
    <x v="31"/>
    <x v="83"/>
    <x v="83"/>
    <x v="11"/>
    <s v="Y"/>
    <s v="N"/>
    <x v="6"/>
    <x v="2"/>
    <x v="0"/>
    <x v="0"/>
    <s v="아동"/>
    <s v="아동"/>
    <s v="대리점"/>
    <x v="0"/>
    <x v="2"/>
    <x v="0"/>
    <x v="1012"/>
    <s v="HQ2636979218"/>
    <x v="0"/>
    <n v="2"/>
  </r>
  <r>
    <x v="1"/>
    <x v="2"/>
    <x v="8"/>
    <x v="31"/>
    <x v="83"/>
    <x v="83"/>
    <x v="11"/>
    <s v="Y"/>
    <s v="N"/>
    <x v="6"/>
    <x v="2"/>
    <x v="0"/>
    <x v="0"/>
    <s v="아동"/>
    <s v="아동"/>
    <s v="대리점"/>
    <x v="0"/>
    <x v="2"/>
    <x v="0"/>
    <x v="1012"/>
    <s v="HQ2636979218"/>
    <x v="1"/>
    <n v="2718000"/>
  </r>
  <r>
    <x v="1"/>
    <x v="2"/>
    <x v="8"/>
    <x v="31"/>
    <x v="83"/>
    <x v="83"/>
    <x v="11"/>
    <s v="Y"/>
    <s v="N"/>
    <x v="6"/>
    <x v="2"/>
    <x v="0"/>
    <x v="0"/>
    <s v="청소년"/>
    <s v="청소년"/>
    <s v="대리점"/>
    <x v="0"/>
    <x v="2"/>
    <x v="0"/>
    <x v="1012"/>
    <s v="HQ2636979218"/>
    <x v="0"/>
    <n v="1"/>
  </r>
  <r>
    <x v="1"/>
    <x v="2"/>
    <x v="8"/>
    <x v="31"/>
    <x v="83"/>
    <x v="83"/>
    <x v="11"/>
    <s v="Y"/>
    <s v="N"/>
    <x v="6"/>
    <x v="2"/>
    <x v="0"/>
    <x v="0"/>
    <s v="청소년"/>
    <s v="청소년"/>
    <s v="대리점"/>
    <x v="0"/>
    <x v="2"/>
    <x v="0"/>
    <x v="1012"/>
    <s v="HQ2636979218"/>
    <x v="1"/>
    <n v="1359000"/>
  </r>
  <r>
    <x v="1"/>
    <x v="2"/>
    <x v="8"/>
    <x v="31"/>
    <x v="83"/>
    <x v="83"/>
    <x v="11"/>
    <s v="Y"/>
    <s v="N"/>
    <x v="6"/>
    <x v="2"/>
    <x v="0"/>
    <x v="1"/>
    <s v="아동"/>
    <s v="아동"/>
    <s v="대리점"/>
    <x v="0"/>
    <x v="2"/>
    <x v="0"/>
    <x v="1012"/>
    <s v="HQ2636979218"/>
    <x v="0"/>
    <n v="3"/>
  </r>
  <r>
    <x v="1"/>
    <x v="2"/>
    <x v="8"/>
    <x v="31"/>
    <x v="83"/>
    <x v="83"/>
    <x v="11"/>
    <s v="Y"/>
    <s v="N"/>
    <x v="6"/>
    <x v="2"/>
    <x v="0"/>
    <x v="1"/>
    <s v="아동"/>
    <s v="아동"/>
    <s v="대리점"/>
    <x v="0"/>
    <x v="2"/>
    <x v="0"/>
    <x v="1012"/>
    <s v="HQ2636979218"/>
    <x v="1"/>
    <n v="3927000"/>
  </r>
  <r>
    <x v="1"/>
    <x v="2"/>
    <x v="8"/>
    <x v="31"/>
    <x v="83"/>
    <x v="83"/>
    <x v="11"/>
    <s v="Y"/>
    <s v="N"/>
    <x v="6"/>
    <x v="2"/>
    <x v="0"/>
    <x v="1"/>
    <s v="유아"/>
    <s v="아동"/>
    <s v="대리점"/>
    <x v="0"/>
    <x v="2"/>
    <x v="0"/>
    <x v="1012"/>
    <s v="HQ2636979218"/>
    <x v="0"/>
    <n v="1"/>
  </r>
  <r>
    <x v="1"/>
    <x v="2"/>
    <x v="8"/>
    <x v="31"/>
    <x v="83"/>
    <x v="83"/>
    <x v="11"/>
    <s v="Y"/>
    <s v="N"/>
    <x v="6"/>
    <x v="2"/>
    <x v="0"/>
    <x v="1"/>
    <s v="유아"/>
    <s v="아동"/>
    <s v="대리점"/>
    <x v="0"/>
    <x v="2"/>
    <x v="0"/>
    <x v="1012"/>
    <s v="HQ2636979218"/>
    <x v="1"/>
    <n v="1309000"/>
  </r>
  <r>
    <x v="1"/>
    <x v="2"/>
    <x v="8"/>
    <x v="31"/>
    <x v="83"/>
    <x v="83"/>
    <x v="3"/>
    <s v="N"/>
    <s v="Y"/>
    <x v="0"/>
    <x v="0"/>
    <x v="0"/>
    <x v="0"/>
    <s v="성인"/>
    <s v="성인"/>
    <s v="대리점"/>
    <x v="0"/>
    <x v="2"/>
    <x v="0"/>
    <x v="1013"/>
    <s v="HP2636985332"/>
    <x v="0"/>
    <n v="2"/>
  </r>
  <r>
    <x v="1"/>
    <x v="2"/>
    <x v="8"/>
    <x v="31"/>
    <x v="83"/>
    <x v="83"/>
    <x v="3"/>
    <s v="N"/>
    <s v="Y"/>
    <x v="0"/>
    <x v="0"/>
    <x v="0"/>
    <x v="0"/>
    <s v="성인"/>
    <s v="성인"/>
    <s v="대리점"/>
    <x v="0"/>
    <x v="2"/>
    <x v="0"/>
    <x v="1013"/>
    <s v="HP2636985332"/>
    <x v="1"/>
    <n v="3399800"/>
  </r>
  <r>
    <x v="1"/>
    <x v="2"/>
    <x v="8"/>
    <x v="31"/>
    <x v="83"/>
    <x v="83"/>
    <x v="3"/>
    <s v="N"/>
    <s v="Y"/>
    <x v="0"/>
    <x v="0"/>
    <x v="0"/>
    <x v="0"/>
    <m/>
    <m/>
    <s v="닷컴"/>
    <x v="4"/>
    <x v="2"/>
    <x v="0"/>
    <x v="1014"/>
    <s v="HP2636983790"/>
    <x v="0"/>
    <n v="2"/>
  </r>
  <r>
    <x v="1"/>
    <x v="2"/>
    <x v="8"/>
    <x v="31"/>
    <x v="83"/>
    <x v="83"/>
    <x v="3"/>
    <s v="N"/>
    <s v="Y"/>
    <x v="0"/>
    <x v="0"/>
    <x v="0"/>
    <x v="0"/>
    <m/>
    <m/>
    <s v="닷컴"/>
    <x v="4"/>
    <x v="2"/>
    <x v="0"/>
    <x v="1014"/>
    <s v="HP2636983790"/>
    <x v="1"/>
    <n v="1735800"/>
  </r>
  <r>
    <x v="1"/>
    <x v="2"/>
    <x v="8"/>
    <x v="31"/>
    <x v="83"/>
    <x v="83"/>
    <x v="4"/>
    <s v="N"/>
    <s v="N"/>
    <x v="0"/>
    <x v="0"/>
    <x v="0"/>
    <x v="0"/>
    <s v="성인"/>
    <s v="성인"/>
    <s v="닷컴"/>
    <x v="4"/>
    <x v="2"/>
    <x v="0"/>
    <x v="1015"/>
    <s v="HP2637005152"/>
    <x v="0"/>
    <n v="2"/>
  </r>
  <r>
    <x v="1"/>
    <x v="2"/>
    <x v="8"/>
    <x v="31"/>
    <x v="83"/>
    <x v="83"/>
    <x v="4"/>
    <s v="N"/>
    <s v="N"/>
    <x v="0"/>
    <x v="0"/>
    <x v="0"/>
    <x v="0"/>
    <s v="성인"/>
    <s v="성인"/>
    <s v="닷컴"/>
    <x v="4"/>
    <x v="2"/>
    <x v="0"/>
    <x v="1015"/>
    <s v="HP2637005152"/>
    <x v="1"/>
    <n v="1453800"/>
  </r>
  <r>
    <x v="1"/>
    <x v="2"/>
    <x v="8"/>
    <x v="31"/>
    <x v="83"/>
    <x v="83"/>
    <x v="4"/>
    <s v="N"/>
    <s v="N"/>
    <x v="0"/>
    <x v="0"/>
    <x v="0"/>
    <x v="0"/>
    <s v="성인"/>
    <s v="성인"/>
    <s v="대리점"/>
    <x v="0"/>
    <x v="2"/>
    <x v="0"/>
    <x v="1016"/>
    <s v="HP2637006446"/>
    <x v="0"/>
    <n v="2"/>
  </r>
  <r>
    <x v="1"/>
    <x v="2"/>
    <x v="8"/>
    <x v="31"/>
    <x v="83"/>
    <x v="83"/>
    <x v="4"/>
    <s v="N"/>
    <s v="N"/>
    <x v="0"/>
    <x v="0"/>
    <x v="0"/>
    <x v="0"/>
    <s v="성인"/>
    <s v="성인"/>
    <s v="대리점"/>
    <x v="0"/>
    <x v="2"/>
    <x v="0"/>
    <x v="1016"/>
    <s v="HP2637006446"/>
    <x v="1"/>
    <n v="1935800"/>
  </r>
  <r>
    <x v="1"/>
    <x v="2"/>
    <x v="8"/>
    <x v="31"/>
    <x v="83"/>
    <x v="83"/>
    <x v="4"/>
    <s v="N"/>
    <s v="N"/>
    <x v="0"/>
    <x v="0"/>
    <x v="0"/>
    <x v="0"/>
    <s v="청소년"/>
    <s v="청소년"/>
    <s v="대리점"/>
    <x v="0"/>
    <x v="2"/>
    <x v="0"/>
    <x v="1016"/>
    <s v="HP2637006446"/>
    <x v="0"/>
    <n v="1"/>
  </r>
  <r>
    <x v="1"/>
    <x v="2"/>
    <x v="8"/>
    <x v="31"/>
    <x v="83"/>
    <x v="83"/>
    <x v="4"/>
    <s v="N"/>
    <s v="N"/>
    <x v="0"/>
    <x v="0"/>
    <x v="0"/>
    <x v="0"/>
    <s v="청소년"/>
    <s v="청소년"/>
    <s v="대리점"/>
    <x v="0"/>
    <x v="2"/>
    <x v="0"/>
    <x v="1016"/>
    <s v="HP2637006446"/>
    <x v="1"/>
    <n v="967900"/>
  </r>
  <r>
    <x v="1"/>
    <x v="2"/>
    <x v="8"/>
    <x v="31"/>
    <x v="83"/>
    <x v="83"/>
    <x v="5"/>
    <s v="N"/>
    <s v="N"/>
    <x v="0"/>
    <x v="0"/>
    <x v="0"/>
    <x v="0"/>
    <s v="성인"/>
    <s v="성인"/>
    <s v="닷컴"/>
    <x v="4"/>
    <x v="2"/>
    <x v="0"/>
    <x v="1017"/>
    <s v="HP2637027766"/>
    <x v="0"/>
    <n v="2"/>
  </r>
  <r>
    <x v="1"/>
    <x v="2"/>
    <x v="8"/>
    <x v="31"/>
    <x v="83"/>
    <x v="83"/>
    <x v="5"/>
    <s v="N"/>
    <s v="N"/>
    <x v="0"/>
    <x v="0"/>
    <x v="0"/>
    <x v="0"/>
    <s v="성인"/>
    <s v="성인"/>
    <s v="닷컴"/>
    <x v="4"/>
    <x v="2"/>
    <x v="0"/>
    <x v="1017"/>
    <s v="HP2637027766"/>
    <x v="1"/>
    <n v="635800"/>
  </r>
  <r>
    <x v="1"/>
    <x v="2"/>
    <x v="8"/>
    <x v="31"/>
    <x v="83"/>
    <x v="83"/>
    <x v="5"/>
    <s v="N"/>
    <s v="N"/>
    <x v="0"/>
    <x v="0"/>
    <x v="0"/>
    <x v="0"/>
    <m/>
    <m/>
    <s v="대리점"/>
    <x v="0"/>
    <x v="14"/>
    <x v="1"/>
    <x v="1018"/>
    <s v="HP2637027894"/>
    <x v="0"/>
    <n v="0"/>
  </r>
  <r>
    <x v="1"/>
    <x v="2"/>
    <x v="8"/>
    <x v="31"/>
    <x v="83"/>
    <x v="83"/>
    <x v="5"/>
    <s v="N"/>
    <s v="N"/>
    <x v="0"/>
    <x v="0"/>
    <x v="0"/>
    <x v="0"/>
    <m/>
    <m/>
    <s v="대리점"/>
    <x v="0"/>
    <x v="14"/>
    <x v="1"/>
    <x v="1018"/>
    <s v="HP2637027894"/>
    <x v="1"/>
    <n v="1549900"/>
  </r>
  <r>
    <x v="1"/>
    <x v="2"/>
    <x v="8"/>
    <x v="31"/>
    <x v="83"/>
    <x v="83"/>
    <x v="5"/>
    <s v="N"/>
    <s v="N"/>
    <x v="1"/>
    <x v="0"/>
    <x v="0"/>
    <x v="0"/>
    <s v="성인"/>
    <s v="성인"/>
    <s v="대리점"/>
    <x v="0"/>
    <x v="2"/>
    <x v="0"/>
    <x v="1019"/>
    <s v="HP2637024984"/>
    <x v="0"/>
    <n v="2"/>
  </r>
  <r>
    <x v="1"/>
    <x v="2"/>
    <x v="8"/>
    <x v="31"/>
    <x v="83"/>
    <x v="83"/>
    <x v="5"/>
    <s v="N"/>
    <s v="N"/>
    <x v="1"/>
    <x v="0"/>
    <x v="0"/>
    <x v="0"/>
    <s v="성인"/>
    <s v="성인"/>
    <s v="대리점"/>
    <x v="0"/>
    <x v="2"/>
    <x v="0"/>
    <x v="1019"/>
    <s v="HP2637024984"/>
    <x v="1"/>
    <n v="3299800"/>
  </r>
  <r>
    <x v="1"/>
    <x v="2"/>
    <x v="8"/>
    <x v="31"/>
    <x v="83"/>
    <x v="83"/>
    <x v="7"/>
    <s v="N"/>
    <s v="Y"/>
    <x v="0"/>
    <x v="0"/>
    <x v="0"/>
    <x v="0"/>
    <s v="성인"/>
    <s v="성인"/>
    <s v="대리점"/>
    <x v="0"/>
    <x v="13"/>
    <x v="0"/>
    <x v="1020"/>
    <s v="HP2637070426"/>
    <x v="0"/>
    <n v="1"/>
  </r>
  <r>
    <x v="1"/>
    <x v="2"/>
    <x v="8"/>
    <x v="31"/>
    <x v="83"/>
    <x v="83"/>
    <x v="7"/>
    <s v="N"/>
    <s v="Y"/>
    <x v="0"/>
    <x v="0"/>
    <x v="0"/>
    <x v="0"/>
    <s v="성인"/>
    <s v="성인"/>
    <s v="대리점"/>
    <x v="0"/>
    <x v="13"/>
    <x v="0"/>
    <x v="1020"/>
    <s v="HP2637070426"/>
    <x v="1"/>
    <n v="1896600"/>
  </r>
  <r>
    <x v="1"/>
    <x v="2"/>
    <x v="8"/>
    <x v="31"/>
    <x v="83"/>
    <x v="83"/>
    <x v="7"/>
    <s v="N"/>
    <s v="Y"/>
    <x v="0"/>
    <x v="0"/>
    <x v="0"/>
    <x v="0"/>
    <m/>
    <m/>
    <s v="대리점"/>
    <x v="0"/>
    <x v="13"/>
    <x v="0"/>
    <x v="1020"/>
    <s v="HP2637070426"/>
    <x v="0"/>
    <n v="1"/>
  </r>
  <r>
    <x v="1"/>
    <x v="2"/>
    <x v="8"/>
    <x v="31"/>
    <x v="83"/>
    <x v="83"/>
    <x v="7"/>
    <s v="N"/>
    <s v="Y"/>
    <x v="0"/>
    <x v="0"/>
    <x v="0"/>
    <x v="0"/>
    <m/>
    <m/>
    <s v="대리점"/>
    <x v="0"/>
    <x v="13"/>
    <x v="0"/>
    <x v="1020"/>
    <s v="HP2637070426"/>
    <x v="1"/>
    <n v="1896600"/>
  </r>
  <r>
    <x v="1"/>
    <x v="2"/>
    <x v="8"/>
    <x v="31"/>
    <x v="83"/>
    <x v="83"/>
    <x v="7"/>
    <s v="N"/>
    <s v="Y"/>
    <x v="0"/>
    <x v="0"/>
    <x v="0"/>
    <x v="1"/>
    <s v="아동"/>
    <s v="아동"/>
    <s v="대리점"/>
    <x v="0"/>
    <x v="13"/>
    <x v="0"/>
    <x v="1020"/>
    <s v="HP2637070426"/>
    <x v="0"/>
    <n v="1"/>
  </r>
  <r>
    <x v="1"/>
    <x v="2"/>
    <x v="8"/>
    <x v="31"/>
    <x v="83"/>
    <x v="83"/>
    <x v="7"/>
    <s v="N"/>
    <s v="Y"/>
    <x v="0"/>
    <x v="0"/>
    <x v="0"/>
    <x v="1"/>
    <s v="아동"/>
    <s v="아동"/>
    <s v="대리점"/>
    <x v="0"/>
    <x v="13"/>
    <x v="0"/>
    <x v="1020"/>
    <s v="HP2637070426"/>
    <x v="1"/>
    <n v="1706940"/>
  </r>
  <r>
    <x v="1"/>
    <x v="2"/>
    <x v="8"/>
    <x v="31"/>
    <x v="83"/>
    <x v="83"/>
    <x v="7"/>
    <s v="N"/>
    <s v="Y"/>
    <x v="1"/>
    <x v="0"/>
    <x v="0"/>
    <x v="0"/>
    <s v="성인"/>
    <s v="성인"/>
    <s v="대리점"/>
    <x v="0"/>
    <x v="3"/>
    <x v="0"/>
    <x v="1021"/>
    <s v="HP2637069420"/>
    <x v="0"/>
    <n v="2"/>
  </r>
  <r>
    <x v="1"/>
    <x v="2"/>
    <x v="8"/>
    <x v="31"/>
    <x v="83"/>
    <x v="83"/>
    <x v="7"/>
    <s v="N"/>
    <s v="Y"/>
    <x v="1"/>
    <x v="0"/>
    <x v="0"/>
    <x v="0"/>
    <s v="성인"/>
    <s v="성인"/>
    <s v="대리점"/>
    <x v="0"/>
    <x v="3"/>
    <x v="0"/>
    <x v="1021"/>
    <s v="HP2637069420"/>
    <x v="1"/>
    <n v="3459800"/>
  </r>
  <r>
    <x v="1"/>
    <x v="2"/>
    <x v="8"/>
    <x v="31"/>
    <x v="83"/>
    <x v="83"/>
    <x v="8"/>
    <s v="Y"/>
    <s v="N"/>
    <x v="0"/>
    <x v="0"/>
    <x v="0"/>
    <x v="0"/>
    <s v="성인"/>
    <s v="성인"/>
    <s v="닷컴"/>
    <x v="5"/>
    <x v="17"/>
    <x v="0"/>
    <x v="952"/>
    <s v="HP2637081558"/>
    <x v="0"/>
    <n v="2"/>
  </r>
  <r>
    <x v="1"/>
    <x v="2"/>
    <x v="8"/>
    <x v="31"/>
    <x v="83"/>
    <x v="83"/>
    <x v="8"/>
    <s v="Y"/>
    <s v="N"/>
    <x v="0"/>
    <x v="0"/>
    <x v="0"/>
    <x v="0"/>
    <s v="성인"/>
    <s v="성인"/>
    <s v="닷컴"/>
    <x v="5"/>
    <x v="17"/>
    <x v="0"/>
    <x v="952"/>
    <s v="HP2637081558"/>
    <x v="1"/>
    <n v="1053800"/>
  </r>
  <r>
    <x v="1"/>
    <x v="2"/>
    <x v="8"/>
    <x v="31"/>
    <x v="83"/>
    <x v="83"/>
    <x v="8"/>
    <s v="Y"/>
    <s v="N"/>
    <x v="1"/>
    <x v="0"/>
    <x v="0"/>
    <x v="0"/>
    <s v="성인"/>
    <s v="성인"/>
    <s v="대리점"/>
    <x v="0"/>
    <x v="6"/>
    <x v="0"/>
    <x v="1022"/>
    <s v="HP2637084424"/>
    <x v="0"/>
    <n v="2"/>
  </r>
  <r>
    <x v="1"/>
    <x v="2"/>
    <x v="8"/>
    <x v="31"/>
    <x v="83"/>
    <x v="83"/>
    <x v="8"/>
    <s v="Y"/>
    <s v="N"/>
    <x v="1"/>
    <x v="0"/>
    <x v="0"/>
    <x v="0"/>
    <s v="성인"/>
    <s v="성인"/>
    <s v="대리점"/>
    <x v="0"/>
    <x v="6"/>
    <x v="0"/>
    <x v="1022"/>
    <s v="HP2637084424"/>
    <x v="1"/>
    <n v="2999800"/>
  </r>
  <r>
    <x v="1"/>
    <x v="2"/>
    <x v="9"/>
    <x v="32"/>
    <x v="84"/>
    <x v="84"/>
    <x v="0"/>
    <s v="N"/>
    <s v="N"/>
    <x v="1"/>
    <x v="0"/>
    <x v="0"/>
    <x v="0"/>
    <s v="성인"/>
    <s v="성인"/>
    <s v="대리점"/>
    <x v="0"/>
    <x v="2"/>
    <x v="0"/>
    <x v="1023"/>
    <s v="HP2636924410"/>
    <x v="0"/>
    <n v="1"/>
  </r>
  <r>
    <x v="1"/>
    <x v="2"/>
    <x v="9"/>
    <x v="32"/>
    <x v="84"/>
    <x v="84"/>
    <x v="0"/>
    <s v="N"/>
    <s v="N"/>
    <x v="1"/>
    <x v="0"/>
    <x v="0"/>
    <x v="0"/>
    <s v="성인"/>
    <s v="성인"/>
    <s v="대리점"/>
    <x v="0"/>
    <x v="2"/>
    <x v="0"/>
    <x v="1023"/>
    <s v="HP2636924410"/>
    <x v="1"/>
    <n v="1159900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3"/>
    <x v="1"/>
    <x v="1024"/>
    <s v="HP2636924354"/>
    <x v="0"/>
    <n v="0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3"/>
    <x v="1"/>
    <x v="1024"/>
    <s v="HP2636924354"/>
    <x v="1"/>
    <n v="8719200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2"/>
    <x v="0"/>
    <x v="1023"/>
    <s v="HP2636924410"/>
    <x v="0"/>
    <n v="7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2"/>
    <x v="0"/>
    <x v="1023"/>
    <s v="HP2636924410"/>
    <x v="1"/>
    <n v="8119300"/>
  </r>
  <r>
    <x v="1"/>
    <x v="2"/>
    <x v="9"/>
    <x v="32"/>
    <x v="84"/>
    <x v="84"/>
    <x v="11"/>
    <s v="Y"/>
    <s v="N"/>
    <x v="0"/>
    <x v="0"/>
    <x v="0"/>
    <x v="0"/>
    <s v="성인"/>
    <s v="성인"/>
    <s v="대리점"/>
    <x v="0"/>
    <x v="2"/>
    <x v="0"/>
    <x v="1025"/>
    <s v="HP2636977678"/>
    <x v="0"/>
    <n v="4"/>
  </r>
  <r>
    <x v="1"/>
    <x v="2"/>
    <x v="9"/>
    <x v="32"/>
    <x v="84"/>
    <x v="84"/>
    <x v="11"/>
    <s v="Y"/>
    <s v="N"/>
    <x v="0"/>
    <x v="0"/>
    <x v="0"/>
    <x v="0"/>
    <s v="성인"/>
    <s v="성인"/>
    <s v="대리점"/>
    <x v="0"/>
    <x v="2"/>
    <x v="0"/>
    <x v="1025"/>
    <s v="HP2636977678"/>
    <x v="1"/>
    <n v="5719600"/>
  </r>
  <r>
    <x v="1"/>
    <x v="2"/>
    <x v="9"/>
    <x v="32"/>
    <x v="84"/>
    <x v="84"/>
    <x v="11"/>
    <s v="Y"/>
    <s v="N"/>
    <x v="0"/>
    <x v="0"/>
    <x v="0"/>
    <x v="0"/>
    <s v="아동"/>
    <s v="아동"/>
    <s v="대리점"/>
    <x v="0"/>
    <x v="2"/>
    <x v="0"/>
    <x v="1025"/>
    <s v="HP2636977678"/>
    <x v="0"/>
    <n v="1"/>
  </r>
  <r>
    <x v="1"/>
    <x v="2"/>
    <x v="9"/>
    <x v="32"/>
    <x v="84"/>
    <x v="84"/>
    <x v="11"/>
    <s v="Y"/>
    <s v="N"/>
    <x v="0"/>
    <x v="0"/>
    <x v="0"/>
    <x v="0"/>
    <s v="아동"/>
    <s v="아동"/>
    <s v="대리점"/>
    <x v="0"/>
    <x v="2"/>
    <x v="0"/>
    <x v="1025"/>
    <s v="HP2636977678"/>
    <x v="1"/>
    <n v="1429900"/>
  </r>
  <r>
    <x v="1"/>
    <x v="2"/>
    <x v="9"/>
    <x v="32"/>
    <x v="84"/>
    <x v="84"/>
    <x v="11"/>
    <s v="Y"/>
    <s v="N"/>
    <x v="0"/>
    <x v="0"/>
    <x v="0"/>
    <x v="0"/>
    <s v="청소년"/>
    <s v="청소년"/>
    <s v="대리점"/>
    <x v="0"/>
    <x v="2"/>
    <x v="0"/>
    <x v="1025"/>
    <s v="HP2636977678"/>
    <x v="0"/>
    <n v="1"/>
  </r>
  <r>
    <x v="1"/>
    <x v="2"/>
    <x v="9"/>
    <x v="32"/>
    <x v="84"/>
    <x v="84"/>
    <x v="11"/>
    <s v="Y"/>
    <s v="N"/>
    <x v="0"/>
    <x v="0"/>
    <x v="0"/>
    <x v="0"/>
    <s v="청소년"/>
    <s v="청소년"/>
    <s v="대리점"/>
    <x v="0"/>
    <x v="2"/>
    <x v="0"/>
    <x v="1025"/>
    <s v="HP2636977678"/>
    <x v="1"/>
    <n v="1429900"/>
  </r>
  <r>
    <x v="1"/>
    <x v="2"/>
    <x v="9"/>
    <x v="32"/>
    <x v="84"/>
    <x v="84"/>
    <x v="11"/>
    <s v="Y"/>
    <s v="N"/>
    <x v="0"/>
    <x v="0"/>
    <x v="0"/>
    <x v="0"/>
    <m/>
    <m/>
    <s v="대리점"/>
    <x v="0"/>
    <x v="2"/>
    <x v="1"/>
    <x v="1026"/>
    <s v="HP2636977716"/>
    <x v="0"/>
    <n v="0"/>
  </r>
  <r>
    <x v="1"/>
    <x v="2"/>
    <x v="9"/>
    <x v="32"/>
    <x v="84"/>
    <x v="84"/>
    <x v="11"/>
    <s v="Y"/>
    <s v="N"/>
    <x v="0"/>
    <x v="0"/>
    <x v="0"/>
    <x v="0"/>
    <m/>
    <m/>
    <s v="대리점"/>
    <x v="0"/>
    <x v="2"/>
    <x v="1"/>
    <x v="1026"/>
    <s v="HP2636977716"/>
    <x v="1"/>
    <n v="9589300"/>
  </r>
  <r>
    <x v="1"/>
    <x v="2"/>
    <x v="9"/>
    <x v="32"/>
    <x v="84"/>
    <x v="84"/>
    <x v="11"/>
    <s v="Y"/>
    <s v="N"/>
    <x v="0"/>
    <x v="0"/>
    <x v="0"/>
    <x v="1"/>
    <s v="아동"/>
    <s v="아동"/>
    <s v="대리점"/>
    <x v="0"/>
    <x v="2"/>
    <x v="0"/>
    <x v="1025"/>
    <s v="HP2636977678"/>
    <x v="0"/>
    <n v="1"/>
  </r>
  <r>
    <x v="1"/>
    <x v="2"/>
    <x v="9"/>
    <x v="32"/>
    <x v="84"/>
    <x v="84"/>
    <x v="11"/>
    <s v="Y"/>
    <s v="N"/>
    <x v="0"/>
    <x v="0"/>
    <x v="0"/>
    <x v="1"/>
    <s v="아동"/>
    <s v="아동"/>
    <s v="대리점"/>
    <x v="0"/>
    <x v="2"/>
    <x v="0"/>
    <x v="1025"/>
    <s v="HP2636977678"/>
    <x v="1"/>
    <n v="1529900"/>
  </r>
  <r>
    <x v="1"/>
    <x v="2"/>
    <x v="9"/>
    <x v="32"/>
    <x v="84"/>
    <x v="84"/>
    <x v="4"/>
    <s v="N"/>
    <s v="N"/>
    <x v="4"/>
    <x v="1"/>
    <x v="0"/>
    <x v="0"/>
    <s v="성인"/>
    <s v="성인"/>
    <s v="대리점"/>
    <x v="0"/>
    <x v="12"/>
    <x v="0"/>
    <x v="1027"/>
    <s v="HB2637007400"/>
    <x v="0"/>
    <n v="2"/>
  </r>
  <r>
    <x v="1"/>
    <x v="2"/>
    <x v="9"/>
    <x v="32"/>
    <x v="84"/>
    <x v="84"/>
    <x v="4"/>
    <s v="N"/>
    <s v="N"/>
    <x v="4"/>
    <x v="1"/>
    <x v="0"/>
    <x v="0"/>
    <s v="성인"/>
    <s v="성인"/>
    <s v="대리점"/>
    <x v="0"/>
    <x v="12"/>
    <x v="0"/>
    <x v="1027"/>
    <s v="HB2637007400"/>
    <x v="1"/>
    <n v="1428000"/>
  </r>
  <r>
    <x v="1"/>
    <x v="2"/>
    <x v="9"/>
    <x v="32"/>
    <x v="84"/>
    <x v="84"/>
    <x v="4"/>
    <s v="N"/>
    <s v="N"/>
    <x v="0"/>
    <x v="0"/>
    <x v="0"/>
    <x v="0"/>
    <s v="성인"/>
    <s v="성인"/>
    <s v="대리점"/>
    <x v="0"/>
    <x v="17"/>
    <x v="0"/>
    <x v="1028"/>
    <s v="HP2637002218"/>
    <x v="0"/>
    <n v="2"/>
  </r>
  <r>
    <x v="1"/>
    <x v="2"/>
    <x v="9"/>
    <x v="32"/>
    <x v="84"/>
    <x v="84"/>
    <x v="4"/>
    <s v="N"/>
    <s v="N"/>
    <x v="0"/>
    <x v="0"/>
    <x v="0"/>
    <x v="0"/>
    <s v="성인"/>
    <s v="성인"/>
    <s v="대리점"/>
    <x v="0"/>
    <x v="17"/>
    <x v="0"/>
    <x v="1028"/>
    <s v="HP2637002218"/>
    <x v="1"/>
    <n v="231180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17"/>
    <x v="1"/>
    <x v="1028"/>
    <s v="HP2637009640"/>
    <x v="0"/>
    <n v="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17"/>
    <x v="1"/>
    <x v="1028"/>
    <s v="HP2637009640"/>
    <x v="1"/>
    <n v="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2"/>
    <x v="1"/>
    <x v="1029"/>
    <s v="HP2637006468"/>
    <x v="0"/>
    <n v="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2"/>
    <x v="1"/>
    <x v="1029"/>
    <s v="HP2637006468"/>
    <x v="1"/>
    <n v="0"/>
  </r>
  <r>
    <x v="1"/>
    <x v="2"/>
    <x v="9"/>
    <x v="32"/>
    <x v="84"/>
    <x v="84"/>
    <x v="4"/>
    <s v="N"/>
    <s v="N"/>
    <x v="9"/>
    <x v="7"/>
    <x v="0"/>
    <x v="0"/>
    <s v="성인"/>
    <s v="성인"/>
    <s v="대리점"/>
    <x v="0"/>
    <x v="2"/>
    <x v="0"/>
    <x v="1030"/>
    <s v="HC2637000652"/>
    <x v="0"/>
    <n v="2"/>
  </r>
  <r>
    <x v="1"/>
    <x v="2"/>
    <x v="9"/>
    <x v="32"/>
    <x v="84"/>
    <x v="84"/>
    <x v="4"/>
    <s v="N"/>
    <s v="N"/>
    <x v="9"/>
    <x v="7"/>
    <x v="0"/>
    <x v="0"/>
    <s v="성인"/>
    <s v="성인"/>
    <s v="대리점"/>
    <x v="0"/>
    <x v="2"/>
    <x v="0"/>
    <x v="1030"/>
    <s v="HC2637000652"/>
    <x v="1"/>
    <n v="948000"/>
  </r>
  <r>
    <x v="1"/>
    <x v="2"/>
    <x v="9"/>
    <x v="32"/>
    <x v="84"/>
    <x v="84"/>
    <x v="6"/>
    <s v="N"/>
    <s v="N"/>
    <x v="0"/>
    <x v="0"/>
    <x v="0"/>
    <x v="0"/>
    <s v="성인"/>
    <s v="성인"/>
    <s v="대리점"/>
    <x v="0"/>
    <x v="2"/>
    <x v="0"/>
    <x v="1031"/>
    <s v="HP2637056720"/>
    <x v="0"/>
    <n v="1"/>
  </r>
  <r>
    <x v="1"/>
    <x v="2"/>
    <x v="9"/>
    <x v="32"/>
    <x v="84"/>
    <x v="84"/>
    <x v="6"/>
    <s v="N"/>
    <s v="N"/>
    <x v="0"/>
    <x v="0"/>
    <x v="0"/>
    <x v="0"/>
    <s v="성인"/>
    <s v="성인"/>
    <s v="대리점"/>
    <x v="0"/>
    <x v="2"/>
    <x v="0"/>
    <x v="1031"/>
    <s v="HP2637056720"/>
    <x v="1"/>
    <n v="799900"/>
  </r>
  <r>
    <x v="1"/>
    <x v="2"/>
    <x v="9"/>
    <x v="32"/>
    <x v="84"/>
    <x v="84"/>
    <x v="8"/>
    <s v="Y"/>
    <s v="N"/>
    <x v="2"/>
    <x v="0"/>
    <x v="0"/>
    <x v="0"/>
    <s v="성인"/>
    <s v="성인"/>
    <s v="대리점"/>
    <x v="0"/>
    <x v="32"/>
    <x v="0"/>
    <x v="1032"/>
    <s v="HP2637087770"/>
    <x v="0"/>
    <n v="2"/>
  </r>
  <r>
    <x v="1"/>
    <x v="2"/>
    <x v="9"/>
    <x v="32"/>
    <x v="84"/>
    <x v="84"/>
    <x v="8"/>
    <s v="Y"/>
    <s v="N"/>
    <x v="2"/>
    <x v="0"/>
    <x v="0"/>
    <x v="0"/>
    <s v="성인"/>
    <s v="성인"/>
    <s v="대리점"/>
    <x v="0"/>
    <x v="32"/>
    <x v="0"/>
    <x v="1032"/>
    <s v="HP2637087770"/>
    <x v="1"/>
    <n v="3599800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17"/>
    <x v="0"/>
    <x v="1033"/>
    <s v="HP2637113530"/>
    <x v="0"/>
    <n v="2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17"/>
    <x v="0"/>
    <x v="1033"/>
    <s v="HP2637113530"/>
    <x v="1"/>
    <n v="1405800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2"/>
    <x v="0"/>
    <x v="1034"/>
    <s v="HP2637110820"/>
    <x v="0"/>
    <n v="4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2"/>
    <x v="0"/>
    <x v="1034"/>
    <s v="HP2637110820"/>
    <x v="1"/>
    <n v="3879600"/>
  </r>
  <r>
    <x v="1"/>
    <x v="2"/>
    <x v="9"/>
    <x v="32"/>
    <x v="84"/>
    <x v="84"/>
    <x v="10"/>
    <s v="N"/>
    <s v="N"/>
    <x v="0"/>
    <x v="0"/>
    <x v="0"/>
    <x v="0"/>
    <m/>
    <m/>
    <s v="대리점"/>
    <x v="0"/>
    <x v="2"/>
    <x v="0"/>
    <x v="1034"/>
    <s v="HP2637110820"/>
    <x v="0"/>
    <n v="4"/>
  </r>
  <r>
    <x v="1"/>
    <x v="2"/>
    <x v="9"/>
    <x v="32"/>
    <x v="84"/>
    <x v="84"/>
    <x v="10"/>
    <s v="N"/>
    <s v="N"/>
    <x v="0"/>
    <x v="0"/>
    <x v="0"/>
    <x v="0"/>
    <m/>
    <m/>
    <s v="대리점"/>
    <x v="0"/>
    <x v="2"/>
    <x v="0"/>
    <x v="1034"/>
    <s v="HP2637110820"/>
    <x v="1"/>
    <n v="3879600"/>
  </r>
  <r>
    <x v="1"/>
    <x v="2"/>
    <x v="9"/>
    <x v="32"/>
    <x v="84"/>
    <x v="84"/>
    <x v="10"/>
    <s v="N"/>
    <s v="N"/>
    <x v="1"/>
    <x v="0"/>
    <x v="0"/>
    <x v="0"/>
    <s v="성인"/>
    <s v="성인"/>
    <s v="대리점"/>
    <x v="0"/>
    <x v="2"/>
    <x v="0"/>
    <x v="1035"/>
    <s v="HP2637110600"/>
    <x v="0"/>
    <n v="2"/>
  </r>
  <r>
    <x v="1"/>
    <x v="2"/>
    <x v="9"/>
    <x v="32"/>
    <x v="84"/>
    <x v="84"/>
    <x v="10"/>
    <s v="N"/>
    <s v="N"/>
    <x v="1"/>
    <x v="0"/>
    <x v="0"/>
    <x v="0"/>
    <s v="성인"/>
    <s v="성인"/>
    <s v="대리점"/>
    <x v="0"/>
    <x v="2"/>
    <x v="0"/>
    <x v="1035"/>
    <s v="HP2637110600"/>
    <x v="1"/>
    <n v="2799800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0"/>
    <x v="1036"/>
    <s v="HP2636954254"/>
    <x v="0"/>
    <n v="6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0"/>
    <x v="1036"/>
    <s v="HP2636954254"/>
    <x v="1"/>
    <n v="3599400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1"/>
    <x v="1036"/>
    <s v="HP2636954254"/>
    <x v="0"/>
    <n v="0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1"/>
    <x v="1036"/>
    <s v="HP2636954254"/>
    <x v="1"/>
    <n v="599900"/>
  </r>
  <r>
    <x v="1"/>
    <x v="2"/>
    <x v="9"/>
    <x v="32"/>
    <x v="85"/>
    <x v="85"/>
    <x v="1"/>
    <s v="N"/>
    <s v="N"/>
    <x v="1"/>
    <x v="0"/>
    <x v="0"/>
    <x v="0"/>
    <s v="성인"/>
    <s v="성인"/>
    <s v="대리점"/>
    <x v="0"/>
    <x v="2"/>
    <x v="0"/>
    <x v="1037"/>
    <s v="HP2636946462"/>
    <x v="0"/>
    <n v="4"/>
  </r>
  <r>
    <x v="1"/>
    <x v="2"/>
    <x v="9"/>
    <x v="32"/>
    <x v="85"/>
    <x v="85"/>
    <x v="1"/>
    <s v="N"/>
    <s v="N"/>
    <x v="1"/>
    <x v="0"/>
    <x v="0"/>
    <x v="0"/>
    <s v="성인"/>
    <s v="성인"/>
    <s v="대리점"/>
    <x v="0"/>
    <x v="2"/>
    <x v="0"/>
    <x v="1037"/>
    <s v="HP2636946462"/>
    <x v="1"/>
    <n v="5160800"/>
  </r>
  <r>
    <x v="1"/>
    <x v="2"/>
    <x v="9"/>
    <x v="32"/>
    <x v="85"/>
    <x v="85"/>
    <x v="1"/>
    <s v="N"/>
    <s v="N"/>
    <x v="1"/>
    <x v="0"/>
    <x v="0"/>
    <x v="0"/>
    <m/>
    <m/>
    <s v="대리점"/>
    <x v="0"/>
    <x v="7"/>
    <x v="1"/>
    <x v="1038"/>
    <s v="HP2636956588"/>
    <x v="0"/>
    <n v="0"/>
  </r>
  <r>
    <x v="1"/>
    <x v="2"/>
    <x v="9"/>
    <x v="32"/>
    <x v="85"/>
    <x v="85"/>
    <x v="1"/>
    <s v="N"/>
    <s v="N"/>
    <x v="1"/>
    <x v="0"/>
    <x v="0"/>
    <x v="0"/>
    <m/>
    <m/>
    <s v="대리점"/>
    <x v="0"/>
    <x v="7"/>
    <x v="1"/>
    <x v="1038"/>
    <s v="HP2636956588"/>
    <x v="1"/>
    <n v="0"/>
  </r>
  <r>
    <x v="1"/>
    <x v="2"/>
    <x v="9"/>
    <x v="32"/>
    <x v="85"/>
    <x v="85"/>
    <x v="5"/>
    <s v="N"/>
    <s v="N"/>
    <x v="1"/>
    <x v="0"/>
    <x v="0"/>
    <x v="0"/>
    <s v="성인"/>
    <s v="성인"/>
    <s v="대리점"/>
    <x v="0"/>
    <x v="23"/>
    <x v="0"/>
    <x v="1039"/>
    <s v="HP2637033032"/>
    <x v="0"/>
    <n v="2"/>
  </r>
  <r>
    <x v="1"/>
    <x v="2"/>
    <x v="9"/>
    <x v="32"/>
    <x v="85"/>
    <x v="85"/>
    <x v="5"/>
    <s v="N"/>
    <s v="N"/>
    <x v="1"/>
    <x v="0"/>
    <x v="0"/>
    <x v="0"/>
    <s v="성인"/>
    <s v="성인"/>
    <s v="대리점"/>
    <x v="0"/>
    <x v="23"/>
    <x v="0"/>
    <x v="1039"/>
    <s v="HP2637033032"/>
    <x v="1"/>
    <n v="2199800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7"/>
    <x v="0"/>
    <x v="1038"/>
    <s v="HP2637029918"/>
    <x v="0"/>
    <n v="4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7"/>
    <x v="0"/>
    <x v="1038"/>
    <s v="HP2637029918"/>
    <x v="1"/>
    <n v="12996000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23"/>
    <x v="1"/>
    <x v="1039"/>
    <s v="HP2637033038"/>
    <x v="0"/>
    <n v="0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23"/>
    <x v="1"/>
    <x v="1039"/>
    <s v="HP2637033038"/>
    <x v="1"/>
    <n v="2199800"/>
  </r>
  <r>
    <x v="1"/>
    <x v="2"/>
    <x v="9"/>
    <x v="32"/>
    <x v="85"/>
    <x v="85"/>
    <x v="6"/>
    <s v="N"/>
    <s v="N"/>
    <x v="0"/>
    <x v="0"/>
    <x v="0"/>
    <x v="0"/>
    <s v="성인"/>
    <s v="성인"/>
    <s v="대리점"/>
    <x v="0"/>
    <x v="2"/>
    <x v="0"/>
    <x v="1040"/>
    <s v="HP2637057442"/>
    <x v="0"/>
    <n v="4"/>
  </r>
  <r>
    <x v="1"/>
    <x v="2"/>
    <x v="9"/>
    <x v="32"/>
    <x v="85"/>
    <x v="85"/>
    <x v="6"/>
    <s v="N"/>
    <s v="N"/>
    <x v="0"/>
    <x v="0"/>
    <x v="0"/>
    <x v="0"/>
    <s v="성인"/>
    <s v="성인"/>
    <s v="대리점"/>
    <x v="0"/>
    <x v="2"/>
    <x v="0"/>
    <x v="1040"/>
    <s v="HP2637057442"/>
    <x v="1"/>
    <n v="3239600"/>
  </r>
  <r>
    <x v="1"/>
    <x v="2"/>
    <x v="9"/>
    <x v="32"/>
    <x v="85"/>
    <x v="85"/>
    <x v="10"/>
    <s v="N"/>
    <s v="N"/>
    <x v="4"/>
    <x v="2"/>
    <x v="1"/>
    <x v="0"/>
    <s v="성인"/>
    <s v="성인"/>
    <s v="대리점"/>
    <x v="0"/>
    <x v="2"/>
    <x v="0"/>
    <x v="1041"/>
    <s v="HQ2637120766"/>
    <x v="0"/>
    <n v="9"/>
  </r>
  <r>
    <x v="1"/>
    <x v="2"/>
    <x v="9"/>
    <x v="32"/>
    <x v="85"/>
    <x v="85"/>
    <x v="10"/>
    <s v="N"/>
    <s v="N"/>
    <x v="4"/>
    <x v="2"/>
    <x v="1"/>
    <x v="0"/>
    <s v="성인"/>
    <s v="성인"/>
    <s v="대리점"/>
    <x v="0"/>
    <x v="2"/>
    <x v="0"/>
    <x v="1041"/>
    <s v="HQ2637120766"/>
    <x v="1"/>
    <n v="9"/>
  </r>
  <r>
    <x v="1"/>
    <x v="2"/>
    <x v="9"/>
    <x v="33"/>
    <x v="86"/>
    <x v="86"/>
    <x v="0"/>
    <s v="N"/>
    <s v="N"/>
    <x v="0"/>
    <x v="0"/>
    <x v="0"/>
    <x v="0"/>
    <s v="성인"/>
    <s v="성인"/>
    <s v="닷컴"/>
    <x v="4"/>
    <x v="2"/>
    <x v="0"/>
    <x v="1042"/>
    <s v="HP2636938512"/>
    <x v="0"/>
    <n v="2"/>
  </r>
  <r>
    <x v="1"/>
    <x v="2"/>
    <x v="9"/>
    <x v="33"/>
    <x v="86"/>
    <x v="86"/>
    <x v="0"/>
    <s v="N"/>
    <s v="N"/>
    <x v="0"/>
    <x v="0"/>
    <x v="0"/>
    <x v="0"/>
    <s v="성인"/>
    <s v="성인"/>
    <s v="닷컴"/>
    <x v="4"/>
    <x v="2"/>
    <x v="0"/>
    <x v="1042"/>
    <s v="HP2636938512"/>
    <x v="1"/>
    <n v="467800"/>
  </r>
  <r>
    <x v="1"/>
    <x v="2"/>
    <x v="9"/>
    <x v="33"/>
    <x v="86"/>
    <x v="86"/>
    <x v="0"/>
    <s v="N"/>
    <s v="N"/>
    <x v="0"/>
    <x v="0"/>
    <x v="0"/>
    <x v="0"/>
    <s v="성인"/>
    <s v="성인"/>
    <s v="대리점"/>
    <x v="0"/>
    <x v="25"/>
    <x v="0"/>
    <x v="1043"/>
    <s v="HP2636925704"/>
    <x v="0"/>
    <n v="4"/>
  </r>
  <r>
    <x v="1"/>
    <x v="2"/>
    <x v="9"/>
    <x v="33"/>
    <x v="86"/>
    <x v="86"/>
    <x v="0"/>
    <s v="N"/>
    <s v="N"/>
    <x v="0"/>
    <x v="0"/>
    <x v="0"/>
    <x v="0"/>
    <s v="성인"/>
    <s v="성인"/>
    <s v="대리점"/>
    <x v="0"/>
    <x v="25"/>
    <x v="0"/>
    <x v="1043"/>
    <s v="HP2636925704"/>
    <x v="1"/>
    <n v="799600"/>
  </r>
  <r>
    <x v="1"/>
    <x v="2"/>
    <x v="9"/>
    <x v="33"/>
    <x v="86"/>
    <x v="86"/>
    <x v="0"/>
    <s v="N"/>
    <s v="N"/>
    <x v="1"/>
    <x v="0"/>
    <x v="0"/>
    <x v="0"/>
    <s v="성인"/>
    <s v="성인"/>
    <s v="대리점"/>
    <x v="0"/>
    <x v="2"/>
    <x v="0"/>
    <x v="1044"/>
    <s v="HP2636924888"/>
    <x v="0"/>
    <n v="2"/>
  </r>
  <r>
    <x v="1"/>
    <x v="2"/>
    <x v="9"/>
    <x v="33"/>
    <x v="86"/>
    <x v="86"/>
    <x v="0"/>
    <s v="N"/>
    <s v="N"/>
    <x v="1"/>
    <x v="0"/>
    <x v="0"/>
    <x v="0"/>
    <s v="성인"/>
    <s v="성인"/>
    <s v="대리점"/>
    <x v="0"/>
    <x v="2"/>
    <x v="0"/>
    <x v="1044"/>
    <s v="HP2636924888"/>
    <x v="1"/>
    <n v="11310000"/>
  </r>
  <r>
    <x v="1"/>
    <x v="2"/>
    <x v="9"/>
    <x v="33"/>
    <x v="86"/>
    <x v="86"/>
    <x v="1"/>
    <s v="N"/>
    <s v="N"/>
    <x v="0"/>
    <x v="0"/>
    <x v="0"/>
    <x v="0"/>
    <m/>
    <m/>
    <s v="대리점"/>
    <x v="0"/>
    <x v="13"/>
    <x v="1"/>
    <x v="1045"/>
    <s v="HP2636958704"/>
    <x v="0"/>
    <n v="0"/>
  </r>
  <r>
    <x v="1"/>
    <x v="2"/>
    <x v="9"/>
    <x v="33"/>
    <x v="86"/>
    <x v="86"/>
    <x v="1"/>
    <s v="N"/>
    <s v="N"/>
    <x v="0"/>
    <x v="0"/>
    <x v="0"/>
    <x v="0"/>
    <m/>
    <m/>
    <s v="대리점"/>
    <x v="0"/>
    <x v="13"/>
    <x v="1"/>
    <x v="1045"/>
    <s v="HP2636958704"/>
    <x v="1"/>
    <n v="4967400"/>
  </r>
  <r>
    <x v="1"/>
    <x v="2"/>
    <x v="9"/>
    <x v="33"/>
    <x v="86"/>
    <x v="86"/>
    <x v="2"/>
    <s v="Y"/>
    <s v="Y"/>
    <x v="0"/>
    <x v="0"/>
    <x v="0"/>
    <x v="0"/>
    <s v="성인"/>
    <s v="성인"/>
    <s v="닷컴"/>
    <x v="4"/>
    <x v="2"/>
    <x v="0"/>
    <x v="922"/>
    <s v="HP2636963212"/>
    <x v="0"/>
    <n v="2"/>
  </r>
  <r>
    <x v="1"/>
    <x v="2"/>
    <x v="9"/>
    <x v="33"/>
    <x v="86"/>
    <x v="86"/>
    <x v="2"/>
    <s v="Y"/>
    <s v="Y"/>
    <x v="0"/>
    <x v="0"/>
    <x v="0"/>
    <x v="0"/>
    <s v="성인"/>
    <s v="성인"/>
    <s v="닷컴"/>
    <x v="4"/>
    <x v="2"/>
    <x v="0"/>
    <x v="922"/>
    <s v="HP2636963212"/>
    <x v="1"/>
    <n v="1199800"/>
  </r>
  <r>
    <x v="1"/>
    <x v="2"/>
    <x v="9"/>
    <x v="33"/>
    <x v="86"/>
    <x v="86"/>
    <x v="2"/>
    <s v="Y"/>
    <s v="Y"/>
    <x v="0"/>
    <x v="0"/>
    <x v="0"/>
    <x v="0"/>
    <s v="성인"/>
    <s v="성인"/>
    <s v="대리점"/>
    <x v="0"/>
    <x v="2"/>
    <x v="0"/>
    <x v="1046"/>
    <s v="HP2636963722"/>
    <x v="0"/>
    <n v="2"/>
  </r>
  <r>
    <x v="1"/>
    <x v="2"/>
    <x v="9"/>
    <x v="33"/>
    <x v="86"/>
    <x v="86"/>
    <x v="2"/>
    <s v="Y"/>
    <s v="Y"/>
    <x v="0"/>
    <x v="0"/>
    <x v="0"/>
    <x v="0"/>
    <s v="성인"/>
    <s v="성인"/>
    <s v="대리점"/>
    <x v="0"/>
    <x v="2"/>
    <x v="0"/>
    <x v="1046"/>
    <s v="HP2636963722"/>
    <x v="1"/>
    <n v="1219800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7"/>
    <s v="HP2636977584"/>
    <x v="0"/>
    <n v="1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7"/>
    <s v="HP2636977584"/>
    <x v="1"/>
    <n v="560900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8"/>
    <s v="HP2636974412"/>
    <x v="0"/>
    <n v="6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8"/>
    <s v="HP2636974412"/>
    <x v="1"/>
    <n v="466140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49"/>
    <s v="HP2636976198"/>
    <x v="0"/>
    <n v="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49"/>
    <s v="HP2636976198"/>
    <x v="1"/>
    <n v="125980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50"/>
    <s v="HP2636976206"/>
    <x v="0"/>
    <n v="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50"/>
    <s v="HP2636976206"/>
    <x v="1"/>
    <n v="1579800"/>
  </r>
  <r>
    <x v="1"/>
    <x v="2"/>
    <x v="9"/>
    <x v="33"/>
    <x v="86"/>
    <x v="86"/>
    <x v="11"/>
    <s v="Y"/>
    <s v="N"/>
    <x v="2"/>
    <x v="0"/>
    <x v="0"/>
    <x v="0"/>
    <s v="성인"/>
    <s v="성인"/>
    <s v="닷컴"/>
    <x v="4"/>
    <x v="2"/>
    <x v="0"/>
    <x v="1051"/>
    <s v="HP2636972718"/>
    <x v="0"/>
    <n v="2"/>
  </r>
  <r>
    <x v="1"/>
    <x v="2"/>
    <x v="9"/>
    <x v="33"/>
    <x v="86"/>
    <x v="86"/>
    <x v="11"/>
    <s v="Y"/>
    <s v="N"/>
    <x v="2"/>
    <x v="0"/>
    <x v="0"/>
    <x v="0"/>
    <s v="성인"/>
    <s v="성인"/>
    <s v="닷컴"/>
    <x v="4"/>
    <x v="2"/>
    <x v="0"/>
    <x v="1051"/>
    <s v="HP2636972718"/>
    <x v="1"/>
    <n v="2999800"/>
  </r>
  <r>
    <x v="1"/>
    <x v="2"/>
    <x v="9"/>
    <x v="33"/>
    <x v="86"/>
    <x v="86"/>
    <x v="3"/>
    <s v="N"/>
    <s v="Y"/>
    <x v="4"/>
    <x v="1"/>
    <x v="0"/>
    <x v="0"/>
    <s v="성인"/>
    <s v="성인"/>
    <s v="닷컴"/>
    <x v="4"/>
    <x v="12"/>
    <x v="0"/>
    <x v="1052"/>
    <s v="HB2636991062"/>
    <x v="0"/>
    <n v="1"/>
  </r>
  <r>
    <x v="1"/>
    <x v="2"/>
    <x v="9"/>
    <x v="33"/>
    <x v="86"/>
    <x v="86"/>
    <x v="3"/>
    <s v="N"/>
    <s v="Y"/>
    <x v="4"/>
    <x v="1"/>
    <x v="0"/>
    <x v="0"/>
    <s v="성인"/>
    <s v="성인"/>
    <s v="닷컴"/>
    <x v="4"/>
    <x v="12"/>
    <x v="0"/>
    <x v="1052"/>
    <s v="HB2636991062"/>
    <x v="1"/>
    <n v="579900"/>
  </r>
  <r>
    <x v="1"/>
    <x v="2"/>
    <x v="9"/>
    <x v="33"/>
    <x v="86"/>
    <x v="86"/>
    <x v="3"/>
    <s v="N"/>
    <s v="Y"/>
    <x v="0"/>
    <x v="0"/>
    <x v="0"/>
    <x v="0"/>
    <s v="성인"/>
    <s v="성인"/>
    <s v="닷컴"/>
    <x v="4"/>
    <x v="13"/>
    <x v="0"/>
    <x v="1053"/>
    <s v="HP2636990224"/>
    <x v="0"/>
    <n v="3"/>
  </r>
  <r>
    <x v="1"/>
    <x v="2"/>
    <x v="9"/>
    <x v="33"/>
    <x v="86"/>
    <x v="86"/>
    <x v="3"/>
    <s v="N"/>
    <s v="Y"/>
    <x v="0"/>
    <x v="0"/>
    <x v="0"/>
    <x v="0"/>
    <s v="성인"/>
    <s v="성인"/>
    <s v="닷컴"/>
    <x v="4"/>
    <x v="13"/>
    <x v="0"/>
    <x v="1053"/>
    <s v="HP2636990224"/>
    <x v="1"/>
    <n v="1883700"/>
  </r>
  <r>
    <x v="1"/>
    <x v="2"/>
    <x v="9"/>
    <x v="33"/>
    <x v="86"/>
    <x v="86"/>
    <x v="3"/>
    <s v="N"/>
    <s v="Y"/>
    <x v="0"/>
    <x v="0"/>
    <x v="0"/>
    <x v="0"/>
    <s v="청소년"/>
    <s v="청소년"/>
    <s v="닷컴"/>
    <x v="4"/>
    <x v="13"/>
    <x v="0"/>
    <x v="1053"/>
    <s v="HP2636990224"/>
    <x v="0"/>
    <n v="1"/>
  </r>
  <r>
    <x v="1"/>
    <x v="2"/>
    <x v="9"/>
    <x v="33"/>
    <x v="86"/>
    <x v="86"/>
    <x v="3"/>
    <s v="N"/>
    <s v="Y"/>
    <x v="0"/>
    <x v="0"/>
    <x v="0"/>
    <x v="0"/>
    <s v="청소년"/>
    <s v="청소년"/>
    <s v="닷컴"/>
    <x v="4"/>
    <x v="13"/>
    <x v="0"/>
    <x v="1053"/>
    <s v="HP2636990224"/>
    <x v="1"/>
    <n v="627900"/>
  </r>
  <r>
    <x v="1"/>
    <x v="2"/>
    <x v="9"/>
    <x v="33"/>
    <x v="86"/>
    <x v="86"/>
    <x v="4"/>
    <s v="N"/>
    <s v="N"/>
    <x v="0"/>
    <x v="0"/>
    <x v="0"/>
    <x v="0"/>
    <s v="성인"/>
    <s v="성인"/>
    <s v="대리점"/>
    <x v="0"/>
    <x v="14"/>
    <x v="0"/>
    <x v="1054"/>
    <s v="HP2637012048"/>
    <x v="0"/>
    <n v="4"/>
  </r>
  <r>
    <x v="1"/>
    <x v="2"/>
    <x v="9"/>
    <x v="33"/>
    <x v="86"/>
    <x v="86"/>
    <x v="4"/>
    <s v="N"/>
    <s v="N"/>
    <x v="0"/>
    <x v="0"/>
    <x v="0"/>
    <x v="0"/>
    <s v="성인"/>
    <s v="성인"/>
    <s v="대리점"/>
    <x v="0"/>
    <x v="14"/>
    <x v="0"/>
    <x v="1054"/>
    <s v="HP2637012048"/>
    <x v="1"/>
    <n v="4723600"/>
  </r>
  <r>
    <x v="1"/>
    <x v="2"/>
    <x v="9"/>
    <x v="33"/>
    <x v="86"/>
    <x v="86"/>
    <x v="4"/>
    <s v="N"/>
    <s v="N"/>
    <x v="1"/>
    <x v="0"/>
    <x v="0"/>
    <x v="0"/>
    <s v="성인"/>
    <s v="성인"/>
    <s v="대리점"/>
    <x v="0"/>
    <x v="2"/>
    <x v="0"/>
    <x v="1055"/>
    <s v="HP2637015480"/>
    <x v="0"/>
    <n v="2"/>
  </r>
  <r>
    <x v="1"/>
    <x v="2"/>
    <x v="9"/>
    <x v="33"/>
    <x v="86"/>
    <x v="86"/>
    <x v="4"/>
    <s v="N"/>
    <s v="N"/>
    <x v="1"/>
    <x v="0"/>
    <x v="0"/>
    <x v="0"/>
    <s v="성인"/>
    <s v="성인"/>
    <s v="대리점"/>
    <x v="0"/>
    <x v="2"/>
    <x v="0"/>
    <x v="1055"/>
    <s v="HP2637015480"/>
    <x v="1"/>
    <n v="10172000"/>
  </r>
  <r>
    <x v="1"/>
    <x v="2"/>
    <x v="9"/>
    <x v="33"/>
    <x v="86"/>
    <x v="86"/>
    <x v="5"/>
    <s v="N"/>
    <s v="N"/>
    <x v="0"/>
    <x v="0"/>
    <x v="0"/>
    <x v="0"/>
    <s v="성인"/>
    <s v="성인"/>
    <s v="대리점"/>
    <x v="0"/>
    <x v="2"/>
    <x v="0"/>
    <x v="1029"/>
    <s v="HP2637027820"/>
    <x v="0"/>
    <n v="2"/>
  </r>
  <r>
    <x v="1"/>
    <x v="2"/>
    <x v="9"/>
    <x v="33"/>
    <x v="86"/>
    <x v="86"/>
    <x v="5"/>
    <s v="N"/>
    <s v="N"/>
    <x v="0"/>
    <x v="0"/>
    <x v="0"/>
    <x v="0"/>
    <s v="성인"/>
    <s v="성인"/>
    <s v="대리점"/>
    <x v="0"/>
    <x v="2"/>
    <x v="0"/>
    <x v="1029"/>
    <s v="HP2637027820"/>
    <x v="1"/>
    <n v="3199800"/>
  </r>
  <r>
    <x v="1"/>
    <x v="2"/>
    <x v="9"/>
    <x v="33"/>
    <x v="86"/>
    <x v="86"/>
    <x v="5"/>
    <s v="N"/>
    <s v="N"/>
    <x v="0"/>
    <x v="0"/>
    <x v="0"/>
    <x v="0"/>
    <s v="청소년"/>
    <s v="청소년"/>
    <s v="대리점"/>
    <x v="0"/>
    <x v="2"/>
    <x v="0"/>
    <x v="1029"/>
    <s v="HP2637027820"/>
    <x v="0"/>
    <n v="2"/>
  </r>
  <r>
    <x v="1"/>
    <x v="2"/>
    <x v="9"/>
    <x v="33"/>
    <x v="86"/>
    <x v="86"/>
    <x v="5"/>
    <s v="N"/>
    <s v="N"/>
    <x v="0"/>
    <x v="0"/>
    <x v="0"/>
    <x v="0"/>
    <s v="청소년"/>
    <s v="청소년"/>
    <s v="대리점"/>
    <x v="0"/>
    <x v="2"/>
    <x v="0"/>
    <x v="1029"/>
    <s v="HP2637027820"/>
    <x v="1"/>
    <n v="3199800"/>
  </r>
  <r>
    <x v="1"/>
    <x v="2"/>
    <x v="9"/>
    <x v="33"/>
    <x v="86"/>
    <x v="86"/>
    <x v="5"/>
    <s v="N"/>
    <s v="N"/>
    <x v="0"/>
    <x v="0"/>
    <x v="0"/>
    <x v="0"/>
    <m/>
    <m/>
    <s v="닷컴"/>
    <x v="4"/>
    <x v="2"/>
    <x v="1"/>
    <x v="1056"/>
    <s v="HP2637040428"/>
    <x v="0"/>
    <n v="0"/>
  </r>
  <r>
    <x v="1"/>
    <x v="2"/>
    <x v="9"/>
    <x v="33"/>
    <x v="86"/>
    <x v="86"/>
    <x v="5"/>
    <s v="N"/>
    <s v="N"/>
    <x v="0"/>
    <x v="0"/>
    <x v="0"/>
    <x v="0"/>
    <m/>
    <m/>
    <s v="닷컴"/>
    <x v="4"/>
    <x v="2"/>
    <x v="1"/>
    <x v="1056"/>
    <s v="HP2637040428"/>
    <x v="1"/>
    <n v="1253800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0"/>
    <x v="1057"/>
    <s v="HP2637031650"/>
    <x v="0"/>
    <n v="3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0"/>
    <x v="1057"/>
    <s v="HP2637031650"/>
    <x v="1"/>
    <n v="4949700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1"/>
    <x v="1057"/>
    <s v="HP2637031650"/>
    <x v="0"/>
    <n v="0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1"/>
    <x v="1057"/>
    <s v="HP2637031650"/>
    <x v="1"/>
    <n v="1649900"/>
  </r>
  <r>
    <x v="1"/>
    <x v="2"/>
    <x v="9"/>
    <x v="33"/>
    <x v="86"/>
    <x v="86"/>
    <x v="5"/>
    <s v="N"/>
    <s v="N"/>
    <x v="0"/>
    <x v="0"/>
    <x v="0"/>
    <x v="1"/>
    <s v="아동"/>
    <s v="아동"/>
    <s v="대리점"/>
    <x v="0"/>
    <x v="2"/>
    <x v="0"/>
    <x v="1029"/>
    <s v="HP2637027820"/>
    <x v="0"/>
    <n v="1"/>
  </r>
  <r>
    <x v="1"/>
    <x v="2"/>
    <x v="9"/>
    <x v="33"/>
    <x v="86"/>
    <x v="86"/>
    <x v="5"/>
    <s v="N"/>
    <s v="N"/>
    <x v="0"/>
    <x v="0"/>
    <x v="0"/>
    <x v="1"/>
    <s v="아동"/>
    <s v="아동"/>
    <s v="대리점"/>
    <x v="0"/>
    <x v="2"/>
    <x v="0"/>
    <x v="1029"/>
    <s v="HP2637027820"/>
    <x v="1"/>
    <n v="1599900"/>
  </r>
  <r>
    <x v="1"/>
    <x v="2"/>
    <x v="9"/>
    <x v="33"/>
    <x v="86"/>
    <x v="86"/>
    <x v="5"/>
    <s v="N"/>
    <s v="N"/>
    <x v="0"/>
    <x v="0"/>
    <x v="0"/>
    <x v="1"/>
    <m/>
    <m/>
    <s v="닷컴"/>
    <x v="4"/>
    <x v="2"/>
    <x v="1"/>
    <x v="1056"/>
    <s v="HP2637040428"/>
    <x v="0"/>
    <n v="0"/>
  </r>
  <r>
    <x v="1"/>
    <x v="2"/>
    <x v="9"/>
    <x v="33"/>
    <x v="86"/>
    <x v="86"/>
    <x v="5"/>
    <s v="N"/>
    <s v="N"/>
    <x v="0"/>
    <x v="0"/>
    <x v="0"/>
    <x v="1"/>
    <m/>
    <m/>
    <s v="닷컴"/>
    <x v="4"/>
    <x v="2"/>
    <x v="1"/>
    <x v="1056"/>
    <s v="HP2637040428"/>
    <x v="1"/>
    <n v="626900"/>
  </r>
  <r>
    <x v="1"/>
    <x v="2"/>
    <x v="9"/>
    <x v="33"/>
    <x v="86"/>
    <x v="86"/>
    <x v="5"/>
    <s v="N"/>
    <s v="N"/>
    <x v="0"/>
    <x v="0"/>
    <x v="0"/>
    <x v="1"/>
    <m/>
    <m/>
    <s v="대리점"/>
    <x v="0"/>
    <x v="2"/>
    <x v="0"/>
    <x v="1057"/>
    <s v="HP2637031650"/>
    <x v="0"/>
    <n v="2"/>
  </r>
  <r>
    <x v="1"/>
    <x v="2"/>
    <x v="9"/>
    <x v="33"/>
    <x v="86"/>
    <x v="86"/>
    <x v="5"/>
    <s v="N"/>
    <s v="N"/>
    <x v="0"/>
    <x v="0"/>
    <x v="0"/>
    <x v="1"/>
    <m/>
    <m/>
    <s v="대리점"/>
    <x v="0"/>
    <x v="2"/>
    <x v="0"/>
    <x v="1057"/>
    <s v="HP2637031650"/>
    <x v="1"/>
    <n v="3299800"/>
  </r>
  <r>
    <x v="1"/>
    <x v="2"/>
    <x v="9"/>
    <x v="33"/>
    <x v="86"/>
    <x v="86"/>
    <x v="5"/>
    <s v="N"/>
    <s v="N"/>
    <x v="1"/>
    <x v="0"/>
    <x v="0"/>
    <x v="0"/>
    <m/>
    <m/>
    <s v="범용/상용닷컴"/>
    <x v="1"/>
    <x v="2"/>
    <x v="1"/>
    <x v="1055"/>
    <s v="HP2637040314"/>
    <x v="0"/>
    <n v="0"/>
  </r>
  <r>
    <x v="1"/>
    <x v="2"/>
    <x v="9"/>
    <x v="33"/>
    <x v="86"/>
    <x v="86"/>
    <x v="5"/>
    <s v="N"/>
    <s v="N"/>
    <x v="1"/>
    <x v="0"/>
    <x v="0"/>
    <x v="0"/>
    <m/>
    <m/>
    <s v="범용/상용닷컴"/>
    <x v="1"/>
    <x v="2"/>
    <x v="1"/>
    <x v="1055"/>
    <s v="HP2637040314"/>
    <x v="1"/>
    <n v="10372000"/>
  </r>
  <r>
    <x v="1"/>
    <x v="2"/>
    <x v="9"/>
    <x v="33"/>
    <x v="86"/>
    <x v="86"/>
    <x v="6"/>
    <s v="N"/>
    <s v="N"/>
    <x v="0"/>
    <x v="0"/>
    <x v="0"/>
    <x v="0"/>
    <s v="성인"/>
    <s v="성인"/>
    <s v="닷컴"/>
    <x v="4"/>
    <x v="2"/>
    <x v="0"/>
    <x v="1058"/>
    <s v="HP2637054870"/>
    <x v="0"/>
    <n v="4"/>
  </r>
  <r>
    <x v="1"/>
    <x v="2"/>
    <x v="9"/>
    <x v="33"/>
    <x v="86"/>
    <x v="86"/>
    <x v="6"/>
    <s v="N"/>
    <s v="N"/>
    <x v="0"/>
    <x v="0"/>
    <x v="0"/>
    <x v="0"/>
    <s v="성인"/>
    <s v="성인"/>
    <s v="닷컴"/>
    <x v="4"/>
    <x v="2"/>
    <x v="0"/>
    <x v="1058"/>
    <s v="HP2637054870"/>
    <x v="1"/>
    <n v="2911600"/>
  </r>
  <r>
    <x v="1"/>
    <x v="2"/>
    <x v="9"/>
    <x v="33"/>
    <x v="86"/>
    <x v="86"/>
    <x v="6"/>
    <s v="N"/>
    <s v="N"/>
    <x v="1"/>
    <x v="0"/>
    <x v="1"/>
    <x v="0"/>
    <s v="성인"/>
    <s v="성인"/>
    <s v="대리점"/>
    <x v="0"/>
    <x v="2"/>
    <x v="0"/>
    <x v="1059"/>
    <s v="HP2637054206"/>
    <x v="0"/>
    <n v="1"/>
  </r>
  <r>
    <x v="1"/>
    <x v="2"/>
    <x v="9"/>
    <x v="33"/>
    <x v="86"/>
    <x v="86"/>
    <x v="6"/>
    <s v="N"/>
    <s v="N"/>
    <x v="1"/>
    <x v="0"/>
    <x v="1"/>
    <x v="0"/>
    <s v="성인"/>
    <s v="성인"/>
    <s v="대리점"/>
    <x v="0"/>
    <x v="2"/>
    <x v="0"/>
    <x v="1059"/>
    <s v="HP2637054206"/>
    <x v="1"/>
    <n v="1270000"/>
  </r>
  <r>
    <x v="1"/>
    <x v="2"/>
    <x v="9"/>
    <x v="33"/>
    <x v="86"/>
    <x v="86"/>
    <x v="6"/>
    <s v="N"/>
    <s v="N"/>
    <x v="1"/>
    <x v="0"/>
    <x v="0"/>
    <x v="0"/>
    <s v="성인"/>
    <s v="성인"/>
    <s v="대리점"/>
    <x v="0"/>
    <x v="2"/>
    <x v="0"/>
    <x v="1059"/>
    <s v="HP2637054206"/>
    <x v="0"/>
    <n v="2"/>
  </r>
  <r>
    <x v="1"/>
    <x v="2"/>
    <x v="9"/>
    <x v="33"/>
    <x v="86"/>
    <x v="86"/>
    <x v="6"/>
    <s v="N"/>
    <s v="N"/>
    <x v="1"/>
    <x v="0"/>
    <x v="0"/>
    <x v="0"/>
    <s v="성인"/>
    <s v="성인"/>
    <s v="대리점"/>
    <x v="0"/>
    <x v="2"/>
    <x v="0"/>
    <x v="1059"/>
    <s v="HP2637054206"/>
    <x v="1"/>
    <n v="3581800"/>
  </r>
  <r>
    <x v="1"/>
    <x v="2"/>
    <x v="9"/>
    <x v="33"/>
    <x v="86"/>
    <x v="86"/>
    <x v="8"/>
    <s v="Y"/>
    <s v="N"/>
    <x v="1"/>
    <x v="0"/>
    <x v="0"/>
    <x v="0"/>
    <m/>
    <m/>
    <s v="대리점"/>
    <x v="0"/>
    <x v="2"/>
    <x v="1"/>
    <x v="1060"/>
    <s v="HP2637082374"/>
    <x v="0"/>
    <n v="0"/>
  </r>
  <r>
    <x v="1"/>
    <x v="2"/>
    <x v="9"/>
    <x v="33"/>
    <x v="86"/>
    <x v="86"/>
    <x v="8"/>
    <s v="Y"/>
    <s v="N"/>
    <x v="1"/>
    <x v="0"/>
    <x v="0"/>
    <x v="0"/>
    <m/>
    <m/>
    <s v="대리점"/>
    <x v="0"/>
    <x v="2"/>
    <x v="1"/>
    <x v="1060"/>
    <s v="HP2637082374"/>
    <x v="1"/>
    <n v="1546000"/>
  </r>
  <r>
    <x v="1"/>
    <x v="2"/>
    <x v="9"/>
    <x v="33"/>
    <x v="86"/>
    <x v="86"/>
    <x v="9"/>
    <s v="Y"/>
    <s v="N"/>
    <x v="0"/>
    <x v="0"/>
    <x v="0"/>
    <x v="0"/>
    <s v="성인"/>
    <s v="성인"/>
    <s v="닷컴"/>
    <x v="4"/>
    <x v="2"/>
    <x v="0"/>
    <x v="1061"/>
    <s v="HP2637097040"/>
    <x v="0"/>
    <n v="2"/>
  </r>
  <r>
    <x v="1"/>
    <x v="2"/>
    <x v="9"/>
    <x v="33"/>
    <x v="86"/>
    <x v="86"/>
    <x v="9"/>
    <s v="Y"/>
    <s v="N"/>
    <x v="0"/>
    <x v="0"/>
    <x v="0"/>
    <x v="0"/>
    <s v="성인"/>
    <s v="성인"/>
    <s v="닷컴"/>
    <x v="4"/>
    <x v="2"/>
    <x v="0"/>
    <x v="1061"/>
    <s v="HP2637097040"/>
    <x v="1"/>
    <n v="936200"/>
  </r>
  <r>
    <x v="1"/>
    <x v="2"/>
    <x v="9"/>
    <x v="33"/>
    <x v="86"/>
    <x v="86"/>
    <x v="9"/>
    <s v="Y"/>
    <s v="N"/>
    <x v="0"/>
    <x v="0"/>
    <x v="0"/>
    <x v="0"/>
    <s v="성인"/>
    <s v="성인"/>
    <s v="범용/상용닷컴"/>
    <x v="1"/>
    <x v="2"/>
    <x v="0"/>
    <x v="1062"/>
    <s v="HP2637101504"/>
    <x v="0"/>
    <n v="2"/>
  </r>
  <r>
    <x v="1"/>
    <x v="2"/>
    <x v="9"/>
    <x v="33"/>
    <x v="86"/>
    <x v="86"/>
    <x v="9"/>
    <s v="Y"/>
    <s v="N"/>
    <x v="0"/>
    <x v="0"/>
    <x v="0"/>
    <x v="0"/>
    <s v="성인"/>
    <s v="성인"/>
    <s v="범용/상용닷컴"/>
    <x v="1"/>
    <x v="2"/>
    <x v="0"/>
    <x v="1062"/>
    <s v="HP2637101504"/>
    <x v="1"/>
    <n v="439800"/>
  </r>
  <r>
    <x v="1"/>
    <x v="2"/>
    <x v="9"/>
    <x v="33"/>
    <x v="86"/>
    <x v="86"/>
    <x v="9"/>
    <s v="Y"/>
    <s v="N"/>
    <x v="0"/>
    <x v="0"/>
    <x v="0"/>
    <x v="0"/>
    <s v="청소년"/>
    <s v="청소년"/>
    <s v="범용/상용닷컴"/>
    <x v="1"/>
    <x v="2"/>
    <x v="0"/>
    <x v="1062"/>
    <s v="HP2637101504"/>
    <x v="0"/>
    <n v="1"/>
  </r>
  <r>
    <x v="1"/>
    <x v="2"/>
    <x v="9"/>
    <x v="33"/>
    <x v="86"/>
    <x v="86"/>
    <x v="9"/>
    <s v="Y"/>
    <s v="N"/>
    <x v="0"/>
    <x v="0"/>
    <x v="0"/>
    <x v="0"/>
    <s v="청소년"/>
    <s v="청소년"/>
    <s v="범용/상용닷컴"/>
    <x v="1"/>
    <x v="2"/>
    <x v="0"/>
    <x v="1062"/>
    <s v="HP2637101504"/>
    <x v="1"/>
    <n v="219900"/>
  </r>
  <r>
    <x v="1"/>
    <x v="2"/>
    <x v="9"/>
    <x v="33"/>
    <x v="86"/>
    <x v="86"/>
    <x v="10"/>
    <s v="N"/>
    <s v="N"/>
    <x v="0"/>
    <x v="0"/>
    <x v="0"/>
    <x v="0"/>
    <m/>
    <m/>
    <s v="닷컴"/>
    <x v="4"/>
    <x v="13"/>
    <x v="0"/>
    <x v="1063"/>
    <s v="HP2637126642"/>
    <x v="0"/>
    <n v="2"/>
  </r>
  <r>
    <x v="1"/>
    <x v="2"/>
    <x v="9"/>
    <x v="33"/>
    <x v="86"/>
    <x v="86"/>
    <x v="10"/>
    <s v="N"/>
    <s v="N"/>
    <x v="0"/>
    <x v="0"/>
    <x v="0"/>
    <x v="0"/>
    <m/>
    <m/>
    <s v="닷컴"/>
    <x v="4"/>
    <x v="13"/>
    <x v="0"/>
    <x v="1063"/>
    <s v="HP2637126642"/>
    <x v="1"/>
    <n v="1255800"/>
  </r>
  <r>
    <x v="1"/>
    <x v="2"/>
    <x v="9"/>
    <x v="33"/>
    <x v="87"/>
    <x v="87"/>
    <x v="3"/>
    <s v="N"/>
    <s v="Y"/>
    <x v="0"/>
    <x v="0"/>
    <x v="0"/>
    <x v="0"/>
    <s v="성인"/>
    <s v="성인"/>
    <s v="대리점"/>
    <x v="0"/>
    <x v="2"/>
    <x v="0"/>
    <x v="1064"/>
    <s v="HP2636988590"/>
    <x v="0"/>
    <n v="3"/>
  </r>
  <r>
    <x v="1"/>
    <x v="2"/>
    <x v="9"/>
    <x v="33"/>
    <x v="87"/>
    <x v="87"/>
    <x v="3"/>
    <s v="N"/>
    <s v="Y"/>
    <x v="0"/>
    <x v="0"/>
    <x v="0"/>
    <x v="0"/>
    <s v="성인"/>
    <s v="성인"/>
    <s v="대리점"/>
    <x v="0"/>
    <x v="2"/>
    <x v="0"/>
    <x v="1064"/>
    <s v="HP2636988590"/>
    <x v="1"/>
    <n v="2330700"/>
  </r>
  <r>
    <x v="1"/>
    <x v="2"/>
    <x v="9"/>
    <x v="33"/>
    <x v="87"/>
    <x v="87"/>
    <x v="3"/>
    <s v="N"/>
    <s v="Y"/>
    <x v="0"/>
    <x v="0"/>
    <x v="0"/>
    <x v="1"/>
    <s v="유아"/>
    <s v="유아"/>
    <s v="대리점"/>
    <x v="0"/>
    <x v="2"/>
    <x v="0"/>
    <x v="1064"/>
    <s v="HP2636988590"/>
    <x v="0"/>
    <n v="1"/>
  </r>
  <r>
    <x v="1"/>
    <x v="2"/>
    <x v="9"/>
    <x v="33"/>
    <x v="87"/>
    <x v="87"/>
    <x v="3"/>
    <s v="N"/>
    <s v="Y"/>
    <x v="0"/>
    <x v="0"/>
    <x v="0"/>
    <x v="1"/>
    <s v="유아"/>
    <s v="유아"/>
    <s v="대리점"/>
    <x v="0"/>
    <x v="2"/>
    <x v="0"/>
    <x v="1064"/>
    <s v="HP2636988590"/>
    <x v="1"/>
    <n v="776900"/>
  </r>
  <r>
    <x v="1"/>
    <x v="2"/>
    <x v="9"/>
    <x v="33"/>
    <x v="87"/>
    <x v="87"/>
    <x v="5"/>
    <s v="N"/>
    <s v="N"/>
    <x v="1"/>
    <x v="0"/>
    <x v="0"/>
    <x v="0"/>
    <s v="성인"/>
    <s v="성인"/>
    <s v="대리점"/>
    <x v="0"/>
    <x v="2"/>
    <x v="0"/>
    <x v="1065"/>
    <s v="HP2637035368"/>
    <x v="0"/>
    <n v="7"/>
  </r>
  <r>
    <x v="1"/>
    <x v="2"/>
    <x v="9"/>
    <x v="33"/>
    <x v="87"/>
    <x v="87"/>
    <x v="5"/>
    <s v="N"/>
    <s v="N"/>
    <x v="1"/>
    <x v="0"/>
    <x v="0"/>
    <x v="0"/>
    <s v="성인"/>
    <s v="성인"/>
    <s v="대리점"/>
    <x v="0"/>
    <x v="2"/>
    <x v="0"/>
    <x v="1065"/>
    <s v="HP2637035368"/>
    <x v="1"/>
    <n v="7497000"/>
  </r>
  <r>
    <x v="1"/>
    <x v="2"/>
    <x v="9"/>
    <x v="33"/>
    <x v="87"/>
    <x v="87"/>
    <x v="8"/>
    <s v="Y"/>
    <s v="N"/>
    <x v="0"/>
    <x v="0"/>
    <x v="0"/>
    <x v="0"/>
    <s v="성인"/>
    <s v="성인"/>
    <s v="대리점"/>
    <x v="0"/>
    <x v="17"/>
    <x v="0"/>
    <x v="1066"/>
    <s v="HP2637083718"/>
    <x v="0"/>
    <n v="4"/>
  </r>
  <r>
    <x v="1"/>
    <x v="2"/>
    <x v="9"/>
    <x v="33"/>
    <x v="87"/>
    <x v="87"/>
    <x v="8"/>
    <s v="Y"/>
    <s v="N"/>
    <x v="0"/>
    <x v="0"/>
    <x v="0"/>
    <x v="0"/>
    <s v="성인"/>
    <s v="성인"/>
    <s v="대리점"/>
    <x v="0"/>
    <x v="17"/>
    <x v="0"/>
    <x v="1066"/>
    <s v="HP2637083718"/>
    <x v="1"/>
    <n v="1707600"/>
  </r>
  <r>
    <x v="1"/>
    <x v="2"/>
    <x v="9"/>
    <x v="33"/>
    <x v="87"/>
    <x v="87"/>
    <x v="8"/>
    <s v="Y"/>
    <s v="N"/>
    <x v="0"/>
    <x v="0"/>
    <x v="0"/>
    <x v="0"/>
    <m/>
    <m/>
    <s v="대리점"/>
    <x v="0"/>
    <x v="17"/>
    <x v="0"/>
    <x v="1066"/>
    <s v="HP2637083718"/>
    <x v="0"/>
    <n v="2"/>
  </r>
  <r>
    <x v="1"/>
    <x v="2"/>
    <x v="9"/>
    <x v="33"/>
    <x v="87"/>
    <x v="87"/>
    <x v="8"/>
    <s v="Y"/>
    <s v="N"/>
    <x v="0"/>
    <x v="0"/>
    <x v="0"/>
    <x v="0"/>
    <m/>
    <m/>
    <s v="대리점"/>
    <x v="0"/>
    <x v="17"/>
    <x v="0"/>
    <x v="1066"/>
    <s v="HP2637083718"/>
    <x v="1"/>
    <n v="853800"/>
  </r>
  <r>
    <x v="1"/>
    <x v="2"/>
    <x v="9"/>
    <x v="33"/>
    <x v="87"/>
    <x v="87"/>
    <x v="10"/>
    <s v="N"/>
    <s v="N"/>
    <x v="0"/>
    <x v="0"/>
    <x v="0"/>
    <x v="0"/>
    <m/>
    <m/>
    <s v="대리점"/>
    <x v="0"/>
    <x v="2"/>
    <x v="0"/>
    <x v="1067"/>
    <s v="HP2637117240"/>
    <x v="0"/>
    <n v="14"/>
  </r>
  <r>
    <x v="1"/>
    <x v="2"/>
    <x v="9"/>
    <x v="33"/>
    <x v="87"/>
    <x v="87"/>
    <x v="10"/>
    <s v="N"/>
    <s v="N"/>
    <x v="0"/>
    <x v="0"/>
    <x v="0"/>
    <x v="0"/>
    <m/>
    <m/>
    <s v="대리점"/>
    <x v="0"/>
    <x v="2"/>
    <x v="0"/>
    <x v="1067"/>
    <s v="HP2637117240"/>
    <x v="1"/>
    <n v="10372600"/>
  </r>
  <r>
    <x v="1"/>
    <x v="2"/>
    <x v="9"/>
    <x v="34"/>
    <x v="88"/>
    <x v="88"/>
    <x v="0"/>
    <s v="N"/>
    <s v="N"/>
    <x v="1"/>
    <x v="0"/>
    <x v="0"/>
    <x v="0"/>
    <s v="성인"/>
    <s v="성인"/>
    <s v="닷컴"/>
    <x v="4"/>
    <x v="2"/>
    <x v="0"/>
    <x v="1068"/>
    <s v="HP2636917464"/>
    <x v="0"/>
    <n v="2"/>
  </r>
  <r>
    <x v="1"/>
    <x v="2"/>
    <x v="9"/>
    <x v="34"/>
    <x v="88"/>
    <x v="88"/>
    <x v="0"/>
    <s v="N"/>
    <s v="N"/>
    <x v="1"/>
    <x v="0"/>
    <x v="0"/>
    <x v="0"/>
    <s v="성인"/>
    <s v="성인"/>
    <s v="닷컴"/>
    <x v="4"/>
    <x v="2"/>
    <x v="0"/>
    <x v="1068"/>
    <s v="HP2636917464"/>
    <x v="1"/>
    <n v="2315800"/>
  </r>
  <r>
    <x v="1"/>
    <x v="2"/>
    <x v="9"/>
    <x v="34"/>
    <x v="88"/>
    <x v="88"/>
    <x v="0"/>
    <s v="N"/>
    <s v="N"/>
    <x v="1"/>
    <x v="0"/>
    <x v="0"/>
    <x v="0"/>
    <s v="성인"/>
    <s v="성인"/>
    <s v="대리점"/>
    <x v="0"/>
    <x v="2"/>
    <x v="0"/>
    <x v="1069"/>
    <s v="HP2636923012"/>
    <x v="0"/>
    <n v="6"/>
  </r>
  <r>
    <x v="1"/>
    <x v="2"/>
    <x v="9"/>
    <x v="34"/>
    <x v="88"/>
    <x v="88"/>
    <x v="0"/>
    <s v="N"/>
    <s v="N"/>
    <x v="1"/>
    <x v="0"/>
    <x v="0"/>
    <x v="0"/>
    <s v="성인"/>
    <s v="성인"/>
    <s v="대리점"/>
    <x v="0"/>
    <x v="2"/>
    <x v="0"/>
    <x v="1069"/>
    <s v="HP2636923012"/>
    <x v="1"/>
    <n v="8885400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32"/>
    <x v="0"/>
    <x v="1070"/>
    <s v="HP2636935302"/>
    <x v="0"/>
    <n v="4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32"/>
    <x v="0"/>
    <x v="1070"/>
    <s v="HP2636935302"/>
    <x v="1"/>
    <n v="6671600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17"/>
    <x v="0"/>
    <x v="1071"/>
    <s v="HP2636930334"/>
    <x v="0"/>
    <n v="2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17"/>
    <x v="0"/>
    <x v="1071"/>
    <s v="HP2636930334"/>
    <x v="1"/>
    <n v="3060000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3"/>
    <x v="0"/>
    <x v="1072"/>
    <s v="HM2636949056"/>
    <x v="0"/>
    <n v="2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3"/>
    <x v="0"/>
    <x v="1072"/>
    <s v="HM2636949056"/>
    <x v="1"/>
    <n v="1599800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2"/>
    <x v="0"/>
    <x v="1007"/>
    <s v="HM2636952474"/>
    <x v="0"/>
    <n v="4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2"/>
    <x v="0"/>
    <x v="1007"/>
    <s v="HM2636952474"/>
    <x v="1"/>
    <n v="3199600"/>
  </r>
  <r>
    <x v="1"/>
    <x v="2"/>
    <x v="9"/>
    <x v="34"/>
    <x v="88"/>
    <x v="88"/>
    <x v="1"/>
    <s v="N"/>
    <s v="N"/>
    <x v="0"/>
    <x v="0"/>
    <x v="0"/>
    <x v="0"/>
    <s v="성인"/>
    <s v="성인"/>
    <s v="닷컴"/>
    <x v="4"/>
    <x v="4"/>
    <x v="0"/>
    <x v="1073"/>
    <s v="HP2636941812"/>
    <x v="0"/>
    <n v="2"/>
  </r>
  <r>
    <x v="1"/>
    <x v="2"/>
    <x v="9"/>
    <x v="34"/>
    <x v="88"/>
    <x v="88"/>
    <x v="1"/>
    <s v="N"/>
    <s v="N"/>
    <x v="0"/>
    <x v="0"/>
    <x v="0"/>
    <x v="0"/>
    <s v="성인"/>
    <s v="성인"/>
    <s v="닷컴"/>
    <x v="4"/>
    <x v="4"/>
    <x v="0"/>
    <x v="1073"/>
    <s v="HP2636941812"/>
    <x v="1"/>
    <n v="1399800"/>
  </r>
  <r>
    <x v="1"/>
    <x v="2"/>
    <x v="9"/>
    <x v="34"/>
    <x v="88"/>
    <x v="88"/>
    <x v="1"/>
    <s v="N"/>
    <s v="N"/>
    <x v="0"/>
    <x v="0"/>
    <x v="0"/>
    <x v="0"/>
    <s v="성인"/>
    <s v="성인"/>
    <s v="대리점"/>
    <x v="0"/>
    <x v="2"/>
    <x v="0"/>
    <x v="1074"/>
    <s v="HP2636953128"/>
    <x v="0"/>
    <n v="2"/>
  </r>
  <r>
    <x v="1"/>
    <x v="2"/>
    <x v="9"/>
    <x v="34"/>
    <x v="88"/>
    <x v="88"/>
    <x v="1"/>
    <s v="N"/>
    <s v="N"/>
    <x v="0"/>
    <x v="0"/>
    <x v="0"/>
    <x v="0"/>
    <s v="성인"/>
    <s v="성인"/>
    <s v="대리점"/>
    <x v="0"/>
    <x v="2"/>
    <x v="0"/>
    <x v="1074"/>
    <s v="HP2636953128"/>
    <x v="1"/>
    <n v="3299800"/>
  </r>
  <r>
    <x v="1"/>
    <x v="2"/>
    <x v="9"/>
    <x v="34"/>
    <x v="88"/>
    <x v="88"/>
    <x v="1"/>
    <s v="N"/>
    <s v="N"/>
    <x v="0"/>
    <x v="0"/>
    <x v="0"/>
    <x v="0"/>
    <s v="성인"/>
    <s v="성인"/>
    <s v="범용/상용닷컴"/>
    <x v="1"/>
    <x v="2"/>
    <x v="0"/>
    <x v="1075"/>
    <s v="HP2636950434"/>
    <x v="0"/>
    <n v="2"/>
  </r>
  <r>
    <x v="1"/>
    <x v="2"/>
    <x v="9"/>
    <x v="34"/>
    <x v="88"/>
    <x v="88"/>
    <x v="1"/>
    <s v="N"/>
    <s v="N"/>
    <x v="0"/>
    <x v="0"/>
    <x v="0"/>
    <x v="0"/>
    <s v="성인"/>
    <s v="성인"/>
    <s v="범용/상용닷컴"/>
    <x v="1"/>
    <x v="2"/>
    <x v="0"/>
    <x v="1075"/>
    <s v="HP2636950434"/>
    <x v="1"/>
    <n v="2949600"/>
  </r>
  <r>
    <x v="1"/>
    <x v="2"/>
    <x v="9"/>
    <x v="34"/>
    <x v="88"/>
    <x v="88"/>
    <x v="1"/>
    <s v="N"/>
    <s v="N"/>
    <x v="0"/>
    <x v="0"/>
    <x v="0"/>
    <x v="0"/>
    <m/>
    <m/>
    <s v="범용/상용닷컴"/>
    <x v="1"/>
    <x v="2"/>
    <x v="0"/>
    <x v="1076"/>
    <s v="HP2636957754"/>
    <x v="0"/>
    <n v="2"/>
  </r>
  <r>
    <x v="1"/>
    <x v="2"/>
    <x v="9"/>
    <x v="34"/>
    <x v="88"/>
    <x v="88"/>
    <x v="1"/>
    <s v="N"/>
    <s v="N"/>
    <x v="0"/>
    <x v="0"/>
    <x v="0"/>
    <x v="0"/>
    <m/>
    <m/>
    <s v="범용/상용닷컴"/>
    <x v="1"/>
    <x v="2"/>
    <x v="0"/>
    <x v="1076"/>
    <s v="HP2636957754"/>
    <x v="1"/>
    <n v="1004400"/>
  </r>
  <r>
    <x v="1"/>
    <x v="2"/>
    <x v="9"/>
    <x v="34"/>
    <x v="88"/>
    <x v="88"/>
    <x v="1"/>
    <s v="N"/>
    <s v="N"/>
    <x v="1"/>
    <x v="0"/>
    <x v="0"/>
    <x v="0"/>
    <m/>
    <m/>
    <s v="대리점"/>
    <x v="0"/>
    <x v="2"/>
    <x v="1"/>
    <x v="1077"/>
    <s v="HP2636957438"/>
    <x v="0"/>
    <n v="0"/>
  </r>
  <r>
    <x v="1"/>
    <x v="2"/>
    <x v="9"/>
    <x v="34"/>
    <x v="88"/>
    <x v="88"/>
    <x v="1"/>
    <s v="N"/>
    <s v="N"/>
    <x v="1"/>
    <x v="0"/>
    <x v="0"/>
    <x v="0"/>
    <m/>
    <m/>
    <s v="대리점"/>
    <x v="0"/>
    <x v="2"/>
    <x v="1"/>
    <x v="1077"/>
    <s v="HP2636957438"/>
    <x v="1"/>
    <n v="2056000"/>
  </r>
  <r>
    <x v="1"/>
    <x v="2"/>
    <x v="9"/>
    <x v="34"/>
    <x v="88"/>
    <x v="88"/>
    <x v="2"/>
    <s v="Y"/>
    <s v="Y"/>
    <x v="0"/>
    <x v="0"/>
    <x v="1"/>
    <x v="0"/>
    <s v="성인"/>
    <s v="성인"/>
    <s v="대리점"/>
    <x v="0"/>
    <x v="2"/>
    <x v="0"/>
    <x v="1078"/>
    <s v="HP2636964048"/>
    <x v="0"/>
    <n v="2"/>
  </r>
  <r>
    <x v="1"/>
    <x v="2"/>
    <x v="9"/>
    <x v="34"/>
    <x v="88"/>
    <x v="88"/>
    <x v="2"/>
    <s v="Y"/>
    <s v="Y"/>
    <x v="0"/>
    <x v="0"/>
    <x v="1"/>
    <x v="0"/>
    <s v="성인"/>
    <s v="성인"/>
    <s v="대리점"/>
    <x v="0"/>
    <x v="2"/>
    <x v="0"/>
    <x v="1078"/>
    <s v="HP2636964048"/>
    <x v="1"/>
    <n v="880000"/>
  </r>
  <r>
    <x v="1"/>
    <x v="2"/>
    <x v="9"/>
    <x v="34"/>
    <x v="88"/>
    <x v="88"/>
    <x v="2"/>
    <s v="Y"/>
    <s v="Y"/>
    <x v="0"/>
    <x v="0"/>
    <x v="0"/>
    <x v="0"/>
    <s v="성인"/>
    <s v="성인"/>
    <s v="닷컴"/>
    <x v="4"/>
    <x v="2"/>
    <x v="0"/>
    <x v="1079"/>
    <s v="HP2636967352"/>
    <x v="0"/>
    <n v="4"/>
  </r>
  <r>
    <x v="1"/>
    <x v="2"/>
    <x v="9"/>
    <x v="34"/>
    <x v="88"/>
    <x v="88"/>
    <x v="2"/>
    <s v="Y"/>
    <s v="Y"/>
    <x v="0"/>
    <x v="0"/>
    <x v="0"/>
    <x v="0"/>
    <s v="성인"/>
    <s v="성인"/>
    <s v="닷컴"/>
    <x v="4"/>
    <x v="2"/>
    <x v="0"/>
    <x v="1079"/>
    <s v="HP2636967352"/>
    <x v="1"/>
    <n v="4911600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39"/>
    <x v="0"/>
    <x v="1080"/>
    <s v="HP2636963466"/>
    <x v="0"/>
    <n v="2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39"/>
    <x v="0"/>
    <x v="1080"/>
    <s v="HP2636963466"/>
    <x v="1"/>
    <n v="2315800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78"/>
    <s v="HP2636964048"/>
    <x v="0"/>
    <n v="4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78"/>
    <s v="HP2636964048"/>
    <x v="1"/>
    <n v="2599600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81"/>
    <s v="HP2636965050"/>
    <x v="0"/>
    <n v="6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81"/>
    <s v="HP2636965050"/>
    <x v="1"/>
    <n v="8399400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0"/>
    <x v="1078"/>
    <s v="HP2636964048"/>
    <x v="0"/>
    <n v="1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0"/>
    <x v="1078"/>
    <s v="HP2636964048"/>
    <x v="1"/>
    <n v="649900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1"/>
    <x v="1081"/>
    <s v="HP2636965050"/>
    <x v="0"/>
    <n v="0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1"/>
    <x v="1081"/>
    <s v="HP2636965050"/>
    <x v="1"/>
    <n v="2999800"/>
  </r>
  <r>
    <x v="1"/>
    <x v="2"/>
    <x v="9"/>
    <x v="34"/>
    <x v="88"/>
    <x v="88"/>
    <x v="2"/>
    <s v="Y"/>
    <s v="Y"/>
    <x v="0"/>
    <x v="0"/>
    <x v="0"/>
    <x v="1"/>
    <s v="아동"/>
    <s v="아동"/>
    <s v="대리점"/>
    <x v="0"/>
    <x v="39"/>
    <x v="0"/>
    <x v="1080"/>
    <s v="HP2636963466"/>
    <x v="0"/>
    <n v="1"/>
  </r>
  <r>
    <x v="1"/>
    <x v="2"/>
    <x v="9"/>
    <x v="34"/>
    <x v="88"/>
    <x v="88"/>
    <x v="2"/>
    <s v="Y"/>
    <s v="Y"/>
    <x v="0"/>
    <x v="0"/>
    <x v="0"/>
    <x v="1"/>
    <s v="아동"/>
    <s v="아동"/>
    <s v="대리점"/>
    <x v="0"/>
    <x v="39"/>
    <x v="0"/>
    <x v="1080"/>
    <s v="HP2636963466"/>
    <x v="1"/>
    <n v="1157900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3"/>
    <x v="0"/>
    <x v="1082"/>
    <s v="HP2636962578"/>
    <x v="0"/>
    <n v="7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3"/>
    <x v="0"/>
    <x v="1082"/>
    <s v="HP2636962578"/>
    <x v="1"/>
    <n v="9031400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"/>
    <x v="0"/>
    <x v="1077"/>
    <s v="HP2636963184"/>
    <x v="0"/>
    <n v="2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"/>
    <x v="0"/>
    <x v="1077"/>
    <s v="HP2636963184"/>
    <x v="1"/>
    <n v="2056000"/>
  </r>
  <r>
    <x v="1"/>
    <x v="2"/>
    <x v="9"/>
    <x v="34"/>
    <x v="88"/>
    <x v="88"/>
    <x v="2"/>
    <s v="Y"/>
    <s v="Y"/>
    <x v="1"/>
    <x v="0"/>
    <x v="0"/>
    <x v="0"/>
    <m/>
    <m/>
    <s v="대리점"/>
    <x v="0"/>
    <x v="2"/>
    <x v="0"/>
    <x v="970"/>
    <s v="HP2636962704"/>
    <x v="0"/>
    <n v="2"/>
  </r>
  <r>
    <x v="1"/>
    <x v="2"/>
    <x v="9"/>
    <x v="34"/>
    <x v="88"/>
    <x v="88"/>
    <x v="2"/>
    <s v="Y"/>
    <s v="Y"/>
    <x v="1"/>
    <x v="0"/>
    <x v="0"/>
    <x v="0"/>
    <m/>
    <m/>
    <s v="대리점"/>
    <x v="0"/>
    <x v="2"/>
    <x v="0"/>
    <x v="970"/>
    <s v="HP2636962704"/>
    <x v="1"/>
    <n v="1881800"/>
  </r>
  <r>
    <x v="1"/>
    <x v="2"/>
    <x v="9"/>
    <x v="34"/>
    <x v="88"/>
    <x v="88"/>
    <x v="2"/>
    <s v="Y"/>
    <s v="Y"/>
    <x v="1"/>
    <x v="0"/>
    <x v="0"/>
    <x v="0"/>
    <m/>
    <m/>
    <s v="범용/상용닷컴"/>
    <x v="1"/>
    <x v="23"/>
    <x v="1"/>
    <x v="1083"/>
    <s v="HP2636964278"/>
    <x v="0"/>
    <n v="0"/>
  </r>
  <r>
    <x v="1"/>
    <x v="2"/>
    <x v="9"/>
    <x v="34"/>
    <x v="88"/>
    <x v="88"/>
    <x v="2"/>
    <s v="Y"/>
    <s v="Y"/>
    <x v="1"/>
    <x v="0"/>
    <x v="0"/>
    <x v="0"/>
    <m/>
    <m/>
    <s v="범용/상용닷컴"/>
    <x v="1"/>
    <x v="23"/>
    <x v="1"/>
    <x v="1083"/>
    <s v="HP2636964278"/>
    <x v="1"/>
    <n v="1069000"/>
  </r>
  <r>
    <x v="1"/>
    <x v="2"/>
    <x v="9"/>
    <x v="34"/>
    <x v="88"/>
    <x v="88"/>
    <x v="2"/>
    <s v="Y"/>
    <s v="Y"/>
    <x v="1"/>
    <x v="0"/>
    <x v="0"/>
    <x v="1"/>
    <m/>
    <m/>
    <s v="대리점"/>
    <x v="0"/>
    <x v="2"/>
    <x v="0"/>
    <x v="970"/>
    <s v="HP2636962704"/>
    <x v="0"/>
    <n v="2"/>
  </r>
  <r>
    <x v="1"/>
    <x v="2"/>
    <x v="9"/>
    <x v="34"/>
    <x v="88"/>
    <x v="88"/>
    <x v="2"/>
    <s v="Y"/>
    <s v="Y"/>
    <x v="1"/>
    <x v="0"/>
    <x v="0"/>
    <x v="1"/>
    <m/>
    <m/>
    <s v="대리점"/>
    <x v="0"/>
    <x v="2"/>
    <x v="0"/>
    <x v="970"/>
    <s v="HP2636962704"/>
    <x v="1"/>
    <n v="1693620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5"/>
    <x v="2"/>
    <x v="0"/>
    <x v="1084"/>
    <s v="HP2636978430"/>
    <x v="0"/>
    <n v="2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5"/>
    <x v="2"/>
    <x v="0"/>
    <x v="1084"/>
    <s v="HP2636978430"/>
    <x v="1"/>
    <n v="1113800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4"/>
    <x v="17"/>
    <x v="0"/>
    <x v="952"/>
    <s v="HP2636981402"/>
    <x v="0"/>
    <n v="3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4"/>
    <x v="17"/>
    <x v="0"/>
    <x v="952"/>
    <s v="HP2636981402"/>
    <x v="1"/>
    <n v="1580700"/>
  </r>
  <r>
    <x v="1"/>
    <x v="2"/>
    <x v="9"/>
    <x v="34"/>
    <x v="88"/>
    <x v="88"/>
    <x v="11"/>
    <s v="Y"/>
    <s v="N"/>
    <x v="0"/>
    <x v="0"/>
    <x v="0"/>
    <x v="0"/>
    <s v="성인"/>
    <s v="성인"/>
    <s v="대리점"/>
    <x v="0"/>
    <x v="2"/>
    <x v="0"/>
    <x v="1085"/>
    <s v="HP2636975280"/>
    <x v="0"/>
    <n v="2"/>
  </r>
  <r>
    <x v="1"/>
    <x v="2"/>
    <x v="9"/>
    <x v="34"/>
    <x v="88"/>
    <x v="88"/>
    <x v="11"/>
    <s v="Y"/>
    <s v="N"/>
    <x v="0"/>
    <x v="0"/>
    <x v="0"/>
    <x v="0"/>
    <s v="성인"/>
    <s v="성인"/>
    <s v="대리점"/>
    <x v="0"/>
    <x v="2"/>
    <x v="0"/>
    <x v="1085"/>
    <s v="HP2636975280"/>
    <x v="1"/>
    <n v="2551800"/>
  </r>
  <r>
    <x v="1"/>
    <x v="2"/>
    <x v="9"/>
    <x v="34"/>
    <x v="88"/>
    <x v="88"/>
    <x v="11"/>
    <s v="Y"/>
    <s v="N"/>
    <x v="0"/>
    <x v="0"/>
    <x v="0"/>
    <x v="0"/>
    <s v="아동"/>
    <s v="아동"/>
    <s v="닷컴"/>
    <x v="4"/>
    <x v="17"/>
    <x v="0"/>
    <x v="952"/>
    <s v="HP2636981402"/>
    <x v="0"/>
    <n v="1"/>
  </r>
  <r>
    <x v="1"/>
    <x v="2"/>
    <x v="9"/>
    <x v="34"/>
    <x v="88"/>
    <x v="88"/>
    <x v="11"/>
    <s v="Y"/>
    <s v="N"/>
    <x v="0"/>
    <x v="0"/>
    <x v="0"/>
    <x v="0"/>
    <s v="아동"/>
    <s v="아동"/>
    <s v="닷컴"/>
    <x v="4"/>
    <x v="17"/>
    <x v="0"/>
    <x v="952"/>
    <s v="HP2636981402"/>
    <x v="1"/>
    <n v="526900"/>
  </r>
  <r>
    <x v="1"/>
    <x v="2"/>
    <x v="9"/>
    <x v="34"/>
    <x v="88"/>
    <x v="88"/>
    <x v="11"/>
    <s v="Y"/>
    <s v="N"/>
    <x v="0"/>
    <x v="0"/>
    <x v="0"/>
    <x v="0"/>
    <m/>
    <m/>
    <s v="범용/상용닷컴"/>
    <x v="1"/>
    <x v="4"/>
    <x v="1"/>
    <x v="1086"/>
    <s v="HP2636977798"/>
    <x v="0"/>
    <n v="0"/>
  </r>
  <r>
    <x v="1"/>
    <x v="2"/>
    <x v="9"/>
    <x v="34"/>
    <x v="88"/>
    <x v="88"/>
    <x v="11"/>
    <s v="Y"/>
    <s v="N"/>
    <x v="0"/>
    <x v="0"/>
    <x v="0"/>
    <x v="0"/>
    <m/>
    <m/>
    <s v="범용/상용닷컴"/>
    <x v="1"/>
    <x v="4"/>
    <x v="1"/>
    <x v="1086"/>
    <s v="HP2636977798"/>
    <x v="1"/>
    <n v="819000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7"/>
    <s v="HP2636974556"/>
    <x v="0"/>
    <n v="8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7"/>
    <s v="HP2636974556"/>
    <x v="1"/>
    <n v="8040000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8"/>
    <s v="HP2636977710"/>
    <x v="0"/>
    <n v="2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8"/>
    <s v="HP2636977710"/>
    <x v="1"/>
    <n v="7710000"/>
  </r>
  <r>
    <x v="1"/>
    <x v="2"/>
    <x v="9"/>
    <x v="34"/>
    <x v="88"/>
    <x v="88"/>
    <x v="3"/>
    <s v="N"/>
    <s v="Y"/>
    <x v="0"/>
    <x v="0"/>
    <x v="0"/>
    <x v="0"/>
    <s v="성인"/>
    <s v="성인"/>
    <s v="대리점"/>
    <x v="0"/>
    <x v="4"/>
    <x v="0"/>
    <x v="1086"/>
    <s v="HP2636986228"/>
    <x v="0"/>
    <n v="3"/>
  </r>
  <r>
    <x v="1"/>
    <x v="2"/>
    <x v="9"/>
    <x v="34"/>
    <x v="88"/>
    <x v="88"/>
    <x v="3"/>
    <s v="N"/>
    <s v="Y"/>
    <x v="0"/>
    <x v="0"/>
    <x v="0"/>
    <x v="0"/>
    <s v="성인"/>
    <s v="성인"/>
    <s v="대리점"/>
    <x v="0"/>
    <x v="4"/>
    <x v="0"/>
    <x v="1086"/>
    <s v="HP2636986228"/>
    <x v="1"/>
    <n v="2457000"/>
  </r>
  <r>
    <x v="1"/>
    <x v="2"/>
    <x v="9"/>
    <x v="34"/>
    <x v="88"/>
    <x v="88"/>
    <x v="3"/>
    <s v="N"/>
    <s v="Y"/>
    <x v="1"/>
    <x v="0"/>
    <x v="0"/>
    <x v="0"/>
    <s v="성인"/>
    <s v="성인"/>
    <s v="대리점"/>
    <x v="0"/>
    <x v="2"/>
    <x v="0"/>
    <x v="1089"/>
    <s v="HP2636989016"/>
    <x v="0"/>
    <n v="2"/>
  </r>
  <r>
    <x v="1"/>
    <x v="2"/>
    <x v="9"/>
    <x v="34"/>
    <x v="88"/>
    <x v="88"/>
    <x v="3"/>
    <s v="N"/>
    <s v="Y"/>
    <x v="1"/>
    <x v="0"/>
    <x v="0"/>
    <x v="0"/>
    <s v="성인"/>
    <s v="성인"/>
    <s v="대리점"/>
    <x v="0"/>
    <x v="2"/>
    <x v="0"/>
    <x v="1089"/>
    <s v="HP2636989016"/>
    <x v="1"/>
    <n v="2999800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90"/>
    <s v="HP2636984838"/>
    <x v="0"/>
    <n v="7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90"/>
    <s v="HP2636984838"/>
    <x v="1"/>
    <n v="10983000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89"/>
    <s v="HP2636989016"/>
    <x v="0"/>
    <n v="2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89"/>
    <s v="HP2636989016"/>
    <x v="1"/>
    <n v="2999800"/>
  </r>
  <r>
    <x v="1"/>
    <x v="2"/>
    <x v="9"/>
    <x v="34"/>
    <x v="88"/>
    <x v="88"/>
    <x v="4"/>
    <s v="N"/>
    <s v="N"/>
    <x v="5"/>
    <x v="3"/>
    <x v="0"/>
    <x v="0"/>
    <s v="성인"/>
    <s v="성인"/>
    <s v="대리점"/>
    <x v="0"/>
    <x v="18"/>
    <x v="0"/>
    <x v="1091"/>
    <s v="HG2637002024"/>
    <x v="0"/>
    <n v="4"/>
  </r>
  <r>
    <x v="1"/>
    <x v="2"/>
    <x v="9"/>
    <x v="34"/>
    <x v="88"/>
    <x v="88"/>
    <x v="4"/>
    <s v="N"/>
    <s v="N"/>
    <x v="5"/>
    <x v="3"/>
    <x v="0"/>
    <x v="0"/>
    <s v="성인"/>
    <s v="성인"/>
    <s v="대리점"/>
    <x v="0"/>
    <x v="18"/>
    <x v="0"/>
    <x v="1091"/>
    <s v="HG2637002024"/>
    <x v="1"/>
    <n v="5036000"/>
  </r>
  <r>
    <x v="1"/>
    <x v="2"/>
    <x v="9"/>
    <x v="34"/>
    <x v="88"/>
    <x v="88"/>
    <x v="4"/>
    <s v="N"/>
    <s v="N"/>
    <x v="0"/>
    <x v="0"/>
    <x v="0"/>
    <x v="0"/>
    <s v="성인"/>
    <s v="성인"/>
    <s v="닷컴"/>
    <x v="2"/>
    <x v="2"/>
    <x v="0"/>
    <x v="1092"/>
    <s v="HP2637015630"/>
    <x v="0"/>
    <n v="3"/>
  </r>
  <r>
    <x v="1"/>
    <x v="2"/>
    <x v="9"/>
    <x v="34"/>
    <x v="88"/>
    <x v="88"/>
    <x v="4"/>
    <s v="N"/>
    <s v="N"/>
    <x v="0"/>
    <x v="0"/>
    <x v="0"/>
    <x v="0"/>
    <s v="성인"/>
    <s v="성인"/>
    <s v="닷컴"/>
    <x v="2"/>
    <x v="2"/>
    <x v="0"/>
    <x v="1092"/>
    <s v="HP2637015630"/>
    <x v="1"/>
    <n v="2195700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93"/>
    <s v="HP2637008548"/>
    <x v="0"/>
    <n v="3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93"/>
    <s v="HP2637008548"/>
    <x v="1"/>
    <n v="2999700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81"/>
    <s v="HP2636965050"/>
    <x v="0"/>
    <n v="2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81"/>
    <s v="HP2636965050"/>
    <x v="1"/>
    <n v="2799800"/>
  </r>
  <r>
    <x v="1"/>
    <x v="2"/>
    <x v="9"/>
    <x v="34"/>
    <x v="88"/>
    <x v="88"/>
    <x v="4"/>
    <s v="N"/>
    <s v="N"/>
    <x v="0"/>
    <x v="0"/>
    <x v="0"/>
    <x v="0"/>
    <m/>
    <m/>
    <s v="닷컴"/>
    <x v="4"/>
    <x v="2"/>
    <x v="1"/>
    <x v="1094"/>
    <s v="HP2637000910"/>
    <x v="0"/>
    <n v="0"/>
  </r>
  <r>
    <x v="1"/>
    <x v="2"/>
    <x v="9"/>
    <x v="34"/>
    <x v="88"/>
    <x v="88"/>
    <x v="4"/>
    <s v="N"/>
    <s v="N"/>
    <x v="0"/>
    <x v="0"/>
    <x v="0"/>
    <x v="0"/>
    <m/>
    <m/>
    <s v="닷컴"/>
    <x v="4"/>
    <x v="2"/>
    <x v="1"/>
    <x v="1094"/>
    <s v="HP2637000910"/>
    <x v="1"/>
    <n v="1595800"/>
  </r>
  <r>
    <x v="1"/>
    <x v="2"/>
    <x v="9"/>
    <x v="34"/>
    <x v="88"/>
    <x v="88"/>
    <x v="4"/>
    <s v="N"/>
    <s v="N"/>
    <x v="1"/>
    <x v="0"/>
    <x v="0"/>
    <x v="0"/>
    <s v="성인"/>
    <s v="성인"/>
    <s v="범용/상용닷컴"/>
    <x v="1"/>
    <x v="2"/>
    <x v="0"/>
    <x v="1095"/>
    <s v="HP2637009184"/>
    <x v="0"/>
    <n v="2"/>
  </r>
  <r>
    <x v="1"/>
    <x v="2"/>
    <x v="9"/>
    <x v="34"/>
    <x v="88"/>
    <x v="88"/>
    <x v="4"/>
    <s v="N"/>
    <s v="N"/>
    <x v="1"/>
    <x v="0"/>
    <x v="0"/>
    <x v="0"/>
    <s v="성인"/>
    <s v="성인"/>
    <s v="범용/상용닷컴"/>
    <x v="1"/>
    <x v="2"/>
    <x v="0"/>
    <x v="1095"/>
    <s v="HP2637009184"/>
    <x v="1"/>
    <n v="3898000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2"/>
    <x v="12"/>
    <x v="0"/>
    <x v="1096"/>
    <s v="HB2637038986"/>
    <x v="0"/>
    <n v="2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2"/>
    <x v="12"/>
    <x v="0"/>
    <x v="1096"/>
    <s v="HB2637038986"/>
    <x v="1"/>
    <n v="1638000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5"/>
    <x v="12"/>
    <x v="0"/>
    <x v="1097"/>
    <s v="HB2637023768"/>
    <x v="0"/>
    <n v="1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5"/>
    <x v="12"/>
    <x v="0"/>
    <x v="1097"/>
    <s v="HB2637023768"/>
    <x v="1"/>
    <n v="299900"/>
  </r>
  <r>
    <x v="1"/>
    <x v="2"/>
    <x v="9"/>
    <x v="34"/>
    <x v="88"/>
    <x v="88"/>
    <x v="5"/>
    <s v="N"/>
    <s v="N"/>
    <x v="4"/>
    <x v="1"/>
    <x v="0"/>
    <x v="1"/>
    <s v="아동"/>
    <s v="아동"/>
    <s v="닷컴"/>
    <x v="2"/>
    <x v="12"/>
    <x v="0"/>
    <x v="1096"/>
    <s v="HB2637038986"/>
    <x v="0"/>
    <n v="2"/>
  </r>
  <r>
    <x v="1"/>
    <x v="2"/>
    <x v="9"/>
    <x v="34"/>
    <x v="88"/>
    <x v="88"/>
    <x v="5"/>
    <s v="N"/>
    <s v="N"/>
    <x v="4"/>
    <x v="1"/>
    <x v="0"/>
    <x v="1"/>
    <s v="아동"/>
    <s v="아동"/>
    <s v="닷컴"/>
    <x v="2"/>
    <x v="12"/>
    <x v="0"/>
    <x v="1096"/>
    <s v="HB2637038986"/>
    <x v="1"/>
    <n v="1556100"/>
  </r>
  <r>
    <x v="1"/>
    <x v="2"/>
    <x v="9"/>
    <x v="34"/>
    <x v="88"/>
    <x v="88"/>
    <x v="5"/>
    <s v="N"/>
    <s v="N"/>
    <x v="0"/>
    <x v="0"/>
    <x v="0"/>
    <x v="0"/>
    <s v="성인"/>
    <s v="성인"/>
    <s v="대리점"/>
    <x v="0"/>
    <x v="2"/>
    <x v="0"/>
    <x v="1098"/>
    <s v="HP2637031724"/>
    <x v="0"/>
    <n v="4"/>
  </r>
  <r>
    <x v="1"/>
    <x v="2"/>
    <x v="9"/>
    <x v="34"/>
    <x v="88"/>
    <x v="88"/>
    <x v="5"/>
    <s v="N"/>
    <s v="N"/>
    <x v="0"/>
    <x v="0"/>
    <x v="0"/>
    <x v="0"/>
    <s v="성인"/>
    <s v="성인"/>
    <s v="대리점"/>
    <x v="0"/>
    <x v="2"/>
    <x v="0"/>
    <x v="1098"/>
    <s v="HP2637031724"/>
    <x v="1"/>
    <n v="3919600"/>
  </r>
  <r>
    <x v="1"/>
    <x v="2"/>
    <x v="9"/>
    <x v="34"/>
    <x v="88"/>
    <x v="88"/>
    <x v="6"/>
    <s v="N"/>
    <s v="N"/>
    <x v="0"/>
    <x v="0"/>
    <x v="0"/>
    <x v="0"/>
    <s v="성인"/>
    <s v="성인"/>
    <s v="대리점"/>
    <x v="0"/>
    <x v="2"/>
    <x v="0"/>
    <x v="1099"/>
    <s v="HP2637062770"/>
    <x v="0"/>
    <n v="6"/>
  </r>
  <r>
    <x v="1"/>
    <x v="2"/>
    <x v="9"/>
    <x v="34"/>
    <x v="88"/>
    <x v="88"/>
    <x v="6"/>
    <s v="N"/>
    <s v="N"/>
    <x v="0"/>
    <x v="0"/>
    <x v="0"/>
    <x v="0"/>
    <s v="성인"/>
    <s v="성인"/>
    <s v="대리점"/>
    <x v="0"/>
    <x v="2"/>
    <x v="0"/>
    <x v="1099"/>
    <s v="HP2637062770"/>
    <x v="1"/>
    <n v="4199400"/>
  </r>
  <r>
    <x v="1"/>
    <x v="2"/>
    <x v="9"/>
    <x v="34"/>
    <x v="88"/>
    <x v="88"/>
    <x v="6"/>
    <s v="N"/>
    <s v="N"/>
    <x v="1"/>
    <x v="0"/>
    <x v="0"/>
    <x v="0"/>
    <s v="성인"/>
    <s v="성인"/>
    <s v="범용/상용닷컴"/>
    <x v="1"/>
    <x v="2"/>
    <x v="0"/>
    <x v="666"/>
    <s v="HP2637062070"/>
    <x v="0"/>
    <n v="3"/>
  </r>
  <r>
    <x v="1"/>
    <x v="2"/>
    <x v="9"/>
    <x v="34"/>
    <x v="88"/>
    <x v="88"/>
    <x v="6"/>
    <s v="N"/>
    <s v="N"/>
    <x v="1"/>
    <x v="0"/>
    <x v="0"/>
    <x v="0"/>
    <s v="성인"/>
    <s v="성인"/>
    <s v="범용/상용닷컴"/>
    <x v="1"/>
    <x v="2"/>
    <x v="0"/>
    <x v="666"/>
    <s v="HP2637062070"/>
    <x v="1"/>
    <n v="335430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0"/>
    <s v="HP2637054980"/>
    <x v="0"/>
    <n v="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0"/>
    <s v="HP2637054980"/>
    <x v="1"/>
    <n v="376360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1"/>
    <s v="HP2637057984"/>
    <x v="0"/>
    <n v="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1"/>
    <s v="HP2637057984"/>
    <x v="1"/>
    <n v="11333000"/>
  </r>
  <r>
    <x v="1"/>
    <x v="2"/>
    <x v="9"/>
    <x v="34"/>
    <x v="88"/>
    <x v="88"/>
    <x v="6"/>
    <s v="N"/>
    <s v="N"/>
    <x v="1"/>
    <x v="0"/>
    <x v="0"/>
    <x v="0"/>
    <m/>
    <m/>
    <s v="범용/상용닷컴"/>
    <x v="1"/>
    <x v="2"/>
    <x v="1"/>
    <x v="1102"/>
    <s v="HP2637061654"/>
    <x v="0"/>
    <n v="0"/>
  </r>
  <r>
    <x v="1"/>
    <x v="2"/>
    <x v="9"/>
    <x v="34"/>
    <x v="88"/>
    <x v="88"/>
    <x v="6"/>
    <s v="N"/>
    <s v="N"/>
    <x v="1"/>
    <x v="0"/>
    <x v="0"/>
    <x v="0"/>
    <m/>
    <m/>
    <s v="범용/상용닷컴"/>
    <x v="1"/>
    <x v="2"/>
    <x v="1"/>
    <x v="1102"/>
    <s v="HP2637061654"/>
    <x v="1"/>
    <n v="3054300"/>
  </r>
  <r>
    <x v="1"/>
    <x v="2"/>
    <x v="9"/>
    <x v="34"/>
    <x v="88"/>
    <x v="88"/>
    <x v="7"/>
    <s v="N"/>
    <s v="Y"/>
    <x v="0"/>
    <x v="0"/>
    <x v="0"/>
    <x v="0"/>
    <s v="성인"/>
    <s v="성인"/>
    <s v="닷컴"/>
    <x v="4"/>
    <x v="2"/>
    <x v="0"/>
    <x v="1103"/>
    <s v="HP2637073936"/>
    <x v="0"/>
    <n v="2"/>
  </r>
  <r>
    <x v="1"/>
    <x v="2"/>
    <x v="9"/>
    <x v="34"/>
    <x v="88"/>
    <x v="88"/>
    <x v="7"/>
    <s v="N"/>
    <s v="Y"/>
    <x v="0"/>
    <x v="0"/>
    <x v="0"/>
    <x v="0"/>
    <s v="성인"/>
    <s v="성인"/>
    <s v="닷컴"/>
    <x v="4"/>
    <x v="2"/>
    <x v="0"/>
    <x v="1103"/>
    <s v="HP2637073936"/>
    <x v="1"/>
    <n v="881800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1104"/>
    <s v="HP2637069016"/>
    <x v="0"/>
    <n v="4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1104"/>
    <s v="HP2637069016"/>
    <x v="1"/>
    <n v="2896800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945"/>
    <s v="HP2637069714"/>
    <x v="0"/>
    <n v="4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945"/>
    <s v="HP2637069714"/>
    <x v="1"/>
    <n v="4671600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3"/>
    <x v="0"/>
    <x v="1105"/>
    <s v="HP2637070774"/>
    <x v="0"/>
    <n v="2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3"/>
    <x v="0"/>
    <x v="1105"/>
    <s v="HP2637070774"/>
    <x v="1"/>
    <n v="2381800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957"/>
    <s v="HP2637073350"/>
    <x v="0"/>
    <n v="2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957"/>
    <s v="HP2637073350"/>
    <x v="1"/>
    <n v="1861800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1106"/>
    <s v="HP2637069322"/>
    <x v="0"/>
    <n v="2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1106"/>
    <s v="HP2637069322"/>
    <x v="1"/>
    <n v="2961800"/>
  </r>
  <r>
    <x v="1"/>
    <x v="2"/>
    <x v="9"/>
    <x v="34"/>
    <x v="88"/>
    <x v="88"/>
    <x v="7"/>
    <s v="N"/>
    <s v="Y"/>
    <x v="1"/>
    <x v="0"/>
    <x v="0"/>
    <x v="0"/>
    <s v="청소년"/>
    <s v="청소년"/>
    <s v="대리점"/>
    <x v="0"/>
    <x v="2"/>
    <x v="0"/>
    <x v="957"/>
    <s v="HP2637073350"/>
    <x v="0"/>
    <n v="1"/>
  </r>
  <r>
    <x v="1"/>
    <x v="2"/>
    <x v="9"/>
    <x v="34"/>
    <x v="88"/>
    <x v="88"/>
    <x v="7"/>
    <s v="N"/>
    <s v="Y"/>
    <x v="1"/>
    <x v="0"/>
    <x v="0"/>
    <x v="0"/>
    <s v="청소년"/>
    <s v="청소년"/>
    <s v="대리점"/>
    <x v="0"/>
    <x v="2"/>
    <x v="0"/>
    <x v="957"/>
    <s v="HP2637073350"/>
    <x v="1"/>
    <n v="930900"/>
  </r>
  <r>
    <x v="1"/>
    <x v="2"/>
    <x v="9"/>
    <x v="34"/>
    <x v="88"/>
    <x v="88"/>
    <x v="7"/>
    <s v="N"/>
    <s v="Y"/>
    <x v="1"/>
    <x v="0"/>
    <x v="0"/>
    <x v="1"/>
    <s v="아동"/>
    <s v="아동"/>
    <s v="대리점"/>
    <x v="0"/>
    <x v="2"/>
    <x v="0"/>
    <x v="957"/>
    <s v="HP2637073350"/>
    <x v="0"/>
    <n v="1"/>
  </r>
  <r>
    <x v="1"/>
    <x v="2"/>
    <x v="9"/>
    <x v="34"/>
    <x v="88"/>
    <x v="88"/>
    <x v="7"/>
    <s v="N"/>
    <s v="Y"/>
    <x v="1"/>
    <x v="0"/>
    <x v="0"/>
    <x v="1"/>
    <s v="아동"/>
    <s v="아동"/>
    <s v="대리점"/>
    <x v="0"/>
    <x v="2"/>
    <x v="0"/>
    <x v="957"/>
    <s v="HP2637073350"/>
    <x v="1"/>
    <n v="930900"/>
  </r>
  <r>
    <x v="1"/>
    <x v="2"/>
    <x v="9"/>
    <x v="34"/>
    <x v="88"/>
    <x v="88"/>
    <x v="8"/>
    <s v="Y"/>
    <s v="N"/>
    <x v="0"/>
    <x v="0"/>
    <x v="0"/>
    <x v="0"/>
    <s v="성인"/>
    <s v="성인"/>
    <s v="대리점"/>
    <x v="0"/>
    <x v="19"/>
    <x v="0"/>
    <x v="1107"/>
    <s v="HP2637084670"/>
    <x v="0"/>
    <n v="2"/>
  </r>
  <r>
    <x v="1"/>
    <x v="2"/>
    <x v="9"/>
    <x v="34"/>
    <x v="88"/>
    <x v="88"/>
    <x v="8"/>
    <s v="Y"/>
    <s v="N"/>
    <x v="0"/>
    <x v="0"/>
    <x v="0"/>
    <x v="0"/>
    <s v="성인"/>
    <s v="성인"/>
    <s v="대리점"/>
    <x v="0"/>
    <x v="19"/>
    <x v="0"/>
    <x v="1107"/>
    <s v="HP2637084670"/>
    <x v="1"/>
    <n v="1799800"/>
  </r>
  <r>
    <x v="1"/>
    <x v="2"/>
    <x v="9"/>
    <x v="34"/>
    <x v="88"/>
    <x v="88"/>
    <x v="8"/>
    <s v="Y"/>
    <s v="N"/>
    <x v="0"/>
    <x v="0"/>
    <x v="0"/>
    <x v="0"/>
    <s v="성인"/>
    <s v="성인"/>
    <s v="범용/상용닷컴"/>
    <x v="1"/>
    <x v="2"/>
    <x v="0"/>
    <x v="1108"/>
    <s v="HP2637089038"/>
    <x v="0"/>
    <n v="2"/>
  </r>
  <r>
    <x v="1"/>
    <x v="2"/>
    <x v="9"/>
    <x v="34"/>
    <x v="88"/>
    <x v="88"/>
    <x v="8"/>
    <s v="Y"/>
    <s v="N"/>
    <x v="0"/>
    <x v="0"/>
    <x v="0"/>
    <x v="0"/>
    <s v="성인"/>
    <s v="성인"/>
    <s v="범용/상용닷컴"/>
    <x v="1"/>
    <x v="2"/>
    <x v="0"/>
    <x v="1108"/>
    <s v="HP2637089038"/>
    <x v="1"/>
    <n v="673600"/>
  </r>
  <r>
    <x v="1"/>
    <x v="2"/>
    <x v="9"/>
    <x v="34"/>
    <x v="88"/>
    <x v="88"/>
    <x v="8"/>
    <s v="Y"/>
    <s v="N"/>
    <x v="0"/>
    <x v="0"/>
    <x v="0"/>
    <x v="0"/>
    <m/>
    <m/>
    <s v="대리점"/>
    <x v="0"/>
    <x v="2"/>
    <x v="0"/>
    <x v="1109"/>
    <s v="HP2637086796"/>
    <x v="0"/>
    <n v="3"/>
  </r>
  <r>
    <x v="1"/>
    <x v="2"/>
    <x v="9"/>
    <x v="34"/>
    <x v="88"/>
    <x v="88"/>
    <x v="8"/>
    <s v="Y"/>
    <s v="N"/>
    <x v="0"/>
    <x v="0"/>
    <x v="0"/>
    <x v="0"/>
    <m/>
    <m/>
    <s v="대리점"/>
    <x v="0"/>
    <x v="2"/>
    <x v="0"/>
    <x v="1109"/>
    <s v="HP2637086796"/>
    <x v="1"/>
    <n v="3449700"/>
  </r>
  <r>
    <x v="1"/>
    <x v="2"/>
    <x v="9"/>
    <x v="34"/>
    <x v="88"/>
    <x v="88"/>
    <x v="8"/>
    <s v="Y"/>
    <s v="N"/>
    <x v="0"/>
    <x v="0"/>
    <x v="0"/>
    <x v="0"/>
    <m/>
    <m/>
    <s v="범용/상용닷컴"/>
    <x v="1"/>
    <x v="19"/>
    <x v="0"/>
    <x v="1110"/>
    <s v="HP2637091074"/>
    <x v="0"/>
    <n v="6"/>
  </r>
  <r>
    <x v="1"/>
    <x v="2"/>
    <x v="9"/>
    <x v="34"/>
    <x v="88"/>
    <x v="88"/>
    <x v="8"/>
    <s v="Y"/>
    <s v="N"/>
    <x v="0"/>
    <x v="0"/>
    <x v="0"/>
    <x v="0"/>
    <m/>
    <m/>
    <s v="범용/상용닷컴"/>
    <x v="1"/>
    <x v="19"/>
    <x v="0"/>
    <x v="1110"/>
    <s v="HP2637091074"/>
    <x v="1"/>
    <n v="4494000"/>
  </r>
  <r>
    <x v="1"/>
    <x v="2"/>
    <x v="9"/>
    <x v="34"/>
    <x v="88"/>
    <x v="88"/>
    <x v="8"/>
    <s v="Y"/>
    <s v="N"/>
    <x v="1"/>
    <x v="0"/>
    <x v="0"/>
    <x v="0"/>
    <s v="성인"/>
    <s v="성인"/>
    <s v="대리점"/>
    <x v="0"/>
    <x v="23"/>
    <x v="0"/>
    <x v="1111"/>
    <s v="HP2637086288"/>
    <x v="0"/>
    <n v="2"/>
  </r>
  <r>
    <x v="1"/>
    <x v="2"/>
    <x v="9"/>
    <x v="34"/>
    <x v="88"/>
    <x v="88"/>
    <x v="8"/>
    <s v="Y"/>
    <s v="N"/>
    <x v="1"/>
    <x v="0"/>
    <x v="0"/>
    <x v="0"/>
    <s v="성인"/>
    <s v="성인"/>
    <s v="대리점"/>
    <x v="0"/>
    <x v="23"/>
    <x v="0"/>
    <x v="1111"/>
    <s v="HP2637086288"/>
    <x v="1"/>
    <n v="2799800"/>
  </r>
  <r>
    <x v="1"/>
    <x v="2"/>
    <x v="9"/>
    <x v="34"/>
    <x v="88"/>
    <x v="88"/>
    <x v="8"/>
    <s v="Y"/>
    <s v="N"/>
    <x v="1"/>
    <x v="0"/>
    <x v="0"/>
    <x v="0"/>
    <s v="성인"/>
    <s v="성인"/>
    <s v="범용/상용닷컴"/>
    <x v="1"/>
    <x v="3"/>
    <x v="0"/>
    <x v="1112"/>
    <s v="HP2637082906"/>
    <x v="0"/>
    <n v="3"/>
  </r>
  <r>
    <x v="1"/>
    <x v="2"/>
    <x v="9"/>
    <x v="34"/>
    <x v="88"/>
    <x v="88"/>
    <x v="8"/>
    <s v="Y"/>
    <s v="N"/>
    <x v="1"/>
    <x v="0"/>
    <x v="0"/>
    <x v="0"/>
    <s v="성인"/>
    <s v="성인"/>
    <s v="범용/상용닷컴"/>
    <x v="1"/>
    <x v="3"/>
    <x v="0"/>
    <x v="1112"/>
    <s v="HP2637082906"/>
    <x v="1"/>
    <n v="2660700"/>
  </r>
  <r>
    <x v="1"/>
    <x v="2"/>
    <x v="9"/>
    <x v="34"/>
    <x v="88"/>
    <x v="88"/>
    <x v="9"/>
    <s v="Y"/>
    <s v="N"/>
    <x v="0"/>
    <x v="0"/>
    <x v="0"/>
    <x v="0"/>
    <s v="성인"/>
    <s v="성인"/>
    <s v="닷컴"/>
    <x v="2"/>
    <x v="19"/>
    <x v="0"/>
    <x v="1113"/>
    <s v="HP2637097900"/>
    <x v="0"/>
    <n v="2"/>
  </r>
  <r>
    <x v="1"/>
    <x v="2"/>
    <x v="9"/>
    <x v="34"/>
    <x v="88"/>
    <x v="88"/>
    <x v="9"/>
    <s v="Y"/>
    <s v="N"/>
    <x v="0"/>
    <x v="0"/>
    <x v="0"/>
    <x v="0"/>
    <s v="성인"/>
    <s v="성인"/>
    <s v="닷컴"/>
    <x v="2"/>
    <x v="19"/>
    <x v="0"/>
    <x v="1113"/>
    <s v="HP2637097900"/>
    <x v="1"/>
    <n v="1478000"/>
  </r>
  <r>
    <x v="1"/>
    <x v="2"/>
    <x v="9"/>
    <x v="34"/>
    <x v="88"/>
    <x v="88"/>
    <x v="9"/>
    <s v="Y"/>
    <s v="N"/>
    <x v="0"/>
    <x v="0"/>
    <x v="0"/>
    <x v="0"/>
    <m/>
    <m/>
    <s v="닷컴"/>
    <x v="4"/>
    <x v="2"/>
    <x v="1"/>
    <x v="1114"/>
    <s v="HP2637099688"/>
    <x v="0"/>
    <n v="0"/>
  </r>
  <r>
    <x v="1"/>
    <x v="2"/>
    <x v="9"/>
    <x v="34"/>
    <x v="88"/>
    <x v="88"/>
    <x v="9"/>
    <s v="Y"/>
    <s v="N"/>
    <x v="0"/>
    <x v="0"/>
    <x v="0"/>
    <x v="0"/>
    <m/>
    <m/>
    <s v="닷컴"/>
    <x v="4"/>
    <x v="2"/>
    <x v="1"/>
    <x v="1114"/>
    <s v="HP2637099688"/>
    <x v="1"/>
    <n v="1556200"/>
  </r>
  <r>
    <x v="1"/>
    <x v="2"/>
    <x v="9"/>
    <x v="34"/>
    <x v="88"/>
    <x v="88"/>
    <x v="10"/>
    <s v="N"/>
    <s v="N"/>
    <x v="0"/>
    <x v="0"/>
    <x v="0"/>
    <x v="0"/>
    <s v="성인"/>
    <s v="성인"/>
    <s v="닷컴"/>
    <x v="4"/>
    <x v="2"/>
    <x v="0"/>
    <x v="1058"/>
    <s v="HP2637116790"/>
    <x v="0"/>
    <n v="2"/>
  </r>
  <r>
    <x v="1"/>
    <x v="2"/>
    <x v="9"/>
    <x v="34"/>
    <x v="88"/>
    <x v="88"/>
    <x v="10"/>
    <s v="N"/>
    <s v="N"/>
    <x v="0"/>
    <x v="0"/>
    <x v="0"/>
    <x v="0"/>
    <s v="성인"/>
    <s v="성인"/>
    <s v="닷컴"/>
    <x v="4"/>
    <x v="2"/>
    <x v="0"/>
    <x v="1058"/>
    <s v="HP2637116790"/>
    <x v="1"/>
    <n v="1455800"/>
  </r>
  <r>
    <x v="1"/>
    <x v="2"/>
    <x v="9"/>
    <x v="34"/>
    <x v="88"/>
    <x v="88"/>
    <x v="10"/>
    <s v="N"/>
    <s v="N"/>
    <x v="0"/>
    <x v="0"/>
    <x v="0"/>
    <x v="0"/>
    <s v="성인"/>
    <s v="성인"/>
    <s v="대리점"/>
    <x v="0"/>
    <x v="2"/>
    <x v="0"/>
    <x v="728"/>
    <s v="HP2637126540"/>
    <x v="0"/>
    <n v="2"/>
  </r>
  <r>
    <x v="1"/>
    <x v="2"/>
    <x v="9"/>
    <x v="34"/>
    <x v="88"/>
    <x v="88"/>
    <x v="10"/>
    <s v="N"/>
    <s v="N"/>
    <x v="0"/>
    <x v="0"/>
    <x v="0"/>
    <x v="0"/>
    <s v="성인"/>
    <s v="성인"/>
    <s v="대리점"/>
    <x v="0"/>
    <x v="2"/>
    <x v="0"/>
    <x v="728"/>
    <s v="HP2637126540"/>
    <x v="1"/>
    <n v="1165800"/>
  </r>
  <r>
    <x v="1"/>
    <x v="2"/>
    <x v="9"/>
    <x v="34"/>
    <x v="88"/>
    <x v="88"/>
    <x v="10"/>
    <s v="N"/>
    <s v="N"/>
    <x v="0"/>
    <x v="0"/>
    <x v="0"/>
    <x v="0"/>
    <m/>
    <m/>
    <s v="범용/상용닷컴"/>
    <x v="1"/>
    <x v="19"/>
    <x v="0"/>
    <x v="1115"/>
    <s v="HP2637119876"/>
    <x v="0"/>
    <n v="2"/>
  </r>
  <r>
    <x v="1"/>
    <x v="2"/>
    <x v="9"/>
    <x v="34"/>
    <x v="88"/>
    <x v="88"/>
    <x v="10"/>
    <s v="N"/>
    <s v="N"/>
    <x v="0"/>
    <x v="0"/>
    <x v="0"/>
    <x v="0"/>
    <m/>
    <m/>
    <s v="범용/상용닷컴"/>
    <x v="1"/>
    <x v="19"/>
    <x v="0"/>
    <x v="1115"/>
    <s v="HP2637119876"/>
    <x v="1"/>
    <n v="1218000"/>
  </r>
  <r>
    <x v="1"/>
    <x v="2"/>
    <x v="9"/>
    <x v="34"/>
    <x v="88"/>
    <x v="88"/>
    <x v="10"/>
    <s v="N"/>
    <s v="N"/>
    <x v="2"/>
    <x v="0"/>
    <x v="0"/>
    <x v="0"/>
    <m/>
    <m/>
    <s v="범용/상용닷컴"/>
    <x v="1"/>
    <x v="2"/>
    <x v="1"/>
    <x v="1116"/>
    <s v="HP2637117390"/>
    <x v="0"/>
    <n v="0"/>
  </r>
  <r>
    <x v="1"/>
    <x v="2"/>
    <x v="9"/>
    <x v="34"/>
    <x v="88"/>
    <x v="88"/>
    <x v="10"/>
    <s v="N"/>
    <s v="N"/>
    <x v="2"/>
    <x v="0"/>
    <x v="0"/>
    <x v="0"/>
    <m/>
    <m/>
    <s v="범용/상용닷컴"/>
    <x v="1"/>
    <x v="2"/>
    <x v="1"/>
    <x v="1116"/>
    <s v="HP2637117390"/>
    <x v="1"/>
    <n v="2599600"/>
  </r>
  <r>
    <x v="1"/>
    <x v="2"/>
    <x v="9"/>
    <x v="34"/>
    <x v="89"/>
    <x v="89"/>
    <x v="0"/>
    <s v="N"/>
    <s v="N"/>
    <x v="4"/>
    <x v="2"/>
    <x v="0"/>
    <x v="0"/>
    <s v="성인"/>
    <s v="성인"/>
    <s v="대리점"/>
    <x v="0"/>
    <x v="2"/>
    <x v="0"/>
    <x v="1117"/>
    <s v="HQ2636094824"/>
    <x v="0"/>
    <n v="2"/>
  </r>
  <r>
    <x v="1"/>
    <x v="2"/>
    <x v="9"/>
    <x v="34"/>
    <x v="89"/>
    <x v="89"/>
    <x v="0"/>
    <s v="N"/>
    <s v="N"/>
    <x v="4"/>
    <x v="2"/>
    <x v="0"/>
    <x v="0"/>
    <s v="성인"/>
    <s v="성인"/>
    <s v="대리점"/>
    <x v="0"/>
    <x v="2"/>
    <x v="0"/>
    <x v="1117"/>
    <s v="HQ2636094824"/>
    <x v="1"/>
    <n v="760000"/>
  </r>
  <r>
    <x v="1"/>
    <x v="2"/>
    <x v="9"/>
    <x v="34"/>
    <x v="89"/>
    <x v="89"/>
    <x v="0"/>
    <s v="N"/>
    <s v="N"/>
    <x v="0"/>
    <x v="0"/>
    <x v="0"/>
    <x v="0"/>
    <s v="성인"/>
    <s v="성인"/>
    <s v="대리점"/>
    <x v="0"/>
    <x v="2"/>
    <x v="0"/>
    <x v="1046"/>
    <s v="HP2636929778"/>
    <x v="0"/>
    <n v="6"/>
  </r>
  <r>
    <x v="1"/>
    <x v="2"/>
    <x v="9"/>
    <x v="34"/>
    <x v="89"/>
    <x v="89"/>
    <x v="0"/>
    <s v="N"/>
    <s v="N"/>
    <x v="0"/>
    <x v="0"/>
    <x v="0"/>
    <x v="0"/>
    <s v="성인"/>
    <s v="성인"/>
    <s v="대리점"/>
    <x v="0"/>
    <x v="2"/>
    <x v="0"/>
    <x v="1046"/>
    <s v="HP2636929778"/>
    <x v="1"/>
    <n v="3539400"/>
  </r>
  <r>
    <x v="1"/>
    <x v="2"/>
    <x v="9"/>
    <x v="34"/>
    <x v="89"/>
    <x v="89"/>
    <x v="1"/>
    <s v="N"/>
    <s v="N"/>
    <x v="4"/>
    <x v="2"/>
    <x v="0"/>
    <x v="0"/>
    <s v="성인"/>
    <s v="성인"/>
    <s v="대리점"/>
    <x v="0"/>
    <x v="2"/>
    <x v="0"/>
    <x v="1117"/>
    <s v="HQ2636094824"/>
    <x v="0"/>
    <n v="1"/>
  </r>
  <r>
    <x v="1"/>
    <x v="2"/>
    <x v="9"/>
    <x v="34"/>
    <x v="89"/>
    <x v="89"/>
    <x v="1"/>
    <s v="N"/>
    <s v="N"/>
    <x v="4"/>
    <x v="2"/>
    <x v="0"/>
    <x v="0"/>
    <s v="성인"/>
    <s v="성인"/>
    <s v="대리점"/>
    <x v="0"/>
    <x v="2"/>
    <x v="0"/>
    <x v="1117"/>
    <s v="HQ2636094824"/>
    <x v="1"/>
    <n v="380000"/>
  </r>
  <r>
    <x v="1"/>
    <x v="2"/>
    <x v="9"/>
    <x v="34"/>
    <x v="89"/>
    <x v="89"/>
    <x v="1"/>
    <s v="N"/>
    <s v="N"/>
    <x v="0"/>
    <x v="0"/>
    <x v="0"/>
    <x v="0"/>
    <s v="성인"/>
    <s v="성인"/>
    <s v="대리점"/>
    <x v="0"/>
    <x v="2"/>
    <x v="0"/>
    <x v="1118"/>
    <s v="HP2636946664"/>
    <x v="0"/>
    <n v="4"/>
  </r>
  <r>
    <x v="1"/>
    <x v="2"/>
    <x v="9"/>
    <x v="34"/>
    <x v="89"/>
    <x v="89"/>
    <x v="1"/>
    <s v="N"/>
    <s v="N"/>
    <x v="0"/>
    <x v="0"/>
    <x v="0"/>
    <x v="0"/>
    <s v="성인"/>
    <s v="성인"/>
    <s v="대리점"/>
    <x v="0"/>
    <x v="2"/>
    <x v="0"/>
    <x v="1118"/>
    <s v="HP2636946664"/>
    <x v="1"/>
    <n v="2907600"/>
  </r>
  <r>
    <x v="1"/>
    <x v="2"/>
    <x v="9"/>
    <x v="34"/>
    <x v="89"/>
    <x v="89"/>
    <x v="2"/>
    <s v="Y"/>
    <s v="Y"/>
    <x v="0"/>
    <x v="0"/>
    <x v="0"/>
    <x v="0"/>
    <s v="성인"/>
    <s v="성인"/>
    <s v="대리점"/>
    <x v="0"/>
    <x v="2"/>
    <x v="0"/>
    <x v="953"/>
    <s v="HP2636967136"/>
    <x v="0"/>
    <n v="1"/>
  </r>
  <r>
    <x v="1"/>
    <x v="2"/>
    <x v="9"/>
    <x v="34"/>
    <x v="89"/>
    <x v="89"/>
    <x v="2"/>
    <s v="Y"/>
    <s v="Y"/>
    <x v="0"/>
    <x v="0"/>
    <x v="0"/>
    <x v="0"/>
    <s v="성인"/>
    <s v="성인"/>
    <s v="대리점"/>
    <x v="0"/>
    <x v="2"/>
    <x v="0"/>
    <x v="953"/>
    <s v="HP2636967136"/>
    <x v="1"/>
    <n v="426900"/>
  </r>
  <r>
    <x v="1"/>
    <x v="2"/>
    <x v="9"/>
    <x v="34"/>
    <x v="89"/>
    <x v="89"/>
    <x v="2"/>
    <s v="Y"/>
    <s v="Y"/>
    <x v="0"/>
    <x v="0"/>
    <x v="0"/>
    <x v="0"/>
    <s v="청소년"/>
    <s v="청소년"/>
    <s v="대리점"/>
    <x v="0"/>
    <x v="2"/>
    <x v="0"/>
    <x v="953"/>
    <s v="HP2636967136"/>
    <x v="0"/>
    <n v="1"/>
  </r>
  <r>
    <x v="1"/>
    <x v="2"/>
    <x v="9"/>
    <x v="34"/>
    <x v="89"/>
    <x v="89"/>
    <x v="2"/>
    <s v="Y"/>
    <s v="Y"/>
    <x v="0"/>
    <x v="0"/>
    <x v="0"/>
    <x v="0"/>
    <s v="청소년"/>
    <s v="청소년"/>
    <s v="대리점"/>
    <x v="0"/>
    <x v="2"/>
    <x v="0"/>
    <x v="953"/>
    <s v="HP2636967136"/>
    <x v="1"/>
    <n v="426900"/>
  </r>
  <r>
    <x v="1"/>
    <x v="2"/>
    <x v="9"/>
    <x v="34"/>
    <x v="89"/>
    <x v="89"/>
    <x v="2"/>
    <s v="Y"/>
    <s v="Y"/>
    <x v="0"/>
    <x v="0"/>
    <x v="0"/>
    <x v="0"/>
    <m/>
    <m/>
    <s v="대리점"/>
    <x v="0"/>
    <x v="26"/>
    <x v="1"/>
    <x v="1119"/>
    <s v="HP2636964508"/>
    <x v="0"/>
    <n v="0"/>
  </r>
  <r>
    <x v="1"/>
    <x v="2"/>
    <x v="9"/>
    <x v="34"/>
    <x v="89"/>
    <x v="89"/>
    <x v="2"/>
    <s v="Y"/>
    <s v="Y"/>
    <x v="0"/>
    <x v="0"/>
    <x v="0"/>
    <x v="0"/>
    <m/>
    <m/>
    <s v="대리점"/>
    <x v="0"/>
    <x v="26"/>
    <x v="1"/>
    <x v="1119"/>
    <s v="HP2636964508"/>
    <x v="1"/>
    <n v="6956000"/>
  </r>
  <r>
    <x v="1"/>
    <x v="2"/>
    <x v="9"/>
    <x v="34"/>
    <x v="89"/>
    <x v="89"/>
    <x v="3"/>
    <s v="N"/>
    <s v="Y"/>
    <x v="4"/>
    <x v="2"/>
    <x v="1"/>
    <x v="0"/>
    <m/>
    <m/>
    <s v="대리점"/>
    <x v="0"/>
    <x v="2"/>
    <x v="0"/>
    <x v="1117"/>
    <s v="HQ2636094824"/>
    <x v="0"/>
    <n v="2"/>
  </r>
  <r>
    <x v="1"/>
    <x v="2"/>
    <x v="9"/>
    <x v="34"/>
    <x v="89"/>
    <x v="89"/>
    <x v="3"/>
    <s v="N"/>
    <s v="Y"/>
    <x v="4"/>
    <x v="2"/>
    <x v="1"/>
    <x v="0"/>
    <m/>
    <m/>
    <s v="대리점"/>
    <x v="0"/>
    <x v="2"/>
    <x v="0"/>
    <x v="1117"/>
    <s v="HQ2636094824"/>
    <x v="1"/>
    <n v="262000"/>
  </r>
  <r>
    <x v="1"/>
    <x v="2"/>
    <x v="9"/>
    <x v="34"/>
    <x v="89"/>
    <x v="89"/>
    <x v="4"/>
    <s v="N"/>
    <s v="N"/>
    <x v="0"/>
    <x v="0"/>
    <x v="0"/>
    <x v="0"/>
    <m/>
    <m/>
    <s v="대리점"/>
    <x v="0"/>
    <x v="2"/>
    <x v="1"/>
    <x v="1120"/>
    <s v="HP2637002204"/>
    <x v="0"/>
    <n v="0"/>
  </r>
  <r>
    <x v="1"/>
    <x v="2"/>
    <x v="9"/>
    <x v="34"/>
    <x v="89"/>
    <x v="89"/>
    <x v="4"/>
    <s v="N"/>
    <s v="N"/>
    <x v="0"/>
    <x v="0"/>
    <x v="0"/>
    <x v="0"/>
    <m/>
    <m/>
    <s v="대리점"/>
    <x v="0"/>
    <x v="2"/>
    <x v="1"/>
    <x v="1120"/>
    <s v="HP2637002204"/>
    <x v="1"/>
    <n v="853800"/>
  </r>
  <r>
    <x v="1"/>
    <x v="2"/>
    <x v="9"/>
    <x v="34"/>
    <x v="89"/>
    <x v="89"/>
    <x v="4"/>
    <s v="N"/>
    <s v="N"/>
    <x v="1"/>
    <x v="0"/>
    <x v="0"/>
    <x v="0"/>
    <s v="성인"/>
    <s v="성인"/>
    <s v="대리점"/>
    <x v="0"/>
    <x v="3"/>
    <x v="0"/>
    <x v="1121"/>
    <s v="HP2637009032"/>
    <x v="0"/>
    <n v="2"/>
  </r>
  <r>
    <x v="1"/>
    <x v="2"/>
    <x v="9"/>
    <x v="34"/>
    <x v="89"/>
    <x v="89"/>
    <x v="4"/>
    <s v="N"/>
    <s v="N"/>
    <x v="1"/>
    <x v="0"/>
    <x v="0"/>
    <x v="0"/>
    <s v="성인"/>
    <s v="성인"/>
    <s v="대리점"/>
    <x v="0"/>
    <x v="3"/>
    <x v="0"/>
    <x v="1121"/>
    <s v="HP2637009032"/>
    <x v="1"/>
    <n v="1580000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0"/>
    <x v="1121"/>
    <s v="HP2637009032"/>
    <x v="0"/>
    <n v="2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0"/>
    <x v="1121"/>
    <s v="HP2637009032"/>
    <x v="1"/>
    <n v="1580000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1"/>
    <x v="1121"/>
    <s v="HP2637008952"/>
    <x v="0"/>
    <n v="0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1"/>
    <x v="1121"/>
    <s v="HP2637008952"/>
    <x v="1"/>
    <n v="1580000"/>
  </r>
  <r>
    <x v="1"/>
    <x v="2"/>
    <x v="9"/>
    <x v="34"/>
    <x v="89"/>
    <x v="89"/>
    <x v="5"/>
    <s v="N"/>
    <s v="N"/>
    <x v="4"/>
    <x v="2"/>
    <x v="0"/>
    <x v="0"/>
    <s v="성인"/>
    <s v="성인"/>
    <s v="대리점"/>
    <x v="0"/>
    <x v="2"/>
    <x v="0"/>
    <x v="1122"/>
    <s v="HQ2637034582"/>
    <x v="0"/>
    <n v="8"/>
  </r>
  <r>
    <x v="1"/>
    <x v="2"/>
    <x v="9"/>
    <x v="34"/>
    <x v="89"/>
    <x v="89"/>
    <x v="5"/>
    <s v="N"/>
    <s v="N"/>
    <x v="4"/>
    <x v="2"/>
    <x v="0"/>
    <x v="0"/>
    <s v="성인"/>
    <s v="성인"/>
    <s v="대리점"/>
    <x v="0"/>
    <x v="2"/>
    <x v="0"/>
    <x v="1122"/>
    <s v="HQ2637034582"/>
    <x v="1"/>
    <n v="11440000"/>
  </r>
  <r>
    <x v="1"/>
    <x v="2"/>
    <x v="9"/>
    <x v="34"/>
    <x v="89"/>
    <x v="89"/>
    <x v="5"/>
    <s v="N"/>
    <s v="N"/>
    <x v="4"/>
    <x v="2"/>
    <x v="0"/>
    <x v="0"/>
    <s v="청소년"/>
    <s v="청소년"/>
    <s v="대리점"/>
    <x v="0"/>
    <x v="2"/>
    <x v="0"/>
    <x v="1122"/>
    <s v="HQ2637034582"/>
    <x v="0"/>
    <n v="1"/>
  </r>
  <r>
    <x v="1"/>
    <x v="2"/>
    <x v="9"/>
    <x v="34"/>
    <x v="89"/>
    <x v="89"/>
    <x v="5"/>
    <s v="N"/>
    <s v="N"/>
    <x v="4"/>
    <x v="2"/>
    <x v="0"/>
    <x v="0"/>
    <s v="청소년"/>
    <s v="청소년"/>
    <s v="대리점"/>
    <x v="0"/>
    <x v="2"/>
    <x v="0"/>
    <x v="1122"/>
    <s v="HQ2637034582"/>
    <x v="1"/>
    <n v="1430000"/>
  </r>
  <r>
    <x v="1"/>
    <x v="2"/>
    <x v="9"/>
    <x v="34"/>
    <x v="89"/>
    <x v="89"/>
    <x v="5"/>
    <s v="N"/>
    <s v="N"/>
    <x v="4"/>
    <x v="2"/>
    <x v="0"/>
    <x v="0"/>
    <m/>
    <m/>
    <s v="대리점"/>
    <x v="0"/>
    <x v="2"/>
    <x v="1"/>
    <x v="1122"/>
    <s v="HQ2637034582"/>
    <x v="0"/>
    <n v="0"/>
  </r>
  <r>
    <x v="1"/>
    <x v="2"/>
    <x v="9"/>
    <x v="34"/>
    <x v="89"/>
    <x v="89"/>
    <x v="5"/>
    <s v="N"/>
    <s v="N"/>
    <x v="4"/>
    <x v="2"/>
    <x v="0"/>
    <x v="0"/>
    <m/>
    <m/>
    <s v="대리점"/>
    <x v="0"/>
    <x v="2"/>
    <x v="1"/>
    <x v="1122"/>
    <s v="HQ2637034582"/>
    <x v="1"/>
    <n v="3000000"/>
  </r>
  <r>
    <x v="1"/>
    <x v="2"/>
    <x v="9"/>
    <x v="34"/>
    <x v="89"/>
    <x v="89"/>
    <x v="5"/>
    <s v="N"/>
    <s v="N"/>
    <x v="4"/>
    <x v="2"/>
    <x v="0"/>
    <x v="1"/>
    <s v="아동"/>
    <s v="아동"/>
    <s v="대리점"/>
    <x v="0"/>
    <x v="2"/>
    <x v="0"/>
    <x v="1122"/>
    <s v="HQ2637034582"/>
    <x v="0"/>
    <n v="1"/>
  </r>
  <r>
    <x v="1"/>
    <x v="2"/>
    <x v="9"/>
    <x v="34"/>
    <x v="89"/>
    <x v="89"/>
    <x v="5"/>
    <s v="N"/>
    <s v="N"/>
    <x v="4"/>
    <x v="2"/>
    <x v="0"/>
    <x v="1"/>
    <s v="아동"/>
    <s v="아동"/>
    <s v="대리점"/>
    <x v="0"/>
    <x v="2"/>
    <x v="0"/>
    <x v="1122"/>
    <s v="HQ2637034582"/>
    <x v="1"/>
    <n v="1430000"/>
  </r>
  <r>
    <x v="1"/>
    <x v="2"/>
    <x v="9"/>
    <x v="34"/>
    <x v="89"/>
    <x v="89"/>
    <x v="5"/>
    <s v="N"/>
    <s v="N"/>
    <x v="4"/>
    <x v="2"/>
    <x v="0"/>
    <x v="1"/>
    <s v="유아"/>
    <s v="아동"/>
    <s v="대리점"/>
    <x v="0"/>
    <x v="2"/>
    <x v="0"/>
    <x v="1122"/>
    <s v="HQ2637034582"/>
    <x v="0"/>
    <n v="1"/>
  </r>
  <r>
    <x v="1"/>
    <x v="2"/>
    <x v="9"/>
    <x v="34"/>
    <x v="89"/>
    <x v="89"/>
    <x v="5"/>
    <s v="N"/>
    <s v="N"/>
    <x v="4"/>
    <x v="2"/>
    <x v="0"/>
    <x v="1"/>
    <s v="유아"/>
    <s v="아동"/>
    <s v="대리점"/>
    <x v="0"/>
    <x v="2"/>
    <x v="0"/>
    <x v="1122"/>
    <s v="HQ2637034582"/>
    <x v="1"/>
    <n v="1430000"/>
  </r>
  <r>
    <x v="1"/>
    <x v="2"/>
    <x v="9"/>
    <x v="34"/>
    <x v="89"/>
    <x v="89"/>
    <x v="5"/>
    <s v="N"/>
    <s v="N"/>
    <x v="0"/>
    <x v="0"/>
    <x v="0"/>
    <x v="0"/>
    <m/>
    <m/>
    <s v="대리점"/>
    <x v="0"/>
    <x v="2"/>
    <x v="0"/>
    <x v="1123"/>
    <s v="HP2637031402"/>
    <x v="0"/>
    <n v="2"/>
  </r>
  <r>
    <x v="1"/>
    <x v="2"/>
    <x v="9"/>
    <x v="34"/>
    <x v="89"/>
    <x v="89"/>
    <x v="5"/>
    <s v="N"/>
    <s v="N"/>
    <x v="0"/>
    <x v="0"/>
    <x v="0"/>
    <x v="0"/>
    <m/>
    <m/>
    <s v="대리점"/>
    <x v="0"/>
    <x v="2"/>
    <x v="0"/>
    <x v="1123"/>
    <s v="HP2637031402"/>
    <x v="1"/>
    <n v="1995800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24"/>
    <s v="HQ2636094438"/>
    <x v="0"/>
    <n v="1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24"/>
    <s v="HQ2636094438"/>
    <x v="1"/>
    <n v="0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17"/>
    <s v="HQ2636094824"/>
    <x v="0"/>
    <n v="2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17"/>
    <s v="HQ2636094824"/>
    <x v="1"/>
    <n v="0"/>
  </r>
  <r>
    <x v="1"/>
    <x v="2"/>
    <x v="9"/>
    <x v="34"/>
    <x v="89"/>
    <x v="89"/>
    <x v="6"/>
    <s v="N"/>
    <s v="N"/>
    <x v="4"/>
    <x v="2"/>
    <x v="0"/>
    <x v="0"/>
    <s v="성인"/>
    <s v="성인"/>
    <s v="대리점"/>
    <x v="0"/>
    <x v="2"/>
    <x v="0"/>
    <x v="1124"/>
    <s v="HQ2636094438"/>
    <x v="0"/>
    <n v="2"/>
  </r>
  <r>
    <x v="1"/>
    <x v="2"/>
    <x v="9"/>
    <x v="34"/>
    <x v="89"/>
    <x v="89"/>
    <x v="6"/>
    <s v="N"/>
    <s v="N"/>
    <x v="4"/>
    <x v="2"/>
    <x v="0"/>
    <x v="0"/>
    <s v="성인"/>
    <s v="성인"/>
    <s v="대리점"/>
    <x v="0"/>
    <x v="2"/>
    <x v="0"/>
    <x v="1124"/>
    <s v="HQ2636094438"/>
    <x v="1"/>
    <n v="0"/>
  </r>
  <r>
    <x v="1"/>
    <x v="2"/>
    <x v="9"/>
    <x v="34"/>
    <x v="89"/>
    <x v="89"/>
    <x v="6"/>
    <s v="N"/>
    <s v="N"/>
    <x v="0"/>
    <x v="0"/>
    <x v="0"/>
    <x v="0"/>
    <s v="성인"/>
    <s v="성인"/>
    <s v="범용/상용닷컴"/>
    <x v="1"/>
    <x v="13"/>
    <x v="0"/>
    <x v="1125"/>
    <s v="HP2637056262"/>
    <x v="0"/>
    <n v="2"/>
  </r>
  <r>
    <x v="1"/>
    <x v="2"/>
    <x v="9"/>
    <x v="34"/>
    <x v="89"/>
    <x v="89"/>
    <x v="6"/>
    <s v="N"/>
    <s v="N"/>
    <x v="0"/>
    <x v="0"/>
    <x v="0"/>
    <x v="0"/>
    <s v="성인"/>
    <s v="성인"/>
    <s v="범용/상용닷컴"/>
    <x v="1"/>
    <x v="13"/>
    <x v="0"/>
    <x v="1125"/>
    <s v="HP2637056262"/>
    <x v="1"/>
    <n v="1255800"/>
  </r>
  <r>
    <x v="1"/>
    <x v="2"/>
    <x v="9"/>
    <x v="34"/>
    <x v="89"/>
    <x v="89"/>
    <x v="6"/>
    <s v="N"/>
    <s v="N"/>
    <x v="0"/>
    <x v="0"/>
    <x v="0"/>
    <x v="0"/>
    <m/>
    <m/>
    <s v="대리점"/>
    <x v="0"/>
    <x v="13"/>
    <x v="0"/>
    <x v="1125"/>
    <s v="HP2637061798"/>
    <x v="0"/>
    <n v="4"/>
  </r>
  <r>
    <x v="1"/>
    <x v="2"/>
    <x v="9"/>
    <x v="34"/>
    <x v="89"/>
    <x v="89"/>
    <x v="6"/>
    <s v="N"/>
    <s v="N"/>
    <x v="0"/>
    <x v="0"/>
    <x v="0"/>
    <x v="0"/>
    <m/>
    <m/>
    <s v="대리점"/>
    <x v="0"/>
    <x v="13"/>
    <x v="0"/>
    <x v="1125"/>
    <s v="HP2637061798"/>
    <x v="1"/>
    <n v="2511600"/>
  </r>
  <r>
    <x v="1"/>
    <x v="2"/>
    <x v="9"/>
    <x v="34"/>
    <x v="89"/>
    <x v="89"/>
    <x v="6"/>
    <s v="N"/>
    <s v="N"/>
    <x v="1"/>
    <x v="0"/>
    <x v="0"/>
    <x v="0"/>
    <m/>
    <m/>
    <s v="대리점"/>
    <x v="0"/>
    <x v="2"/>
    <x v="0"/>
    <x v="1126"/>
    <s v="HP2637057910"/>
    <x v="0"/>
    <n v="2"/>
  </r>
  <r>
    <x v="1"/>
    <x v="2"/>
    <x v="9"/>
    <x v="34"/>
    <x v="89"/>
    <x v="89"/>
    <x v="6"/>
    <s v="N"/>
    <s v="N"/>
    <x v="1"/>
    <x v="0"/>
    <x v="0"/>
    <x v="0"/>
    <m/>
    <m/>
    <s v="대리점"/>
    <x v="0"/>
    <x v="2"/>
    <x v="0"/>
    <x v="1126"/>
    <s v="HP2637057910"/>
    <x v="1"/>
    <n v="2421800"/>
  </r>
  <r>
    <x v="1"/>
    <x v="2"/>
    <x v="9"/>
    <x v="34"/>
    <x v="89"/>
    <x v="89"/>
    <x v="7"/>
    <s v="N"/>
    <s v="Y"/>
    <x v="0"/>
    <x v="0"/>
    <x v="0"/>
    <x v="0"/>
    <m/>
    <m/>
    <s v="대리점"/>
    <x v="0"/>
    <x v="39"/>
    <x v="0"/>
    <x v="1127"/>
    <s v="HP2637071564"/>
    <x v="0"/>
    <n v="4"/>
  </r>
  <r>
    <x v="1"/>
    <x v="2"/>
    <x v="9"/>
    <x v="34"/>
    <x v="89"/>
    <x v="89"/>
    <x v="7"/>
    <s v="N"/>
    <s v="Y"/>
    <x v="0"/>
    <x v="0"/>
    <x v="0"/>
    <x v="0"/>
    <m/>
    <m/>
    <s v="대리점"/>
    <x v="0"/>
    <x v="39"/>
    <x v="0"/>
    <x v="1127"/>
    <s v="HP2637071564"/>
    <x v="1"/>
    <n v="411160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7"/>
    <x v="1"/>
    <x v="1128"/>
    <s v="HP2637071006"/>
    <x v="0"/>
    <n v="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7"/>
    <x v="1"/>
    <x v="1128"/>
    <s v="HP2637071006"/>
    <x v="1"/>
    <n v="847160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0"/>
    <x v="1129"/>
    <s v="HP2637071958"/>
    <x v="0"/>
    <n v="6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0"/>
    <x v="1129"/>
    <s v="HP2637071958"/>
    <x v="1"/>
    <n v="646860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1"/>
    <x v="1129"/>
    <s v="HP2637071958"/>
    <x v="0"/>
    <n v="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1"/>
    <x v="1129"/>
    <s v="HP2637071958"/>
    <x v="1"/>
    <n v="1078100"/>
  </r>
  <r>
    <x v="1"/>
    <x v="2"/>
    <x v="9"/>
    <x v="34"/>
    <x v="89"/>
    <x v="89"/>
    <x v="9"/>
    <s v="Y"/>
    <s v="N"/>
    <x v="0"/>
    <x v="0"/>
    <x v="0"/>
    <x v="0"/>
    <m/>
    <m/>
    <s v="대리점"/>
    <x v="0"/>
    <x v="2"/>
    <x v="0"/>
    <x v="1130"/>
    <s v="HP2637097906"/>
    <x v="0"/>
    <n v="2"/>
  </r>
  <r>
    <x v="1"/>
    <x v="2"/>
    <x v="9"/>
    <x v="34"/>
    <x v="89"/>
    <x v="89"/>
    <x v="9"/>
    <s v="Y"/>
    <s v="N"/>
    <x v="0"/>
    <x v="0"/>
    <x v="0"/>
    <x v="0"/>
    <m/>
    <m/>
    <s v="대리점"/>
    <x v="0"/>
    <x v="2"/>
    <x v="0"/>
    <x v="1130"/>
    <s v="HP2637097906"/>
    <x v="1"/>
    <n v="375800"/>
  </r>
  <r>
    <x v="1"/>
    <x v="2"/>
    <x v="10"/>
    <x v="35"/>
    <x v="90"/>
    <x v="90"/>
    <x v="0"/>
    <s v="N"/>
    <s v="N"/>
    <x v="0"/>
    <x v="0"/>
    <x v="0"/>
    <x v="0"/>
    <s v="성인"/>
    <s v="성인"/>
    <s v="대리점"/>
    <x v="0"/>
    <x v="2"/>
    <x v="0"/>
    <x v="1131"/>
    <s v="HP2636935682"/>
    <x v="0"/>
    <n v="2"/>
  </r>
  <r>
    <x v="1"/>
    <x v="2"/>
    <x v="10"/>
    <x v="35"/>
    <x v="90"/>
    <x v="90"/>
    <x v="0"/>
    <s v="N"/>
    <s v="N"/>
    <x v="0"/>
    <x v="0"/>
    <x v="0"/>
    <x v="0"/>
    <s v="성인"/>
    <s v="성인"/>
    <s v="대리점"/>
    <x v="0"/>
    <x v="2"/>
    <x v="0"/>
    <x v="1131"/>
    <s v="HP2636935682"/>
    <x v="1"/>
    <n v="313600"/>
  </r>
  <r>
    <x v="1"/>
    <x v="2"/>
    <x v="10"/>
    <x v="35"/>
    <x v="90"/>
    <x v="90"/>
    <x v="4"/>
    <s v="N"/>
    <s v="N"/>
    <x v="0"/>
    <x v="0"/>
    <x v="0"/>
    <x v="0"/>
    <s v="성인"/>
    <s v="성인"/>
    <s v="대리점"/>
    <x v="0"/>
    <x v="25"/>
    <x v="0"/>
    <x v="1132"/>
    <s v="HP2637017166"/>
    <x v="0"/>
    <n v="2"/>
  </r>
  <r>
    <x v="1"/>
    <x v="2"/>
    <x v="10"/>
    <x v="35"/>
    <x v="90"/>
    <x v="90"/>
    <x v="4"/>
    <s v="N"/>
    <s v="N"/>
    <x v="0"/>
    <x v="0"/>
    <x v="0"/>
    <x v="0"/>
    <s v="성인"/>
    <s v="성인"/>
    <s v="대리점"/>
    <x v="0"/>
    <x v="25"/>
    <x v="0"/>
    <x v="1132"/>
    <s v="HP2637017166"/>
    <x v="1"/>
    <n v="139800"/>
  </r>
  <r>
    <x v="1"/>
    <x v="2"/>
    <x v="10"/>
    <x v="35"/>
    <x v="90"/>
    <x v="90"/>
    <x v="5"/>
    <s v="N"/>
    <s v="N"/>
    <x v="0"/>
    <x v="0"/>
    <x v="0"/>
    <x v="0"/>
    <s v="성인"/>
    <s v="성인"/>
    <s v="대리점"/>
    <x v="0"/>
    <x v="25"/>
    <x v="0"/>
    <x v="1133"/>
    <s v="HP2637029936"/>
    <x v="0"/>
    <n v="3"/>
  </r>
  <r>
    <x v="1"/>
    <x v="2"/>
    <x v="10"/>
    <x v="35"/>
    <x v="90"/>
    <x v="90"/>
    <x v="5"/>
    <s v="N"/>
    <s v="N"/>
    <x v="0"/>
    <x v="0"/>
    <x v="0"/>
    <x v="0"/>
    <s v="성인"/>
    <s v="성인"/>
    <s v="대리점"/>
    <x v="0"/>
    <x v="25"/>
    <x v="0"/>
    <x v="1133"/>
    <s v="HP2637029936"/>
    <x v="1"/>
    <n v="389700"/>
  </r>
  <r>
    <x v="1"/>
    <x v="2"/>
    <x v="10"/>
    <x v="35"/>
    <x v="90"/>
    <x v="90"/>
    <x v="8"/>
    <s v="Y"/>
    <s v="N"/>
    <x v="0"/>
    <x v="0"/>
    <x v="0"/>
    <x v="0"/>
    <s v="성인"/>
    <s v="성인"/>
    <s v="대리점"/>
    <x v="0"/>
    <x v="2"/>
    <x v="0"/>
    <x v="1134"/>
    <s v="HP2637090864"/>
    <x v="0"/>
    <n v="3"/>
  </r>
  <r>
    <x v="1"/>
    <x v="2"/>
    <x v="10"/>
    <x v="35"/>
    <x v="90"/>
    <x v="90"/>
    <x v="8"/>
    <s v="Y"/>
    <s v="N"/>
    <x v="0"/>
    <x v="0"/>
    <x v="0"/>
    <x v="0"/>
    <s v="성인"/>
    <s v="성인"/>
    <s v="대리점"/>
    <x v="0"/>
    <x v="2"/>
    <x v="0"/>
    <x v="1134"/>
    <s v="HP2637090864"/>
    <x v="1"/>
    <n v="2130900"/>
  </r>
  <r>
    <x v="1"/>
    <x v="2"/>
    <x v="10"/>
    <x v="35"/>
    <x v="90"/>
    <x v="90"/>
    <x v="8"/>
    <s v="Y"/>
    <s v="N"/>
    <x v="0"/>
    <x v="0"/>
    <x v="0"/>
    <x v="0"/>
    <s v="청소년"/>
    <s v="청소년"/>
    <s v="대리점"/>
    <x v="0"/>
    <x v="2"/>
    <x v="0"/>
    <x v="1134"/>
    <s v="HP2637090864"/>
    <x v="0"/>
    <n v="1"/>
  </r>
  <r>
    <x v="1"/>
    <x v="2"/>
    <x v="10"/>
    <x v="35"/>
    <x v="90"/>
    <x v="90"/>
    <x v="8"/>
    <s v="Y"/>
    <s v="N"/>
    <x v="0"/>
    <x v="0"/>
    <x v="0"/>
    <x v="0"/>
    <s v="청소년"/>
    <s v="청소년"/>
    <s v="대리점"/>
    <x v="0"/>
    <x v="2"/>
    <x v="0"/>
    <x v="1134"/>
    <s v="HP2637090864"/>
    <x v="1"/>
    <n v="710300"/>
  </r>
  <r>
    <x v="1"/>
    <x v="2"/>
    <x v="10"/>
    <x v="36"/>
    <x v="91"/>
    <x v="91"/>
    <x v="0"/>
    <s v="N"/>
    <s v="N"/>
    <x v="4"/>
    <x v="1"/>
    <x v="0"/>
    <x v="0"/>
    <s v="성인"/>
    <s v="성인"/>
    <s v="대리점"/>
    <x v="0"/>
    <x v="12"/>
    <x v="0"/>
    <x v="1135"/>
    <s v="HB2636925482"/>
    <x v="0"/>
    <n v="2"/>
  </r>
  <r>
    <x v="1"/>
    <x v="2"/>
    <x v="10"/>
    <x v="36"/>
    <x v="91"/>
    <x v="91"/>
    <x v="0"/>
    <s v="N"/>
    <s v="N"/>
    <x v="4"/>
    <x v="1"/>
    <x v="0"/>
    <x v="0"/>
    <s v="성인"/>
    <s v="성인"/>
    <s v="대리점"/>
    <x v="0"/>
    <x v="12"/>
    <x v="0"/>
    <x v="1135"/>
    <s v="HB2636925482"/>
    <x v="1"/>
    <n v="2452000"/>
  </r>
  <r>
    <x v="1"/>
    <x v="2"/>
    <x v="10"/>
    <x v="36"/>
    <x v="91"/>
    <x v="91"/>
    <x v="0"/>
    <s v="N"/>
    <s v="N"/>
    <x v="4"/>
    <x v="1"/>
    <x v="0"/>
    <x v="0"/>
    <s v="청소년"/>
    <s v="청소년"/>
    <s v="대리점"/>
    <x v="0"/>
    <x v="12"/>
    <x v="0"/>
    <x v="1135"/>
    <s v="HB2636925482"/>
    <x v="0"/>
    <n v="3"/>
  </r>
  <r>
    <x v="1"/>
    <x v="2"/>
    <x v="10"/>
    <x v="36"/>
    <x v="91"/>
    <x v="91"/>
    <x v="0"/>
    <s v="N"/>
    <s v="N"/>
    <x v="4"/>
    <x v="1"/>
    <x v="0"/>
    <x v="0"/>
    <s v="청소년"/>
    <s v="청소년"/>
    <s v="대리점"/>
    <x v="0"/>
    <x v="12"/>
    <x v="0"/>
    <x v="1135"/>
    <s v="HB2636925482"/>
    <x v="1"/>
    <n v="3678000"/>
  </r>
  <r>
    <x v="1"/>
    <x v="2"/>
    <x v="10"/>
    <x v="36"/>
    <x v="91"/>
    <x v="91"/>
    <x v="0"/>
    <s v="N"/>
    <s v="N"/>
    <x v="0"/>
    <x v="0"/>
    <x v="0"/>
    <x v="0"/>
    <s v="성인"/>
    <s v="성인"/>
    <s v="대리점"/>
    <x v="0"/>
    <x v="25"/>
    <x v="0"/>
    <x v="1136"/>
    <s v="HP2636926622"/>
    <x v="0"/>
    <n v="4"/>
  </r>
  <r>
    <x v="1"/>
    <x v="2"/>
    <x v="10"/>
    <x v="36"/>
    <x v="91"/>
    <x v="91"/>
    <x v="0"/>
    <s v="N"/>
    <s v="N"/>
    <x v="0"/>
    <x v="0"/>
    <x v="0"/>
    <x v="0"/>
    <s v="성인"/>
    <s v="성인"/>
    <s v="대리점"/>
    <x v="0"/>
    <x v="25"/>
    <x v="0"/>
    <x v="1136"/>
    <s v="HP2636926622"/>
    <x v="1"/>
    <n v="239600"/>
  </r>
  <r>
    <x v="1"/>
    <x v="2"/>
    <x v="10"/>
    <x v="36"/>
    <x v="91"/>
    <x v="91"/>
    <x v="1"/>
    <s v="N"/>
    <s v="N"/>
    <x v="0"/>
    <x v="9"/>
    <x v="0"/>
    <x v="0"/>
    <s v="성인"/>
    <s v="성인"/>
    <s v="직원"/>
    <x v="3"/>
    <x v="4"/>
    <x v="0"/>
    <x v="1137"/>
    <s v="HM2636950002"/>
    <x v="0"/>
    <n v="1"/>
  </r>
  <r>
    <x v="1"/>
    <x v="2"/>
    <x v="10"/>
    <x v="36"/>
    <x v="91"/>
    <x v="91"/>
    <x v="1"/>
    <s v="N"/>
    <s v="N"/>
    <x v="0"/>
    <x v="9"/>
    <x v="0"/>
    <x v="0"/>
    <s v="성인"/>
    <s v="성인"/>
    <s v="직원"/>
    <x v="3"/>
    <x v="4"/>
    <x v="0"/>
    <x v="1137"/>
    <s v="HM2636950002"/>
    <x v="1"/>
    <n v="799900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6"/>
    <x v="0"/>
    <x v="1138"/>
    <s v="HP2636949360"/>
    <x v="0"/>
    <n v="2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6"/>
    <x v="0"/>
    <x v="1138"/>
    <s v="HP2636949360"/>
    <x v="1"/>
    <n v="1399800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2"/>
    <x v="0"/>
    <x v="1139"/>
    <s v="HP2636952424"/>
    <x v="0"/>
    <n v="4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2"/>
    <x v="0"/>
    <x v="1139"/>
    <s v="HP2636952424"/>
    <x v="1"/>
    <n v="2531600"/>
  </r>
  <r>
    <x v="1"/>
    <x v="2"/>
    <x v="10"/>
    <x v="36"/>
    <x v="91"/>
    <x v="91"/>
    <x v="1"/>
    <s v="N"/>
    <s v="N"/>
    <x v="0"/>
    <x v="0"/>
    <x v="0"/>
    <x v="0"/>
    <s v="청소년"/>
    <s v="청소년"/>
    <s v="대리점"/>
    <x v="0"/>
    <x v="2"/>
    <x v="0"/>
    <x v="1139"/>
    <s v="HP2636952424"/>
    <x v="0"/>
    <n v="1"/>
  </r>
  <r>
    <x v="1"/>
    <x v="2"/>
    <x v="10"/>
    <x v="36"/>
    <x v="91"/>
    <x v="91"/>
    <x v="1"/>
    <s v="N"/>
    <s v="N"/>
    <x v="0"/>
    <x v="0"/>
    <x v="0"/>
    <x v="0"/>
    <s v="청소년"/>
    <s v="청소년"/>
    <s v="대리점"/>
    <x v="0"/>
    <x v="2"/>
    <x v="0"/>
    <x v="1139"/>
    <s v="HP2636952424"/>
    <x v="1"/>
    <n v="632900"/>
  </r>
  <r>
    <x v="1"/>
    <x v="2"/>
    <x v="10"/>
    <x v="36"/>
    <x v="91"/>
    <x v="91"/>
    <x v="1"/>
    <s v="N"/>
    <s v="N"/>
    <x v="0"/>
    <x v="0"/>
    <x v="0"/>
    <x v="0"/>
    <m/>
    <m/>
    <s v="대리점"/>
    <x v="0"/>
    <x v="2"/>
    <x v="1"/>
    <x v="1140"/>
    <s v="HP2636948978"/>
    <x v="0"/>
    <n v="0"/>
  </r>
  <r>
    <x v="1"/>
    <x v="2"/>
    <x v="10"/>
    <x v="36"/>
    <x v="91"/>
    <x v="91"/>
    <x v="1"/>
    <s v="N"/>
    <s v="N"/>
    <x v="0"/>
    <x v="0"/>
    <x v="0"/>
    <x v="0"/>
    <m/>
    <m/>
    <s v="대리점"/>
    <x v="0"/>
    <x v="2"/>
    <x v="1"/>
    <x v="1140"/>
    <s v="HP2636948978"/>
    <x v="1"/>
    <n v="1682200"/>
  </r>
  <r>
    <x v="1"/>
    <x v="2"/>
    <x v="10"/>
    <x v="36"/>
    <x v="91"/>
    <x v="91"/>
    <x v="1"/>
    <s v="N"/>
    <s v="N"/>
    <x v="0"/>
    <x v="0"/>
    <x v="0"/>
    <x v="1"/>
    <s v="아동"/>
    <s v="아동"/>
    <s v="대리점"/>
    <x v="0"/>
    <x v="2"/>
    <x v="0"/>
    <x v="1139"/>
    <s v="HP2636952424"/>
    <x v="0"/>
    <n v="1"/>
  </r>
  <r>
    <x v="1"/>
    <x v="2"/>
    <x v="10"/>
    <x v="36"/>
    <x v="91"/>
    <x v="91"/>
    <x v="1"/>
    <s v="N"/>
    <s v="N"/>
    <x v="0"/>
    <x v="0"/>
    <x v="0"/>
    <x v="1"/>
    <s v="아동"/>
    <s v="아동"/>
    <s v="대리점"/>
    <x v="0"/>
    <x v="2"/>
    <x v="0"/>
    <x v="1139"/>
    <s v="HP2636952424"/>
    <x v="1"/>
    <n v="632900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5"/>
    <x v="0"/>
    <x v="544"/>
    <s v="HP2636946246"/>
    <x v="0"/>
    <n v="2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5"/>
    <x v="0"/>
    <x v="544"/>
    <s v="HP2636946246"/>
    <x v="1"/>
    <n v="11110000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"/>
    <x v="0"/>
    <x v="1141"/>
    <s v="HP2636954188"/>
    <x v="0"/>
    <n v="2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"/>
    <x v="0"/>
    <x v="1141"/>
    <s v="HP2636954188"/>
    <x v="1"/>
    <n v="6193200"/>
  </r>
  <r>
    <x v="1"/>
    <x v="2"/>
    <x v="10"/>
    <x v="36"/>
    <x v="91"/>
    <x v="91"/>
    <x v="1"/>
    <s v="N"/>
    <s v="N"/>
    <x v="2"/>
    <x v="0"/>
    <x v="0"/>
    <x v="0"/>
    <s v="성인"/>
    <s v="성인"/>
    <s v="대리점"/>
    <x v="0"/>
    <x v="2"/>
    <x v="0"/>
    <x v="1142"/>
    <s v="HP2636945742"/>
    <x v="0"/>
    <n v="6"/>
  </r>
  <r>
    <x v="1"/>
    <x v="2"/>
    <x v="10"/>
    <x v="36"/>
    <x v="91"/>
    <x v="91"/>
    <x v="1"/>
    <s v="N"/>
    <s v="N"/>
    <x v="2"/>
    <x v="0"/>
    <x v="0"/>
    <x v="0"/>
    <s v="성인"/>
    <s v="성인"/>
    <s v="대리점"/>
    <x v="0"/>
    <x v="2"/>
    <x v="0"/>
    <x v="1142"/>
    <s v="HP2636945742"/>
    <x v="1"/>
    <n v="8745600"/>
  </r>
  <r>
    <x v="1"/>
    <x v="2"/>
    <x v="10"/>
    <x v="36"/>
    <x v="91"/>
    <x v="91"/>
    <x v="1"/>
    <s v="N"/>
    <s v="N"/>
    <x v="2"/>
    <x v="0"/>
    <x v="0"/>
    <x v="0"/>
    <m/>
    <m/>
    <s v="대리점"/>
    <x v="0"/>
    <x v="2"/>
    <x v="0"/>
    <x v="1142"/>
    <s v="HP2636945742"/>
    <x v="0"/>
    <n v="1"/>
  </r>
  <r>
    <x v="1"/>
    <x v="2"/>
    <x v="10"/>
    <x v="36"/>
    <x v="91"/>
    <x v="91"/>
    <x v="1"/>
    <s v="N"/>
    <s v="N"/>
    <x v="2"/>
    <x v="0"/>
    <x v="0"/>
    <x v="0"/>
    <m/>
    <m/>
    <s v="대리점"/>
    <x v="0"/>
    <x v="2"/>
    <x v="0"/>
    <x v="1142"/>
    <s v="HP2636945742"/>
    <x v="1"/>
    <n v="1457600"/>
  </r>
  <r>
    <x v="1"/>
    <x v="2"/>
    <x v="10"/>
    <x v="36"/>
    <x v="91"/>
    <x v="91"/>
    <x v="2"/>
    <s v="Y"/>
    <s v="Y"/>
    <x v="5"/>
    <x v="3"/>
    <x v="0"/>
    <x v="0"/>
    <m/>
    <m/>
    <s v="대리점"/>
    <x v="0"/>
    <x v="18"/>
    <x v="1"/>
    <x v="1143"/>
    <s v="HG2636964858"/>
    <x v="0"/>
    <n v="0"/>
  </r>
  <r>
    <x v="1"/>
    <x v="2"/>
    <x v="10"/>
    <x v="36"/>
    <x v="91"/>
    <x v="91"/>
    <x v="2"/>
    <s v="Y"/>
    <s v="Y"/>
    <x v="5"/>
    <x v="3"/>
    <x v="0"/>
    <x v="0"/>
    <m/>
    <m/>
    <s v="대리점"/>
    <x v="0"/>
    <x v="18"/>
    <x v="1"/>
    <x v="1143"/>
    <s v="HG2636964858"/>
    <x v="1"/>
    <n v="6956000"/>
  </r>
  <r>
    <x v="1"/>
    <x v="2"/>
    <x v="10"/>
    <x v="36"/>
    <x v="91"/>
    <x v="91"/>
    <x v="2"/>
    <s v="Y"/>
    <s v="Y"/>
    <x v="0"/>
    <x v="0"/>
    <x v="0"/>
    <x v="0"/>
    <m/>
    <m/>
    <s v="닷컴"/>
    <x v="2"/>
    <x v="2"/>
    <x v="1"/>
    <x v="1144"/>
    <s v="HP2636968154"/>
    <x v="0"/>
    <n v="0"/>
  </r>
  <r>
    <x v="1"/>
    <x v="2"/>
    <x v="10"/>
    <x v="36"/>
    <x v="91"/>
    <x v="91"/>
    <x v="2"/>
    <s v="Y"/>
    <s v="Y"/>
    <x v="0"/>
    <x v="0"/>
    <x v="0"/>
    <x v="0"/>
    <m/>
    <m/>
    <s v="닷컴"/>
    <x v="2"/>
    <x v="2"/>
    <x v="1"/>
    <x v="1144"/>
    <s v="HP2636968154"/>
    <x v="1"/>
    <n v="2156000"/>
  </r>
  <r>
    <x v="1"/>
    <x v="2"/>
    <x v="10"/>
    <x v="36"/>
    <x v="91"/>
    <x v="91"/>
    <x v="11"/>
    <s v="Y"/>
    <s v="N"/>
    <x v="1"/>
    <x v="0"/>
    <x v="0"/>
    <x v="0"/>
    <m/>
    <m/>
    <s v="대리점"/>
    <x v="0"/>
    <x v="4"/>
    <x v="1"/>
    <x v="1145"/>
    <s v="HP2636975694"/>
    <x v="0"/>
    <n v="0"/>
  </r>
  <r>
    <x v="1"/>
    <x v="2"/>
    <x v="10"/>
    <x v="36"/>
    <x v="91"/>
    <x v="91"/>
    <x v="11"/>
    <s v="Y"/>
    <s v="N"/>
    <x v="1"/>
    <x v="0"/>
    <x v="0"/>
    <x v="0"/>
    <m/>
    <m/>
    <s v="대리점"/>
    <x v="0"/>
    <x v="4"/>
    <x v="1"/>
    <x v="1145"/>
    <s v="HP2636975694"/>
    <x v="1"/>
    <n v="2599800"/>
  </r>
  <r>
    <x v="1"/>
    <x v="2"/>
    <x v="10"/>
    <x v="36"/>
    <x v="91"/>
    <x v="91"/>
    <x v="11"/>
    <s v="Y"/>
    <s v="N"/>
    <x v="2"/>
    <x v="0"/>
    <x v="1"/>
    <x v="0"/>
    <s v="성인"/>
    <s v="성인"/>
    <s v="대리점"/>
    <x v="0"/>
    <x v="2"/>
    <x v="0"/>
    <x v="1146"/>
    <s v="HP2636978054"/>
    <x v="0"/>
    <n v="1"/>
  </r>
  <r>
    <x v="1"/>
    <x v="2"/>
    <x v="10"/>
    <x v="36"/>
    <x v="91"/>
    <x v="91"/>
    <x v="11"/>
    <s v="Y"/>
    <s v="N"/>
    <x v="2"/>
    <x v="0"/>
    <x v="1"/>
    <x v="0"/>
    <s v="성인"/>
    <s v="성인"/>
    <s v="대리점"/>
    <x v="0"/>
    <x v="2"/>
    <x v="0"/>
    <x v="1146"/>
    <s v="HP2636978054"/>
    <x v="1"/>
    <n v="980000"/>
  </r>
  <r>
    <x v="1"/>
    <x v="2"/>
    <x v="10"/>
    <x v="36"/>
    <x v="91"/>
    <x v="91"/>
    <x v="11"/>
    <s v="Y"/>
    <s v="N"/>
    <x v="2"/>
    <x v="0"/>
    <x v="0"/>
    <x v="0"/>
    <s v="성인"/>
    <s v="성인"/>
    <s v="대리점"/>
    <x v="0"/>
    <x v="2"/>
    <x v="0"/>
    <x v="1146"/>
    <s v="HP2636978054"/>
    <x v="0"/>
    <n v="1"/>
  </r>
  <r>
    <x v="1"/>
    <x v="2"/>
    <x v="10"/>
    <x v="36"/>
    <x v="91"/>
    <x v="91"/>
    <x v="11"/>
    <s v="Y"/>
    <s v="N"/>
    <x v="2"/>
    <x v="0"/>
    <x v="0"/>
    <x v="0"/>
    <s v="성인"/>
    <s v="성인"/>
    <s v="대리점"/>
    <x v="0"/>
    <x v="2"/>
    <x v="0"/>
    <x v="1146"/>
    <s v="HP2636978054"/>
    <x v="1"/>
    <n v="1779900"/>
  </r>
  <r>
    <x v="1"/>
    <x v="2"/>
    <x v="10"/>
    <x v="36"/>
    <x v="91"/>
    <x v="91"/>
    <x v="3"/>
    <s v="N"/>
    <s v="Y"/>
    <x v="0"/>
    <x v="0"/>
    <x v="0"/>
    <x v="0"/>
    <s v="성인"/>
    <s v="성인"/>
    <s v="대리점"/>
    <x v="0"/>
    <x v="2"/>
    <x v="0"/>
    <x v="1147"/>
    <s v="HP2636986656"/>
    <x v="0"/>
    <n v="2"/>
  </r>
  <r>
    <x v="1"/>
    <x v="2"/>
    <x v="10"/>
    <x v="36"/>
    <x v="91"/>
    <x v="91"/>
    <x v="3"/>
    <s v="N"/>
    <s v="Y"/>
    <x v="0"/>
    <x v="0"/>
    <x v="0"/>
    <x v="0"/>
    <s v="성인"/>
    <s v="성인"/>
    <s v="대리점"/>
    <x v="0"/>
    <x v="2"/>
    <x v="0"/>
    <x v="1147"/>
    <s v="HP2636986656"/>
    <x v="1"/>
    <n v="333800"/>
  </r>
  <r>
    <x v="1"/>
    <x v="2"/>
    <x v="10"/>
    <x v="36"/>
    <x v="91"/>
    <x v="91"/>
    <x v="3"/>
    <s v="N"/>
    <s v="Y"/>
    <x v="1"/>
    <x v="0"/>
    <x v="0"/>
    <x v="0"/>
    <s v="성인"/>
    <s v="성인"/>
    <s v="대리점"/>
    <x v="0"/>
    <x v="4"/>
    <x v="0"/>
    <x v="1148"/>
    <s v="HP2636988666"/>
    <x v="0"/>
    <n v="4"/>
  </r>
  <r>
    <x v="1"/>
    <x v="2"/>
    <x v="10"/>
    <x v="36"/>
    <x v="91"/>
    <x v="91"/>
    <x v="3"/>
    <s v="N"/>
    <s v="Y"/>
    <x v="1"/>
    <x v="0"/>
    <x v="0"/>
    <x v="0"/>
    <s v="성인"/>
    <s v="성인"/>
    <s v="대리점"/>
    <x v="0"/>
    <x v="4"/>
    <x v="0"/>
    <x v="1148"/>
    <s v="HP2636988666"/>
    <x v="1"/>
    <n v="4876800"/>
  </r>
  <r>
    <x v="1"/>
    <x v="2"/>
    <x v="10"/>
    <x v="36"/>
    <x v="91"/>
    <x v="91"/>
    <x v="3"/>
    <s v="N"/>
    <s v="Y"/>
    <x v="1"/>
    <x v="0"/>
    <x v="0"/>
    <x v="0"/>
    <s v="성인"/>
    <s v="성인"/>
    <s v="범용/상용닷컴"/>
    <x v="1"/>
    <x v="15"/>
    <x v="0"/>
    <x v="1149"/>
    <s v="HP2636984862"/>
    <x v="0"/>
    <n v="2"/>
  </r>
  <r>
    <x v="1"/>
    <x v="2"/>
    <x v="10"/>
    <x v="36"/>
    <x v="91"/>
    <x v="91"/>
    <x v="3"/>
    <s v="N"/>
    <s v="Y"/>
    <x v="1"/>
    <x v="0"/>
    <x v="0"/>
    <x v="0"/>
    <s v="성인"/>
    <s v="성인"/>
    <s v="범용/상용닷컴"/>
    <x v="1"/>
    <x v="15"/>
    <x v="0"/>
    <x v="1149"/>
    <s v="HP2636984862"/>
    <x v="1"/>
    <n v="679320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20"/>
    <x v="1"/>
    <x v="1150"/>
    <s v="HG2637015276"/>
    <x v="0"/>
    <n v="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20"/>
    <x v="1"/>
    <x v="1150"/>
    <s v="HG2637015276"/>
    <x v="1"/>
    <n v="655960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18"/>
    <x v="1"/>
    <x v="1151"/>
    <s v="HG2637015358"/>
    <x v="0"/>
    <n v="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18"/>
    <x v="1"/>
    <x v="1151"/>
    <s v="HG2637015358"/>
    <x v="1"/>
    <n v="7719600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19"/>
    <x v="0"/>
    <x v="1152"/>
    <s v="HP2637015852"/>
    <x v="0"/>
    <n v="2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19"/>
    <x v="0"/>
    <x v="1152"/>
    <s v="HP2637015852"/>
    <x v="1"/>
    <n v="1178000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2"/>
    <x v="0"/>
    <x v="1153"/>
    <s v="HP2637003262"/>
    <x v="0"/>
    <n v="5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2"/>
    <x v="0"/>
    <x v="1153"/>
    <s v="HP2637003262"/>
    <x v="1"/>
    <n v="4014500"/>
  </r>
  <r>
    <x v="1"/>
    <x v="2"/>
    <x v="10"/>
    <x v="36"/>
    <x v="91"/>
    <x v="91"/>
    <x v="4"/>
    <s v="N"/>
    <s v="N"/>
    <x v="0"/>
    <x v="0"/>
    <x v="0"/>
    <x v="0"/>
    <s v="성인"/>
    <s v="성인"/>
    <s v="대리점"/>
    <x v="0"/>
    <x v="2"/>
    <x v="0"/>
    <x v="1154"/>
    <s v="HP2636998414"/>
    <x v="0"/>
    <n v="2"/>
  </r>
  <r>
    <x v="1"/>
    <x v="2"/>
    <x v="10"/>
    <x v="36"/>
    <x v="91"/>
    <x v="91"/>
    <x v="4"/>
    <s v="N"/>
    <s v="N"/>
    <x v="0"/>
    <x v="0"/>
    <x v="0"/>
    <x v="0"/>
    <s v="성인"/>
    <s v="성인"/>
    <s v="대리점"/>
    <x v="0"/>
    <x v="2"/>
    <x v="0"/>
    <x v="1154"/>
    <s v="HP2636998414"/>
    <x v="1"/>
    <n v="1499800"/>
  </r>
  <r>
    <x v="1"/>
    <x v="2"/>
    <x v="10"/>
    <x v="36"/>
    <x v="91"/>
    <x v="91"/>
    <x v="4"/>
    <s v="N"/>
    <s v="N"/>
    <x v="0"/>
    <x v="0"/>
    <x v="0"/>
    <x v="0"/>
    <s v="아동"/>
    <s v="아동"/>
    <s v="닷컴"/>
    <x v="2"/>
    <x v="19"/>
    <x v="0"/>
    <x v="1152"/>
    <s v="HP2637015852"/>
    <x v="0"/>
    <n v="1"/>
  </r>
  <r>
    <x v="1"/>
    <x v="2"/>
    <x v="10"/>
    <x v="36"/>
    <x v="91"/>
    <x v="91"/>
    <x v="4"/>
    <s v="N"/>
    <s v="N"/>
    <x v="0"/>
    <x v="0"/>
    <x v="0"/>
    <x v="0"/>
    <s v="아동"/>
    <s v="아동"/>
    <s v="닷컴"/>
    <x v="2"/>
    <x v="19"/>
    <x v="0"/>
    <x v="1152"/>
    <s v="HP2637015852"/>
    <x v="1"/>
    <n v="589000"/>
  </r>
  <r>
    <x v="1"/>
    <x v="2"/>
    <x v="10"/>
    <x v="36"/>
    <x v="91"/>
    <x v="91"/>
    <x v="4"/>
    <s v="N"/>
    <s v="N"/>
    <x v="1"/>
    <x v="0"/>
    <x v="0"/>
    <x v="0"/>
    <s v="성인"/>
    <s v="성인"/>
    <s v="닷컴"/>
    <x v="2"/>
    <x v="4"/>
    <x v="0"/>
    <x v="1145"/>
    <s v="HP2637001802"/>
    <x v="0"/>
    <n v="2"/>
  </r>
  <r>
    <x v="1"/>
    <x v="2"/>
    <x v="10"/>
    <x v="36"/>
    <x v="91"/>
    <x v="91"/>
    <x v="4"/>
    <s v="N"/>
    <s v="N"/>
    <x v="1"/>
    <x v="0"/>
    <x v="0"/>
    <x v="0"/>
    <s v="성인"/>
    <s v="성인"/>
    <s v="닷컴"/>
    <x v="2"/>
    <x v="4"/>
    <x v="0"/>
    <x v="1145"/>
    <s v="HP2637001802"/>
    <x v="1"/>
    <n v="2599800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4"/>
    <x v="0"/>
    <x v="1155"/>
    <s v="HP2636998546"/>
    <x v="0"/>
    <n v="2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4"/>
    <x v="0"/>
    <x v="1155"/>
    <s v="HP2636998546"/>
    <x v="1"/>
    <n v="2299800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2"/>
    <x v="0"/>
    <x v="1156"/>
    <s v="HP2637009856"/>
    <x v="0"/>
    <n v="2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2"/>
    <x v="0"/>
    <x v="1156"/>
    <s v="HP2637009856"/>
    <x v="1"/>
    <n v="2610800"/>
  </r>
  <r>
    <x v="1"/>
    <x v="2"/>
    <x v="10"/>
    <x v="36"/>
    <x v="91"/>
    <x v="91"/>
    <x v="4"/>
    <s v="N"/>
    <s v="N"/>
    <x v="1"/>
    <x v="0"/>
    <x v="0"/>
    <x v="0"/>
    <m/>
    <m/>
    <s v="대리점"/>
    <x v="0"/>
    <x v="2"/>
    <x v="1"/>
    <x v="251"/>
    <s v="HP2637008018"/>
    <x v="0"/>
    <n v="0"/>
  </r>
  <r>
    <x v="1"/>
    <x v="2"/>
    <x v="10"/>
    <x v="36"/>
    <x v="91"/>
    <x v="91"/>
    <x v="4"/>
    <s v="N"/>
    <s v="N"/>
    <x v="1"/>
    <x v="0"/>
    <x v="0"/>
    <x v="0"/>
    <m/>
    <m/>
    <s v="대리점"/>
    <x v="0"/>
    <x v="2"/>
    <x v="1"/>
    <x v="251"/>
    <s v="HP2637008018"/>
    <x v="1"/>
    <n v="4158000"/>
  </r>
  <r>
    <x v="1"/>
    <x v="2"/>
    <x v="10"/>
    <x v="36"/>
    <x v="91"/>
    <x v="91"/>
    <x v="5"/>
    <s v="N"/>
    <s v="N"/>
    <x v="4"/>
    <x v="2"/>
    <x v="0"/>
    <x v="0"/>
    <m/>
    <m/>
    <s v="대리점"/>
    <x v="0"/>
    <x v="2"/>
    <x v="0"/>
    <x v="1157"/>
    <s v="HP2637037982"/>
    <x v="0"/>
    <n v="12"/>
  </r>
  <r>
    <x v="1"/>
    <x v="2"/>
    <x v="10"/>
    <x v="36"/>
    <x v="91"/>
    <x v="91"/>
    <x v="5"/>
    <s v="N"/>
    <s v="N"/>
    <x v="4"/>
    <x v="2"/>
    <x v="0"/>
    <x v="0"/>
    <m/>
    <m/>
    <s v="대리점"/>
    <x v="0"/>
    <x v="2"/>
    <x v="0"/>
    <x v="1157"/>
    <s v="HP2637037982"/>
    <x v="1"/>
    <n v="0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8"/>
    <s v="HP2637023838"/>
    <x v="0"/>
    <n v="2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8"/>
    <s v="HP2637023838"/>
    <x v="1"/>
    <n v="1330000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9"/>
    <s v="HP2637026406"/>
    <x v="0"/>
    <n v="5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9"/>
    <s v="HP2637026406"/>
    <x v="1"/>
    <n v="6340000"/>
  </r>
  <r>
    <x v="1"/>
    <x v="2"/>
    <x v="10"/>
    <x v="36"/>
    <x v="91"/>
    <x v="91"/>
    <x v="5"/>
    <s v="N"/>
    <s v="N"/>
    <x v="0"/>
    <x v="0"/>
    <x v="0"/>
    <x v="0"/>
    <m/>
    <m/>
    <s v="대리점"/>
    <x v="0"/>
    <x v="2"/>
    <x v="0"/>
    <x v="1159"/>
    <s v="HP2637026406"/>
    <x v="0"/>
    <n v="8"/>
  </r>
  <r>
    <x v="1"/>
    <x v="2"/>
    <x v="10"/>
    <x v="36"/>
    <x v="91"/>
    <x v="91"/>
    <x v="5"/>
    <s v="N"/>
    <s v="N"/>
    <x v="0"/>
    <x v="0"/>
    <x v="0"/>
    <x v="0"/>
    <m/>
    <m/>
    <s v="대리점"/>
    <x v="0"/>
    <x v="2"/>
    <x v="0"/>
    <x v="1159"/>
    <s v="HP2637026406"/>
    <x v="1"/>
    <n v="10144000"/>
  </r>
  <r>
    <x v="1"/>
    <x v="2"/>
    <x v="10"/>
    <x v="36"/>
    <x v="91"/>
    <x v="91"/>
    <x v="5"/>
    <s v="N"/>
    <s v="N"/>
    <x v="1"/>
    <x v="0"/>
    <x v="0"/>
    <x v="0"/>
    <s v="성인"/>
    <s v="성인"/>
    <s v="대리점"/>
    <x v="0"/>
    <x v="2"/>
    <x v="0"/>
    <x v="890"/>
    <s v="HP2637027722"/>
    <x v="0"/>
    <n v="4"/>
  </r>
  <r>
    <x v="1"/>
    <x v="2"/>
    <x v="10"/>
    <x v="36"/>
    <x v="91"/>
    <x v="91"/>
    <x v="5"/>
    <s v="N"/>
    <s v="N"/>
    <x v="1"/>
    <x v="0"/>
    <x v="0"/>
    <x v="0"/>
    <s v="성인"/>
    <s v="성인"/>
    <s v="대리점"/>
    <x v="0"/>
    <x v="2"/>
    <x v="0"/>
    <x v="890"/>
    <s v="HP2637027722"/>
    <x v="1"/>
    <n v="4279600"/>
  </r>
  <r>
    <x v="1"/>
    <x v="2"/>
    <x v="10"/>
    <x v="36"/>
    <x v="91"/>
    <x v="91"/>
    <x v="5"/>
    <s v="N"/>
    <s v="N"/>
    <x v="1"/>
    <x v="0"/>
    <x v="0"/>
    <x v="0"/>
    <s v="성인"/>
    <s v="성인"/>
    <s v="범용/상용닷컴"/>
    <x v="1"/>
    <x v="2"/>
    <x v="0"/>
    <x v="1160"/>
    <s v="HP2637039380"/>
    <x v="0"/>
    <n v="1"/>
  </r>
  <r>
    <x v="1"/>
    <x v="2"/>
    <x v="10"/>
    <x v="36"/>
    <x v="91"/>
    <x v="91"/>
    <x v="5"/>
    <s v="N"/>
    <s v="N"/>
    <x v="1"/>
    <x v="0"/>
    <x v="0"/>
    <x v="0"/>
    <s v="성인"/>
    <s v="성인"/>
    <s v="범용/상용닷컴"/>
    <x v="1"/>
    <x v="2"/>
    <x v="0"/>
    <x v="1160"/>
    <s v="HP2637039380"/>
    <x v="1"/>
    <n v="3455000"/>
  </r>
  <r>
    <x v="1"/>
    <x v="2"/>
    <x v="10"/>
    <x v="36"/>
    <x v="91"/>
    <x v="91"/>
    <x v="6"/>
    <s v="N"/>
    <s v="N"/>
    <x v="4"/>
    <x v="2"/>
    <x v="0"/>
    <x v="0"/>
    <s v="성인"/>
    <s v="성인"/>
    <s v="대리점"/>
    <x v="0"/>
    <x v="2"/>
    <x v="0"/>
    <x v="1161"/>
    <s v="HP2635493310"/>
    <x v="0"/>
    <n v="1"/>
  </r>
  <r>
    <x v="1"/>
    <x v="2"/>
    <x v="10"/>
    <x v="36"/>
    <x v="91"/>
    <x v="91"/>
    <x v="6"/>
    <s v="N"/>
    <s v="N"/>
    <x v="4"/>
    <x v="2"/>
    <x v="0"/>
    <x v="0"/>
    <s v="성인"/>
    <s v="성인"/>
    <s v="대리점"/>
    <x v="0"/>
    <x v="2"/>
    <x v="0"/>
    <x v="1161"/>
    <s v="HP2635493310"/>
    <x v="1"/>
    <n v="0"/>
  </r>
  <r>
    <x v="1"/>
    <x v="2"/>
    <x v="10"/>
    <x v="36"/>
    <x v="91"/>
    <x v="91"/>
    <x v="6"/>
    <s v="N"/>
    <s v="N"/>
    <x v="0"/>
    <x v="0"/>
    <x v="0"/>
    <x v="0"/>
    <s v="성인"/>
    <s v="성인"/>
    <s v="대리점"/>
    <x v="0"/>
    <x v="2"/>
    <x v="0"/>
    <x v="1162"/>
    <s v="HP2637055496"/>
    <x v="0"/>
    <n v="2"/>
  </r>
  <r>
    <x v="1"/>
    <x v="2"/>
    <x v="10"/>
    <x v="36"/>
    <x v="91"/>
    <x v="91"/>
    <x v="6"/>
    <s v="N"/>
    <s v="N"/>
    <x v="0"/>
    <x v="0"/>
    <x v="0"/>
    <x v="0"/>
    <s v="성인"/>
    <s v="성인"/>
    <s v="대리점"/>
    <x v="0"/>
    <x v="2"/>
    <x v="0"/>
    <x v="1162"/>
    <s v="HP2637055496"/>
    <x v="1"/>
    <n v="2010000"/>
  </r>
  <r>
    <x v="1"/>
    <x v="2"/>
    <x v="10"/>
    <x v="36"/>
    <x v="91"/>
    <x v="91"/>
    <x v="6"/>
    <s v="N"/>
    <s v="N"/>
    <x v="0"/>
    <x v="0"/>
    <x v="0"/>
    <x v="0"/>
    <m/>
    <m/>
    <s v="대리점"/>
    <x v="0"/>
    <x v="2"/>
    <x v="1"/>
    <x v="1153"/>
    <s v="HP2637050392"/>
    <x v="0"/>
    <n v="0"/>
  </r>
  <r>
    <x v="1"/>
    <x v="2"/>
    <x v="10"/>
    <x v="36"/>
    <x v="91"/>
    <x v="91"/>
    <x v="6"/>
    <s v="N"/>
    <s v="N"/>
    <x v="0"/>
    <x v="0"/>
    <x v="0"/>
    <x v="0"/>
    <m/>
    <m/>
    <s v="대리점"/>
    <x v="0"/>
    <x v="2"/>
    <x v="1"/>
    <x v="1153"/>
    <s v="HP2637050392"/>
    <x v="1"/>
    <n v="4014500"/>
  </r>
  <r>
    <x v="1"/>
    <x v="2"/>
    <x v="10"/>
    <x v="36"/>
    <x v="91"/>
    <x v="91"/>
    <x v="6"/>
    <s v="N"/>
    <s v="N"/>
    <x v="1"/>
    <x v="0"/>
    <x v="0"/>
    <x v="0"/>
    <s v="성인"/>
    <s v="성인"/>
    <s v="범용/상용닷컴"/>
    <x v="1"/>
    <x v="2"/>
    <x v="0"/>
    <x v="1163"/>
    <s v="HP2637063760"/>
    <x v="0"/>
    <n v="3"/>
  </r>
  <r>
    <x v="1"/>
    <x v="2"/>
    <x v="10"/>
    <x v="36"/>
    <x v="91"/>
    <x v="91"/>
    <x v="6"/>
    <s v="N"/>
    <s v="N"/>
    <x v="1"/>
    <x v="0"/>
    <x v="0"/>
    <x v="0"/>
    <s v="성인"/>
    <s v="성인"/>
    <s v="범용/상용닷컴"/>
    <x v="1"/>
    <x v="2"/>
    <x v="0"/>
    <x v="1163"/>
    <s v="HP2637063760"/>
    <x v="1"/>
    <n v="1102800"/>
  </r>
  <r>
    <x v="1"/>
    <x v="2"/>
    <x v="10"/>
    <x v="36"/>
    <x v="91"/>
    <x v="91"/>
    <x v="6"/>
    <s v="N"/>
    <s v="N"/>
    <x v="2"/>
    <x v="0"/>
    <x v="0"/>
    <x v="0"/>
    <s v="성인"/>
    <s v="성인"/>
    <s v="닷컴"/>
    <x v="2"/>
    <x v="23"/>
    <x v="0"/>
    <x v="1164"/>
    <s v="HP2637058594"/>
    <x v="0"/>
    <n v="2"/>
  </r>
  <r>
    <x v="1"/>
    <x v="2"/>
    <x v="10"/>
    <x v="36"/>
    <x v="91"/>
    <x v="91"/>
    <x v="6"/>
    <s v="N"/>
    <s v="N"/>
    <x v="2"/>
    <x v="0"/>
    <x v="0"/>
    <x v="0"/>
    <s v="성인"/>
    <s v="성인"/>
    <s v="닷컴"/>
    <x v="2"/>
    <x v="23"/>
    <x v="0"/>
    <x v="1164"/>
    <s v="HP2637058594"/>
    <x v="1"/>
    <n v="2217800"/>
  </r>
  <r>
    <x v="1"/>
    <x v="2"/>
    <x v="10"/>
    <x v="36"/>
    <x v="91"/>
    <x v="91"/>
    <x v="6"/>
    <s v="N"/>
    <s v="N"/>
    <x v="2"/>
    <x v="0"/>
    <x v="0"/>
    <x v="0"/>
    <s v="아동"/>
    <s v="아동"/>
    <s v="닷컴"/>
    <x v="2"/>
    <x v="23"/>
    <x v="0"/>
    <x v="1164"/>
    <s v="HP2637058594"/>
    <x v="0"/>
    <n v="1"/>
  </r>
  <r>
    <x v="1"/>
    <x v="2"/>
    <x v="10"/>
    <x v="36"/>
    <x v="91"/>
    <x v="91"/>
    <x v="6"/>
    <s v="N"/>
    <s v="N"/>
    <x v="2"/>
    <x v="0"/>
    <x v="0"/>
    <x v="0"/>
    <s v="아동"/>
    <s v="아동"/>
    <s v="닷컴"/>
    <x v="2"/>
    <x v="23"/>
    <x v="0"/>
    <x v="1164"/>
    <s v="HP2637058594"/>
    <x v="1"/>
    <n v="1108900"/>
  </r>
  <r>
    <x v="1"/>
    <x v="2"/>
    <x v="10"/>
    <x v="36"/>
    <x v="91"/>
    <x v="91"/>
    <x v="6"/>
    <s v="N"/>
    <s v="N"/>
    <x v="2"/>
    <x v="0"/>
    <x v="0"/>
    <x v="0"/>
    <m/>
    <m/>
    <s v="대리점"/>
    <x v="0"/>
    <x v="23"/>
    <x v="1"/>
    <x v="1164"/>
    <s v="HP2637049276"/>
    <x v="0"/>
    <n v="0"/>
  </r>
  <r>
    <x v="1"/>
    <x v="2"/>
    <x v="10"/>
    <x v="36"/>
    <x v="91"/>
    <x v="91"/>
    <x v="6"/>
    <s v="N"/>
    <s v="N"/>
    <x v="2"/>
    <x v="0"/>
    <x v="0"/>
    <x v="0"/>
    <m/>
    <m/>
    <s v="대리점"/>
    <x v="0"/>
    <x v="23"/>
    <x v="1"/>
    <x v="1164"/>
    <s v="HP2637049276"/>
    <x v="1"/>
    <n v="2217800"/>
  </r>
  <r>
    <x v="1"/>
    <x v="2"/>
    <x v="10"/>
    <x v="36"/>
    <x v="91"/>
    <x v="91"/>
    <x v="6"/>
    <s v="N"/>
    <s v="N"/>
    <x v="2"/>
    <x v="0"/>
    <x v="0"/>
    <x v="1"/>
    <m/>
    <m/>
    <s v="대리점"/>
    <x v="0"/>
    <x v="23"/>
    <x v="1"/>
    <x v="1164"/>
    <s v="HP2637049276"/>
    <x v="0"/>
    <n v="0"/>
  </r>
  <r>
    <x v="1"/>
    <x v="2"/>
    <x v="10"/>
    <x v="36"/>
    <x v="91"/>
    <x v="91"/>
    <x v="6"/>
    <s v="N"/>
    <s v="N"/>
    <x v="2"/>
    <x v="0"/>
    <x v="0"/>
    <x v="1"/>
    <m/>
    <m/>
    <s v="대리점"/>
    <x v="0"/>
    <x v="23"/>
    <x v="1"/>
    <x v="1164"/>
    <s v="HP2637049276"/>
    <x v="1"/>
    <n v="942560"/>
  </r>
  <r>
    <x v="1"/>
    <x v="2"/>
    <x v="10"/>
    <x v="36"/>
    <x v="91"/>
    <x v="91"/>
    <x v="8"/>
    <s v="Y"/>
    <s v="N"/>
    <x v="0"/>
    <x v="0"/>
    <x v="0"/>
    <x v="0"/>
    <s v="성인"/>
    <s v="성인"/>
    <s v="대리점"/>
    <x v="0"/>
    <x v="17"/>
    <x v="0"/>
    <x v="1165"/>
    <s v="HP2637084800"/>
    <x v="0"/>
    <n v="2"/>
  </r>
  <r>
    <x v="1"/>
    <x v="2"/>
    <x v="10"/>
    <x v="36"/>
    <x v="91"/>
    <x v="91"/>
    <x v="8"/>
    <s v="Y"/>
    <s v="N"/>
    <x v="0"/>
    <x v="0"/>
    <x v="0"/>
    <x v="0"/>
    <s v="성인"/>
    <s v="성인"/>
    <s v="대리점"/>
    <x v="0"/>
    <x v="17"/>
    <x v="0"/>
    <x v="1165"/>
    <s v="HP2637084800"/>
    <x v="1"/>
    <n v="2553800"/>
  </r>
  <r>
    <x v="1"/>
    <x v="2"/>
    <x v="10"/>
    <x v="36"/>
    <x v="91"/>
    <x v="91"/>
    <x v="8"/>
    <s v="Y"/>
    <s v="N"/>
    <x v="0"/>
    <x v="0"/>
    <x v="0"/>
    <x v="0"/>
    <m/>
    <m/>
    <s v="닷컴"/>
    <x v="2"/>
    <x v="2"/>
    <x v="1"/>
    <x v="1166"/>
    <s v="HP2637084344"/>
    <x v="0"/>
    <n v="0"/>
  </r>
  <r>
    <x v="1"/>
    <x v="2"/>
    <x v="10"/>
    <x v="36"/>
    <x v="91"/>
    <x v="91"/>
    <x v="8"/>
    <s v="Y"/>
    <s v="N"/>
    <x v="0"/>
    <x v="0"/>
    <x v="0"/>
    <x v="0"/>
    <m/>
    <m/>
    <s v="닷컴"/>
    <x v="2"/>
    <x v="2"/>
    <x v="1"/>
    <x v="1166"/>
    <s v="HP2637084344"/>
    <x v="1"/>
    <n v="2399700"/>
  </r>
  <r>
    <x v="1"/>
    <x v="2"/>
    <x v="10"/>
    <x v="36"/>
    <x v="91"/>
    <x v="91"/>
    <x v="8"/>
    <s v="Y"/>
    <s v="N"/>
    <x v="1"/>
    <x v="0"/>
    <x v="0"/>
    <x v="0"/>
    <m/>
    <m/>
    <s v="대리점"/>
    <x v="0"/>
    <x v="2"/>
    <x v="0"/>
    <x v="754"/>
    <s v="HP2637087396"/>
    <x v="0"/>
    <n v="3"/>
  </r>
  <r>
    <x v="1"/>
    <x v="2"/>
    <x v="10"/>
    <x v="36"/>
    <x v="91"/>
    <x v="91"/>
    <x v="8"/>
    <s v="Y"/>
    <s v="N"/>
    <x v="1"/>
    <x v="0"/>
    <x v="0"/>
    <x v="0"/>
    <m/>
    <m/>
    <s v="대리점"/>
    <x v="0"/>
    <x v="2"/>
    <x v="0"/>
    <x v="754"/>
    <s v="HP2637087396"/>
    <x v="1"/>
    <n v="4197000"/>
  </r>
  <r>
    <x v="1"/>
    <x v="2"/>
    <x v="10"/>
    <x v="36"/>
    <x v="91"/>
    <x v="91"/>
    <x v="10"/>
    <s v="N"/>
    <s v="N"/>
    <x v="5"/>
    <x v="2"/>
    <x v="0"/>
    <x v="0"/>
    <m/>
    <m/>
    <s v="대리점"/>
    <x v="0"/>
    <x v="18"/>
    <x v="0"/>
    <x v="1167"/>
    <s v="HP2637112532"/>
    <x v="0"/>
    <n v="4"/>
  </r>
  <r>
    <x v="1"/>
    <x v="2"/>
    <x v="10"/>
    <x v="36"/>
    <x v="91"/>
    <x v="91"/>
    <x v="10"/>
    <s v="N"/>
    <s v="N"/>
    <x v="5"/>
    <x v="2"/>
    <x v="0"/>
    <x v="0"/>
    <m/>
    <m/>
    <s v="대리점"/>
    <x v="0"/>
    <x v="18"/>
    <x v="0"/>
    <x v="1167"/>
    <s v="HP2637112532"/>
    <x v="1"/>
    <n v="-200000"/>
  </r>
  <r>
    <x v="1"/>
    <x v="2"/>
    <x v="10"/>
    <x v="36"/>
    <x v="91"/>
    <x v="91"/>
    <x v="10"/>
    <s v="N"/>
    <s v="N"/>
    <x v="0"/>
    <x v="0"/>
    <x v="0"/>
    <x v="0"/>
    <s v="성인"/>
    <s v="성인"/>
    <s v="대리점"/>
    <x v="0"/>
    <x v="25"/>
    <x v="0"/>
    <x v="1168"/>
    <s v="HP2637119154"/>
    <x v="0"/>
    <n v="1"/>
  </r>
  <r>
    <x v="1"/>
    <x v="2"/>
    <x v="10"/>
    <x v="36"/>
    <x v="91"/>
    <x v="91"/>
    <x v="10"/>
    <s v="N"/>
    <s v="N"/>
    <x v="0"/>
    <x v="0"/>
    <x v="0"/>
    <x v="0"/>
    <s v="성인"/>
    <s v="성인"/>
    <s v="대리점"/>
    <x v="0"/>
    <x v="25"/>
    <x v="0"/>
    <x v="1168"/>
    <s v="HP2637119154"/>
    <x v="1"/>
    <n v="2950200"/>
  </r>
  <r>
    <x v="1"/>
    <x v="2"/>
    <x v="10"/>
    <x v="36"/>
    <x v="91"/>
    <x v="91"/>
    <x v="10"/>
    <s v="N"/>
    <s v="N"/>
    <x v="0"/>
    <x v="0"/>
    <x v="0"/>
    <x v="0"/>
    <m/>
    <m/>
    <s v="대리점"/>
    <x v="0"/>
    <x v="19"/>
    <x v="0"/>
    <x v="1169"/>
    <s v="HP2637126196"/>
    <x v="0"/>
    <n v="8"/>
  </r>
  <r>
    <x v="1"/>
    <x v="2"/>
    <x v="10"/>
    <x v="36"/>
    <x v="91"/>
    <x v="91"/>
    <x v="10"/>
    <s v="N"/>
    <s v="N"/>
    <x v="0"/>
    <x v="0"/>
    <x v="0"/>
    <x v="0"/>
    <m/>
    <m/>
    <s v="대리점"/>
    <x v="0"/>
    <x v="19"/>
    <x v="0"/>
    <x v="1169"/>
    <s v="HP2637126196"/>
    <x v="1"/>
    <n v="7192000"/>
  </r>
  <r>
    <x v="1"/>
    <x v="2"/>
    <x v="10"/>
    <x v="36"/>
    <x v="91"/>
    <x v="91"/>
    <x v="10"/>
    <s v="N"/>
    <s v="N"/>
    <x v="1"/>
    <x v="0"/>
    <x v="0"/>
    <x v="0"/>
    <s v="성인"/>
    <s v="성인"/>
    <s v="대리점"/>
    <x v="0"/>
    <x v="2"/>
    <x v="0"/>
    <x v="1170"/>
    <s v="HP2637125376"/>
    <x v="0"/>
    <n v="2"/>
  </r>
  <r>
    <x v="1"/>
    <x v="2"/>
    <x v="10"/>
    <x v="36"/>
    <x v="91"/>
    <x v="91"/>
    <x v="10"/>
    <s v="N"/>
    <s v="N"/>
    <x v="1"/>
    <x v="0"/>
    <x v="0"/>
    <x v="0"/>
    <s v="성인"/>
    <s v="성인"/>
    <s v="대리점"/>
    <x v="0"/>
    <x v="2"/>
    <x v="0"/>
    <x v="1170"/>
    <s v="HP2637125376"/>
    <x v="1"/>
    <n v="2910800"/>
  </r>
  <r>
    <x v="1"/>
    <x v="2"/>
    <x v="10"/>
    <x v="36"/>
    <x v="91"/>
    <x v="91"/>
    <x v="10"/>
    <s v="N"/>
    <s v="N"/>
    <x v="1"/>
    <x v="0"/>
    <x v="0"/>
    <x v="0"/>
    <m/>
    <m/>
    <s v="닷컴"/>
    <x v="2"/>
    <x v="2"/>
    <x v="1"/>
    <x v="1171"/>
    <s v="HP2637115398"/>
    <x v="0"/>
    <n v="0"/>
  </r>
  <r>
    <x v="1"/>
    <x v="2"/>
    <x v="10"/>
    <x v="36"/>
    <x v="91"/>
    <x v="91"/>
    <x v="10"/>
    <s v="N"/>
    <s v="N"/>
    <x v="1"/>
    <x v="0"/>
    <x v="0"/>
    <x v="0"/>
    <m/>
    <m/>
    <s v="닷컴"/>
    <x v="2"/>
    <x v="2"/>
    <x v="1"/>
    <x v="1171"/>
    <s v="HP2637115398"/>
    <x v="1"/>
    <n v="7996000"/>
  </r>
  <r>
    <x v="1"/>
    <x v="2"/>
    <x v="10"/>
    <x v="36"/>
    <x v="91"/>
    <x v="91"/>
    <x v="10"/>
    <s v="N"/>
    <s v="N"/>
    <x v="1"/>
    <x v="0"/>
    <x v="0"/>
    <x v="0"/>
    <m/>
    <m/>
    <s v="대리점"/>
    <x v="0"/>
    <x v="2"/>
    <x v="0"/>
    <x v="1172"/>
    <s v="HP2637111408"/>
    <x v="0"/>
    <n v="2"/>
  </r>
  <r>
    <x v="1"/>
    <x v="2"/>
    <x v="10"/>
    <x v="36"/>
    <x v="91"/>
    <x v="91"/>
    <x v="10"/>
    <s v="N"/>
    <s v="N"/>
    <x v="1"/>
    <x v="0"/>
    <x v="0"/>
    <x v="0"/>
    <m/>
    <m/>
    <s v="대리점"/>
    <x v="0"/>
    <x v="2"/>
    <x v="0"/>
    <x v="1172"/>
    <s v="HP2637111408"/>
    <x v="1"/>
    <n v="1583800"/>
  </r>
  <r>
    <x v="1"/>
    <x v="2"/>
    <x v="10"/>
    <x v="36"/>
    <x v="91"/>
    <x v="91"/>
    <x v="10"/>
    <s v="N"/>
    <s v="N"/>
    <x v="1"/>
    <x v="0"/>
    <x v="0"/>
    <x v="0"/>
    <m/>
    <m/>
    <s v="범용/상용닷컴"/>
    <x v="1"/>
    <x v="2"/>
    <x v="0"/>
    <x v="1173"/>
    <s v="HP2637119630"/>
    <x v="0"/>
    <n v="2"/>
  </r>
  <r>
    <x v="1"/>
    <x v="2"/>
    <x v="10"/>
    <x v="36"/>
    <x v="91"/>
    <x v="91"/>
    <x v="10"/>
    <s v="N"/>
    <s v="N"/>
    <x v="1"/>
    <x v="0"/>
    <x v="0"/>
    <x v="0"/>
    <m/>
    <m/>
    <s v="범용/상용닷컴"/>
    <x v="1"/>
    <x v="2"/>
    <x v="0"/>
    <x v="1173"/>
    <s v="HP2637119630"/>
    <x v="1"/>
    <n v="2064800"/>
  </r>
  <r>
    <x v="1"/>
    <x v="2"/>
    <x v="10"/>
    <x v="36"/>
    <x v="92"/>
    <x v="92"/>
    <x v="0"/>
    <s v="N"/>
    <s v="N"/>
    <x v="4"/>
    <x v="1"/>
    <x v="0"/>
    <x v="0"/>
    <s v="성인"/>
    <s v="성인"/>
    <s v="범용/상용닷컴"/>
    <x v="1"/>
    <x v="12"/>
    <x v="0"/>
    <x v="1174"/>
    <s v="HB2636939056"/>
    <x v="0"/>
    <n v="2"/>
  </r>
  <r>
    <x v="1"/>
    <x v="2"/>
    <x v="10"/>
    <x v="36"/>
    <x v="92"/>
    <x v="92"/>
    <x v="0"/>
    <s v="N"/>
    <s v="N"/>
    <x v="4"/>
    <x v="1"/>
    <x v="0"/>
    <x v="0"/>
    <s v="성인"/>
    <s v="성인"/>
    <s v="범용/상용닷컴"/>
    <x v="1"/>
    <x v="12"/>
    <x v="0"/>
    <x v="1174"/>
    <s v="HB2636939056"/>
    <x v="1"/>
    <n v="1724800"/>
  </r>
  <r>
    <x v="1"/>
    <x v="2"/>
    <x v="10"/>
    <x v="36"/>
    <x v="92"/>
    <x v="92"/>
    <x v="0"/>
    <s v="N"/>
    <s v="N"/>
    <x v="4"/>
    <x v="1"/>
    <x v="0"/>
    <x v="1"/>
    <s v="아동"/>
    <s v="아동"/>
    <s v="범용/상용닷컴"/>
    <x v="1"/>
    <x v="12"/>
    <x v="0"/>
    <x v="1174"/>
    <s v="HB2636939056"/>
    <x v="0"/>
    <n v="2"/>
  </r>
  <r>
    <x v="1"/>
    <x v="2"/>
    <x v="10"/>
    <x v="36"/>
    <x v="92"/>
    <x v="92"/>
    <x v="0"/>
    <s v="N"/>
    <s v="N"/>
    <x v="4"/>
    <x v="1"/>
    <x v="0"/>
    <x v="1"/>
    <s v="아동"/>
    <s v="아동"/>
    <s v="범용/상용닷컴"/>
    <x v="1"/>
    <x v="12"/>
    <x v="0"/>
    <x v="1174"/>
    <s v="HB2636939056"/>
    <x v="1"/>
    <n v="1719600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5"/>
    <s v="HQ2636932016"/>
    <x v="0"/>
    <n v="34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5"/>
    <s v="HQ2636932016"/>
    <x v="1"/>
    <n v="0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6"/>
    <s v="HQ2636927270"/>
    <x v="0"/>
    <n v="28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6"/>
    <s v="HQ2636927270"/>
    <x v="1"/>
    <n v="0"/>
  </r>
  <r>
    <x v="1"/>
    <x v="2"/>
    <x v="10"/>
    <x v="36"/>
    <x v="92"/>
    <x v="92"/>
    <x v="0"/>
    <s v="N"/>
    <s v="N"/>
    <x v="0"/>
    <x v="0"/>
    <x v="0"/>
    <x v="0"/>
    <s v="성인"/>
    <s v="성인"/>
    <s v="대리점"/>
    <x v="0"/>
    <x v="2"/>
    <x v="0"/>
    <x v="1177"/>
    <s v="HP2636921770"/>
    <x v="0"/>
    <n v="2"/>
  </r>
  <r>
    <x v="1"/>
    <x v="2"/>
    <x v="10"/>
    <x v="36"/>
    <x v="92"/>
    <x v="92"/>
    <x v="0"/>
    <s v="N"/>
    <s v="N"/>
    <x v="0"/>
    <x v="0"/>
    <x v="0"/>
    <x v="0"/>
    <s v="성인"/>
    <s v="성인"/>
    <s v="대리점"/>
    <x v="0"/>
    <x v="2"/>
    <x v="0"/>
    <x v="1177"/>
    <s v="HP2636921770"/>
    <x v="1"/>
    <n v="1553800"/>
  </r>
  <r>
    <x v="1"/>
    <x v="2"/>
    <x v="10"/>
    <x v="36"/>
    <x v="92"/>
    <x v="92"/>
    <x v="0"/>
    <s v="N"/>
    <s v="N"/>
    <x v="8"/>
    <x v="6"/>
    <x v="0"/>
    <x v="0"/>
    <m/>
    <m/>
    <s v="대리점"/>
    <x v="0"/>
    <x v="2"/>
    <x v="0"/>
    <x v="1178"/>
    <s v="HX2636925304"/>
    <x v="0"/>
    <n v="5"/>
  </r>
  <r>
    <x v="1"/>
    <x v="2"/>
    <x v="10"/>
    <x v="36"/>
    <x v="92"/>
    <x v="92"/>
    <x v="0"/>
    <s v="N"/>
    <s v="N"/>
    <x v="8"/>
    <x v="6"/>
    <x v="0"/>
    <x v="0"/>
    <m/>
    <m/>
    <s v="대리점"/>
    <x v="0"/>
    <x v="2"/>
    <x v="0"/>
    <x v="1178"/>
    <s v="HX2636925304"/>
    <x v="1"/>
    <n v="0"/>
  </r>
  <r>
    <x v="1"/>
    <x v="2"/>
    <x v="10"/>
    <x v="36"/>
    <x v="92"/>
    <x v="92"/>
    <x v="2"/>
    <s v="Y"/>
    <s v="Y"/>
    <x v="1"/>
    <x v="0"/>
    <x v="0"/>
    <x v="0"/>
    <s v="성인"/>
    <s v="성인"/>
    <s v="대리점"/>
    <x v="0"/>
    <x v="2"/>
    <x v="0"/>
    <x v="1179"/>
    <s v="HP2636966616"/>
    <x v="0"/>
    <n v="1"/>
  </r>
  <r>
    <x v="1"/>
    <x v="2"/>
    <x v="10"/>
    <x v="36"/>
    <x v="92"/>
    <x v="92"/>
    <x v="2"/>
    <s v="Y"/>
    <s v="Y"/>
    <x v="1"/>
    <x v="0"/>
    <x v="0"/>
    <x v="0"/>
    <s v="성인"/>
    <s v="성인"/>
    <s v="대리점"/>
    <x v="0"/>
    <x v="2"/>
    <x v="0"/>
    <x v="1179"/>
    <s v="HP2636966616"/>
    <x v="1"/>
    <n v="112800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0"/>
    <s v="HP2636966620"/>
    <x v="0"/>
    <n v="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0"/>
    <s v="HP2636966620"/>
    <x v="1"/>
    <n v="112800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1"/>
    <s v="HP2636963358"/>
    <x v="0"/>
    <n v="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1"/>
    <s v="HP2636963358"/>
    <x v="1"/>
    <n v="18147000"/>
  </r>
  <r>
    <x v="1"/>
    <x v="2"/>
    <x v="10"/>
    <x v="36"/>
    <x v="92"/>
    <x v="92"/>
    <x v="2"/>
    <s v="Y"/>
    <s v="Y"/>
    <x v="1"/>
    <x v="0"/>
    <x v="0"/>
    <x v="1"/>
    <s v="아동"/>
    <s v="아동"/>
    <s v="대리점"/>
    <x v="0"/>
    <x v="2"/>
    <x v="0"/>
    <x v="1179"/>
    <s v="HP2636966616"/>
    <x v="0"/>
    <n v="1"/>
  </r>
  <r>
    <x v="1"/>
    <x v="2"/>
    <x v="10"/>
    <x v="36"/>
    <x v="92"/>
    <x v="92"/>
    <x v="2"/>
    <s v="Y"/>
    <s v="Y"/>
    <x v="1"/>
    <x v="0"/>
    <x v="0"/>
    <x v="1"/>
    <s v="아동"/>
    <s v="아동"/>
    <s v="대리점"/>
    <x v="0"/>
    <x v="2"/>
    <x v="0"/>
    <x v="1179"/>
    <s v="HP2636966616"/>
    <x v="1"/>
    <n v="1128000"/>
  </r>
  <r>
    <x v="1"/>
    <x v="2"/>
    <x v="10"/>
    <x v="36"/>
    <x v="92"/>
    <x v="92"/>
    <x v="2"/>
    <s v="Y"/>
    <s v="Y"/>
    <x v="1"/>
    <x v="0"/>
    <x v="0"/>
    <x v="1"/>
    <m/>
    <m/>
    <s v="대리점"/>
    <x v="0"/>
    <x v="2"/>
    <x v="1"/>
    <x v="1180"/>
    <s v="HP2636966620"/>
    <x v="0"/>
    <n v="0"/>
  </r>
  <r>
    <x v="1"/>
    <x v="2"/>
    <x v="10"/>
    <x v="36"/>
    <x v="92"/>
    <x v="92"/>
    <x v="2"/>
    <s v="Y"/>
    <s v="Y"/>
    <x v="1"/>
    <x v="0"/>
    <x v="0"/>
    <x v="1"/>
    <m/>
    <m/>
    <s v="대리점"/>
    <x v="0"/>
    <x v="2"/>
    <x v="1"/>
    <x v="1180"/>
    <s v="HP2636966620"/>
    <x v="1"/>
    <n v="1064000"/>
  </r>
  <r>
    <x v="1"/>
    <x v="2"/>
    <x v="10"/>
    <x v="36"/>
    <x v="92"/>
    <x v="92"/>
    <x v="11"/>
    <s v="Y"/>
    <s v="N"/>
    <x v="0"/>
    <x v="0"/>
    <x v="0"/>
    <x v="0"/>
    <s v="성인"/>
    <s v="성인"/>
    <s v="대리점"/>
    <x v="0"/>
    <x v="2"/>
    <x v="0"/>
    <x v="25"/>
    <s v="HP2636974428"/>
    <x v="0"/>
    <n v="1"/>
  </r>
  <r>
    <x v="1"/>
    <x v="2"/>
    <x v="10"/>
    <x v="36"/>
    <x v="92"/>
    <x v="92"/>
    <x v="11"/>
    <s v="Y"/>
    <s v="N"/>
    <x v="0"/>
    <x v="0"/>
    <x v="0"/>
    <x v="0"/>
    <s v="성인"/>
    <s v="성인"/>
    <s v="대리점"/>
    <x v="0"/>
    <x v="2"/>
    <x v="0"/>
    <x v="25"/>
    <s v="HP2636974428"/>
    <x v="1"/>
    <n v="187900"/>
  </r>
  <r>
    <x v="1"/>
    <x v="2"/>
    <x v="10"/>
    <x v="36"/>
    <x v="92"/>
    <x v="92"/>
    <x v="3"/>
    <s v="N"/>
    <s v="Y"/>
    <x v="0"/>
    <x v="0"/>
    <x v="0"/>
    <x v="0"/>
    <s v="성인"/>
    <s v="성인"/>
    <s v="대리점"/>
    <x v="0"/>
    <x v="2"/>
    <x v="0"/>
    <x v="1182"/>
    <s v="HP2636986580"/>
    <x v="0"/>
    <n v="2"/>
  </r>
  <r>
    <x v="1"/>
    <x v="2"/>
    <x v="10"/>
    <x v="36"/>
    <x v="92"/>
    <x v="92"/>
    <x v="3"/>
    <s v="N"/>
    <s v="Y"/>
    <x v="0"/>
    <x v="0"/>
    <x v="0"/>
    <x v="0"/>
    <s v="성인"/>
    <s v="성인"/>
    <s v="대리점"/>
    <x v="0"/>
    <x v="2"/>
    <x v="0"/>
    <x v="1182"/>
    <s v="HP2636986580"/>
    <x v="1"/>
    <n v="2439800"/>
  </r>
  <r>
    <x v="1"/>
    <x v="2"/>
    <x v="10"/>
    <x v="36"/>
    <x v="92"/>
    <x v="92"/>
    <x v="4"/>
    <s v="N"/>
    <s v="N"/>
    <x v="0"/>
    <x v="0"/>
    <x v="0"/>
    <x v="0"/>
    <s v="성인"/>
    <s v="성인"/>
    <s v="범용/상용닷컴"/>
    <x v="1"/>
    <x v="2"/>
    <x v="0"/>
    <x v="1183"/>
    <s v="HP2637015988"/>
    <x v="0"/>
    <n v="3"/>
  </r>
  <r>
    <x v="1"/>
    <x v="2"/>
    <x v="10"/>
    <x v="36"/>
    <x v="92"/>
    <x v="92"/>
    <x v="4"/>
    <s v="N"/>
    <s v="N"/>
    <x v="0"/>
    <x v="0"/>
    <x v="0"/>
    <x v="0"/>
    <s v="성인"/>
    <s v="성인"/>
    <s v="범용/상용닷컴"/>
    <x v="1"/>
    <x v="2"/>
    <x v="0"/>
    <x v="1183"/>
    <s v="HP2637015988"/>
    <x v="1"/>
    <n v="1628700"/>
  </r>
  <r>
    <x v="1"/>
    <x v="2"/>
    <x v="10"/>
    <x v="36"/>
    <x v="92"/>
    <x v="92"/>
    <x v="4"/>
    <s v="N"/>
    <s v="N"/>
    <x v="0"/>
    <x v="0"/>
    <x v="0"/>
    <x v="0"/>
    <m/>
    <m/>
    <s v="대리점"/>
    <x v="0"/>
    <x v="2"/>
    <x v="0"/>
    <x v="1184"/>
    <s v="HP2637006176"/>
    <x v="0"/>
    <n v="4"/>
  </r>
  <r>
    <x v="1"/>
    <x v="2"/>
    <x v="10"/>
    <x v="36"/>
    <x v="92"/>
    <x v="92"/>
    <x v="4"/>
    <s v="N"/>
    <s v="N"/>
    <x v="0"/>
    <x v="0"/>
    <x v="0"/>
    <x v="0"/>
    <m/>
    <m/>
    <s v="대리점"/>
    <x v="0"/>
    <x v="2"/>
    <x v="0"/>
    <x v="1184"/>
    <s v="HP2637006176"/>
    <x v="1"/>
    <n v="5479600"/>
  </r>
  <r>
    <x v="1"/>
    <x v="2"/>
    <x v="10"/>
    <x v="36"/>
    <x v="92"/>
    <x v="92"/>
    <x v="4"/>
    <s v="N"/>
    <s v="N"/>
    <x v="6"/>
    <x v="4"/>
    <x v="0"/>
    <x v="0"/>
    <s v="성인"/>
    <s v="성인"/>
    <s v="대리점"/>
    <x v="0"/>
    <x v="40"/>
    <x v="0"/>
    <x v="1185"/>
    <s v="HU2637011732"/>
    <x v="0"/>
    <n v="3"/>
  </r>
  <r>
    <x v="1"/>
    <x v="2"/>
    <x v="10"/>
    <x v="36"/>
    <x v="92"/>
    <x v="92"/>
    <x v="4"/>
    <s v="N"/>
    <s v="N"/>
    <x v="6"/>
    <x v="4"/>
    <x v="0"/>
    <x v="0"/>
    <s v="성인"/>
    <s v="성인"/>
    <s v="대리점"/>
    <x v="0"/>
    <x v="40"/>
    <x v="0"/>
    <x v="1185"/>
    <s v="HU2637011732"/>
    <x v="1"/>
    <n v="5610600"/>
  </r>
  <r>
    <x v="1"/>
    <x v="2"/>
    <x v="10"/>
    <x v="36"/>
    <x v="92"/>
    <x v="92"/>
    <x v="4"/>
    <s v="N"/>
    <s v="N"/>
    <x v="6"/>
    <x v="4"/>
    <x v="0"/>
    <x v="1"/>
    <s v="유아"/>
    <s v="유아"/>
    <s v="대리점"/>
    <x v="0"/>
    <x v="40"/>
    <x v="0"/>
    <x v="1185"/>
    <s v="HU2637011732"/>
    <x v="0"/>
    <n v="1"/>
  </r>
  <r>
    <x v="1"/>
    <x v="2"/>
    <x v="10"/>
    <x v="36"/>
    <x v="92"/>
    <x v="92"/>
    <x v="4"/>
    <s v="N"/>
    <s v="N"/>
    <x v="6"/>
    <x v="4"/>
    <x v="0"/>
    <x v="1"/>
    <s v="유아"/>
    <s v="유아"/>
    <s v="대리점"/>
    <x v="0"/>
    <x v="40"/>
    <x v="0"/>
    <x v="1185"/>
    <s v="HU2637011732"/>
    <x v="1"/>
    <n v="1870200"/>
  </r>
  <r>
    <x v="1"/>
    <x v="2"/>
    <x v="10"/>
    <x v="36"/>
    <x v="92"/>
    <x v="92"/>
    <x v="4"/>
    <s v="N"/>
    <s v="N"/>
    <x v="2"/>
    <x v="0"/>
    <x v="0"/>
    <x v="0"/>
    <s v="성인"/>
    <s v="성인"/>
    <s v="닷컴"/>
    <x v="2"/>
    <x v="2"/>
    <x v="0"/>
    <x v="1186"/>
    <s v="HP2637010902"/>
    <x v="0"/>
    <n v="1"/>
  </r>
  <r>
    <x v="1"/>
    <x v="2"/>
    <x v="10"/>
    <x v="36"/>
    <x v="92"/>
    <x v="92"/>
    <x v="4"/>
    <s v="N"/>
    <s v="N"/>
    <x v="2"/>
    <x v="0"/>
    <x v="0"/>
    <x v="0"/>
    <s v="성인"/>
    <s v="성인"/>
    <s v="닷컴"/>
    <x v="2"/>
    <x v="2"/>
    <x v="0"/>
    <x v="1186"/>
    <s v="HP2637010902"/>
    <x v="1"/>
    <n v="1559000"/>
  </r>
  <r>
    <x v="1"/>
    <x v="2"/>
    <x v="10"/>
    <x v="36"/>
    <x v="92"/>
    <x v="92"/>
    <x v="4"/>
    <s v="N"/>
    <s v="N"/>
    <x v="2"/>
    <x v="0"/>
    <x v="0"/>
    <x v="0"/>
    <m/>
    <m/>
    <s v="닷컴"/>
    <x v="2"/>
    <x v="2"/>
    <x v="0"/>
    <x v="1186"/>
    <s v="HP2637010902"/>
    <x v="0"/>
    <n v="1"/>
  </r>
  <r>
    <x v="1"/>
    <x v="2"/>
    <x v="10"/>
    <x v="36"/>
    <x v="92"/>
    <x v="92"/>
    <x v="4"/>
    <s v="N"/>
    <s v="N"/>
    <x v="2"/>
    <x v="0"/>
    <x v="0"/>
    <x v="0"/>
    <m/>
    <m/>
    <s v="닷컴"/>
    <x v="2"/>
    <x v="2"/>
    <x v="0"/>
    <x v="1186"/>
    <s v="HP2637010902"/>
    <x v="1"/>
    <n v="1559000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242"/>
    <x v="0"/>
    <n v="21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242"/>
    <x v="1"/>
    <n v="3319344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416"/>
    <x v="0"/>
    <n v="23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416"/>
    <x v="1"/>
    <n v="3635472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242"/>
    <x v="0"/>
    <n v="0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242"/>
    <x v="1"/>
    <n v="1422576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416"/>
    <x v="0"/>
    <n v="0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416"/>
    <x v="1"/>
    <n v="0"/>
  </r>
  <r>
    <x v="1"/>
    <x v="2"/>
    <x v="10"/>
    <x v="36"/>
    <x v="92"/>
    <x v="92"/>
    <x v="5"/>
    <s v="N"/>
    <s v="N"/>
    <x v="9"/>
    <x v="7"/>
    <x v="0"/>
    <x v="0"/>
    <s v="성인"/>
    <s v="성인"/>
    <s v="대리점"/>
    <x v="0"/>
    <x v="2"/>
    <x v="0"/>
    <x v="1188"/>
    <s v="HC2637032082"/>
    <x v="0"/>
    <n v="2"/>
  </r>
  <r>
    <x v="1"/>
    <x v="2"/>
    <x v="10"/>
    <x v="36"/>
    <x v="92"/>
    <x v="92"/>
    <x v="5"/>
    <s v="N"/>
    <s v="N"/>
    <x v="9"/>
    <x v="7"/>
    <x v="0"/>
    <x v="0"/>
    <s v="성인"/>
    <s v="성인"/>
    <s v="대리점"/>
    <x v="0"/>
    <x v="2"/>
    <x v="0"/>
    <x v="1188"/>
    <s v="HC2637032082"/>
    <x v="1"/>
    <n v="3780000"/>
  </r>
  <r>
    <x v="1"/>
    <x v="2"/>
    <x v="10"/>
    <x v="36"/>
    <x v="92"/>
    <x v="92"/>
    <x v="6"/>
    <s v="N"/>
    <s v="N"/>
    <x v="4"/>
    <x v="1"/>
    <x v="1"/>
    <x v="0"/>
    <s v="성인"/>
    <s v="성인"/>
    <s v="대리점"/>
    <x v="0"/>
    <x v="12"/>
    <x v="0"/>
    <x v="1189"/>
    <s v="HB2637048532"/>
    <x v="0"/>
    <n v="1"/>
  </r>
  <r>
    <x v="1"/>
    <x v="2"/>
    <x v="10"/>
    <x v="36"/>
    <x v="92"/>
    <x v="92"/>
    <x v="6"/>
    <s v="N"/>
    <s v="N"/>
    <x v="4"/>
    <x v="1"/>
    <x v="1"/>
    <x v="0"/>
    <s v="성인"/>
    <s v="성인"/>
    <s v="대리점"/>
    <x v="0"/>
    <x v="12"/>
    <x v="0"/>
    <x v="1189"/>
    <s v="HB2637048532"/>
    <x v="1"/>
    <n v="523000"/>
  </r>
  <r>
    <x v="1"/>
    <x v="2"/>
    <x v="10"/>
    <x v="36"/>
    <x v="92"/>
    <x v="92"/>
    <x v="6"/>
    <s v="N"/>
    <s v="N"/>
    <x v="4"/>
    <x v="1"/>
    <x v="0"/>
    <x v="0"/>
    <s v="성인"/>
    <s v="성인"/>
    <s v="대리점"/>
    <x v="0"/>
    <x v="12"/>
    <x v="0"/>
    <x v="1189"/>
    <s v="HB2637048532"/>
    <x v="0"/>
    <n v="7"/>
  </r>
  <r>
    <x v="1"/>
    <x v="2"/>
    <x v="10"/>
    <x v="36"/>
    <x v="92"/>
    <x v="92"/>
    <x v="6"/>
    <s v="N"/>
    <s v="N"/>
    <x v="4"/>
    <x v="1"/>
    <x v="0"/>
    <x v="0"/>
    <s v="성인"/>
    <s v="성인"/>
    <s v="대리점"/>
    <x v="0"/>
    <x v="12"/>
    <x v="0"/>
    <x v="1189"/>
    <s v="HB2637048532"/>
    <x v="1"/>
    <n v="5243000"/>
  </r>
  <r>
    <x v="1"/>
    <x v="2"/>
    <x v="10"/>
    <x v="36"/>
    <x v="92"/>
    <x v="92"/>
    <x v="6"/>
    <s v="N"/>
    <s v="N"/>
    <x v="4"/>
    <x v="1"/>
    <x v="0"/>
    <x v="0"/>
    <s v="청소년"/>
    <s v="청소년"/>
    <s v="대리점"/>
    <x v="0"/>
    <x v="12"/>
    <x v="0"/>
    <x v="1189"/>
    <s v="HB2637048532"/>
    <x v="0"/>
    <n v="1"/>
  </r>
  <r>
    <x v="1"/>
    <x v="2"/>
    <x v="10"/>
    <x v="36"/>
    <x v="92"/>
    <x v="92"/>
    <x v="6"/>
    <s v="N"/>
    <s v="N"/>
    <x v="4"/>
    <x v="1"/>
    <x v="0"/>
    <x v="0"/>
    <s v="청소년"/>
    <s v="청소년"/>
    <s v="대리점"/>
    <x v="0"/>
    <x v="12"/>
    <x v="0"/>
    <x v="1189"/>
    <s v="HB2637048532"/>
    <x v="1"/>
    <n v="749000"/>
  </r>
  <r>
    <x v="1"/>
    <x v="2"/>
    <x v="10"/>
    <x v="36"/>
    <x v="92"/>
    <x v="92"/>
    <x v="6"/>
    <s v="N"/>
    <s v="N"/>
    <x v="4"/>
    <x v="1"/>
    <x v="0"/>
    <x v="1"/>
    <s v="아동"/>
    <s v="아동"/>
    <s v="대리점"/>
    <x v="0"/>
    <x v="12"/>
    <x v="0"/>
    <x v="1189"/>
    <s v="HB2637048532"/>
    <x v="0"/>
    <n v="2"/>
  </r>
  <r>
    <x v="1"/>
    <x v="2"/>
    <x v="10"/>
    <x v="36"/>
    <x v="92"/>
    <x v="92"/>
    <x v="6"/>
    <s v="N"/>
    <s v="N"/>
    <x v="4"/>
    <x v="1"/>
    <x v="0"/>
    <x v="1"/>
    <s v="아동"/>
    <s v="아동"/>
    <s v="대리점"/>
    <x v="0"/>
    <x v="12"/>
    <x v="0"/>
    <x v="1189"/>
    <s v="HB2637048532"/>
    <x v="1"/>
    <n v="898000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17"/>
    <x v="0"/>
    <x v="1190"/>
    <s v="HP2637050284"/>
    <x v="0"/>
    <n v="1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17"/>
    <x v="0"/>
    <x v="1190"/>
    <s v="HP2637050284"/>
    <x v="1"/>
    <n v="580000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2"/>
    <x v="0"/>
    <x v="1191"/>
    <s v="HP2637061912"/>
    <x v="0"/>
    <n v="2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2"/>
    <x v="0"/>
    <x v="1191"/>
    <s v="HP2637061912"/>
    <x v="1"/>
    <n v="1100000"/>
  </r>
  <r>
    <x v="1"/>
    <x v="2"/>
    <x v="10"/>
    <x v="36"/>
    <x v="92"/>
    <x v="92"/>
    <x v="6"/>
    <s v="N"/>
    <s v="N"/>
    <x v="0"/>
    <x v="0"/>
    <x v="0"/>
    <x v="0"/>
    <s v="성인"/>
    <s v="성인"/>
    <s v="대리점"/>
    <x v="0"/>
    <x v="17"/>
    <x v="0"/>
    <x v="1190"/>
    <s v="HP2637050284"/>
    <x v="0"/>
    <n v="2"/>
  </r>
  <r>
    <x v="1"/>
    <x v="2"/>
    <x v="10"/>
    <x v="36"/>
    <x v="92"/>
    <x v="92"/>
    <x v="6"/>
    <s v="N"/>
    <s v="N"/>
    <x v="0"/>
    <x v="0"/>
    <x v="0"/>
    <x v="0"/>
    <s v="성인"/>
    <s v="성인"/>
    <s v="대리점"/>
    <x v="0"/>
    <x v="17"/>
    <x v="0"/>
    <x v="1190"/>
    <s v="HP2637050284"/>
    <x v="1"/>
    <n v="1645800"/>
  </r>
  <r>
    <x v="1"/>
    <x v="2"/>
    <x v="10"/>
    <x v="36"/>
    <x v="92"/>
    <x v="92"/>
    <x v="6"/>
    <s v="N"/>
    <s v="N"/>
    <x v="0"/>
    <x v="2"/>
    <x v="1"/>
    <x v="0"/>
    <m/>
    <m/>
    <s v="대리점"/>
    <x v="0"/>
    <x v="2"/>
    <x v="0"/>
    <x v="1192"/>
    <s v="HQ2637049968"/>
    <x v="0"/>
    <n v="9"/>
  </r>
  <r>
    <x v="1"/>
    <x v="2"/>
    <x v="10"/>
    <x v="36"/>
    <x v="92"/>
    <x v="92"/>
    <x v="6"/>
    <s v="N"/>
    <s v="N"/>
    <x v="0"/>
    <x v="2"/>
    <x v="1"/>
    <x v="0"/>
    <m/>
    <m/>
    <s v="대리점"/>
    <x v="0"/>
    <x v="2"/>
    <x v="0"/>
    <x v="1192"/>
    <s v="HQ2637049968"/>
    <x v="1"/>
    <n v="7740000"/>
  </r>
  <r>
    <x v="1"/>
    <x v="2"/>
    <x v="10"/>
    <x v="36"/>
    <x v="92"/>
    <x v="92"/>
    <x v="7"/>
    <s v="N"/>
    <s v="Y"/>
    <x v="4"/>
    <x v="0"/>
    <x v="0"/>
    <x v="0"/>
    <m/>
    <m/>
    <s v="대리점"/>
    <x v="0"/>
    <x v="11"/>
    <x v="1"/>
    <x v="585"/>
    <s v="HP2637069330"/>
    <x v="0"/>
    <n v="0"/>
  </r>
  <r>
    <x v="1"/>
    <x v="2"/>
    <x v="10"/>
    <x v="36"/>
    <x v="92"/>
    <x v="92"/>
    <x v="7"/>
    <s v="N"/>
    <s v="Y"/>
    <x v="4"/>
    <x v="0"/>
    <x v="0"/>
    <x v="0"/>
    <m/>
    <m/>
    <s v="대리점"/>
    <x v="0"/>
    <x v="11"/>
    <x v="1"/>
    <x v="585"/>
    <s v="HP2637069330"/>
    <x v="1"/>
    <n v="537000"/>
  </r>
  <r>
    <x v="1"/>
    <x v="2"/>
    <x v="10"/>
    <x v="36"/>
    <x v="92"/>
    <x v="92"/>
    <x v="7"/>
    <s v="N"/>
    <s v="Y"/>
    <x v="0"/>
    <x v="0"/>
    <x v="0"/>
    <x v="0"/>
    <m/>
    <m/>
    <s v="범용/상용닷컴"/>
    <x v="1"/>
    <x v="2"/>
    <x v="1"/>
    <x v="1193"/>
    <s v="HP2637074156"/>
    <x v="0"/>
    <n v="0"/>
  </r>
  <r>
    <x v="1"/>
    <x v="2"/>
    <x v="10"/>
    <x v="36"/>
    <x v="92"/>
    <x v="92"/>
    <x v="7"/>
    <s v="N"/>
    <s v="Y"/>
    <x v="0"/>
    <x v="0"/>
    <x v="0"/>
    <x v="0"/>
    <m/>
    <m/>
    <s v="범용/상용닷컴"/>
    <x v="1"/>
    <x v="2"/>
    <x v="1"/>
    <x v="1193"/>
    <s v="HP2637074156"/>
    <x v="1"/>
    <n v="473600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15668"/>
    <x v="0"/>
    <n v="3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15668"/>
    <x v="1"/>
    <n v="1554000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28056"/>
    <x v="0"/>
    <n v="3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28056"/>
    <x v="1"/>
    <n v="1554000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15668"/>
    <x v="0"/>
    <n v="1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15668"/>
    <x v="1"/>
    <n v="518000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28056"/>
    <x v="0"/>
    <n v="1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28056"/>
    <x v="1"/>
    <n v="518000"/>
  </r>
  <r>
    <x v="1"/>
    <x v="2"/>
    <x v="10"/>
    <x v="36"/>
    <x v="92"/>
    <x v="92"/>
    <x v="10"/>
    <s v="N"/>
    <s v="N"/>
    <x v="4"/>
    <x v="0"/>
    <x v="0"/>
    <x v="0"/>
    <m/>
    <m/>
    <s v="대리점"/>
    <x v="0"/>
    <x v="11"/>
    <x v="0"/>
    <x v="1195"/>
    <s v="HP2637120408"/>
    <x v="0"/>
    <n v="3"/>
  </r>
  <r>
    <x v="1"/>
    <x v="2"/>
    <x v="10"/>
    <x v="36"/>
    <x v="92"/>
    <x v="92"/>
    <x v="10"/>
    <s v="N"/>
    <s v="N"/>
    <x v="4"/>
    <x v="0"/>
    <x v="0"/>
    <x v="0"/>
    <m/>
    <m/>
    <s v="대리점"/>
    <x v="0"/>
    <x v="11"/>
    <x v="0"/>
    <x v="1195"/>
    <s v="HP2637120408"/>
    <x v="1"/>
    <n v="537000"/>
  </r>
  <r>
    <x v="1"/>
    <x v="2"/>
    <x v="10"/>
    <x v="36"/>
    <x v="92"/>
    <x v="92"/>
    <x v="10"/>
    <s v="N"/>
    <s v="N"/>
    <x v="4"/>
    <x v="2"/>
    <x v="0"/>
    <x v="0"/>
    <s v="성인"/>
    <s v="성인"/>
    <s v="대리점"/>
    <x v="0"/>
    <x v="40"/>
    <x v="0"/>
    <x v="1187"/>
    <s v="HQ2637121312"/>
    <x v="0"/>
    <n v="8"/>
  </r>
  <r>
    <x v="1"/>
    <x v="2"/>
    <x v="10"/>
    <x v="36"/>
    <x v="92"/>
    <x v="92"/>
    <x v="10"/>
    <s v="N"/>
    <s v="N"/>
    <x v="4"/>
    <x v="2"/>
    <x v="0"/>
    <x v="0"/>
    <s v="성인"/>
    <s v="성인"/>
    <s v="대리점"/>
    <x v="0"/>
    <x v="40"/>
    <x v="0"/>
    <x v="1187"/>
    <s v="HQ2637121312"/>
    <x v="1"/>
    <n v="0"/>
  </r>
  <r>
    <x v="1"/>
    <x v="2"/>
    <x v="10"/>
    <x v="36"/>
    <x v="92"/>
    <x v="92"/>
    <x v="10"/>
    <s v="N"/>
    <s v="N"/>
    <x v="4"/>
    <x v="2"/>
    <x v="0"/>
    <x v="0"/>
    <m/>
    <m/>
    <s v="대리점"/>
    <x v="0"/>
    <x v="40"/>
    <x v="0"/>
    <x v="1187"/>
    <s v="HQ2637121312"/>
    <x v="0"/>
    <n v="1"/>
  </r>
  <r>
    <x v="1"/>
    <x v="2"/>
    <x v="10"/>
    <x v="36"/>
    <x v="92"/>
    <x v="92"/>
    <x v="10"/>
    <s v="N"/>
    <s v="N"/>
    <x v="4"/>
    <x v="2"/>
    <x v="0"/>
    <x v="0"/>
    <m/>
    <m/>
    <s v="대리점"/>
    <x v="0"/>
    <x v="40"/>
    <x v="0"/>
    <x v="1187"/>
    <s v="HQ2637121312"/>
    <x v="1"/>
    <n v="0"/>
  </r>
  <r>
    <x v="1"/>
    <x v="2"/>
    <x v="10"/>
    <x v="36"/>
    <x v="92"/>
    <x v="92"/>
    <x v="10"/>
    <s v="N"/>
    <s v="N"/>
    <x v="0"/>
    <x v="0"/>
    <x v="0"/>
    <x v="0"/>
    <s v="성인"/>
    <s v="성인"/>
    <s v="닷컴"/>
    <x v="2"/>
    <x v="2"/>
    <x v="0"/>
    <x v="1196"/>
    <s v="HP2637110300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닷컴"/>
    <x v="2"/>
    <x v="2"/>
    <x v="0"/>
    <x v="1196"/>
    <s v="HP2637110300"/>
    <x v="1"/>
    <n v="1644600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06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06"/>
    <x v="1"/>
    <n v="1599800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24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24"/>
    <x v="1"/>
    <n v="1599800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8"/>
    <s v="HP2637109410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8"/>
    <s v="HP2637109410"/>
    <x v="1"/>
    <n v="2779800"/>
  </r>
  <r>
    <x v="1"/>
    <x v="2"/>
    <x v="10"/>
    <x v="36"/>
    <x v="92"/>
    <x v="92"/>
    <x v="10"/>
    <s v="N"/>
    <s v="N"/>
    <x v="0"/>
    <x v="0"/>
    <x v="0"/>
    <x v="0"/>
    <s v="성인"/>
    <s v="성인"/>
    <s v="범용/상용닷컴"/>
    <x v="1"/>
    <x v="2"/>
    <x v="0"/>
    <x v="1199"/>
    <s v="HP2637109734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범용/상용닷컴"/>
    <x v="1"/>
    <x v="2"/>
    <x v="0"/>
    <x v="1199"/>
    <s v="HP2637109734"/>
    <x v="1"/>
    <n v="1959800"/>
  </r>
  <r>
    <x v="1"/>
    <x v="2"/>
    <x v="10"/>
    <x v="36"/>
    <x v="92"/>
    <x v="92"/>
    <x v="10"/>
    <s v="N"/>
    <s v="N"/>
    <x v="1"/>
    <x v="0"/>
    <x v="0"/>
    <x v="0"/>
    <s v="성인"/>
    <s v="성인"/>
    <s v="대리점"/>
    <x v="0"/>
    <x v="3"/>
    <x v="0"/>
    <x v="1200"/>
    <s v="HP2637111270"/>
    <x v="0"/>
    <n v="2"/>
  </r>
  <r>
    <x v="1"/>
    <x v="2"/>
    <x v="10"/>
    <x v="36"/>
    <x v="92"/>
    <x v="92"/>
    <x v="10"/>
    <s v="N"/>
    <s v="N"/>
    <x v="1"/>
    <x v="0"/>
    <x v="0"/>
    <x v="0"/>
    <s v="성인"/>
    <s v="성인"/>
    <s v="대리점"/>
    <x v="0"/>
    <x v="3"/>
    <x v="0"/>
    <x v="1200"/>
    <s v="HP2637111270"/>
    <x v="1"/>
    <n v="1841800"/>
  </r>
  <r>
    <x v="1"/>
    <x v="2"/>
    <x v="10"/>
    <x v="36"/>
    <x v="92"/>
    <x v="92"/>
    <x v="10"/>
    <s v="N"/>
    <s v="N"/>
    <x v="6"/>
    <x v="4"/>
    <x v="0"/>
    <x v="0"/>
    <s v="성인"/>
    <s v="성인"/>
    <s v="닷컴"/>
    <x v="2"/>
    <x v="13"/>
    <x v="0"/>
    <x v="1201"/>
    <s v="HU2637119086"/>
    <x v="0"/>
    <n v="4"/>
  </r>
  <r>
    <x v="1"/>
    <x v="2"/>
    <x v="10"/>
    <x v="36"/>
    <x v="92"/>
    <x v="92"/>
    <x v="10"/>
    <s v="N"/>
    <s v="N"/>
    <x v="6"/>
    <x v="4"/>
    <x v="0"/>
    <x v="0"/>
    <s v="성인"/>
    <s v="성인"/>
    <s v="닷컴"/>
    <x v="2"/>
    <x v="13"/>
    <x v="0"/>
    <x v="1201"/>
    <s v="HU2637119086"/>
    <x v="1"/>
    <n v="4412000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17"/>
    <x v="0"/>
    <x v="1028"/>
    <s v="HP2636775310"/>
    <x v="0"/>
    <n v="1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17"/>
    <x v="0"/>
    <x v="1028"/>
    <s v="HP2636775310"/>
    <x v="1"/>
    <n v="1155900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2"/>
    <x v="0"/>
    <x v="1202"/>
    <s v="HP2636837596"/>
    <x v="0"/>
    <n v="1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2"/>
    <x v="0"/>
    <x v="1202"/>
    <s v="HP2636837596"/>
    <x v="1"/>
    <n v="749900"/>
  </r>
  <r>
    <x v="1"/>
    <x v="2"/>
    <x v="10"/>
    <x v="37"/>
    <x v="93"/>
    <x v="93"/>
    <x v="0"/>
    <s v="N"/>
    <s v="N"/>
    <x v="0"/>
    <x v="0"/>
    <x v="0"/>
    <x v="0"/>
    <s v="성인"/>
    <s v="성인"/>
    <s v="범용/상용닷컴"/>
    <x v="1"/>
    <x v="2"/>
    <x v="0"/>
    <x v="1203"/>
    <s v="HP2636934228"/>
    <x v="0"/>
    <n v="3"/>
  </r>
  <r>
    <x v="1"/>
    <x v="2"/>
    <x v="10"/>
    <x v="37"/>
    <x v="93"/>
    <x v="93"/>
    <x v="0"/>
    <s v="N"/>
    <s v="N"/>
    <x v="0"/>
    <x v="0"/>
    <x v="0"/>
    <x v="0"/>
    <s v="성인"/>
    <s v="성인"/>
    <s v="범용/상용닷컴"/>
    <x v="1"/>
    <x v="2"/>
    <x v="0"/>
    <x v="1203"/>
    <s v="HP2636934228"/>
    <x v="1"/>
    <n v="2369700"/>
  </r>
  <r>
    <x v="1"/>
    <x v="2"/>
    <x v="10"/>
    <x v="37"/>
    <x v="93"/>
    <x v="93"/>
    <x v="0"/>
    <s v="N"/>
    <s v="N"/>
    <x v="0"/>
    <x v="0"/>
    <x v="0"/>
    <x v="0"/>
    <s v="아동"/>
    <s v="아동"/>
    <s v="범용/상용닷컴"/>
    <x v="1"/>
    <x v="2"/>
    <x v="0"/>
    <x v="1203"/>
    <s v="HP2636934228"/>
    <x v="0"/>
    <n v="1"/>
  </r>
  <r>
    <x v="1"/>
    <x v="2"/>
    <x v="10"/>
    <x v="37"/>
    <x v="93"/>
    <x v="93"/>
    <x v="0"/>
    <s v="N"/>
    <s v="N"/>
    <x v="0"/>
    <x v="0"/>
    <x v="0"/>
    <x v="0"/>
    <s v="아동"/>
    <s v="아동"/>
    <s v="범용/상용닷컴"/>
    <x v="1"/>
    <x v="2"/>
    <x v="0"/>
    <x v="1203"/>
    <s v="HP2636934228"/>
    <x v="1"/>
    <n v="789900"/>
  </r>
  <r>
    <x v="1"/>
    <x v="2"/>
    <x v="10"/>
    <x v="37"/>
    <x v="93"/>
    <x v="93"/>
    <x v="0"/>
    <s v="N"/>
    <s v="N"/>
    <x v="0"/>
    <x v="0"/>
    <x v="0"/>
    <x v="0"/>
    <m/>
    <m/>
    <s v="닷컴"/>
    <x v="5"/>
    <x v="2"/>
    <x v="1"/>
    <x v="1204"/>
    <s v="HP2636937856"/>
    <x v="0"/>
    <n v="0"/>
  </r>
  <r>
    <x v="1"/>
    <x v="2"/>
    <x v="10"/>
    <x v="37"/>
    <x v="93"/>
    <x v="93"/>
    <x v="0"/>
    <s v="N"/>
    <s v="N"/>
    <x v="0"/>
    <x v="0"/>
    <x v="0"/>
    <x v="0"/>
    <m/>
    <m/>
    <s v="닷컴"/>
    <x v="5"/>
    <x v="2"/>
    <x v="1"/>
    <x v="1204"/>
    <s v="HP2636937856"/>
    <x v="1"/>
    <n v="1805800"/>
  </r>
  <r>
    <x v="1"/>
    <x v="2"/>
    <x v="10"/>
    <x v="37"/>
    <x v="93"/>
    <x v="93"/>
    <x v="0"/>
    <s v="N"/>
    <s v="N"/>
    <x v="0"/>
    <x v="0"/>
    <x v="0"/>
    <x v="0"/>
    <m/>
    <m/>
    <s v="대리점"/>
    <x v="0"/>
    <x v="2"/>
    <x v="1"/>
    <x v="1205"/>
    <s v="HP2636925388"/>
    <x v="0"/>
    <n v="0"/>
  </r>
  <r>
    <x v="1"/>
    <x v="2"/>
    <x v="10"/>
    <x v="37"/>
    <x v="93"/>
    <x v="93"/>
    <x v="0"/>
    <s v="N"/>
    <s v="N"/>
    <x v="0"/>
    <x v="0"/>
    <x v="0"/>
    <x v="0"/>
    <m/>
    <m/>
    <s v="대리점"/>
    <x v="0"/>
    <x v="2"/>
    <x v="1"/>
    <x v="1205"/>
    <s v="HP2636925388"/>
    <x v="1"/>
    <n v="3159800"/>
  </r>
  <r>
    <x v="1"/>
    <x v="2"/>
    <x v="10"/>
    <x v="37"/>
    <x v="93"/>
    <x v="93"/>
    <x v="0"/>
    <s v="N"/>
    <s v="N"/>
    <x v="0"/>
    <x v="0"/>
    <x v="0"/>
    <x v="0"/>
    <m/>
    <m/>
    <s v="범용/상용닷컴"/>
    <x v="1"/>
    <x v="2"/>
    <x v="1"/>
    <x v="1203"/>
    <s v="HP2636933582"/>
    <x v="0"/>
    <n v="0"/>
  </r>
  <r>
    <x v="1"/>
    <x v="2"/>
    <x v="10"/>
    <x v="37"/>
    <x v="93"/>
    <x v="93"/>
    <x v="0"/>
    <s v="N"/>
    <s v="N"/>
    <x v="0"/>
    <x v="0"/>
    <x v="0"/>
    <x v="0"/>
    <m/>
    <m/>
    <s v="범용/상용닷컴"/>
    <x v="1"/>
    <x v="2"/>
    <x v="1"/>
    <x v="1203"/>
    <s v="HP2636933582"/>
    <x v="1"/>
    <n v="3159600"/>
  </r>
  <r>
    <x v="1"/>
    <x v="2"/>
    <x v="10"/>
    <x v="37"/>
    <x v="93"/>
    <x v="93"/>
    <x v="1"/>
    <s v="N"/>
    <s v="N"/>
    <x v="4"/>
    <x v="1"/>
    <x v="0"/>
    <x v="0"/>
    <s v="성인"/>
    <s v="성인"/>
    <s v="닷컴"/>
    <x v="5"/>
    <x v="12"/>
    <x v="0"/>
    <x v="1206"/>
    <s v="HB2636952284"/>
    <x v="0"/>
    <n v="5"/>
  </r>
  <r>
    <x v="1"/>
    <x v="2"/>
    <x v="10"/>
    <x v="37"/>
    <x v="93"/>
    <x v="93"/>
    <x v="1"/>
    <s v="N"/>
    <s v="N"/>
    <x v="4"/>
    <x v="1"/>
    <x v="0"/>
    <x v="0"/>
    <s v="성인"/>
    <s v="성인"/>
    <s v="닷컴"/>
    <x v="5"/>
    <x v="12"/>
    <x v="0"/>
    <x v="1206"/>
    <s v="HB2636952284"/>
    <x v="1"/>
    <n v="5795000"/>
  </r>
  <r>
    <x v="1"/>
    <x v="2"/>
    <x v="10"/>
    <x v="37"/>
    <x v="93"/>
    <x v="93"/>
    <x v="1"/>
    <s v="N"/>
    <s v="N"/>
    <x v="4"/>
    <x v="1"/>
    <x v="0"/>
    <x v="0"/>
    <m/>
    <m/>
    <s v="대리점"/>
    <x v="0"/>
    <x v="12"/>
    <x v="1"/>
    <x v="1207"/>
    <s v="HB2636945594"/>
    <x v="0"/>
    <n v="0"/>
  </r>
  <r>
    <x v="1"/>
    <x v="2"/>
    <x v="10"/>
    <x v="37"/>
    <x v="93"/>
    <x v="93"/>
    <x v="1"/>
    <s v="N"/>
    <s v="N"/>
    <x v="4"/>
    <x v="1"/>
    <x v="0"/>
    <x v="0"/>
    <m/>
    <m/>
    <s v="대리점"/>
    <x v="0"/>
    <x v="12"/>
    <x v="1"/>
    <x v="1207"/>
    <s v="HB2636945594"/>
    <x v="1"/>
    <n v="4679600"/>
  </r>
  <r>
    <x v="1"/>
    <x v="2"/>
    <x v="10"/>
    <x v="37"/>
    <x v="93"/>
    <x v="93"/>
    <x v="1"/>
    <s v="N"/>
    <s v="N"/>
    <x v="4"/>
    <x v="1"/>
    <x v="0"/>
    <x v="2"/>
    <s v="유아"/>
    <s v="유아"/>
    <s v="닷컴"/>
    <x v="5"/>
    <x v="12"/>
    <x v="0"/>
    <x v="1206"/>
    <s v="HB2636952284"/>
    <x v="0"/>
    <n v="1"/>
  </r>
  <r>
    <x v="1"/>
    <x v="2"/>
    <x v="10"/>
    <x v="37"/>
    <x v="93"/>
    <x v="93"/>
    <x v="1"/>
    <s v="N"/>
    <s v="N"/>
    <x v="4"/>
    <x v="1"/>
    <x v="0"/>
    <x v="2"/>
    <s v="유아"/>
    <s v="유아"/>
    <s v="닷컴"/>
    <x v="5"/>
    <x v="12"/>
    <x v="0"/>
    <x v="1206"/>
    <s v="HB2636952284"/>
    <x v="1"/>
    <n v="0"/>
  </r>
  <r>
    <x v="1"/>
    <x v="2"/>
    <x v="10"/>
    <x v="37"/>
    <x v="93"/>
    <x v="93"/>
    <x v="1"/>
    <s v="N"/>
    <s v="N"/>
    <x v="0"/>
    <x v="0"/>
    <x v="0"/>
    <x v="0"/>
    <s v="성인"/>
    <s v="성인"/>
    <s v="대리점"/>
    <x v="0"/>
    <x v="2"/>
    <x v="0"/>
    <x v="1208"/>
    <s v="HP2636944838"/>
    <x v="0"/>
    <n v="2"/>
  </r>
  <r>
    <x v="1"/>
    <x v="2"/>
    <x v="10"/>
    <x v="37"/>
    <x v="93"/>
    <x v="93"/>
    <x v="1"/>
    <s v="N"/>
    <s v="N"/>
    <x v="0"/>
    <x v="0"/>
    <x v="0"/>
    <x v="0"/>
    <s v="성인"/>
    <s v="성인"/>
    <s v="대리점"/>
    <x v="0"/>
    <x v="2"/>
    <x v="0"/>
    <x v="1208"/>
    <s v="HP2636944838"/>
    <x v="1"/>
    <n v="2739800"/>
  </r>
  <r>
    <x v="1"/>
    <x v="2"/>
    <x v="10"/>
    <x v="37"/>
    <x v="93"/>
    <x v="93"/>
    <x v="1"/>
    <s v="N"/>
    <s v="N"/>
    <x v="0"/>
    <x v="0"/>
    <x v="0"/>
    <x v="0"/>
    <m/>
    <m/>
    <s v="범용/상용닷컴"/>
    <x v="1"/>
    <x v="2"/>
    <x v="0"/>
    <x v="1203"/>
    <s v="HP2636950508"/>
    <x v="0"/>
    <n v="1"/>
  </r>
  <r>
    <x v="1"/>
    <x v="2"/>
    <x v="10"/>
    <x v="37"/>
    <x v="93"/>
    <x v="93"/>
    <x v="1"/>
    <s v="N"/>
    <s v="N"/>
    <x v="0"/>
    <x v="0"/>
    <x v="0"/>
    <x v="0"/>
    <m/>
    <m/>
    <s v="범용/상용닷컴"/>
    <x v="1"/>
    <x v="2"/>
    <x v="0"/>
    <x v="1203"/>
    <s v="HP2636950508"/>
    <x v="1"/>
    <n v="789900"/>
  </r>
  <r>
    <x v="1"/>
    <x v="2"/>
    <x v="10"/>
    <x v="37"/>
    <x v="93"/>
    <x v="93"/>
    <x v="1"/>
    <s v="N"/>
    <s v="N"/>
    <x v="1"/>
    <x v="0"/>
    <x v="0"/>
    <x v="0"/>
    <s v="성인"/>
    <s v="성인"/>
    <s v="대리점"/>
    <x v="0"/>
    <x v="2"/>
    <x v="0"/>
    <x v="1209"/>
    <s v="HP2636954858"/>
    <x v="0"/>
    <n v="2"/>
  </r>
  <r>
    <x v="1"/>
    <x v="2"/>
    <x v="10"/>
    <x v="37"/>
    <x v="93"/>
    <x v="93"/>
    <x v="1"/>
    <s v="N"/>
    <s v="N"/>
    <x v="1"/>
    <x v="0"/>
    <x v="0"/>
    <x v="0"/>
    <s v="성인"/>
    <s v="성인"/>
    <s v="대리점"/>
    <x v="0"/>
    <x v="2"/>
    <x v="0"/>
    <x v="1209"/>
    <s v="HP2636954858"/>
    <x v="1"/>
    <n v="2039800"/>
  </r>
  <r>
    <x v="1"/>
    <x v="2"/>
    <x v="10"/>
    <x v="37"/>
    <x v="93"/>
    <x v="93"/>
    <x v="1"/>
    <s v="N"/>
    <s v="N"/>
    <x v="2"/>
    <x v="0"/>
    <x v="0"/>
    <x v="0"/>
    <s v="성인"/>
    <s v="성인"/>
    <s v="닷컴"/>
    <x v="4"/>
    <x v="37"/>
    <x v="0"/>
    <x v="1210"/>
    <s v="HP2636958070"/>
    <x v="0"/>
    <n v="4"/>
  </r>
  <r>
    <x v="1"/>
    <x v="2"/>
    <x v="10"/>
    <x v="37"/>
    <x v="93"/>
    <x v="93"/>
    <x v="1"/>
    <s v="N"/>
    <s v="N"/>
    <x v="2"/>
    <x v="0"/>
    <x v="0"/>
    <x v="0"/>
    <s v="성인"/>
    <s v="성인"/>
    <s v="닷컴"/>
    <x v="4"/>
    <x v="37"/>
    <x v="0"/>
    <x v="1210"/>
    <s v="HP2636958070"/>
    <x v="1"/>
    <n v="5509600"/>
  </r>
  <r>
    <x v="1"/>
    <x v="2"/>
    <x v="10"/>
    <x v="37"/>
    <x v="93"/>
    <x v="93"/>
    <x v="1"/>
    <s v="N"/>
    <s v="N"/>
    <x v="2"/>
    <x v="0"/>
    <x v="0"/>
    <x v="0"/>
    <s v="성인"/>
    <s v="성인"/>
    <s v="범용/상용닷컴"/>
    <x v="1"/>
    <x v="23"/>
    <x v="0"/>
    <x v="1211"/>
    <s v="HP2636838048"/>
    <x v="0"/>
    <n v="1"/>
  </r>
  <r>
    <x v="1"/>
    <x v="2"/>
    <x v="10"/>
    <x v="37"/>
    <x v="93"/>
    <x v="93"/>
    <x v="1"/>
    <s v="N"/>
    <s v="N"/>
    <x v="2"/>
    <x v="0"/>
    <x v="0"/>
    <x v="0"/>
    <s v="성인"/>
    <s v="성인"/>
    <s v="범용/상용닷컴"/>
    <x v="1"/>
    <x v="23"/>
    <x v="0"/>
    <x v="1211"/>
    <s v="HP2636838048"/>
    <x v="1"/>
    <n v="1108900"/>
  </r>
  <r>
    <x v="1"/>
    <x v="2"/>
    <x v="10"/>
    <x v="37"/>
    <x v="93"/>
    <x v="93"/>
    <x v="2"/>
    <s v="Y"/>
    <s v="Y"/>
    <x v="0"/>
    <x v="0"/>
    <x v="0"/>
    <x v="0"/>
    <s v="성인"/>
    <s v="성인"/>
    <s v="닷컴"/>
    <x v="4"/>
    <x v="2"/>
    <x v="0"/>
    <x v="1212"/>
    <s v="HP2636964054"/>
    <x v="0"/>
    <n v="1"/>
  </r>
  <r>
    <x v="1"/>
    <x v="2"/>
    <x v="10"/>
    <x v="37"/>
    <x v="93"/>
    <x v="93"/>
    <x v="2"/>
    <s v="Y"/>
    <s v="Y"/>
    <x v="0"/>
    <x v="0"/>
    <x v="0"/>
    <x v="0"/>
    <s v="성인"/>
    <s v="성인"/>
    <s v="닷컴"/>
    <x v="4"/>
    <x v="2"/>
    <x v="0"/>
    <x v="1212"/>
    <s v="HP2636964054"/>
    <x v="1"/>
    <n v="1219900"/>
  </r>
  <r>
    <x v="1"/>
    <x v="2"/>
    <x v="10"/>
    <x v="37"/>
    <x v="93"/>
    <x v="93"/>
    <x v="2"/>
    <s v="Y"/>
    <s v="Y"/>
    <x v="0"/>
    <x v="0"/>
    <x v="0"/>
    <x v="0"/>
    <m/>
    <m/>
    <s v="닷컴"/>
    <x v="4"/>
    <x v="2"/>
    <x v="0"/>
    <x v="1212"/>
    <s v="HP2636964054"/>
    <x v="0"/>
    <n v="2"/>
  </r>
  <r>
    <x v="1"/>
    <x v="2"/>
    <x v="10"/>
    <x v="37"/>
    <x v="93"/>
    <x v="93"/>
    <x v="2"/>
    <s v="Y"/>
    <s v="Y"/>
    <x v="0"/>
    <x v="0"/>
    <x v="0"/>
    <x v="0"/>
    <m/>
    <m/>
    <s v="닷컴"/>
    <x v="4"/>
    <x v="2"/>
    <x v="0"/>
    <x v="1212"/>
    <s v="HP2636964054"/>
    <x v="1"/>
    <n v="2439800"/>
  </r>
  <r>
    <x v="1"/>
    <x v="2"/>
    <x v="10"/>
    <x v="37"/>
    <x v="93"/>
    <x v="93"/>
    <x v="11"/>
    <s v="Y"/>
    <s v="N"/>
    <x v="0"/>
    <x v="0"/>
    <x v="0"/>
    <x v="0"/>
    <s v="성인"/>
    <s v="성인"/>
    <s v="닷컴"/>
    <x v="5"/>
    <x v="2"/>
    <x v="0"/>
    <x v="1213"/>
    <s v="HP2636973634"/>
    <x v="0"/>
    <n v="2"/>
  </r>
  <r>
    <x v="1"/>
    <x v="2"/>
    <x v="10"/>
    <x v="37"/>
    <x v="93"/>
    <x v="93"/>
    <x v="11"/>
    <s v="Y"/>
    <s v="N"/>
    <x v="0"/>
    <x v="0"/>
    <x v="0"/>
    <x v="0"/>
    <s v="성인"/>
    <s v="성인"/>
    <s v="닷컴"/>
    <x v="5"/>
    <x v="2"/>
    <x v="0"/>
    <x v="1213"/>
    <s v="HP2636973634"/>
    <x v="1"/>
    <n v="358000"/>
  </r>
  <r>
    <x v="1"/>
    <x v="2"/>
    <x v="10"/>
    <x v="37"/>
    <x v="93"/>
    <x v="93"/>
    <x v="3"/>
    <s v="N"/>
    <s v="Y"/>
    <x v="0"/>
    <x v="0"/>
    <x v="0"/>
    <x v="0"/>
    <s v="성인"/>
    <s v="성인"/>
    <s v="닷컴"/>
    <x v="4"/>
    <x v="2"/>
    <x v="0"/>
    <x v="1214"/>
    <s v="HP2636991274"/>
    <x v="0"/>
    <n v="2"/>
  </r>
  <r>
    <x v="1"/>
    <x v="2"/>
    <x v="10"/>
    <x v="37"/>
    <x v="93"/>
    <x v="93"/>
    <x v="3"/>
    <s v="N"/>
    <s v="Y"/>
    <x v="0"/>
    <x v="0"/>
    <x v="0"/>
    <x v="0"/>
    <s v="성인"/>
    <s v="성인"/>
    <s v="닷컴"/>
    <x v="4"/>
    <x v="2"/>
    <x v="0"/>
    <x v="1214"/>
    <s v="HP2636991274"/>
    <x v="1"/>
    <n v="1608000"/>
  </r>
  <r>
    <x v="1"/>
    <x v="2"/>
    <x v="10"/>
    <x v="37"/>
    <x v="93"/>
    <x v="93"/>
    <x v="3"/>
    <s v="N"/>
    <s v="Y"/>
    <x v="0"/>
    <x v="0"/>
    <x v="0"/>
    <x v="0"/>
    <m/>
    <m/>
    <s v="닷컴"/>
    <x v="5"/>
    <x v="2"/>
    <x v="1"/>
    <x v="1215"/>
    <s v="HP2636982836"/>
    <x v="0"/>
    <n v="0"/>
  </r>
  <r>
    <x v="1"/>
    <x v="2"/>
    <x v="10"/>
    <x v="37"/>
    <x v="93"/>
    <x v="93"/>
    <x v="3"/>
    <s v="N"/>
    <s v="Y"/>
    <x v="0"/>
    <x v="0"/>
    <x v="0"/>
    <x v="0"/>
    <m/>
    <m/>
    <s v="닷컴"/>
    <x v="5"/>
    <x v="2"/>
    <x v="1"/>
    <x v="1215"/>
    <s v="HP2636982836"/>
    <x v="1"/>
    <n v="250900"/>
  </r>
  <r>
    <x v="1"/>
    <x v="2"/>
    <x v="10"/>
    <x v="37"/>
    <x v="93"/>
    <x v="93"/>
    <x v="3"/>
    <s v="N"/>
    <s v="Y"/>
    <x v="1"/>
    <x v="0"/>
    <x v="0"/>
    <x v="0"/>
    <m/>
    <m/>
    <s v="대리점"/>
    <x v="0"/>
    <x v="2"/>
    <x v="0"/>
    <x v="1216"/>
    <s v="HP2636987444"/>
    <x v="0"/>
    <n v="4"/>
  </r>
  <r>
    <x v="1"/>
    <x v="2"/>
    <x v="10"/>
    <x v="37"/>
    <x v="93"/>
    <x v="93"/>
    <x v="3"/>
    <s v="N"/>
    <s v="Y"/>
    <x v="1"/>
    <x v="0"/>
    <x v="0"/>
    <x v="0"/>
    <m/>
    <m/>
    <s v="대리점"/>
    <x v="0"/>
    <x v="2"/>
    <x v="0"/>
    <x v="1216"/>
    <s v="HP2636987444"/>
    <x v="1"/>
    <n v="8319600"/>
  </r>
  <r>
    <x v="1"/>
    <x v="2"/>
    <x v="10"/>
    <x v="37"/>
    <x v="93"/>
    <x v="93"/>
    <x v="4"/>
    <s v="N"/>
    <s v="N"/>
    <x v="0"/>
    <x v="0"/>
    <x v="0"/>
    <x v="0"/>
    <s v="성인"/>
    <s v="성인"/>
    <s v="닷컴"/>
    <x v="4"/>
    <x v="2"/>
    <x v="0"/>
    <x v="1217"/>
    <s v="HP2637000962"/>
    <x v="0"/>
    <n v="3"/>
  </r>
  <r>
    <x v="1"/>
    <x v="2"/>
    <x v="10"/>
    <x v="37"/>
    <x v="93"/>
    <x v="93"/>
    <x v="4"/>
    <s v="N"/>
    <s v="N"/>
    <x v="0"/>
    <x v="0"/>
    <x v="0"/>
    <x v="0"/>
    <s v="성인"/>
    <s v="성인"/>
    <s v="닷컴"/>
    <x v="4"/>
    <x v="2"/>
    <x v="0"/>
    <x v="1217"/>
    <s v="HP2637000962"/>
    <x v="1"/>
    <n v="2099700"/>
  </r>
  <r>
    <x v="1"/>
    <x v="2"/>
    <x v="10"/>
    <x v="37"/>
    <x v="93"/>
    <x v="93"/>
    <x v="4"/>
    <s v="N"/>
    <s v="N"/>
    <x v="0"/>
    <x v="0"/>
    <x v="0"/>
    <x v="0"/>
    <m/>
    <m/>
    <s v="닷컴"/>
    <x v="4"/>
    <x v="2"/>
    <x v="1"/>
    <x v="1218"/>
    <s v="HP2637020204"/>
    <x v="0"/>
    <n v="0"/>
  </r>
  <r>
    <x v="1"/>
    <x v="2"/>
    <x v="10"/>
    <x v="37"/>
    <x v="93"/>
    <x v="93"/>
    <x v="4"/>
    <s v="N"/>
    <s v="N"/>
    <x v="0"/>
    <x v="0"/>
    <x v="0"/>
    <x v="0"/>
    <m/>
    <m/>
    <s v="닷컴"/>
    <x v="4"/>
    <x v="2"/>
    <x v="1"/>
    <x v="1218"/>
    <s v="HP2637020204"/>
    <x v="1"/>
    <n v="4639600"/>
  </r>
  <r>
    <x v="1"/>
    <x v="2"/>
    <x v="10"/>
    <x v="37"/>
    <x v="93"/>
    <x v="93"/>
    <x v="4"/>
    <s v="N"/>
    <s v="N"/>
    <x v="2"/>
    <x v="0"/>
    <x v="0"/>
    <x v="0"/>
    <s v="성인"/>
    <s v="성인"/>
    <s v="닷컴"/>
    <x v="4"/>
    <x v="9"/>
    <x v="0"/>
    <x v="1219"/>
    <s v="HP2637013814"/>
    <x v="0"/>
    <n v="2"/>
  </r>
  <r>
    <x v="1"/>
    <x v="2"/>
    <x v="10"/>
    <x v="37"/>
    <x v="93"/>
    <x v="93"/>
    <x v="4"/>
    <s v="N"/>
    <s v="N"/>
    <x v="2"/>
    <x v="0"/>
    <x v="0"/>
    <x v="0"/>
    <s v="성인"/>
    <s v="성인"/>
    <s v="닷컴"/>
    <x v="4"/>
    <x v="9"/>
    <x v="0"/>
    <x v="1219"/>
    <s v="HP2637013814"/>
    <x v="1"/>
    <n v="1799800"/>
  </r>
  <r>
    <x v="1"/>
    <x v="2"/>
    <x v="10"/>
    <x v="37"/>
    <x v="93"/>
    <x v="93"/>
    <x v="5"/>
    <s v="N"/>
    <s v="N"/>
    <x v="0"/>
    <x v="0"/>
    <x v="0"/>
    <x v="0"/>
    <s v="성인"/>
    <s v="성인"/>
    <s v="닷컴"/>
    <x v="4"/>
    <x v="2"/>
    <x v="0"/>
    <x v="1220"/>
    <s v="HP2637033948"/>
    <x v="0"/>
    <n v="2"/>
  </r>
  <r>
    <x v="1"/>
    <x v="2"/>
    <x v="10"/>
    <x v="37"/>
    <x v="93"/>
    <x v="93"/>
    <x v="5"/>
    <s v="N"/>
    <s v="N"/>
    <x v="0"/>
    <x v="0"/>
    <x v="0"/>
    <x v="0"/>
    <s v="성인"/>
    <s v="성인"/>
    <s v="닷컴"/>
    <x v="4"/>
    <x v="2"/>
    <x v="0"/>
    <x v="1220"/>
    <s v="HP2637033948"/>
    <x v="1"/>
    <n v="1513800"/>
  </r>
  <r>
    <x v="1"/>
    <x v="2"/>
    <x v="10"/>
    <x v="37"/>
    <x v="93"/>
    <x v="93"/>
    <x v="5"/>
    <s v="N"/>
    <s v="N"/>
    <x v="0"/>
    <x v="0"/>
    <x v="0"/>
    <x v="0"/>
    <s v="아동"/>
    <s v="아동"/>
    <s v="닷컴"/>
    <x v="4"/>
    <x v="2"/>
    <x v="0"/>
    <x v="1220"/>
    <s v="HP2637033948"/>
    <x v="0"/>
    <n v="1"/>
  </r>
  <r>
    <x v="1"/>
    <x v="2"/>
    <x v="10"/>
    <x v="37"/>
    <x v="93"/>
    <x v="93"/>
    <x v="5"/>
    <s v="N"/>
    <s v="N"/>
    <x v="0"/>
    <x v="0"/>
    <x v="0"/>
    <x v="0"/>
    <s v="아동"/>
    <s v="아동"/>
    <s v="닷컴"/>
    <x v="4"/>
    <x v="2"/>
    <x v="0"/>
    <x v="1220"/>
    <s v="HP2637033948"/>
    <x v="1"/>
    <n v="756900"/>
  </r>
  <r>
    <x v="1"/>
    <x v="2"/>
    <x v="10"/>
    <x v="37"/>
    <x v="93"/>
    <x v="93"/>
    <x v="5"/>
    <s v="N"/>
    <s v="N"/>
    <x v="0"/>
    <x v="0"/>
    <x v="0"/>
    <x v="1"/>
    <s v="아동"/>
    <s v="아동"/>
    <s v="닷컴"/>
    <x v="4"/>
    <x v="2"/>
    <x v="0"/>
    <x v="1220"/>
    <s v="HP2637033948"/>
    <x v="0"/>
    <n v="1"/>
  </r>
  <r>
    <x v="1"/>
    <x v="2"/>
    <x v="10"/>
    <x v="37"/>
    <x v="93"/>
    <x v="93"/>
    <x v="5"/>
    <s v="N"/>
    <s v="N"/>
    <x v="0"/>
    <x v="0"/>
    <x v="0"/>
    <x v="1"/>
    <s v="아동"/>
    <s v="아동"/>
    <s v="닷컴"/>
    <x v="4"/>
    <x v="2"/>
    <x v="0"/>
    <x v="1220"/>
    <s v="HP2637033948"/>
    <x v="1"/>
    <n v="756900"/>
  </r>
  <r>
    <x v="1"/>
    <x v="2"/>
    <x v="10"/>
    <x v="37"/>
    <x v="93"/>
    <x v="93"/>
    <x v="5"/>
    <s v="N"/>
    <s v="N"/>
    <x v="0"/>
    <x v="0"/>
    <x v="0"/>
    <x v="1"/>
    <s v="유아"/>
    <s v="유아"/>
    <s v="닷컴"/>
    <x v="4"/>
    <x v="2"/>
    <x v="0"/>
    <x v="1220"/>
    <s v="HP2637033948"/>
    <x v="0"/>
    <n v="1"/>
  </r>
  <r>
    <x v="1"/>
    <x v="2"/>
    <x v="10"/>
    <x v="37"/>
    <x v="93"/>
    <x v="93"/>
    <x v="5"/>
    <s v="N"/>
    <s v="N"/>
    <x v="0"/>
    <x v="0"/>
    <x v="0"/>
    <x v="1"/>
    <s v="유아"/>
    <s v="유아"/>
    <s v="닷컴"/>
    <x v="4"/>
    <x v="2"/>
    <x v="0"/>
    <x v="1220"/>
    <s v="HP2637033948"/>
    <x v="1"/>
    <n v="756900"/>
  </r>
  <r>
    <x v="1"/>
    <x v="2"/>
    <x v="10"/>
    <x v="37"/>
    <x v="93"/>
    <x v="93"/>
    <x v="5"/>
    <s v="N"/>
    <s v="N"/>
    <x v="2"/>
    <x v="0"/>
    <x v="0"/>
    <x v="0"/>
    <s v="성인"/>
    <s v="성인"/>
    <s v="닷컴"/>
    <x v="4"/>
    <x v="2"/>
    <x v="0"/>
    <x v="1221"/>
    <s v="HP2637041316"/>
    <x v="0"/>
    <n v="2"/>
  </r>
  <r>
    <x v="1"/>
    <x v="2"/>
    <x v="10"/>
    <x v="37"/>
    <x v="93"/>
    <x v="93"/>
    <x v="5"/>
    <s v="N"/>
    <s v="N"/>
    <x v="2"/>
    <x v="0"/>
    <x v="0"/>
    <x v="0"/>
    <s v="성인"/>
    <s v="성인"/>
    <s v="닷컴"/>
    <x v="4"/>
    <x v="2"/>
    <x v="0"/>
    <x v="1221"/>
    <s v="HP2637041316"/>
    <x v="1"/>
    <n v="4461800"/>
  </r>
  <r>
    <x v="1"/>
    <x v="2"/>
    <x v="10"/>
    <x v="37"/>
    <x v="93"/>
    <x v="93"/>
    <x v="6"/>
    <s v="N"/>
    <s v="N"/>
    <x v="4"/>
    <x v="1"/>
    <x v="0"/>
    <x v="0"/>
    <s v="성인"/>
    <s v="성인"/>
    <s v="닷컴"/>
    <x v="4"/>
    <x v="12"/>
    <x v="0"/>
    <x v="1222"/>
    <s v="HB2637064066"/>
    <x v="0"/>
    <n v="2"/>
  </r>
  <r>
    <x v="1"/>
    <x v="2"/>
    <x v="10"/>
    <x v="37"/>
    <x v="93"/>
    <x v="93"/>
    <x v="6"/>
    <s v="N"/>
    <s v="N"/>
    <x v="4"/>
    <x v="1"/>
    <x v="0"/>
    <x v="0"/>
    <s v="성인"/>
    <s v="성인"/>
    <s v="닷컴"/>
    <x v="4"/>
    <x v="12"/>
    <x v="0"/>
    <x v="1222"/>
    <s v="HB2637064066"/>
    <x v="1"/>
    <n v="779800"/>
  </r>
  <r>
    <x v="1"/>
    <x v="2"/>
    <x v="10"/>
    <x v="37"/>
    <x v="93"/>
    <x v="93"/>
    <x v="6"/>
    <s v="N"/>
    <s v="N"/>
    <x v="0"/>
    <x v="0"/>
    <x v="0"/>
    <x v="0"/>
    <s v="성인"/>
    <s v="성인"/>
    <s v="닷컴"/>
    <x v="4"/>
    <x v="2"/>
    <x v="0"/>
    <x v="998"/>
    <s v="HP2637051150"/>
    <x v="0"/>
    <n v="2"/>
  </r>
  <r>
    <x v="1"/>
    <x v="2"/>
    <x v="10"/>
    <x v="37"/>
    <x v="93"/>
    <x v="93"/>
    <x v="6"/>
    <s v="N"/>
    <s v="N"/>
    <x v="0"/>
    <x v="0"/>
    <x v="0"/>
    <x v="0"/>
    <s v="성인"/>
    <s v="성인"/>
    <s v="닷컴"/>
    <x v="4"/>
    <x v="2"/>
    <x v="0"/>
    <x v="998"/>
    <s v="HP2637051150"/>
    <x v="1"/>
    <n v="1539800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25"/>
    <s v="HP2637053172"/>
    <x v="0"/>
    <n v="7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25"/>
    <s v="HP2637053172"/>
    <x v="1"/>
    <n v="1315300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1223"/>
    <s v="HP2637056514"/>
    <x v="0"/>
    <n v="6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1223"/>
    <s v="HP2637056514"/>
    <x v="1"/>
    <n v="3000000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0"/>
    <x v="1223"/>
    <s v="HP2637056514"/>
    <x v="0"/>
    <n v="1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0"/>
    <x v="1223"/>
    <s v="HP2637056514"/>
    <x v="1"/>
    <n v="500000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1"/>
    <x v="1224"/>
    <s v="HP2637058452"/>
    <x v="0"/>
    <n v="0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1"/>
    <x v="1224"/>
    <s v="HP2637058452"/>
    <x v="1"/>
    <n v="1279900"/>
  </r>
  <r>
    <x v="1"/>
    <x v="2"/>
    <x v="10"/>
    <x v="37"/>
    <x v="93"/>
    <x v="93"/>
    <x v="6"/>
    <s v="N"/>
    <s v="N"/>
    <x v="0"/>
    <x v="0"/>
    <x v="0"/>
    <x v="1"/>
    <s v="아동"/>
    <s v="아동"/>
    <s v="대리점"/>
    <x v="0"/>
    <x v="2"/>
    <x v="0"/>
    <x v="25"/>
    <s v="HP2637053172"/>
    <x v="0"/>
    <n v="3"/>
  </r>
  <r>
    <x v="1"/>
    <x v="2"/>
    <x v="10"/>
    <x v="37"/>
    <x v="93"/>
    <x v="93"/>
    <x v="6"/>
    <s v="N"/>
    <s v="N"/>
    <x v="0"/>
    <x v="0"/>
    <x v="0"/>
    <x v="1"/>
    <s v="아동"/>
    <s v="아동"/>
    <s v="대리점"/>
    <x v="0"/>
    <x v="2"/>
    <x v="0"/>
    <x v="25"/>
    <s v="HP2637053172"/>
    <x v="1"/>
    <n v="1163700"/>
  </r>
  <r>
    <x v="1"/>
    <x v="2"/>
    <x v="10"/>
    <x v="37"/>
    <x v="93"/>
    <x v="93"/>
    <x v="6"/>
    <s v="N"/>
    <s v="N"/>
    <x v="0"/>
    <x v="0"/>
    <x v="0"/>
    <x v="1"/>
    <s v="유아"/>
    <s v="유아"/>
    <s v="닷컴"/>
    <x v="4"/>
    <x v="2"/>
    <x v="0"/>
    <x v="998"/>
    <s v="HP2637051150"/>
    <x v="0"/>
    <n v="1"/>
  </r>
  <r>
    <x v="1"/>
    <x v="2"/>
    <x v="10"/>
    <x v="37"/>
    <x v="93"/>
    <x v="93"/>
    <x v="6"/>
    <s v="N"/>
    <s v="N"/>
    <x v="0"/>
    <x v="0"/>
    <x v="0"/>
    <x v="1"/>
    <s v="유아"/>
    <s v="유아"/>
    <s v="닷컴"/>
    <x v="4"/>
    <x v="2"/>
    <x v="0"/>
    <x v="998"/>
    <s v="HP2637051150"/>
    <x v="1"/>
    <n v="769900"/>
  </r>
  <r>
    <x v="1"/>
    <x v="2"/>
    <x v="10"/>
    <x v="37"/>
    <x v="93"/>
    <x v="93"/>
    <x v="6"/>
    <s v="N"/>
    <s v="N"/>
    <x v="1"/>
    <x v="0"/>
    <x v="0"/>
    <x v="0"/>
    <m/>
    <m/>
    <s v="대리점"/>
    <x v="0"/>
    <x v="4"/>
    <x v="1"/>
    <x v="839"/>
    <s v="HP2637054936"/>
    <x v="0"/>
    <n v="0"/>
  </r>
  <r>
    <x v="1"/>
    <x v="2"/>
    <x v="10"/>
    <x v="37"/>
    <x v="93"/>
    <x v="93"/>
    <x v="6"/>
    <s v="N"/>
    <s v="N"/>
    <x v="1"/>
    <x v="0"/>
    <x v="0"/>
    <x v="0"/>
    <m/>
    <m/>
    <s v="대리점"/>
    <x v="0"/>
    <x v="4"/>
    <x v="1"/>
    <x v="839"/>
    <s v="HP2637054936"/>
    <x v="1"/>
    <n v="12798000"/>
  </r>
  <r>
    <x v="1"/>
    <x v="2"/>
    <x v="10"/>
    <x v="37"/>
    <x v="93"/>
    <x v="93"/>
    <x v="8"/>
    <s v="Y"/>
    <s v="N"/>
    <x v="0"/>
    <x v="0"/>
    <x v="0"/>
    <x v="0"/>
    <s v="성인"/>
    <s v="성인"/>
    <s v="대리점"/>
    <x v="0"/>
    <x v="2"/>
    <x v="0"/>
    <x v="1224"/>
    <s v="HP2637085960"/>
    <x v="0"/>
    <n v="2"/>
  </r>
  <r>
    <x v="1"/>
    <x v="2"/>
    <x v="10"/>
    <x v="37"/>
    <x v="93"/>
    <x v="93"/>
    <x v="8"/>
    <s v="Y"/>
    <s v="N"/>
    <x v="0"/>
    <x v="0"/>
    <x v="0"/>
    <x v="0"/>
    <s v="성인"/>
    <s v="성인"/>
    <s v="대리점"/>
    <x v="0"/>
    <x v="2"/>
    <x v="0"/>
    <x v="1224"/>
    <s v="HP2637085960"/>
    <x v="1"/>
    <n v="2559800"/>
  </r>
  <r>
    <x v="1"/>
    <x v="2"/>
    <x v="10"/>
    <x v="37"/>
    <x v="93"/>
    <x v="93"/>
    <x v="8"/>
    <s v="Y"/>
    <s v="N"/>
    <x v="0"/>
    <x v="0"/>
    <x v="0"/>
    <x v="0"/>
    <m/>
    <m/>
    <s v="닷컴"/>
    <x v="4"/>
    <x v="14"/>
    <x v="1"/>
    <x v="1225"/>
    <s v="HP2637092420"/>
    <x v="0"/>
    <n v="0"/>
  </r>
  <r>
    <x v="1"/>
    <x v="2"/>
    <x v="10"/>
    <x v="37"/>
    <x v="93"/>
    <x v="93"/>
    <x v="8"/>
    <s v="Y"/>
    <s v="N"/>
    <x v="0"/>
    <x v="0"/>
    <x v="0"/>
    <x v="0"/>
    <m/>
    <m/>
    <s v="닷컴"/>
    <x v="4"/>
    <x v="14"/>
    <x v="1"/>
    <x v="1225"/>
    <s v="HP2637092420"/>
    <x v="1"/>
    <n v="858000"/>
  </r>
  <r>
    <x v="1"/>
    <x v="2"/>
    <x v="10"/>
    <x v="37"/>
    <x v="93"/>
    <x v="93"/>
    <x v="8"/>
    <s v="Y"/>
    <s v="N"/>
    <x v="1"/>
    <x v="0"/>
    <x v="0"/>
    <x v="0"/>
    <m/>
    <m/>
    <s v="닷컴"/>
    <x v="4"/>
    <x v="2"/>
    <x v="0"/>
    <x v="1226"/>
    <s v="HP2637078546"/>
    <x v="0"/>
    <n v="2"/>
  </r>
  <r>
    <x v="1"/>
    <x v="2"/>
    <x v="10"/>
    <x v="37"/>
    <x v="93"/>
    <x v="93"/>
    <x v="8"/>
    <s v="Y"/>
    <s v="N"/>
    <x v="1"/>
    <x v="0"/>
    <x v="0"/>
    <x v="0"/>
    <m/>
    <m/>
    <s v="닷컴"/>
    <x v="4"/>
    <x v="2"/>
    <x v="0"/>
    <x v="1226"/>
    <s v="HP2637078546"/>
    <x v="1"/>
    <n v="2599800"/>
  </r>
  <r>
    <x v="1"/>
    <x v="2"/>
    <x v="10"/>
    <x v="37"/>
    <x v="93"/>
    <x v="93"/>
    <x v="9"/>
    <s v="Y"/>
    <s v="N"/>
    <x v="0"/>
    <x v="0"/>
    <x v="0"/>
    <x v="0"/>
    <m/>
    <m/>
    <s v="대리점"/>
    <x v="0"/>
    <x v="2"/>
    <x v="0"/>
    <x v="1227"/>
    <s v="HP2637099014"/>
    <x v="0"/>
    <n v="6"/>
  </r>
  <r>
    <x v="1"/>
    <x v="2"/>
    <x v="10"/>
    <x v="37"/>
    <x v="93"/>
    <x v="93"/>
    <x v="9"/>
    <s v="Y"/>
    <s v="N"/>
    <x v="0"/>
    <x v="0"/>
    <x v="0"/>
    <x v="0"/>
    <m/>
    <m/>
    <s v="대리점"/>
    <x v="0"/>
    <x v="2"/>
    <x v="0"/>
    <x v="1227"/>
    <s v="HP2637099014"/>
    <x v="1"/>
    <n v="7919400"/>
  </r>
  <r>
    <x v="1"/>
    <x v="2"/>
    <x v="10"/>
    <x v="37"/>
    <x v="93"/>
    <x v="93"/>
    <x v="9"/>
    <s v="Y"/>
    <s v="N"/>
    <x v="0"/>
    <x v="0"/>
    <x v="0"/>
    <x v="1"/>
    <m/>
    <m/>
    <s v="대리점"/>
    <x v="0"/>
    <x v="2"/>
    <x v="0"/>
    <x v="1227"/>
    <s v="HP2637099014"/>
    <x v="0"/>
    <n v="4"/>
  </r>
  <r>
    <x v="1"/>
    <x v="2"/>
    <x v="10"/>
    <x v="37"/>
    <x v="93"/>
    <x v="93"/>
    <x v="9"/>
    <s v="Y"/>
    <s v="N"/>
    <x v="0"/>
    <x v="0"/>
    <x v="0"/>
    <x v="1"/>
    <m/>
    <m/>
    <s v="대리점"/>
    <x v="0"/>
    <x v="2"/>
    <x v="0"/>
    <x v="1227"/>
    <s v="HP2637099014"/>
    <x v="1"/>
    <n v="5679600"/>
  </r>
  <r>
    <x v="1"/>
    <x v="2"/>
    <x v="10"/>
    <x v="37"/>
    <x v="93"/>
    <x v="93"/>
    <x v="9"/>
    <s v="Y"/>
    <s v="N"/>
    <x v="1"/>
    <x v="0"/>
    <x v="0"/>
    <x v="0"/>
    <m/>
    <m/>
    <s v="대리점"/>
    <x v="0"/>
    <x v="2"/>
    <x v="0"/>
    <x v="1228"/>
    <s v="HP2637096540"/>
    <x v="0"/>
    <n v="2"/>
  </r>
  <r>
    <x v="1"/>
    <x v="2"/>
    <x v="10"/>
    <x v="37"/>
    <x v="93"/>
    <x v="93"/>
    <x v="9"/>
    <s v="Y"/>
    <s v="N"/>
    <x v="1"/>
    <x v="0"/>
    <x v="0"/>
    <x v="0"/>
    <m/>
    <m/>
    <s v="대리점"/>
    <x v="0"/>
    <x v="2"/>
    <x v="0"/>
    <x v="1228"/>
    <s v="HP2637096540"/>
    <x v="1"/>
    <n v="2518000"/>
  </r>
  <r>
    <x v="1"/>
    <x v="2"/>
    <x v="10"/>
    <x v="37"/>
    <x v="93"/>
    <x v="93"/>
    <x v="10"/>
    <s v="N"/>
    <s v="N"/>
    <x v="0"/>
    <x v="0"/>
    <x v="0"/>
    <x v="0"/>
    <s v="성인"/>
    <s v="성인"/>
    <s v="닷컴"/>
    <x v="4"/>
    <x v="2"/>
    <x v="0"/>
    <x v="1229"/>
    <s v="HP2637104508"/>
    <x v="0"/>
    <n v="2"/>
  </r>
  <r>
    <x v="1"/>
    <x v="2"/>
    <x v="10"/>
    <x v="37"/>
    <x v="93"/>
    <x v="93"/>
    <x v="10"/>
    <s v="N"/>
    <s v="N"/>
    <x v="0"/>
    <x v="0"/>
    <x v="0"/>
    <x v="0"/>
    <s v="성인"/>
    <s v="성인"/>
    <s v="닷컴"/>
    <x v="4"/>
    <x v="2"/>
    <x v="0"/>
    <x v="1229"/>
    <s v="HP2637104508"/>
    <x v="1"/>
    <n v="375800"/>
  </r>
  <r>
    <x v="1"/>
    <x v="2"/>
    <x v="10"/>
    <x v="37"/>
    <x v="93"/>
    <x v="93"/>
    <x v="10"/>
    <s v="N"/>
    <s v="N"/>
    <x v="1"/>
    <x v="0"/>
    <x v="0"/>
    <x v="0"/>
    <m/>
    <m/>
    <s v="닷컴"/>
    <x v="4"/>
    <x v="2"/>
    <x v="0"/>
    <x v="1230"/>
    <s v="HP2637116176"/>
    <x v="0"/>
    <n v="2"/>
  </r>
  <r>
    <x v="1"/>
    <x v="2"/>
    <x v="10"/>
    <x v="37"/>
    <x v="93"/>
    <x v="93"/>
    <x v="10"/>
    <s v="N"/>
    <s v="N"/>
    <x v="1"/>
    <x v="0"/>
    <x v="0"/>
    <x v="0"/>
    <m/>
    <m/>
    <s v="닷컴"/>
    <x v="4"/>
    <x v="2"/>
    <x v="0"/>
    <x v="1230"/>
    <s v="HP2637116176"/>
    <x v="1"/>
    <n v="2476000"/>
  </r>
  <r>
    <x v="1"/>
    <x v="2"/>
    <x v="10"/>
    <x v="37"/>
    <x v="93"/>
    <x v="93"/>
    <x v="10"/>
    <s v="N"/>
    <s v="N"/>
    <x v="2"/>
    <x v="0"/>
    <x v="0"/>
    <x v="0"/>
    <s v="성인"/>
    <s v="성인"/>
    <s v="닷컴"/>
    <x v="4"/>
    <x v="37"/>
    <x v="0"/>
    <x v="1231"/>
    <s v="HP2637108054"/>
    <x v="0"/>
    <n v="2"/>
  </r>
  <r>
    <x v="1"/>
    <x v="2"/>
    <x v="10"/>
    <x v="37"/>
    <x v="93"/>
    <x v="93"/>
    <x v="10"/>
    <s v="N"/>
    <s v="N"/>
    <x v="2"/>
    <x v="0"/>
    <x v="0"/>
    <x v="0"/>
    <s v="성인"/>
    <s v="성인"/>
    <s v="닷컴"/>
    <x v="4"/>
    <x v="37"/>
    <x v="0"/>
    <x v="1231"/>
    <s v="HP2637108054"/>
    <x v="1"/>
    <n v="2799800"/>
  </r>
  <r>
    <x v="1"/>
    <x v="2"/>
    <x v="10"/>
    <x v="38"/>
    <x v="94"/>
    <x v="94"/>
    <x v="0"/>
    <s v="N"/>
    <s v="N"/>
    <x v="0"/>
    <x v="0"/>
    <x v="0"/>
    <x v="0"/>
    <s v="성인"/>
    <s v="성인"/>
    <s v="대리점"/>
    <x v="0"/>
    <x v="25"/>
    <x v="0"/>
    <x v="1232"/>
    <s v="HP2636922688"/>
    <x v="0"/>
    <n v="2"/>
  </r>
  <r>
    <x v="1"/>
    <x v="2"/>
    <x v="10"/>
    <x v="38"/>
    <x v="94"/>
    <x v="94"/>
    <x v="0"/>
    <s v="N"/>
    <s v="N"/>
    <x v="0"/>
    <x v="0"/>
    <x v="0"/>
    <x v="0"/>
    <s v="성인"/>
    <s v="성인"/>
    <s v="대리점"/>
    <x v="0"/>
    <x v="25"/>
    <x v="0"/>
    <x v="1232"/>
    <s v="HP2636922688"/>
    <x v="1"/>
    <n v="119800"/>
  </r>
  <r>
    <x v="1"/>
    <x v="2"/>
    <x v="10"/>
    <x v="38"/>
    <x v="94"/>
    <x v="94"/>
    <x v="11"/>
    <s v="Y"/>
    <s v="N"/>
    <x v="0"/>
    <x v="0"/>
    <x v="0"/>
    <x v="0"/>
    <s v="성인"/>
    <s v="성인"/>
    <s v="대리점"/>
    <x v="0"/>
    <x v="2"/>
    <x v="0"/>
    <x v="1233"/>
    <s v="HP2636973488"/>
    <x v="0"/>
    <n v="2"/>
  </r>
  <r>
    <x v="1"/>
    <x v="2"/>
    <x v="10"/>
    <x v="38"/>
    <x v="94"/>
    <x v="94"/>
    <x v="11"/>
    <s v="Y"/>
    <s v="N"/>
    <x v="0"/>
    <x v="0"/>
    <x v="0"/>
    <x v="0"/>
    <s v="성인"/>
    <s v="성인"/>
    <s v="대리점"/>
    <x v="0"/>
    <x v="2"/>
    <x v="0"/>
    <x v="1233"/>
    <s v="HP2636973488"/>
    <x v="1"/>
    <n v="335800"/>
  </r>
  <r>
    <x v="1"/>
    <x v="2"/>
    <x v="10"/>
    <x v="38"/>
    <x v="94"/>
    <x v="94"/>
    <x v="3"/>
    <s v="N"/>
    <s v="Y"/>
    <x v="0"/>
    <x v="0"/>
    <x v="0"/>
    <x v="0"/>
    <m/>
    <m/>
    <s v="대리점"/>
    <x v="0"/>
    <x v="2"/>
    <x v="1"/>
    <x v="1234"/>
    <s v="HP2636984764"/>
    <x v="0"/>
    <n v="0"/>
  </r>
  <r>
    <x v="1"/>
    <x v="2"/>
    <x v="10"/>
    <x v="38"/>
    <x v="94"/>
    <x v="94"/>
    <x v="3"/>
    <s v="N"/>
    <s v="Y"/>
    <x v="0"/>
    <x v="0"/>
    <x v="0"/>
    <x v="0"/>
    <m/>
    <m/>
    <s v="대리점"/>
    <x v="0"/>
    <x v="2"/>
    <x v="1"/>
    <x v="1234"/>
    <s v="HP2636984764"/>
    <x v="1"/>
    <n v="1862700"/>
  </r>
  <r>
    <x v="1"/>
    <x v="2"/>
    <x v="10"/>
    <x v="38"/>
    <x v="94"/>
    <x v="94"/>
    <x v="4"/>
    <s v="N"/>
    <s v="N"/>
    <x v="1"/>
    <x v="2"/>
    <x v="0"/>
    <x v="0"/>
    <s v="성인"/>
    <s v="성인"/>
    <s v="직원"/>
    <x v="3"/>
    <x v="23"/>
    <x v="0"/>
    <x v="866"/>
    <s v="HQ2637004922"/>
    <x v="0"/>
    <n v="1"/>
  </r>
  <r>
    <x v="1"/>
    <x v="2"/>
    <x v="10"/>
    <x v="38"/>
    <x v="94"/>
    <x v="94"/>
    <x v="4"/>
    <s v="N"/>
    <s v="N"/>
    <x v="1"/>
    <x v="2"/>
    <x v="0"/>
    <x v="0"/>
    <s v="성인"/>
    <s v="성인"/>
    <s v="직원"/>
    <x v="3"/>
    <x v="23"/>
    <x v="0"/>
    <x v="866"/>
    <s v="HQ2637004922"/>
    <x v="1"/>
    <n v="299900"/>
  </r>
  <r>
    <x v="1"/>
    <x v="2"/>
    <x v="10"/>
    <x v="38"/>
    <x v="94"/>
    <x v="94"/>
    <x v="5"/>
    <s v="N"/>
    <s v="N"/>
    <x v="0"/>
    <x v="0"/>
    <x v="0"/>
    <x v="0"/>
    <s v="성인"/>
    <s v="성인"/>
    <s v="대리점"/>
    <x v="0"/>
    <x v="2"/>
    <x v="0"/>
    <x v="1235"/>
    <s v="HP2637035952"/>
    <x v="0"/>
    <n v="2"/>
  </r>
  <r>
    <x v="1"/>
    <x v="2"/>
    <x v="10"/>
    <x v="38"/>
    <x v="94"/>
    <x v="94"/>
    <x v="5"/>
    <s v="N"/>
    <s v="N"/>
    <x v="0"/>
    <x v="0"/>
    <x v="0"/>
    <x v="0"/>
    <s v="성인"/>
    <s v="성인"/>
    <s v="대리점"/>
    <x v="0"/>
    <x v="2"/>
    <x v="0"/>
    <x v="1235"/>
    <s v="HP2637035952"/>
    <x v="1"/>
    <n v="1653800"/>
  </r>
  <r>
    <x v="1"/>
    <x v="2"/>
    <x v="10"/>
    <x v="38"/>
    <x v="94"/>
    <x v="94"/>
    <x v="6"/>
    <s v="N"/>
    <s v="N"/>
    <x v="0"/>
    <x v="0"/>
    <x v="0"/>
    <x v="0"/>
    <s v="성인"/>
    <s v="성인"/>
    <s v="대리점"/>
    <x v="0"/>
    <x v="19"/>
    <x v="0"/>
    <x v="1236"/>
    <s v="HP2636663912"/>
    <x v="0"/>
    <n v="3"/>
  </r>
  <r>
    <x v="1"/>
    <x v="2"/>
    <x v="10"/>
    <x v="38"/>
    <x v="94"/>
    <x v="94"/>
    <x v="6"/>
    <s v="N"/>
    <s v="N"/>
    <x v="0"/>
    <x v="0"/>
    <x v="0"/>
    <x v="0"/>
    <s v="성인"/>
    <s v="성인"/>
    <s v="대리점"/>
    <x v="0"/>
    <x v="19"/>
    <x v="0"/>
    <x v="1236"/>
    <s v="HP2636663912"/>
    <x v="1"/>
    <n v="2099700"/>
  </r>
  <r>
    <x v="1"/>
    <x v="2"/>
    <x v="10"/>
    <x v="38"/>
    <x v="94"/>
    <x v="94"/>
    <x v="6"/>
    <s v="N"/>
    <s v="N"/>
    <x v="1"/>
    <x v="0"/>
    <x v="0"/>
    <x v="0"/>
    <s v="성인"/>
    <s v="성인"/>
    <s v="대리점"/>
    <x v="0"/>
    <x v="15"/>
    <x v="0"/>
    <x v="1237"/>
    <s v="HP2637059000"/>
    <x v="0"/>
    <n v="2"/>
  </r>
  <r>
    <x v="1"/>
    <x v="2"/>
    <x v="10"/>
    <x v="38"/>
    <x v="94"/>
    <x v="94"/>
    <x v="6"/>
    <s v="N"/>
    <s v="N"/>
    <x v="1"/>
    <x v="0"/>
    <x v="0"/>
    <x v="0"/>
    <s v="성인"/>
    <s v="성인"/>
    <s v="대리점"/>
    <x v="0"/>
    <x v="15"/>
    <x v="0"/>
    <x v="1237"/>
    <s v="HP2637059000"/>
    <x v="1"/>
    <n v="9793200"/>
  </r>
  <r>
    <x v="1"/>
    <x v="2"/>
    <x v="10"/>
    <x v="38"/>
    <x v="94"/>
    <x v="94"/>
    <x v="6"/>
    <s v="N"/>
    <s v="N"/>
    <x v="2"/>
    <x v="0"/>
    <x v="0"/>
    <x v="0"/>
    <m/>
    <m/>
    <s v="대리점"/>
    <x v="0"/>
    <x v="2"/>
    <x v="1"/>
    <x v="1238"/>
    <s v="HP2637063126"/>
    <x v="0"/>
    <n v="0"/>
  </r>
  <r>
    <x v="1"/>
    <x v="2"/>
    <x v="10"/>
    <x v="38"/>
    <x v="94"/>
    <x v="94"/>
    <x v="6"/>
    <s v="N"/>
    <s v="N"/>
    <x v="2"/>
    <x v="0"/>
    <x v="0"/>
    <x v="0"/>
    <m/>
    <m/>
    <s v="대리점"/>
    <x v="0"/>
    <x v="2"/>
    <x v="1"/>
    <x v="1238"/>
    <s v="HP2637063126"/>
    <x v="1"/>
    <n v="5299500"/>
  </r>
  <r>
    <x v="1"/>
    <x v="2"/>
    <x v="11"/>
    <x v="39"/>
    <x v="95"/>
    <x v="95"/>
    <x v="0"/>
    <s v="N"/>
    <s v="N"/>
    <x v="0"/>
    <x v="0"/>
    <x v="0"/>
    <x v="0"/>
    <s v="성인"/>
    <s v="성인"/>
    <s v="닷컴"/>
    <x v="5"/>
    <x v="14"/>
    <x v="0"/>
    <x v="1239"/>
    <s v="HP2636930036"/>
    <x v="0"/>
    <n v="6"/>
  </r>
  <r>
    <x v="1"/>
    <x v="2"/>
    <x v="11"/>
    <x v="39"/>
    <x v="95"/>
    <x v="95"/>
    <x v="0"/>
    <s v="N"/>
    <s v="N"/>
    <x v="0"/>
    <x v="0"/>
    <x v="0"/>
    <x v="0"/>
    <s v="성인"/>
    <s v="성인"/>
    <s v="닷컴"/>
    <x v="5"/>
    <x v="14"/>
    <x v="0"/>
    <x v="1239"/>
    <s v="HP2636930036"/>
    <x v="1"/>
    <n v="2999400"/>
  </r>
  <r>
    <x v="1"/>
    <x v="2"/>
    <x v="11"/>
    <x v="39"/>
    <x v="95"/>
    <x v="95"/>
    <x v="0"/>
    <s v="N"/>
    <s v="N"/>
    <x v="0"/>
    <x v="0"/>
    <x v="0"/>
    <x v="0"/>
    <s v="성인"/>
    <s v="성인"/>
    <s v="대리점"/>
    <x v="0"/>
    <x v="2"/>
    <x v="0"/>
    <x v="1240"/>
    <s v="HP2636932750"/>
    <x v="0"/>
    <n v="1"/>
  </r>
  <r>
    <x v="1"/>
    <x v="2"/>
    <x v="11"/>
    <x v="39"/>
    <x v="95"/>
    <x v="95"/>
    <x v="0"/>
    <s v="N"/>
    <s v="N"/>
    <x v="0"/>
    <x v="0"/>
    <x v="0"/>
    <x v="0"/>
    <s v="성인"/>
    <s v="성인"/>
    <s v="대리점"/>
    <x v="0"/>
    <x v="2"/>
    <x v="0"/>
    <x v="1240"/>
    <s v="HP2636932750"/>
    <x v="1"/>
    <n v="719900"/>
  </r>
  <r>
    <x v="1"/>
    <x v="2"/>
    <x v="11"/>
    <x v="39"/>
    <x v="95"/>
    <x v="95"/>
    <x v="1"/>
    <s v="N"/>
    <s v="N"/>
    <x v="0"/>
    <x v="0"/>
    <x v="0"/>
    <x v="0"/>
    <s v="성인"/>
    <s v="성인"/>
    <s v="대리점"/>
    <x v="0"/>
    <x v="13"/>
    <x v="0"/>
    <x v="1241"/>
    <s v="HP2636956488"/>
    <x v="0"/>
    <n v="8"/>
  </r>
  <r>
    <x v="1"/>
    <x v="2"/>
    <x v="11"/>
    <x v="39"/>
    <x v="95"/>
    <x v="95"/>
    <x v="1"/>
    <s v="N"/>
    <s v="N"/>
    <x v="0"/>
    <x v="0"/>
    <x v="0"/>
    <x v="0"/>
    <s v="성인"/>
    <s v="성인"/>
    <s v="대리점"/>
    <x v="0"/>
    <x v="13"/>
    <x v="0"/>
    <x v="1241"/>
    <s v="HP2636956488"/>
    <x v="1"/>
    <n v="6215200"/>
  </r>
  <r>
    <x v="1"/>
    <x v="2"/>
    <x v="11"/>
    <x v="39"/>
    <x v="95"/>
    <x v="95"/>
    <x v="1"/>
    <s v="N"/>
    <s v="N"/>
    <x v="0"/>
    <x v="0"/>
    <x v="0"/>
    <x v="0"/>
    <m/>
    <m/>
    <s v="닷컴"/>
    <x v="4"/>
    <x v="2"/>
    <x v="1"/>
    <x v="1242"/>
    <s v="HP2636941646"/>
    <x v="0"/>
    <n v="0"/>
  </r>
  <r>
    <x v="1"/>
    <x v="2"/>
    <x v="11"/>
    <x v="39"/>
    <x v="95"/>
    <x v="95"/>
    <x v="1"/>
    <s v="N"/>
    <s v="N"/>
    <x v="0"/>
    <x v="0"/>
    <x v="0"/>
    <x v="0"/>
    <m/>
    <m/>
    <s v="닷컴"/>
    <x v="4"/>
    <x v="2"/>
    <x v="1"/>
    <x v="1242"/>
    <s v="HP2636941646"/>
    <x v="1"/>
    <n v="1220600"/>
  </r>
  <r>
    <x v="1"/>
    <x v="2"/>
    <x v="11"/>
    <x v="39"/>
    <x v="95"/>
    <x v="95"/>
    <x v="1"/>
    <s v="N"/>
    <s v="N"/>
    <x v="1"/>
    <x v="0"/>
    <x v="0"/>
    <x v="0"/>
    <m/>
    <m/>
    <s v="대리점"/>
    <x v="0"/>
    <x v="15"/>
    <x v="1"/>
    <x v="1243"/>
    <s v="HP2636954068"/>
    <x v="0"/>
    <n v="0"/>
  </r>
  <r>
    <x v="1"/>
    <x v="2"/>
    <x v="11"/>
    <x v="39"/>
    <x v="95"/>
    <x v="95"/>
    <x v="1"/>
    <s v="N"/>
    <s v="N"/>
    <x v="1"/>
    <x v="0"/>
    <x v="0"/>
    <x v="0"/>
    <m/>
    <m/>
    <s v="대리점"/>
    <x v="0"/>
    <x v="15"/>
    <x v="1"/>
    <x v="1243"/>
    <s v="HP2636954068"/>
    <x v="1"/>
    <n v="8985600"/>
  </r>
  <r>
    <x v="1"/>
    <x v="2"/>
    <x v="11"/>
    <x v="39"/>
    <x v="95"/>
    <x v="95"/>
    <x v="2"/>
    <s v="Y"/>
    <s v="Y"/>
    <x v="1"/>
    <x v="0"/>
    <x v="0"/>
    <x v="0"/>
    <s v="성인"/>
    <s v="성인"/>
    <s v="닷컴"/>
    <x v="4"/>
    <x v="3"/>
    <x v="0"/>
    <x v="1244"/>
    <s v="HP2636965646"/>
    <x v="0"/>
    <n v="7"/>
  </r>
  <r>
    <x v="1"/>
    <x v="2"/>
    <x v="11"/>
    <x v="39"/>
    <x v="95"/>
    <x v="95"/>
    <x v="2"/>
    <s v="Y"/>
    <s v="Y"/>
    <x v="1"/>
    <x v="0"/>
    <x v="0"/>
    <x v="0"/>
    <s v="성인"/>
    <s v="성인"/>
    <s v="닷컴"/>
    <x v="4"/>
    <x v="3"/>
    <x v="0"/>
    <x v="1244"/>
    <s v="HP2636965646"/>
    <x v="1"/>
    <n v="8749300"/>
  </r>
  <r>
    <x v="1"/>
    <x v="2"/>
    <x v="11"/>
    <x v="39"/>
    <x v="95"/>
    <x v="95"/>
    <x v="11"/>
    <s v="Y"/>
    <s v="N"/>
    <x v="0"/>
    <x v="0"/>
    <x v="0"/>
    <x v="0"/>
    <s v="성인"/>
    <s v="성인"/>
    <s v="닷컴"/>
    <x v="4"/>
    <x v="6"/>
    <x v="0"/>
    <x v="1245"/>
    <s v="HP2636973348"/>
    <x v="0"/>
    <n v="6"/>
  </r>
  <r>
    <x v="1"/>
    <x v="2"/>
    <x v="11"/>
    <x v="39"/>
    <x v="95"/>
    <x v="95"/>
    <x v="11"/>
    <s v="Y"/>
    <s v="N"/>
    <x v="0"/>
    <x v="0"/>
    <x v="0"/>
    <x v="0"/>
    <s v="성인"/>
    <s v="성인"/>
    <s v="닷컴"/>
    <x v="4"/>
    <x v="6"/>
    <x v="0"/>
    <x v="1245"/>
    <s v="HP2636973348"/>
    <x v="1"/>
    <n v="2999400"/>
  </r>
  <r>
    <x v="1"/>
    <x v="2"/>
    <x v="11"/>
    <x v="39"/>
    <x v="95"/>
    <x v="95"/>
    <x v="11"/>
    <s v="Y"/>
    <s v="N"/>
    <x v="0"/>
    <x v="0"/>
    <x v="0"/>
    <x v="0"/>
    <m/>
    <m/>
    <s v="닷컴"/>
    <x v="4"/>
    <x v="17"/>
    <x v="1"/>
    <x v="1246"/>
    <s v="HP2636981284"/>
    <x v="0"/>
    <n v="0"/>
  </r>
  <r>
    <x v="1"/>
    <x v="2"/>
    <x v="11"/>
    <x v="39"/>
    <x v="95"/>
    <x v="95"/>
    <x v="11"/>
    <s v="Y"/>
    <s v="N"/>
    <x v="0"/>
    <x v="0"/>
    <x v="0"/>
    <x v="0"/>
    <m/>
    <m/>
    <s v="닷컴"/>
    <x v="4"/>
    <x v="17"/>
    <x v="1"/>
    <x v="1246"/>
    <s v="HP2636981284"/>
    <x v="1"/>
    <n v="1125800"/>
  </r>
  <r>
    <x v="1"/>
    <x v="2"/>
    <x v="11"/>
    <x v="39"/>
    <x v="95"/>
    <x v="95"/>
    <x v="3"/>
    <s v="N"/>
    <s v="Y"/>
    <x v="0"/>
    <x v="0"/>
    <x v="0"/>
    <x v="0"/>
    <s v="성인"/>
    <s v="성인"/>
    <s v="닷컴"/>
    <x v="4"/>
    <x v="2"/>
    <x v="0"/>
    <x v="1247"/>
    <s v="HP2636987360"/>
    <x v="0"/>
    <n v="4"/>
  </r>
  <r>
    <x v="1"/>
    <x v="2"/>
    <x v="11"/>
    <x v="39"/>
    <x v="95"/>
    <x v="95"/>
    <x v="3"/>
    <s v="N"/>
    <s v="Y"/>
    <x v="0"/>
    <x v="0"/>
    <x v="0"/>
    <x v="0"/>
    <s v="성인"/>
    <s v="성인"/>
    <s v="닷컴"/>
    <x v="4"/>
    <x v="2"/>
    <x v="0"/>
    <x v="1247"/>
    <s v="HP2636987360"/>
    <x v="1"/>
    <n v="1047600"/>
  </r>
  <r>
    <x v="1"/>
    <x v="2"/>
    <x v="11"/>
    <x v="39"/>
    <x v="95"/>
    <x v="95"/>
    <x v="3"/>
    <s v="N"/>
    <s v="Y"/>
    <x v="0"/>
    <x v="0"/>
    <x v="0"/>
    <x v="0"/>
    <s v="성인"/>
    <s v="성인"/>
    <s v="대리점"/>
    <x v="0"/>
    <x v="2"/>
    <x v="0"/>
    <x v="1235"/>
    <s v="HP2636984076"/>
    <x v="0"/>
    <n v="4"/>
  </r>
  <r>
    <x v="1"/>
    <x v="2"/>
    <x v="11"/>
    <x v="39"/>
    <x v="95"/>
    <x v="95"/>
    <x v="3"/>
    <s v="N"/>
    <s v="Y"/>
    <x v="0"/>
    <x v="0"/>
    <x v="0"/>
    <x v="0"/>
    <s v="성인"/>
    <s v="성인"/>
    <s v="대리점"/>
    <x v="0"/>
    <x v="2"/>
    <x v="0"/>
    <x v="1235"/>
    <s v="HP2636984076"/>
    <x v="1"/>
    <n v="3307600"/>
  </r>
  <r>
    <x v="1"/>
    <x v="2"/>
    <x v="11"/>
    <x v="39"/>
    <x v="95"/>
    <x v="95"/>
    <x v="3"/>
    <s v="N"/>
    <s v="Y"/>
    <x v="1"/>
    <x v="0"/>
    <x v="0"/>
    <x v="0"/>
    <s v="성인"/>
    <s v="성인"/>
    <s v="대리점"/>
    <x v="0"/>
    <x v="2"/>
    <x v="0"/>
    <x v="1248"/>
    <s v="HP2636985780"/>
    <x v="0"/>
    <n v="2"/>
  </r>
  <r>
    <x v="1"/>
    <x v="2"/>
    <x v="11"/>
    <x v="39"/>
    <x v="95"/>
    <x v="95"/>
    <x v="3"/>
    <s v="N"/>
    <s v="Y"/>
    <x v="1"/>
    <x v="0"/>
    <x v="0"/>
    <x v="0"/>
    <s v="성인"/>
    <s v="성인"/>
    <s v="대리점"/>
    <x v="0"/>
    <x v="2"/>
    <x v="0"/>
    <x v="1248"/>
    <s v="HP2636985780"/>
    <x v="1"/>
    <n v="1999800"/>
  </r>
  <r>
    <x v="1"/>
    <x v="2"/>
    <x v="11"/>
    <x v="39"/>
    <x v="95"/>
    <x v="95"/>
    <x v="3"/>
    <s v="N"/>
    <s v="Y"/>
    <x v="1"/>
    <x v="0"/>
    <x v="0"/>
    <x v="0"/>
    <m/>
    <m/>
    <s v="대리점"/>
    <x v="0"/>
    <x v="2"/>
    <x v="0"/>
    <x v="1249"/>
    <s v="HP2636983388"/>
    <x v="0"/>
    <n v="2"/>
  </r>
  <r>
    <x v="1"/>
    <x v="2"/>
    <x v="11"/>
    <x v="39"/>
    <x v="95"/>
    <x v="95"/>
    <x v="3"/>
    <s v="N"/>
    <s v="Y"/>
    <x v="1"/>
    <x v="0"/>
    <x v="0"/>
    <x v="0"/>
    <m/>
    <m/>
    <s v="대리점"/>
    <x v="0"/>
    <x v="2"/>
    <x v="0"/>
    <x v="1249"/>
    <s v="HP2636983388"/>
    <x v="1"/>
    <n v="2419800"/>
  </r>
  <r>
    <x v="1"/>
    <x v="2"/>
    <x v="11"/>
    <x v="39"/>
    <x v="95"/>
    <x v="95"/>
    <x v="4"/>
    <s v="N"/>
    <s v="N"/>
    <x v="1"/>
    <x v="0"/>
    <x v="0"/>
    <x v="0"/>
    <s v="성인"/>
    <s v="성인"/>
    <s v="닷컴"/>
    <x v="4"/>
    <x v="2"/>
    <x v="0"/>
    <x v="1250"/>
    <s v="HP2637014872"/>
    <x v="0"/>
    <n v="5"/>
  </r>
  <r>
    <x v="1"/>
    <x v="2"/>
    <x v="11"/>
    <x v="39"/>
    <x v="95"/>
    <x v="95"/>
    <x v="4"/>
    <s v="N"/>
    <s v="N"/>
    <x v="1"/>
    <x v="0"/>
    <x v="0"/>
    <x v="0"/>
    <s v="성인"/>
    <s v="성인"/>
    <s v="닷컴"/>
    <x v="4"/>
    <x v="2"/>
    <x v="0"/>
    <x v="1250"/>
    <s v="HP2637014872"/>
    <x v="1"/>
    <n v="4600000"/>
  </r>
  <r>
    <x v="1"/>
    <x v="2"/>
    <x v="11"/>
    <x v="39"/>
    <x v="95"/>
    <x v="95"/>
    <x v="4"/>
    <s v="N"/>
    <s v="N"/>
    <x v="1"/>
    <x v="0"/>
    <x v="0"/>
    <x v="0"/>
    <m/>
    <m/>
    <s v="닷컴"/>
    <x v="4"/>
    <x v="3"/>
    <x v="1"/>
    <x v="1251"/>
    <s v="HP2637002300"/>
    <x v="0"/>
    <n v="0"/>
  </r>
  <r>
    <x v="1"/>
    <x v="2"/>
    <x v="11"/>
    <x v="39"/>
    <x v="95"/>
    <x v="95"/>
    <x v="4"/>
    <s v="N"/>
    <s v="N"/>
    <x v="1"/>
    <x v="0"/>
    <x v="0"/>
    <x v="0"/>
    <m/>
    <m/>
    <s v="닷컴"/>
    <x v="4"/>
    <x v="3"/>
    <x v="1"/>
    <x v="1251"/>
    <s v="HP2637002300"/>
    <x v="1"/>
    <n v="1241800"/>
  </r>
  <r>
    <x v="1"/>
    <x v="2"/>
    <x v="11"/>
    <x v="39"/>
    <x v="95"/>
    <x v="95"/>
    <x v="4"/>
    <s v="N"/>
    <s v="N"/>
    <x v="2"/>
    <x v="0"/>
    <x v="0"/>
    <x v="0"/>
    <s v="성인"/>
    <s v="성인"/>
    <s v="대리점"/>
    <x v="0"/>
    <x v="2"/>
    <x v="0"/>
    <x v="1252"/>
    <s v="HP2637012542"/>
    <x v="0"/>
    <n v="3"/>
  </r>
  <r>
    <x v="1"/>
    <x v="2"/>
    <x v="11"/>
    <x v="39"/>
    <x v="95"/>
    <x v="95"/>
    <x v="4"/>
    <s v="N"/>
    <s v="N"/>
    <x v="2"/>
    <x v="0"/>
    <x v="0"/>
    <x v="0"/>
    <s v="성인"/>
    <s v="성인"/>
    <s v="대리점"/>
    <x v="0"/>
    <x v="2"/>
    <x v="0"/>
    <x v="1252"/>
    <s v="HP2637012542"/>
    <x v="1"/>
    <n v="5249700"/>
  </r>
  <r>
    <x v="1"/>
    <x v="2"/>
    <x v="11"/>
    <x v="39"/>
    <x v="95"/>
    <x v="95"/>
    <x v="5"/>
    <s v="N"/>
    <s v="N"/>
    <x v="4"/>
    <x v="1"/>
    <x v="0"/>
    <x v="0"/>
    <m/>
    <m/>
    <s v="닷컴"/>
    <x v="5"/>
    <x v="12"/>
    <x v="1"/>
    <x v="1253"/>
    <s v="HB2637040570"/>
    <x v="0"/>
    <n v="0"/>
  </r>
  <r>
    <x v="1"/>
    <x v="2"/>
    <x v="11"/>
    <x v="39"/>
    <x v="95"/>
    <x v="95"/>
    <x v="5"/>
    <s v="N"/>
    <s v="N"/>
    <x v="4"/>
    <x v="1"/>
    <x v="0"/>
    <x v="0"/>
    <m/>
    <m/>
    <s v="닷컴"/>
    <x v="5"/>
    <x v="12"/>
    <x v="1"/>
    <x v="1253"/>
    <s v="HB2637040570"/>
    <x v="1"/>
    <n v="419900"/>
  </r>
  <r>
    <x v="1"/>
    <x v="2"/>
    <x v="11"/>
    <x v="39"/>
    <x v="95"/>
    <x v="95"/>
    <x v="5"/>
    <s v="N"/>
    <s v="N"/>
    <x v="0"/>
    <x v="0"/>
    <x v="0"/>
    <x v="0"/>
    <s v="성인"/>
    <s v="성인"/>
    <s v="대리점"/>
    <x v="0"/>
    <x v="2"/>
    <x v="0"/>
    <x v="1254"/>
    <s v="HP2637035998"/>
    <x v="0"/>
    <n v="2"/>
  </r>
  <r>
    <x v="1"/>
    <x v="2"/>
    <x v="11"/>
    <x v="39"/>
    <x v="95"/>
    <x v="95"/>
    <x v="5"/>
    <s v="N"/>
    <s v="N"/>
    <x v="0"/>
    <x v="0"/>
    <x v="0"/>
    <x v="0"/>
    <s v="성인"/>
    <s v="성인"/>
    <s v="대리점"/>
    <x v="0"/>
    <x v="2"/>
    <x v="0"/>
    <x v="1254"/>
    <s v="HP2637035998"/>
    <x v="1"/>
    <n v="1003800"/>
  </r>
  <r>
    <x v="1"/>
    <x v="2"/>
    <x v="11"/>
    <x v="39"/>
    <x v="95"/>
    <x v="95"/>
    <x v="5"/>
    <s v="N"/>
    <s v="N"/>
    <x v="0"/>
    <x v="0"/>
    <x v="0"/>
    <x v="0"/>
    <m/>
    <m/>
    <s v="닷컴"/>
    <x v="4"/>
    <x v="2"/>
    <x v="1"/>
    <x v="1255"/>
    <s v="HP2637025356"/>
    <x v="0"/>
    <n v="0"/>
  </r>
  <r>
    <x v="1"/>
    <x v="2"/>
    <x v="11"/>
    <x v="39"/>
    <x v="95"/>
    <x v="95"/>
    <x v="5"/>
    <s v="N"/>
    <s v="N"/>
    <x v="0"/>
    <x v="0"/>
    <x v="0"/>
    <x v="0"/>
    <m/>
    <m/>
    <s v="닷컴"/>
    <x v="4"/>
    <x v="2"/>
    <x v="1"/>
    <x v="1255"/>
    <s v="HP2637025356"/>
    <x v="1"/>
    <n v="389900"/>
  </r>
  <r>
    <x v="1"/>
    <x v="2"/>
    <x v="11"/>
    <x v="39"/>
    <x v="95"/>
    <x v="95"/>
    <x v="5"/>
    <s v="N"/>
    <s v="N"/>
    <x v="0"/>
    <x v="0"/>
    <x v="0"/>
    <x v="0"/>
    <m/>
    <m/>
    <s v="대리점"/>
    <x v="0"/>
    <x v="2"/>
    <x v="0"/>
    <x v="1256"/>
    <s v="HP2637038080"/>
    <x v="0"/>
    <n v="2"/>
  </r>
  <r>
    <x v="1"/>
    <x v="2"/>
    <x v="11"/>
    <x v="39"/>
    <x v="95"/>
    <x v="95"/>
    <x v="5"/>
    <s v="N"/>
    <s v="N"/>
    <x v="0"/>
    <x v="0"/>
    <x v="0"/>
    <x v="0"/>
    <m/>
    <m/>
    <s v="대리점"/>
    <x v="0"/>
    <x v="2"/>
    <x v="0"/>
    <x v="1256"/>
    <s v="HP2637038080"/>
    <x v="1"/>
    <n v="3993200"/>
  </r>
  <r>
    <x v="1"/>
    <x v="2"/>
    <x v="11"/>
    <x v="39"/>
    <x v="95"/>
    <x v="95"/>
    <x v="5"/>
    <s v="N"/>
    <s v="N"/>
    <x v="0"/>
    <x v="0"/>
    <x v="0"/>
    <x v="1"/>
    <m/>
    <m/>
    <s v="닷컴"/>
    <x v="4"/>
    <x v="2"/>
    <x v="1"/>
    <x v="1255"/>
    <s v="HP2637025356"/>
    <x v="0"/>
    <n v="0"/>
  </r>
  <r>
    <x v="1"/>
    <x v="2"/>
    <x v="11"/>
    <x v="39"/>
    <x v="95"/>
    <x v="95"/>
    <x v="5"/>
    <s v="N"/>
    <s v="N"/>
    <x v="0"/>
    <x v="0"/>
    <x v="0"/>
    <x v="1"/>
    <m/>
    <m/>
    <s v="닷컴"/>
    <x v="4"/>
    <x v="2"/>
    <x v="1"/>
    <x v="1255"/>
    <s v="HP2637025356"/>
    <x v="1"/>
    <n v="389900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57"/>
    <s v="HP2637054914"/>
    <x v="0"/>
    <n v="2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57"/>
    <s v="HP2637054914"/>
    <x v="1"/>
    <n v="776000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23"/>
    <s v="HP2637057782"/>
    <x v="0"/>
    <n v="6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23"/>
    <s v="HP2637057782"/>
    <x v="1"/>
    <n v="3000000"/>
  </r>
  <r>
    <x v="1"/>
    <x v="2"/>
    <x v="11"/>
    <x v="39"/>
    <x v="95"/>
    <x v="95"/>
    <x v="6"/>
    <s v="N"/>
    <s v="N"/>
    <x v="0"/>
    <x v="0"/>
    <x v="0"/>
    <x v="0"/>
    <m/>
    <m/>
    <s v="닷컴"/>
    <x v="4"/>
    <x v="2"/>
    <x v="1"/>
    <x v="1258"/>
    <s v="HP2637057326"/>
    <x v="0"/>
    <n v="0"/>
  </r>
  <r>
    <x v="1"/>
    <x v="2"/>
    <x v="11"/>
    <x v="39"/>
    <x v="95"/>
    <x v="95"/>
    <x v="6"/>
    <s v="N"/>
    <s v="N"/>
    <x v="0"/>
    <x v="0"/>
    <x v="0"/>
    <x v="0"/>
    <m/>
    <m/>
    <s v="닷컴"/>
    <x v="4"/>
    <x v="2"/>
    <x v="1"/>
    <x v="1258"/>
    <s v="HP2637057326"/>
    <x v="1"/>
    <n v="227580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59"/>
    <s v="HP2637070198"/>
    <x v="0"/>
    <n v="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59"/>
    <s v="HP2637070198"/>
    <x v="1"/>
    <n v="425970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60"/>
    <s v="HP2637070162"/>
    <x v="0"/>
    <n v="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60"/>
    <s v="HP2637070162"/>
    <x v="1"/>
    <n v="4559700"/>
  </r>
  <r>
    <x v="1"/>
    <x v="2"/>
    <x v="11"/>
    <x v="39"/>
    <x v="95"/>
    <x v="95"/>
    <x v="7"/>
    <s v="N"/>
    <s v="Y"/>
    <x v="1"/>
    <x v="0"/>
    <x v="0"/>
    <x v="0"/>
    <s v="성인"/>
    <s v="성인"/>
    <s v="대리점"/>
    <x v="0"/>
    <x v="2"/>
    <x v="0"/>
    <x v="1261"/>
    <s v="HP2637073436"/>
    <x v="0"/>
    <n v="4"/>
  </r>
  <r>
    <x v="1"/>
    <x v="2"/>
    <x v="11"/>
    <x v="39"/>
    <x v="95"/>
    <x v="95"/>
    <x v="7"/>
    <s v="N"/>
    <s v="Y"/>
    <x v="1"/>
    <x v="0"/>
    <x v="0"/>
    <x v="0"/>
    <s v="성인"/>
    <s v="성인"/>
    <s v="대리점"/>
    <x v="0"/>
    <x v="2"/>
    <x v="0"/>
    <x v="1261"/>
    <s v="HP2637073436"/>
    <x v="1"/>
    <n v="5563600"/>
  </r>
  <r>
    <x v="1"/>
    <x v="2"/>
    <x v="11"/>
    <x v="39"/>
    <x v="95"/>
    <x v="95"/>
    <x v="7"/>
    <s v="N"/>
    <s v="Y"/>
    <x v="1"/>
    <x v="0"/>
    <x v="0"/>
    <x v="0"/>
    <s v="아동"/>
    <s v="아동"/>
    <s v="대리점"/>
    <x v="0"/>
    <x v="2"/>
    <x v="0"/>
    <x v="1261"/>
    <s v="HP2637073436"/>
    <x v="0"/>
    <n v="1"/>
  </r>
  <r>
    <x v="1"/>
    <x v="2"/>
    <x v="11"/>
    <x v="39"/>
    <x v="95"/>
    <x v="95"/>
    <x v="7"/>
    <s v="N"/>
    <s v="Y"/>
    <x v="1"/>
    <x v="0"/>
    <x v="0"/>
    <x v="0"/>
    <s v="아동"/>
    <s v="아동"/>
    <s v="대리점"/>
    <x v="0"/>
    <x v="2"/>
    <x v="0"/>
    <x v="1261"/>
    <s v="HP2637073436"/>
    <x v="1"/>
    <n v="1390900"/>
  </r>
  <r>
    <x v="1"/>
    <x v="2"/>
    <x v="11"/>
    <x v="39"/>
    <x v="95"/>
    <x v="95"/>
    <x v="7"/>
    <s v="N"/>
    <s v="Y"/>
    <x v="1"/>
    <x v="0"/>
    <x v="0"/>
    <x v="0"/>
    <m/>
    <m/>
    <s v="닷컴"/>
    <x v="4"/>
    <x v="2"/>
    <x v="1"/>
    <x v="1262"/>
    <s v="HP2637072586"/>
    <x v="0"/>
    <n v="0"/>
  </r>
  <r>
    <x v="1"/>
    <x v="2"/>
    <x v="11"/>
    <x v="39"/>
    <x v="95"/>
    <x v="95"/>
    <x v="7"/>
    <s v="N"/>
    <s v="Y"/>
    <x v="1"/>
    <x v="0"/>
    <x v="0"/>
    <x v="0"/>
    <m/>
    <m/>
    <s v="닷컴"/>
    <x v="4"/>
    <x v="2"/>
    <x v="1"/>
    <x v="1262"/>
    <s v="HP2637072586"/>
    <x v="1"/>
    <n v="6599400"/>
  </r>
  <r>
    <x v="1"/>
    <x v="2"/>
    <x v="11"/>
    <x v="39"/>
    <x v="95"/>
    <x v="95"/>
    <x v="7"/>
    <s v="N"/>
    <s v="Y"/>
    <x v="1"/>
    <x v="0"/>
    <x v="0"/>
    <x v="1"/>
    <s v="유아"/>
    <s v="아동"/>
    <s v="대리점"/>
    <x v="0"/>
    <x v="2"/>
    <x v="0"/>
    <x v="1261"/>
    <s v="HP2637073436"/>
    <x v="0"/>
    <n v="1"/>
  </r>
  <r>
    <x v="1"/>
    <x v="2"/>
    <x v="11"/>
    <x v="39"/>
    <x v="95"/>
    <x v="95"/>
    <x v="7"/>
    <s v="N"/>
    <s v="Y"/>
    <x v="1"/>
    <x v="0"/>
    <x v="0"/>
    <x v="1"/>
    <s v="유아"/>
    <s v="아동"/>
    <s v="대리점"/>
    <x v="0"/>
    <x v="2"/>
    <x v="0"/>
    <x v="1261"/>
    <s v="HP2637073436"/>
    <x v="1"/>
    <n v="1251810"/>
  </r>
  <r>
    <x v="1"/>
    <x v="2"/>
    <x v="11"/>
    <x v="39"/>
    <x v="95"/>
    <x v="95"/>
    <x v="7"/>
    <s v="N"/>
    <s v="Y"/>
    <x v="1"/>
    <x v="0"/>
    <x v="0"/>
    <x v="1"/>
    <s v="유아"/>
    <s v="유아"/>
    <s v="대리점"/>
    <x v="0"/>
    <x v="2"/>
    <x v="0"/>
    <x v="1261"/>
    <s v="HP2637073436"/>
    <x v="0"/>
    <n v="1"/>
  </r>
  <r>
    <x v="1"/>
    <x v="2"/>
    <x v="11"/>
    <x v="39"/>
    <x v="95"/>
    <x v="95"/>
    <x v="7"/>
    <s v="N"/>
    <s v="Y"/>
    <x v="1"/>
    <x v="0"/>
    <x v="0"/>
    <x v="1"/>
    <s v="유아"/>
    <s v="유아"/>
    <s v="대리점"/>
    <x v="0"/>
    <x v="2"/>
    <x v="0"/>
    <x v="1261"/>
    <s v="HP2637073436"/>
    <x v="1"/>
    <n v="1251810"/>
  </r>
  <r>
    <x v="1"/>
    <x v="2"/>
    <x v="11"/>
    <x v="39"/>
    <x v="95"/>
    <x v="95"/>
    <x v="8"/>
    <s v="Y"/>
    <s v="N"/>
    <x v="0"/>
    <x v="0"/>
    <x v="0"/>
    <x v="0"/>
    <m/>
    <m/>
    <s v="닷컴"/>
    <x v="5"/>
    <x v="14"/>
    <x v="1"/>
    <x v="1263"/>
    <s v="HP2637085272"/>
    <x v="0"/>
    <n v="0"/>
  </r>
  <r>
    <x v="1"/>
    <x v="2"/>
    <x v="11"/>
    <x v="39"/>
    <x v="95"/>
    <x v="95"/>
    <x v="8"/>
    <s v="Y"/>
    <s v="N"/>
    <x v="0"/>
    <x v="0"/>
    <x v="0"/>
    <x v="0"/>
    <m/>
    <m/>
    <s v="닷컴"/>
    <x v="5"/>
    <x v="14"/>
    <x v="1"/>
    <x v="1263"/>
    <s v="HP2637085272"/>
    <x v="1"/>
    <n v="429900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4"/>
    <s v="HP2637095292"/>
    <x v="0"/>
    <n v="2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4"/>
    <s v="HP2637095292"/>
    <x v="1"/>
    <n v="2559800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5"/>
    <s v="HP2637094412"/>
    <x v="0"/>
    <n v="1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5"/>
    <s v="HP2637094412"/>
    <x v="1"/>
    <n v="1369900"/>
  </r>
  <r>
    <x v="1"/>
    <x v="2"/>
    <x v="11"/>
    <x v="39"/>
    <x v="95"/>
    <x v="95"/>
    <x v="9"/>
    <s v="Y"/>
    <s v="N"/>
    <x v="0"/>
    <x v="0"/>
    <x v="0"/>
    <x v="0"/>
    <m/>
    <m/>
    <s v="닷컴"/>
    <x v="4"/>
    <x v="14"/>
    <x v="0"/>
    <x v="1266"/>
    <s v="HP2637096188"/>
    <x v="0"/>
    <n v="5"/>
  </r>
  <r>
    <x v="1"/>
    <x v="2"/>
    <x v="11"/>
    <x v="39"/>
    <x v="95"/>
    <x v="95"/>
    <x v="9"/>
    <s v="Y"/>
    <s v="N"/>
    <x v="0"/>
    <x v="0"/>
    <x v="0"/>
    <x v="0"/>
    <m/>
    <m/>
    <s v="닷컴"/>
    <x v="4"/>
    <x v="14"/>
    <x v="0"/>
    <x v="1266"/>
    <s v="HP2637096188"/>
    <x v="1"/>
    <n v="12804500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4"/>
    <s v="HP2637095292"/>
    <x v="0"/>
    <n v="2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4"/>
    <s v="HP2637095292"/>
    <x v="1"/>
    <n v="2559800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7"/>
    <s v="HP2637096990"/>
    <x v="0"/>
    <n v="6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7"/>
    <s v="HP2637096990"/>
    <x v="1"/>
    <n v="7019400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5"/>
    <s v="HP2637094412"/>
    <x v="0"/>
    <n v="3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5"/>
    <s v="HP2637094412"/>
    <x v="1"/>
    <n v="4109700"/>
  </r>
  <r>
    <x v="1"/>
    <x v="2"/>
    <x v="11"/>
    <x v="39"/>
    <x v="95"/>
    <x v="95"/>
    <x v="10"/>
    <s v="N"/>
    <s v="N"/>
    <x v="0"/>
    <x v="0"/>
    <x v="0"/>
    <x v="0"/>
    <s v="성인"/>
    <s v="성인"/>
    <s v="닷컴"/>
    <x v="4"/>
    <x v="2"/>
    <x v="0"/>
    <x v="1265"/>
    <s v="HP2637127092"/>
    <x v="0"/>
    <n v="2"/>
  </r>
  <r>
    <x v="1"/>
    <x v="2"/>
    <x v="11"/>
    <x v="39"/>
    <x v="95"/>
    <x v="95"/>
    <x v="10"/>
    <s v="N"/>
    <s v="N"/>
    <x v="0"/>
    <x v="0"/>
    <x v="0"/>
    <x v="0"/>
    <s v="성인"/>
    <s v="성인"/>
    <s v="닷컴"/>
    <x v="4"/>
    <x v="2"/>
    <x v="0"/>
    <x v="1265"/>
    <s v="HP2637127092"/>
    <x v="1"/>
    <n v="2739800"/>
  </r>
  <r>
    <x v="1"/>
    <x v="2"/>
    <x v="11"/>
    <x v="39"/>
    <x v="95"/>
    <x v="95"/>
    <x v="10"/>
    <s v="N"/>
    <s v="N"/>
    <x v="0"/>
    <x v="0"/>
    <x v="0"/>
    <x v="0"/>
    <m/>
    <m/>
    <s v="닷컴"/>
    <x v="4"/>
    <x v="2"/>
    <x v="0"/>
    <x v="1268"/>
    <s v="HP2637111184"/>
    <x v="0"/>
    <n v="2"/>
  </r>
  <r>
    <x v="1"/>
    <x v="2"/>
    <x v="11"/>
    <x v="39"/>
    <x v="95"/>
    <x v="95"/>
    <x v="10"/>
    <s v="N"/>
    <s v="N"/>
    <x v="0"/>
    <x v="0"/>
    <x v="0"/>
    <x v="0"/>
    <m/>
    <m/>
    <s v="닷컴"/>
    <x v="4"/>
    <x v="2"/>
    <x v="0"/>
    <x v="1268"/>
    <s v="HP2637111184"/>
    <x v="1"/>
    <n v="1710000"/>
  </r>
  <r>
    <x v="1"/>
    <x v="2"/>
    <x v="11"/>
    <x v="39"/>
    <x v="95"/>
    <x v="95"/>
    <x v="10"/>
    <s v="N"/>
    <s v="N"/>
    <x v="0"/>
    <x v="0"/>
    <x v="0"/>
    <x v="1"/>
    <m/>
    <m/>
    <s v="닷컴"/>
    <x v="4"/>
    <x v="2"/>
    <x v="0"/>
    <x v="1268"/>
    <s v="HP2637111184"/>
    <x v="0"/>
    <n v="1"/>
  </r>
  <r>
    <x v="1"/>
    <x v="2"/>
    <x v="11"/>
    <x v="39"/>
    <x v="95"/>
    <x v="95"/>
    <x v="10"/>
    <s v="N"/>
    <s v="N"/>
    <x v="0"/>
    <x v="0"/>
    <x v="0"/>
    <x v="1"/>
    <m/>
    <m/>
    <s v="닷컴"/>
    <x v="4"/>
    <x v="2"/>
    <x v="0"/>
    <x v="1268"/>
    <s v="HP2637111184"/>
    <x v="1"/>
    <n v="855000"/>
  </r>
  <r>
    <x v="1"/>
    <x v="2"/>
    <x v="11"/>
    <x v="39"/>
    <x v="96"/>
    <x v="96"/>
    <x v="4"/>
    <s v="N"/>
    <s v="N"/>
    <x v="0"/>
    <x v="0"/>
    <x v="0"/>
    <x v="0"/>
    <s v="성인"/>
    <s v="성인"/>
    <s v="대리점"/>
    <x v="0"/>
    <x v="2"/>
    <x v="0"/>
    <x v="1153"/>
    <s v="HP2637005516"/>
    <x v="0"/>
    <n v="4"/>
  </r>
  <r>
    <x v="1"/>
    <x v="2"/>
    <x v="11"/>
    <x v="39"/>
    <x v="96"/>
    <x v="96"/>
    <x v="4"/>
    <s v="N"/>
    <s v="N"/>
    <x v="0"/>
    <x v="0"/>
    <x v="0"/>
    <x v="0"/>
    <s v="성인"/>
    <s v="성인"/>
    <s v="대리점"/>
    <x v="0"/>
    <x v="2"/>
    <x v="0"/>
    <x v="1153"/>
    <s v="HP2637005516"/>
    <x v="1"/>
    <n v="3011600"/>
  </r>
  <r>
    <x v="1"/>
    <x v="2"/>
    <x v="11"/>
    <x v="39"/>
    <x v="96"/>
    <x v="96"/>
    <x v="5"/>
    <s v="N"/>
    <s v="N"/>
    <x v="0"/>
    <x v="0"/>
    <x v="0"/>
    <x v="0"/>
    <s v="성인"/>
    <s v="성인"/>
    <s v="대리점"/>
    <x v="0"/>
    <x v="2"/>
    <x v="0"/>
    <x v="1269"/>
    <s v="HP2637036882"/>
    <x v="0"/>
    <n v="2"/>
  </r>
  <r>
    <x v="1"/>
    <x v="2"/>
    <x v="11"/>
    <x v="39"/>
    <x v="96"/>
    <x v="96"/>
    <x v="5"/>
    <s v="N"/>
    <s v="N"/>
    <x v="0"/>
    <x v="0"/>
    <x v="0"/>
    <x v="0"/>
    <s v="성인"/>
    <s v="성인"/>
    <s v="대리점"/>
    <x v="0"/>
    <x v="2"/>
    <x v="0"/>
    <x v="1269"/>
    <s v="HP2637036882"/>
    <x v="1"/>
    <n v="1713800"/>
  </r>
  <r>
    <x v="1"/>
    <x v="2"/>
    <x v="11"/>
    <x v="39"/>
    <x v="96"/>
    <x v="96"/>
    <x v="5"/>
    <s v="N"/>
    <s v="N"/>
    <x v="0"/>
    <x v="0"/>
    <x v="0"/>
    <x v="1"/>
    <s v="아동"/>
    <s v="아동"/>
    <s v="대리점"/>
    <x v="0"/>
    <x v="2"/>
    <x v="0"/>
    <x v="1269"/>
    <s v="HP2637036882"/>
    <x v="0"/>
    <n v="1"/>
  </r>
  <r>
    <x v="1"/>
    <x v="2"/>
    <x v="11"/>
    <x v="39"/>
    <x v="96"/>
    <x v="96"/>
    <x v="5"/>
    <s v="N"/>
    <s v="N"/>
    <x v="0"/>
    <x v="0"/>
    <x v="0"/>
    <x v="1"/>
    <s v="아동"/>
    <s v="아동"/>
    <s v="대리점"/>
    <x v="0"/>
    <x v="2"/>
    <x v="0"/>
    <x v="1269"/>
    <s v="HP2637036882"/>
    <x v="1"/>
    <n v="906900"/>
  </r>
  <r>
    <x v="1"/>
    <x v="2"/>
    <x v="11"/>
    <x v="39"/>
    <x v="96"/>
    <x v="96"/>
    <x v="6"/>
    <s v="N"/>
    <s v="N"/>
    <x v="0"/>
    <x v="0"/>
    <x v="0"/>
    <x v="0"/>
    <s v="성인"/>
    <s v="성인"/>
    <s v="대리점"/>
    <x v="0"/>
    <x v="2"/>
    <x v="0"/>
    <x v="1270"/>
    <s v="HP2637061582"/>
    <x v="0"/>
    <n v="2"/>
  </r>
  <r>
    <x v="1"/>
    <x v="2"/>
    <x v="11"/>
    <x v="39"/>
    <x v="96"/>
    <x v="96"/>
    <x v="6"/>
    <s v="N"/>
    <s v="N"/>
    <x v="0"/>
    <x v="0"/>
    <x v="0"/>
    <x v="0"/>
    <s v="성인"/>
    <s v="성인"/>
    <s v="대리점"/>
    <x v="0"/>
    <x v="2"/>
    <x v="0"/>
    <x v="1270"/>
    <s v="HP2637061582"/>
    <x v="1"/>
    <n v="1081800"/>
  </r>
  <r>
    <x v="1"/>
    <x v="2"/>
    <x v="11"/>
    <x v="39"/>
    <x v="97"/>
    <x v="97"/>
    <x v="0"/>
    <s v="N"/>
    <s v="N"/>
    <x v="1"/>
    <x v="0"/>
    <x v="0"/>
    <x v="0"/>
    <s v="성인"/>
    <s v="성인"/>
    <s v="대리점"/>
    <x v="0"/>
    <x v="15"/>
    <x v="0"/>
    <x v="112"/>
    <s v="HP2636935486"/>
    <x v="0"/>
    <n v="4"/>
  </r>
  <r>
    <x v="1"/>
    <x v="2"/>
    <x v="11"/>
    <x v="39"/>
    <x v="97"/>
    <x v="97"/>
    <x v="0"/>
    <s v="N"/>
    <s v="N"/>
    <x v="1"/>
    <x v="0"/>
    <x v="0"/>
    <x v="0"/>
    <s v="성인"/>
    <s v="성인"/>
    <s v="대리점"/>
    <x v="0"/>
    <x v="15"/>
    <x v="0"/>
    <x v="112"/>
    <s v="HP2636935486"/>
    <x v="1"/>
    <n v="13381600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19"/>
    <x v="0"/>
    <x v="1271"/>
    <s v="HP2636957468"/>
    <x v="0"/>
    <n v="2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19"/>
    <x v="0"/>
    <x v="1271"/>
    <s v="HP2636957468"/>
    <x v="1"/>
    <n v="1399800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2"/>
    <x v="0"/>
    <x v="1272"/>
    <s v="HP2636946772"/>
    <x v="0"/>
    <n v="3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2"/>
    <x v="0"/>
    <x v="1272"/>
    <s v="HP2636946772"/>
    <x v="1"/>
    <n v="2429700"/>
  </r>
  <r>
    <x v="1"/>
    <x v="2"/>
    <x v="11"/>
    <x v="39"/>
    <x v="97"/>
    <x v="97"/>
    <x v="2"/>
    <s v="Y"/>
    <s v="Y"/>
    <x v="0"/>
    <x v="0"/>
    <x v="0"/>
    <x v="0"/>
    <s v="성인"/>
    <s v="성인"/>
    <s v="대리점"/>
    <x v="0"/>
    <x v="2"/>
    <x v="0"/>
    <x v="1273"/>
    <s v="HP2636967398"/>
    <x v="0"/>
    <n v="4"/>
  </r>
  <r>
    <x v="1"/>
    <x v="2"/>
    <x v="11"/>
    <x v="39"/>
    <x v="97"/>
    <x v="97"/>
    <x v="2"/>
    <s v="Y"/>
    <s v="Y"/>
    <x v="0"/>
    <x v="0"/>
    <x v="0"/>
    <x v="0"/>
    <s v="성인"/>
    <s v="성인"/>
    <s v="대리점"/>
    <x v="0"/>
    <x v="2"/>
    <x v="0"/>
    <x v="1273"/>
    <s v="HP2636967398"/>
    <x v="1"/>
    <n v="3199600"/>
  </r>
  <r>
    <x v="1"/>
    <x v="2"/>
    <x v="11"/>
    <x v="39"/>
    <x v="97"/>
    <x v="97"/>
    <x v="3"/>
    <s v="N"/>
    <s v="Y"/>
    <x v="0"/>
    <x v="0"/>
    <x v="0"/>
    <x v="0"/>
    <s v="성인"/>
    <s v="성인"/>
    <s v="대리점"/>
    <x v="0"/>
    <x v="2"/>
    <x v="0"/>
    <x v="1274"/>
    <s v="HP2636989060"/>
    <x v="0"/>
    <n v="5"/>
  </r>
  <r>
    <x v="1"/>
    <x v="2"/>
    <x v="11"/>
    <x v="39"/>
    <x v="97"/>
    <x v="97"/>
    <x v="3"/>
    <s v="N"/>
    <s v="Y"/>
    <x v="0"/>
    <x v="0"/>
    <x v="0"/>
    <x v="0"/>
    <s v="성인"/>
    <s v="성인"/>
    <s v="대리점"/>
    <x v="0"/>
    <x v="2"/>
    <x v="0"/>
    <x v="1274"/>
    <s v="HP2636989060"/>
    <x v="1"/>
    <n v="2149500"/>
  </r>
  <r>
    <x v="1"/>
    <x v="2"/>
    <x v="11"/>
    <x v="39"/>
    <x v="97"/>
    <x v="97"/>
    <x v="3"/>
    <s v="N"/>
    <s v="Y"/>
    <x v="0"/>
    <x v="0"/>
    <x v="0"/>
    <x v="0"/>
    <s v="청소년"/>
    <s v="청소년"/>
    <s v="대리점"/>
    <x v="0"/>
    <x v="2"/>
    <x v="0"/>
    <x v="1274"/>
    <s v="HP2636989060"/>
    <x v="0"/>
    <n v="1"/>
  </r>
  <r>
    <x v="1"/>
    <x v="2"/>
    <x v="11"/>
    <x v="39"/>
    <x v="97"/>
    <x v="97"/>
    <x v="3"/>
    <s v="N"/>
    <s v="Y"/>
    <x v="0"/>
    <x v="0"/>
    <x v="0"/>
    <x v="0"/>
    <s v="청소년"/>
    <s v="청소년"/>
    <s v="대리점"/>
    <x v="0"/>
    <x v="2"/>
    <x v="0"/>
    <x v="1274"/>
    <s v="HP2636989060"/>
    <x v="1"/>
    <n v="429900"/>
  </r>
  <r>
    <x v="1"/>
    <x v="2"/>
    <x v="11"/>
    <x v="39"/>
    <x v="97"/>
    <x v="97"/>
    <x v="3"/>
    <s v="N"/>
    <s v="Y"/>
    <x v="0"/>
    <x v="0"/>
    <x v="0"/>
    <x v="0"/>
    <m/>
    <m/>
    <s v="대리점"/>
    <x v="0"/>
    <x v="2"/>
    <x v="1"/>
    <x v="1275"/>
    <s v="HP2636988812"/>
    <x v="0"/>
    <n v="0"/>
  </r>
  <r>
    <x v="1"/>
    <x v="2"/>
    <x v="11"/>
    <x v="39"/>
    <x v="97"/>
    <x v="97"/>
    <x v="3"/>
    <s v="N"/>
    <s v="Y"/>
    <x v="0"/>
    <x v="0"/>
    <x v="0"/>
    <x v="0"/>
    <m/>
    <m/>
    <s v="대리점"/>
    <x v="0"/>
    <x v="2"/>
    <x v="1"/>
    <x v="1275"/>
    <s v="HP2636988812"/>
    <x v="1"/>
    <n v="2899500"/>
  </r>
  <r>
    <x v="1"/>
    <x v="2"/>
    <x v="11"/>
    <x v="39"/>
    <x v="97"/>
    <x v="97"/>
    <x v="4"/>
    <s v="N"/>
    <s v="N"/>
    <x v="1"/>
    <x v="0"/>
    <x v="0"/>
    <x v="0"/>
    <s v="성인"/>
    <s v="성인"/>
    <s v="대리점"/>
    <x v="0"/>
    <x v="15"/>
    <x v="0"/>
    <x v="1276"/>
    <s v="HP2637005456"/>
    <x v="0"/>
    <n v="2"/>
  </r>
  <r>
    <x v="1"/>
    <x v="2"/>
    <x v="11"/>
    <x v="39"/>
    <x v="97"/>
    <x v="97"/>
    <x v="4"/>
    <s v="N"/>
    <s v="N"/>
    <x v="1"/>
    <x v="0"/>
    <x v="0"/>
    <x v="0"/>
    <s v="성인"/>
    <s v="성인"/>
    <s v="대리점"/>
    <x v="0"/>
    <x v="15"/>
    <x v="0"/>
    <x v="1276"/>
    <s v="HP2637005456"/>
    <x v="1"/>
    <n v="6590800"/>
  </r>
  <r>
    <x v="1"/>
    <x v="2"/>
    <x v="11"/>
    <x v="39"/>
    <x v="97"/>
    <x v="97"/>
    <x v="5"/>
    <s v="N"/>
    <s v="N"/>
    <x v="0"/>
    <x v="0"/>
    <x v="0"/>
    <x v="0"/>
    <m/>
    <m/>
    <s v="대리점"/>
    <x v="0"/>
    <x v="2"/>
    <x v="1"/>
    <x v="1277"/>
    <s v="HP2637037828"/>
    <x v="0"/>
    <n v="0"/>
  </r>
  <r>
    <x v="1"/>
    <x v="2"/>
    <x v="11"/>
    <x v="39"/>
    <x v="97"/>
    <x v="97"/>
    <x v="5"/>
    <s v="N"/>
    <s v="N"/>
    <x v="0"/>
    <x v="0"/>
    <x v="0"/>
    <x v="0"/>
    <m/>
    <m/>
    <s v="대리점"/>
    <x v="0"/>
    <x v="2"/>
    <x v="1"/>
    <x v="1277"/>
    <s v="HP2637037828"/>
    <x v="1"/>
    <n v="112380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0770"/>
    <x v="0"/>
    <n v="1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0770"/>
    <x v="1"/>
    <n v="1400000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1160"/>
    <x v="0"/>
    <n v="2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1160"/>
    <x v="1"/>
    <n v="280000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1"/>
    <x v="1278"/>
    <s v="HQ2637050770"/>
    <x v="0"/>
    <n v="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1"/>
    <x v="1278"/>
    <s v="HQ2637050770"/>
    <x v="1"/>
    <n v="2800000"/>
  </r>
  <r>
    <x v="1"/>
    <x v="2"/>
    <x v="11"/>
    <x v="39"/>
    <x v="97"/>
    <x v="97"/>
    <x v="6"/>
    <s v="N"/>
    <s v="N"/>
    <x v="0"/>
    <x v="0"/>
    <x v="0"/>
    <x v="0"/>
    <m/>
    <m/>
    <s v="대리점"/>
    <x v="0"/>
    <x v="2"/>
    <x v="0"/>
    <x v="1279"/>
    <s v="HP2637059108"/>
    <x v="0"/>
    <n v="6"/>
  </r>
  <r>
    <x v="1"/>
    <x v="2"/>
    <x v="11"/>
    <x v="39"/>
    <x v="97"/>
    <x v="97"/>
    <x v="6"/>
    <s v="N"/>
    <s v="N"/>
    <x v="0"/>
    <x v="0"/>
    <x v="0"/>
    <x v="0"/>
    <m/>
    <m/>
    <s v="대리점"/>
    <x v="0"/>
    <x v="2"/>
    <x v="0"/>
    <x v="1279"/>
    <s v="HP2637059108"/>
    <x v="1"/>
    <n v="2831400"/>
  </r>
  <r>
    <x v="1"/>
    <x v="2"/>
    <x v="11"/>
    <x v="39"/>
    <x v="97"/>
    <x v="97"/>
    <x v="7"/>
    <s v="N"/>
    <s v="Y"/>
    <x v="0"/>
    <x v="0"/>
    <x v="0"/>
    <x v="0"/>
    <s v="성인"/>
    <s v="성인"/>
    <s v="대리점"/>
    <x v="0"/>
    <x v="2"/>
    <x v="0"/>
    <x v="1280"/>
    <s v="HP2637073048"/>
    <x v="0"/>
    <n v="4"/>
  </r>
  <r>
    <x v="1"/>
    <x v="2"/>
    <x v="11"/>
    <x v="39"/>
    <x v="97"/>
    <x v="97"/>
    <x v="7"/>
    <s v="N"/>
    <s v="Y"/>
    <x v="0"/>
    <x v="0"/>
    <x v="0"/>
    <x v="0"/>
    <s v="성인"/>
    <s v="성인"/>
    <s v="대리점"/>
    <x v="0"/>
    <x v="2"/>
    <x v="0"/>
    <x v="1280"/>
    <s v="HP2637073048"/>
    <x v="1"/>
    <n v="2039600"/>
  </r>
  <r>
    <x v="1"/>
    <x v="2"/>
    <x v="11"/>
    <x v="39"/>
    <x v="97"/>
    <x v="97"/>
    <x v="8"/>
    <s v="Y"/>
    <s v="N"/>
    <x v="0"/>
    <x v="0"/>
    <x v="0"/>
    <x v="0"/>
    <s v="성인"/>
    <s v="성인"/>
    <s v="대리점"/>
    <x v="0"/>
    <x v="19"/>
    <x v="0"/>
    <x v="1281"/>
    <s v="HP2637081954"/>
    <x v="0"/>
    <n v="2"/>
  </r>
  <r>
    <x v="1"/>
    <x v="2"/>
    <x v="11"/>
    <x v="39"/>
    <x v="97"/>
    <x v="97"/>
    <x v="8"/>
    <s v="Y"/>
    <s v="N"/>
    <x v="0"/>
    <x v="0"/>
    <x v="0"/>
    <x v="0"/>
    <s v="성인"/>
    <s v="성인"/>
    <s v="대리점"/>
    <x v="0"/>
    <x v="19"/>
    <x v="0"/>
    <x v="1281"/>
    <s v="HP2637081954"/>
    <x v="1"/>
    <n v="1299800"/>
  </r>
  <r>
    <x v="1"/>
    <x v="2"/>
    <x v="11"/>
    <x v="39"/>
    <x v="97"/>
    <x v="97"/>
    <x v="9"/>
    <s v="Y"/>
    <s v="N"/>
    <x v="1"/>
    <x v="0"/>
    <x v="0"/>
    <x v="0"/>
    <s v="성인"/>
    <s v="성인"/>
    <s v="대리점"/>
    <x v="0"/>
    <x v="2"/>
    <x v="0"/>
    <x v="1282"/>
    <s v="HP2637097986"/>
    <x v="0"/>
    <n v="2"/>
  </r>
  <r>
    <x v="1"/>
    <x v="2"/>
    <x v="11"/>
    <x v="39"/>
    <x v="97"/>
    <x v="97"/>
    <x v="9"/>
    <s v="Y"/>
    <s v="N"/>
    <x v="1"/>
    <x v="0"/>
    <x v="0"/>
    <x v="0"/>
    <s v="성인"/>
    <s v="성인"/>
    <s v="대리점"/>
    <x v="0"/>
    <x v="2"/>
    <x v="0"/>
    <x v="1282"/>
    <s v="HP2637097986"/>
    <x v="1"/>
    <n v="6110000"/>
  </r>
  <r>
    <x v="1"/>
    <x v="2"/>
    <x v="11"/>
    <x v="40"/>
    <x v="98"/>
    <x v="98"/>
    <x v="0"/>
    <s v="N"/>
    <s v="N"/>
    <x v="0"/>
    <x v="0"/>
    <x v="0"/>
    <x v="0"/>
    <s v="성인"/>
    <s v="성인"/>
    <s v="대리점"/>
    <x v="0"/>
    <x v="2"/>
    <x v="0"/>
    <x v="1283"/>
    <s v="HP2636931554"/>
    <x v="0"/>
    <n v="2"/>
  </r>
  <r>
    <x v="1"/>
    <x v="2"/>
    <x v="11"/>
    <x v="40"/>
    <x v="98"/>
    <x v="98"/>
    <x v="0"/>
    <s v="N"/>
    <s v="N"/>
    <x v="0"/>
    <x v="0"/>
    <x v="0"/>
    <x v="0"/>
    <s v="성인"/>
    <s v="성인"/>
    <s v="대리점"/>
    <x v="0"/>
    <x v="2"/>
    <x v="0"/>
    <x v="1283"/>
    <s v="HP2636931554"/>
    <x v="1"/>
    <n v="2799800"/>
  </r>
  <r>
    <x v="1"/>
    <x v="2"/>
    <x v="11"/>
    <x v="40"/>
    <x v="98"/>
    <x v="98"/>
    <x v="0"/>
    <s v="N"/>
    <s v="N"/>
    <x v="0"/>
    <x v="0"/>
    <x v="0"/>
    <x v="0"/>
    <m/>
    <m/>
    <s v="대리점"/>
    <x v="0"/>
    <x v="2"/>
    <x v="0"/>
    <x v="1284"/>
    <s v="HP2636926850"/>
    <x v="0"/>
    <n v="2"/>
  </r>
  <r>
    <x v="1"/>
    <x v="2"/>
    <x v="11"/>
    <x v="40"/>
    <x v="98"/>
    <x v="98"/>
    <x v="0"/>
    <s v="N"/>
    <s v="N"/>
    <x v="0"/>
    <x v="0"/>
    <x v="0"/>
    <x v="0"/>
    <m/>
    <m/>
    <s v="대리점"/>
    <x v="0"/>
    <x v="2"/>
    <x v="0"/>
    <x v="1284"/>
    <s v="HP2636926850"/>
    <x v="1"/>
    <n v="1399800"/>
  </r>
  <r>
    <x v="1"/>
    <x v="2"/>
    <x v="11"/>
    <x v="40"/>
    <x v="98"/>
    <x v="98"/>
    <x v="0"/>
    <s v="N"/>
    <s v="N"/>
    <x v="1"/>
    <x v="0"/>
    <x v="0"/>
    <x v="0"/>
    <s v="성인"/>
    <s v="성인"/>
    <s v="대리점"/>
    <x v="0"/>
    <x v="3"/>
    <x v="0"/>
    <x v="1285"/>
    <s v="HP2636934310"/>
    <x v="0"/>
    <n v="3"/>
  </r>
  <r>
    <x v="1"/>
    <x v="2"/>
    <x v="11"/>
    <x v="40"/>
    <x v="98"/>
    <x v="98"/>
    <x v="0"/>
    <s v="N"/>
    <s v="N"/>
    <x v="1"/>
    <x v="0"/>
    <x v="0"/>
    <x v="0"/>
    <s v="성인"/>
    <s v="성인"/>
    <s v="대리점"/>
    <x v="0"/>
    <x v="3"/>
    <x v="0"/>
    <x v="1285"/>
    <s v="HP2636934310"/>
    <x v="1"/>
    <n v="2882700"/>
  </r>
  <r>
    <x v="1"/>
    <x v="2"/>
    <x v="11"/>
    <x v="40"/>
    <x v="98"/>
    <x v="98"/>
    <x v="1"/>
    <s v="N"/>
    <s v="N"/>
    <x v="2"/>
    <x v="0"/>
    <x v="0"/>
    <x v="0"/>
    <s v="성인"/>
    <s v="성인"/>
    <s v="대리점"/>
    <x v="0"/>
    <x v="2"/>
    <x v="0"/>
    <x v="1286"/>
    <s v="HP2636956326"/>
    <x v="0"/>
    <n v="2"/>
  </r>
  <r>
    <x v="1"/>
    <x v="2"/>
    <x v="11"/>
    <x v="40"/>
    <x v="98"/>
    <x v="98"/>
    <x v="1"/>
    <s v="N"/>
    <s v="N"/>
    <x v="2"/>
    <x v="0"/>
    <x v="0"/>
    <x v="0"/>
    <s v="성인"/>
    <s v="성인"/>
    <s v="대리점"/>
    <x v="0"/>
    <x v="2"/>
    <x v="0"/>
    <x v="1286"/>
    <s v="HP2636956326"/>
    <x v="1"/>
    <n v="3499800"/>
  </r>
  <r>
    <x v="1"/>
    <x v="2"/>
    <x v="11"/>
    <x v="40"/>
    <x v="98"/>
    <x v="98"/>
    <x v="2"/>
    <s v="Y"/>
    <s v="Y"/>
    <x v="4"/>
    <x v="2"/>
    <x v="0"/>
    <x v="0"/>
    <m/>
    <m/>
    <s v="직원"/>
    <x v="3"/>
    <x v="2"/>
    <x v="0"/>
    <x v="1287"/>
    <s v="HQ2636962828"/>
    <x v="0"/>
    <n v="10"/>
  </r>
  <r>
    <x v="1"/>
    <x v="2"/>
    <x v="11"/>
    <x v="40"/>
    <x v="98"/>
    <x v="98"/>
    <x v="2"/>
    <s v="Y"/>
    <s v="Y"/>
    <x v="4"/>
    <x v="2"/>
    <x v="0"/>
    <x v="0"/>
    <m/>
    <m/>
    <s v="직원"/>
    <x v="3"/>
    <x v="2"/>
    <x v="0"/>
    <x v="1287"/>
    <s v="HQ2636962828"/>
    <x v="1"/>
    <n v="5400000"/>
  </r>
  <r>
    <x v="1"/>
    <x v="2"/>
    <x v="11"/>
    <x v="40"/>
    <x v="98"/>
    <x v="98"/>
    <x v="2"/>
    <s v="Y"/>
    <s v="Y"/>
    <x v="1"/>
    <x v="0"/>
    <x v="0"/>
    <x v="0"/>
    <s v="성인"/>
    <s v="성인"/>
    <s v="대리점"/>
    <x v="0"/>
    <x v="23"/>
    <x v="0"/>
    <x v="1288"/>
    <s v="HP2636967022"/>
    <x v="0"/>
    <n v="2"/>
  </r>
  <r>
    <x v="1"/>
    <x v="2"/>
    <x v="11"/>
    <x v="40"/>
    <x v="98"/>
    <x v="98"/>
    <x v="2"/>
    <s v="Y"/>
    <s v="Y"/>
    <x v="1"/>
    <x v="0"/>
    <x v="0"/>
    <x v="0"/>
    <s v="성인"/>
    <s v="성인"/>
    <s v="대리점"/>
    <x v="0"/>
    <x v="23"/>
    <x v="0"/>
    <x v="1288"/>
    <s v="HP2636967022"/>
    <x v="1"/>
    <n v="2299800"/>
  </r>
  <r>
    <x v="1"/>
    <x v="2"/>
    <x v="11"/>
    <x v="40"/>
    <x v="98"/>
    <x v="98"/>
    <x v="11"/>
    <s v="Y"/>
    <s v="N"/>
    <x v="1"/>
    <x v="0"/>
    <x v="0"/>
    <x v="0"/>
    <s v="성인"/>
    <s v="성인"/>
    <s v="대리점"/>
    <x v="0"/>
    <x v="2"/>
    <x v="0"/>
    <x v="1289"/>
    <s v="HP2636976090"/>
    <x v="0"/>
    <n v="1"/>
  </r>
  <r>
    <x v="1"/>
    <x v="2"/>
    <x v="11"/>
    <x v="40"/>
    <x v="98"/>
    <x v="98"/>
    <x v="11"/>
    <s v="Y"/>
    <s v="N"/>
    <x v="1"/>
    <x v="0"/>
    <x v="0"/>
    <x v="0"/>
    <s v="성인"/>
    <s v="성인"/>
    <s v="대리점"/>
    <x v="0"/>
    <x v="2"/>
    <x v="0"/>
    <x v="1289"/>
    <s v="HP2636976090"/>
    <x v="1"/>
    <n v="1309900"/>
  </r>
  <r>
    <x v="1"/>
    <x v="2"/>
    <x v="11"/>
    <x v="40"/>
    <x v="98"/>
    <x v="98"/>
    <x v="11"/>
    <s v="Y"/>
    <s v="N"/>
    <x v="1"/>
    <x v="0"/>
    <x v="0"/>
    <x v="0"/>
    <m/>
    <m/>
    <s v="대리점"/>
    <x v="0"/>
    <x v="2"/>
    <x v="0"/>
    <x v="1289"/>
    <s v="HP2636976090"/>
    <x v="0"/>
    <n v="1"/>
  </r>
  <r>
    <x v="1"/>
    <x v="2"/>
    <x v="11"/>
    <x v="40"/>
    <x v="98"/>
    <x v="98"/>
    <x v="11"/>
    <s v="Y"/>
    <s v="N"/>
    <x v="1"/>
    <x v="0"/>
    <x v="0"/>
    <x v="0"/>
    <m/>
    <m/>
    <s v="대리점"/>
    <x v="0"/>
    <x v="2"/>
    <x v="0"/>
    <x v="1289"/>
    <s v="HP2636976090"/>
    <x v="1"/>
    <n v="1309900"/>
  </r>
  <r>
    <x v="1"/>
    <x v="2"/>
    <x v="11"/>
    <x v="40"/>
    <x v="98"/>
    <x v="98"/>
    <x v="5"/>
    <s v="N"/>
    <s v="N"/>
    <x v="0"/>
    <x v="0"/>
    <x v="0"/>
    <x v="0"/>
    <s v="성인"/>
    <s v="성인"/>
    <s v="대리점"/>
    <x v="0"/>
    <x v="2"/>
    <x v="0"/>
    <x v="1290"/>
    <s v="HP2637034888"/>
    <x v="0"/>
    <n v="2"/>
  </r>
  <r>
    <x v="1"/>
    <x v="2"/>
    <x v="11"/>
    <x v="40"/>
    <x v="98"/>
    <x v="98"/>
    <x v="5"/>
    <s v="N"/>
    <s v="N"/>
    <x v="0"/>
    <x v="0"/>
    <x v="0"/>
    <x v="0"/>
    <s v="성인"/>
    <s v="성인"/>
    <s v="대리점"/>
    <x v="0"/>
    <x v="2"/>
    <x v="0"/>
    <x v="1290"/>
    <s v="HP2637034888"/>
    <x v="1"/>
    <n v="2659800"/>
  </r>
  <r>
    <x v="1"/>
    <x v="2"/>
    <x v="11"/>
    <x v="40"/>
    <x v="98"/>
    <x v="98"/>
    <x v="10"/>
    <s v="N"/>
    <s v="N"/>
    <x v="1"/>
    <x v="0"/>
    <x v="0"/>
    <x v="0"/>
    <s v="성인"/>
    <s v="성인"/>
    <s v="대리점"/>
    <x v="0"/>
    <x v="2"/>
    <x v="0"/>
    <x v="140"/>
    <s v="HP2637112342"/>
    <x v="0"/>
    <n v="2"/>
  </r>
  <r>
    <x v="1"/>
    <x v="2"/>
    <x v="11"/>
    <x v="40"/>
    <x v="98"/>
    <x v="98"/>
    <x v="10"/>
    <s v="N"/>
    <s v="N"/>
    <x v="1"/>
    <x v="0"/>
    <x v="0"/>
    <x v="0"/>
    <s v="성인"/>
    <s v="성인"/>
    <s v="대리점"/>
    <x v="0"/>
    <x v="2"/>
    <x v="0"/>
    <x v="140"/>
    <s v="HP2637112342"/>
    <x v="1"/>
    <n v="2659800"/>
  </r>
  <r>
    <x v="1"/>
    <x v="2"/>
    <x v="11"/>
    <x v="41"/>
    <x v="99"/>
    <x v="99"/>
    <x v="0"/>
    <s v="N"/>
    <s v="N"/>
    <x v="1"/>
    <x v="0"/>
    <x v="0"/>
    <x v="0"/>
    <s v="성인"/>
    <s v="성인"/>
    <s v="닷컴"/>
    <x v="4"/>
    <x v="2"/>
    <x v="0"/>
    <x v="1291"/>
    <s v="HP2636932310"/>
    <x v="0"/>
    <n v="5"/>
  </r>
  <r>
    <x v="1"/>
    <x v="2"/>
    <x v="11"/>
    <x v="41"/>
    <x v="99"/>
    <x v="99"/>
    <x v="0"/>
    <s v="N"/>
    <s v="N"/>
    <x v="1"/>
    <x v="0"/>
    <x v="0"/>
    <x v="0"/>
    <s v="성인"/>
    <s v="성인"/>
    <s v="닷컴"/>
    <x v="4"/>
    <x v="2"/>
    <x v="0"/>
    <x v="1291"/>
    <s v="HP2636932310"/>
    <x v="1"/>
    <n v="4538000"/>
  </r>
  <r>
    <x v="1"/>
    <x v="2"/>
    <x v="11"/>
    <x v="41"/>
    <x v="99"/>
    <x v="99"/>
    <x v="0"/>
    <s v="N"/>
    <s v="N"/>
    <x v="1"/>
    <x v="0"/>
    <x v="0"/>
    <x v="0"/>
    <s v="성인"/>
    <s v="성인"/>
    <s v="대리점"/>
    <x v="0"/>
    <x v="2"/>
    <x v="0"/>
    <x v="1292"/>
    <s v="HP2636931872"/>
    <x v="0"/>
    <n v="4"/>
  </r>
  <r>
    <x v="1"/>
    <x v="2"/>
    <x v="11"/>
    <x v="41"/>
    <x v="99"/>
    <x v="99"/>
    <x v="0"/>
    <s v="N"/>
    <s v="N"/>
    <x v="1"/>
    <x v="0"/>
    <x v="0"/>
    <x v="0"/>
    <s v="성인"/>
    <s v="성인"/>
    <s v="대리점"/>
    <x v="0"/>
    <x v="2"/>
    <x v="0"/>
    <x v="1292"/>
    <s v="HP2636931872"/>
    <x v="1"/>
    <n v="5719600"/>
  </r>
  <r>
    <x v="1"/>
    <x v="2"/>
    <x v="11"/>
    <x v="41"/>
    <x v="99"/>
    <x v="99"/>
    <x v="1"/>
    <s v="N"/>
    <s v="N"/>
    <x v="4"/>
    <x v="1"/>
    <x v="0"/>
    <x v="0"/>
    <s v="성인"/>
    <s v="성인"/>
    <s v="닷컴"/>
    <x v="4"/>
    <x v="12"/>
    <x v="0"/>
    <x v="1293"/>
    <s v="HB2636949934"/>
    <x v="0"/>
    <n v="1"/>
  </r>
  <r>
    <x v="1"/>
    <x v="2"/>
    <x v="11"/>
    <x v="41"/>
    <x v="99"/>
    <x v="99"/>
    <x v="1"/>
    <s v="N"/>
    <s v="N"/>
    <x v="4"/>
    <x v="1"/>
    <x v="0"/>
    <x v="0"/>
    <s v="성인"/>
    <s v="성인"/>
    <s v="닷컴"/>
    <x v="4"/>
    <x v="12"/>
    <x v="0"/>
    <x v="1293"/>
    <s v="HB2636949934"/>
    <x v="1"/>
    <n v="689900"/>
  </r>
  <r>
    <x v="1"/>
    <x v="2"/>
    <x v="11"/>
    <x v="41"/>
    <x v="99"/>
    <x v="99"/>
    <x v="1"/>
    <s v="N"/>
    <s v="N"/>
    <x v="4"/>
    <x v="1"/>
    <x v="0"/>
    <x v="0"/>
    <s v="청소년"/>
    <s v="청소년"/>
    <s v="닷컴"/>
    <x v="4"/>
    <x v="12"/>
    <x v="0"/>
    <x v="1293"/>
    <s v="HB2636949934"/>
    <x v="0"/>
    <n v="1"/>
  </r>
  <r>
    <x v="1"/>
    <x v="2"/>
    <x v="11"/>
    <x v="41"/>
    <x v="99"/>
    <x v="99"/>
    <x v="1"/>
    <s v="N"/>
    <s v="N"/>
    <x v="4"/>
    <x v="1"/>
    <x v="0"/>
    <x v="0"/>
    <s v="청소년"/>
    <s v="청소년"/>
    <s v="닷컴"/>
    <x v="4"/>
    <x v="12"/>
    <x v="0"/>
    <x v="1293"/>
    <s v="HB2636949934"/>
    <x v="1"/>
    <n v="689900"/>
  </r>
  <r>
    <x v="1"/>
    <x v="2"/>
    <x v="11"/>
    <x v="41"/>
    <x v="99"/>
    <x v="99"/>
    <x v="1"/>
    <s v="N"/>
    <s v="N"/>
    <x v="0"/>
    <x v="0"/>
    <x v="0"/>
    <x v="0"/>
    <s v="성인"/>
    <s v="성인"/>
    <s v="닷컴"/>
    <x v="5"/>
    <x v="2"/>
    <x v="0"/>
    <x v="1294"/>
    <s v="HP2636916720"/>
    <x v="0"/>
    <n v="1"/>
  </r>
  <r>
    <x v="1"/>
    <x v="2"/>
    <x v="11"/>
    <x v="41"/>
    <x v="99"/>
    <x v="99"/>
    <x v="1"/>
    <s v="N"/>
    <s v="N"/>
    <x v="0"/>
    <x v="0"/>
    <x v="0"/>
    <x v="0"/>
    <s v="성인"/>
    <s v="성인"/>
    <s v="닷컴"/>
    <x v="5"/>
    <x v="2"/>
    <x v="0"/>
    <x v="1294"/>
    <s v="HP2636916720"/>
    <x v="1"/>
    <n v="726900"/>
  </r>
  <r>
    <x v="1"/>
    <x v="2"/>
    <x v="11"/>
    <x v="41"/>
    <x v="99"/>
    <x v="99"/>
    <x v="1"/>
    <s v="N"/>
    <s v="N"/>
    <x v="0"/>
    <x v="0"/>
    <x v="0"/>
    <x v="0"/>
    <s v="성인"/>
    <s v="성인"/>
    <s v="대리점"/>
    <x v="0"/>
    <x v="2"/>
    <x v="0"/>
    <x v="1295"/>
    <s v="HP2636949598"/>
    <x v="0"/>
    <n v="6"/>
  </r>
  <r>
    <x v="1"/>
    <x v="2"/>
    <x v="11"/>
    <x v="41"/>
    <x v="99"/>
    <x v="99"/>
    <x v="1"/>
    <s v="N"/>
    <s v="N"/>
    <x v="0"/>
    <x v="0"/>
    <x v="0"/>
    <x v="0"/>
    <s v="성인"/>
    <s v="성인"/>
    <s v="대리점"/>
    <x v="0"/>
    <x v="2"/>
    <x v="0"/>
    <x v="1295"/>
    <s v="HP2636949598"/>
    <x v="1"/>
    <n v="3719400"/>
  </r>
  <r>
    <x v="1"/>
    <x v="2"/>
    <x v="11"/>
    <x v="41"/>
    <x v="99"/>
    <x v="99"/>
    <x v="1"/>
    <s v="N"/>
    <s v="N"/>
    <x v="0"/>
    <x v="0"/>
    <x v="0"/>
    <x v="0"/>
    <s v="청소년"/>
    <s v="청소년"/>
    <s v="닷컴"/>
    <x v="5"/>
    <x v="2"/>
    <x v="0"/>
    <x v="1294"/>
    <s v="HP2636916720"/>
    <x v="0"/>
    <n v="1"/>
  </r>
  <r>
    <x v="1"/>
    <x v="2"/>
    <x v="11"/>
    <x v="41"/>
    <x v="99"/>
    <x v="99"/>
    <x v="1"/>
    <s v="N"/>
    <s v="N"/>
    <x v="0"/>
    <x v="0"/>
    <x v="0"/>
    <x v="0"/>
    <s v="청소년"/>
    <s v="청소년"/>
    <s v="닷컴"/>
    <x v="5"/>
    <x v="2"/>
    <x v="0"/>
    <x v="1294"/>
    <s v="HP2636916720"/>
    <x v="1"/>
    <n v="726900"/>
  </r>
  <r>
    <x v="1"/>
    <x v="2"/>
    <x v="11"/>
    <x v="41"/>
    <x v="99"/>
    <x v="99"/>
    <x v="2"/>
    <s v="Y"/>
    <s v="Y"/>
    <x v="0"/>
    <x v="0"/>
    <x v="0"/>
    <x v="0"/>
    <s v="성인"/>
    <s v="성인"/>
    <s v="닷컴"/>
    <x v="4"/>
    <x v="6"/>
    <x v="0"/>
    <x v="907"/>
    <s v="HP2636962592"/>
    <x v="0"/>
    <n v="1"/>
  </r>
  <r>
    <x v="1"/>
    <x v="2"/>
    <x v="11"/>
    <x v="41"/>
    <x v="99"/>
    <x v="99"/>
    <x v="2"/>
    <s v="Y"/>
    <s v="Y"/>
    <x v="0"/>
    <x v="0"/>
    <x v="0"/>
    <x v="0"/>
    <s v="성인"/>
    <s v="성인"/>
    <s v="닷컴"/>
    <x v="4"/>
    <x v="6"/>
    <x v="0"/>
    <x v="907"/>
    <s v="HP2636962592"/>
    <x v="1"/>
    <n v="299900"/>
  </r>
  <r>
    <x v="1"/>
    <x v="2"/>
    <x v="11"/>
    <x v="41"/>
    <x v="99"/>
    <x v="99"/>
    <x v="2"/>
    <s v="Y"/>
    <s v="Y"/>
    <x v="1"/>
    <x v="0"/>
    <x v="0"/>
    <x v="0"/>
    <s v="성인"/>
    <s v="성인"/>
    <s v="닷컴"/>
    <x v="4"/>
    <x v="2"/>
    <x v="0"/>
    <x v="1296"/>
    <s v="HP2636969574"/>
    <x v="0"/>
    <n v="2"/>
  </r>
  <r>
    <x v="1"/>
    <x v="2"/>
    <x v="11"/>
    <x v="41"/>
    <x v="99"/>
    <x v="99"/>
    <x v="2"/>
    <s v="Y"/>
    <s v="Y"/>
    <x v="1"/>
    <x v="0"/>
    <x v="0"/>
    <x v="0"/>
    <s v="성인"/>
    <s v="성인"/>
    <s v="닷컴"/>
    <x v="4"/>
    <x v="2"/>
    <x v="0"/>
    <x v="1296"/>
    <s v="HP2636969574"/>
    <x v="1"/>
    <n v="2378000"/>
  </r>
  <r>
    <x v="1"/>
    <x v="2"/>
    <x v="11"/>
    <x v="41"/>
    <x v="99"/>
    <x v="99"/>
    <x v="2"/>
    <s v="Y"/>
    <s v="Y"/>
    <x v="1"/>
    <x v="0"/>
    <x v="0"/>
    <x v="0"/>
    <s v="성인"/>
    <s v="성인"/>
    <s v="대리점"/>
    <x v="0"/>
    <x v="2"/>
    <x v="0"/>
    <x v="1297"/>
    <s v="HP2636965980"/>
    <x v="0"/>
    <n v="4"/>
  </r>
  <r>
    <x v="1"/>
    <x v="2"/>
    <x v="11"/>
    <x v="41"/>
    <x v="99"/>
    <x v="99"/>
    <x v="2"/>
    <s v="Y"/>
    <s v="Y"/>
    <x v="1"/>
    <x v="0"/>
    <x v="0"/>
    <x v="0"/>
    <s v="성인"/>
    <s v="성인"/>
    <s v="대리점"/>
    <x v="0"/>
    <x v="2"/>
    <x v="0"/>
    <x v="1297"/>
    <s v="HP2636965980"/>
    <x v="1"/>
    <n v="5199600"/>
  </r>
  <r>
    <x v="1"/>
    <x v="2"/>
    <x v="11"/>
    <x v="41"/>
    <x v="99"/>
    <x v="99"/>
    <x v="2"/>
    <s v="Y"/>
    <s v="Y"/>
    <x v="1"/>
    <x v="0"/>
    <x v="0"/>
    <x v="1"/>
    <s v="아동"/>
    <s v="아동"/>
    <s v="닷컴"/>
    <x v="4"/>
    <x v="2"/>
    <x v="0"/>
    <x v="1296"/>
    <s v="HP2636969574"/>
    <x v="0"/>
    <n v="1"/>
  </r>
  <r>
    <x v="1"/>
    <x v="2"/>
    <x v="11"/>
    <x v="41"/>
    <x v="99"/>
    <x v="99"/>
    <x v="2"/>
    <s v="Y"/>
    <s v="Y"/>
    <x v="1"/>
    <x v="0"/>
    <x v="0"/>
    <x v="1"/>
    <s v="아동"/>
    <s v="아동"/>
    <s v="닷컴"/>
    <x v="4"/>
    <x v="2"/>
    <x v="0"/>
    <x v="1296"/>
    <s v="HP2636969574"/>
    <x v="1"/>
    <n v="1129550"/>
  </r>
  <r>
    <x v="1"/>
    <x v="2"/>
    <x v="11"/>
    <x v="41"/>
    <x v="99"/>
    <x v="99"/>
    <x v="2"/>
    <s v="Y"/>
    <s v="Y"/>
    <x v="2"/>
    <x v="0"/>
    <x v="0"/>
    <x v="0"/>
    <s v="성인"/>
    <s v="성인"/>
    <s v="대리점"/>
    <x v="0"/>
    <x v="2"/>
    <x v="0"/>
    <x v="1298"/>
    <s v="HP2636971248"/>
    <x v="0"/>
    <n v="4"/>
  </r>
  <r>
    <x v="1"/>
    <x v="2"/>
    <x v="11"/>
    <x v="41"/>
    <x v="99"/>
    <x v="99"/>
    <x v="2"/>
    <s v="Y"/>
    <s v="Y"/>
    <x v="2"/>
    <x v="0"/>
    <x v="0"/>
    <x v="0"/>
    <s v="성인"/>
    <s v="성인"/>
    <s v="대리점"/>
    <x v="0"/>
    <x v="2"/>
    <x v="0"/>
    <x v="1298"/>
    <s v="HP2636971248"/>
    <x v="1"/>
    <n v="4767600"/>
  </r>
  <r>
    <x v="1"/>
    <x v="2"/>
    <x v="11"/>
    <x v="41"/>
    <x v="99"/>
    <x v="99"/>
    <x v="11"/>
    <s v="Y"/>
    <s v="N"/>
    <x v="0"/>
    <x v="0"/>
    <x v="0"/>
    <x v="0"/>
    <s v="성인"/>
    <s v="성인"/>
    <s v="대리점"/>
    <x v="0"/>
    <x v="2"/>
    <x v="0"/>
    <x v="1299"/>
    <s v="HP2636979194"/>
    <x v="0"/>
    <n v="2"/>
  </r>
  <r>
    <x v="1"/>
    <x v="2"/>
    <x v="11"/>
    <x v="41"/>
    <x v="99"/>
    <x v="99"/>
    <x v="11"/>
    <s v="Y"/>
    <s v="N"/>
    <x v="0"/>
    <x v="0"/>
    <x v="0"/>
    <x v="0"/>
    <s v="성인"/>
    <s v="성인"/>
    <s v="대리점"/>
    <x v="0"/>
    <x v="2"/>
    <x v="0"/>
    <x v="1299"/>
    <s v="HP2636979194"/>
    <x v="1"/>
    <n v="2219800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6"/>
    <x v="0"/>
    <x v="907"/>
    <s v="HP2636985986"/>
    <x v="0"/>
    <n v="2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6"/>
    <x v="0"/>
    <x v="907"/>
    <s v="HP2636985986"/>
    <x v="1"/>
    <n v="599800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2"/>
    <x v="0"/>
    <x v="1213"/>
    <s v="HP2636982854"/>
    <x v="0"/>
    <n v="2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2"/>
    <x v="0"/>
    <x v="1213"/>
    <s v="HP2636982854"/>
    <x v="1"/>
    <n v="358000"/>
  </r>
  <r>
    <x v="1"/>
    <x v="2"/>
    <x v="11"/>
    <x v="41"/>
    <x v="99"/>
    <x v="99"/>
    <x v="4"/>
    <s v="N"/>
    <s v="N"/>
    <x v="4"/>
    <x v="2"/>
    <x v="0"/>
    <x v="0"/>
    <s v="성인"/>
    <s v="성인"/>
    <s v="대리점"/>
    <x v="0"/>
    <x v="2"/>
    <x v="0"/>
    <x v="1300"/>
    <s v="HP2635204216"/>
    <x v="0"/>
    <n v="1"/>
  </r>
  <r>
    <x v="1"/>
    <x v="2"/>
    <x v="11"/>
    <x v="41"/>
    <x v="99"/>
    <x v="99"/>
    <x v="4"/>
    <s v="N"/>
    <s v="N"/>
    <x v="4"/>
    <x v="2"/>
    <x v="0"/>
    <x v="0"/>
    <s v="성인"/>
    <s v="성인"/>
    <s v="대리점"/>
    <x v="0"/>
    <x v="2"/>
    <x v="0"/>
    <x v="1300"/>
    <s v="HP2635204216"/>
    <x v="1"/>
    <n v="1175000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301"/>
    <s v="HP2637003604"/>
    <x v="0"/>
    <n v="8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301"/>
    <s v="HP2637003604"/>
    <x v="1"/>
    <n v="6719200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294"/>
    <s v="HP2636916720"/>
    <x v="0"/>
    <n v="1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294"/>
    <s v="HP2636916720"/>
    <x v="1"/>
    <n v="726900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4"/>
    <x v="14"/>
    <x v="0"/>
    <x v="1302"/>
    <s v="HP2637016472"/>
    <x v="0"/>
    <n v="1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4"/>
    <x v="14"/>
    <x v="0"/>
    <x v="1302"/>
    <s v="HP2637016472"/>
    <x v="1"/>
    <n v="499000"/>
  </r>
  <r>
    <x v="1"/>
    <x v="2"/>
    <x v="11"/>
    <x v="41"/>
    <x v="99"/>
    <x v="99"/>
    <x v="4"/>
    <s v="N"/>
    <s v="N"/>
    <x v="0"/>
    <x v="0"/>
    <x v="0"/>
    <x v="0"/>
    <s v="성인"/>
    <s v="성인"/>
    <s v="대리점"/>
    <x v="0"/>
    <x v="17"/>
    <x v="0"/>
    <x v="1303"/>
    <s v="HP2637001926"/>
    <x v="0"/>
    <n v="1"/>
  </r>
  <r>
    <x v="1"/>
    <x v="2"/>
    <x v="11"/>
    <x v="41"/>
    <x v="99"/>
    <x v="99"/>
    <x v="4"/>
    <s v="N"/>
    <s v="N"/>
    <x v="0"/>
    <x v="0"/>
    <x v="0"/>
    <x v="0"/>
    <s v="성인"/>
    <s v="성인"/>
    <s v="대리점"/>
    <x v="0"/>
    <x v="17"/>
    <x v="0"/>
    <x v="1303"/>
    <s v="HP2637001926"/>
    <x v="1"/>
    <n v="802900"/>
  </r>
  <r>
    <x v="1"/>
    <x v="2"/>
    <x v="11"/>
    <x v="41"/>
    <x v="99"/>
    <x v="99"/>
    <x v="5"/>
    <s v="N"/>
    <s v="N"/>
    <x v="0"/>
    <x v="0"/>
    <x v="0"/>
    <x v="0"/>
    <s v="성인"/>
    <s v="성인"/>
    <s v="닷컴"/>
    <x v="5"/>
    <x v="2"/>
    <x v="0"/>
    <x v="1304"/>
    <s v="HP2637041352"/>
    <x v="0"/>
    <n v="3"/>
  </r>
  <r>
    <x v="1"/>
    <x v="2"/>
    <x v="11"/>
    <x v="41"/>
    <x v="99"/>
    <x v="99"/>
    <x v="5"/>
    <s v="N"/>
    <s v="N"/>
    <x v="0"/>
    <x v="0"/>
    <x v="0"/>
    <x v="0"/>
    <s v="성인"/>
    <s v="성인"/>
    <s v="닷컴"/>
    <x v="5"/>
    <x v="2"/>
    <x v="0"/>
    <x v="1304"/>
    <s v="HP2637041352"/>
    <x v="1"/>
    <n v="2010000"/>
  </r>
  <r>
    <x v="1"/>
    <x v="2"/>
    <x v="11"/>
    <x v="41"/>
    <x v="99"/>
    <x v="99"/>
    <x v="5"/>
    <s v="N"/>
    <s v="N"/>
    <x v="0"/>
    <x v="0"/>
    <x v="0"/>
    <x v="0"/>
    <m/>
    <m/>
    <s v="대리점"/>
    <x v="0"/>
    <x v="19"/>
    <x v="1"/>
    <x v="1305"/>
    <s v="HP2637034004"/>
    <x v="0"/>
    <n v="0"/>
  </r>
  <r>
    <x v="1"/>
    <x v="2"/>
    <x v="11"/>
    <x v="41"/>
    <x v="99"/>
    <x v="99"/>
    <x v="5"/>
    <s v="N"/>
    <s v="N"/>
    <x v="0"/>
    <x v="0"/>
    <x v="0"/>
    <x v="0"/>
    <m/>
    <m/>
    <s v="대리점"/>
    <x v="0"/>
    <x v="19"/>
    <x v="1"/>
    <x v="1305"/>
    <s v="HP2637034004"/>
    <x v="1"/>
    <n v="1053800"/>
  </r>
  <r>
    <x v="1"/>
    <x v="2"/>
    <x v="11"/>
    <x v="41"/>
    <x v="99"/>
    <x v="99"/>
    <x v="5"/>
    <s v="N"/>
    <s v="N"/>
    <x v="1"/>
    <x v="0"/>
    <x v="0"/>
    <x v="0"/>
    <s v="성인"/>
    <s v="성인"/>
    <s v="닷컴"/>
    <x v="5"/>
    <x v="2"/>
    <x v="0"/>
    <x v="1306"/>
    <s v="HP2637024038"/>
    <x v="0"/>
    <n v="2"/>
  </r>
  <r>
    <x v="1"/>
    <x v="2"/>
    <x v="11"/>
    <x v="41"/>
    <x v="99"/>
    <x v="99"/>
    <x v="5"/>
    <s v="N"/>
    <s v="N"/>
    <x v="1"/>
    <x v="0"/>
    <x v="0"/>
    <x v="0"/>
    <s v="성인"/>
    <s v="성인"/>
    <s v="닷컴"/>
    <x v="5"/>
    <x v="2"/>
    <x v="0"/>
    <x v="1306"/>
    <s v="HP2637024038"/>
    <x v="1"/>
    <n v="1299800"/>
  </r>
  <r>
    <x v="1"/>
    <x v="2"/>
    <x v="11"/>
    <x v="41"/>
    <x v="99"/>
    <x v="99"/>
    <x v="5"/>
    <s v="N"/>
    <s v="N"/>
    <x v="1"/>
    <x v="0"/>
    <x v="0"/>
    <x v="0"/>
    <s v="성인"/>
    <s v="성인"/>
    <s v="대리점"/>
    <x v="0"/>
    <x v="2"/>
    <x v="0"/>
    <x v="1307"/>
    <s v="HP2637032446"/>
    <x v="0"/>
    <n v="3"/>
  </r>
  <r>
    <x v="1"/>
    <x v="2"/>
    <x v="11"/>
    <x v="41"/>
    <x v="99"/>
    <x v="99"/>
    <x v="5"/>
    <s v="N"/>
    <s v="N"/>
    <x v="1"/>
    <x v="0"/>
    <x v="0"/>
    <x v="0"/>
    <s v="성인"/>
    <s v="성인"/>
    <s v="대리점"/>
    <x v="0"/>
    <x v="2"/>
    <x v="0"/>
    <x v="1307"/>
    <s v="HP2637032446"/>
    <x v="1"/>
    <n v="4049700"/>
  </r>
  <r>
    <x v="1"/>
    <x v="2"/>
    <x v="11"/>
    <x v="41"/>
    <x v="99"/>
    <x v="99"/>
    <x v="7"/>
    <s v="N"/>
    <s v="Y"/>
    <x v="0"/>
    <x v="0"/>
    <x v="0"/>
    <x v="0"/>
    <s v="성인"/>
    <s v="성인"/>
    <s v="닷컴"/>
    <x v="4"/>
    <x v="2"/>
    <x v="0"/>
    <x v="1308"/>
    <s v="HP2637068798"/>
    <x v="0"/>
    <n v="2"/>
  </r>
  <r>
    <x v="1"/>
    <x v="2"/>
    <x v="11"/>
    <x v="41"/>
    <x v="99"/>
    <x v="99"/>
    <x v="7"/>
    <s v="N"/>
    <s v="Y"/>
    <x v="0"/>
    <x v="0"/>
    <x v="0"/>
    <x v="0"/>
    <s v="성인"/>
    <s v="성인"/>
    <s v="닷컴"/>
    <x v="4"/>
    <x v="2"/>
    <x v="0"/>
    <x v="1308"/>
    <s v="HP2637068798"/>
    <x v="1"/>
    <n v="1153800"/>
  </r>
  <r>
    <x v="1"/>
    <x v="2"/>
    <x v="11"/>
    <x v="41"/>
    <x v="99"/>
    <x v="99"/>
    <x v="7"/>
    <s v="N"/>
    <s v="Y"/>
    <x v="0"/>
    <x v="0"/>
    <x v="0"/>
    <x v="0"/>
    <s v="성인"/>
    <s v="성인"/>
    <s v="대리점"/>
    <x v="0"/>
    <x v="17"/>
    <x v="0"/>
    <x v="1028"/>
    <s v="HP2637071254"/>
    <x v="0"/>
    <n v="2"/>
  </r>
  <r>
    <x v="1"/>
    <x v="2"/>
    <x v="11"/>
    <x v="41"/>
    <x v="99"/>
    <x v="99"/>
    <x v="7"/>
    <s v="N"/>
    <s v="Y"/>
    <x v="0"/>
    <x v="0"/>
    <x v="0"/>
    <x v="0"/>
    <s v="성인"/>
    <s v="성인"/>
    <s v="대리점"/>
    <x v="0"/>
    <x v="17"/>
    <x v="0"/>
    <x v="1028"/>
    <s v="HP2637071254"/>
    <x v="1"/>
    <n v="2411800"/>
  </r>
  <r>
    <x v="1"/>
    <x v="2"/>
    <x v="11"/>
    <x v="41"/>
    <x v="99"/>
    <x v="99"/>
    <x v="7"/>
    <s v="N"/>
    <s v="Y"/>
    <x v="0"/>
    <x v="0"/>
    <x v="0"/>
    <x v="0"/>
    <m/>
    <m/>
    <s v="닷컴"/>
    <x v="4"/>
    <x v="2"/>
    <x v="0"/>
    <x v="1308"/>
    <s v="HP2637068798"/>
    <x v="0"/>
    <n v="1"/>
  </r>
  <r>
    <x v="1"/>
    <x v="2"/>
    <x v="11"/>
    <x v="41"/>
    <x v="99"/>
    <x v="99"/>
    <x v="7"/>
    <s v="N"/>
    <s v="Y"/>
    <x v="0"/>
    <x v="0"/>
    <x v="0"/>
    <x v="0"/>
    <m/>
    <m/>
    <s v="닷컴"/>
    <x v="4"/>
    <x v="2"/>
    <x v="0"/>
    <x v="1308"/>
    <s v="HP2637068798"/>
    <x v="1"/>
    <n v="576900"/>
  </r>
  <r>
    <x v="1"/>
    <x v="2"/>
    <x v="11"/>
    <x v="41"/>
    <x v="99"/>
    <x v="99"/>
    <x v="7"/>
    <s v="N"/>
    <s v="Y"/>
    <x v="1"/>
    <x v="0"/>
    <x v="0"/>
    <x v="0"/>
    <s v="성인"/>
    <s v="성인"/>
    <s v="닷컴"/>
    <x v="4"/>
    <x v="3"/>
    <x v="0"/>
    <x v="1309"/>
    <s v="HP2637074650"/>
    <x v="0"/>
    <n v="6"/>
  </r>
  <r>
    <x v="1"/>
    <x v="2"/>
    <x v="11"/>
    <x v="41"/>
    <x v="99"/>
    <x v="99"/>
    <x v="7"/>
    <s v="N"/>
    <s v="Y"/>
    <x v="1"/>
    <x v="0"/>
    <x v="0"/>
    <x v="0"/>
    <s v="성인"/>
    <s v="성인"/>
    <s v="닷컴"/>
    <x v="4"/>
    <x v="3"/>
    <x v="0"/>
    <x v="1309"/>
    <s v="HP2637074650"/>
    <x v="1"/>
    <n v="7494000"/>
  </r>
  <r>
    <x v="1"/>
    <x v="2"/>
    <x v="11"/>
    <x v="41"/>
    <x v="99"/>
    <x v="99"/>
    <x v="8"/>
    <s v="Y"/>
    <s v="N"/>
    <x v="0"/>
    <x v="0"/>
    <x v="0"/>
    <x v="0"/>
    <s v="성인"/>
    <s v="성인"/>
    <s v="닷컴"/>
    <x v="4"/>
    <x v="2"/>
    <x v="0"/>
    <x v="741"/>
    <s v="HP2637087020"/>
    <x v="0"/>
    <n v="1"/>
  </r>
  <r>
    <x v="1"/>
    <x v="2"/>
    <x v="11"/>
    <x v="41"/>
    <x v="99"/>
    <x v="99"/>
    <x v="8"/>
    <s v="Y"/>
    <s v="N"/>
    <x v="0"/>
    <x v="0"/>
    <x v="0"/>
    <x v="0"/>
    <s v="성인"/>
    <s v="성인"/>
    <s v="닷컴"/>
    <x v="4"/>
    <x v="2"/>
    <x v="0"/>
    <x v="741"/>
    <s v="HP2637087020"/>
    <x v="1"/>
    <n v="1044900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0"/>
    <s v="HP2637086210"/>
    <x v="0"/>
    <n v="2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0"/>
    <s v="HP2637086210"/>
    <x v="1"/>
    <n v="995200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1"/>
    <s v="HP2637084656"/>
    <x v="0"/>
    <n v="3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1"/>
    <s v="HP2637084656"/>
    <x v="1"/>
    <n v="2099700"/>
  </r>
  <r>
    <x v="1"/>
    <x v="2"/>
    <x v="11"/>
    <x v="41"/>
    <x v="99"/>
    <x v="99"/>
    <x v="9"/>
    <s v="Y"/>
    <s v="N"/>
    <x v="1"/>
    <x v="0"/>
    <x v="0"/>
    <x v="0"/>
    <s v="성인"/>
    <s v="성인"/>
    <s v="닷컴"/>
    <x v="4"/>
    <x v="2"/>
    <x v="0"/>
    <x v="1312"/>
    <s v="HP2637097540"/>
    <x v="0"/>
    <n v="1"/>
  </r>
  <r>
    <x v="1"/>
    <x v="2"/>
    <x v="11"/>
    <x v="41"/>
    <x v="99"/>
    <x v="99"/>
    <x v="9"/>
    <s v="Y"/>
    <s v="N"/>
    <x v="1"/>
    <x v="0"/>
    <x v="0"/>
    <x v="0"/>
    <s v="성인"/>
    <s v="성인"/>
    <s v="닷컴"/>
    <x v="4"/>
    <x v="2"/>
    <x v="0"/>
    <x v="1312"/>
    <s v="HP2637097540"/>
    <x v="1"/>
    <n v="951900"/>
  </r>
  <r>
    <x v="1"/>
    <x v="2"/>
    <x v="11"/>
    <x v="41"/>
    <x v="99"/>
    <x v="99"/>
    <x v="9"/>
    <s v="Y"/>
    <s v="N"/>
    <x v="1"/>
    <x v="0"/>
    <x v="0"/>
    <x v="0"/>
    <s v="청소년"/>
    <s v="청소년"/>
    <s v="닷컴"/>
    <x v="4"/>
    <x v="2"/>
    <x v="0"/>
    <x v="1312"/>
    <s v="HP2637097540"/>
    <x v="0"/>
    <n v="1"/>
  </r>
  <r>
    <x v="1"/>
    <x v="2"/>
    <x v="11"/>
    <x v="41"/>
    <x v="99"/>
    <x v="99"/>
    <x v="9"/>
    <s v="Y"/>
    <s v="N"/>
    <x v="1"/>
    <x v="0"/>
    <x v="0"/>
    <x v="0"/>
    <s v="청소년"/>
    <s v="청소년"/>
    <s v="닷컴"/>
    <x v="4"/>
    <x v="2"/>
    <x v="0"/>
    <x v="1312"/>
    <s v="HP2637097540"/>
    <x v="1"/>
    <n v="951900"/>
  </r>
  <r>
    <x v="1"/>
    <x v="2"/>
    <x v="11"/>
    <x v="41"/>
    <x v="99"/>
    <x v="99"/>
    <x v="10"/>
    <s v="N"/>
    <s v="N"/>
    <x v="4"/>
    <x v="1"/>
    <x v="0"/>
    <x v="0"/>
    <s v="성인"/>
    <s v="성인"/>
    <s v="닷컴"/>
    <x v="4"/>
    <x v="12"/>
    <x v="0"/>
    <x v="1313"/>
    <s v="HB2637128006"/>
    <x v="0"/>
    <n v="3"/>
  </r>
  <r>
    <x v="1"/>
    <x v="2"/>
    <x v="11"/>
    <x v="41"/>
    <x v="99"/>
    <x v="99"/>
    <x v="10"/>
    <s v="N"/>
    <s v="N"/>
    <x v="4"/>
    <x v="1"/>
    <x v="0"/>
    <x v="0"/>
    <s v="성인"/>
    <s v="성인"/>
    <s v="닷컴"/>
    <x v="4"/>
    <x v="12"/>
    <x v="0"/>
    <x v="1313"/>
    <s v="HB2637128006"/>
    <x v="1"/>
    <n v="924000"/>
  </r>
  <r>
    <x v="1"/>
    <x v="2"/>
    <x v="11"/>
    <x v="41"/>
    <x v="99"/>
    <x v="99"/>
    <x v="10"/>
    <s v="N"/>
    <s v="N"/>
    <x v="4"/>
    <x v="1"/>
    <x v="0"/>
    <x v="0"/>
    <m/>
    <m/>
    <s v="대리점"/>
    <x v="0"/>
    <x v="12"/>
    <x v="1"/>
    <x v="1314"/>
    <s v="HB2637115990"/>
    <x v="0"/>
    <n v="0"/>
  </r>
  <r>
    <x v="1"/>
    <x v="2"/>
    <x v="11"/>
    <x v="41"/>
    <x v="99"/>
    <x v="99"/>
    <x v="10"/>
    <s v="N"/>
    <s v="N"/>
    <x v="4"/>
    <x v="1"/>
    <x v="0"/>
    <x v="0"/>
    <m/>
    <m/>
    <s v="대리점"/>
    <x v="0"/>
    <x v="12"/>
    <x v="1"/>
    <x v="1314"/>
    <s v="HB2637115990"/>
    <x v="1"/>
    <n v="1529700"/>
  </r>
  <r>
    <x v="1"/>
    <x v="2"/>
    <x v="11"/>
    <x v="41"/>
    <x v="99"/>
    <x v="99"/>
    <x v="10"/>
    <s v="N"/>
    <s v="N"/>
    <x v="0"/>
    <x v="0"/>
    <x v="0"/>
    <x v="0"/>
    <m/>
    <m/>
    <s v="닷컴"/>
    <x v="4"/>
    <x v="2"/>
    <x v="0"/>
    <x v="1315"/>
    <s v="HP2637120000"/>
    <x v="0"/>
    <n v="3"/>
  </r>
  <r>
    <x v="1"/>
    <x v="2"/>
    <x v="11"/>
    <x v="41"/>
    <x v="99"/>
    <x v="99"/>
    <x v="10"/>
    <s v="N"/>
    <s v="N"/>
    <x v="0"/>
    <x v="0"/>
    <x v="0"/>
    <x v="0"/>
    <m/>
    <m/>
    <s v="닷컴"/>
    <x v="4"/>
    <x v="2"/>
    <x v="0"/>
    <x v="1315"/>
    <s v="HP2637120000"/>
    <x v="1"/>
    <n v="1199700"/>
  </r>
  <r>
    <x v="1"/>
    <x v="2"/>
    <x v="11"/>
    <x v="41"/>
    <x v="99"/>
    <x v="99"/>
    <x v="10"/>
    <s v="N"/>
    <s v="N"/>
    <x v="0"/>
    <x v="0"/>
    <x v="0"/>
    <x v="0"/>
    <m/>
    <m/>
    <s v="대리점"/>
    <x v="0"/>
    <x v="2"/>
    <x v="0"/>
    <x v="1316"/>
    <s v="HP2637112898"/>
    <x v="0"/>
    <n v="4"/>
  </r>
  <r>
    <x v="1"/>
    <x v="2"/>
    <x v="11"/>
    <x v="41"/>
    <x v="99"/>
    <x v="99"/>
    <x v="10"/>
    <s v="N"/>
    <s v="N"/>
    <x v="0"/>
    <x v="0"/>
    <x v="0"/>
    <x v="0"/>
    <m/>
    <m/>
    <s v="대리점"/>
    <x v="0"/>
    <x v="2"/>
    <x v="0"/>
    <x v="1316"/>
    <s v="HP2637112898"/>
    <x v="1"/>
    <n v="2763600"/>
  </r>
  <r>
    <x v="1"/>
    <x v="2"/>
    <x v="11"/>
    <x v="41"/>
    <x v="99"/>
    <x v="99"/>
    <x v="10"/>
    <s v="N"/>
    <s v="N"/>
    <x v="0"/>
    <x v="0"/>
    <x v="0"/>
    <x v="1"/>
    <m/>
    <m/>
    <s v="닷컴"/>
    <x v="4"/>
    <x v="2"/>
    <x v="0"/>
    <x v="1315"/>
    <s v="HP2637120000"/>
    <x v="0"/>
    <n v="2"/>
  </r>
  <r>
    <x v="1"/>
    <x v="2"/>
    <x v="11"/>
    <x v="41"/>
    <x v="99"/>
    <x v="99"/>
    <x v="10"/>
    <s v="N"/>
    <s v="N"/>
    <x v="0"/>
    <x v="0"/>
    <x v="0"/>
    <x v="1"/>
    <m/>
    <m/>
    <s v="닷컴"/>
    <x v="4"/>
    <x v="2"/>
    <x v="0"/>
    <x v="1315"/>
    <s v="HP2637120000"/>
    <x v="1"/>
    <n v="799800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7"/>
    <s v="HP2636926586"/>
    <x v="0"/>
    <n v="4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7"/>
    <s v="HP2636926586"/>
    <x v="1"/>
    <n v="1844000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8"/>
    <s v="HP2636926636"/>
    <x v="0"/>
    <n v="2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8"/>
    <s v="HP2636926636"/>
    <x v="1"/>
    <n v="982000"/>
  </r>
  <r>
    <x v="1"/>
    <x v="2"/>
    <x v="11"/>
    <x v="42"/>
    <x v="100"/>
    <x v="100"/>
    <x v="0"/>
    <s v="N"/>
    <s v="N"/>
    <x v="0"/>
    <x v="0"/>
    <x v="0"/>
    <x v="0"/>
    <s v="청소년"/>
    <s v="청소년"/>
    <s v="대리점"/>
    <x v="0"/>
    <x v="2"/>
    <x v="0"/>
    <x v="1318"/>
    <s v="HP2636926636"/>
    <x v="0"/>
    <n v="1"/>
  </r>
  <r>
    <x v="1"/>
    <x v="2"/>
    <x v="11"/>
    <x v="42"/>
    <x v="100"/>
    <x v="100"/>
    <x v="0"/>
    <s v="N"/>
    <s v="N"/>
    <x v="0"/>
    <x v="0"/>
    <x v="0"/>
    <x v="0"/>
    <s v="청소년"/>
    <s v="청소년"/>
    <s v="대리점"/>
    <x v="0"/>
    <x v="2"/>
    <x v="0"/>
    <x v="1318"/>
    <s v="HP2636926636"/>
    <x v="1"/>
    <n v="491000"/>
  </r>
  <r>
    <x v="1"/>
    <x v="2"/>
    <x v="11"/>
    <x v="42"/>
    <x v="100"/>
    <x v="100"/>
    <x v="0"/>
    <s v="N"/>
    <s v="N"/>
    <x v="0"/>
    <x v="0"/>
    <x v="0"/>
    <x v="0"/>
    <m/>
    <m/>
    <s v="대리점"/>
    <x v="0"/>
    <x v="2"/>
    <x v="0"/>
    <x v="1318"/>
    <s v="HP2636926636"/>
    <x v="0"/>
    <n v="1"/>
  </r>
  <r>
    <x v="1"/>
    <x v="2"/>
    <x v="11"/>
    <x v="42"/>
    <x v="100"/>
    <x v="100"/>
    <x v="0"/>
    <s v="N"/>
    <s v="N"/>
    <x v="0"/>
    <x v="0"/>
    <x v="0"/>
    <x v="0"/>
    <m/>
    <m/>
    <s v="대리점"/>
    <x v="0"/>
    <x v="2"/>
    <x v="0"/>
    <x v="1318"/>
    <s v="HP2636926636"/>
    <x v="1"/>
    <n v="491000"/>
  </r>
  <r>
    <x v="1"/>
    <x v="2"/>
    <x v="11"/>
    <x v="42"/>
    <x v="100"/>
    <x v="100"/>
    <x v="0"/>
    <s v="N"/>
    <s v="N"/>
    <x v="0"/>
    <x v="0"/>
    <x v="0"/>
    <x v="1"/>
    <s v="아동"/>
    <s v="아동"/>
    <s v="대리점"/>
    <x v="0"/>
    <x v="2"/>
    <x v="0"/>
    <x v="1318"/>
    <s v="HP2636926636"/>
    <x v="0"/>
    <n v="1"/>
  </r>
  <r>
    <x v="1"/>
    <x v="2"/>
    <x v="11"/>
    <x v="42"/>
    <x v="100"/>
    <x v="100"/>
    <x v="0"/>
    <s v="N"/>
    <s v="N"/>
    <x v="0"/>
    <x v="0"/>
    <x v="0"/>
    <x v="1"/>
    <s v="아동"/>
    <s v="아동"/>
    <s v="대리점"/>
    <x v="0"/>
    <x v="2"/>
    <x v="0"/>
    <x v="1318"/>
    <s v="HP2636926636"/>
    <x v="1"/>
    <n v="491000"/>
  </r>
  <r>
    <x v="1"/>
    <x v="2"/>
    <x v="11"/>
    <x v="42"/>
    <x v="100"/>
    <x v="100"/>
    <x v="1"/>
    <s v="N"/>
    <s v="N"/>
    <x v="0"/>
    <x v="0"/>
    <x v="0"/>
    <x v="0"/>
    <s v="성인"/>
    <s v="성인"/>
    <s v="대리점"/>
    <x v="0"/>
    <x v="2"/>
    <x v="0"/>
    <x v="1317"/>
    <s v="HP2636926586"/>
    <x v="0"/>
    <n v="2"/>
  </r>
  <r>
    <x v="1"/>
    <x v="2"/>
    <x v="11"/>
    <x v="42"/>
    <x v="100"/>
    <x v="100"/>
    <x v="1"/>
    <s v="N"/>
    <s v="N"/>
    <x v="0"/>
    <x v="0"/>
    <x v="0"/>
    <x v="0"/>
    <s v="성인"/>
    <s v="성인"/>
    <s v="대리점"/>
    <x v="0"/>
    <x v="2"/>
    <x v="0"/>
    <x v="1317"/>
    <s v="HP2636926586"/>
    <x v="1"/>
    <n v="922000"/>
  </r>
  <r>
    <x v="1"/>
    <x v="2"/>
    <x v="11"/>
    <x v="42"/>
    <x v="100"/>
    <x v="100"/>
    <x v="11"/>
    <s v="Y"/>
    <s v="N"/>
    <x v="0"/>
    <x v="0"/>
    <x v="0"/>
    <x v="0"/>
    <s v="성인"/>
    <s v="성인"/>
    <s v="닷컴"/>
    <x v="5"/>
    <x v="2"/>
    <x v="0"/>
    <x v="1319"/>
    <s v="HP2636972854"/>
    <x v="0"/>
    <n v="2"/>
  </r>
  <r>
    <x v="1"/>
    <x v="2"/>
    <x v="11"/>
    <x v="42"/>
    <x v="100"/>
    <x v="100"/>
    <x v="11"/>
    <s v="Y"/>
    <s v="N"/>
    <x v="0"/>
    <x v="0"/>
    <x v="0"/>
    <x v="0"/>
    <s v="성인"/>
    <s v="성인"/>
    <s v="닷컴"/>
    <x v="5"/>
    <x v="2"/>
    <x v="0"/>
    <x v="1319"/>
    <s v="HP2636972854"/>
    <x v="1"/>
    <n v="1222000"/>
  </r>
  <r>
    <x v="1"/>
    <x v="2"/>
    <x v="11"/>
    <x v="42"/>
    <x v="100"/>
    <x v="100"/>
    <x v="4"/>
    <s v="N"/>
    <s v="N"/>
    <x v="1"/>
    <x v="0"/>
    <x v="0"/>
    <x v="0"/>
    <s v="성인"/>
    <s v="성인"/>
    <s v="대리점"/>
    <x v="0"/>
    <x v="2"/>
    <x v="0"/>
    <x v="1320"/>
    <s v="HP2636999326"/>
    <x v="0"/>
    <n v="2"/>
  </r>
  <r>
    <x v="1"/>
    <x v="2"/>
    <x v="11"/>
    <x v="42"/>
    <x v="100"/>
    <x v="100"/>
    <x v="4"/>
    <s v="N"/>
    <s v="N"/>
    <x v="1"/>
    <x v="0"/>
    <x v="0"/>
    <x v="0"/>
    <s v="성인"/>
    <s v="성인"/>
    <s v="대리점"/>
    <x v="0"/>
    <x v="2"/>
    <x v="0"/>
    <x v="1320"/>
    <s v="HP2636999326"/>
    <x v="1"/>
    <n v="2536000"/>
  </r>
  <r>
    <x v="1"/>
    <x v="2"/>
    <x v="11"/>
    <x v="42"/>
    <x v="100"/>
    <x v="100"/>
    <x v="4"/>
    <s v="N"/>
    <s v="N"/>
    <x v="1"/>
    <x v="0"/>
    <x v="0"/>
    <x v="0"/>
    <m/>
    <m/>
    <s v="대리점"/>
    <x v="0"/>
    <x v="2"/>
    <x v="0"/>
    <x v="1321"/>
    <s v="HP2637005658"/>
    <x v="0"/>
    <n v="5"/>
  </r>
  <r>
    <x v="1"/>
    <x v="2"/>
    <x v="11"/>
    <x v="42"/>
    <x v="100"/>
    <x v="100"/>
    <x v="4"/>
    <s v="N"/>
    <s v="N"/>
    <x v="1"/>
    <x v="0"/>
    <x v="0"/>
    <x v="0"/>
    <m/>
    <m/>
    <s v="대리점"/>
    <x v="0"/>
    <x v="2"/>
    <x v="0"/>
    <x v="1321"/>
    <s v="HP2637005658"/>
    <x v="1"/>
    <n v="5805000"/>
  </r>
  <r>
    <x v="1"/>
    <x v="2"/>
    <x v="11"/>
    <x v="42"/>
    <x v="100"/>
    <x v="100"/>
    <x v="5"/>
    <s v="N"/>
    <s v="N"/>
    <x v="4"/>
    <x v="2"/>
    <x v="0"/>
    <x v="0"/>
    <m/>
    <m/>
    <s v="대리점"/>
    <x v="0"/>
    <x v="2"/>
    <x v="0"/>
    <x v="1322"/>
    <s v="HQ2637030206"/>
    <x v="0"/>
    <n v="14"/>
  </r>
  <r>
    <x v="1"/>
    <x v="2"/>
    <x v="11"/>
    <x v="42"/>
    <x v="100"/>
    <x v="100"/>
    <x v="5"/>
    <s v="N"/>
    <s v="N"/>
    <x v="4"/>
    <x v="2"/>
    <x v="0"/>
    <x v="0"/>
    <m/>
    <m/>
    <s v="대리점"/>
    <x v="0"/>
    <x v="2"/>
    <x v="0"/>
    <x v="1322"/>
    <s v="HQ2637030206"/>
    <x v="1"/>
    <n v="25200000"/>
  </r>
  <r>
    <x v="1"/>
    <x v="2"/>
    <x v="11"/>
    <x v="42"/>
    <x v="100"/>
    <x v="100"/>
    <x v="5"/>
    <s v="N"/>
    <s v="N"/>
    <x v="0"/>
    <x v="0"/>
    <x v="0"/>
    <x v="0"/>
    <s v="성인"/>
    <s v="성인"/>
    <s v="닷컴"/>
    <x v="4"/>
    <x v="2"/>
    <x v="0"/>
    <x v="1323"/>
    <s v="HP2637025932"/>
    <x v="0"/>
    <n v="1"/>
  </r>
  <r>
    <x v="1"/>
    <x v="2"/>
    <x v="11"/>
    <x v="42"/>
    <x v="100"/>
    <x v="100"/>
    <x v="5"/>
    <s v="N"/>
    <s v="N"/>
    <x v="0"/>
    <x v="0"/>
    <x v="0"/>
    <x v="0"/>
    <s v="성인"/>
    <s v="성인"/>
    <s v="닷컴"/>
    <x v="4"/>
    <x v="2"/>
    <x v="0"/>
    <x v="1323"/>
    <s v="HP2637025932"/>
    <x v="1"/>
    <n v="1045900"/>
  </r>
  <r>
    <x v="1"/>
    <x v="2"/>
    <x v="11"/>
    <x v="42"/>
    <x v="100"/>
    <x v="100"/>
    <x v="5"/>
    <s v="N"/>
    <s v="N"/>
    <x v="0"/>
    <x v="0"/>
    <x v="0"/>
    <x v="0"/>
    <s v="아동"/>
    <s v="아동"/>
    <s v="닷컴"/>
    <x v="4"/>
    <x v="2"/>
    <x v="0"/>
    <x v="1323"/>
    <s v="HP2637025932"/>
    <x v="0"/>
    <n v="1"/>
  </r>
  <r>
    <x v="1"/>
    <x v="2"/>
    <x v="11"/>
    <x v="42"/>
    <x v="100"/>
    <x v="100"/>
    <x v="5"/>
    <s v="N"/>
    <s v="N"/>
    <x v="0"/>
    <x v="0"/>
    <x v="0"/>
    <x v="0"/>
    <s v="아동"/>
    <s v="아동"/>
    <s v="닷컴"/>
    <x v="4"/>
    <x v="2"/>
    <x v="0"/>
    <x v="1323"/>
    <s v="HP2637025932"/>
    <x v="1"/>
    <n v="1045900"/>
  </r>
  <r>
    <x v="1"/>
    <x v="2"/>
    <x v="11"/>
    <x v="42"/>
    <x v="100"/>
    <x v="100"/>
    <x v="6"/>
    <s v="N"/>
    <s v="N"/>
    <x v="0"/>
    <x v="0"/>
    <x v="0"/>
    <x v="0"/>
    <m/>
    <m/>
    <s v="대리점"/>
    <x v="0"/>
    <x v="19"/>
    <x v="1"/>
    <x v="1324"/>
    <s v="HP2637050542"/>
    <x v="0"/>
    <n v="0"/>
  </r>
  <r>
    <x v="1"/>
    <x v="2"/>
    <x v="11"/>
    <x v="42"/>
    <x v="100"/>
    <x v="100"/>
    <x v="6"/>
    <s v="N"/>
    <s v="N"/>
    <x v="0"/>
    <x v="0"/>
    <x v="0"/>
    <x v="0"/>
    <m/>
    <m/>
    <s v="대리점"/>
    <x v="0"/>
    <x v="19"/>
    <x v="1"/>
    <x v="1324"/>
    <s v="HP2637050542"/>
    <x v="1"/>
    <n v="7790000"/>
  </r>
  <r>
    <x v="1"/>
    <x v="2"/>
    <x v="11"/>
    <x v="42"/>
    <x v="100"/>
    <x v="100"/>
    <x v="6"/>
    <s v="N"/>
    <s v="N"/>
    <x v="0"/>
    <x v="0"/>
    <x v="0"/>
    <x v="0"/>
    <m/>
    <m/>
    <s v="범용/상용닷컴"/>
    <x v="1"/>
    <x v="19"/>
    <x v="1"/>
    <x v="1324"/>
    <s v="HP2637062074"/>
    <x v="0"/>
    <n v="0"/>
  </r>
  <r>
    <x v="1"/>
    <x v="2"/>
    <x v="11"/>
    <x v="42"/>
    <x v="100"/>
    <x v="100"/>
    <x v="6"/>
    <s v="N"/>
    <s v="N"/>
    <x v="0"/>
    <x v="0"/>
    <x v="0"/>
    <x v="0"/>
    <m/>
    <m/>
    <s v="범용/상용닷컴"/>
    <x v="1"/>
    <x v="19"/>
    <x v="1"/>
    <x v="1324"/>
    <s v="HP2637062074"/>
    <x v="1"/>
    <n v="4674000"/>
  </r>
  <r>
    <x v="1"/>
    <x v="2"/>
    <x v="11"/>
    <x v="42"/>
    <x v="100"/>
    <x v="100"/>
    <x v="6"/>
    <s v="N"/>
    <s v="N"/>
    <x v="0"/>
    <x v="0"/>
    <x v="0"/>
    <x v="1"/>
    <m/>
    <m/>
    <s v="범용/상용닷컴"/>
    <x v="1"/>
    <x v="19"/>
    <x v="1"/>
    <x v="1324"/>
    <s v="HP2637062074"/>
    <x v="0"/>
    <n v="0"/>
  </r>
  <r>
    <x v="1"/>
    <x v="2"/>
    <x v="11"/>
    <x v="42"/>
    <x v="100"/>
    <x v="100"/>
    <x v="6"/>
    <s v="N"/>
    <s v="N"/>
    <x v="0"/>
    <x v="0"/>
    <x v="0"/>
    <x v="1"/>
    <m/>
    <m/>
    <s v="범용/상용닷컴"/>
    <x v="1"/>
    <x v="19"/>
    <x v="1"/>
    <x v="1324"/>
    <s v="HP2637062074"/>
    <x v="1"/>
    <n v="3116000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5"/>
    <s v="HP2637065018"/>
    <x v="0"/>
    <n v="2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5"/>
    <s v="HP2637065018"/>
    <x v="1"/>
    <n v="1862000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6"/>
    <s v="HP2637052476"/>
    <x v="0"/>
    <n v="5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6"/>
    <s v="HP2637052476"/>
    <x v="1"/>
    <n v="6474500"/>
  </r>
  <r>
    <x v="1"/>
    <x v="2"/>
    <x v="11"/>
    <x v="42"/>
    <x v="100"/>
    <x v="100"/>
    <x v="6"/>
    <s v="N"/>
    <s v="N"/>
    <x v="1"/>
    <x v="0"/>
    <x v="0"/>
    <x v="1"/>
    <s v="아동"/>
    <s v="아동"/>
    <s v="닷컴"/>
    <x v="4"/>
    <x v="2"/>
    <x v="0"/>
    <x v="1326"/>
    <s v="HP2637052476"/>
    <x v="0"/>
    <n v="2"/>
  </r>
  <r>
    <x v="1"/>
    <x v="2"/>
    <x v="11"/>
    <x v="42"/>
    <x v="100"/>
    <x v="100"/>
    <x v="6"/>
    <s v="N"/>
    <s v="N"/>
    <x v="1"/>
    <x v="0"/>
    <x v="0"/>
    <x v="1"/>
    <s v="아동"/>
    <s v="아동"/>
    <s v="닷컴"/>
    <x v="4"/>
    <x v="2"/>
    <x v="0"/>
    <x v="1326"/>
    <s v="HP2637052476"/>
    <x v="1"/>
    <n v="2589800"/>
  </r>
  <r>
    <x v="1"/>
    <x v="2"/>
    <x v="11"/>
    <x v="42"/>
    <x v="100"/>
    <x v="100"/>
    <x v="7"/>
    <s v="N"/>
    <s v="Y"/>
    <x v="0"/>
    <x v="0"/>
    <x v="0"/>
    <x v="0"/>
    <s v="성인"/>
    <s v="성인"/>
    <s v="닷컴"/>
    <x v="4"/>
    <x v="2"/>
    <x v="0"/>
    <x v="1327"/>
    <s v="HP2637073478"/>
    <x v="0"/>
    <n v="4"/>
  </r>
  <r>
    <x v="1"/>
    <x v="2"/>
    <x v="11"/>
    <x v="42"/>
    <x v="100"/>
    <x v="100"/>
    <x v="7"/>
    <s v="N"/>
    <s v="Y"/>
    <x v="0"/>
    <x v="0"/>
    <x v="0"/>
    <x v="0"/>
    <s v="성인"/>
    <s v="성인"/>
    <s v="닷컴"/>
    <x v="4"/>
    <x v="2"/>
    <x v="0"/>
    <x v="1327"/>
    <s v="HP2637073478"/>
    <x v="1"/>
    <n v="3279600"/>
  </r>
  <r>
    <x v="1"/>
    <x v="2"/>
    <x v="11"/>
    <x v="42"/>
    <x v="100"/>
    <x v="100"/>
    <x v="8"/>
    <s v="Y"/>
    <s v="N"/>
    <x v="0"/>
    <x v="0"/>
    <x v="0"/>
    <x v="0"/>
    <s v="성인"/>
    <s v="성인"/>
    <s v="닷컴"/>
    <x v="4"/>
    <x v="41"/>
    <x v="0"/>
    <x v="1328"/>
    <s v="HP2637089010"/>
    <x v="0"/>
    <n v="3"/>
  </r>
  <r>
    <x v="1"/>
    <x v="2"/>
    <x v="11"/>
    <x v="42"/>
    <x v="100"/>
    <x v="100"/>
    <x v="8"/>
    <s v="Y"/>
    <s v="N"/>
    <x v="0"/>
    <x v="0"/>
    <x v="0"/>
    <x v="0"/>
    <s v="성인"/>
    <s v="성인"/>
    <s v="닷컴"/>
    <x v="4"/>
    <x v="41"/>
    <x v="0"/>
    <x v="1328"/>
    <s v="HP2637089010"/>
    <x v="1"/>
    <n v="2616000"/>
  </r>
  <r>
    <x v="1"/>
    <x v="2"/>
    <x v="11"/>
    <x v="42"/>
    <x v="100"/>
    <x v="100"/>
    <x v="8"/>
    <s v="Y"/>
    <s v="N"/>
    <x v="0"/>
    <x v="0"/>
    <x v="0"/>
    <x v="1"/>
    <s v="아동"/>
    <s v="아동"/>
    <s v="닷컴"/>
    <x v="4"/>
    <x v="41"/>
    <x v="0"/>
    <x v="1328"/>
    <s v="HP2637089010"/>
    <x v="0"/>
    <n v="1"/>
  </r>
  <r>
    <x v="1"/>
    <x v="2"/>
    <x v="11"/>
    <x v="42"/>
    <x v="100"/>
    <x v="100"/>
    <x v="8"/>
    <s v="Y"/>
    <s v="N"/>
    <x v="0"/>
    <x v="0"/>
    <x v="0"/>
    <x v="1"/>
    <s v="아동"/>
    <s v="아동"/>
    <s v="닷컴"/>
    <x v="4"/>
    <x v="41"/>
    <x v="0"/>
    <x v="1328"/>
    <s v="HP2637089010"/>
    <x v="1"/>
    <n v="872000"/>
  </r>
  <r>
    <x v="1"/>
    <x v="2"/>
    <x v="11"/>
    <x v="42"/>
    <x v="100"/>
    <x v="100"/>
    <x v="9"/>
    <s v="Y"/>
    <s v="N"/>
    <x v="1"/>
    <x v="0"/>
    <x v="0"/>
    <x v="0"/>
    <s v="성인"/>
    <s v="성인"/>
    <s v="닷컴"/>
    <x v="4"/>
    <x v="2"/>
    <x v="0"/>
    <x v="1329"/>
    <s v="HP2637096822"/>
    <x v="0"/>
    <n v="2"/>
  </r>
  <r>
    <x v="1"/>
    <x v="2"/>
    <x v="11"/>
    <x v="42"/>
    <x v="100"/>
    <x v="100"/>
    <x v="9"/>
    <s v="Y"/>
    <s v="N"/>
    <x v="1"/>
    <x v="0"/>
    <x v="0"/>
    <x v="0"/>
    <s v="성인"/>
    <s v="성인"/>
    <s v="닷컴"/>
    <x v="4"/>
    <x v="2"/>
    <x v="0"/>
    <x v="1329"/>
    <s v="HP2637096822"/>
    <x v="1"/>
    <n v="2304000"/>
  </r>
  <r>
    <x v="1"/>
    <x v="2"/>
    <x v="11"/>
    <x v="42"/>
    <x v="100"/>
    <x v="100"/>
    <x v="10"/>
    <s v="N"/>
    <s v="N"/>
    <x v="0"/>
    <x v="0"/>
    <x v="0"/>
    <x v="0"/>
    <m/>
    <m/>
    <s v="닷컴"/>
    <x v="4"/>
    <x v="2"/>
    <x v="0"/>
    <x v="1330"/>
    <s v="HP2637128120"/>
    <x v="0"/>
    <n v="3"/>
  </r>
  <r>
    <x v="1"/>
    <x v="2"/>
    <x v="11"/>
    <x v="42"/>
    <x v="100"/>
    <x v="100"/>
    <x v="10"/>
    <s v="N"/>
    <s v="N"/>
    <x v="0"/>
    <x v="0"/>
    <x v="0"/>
    <x v="0"/>
    <m/>
    <m/>
    <s v="닷컴"/>
    <x v="4"/>
    <x v="2"/>
    <x v="0"/>
    <x v="1330"/>
    <s v="HP2637128120"/>
    <x v="1"/>
    <n v="2459700"/>
  </r>
  <r>
    <x v="1"/>
    <x v="2"/>
    <x v="11"/>
    <x v="42"/>
    <x v="100"/>
    <x v="100"/>
    <x v="10"/>
    <s v="N"/>
    <s v="N"/>
    <x v="1"/>
    <x v="0"/>
    <x v="0"/>
    <x v="0"/>
    <s v="성인"/>
    <s v="성인"/>
    <s v="닷컴"/>
    <x v="5"/>
    <x v="2"/>
    <x v="0"/>
    <x v="1331"/>
    <s v="HP2637128772"/>
    <x v="0"/>
    <n v="2"/>
  </r>
  <r>
    <x v="1"/>
    <x v="2"/>
    <x v="11"/>
    <x v="42"/>
    <x v="100"/>
    <x v="100"/>
    <x v="10"/>
    <s v="N"/>
    <s v="N"/>
    <x v="1"/>
    <x v="0"/>
    <x v="0"/>
    <x v="0"/>
    <s v="성인"/>
    <s v="성인"/>
    <s v="닷컴"/>
    <x v="5"/>
    <x v="2"/>
    <x v="0"/>
    <x v="1331"/>
    <s v="HP2637128772"/>
    <x v="1"/>
    <n v="2262000"/>
  </r>
  <r>
    <x v="1"/>
    <x v="2"/>
    <x v="11"/>
    <x v="42"/>
    <x v="100"/>
    <x v="100"/>
    <x v="10"/>
    <s v="N"/>
    <s v="N"/>
    <x v="1"/>
    <x v="0"/>
    <x v="0"/>
    <x v="0"/>
    <s v="성인"/>
    <s v="성인"/>
    <s v="대리점"/>
    <x v="0"/>
    <x v="2"/>
    <x v="0"/>
    <x v="1332"/>
    <s v="HP2637111348"/>
    <x v="0"/>
    <n v="3"/>
  </r>
  <r>
    <x v="1"/>
    <x v="2"/>
    <x v="11"/>
    <x v="42"/>
    <x v="100"/>
    <x v="100"/>
    <x v="10"/>
    <s v="N"/>
    <s v="N"/>
    <x v="1"/>
    <x v="0"/>
    <x v="0"/>
    <x v="0"/>
    <s v="성인"/>
    <s v="성인"/>
    <s v="대리점"/>
    <x v="0"/>
    <x v="2"/>
    <x v="0"/>
    <x v="1332"/>
    <s v="HP2637111348"/>
    <x v="1"/>
    <n v="4736700"/>
  </r>
  <r>
    <x v="1"/>
    <x v="2"/>
    <x v="12"/>
    <x v="43"/>
    <x v="101"/>
    <x v="101"/>
    <x v="0"/>
    <s v="N"/>
    <s v="N"/>
    <x v="0"/>
    <x v="0"/>
    <x v="0"/>
    <x v="0"/>
    <m/>
    <m/>
    <s v="직원"/>
    <x v="3"/>
    <x v="16"/>
    <x v="1"/>
    <x v="1333"/>
    <s v="HP2636936112"/>
    <x v="0"/>
    <n v="0"/>
  </r>
  <r>
    <x v="1"/>
    <x v="2"/>
    <x v="12"/>
    <x v="43"/>
    <x v="101"/>
    <x v="101"/>
    <x v="0"/>
    <s v="N"/>
    <s v="N"/>
    <x v="0"/>
    <x v="0"/>
    <x v="0"/>
    <x v="0"/>
    <m/>
    <m/>
    <s v="직원"/>
    <x v="3"/>
    <x v="16"/>
    <x v="1"/>
    <x v="1333"/>
    <s v="HP2636936112"/>
    <x v="1"/>
    <n v="0"/>
  </r>
  <r>
    <x v="1"/>
    <x v="2"/>
    <x v="12"/>
    <x v="43"/>
    <x v="101"/>
    <x v="101"/>
    <x v="1"/>
    <s v="N"/>
    <s v="N"/>
    <x v="0"/>
    <x v="2"/>
    <x v="0"/>
    <x v="0"/>
    <m/>
    <m/>
    <s v="직원"/>
    <x v="3"/>
    <x v="2"/>
    <x v="0"/>
    <x v="1334"/>
    <s v="HQ2636947186"/>
    <x v="0"/>
    <n v="21"/>
  </r>
  <r>
    <x v="1"/>
    <x v="2"/>
    <x v="12"/>
    <x v="43"/>
    <x v="101"/>
    <x v="101"/>
    <x v="1"/>
    <s v="N"/>
    <s v="N"/>
    <x v="0"/>
    <x v="2"/>
    <x v="0"/>
    <x v="0"/>
    <m/>
    <m/>
    <s v="직원"/>
    <x v="3"/>
    <x v="2"/>
    <x v="0"/>
    <x v="1334"/>
    <s v="HQ2636947186"/>
    <x v="1"/>
    <n v="35000000"/>
  </r>
  <r>
    <x v="1"/>
    <x v="2"/>
    <x v="12"/>
    <x v="43"/>
    <x v="101"/>
    <x v="101"/>
    <x v="4"/>
    <s v="N"/>
    <s v="N"/>
    <x v="0"/>
    <x v="0"/>
    <x v="0"/>
    <x v="0"/>
    <s v="성인"/>
    <s v="성인"/>
    <s v="대리점"/>
    <x v="0"/>
    <x v="6"/>
    <x v="0"/>
    <x v="1335"/>
    <s v="HP2637001932"/>
    <x v="0"/>
    <n v="2"/>
  </r>
  <r>
    <x v="1"/>
    <x v="2"/>
    <x v="12"/>
    <x v="43"/>
    <x v="101"/>
    <x v="101"/>
    <x v="4"/>
    <s v="N"/>
    <s v="N"/>
    <x v="0"/>
    <x v="0"/>
    <x v="0"/>
    <x v="0"/>
    <s v="성인"/>
    <s v="성인"/>
    <s v="대리점"/>
    <x v="0"/>
    <x v="6"/>
    <x v="0"/>
    <x v="1335"/>
    <s v="HP2637001932"/>
    <x v="1"/>
    <n v="2798000"/>
  </r>
  <r>
    <x v="1"/>
    <x v="2"/>
    <x v="12"/>
    <x v="43"/>
    <x v="101"/>
    <x v="101"/>
    <x v="4"/>
    <s v="N"/>
    <s v="N"/>
    <x v="9"/>
    <x v="7"/>
    <x v="0"/>
    <x v="0"/>
    <m/>
    <m/>
    <s v="대리점"/>
    <x v="0"/>
    <x v="2"/>
    <x v="1"/>
    <x v="1336"/>
    <s v="HC2637012118"/>
    <x v="0"/>
    <n v="0"/>
  </r>
  <r>
    <x v="1"/>
    <x v="2"/>
    <x v="12"/>
    <x v="43"/>
    <x v="101"/>
    <x v="101"/>
    <x v="4"/>
    <s v="N"/>
    <s v="N"/>
    <x v="9"/>
    <x v="7"/>
    <x v="0"/>
    <x v="0"/>
    <m/>
    <m/>
    <s v="대리점"/>
    <x v="0"/>
    <x v="2"/>
    <x v="1"/>
    <x v="1336"/>
    <s v="HC2637012118"/>
    <x v="1"/>
    <n v="3180000"/>
  </r>
  <r>
    <x v="1"/>
    <x v="2"/>
    <x v="12"/>
    <x v="43"/>
    <x v="101"/>
    <x v="101"/>
    <x v="5"/>
    <s v="N"/>
    <s v="N"/>
    <x v="0"/>
    <x v="0"/>
    <x v="0"/>
    <x v="0"/>
    <s v="성인"/>
    <s v="성인"/>
    <s v="대리점"/>
    <x v="0"/>
    <x v="2"/>
    <x v="0"/>
    <x v="1337"/>
    <s v="HP2637027392"/>
    <x v="0"/>
    <n v="4"/>
  </r>
  <r>
    <x v="1"/>
    <x v="2"/>
    <x v="12"/>
    <x v="43"/>
    <x v="101"/>
    <x v="101"/>
    <x v="5"/>
    <s v="N"/>
    <s v="N"/>
    <x v="0"/>
    <x v="0"/>
    <x v="0"/>
    <x v="0"/>
    <s v="성인"/>
    <s v="성인"/>
    <s v="대리점"/>
    <x v="0"/>
    <x v="2"/>
    <x v="0"/>
    <x v="1337"/>
    <s v="HP2637027392"/>
    <x v="1"/>
    <n v="6379600"/>
  </r>
  <r>
    <x v="1"/>
    <x v="2"/>
    <x v="12"/>
    <x v="44"/>
    <x v="102"/>
    <x v="102"/>
    <x v="0"/>
    <s v="N"/>
    <s v="N"/>
    <x v="0"/>
    <x v="0"/>
    <x v="0"/>
    <x v="0"/>
    <s v="성인"/>
    <s v="성인"/>
    <s v="대리점"/>
    <x v="0"/>
    <x v="25"/>
    <x v="0"/>
    <x v="1338"/>
    <s v="HP2636929622"/>
    <x v="0"/>
    <n v="2"/>
  </r>
  <r>
    <x v="1"/>
    <x v="2"/>
    <x v="12"/>
    <x v="44"/>
    <x v="102"/>
    <x v="102"/>
    <x v="0"/>
    <s v="N"/>
    <s v="N"/>
    <x v="0"/>
    <x v="0"/>
    <x v="0"/>
    <x v="0"/>
    <s v="성인"/>
    <s v="성인"/>
    <s v="대리점"/>
    <x v="0"/>
    <x v="25"/>
    <x v="0"/>
    <x v="1338"/>
    <s v="HP2636929622"/>
    <x v="1"/>
    <n v="519800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0"/>
    <x v="1339"/>
    <s v="HP2636938340"/>
    <x v="0"/>
    <n v="3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0"/>
    <x v="1339"/>
    <s v="HP2636938340"/>
    <x v="1"/>
    <n v="2849700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1"/>
    <x v="1340"/>
    <s v="HP2636924356"/>
    <x v="0"/>
    <n v="0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1"/>
    <x v="1340"/>
    <s v="HP2636924356"/>
    <x v="1"/>
    <n v="1490000"/>
  </r>
  <r>
    <x v="1"/>
    <x v="2"/>
    <x v="12"/>
    <x v="44"/>
    <x v="102"/>
    <x v="102"/>
    <x v="0"/>
    <s v="N"/>
    <s v="N"/>
    <x v="0"/>
    <x v="0"/>
    <x v="0"/>
    <x v="1"/>
    <m/>
    <m/>
    <s v="닷컴"/>
    <x v="4"/>
    <x v="2"/>
    <x v="1"/>
    <x v="1340"/>
    <s v="HP2636924356"/>
    <x v="0"/>
    <n v="0"/>
  </r>
  <r>
    <x v="1"/>
    <x v="2"/>
    <x v="12"/>
    <x v="44"/>
    <x v="102"/>
    <x v="102"/>
    <x v="0"/>
    <s v="N"/>
    <s v="N"/>
    <x v="0"/>
    <x v="0"/>
    <x v="0"/>
    <x v="1"/>
    <m/>
    <m/>
    <s v="닷컴"/>
    <x v="4"/>
    <x v="2"/>
    <x v="1"/>
    <x v="1340"/>
    <s v="HP2636924356"/>
    <x v="1"/>
    <n v="745000"/>
  </r>
  <r>
    <x v="1"/>
    <x v="2"/>
    <x v="12"/>
    <x v="44"/>
    <x v="102"/>
    <x v="102"/>
    <x v="1"/>
    <s v="N"/>
    <s v="N"/>
    <x v="0"/>
    <x v="0"/>
    <x v="0"/>
    <x v="0"/>
    <s v="성인"/>
    <s v="성인"/>
    <s v="닷컴"/>
    <x v="4"/>
    <x v="2"/>
    <x v="0"/>
    <x v="1341"/>
    <s v="HP2636957410"/>
    <x v="0"/>
    <n v="2"/>
  </r>
  <r>
    <x v="1"/>
    <x v="2"/>
    <x v="12"/>
    <x v="44"/>
    <x v="102"/>
    <x v="102"/>
    <x v="1"/>
    <s v="N"/>
    <s v="N"/>
    <x v="0"/>
    <x v="0"/>
    <x v="0"/>
    <x v="0"/>
    <s v="성인"/>
    <s v="성인"/>
    <s v="닷컴"/>
    <x v="4"/>
    <x v="2"/>
    <x v="0"/>
    <x v="1341"/>
    <s v="HP2636957410"/>
    <x v="1"/>
    <n v="2299800"/>
  </r>
  <r>
    <x v="1"/>
    <x v="2"/>
    <x v="12"/>
    <x v="44"/>
    <x v="102"/>
    <x v="102"/>
    <x v="1"/>
    <s v="N"/>
    <s v="N"/>
    <x v="0"/>
    <x v="0"/>
    <x v="0"/>
    <x v="0"/>
    <m/>
    <m/>
    <s v="닷컴"/>
    <x v="4"/>
    <x v="2"/>
    <x v="1"/>
    <x v="1342"/>
    <s v="HP2636958498"/>
    <x v="0"/>
    <n v="0"/>
  </r>
  <r>
    <x v="1"/>
    <x v="2"/>
    <x v="12"/>
    <x v="44"/>
    <x v="102"/>
    <x v="102"/>
    <x v="1"/>
    <s v="N"/>
    <s v="N"/>
    <x v="0"/>
    <x v="0"/>
    <x v="0"/>
    <x v="0"/>
    <m/>
    <m/>
    <s v="닷컴"/>
    <x v="4"/>
    <x v="2"/>
    <x v="1"/>
    <x v="1342"/>
    <s v="HP2636958498"/>
    <x v="1"/>
    <n v="3587700"/>
  </r>
  <r>
    <x v="1"/>
    <x v="2"/>
    <x v="12"/>
    <x v="44"/>
    <x v="102"/>
    <x v="102"/>
    <x v="2"/>
    <s v="Y"/>
    <s v="Y"/>
    <x v="0"/>
    <x v="0"/>
    <x v="0"/>
    <x v="0"/>
    <s v="성인"/>
    <s v="성인"/>
    <s v="대리점"/>
    <x v="0"/>
    <x v="2"/>
    <x v="0"/>
    <x v="1343"/>
    <s v="HP2636965276"/>
    <x v="0"/>
    <n v="1"/>
  </r>
  <r>
    <x v="1"/>
    <x v="2"/>
    <x v="12"/>
    <x v="44"/>
    <x v="102"/>
    <x v="102"/>
    <x v="2"/>
    <s v="Y"/>
    <s v="Y"/>
    <x v="0"/>
    <x v="0"/>
    <x v="0"/>
    <x v="0"/>
    <s v="성인"/>
    <s v="성인"/>
    <s v="대리점"/>
    <x v="0"/>
    <x v="2"/>
    <x v="0"/>
    <x v="1343"/>
    <s v="HP2636965276"/>
    <x v="1"/>
    <n v="949000"/>
  </r>
  <r>
    <x v="1"/>
    <x v="2"/>
    <x v="12"/>
    <x v="44"/>
    <x v="102"/>
    <x v="102"/>
    <x v="2"/>
    <s v="Y"/>
    <s v="Y"/>
    <x v="1"/>
    <x v="0"/>
    <x v="0"/>
    <x v="0"/>
    <s v="성인"/>
    <s v="성인"/>
    <s v="대리점"/>
    <x v="0"/>
    <x v="2"/>
    <x v="0"/>
    <x v="1344"/>
    <s v="HP2636964780"/>
    <x v="0"/>
    <n v="4"/>
  </r>
  <r>
    <x v="1"/>
    <x v="2"/>
    <x v="12"/>
    <x v="44"/>
    <x v="102"/>
    <x v="102"/>
    <x v="2"/>
    <s v="Y"/>
    <s v="Y"/>
    <x v="1"/>
    <x v="0"/>
    <x v="0"/>
    <x v="0"/>
    <s v="성인"/>
    <s v="성인"/>
    <s v="대리점"/>
    <x v="0"/>
    <x v="2"/>
    <x v="0"/>
    <x v="1344"/>
    <s v="HP2636964780"/>
    <x v="1"/>
    <n v="5199600"/>
  </r>
  <r>
    <x v="1"/>
    <x v="2"/>
    <x v="12"/>
    <x v="44"/>
    <x v="102"/>
    <x v="102"/>
    <x v="11"/>
    <s v="Y"/>
    <s v="N"/>
    <x v="0"/>
    <x v="0"/>
    <x v="0"/>
    <x v="0"/>
    <s v="성인"/>
    <s v="성인"/>
    <s v="닷컴"/>
    <x v="5"/>
    <x v="2"/>
    <x v="0"/>
    <x v="1345"/>
    <s v="HP2636973364"/>
    <x v="0"/>
    <n v="1"/>
  </r>
  <r>
    <x v="1"/>
    <x v="2"/>
    <x v="12"/>
    <x v="44"/>
    <x v="102"/>
    <x v="102"/>
    <x v="11"/>
    <s v="Y"/>
    <s v="N"/>
    <x v="0"/>
    <x v="0"/>
    <x v="0"/>
    <x v="0"/>
    <s v="성인"/>
    <s v="성인"/>
    <s v="닷컴"/>
    <x v="5"/>
    <x v="2"/>
    <x v="0"/>
    <x v="1345"/>
    <s v="HP2636973364"/>
    <x v="1"/>
    <n v="785900"/>
  </r>
  <r>
    <x v="1"/>
    <x v="2"/>
    <x v="12"/>
    <x v="44"/>
    <x v="102"/>
    <x v="102"/>
    <x v="11"/>
    <s v="Y"/>
    <s v="N"/>
    <x v="0"/>
    <x v="0"/>
    <x v="0"/>
    <x v="1"/>
    <s v="유아"/>
    <s v="유아"/>
    <s v="닷컴"/>
    <x v="5"/>
    <x v="2"/>
    <x v="0"/>
    <x v="1345"/>
    <s v="HP2636973364"/>
    <x v="0"/>
    <n v="1"/>
  </r>
  <r>
    <x v="1"/>
    <x v="2"/>
    <x v="12"/>
    <x v="44"/>
    <x v="102"/>
    <x v="102"/>
    <x v="11"/>
    <s v="Y"/>
    <s v="N"/>
    <x v="0"/>
    <x v="0"/>
    <x v="0"/>
    <x v="1"/>
    <s v="유아"/>
    <s v="유아"/>
    <s v="닷컴"/>
    <x v="5"/>
    <x v="2"/>
    <x v="0"/>
    <x v="1345"/>
    <s v="HP2636973364"/>
    <x v="1"/>
    <n v="785900"/>
  </r>
  <r>
    <x v="1"/>
    <x v="2"/>
    <x v="12"/>
    <x v="44"/>
    <x v="102"/>
    <x v="102"/>
    <x v="11"/>
    <s v="Y"/>
    <s v="N"/>
    <x v="1"/>
    <x v="0"/>
    <x v="0"/>
    <x v="0"/>
    <m/>
    <m/>
    <s v="닷컴"/>
    <x v="4"/>
    <x v="3"/>
    <x v="1"/>
    <x v="1346"/>
    <s v="HP2636977560"/>
    <x v="0"/>
    <n v="0"/>
  </r>
  <r>
    <x v="1"/>
    <x v="2"/>
    <x v="12"/>
    <x v="44"/>
    <x v="102"/>
    <x v="102"/>
    <x v="11"/>
    <s v="Y"/>
    <s v="N"/>
    <x v="1"/>
    <x v="0"/>
    <x v="0"/>
    <x v="0"/>
    <m/>
    <m/>
    <s v="닷컴"/>
    <x v="4"/>
    <x v="3"/>
    <x v="1"/>
    <x v="1346"/>
    <s v="HP2636977560"/>
    <x v="1"/>
    <n v="1501800"/>
  </r>
  <r>
    <x v="1"/>
    <x v="2"/>
    <x v="12"/>
    <x v="44"/>
    <x v="102"/>
    <x v="102"/>
    <x v="3"/>
    <s v="N"/>
    <s v="Y"/>
    <x v="0"/>
    <x v="0"/>
    <x v="0"/>
    <x v="0"/>
    <m/>
    <m/>
    <s v="닷컴"/>
    <x v="5"/>
    <x v="17"/>
    <x v="0"/>
    <x v="1347"/>
    <s v="HP2636990678"/>
    <x v="0"/>
    <n v="4"/>
  </r>
  <r>
    <x v="1"/>
    <x v="2"/>
    <x v="12"/>
    <x v="44"/>
    <x v="102"/>
    <x v="102"/>
    <x v="3"/>
    <s v="N"/>
    <s v="Y"/>
    <x v="0"/>
    <x v="0"/>
    <x v="0"/>
    <x v="0"/>
    <m/>
    <m/>
    <s v="닷컴"/>
    <x v="5"/>
    <x v="17"/>
    <x v="0"/>
    <x v="1347"/>
    <s v="HP2636990678"/>
    <x v="1"/>
    <n v="2531600"/>
  </r>
  <r>
    <x v="1"/>
    <x v="2"/>
    <x v="12"/>
    <x v="44"/>
    <x v="102"/>
    <x v="102"/>
    <x v="4"/>
    <s v="N"/>
    <s v="N"/>
    <x v="0"/>
    <x v="0"/>
    <x v="0"/>
    <x v="0"/>
    <s v="성인"/>
    <s v="성인"/>
    <s v="닷컴"/>
    <x v="4"/>
    <x v="2"/>
    <x v="0"/>
    <x v="1348"/>
    <s v="HP2637010228"/>
    <x v="0"/>
    <n v="2"/>
  </r>
  <r>
    <x v="1"/>
    <x v="2"/>
    <x v="12"/>
    <x v="44"/>
    <x v="102"/>
    <x v="102"/>
    <x v="4"/>
    <s v="N"/>
    <s v="N"/>
    <x v="0"/>
    <x v="0"/>
    <x v="0"/>
    <x v="0"/>
    <s v="성인"/>
    <s v="성인"/>
    <s v="닷컴"/>
    <x v="4"/>
    <x v="2"/>
    <x v="0"/>
    <x v="1348"/>
    <s v="HP2637010228"/>
    <x v="1"/>
    <n v="879800"/>
  </r>
  <r>
    <x v="1"/>
    <x v="2"/>
    <x v="12"/>
    <x v="44"/>
    <x v="102"/>
    <x v="102"/>
    <x v="4"/>
    <s v="N"/>
    <s v="N"/>
    <x v="0"/>
    <x v="0"/>
    <x v="0"/>
    <x v="0"/>
    <s v="성인"/>
    <s v="성인"/>
    <s v="대리점"/>
    <x v="0"/>
    <x v="2"/>
    <x v="0"/>
    <x v="1349"/>
    <s v="HP2637008794"/>
    <x v="0"/>
    <n v="2"/>
  </r>
  <r>
    <x v="1"/>
    <x v="2"/>
    <x v="12"/>
    <x v="44"/>
    <x v="102"/>
    <x v="102"/>
    <x v="4"/>
    <s v="N"/>
    <s v="N"/>
    <x v="0"/>
    <x v="0"/>
    <x v="0"/>
    <x v="0"/>
    <s v="성인"/>
    <s v="성인"/>
    <s v="대리점"/>
    <x v="0"/>
    <x v="2"/>
    <x v="0"/>
    <x v="1349"/>
    <s v="HP2637008794"/>
    <x v="1"/>
    <n v="2159800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4"/>
    <x v="0"/>
    <x v="1350"/>
    <s v="HP2637021766"/>
    <x v="0"/>
    <n v="3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4"/>
    <x v="0"/>
    <x v="1350"/>
    <s v="HP2637021766"/>
    <x v="1"/>
    <n v="1287000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6"/>
    <x v="0"/>
    <x v="1351"/>
    <s v="HP2637030960"/>
    <x v="0"/>
    <n v="1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6"/>
    <x v="0"/>
    <x v="1351"/>
    <s v="HP2637030960"/>
    <x v="1"/>
    <n v="578900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14"/>
    <x v="0"/>
    <x v="1352"/>
    <s v="HP2637048326"/>
    <x v="0"/>
    <n v="4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14"/>
    <x v="0"/>
    <x v="1352"/>
    <s v="HP2637048326"/>
    <x v="1"/>
    <n v="1716000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2"/>
    <x v="0"/>
    <x v="1353"/>
    <s v="HP2637064458"/>
    <x v="0"/>
    <n v="2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2"/>
    <x v="0"/>
    <x v="1353"/>
    <s v="HP2637064458"/>
    <x v="1"/>
    <n v="1853800"/>
  </r>
  <r>
    <x v="1"/>
    <x v="2"/>
    <x v="12"/>
    <x v="44"/>
    <x v="102"/>
    <x v="102"/>
    <x v="6"/>
    <s v="N"/>
    <s v="N"/>
    <x v="0"/>
    <x v="0"/>
    <x v="0"/>
    <x v="0"/>
    <s v="청소년"/>
    <s v="청소년"/>
    <s v="닷컴"/>
    <x v="4"/>
    <x v="2"/>
    <x v="0"/>
    <x v="1353"/>
    <s v="HP2637064458"/>
    <x v="0"/>
    <n v="1"/>
  </r>
  <r>
    <x v="1"/>
    <x v="2"/>
    <x v="12"/>
    <x v="44"/>
    <x v="102"/>
    <x v="102"/>
    <x v="6"/>
    <s v="N"/>
    <s v="N"/>
    <x v="0"/>
    <x v="0"/>
    <x v="0"/>
    <x v="0"/>
    <s v="청소년"/>
    <s v="청소년"/>
    <s v="닷컴"/>
    <x v="4"/>
    <x v="2"/>
    <x v="0"/>
    <x v="1353"/>
    <s v="HP2637064458"/>
    <x v="1"/>
    <n v="926900"/>
  </r>
  <r>
    <x v="1"/>
    <x v="2"/>
    <x v="12"/>
    <x v="44"/>
    <x v="102"/>
    <x v="102"/>
    <x v="7"/>
    <s v="N"/>
    <s v="Y"/>
    <x v="0"/>
    <x v="0"/>
    <x v="0"/>
    <x v="0"/>
    <s v="성인"/>
    <s v="성인"/>
    <s v="닷컴"/>
    <x v="5"/>
    <x v="2"/>
    <x v="0"/>
    <x v="885"/>
    <s v="HP2637072192"/>
    <x v="0"/>
    <n v="5"/>
  </r>
  <r>
    <x v="1"/>
    <x v="2"/>
    <x v="12"/>
    <x v="44"/>
    <x v="102"/>
    <x v="102"/>
    <x v="7"/>
    <s v="N"/>
    <s v="Y"/>
    <x v="0"/>
    <x v="0"/>
    <x v="0"/>
    <x v="0"/>
    <s v="성인"/>
    <s v="성인"/>
    <s v="닷컴"/>
    <x v="5"/>
    <x v="2"/>
    <x v="0"/>
    <x v="885"/>
    <s v="HP2637072192"/>
    <x v="1"/>
    <n v="4749500"/>
  </r>
  <r>
    <x v="1"/>
    <x v="2"/>
    <x v="12"/>
    <x v="44"/>
    <x v="102"/>
    <x v="102"/>
    <x v="8"/>
    <s v="Y"/>
    <s v="N"/>
    <x v="1"/>
    <x v="0"/>
    <x v="0"/>
    <x v="0"/>
    <s v="성인"/>
    <s v="성인"/>
    <s v="닷컴"/>
    <x v="4"/>
    <x v="2"/>
    <x v="0"/>
    <x v="1354"/>
    <s v="HP2637091714"/>
    <x v="0"/>
    <n v="2"/>
  </r>
  <r>
    <x v="1"/>
    <x v="2"/>
    <x v="12"/>
    <x v="44"/>
    <x v="102"/>
    <x v="102"/>
    <x v="8"/>
    <s v="Y"/>
    <s v="N"/>
    <x v="1"/>
    <x v="0"/>
    <x v="0"/>
    <x v="0"/>
    <s v="성인"/>
    <s v="성인"/>
    <s v="닷컴"/>
    <x v="4"/>
    <x v="2"/>
    <x v="0"/>
    <x v="1354"/>
    <s v="HP2637091714"/>
    <x v="1"/>
    <n v="2539800"/>
  </r>
  <r>
    <x v="1"/>
    <x v="2"/>
    <x v="12"/>
    <x v="44"/>
    <x v="102"/>
    <x v="102"/>
    <x v="8"/>
    <s v="Y"/>
    <s v="N"/>
    <x v="1"/>
    <x v="0"/>
    <x v="0"/>
    <x v="0"/>
    <m/>
    <m/>
    <s v="닷컴"/>
    <x v="4"/>
    <x v="2"/>
    <x v="0"/>
    <x v="1354"/>
    <s v="HP2637091714"/>
    <x v="0"/>
    <n v="3"/>
  </r>
  <r>
    <x v="1"/>
    <x v="2"/>
    <x v="12"/>
    <x v="44"/>
    <x v="102"/>
    <x v="102"/>
    <x v="8"/>
    <s v="Y"/>
    <s v="N"/>
    <x v="1"/>
    <x v="0"/>
    <x v="0"/>
    <x v="0"/>
    <m/>
    <m/>
    <s v="닷컴"/>
    <x v="4"/>
    <x v="2"/>
    <x v="0"/>
    <x v="1354"/>
    <s v="HP2637091714"/>
    <x v="1"/>
    <n v="3809700"/>
  </r>
  <r>
    <x v="1"/>
    <x v="2"/>
    <x v="12"/>
    <x v="44"/>
    <x v="102"/>
    <x v="102"/>
    <x v="10"/>
    <s v="N"/>
    <s v="N"/>
    <x v="0"/>
    <x v="0"/>
    <x v="0"/>
    <x v="0"/>
    <s v="성인"/>
    <s v="성인"/>
    <s v="닷컴"/>
    <x v="4"/>
    <x v="2"/>
    <x v="0"/>
    <x v="1355"/>
    <s v="HP2637107096"/>
    <x v="0"/>
    <n v="2"/>
  </r>
  <r>
    <x v="1"/>
    <x v="2"/>
    <x v="12"/>
    <x v="44"/>
    <x v="102"/>
    <x v="102"/>
    <x v="10"/>
    <s v="N"/>
    <s v="N"/>
    <x v="0"/>
    <x v="0"/>
    <x v="0"/>
    <x v="0"/>
    <s v="성인"/>
    <s v="성인"/>
    <s v="닷컴"/>
    <x v="4"/>
    <x v="2"/>
    <x v="0"/>
    <x v="1355"/>
    <s v="HP2637107096"/>
    <x v="1"/>
    <n v="1099800"/>
  </r>
  <r>
    <x v="1"/>
    <x v="2"/>
    <x v="12"/>
    <x v="44"/>
    <x v="102"/>
    <x v="102"/>
    <x v="10"/>
    <s v="N"/>
    <s v="N"/>
    <x v="0"/>
    <x v="0"/>
    <x v="0"/>
    <x v="0"/>
    <s v="성인"/>
    <s v="성인"/>
    <s v="대리점"/>
    <x v="0"/>
    <x v="2"/>
    <x v="0"/>
    <x v="1356"/>
    <s v="HP2637109694"/>
    <x v="0"/>
    <n v="2"/>
  </r>
  <r>
    <x v="1"/>
    <x v="2"/>
    <x v="12"/>
    <x v="44"/>
    <x v="102"/>
    <x v="102"/>
    <x v="10"/>
    <s v="N"/>
    <s v="N"/>
    <x v="0"/>
    <x v="0"/>
    <x v="0"/>
    <x v="0"/>
    <s v="성인"/>
    <s v="성인"/>
    <s v="대리점"/>
    <x v="0"/>
    <x v="2"/>
    <x v="0"/>
    <x v="1356"/>
    <s v="HP2637109694"/>
    <x v="1"/>
    <n v="1153800"/>
  </r>
  <r>
    <x v="1"/>
    <x v="2"/>
    <x v="12"/>
    <x v="44"/>
    <x v="102"/>
    <x v="102"/>
    <x v="10"/>
    <s v="N"/>
    <s v="N"/>
    <x v="1"/>
    <x v="0"/>
    <x v="0"/>
    <x v="0"/>
    <s v="성인"/>
    <s v="성인"/>
    <s v="닷컴"/>
    <x v="4"/>
    <x v="2"/>
    <x v="0"/>
    <x v="560"/>
    <s v="HP2637110644"/>
    <x v="0"/>
    <n v="3"/>
  </r>
  <r>
    <x v="1"/>
    <x v="2"/>
    <x v="12"/>
    <x v="44"/>
    <x v="102"/>
    <x v="102"/>
    <x v="10"/>
    <s v="N"/>
    <s v="N"/>
    <x v="1"/>
    <x v="0"/>
    <x v="0"/>
    <x v="0"/>
    <s v="성인"/>
    <s v="성인"/>
    <s v="닷컴"/>
    <x v="4"/>
    <x v="2"/>
    <x v="0"/>
    <x v="560"/>
    <s v="HP2637110644"/>
    <x v="1"/>
    <n v="2670000"/>
  </r>
  <r>
    <x v="1"/>
    <x v="2"/>
    <x v="12"/>
    <x v="44"/>
    <x v="102"/>
    <x v="102"/>
    <x v="10"/>
    <s v="N"/>
    <s v="N"/>
    <x v="2"/>
    <x v="0"/>
    <x v="0"/>
    <x v="0"/>
    <s v="성인"/>
    <s v="성인"/>
    <s v="대리점"/>
    <x v="0"/>
    <x v="2"/>
    <x v="0"/>
    <x v="1357"/>
    <s v="HP2637119062"/>
    <x v="0"/>
    <n v="3"/>
  </r>
  <r>
    <x v="1"/>
    <x v="2"/>
    <x v="12"/>
    <x v="44"/>
    <x v="102"/>
    <x v="102"/>
    <x v="10"/>
    <s v="N"/>
    <s v="N"/>
    <x v="2"/>
    <x v="0"/>
    <x v="0"/>
    <x v="0"/>
    <s v="성인"/>
    <s v="성인"/>
    <s v="대리점"/>
    <x v="0"/>
    <x v="2"/>
    <x v="0"/>
    <x v="1357"/>
    <s v="HP2637119062"/>
    <x v="1"/>
    <n v="1739700"/>
  </r>
  <r>
    <x v="1"/>
    <x v="2"/>
    <x v="12"/>
    <x v="44"/>
    <x v="102"/>
    <x v="102"/>
    <x v="10"/>
    <s v="N"/>
    <s v="N"/>
    <x v="2"/>
    <x v="0"/>
    <x v="0"/>
    <x v="0"/>
    <m/>
    <m/>
    <s v="대리점"/>
    <x v="0"/>
    <x v="2"/>
    <x v="0"/>
    <x v="1357"/>
    <s v="HP2637119062"/>
    <x v="0"/>
    <n v="1"/>
  </r>
  <r>
    <x v="1"/>
    <x v="2"/>
    <x v="12"/>
    <x v="44"/>
    <x v="102"/>
    <x v="102"/>
    <x v="10"/>
    <s v="N"/>
    <s v="N"/>
    <x v="2"/>
    <x v="0"/>
    <x v="0"/>
    <x v="0"/>
    <m/>
    <m/>
    <s v="대리점"/>
    <x v="0"/>
    <x v="2"/>
    <x v="0"/>
    <x v="1357"/>
    <s v="HP2637119062"/>
    <x v="1"/>
    <n v="579900"/>
  </r>
  <r>
    <x v="1"/>
    <x v="2"/>
    <x v="12"/>
    <x v="44"/>
    <x v="103"/>
    <x v="103"/>
    <x v="0"/>
    <s v="N"/>
    <s v="N"/>
    <x v="0"/>
    <x v="0"/>
    <x v="0"/>
    <x v="0"/>
    <s v="성인"/>
    <s v="성인"/>
    <s v="대리점"/>
    <x v="0"/>
    <x v="2"/>
    <x v="0"/>
    <x v="1358"/>
    <s v="HP2636926512"/>
    <x v="0"/>
    <n v="4"/>
  </r>
  <r>
    <x v="1"/>
    <x v="2"/>
    <x v="12"/>
    <x v="44"/>
    <x v="103"/>
    <x v="103"/>
    <x v="0"/>
    <s v="N"/>
    <s v="N"/>
    <x v="0"/>
    <x v="0"/>
    <x v="0"/>
    <x v="0"/>
    <s v="성인"/>
    <s v="성인"/>
    <s v="대리점"/>
    <x v="0"/>
    <x v="2"/>
    <x v="0"/>
    <x v="1358"/>
    <s v="HP2636926512"/>
    <x v="1"/>
    <n v="4651600"/>
  </r>
  <r>
    <x v="1"/>
    <x v="2"/>
    <x v="12"/>
    <x v="44"/>
    <x v="103"/>
    <x v="103"/>
    <x v="0"/>
    <s v="N"/>
    <s v="N"/>
    <x v="0"/>
    <x v="0"/>
    <x v="0"/>
    <x v="0"/>
    <m/>
    <m/>
    <s v="대리점"/>
    <x v="0"/>
    <x v="16"/>
    <x v="1"/>
    <x v="1359"/>
    <s v="HP2636927614"/>
    <x v="0"/>
    <n v="0"/>
  </r>
  <r>
    <x v="1"/>
    <x v="2"/>
    <x v="12"/>
    <x v="44"/>
    <x v="103"/>
    <x v="103"/>
    <x v="0"/>
    <s v="N"/>
    <s v="N"/>
    <x v="0"/>
    <x v="0"/>
    <x v="0"/>
    <x v="0"/>
    <m/>
    <m/>
    <s v="대리점"/>
    <x v="0"/>
    <x v="16"/>
    <x v="1"/>
    <x v="1359"/>
    <s v="HP2636927614"/>
    <x v="1"/>
    <n v="1899800"/>
  </r>
  <r>
    <x v="1"/>
    <x v="2"/>
    <x v="12"/>
    <x v="44"/>
    <x v="103"/>
    <x v="103"/>
    <x v="0"/>
    <s v="N"/>
    <s v="N"/>
    <x v="0"/>
    <x v="0"/>
    <x v="0"/>
    <x v="1"/>
    <m/>
    <m/>
    <s v="대리점"/>
    <x v="0"/>
    <x v="16"/>
    <x v="1"/>
    <x v="1359"/>
    <s v="HP2636927614"/>
    <x v="0"/>
    <n v="0"/>
  </r>
  <r>
    <x v="1"/>
    <x v="2"/>
    <x v="12"/>
    <x v="44"/>
    <x v="103"/>
    <x v="103"/>
    <x v="0"/>
    <s v="N"/>
    <s v="N"/>
    <x v="0"/>
    <x v="0"/>
    <x v="0"/>
    <x v="1"/>
    <m/>
    <m/>
    <s v="대리점"/>
    <x v="0"/>
    <x v="16"/>
    <x v="1"/>
    <x v="1359"/>
    <s v="HP2636927614"/>
    <x v="1"/>
    <n v="2849700"/>
  </r>
  <r>
    <x v="1"/>
    <x v="2"/>
    <x v="12"/>
    <x v="44"/>
    <x v="103"/>
    <x v="103"/>
    <x v="1"/>
    <s v="N"/>
    <s v="N"/>
    <x v="0"/>
    <x v="0"/>
    <x v="0"/>
    <x v="0"/>
    <s v="성인"/>
    <s v="성인"/>
    <s v="대리점"/>
    <x v="0"/>
    <x v="2"/>
    <x v="0"/>
    <x v="1360"/>
    <s v="HP2636946514"/>
    <x v="0"/>
    <n v="3"/>
  </r>
  <r>
    <x v="1"/>
    <x v="2"/>
    <x v="12"/>
    <x v="44"/>
    <x v="103"/>
    <x v="103"/>
    <x v="1"/>
    <s v="N"/>
    <s v="N"/>
    <x v="0"/>
    <x v="0"/>
    <x v="0"/>
    <x v="0"/>
    <s v="성인"/>
    <s v="성인"/>
    <s v="대리점"/>
    <x v="0"/>
    <x v="2"/>
    <x v="0"/>
    <x v="1360"/>
    <s v="HP2636946514"/>
    <x v="1"/>
    <n v="2429700"/>
  </r>
  <r>
    <x v="1"/>
    <x v="2"/>
    <x v="12"/>
    <x v="44"/>
    <x v="103"/>
    <x v="103"/>
    <x v="1"/>
    <s v="N"/>
    <s v="N"/>
    <x v="1"/>
    <x v="0"/>
    <x v="0"/>
    <x v="0"/>
    <s v="성인"/>
    <s v="성인"/>
    <s v="대리점"/>
    <x v="0"/>
    <x v="2"/>
    <x v="0"/>
    <x v="1361"/>
    <s v="HP2636947032"/>
    <x v="0"/>
    <n v="2"/>
  </r>
  <r>
    <x v="1"/>
    <x v="2"/>
    <x v="12"/>
    <x v="44"/>
    <x v="103"/>
    <x v="103"/>
    <x v="1"/>
    <s v="N"/>
    <s v="N"/>
    <x v="1"/>
    <x v="0"/>
    <x v="0"/>
    <x v="0"/>
    <s v="성인"/>
    <s v="성인"/>
    <s v="대리점"/>
    <x v="0"/>
    <x v="2"/>
    <x v="0"/>
    <x v="1361"/>
    <s v="HP2636947032"/>
    <x v="1"/>
    <n v="3799800"/>
  </r>
  <r>
    <x v="1"/>
    <x v="2"/>
    <x v="12"/>
    <x v="44"/>
    <x v="103"/>
    <x v="103"/>
    <x v="2"/>
    <s v="Y"/>
    <s v="Y"/>
    <x v="1"/>
    <x v="0"/>
    <x v="0"/>
    <x v="0"/>
    <s v="성인"/>
    <s v="성인"/>
    <s v="대리점"/>
    <x v="0"/>
    <x v="2"/>
    <x v="0"/>
    <x v="1362"/>
    <s v="HP2636964632"/>
    <x v="0"/>
    <n v="2"/>
  </r>
  <r>
    <x v="1"/>
    <x v="2"/>
    <x v="12"/>
    <x v="44"/>
    <x v="103"/>
    <x v="103"/>
    <x v="2"/>
    <s v="Y"/>
    <s v="Y"/>
    <x v="1"/>
    <x v="0"/>
    <x v="0"/>
    <x v="0"/>
    <s v="성인"/>
    <s v="성인"/>
    <s v="대리점"/>
    <x v="0"/>
    <x v="2"/>
    <x v="0"/>
    <x v="1362"/>
    <s v="HP2636964632"/>
    <x v="1"/>
    <n v="2008000"/>
  </r>
  <r>
    <x v="1"/>
    <x v="2"/>
    <x v="12"/>
    <x v="44"/>
    <x v="103"/>
    <x v="103"/>
    <x v="2"/>
    <s v="Y"/>
    <s v="Y"/>
    <x v="1"/>
    <x v="0"/>
    <x v="0"/>
    <x v="0"/>
    <s v="아동"/>
    <s v="아동"/>
    <s v="대리점"/>
    <x v="0"/>
    <x v="2"/>
    <x v="0"/>
    <x v="1362"/>
    <s v="HP2636964632"/>
    <x v="0"/>
    <n v="2"/>
  </r>
  <r>
    <x v="1"/>
    <x v="2"/>
    <x v="12"/>
    <x v="44"/>
    <x v="103"/>
    <x v="103"/>
    <x v="2"/>
    <s v="Y"/>
    <s v="Y"/>
    <x v="1"/>
    <x v="0"/>
    <x v="0"/>
    <x v="0"/>
    <s v="아동"/>
    <s v="아동"/>
    <s v="대리점"/>
    <x v="0"/>
    <x v="2"/>
    <x v="0"/>
    <x v="1362"/>
    <s v="HP2636964632"/>
    <x v="1"/>
    <n v="2008000"/>
  </r>
  <r>
    <x v="1"/>
    <x v="2"/>
    <x v="12"/>
    <x v="44"/>
    <x v="103"/>
    <x v="103"/>
    <x v="2"/>
    <s v="Y"/>
    <s v="Y"/>
    <x v="1"/>
    <x v="0"/>
    <x v="0"/>
    <x v="0"/>
    <s v="청소년"/>
    <s v="청소년"/>
    <s v="대리점"/>
    <x v="0"/>
    <x v="2"/>
    <x v="0"/>
    <x v="1362"/>
    <s v="HP2636964632"/>
    <x v="0"/>
    <n v="1"/>
  </r>
  <r>
    <x v="1"/>
    <x v="2"/>
    <x v="12"/>
    <x v="44"/>
    <x v="103"/>
    <x v="103"/>
    <x v="2"/>
    <s v="Y"/>
    <s v="Y"/>
    <x v="1"/>
    <x v="0"/>
    <x v="0"/>
    <x v="0"/>
    <s v="청소년"/>
    <s v="청소년"/>
    <s v="대리점"/>
    <x v="0"/>
    <x v="2"/>
    <x v="0"/>
    <x v="1362"/>
    <s v="HP2636964632"/>
    <x v="1"/>
    <n v="1004000"/>
  </r>
  <r>
    <x v="1"/>
    <x v="2"/>
    <x v="12"/>
    <x v="44"/>
    <x v="103"/>
    <x v="103"/>
    <x v="4"/>
    <s v="N"/>
    <s v="N"/>
    <x v="0"/>
    <x v="0"/>
    <x v="0"/>
    <x v="0"/>
    <s v="성인"/>
    <s v="성인"/>
    <s v="대리점"/>
    <x v="0"/>
    <x v="16"/>
    <x v="0"/>
    <x v="1359"/>
    <s v="HP2636998626"/>
    <x v="0"/>
    <n v="2"/>
  </r>
  <r>
    <x v="1"/>
    <x v="2"/>
    <x v="12"/>
    <x v="44"/>
    <x v="103"/>
    <x v="103"/>
    <x v="4"/>
    <s v="N"/>
    <s v="N"/>
    <x v="0"/>
    <x v="0"/>
    <x v="0"/>
    <x v="0"/>
    <s v="성인"/>
    <s v="성인"/>
    <s v="대리점"/>
    <x v="0"/>
    <x v="16"/>
    <x v="0"/>
    <x v="1359"/>
    <s v="HP2636998626"/>
    <x v="1"/>
    <n v="1899800"/>
  </r>
  <r>
    <x v="1"/>
    <x v="2"/>
    <x v="12"/>
    <x v="44"/>
    <x v="103"/>
    <x v="103"/>
    <x v="4"/>
    <s v="N"/>
    <s v="N"/>
    <x v="0"/>
    <x v="0"/>
    <x v="0"/>
    <x v="1"/>
    <s v="아동"/>
    <s v="아동"/>
    <s v="대리점"/>
    <x v="0"/>
    <x v="16"/>
    <x v="0"/>
    <x v="1359"/>
    <s v="HP2636998626"/>
    <x v="0"/>
    <n v="2"/>
  </r>
  <r>
    <x v="1"/>
    <x v="2"/>
    <x v="12"/>
    <x v="44"/>
    <x v="103"/>
    <x v="103"/>
    <x v="4"/>
    <s v="N"/>
    <s v="N"/>
    <x v="0"/>
    <x v="0"/>
    <x v="0"/>
    <x v="1"/>
    <s v="아동"/>
    <s v="아동"/>
    <s v="대리점"/>
    <x v="0"/>
    <x v="16"/>
    <x v="0"/>
    <x v="1359"/>
    <s v="HP2636998626"/>
    <x v="1"/>
    <n v="1899800"/>
  </r>
  <r>
    <x v="1"/>
    <x v="2"/>
    <x v="12"/>
    <x v="44"/>
    <x v="103"/>
    <x v="103"/>
    <x v="4"/>
    <s v="N"/>
    <s v="N"/>
    <x v="0"/>
    <x v="0"/>
    <x v="0"/>
    <x v="1"/>
    <s v="유아"/>
    <s v="유아"/>
    <s v="대리점"/>
    <x v="0"/>
    <x v="16"/>
    <x v="0"/>
    <x v="1359"/>
    <s v="HP2636998626"/>
    <x v="0"/>
    <n v="1"/>
  </r>
  <r>
    <x v="1"/>
    <x v="2"/>
    <x v="12"/>
    <x v="44"/>
    <x v="103"/>
    <x v="103"/>
    <x v="4"/>
    <s v="N"/>
    <s v="N"/>
    <x v="0"/>
    <x v="0"/>
    <x v="0"/>
    <x v="1"/>
    <s v="유아"/>
    <s v="유아"/>
    <s v="대리점"/>
    <x v="0"/>
    <x v="16"/>
    <x v="0"/>
    <x v="1359"/>
    <s v="HP2636998626"/>
    <x v="1"/>
    <n v="949900"/>
  </r>
  <r>
    <x v="1"/>
    <x v="2"/>
    <x v="12"/>
    <x v="44"/>
    <x v="103"/>
    <x v="103"/>
    <x v="5"/>
    <s v="N"/>
    <s v="N"/>
    <x v="0"/>
    <x v="0"/>
    <x v="0"/>
    <x v="0"/>
    <m/>
    <m/>
    <s v="대리점"/>
    <x v="0"/>
    <x v="2"/>
    <x v="0"/>
    <x v="1363"/>
    <s v="HP2637038174"/>
    <x v="0"/>
    <n v="10"/>
  </r>
  <r>
    <x v="1"/>
    <x v="2"/>
    <x v="12"/>
    <x v="44"/>
    <x v="103"/>
    <x v="103"/>
    <x v="5"/>
    <s v="N"/>
    <s v="N"/>
    <x v="0"/>
    <x v="0"/>
    <x v="0"/>
    <x v="0"/>
    <m/>
    <m/>
    <s v="대리점"/>
    <x v="0"/>
    <x v="2"/>
    <x v="0"/>
    <x v="1363"/>
    <s v="HP2637038174"/>
    <x v="1"/>
    <n v="15899000"/>
  </r>
  <r>
    <x v="1"/>
    <x v="2"/>
    <x v="12"/>
    <x v="44"/>
    <x v="103"/>
    <x v="103"/>
    <x v="5"/>
    <s v="N"/>
    <s v="N"/>
    <x v="7"/>
    <x v="2"/>
    <x v="0"/>
    <x v="0"/>
    <s v="성인"/>
    <s v="성인"/>
    <s v="대리점"/>
    <x v="0"/>
    <x v="12"/>
    <x v="0"/>
    <x v="1364"/>
    <s v="HQ2637024030"/>
    <x v="0"/>
    <n v="3"/>
  </r>
  <r>
    <x v="1"/>
    <x v="2"/>
    <x v="12"/>
    <x v="44"/>
    <x v="103"/>
    <x v="103"/>
    <x v="5"/>
    <s v="N"/>
    <s v="N"/>
    <x v="7"/>
    <x v="2"/>
    <x v="0"/>
    <x v="0"/>
    <s v="성인"/>
    <s v="성인"/>
    <s v="대리점"/>
    <x v="0"/>
    <x v="12"/>
    <x v="0"/>
    <x v="1364"/>
    <s v="HQ2637024030"/>
    <x v="1"/>
    <n v="12858000"/>
  </r>
  <r>
    <x v="1"/>
    <x v="2"/>
    <x v="12"/>
    <x v="44"/>
    <x v="103"/>
    <x v="103"/>
    <x v="7"/>
    <s v="N"/>
    <s v="Y"/>
    <x v="0"/>
    <x v="0"/>
    <x v="0"/>
    <x v="0"/>
    <s v="성인"/>
    <s v="성인"/>
    <s v="대리점"/>
    <x v="0"/>
    <x v="2"/>
    <x v="0"/>
    <x v="1365"/>
    <s v="HP2637071524"/>
    <x v="0"/>
    <n v="4"/>
  </r>
  <r>
    <x v="1"/>
    <x v="2"/>
    <x v="12"/>
    <x v="44"/>
    <x v="103"/>
    <x v="103"/>
    <x v="7"/>
    <s v="N"/>
    <s v="Y"/>
    <x v="0"/>
    <x v="0"/>
    <x v="0"/>
    <x v="0"/>
    <s v="성인"/>
    <s v="성인"/>
    <s v="대리점"/>
    <x v="0"/>
    <x v="2"/>
    <x v="0"/>
    <x v="1365"/>
    <s v="HP2637071524"/>
    <x v="1"/>
    <n v="2043600"/>
  </r>
  <r>
    <x v="1"/>
    <x v="2"/>
    <x v="12"/>
    <x v="44"/>
    <x v="103"/>
    <x v="103"/>
    <x v="7"/>
    <s v="N"/>
    <s v="Y"/>
    <x v="0"/>
    <x v="0"/>
    <x v="0"/>
    <x v="0"/>
    <m/>
    <m/>
    <s v="대리점"/>
    <x v="0"/>
    <x v="2"/>
    <x v="1"/>
    <x v="1363"/>
    <s v="HP2637069134"/>
    <x v="0"/>
    <n v="0"/>
  </r>
  <r>
    <x v="1"/>
    <x v="2"/>
    <x v="12"/>
    <x v="44"/>
    <x v="103"/>
    <x v="103"/>
    <x v="7"/>
    <s v="N"/>
    <s v="Y"/>
    <x v="0"/>
    <x v="0"/>
    <x v="0"/>
    <x v="0"/>
    <m/>
    <m/>
    <s v="대리점"/>
    <x v="0"/>
    <x v="2"/>
    <x v="1"/>
    <x v="1363"/>
    <s v="HP2637069134"/>
    <x v="1"/>
    <n v="1689900"/>
  </r>
  <r>
    <x v="1"/>
    <x v="2"/>
    <x v="12"/>
    <x v="44"/>
    <x v="103"/>
    <x v="103"/>
    <x v="10"/>
    <s v="N"/>
    <s v="N"/>
    <x v="0"/>
    <x v="0"/>
    <x v="0"/>
    <x v="0"/>
    <s v="성인"/>
    <s v="성인"/>
    <s v="대리점"/>
    <x v="0"/>
    <x v="14"/>
    <x v="0"/>
    <x v="1366"/>
    <s v="HP2637116878"/>
    <x v="0"/>
    <n v="2"/>
  </r>
  <r>
    <x v="1"/>
    <x v="2"/>
    <x v="12"/>
    <x v="44"/>
    <x v="103"/>
    <x v="103"/>
    <x v="10"/>
    <s v="N"/>
    <s v="N"/>
    <x v="0"/>
    <x v="0"/>
    <x v="0"/>
    <x v="0"/>
    <s v="성인"/>
    <s v="성인"/>
    <s v="대리점"/>
    <x v="0"/>
    <x v="14"/>
    <x v="0"/>
    <x v="1366"/>
    <s v="HP2637116878"/>
    <x v="1"/>
    <n v="2821800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367"/>
    <s v="HP2636935702"/>
    <x v="0"/>
    <n v="2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367"/>
    <s v="HP2636935702"/>
    <x v="1"/>
    <n v="1408000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036"/>
    <s v="HP2636918968"/>
    <x v="0"/>
    <n v="2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036"/>
    <s v="HP2636918968"/>
    <x v="1"/>
    <n v="1199800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8"/>
    <s v="HP2636948130"/>
    <x v="0"/>
    <n v="3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8"/>
    <s v="HP2636948130"/>
    <x v="1"/>
    <n v="1649700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9"/>
    <s v="HP2636948528"/>
    <x v="0"/>
    <n v="2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9"/>
    <s v="HP2636948528"/>
    <x v="1"/>
    <n v="2179800"/>
  </r>
  <r>
    <x v="1"/>
    <x v="2"/>
    <x v="12"/>
    <x v="45"/>
    <x v="104"/>
    <x v="104"/>
    <x v="1"/>
    <s v="N"/>
    <s v="N"/>
    <x v="1"/>
    <x v="0"/>
    <x v="0"/>
    <x v="0"/>
    <s v="성인"/>
    <s v="성인"/>
    <s v="닷컴"/>
    <x v="4"/>
    <x v="23"/>
    <x v="0"/>
    <x v="1370"/>
    <s v="HP2636951116"/>
    <x v="0"/>
    <n v="2"/>
  </r>
  <r>
    <x v="1"/>
    <x v="2"/>
    <x v="12"/>
    <x v="45"/>
    <x v="104"/>
    <x v="104"/>
    <x v="1"/>
    <s v="N"/>
    <s v="N"/>
    <x v="1"/>
    <x v="0"/>
    <x v="0"/>
    <x v="0"/>
    <s v="성인"/>
    <s v="성인"/>
    <s v="닷컴"/>
    <x v="4"/>
    <x v="23"/>
    <x v="0"/>
    <x v="1370"/>
    <s v="HP2636951116"/>
    <x v="1"/>
    <n v="1999800"/>
  </r>
  <r>
    <x v="1"/>
    <x v="2"/>
    <x v="12"/>
    <x v="45"/>
    <x v="104"/>
    <x v="104"/>
    <x v="2"/>
    <s v="Y"/>
    <s v="Y"/>
    <x v="0"/>
    <x v="0"/>
    <x v="0"/>
    <x v="0"/>
    <s v="성인"/>
    <s v="성인"/>
    <s v="닷컴"/>
    <x v="4"/>
    <x v="2"/>
    <x v="0"/>
    <x v="1371"/>
    <s v="HP2636968088"/>
    <x v="0"/>
    <n v="2"/>
  </r>
  <r>
    <x v="1"/>
    <x v="2"/>
    <x v="12"/>
    <x v="45"/>
    <x v="104"/>
    <x v="104"/>
    <x v="2"/>
    <s v="Y"/>
    <s v="Y"/>
    <x v="0"/>
    <x v="0"/>
    <x v="0"/>
    <x v="0"/>
    <s v="성인"/>
    <s v="성인"/>
    <s v="닷컴"/>
    <x v="4"/>
    <x v="2"/>
    <x v="0"/>
    <x v="1371"/>
    <s v="HP2636968088"/>
    <x v="1"/>
    <n v="2220600"/>
  </r>
  <r>
    <x v="1"/>
    <x v="2"/>
    <x v="12"/>
    <x v="45"/>
    <x v="104"/>
    <x v="104"/>
    <x v="2"/>
    <s v="Y"/>
    <s v="Y"/>
    <x v="0"/>
    <x v="0"/>
    <x v="0"/>
    <x v="0"/>
    <s v="아동"/>
    <s v="아동"/>
    <s v="닷컴"/>
    <x v="4"/>
    <x v="2"/>
    <x v="0"/>
    <x v="1371"/>
    <s v="HP2636968088"/>
    <x v="0"/>
    <n v="1"/>
  </r>
  <r>
    <x v="1"/>
    <x v="2"/>
    <x v="12"/>
    <x v="45"/>
    <x v="104"/>
    <x v="104"/>
    <x v="2"/>
    <s v="Y"/>
    <s v="Y"/>
    <x v="0"/>
    <x v="0"/>
    <x v="0"/>
    <x v="0"/>
    <s v="아동"/>
    <s v="아동"/>
    <s v="닷컴"/>
    <x v="4"/>
    <x v="2"/>
    <x v="0"/>
    <x v="1371"/>
    <s v="HP2636968088"/>
    <x v="1"/>
    <n v="1110300"/>
  </r>
  <r>
    <x v="1"/>
    <x v="2"/>
    <x v="12"/>
    <x v="45"/>
    <x v="104"/>
    <x v="104"/>
    <x v="2"/>
    <s v="Y"/>
    <s v="Y"/>
    <x v="0"/>
    <x v="0"/>
    <x v="0"/>
    <x v="0"/>
    <s v="청소년"/>
    <s v="청소년"/>
    <s v="닷컴"/>
    <x v="4"/>
    <x v="2"/>
    <x v="0"/>
    <x v="1371"/>
    <s v="HP2636968088"/>
    <x v="0"/>
    <n v="1"/>
  </r>
  <r>
    <x v="1"/>
    <x v="2"/>
    <x v="12"/>
    <x v="45"/>
    <x v="104"/>
    <x v="104"/>
    <x v="2"/>
    <s v="Y"/>
    <s v="Y"/>
    <x v="0"/>
    <x v="0"/>
    <x v="0"/>
    <x v="0"/>
    <s v="청소년"/>
    <s v="청소년"/>
    <s v="닷컴"/>
    <x v="4"/>
    <x v="2"/>
    <x v="0"/>
    <x v="1371"/>
    <s v="HP2636968088"/>
    <x v="1"/>
    <n v="1110300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16"/>
    <x v="0"/>
    <x v="1372"/>
    <s v="HP2636979826"/>
    <x v="0"/>
    <n v="6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16"/>
    <x v="0"/>
    <x v="1372"/>
    <s v="HP2636979826"/>
    <x v="1"/>
    <n v="3713400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4"/>
    <x v="0"/>
    <x v="1373"/>
    <s v="HP2636976478"/>
    <x v="0"/>
    <n v="2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4"/>
    <x v="0"/>
    <x v="1373"/>
    <s v="HP2636976478"/>
    <x v="1"/>
    <n v="1199800"/>
  </r>
  <r>
    <x v="1"/>
    <x v="2"/>
    <x v="12"/>
    <x v="45"/>
    <x v="104"/>
    <x v="104"/>
    <x v="3"/>
    <s v="N"/>
    <s v="Y"/>
    <x v="0"/>
    <x v="0"/>
    <x v="0"/>
    <x v="0"/>
    <m/>
    <m/>
    <s v="닷컴"/>
    <x v="4"/>
    <x v="2"/>
    <x v="1"/>
    <x v="1374"/>
    <s v="HP2636991040"/>
    <x v="0"/>
    <n v="0"/>
  </r>
  <r>
    <x v="1"/>
    <x v="2"/>
    <x v="12"/>
    <x v="45"/>
    <x v="104"/>
    <x v="104"/>
    <x v="3"/>
    <s v="N"/>
    <s v="Y"/>
    <x v="0"/>
    <x v="0"/>
    <x v="0"/>
    <x v="0"/>
    <m/>
    <m/>
    <s v="닷컴"/>
    <x v="4"/>
    <x v="2"/>
    <x v="1"/>
    <x v="1374"/>
    <s v="HP2636991040"/>
    <x v="1"/>
    <n v="702900"/>
  </r>
  <r>
    <x v="1"/>
    <x v="2"/>
    <x v="12"/>
    <x v="45"/>
    <x v="104"/>
    <x v="104"/>
    <x v="4"/>
    <s v="N"/>
    <s v="N"/>
    <x v="0"/>
    <x v="0"/>
    <x v="0"/>
    <x v="0"/>
    <s v="성인"/>
    <s v="성인"/>
    <s v="대리점"/>
    <x v="0"/>
    <x v="2"/>
    <x v="0"/>
    <x v="1375"/>
    <s v="HP2637007346"/>
    <x v="0"/>
    <n v="6"/>
  </r>
  <r>
    <x v="1"/>
    <x v="2"/>
    <x v="12"/>
    <x v="45"/>
    <x v="104"/>
    <x v="104"/>
    <x v="4"/>
    <s v="N"/>
    <s v="N"/>
    <x v="0"/>
    <x v="0"/>
    <x v="0"/>
    <x v="0"/>
    <s v="성인"/>
    <s v="성인"/>
    <s v="대리점"/>
    <x v="0"/>
    <x v="2"/>
    <x v="0"/>
    <x v="1375"/>
    <s v="HP2637007346"/>
    <x v="1"/>
    <n v="5045400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17"/>
    <x v="0"/>
    <x v="1376"/>
    <s v="HP2637000336"/>
    <x v="0"/>
    <n v="6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17"/>
    <x v="0"/>
    <x v="1376"/>
    <s v="HP2637000336"/>
    <x v="1"/>
    <n v="2417400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2"/>
    <x v="1"/>
    <x v="1377"/>
    <s v="HP2637004798"/>
    <x v="0"/>
    <n v="0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2"/>
    <x v="1"/>
    <x v="1377"/>
    <s v="HP2637004798"/>
    <x v="1"/>
    <n v="375800"/>
  </r>
  <r>
    <x v="1"/>
    <x v="2"/>
    <x v="12"/>
    <x v="45"/>
    <x v="104"/>
    <x v="104"/>
    <x v="4"/>
    <s v="N"/>
    <s v="N"/>
    <x v="1"/>
    <x v="0"/>
    <x v="0"/>
    <x v="0"/>
    <s v="성인"/>
    <s v="성인"/>
    <s v="닷컴"/>
    <x v="4"/>
    <x v="2"/>
    <x v="0"/>
    <x v="975"/>
    <s v="HP2637007338"/>
    <x v="0"/>
    <n v="6"/>
  </r>
  <r>
    <x v="1"/>
    <x v="2"/>
    <x v="12"/>
    <x v="45"/>
    <x v="104"/>
    <x v="104"/>
    <x v="4"/>
    <s v="N"/>
    <s v="N"/>
    <x v="1"/>
    <x v="0"/>
    <x v="0"/>
    <x v="0"/>
    <s v="성인"/>
    <s v="성인"/>
    <s v="닷컴"/>
    <x v="4"/>
    <x v="2"/>
    <x v="0"/>
    <x v="975"/>
    <s v="HP2637007338"/>
    <x v="1"/>
    <n v="5351400"/>
  </r>
  <r>
    <x v="1"/>
    <x v="2"/>
    <x v="12"/>
    <x v="45"/>
    <x v="104"/>
    <x v="104"/>
    <x v="5"/>
    <s v="N"/>
    <s v="N"/>
    <x v="0"/>
    <x v="0"/>
    <x v="0"/>
    <x v="0"/>
    <s v="성인"/>
    <s v="성인"/>
    <s v="닷컴"/>
    <x v="4"/>
    <x v="2"/>
    <x v="0"/>
    <x v="1378"/>
    <s v="HP2637022038"/>
    <x v="0"/>
    <n v="2"/>
  </r>
  <r>
    <x v="1"/>
    <x v="2"/>
    <x v="12"/>
    <x v="45"/>
    <x v="104"/>
    <x v="104"/>
    <x v="5"/>
    <s v="N"/>
    <s v="N"/>
    <x v="0"/>
    <x v="0"/>
    <x v="0"/>
    <x v="0"/>
    <s v="성인"/>
    <s v="성인"/>
    <s v="닷컴"/>
    <x v="4"/>
    <x v="2"/>
    <x v="0"/>
    <x v="1378"/>
    <s v="HP2637022038"/>
    <x v="1"/>
    <n v="2279800"/>
  </r>
  <r>
    <x v="1"/>
    <x v="2"/>
    <x v="12"/>
    <x v="45"/>
    <x v="104"/>
    <x v="104"/>
    <x v="5"/>
    <s v="N"/>
    <s v="N"/>
    <x v="0"/>
    <x v="0"/>
    <x v="0"/>
    <x v="0"/>
    <s v="성인"/>
    <s v="성인"/>
    <s v="대리점"/>
    <x v="0"/>
    <x v="2"/>
    <x v="0"/>
    <x v="1379"/>
    <s v="HP2637026370"/>
    <x v="0"/>
    <n v="3"/>
  </r>
  <r>
    <x v="1"/>
    <x v="2"/>
    <x v="12"/>
    <x v="45"/>
    <x v="104"/>
    <x v="104"/>
    <x v="5"/>
    <s v="N"/>
    <s v="N"/>
    <x v="0"/>
    <x v="0"/>
    <x v="0"/>
    <x v="0"/>
    <s v="성인"/>
    <s v="성인"/>
    <s v="대리점"/>
    <x v="0"/>
    <x v="2"/>
    <x v="0"/>
    <x v="1379"/>
    <s v="HP2637026370"/>
    <x v="1"/>
    <n v="2463000"/>
  </r>
  <r>
    <x v="1"/>
    <x v="2"/>
    <x v="12"/>
    <x v="45"/>
    <x v="104"/>
    <x v="104"/>
    <x v="5"/>
    <s v="N"/>
    <s v="N"/>
    <x v="0"/>
    <x v="0"/>
    <x v="0"/>
    <x v="0"/>
    <s v="청소년"/>
    <s v="청소년"/>
    <s v="닷컴"/>
    <x v="4"/>
    <x v="2"/>
    <x v="0"/>
    <x v="1378"/>
    <s v="HP2637022038"/>
    <x v="0"/>
    <n v="1"/>
  </r>
  <r>
    <x v="1"/>
    <x v="2"/>
    <x v="12"/>
    <x v="45"/>
    <x v="104"/>
    <x v="104"/>
    <x v="5"/>
    <s v="N"/>
    <s v="N"/>
    <x v="0"/>
    <x v="0"/>
    <x v="0"/>
    <x v="0"/>
    <s v="청소년"/>
    <s v="청소년"/>
    <s v="닷컴"/>
    <x v="4"/>
    <x v="2"/>
    <x v="0"/>
    <x v="1378"/>
    <s v="HP2637022038"/>
    <x v="1"/>
    <n v="1139900"/>
  </r>
  <r>
    <x v="1"/>
    <x v="2"/>
    <x v="12"/>
    <x v="45"/>
    <x v="104"/>
    <x v="104"/>
    <x v="5"/>
    <s v="N"/>
    <s v="N"/>
    <x v="0"/>
    <x v="0"/>
    <x v="0"/>
    <x v="1"/>
    <s v="유아"/>
    <s v="유아"/>
    <s v="닷컴"/>
    <x v="4"/>
    <x v="2"/>
    <x v="0"/>
    <x v="1378"/>
    <s v="HP2637022038"/>
    <x v="0"/>
    <n v="1"/>
  </r>
  <r>
    <x v="1"/>
    <x v="2"/>
    <x v="12"/>
    <x v="45"/>
    <x v="104"/>
    <x v="104"/>
    <x v="5"/>
    <s v="N"/>
    <s v="N"/>
    <x v="0"/>
    <x v="0"/>
    <x v="0"/>
    <x v="1"/>
    <s v="유아"/>
    <s v="유아"/>
    <s v="닷컴"/>
    <x v="4"/>
    <x v="2"/>
    <x v="0"/>
    <x v="1378"/>
    <s v="HP2637022038"/>
    <x v="1"/>
    <n v="1139900"/>
  </r>
  <r>
    <x v="1"/>
    <x v="2"/>
    <x v="12"/>
    <x v="45"/>
    <x v="104"/>
    <x v="104"/>
    <x v="5"/>
    <s v="N"/>
    <s v="N"/>
    <x v="1"/>
    <x v="0"/>
    <x v="0"/>
    <x v="0"/>
    <s v="성인"/>
    <s v="성인"/>
    <s v="닷컴"/>
    <x v="4"/>
    <x v="2"/>
    <x v="0"/>
    <x v="1380"/>
    <s v="HP2637026998"/>
    <x v="0"/>
    <n v="2"/>
  </r>
  <r>
    <x v="1"/>
    <x v="2"/>
    <x v="12"/>
    <x v="45"/>
    <x v="104"/>
    <x v="104"/>
    <x v="5"/>
    <s v="N"/>
    <s v="N"/>
    <x v="1"/>
    <x v="0"/>
    <x v="0"/>
    <x v="0"/>
    <s v="성인"/>
    <s v="성인"/>
    <s v="닷컴"/>
    <x v="4"/>
    <x v="2"/>
    <x v="0"/>
    <x v="1380"/>
    <s v="HP2637026998"/>
    <x v="1"/>
    <n v="2199800"/>
  </r>
  <r>
    <x v="1"/>
    <x v="2"/>
    <x v="12"/>
    <x v="45"/>
    <x v="104"/>
    <x v="104"/>
    <x v="6"/>
    <s v="N"/>
    <s v="N"/>
    <x v="0"/>
    <x v="0"/>
    <x v="0"/>
    <x v="0"/>
    <s v="성인"/>
    <s v="성인"/>
    <s v="닷컴"/>
    <x v="4"/>
    <x v="38"/>
    <x v="0"/>
    <x v="1381"/>
    <s v="HP2637051464"/>
    <x v="0"/>
    <n v="2"/>
  </r>
  <r>
    <x v="1"/>
    <x v="2"/>
    <x v="12"/>
    <x v="45"/>
    <x v="104"/>
    <x v="104"/>
    <x v="6"/>
    <s v="N"/>
    <s v="N"/>
    <x v="0"/>
    <x v="0"/>
    <x v="0"/>
    <x v="0"/>
    <s v="성인"/>
    <s v="성인"/>
    <s v="닷컴"/>
    <x v="4"/>
    <x v="38"/>
    <x v="0"/>
    <x v="1381"/>
    <s v="HP2637051464"/>
    <x v="1"/>
    <n v="577800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45"/>
    <s v="HP2637055528"/>
    <x v="0"/>
    <n v="4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45"/>
    <s v="HP2637055528"/>
    <x v="1"/>
    <n v="4499600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349"/>
    <s v="HP2637051598"/>
    <x v="0"/>
    <n v="3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349"/>
    <s v="HP2637051598"/>
    <x v="1"/>
    <n v="3359700"/>
  </r>
  <r>
    <x v="1"/>
    <x v="2"/>
    <x v="12"/>
    <x v="45"/>
    <x v="104"/>
    <x v="104"/>
    <x v="6"/>
    <s v="N"/>
    <s v="N"/>
    <x v="0"/>
    <x v="0"/>
    <x v="0"/>
    <x v="0"/>
    <m/>
    <m/>
    <s v="닷컴"/>
    <x v="4"/>
    <x v="38"/>
    <x v="1"/>
    <x v="1382"/>
    <s v="HP2637062500"/>
    <x v="0"/>
    <n v="0"/>
  </r>
  <r>
    <x v="1"/>
    <x v="2"/>
    <x v="12"/>
    <x v="45"/>
    <x v="104"/>
    <x v="104"/>
    <x v="6"/>
    <s v="N"/>
    <s v="N"/>
    <x v="0"/>
    <x v="0"/>
    <x v="0"/>
    <x v="0"/>
    <m/>
    <m/>
    <s v="닷컴"/>
    <x v="4"/>
    <x v="38"/>
    <x v="1"/>
    <x v="1382"/>
    <s v="HP2637062500"/>
    <x v="1"/>
    <n v="378900"/>
  </r>
  <r>
    <x v="1"/>
    <x v="2"/>
    <x v="12"/>
    <x v="45"/>
    <x v="104"/>
    <x v="104"/>
    <x v="6"/>
    <s v="N"/>
    <s v="N"/>
    <x v="0"/>
    <x v="0"/>
    <x v="0"/>
    <x v="0"/>
    <m/>
    <m/>
    <s v="대리점"/>
    <x v="0"/>
    <x v="2"/>
    <x v="1"/>
    <x v="1383"/>
    <s v="HP2637049218"/>
    <x v="0"/>
    <n v="0"/>
  </r>
  <r>
    <x v="1"/>
    <x v="2"/>
    <x v="12"/>
    <x v="45"/>
    <x v="104"/>
    <x v="104"/>
    <x v="6"/>
    <s v="N"/>
    <s v="N"/>
    <x v="0"/>
    <x v="0"/>
    <x v="0"/>
    <x v="0"/>
    <m/>
    <m/>
    <s v="대리점"/>
    <x v="0"/>
    <x v="2"/>
    <x v="1"/>
    <x v="1383"/>
    <s v="HP2637049218"/>
    <x v="1"/>
    <n v="3251400"/>
  </r>
  <r>
    <x v="1"/>
    <x v="2"/>
    <x v="12"/>
    <x v="45"/>
    <x v="104"/>
    <x v="104"/>
    <x v="6"/>
    <s v="N"/>
    <s v="N"/>
    <x v="2"/>
    <x v="0"/>
    <x v="0"/>
    <x v="0"/>
    <s v="성인"/>
    <s v="성인"/>
    <s v="대리점"/>
    <x v="0"/>
    <x v="2"/>
    <x v="0"/>
    <x v="1384"/>
    <s v="HP2637053276"/>
    <x v="0"/>
    <n v="6"/>
  </r>
  <r>
    <x v="1"/>
    <x v="2"/>
    <x v="12"/>
    <x v="45"/>
    <x v="104"/>
    <x v="104"/>
    <x v="6"/>
    <s v="N"/>
    <s v="N"/>
    <x v="2"/>
    <x v="0"/>
    <x v="0"/>
    <x v="0"/>
    <s v="성인"/>
    <s v="성인"/>
    <s v="대리점"/>
    <x v="0"/>
    <x v="2"/>
    <x v="0"/>
    <x v="1384"/>
    <s v="HP2637053276"/>
    <x v="1"/>
    <n v="10211400"/>
  </r>
  <r>
    <x v="1"/>
    <x v="2"/>
    <x v="12"/>
    <x v="45"/>
    <x v="104"/>
    <x v="104"/>
    <x v="6"/>
    <s v="N"/>
    <s v="N"/>
    <x v="2"/>
    <x v="0"/>
    <x v="0"/>
    <x v="0"/>
    <s v="아동"/>
    <s v="아동"/>
    <s v="대리점"/>
    <x v="0"/>
    <x v="2"/>
    <x v="0"/>
    <x v="1384"/>
    <s v="HP2637053276"/>
    <x v="0"/>
    <n v="1"/>
  </r>
  <r>
    <x v="1"/>
    <x v="2"/>
    <x v="12"/>
    <x v="45"/>
    <x v="104"/>
    <x v="104"/>
    <x v="6"/>
    <s v="N"/>
    <s v="N"/>
    <x v="2"/>
    <x v="0"/>
    <x v="0"/>
    <x v="0"/>
    <s v="아동"/>
    <s v="아동"/>
    <s v="대리점"/>
    <x v="0"/>
    <x v="2"/>
    <x v="0"/>
    <x v="1384"/>
    <s v="HP2637053276"/>
    <x v="1"/>
    <n v="1701900"/>
  </r>
  <r>
    <x v="1"/>
    <x v="2"/>
    <x v="12"/>
    <x v="45"/>
    <x v="104"/>
    <x v="104"/>
    <x v="6"/>
    <s v="N"/>
    <s v="N"/>
    <x v="2"/>
    <x v="0"/>
    <x v="0"/>
    <x v="0"/>
    <s v="청소년"/>
    <s v="청소년"/>
    <s v="대리점"/>
    <x v="0"/>
    <x v="2"/>
    <x v="0"/>
    <x v="1384"/>
    <s v="HP2637053276"/>
    <x v="0"/>
    <n v="1"/>
  </r>
  <r>
    <x v="1"/>
    <x v="2"/>
    <x v="12"/>
    <x v="45"/>
    <x v="104"/>
    <x v="104"/>
    <x v="6"/>
    <s v="N"/>
    <s v="N"/>
    <x v="2"/>
    <x v="0"/>
    <x v="0"/>
    <x v="0"/>
    <s v="청소년"/>
    <s v="청소년"/>
    <s v="대리점"/>
    <x v="0"/>
    <x v="2"/>
    <x v="0"/>
    <x v="1384"/>
    <s v="HP2637053276"/>
    <x v="1"/>
    <n v="1701900"/>
  </r>
  <r>
    <x v="1"/>
    <x v="2"/>
    <x v="12"/>
    <x v="45"/>
    <x v="104"/>
    <x v="104"/>
    <x v="6"/>
    <s v="N"/>
    <s v="N"/>
    <x v="2"/>
    <x v="0"/>
    <x v="0"/>
    <x v="1"/>
    <s v="아동"/>
    <s v="아동"/>
    <s v="대리점"/>
    <x v="0"/>
    <x v="2"/>
    <x v="0"/>
    <x v="1384"/>
    <s v="HP2637053276"/>
    <x v="0"/>
    <n v="1"/>
  </r>
  <r>
    <x v="1"/>
    <x v="2"/>
    <x v="12"/>
    <x v="45"/>
    <x v="104"/>
    <x v="104"/>
    <x v="6"/>
    <s v="N"/>
    <s v="N"/>
    <x v="2"/>
    <x v="0"/>
    <x v="0"/>
    <x v="1"/>
    <s v="아동"/>
    <s v="아동"/>
    <s v="대리점"/>
    <x v="0"/>
    <x v="2"/>
    <x v="0"/>
    <x v="1384"/>
    <s v="HP2637053276"/>
    <x v="1"/>
    <n v="1701900"/>
  </r>
  <r>
    <x v="1"/>
    <x v="2"/>
    <x v="12"/>
    <x v="45"/>
    <x v="104"/>
    <x v="104"/>
    <x v="7"/>
    <s v="N"/>
    <s v="Y"/>
    <x v="0"/>
    <x v="0"/>
    <x v="0"/>
    <x v="0"/>
    <m/>
    <m/>
    <s v="닷컴"/>
    <x v="5"/>
    <x v="14"/>
    <x v="1"/>
    <x v="1385"/>
    <s v="HP2637074898"/>
    <x v="0"/>
    <n v="0"/>
  </r>
  <r>
    <x v="1"/>
    <x v="2"/>
    <x v="12"/>
    <x v="45"/>
    <x v="104"/>
    <x v="104"/>
    <x v="7"/>
    <s v="N"/>
    <s v="Y"/>
    <x v="0"/>
    <x v="0"/>
    <x v="0"/>
    <x v="0"/>
    <m/>
    <m/>
    <s v="닷컴"/>
    <x v="5"/>
    <x v="14"/>
    <x v="1"/>
    <x v="1385"/>
    <s v="HP2637074898"/>
    <x v="1"/>
    <n v="429000"/>
  </r>
  <r>
    <x v="1"/>
    <x v="2"/>
    <x v="12"/>
    <x v="45"/>
    <x v="104"/>
    <x v="104"/>
    <x v="8"/>
    <s v="Y"/>
    <s v="N"/>
    <x v="0"/>
    <x v="0"/>
    <x v="0"/>
    <x v="0"/>
    <s v="성인"/>
    <s v="성인"/>
    <s v="닷컴"/>
    <x v="4"/>
    <x v="2"/>
    <x v="0"/>
    <x v="1386"/>
    <s v="HP2637089908"/>
    <x v="0"/>
    <n v="3"/>
  </r>
  <r>
    <x v="1"/>
    <x v="2"/>
    <x v="12"/>
    <x v="45"/>
    <x v="104"/>
    <x v="104"/>
    <x v="8"/>
    <s v="Y"/>
    <s v="N"/>
    <x v="0"/>
    <x v="0"/>
    <x v="0"/>
    <x v="0"/>
    <s v="성인"/>
    <s v="성인"/>
    <s v="닷컴"/>
    <x v="4"/>
    <x v="2"/>
    <x v="0"/>
    <x v="1386"/>
    <s v="HP2637089908"/>
    <x v="1"/>
    <n v="263700"/>
  </r>
  <r>
    <x v="1"/>
    <x v="2"/>
    <x v="12"/>
    <x v="45"/>
    <x v="104"/>
    <x v="104"/>
    <x v="8"/>
    <s v="Y"/>
    <s v="N"/>
    <x v="0"/>
    <x v="0"/>
    <x v="0"/>
    <x v="0"/>
    <s v="성인"/>
    <s v="성인"/>
    <s v="대리점"/>
    <x v="0"/>
    <x v="2"/>
    <x v="0"/>
    <x v="1387"/>
    <s v="HP2637086636"/>
    <x v="0"/>
    <n v="1"/>
  </r>
  <r>
    <x v="1"/>
    <x v="2"/>
    <x v="12"/>
    <x v="45"/>
    <x v="104"/>
    <x v="104"/>
    <x v="8"/>
    <s v="Y"/>
    <s v="N"/>
    <x v="0"/>
    <x v="0"/>
    <x v="0"/>
    <x v="0"/>
    <s v="성인"/>
    <s v="성인"/>
    <s v="대리점"/>
    <x v="0"/>
    <x v="2"/>
    <x v="0"/>
    <x v="1387"/>
    <s v="HP2637086636"/>
    <x v="1"/>
    <n v="1179900"/>
  </r>
  <r>
    <x v="1"/>
    <x v="2"/>
    <x v="12"/>
    <x v="45"/>
    <x v="104"/>
    <x v="104"/>
    <x v="8"/>
    <s v="Y"/>
    <s v="N"/>
    <x v="0"/>
    <x v="0"/>
    <x v="0"/>
    <x v="0"/>
    <s v="성인"/>
    <s v="성인"/>
    <s v="범용/상용닷컴"/>
    <x v="1"/>
    <x v="14"/>
    <x v="0"/>
    <x v="1350"/>
    <s v="HP2637087304"/>
    <x v="0"/>
    <n v="2"/>
  </r>
  <r>
    <x v="1"/>
    <x v="2"/>
    <x v="12"/>
    <x v="45"/>
    <x v="104"/>
    <x v="104"/>
    <x v="8"/>
    <s v="Y"/>
    <s v="N"/>
    <x v="0"/>
    <x v="0"/>
    <x v="0"/>
    <x v="0"/>
    <s v="성인"/>
    <s v="성인"/>
    <s v="범용/상용닷컴"/>
    <x v="1"/>
    <x v="14"/>
    <x v="0"/>
    <x v="1350"/>
    <s v="HP2637087304"/>
    <x v="1"/>
    <n v="858000"/>
  </r>
  <r>
    <x v="1"/>
    <x v="2"/>
    <x v="12"/>
    <x v="45"/>
    <x v="104"/>
    <x v="104"/>
    <x v="8"/>
    <s v="Y"/>
    <s v="N"/>
    <x v="0"/>
    <x v="0"/>
    <x v="0"/>
    <x v="0"/>
    <m/>
    <m/>
    <s v="대리점"/>
    <x v="0"/>
    <x v="2"/>
    <x v="0"/>
    <x v="1388"/>
    <s v="HP2637084836"/>
    <x v="0"/>
    <n v="14"/>
  </r>
  <r>
    <x v="1"/>
    <x v="2"/>
    <x v="12"/>
    <x v="45"/>
    <x v="104"/>
    <x v="104"/>
    <x v="8"/>
    <s v="Y"/>
    <s v="N"/>
    <x v="0"/>
    <x v="0"/>
    <x v="0"/>
    <x v="0"/>
    <m/>
    <m/>
    <s v="대리점"/>
    <x v="0"/>
    <x v="2"/>
    <x v="0"/>
    <x v="1388"/>
    <s v="HP2637084836"/>
    <x v="1"/>
    <n v="16098600"/>
  </r>
  <r>
    <x v="1"/>
    <x v="2"/>
    <x v="12"/>
    <x v="45"/>
    <x v="104"/>
    <x v="104"/>
    <x v="8"/>
    <s v="Y"/>
    <s v="N"/>
    <x v="1"/>
    <x v="0"/>
    <x v="0"/>
    <x v="0"/>
    <m/>
    <m/>
    <s v="대리점"/>
    <x v="0"/>
    <x v="2"/>
    <x v="0"/>
    <x v="1389"/>
    <s v="HP2637084486"/>
    <x v="0"/>
    <n v="2"/>
  </r>
  <r>
    <x v="1"/>
    <x v="2"/>
    <x v="12"/>
    <x v="45"/>
    <x v="104"/>
    <x v="104"/>
    <x v="8"/>
    <s v="Y"/>
    <s v="N"/>
    <x v="1"/>
    <x v="0"/>
    <x v="0"/>
    <x v="0"/>
    <m/>
    <m/>
    <s v="대리점"/>
    <x v="0"/>
    <x v="2"/>
    <x v="0"/>
    <x v="1389"/>
    <s v="HP2637084486"/>
    <x v="1"/>
    <n v="3161800"/>
  </r>
  <r>
    <x v="1"/>
    <x v="2"/>
    <x v="12"/>
    <x v="45"/>
    <x v="104"/>
    <x v="104"/>
    <x v="9"/>
    <s v="Y"/>
    <s v="N"/>
    <x v="0"/>
    <x v="0"/>
    <x v="0"/>
    <x v="0"/>
    <s v="성인"/>
    <s v="성인"/>
    <s v="닷컴"/>
    <x v="4"/>
    <x v="6"/>
    <x v="0"/>
    <x v="1390"/>
    <s v="HP2637095042"/>
    <x v="0"/>
    <n v="2"/>
  </r>
  <r>
    <x v="1"/>
    <x v="2"/>
    <x v="12"/>
    <x v="45"/>
    <x v="104"/>
    <x v="104"/>
    <x v="9"/>
    <s v="Y"/>
    <s v="N"/>
    <x v="0"/>
    <x v="0"/>
    <x v="0"/>
    <x v="0"/>
    <s v="성인"/>
    <s v="성인"/>
    <s v="닷컴"/>
    <x v="4"/>
    <x v="6"/>
    <x v="0"/>
    <x v="1390"/>
    <s v="HP2637095042"/>
    <x v="1"/>
    <n v="1199800"/>
  </r>
  <r>
    <x v="1"/>
    <x v="2"/>
    <x v="12"/>
    <x v="45"/>
    <x v="104"/>
    <x v="104"/>
    <x v="10"/>
    <s v="N"/>
    <s v="N"/>
    <x v="0"/>
    <x v="0"/>
    <x v="0"/>
    <x v="0"/>
    <s v="성인"/>
    <s v="성인"/>
    <s v="닷컴"/>
    <x v="4"/>
    <x v="2"/>
    <x v="0"/>
    <x v="1391"/>
    <s v="HP2637117096"/>
    <x v="0"/>
    <n v="2"/>
  </r>
  <r>
    <x v="1"/>
    <x v="2"/>
    <x v="12"/>
    <x v="45"/>
    <x v="104"/>
    <x v="104"/>
    <x v="10"/>
    <s v="N"/>
    <s v="N"/>
    <x v="0"/>
    <x v="0"/>
    <x v="0"/>
    <x v="0"/>
    <s v="성인"/>
    <s v="성인"/>
    <s v="닷컴"/>
    <x v="4"/>
    <x v="2"/>
    <x v="0"/>
    <x v="1391"/>
    <s v="HP2637117096"/>
    <x v="1"/>
    <n v="1799800"/>
  </r>
  <r>
    <x v="1"/>
    <x v="2"/>
    <x v="12"/>
    <x v="45"/>
    <x v="104"/>
    <x v="104"/>
    <x v="10"/>
    <s v="N"/>
    <s v="N"/>
    <x v="0"/>
    <x v="0"/>
    <x v="0"/>
    <x v="0"/>
    <m/>
    <m/>
    <s v="닷컴"/>
    <x v="4"/>
    <x v="14"/>
    <x v="0"/>
    <x v="1392"/>
    <s v="HP2637128516"/>
    <x v="0"/>
    <n v="2"/>
  </r>
  <r>
    <x v="1"/>
    <x v="2"/>
    <x v="12"/>
    <x v="45"/>
    <x v="104"/>
    <x v="104"/>
    <x v="10"/>
    <s v="N"/>
    <s v="N"/>
    <x v="0"/>
    <x v="0"/>
    <x v="0"/>
    <x v="0"/>
    <m/>
    <m/>
    <s v="닷컴"/>
    <x v="4"/>
    <x v="14"/>
    <x v="0"/>
    <x v="1392"/>
    <s v="HP2637128516"/>
    <x v="1"/>
    <n v="1059800"/>
  </r>
  <r>
    <x v="1"/>
    <x v="2"/>
    <x v="12"/>
    <x v="45"/>
    <x v="104"/>
    <x v="104"/>
    <x v="10"/>
    <s v="N"/>
    <s v="N"/>
    <x v="1"/>
    <x v="0"/>
    <x v="0"/>
    <x v="0"/>
    <m/>
    <m/>
    <s v="대리점"/>
    <x v="0"/>
    <x v="2"/>
    <x v="0"/>
    <x v="1393"/>
    <s v="HP2637121978"/>
    <x v="0"/>
    <n v="2"/>
  </r>
  <r>
    <x v="1"/>
    <x v="2"/>
    <x v="12"/>
    <x v="45"/>
    <x v="104"/>
    <x v="104"/>
    <x v="10"/>
    <s v="N"/>
    <s v="N"/>
    <x v="1"/>
    <x v="0"/>
    <x v="0"/>
    <x v="0"/>
    <m/>
    <m/>
    <s v="대리점"/>
    <x v="0"/>
    <x v="2"/>
    <x v="0"/>
    <x v="1393"/>
    <s v="HP2637121978"/>
    <x v="1"/>
    <n v="1742000"/>
  </r>
  <r>
    <x v="1"/>
    <x v="2"/>
    <x v="12"/>
    <x v="45"/>
    <x v="104"/>
    <x v="104"/>
    <x v="10"/>
    <s v="N"/>
    <s v="N"/>
    <x v="1"/>
    <x v="0"/>
    <x v="0"/>
    <x v="1"/>
    <m/>
    <m/>
    <s v="대리점"/>
    <x v="0"/>
    <x v="2"/>
    <x v="0"/>
    <x v="1393"/>
    <s v="HP2637121978"/>
    <x v="0"/>
    <n v="1"/>
  </r>
  <r>
    <x v="1"/>
    <x v="2"/>
    <x v="12"/>
    <x v="45"/>
    <x v="104"/>
    <x v="104"/>
    <x v="10"/>
    <s v="N"/>
    <s v="N"/>
    <x v="1"/>
    <x v="0"/>
    <x v="0"/>
    <x v="1"/>
    <m/>
    <m/>
    <s v="대리점"/>
    <x v="0"/>
    <x v="2"/>
    <x v="0"/>
    <x v="1393"/>
    <s v="HP2637121978"/>
    <x v="1"/>
    <n v="871000"/>
  </r>
  <r>
    <x v="1"/>
    <x v="3"/>
    <x v="13"/>
    <x v="46"/>
    <x v="105"/>
    <x v="105"/>
    <x v="0"/>
    <s v="N"/>
    <s v="N"/>
    <x v="0"/>
    <x v="0"/>
    <x v="0"/>
    <x v="0"/>
    <s v="성인"/>
    <s v="성인"/>
    <s v="대리점"/>
    <x v="0"/>
    <x v="16"/>
    <x v="0"/>
    <x v="1394"/>
    <s v="HP2636934156"/>
    <x v="0"/>
    <n v="2"/>
  </r>
  <r>
    <x v="1"/>
    <x v="3"/>
    <x v="13"/>
    <x v="46"/>
    <x v="105"/>
    <x v="105"/>
    <x v="0"/>
    <s v="N"/>
    <s v="N"/>
    <x v="0"/>
    <x v="0"/>
    <x v="0"/>
    <x v="0"/>
    <s v="성인"/>
    <s v="성인"/>
    <s v="대리점"/>
    <x v="0"/>
    <x v="16"/>
    <x v="0"/>
    <x v="1394"/>
    <s v="HP2636934156"/>
    <x v="1"/>
    <n v="1668800"/>
  </r>
  <r>
    <x v="1"/>
    <x v="3"/>
    <x v="13"/>
    <x v="46"/>
    <x v="105"/>
    <x v="105"/>
    <x v="0"/>
    <s v="N"/>
    <s v="N"/>
    <x v="0"/>
    <x v="0"/>
    <x v="0"/>
    <x v="0"/>
    <m/>
    <m/>
    <s v="대리점"/>
    <x v="0"/>
    <x v="16"/>
    <x v="1"/>
    <x v="1394"/>
    <s v="HP2636933252"/>
    <x v="0"/>
    <n v="0"/>
  </r>
  <r>
    <x v="1"/>
    <x v="3"/>
    <x v="13"/>
    <x v="46"/>
    <x v="105"/>
    <x v="105"/>
    <x v="0"/>
    <s v="N"/>
    <s v="N"/>
    <x v="0"/>
    <x v="0"/>
    <x v="0"/>
    <x v="0"/>
    <m/>
    <m/>
    <s v="대리점"/>
    <x v="0"/>
    <x v="16"/>
    <x v="1"/>
    <x v="1394"/>
    <s v="HP2636933252"/>
    <x v="1"/>
    <n v="834400"/>
  </r>
  <r>
    <x v="1"/>
    <x v="3"/>
    <x v="13"/>
    <x v="46"/>
    <x v="105"/>
    <x v="105"/>
    <x v="1"/>
    <s v="N"/>
    <s v="N"/>
    <x v="6"/>
    <x v="2"/>
    <x v="0"/>
    <x v="0"/>
    <s v="성인"/>
    <s v="성인"/>
    <s v="대리점"/>
    <x v="0"/>
    <x v="28"/>
    <x v="0"/>
    <x v="1395"/>
    <s v="HQ2636946872"/>
    <x v="0"/>
    <n v="6"/>
  </r>
  <r>
    <x v="1"/>
    <x v="3"/>
    <x v="13"/>
    <x v="46"/>
    <x v="105"/>
    <x v="105"/>
    <x v="1"/>
    <s v="N"/>
    <s v="N"/>
    <x v="6"/>
    <x v="2"/>
    <x v="0"/>
    <x v="0"/>
    <s v="성인"/>
    <s v="성인"/>
    <s v="대리점"/>
    <x v="0"/>
    <x v="28"/>
    <x v="0"/>
    <x v="1395"/>
    <s v="HQ2636946872"/>
    <x v="1"/>
    <n v="3540000"/>
  </r>
  <r>
    <x v="1"/>
    <x v="3"/>
    <x v="13"/>
    <x v="46"/>
    <x v="105"/>
    <x v="105"/>
    <x v="3"/>
    <s v="N"/>
    <s v="Y"/>
    <x v="0"/>
    <x v="0"/>
    <x v="0"/>
    <x v="0"/>
    <s v="성인"/>
    <s v="성인"/>
    <s v="대리점"/>
    <x v="0"/>
    <x v="2"/>
    <x v="0"/>
    <x v="1396"/>
    <s v="HP2636987626"/>
    <x v="0"/>
    <n v="2"/>
  </r>
  <r>
    <x v="1"/>
    <x v="3"/>
    <x v="13"/>
    <x v="46"/>
    <x v="105"/>
    <x v="105"/>
    <x v="3"/>
    <s v="N"/>
    <s v="Y"/>
    <x v="0"/>
    <x v="0"/>
    <x v="0"/>
    <x v="0"/>
    <s v="성인"/>
    <s v="성인"/>
    <s v="대리점"/>
    <x v="0"/>
    <x v="2"/>
    <x v="0"/>
    <x v="1396"/>
    <s v="HP2636987626"/>
    <x v="1"/>
    <n v="721800"/>
  </r>
  <r>
    <x v="1"/>
    <x v="3"/>
    <x v="13"/>
    <x v="46"/>
    <x v="105"/>
    <x v="105"/>
    <x v="3"/>
    <s v="N"/>
    <s v="Y"/>
    <x v="0"/>
    <x v="0"/>
    <x v="0"/>
    <x v="1"/>
    <s v="유아"/>
    <s v="유아"/>
    <s v="대리점"/>
    <x v="0"/>
    <x v="2"/>
    <x v="0"/>
    <x v="1396"/>
    <s v="HP2636987626"/>
    <x v="0"/>
    <n v="1"/>
  </r>
  <r>
    <x v="1"/>
    <x v="3"/>
    <x v="13"/>
    <x v="46"/>
    <x v="105"/>
    <x v="105"/>
    <x v="3"/>
    <s v="N"/>
    <s v="Y"/>
    <x v="0"/>
    <x v="0"/>
    <x v="0"/>
    <x v="1"/>
    <s v="유아"/>
    <s v="유아"/>
    <s v="대리점"/>
    <x v="0"/>
    <x v="2"/>
    <x v="0"/>
    <x v="1396"/>
    <s v="HP2636987626"/>
    <x v="1"/>
    <n v="324810"/>
  </r>
  <r>
    <x v="1"/>
    <x v="3"/>
    <x v="13"/>
    <x v="46"/>
    <x v="105"/>
    <x v="105"/>
    <x v="4"/>
    <s v="N"/>
    <s v="N"/>
    <x v="1"/>
    <x v="0"/>
    <x v="0"/>
    <x v="0"/>
    <s v="성인"/>
    <s v="성인"/>
    <s v="대리점"/>
    <x v="0"/>
    <x v="2"/>
    <x v="0"/>
    <x v="1397"/>
    <s v="HP2637014724"/>
    <x v="0"/>
    <n v="4"/>
  </r>
  <r>
    <x v="1"/>
    <x v="3"/>
    <x v="13"/>
    <x v="46"/>
    <x v="105"/>
    <x v="105"/>
    <x v="4"/>
    <s v="N"/>
    <s v="N"/>
    <x v="1"/>
    <x v="0"/>
    <x v="0"/>
    <x v="0"/>
    <s v="성인"/>
    <s v="성인"/>
    <s v="대리점"/>
    <x v="0"/>
    <x v="2"/>
    <x v="0"/>
    <x v="1397"/>
    <s v="HP2637014724"/>
    <x v="1"/>
    <n v="4596000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8"/>
    <s v="HP2637062072"/>
    <x v="0"/>
    <n v="4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8"/>
    <s v="HP2637062072"/>
    <x v="1"/>
    <n v="3164000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9"/>
    <s v="HP2637053300"/>
    <x v="0"/>
    <n v="6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9"/>
    <s v="HP2637053300"/>
    <x v="1"/>
    <n v="3258000"/>
  </r>
  <r>
    <x v="1"/>
    <x v="3"/>
    <x v="13"/>
    <x v="46"/>
    <x v="105"/>
    <x v="105"/>
    <x v="7"/>
    <s v="N"/>
    <s v="Y"/>
    <x v="0"/>
    <x v="0"/>
    <x v="0"/>
    <x v="0"/>
    <s v="성인"/>
    <s v="성인"/>
    <s v="대리점"/>
    <x v="0"/>
    <x v="2"/>
    <x v="0"/>
    <x v="1400"/>
    <s v="HP2637068664"/>
    <x v="0"/>
    <n v="2"/>
  </r>
  <r>
    <x v="1"/>
    <x v="3"/>
    <x v="13"/>
    <x v="46"/>
    <x v="105"/>
    <x v="105"/>
    <x v="7"/>
    <s v="N"/>
    <s v="Y"/>
    <x v="0"/>
    <x v="0"/>
    <x v="0"/>
    <x v="0"/>
    <s v="성인"/>
    <s v="성인"/>
    <s v="대리점"/>
    <x v="0"/>
    <x v="2"/>
    <x v="0"/>
    <x v="1400"/>
    <s v="HP2637068664"/>
    <x v="1"/>
    <n v="886000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5"/>
    <x v="0"/>
    <x v="1401"/>
    <s v="HP2637117352"/>
    <x v="0"/>
    <n v="2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5"/>
    <x v="0"/>
    <x v="1401"/>
    <s v="HP2637117352"/>
    <x v="1"/>
    <n v="2872800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4"/>
    <x v="0"/>
    <x v="1402"/>
    <s v="HP2637121336"/>
    <x v="0"/>
    <n v="2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4"/>
    <x v="0"/>
    <x v="1402"/>
    <s v="HP2637121336"/>
    <x v="1"/>
    <n v="698000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15"/>
    <x v="0"/>
    <x v="1403"/>
    <s v="HP2637123800"/>
    <x v="0"/>
    <n v="2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15"/>
    <x v="0"/>
    <x v="1403"/>
    <s v="HP2637123800"/>
    <x v="1"/>
    <n v="2598000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2"/>
    <x v="0"/>
    <x v="1404"/>
    <s v="HP2633743632"/>
    <x v="0"/>
    <n v="1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2"/>
    <x v="0"/>
    <x v="1404"/>
    <s v="HP2633743632"/>
    <x v="1"/>
    <n v="1349900"/>
  </r>
  <r>
    <x v="1"/>
    <x v="3"/>
    <x v="13"/>
    <x v="46"/>
    <x v="106"/>
    <x v="106"/>
    <x v="3"/>
    <s v="N"/>
    <s v="Y"/>
    <x v="1"/>
    <x v="0"/>
    <x v="0"/>
    <x v="0"/>
    <s v="성인"/>
    <s v="성인"/>
    <s v="대리점"/>
    <x v="0"/>
    <x v="2"/>
    <x v="0"/>
    <x v="1405"/>
    <s v="HP2636983730"/>
    <x v="0"/>
    <n v="4"/>
  </r>
  <r>
    <x v="1"/>
    <x v="3"/>
    <x v="13"/>
    <x v="46"/>
    <x v="106"/>
    <x v="106"/>
    <x v="3"/>
    <s v="N"/>
    <s v="Y"/>
    <x v="1"/>
    <x v="0"/>
    <x v="0"/>
    <x v="0"/>
    <s v="성인"/>
    <s v="성인"/>
    <s v="대리점"/>
    <x v="0"/>
    <x v="2"/>
    <x v="0"/>
    <x v="1405"/>
    <s v="HP2636983730"/>
    <x v="1"/>
    <n v="4239600"/>
  </r>
  <r>
    <x v="1"/>
    <x v="3"/>
    <x v="13"/>
    <x v="46"/>
    <x v="106"/>
    <x v="106"/>
    <x v="7"/>
    <s v="N"/>
    <s v="Y"/>
    <x v="2"/>
    <x v="0"/>
    <x v="0"/>
    <x v="0"/>
    <s v="성인"/>
    <s v="성인"/>
    <s v="대리점"/>
    <x v="0"/>
    <x v="24"/>
    <x v="0"/>
    <x v="1406"/>
    <s v="HP2637072240"/>
    <x v="0"/>
    <n v="2"/>
  </r>
  <r>
    <x v="1"/>
    <x v="3"/>
    <x v="13"/>
    <x v="46"/>
    <x v="106"/>
    <x v="106"/>
    <x v="7"/>
    <s v="N"/>
    <s v="Y"/>
    <x v="2"/>
    <x v="0"/>
    <x v="0"/>
    <x v="0"/>
    <s v="성인"/>
    <s v="성인"/>
    <s v="대리점"/>
    <x v="0"/>
    <x v="24"/>
    <x v="0"/>
    <x v="1406"/>
    <s v="HP2637072240"/>
    <x v="1"/>
    <n v="3524000"/>
  </r>
  <r>
    <x v="1"/>
    <x v="3"/>
    <x v="13"/>
    <x v="46"/>
    <x v="106"/>
    <x v="106"/>
    <x v="7"/>
    <s v="N"/>
    <s v="Y"/>
    <x v="2"/>
    <x v="0"/>
    <x v="0"/>
    <x v="1"/>
    <s v="아동"/>
    <s v="아동"/>
    <s v="대리점"/>
    <x v="0"/>
    <x v="24"/>
    <x v="0"/>
    <x v="1406"/>
    <s v="HP2637072240"/>
    <x v="0"/>
    <n v="1"/>
  </r>
  <r>
    <x v="1"/>
    <x v="3"/>
    <x v="13"/>
    <x v="46"/>
    <x v="106"/>
    <x v="106"/>
    <x v="7"/>
    <s v="N"/>
    <s v="Y"/>
    <x v="2"/>
    <x v="0"/>
    <x v="0"/>
    <x v="1"/>
    <s v="아동"/>
    <s v="아동"/>
    <s v="대리점"/>
    <x v="0"/>
    <x v="24"/>
    <x v="0"/>
    <x v="1406"/>
    <s v="HP2637072240"/>
    <x v="1"/>
    <n v="881000"/>
  </r>
  <r>
    <x v="1"/>
    <x v="3"/>
    <x v="13"/>
    <x v="46"/>
    <x v="106"/>
    <x v="106"/>
    <x v="7"/>
    <s v="N"/>
    <s v="Y"/>
    <x v="2"/>
    <x v="0"/>
    <x v="0"/>
    <x v="1"/>
    <s v="유아"/>
    <s v="아동"/>
    <s v="대리점"/>
    <x v="0"/>
    <x v="24"/>
    <x v="0"/>
    <x v="1406"/>
    <s v="HP2637072240"/>
    <x v="0"/>
    <n v="1"/>
  </r>
  <r>
    <x v="1"/>
    <x v="3"/>
    <x v="13"/>
    <x v="46"/>
    <x v="106"/>
    <x v="106"/>
    <x v="7"/>
    <s v="N"/>
    <s v="Y"/>
    <x v="2"/>
    <x v="0"/>
    <x v="0"/>
    <x v="1"/>
    <s v="유아"/>
    <s v="아동"/>
    <s v="대리점"/>
    <x v="0"/>
    <x v="24"/>
    <x v="0"/>
    <x v="1406"/>
    <s v="HP2637072240"/>
    <x v="1"/>
    <n v="881000"/>
  </r>
  <r>
    <x v="1"/>
    <x v="3"/>
    <x v="13"/>
    <x v="46"/>
    <x v="106"/>
    <x v="106"/>
    <x v="8"/>
    <s v="Y"/>
    <s v="N"/>
    <x v="0"/>
    <x v="0"/>
    <x v="0"/>
    <x v="0"/>
    <s v="성인"/>
    <s v="성인"/>
    <s v="대리점"/>
    <x v="0"/>
    <x v="2"/>
    <x v="0"/>
    <x v="1407"/>
    <s v="HP2637084454"/>
    <x v="0"/>
    <n v="2"/>
  </r>
  <r>
    <x v="1"/>
    <x v="3"/>
    <x v="13"/>
    <x v="46"/>
    <x v="106"/>
    <x v="106"/>
    <x v="8"/>
    <s v="Y"/>
    <s v="N"/>
    <x v="0"/>
    <x v="0"/>
    <x v="0"/>
    <x v="0"/>
    <s v="성인"/>
    <s v="성인"/>
    <s v="대리점"/>
    <x v="0"/>
    <x v="2"/>
    <x v="0"/>
    <x v="1407"/>
    <s v="HP2637084454"/>
    <x v="1"/>
    <n v="2081800"/>
  </r>
  <r>
    <x v="1"/>
    <x v="3"/>
    <x v="13"/>
    <x v="46"/>
    <x v="106"/>
    <x v="106"/>
    <x v="8"/>
    <s v="Y"/>
    <s v="N"/>
    <x v="0"/>
    <x v="0"/>
    <x v="0"/>
    <x v="1"/>
    <s v="아동"/>
    <s v="아동"/>
    <s v="대리점"/>
    <x v="0"/>
    <x v="2"/>
    <x v="0"/>
    <x v="1407"/>
    <s v="HP2637084454"/>
    <x v="0"/>
    <n v="1"/>
  </r>
  <r>
    <x v="1"/>
    <x v="3"/>
    <x v="13"/>
    <x v="46"/>
    <x v="106"/>
    <x v="106"/>
    <x v="8"/>
    <s v="Y"/>
    <s v="N"/>
    <x v="0"/>
    <x v="0"/>
    <x v="0"/>
    <x v="1"/>
    <s v="아동"/>
    <s v="아동"/>
    <s v="대리점"/>
    <x v="0"/>
    <x v="2"/>
    <x v="0"/>
    <x v="1407"/>
    <s v="HP2637084454"/>
    <x v="1"/>
    <n v="936810"/>
  </r>
  <r>
    <x v="1"/>
    <x v="3"/>
    <x v="13"/>
    <x v="46"/>
    <x v="107"/>
    <x v="107"/>
    <x v="2"/>
    <s v="Y"/>
    <s v="Y"/>
    <x v="0"/>
    <x v="0"/>
    <x v="0"/>
    <x v="0"/>
    <s v="성인"/>
    <s v="성인"/>
    <s v="대리점"/>
    <x v="0"/>
    <x v="2"/>
    <x v="0"/>
    <x v="1408"/>
    <s v="HP2636967732"/>
    <x v="0"/>
    <n v="4"/>
  </r>
  <r>
    <x v="1"/>
    <x v="3"/>
    <x v="13"/>
    <x v="46"/>
    <x v="107"/>
    <x v="107"/>
    <x v="2"/>
    <s v="Y"/>
    <s v="Y"/>
    <x v="0"/>
    <x v="0"/>
    <x v="0"/>
    <x v="0"/>
    <s v="성인"/>
    <s v="성인"/>
    <s v="대리점"/>
    <x v="0"/>
    <x v="2"/>
    <x v="0"/>
    <x v="1408"/>
    <s v="HP2636967732"/>
    <x v="1"/>
    <n v="4519600"/>
  </r>
  <r>
    <x v="1"/>
    <x v="3"/>
    <x v="13"/>
    <x v="46"/>
    <x v="107"/>
    <x v="107"/>
    <x v="11"/>
    <s v="Y"/>
    <s v="N"/>
    <x v="0"/>
    <x v="0"/>
    <x v="0"/>
    <x v="0"/>
    <s v="성인"/>
    <s v="성인"/>
    <s v="대리점"/>
    <x v="0"/>
    <x v="2"/>
    <x v="0"/>
    <x v="1408"/>
    <s v="HP2636967732"/>
    <x v="0"/>
    <n v="2"/>
  </r>
  <r>
    <x v="1"/>
    <x v="3"/>
    <x v="13"/>
    <x v="46"/>
    <x v="107"/>
    <x v="107"/>
    <x v="11"/>
    <s v="Y"/>
    <s v="N"/>
    <x v="0"/>
    <x v="0"/>
    <x v="0"/>
    <x v="0"/>
    <s v="성인"/>
    <s v="성인"/>
    <s v="대리점"/>
    <x v="0"/>
    <x v="2"/>
    <x v="0"/>
    <x v="1408"/>
    <s v="HP2636967732"/>
    <x v="1"/>
    <n v="2259800"/>
  </r>
  <r>
    <x v="1"/>
    <x v="3"/>
    <x v="13"/>
    <x v="46"/>
    <x v="107"/>
    <x v="107"/>
    <x v="4"/>
    <s v="N"/>
    <s v="N"/>
    <x v="0"/>
    <x v="0"/>
    <x v="0"/>
    <x v="0"/>
    <s v="성인"/>
    <s v="성인"/>
    <s v="대리점"/>
    <x v="0"/>
    <x v="25"/>
    <x v="0"/>
    <x v="1409"/>
    <s v="HP2637010616"/>
    <x v="0"/>
    <n v="2"/>
  </r>
  <r>
    <x v="1"/>
    <x v="3"/>
    <x v="13"/>
    <x v="46"/>
    <x v="107"/>
    <x v="107"/>
    <x v="4"/>
    <s v="N"/>
    <s v="N"/>
    <x v="0"/>
    <x v="0"/>
    <x v="0"/>
    <x v="0"/>
    <s v="성인"/>
    <s v="성인"/>
    <s v="대리점"/>
    <x v="0"/>
    <x v="25"/>
    <x v="0"/>
    <x v="1409"/>
    <s v="HP2637010616"/>
    <x v="1"/>
    <n v="359800"/>
  </r>
  <r>
    <x v="1"/>
    <x v="3"/>
    <x v="13"/>
    <x v="46"/>
    <x v="107"/>
    <x v="107"/>
    <x v="5"/>
    <s v="N"/>
    <s v="N"/>
    <x v="5"/>
    <x v="2"/>
    <x v="1"/>
    <x v="0"/>
    <s v="성인"/>
    <s v="성인"/>
    <s v="닷컴"/>
    <x v="2"/>
    <x v="18"/>
    <x v="0"/>
    <x v="1410"/>
    <s v="HQ2637033550"/>
    <x v="0"/>
    <n v="8"/>
  </r>
  <r>
    <x v="1"/>
    <x v="3"/>
    <x v="13"/>
    <x v="46"/>
    <x v="107"/>
    <x v="107"/>
    <x v="5"/>
    <s v="N"/>
    <s v="N"/>
    <x v="5"/>
    <x v="2"/>
    <x v="1"/>
    <x v="0"/>
    <s v="성인"/>
    <s v="성인"/>
    <s v="닷컴"/>
    <x v="2"/>
    <x v="18"/>
    <x v="0"/>
    <x v="1410"/>
    <s v="HQ2637033550"/>
    <x v="1"/>
    <n v="11720000"/>
  </r>
  <r>
    <x v="1"/>
    <x v="3"/>
    <x v="13"/>
    <x v="46"/>
    <x v="107"/>
    <x v="107"/>
    <x v="5"/>
    <s v="N"/>
    <s v="N"/>
    <x v="0"/>
    <x v="0"/>
    <x v="0"/>
    <x v="0"/>
    <s v="성인"/>
    <s v="성인"/>
    <s v="대리점"/>
    <x v="0"/>
    <x v="2"/>
    <x v="0"/>
    <x v="1411"/>
    <s v="HP2637034626"/>
    <x v="0"/>
    <n v="4"/>
  </r>
  <r>
    <x v="1"/>
    <x v="3"/>
    <x v="13"/>
    <x v="46"/>
    <x v="107"/>
    <x v="107"/>
    <x v="5"/>
    <s v="N"/>
    <s v="N"/>
    <x v="0"/>
    <x v="0"/>
    <x v="0"/>
    <x v="0"/>
    <s v="성인"/>
    <s v="성인"/>
    <s v="대리점"/>
    <x v="0"/>
    <x v="2"/>
    <x v="0"/>
    <x v="1411"/>
    <s v="HP2637034626"/>
    <x v="1"/>
    <n v="3639600"/>
  </r>
  <r>
    <x v="1"/>
    <x v="3"/>
    <x v="13"/>
    <x v="46"/>
    <x v="107"/>
    <x v="107"/>
    <x v="10"/>
    <s v="N"/>
    <s v="N"/>
    <x v="4"/>
    <x v="2"/>
    <x v="0"/>
    <x v="0"/>
    <s v="성인"/>
    <s v="성인"/>
    <s v="대리점"/>
    <x v="0"/>
    <x v="2"/>
    <x v="0"/>
    <x v="1412"/>
    <s v="HQ2637114414"/>
    <x v="0"/>
    <n v="8"/>
  </r>
  <r>
    <x v="1"/>
    <x v="3"/>
    <x v="13"/>
    <x v="46"/>
    <x v="107"/>
    <x v="107"/>
    <x v="10"/>
    <s v="N"/>
    <s v="N"/>
    <x v="4"/>
    <x v="2"/>
    <x v="0"/>
    <x v="0"/>
    <s v="성인"/>
    <s v="성인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4"/>
    <x v="2"/>
    <x v="0"/>
    <x v="0"/>
    <s v="청소년"/>
    <s v="성인"/>
    <s v="대리점"/>
    <x v="0"/>
    <x v="2"/>
    <x v="0"/>
    <x v="1412"/>
    <s v="HQ2637114414"/>
    <x v="0"/>
    <n v="1"/>
  </r>
  <r>
    <x v="1"/>
    <x v="3"/>
    <x v="13"/>
    <x v="46"/>
    <x v="107"/>
    <x v="107"/>
    <x v="10"/>
    <s v="N"/>
    <s v="N"/>
    <x v="4"/>
    <x v="2"/>
    <x v="0"/>
    <x v="0"/>
    <s v="청소년"/>
    <s v="성인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4"/>
    <x v="2"/>
    <x v="0"/>
    <x v="0"/>
    <s v="청소년"/>
    <s v="청소년"/>
    <s v="대리점"/>
    <x v="0"/>
    <x v="2"/>
    <x v="0"/>
    <x v="1412"/>
    <s v="HQ2637114414"/>
    <x v="0"/>
    <n v="1"/>
  </r>
  <r>
    <x v="1"/>
    <x v="3"/>
    <x v="13"/>
    <x v="46"/>
    <x v="107"/>
    <x v="107"/>
    <x v="10"/>
    <s v="N"/>
    <s v="N"/>
    <x v="4"/>
    <x v="2"/>
    <x v="0"/>
    <x v="0"/>
    <s v="청소년"/>
    <s v="청소년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4"/>
    <x v="2"/>
    <x v="0"/>
    <x v="1"/>
    <s v="아동"/>
    <s v="아동"/>
    <s v="대리점"/>
    <x v="0"/>
    <x v="2"/>
    <x v="0"/>
    <x v="1412"/>
    <s v="HQ2637114414"/>
    <x v="0"/>
    <n v="2"/>
  </r>
  <r>
    <x v="1"/>
    <x v="3"/>
    <x v="13"/>
    <x v="46"/>
    <x v="107"/>
    <x v="107"/>
    <x v="10"/>
    <s v="N"/>
    <s v="N"/>
    <x v="4"/>
    <x v="2"/>
    <x v="0"/>
    <x v="1"/>
    <s v="아동"/>
    <s v="아동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1"/>
    <x v="0"/>
    <x v="0"/>
    <x v="0"/>
    <m/>
    <m/>
    <s v="대리점"/>
    <x v="0"/>
    <x v="3"/>
    <x v="0"/>
    <x v="1413"/>
    <s v="HP2637118204"/>
    <x v="0"/>
    <n v="5"/>
  </r>
  <r>
    <x v="1"/>
    <x v="3"/>
    <x v="13"/>
    <x v="46"/>
    <x v="107"/>
    <x v="107"/>
    <x v="10"/>
    <s v="N"/>
    <s v="N"/>
    <x v="1"/>
    <x v="0"/>
    <x v="0"/>
    <x v="0"/>
    <m/>
    <m/>
    <s v="대리점"/>
    <x v="0"/>
    <x v="3"/>
    <x v="0"/>
    <x v="1413"/>
    <s v="HP2637118204"/>
    <x v="1"/>
    <n v="9495000"/>
  </r>
  <r>
    <x v="1"/>
    <x v="3"/>
    <x v="13"/>
    <x v="46"/>
    <x v="108"/>
    <x v="108"/>
    <x v="0"/>
    <s v="N"/>
    <s v="N"/>
    <x v="2"/>
    <x v="0"/>
    <x v="0"/>
    <x v="0"/>
    <s v="성인"/>
    <s v="성인"/>
    <s v="대리점"/>
    <x v="0"/>
    <x v="2"/>
    <x v="0"/>
    <x v="1414"/>
    <s v="HP2636923860"/>
    <x v="0"/>
    <n v="3"/>
  </r>
  <r>
    <x v="1"/>
    <x v="3"/>
    <x v="13"/>
    <x v="46"/>
    <x v="108"/>
    <x v="108"/>
    <x v="0"/>
    <s v="N"/>
    <s v="N"/>
    <x v="2"/>
    <x v="0"/>
    <x v="0"/>
    <x v="0"/>
    <s v="성인"/>
    <s v="성인"/>
    <s v="대리점"/>
    <x v="0"/>
    <x v="2"/>
    <x v="0"/>
    <x v="1414"/>
    <s v="HP2636923860"/>
    <x v="1"/>
    <n v="5339700"/>
  </r>
  <r>
    <x v="1"/>
    <x v="3"/>
    <x v="13"/>
    <x v="46"/>
    <x v="108"/>
    <x v="108"/>
    <x v="2"/>
    <s v="Y"/>
    <s v="Y"/>
    <x v="1"/>
    <x v="0"/>
    <x v="0"/>
    <x v="0"/>
    <s v="성인"/>
    <s v="성인"/>
    <s v="대리점"/>
    <x v="0"/>
    <x v="4"/>
    <x v="0"/>
    <x v="1415"/>
    <s v="HP2636966314"/>
    <x v="0"/>
    <n v="4"/>
  </r>
  <r>
    <x v="1"/>
    <x v="3"/>
    <x v="13"/>
    <x v="46"/>
    <x v="108"/>
    <x v="108"/>
    <x v="2"/>
    <s v="Y"/>
    <s v="Y"/>
    <x v="1"/>
    <x v="0"/>
    <x v="0"/>
    <x v="0"/>
    <s v="성인"/>
    <s v="성인"/>
    <s v="대리점"/>
    <x v="0"/>
    <x v="4"/>
    <x v="0"/>
    <x v="1415"/>
    <s v="HP2636966314"/>
    <x v="1"/>
    <n v="12463200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6"/>
    <s v="HP2637011158"/>
    <x v="0"/>
    <n v="4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6"/>
    <s v="HP2637011158"/>
    <x v="1"/>
    <n v="3040000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7"/>
    <s v="HP2637003676"/>
    <x v="0"/>
    <n v="3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7"/>
    <s v="HP2637003676"/>
    <x v="1"/>
    <n v="1251000"/>
  </r>
  <r>
    <x v="1"/>
    <x v="3"/>
    <x v="13"/>
    <x v="46"/>
    <x v="108"/>
    <x v="108"/>
    <x v="4"/>
    <s v="N"/>
    <s v="N"/>
    <x v="0"/>
    <x v="0"/>
    <x v="0"/>
    <x v="0"/>
    <s v="아동"/>
    <s v="아동"/>
    <s v="대리점"/>
    <x v="0"/>
    <x v="19"/>
    <x v="0"/>
    <x v="1417"/>
    <s v="HP2637003676"/>
    <x v="0"/>
    <n v="1"/>
  </r>
  <r>
    <x v="1"/>
    <x v="3"/>
    <x v="13"/>
    <x v="46"/>
    <x v="108"/>
    <x v="108"/>
    <x v="4"/>
    <s v="N"/>
    <s v="N"/>
    <x v="0"/>
    <x v="0"/>
    <x v="0"/>
    <x v="0"/>
    <s v="아동"/>
    <s v="아동"/>
    <s v="대리점"/>
    <x v="0"/>
    <x v="19"/>
    <x v="0"/>
    <x v="1417"/>
    <s v="HP2637003676"/>
    <x v="1"/>
    <n v="417000"/>
  </r>
  <r>
    <x v="1"/>
    <x v="3"/>
    <x v="13"/>
    <x v="46"/>
    <x v="109"/>
    <x v="109"/>
    <x v="4"/>
    <s v="N"/>
    <s v="N"/>
    <x v="0"/>
    <x v="0"/>
    <x v="1"/>
    <x v="0"/>
    <s v="성인"/>
    <s v="성인"/>
    <s v="대리점"/>
    <x v="0"/>
    <x v="2"/>
    <x v="0"/>
    <x v="1418"/>
    <s v="HP2637013824"/>
    <x v="0"/>
    <n v="2"/>
  </r>
  <r>
    <x v="1"/>
    <x v="3"/>
    <x v="13"/>
    <x v="46"/>
    <x v="109"/>
    <x v="109"/>
    <x v="4"/>
    <s v="N"/>
    <s v="N"/>
    <x v="0"/>
    <x v="0"/>
    <x v="1"/>
    <x v="0"/>
    <s v="성인"/>
    <s v="성인"/>
    <s v="대리점"/>
    <x v="0"/>
    <x v="2"/>
    <x v="0"/>
    <x v="1418"/>
    <s v="HP2637013824"/>
    <x v="1"/>
    <n v="600000"/>
  </r>
  <r>
    <x v="1"/>
    <x v="3"/>
    <x v="13"/>
    <x v="46"/>
    <x v="109"/>
    <x v="109"/>
    <x v="5"/>
    <s v="N"/>
    <s v="N"/>
    <x v="0"/>
    <x v="0"/>
    <x v="0"/>
    <x v="0"/>
    <m/>
    <m/>
    <s v="대리점"/>
    <x v="0"/>
    <x v="2"/>
    <x v="0"/>
    <x v="1419"/>
    <s v="HP2636610476"/>
    <x v="0"/>
    <n v="4"/>
  </r>
  <r>
    <x v="1"/>
    <x v="3"/>
    <x v="13"/>
    <x v="46"/>
    <x v="109"/>
    <x v="109"/>
    <x v="5"/>
    <s v="N"/>
    <s v="N"/>
    <x v="0"/>
    <x v="0"/>
    <x v="0"/>
    <x v="0"/>
    <m/>
    <m/>
    <s v="대리점"/>
    <x v="0"/>
    <x v="2"/>
    <x v="0"/>
    <x v="1419"/>
    <s v="HP2636610476"/>
    <x v="1"/>
    <n v="2596000"/>
  </r>
  <r>
    <x v="1"/>
    <x v="3"/>
    <x v="13"/>
    <x v="47"/>
    <x v="110"/>
    <x v="110"/>
    <x v="1"/>
    <s v="N"/>
    <s v="N"/>
    <x v="1"/>
    <x v="0"/>
    <x v="0"/>
    <x v="0"/>
    <s v="성인"/>
    <s v="성인"/>
    <s v="대리점"/>
    <x v="0"/>
    <x v="6"/>
    <x v="0"/>
    <x v="419"/>
    <s v="HP2636953376"/>
    <x v="0"/>
    <n v="4"/>
  </r>
  <r>
    <x v="1"/>
    <x v="3"/>
    <x v="13"/>
    <x v="47"/>
    <x v="110"/>
    <x v="110"/>
    <x v="1"/>
    <s v="N"/>
    <s v="N"/>
    <x v="1"/>
    <x v="0"/>
    <x v="0"/>
    <x v="0"/>
    <s v="성인"/>
    <s v="성인"/>
    <s v="대리점"/>
    <x v="0"/>
    <x v="6"/>
    <x v="0"/>
    <x v="419"/>
    <s v="HP2636953376"/>
    <x v="1"/>
    <n v="6199600"/>
  </r>
  <r>
    <x v="1"/>
    <x v="3"/>
    <x v="13"/>
    <x v="47"/>
    <x v="110"/>
    <x v="110"/>
    <x v="2"/>
    <s v="Y"/>
    <s v="Y"/>
    <x v="1"/>
    <x v="0"/>
    <x v="0"/>
    <x v="0"/>
    <s v="성인"/>
    <s v="성인"/>
    <s v="대리점"/>
    <x v="0"/>
    <x v="3"/>
    <x v="0"/>
    <x v="1420"/>
    <s v="HP2636968622"/>
    <x v="0"/>
    <n v="1"/>
  </r>
  <r>
    <x v="1"/>
    <x v="3"/>
    <x v="13"/>
    <x v="47"/>
    <x v="110"/>
    <x v="110"/>
    <x v="2"/>
    <s v="Y"/>
    <s v="Y"/>
    <x v="1"/>
    <x v="0"/>
    <x v="0"/>
    <x v="0"/>
    <s v="성인"/>
    <s v="성인"/>
    <s v="대리점"/>
    <x v="0"/>
    <x v="3"/>
    <x v="0"/>
    <x v="1420"/>
    <s v="HP2636968622"/>
    <x v="1"/>
    <n v="1000900"/>
  </r>
  <r>
    <x v="1"/>
    <x v="3"/>
    <x v="13"/>
    <x v="47"/>
    <x v="110"/>
    <x v="110"/>
    <x v="2"/>
    <s v="Y"/>
    <s v="Y"/>
    <x v="1"/>
    <x v="0"/>
    <x v="0"/>
    <x v="0"/>
    <m/>
    <m/>
    <s v="대리점"/>
    <x v="0"/>
    <x v="3"/>
    <x v="0"/>
    <x v="1420"/>
    <s v="HP2636968622"/>
    <x v="0"/>
    <n v="4"/>
  </r>
  <r>
    <x v="1"/>
    <x v="3"/>
    <x v="13"/>
    <x v="47"/>
    <x v="110"/>
    <x v="110"/>
    <x v="2"/>
    <s v="Y"/>
    <s v="Y"/>
    <x v="1"/>
    <x v="0"/>
    <x v="0"/>
    <x v="0"/>
    <m/>
    <m/>
    <s v="대리점"/>
    <x v="0"/>
    <x v="3"/>
    <x v="0"/>
    <x v="1420"/>
    <s v="HP2636968622"/>
    <x v="1"/>
    <n v="4003600"/>
  </r>
  <r>
    <x v="1"/>
    <x v="3"/>
    <x v="13"/>
    <x v="47"/>
    <x v="110"/>
    <x v="110"/>
    <x v="4"/>
    <s v="N"/>
    <s v="N"/>
    <x v="1"/>
    <x v="0"/>
    <x v="0"/>
    <x v="0"/>
    <m/>
    <m/>
    <s v="대리점"/>
    <x v="0"/>
    <x v="3"/>
    <x v="1"/>
    <x v="1421"/>
    <s v="HP2637002242"/>
    <x v="0"/>
    <n v="0"/>
  </r>
  <r>
    <x v="1"/>
    <x v="3"/>
    <x v="13"/>
    <x v="47"/>
    <x v="110"/>
    <x v="110"/>
    <x v="4"/>
    <s v="N"/>
    <s v="N"/>
    <x v="1"/>
    <x v="0"/>
    <x v="0"/>
    <x v="0"/>
    <m/>
    <m/>
    <s v="대리점"/>
    <x v="0"/>
    <x v="3"/>
    <x v="1"/>
    <x v="1421"/>
    <s v="HP2637002242"/>
    <x v="1"/>
    <n v="2923600"/>
  </r>
  <r>
    <x v="1"/>
    <x v="3"/>
    <x v="13"/>
    <x v="47"/>
    <x v="110"/>
    <x v="110"/>
    <x v="6"/>
    <s v="N"/>
    <s v="N"/>
    <x v="4"/>
    <x v="1"/>
    <x v="0"/>
    <x v="0"/>
    <s v="성인"/>
    <s v="성인"/>
    <s v="대리점"/>
    <x v="0"/>
    <x v="12"/>
    <x v="0"/>
    <x v="1422"/>
    <s v="HB2637053738"/>
    <x v="0"/>
    <n v="3"/>
  </r>
  <r>
    <x v="1"/>
    <x v="3"/>
    <x v="13"/>
    <x v="47"/>
    <x v="110"/>
    <x v="110"/>
    <x v="6"/>
    <s v="N"/>
    <s v="N"/>
    <x v="4"/>
    <x v="1"/>
    <x v="0"/>
    <x v="0"/>
    <s v="성인"/>
    <s v="성인"/>
    <s v="대리점"/>
    <x v="0"/>
    <x v="12"/>
    <x v="0"/>
    <x v="1422"/>
    <s v="HB2637053738"/>
    <x v="1"/>
    <n v="2069700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3"/>
    <s v="HP2636922852"/>
    <x v="0"/>
    <n v="4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3"/>
    <s v="HP2636922852"/>
    <x v="1"/>
    <n v="4500000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4"/>
    <s v="HP2636922716"/>
    <x v="0"/>
    <n v="6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4"/>
    <s v="HP2636922716"/>
    <x v="1"/>
    <n v="5306400"/>
  </r>
  <r>
    <x v="1"/>
    <x v="3"/>
    <x v="13"/>
    <x v="48"/>
    <x v="111"/>
    <x v="111"/>
    <x v="0"/>
    <s v="N"/>
    <s v="N"/>
    <x v="1"/>
    <x v="0"/>
    <x v="0"/>
    <x v="1"/>
    <s v="아동"/>
    <s v="아동"/>
    <s v="대리점"/>
    <x v="0"/>
    <x v="2"/>
    <x v="0"/>
    <x v="1424"/>
    <s v="HP2636922716"/>
    <x v="0"/>
    <n v="2"/>
  </r>
  <r>
    <x v="1"/>
    <x v="3"/>
    <x v="13"/>
    <x v="48"/>
    <x v="111"/>
    <x v="111"/>
    <x v="0"/>
    <s v="N"/>
    <s v="N"/>
    <x v="1"/>
    <x v="0"/>
    <x v="0"/>
    <x v="1"/>
    <s v="아동"/>
    <s v="아동"/>
    <s v="대리점"/>
    <x v="0"/>
    <x v="2"/>
    <x v="0"/>
    <x v="1424"/>
    <s v="HP2636922716"/>
    <x v="1"/>
    <n v="1768800"/>
  </r>
  <r>
    <x v="1"/>
    <x v="3"/>
    <x v="13"/>
    <x v="48"/>
    <x v="111"/>
    <x v="111"/>
    <x v="0"/>
    <s v="N"/>
    <s v="N"/>
    <x v="1"/>
    <x v="0"/>
    <x v="0"/>
    <x v="1"/>
    <s v="유아"/>
    <s v="유아"/>
    <s v="대리점"/>
    <x v="0"/>
    <x v="2"/>
    <x v="0"/>
    <x v="1424"/>
    <s v="HP2636922716"/>
    <x v="0"/>
    <n v="1"/>
  </r>
  <r>
    <x v="1"/>
    <x v="3"/>
    <x v="13"/>
    <x v="48"/>
    <x v="111"/>
    <x v="111"/>
    <x v="0"/>
    <s v="N"/>
    <s v="N"/>
    <x v="1"/>
    <x v="0"/>
    <x v="0"/>
    <x v="1"/>
    <s v="유아"/>
    <s v="유아"/>
    <s v="대리점"/>
    <x v="0"/>
    <x v="2"/>
    <x v="0"/>
    <x v="1424"/>
    <s v="HP2636922716"/>
    <x v="1"/>
    <n v="984400"/>
  </r>
  <r>
    <x v="1"/>
    <x v="3"/>
    <x v="13"/>
    <x v="48"/>
    <x v="111"/>
    <x v="111"/>
    <x v="0"/>
    <s v="N"/>
    <s v="N"/>
    <x v="2"/>
    <x v="0"/>
    <x v="0"/>
    <x v="0"/>
    <m/>
    <m/>
    <s v="대리점"/>
    <x v="0"/>
    <x v="10"/>
    <x v="1"/>
    <x v="692"/>
    <s v="HP2636933292"/>
    <x v="0"/>
    <n v="0"/>
  </r>
  <r>
    <x v="1"/>
    <x v="3"/>
    <x v="13"/>
    <x v="48"/>
    <x v="111"/>
    <x v="111"/>
    <x v="0"/>
    <s v="N"/>
    <s v="N"/>
    <x v="2"/>
    <x v="0"/>
    <x v="0"/>
    <x v="0"/>
    <m/>
    <m/>
    <s v="대리점"/>
    <x v="0"/>
    <x v="10"/>
    <x v="1"/>
    <x v="692"/>
    <s v="HP2636933292"/>
    <x v="1"/>
    <n v="283800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0"/>
    <x v="0"/>
    <n v="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0"/>
    <x v="1"/>
    <n v="324600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8"/>
    <x v="0"/>
    <n v="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8"/>
    <x v="1"/>
    <n v="0"/>
  </r>
  <r>
    <x v="1"/>
    <x v="3"/>
    <x v="13"/>
    <x v="48"/>
    <x v="111"/>
    <x v="111"/>
    <x v="4"/>
    <s v="N"/>
    <s v="N"/>
    <x v="0"/>
    <x v="0"/>
    <x v="0"/>
    <x v="0"/>
    <s v="성인"/>
    <s v="성인"/>
    <s v="대리점"/>
    <x v="0"/>
    <x v="13"/>
    <x v="0"/>
    <x v="1426"/>
    <s v="HP2637010528"/>
    <x v="0"/>
    <n v="2"/>
  </r>
  <r>
    <x v="1"/>
    <x v="3"/>
    <x v="13"/>
    <x v="48"/>
    <x v="111"/>
    <x v="111"/>
    <x v="4"/>
    <s v="N"/>
    <s v="N"/>
    <x v="0"/>
    <x v="0"/>
    <x v="0"/>
    <x v="0"/>
    <s v="성인"/>
    <s v="성인"/>
    <s v="대리점"/>
    <x v="0"/>
    <x v="13"/>
    <x v="0"/>
    <x v="1426"/>
    <s v="HP2637010528"/>
    <x v="1"/>
    <n v="6300400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3"/>
    <x v="0"/>
    <x v="1427"/>
    <s v="HP2637007618"/>
    <x v="0"/>
    <n v="5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3"/>
    <x v="0"/>
    <x v="1427"/>
    <s v="HP2637007618"/>
    <x v="1"/>
    <n v="4645000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8"/>
    <s v="HP2637004120"/>
    <x v="0"/>
    <n v="3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8"/>
    <s v="HP2637004120"/>
    <x v="1"/>
    <n v="3225000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9"/>
    <s v="HP2637000986"/>
    <x v="0"/>
    <n v="6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9"/>
    <s v="HP2637000986"/>
    <x v="1"/>
    <n v="7919400"/>
  </r>
  <r>
    <x v="1"/>
    <x v="3"/>
    <x v="13"/>
    <x v="48"/>
    <x v="111"/>
    <x v="111"/>
    <x v="4"/>
    <s v="N"/>
    <s v="N"/>
    <x v="1"/>
    <x v="0"/>
    <x v="0"/>
    <x v="0"/>
    <m/>
    <m/>
    <s v="대리점"/>
    <x v="0"/>
    <x v="3"/>
    <x v="0"/>
    <x v="1427"/>
    <s v="HP2637007618"/>
    <x v="0"/>
    <n v="1"/>
  </r>
  <r>
    <x v="1"/>
    <x v="3"/>
    <x v="13"/>
    <x v="48"/>
    <x v="111"/>
    <x v="111"/>
    <x v="4"/>
    <s v="N"/>
    <s v="N"/>
    <x v="1"/>
    <x v="0"/>
    <x v="0"/>
    <x v="0"/>
    <m/>
    <m/>
    <s v="대리점"/>
    <x v="0"/>
    <x v="3"/>
    <x v="0"/>
    <x v="1427"/>
    <s v="HP2637007618"/>
    <x v="1"/>
    <n v="929000"/>
  </r>
  <r>
    <x v="1"/>
    <x v="3"/>
    <x v="13"/>
    <x v="48"/>
    <x v="111"/>
    <x v="111"/>
    <x v="4"/>
    <s v="N"/>
    <s v="N"/>
    <x v="2"/>
    <x v="0"/>
    <x v="0"/>
    <x v="0"/>
    <s v="성인"/>
    <s v="성인"/>
    <s v="대리점"/>
    <x v="0"/>
    <x v="23"/>
    <x v="0"/>
    <x v="1430"/>
    <s v="HP2637003290"/>
    <x v="0"/>
    <n v="2"/>
  </r>
  <r>
    <x v="1"/>
    <x v="3"/>
    <x v="13"/>
    <x v="48"/>
    <x v="111"/>
    <x v="111"/>
    <x v="4"/>
    <s v="N"/>
    <s v="N"/>
    <x v="2"/>
    <x v="0"/>
    <x v="0"/>
    <x v="0"/>
    <s v="성인"/>
    <s v="성인"/>
    <s v="대리점"/>
    <x v="0"/>
    <x v="23"/>
    <x v="0"/>
    <x v="1430"/>
    <s v="HP2637003290"/>
    <x v="1"/>
    <n v="3946800"/>
  </r>
  <r>
    <x v="1"/>
    <x v="3"/>
    <x v="13"/>
    <x v="48"/>
    <x v="111"/>
    <x v="111"/>
    <x v="5"/>
    <s v="N"/>
    <s v="N"/>
    <x v="1"/>
    <x v="0"/>
    <x v="0"/>
    <x v="0"/>
    <s v="성인"/>
    <s v="성인"/>
    <s v="대리점"/>
    <x v="0"/>
    <x v="2"/>
    <x v="0"/>
    <x v="1431"/>
    <s v="HP2637024456"/>
    <x v="0"/>
    <n v="7"/>
  </r>
  <r>
    <x v="1"/>
    <x v="3"/>
    <x v="13"/>
    <x v="48"/>
    <x v="111"/>
    <x v="111"/>
    <x v="5"/>
    <s v="N"/>
    <s v="N"/>
    <x v="1"/>
    <x v="0"/>
    <x v="0"/>
    <x v="0"/>
    <s v="성인"/>
    <s v="성인"/>
    <s v="대리점"/>
    <x v="0"/>
    <x v="2"/>
    <x v="0"/>
    <x v="1431"/>
    <s v="HP2637024456"/>
    <x v="1"/>
    <n v="6946800"/>
  </r>
  <r>
    <x v="1"/>
    <x v="3"/>
    <x v="13"/>
    <x v="48"/>
    <x v="111"/>
    <x v="111"/>
    <x v="5"/>
    <s v="N"/>
    <s v="N"/>
    <x v="1"/>
    <x v="0"/>
    <x v="0"/>
    <x v="0"/>
    <m/>
    <m/>
    <s v="대리점"/>
    <x v="0"/>
    <x v="2"/>
    <x v="0"/>
    <x v="1431"/>
    <s v="HP2637024456"/>
    <x v="0"/>
    <n v="1"/>
  </r>
  <r>
    <x v="1"/>
    <x v="3"/>
    <x v="13"/>
    <x v="48"/>
    <x v="111"/>
    <x v="111"/>
    <x v="5"/>
    <s v="N"/>
    <s v="N"/>
    <x v="1"/>
    <x v="0"/>
    <x v="0"/>
    <x v="0"/>
    <m/>
    <m/>
    <s v="대리점"/>
    <x v="0"/>
    <x v="2"/>
    <x v="0"/>
    <x v="1431"/>
    <s v="HP2637024456"/>
    <x v="1"/>
    <n v="992400"/>
  </r>
  <r>
    <x v="1"/>
    <x v="3"/>
    <x v="13"/>
    <x v="48"/>
    <x v="111"/>
    <x v="111"/>
    <x v="6"/>
    <s v="N"/>
    <s v="N"/>
    <x v="1"/>
    <x v="0"/>
    <x v="0"/>
    <x v="0"/>
    <s v="성인"/>
    <s v="성인"/>
    <s v="대리점"/>
    <x v="0"/>
    <x v="7"/>
    <x v="0"/>
    <x v="1432"/>
    <s v="HP2637051112"/>
    <x v="0"/>
    <n v="2"/>
  </r>
  <r>
    <x v="1"/>
    <x v="3"/>
    <x v="13"/>
    <x v="48"/>
    <x v="111"/>
    <x v="111"/>
    <x v="6"/>
    <s v="N"/>
    <s v="N"/>
    <x v="1"/>
    <x v="0"/>
    <x v="0"/>
    <x v="0"/>
    <s v="성인"/>
    <s v="성인"/>
    <s v="대리점"/>
    <x v="0"/>
    <x v="7"/>
    <x v="0"/>
    <x v="1432"/>
    <s v="HP2637051112"/>
    <x v="1"/>
    <n v="7310000"/>
  </r>
  <r>
    <x v="1"/>
    <x v="3"/>
    <x v="13"/>
    <x v="48"/>
    <x v="111"/>
    <x v="111"/>
    <x v="10"/>
    <s v="N"/>
    <s v="N"/>
    <x v="4"/>
    <x v="1"/>
    <x v="0"/>
    <x v="0"/>
    <s v="성인"/>
    <s v="성인"/>
    <s v="대리점"/>
    <x v="0"/>
    <x v="12"/>
    <x v="0"/>
    <x v="1433"/>
    <s v="HB2637118124"/>
    <x v="0"/>
    <n v="6"/>
  </r>
  <r>
    <x v="1"/>
    <x v="3"/>
    <x v="13"/>
    <x v="48"/>
    <x v="111"/>
    <x v="111"/>
    <x v="10"/>
    <s v="N"/>
    <s v="N"/>
    <x v="4"/>
    <x v="1"/>
    <x v="0"/>
    <x v="0"/>
    <s v="성인"/>
    <s v="성인"/>
    <s v="대리점"/>
    <x v="0"/>
    <x v="12"/>
    <x v="0"/>
    <x v="1433"/>
    <s v="HB2637118124"/>
    <x v="1"/>
    <n v="3575400"/>
  </r>
  <r>
    <x v="1"/>
    <x v="3"/>
    <x v="13"/>
    <x v="48"/>
    <x v="111"/>
    <x v="111"/>
    <x v="10"/>
    <s v="N"/>
    <s v="N"/>
    <x v="4"/>
    <x v="1"/>
    <x v="0"/>
    <x v="0"/>
    <s v="아동"/>
    <s v="아동"/>
    <s v="대리점"/>
    <x v="0"/>
    <x v="12"/>
    <x v="0"/>
    <x v="1433"/>
    <s v="HB2637118124"/>
    <x v="0"/>
    <n v="1"/>
  </r>
  <r>
    <x v="1"/>
    <x v="3"/>
    <x v="13"/>
    <x v="48"/>
    <x v="111"/>
    <x v="111"/>
    <x v="10"/>
    <s v="N"/>
    <s v="N"/>
    <x v="4"/>
    <x v="1"/>
    <x v="0"/>
    <x v="0"/>
    <s v="아동"/>
    <s v="아동"/>
    <s v="대리점"/>
    <x v="0"/>
    <x v="12"/>
    <x v="0"/>
    <x v="1433"/>
    <s v="HB2637118124"/>
    <x v="1"/>
    <n v="595900"/>
  </r>
  <r>
    <x v="1"/>
    <x v="3"/>
    <x v="13"/>
    <x v="48"/>
    <x v="111"/>
    <x v="111"/>
    <x v="10"/>
    <s v="N"/>
    <s v="N"/>
    <x v="4"/>
    <x v="1"/>
    <x v="0"/>
    <x v="0"/>
    <s v="청소년"/>
    <s v="청소년"/>
    <s v="대리점"/>
    <x v="0"/>
    <x v="12"/>
    <x v="0"/>
    <x v="1433"/>
    <s v="HB2637118124"/>
    <x v="0"/>
    <n v="1"/>
  </r>
  <r>
    <x v="1"/>
    <x v="3"/>
    <x v="13"/>
    <x v="48"/>
    <x v="111"/>
    <x v="111"/>
    <x v="10"/>
    <s v="N"/>
    <s v="N"/>
    <x v="4"/>
    <x v="1"/>
    <x v="0"/>
    <x v="0"/>
    <s v="청소년"/>
    <s v="청소년"/>
    <s v="대리점"/>
    <x v="0"/>
    <x v="12"/>
    <x v="0"/>
    <x v="1433"/>
    <s v="HB2637118124"/>
    <x v="1"/>
    <n v="595900"/>
  </r>
  <r>
    <x v="1"/>
    <x v="3"/>
    <x v="13"/>
    <x v="48"/>
    <x v="111"/>
    <x v="111"/>
    <x v="10"/>
    <s v="N"/>
    <s v="N"/>
    <x v="4"/>
    <x v="1"/>
    <x v="0"/>
    <x v="1"/>
    <s v="아동"/>
    <s v="아동"/>
    <s v="대리점"/>
    <x v="0"/>
    <x v="12"/>
    <x v="0"/>
    <x v="1433"/>
    <s v="HB2637118124"/>
    <x v="0"/>
    <n v="1"/>
  </r>
  <r>
    <x v="1"/>
    <x v="3"/>
    <x v="13"/>
    <x v="48"/>
    <x v="111"/>
    <x v="111"/>
    <x v="10"/>
    <s v="N"/>
    <s v="N"/>
    <x v="4"/>
    <x v="1"/>
    <x v="0"/>
    <x v="1"/>
    <s v="아동"/>
    <s v="아동"/>
    <s v="대리점"/>
    <x v="0"/>
    <x v="12"/>
    <x v="0"/>
    <x v="1433"/>
    <s v="HB2637118124"/>
    <x v="1"/>
    <n v="595900"/>
  </r>
  <r>
    <x v="1"/>
    <x v="3"/>
    <x v="13"/>
    <x v="48"/>
    <x v="112"/>
    <x v="112"/>
    <x v="1"/>
    <s v="N"/>
    <s v="N"/>
    <x v="1"/>
    <x v="0"/>
    <x v="0"/>
    <x v="0"/>
    <s v="성인"/>
    <s v="성인"/>
    <s v="대리점"/>
    <x v="0"/>
    <x v="6"/>
    <x v="0"/>
    <x v="1434"/>
    <s v="HP2636945194"/>
    <x v="0"/>
    <n v="6"/>
  </r>
  <r>
    <x v="1"/>
    <x v="3"/>
    <x v="13"/>
    <x v="48"/>
    <x v="112"/>
    <x v="112"/>
    <x v="1"/>
    <s v="N"/>
    <s v="N"/>
    <x v="1"/>
    <x v="0"/>
    <x v="0"/>
    <x v="0"/>
    <s v="성인"/>
    <s v="성인"/>
    <s v="대리점"/>
    <x v="0"/>
    <x v="6"/>
    <x v="0"/>
    <x v="1434"/>
    <s v="HP2636945194"/>
    <x v="1"/>
    <n v="8699400"/>
  </r>
  <r>
    <x v="1"/>
    <x v="3"/>
    <x v="13"/>
    <x v="48"/>
    <x v="112"/>
    <x v="112"/>
    <x v="5"/>
    <s v="N"/>
    <s v="N"/>
    <x v="1"/>
    <x v="0"/>
    <x v="0"/>
    <x v="0"/>
    <s v="성인"/>
    <s v="성인"/>
    <s v="대리점"/>
    <x v="0"/>
    <x v="2"/>
    <x v="0"/>
    <x v="1435"/>
    <s v="HP2637022154"/>
    <x v="0"/>
    <n v="2"/>
  </r>
  <r>
    <x v="1"/>
    <x v="3"/>
    <x v="13"/>
    <x v="48"/>
    <x v="112"/>
    <x v="112"/>
    <x v="5"/>
    <s v="N"/>
    <s v="N"/>
    <x v="1"/>
    <x v="0"/>
    <x v="0"/>
    <x v="0"/>
    <s v="성인"/>
    <s v="성인"/>
    <s v="대리점"/>
    <x v="0"/>
    <x v="2"/>
    <x v="0"/>
    <x v="1435"/>
    <s v="HP2637022154"/>
    <x v="1"/>
    <n v="1642000"/>
  </r>
  <r>
    <x v="1"/>
    <x v="3"/>
    <x v="14"/>
    <x v="49"/>
    <x v="113"/>
    <x v="113"/>
    <x v="2"/>
    <s v="Y"/>
    <s v="Y"/>
    <x v="0"/>
    <x v="0"/>
    <x v="0"/>
    <x v="0"/>
    <s v="성인"/>
    <s v="성인"/>
    <s v="대리점"/>
    <x v="0"/>
    <x v="19"/>
    <x v="0"/>
    <x v="1436"/>
    <s v="HP2636963300"/>
    <x v="0"/>
    <n v="1"/>
  </r>
  <r>
    <x v="1"/>
    <x v="3"/>
    <x v="14"/>
    <x v="49"/>
    <x v="113"/>
    <x v="113"/>
    <x v="2"/>
    <s v="Y"/>
    <s v="Y"/>
    <x v="0"/>
    <x v="0"/>
    <x v="0"/>
    <x v="0"/>
    <s v="성인"/>
    <s v="성인"/>
    <s v="대리점"/>
    <x v="0"/>
    <x v="19"/>
    <x v="0"/>
    <x v="1436"/>
    <s v="HP2636963300"/>
    <x v="1"/>
    <n v="526900"/>
  </r>
  <r>
    <x v="1"/>
    <x v="3"/>
    <x v="14"/>
    <x v="49"/>
    <x v="113"/>
    <x v="113"/>
    <x v="4"/>
    <s v="N"/>
    <s v="N"/>
    <x v="1"/>
    <x v="0"/>
    <x v="0"/>
    <x v="0"/>
    <s v="성인"/>
    <s v="성인"/>
    <s v="대리점"/>
    <x v="0"/>
    <x v="2"/>
    <x v="0"/>
    <x v="415"/>
    <s v="HP2636999704"/>
    <x v="0"/>
    <n v="7"/>
  </r>
  <r>
    <x v="1"/>
    <x v="3"/>
    <x v="14"/>
    <x v="49"/>
    <x v="113"/>
    <x v="113"/>
    <x v="4"/>
    <s v="N"/>
    <s v="N"/>
    <x v="1"/>
    <x v="0"/>
    <x v="0"/>
    <x v="0"/>
    <s v="성인"/>
    <s v="성인"/>
    <s v="대리점"/>
    <x v="0"/>
    <x v="2"/>
    <x v="0"/>
    <x v="415"/>
    <s v="HP2636999704"/>
    <x v="1"/>
    <n v="9202300"/>
  </r>
  <r>
    <x v="1"/>
    <x v="3"/>
    <x v="14"/>
    <x v="49"/>
    <x v="113"/>
    <x v="113"/>
    <x v="4"/>
    <s v="N"/>
    <s v="N"/>
    <x v="1"/>
    <x v="0"/>
    <x v="0"/>
    <x v="0"/>
    <m/>
    <m/>
    <s v="대리점"/>
    <x v="0"/>
    <x v="2"/>
    <x v="1"/>
    <x v="1437"/>
    <s v="HP2637007690"/>
    <x v="0"/>
    <n v="0"/>
  </r>
  <r>
    <x v="1"/>
    <x v="3"/>
    <x v="14"/>
    <x v="49"/>
    <x v="113"/>
    <x v="113"/>
    <x v="4"/>
    <s v="N"/>
    <s v="N"/>
    <x v="1"/>
    <x v="0"/>
    <x v="0"/>
    <x v="0"/>
    <m/>
    <m/>
    <s v="대리점"/>
    <x v="0"/>
    <x v="2"/>
    <x v="1"/>
    <x v="1437"/>
    <s v="HP2637007690"/>
    <x v="1"/>
    <n v="0"/>
  </r>
  <r>
    <x v="1"/>
    <x v="3"/>
    <x v="14"/>
    <x v="49"/>
    <x v="113"/>
    <x v="113"/>
    <x v="10"/>
    <s v="N"/>
    <s v="N"/>
    <x v="1"/>
    <x v="0"/>
    <x v="0"/>
    <x v="0"/>
    <s v="성인"/>
    <s v="성인"/>
    <s v="대리점"/>
    <x v="0"/>
    <x v="17"/>
    <x v="0"/>
    <x v="1438"/>
    <s v="HP2637113302"/>
    <x v="0"/>
    <n v="7"/>
  </r>
  <r>
    <x v="1"/>
    <x v="3"/>
    <x v="14"/>
    <x v="49"/>
    <x v="113"/>
    <x v="113"/>
    <x v="10"/>
    <s v="N"/>
    <s v="N"/>
    <x v="1"/>
    <x v="0"/>
    <x v="0"/>
    <x v="0"/>
    <s v="성인"/>
    <s v="성인"/>
    <s v="대리점"/>
    <x v="0"/>
    <x v="17"/>
    <x v="0"/>
    <x v="1438"/>
    <s v="HP2637113302"/>
    <x v="1"/>
    <n v="9093000"/>
  </r>
  <r>
    <x v="1"/>
    <x v="3"/>
    <x v="14"/>
    <x v="49"/>
    <x v="114"/>
    <x v="114"/>
    <x v="3"/>
    <s v="N"/>
    <s v="Y"/>
    <x v="1"/>
    <x v="0"/>
    <x v="0"/>
    <x v="0"/>
    <s v="성인"/>
    <s v="성인"/>
    <s v="대리점"/>
    <x v="0"/>
    <x v="15"/>
    <x v="0"/>
    <x v="1439"/>
    <s v="HP2636989906"/>
    <x v="0"/>
    <n v="2"/>
  </r>
  <r>
    <x v="1"/>
    <x v="3"/>
    <x v="14"/>
    <x v="49"/>
    <x v="114"/>
    <x v="114"/>
    <x v="3"/>
    <s v="N"/>
    <s v="Y"/>
    <x v="1"/>
    <x v="0"/>
    <x v="0"/>
    <x v="0"/>
    <s v="성인"/>
    <s v="성인"/>
    <s v="대리점"/>
    <x v="0"/>
    <x v="15"/>
    <x v="0"/>
    <x v="1439"/>
    <s v="HP2636989906"/>
    <x v="1"/>
    <n v="4598000"/>
  </r>
  <r>
    <x v="1"/>
    <x v="3"/>
    <x v="14"/>
    <x v="49"/>
    <x v="114"/>
    <x v="114"/>
    <x v="5"/>
    <s v="N"/>
    <s v="N"/>
    <x v="1"/>
    <x v="0"/>
    <x v="0"/>
    <x v="0"/>
    <s v="성인"/>
    <s v="성인"/>
    <s v="대리점"/>
    <x v="0"/>
    <x v="2"/>
    <x v="0"/>
    <x v="1440"/>
    <s v="HP2637035814"/>
    <x v="0"/>
    <n v="1"/>
  </r>
  <r>
    <x v="1"/>
    <x v="3"/>
    <x v="14"/>
    <x v="49"/>
    <x v="114"/>
    <x v="114"/>
    <x v="5"/>
    <s v="N"/>
    <s v="N"/>
    <x v="1"/>
    <x v="0"/>
    <x v="0"/>
    <x v="0"/>
    <s v="성인"/>
    <s v="성인"/>
    <s v="대리점"/>
    <x v="0"/>
    <x v="2"/>
    <x v="0"/>
    <x v="1440"/>
    <s v="HP2637035814"/>
    <x v="1"/>
    <n v="1599000"/>
  </r>
  <r>
    <x v="1"/>
    <x v="3"/>
    <x v="14"/>
    <x v="49"/>
    <x v="114"/>
    <x v="114"/>
    <x v="5"/>
    <s v="N"/>
    <s v="N"/>
    <x v="1"/>
    <x v="0"/>
    <x v="0"/>
    <x v="0"/>
    <m/>
    <m/>
    <s v="대리점"/>
    <x v="0"/>
    <x v="2"/>
    <x v="0"/>
    <x v="1440"/>
    <s v="HP2637035814"/>
    <x v="0"/>
    <n v="3"/>
  </r>
  <r>
    <x v="1"/>
    <x v="3"/>
    <x v="14"/>
    <x v="49"/>
    <x v="114"/>
    <x v="114"/>
    <x v="5"/>
    <s v="N"/>
    <s v="N"/>
    <x v="1"/>
    <x v="0"/>
    <x v="0"/>
    <x v="0"/>
    <m/>
    <m/>
    <s v="대리점"/>
    <x v="0"/>
    <x v="2"/>
    <x v="0"/>
    <x v="1440"/>
    <s v="HP2637035814"/>
    <x v="1"/>
    <n v="4797000"/>
  </r>
  <r>
    <x v="1"/>
    <x v="3"/>
    <x v="14"/>
    <x v="49"/>
    <x v="114"/>
    <x v="114"/>
    <x v="6"/>
    <s v="N"/>
    <s v="N"/>
    <x v="0"/>
    <x v="0"/>
    <x v="0"/>
    <x v="0"/>
    <m/>
    <m/>
    <s v="대리점"/>
    <x v="0"/>
    <x v="6"/>
    <x v="1"/>
    <x v="1441"/>
    <s v="HP2637062504"/>
    <x v="0"/>
    <n v="0"/>
  </r>
  <r>
    <x v="1"/>
    <x v="3"/>
    <x v="14"/>
    <x v="49"/>
    <x v="114"/>
    <x v="114"/>
    <x v="6"/>
    <s v="N"/>
    <s v="N"/>
    <x v="0"/>
    <x v="0"/>
    <x v="0"/>
    <x v="0"/>
    <m/>
    <m/>
    <s v="대리점"/>
    <x v="0"/>
    <x v="6"/>
    <x v="1"/>
    <x v="1441"/>
    <s v="HP2637062504"/>
    <x v="1"/>
    <n v="0"/>
  </r>
  <r>
    <x v="1"/>
    <x v="3"/>
    <x v="14"/>
    <x v="49"/>
    <x v="115"/>
    <x v="115"/>
    <x v="5"/>
    <s v="N"/>
    <s v="N"/>
    <x v="0"/>
    <x v="0"/>
    <x v="0"/>
    <x v="0"/>
    <m/>
    <m/>
    <s v="대리점"/>
    <x v="0"/>
    <x v="19"/>
    <x v="0"/>
    <x v="1442"/>
    <s v="HP2637030222"/>
    <x v="0"/>
    <n v="4"/>
  </r>
  <r>
    <x v="1"/>
    <x v="3"/>
    <x v="14"/>
    <x v="49"/>
    <x v="115"/>
    <x v="115"/>
    <x v="5"/>
    <s v="N"/>
    <s v="N"/>
    <x v="0"/>
    <x v="0"/>
    <x v="0"/>
    <x v="0"/>
    <m/>
    <m/>
    <s v="대리점"/>
    <x v="0"/>
    <x v="19"/>
    <x v="0"/>
    <x v="1442"/>
    <s v="HP2637030222"/>
    <x v="1"/>
    <n v="3547600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0"/>
    <x v="1442"/>
    <s v="HP2637030222"/>
    <x v="0"/>
    <n v="2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0"/>
    <x v="1442"/>
    <s v="HP2637030222"/>
    <x v="1"/>
    <n v="1773800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1"/>
    <x v="1442"/>
    <s v="HP2637050380"/>
    <x v="0"/>
    <n v="0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1"/>
    <x v="1442"/>
    <s v="HP2637050380"/>
    <x v="1"/>
    <n v="0"/>
  </r>
  <r>
    <x v="1"/>
    <x v="3"/>
    <x v="14"/>
    <x v="50"/>
    <x v="116"/>
    <x v="116"/>
    <x v="0"/>
    <s v="N"/>
    <s v="N"/>
    <x v="1"/>
    <x v="0"/>
    <x v="0"/>
    <x v="0"/>
    <s v="성인"/>
    <s v="성인"/>
    <s v="대리점"/>
    <x v="0"/>
    <x v="0"/>
    <x v="0"/>
    <x v="1443"/>
    <s v="HP2636930964"/>
    <x v="0"/>
    <n v="2"/>
  </r>
  <r>
    <x v="1"/>
    <x v="3"/>
    <x v="14"/>
    <x v="50"/>
    <x v="116"/>
    <x v="116"/>
    <x v="0"/>
    <s v="N"/>
    <s v="N"/>
    <x v="1"/>
    <x v="0"/>
    <x v="0"/>
    <x v="0"/>
    <s v="성인"/>
    <s v="성인"/>
    <s v="대리점"/>
    <x v="0"/>
    <x v="0"/>
    <x v="0"/>
    <x v="1443"/>
    <s v="HP2636930964"/>
    <x v="1"/>
    <n v="2238000"/>
  </r>
  <r>
    <x v="1"/>
    <x v="3"/>
    <x v="14"/>
    <x v="50"/>
    <x v="116"/>
    <x v="116"/>
    <x v="0"/>
    <s v="N"/>
    <s v="N"/>
    <x v="2"/>
    <x v="0"/>
    <x v="0"/>
    <x v="0"/>
    <s v="성인"/>
    <s v="성인"/>
    <s v="대리점"/>
    <x v="0"/>
    <x v="32"/>
    <x v="0"/>
    <x v="1444"/>
    <s v="HP2636931498"/>
    <x v="0"/>
    <n v="2"/>
  </r>
  <r>
    <x v="1"/>
    <x v="3"/>
    <x v="14"/>
    <x v="50"/>
    <x v="116"/>
    <x v="116"/>
    <x v="0"/>
    <s v="N"/>
    <s v="N"/>
    <x v="2"/>
    <x v="0"/>
    <x v="0"/>
    <x v="0"/>
    <s v="성인"/>
    <s v="성인"/>
    <s v="대리점"/>
    <x v="0"/>
    <x v="32"/>
    <x v="0"/>
    <x v="1444"/>
    <s v="HP2636931498"/>
    <x v="1"/>
    <n v="4699800"/>
  </r>
  <r>
    <x v="1"/>
    <x v="3"/>
    <x v="14"/>
    <x v="50"/>
    <x v="116"/>
    <x v="116"/>
    <x v="1"/>
    <s v="N"/>
    <s v="N"/>
    <x v="0"/>
    <x v="0"/>
    <x v="0"/>
    <x v="0"/>
    <s v="성인"/>
    <s v="성인"/>
    <s v="대리점"/>
    <x v="0"/>
    <x v="25"/>
    <x v="0"/>
    <x v="541"/>
    <s v="HP2636952624"/>
    <x v="0"/>
    <n v="1"/>
  </r>
  <r>
    <x v="1"/>
    <x v="3"/>
    <x v="14"/>
    <x v="50"/>
    <x v="116"/>
    <x v="116"/>
    <x v="1"/>
    <s v="N"/>
    <s v="N"/>
    <x v="0"/>
    <x v="0"/>
    <x v="0"/>
    <x v="0"/>
    <s v="성인"/>
    <s v="성인"/>
    <s v="대리점"/>
    <x v="0"/>
    <x v="25"/>
    <x v="0"/>
    <x v="541"/>
    <s v="HP2636952624"/>
    <x v="1"/>
    <n v="177900"/>
  </r>
  <r>
    <x v="1"/>
    <x v="3"/>
    <x v="14"/>
    <x v="50"/>
    <x v="116"/>
    <x v="116"/>
    <x v="1"/>
    <s v="N"/>
    <s v="N"/>
    <x v="0"/>
    <x v="0"/>
    <x v="0"/>
    <x v="0"/>
    <m/>
    <m/>
    <s v="대리점"/>
    <x v="0"/>
    <x v="25"/>
    <x v="0"/>
    <x v="541"/>
    <s v="HP2636952624"/>
    <x v="0"/>
    <n v="3"/>
  </r>
  <r>
    <x v="1"/>
    <x v="3"/>
    <x v="14"/>
    <x v="50"/>
    <x v="116"/>
    <x v="116"/>
    <x v="1"/>
    <s v="N"/>
    <s v="N"/>
    <x v="0"/>
    <x v="0"/>
    <x v="0"/>
    <x v="0"/>
    <m/>
    <m/>
    <s v="대리점"/>
    <x v="0"/>
    <x v="25"/>
    <x v="0"/>
    <x v="541"/>
    <s v="HP2636952624"/>
    <x v="1"/>
    <n v="533700"/>
  </r>
  <r>
    <x v="1"/>
    <x v="3"/>
    <x v="14"/>
    <x v="50"/>
    <x v="116"/>
    <x v="116"/>
    <x v="1"/>
    <s v="N"/>
    <s v="N"/>
    <x v="1"/>
    <x v="0"/>
    <x v="0"/>
    <x v="0"/>
    <m/>
    <m/>
    <s v="대리점"/>
    <x v="0"/>
    <x v="2"/>
    <x v="0"/>
    <x v="1445"/>
    <s v="HP2636949496"/>
    <x v="0"/>
    <n v="3"/>
  </r>
  <r>
    <x v="1"/>
    <x v="3"/>
    <x v="14"/>
    <x v="50"/>
    <x v="116"/>
    <x v="116"/>
    <x v="1"/>
    <s v="N"/>
    <s v="N"/>
    <x v="1"/>
    <x v="0"/>
    <x v="0"/>
    <x v="0"/>
    <m/>
    <m/>
    <s v="대리점"/>
    <x v="0"/>
    <x v="2"/>
    <x v="0"/>
    <x v="1445"/>
    <s v="HP2636949496"/>
    <x v="1"/>
    <n v="2639700"/>
  </r>
  <r>
    <x v="1"/>
    <x v="3"/>
    <x v="14"/>
    <x v="50"/>
    <x v="116"/>
    <x v="116"/>
    <x v="2"/>
    <s v="Y"/>
    <s v="Y"/>
    <x v="0"/>
    <x v="0"/>
    <x v="0"/>
    <x v="0"/>
    <m/>
    <m/>
    <s v="대리점"/>
    <x v="0"/>
    <x v="2"/>
    <x v="1"/>
    <x v="1446"/>
    <s v="HP2636963484"/>
    <x v="0"/>
    <n v="0"/>
  </r>
  <r>
    <x v="1"/>
    <x v="3"/>
    <x v="14"/>
    <x v="50"/>
    <x v="116"/>
    <x v="116"/>
    <x v="2"/>
    <s v="Y"/>
    <s v="Y"/>
    <x v="0"/>
    <x v="0"/>
    <x v="0"/>
    <x v="0"/>
    <m/>
    <m/>
    <s v="대리점"/>
    <x v="0"/>
    <x v="2"/>
    <x v="1"/>
    <x v="1446"/>
    <s v="HP2636963484"/>
    <x v="1"/>
    <n v="3680400"/>
  </r>
  <r>
    <x v="1"/>
    <x v="3"/>
    <x v="14"/>
    <x v="50"/>
    <x v="116"/>
    <x v="116"/>
    <x v="2"/>
    <s v="Y"/>
    <s v="Y"/>
    <x v="2"/>
    <x v="0"/>
    <x v="0"/>
    <x v="0"/>
    <m/>
    <m/>
    <s v="닷컴"/>
    <x v="2"/>
    <x v="32"/>
    <x v="1"/>
    <x v="1447"/>
    <s v="HP2636964594"/>
    <x v="0"/>
    <n v="0"/>
  </r>
  <r>
    <x v="1"/>
    <x v="3"/>
    <x v="14"/>
    <x v="50"/>
    <x v="116"/>
    <x v="116"/>
    <x v="2"/>
    <s v="Y"/>
    <s v="Y"/>
    <x v="2"/>
    <x v="0"/>
    <x v="0"/>
    <x v="0"/>
    <m/>
    <m/>
    <s v="닷컴"/>
    <x v="2"/>
    <x v="32"/>
    <x v="1"/>
    <x v="1447"/>
    <s v="HP2636964594"/>
    <x v="1"/>
    <n v="2864700"/>
  </r>
  <r>
    <x v="1"/>
    <x v="3"/>
    <x v="14"/>
    <x v="50"/>
    <x v="116"/>
    <x v="116"/>
    <x v="11"/>
    <s v="Y"/>
    <s v="N"/>
    <x v="1"/>
    <x v="0"/>
    <x v="0"/>
    <x v="0"/>
    <m/>
    <m/>
    <s v="대리점"/>
    <x v="0"/>
    <x v="4"/>
    <x v="1"/>
    <x v="1448"/>
    <s v="HP2636975870"/>
    <x v="0"/>
    <n v="0"/>
  </r>
  <r>
    <x v="1"/>
    <x v="3"/>
    <x v="14"/>
    <x v="50"/>
    <x v="116"/>
    <x v="116"/>
    <x v="11"/>
    <s v="Y"/>
    <s v="N"/>
    <x v="1"/>
    <x v="0"/>
    <x v="0"/>
    <x v="0"/>
    <m/>
    <m/>
    <s v="대리점"/>
    <x v="0"/>
    <x v="4"/>
    <x v="1"/>
    <x v="1448"/>
    <s v="HP2636975870"/>
    <x v="1"/>
    <n v="2499800"/>
  </r>
  <r>
    <x v="1"/>
    <x v="3"/>
    <x v="14"/>
    <x v="50"/>
    <x v="116"/>
    <x v="116"/>
    <x v="4"/>
    <s v="N"/>
    <s v="N"/>
    <x v="4"/>
    <x v="1"/>
    <x v="0"/>
    <x v="0"/>
    <s v="성인"/>
    <s v="성인"/>
    <s v="대리점"/>
    <x v="0"/>
    <x v="12"/>
    <x v="0"/>
    <x v="1449"/>
    <s v="HB2637014936"/>
    <x v="0"/>
    <n v="2"/>
  </r>
  <r>
    <x v="1"/>
    <x v="3"/>
    <x v="14"/>
    <x v="50"/>
    <x v="116"/>
    <x v="116"/>
    <x v="4"/>
    <s v="N"/>
    <s v="N"/>
    <x v="4"/>
    <x v="1"/>
    <x v="0"/>
    <x v="0"/>
    <s v="성인"/>
    <s v="성인"/>
    <s v="대리점"/>
    <x v="0"/>
    <x v="12"/>
    <x v="0"/>
    <x v="1449"/>
    <s v="HB2637014936"/>
    <x v="1"/>
    <n v="1065400"/>
  </r>
  <r>
    <x v="1"/>
    <x v="3"/>
    <x v="14"/>
    <x v="50"/>
    <x v="116"/>
    <x v="116"/>
    <x v="4"/>
    <s v="N"/>
    <s v="N"/>
    <x v="0"/>
    <x v="0"/>
    <x v="0"/>
    <x v="0"/>
    <s v="성인"/>
    <s v="성인"/>
    <s v="범용/상용닷컴"/>
    <x v="1"/>
    <x v="14"/>
    <x v="0"/>
    <x v="1450"/>
    <s v="HP2637010484"/>
    <x v="0"/>
    <n v="5"/>
  </r>
  <r>
    <x v="1"/>
    <x v="3"/>
    <x v="14"/>
    <x v="50"/>
    <x v="116"/>
    <x v="116"/>
    <x v="4"/>
    <s v="N"/>
    <s v="N"/>
    <x v="0"/>
    <x v="0"/>
    <x v="0"/>
    <x v="0"/>
    <s v="성인"/>
    <s v="성인"/>
    <s v="범용/상용닷컴"/>
    <x v="1"/>
    <x v="14"/>
    <x v="0"/>
    <x v="1450"/>
    <s v="HP2637010484"/>
    <x v="1"/>
    <n v="2845000"/>
  </r>
  <r>
    <x v="1"/>
    <x v="3"/>
    <x v="14"/>
    <x v="50"/>
    <x v="116"/>
    <x v="116"/>
    <x v="4"/>
    <s v="N"/>
    <s v="N"/>
    <x v="1"/>
    <x v="0"/>
    <x v="0"/>
    <x v="0"/>
    <s v="성인"/>
    <s v="성인"/>
    <s v="닷컴"/>
    <x v="2"/>
    <x v="23"/>
    <x v="0"/>
    <x v="1451"/>
    <s v="HP2637005904"/>
    <x v="0"/>
    <n v="3"/>
  </r>
  <r>
    <x v="1"/>
    <x v="3"/>
    <x v="14"/>
    <x v="50"/>
    <x v="116"/>
    <x v="116"/>
    <x v="4"/>
    <s v="N"/>
    <s v="N"/>
    <x v="1"/>
    <x v="0"/>
    <x v="0"/>
    <x v="0"/>
    <s v="성인"/>
    <s v="성인"/>
    <s v="닷컴"/>
    <x v="2"/>
    <x v="23"/>
    <x v="0"/>
    <x v="1451"/>
    <s v="HP2637005904"/>
    <x v="1"/>
    <n v="5477400"/>
  </r>
  <r>
    <x v="1"/>
    <x v="3"/>
    <x v="14"/>
    <x v="50"/>
    <x v="116"/>
    <x v="116"/>
    <x v="4"/>
    <s v="N"/>
    <s v="N"/>
    <x v="1"/>
    <x v="0"/>
    <x v="0"/>
    <x v="0"/>
    <s v="성인"/>
    <s v="성인"/>
    <s v="대리점"/>
    <x v="0"/>
    <x v="3"/>
    <x v="0"/>
    <x v="1452"/>
    <s v="HP2637011438"/>
    <x v="0"/>
    <n v="4"/>
  </r>
  <r>
    <x v="1"/>
    <x v="3"/>
    <x v="14"/>
    <x v="50"/>
    <x v="116"/>
    <x v="116"/>
    <x v="4"/>
    <s v="N"/>
    <s v="N"/>
    <x v="1"/>
    <x v="0"/>
    <x v="0"/>
    <x v="0"/>
    <s v="성인"/>
    <s v="성인"/>
    <s v="대리점"/>
    <x v="0"/>
    <x v="3"/>
    <x v="0"/>
    <x v="1452"/>
    <s v="HP2637011438"/>
    <x v="1"/>
    <n v="7220400"/>
  </r>
  <r>
    <x v="1"/>
    <x v="3"/>
    <x v="14"/>
    <x v="50"/>
    <x v="116"/>
    <x v="116"/>
    <x v="4"/>
    <s v="N"/>
    <s v="N"/>
    <x v="1"/>
    <x v="0"/>
    <x v="0"/>
    <x v="0"/>
    <m/>
    <m/>
    <s v="닷컴"/>
    <x v="2"/>
    <x v="23"/>
    <x v="1"/>
    <x v="743"/>
    <s v="HP2637004792"/>
    <x v="0"/>
    <n v="0"/>
  </r>
  <r>
    <x v="1"/>
    <x v="3"/>
    <x v="14"/>
    <x v="50"/>
    <x v="116"/>
    <x v="116"/>
    <x v="4"/>
    <s v="N"/>
    <s v="N"/>
    <x v="1"/>
    <x v="0"/>
    <x v="0"/>
    <x v="0"/>
    <m/>
    <m/>
    <s v="닷컴"/>
    <x v="2"/>
    <x v="23"/>
    <x v="1"/>
    <x v="743"/>
    <s v="HP2637004792"/>
    <x v="1"/>
    <n v="5470200"/>
  </r>
  <r>
    <x v="1"/>
    <x v="3"/>
    <x v="14"/>
    <x v="50"/>
    <x v="116"/>
    <x v="116"/>
    <x v="4"/>
    <s v="N"/>
    <s v="N"/>
    <x v="1"/>
    <x v="0"/>
    <x v="0"/>
    <x v="0"/>
    <m/>
    <m/>
    <s v="대리점"/>
    <x v="0"/>
    <x v="23"/>
    <x v="1"/>
    <x v="1451"/>
    <s v="HP2637005938"/>
    <x v="0"/>
    <n v="0"/>
  </r>
  <r>
    <x v="1"/>
    <x v="3"/>
    <x v="14"/>
    <x v="50"/>
    <x v="116"/>
    <x v="116"/>
    <x v="4"/>
    <s v="N"/>
    <s v="N"/>
    <x v="1"/>
    <x v="0"/>
    <x v="0"/>
    <x v="0"/>
    <m/>
    <m/>
    <s v="대리점"/>
    <x v="0"/>
    <x v="23"/>
    <x v="1"/>
    <x v="1451"/>
    <s v="HP2637005938"/>
    <x v="1"/>
    <n v="5477400"/>
  </r>
  <r>
    <x v="1"/>
    <x v="3"/>
    <x v="14"/>
    <x v="50"/>
    <x v="116"/>
    <x v="116"/>
    <x v="4"/>
    <s v="N"/>
    <s v="N"/>
    <x v="2"/>
    <x v="0"/>
    <x v="0"/>
    <x v="0"/>
    <s v="성인"/>
    <s v="성인"/>
    <s v="대리점"/>
    <x v="0"/>
    <x v="2"/>
    <x v="0"/>
    <x v="1453"/>
    <s v="HP2637001728"/>
    <x v="0"/>
    <n v="4"/>
  </r>
  <r>
    <x v="1"/>
    <x v="3"/>
    <x v="14"/>
    <x v="50"/>
    <x v="116"/>
    <x v="116"/>
    <x v="4"/>
    <s v="N"/>
    <s v="N"/>
    <x v="2"/>
    <x v="0"/>
    <x v="0"/>
    <x v="0"/>
    <s v="성인"/>
    <s v="성인"/>
    <s v="대리점"/>
    <x v="0"/>
    <x v="2"/>
    <x v="0"/>
    <x v="1453"/>
    <s v="HP2637001728"/>
    <x v="1"/>
    <n v="8169600"/>
  </r>
  <r>
    <x v="1"/>
    <x v="3"/>
    <x v="14"/>
    <x v="50"/>
    <x v="116"/>
    <x v="116"/>
    <x v="4"/>
    <s v="N"/>
    <s v="N"/>
    <x v="2"/>
    <x v="0"/>
    <x v="0"/>
    <x v="0"/>
    <s v="청소년"/>
    <s v="청소년"/>
    <s v="대리점"/>
    <x v="0"/>
    <x v="2"/>
    <x v="0"/>
    <x v="1453"/>
    <s v="HP2637001728"/>
    <x v="0"/>
    <n v="2"/>
  </r>
  <r>
    <x v="1"/>
    <x v="3"/>
    <x v="14"/>
    <x v="50"/>
    <x v="116"/>
    <x v="116"/>
    <x v="4"/>
    <s v="N"/>
    <s v="N"/>
    <x v="2"/>
    <x v="0"/>
    <x v="0"/>
    <x v="0"/>
    <s v="청소년"/>
    <s v="청소년"/>
    <s v="대리점"/>
    <x v="0"/>
    <x v="2"/>
    <x v="0"/>
    <x v="1453"/>
    <s v="HP2637001728"/>
    <x v="1"/>
    <n v="4084800"/>
  </r>
  <r>
    <x v="1"/>
    <x v="3"/>
    <x v="14"/>
    <x v="50"/>
    <x v="116"/>
    <x v="116"/>
    <x v="5"/>
    <s v="N"/>
    <s v="N"/>
    <x v="0"/>
    <x v="0"/>
    <x v="0"/>
    <x v="0"/>
    <s v="성인"/>
    <s v="성인"/>
    <s v="닷컴"/>
    <x v="2"/>
    <x v="2"/>
    <x v="0"/>
    <x v="1454"/>
    <s v="HP2637033508"/>
    <x v="0"/>
    <n v="3"/>
  </r>
  <r>
    <x v="1"/>
    <x v="3"/>
    <x v="14"/>
    <x v="50"/>
    <x v="116"/>
    <x v="116"/>
    <x v="5"/>
    <s v="N"/>
    <s v="N"/>
    <x v="0"/>
    <x v="0"/>
    <x v="0"/>
    <x v="0"/>
    <s v="성인"/>
    <s v="성인"/>
    <s v="닷컴"/>
    <x v="2"/>
    <x v="2"/>
    <x v="0"/>
    <x v="1454"/>
    <s v="HP2637033508"/>
    <x v="1"/>
    <n v="3527700"/>
  </r>
  <r>
    <x v="1"/>
    <x v="3"/>
    <x v="14"/>
    <x v="50"/>
    <x v="116"/>
    <x v="116"/>
    <x v="5"/>
    <s v="N"/>
    <s v="N"/>
    <x v="0"/>
    <x v="0"/>
    <x v="0"/>
    <x v="0"/>
    <s v="성인"/>
    <s v="성인"/>
    <s v="대리점"/>
    <x v="0"/>
    <x v="2"/>
    <x v="0"/>
    <x v="1455"/>
    <s v="HP2637027274"/>
    <x v="0"/>
    <n v="2"/>
  </r>
  <r>
    <x v="1"/>
    <x v="3"/>
    <x v="14"/>
    <x v="50"/>
    <x v="116"/>
    <x v="116"/>
    <x v="5"/>
    <s v="N"/>
    <s v="N"/>
    <x v="0"/>
    <x v="0"/>
    <x v="0"/>
    <x v="0"/>
    <s v="성인"/>
    <s v="성인"/>
    <s v="대리점"/>
    <x v="0"/>
    <x v="2"/>
    <x v="0"/>
    <x v="1455"/>
    <s v="HP2637027274"/>
    <x v="1"/>
    <n v="1934400"/>
  </r>
  <r>
    <x v="1"/>
    <x v="3"/>
    <x v="14"/>
    <x v="50"/>
    <x v="116"/>
    <x v="116"/>
    <x v="5"/>
    <s v="N"/>
    <s v="N"/>
    <x v="1"/>
    <x v="0"/>
    <x v="0"/>
    <x v="0"/>
    <s v="성인"/>
    <s v="성인"/>
    <s v="닷컴"/>
    <x v="2"/>
    <x v="2"/>
    <x v="0"/>
    <x v="1456"/>
    <s v="HP2637032306"/>
    <x v="0"/>
    <n v="4"/>
  </r>
  <r>
    <x v="1"/>
    <x v="3"/>
    <x v="14"/>
    <x v="50"/>
    <x v="116"/>
    <x v="116"/>
    <x v="5"/>
    <s v="N"/>
    <s v="N"/>
    <x v="1"/>
    <x v="0"/>
    <x v="0"/>
    <x v="0"/>
    <s v="성인"/>
    <s v="성인"/>
    <s v="닷컴"/>
    <x v="2"/>
    <x v="2"/>
    <x v="0"/>
    <x v="1456"/>
    <s v="HP2637032306"/>
    <x v="1"/>
    <n v="4916000"/>
  </r>
  <r>
    <x v="1"/>
    <x v="3"/>
    <x v="14"/>
    <x v="50"/>
    <x v="116"/>
    <x v="116"/>
    <x v="5"/>
    <s v="N"/>
    <s v="N"/>
    <x v="1"/>
    <x v="0"/>
    <x v="0"/>
    <x v="0"/>
    <s v="성인"/>
    <s v="성인"/>
    <s v="대리점"/>
    <x v="0"/>
    <x v="4"/>
    <x v="0"/>
    <x v="1457"/>
    <s v="HP2637035956"/>
    <x v="0"/>
    <n v="2"/>
  </r>
  <r>
    <x v="1"/>
    <x v="3"/>
    <x v="14"/>
    <x v="50"/>
    <x v="116"/>
    <x v="116"/>
    <x v="5"/>
    <s v="N"/>
    <s v="N"/>
    <x v="1"/>
    <x v="0"/>
    <x v="0"/>
    <x v="0"/>
    <s v="성인"/>
    <s v="성인"/>
    <s v="대리점"/>
    <x v="0"/>
    <x v="4"/>
    <x v="0"/>
    <x v="1457"/>
    <s v="HP2637035956"/>
    <x v="1"/>
    <n v="3347600"/>
  </r>
  <r>
    <x v="1"/>
    <x v="3"/>
    <x v="14"/>
    <x v="50"/>
    <x v="116"/>
    <x v="116"/>
    <x v="5"/>
    <s v="N"/>
    <s v="N"/>
    <x v="1"/>
    <x v="0"/>
    <x v="0"/>
    <x v="0"/>
    <s v="성인"/>
    <s v="성인"/>
    <s v="범용/상용닷컴"/>
    <x v="1"/>
    <x v="4"/>
    <x v="0"/>
    <x v="1448"/>
    <s v="HP2637037886"/>
    <x v="0"/>
    <n v="2"/>
  </r>
  <r>
    <x v="1"/>
    <x v="3"/>
    <x v="14"/>
    <x v="50"/>
    <x v="116"/>
    <x v="116"/>
    <x v="5"/>
    <s v="N"/>
    <s v="N"/>
    <x v="1"/>
    <x v="0"/>
    <x v="0"/>
    <x v="0"/>
    <s v="성인"/>
    <s v="성인"/>
    <s v="범용/상용닷컴"/>
    <x v="1"/>
    <x v="4"/>
    <x v="0"/>
    <x v="1448"/>
    <s v="HP2637037886"/>
    <x v="1"/>
    <n v="2499800"/>
  </r>
  <r>
    <x v="1"/>
    <x v="3"/>
    <x v="14"/>
    <x v="50"/>
    <x v="116"/>
    <x v="116"/>
    <x v="5"/>
    <s v="N"/>
    <s v="N"/>
    <x v="1"/>
    <x v="0"/>
    <x v="0"/>
    <x v="0"/>
    <m/>
    <m/>
    <s v="대리점"/>
    <x v="0"/>
    <x v="4"/>
    <x v="1"/>
    <x v="1457"/>
    <s v="HP2637034600"/>
    <x v="0"/>
    <n v="0"/>
  </r>
  <r>
    <x v="1"/>
    <x v="3"/>
    <x v="14"/>
    <x v="50"/>
    <x v="116"/>
    <x v="116"/>
    <x v="5"/>
    <s v="N"/>
    <s v="N"/>
    <x v="1"/>
    <x v="0"/>
    <x v="0"/>
    <x v="0"/>
    <m/>
    <m/>
    <s v="대리점"/>
    <x v="0"/>
    <x v="4"/>
    <x v="1"/>
    <x v="1457"/>
    <s v="HP2637034600"/>
    <x v="1"/>
    <n v="3347600"/>
  </r>
  <r>
    <x v="1"/>
    <x v="3"/>
    <x v="14"/>
    <x v="50"/>
    <x v="116"/>
    <x v="116"/>
    <x v="5"/>
    <s v="N"/>
    <s v="N"/>
    <x v="1"/>
    <x v="0"/>
    <x v="0"/>
    <x v="1"/>
    <s v="아동"/>
    <s v="아동"/>
    <s v="닷컴"/>
    <x v="2"/>
    <x v="2"/>
    <x v="0"/>
    <x v="1456"/>
    <s v="HP2637032306"/>
    <x v="0"/>
    <n v="1"/>
  </r>
  <r>
    <x v="1"/>
    <x v="3"/>
    <x v="14"/>
    <x v="50"/>
    <x v="116"/>
    <x v="116"/>
    <x v="5"/>
    <s v="N"/>
    <s v="N"/>
    <x v="1"/>
    <x v="0"/>
    <x v="0"/>
    <x v="1"/>
    <s v="아동"/>
    <s v="아동"/>
    <s v="닷컴"/>
    <x v="2"/>
    <x v="2"/>
    <x v="0"/>
    <x v="1456"/>
    <s v="HP2637032306"/>
    <x v="1"/>
    <n v="1229000"/>
  </r>
  <r>
    <x v="1"/>
    <x v="3"/>
    <x v="14"/>
    <x v="50"/>
    <x v="116"/>
    <x v="116"/>
    <x v="5"/>
    <s v="N"/>
    <s v="N"/>
    <x v="1"/>
    <x v="0"/>
    <x v="0"/>
    <x v="1"/>
    <s v="유아"/>
    <s v="유아"/>
    <s v="닷컴"/>
    <x v="2"/>
    <x v="2"/>
    <x v="0"/>
    <x v="1456"/>
    <s v="HP2637032306"/>
    <x v="0"/>
    <n v="1"/>
  </r>
  <r>
    <x v="1"/>
    <x v="3"/>
    <x v="14"/>
    <x v="50"/>
    <x v="116"/>
    <x v="116"/>
    <x v="5"/>
    <s v="N"/>
    <s v="N"/>
    <x v="1"/>
    <x v="0"/>
    <x v="0"/>
    <x v="1"/>
    <s v="유아"/>
    <s v="유아"/>
    <s v="닷컴"/>
    <x v="2"/>
    <x v="2"/>
    <x v="0"/>
    <x v="1456"/>
    <s v="HP2637032306"/>
    <x v="1"/>
    <n v="1229000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7"/>
    <x v="0"/>
    <x v="1458"/>
    <s v="HP2637048946"/>
    <x v="0"/>
    <n v="3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7"/>
    <x v="0"/>
    <x v="1458"/>
    <s v="HP2637048946"/>
    <x v="1"/>
    <n v="16365000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2"/>
    <x v="0"/>
    <x v="1459"/>
    <s v="HP2637054106"/>
    <x v="0"/>
    <n v="2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2"/>
    <x v="0"/>
    <x v="1459"/>
    <s v="HP2637054106"/>
    <x v="1"/>
    <n v="2546000"/>
  </r>
  <r>
    <x v="1"/>
    <x v="3"/>
    <x v="14"/>
    <x v="50"/>
    <x v="116"/>
    <x v="116"/>
    <x v="6"/>
    <s v="N"/>
    <s v="N"/>
    <x v="1"/>
    <x v="0"/>
    <x v="0"/>
    <x v="0"/>
    <m/>
    <m/>
    <s v="대리점"/>
    <x v="0"/>
    <x v="7"/>
    <x v="1"/>
    <x v="1458"/>
    <s v="HP2637048946"/>
    <x v="0"/>
    <n v="0"/>
  </r>
  <r>
    <x v="1"/>
    <x v="3"/>
    <x v="14"/>
    <x v="50"/>
    <x v="116"/>
    <x v="116"/>
    <x v="6"/>
    <s v="N"/>
    <s v="N"/>
    <x v="1"/>
    <x v="0"/>
    <x v="0"/>
    <x v="0"/>
    <m/>
    <m/>
    <s v="대리점"/>
    <x v="0"/>
    <x v="7"/>
    <x v="1"/>
    <x v="1458"/>
    <s v="HP2637048946"/>
    <x v="1"/>
    <n v="5455000"/>
  </r>
  <r>
    <x v="1"/>
    <x v="3"/>
    <x v="14"/>
    <x v="50"/>
    <x v="116"/>
    <x v="116"/>
    <x v="7"/>
    <s v="N"/>
    <s v="Y"/>
    <x v="1"/>
    <x v="0"/>
    <x v="0"/>
    <x v="0"/>
    <s v="성인"/>
    <s v="성인"/>
    <s v="대리점"/>
    <x v="0"/>
    <x v="2"/>
    <x v="0"/>
    <x v="1460"/>
    <s v="HP2637072310"/>
    <x v="0"/>
    <n v="2"/>
  </r>
  <r>
    <x v="1"/>
    <x v="3"/>
    <x v="14"/>
    <x v="50"/>
    <x v="116"/>
    <x v="116"/>
    <x v="7"/>
    <s v="N"/>
    <s v="Y"/>
    <x v="1"/>
    <x v="0"/>
    <x v="0"/>
    <x v="0"/>
    <s v="성인"/>
    <s v="성인"/>
    <s v="대리점"/>
    <x v="0"/>
    <x v="2"/>
    <x v="0"/>
    <x v="1460"/>
    <s v="HP2637072310"/>
    <x v="1"/>
    <n v="8630800"/>
  </r>
  <r>
    <x v="1"/>
    <x v="3"/>
    <x v="14"/>
    <x v="50"/>
    <x v="116"/>
    <x v="116"/>
    <x v="7"/>
    <s v="N"/>
    <s v="Y"/>
    <x v="1"/>
    <x v="0"/>
    <x v="0"/>
    <x v="0"/>
    <m/>
    <m/>
    <s v="대리점"/>
    <x v="0"/>
    <x v="7"/>
    <x v="1"/>
    <x v="1458"/>
    <s v="HP2637069284"/>
    <x v="0"/>
    <n v="0"/>
  </r>
  <r>
    <x v="1"/>
    <x v="3"/>
    <x v="14"/>
    <x v="50"/>
    <x v="116"/>
    <x v="116"/>
    <x v="7"/>
    <s v="N"/>
    <s v="Y"/>
    <x v="1"/>
    <x v="0"/>
    <x v="0"/>
    <x v="0"/>
    <m/>
    <m/>
    <s v="대리점"/>
    <x v="0"/>
    <x v="7"/>
    <x v="1"/>
    <x v="1458"/>
    <s v="HP2637069284"/>
    <x v="1"/>
    <n v="0"/>
  </r>
  <r>
    <x v="1"/>
    <x v="3"/>
    <x v="14"/>
    <x v="50"/>
    <x v="116"/>
    <x v="116"/>
    <x v="8"/>
    <s v="Y"/>
    <s v="N"/>
    <x v="1"/>
    <x v="0"/>
    <x v="0"/>
    <x v="0"/>
    <s v="성인"/>
    <s v="성인"/>
    <s v="대리점"/>
    <x v="0"/>
    <x v="2"/>
    <x v="0"/>
    <x v="1461"/>
    <s v="HP2637086576"/>
    <x v="0"/>
    <n v="2"/>
  </r>
  <r>
    <x v="1"/>
    <x v="3"/>
    <x v="14"/>
    <x v="50"/>
    <x v="116"/>
    <x v="116"/>
    <x v="8"/>
    <s v="Y"/>
    <s v="N"/>
    <x v="1"/>
    <x v="0"/>
    <x v="0"/>
    <x v="0"/>
    <s v="성인"/>
    <s v="성인"/>
    <s v="대리점"/>
    <x v="0"/>
    <x v="2"/>
    <x v="0"/>
    <x v="1461"/>
    <s v="HP2637086576"/>
    <x v="1"/>
    <n v="2210000"/>
  </r>
  <r>
    <x v="1"/>
    <x v="3"/>
    <x v="14"/>
    <x v="50"/>
    <x v="116"/>
    <x v="116"/>
    <x v="8"/>
    <s v="Y"/>
    <s v="N"/>
    <x v="1"/>
    <x v="0"/>
    <x v="0"/>
    <x v="0"/>
    <m/>
    <m/>
    <s v="범용/상용닷컴"/>
    <x v="1"/>
    <x v="2"/>
    <x v="1"/>
    <x v="1461"/>
    <s v="HP2637086510"/>
    <x v="0"/>
    <n v="0"/>
  </r>
  <r>
    <x v="1"/>
    <x v="3"/>
    <x v="14"/>
    <x v="50"/>
    <x v="116"/>
    <x v="116"/>
    <x v="8"/>
    <s v="Y"/>
    <s v="N"/>
    <x v="1"/>
    <x v="0"/>
    <x v="0"/>
    <x v="0"/>
    <m/>
    <m/>
    <s v="범용/상용닷컴"/>
    <x v="1"/>
    <x v="2"/>
    <x v="1"/>
    <x v="1461"/>
    <s v="HP2637086510"/>
    <x v="1"/>
    <n v="0"/>
  </r>
  <r>
    <x v="1"/>
    <x v="3"/>
    <x v="14"/>
    <x v="50"/>
    <x v="116"/>
    <x v="116"/>
    <x v="9"/>
    <s v="Y"/>
    <s v="N"/>
    <x v="0"/>
    <x v="0"/>
    <x v="0"/>
    <x v="0"/>
    <s v="성인"/>
    <s v="성인"/>
    <s v="대리점"/>
    <x v="0"/>
    <x v="17"/>
    <x v="0"/>
    <x v="1462"/>
    <s v="HP2637096698"/>
    <x v="0"/>
    <n v="1"/>
  </r>
  <r>
    <x v="1"/>
    <x v="3"/>
    <x v="14"/>
    <x v="50"/>
    <x v="116"/>
    <x v="116"/>
    <x v="9"/>
    <s v="Y"/>
    <s v="N"/>
    <x v="0"/>
    <x v="0"/>
    <x v="0"/>
    <x v="0"/>
    <s v="성인"/>
    <s v="성인"/>
    <s v="대리점"/>
    <x v="0"/>
    <x v="17"/>
    <x v="0"/>
    <x v="1462"/>
    <s v="HP2637096698"/>
    <x v="1"/>
    <n v="1187500"/>
  </r>
  <r>
    <x v="1"/>
    <x v="3"/>
    <x v="14"/>
    <x v="50"/>
    <x v="116"/>
    <x v="116"/>
    <x v="9"/>
    <s v="Y"/>
    <s v="N"/>
    <x v="0"/>
    <x v="0"/>
    <x v="0"/>
    <x v="1"/>
    <s v="아동"/>
    <s v="아동"/>
    <s v="대리점"/>
    <x v="0"/>
    <x v="17"/>
    <x v="0"/>
    <x v="1462"/>
    <s v="HP2637096698"/>
    <x v="0"/>
    <n v="1"/>
  </r>
  <r>
    <x v="1"/>
    <x v="3"/>
    <x v="14"/>
    <x v="50"/>
    <x v="116"/>
    <x v="116"/>
    <x v="9"/>
    <s v="Y"/>
    <s v="N"/>
    <x v="0"/>
    <x v="0"/>
    <x v="0"/>
    <x v="1"/>
    <s v="아동"/>
    <s v="아동"/>
    <s v="대리점"/>
    <x v="0"/>
    <x v="17"/>
    <x v="0"/>
    <x v="1462"/>
    <s v="HP2637096698"/>
    <x v="1"/>
    <n v="1187500"/>
  </r>
  <r>
    <x v="1"/>
    <x v="3"/>
    <x v="14"/>
    <x v="50"/>
    <x v="116"/>
    <x v="116"/>
    <x v="9"/>
    <s v="Y"/>
    <s v="N"/>
    <x v="1"/>
    <x v="0"/>
    <x v="0"/>
    <x v="0"/>
    <s v="성인"/>
    <s v="성인"/>
    <s v="대리점"/>
    <x v="0"/>
    <x v="3"/>
    <x v="0"/>
    <x v="1463"/>
    <s v="HP2637094778"/>
    <x v="0"/>
    <n v="1"/>
  </r>
  <r>
    <x v="1"/>
    <x v="3"/>
    <x v="14"/>
    <x v="50"/>
    <x v="116"/>
    <x v="116"/>
    <x v="9"/>
    <s v="Y"/>
    <s v="N"/>
    <x v="1"/>
    <x v="0"/>
    <x v="0"/>
    <x v="0"/>
    <s v="성인"/>
    <s v="성인"/>
    <s v="대리점"/>
    <x v="0"/>
    <x v="3"/>
    <x v="0"/>
    <x v="1463"/>
    <s v="HP2637094778"/>
    <x v="1"/>
    <n v="959200"/>
  </r>
  <r>
    <x v="1"/>
    <x v="3"/>
    <x v="14"/>
    <x v="50"/>
    <x v="116"/>
    <x v="116"/>
    <x v="9"/>
    <s v="Y"/>
    <s v="N"/>
    <x v="1"/>
    <x v="0"/>
    <x v="0"/>
    <x v="0"/>
    <m/>
    <m/>
    <s v="대리점"/>
    <x v="0"/>
    <x v="3"/>
    <x v="0"/>
    <x v="1463"/>
    <s v="HP2637094778"/>
    <x v="0"/>
    <n v="6"/>
  </r>
  <r>
    <x v="1"/>
    <x v="3"/>
    <x v="14"/>
    <x v="50"/>
    <x v="116"/>
    <x v="116"/>
    <x v="9"/>
    <s v="Y"/>
    <s v="N"/>
    <x v="1"/>
    <x v="0"/>
    <x v="0"/>
    <x v="0"/>
    <m/>
    <m/>
    <s v="대리점"/>
    <x v="0"/>
    <x v="3"/>
    <x v="0"/>
    <x v="1463"/>
    <s v="HP2637094778"/>
    <x v="1"/>
    <n v="5755200"/>
  </r>
  <r>
    <x v="1"/>
    <x v="3"/>
    <x v="14"/>
    <x v="50"/>
    <x v="116"/>
    <x v="116"/>
    <x v="10"/>
    <s v="N"/>
    <s v="N"/>
    <x v="0"/>
    <x v="0"/>
    <x v="0"/>
    <x v="0"/>
    <s v="성인"/>
    <s v="성인"/>
    <s v="대리점"/>
    <x v="0"/>
    <x v="2"/>
    <x v="0"/>
    <x v="1464"/>
    <s v="HP2637125270"/>
    <x v="0"/>
    <n v="1"/>
  </r>
  <r>
    <x v="1"/>
    <x v="3"/>
    <x v="14"/>
    <x v="50"/>
    <x v="116"/>
    <x v="116"/>
    <x v="10"/>
    <s v="N"/>
    <s v="N"/>
    <x v="0"/>
    <x v="0"/>
    <x v="0"/>
    <x v="0"/>
    <s v="성인"/>
    <s v="성인"/>
    <s v="대리점"/>
    <x v="0"/>
    <x v="2"/>
    <x v="0"/>
    <x v="1464"/>
    <s v="HP2637125270"/>
    <x v="1"/>
    <n v="107000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17"/>
    <x v="0"/>
    <x v="1465"/>
    <s v="HP2637125722"/>
    <x v="0"/>
    <n v="9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17"/>
    <x v="0"/>
    <x v="1465"/>
    <s v="HP2637125722"/>
    <x v="1"/>
    <n v="9863100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4"/>
    <s v="HP2637125270"/>
    <x v="0"/>
    <n v="3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4"/>
    <s v="HP2637125270"/>
    <x v="1"/>
    <n v="321000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6"/>
    <s v="HP2637104894"/>
    <x v="0"/>
    <n v="4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6"/>
    <s v="HP2637104894"/>
    <x v="1"/>
    <n v="4999600"/>
  </r>
  <r>
    <x v="1"/>
    <x v="3"/>
    <x v="14"/>
    <x v="50"/>
    <x v="116"/>
    <x v="116"/>
    <x v="10"/>
    <s v="N"/>
    <s v="N"/>
    <x v="1"/>
    <x v="0"/>
    <x v="0"/>
    <x v="0"/>
    <m/>
    <m/>
    <s v="닷컴"/>
    <x v="2"/>
    <x v="3"/>
    <x v="0"/>
    <x v="1467"/>
    <s v="HP2637124358"/>
    <x v="0"/>
    <n v="2"/>
  </r>
  <r>
    <x v="1"/>
    <x v="3"/>
    <x v="14"/>
    <x v="50"/>
    <x v="116"/>
    <x v="116"/>
    <x v="10"/>
    <s v="N"/>
    <s v="N"/>
    <x v="1"/>
    <x v="0"/>
    <x v="0"/>
    <x v="0"/>
    <m/>
    <m/>
    <s v="닷컴"/>
    <x v="2"/>
    <x v="3"/>
    <x v="0"/>
    <x v="1467"/>
    <s v="HP2637124358"/>
    <x v="1"/>
    <n v="1998000"/>
  </r>
  <r>
    <x v="1"/>
    <x v="3"/>
    <x v="14"/>
    <x v="50"/>
    <x v="117"/>
    <x v="117"/>
    <x v="0"/>
    <s v="N"/>
    <s v="N"/>
    <x v="0"/>
    <x v="0"/>
    <x v="0"/>
    <x v="0"/>
    <s v="성인"/>
    <s v="성인"/>
    <s v="닷컴"/>
    <x v="4"/>
    <x v="2"/>
    <x v="0"/>
    <x v="1468"/>
    <s v="HP2636925014"/>
    <x v="0"/>
    <n v="2"/>
  </r>
  <r>
    <x v="1"/>
    <x v="3"/>
    <x v="14"/>
    <x v="50"/>
    <x v="117"/>
    <x v="117"/>
    <x v="0"/>
    <s v="N"/>
    <s v="N"/>
    <x v="0"/>
    <x v="0"/>
    <x v="0"/>
    <x v="0"/>
    <s v="성인"/>
    <s v="성인"/>
    <s v="닷컴"/>
    <x v="4"/>
    <x v="2"/>
    <x v="0"/>
    <x v="1468"/>
    <s v="HP2636925014"/>
    <x v="1"/>
    <n v="455200"/>
  </r>
  <r>
    <x v="1"/>
    <x v="3"/>
    <x v="14"/>
    <x v="50"/>
    <x v="117"/>
    <x v="117"/>
    <x v="0"/>
    <s v="N"/>
    <s v="N"/>
    <x v="2"/>
    <x v="0"/>
    <x v="0"/>
    <x v="0"/>
    <s v="성인"/>
    <s v="성인"/>
    <s v="닷컴"/>
    <x v="4"/>
    <x v="24"/>
    <x v="0"/>
    <x v="1469"/>
    <s v="HP2636923812"/>
    <x v="0"/>
    <n v="2"/>
  </r>
  <r>
    <x v="1"/>
    <x v="3"/>
    <x v="14"/>
    <x v="50"/>
    <x v="117"/>
    <x v="117"/>
    <x v="0"/>
    <s v="N"/>
    <s v="N"/>
    <x v="2"/>
    <x v="0"/>
    <x v="0"/>
    <x v="0"/>
    <s v="성인"/>
    <s v="성인"/>
    <s v="닷컴"/>
    <x v="4"/>
    <x v="24"/>
    <x v="0"/>
    <x v="1469"/>
    <s v="HP2636923812"/>
    <x v="1"/>
    <n v="4098000"/>
  </r>
  <r>
    <x v="1"/>
    <x v="3"/>
    <x v="14"/>
    <x v="50"/>
    <x v="117"/>
    <x v="117"/>
    <x v="1"/>
    <s v="N"/>
    <s v="N"/>
    <x v="1"/>
    <x v="0"/>
    <x v="0"/>
    <x v="0"/>
    <s v="성인"/>
    <s v="성인"/>
    <s v="대리점"/>
    <x v="0"/>
    <x v="7"/>
    <x v="0"/>
    <x v="238"/>
    <s v="HP2636953600"/>
    <x v="0"/>
    <n v="2"/>
  </r>
  <r>
    <x v="1"/>
    <x v="3"/>
    <x v="14"/>
    <x v="50"/>
    <x v="117"/>
    <x v="117"/>
    <x v="1"/>
    <s v="N"/>
    <s v="N"/>
    <x v="1"/>
    <x v="0"/>
    <x v="0"/>
    <x v="0"/>
    <s v="성인"/>
    <s v="성인"/>
    <s v="대리점"/>
    <x v="0"/>
    <x v="7"/>
    <x v="0"/>
    <x v="238"/>
    <s v="HP2636953600"/>
    <x v="1"/>
    <n v="10410000"/>
  </r>
  <r>
    <x v="1"/>
    <x v="3"/>
    <x v="14"/>
    <x v="50"/>
    <x v="117"/>
    <x v="117"/>
    <x v="1"/>
    <s v="N"/>
    <s v="N"/>
    <x v="1"/>
    <x v="0"/>
    <x v="0"/>
    <x v="0"/>
    <m/>
    <m/>
    <s v="닷컴"/>
    <x v="5"/>
    <x v="2"/>
    <x v="1"/>
    <x v="1470"/>
    <s v="HP2636954972"/>
    <x v="0"/>
    <n v="0"/>
  </r>
  <r>
    <x v="1"/>
    <x v="3"/>
    <x v="14"/>
    <x v="50"/>
    <x v="117"/>
    <x v="117"/>
    <x v="1"/>
    <s v="N"/>
    <s v="N"/>
    <x v="1"/>
    <x v="0"/>
    <x v="0"/>
    <x v="0"/>
    <m/>
    <m/>
    <s v="닷컴"/>
    <x v="5"/>
    <x v="2"/>
    <x v="1"/>
    <x v="1470"/>
    <s v="HP2636954972"/>
    <x v="1"/>
    <n v="4407000"/>
  </r>
  <r>
    <x v="1"/>
    <x v="3"/>
    <x v="14"/>
    <x v="50"/>
    <x v="117"/>
    <x v="117"/>
    <x v="1"/>
    <s v="N"/>
    <s v="N"/>
    <x v="2"/>
    <x v="0"/>
    <x v="0"/>
    <x v="0"/>
    <s v="성인"/>
    <s v="성인"/>
    <s v="닷컴"/>
    <x v="5"/>
    <x v="24"/>
    <x v="0"/>
    <x v="1471"/>
    <s v="HP2636950700"/>
    <x v="0"/>
    <n v="2"/>
  </r>
  <r>
    <x v="1"/>
    <x v="3"/>
    <x v="14"/>
    <x v="50"/>
    <x v="117"/>
    <x v="117"/>
    <x v="1"/>
    <s v="N"/>
    <s v="N"/>
    <x v="2"/>
    <x v="0"/>
    <x v="0"/>
    <x v="0"/>
    <s v="성인"/>
    <s v="성인"/>
    <s v="닷컴"/>
    <x v="5"/>
    <x v="24"/>
    <x v="0"/>
    <x v="1471"/>
    <s v="HP2636950700"/>
    <x v="1"/>
    <n v="4098000"/>
  </r>
  <r>
    <x v="1"/>
    <x v="3"/>
    <x v="14"/>
    <x v="50"/>
    <x v="117"/>
    <x v="117"/>
    <x v="2"/>
    <s v="Y"/>
    <s v="Y"/>
    <x v="0"/>
    <x v="0"/>
    <x v="0"/>
    <x v="0"/>
    <s v="성인"/>
    <s v="성인"/>
    <s v="닷컴"/>
    <x v="5"/>
    <x v="2"/>
    <x v="0"/>
    <x v="1472"/>
    <s v="HP2636970384"/>
    <x v="0"/>
    <n v="1"/>
  </r>
  <r>
    <x v="1"/>
    <x v="3"/>
    <x v="14"/>
    <x v="50"/>
    <x v="117"/>
    <x v="117"/>
    <x v="2"/>
    <s v="Y"/>
    <s v="Y"/>
    <x v="0"/>
    <x v="0"/>
    <x v="0"/>
    <x v="0"/>
    <s v="성인"/>
    <s v="성인"/>
    <s v="닷컴"/>
    <x v="5"/>
    <x v="2"/>
    <x v="0"/>
    <x v="1472"/>
    <s v="HP2636970384"/>
    <x v="1"/>
    <n v="1327500"/>
  </r>
  <r>
    <x v="1"/>
    <x v="3"/>
    <x v="14"/>
    <x v="50"/>
    <x v="117"/>
    <x v="117"/>
    <x v="2"/>
    <s v="Y"/>
    <s v="Y"/>
    <x v="0"/>
    <x v="0"/>
    <x v="0"/>
    <x v="0"/>
    <s v="청소년"/>
    <s v="청소년"/>
    <s v="닷컴"/>
    <x v="5"/>
    <x v="2"/>
    <x v="0"/>
    <x v="1472"/>
    <s v="HP2636970384"/>
    <x v="0"/>
    <n v="1"/>
  </r>
  <r>
    <x v="1"/>
    <x v="3"/>
    <x v="14"/>
    <x v="50"/>
    <x v="117"/>
    <x v="117"/>
    <x v="2"/>
    <s v="Y"/>
    <s v="Y"/>
    <x v="0"/>
    <x v="0"/>
    <x v="0"/>
    <x v="0"/>
    <s v="청소년"/>
    <s v="청소년"/>
    <s v="닷컴"/>
    <x v="5"/>
    <x v="2"/>
    <x v="0"/>
    <x v="1472"/>
    <s v="HP2636970384"/>
    <x v="1"/>
    <n v="1327500"/>
  </r>
  <r>
    <x v="1"/>
    <x v="3"/>
    <x v="14"/>
    <x v="50"/>
    <x v="117"/>
    <x v="117"/>
    <x v="11"/>
    <s v="Y"/>
    <s v="N"/>
    <x v="0"/>
    <x v="0"/>
    <x v="0"/>
    <x v="0"/>
    <s v="성인"/>
    <s v="성인"/>
    <s v="대리점"/>
    <x v="0"/>
    <x v="2"/>
    <x v="0"/>
    <x v="480"/>
    <s v="HP2636972954"/>
    <x v="0"/>
    <n v="4"/>
  </r>
  <r>
    <x v="1"/>
    <x v="3"/>
    <x v="14"/>
    <x v="50"/>
    <x v="117"/>
    <x v="117"/>
    <x v="11"/>
    <s v="Y"/>
    <s v="N"/>
    <x v="0"/>
    <x v="0"/>
    <x v="0"/>
    <x v="0"/>
    <s v="성인"/>
    <s v="성인"/>
    <s v="대리점"/>
    <x v="0"/>
    <x v="2"/>
    <x v="0"/>
    <x v="480"/>
    <s v="HP2636972954"/>
    <x v="1"/>
    <n v="4799600"/>
  </r>
  <r>
    <x v="1"/>
    <x v="3"/>
    <x v="14"/>
    <x v="50"/>
    <x v="117"/>
    <x v="117"/>
    <x v="3"/>
    <s v="N"/>
    <s v="Y"/>
    <x v="0"/>
    <x v="0"/>
    <x v="0"/>
    <x v="0"/>
    <s v="성인"/>
    <s v="성인"/>
    <s v="닷컴"/>
    <x v="4"/>
    <x v="2"/>
    <x v="0"/>
    <x v="1473"/>
    <s v="HP2636986964"/>
    <x v="0"/>
    <n v="3"/>
  </r>
  <r>
    <x v="1"/>
    <x v="3"/>
    <x v="14"/>
    <x v="50"/>
    <x v="117"/>
    <x v="117"/>
    <x v="3"/>
    <s v="N"/>
    <s v="Y"/>
    <x v="0"/>
    <x v="0"/>
    <x v="0"/>
    <x v="0"/>
    <s v="성인"/>
    <s v="성인"/>
    <s v="닷컴"/>
    <x v="4"/>
    <x v="2"/>
    <x v="0"/>
    <x v="1473"/>
    <s v="HP2636986964"/>
    <x v="1"/>
    <n v="2991300"/>
  </r>
  <r>
    <x v="1"/>
    <x v="3"/>
    <x v="14"/>
    <x v="50"/>
    <x v="117"/>
    <x v="117"/>
    <x v="3"/>
    <s v="N"/>
    <s v="Y"/>
    <x v="0"/>
    <x v="0"/>
    <x v="0"/>
    <x v="0"/>
    <s v="성인"/>
    <s v="성인"/>
    <s v="대리점"/>
    <x v="0"/>
    <x v="2"/>
    <x v="0"/>
    <x v="1474"/>
    <s v="HP2636989650"/>
    <x v="0"/>
    <n v="4"/>
  </r>
  <r>
    <x v="1"/>
    <x v="3"/>
    <x v="14"/>
    <x v="50"/>
    <x v="117"/>
    <x v="117"/>
    <x v="3"/>
    <s v="N"/>
    <s v="Y"/>
    <x v="0"/>
    <x v="0"/>
    <x v="0"/>
    <x v="0"/>
    <s v="성인"/>
    <s v="성인"/>
    <s v="대리점"/>
    <x v="0"/>
    <x v="2"/>
    <x v="0"/>
    <x v="1474"/>
    <s v="HP2636989650"/>
    <x v="1"/>
    <n v="3719600"/>
  </r>
  <r>
    <x v="1"/>
    <x v="3"/>
    <x v="14"/>
    <x v="50"/>
    <x v="117"/>
    <x v="117"/>
    <x v="3"/>
    <s v="N"/>
    <s v="Y"/>
    <x v="0"/>
    <x v="0"/>
    <x v="0"/>
    <x v="0"/>
    <s v="청소년"/>
    <s v="청소년"/>
    <s v="닷컴"/>
    <x v="4"/>
    <x v="2"/>
    <x v="0"/>
    <x v="1473"/>
    <s v="HP2636986964"/>
    <x v="0"/>
    <n v="1"/>
  </r>
  <r>
    <x v="1"/>
    <x v="3"/>
    <x v="14"/>
    <x v="50"/>
    <x v="117"/>
    <x v="117"/>
    <x v="3"/>
    <s v="N"/>
    <s v="Y"/>
    <x v="0"/>
    <x v="0"/>
    <x v="0"/>
    <x v="0"/>
    <s v="청소년"/>
    <s v="청소년"/>
    <s v="닷컴"/>
    <x v="4"/>
    <x v="2"/>
    <x v="0"/>
    <x v="1473"/>
    <s v="HP2636986964"/>
    <x v="1"/>
    <n v="997100"/>
  </r>
  <r>
    <x v="1"/>
    <x v="3"/>
    <x v="14"/>
    <x v="50"/>
    <x v="117"/>
    <x v="117"/>
    <x v="4"/>
    <s v="N"/>
    <s v="N"/>
    <x v="0"/>
    <x v="0"/>
    <x v="0"/>
    <x v="0"/>
    <m/>
    <m/>
    <s v="닷컴"/>
    <x v="4"/>
    <x v="2"/>
    <x v="1"/>
    <x v="1475"/>
    <s v="HP2637009090"/>
    <x v="0"/>
    <n v="0"/>
  </r>
  <r>
    <x v="1"/>
    <x v="3"/>
    <x v="14"/>
    <x v="50"/>
    <x v="117"/>
    <x v="117"/>
    <x v="4"/>
    <s v="N"/>
    <s v="N"/>
    <x v="0"/>
    <x v="0"/>
    <x v="0"/>
    <x v="0"/>
    <m/>
    <m/>
    <s v="닷컴"/>
    <x v="4"/>
    <x v="2"/>
    <x v="1"/>
    <x v="1475"/>
    <s v="HP2637009090"/>
    <x v="1"/>
    <n v="2033700"/>
  </r>
  <r>
    <x v="1"/>
    <x v="3"/>
    <x v="14"/>
    <x v="50"/>
    <x v="117"/>
    <x v="117"/>
    <x v="5"/>
    <s v="N"/>
    <s v="N"/>
    <x v="1"/>
    <x v="0"/>
    <x v="0"/>
    <x v="0"/>
    <s v="성인"/>
    <s v="성인"/>
    <s v="대리점"/>
    <x v="0"/>
    <x v="7"/>
    <x v="0"/>
    <x v="1476"/>
    <s v="HP2637037590"/>
    <x v="0"/>
    <n v="2"/>
  </r>
  <r>
    <x v="1"/>
    <x v="3"/>
    <x v="14"/>
    <x v="50"/>
    <x v="117"/>
    <x v="117"/>
    <x v="5"/>
    <s v="N"/>
    <s v="N"/>
    <x v="1"/>
    <x v="0"/>
    <x v="0"/>
    <x v="0"/>
    <s v="성인"/>
    <s v="성인"/>
    <s v="대리점"/>
    <x v="0"/>
    <x v="7"/>
    <x v="0"/>
    <x v="1476"/>
    <s v="HP2637037590"/>
    <x v="1"/>
    <n v="11210000"/>
  </r>
  <r>
    <x v="1"/>
    <x v="3"/>
    <x v="14"/>
    <x v="50"/>
    <x v="117"/>
    <x v="117"/>
    <x v="5"/>
    <s v="N"/>
    <s v="N"/>
    <x v="2"/>
    <x v="0"/>
    <x v="0"/>
    <x v="0"/>
    <s v="성인"/>
    <s v="성인"/>
    <s v="닷컴"/>
    <x v="4"/>
    <x v="2"/>
    <x v="0"/>
    <x v="1477"/>
    <s v="HP2637040468"/>
    <x v="0"/>
    <n v="2"/>
  </r>
  <r>
    <x v="1"/>
    <x v="3"/>
    <x v="14"/>
    <x v="50"/>
    <x v="117"/>
    <x v="117"/>
    <x v="5"/>
    <s v="N"/>
    <s v="N"/>
    <x v="2"/>
    <x v="0"/>
    <x v="0"/>
    <x v="0"/>
    <s v="성인"/>
    <s v="성인"/>
    <s v="닷컴"/>
    <x v="4"/>
    <x v="2"/>
    <x v="0"/>
    <x v="1477"/>
    <s v="HP2637040468"/>
    <x v="1"/>
    <n v="4891600"/>
  </r>
  <r>
    <x v="1"/>
    <x v="3"/>
    <x v="14"/>
    <x v="50"/>
    <x v="117"/>
    <x v="117"/>
    <x v="5"/>
    <s v="N"/>
    <s v="N"/>
    <x v="2"/>
    <x v="0"/>
    <x v="0"/>
    <x v="0"/>
    <m/>
    <m/>
    <s v="닷컴"/>
    <x v="4"/>
    <x v="2"/>
    <x v="0"/>
    <x v="1477"/>
    <s v="HP2637040468"/>
    <x v="0"/>
    <n v="6"/>
  </r>
  <r>
    <x v="1"/>
    <x v="3"/>
    <x v="14"/>
    <x v="50"/>
    <x v="117"/>
    <x v="117"/>
    <x v="5"/>
    <s v="N"/>
    <s v="N"/>
    <x v="2"/>
    <x v="0"/>
    <x v="0"/>
    <x v="0"/>
    <m/>
    <m/>
    <s v="닷컴"/>
    <x v="4"/>
    <x v="2"/>
    <x v="0"/>
    <x v="1477"/>
    <s v="HP2637040468"/>
    <x v="1"/>
    <n v="14674800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8"/>
    <s v="HP2637058728"/>
    <x v="0"/>
    <n v="3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8"/>
    <s v="HP2637058728"/>
    <x v="1"/>
    <n v="2244000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9"/>
    <s v="HP2637047662"/>
    <x v="0"/>
    <n v="2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9"/>
    <s v="HP2637047662"/>
    <x v="1"/>
    <n v="2414200"/>
  </r>
  <r>
    <x v="1"/>
    <x v="3"/>
    <x v="14"/>
    <x v="50"/>
    <x v="117"/>
    <x v="117"/>
    <x v="6"/>
    <s v="N"/>
    <s v="N"/>
    <x v="0"/>
    <x v="0"/>
    <x v="0"/>
    <x v="0"/>
    <s v="아동"/>
    <s v="아동"/>
    <s v="닷컴"/>
    <x v="4"/>
    <x v="2"/>
    <x v="0"/>
    <x v="1479"/>
    <s v="HP2637047662"/>
    <x v="0"/>
    <n v="1"/>
  </r>
  <r>
    <x v="1"/>
    <x v="3"/>
    <x v="14"/>
    <x v="50"/>
    <x v="117"/>
    <x v="117"/>
    <x v="6"/>
    <s v="N"/>
    <s v="N"/>
    <x v="0"/>
    <x v="0"/>
    <x v="0"/>
    <x v="0"/>
    <s v="아동"/>
    <s v="아동"/>
    <s v="닷컴"/>
    <x v="4"/>
    <x v="2"/>
    <x v="0"/>
    <x v="1479"/>
    <s v="HP2637047662"/>
    <x v="1"/>
    <n v="1207100"/>
  </r>
  <r>
    <x v="1"/>
    <x v="3"/>
    <x v="14"/>
    <x v="50"/>
    <x v="117"/>
    <x v="117"/>
    <x v="6"/>
    <s v="N"/>
    <s v="N"/>
    <x v="0"/>
    <x v="0"/>
    <x v="0"/>
    <x v="0"/>
    <s v="청소년"/>
    <s v="청소년"/>
    <s v="닷컴"/>
    <x v="4"/>
    <x v="2"/>
    <x v="0"/>
    <x v="1479"/>
    <s v="HP2637047662"/>
    <x v="0"/>
    <n v="1"/>
  </r>
  <r>
    <x v="1"/>
    <x v="3"/>
    <x v="14"/>
    <x v="50"/>
    <x v="117"/>
    <x v="117"/>
    <x v="6"/>
    <s v="N"/>
    <s v="N"/>
    <x v="0"/>
    <x v="0"/>
    <x v="0"/>
    <x v="0"/>
    <s v="청소년"/>
    <s v="청소년"/>
    <s v="닷컴"/>
    <x v="4"/>
    <x v="2"/>
    <x v="0"/>
    <x v="1479"/>
    <s v="HP2637047662"/>
    <x v="1"/>
    <n v="1207100"/>
  </r>
  <r>
    <x v="1"/>
    <x v="3"/>
    <x v="14"/>
    <x v="50"/>
    <x v="117"/>
    <x v="117"/>
    <x v="6"/>
    <s v="N"/>
    <s v="N"/>
    <x v="1"/>
    <x v="0"/>
    <x v="0"/>
    <x v="0"/>
    <s v="성인"/>
    <s v="성인"/>
    <s v="대리점"/>
    <x v="0"/>
    <x v="10"/>
    <x v="0"/>
    <x v="1480"/>
    <s v="HP2637051664"/>
    <x v="0"/>
    <n v="10"/>
  </r>
  <r>
    <x v="1"/>
    <x v="3"/>
    <x v="14"/>
    <x v="50"/>
    <x v="117"/>
    <x v="117"/>
    <x v="6"/>
    <s v="N"/>
    <s v="N"/>
    <x v="1"/>
    <x v="0"/>
    <x v="0"/>
    <x v="0"/>
    <s v="성인"/>
    <s v="성인"/>
    <s v="대리점"/>
    <x v="0"/>
    <x v="10"/>
    <x v="0"/>
    <x v="1480"/>
    <s v="HP2637051664"/>
    <x v="1"/>
    <n v="6020000"/>
  </r>
  <r>
    <x v="1"/>
    <x v="3"/>
    <x v="14"/>
    <x v="50"/>
    <x v="117"/>
    <x v="117"/>
    <x v="7"/>
    <s v="N"/>
    <s v="Y"/>
    <x v="2"/>
    <x v="0"/>
    <x v="0"/>
    <x v="0"/>
    <s v="성인"/>
    <s v="성인"/>
    <s v="닷컴"/>
    <x v="5"/>
    <x v="2"/>
    <x v="0"/>
    <x v="1481"/>
    <s v="HP2637074278"/>
    <x v="0"/>
    <n v="2"/>
  </r>
  <r>
    <x v="1"/>
    <x v="3"/>
    <x v="14"/>
    <x v="50"/>
    <x v="117"/>
    <x v="117"/>
    <x v="7"/>
    <s v="N"/>
    <s v="Y"/>
    <x v="2"/>
    <x v="0"/>
    <x v="0"/>
    <x v="0"/>
    <s v="성인"/>
    <s v="성인"/>
    <s v="닷컴"/>
    <x v="5"/>
    <x v="2"/>
    <x v="0"/>
    <x v="1481"/>
    <s v="HP2637074278"/>
    <x v="1"/>
    <n v="2956000"/>
  </r>
  <r>
    <x v="1"/>
    <x v="3"/>
    <x v="14"/>
    <x v="50"/>
    <x v="117"/>
    <x v="117"/>
    <x v="8"/>
    <s v="Y"/>
    <s v="N"/>
    <x v="0"/>
    <x v="0"/>
    <x v="0"/>
    <x v="0"/>
    <s v="성인"/>
    <s v="성인"/>
    <s v="닷컴"/>
    <x v="4"/>
    <x v="2"/>
    <x v="0"/>
    <x v="1482"/>
    <s v="HP2637088240"/>
    <x v="0"/>
    <n v="4"/>
  </r>
  <r>
    <x v="1"/>
    <x v="3"/>
    <x v="14"/>
    <x v="50"/>
    <x v="117"/>
    <x v="117"/>
    <x v="8"/>
    <s v="Y"/>
    <s v="N"/>
    <x v="0"/>
    <x v="0"/>
    <x v="0"/>
    <x v="0"/>
    <s v="성인"/>
    <s v="성인"/>
    <s v="닷컴"/>
    <x v="4"/>
    <x v="2"/>
    <x v="0"/>
    <x v="1482"/>
    <s v="HP2637088240"/>
    <x v="1"/>
    <n v="1270400"/>
  </r>
  <r>
    <x v="1"/>
    <x v="3"/>
    <x v="14"/>
    <x v="50"/>
    <x v="117"/>
    <x v="117"/>
    <x v="9"/>
    <s v="Y"/>
    <s v="N"/>
    <x v="0"/>
    <x v="0"/>
    <x v="0"/>
    <x v="0"/>
    <m/>
    <m/>
    <s v="닷컴"/>
    <x v="5"/>
    <x v="16"/>
    <x v="0"/>
    <x v="1483"/>
    <s v="HP2637099222"/>
    <x v="0"/>
    <n v="2"/>
  </r>
  <r>
    <x v="1"/>
    <x v="3"/>
    <x v="14"/>
    <x v="50"/>
    <x v="117"/>
    <x v="117"/>
    <x v="9"/>
    <s v="Y"/>
    <s v="N"/>
    <x v="0"/>
    <x v="0"/>
    <x v="0"/>
    <x v="0"/>
    <m/>
    <m/>
    <s v="닷컴"/>
    <x v="5"/>
    <x v="16"/>
    <x v="0"/>
    <x v="1483"/>
    <s v="HP2637099222"/>
    <x v="1"/>
    <n v="2449800"/>
  </r>
  <r>
    <x v="1"/>
    <x v="3"/>
    <x v="14"/>
    <x v="50"/>
    <x v="117"/>
    <x v="117"/>
    <x v="10"/>
    <s v="N"/>
    <s v="N"/>
    <x v="0"/>
    <x v="0"/>
    <x v="0"/>
    <x v="0"/>
    <m/>
    <m/>
    <s v="대리점"/>
    <x v="0"/>
    <x v="2"/>
    <x v="0"/>
    <x v="1484"/>
    <s v="HP2637113446"/>
    <x v="0"/>
    <n v="3"/>
  </r>
  <r>
    <x v="1"/>
    <x v="3"/>
    <x v="14"/>
    <x v="50"/>
    <x v="117"/>
    <x v="117"/>
    <x v="10"/>
    <s v="N"/>
    <s v="N"/>
    <x v="0"/>
    <x v="0"/>
    <x v="0"/>
    <x v="0"/>
    <m/>
    <m/>
    <s v="대리점"/>
    <x v="0"/>
    <x v="2"/>
    <x v="0"/>
    <x v="1484"/>
    <s v="HP2637113446"/>
    <x v="1"/>
    <n v="4107600"/>
  </r>
  <r>
    <x v="1"/>
    <x v="3"/>
    <x v="14"/>
    <x v="50"/>
    <x v="117"/>
    <x v="117"/>
    <x v="10"/>
    <s v="N"/>
    <s v="N"/>
    <x v="0"/>
    <x v="0"/>
    <x v="0"/>
    <x v="1"/>
    <m/>
    <m/>
    <s v="대리점"/>
    <x v="0"/>
    <x v="2"/>
    <x v="0"/>
    <x v="1484"/>
    <s v="HP2637113446"/>
    <x v="0"/>
    <n v="2"/>
  </r>
  <r>
    <x v="1"/>
    <x v="3"/>
    <x v="14"/>
    <x v="50"/>
    <x v="117"/>
    <x v="117"/>
    <x v="10"/>
    <s v="N"/>
    <s v="N"/>
    <x v="0"/>
    <x v="0"/>
    <x v="0"/>
    <x v="1"/>
    <m/>
    <m/>
    <s v="대리점"/>
    <x v="0"/>
    <x v="2"/>
    <x v="0"/>
    <x v="1484"/>
    <s v="HP2637113446"/>
    <x v="1"/>
    <n v="2738400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5"/>
    <s v="HP2636957366"/>
    <x v="0"/>
    <n v="2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5"/>
    <s v="HP2636957366"/>
    <x v="1"/>
    <n v="1718000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6"/>
    <s v="HP2636949306"/>
    <x v="0"/>
    <n v="2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6"/>
    <s v="HP2636949306"/>
    <x v="1"/>
    <n v="2098000"/>
  </r>
  <r>
    <x v="1"/>
    <x v="3"/>
    <x v="14"/>
    <x v="50"/>
    <x v="118"/>
    <x v="118"/>
    <x v="1"/>
    <s v="N"/>
    <s v="N"/>
    <x v="0"/>
    <x v="0"/>
    <x v="0"/>
    <x v="0"/>
    <s v="청소년"/>
    <s v="청소년"/>
    <s v="대리점"/>
    <x v="0"/>
    <x v="2"/>
    <x v="0"/>
    <x v="1485"/>
    <s v="HP2636957366"/>
    <x v="0"/>
    <n v="1"/>
  </r>
  <r>
    <x v="1"/>
    <x v="3"/>
    <x v="14"/>
    <x v="50"/>
    <x v="118"/>
    <x v="118"/>
    <x v="1"/>
    <s v="N"/>
    <s v="N"/>
    <x v="0"/>
    <x v="0"/>
    <x v="0"/>
    <x v="0"/>
    <s v="청소년"/>
    <s v="청소년"/>
    <s v="대리점"/>
    <x v="0"/>
    <x v="2"/>
    <x v="0"/>
    <x v="1485"/>
    <s v="HP2636957366"/>
    <x v="1"/>
    <n v="859000"/>
  </r>
  <r>
    <x v="1"/>
    <x v="3"/>
    <x v="14"/>
    <x v="50"/>
    <x v="118"/>
    <x v="118"/>
    <x v="1"/>
    <s v="N"/>
    <s v="N"/>
    <x v="0"/>
    <x v="0"/>
    <x v="0"/>
    <x v="1"/>
    <s v="아동"/>
    <s v="아동"/>
    <s v="대리점"/>
    <x v="0"/>
    <x v="2"/>
    <x v="0"/>
    <x v="1485"/>
    <s v="HP2636957366"/>
    <x v="0"/>
    <n v="1"/>
  </r>
  <r>
    <x v="1"/>
    <x v="3"/>
    <x v="14"/>
    <x v="50"/>
    <x v="118"/>
    <x v="118"/>
    <x v="1"/>
    <s v="N"/>
    <s v="N"/>
    <x v="0"/>
    <x v="0"/>
    <x v="0"/>
    <x v="1"/>
    <s v="아동"/>
    <s v="아동"/>
    <s v="대리점"/>
    <x v="0"/>
    <x v="2"/>
    <x v="0"/>
    <x v="1485"/>
    <s v="HP2636957366"/>
    <x v="1"/>
    <n v="859000"/>
  </r>
  <r>
    <x v="1"/>
    <x v="3"/>
    <x v="14"/>
    <x v="50"/>
    <x v="118"/>
    <x v="118"/>
    <x v="5"/>
    <s v="N"/>
    <s v="N"/>
    <x v="0"/>
    <x v="0"/>
    <x v="0"/>
    <x v="0"/>
    <s v="성인"/>
    <s v="성인"/>
    <s v="대리점"/>
    <x v="0"/>
    <x v="2"/>
    <x v="0"/>
    <x v="1487"/>
    <s v="HP2637033410"/>
    <x v="0"/>
    <n v="2"/>
  </r>
  <r>
    <x v="1"/>
    <x v="3"/>
    <x v="14"/>
    <x v="50"/>
    <x v="118"/>
    <x v="118"/>
    <x v="5"/>
    <s v="N"/>
    <s v="N"/>
    <x v="0"/>
    <x v="0"/>
    <x v="0"/>
    <x v="0"/>
    <s v="성인"/>
    <s v="성인"/>
    <s v="대리점"/>
    <x v="0"/>
    <x v="2"/>
    <x v="0"/>
    <x v="1487"/>
    <s v="HP2637033410"/>
    <x v="1"/>
    <n v="2555000"/>
  </r>
  <r>
    <x v="1"/>
    <x v="3"/>
    <x v="14"/>
    <x v="50"/>
    <x v="118"/>
    <x v="118"/>
    <x v="5"/>
    <s v="N"/>
    <s v="N"/>
    <x v="2"/>
    <x v="0"/>
    <x v="0"/>
    <x v="0"/>
    <s v="성인"/>
    <s v="성인"/>
    <s v="대리점"/>
    <x v="0"/>
    <x v="24"/>
    <x v="0"/>
    <x v="1488"/>
    <s v="HP2637034304"/>
    <x v="0"/>
    <n v="4"/>
  </r>
  <r>
    <x v="1"/>
    <x v="3"/>
    <x v="14"/>
    <x v="50"/>
    <x v="118"/>
    <x v="118"/>
    <x v="5"/>
    <s v="N"/>
    <s v="N"/>
    <x v="2"/>
    <x v="0"/>
    <x v="0"/>
    <x v="0"/>
    <s v="성인"/>
    <s v="성인"/>
    <s v="대리점"/>
    <x v="0"/>
    <x v="24"/>
    <x v="0"/>
    <x v="1488"/>
    <s v="HP2637034304"/>
    <x v="1"/>
    <n v="6676000"/>
  </r>
  <r>
    <x v="1"/>
    <x v="3"/>
    <x v="14"/>
    <x v="50"/>
    <x v="118"/>
    <x v="118"/>
    <x v="5"/>
    <s v="N"/>
    <s v="N"/>
    <x v="2"/>
    <x v="0"/>
    <x v="0"/>
    <x v="0"/>
    <m/>
    <m/>
    <s v="대리점"/>
    <x v="0"/>
    <x v="24"/>
    <x v="0"/>
    <x v="1488"/>
    <s v="HP2637034304"/>
    <x v="0"/>
    <n v="3"/>
  </r>
  <r>
    <x v="1"/>
    <x v="3"/>
    <x v="14"/>
    <x v="50"/>
    <x v="118"/>
    <x v="118"/>
    <x v="5"/>
    <s v="N"/>
    <s v="N"/>
    <x v="2"/>
    <x v="0"/>
    <x v="0"/>
    <x v="0"/>
    <m/>
    <m/>
    <s v="대리점"/>
    <x v="0"/>
    <x v="24"/>
    <x v="0"/>
    <x v="1488"/>
    <s v="HP2637034304"/>
    <x v="1"/>
    <n v="5097000"/>
  </r>
  <r>
    <x v="1"/>
    <x v="3"/>
    <x v="14"/>
    <x v="50"/>
    <x v="118"/>
    <x v="118"/>
    <x v="8"/>
    <s v="Y"/>
    <s v="N"/>
    <x v="1"/>
    <x v="0"/>
    <x v="0"/>
    <x v="0"/>
    <s v="성인"/>
    <s v="성인"/>
    <s v="대리점"/>
    <x v="0"/>
    <x v="2"/>
    <x v="0"/>
    <x v="282"/>
    <s v="HP2637087780"/>
    <x v="0"/>
    <n v="2"/>
  </r>
  <r>
    <x v="1"/>
    <x v="3"/>
    <x v="14"/>
    <x v="50"/>
    <x v="118"/>
    <x v="118"/>
    <x v="8"/>
    <s v="Y"/>
    <s v="N"/>
    <x v="1"/>
    <x v="0"/>
    <x v="0"/>
    <x v="0"/>
    <s v="성인"/>
    <s v="성인"/>
    <s v="대리점"/>
    <x v="0"/>
    <x v="2"/>
    <x v="0"/>
    <x v="282"/>
    <s v="HP2637087780"/>
    <x v="1"/>
    <n v="2136000"/>
  </r>
  <r>
    <x v="1"/>
    <x v="3"/>
    <x v="14"/>
    <x v="50"/>
    <x v="118"/>
    <x v="118"/>
    <x v="10"/>
    <s v="N"/>
    <s v="N"/>
    <x v="0"/>
    <x v="0"/>
    <x v="0"/>
    <x v="0"/>
    <s v="성인"/>
    <s v="성인"/>
    <s v="대리점"/>
    <x v="0"/>
    <x v="2"/>
    <x v="0"/>
    <x v="1489"/>
    <s v="HP2637118216"/>
    <x v="0"/>
    <n v="1"/>
  </r>
  <r>
    <x v="1"/>
    <x v="3"/>
    <x v="14"/>
    <x v="50"/>
    <x v="118"/>
    <x v="118"/>
    <x v="10"/>
    <s v="N"/>
    <s v="N"/>
    <x v="0"/>
    <x v="0"/>
    <x v="0"/>
    <x v="0"/>
    <s v="성인"/>
    <s v="성인"/>
    <s v="대리점"/>
    <x v="0"/>
    <x v="2"/>
    <x v="0"/>
    <x v="1489"/>
    <s v="HP2637118216"/>
    <x v="1"/>
    <n v="1305800"/>
  </r>
  <r>
    <x v="1"/>
    <x v="3"/>
    <x v="14"/>
    <x v="50"/>
    <x v="118"/>
    <x v="118"/>
    <x v="10"/>
    <s v="N"/>
    <s v="N"/>
    <x v="0"/>
    <x v="0"/>
    <x v="0"/>
    <x v="0"/>
    <m/>
    <m/>
    <s v="대리점"/>
    <x v="0"/>
    <x v="2"/>
    <x v="0"/>
    <x v="1489"/>
    <s v="HP2637118216"/>
    <x v="0"/>
    <n v="7"/>
  </r>
  <r>
    <x v="1"/>
    <x v="3"/>
    <x v="14"/>
    <x v="50"/>
    <x v="118"/>
    <x v="118"/>
    <x v="10"/>
    <s v="N"/>
    <s v="N"/>
    <x v="0"/>
    <x v="0"/>
    <x v="0"/>
    <x v="0"/>
    <m/>
    <m/>
    <s v="대리점"/>
    <x v="0"/>
    <x v="2"/>
    <x v="0"/>
    <x v="1489"/>
    <s v="HP2637118216"/>
    <x v="1"/>
    <n v="9140600"/>
  </r>
  <r>
    <x v="1"/>
    <x v="3"/>
    <x v="14"/>
    <x v="50"/>
    <x v="119"/>
    <x v="119"/>
    <x v="0"/>
    <s v="N"/>
    <s v="N"/>
    <x v="0"/>
    <x v="0"/>
    <x v="0"/>
    <x v="0"/>
    <s v="성인"/>
    <s v="성인"/>
    <s v="닷컴"/>
    <x v="4"/>
    <x v="2"/>
    <x v="0"/>
    <x v="1490"/>
    <s v="HP2636938742"/>
    <x v="0"/>
    <n v="2"/>
  </r>
  <r>
    <x v="1"/>
    <x v="3"/>
    <x v="14"/>
    <x v="50"/>
    <x v="119"/>
    <x v="119"/>
    <x v="0"/>
    <s v="N"/>
    <s v="N"/>
    <x v="0"/>
    <x v="0"/>
    <x v="0"/>
    <x v="0"/>
    <s v="성인"/>
    <s v="성인"/>
    <s v="닷컴"/>
    <x v="4"/>
    <x v="2"/>
    <x v="0"/>
    <x v="1490"/>
    <s v="HP2636938742"/>
    <x v="1"/>
    <n v="2194200"/>
  </r>
  <r>
    <x v="1"/>
    <x v="3"/>
    <x v="14"/>
    <x v="50"/>
    <x v="119"/>
    <x v="119"/>
    <x v="0"/>
    <s v="N"/>
    <s v="N"/>
    <x v="0"/>
    <x v="0"/>
    <x v="0"/>
    <x v="1"/>
    <s v="아동"/>
    <s v="아동"/>
    <s v="닷컴"/>
    <x v="4"/>
    <x v="2"/>
    <x v="0"/>
    <x v="1490"/>
    <s v="HP2636938742"/>
    <x v="0"/>
    <n v="1"/>
  </r>
  <r>
    <x v="1"/>
    <x v="3"/>
    <x v="14"/>
    <x v="50"/>
    <x v="119"/>
    <x v="119"/>
    <x v="0"/>
    <s v="N"/>
    <s v="N"/>
    <x v="0"/>
    <x v="0"/>
    <x v="0"/>
    <x v="1"/>
    <s v="아동"/>
    <s v="아동"/>
    <s v="닷컴"/>
    <x v="4"/>
    <x v="2"/>
    <x v="0"/>
    <x v="1490"/>
    <s v="HP2636938742"/>
    <x v="1"/>
    <n v="1097100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23"/>
    <x v="0"/>
    <x v="690"/>
    <s v="HP2636934142"/>
    <x v="0"/>
    <n v="2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23"/>
    <x v="0"/>
    <x v="690"/>
    <s v="HP2636934142"/>
    <x v="1"/>
    <n v="2038000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4"/>
    <x v="0"/>
    <x v="1491"/>
    <s v="HP2636922034"/>
    <x v="0"/>
    <n v="7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4"/>
    <x v="0"/>
    <x v="1491"/>
    <s v="HP2636922034"/>
    <x v="1"/>
    <n v="10400600"/>
  </r>
  <r>
    <x v="1"/>
    <x v="3"/>
    <x v="14"/>
    <x v="50"/>
    <x v="119"/>
    <x v="119"/>
    <x v="0"/>
    <s v="N"/>
    <s v="N"/>
    <x v="1"/>
    <x v="0"/>
    <x v="0"/>
    <x v="0"/>
    <m/>
    <m/>
    <s v="대리점"/>
    <x v="0"/>
    <x v="4"/>
    <x v="0"/>
    <x v="1491"/>
    <s v="HP2636922034"/>
    <x v="0"/>
    <n v="1"/>
  </r>
  <r>
    <x v="1"/>
    <x v="3"/>
    <x v="14"/>
    <x v="50"/>
    <x v="119"/>
    <x v="119"/>
    <x v="0"/>
    <s v="N"/>
    <s v="N"/>
    <x v="1"/>
    <x v="0"/>
    <x v="0"/>
    <x v="0"/>
    <m/>
    <m/>
    <s v="대리점"/>
    <x v="0"/>
    <x v="4"/>
    <x v="0"/>
    <x v="1491"/>
    <s v="HP2636922034"/>
    <x v="1"/>
    <n v="1485800"/>
  </r>
  <r>
    <x v="1"/>
    <x v="3"/>
    <x v="14"/>
    <x v="50"/>
    <x v="119"/>
    <x v="119"/>
    <x v="2"/>
    <s v="Y"/>
    <s v="Y"/>
    <x v="0"/>
    <x v="0"/>
    <x v="0"/>
    <x v="0"/>
    <s v="성인"/>
    <s v="성인"/>
    <s v="닷컴"/>
    <x v="5"/>
    <x v="2"/>
    <x v="0"/>
    <x v="1492"/>
    <s v="HP2636966598"/>
    <x v="0"/>
    <n v="2"/>
  </r>
  <r>
    <x v="1"/>
    <x v="3"/>
    <x v="14"/>
    <x v="50"/>
    <x v="119"/>
    <x v="119"/>
    <x v="2"/>
    <s v="Y"/>
    <s v="Y"/>
    <x v="0"/>
    <x v="0"/>
    <x v="0"/>
    <x v="0"/>
    <s v="성인"/>
    <s v="성인"/>
    <s v="닷컴"/>
    <x v="5"/>
    <x v="2"/>
    <x v="0"/>
    <x v="1492"/>
    <s v="HP2636966598"/>
    <x v="1"/>
    <n v="279000"/>
  </r>
  <r>
    <x v="1"/>
    <x v="3"/>
    <x v="14"/>
    <x v="50"/>
    <x v="119"/>
    <x v="119"/>
    <x v="2"/>
    <s v="Y"/>
    <s v="Y"/>
    <x v="0"/>
    <x v="0"/>
    <x v="0"/>
    <x v="0"/>
    <s v="성인"/>
    <s v="성인"/>
    <s v="대리점"/>
    <x v="0"/>
    <x v="2"/>
    <x v="0"/>
    <x v="444"/>
    <s v="HP2636963516"/>
    <x v="0"/>
    <n v="2"/>
  </r>
  <r>
    <x v="1"/>
    <x v="3"/>
    <x v="14"/>
    <x v="50"/>
    <x v="119"/>
    <x v="119"/>
    <x v="2"/>
    <s v="Y"/>
    <s v="Y"/>
    <x v="0"/>
    <x v="0"/>
    <x v="0"/>
    <x v="0"/>
    <s v="성인"/>
    <s v="성인"/>
    <s v="대리점"/>
    <x v="0"/>
    <x v="2"/>
    <x v="0"/>
    <x v="444"/>
    <s v="HP2636963516"/>
    <x v="1"/>
    <n v="1278000"/>
  </r>
  <r>
    <x v="1"/>
    <x v="3"/>
    <x v="14"/>
    <x v="50"/>
    <x v="119"/>
    <x v="119"/>
    <x v="11"/>
    <s v="Y"/>
    <s v="N"/>
    <x v="0"/>
    <x v="0"/>
    <x v="0"/>
    <x v="0"/>
    <m/>
    <m/>
    <s v="닷컴"/>
    <x v="4"/>
    <x v="2"/>
    <x v="1"/>
    <x v="1493"/>
    <s v="HP2636975094"/>
    <x v="0"/>
    <n v="0"/>
  </r>
  <r>
    <x v="1"/>
    <x v="3"/>
    <x v="14"/>
    <x v="50"/>
    <x v="119"/>
    <x v="119"/>
    <x v="11"/>
    <s v="Y"/>
    <s v="N"/>
    <x v="0"/>
    <x v="0"/>
    <x v="0"/>
    <x v="0"/>
    <m/>
    <m/>
    <s v="닷컴"/>
    <x v="4"/>
    <x v="2"/>
    <x v="1"/>
    <x v="1493"/>
    <s v="HP2636975094"/>
    <x v="1"/>
    <n v="0"/>
  </r>
  <r>
    <x v="1"/>
    <x v="3"/>
    <x v="14"/>
    <x v="50"/>
    <x v="119"/>
    <x v="119"/>
    <x v="3"/>
    <s v="N"/>
    <s v="Y"/>
    <x v="0"/>
    <x v="0"/>
    <x v="0"/>
    <x v="0"/>
    <m/>
    <m/>
    <s v="닷컴"/>
    <x v="4"/>
    <x v="2"/>
    <x v="1"/>
    <x v="1494"/>
    <s v="HP2636989938"/>
    <x v="0"/>
    <n v="0"/>
  </r>
  <r>
    <x v="1"/>
    <x v="3"/>
    <x v="14"/>
    <x v="50"/>
    <x v="119"/>
    <x v="119"/>
    <x v="3"/>
    <s v="N"/>
    <s v="Y"/>
    <x v="0"/>
    <x v="0"/>
    <x v="0"/>
    <x v="0"/>
    <m/>
    <m/>
    <s v="닷컴"/>
    <x v="4"/>
    <x v="2"/>
    <x v="1"/>
    <x v="1494"/>
    <s v="HP2636989938"/>
    <x v="1"/>
    <n v="0"/>
  </r>
  <r>
    <x v="1"/>
    <x v="3"/>
    <x v="14"/>
    <x v="50"/>
    <x v="119"/>
    <x v="119"/>
    <x v="3"/>
    <s v="N"/>
    <s v="Y"/>
    <x v="1"/>
    <x v="0"/>
    <x v="0"/>
    <x v="0"/>
    <s v="성인"/>
    <s v="성인"/>
    <s v="대리점"/>
    <x v="0"/>
    <x v="3"/>
    <x v="0"/>
    <x v="1495"/>
    <s v="HP2636985984"/>
    <x v="0"/>
    <n v="2"/>
  </r>
  <r>
    <x v="1"/>
    <x v="3"/>
    <x v="14"/>
    <x v="50"/>
    <x v="119"/>
    <x v="119"/>
    <x v="3"/>
    <s v="N"/>
    <s v="Y"/>
    <x v="1"/>
    <x v="0"/>
    <x v="0"/>
    <x v="0"/>
    <s v="성인"/>
    <s v="성인"/>
    <s v="대리점"/>
    <x v="0"/>
    <x v="3"/>
    <x v="0"/>
    <x v="1495"/>
    <s v="HP2636985984"/>
    <x v="1"/>
    <n v="3329800"/>
  </r>
  <r>
    <x v="1"/>
    <x v="3"/>
    <x v="14"/>
    <x v="50"/>
    <x v="119"/>
    <x v="119"/>
    <x v="3"/>
    <s v="N"/>
    <s v="Y"/>
    <x v="1"/>
    <x v="0"/>
    <x v="0"/>
    <x v="0"/>
    <m/>
    <m/>
    <s v="대리점"/>
    <x v="0"/>
    <x v="15"/>
    <x v="1"/>
    <x v="1496"/>
    <s v="HP2636985472"/>
    <x v="0"/>
    <n v="0"/>
  </r>
  <r>
    <x v="1"/>
    <x v="3"/>
    <x v="14"/>
    <x v="50"/>
    <x v="119"/>
    <x v="119"/>
    <x v="3"/>
    <s v="N"/>
    <s v="Y"/>
    <x v="1"/>
    <x v="0"/>
    <x v="0"/>
    <x v="0"/>
    <m/>
    <m/>
    <s v="대리점"/>
    <x v="0"/>
    <x v="15"/>
    <x v="1"/>
    <x v="1496"/>
    <s v="HP2636985472"/>
    <x v="1"/>
    <n v="0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3"/>
    <x v="0"/>
    <x v="230"/>
    <s v="HP2637013170"/>
    <x v="0"/>
    <n v="4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3"/>
    <x v="0"/>
    <x v="230"/>
    <s v="HP2637013170"/>
    <x v="1"/>
    <n v="4164400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2"/>
    <x v="0"/>
    <x v="1497"/>
    <s v="HP2637005392"/>
    <x v="0"/>
    <n v="2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2"/>
    <x v="0"/>
    <x v="1497"/>
    <s v="HP2637005392"/>
    <x v="1"/>
    <n v="3858000"/>
  </r>
  <r>
    <x v="1"/>
    <x v="3"/>
    <x v="14"/>
    <x v="50"/>
    <x v="119"/>
    <x v="119"/>
    <x v="4"/>
    <s v="N"/>
    <s v="N"/>
    <x v="1"/>
    <x v="0"/>
    <x v="0"/>
    <x v="0"/>
    <m/>
    <m/>
    <s v="대리점"/>
    <x v="0"/>
    <x v="2"/>
    <x v="1"/>
    <x v="1498"/>
    <s v="HP2637009986"/>
    <x v="0"/>
    <n v="0"/>
  </r>
  <r>
    <x v="1"/>
    <x v="3"/>
    <x v="14"/>
    <x v="50"/>
    <x v="119"/>
    <x v="119"/>
    <x v="4"/>
    <s v="N"/>
    <s v="N"/>
    <x v="1"/>
    <x v="0"/>
    <x v="0"/>
    <x v="0"/>
    <m/>
    <m/>
    <s v="대리점"/>
    <x v="0"/>
    <x v="2"/>
    <x v="1"/>
    <x v="1498"/>
    <s v="HP2637009986"/>
    <x v="1"/>
    <n v="0"/>
  </r>
  <r>
    <x v="1"/>
    <x v="3"/>
    <x v="14"/>
    <x v="50"/>
    <x v="119"/>
    <x v="119"/>
    <x v="5"/>
    <s v="N"/>
    <s v="N"/>
    <x v="0"/>
    <x v="0"/>
    <x v="0"/>
    <x v="0"/>
    <s v="성인"/>
    <s v="성인"/>
    <s v="대리점"/>
    <x v="0"/>
    <x v="2"/>
    <x v="0"/>
    <x v="1499"/>
    <s v="HP2637032472"/>
    <x v="0"/>
    <n v="3"/>
  </r>
  <r>
    <x v="1"/>
    <x v="3"/>
    <x v="14"/>
    <x v="50"/>
    <x v="119"/>
    <x v="119"/>
    <x v="5"/>
    <s v="N"/>
    <s v="N"/>
    <x v="0"/>
    <x v="0"/>
    <x v="0"/>
    <x v="0"/>
    <s v="성인"/>
    <s v="성인"/>
    <s v="대리점"/>
    <x v="0"/>
    <x v="2"/>
    <x v="0"/>
    <x v="1499"/>
    <s v="HP2637032472"/>
    <x v="1"/>
    <n v="2835000"/>
  </r>
  <r>
    <x v="1"/>
    <x v="3"/>
    <x v="14"/>
    <x v="50"/>
    <x v="119"/>
    <x v="119"/>
    <x v="5"/>
    <s v="N"/>
    <s v="N"/>
    <x v="0"/>
    <x v="0"/>
    <x v="0"/>
    <x v="0"/>
    <m/>
    <m/>
    <s v="닷컴"/>
    <x v="5"/>
    <x v="2"/>
    <x v="0"/>
    <x v="1500"/>
    <s v="HP2637021998"/>
    <x v="0"/>
    <n v="2"/>
  </r>
  <r>
    <x v="1"/>
    <x v="3"/>
    <x v="14"/>
    <x v="50"/>
    <x v="119"/>
    <x v="119"/>
    <x v="5"/>
    <s v="N"/>
    <s v="N"/>
    <x v="0"/>
    <x v="0"/>
    <x v="0"/>
    <x v="0"/>
    <m/>
    <m/>
    <s v="닷컴"/>
    <x v="5"/>
    <x v="2"/>
    <x v="0"/>
    <x v="1500"/>
    <s v="HP2637021998"/>
    <x v="1"/>
    <n v="2455000"/>
  </r>
  <r>
    <x v="1"/>
    <x v="3"/>
    <x v="14"/>
    <x v="50"/>
    <x v="119"/>
    <x v="119"/>
    <x v="5"/>
    <s v="N"/>
    <s v="N"/>
    <x v="0"/>
    <x v="0"/>
    <x v="0"/>
    <x v="0"/>
    <m/>
    <m/>
    <s v="대리점"/>
    <x v="0"/>
    <x v="2"/>
    <x v="0"/>
    <x v="1501"/>
    <s v="HP2637031160"/>
    <x v="0"/>
    <n v="4"/>
  </r>
  <r>
    <x v="1"/>
    <x v="3"/>
    <x v="14"/>
    <x v="50"/>
    <x v="119"/>
    <x v="119"/>
    <x v="5"/>
    <s v="N"/>
    <s v="N"/>
    <x v="0"/>
    <x v="0"/>
    <x v="0"/>
    <x v="0"/>
    <m/>
    <m/>
    <s v="대리점"/>
    <x v="0"/>
    <x v="2"/>
    <x v="0"/>
    <x v="1501"/>
    <s v="HP2637031160"/>
    <x v="1"/>
    <n v="3612000"/>
  </r>
  <r>
    <x v="1"/>
    <x v="3"/>
    <x v="14"/>
    <x v="50"/>
    <x v="119"/>
    <x v="119"/>
    <x v="5"/>
    <s v="N"/>
    <s v="N"/>
    <x v="1"/>
    <x v="0"/>
    <x v="0"/>
    <x v="0"/>
    <s v="성인"/>
    <s v="성인"/>
    <s v="대리점"/>
    <x v="0"/>
    <x v="2"/>
    <x v="0"/>
    <x v="1502"/>
    <s v="HP2637032790"/>
    <x v="0"/>
    <n v="2"/>
  </r>
  <r>
    <x v="1"/>
    <x v="3"/>
    <x v="14"/>
    <x v="50"/>
    <x v="119"/>
    <x v="119"/>
    <x v="5"/>
    <s v="N"/>
    <s v="N"/>
    <x v="1"/>
    <x v="0"/>
    <x v="0"/>
    <x v="0"/>
    <s v="성인"/>
    <s v="성인"/>
    <s v="대리점"/>
    <x v="0"/>
    <x v="2"/>
    <x v="0"/>
    <x v="1502"/>
    <s v="HP2637032790"/>
    <x v="1"/>
    <n v="2140400"/>
  </r>
  <r>
    <x v="1"/>
    <x v="3"/>
    <x v="14"/>
    <x v="50"/>
    <x v="119"/>
    <x v="119"/>
    <x v="5"/>
    <s v="N"/>
    <s v="N"/>
    <x v="1"/>
    <x v="0"/>
    <x v="0"/>
    <x v="0"/>
    <s v="아동"/>
    <s v="아동"/>
    <s v="대리점"/>
    <x v="0"/>
    <x v="2"/>
    <x v="0"/>
    <x v="1502"/>
    <s v="HP2637032790"/>
    <x v="0"/>
    <n v="1"/>
  </r>
  <r>
    <x v="1"/>
    <x v="3"/>
    <x v="14"/>
    <x v="50"/>
    <x v="119"/>
    <x v="119"/>
    <x v="5"/>
    <s v="N"/>
    <s v="N"/>
    <x v="1"/>
    <x v="0"/>
    <x v="0"/>
    <x v="0"/>
    <s v="아동"/>
    <s v="아동"/>
    <s v="대리점"/>
    <x v="0"/>
    <x v="2"/>
    <x v="0"/>
    <x v="1502"/>
    <s v="HP2637032790"/>
    <x v="1"/>
    <n v="1070200"/>
  </r>
  <r>
    <x v="1"/>
    <x v="3"/>
    <x v="14"/>
    <x v="50"/>
    <x v="119"/>
    <x v="119"/>
    <x v="6"/>
    <s v="N"/>
    <s v="N"/>
    <x v="0"/>
    <x v="0"/>
    <x v="0"/>
    <x v="0"/>
    <s v="성인"/>
    <s v="성인"/>
    <s v="닷컴"/>
    <x v="4"/>
    <x v="2"/>
    <x v="0"/>
    <x v="1503"/>
    <s v="HP2637043734"/>
    <x v="0"/>
    <n v="1"/>
  </r>
  <r>
    <x v="1"/>
    <x v="3"/>
    <x v="14"/>
    <x v="50"/>
    <x v="119"/>
    <x v="119"/>
    <x v="6"/>
    <s v="N"/>
    <s v="N"/>
    <x v="0"/>
    <x v="0"/>
    <x v="0"/>
    <x v="0"/>
    <s v="성인"/>
    <s v="성인"/>
    <s v="닷컴"/>
    <x v="4"/>
    <x v="2"/>
    <x v="0"/>
    <x v="1503"/>
    <s v="HP2637043734"/>
    <x v="1"/>
    <n v="209500"/>
  </r>
  <r>
    <x v="1"/>
    <x v="3"/>
    <x v="14"/>
    <x v="50"/>
    <x v="119"/>
    <x v="119"/>
    <x v="6"/>
    <s v="N"/>
    <s v="N"/>
    <x v="1"/>
    <x v="0"/>
    <x v="0"/>
    <x v="0"/>
    <m/>
    <m/>
    <s v="대리점"/>
    <x v="0"/>
    <x v="0"/>
    <x v="1"/>
    <x v="1504"/>
    <s v="HP2637055538"/>
    <x v="0"/>
    <n v="0"/>
  </r>
  <r>
    <x v="1"/>
    <x v="3"/>
    <x v="14"/>
    <x v="50"/>
    <x v="119"/>
    <x v="119"/>
    <x v="6"/>
    <s v="N"/>
    <s v="N"/>
    <x v="1"/>
    <x v="0"/>
    <x v="0"/>
    <x v="0"/>
    <m/>
    <m/>
    <s v="대리점"/>
    <x v="0"/>
    <x v="0"/>
    <x v="1"/>
    <x v="1504"/>
    <s v="HP2637055538"/>
    <x v="1"/>
    <n v="0"/>
  </r>
  <r>
    <x v="1"/>
    <x v="3"/>
    <x v="14"/>
    <x v="50"/>
    <x v="119"/>
    <x v="119"/>
    <x v="8"/>
    <s v="Y"/>
    <s v="N"/>
    <x v="0"/>
    <x v="0"/>
    <x v="0"/>
    <x v="0"/>
    <s v="성인"/>
    <s v="성인"/>
    <s v="닷컴"/>
    <x v="4"/>
    <x v="2"/>
    <x v="0"/>
    <x v="1505"/>
    <s v="HP2637078786"/>
    <x v="0"/>
    <n v="2"/>
  </r>
  <r>
    <x v="1"/>
    <x v="3"/>
    <x v="14"/>
    <x v="50"/>
    <x v="119"/>
    <x v="119"/>
    <x v="8"/>
    <s v="Y"/>
    <s v="N"/>
    <x v="0"/>
    <x v="0"/>
    <x v="0"/>
    <x v="0"/>
    <s v="성인"/>
    <s v="성인"/>
    <s v="닷컴"/>
    <x v="4"/>
    <x v="2"/>
    <x v="0"/>
    <x v="1505"/>
    <s v="HP2637078786"/>
    <x v="1"/>
    <n v="1813400"/>
  </r>
  <r>
    <x v="1"/>
    <x v="3"/>
    <x v="14"/>
    <x v="50"/>
    <x v="119"/>
    <x v="119"/>
    <x v="8"/>
    <s v="Y"/>
    <s v="N"/>
    <x v="0"/>
    <x v="0"/>
    <x v="0"/>
    <x v="1"/>
    <s v="아동"/>
    <s v="아동"/>
    <s v="닷컴"/>
    <x v="4"/>
    <x v="2"/>
    <x v="0"/>
    <x v="1505"/>
    <s v="HP2637078786"/>
    <x v="0"/>
    <n v="1"/>
  </r>
  <r>
    <x v="1"/>
    <x v="3"/>
    <x v="14"/>
    <x v="50"/>
    <x v="119"/>
    <x v="119"/>
    <x v="8"/>
    <s v="Y"/>
    <s v="N"/>
    <x v="0"/>
    <x v="0"/>
    <x v="0"/>
    <x v="1"/>
    <s v="아동"/>
    <s v="아동"/>
    <s v="닷컴"/>
    <x v="4"/>
    <x v="2"/>
    <x v="0"/>
    <x v="1505"/>
    <s v="HP2637078786"/>
    <x v="1"/>
    <n v="906700"/>
  </r>
  <r>
    <x v="1"/>
    <x v="3"/>
    <x v="14"/>
    <x v="50"/>
    <x v="119"/>
    <x v="119"/>
    <x v="8"/>
    <s v="Y"/>
    <s v="N"/>
    <x v="1"/>
    <x v="0"/>
    <x v="0"/>
    <x v="0"/>
    <m/>
    <m/>
    <s v="대리점"/>
    <x v="0"/>
    <x v="2"/>
    <x v="0"/>
    <x v="1506"/>
    <s v="HP2637086732"/>
    <x v="0"/>
    <n v="12"/>
  </r>
  <r>
    <x v="1"/>
    <x v="3"/>
    <x v="14"/>
    <x v="50"/>
    <x v="119"/>
    <x v="119"/>
    <x v="8"/>
    <s v="Y"/>
    <s v="N"/>
    <x v="1"/>
    <x v="0"/>
    <x v="0"/>
    <x v="0"/>
    <m/>
    <m/>
    <s v="대리점"/>
    <x v="0"/>
    <x v="2"/>
    <x v="0"/>
    <x v="1506"/>
    <s v="HP2637086732"/>
    <x v="1"/>
    <n v="17616000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7"/>
    <s v="HP2637098718"/>
    <x v="0"/>
    <n v="4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7"/>
    <s v="HP2637098718"/>
    <x v="1"/>
    <n v="3190400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8"/>
    <s v="HP2637095894"/>
    <x v="0"/>
    <n v="3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8"/>
    <s v="HP2637095894"/>
    <x v="1"/>
    <n v="3077700"/>
  </r>
  <r>
    <x v="1"/>
    <x v="3"/>
    <x v="14"/>
    <x v="50"/>
    <x v="119"/>
    <x v="119"/>
    <x v="9"/>
    <s v="Y"/>
    <s v="N"/>
    <x v="0"/>
    <x v="0"/>
    <x v="0"/>
    <x v="1"/>
    <m/>
    <m/>
    <s v="닷컴"/>
    <x v="4"/>
    <x v="2"/>
    <x v="0"/>
    <x v="1508"/>
    <s v="HP2637095894"/>
    <x v="0"/>
    <n v="1"/>
  </r>
  <r>
    <x v="1"/>
    <x v="3"/>
    <x v="14"/>
    <x v="50"/>
    <x v="119"/>
    <x v="119"/>
    <x v="9"/>
    <s v="Y"/>
    <s v="N"/>
    <x v="0"/>
    <x v="0"/>
    <x v="0"/>
    <x v="1"/>
    <m/>
    <m/>
    <s v="닷컴"/>
    <x v="4"/>
    <x v="2"/>
    <x v="0"/>
    <x v="1508"/>
    <s v="HP2637095894"/>
    <x v="1"/>
    <n v="1025900"/>
  </r>
  <r>
    <x v="1"/>
    <x v="3"/>
    <x v="14"/>
    <x v="50"/>
    <x v="119"/>
    <x v="119"/>
    <x v="10"/>
    <s v="N"/>
    <s v="N"/>
    <x v="0"/>
    <x v="0"/>
    <x v="0"/>
    <x v="0"/>
    <m/>
    <m/>
    <s v="닷컴"/>
    <x v="4"/>
    <x v="2"/>
    <x v="0"/>
    <x v="1509"/>
    <s v="HP2637128430"/>
    <x v="0"/>
    <n v="2"/>
  </r>
  <r>
    <x v="1"/>
    <x v="3"/>
    <x v="14"/>
    <x v="50"/>
    <x v="119"/>
    <x v="119"/>
    <x v="10"/>
    <s v="N"/>
    <s v="N"/>
    <x v="0"/>
    <x v="0"/>
    <x v="0"/>
    <x v="0"/>
    <m/>
    <m/>
    <s v="닷컴"/>
    <x v="4"/>
    <x v="2"/>
    <x v="0"/>
    <x v="1509"/>
    <s v="HP2637128430"/>
    <x v="1"/>
    <n v="1858000"/>
  </r>
  <r>
    <x v="1"/>
    <x v="3"/>
    <x v="14"/>
    <x v="50"/>
    <x v="119"/>
    <x v="119"/>
    <x v="10"/>
    <s v="N"/>
    <s v="N"/>
    <x v="0"/>
    <x v="0"/>
    <x v="0"/>
    <x v="0"/>
    <m/>
    <m/>
    <s v="대리점"/>
    <x v="0"/>
    <x v="2"/>
    <x v="0"/>
    <x v="1501"/>
    <s v="HP2637031160"/>
    <x v="0"/>
    <n v="1"/>
  </r>
  <r>
    <x v="1"/>
    <x v="3"/>
    <x v="14"/>
    <x v="50"/>
    <x v="119"/>
    <x v="119"/>
    <x v="10"/>
    <s v="N"/>
    <s v="N"/>
    <x v="0"/>
    <x v="0"/>
    <x v="0"/>
    <x v="0"/>
    <m/>
    <m/>
    <s v="대리점"/>
    <x v="0"/>
    <x v="2"/>
    <x v="0"/>
    <x v="1501"/>
    <s v="HP2637031160"/>
    <x v="1"/>
    <n v="903000"/>
  </r>
  <r>
    <x v="1"/>
    <x v="3"/>
    <x v="14"/>
    <x v="50"/>
    <x v="119"/>
    <x v="119"/>
    <x v="10"/>
    <s v="N"/>
    <s v="N"/>
    <x v="1"/>
    <x v="0"/>
    <x v="0"/>
    <x v="0"/>
    <s v="성인"/>
    <s v="성인"/>
    <s v="대리점"/>
    <x v="0"/>
    <x v="2"/>
    <x v="0"/>
    <x v="1510"/>
    <s v="HP2637113812"/>
    <x v="0"/>
    <n v="4"/>
  </r>
  <r>
    <x v="1"/>
    <x v="3"/>
    <x v="14"/>
    <x v="50"/>
    <x v="119"/>
    <x v="119"/>
    <x v="10"/>
    <s v="N"/>
    <s v="N"/>
    <x v="1"/>
    <x v="0"/>
    <x v="0"/>
    <x v="0"/>
    <s v="성인"/>
    <s v="성인"/>
    <s v="대리점"/>
    <x v="0"/>
    <x v="2"/>
    <x v="0"/>
    <x v="1510"/>
    <s v="HP2637113812"/>
    <x v="1"/>
    <n v="4572000"/>
  </r>
  <r>
    <x v="1"/>
    <x v="3"/>
    <x v="14"/>
    <x v="50"/>
    <x v="119"/>
    <x v="119"/>
    <x v="10"/>
    <s v="N"/>
    <s v="N"/>
    <x v="1"/>
    <x v="2"/>
    <x v="0"/>
    <x v="0"/>
    <s v="성인"/>
    <s v="성인"/>
    <s v="대리점"/>
    <x v="0"/>
    <x v="23"/>
    <x v="0"/>
    <x v="1511"/>
    <s v="HQ2635318356"/>
    <x v="0"/>
    <n v="1"/>
  </r>
  <r>
    <x v="1"/>
    <x v="3"/>
    <x v="14"/>
    <x v="50"/>
    <x v="119"/>
    <x v="119"/>
    <x v="10"/>
    <s v="N"/>
    <s v="N"/>
    <x v="1"/>
    <x v="2"/>
    <x v="0"/>
    <x v="0"/>
    <s v="성인"/>
    <s v="성인"/>
    <s v="대리점"/>
    <x v="0"/>
    <x v="23"/>
    <x v="0"/>
    <x v="1511"/>
    <s v="HQ2635318356"/>
    <x v="1"/>
    <n v="0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5"/>
    <x v="0"/>
    <x v="43"/>
    <s v="HP2636955854"/>
    <x v="0"/>
    <n v="2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5"/>
    <x v="0"/>
    <x v="43"/>
    <s v="HP2636955854"/>
    <x v="1"/>
    <n v="2971600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6"/>
    <x v="0"/>
    <x v="1512"/>
    <s v="HP2636956770"/>
    <x v="0"/>
    <n v="4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6"/>
    <x v="0"/>
    <x v="1512"/>
    <s v="HP2636956770"/>
    <x v="1"/>
    <n v="4392000"/>
  </r>
  <r>
    <x v="1"/>
    <x v="3"/>
    <x v="14"/>
    <x v="51"/>
    <x v="120"/>
    <x v="120"/>
    <x v="1"/>
    <s v="N"/>
    <s v="N"/>
    <x v="0"/>
    <x v="0"/>
    <x v="0"/>
    <x v="0"/>
    <s v="청소년"/>
    <s v="청소년"/>
    <s v="대리점"/>
    <x v="0"/>
    <x v="16"/>
    <x v="0"/>
    <x v="1512"/>
    <s v="HP2636956770"/>
    <x v="0"/>
    <n v="1"/>
  </r>
  <r>
    <x v="1"/>
    <x v="3"/>
    <x v="14"/>
    <x v="51"/>
    <x v="120"/>
    <x v="120"/>
    <x v="1"/>
    <s v="N"/>
    <s v="N"/>
    <x v="0"/>
    <x v="0"/>
    <x v="0"/>
    <x v="0"/>
    <s v="청소년"/>
    <s v="청소년"/>
    <s v="대리점"/>
    <x v="0"/>
    <x v="16"/>
    <x v="0"/>
    <x v="1512"/>
    <s v="HP2636956770"/>
    <x v="1"/>
    <n v="1098000"/>
  </r>
  <r>
    <x v="1"/>
    <x v="3"/>
    <x v="14"/>
    <x v="51"/>
    <x v="120"/>
    <x v="120"/>
    <x v="1"/>
    <s v="N"/>
    <s v="N"/>
    <x v="0"/>
    <x v="0"/>
    <x v="0"/>
    <x v="0"/>
    <m/>
    <m/>
    <s v="닷컴"/>
    <x v="4"/>
    <x v="2"/>
    <x v="1"/>
    <x v="1513"/>
    <s v="HP2636941132"/>
    <x v="0"/>
    <n v="0"/>
  </r>
  <r>
    <x v="1"/>
    <x v="3"/>
    <x v="14"/>
    <x v="51"/>
    <x v="120"/>
    <x v="120"/>
    <x v="1"/>
    <s v="N"/>
    <s v="N"/>
    <x v="0"/>
    <x v="0"/>
    <x v="0"/>
    <x v="0"/>
    <m/>
    <m/>
    <s v="닷컴"/>
    <x v="4"/>
    <x v="2"/>
    <x v="1"/>
    <x v="1513"/>
    <s v="HP2636941132"/>
    <x v="1"/>
    <n v="974900"/>
  </r>
  <r>
    <x v="1"/>
    <x v="3"/>
    <x v="14"/>
    <x v="51"/>
    <x v="120"/>
    <x v="120"/>
    <x v="1"/>
    <s v="N"/>
    <s v="N"/>
    <x v="6"/>
    <x v="2"/>
    <x v="0"/>
    <x v="0"/>
    <m/>
    <m/>
    <s v="대리점"/>
    <x v="0"/>
    <x v="28"/>
    <x v="1"/>
    <x v="1514"/>
    <s v="HQ2636946024"/>
    <x v="0"/>
    <n v="0"/>
  </r>
  <r>
    <x v="1"/>
    <x v="3"/>
    <x v="14"/>
    <x v="51"/>
    <x v="120"/>
    <x v="120"/>
    <x v="1"/>
    <s v="N"/>
    <s v="N"/>
    <x v="6"/>
    <x v="2"/>
    <x v="0"/>
    <x v="0"/>
    <m/>
    <m/>
    <s v="대리점"/>
    <x v="0"/>
    <x v="28"/>
    <x v="1"/>
    <x v="1514"/>
    <s v="HQ2636946024"/>
    <x v="1"/>
    <n v="0"/>
  </r>
  <r>
    <x v="1"/>
    <x v="3"/>
    <x v="14"/>
    <x v="51"/>
    <x v="120"/>
    <x v="120"/>
    <x v="1"/>
    <s v="N"/>
    <s v="N"/>
    <x v="7"/>
    <x v="2"/>
    <x v="0"/>
    <x v="0"/>
    <s v="성인"/>
    <s v="성인"/>
    <s v="대리점"/>
    <x v="0"/>
    <x v="2"/>
    <x v="0"/>
    <x v="1515"/>
    <s v="HQ2636956246"/>
    <x v="0"/>
    <n v="2"/>
  </r>
  <r>
    <x v="1"/>
    <x v="3"/>
    <x v="14"/>
    <x v="51"/>
    <x v="120"/>
    <x v="120"/>
    <x v="1"/>
    <s v="N"/>
    <s v="N"/>
    <x v="7"/>
    <x v="2"/>
    <x v="0"/>
    <x v="0"/>
    <s v="성인"/>
    <s v="성인"/>
    <s v="대리점"/>
    <x v="0"/>
    <x v="2"/>
    <x v="0"/>
    <x v="1515"/>
    <s v="HQ2636956246"/>
    <x v="1"/>
    <n v="1300000"/>
  </r>
  <r>
    <x v="1"/>
    <x v="3"/>
    <x v="14"/>
    <x v="51"/>
    <x v="120"/>
    <x v="120"/>
    <x v="1"/>
    <s v="N"/>
    <s v="N"/>
    <x v="7"/>
    <x v="2"/>
    <x v="0"/>
    <x v="0"/>
    <m/>
    <m/>
    <s v="대리점"/>
    <x v="0"/>
    <x v="2"/>
    <x v="1"/>
    <x v="1515"/>
    <s v="HQ2636956242"/>
    <x v="0"/>
    <n v="0"/>
  </r>
  <r>
    <x v="1"/>
    <x v="3"/>
    <x v="14"/>
    <x v="51"/>
    <x v="120"/>
    <x v="120"/>
    <x v="1"/>
    <s v="N"/>
    <s v="N"/>
    <x v="7"/>
    <x v="2"/>
    <x v="0"/>
    <x v="0"/>
    <m/>
    <m/>
    <s v="대리점"/>
    <x v="0"/>
    <x v="2"/>
    <x v="1"/>
    <x v="1515"/>
    <s v="HQ2636956242"/>
    <x v="1"/>
    <n v="1300000"/>
  </r>
  <r>
    <x v="1"/>
    <x v="3"/>
    <x v="14"/>
    <x v="51"/>
    <x v="120"/>
    <x v="120"/>
    <x v="2"/>
    <s v="Y"/>
    <s v="Y"/>
    <x v="4"/>
    <x v="1"/>
    <x v="0"/>
    <x v="0"/>
    <s v="성인"/>
    <s v="성인"/>
    <s v="닷컴"/>
    <x v="4"/>
    <x v="12"/>
    <x v="0"/>
    <x v="1516"/>
    <s v="HB2636965916"/>
    <x v="0"/>
    <n v="2"/>
  </r>
  <r>
    <x v="1"/>
    <x v="3"/>
    <x v="14"/>
    <x v="51"/>
    <x v="120"/>
    <x v="120"/>
    <x v="2"/>
    <s v="Y"/>
    <s v="Y"/>
    <x v="4"/>
    <x v="1"/>
    <x v="0"/>
    <x v="0"/>
    <s v="성인"/>
    <s v="성인"/>
    <s v="닷컴"/>
    <x v="4"/>
    <x v="12"/>
    <x v="0"/>
    <x v="1516"/>
    <s v="HB2636965916"/>
    <x v="1"/>
    <n v="1211800"/>
  </r>
  <r>
    <x v="1"/>
    <x v="3"/>
    <x v="14"/>
    <x v="51"/>
    <x v="120"/>
    <x v="120"/>
    <x v="2"/>
    <s v="Y"/>
    <s v="Y"/>
    <x v="4"/>
    <x v="1"/>
    <x v="0"/>
    <x v="0"/>
    <s v="아동"/>
    <s v="아동"/>
    <s v="닷컴"/>
    <x v="4"/>
    <x v="12"/>
    <x v="0"/>
    <x v="1516"/>
    <s v="HB2636965916"/>
    <x v="0"/>
    <n v="1"/>
  </r>
  <r>
    <x v="1"/>
    <x v="3"/>
    <x v="14"/>
    <x v="51"/>
    <x v="120"/>
    <x v="120"/>
    <x v="2"/>
    <s v="Y"/>
    <s v="Y"/>
    <x v="4"/>
    <x v="1"/>
    <x v="0"/>
    <x v="0"/>
    <s v="아동"/>
    <s v="아동"/>
    <s v="닷컴"/>
    <x v="4"/>
    <x v="12"/>
    <x v="0"/>
    <x v="1516"/>
    <s v="HB2636965916"/>
    <x v="1"/>
    <n v="605900"/>
  </r>
  <r>
    <x v="1"/>
    <x v="3"/>
    <x v="14"/>
    <x v="51"/>
    <x v="120"/>
    <x v="120"/>
    <x v="2"/>
    <s v="Y"/>
    <s v="Y"/>
    <x v="4"/>
    <x v="1"/>
    <x v="0"/>
    <x v="1"/>
    <s v="아동"/>
    <s v="아동"/>
    <s v="닷컴"/>
    <x v="4"/>
    <x v="12"/>
    <x v="0"/>
    <x v="1516"/>
    <s v="HB2636965916"/>
    <x v="0"/>
    <n v="1"/>
  </r>
  <r>
    <x v="1"/>
    <x v="3"/>
    <x v="14"/>
    <x v="51"/>
    <x v="120"/>
    <x v="120"/>
    <x v="2"/>
    <s v="Y"/>
    <s v="Y"/>
    <x v="4"/>
    <x v="1"/>
    <x v="0"/>
    <x v="1"/>
    <s v="아동"/>
    <s v="아동"/>
    <s v="닷컴"/>
    <x v="4"/>
    <x v="12"/>
    <x v="0"/>
    <x v="1516"/>
    <s v="HB2636965916"/>
    <x v="1"/>
    <n v="605900"/>
  </r>
  <r>
    <x v="1"/>
    <x v="3"/>
    <x v="14"/>
    <x v="51"/>
    <x v="120"/>
    <x v="120"/>
    <x v="11"/>
    <s v="Y"/>
    <s v="N"/>
    <x v="0"/>
    <x v="0"/>
    <x v="0"/>
    <x v="0"/>
    <s v="성인"/>
    <s v="성인"/>
    <s v="닷컴"/>
    <x v="4"/>
    <x v="2"/>
    <x v="0"/>
    <x v="1517"/>
    <s v="HP2636975286"/>
    <x v="0"/>
    <n v="4"/>
  </r>
  <r>
    <x v="1"/>
    <x v="3"/>
    <x v="14"/>
    <x v="51"/>
    <x v="120"/>
    <x v="120"/>
    <x v="11"/>
    <s v="Y"/>
    <s v="N"/>
    <x v="0"/>
    <x v="0"/>
    <x v="0"/>
    <x v="0"/>
    <s v="성인"/>
    <s v="성인"/>
    <s v="닷컴"/>
    <x v="4"/>
    <x v="2"/>
    <x v="0"/>
    <x v="1517"/>
    <s v="HP2636975286"/>
    <x v="1"/>
    <n v="4756000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19"/>
    <x v="0"/>
    <x v="1518"/>
    <s v="HP2636975964"/>
    <x v="0"/>
    <n v="3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19"/>
    <x v="0"/>
    <x v="1518"/>
    <s v="HP2636975964"/>
    <x v="1"/>
    <n v="1250700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2"/>
    <x v="0"/>
    <x v="1519"/>
    <s v="HP2636975790"/>
    <x v="0"/>
    <n v="3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2"/>
    <x v="0"/>
    <x v="1519"/>
    <s v="HP2636975790"/>
    <x v="1"/>
    <n v="3206700"/>
  </r>
  <r>
    <x v="1"/>
    <x v="3"/>
    <x v="14"/>
    <x v="51"/>
    <x v="120"/>
    <x v="120"/>
    <x v="4"/>
    <s v="N"/>
    <s v="N"/>
    <x v="0"/>
    <x v="0"/>
    <x v="0"/>
    <x v="0"/>
    <s v="성인"/>
    <s v="성인"/>
    <s v="닷컴"/>
    <x v="5"/>
    <x v="6"/>
    <x v="0"/>
    <x v="1520"/>
    <s v="HP2637011752"/>
    <x v="0"/>
    <n v="2"/>
  </r>
  <r>
    <x v="1"/>
    <x v="3"/>
    <x v="14"/>
    <x v="51"/>
    <x v="120"/>
    <x v="120"/>
    <x v="4"/>
    <s v="N"/>
    <s v="N"/>
    <x v="0"/>
    <x v="0"/>
    <x v="0"/>
    <x v="0"/>
    <s v="성인"/>
    <s v="성인"/>
    <s v="닷컴"/>
    <x v="5"/>
    <x v="6"/>
    <x v="0"/>
    <x v="1520"/>
    <s v="HP2637011752"/>
    <x v="1"/>
    <n v="1899800"/>
  </r>
  <r>
    <x v="1"/>
    <x v="3"/>
    <x v="14"/>
    <x v="51"/>
    <x v="120"/>
    <x v="120"/>
    <x v="4"/>
    <s v="N"/>
    <s v="N"/>
    <x v="0"/>
    <x v="0"/>
    <x v="0"/>
    <x v="0"/>
    <m/>
    <m/>
    <s v="닷컴"/>
    <x v="4"/>
    <x v="2"/>
    <x v="1"/>
    <x v="1521"/>
    <s v="HP2636994278"/>
    <x v="0"/>
    <n v="0"/>
  </r>
  <r>
    <x v="1"/>
    <x v="3"/>
    <x v="14"/>
    <x v="51"/>
    <x v="120"/>
    <x v="120"/>
    <x v="4"/>
    <s v="N"/>
    <s v="N"/>
    <x v="0"/>
    <x v="0"/>
    <x v="0"/>
    <x v="0"/>
    <m/>
    <m/>
    <s v="닷컴"/>
    <x v="4"/>
    <x v="2"/>
    <x v="1"/>
    <x v="1521"/>
    <s v="HP2636994278"/>
    <x v="1"/>
    <n v="0"/>
  </r>
  <r>
    <x v="1"/>
    <x v="3"/>
    <x v="14"/>
    <x v="51"/>
    <x v="120"/>
    <x v="120"/>
    <x v="4"/>
    <s v="N"/>
    <s v="N"/>
    <x v="0"/>
    <x v="0"/>
    <x v="0"/>
    <x v="1"/>
    <m/>
    <m/>
    <s v="닷컴"/>
    <x v="4"/>
    <x v="2"/>
    <x v="1"/>
    <x v="1521"/>
    <s v="HP2636994278"/>
    <x v="0"/>
    <n v="0"/>
  </r>
  <r>
    <x v="1"/>
    <x v="3"/>
    <x v="14"/>
    <x v="51"/>
    <x v="120"/>
    <x v="120"/>
    <x v="4"/>
    <s v="N"/>
    <s v="N"/>
    <x v="0"/>
    <x v="0"/>
    <x v="0"/>
    <x v="1"/>
    <m/>
    <m/>
    <s v="닷컴"/>
    <x v="4"/>
    <x v="2"/>
    <x v="1"/>
    <x v="1521"/>
    <s v="HP2636994278"/>
    <x v="1"/>
    <n v="0"/>
  </r>
  <r>
    <x v="1"/>
    <x v="3"/>
    <x v="14"/>
    <x v="51"/>
    <x v="120"/>
    <x v="120"/>
    <x v="4"/>
    <s v="N"/>
    <s v="N"/>
    <x v="7"/>
    <x v="2"/>
    <x v="1"/>
    <x v="0"/>
    <s v="성인"/>
    <s v="성인"/>
    <s v="대리점"/>
    <x v="0"/>
    <x v="2"/>
    <x v="0"/>
    <x v="1522"/>
    <s v="HQ2637019634"/>
    <x v="0"/>
    <n v="2"/>
  </r>
  <r>
    <x v="1"/>
    <x v="3"/>
    <x v="14"/>
    <x v="51"/>
    <x v="120"/>
    <x v="120"/>
    <x v="4"/>
    <s v="N"/>
    <s v="N"/>
    <x v="7"/>
    <x v="2"/>
    <x v="1"/>
    <x v="0"/>
    <s v="성인"/>
    <s v="성인"/>
    <s v="대리점"/>
    <x v="0"/>
    <x v="2"/>
    <x v="0"/>
    <x v="1522"/>
    <s v="HQ2637019634"/>
    <x v="1"/>
    <n v="4880000"/>
  </r>
  <r>
    <x v="1"/>
    <x v="3"/>
    <x v="14"/>
    <x v="51"/>
    <x v="120"/>
    <x v="120"/>
    <x v="5"/>
    <s v="N"/>
    <s v="N"/>
    <x v="0"/>
    <x v="0"/>
    <x v="0"/>
    <x v="0"/>
    <s v="성인"/>
    <s v="성인"/>
    <s v="닷컴"/>
    <x v="4"/>
    <x v="19"/>
    <x v="0"/>
    <x v="1523"/>
    <s v="HP2637041746"/>
    <x v="0"/>
    <n v="2"/>
  </r>
  <r>
    <x v="1"/>
    <x v="3"/>
    <x v="14"/>
    <x v="51"/>
    <x v="120"/>
    <x v="120"/>
    <x v="5"/>
    <s v="N"/>
    <s v="N"/>
    <x v="0"/>
    <x v="0"/>
    <x v="0"/>
    <x v="0"/>
    <s v="성인"/>
    <s v="성인"/>
    <s v="닷컴"/>
    <x v="4"/>
    <x v="19"/>
    <x v="0"/>
    <x v="1523"/>
    <s v="HP2637041746"/>
    <x v="1"/>
    <n v="753800"/>
  </r>
  <r>
    <x v="1"/>
    <x v="3"/>
    <x v="14"/>
    <x v="51"/>
    <x v="120"/>
    <x v="120"/>
    <x v="5"/>
    <s v="N"/>
    <s v="N"/>
    <x v="0"/>
    <x v="0"/>
    <x v="0"/>
    <x v="0"/>
    <m/>
    <m/>
    <s v="대리점"/>
    <x v="0"/>
    <x v="2"/>
    <x v="1"/>
    <x v="1524"/>
    <s v="HP2637036340"/>
    <x v="0"/>
    <n v="0"/>
  </r>
  <r>
    <x v="1"/>
    <x v="3"/>
    <x v="14"/>
    <x v="51"/>
    <x v="120"/>
    <x v="120"/>
    <x v="5"/>
    <s v="N"/>
    <s v="N"/>
    <x v="0"/>
    <x v="0"/>
    <x v="0"/>
    <x v="0"/>
    <m/>
    <m/>
    <s v="대리점"/>
    <x v="0"/>
    <x v="2"/>
    <x v="1"/>
    <x v="1524"/>
    <s v="HP2637036340"/>
    <x v="1"/>
    <n v="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32"/>
    <x v="0"/>
    <x v="1525"/>
    <s v="HP2637025646"/>
    <x v="0"/>
    <n v="1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32"/>
    <x v="0"/>
    <x v="1525"/>
    <s v="HP2637025646"/>
    <x v="1"/>
    <n v="1324900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2"/>
    <x v="1"/>
    <x v="1526"/>
    <s v="HP2637029756"/>
    <x v="0"/>
    <n v="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2"/>
    <x v="1"/>
    <x v="1526"/>
    <s v="HP2637029756"/>
    <x v="1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7"/>
    <s v="HQ2637021110"/>
    <x v="0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7"/>
    <s v="HQ2637021110"/>
    <x v="1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8"/>
    <s v="HQ2637021124"/>
    <x v="0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8"/>
    <s v="HQ2637021124"/>
    <x v="1"/>
    <n v="0"/>
  </r>
  <r>
    <x v="1"/>
    <x v="3"/>
    <x v="14"/>
    <x v="51"/>
    <x v="120"/>
    <x v="120"/>
    <x v="6"/>
    <s v="N"/>
    <s v="N"/>
    <x v="4"/>
    <x v="0"/>
    <x v="0"/>
    <x v="0"/>
    <s v="성인"/>
    <s v="성인"/>
    <s v="대리점"/>
    <x v="0"/>
    <x v="11"/>
    <x v="0"/>
    <x v="1529"/>
    <s v="HP2637049498"/>
    <x v="0"/>
    <n v="2"/>
  </r>
  <r>
    <x v="1"/>
    <x v="3"/>
    <x v="14"/>
    <x v="51"/>
    <x v="120"/>
    <x v="120"/>
    <x v="6"/>
    <s v="N"/>
    <s v="N"/>
    <x v="4"/>
    <x v="0"/>
    <x v="0"/>
    <x v="0"/>
    <s v="성인"/>
    <s v="성인"/>
    <s v="대리점"/>
    <x v="0"/>
    <x v="11"/>
    <x v="0"/>
    <x v="1529"/>
    <s v="HP2637049498"/>
    <x v="1"/>
    <n v="948000"/>
  </r>
  <r>
    <x v="1"/>
    <x v="3"/>
    <x v="14"/>
    <x v="51"/>
    <x v="120"/>
    <x v="120"/>
    <x v="6"/>
    <s v="N"/>
    <s v="N"/>
    <x v="0"/>
    <x v="0"/>
    <x v="0"/>
    <x v="0"/>
    <s v="성인"/>
    <s v="성인"/>
    <s v="대리점"/>
    <x v="0"/>
    <x v="39"/>
    <x v="0"/>
    <x v="1530"/>
    <s v="HP2637058300"/>
    <x v="0"/>
    <n v="2"/>
  </r>
  <r>
    <x v="1"/>
    <x v="3"/>
    <x v="14"/>
    <x v="51"/>
    <x v="120"/>
    <x v="120"/>
    <x v="6"/>
    <s v="N"/>
    <s v="N"/>
    <x v="0"/>
    <x v="0"/>
    <x v="0"/>
    <x v="0"/>
    <s v="성인"/>
    <s v="성인"/>
    <s v="대리점"/>
    <x v="0"/>
    <x v="39"/>
    <x v="0"/>
    <x v="1530"/>
    <s v="HP2637058300"/>
    <x v="1"/>
    <n v="2455800"/>
  </r>
  <r>
    <x v="1"/>
    <x v="3"/>
    <x v="14"/>
    <x v="51"/>
    <x v="120"/>
    <x v="120"/>
    <x v="6"/>
    <s v="N"/>
    <s v="N"/>
    <x v="1"/>
    <x v="0"/>
    <x v="0"/>
    <x v="0"/>
    <s v="성인"/>
    <s v="성인"/>
    <s v="대리점"/>
    <x v="0"/>
    <x v="2"/>
    <x v="0"/>
    <x v="1531"/>
    <s v="HP2637051916"/>
    <x v="0"/>
    <n v="4"/>
  </r>
  <r>
    <x v="1"/>
    <x v="3"/>
    <x v="14"/>
    <x v="51"/>
    <x v="120"/>
    <x v="120"/>
    <x v="6"/>
    <s v="N"/>
    <s v="N"/>
    <x v="1"/>
    <x v="0"/>
    <x v="0"/>
    <x v="0"/>
    <s v="성인"/>
    <s v="성인"/>
    <s v="대리점"/>
    <x v="0"/>
    <x v="2"/>
    <x v="0"/>
    <x v="1531"/>
    <s v="HP2637051916"/>
    <x v="1"/>
    <n v="5996000"/>
  </r>
  <r>
    <x v="1"/>
    <x v="3"/>
    <x v="14"/>
    <x v="51"/>
    <x v="120"/>
    <x v="120"/>
    <x v="6"/>
    <s v="N"/>
    <s v="N"/>
    <x v="6"/>
    <x v="2"/>
    <x v="1"/>
    <x v="0"/>
    <m/>
    <m/>
    <s v="대리점"/>
    <x v="0"/>
    <x v="28"/>
    <x v="1"/>
    <x v="1527"/>
    <s v="HQ2637049856"/>
    <x v="0"/>
    <n v="0"/>
  </r>
  <r>
    <x v="1"/>
    <x v="3"/>
    <x v="14"/>
    <x v="51"/>
    <x v="120"/>
    <x v="120"/>
    <x v="6"/>
    <s v="N"/>
    <s v="N"/>
    <x v="6"/>
    <x v="2"/>
    <x v="1"/>
    <x v="0"/>
    <m/>
    <m/>
    <s v="대리점"/>
    <x v="0"/>
    <x v="28"/>
    <x v="1"/>
    <x v="1527"/>
    <s v="HQ2637049856"/>
    <x v="1"/>
    <n v="0"/>
  </r>
  <r>
    <x v="1"/>
    <x v="3"/>
    <x v="14"/>
    <x v="51"/>
    <x v="120"/>
    <x v="120"/>
    <x v="7"/>
    <s v="N"/>
    <s v="Y"/>
    <x v="1"/>
    <x v="0"/>
    <x v="0"/>
    <x v="0"/>
    <s v="성인"/>
    <s v="성인"/>
    <s v="대리점"/>
    <x v="0"/>
    <x v="2"/>
    <x v="0"/>
    <x v="1532"/>
    <s v="HP2637071750"/>
    <x v="0"/>
    <n v="1"/>
  </r>
  <r>
    <x v="1"/>
    <x v="3"/>
    <x v="14"/>
    <x v="51"/>
    <x v="120"/>
    <x v="120"/>
    <x v="7"/>
    <s v="N"/>
    <s v="Y"/>
    <x v="1"/>
    <x v="0"/>
    <x v="0"/>
    <x v="0"/>
    <s v="성인"/>
    <s v="성인"/>
    <s v="대리점"/>
    <x v="0"/>
    <x v="2"/>
    <x v="0"/>
    <x v="1532"/>
    <s v="HP2637071750"/>
    <x v="1"/>
    <n v="1939900"/>
  </r>
  <r>
    <x v="1"/>
    <x v="3"/>
    <x v="14"/>
    <x v="51"/>
    <x v="120"/>
    <x v="120"/>
    <x v="7"/>
    <s v="N"/>
    <s v="Y"/>
    <x v="1"/>
    <x v="0"/>
    <x v="0"/>
    <x v="0"/>
    <m/>
    <m/>
    <s v="대리점"/>
    <x v="0"/>
    <x v="2"/>
    <x v="0"/>
    <x v="1532"/>
    <s v="HP2637071750"/>
    <x v="0"/>
    <n v="6"/>
  </r>
  <r>
    <x v="1"/>
    <x v="3"/>
    <x v="14"/>
    <x v="51"/>
    <x v="120"/>
    <x v="120"/>
    <x v="7"/>
    <s v="N"/>
    <s v="Y"/>
    <x v="1"/>
    <x v="0"/>
    <x v="0"/>
    <x v="0"/>
    <m/>
    <m/>
    <s v="대리점"/>
    <x v="0"/>
    <x v="2"/>
    <x v="0"/>
    <x v="1532"/>
    <s v="HP2637071750"/>
    <x v="1"/>
    <n v="11639400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5"/>
    <x v="2"/>
    <x v="0"/>
    <x v="1533"/>
    <s v="HP2637077640"/>
    <x v="0"/>
    <n v="2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5"/>
    <x v="2"/>
    <x v="0"/>
    <x v="1533"/>
    <s v="HP2637077640"/>
    <x v="1"/>
    <n v="319000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4"/>
    <x v="2"/>
    <x v="0"/>
    <x v="1534"/>
    <s v="HP2637089602"/>
    <x v="0"/>
    <n v="4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4"/>
    <x v="2"/>
    <x v="0"/>
    <x v="1534"/>
    <s v="HP2637089602"/>
    <x v="1"/>
    <n v="3599600"/>
  </r>
  <r>
    <x v="1"/>
    <x v="3"/>
    <x v="14"/>
    <x v="51"/>
    <x v="120"/>
    <x v="120"/>
    <x v="8"/>
    <s v="Y"/>
    <s v="N"/>
    <x v="0"/>
    <x v="0"/>
    <x v="0"/>
    <x v="0"/>
    <s v="아동"/>
    <s v="아동"/>
    <s v="닷컴"/>
    <x v="5"/>
    <x v="2"/>
    <x v="0"/>
    <x v="1533"/>
    <s v="HP2637077640"/>
    <x v="0"/>
    <n v="1"/>
  </r>
  <r>
    <x v="1"/>
    <x v="3"/>
    <x v="14"/>
    <x v="51"/>
    <x v="120"/>
    <x v="120"/>
    <x v="8"/>
    <s v="Y"/>
    <s v="N"/>
    <x v="0"/>
    <x v="0"/>
    <x v="0"/>
    <x v="0"/>
    <s v="아동"/>
    <s v="아동"/>
    <s v="닷컴"/>
    <x v="5"/>
    <x v="2"/>
    <x v="0"/>
    <x v="1533"/>
    <s v="HP2637077640"/>
    <x v="1"/>
    <n v="159500"/>
  </r>
  <r>
    <x v="1"/>
    <x v="3"/>
    <x v="14"/>
    <x v="51"/>
    <x v="120"/>
    <x v="120"/>
    <x v="9"/>
    <s v="Y"/>
    <s v="N"/>
    <x v="0"/>
    <x v="0"/>
    <x v="0"/>
    <x v="0"/>
    <s v="성인"/>
    <s v="성인"/>
    <s v="대리점"/>
    <x v="0"/>
    <x v="2"/>
    <x v="0"/>
    <x v="1535"/>
    <s v="HP2637096230"/>
    <x v="0"/>
    <n v="2"/>
  </r>
  <r>
    <x v="1"/>
    <x v="3"/>
    <x v="14"/>
    <x v="51"/>
    <x v="120"/>
    <x v="120"/>
    <x v="9"/>
    <s v="Y"/>
    <s v="N"/>
    <x v="0"/>
    <x v="0"/>
    <x v="0"/>
    <x v="0"/>
    <s v="성인"/>
    <s v="성인"/>
    <s v="대리점"/>
    <x v="0"/>
    <x v="2"/>
    <x v="0"/>
    <x v="1535"/>
    <s v="HP2637096230"/>
    <x v="1"/>
    <n v="7450400"/>
  </r>
  <r>
    <x v="1"/>
    <x v="3"/>
    <x v="14"/>
    <x v="51"/>
    <x v="120"/>
    <x v="120"/>
    <x v="9"/>
    <s v="Y"/>
    <s v="N"/>
    <x v="0"/>
    <x v="0"/>
    <x v="0"/>
    <x v="0"/>
    <m/>
    <m/>
    <s v="대리점"/>
    <x v="0"/>
    <x v="19"/>
    <x v="0"/>
    <x v="1536"/>
    <s v="HP2637096418"/>
    <x v="0"/>
    <n v="3"/>
  </r>
  <r>
    <x v="1"/>
    <x v="3"/>
    <x v="14"/>
    <x v="51"/>
    <x v="120"/>
    <x v="120"/>
    <x v="9"/>
    <s v="Y"/>
    <s v="N"/>
    <x v="0"/>
    <x v="0"/>
    <x v="0"/>
    <x v="0"/>
    <m/>
    <m/>
    <s v="대리점"/>
    <x v="0"/>
    <x v="19"/>
    <x v="0"/>
    <x v="1536"/>
    <s v="HP2637096418"/>
    <x v="1"/>
    <n v="1677000"/>
  </r>
  <r>
    <x v="1"/>
    <x v="3"/>
    <x v="14"/>
    <x v="51"/>
    <x v="120"/>
    <x v="120"/>
    <x v="10"/>
    <s v="N"/>
    <s v="N"/>
    <x v="4"/>
    <x v="2"/>
    <x v="0"/>
    <x v="0"/>
    <m/>
    <m/>
    <s v="대리점"/>
    <x v="0"/>
    <x v="2"/>
    <x v="0"/>
    <x v="1537"/>
    <s v="HQ2636642952"/>
    <x v="0"/>
    <n v="5"/>
  </r>
  <r>
    <x v="1"/>
    <x v="3"/>
    <x v="14"/>
    <x v="51"/>
    <x v="120"/>
    <x v="120"/>
    <x v="10"/>
    <s v="N"/>
    <s v="N"/>
    <x v="4"/>
    <x v="2"/>
    <x v="0"/>
    <x v="0"/>
    <m/>
    <m/>
    <s v="대리점"/>
    <x v="0"/>
    <x v="2"/>
    <x v="0"/>
    <x v="1537"/>
    <s v="HQ2636642952"/>
    <x v="1"/>
    <n v="0"/>
  </r>
  <r>
    <x v="1"/>
    <x v="3"/>
    <x v="14"/>
    <x v="51"/>
    <x v="120"/>
    <x v="120"/>
    <x v="10"/>
    <s v="N"/>
    <s v="N"/>
    <x v="1"/>
    <x v="0"/>
    <x v="0"/>
    <x v="0"/>
    <m/>
    <m/>
    <s v="닷컴"/>
    <x v="4"/>
    <x v="2"/>
    <x v="1"/>
    <x v="1538"/>
    <s v="HP2637104646"/>
    <x v="0"/>
    <n v="0"/>
  </r>
  <r>
    <x v="1"/>
    <x v="3"/>
    <x v="14"/>
    <x v="51"/>
    <x v="120"/>
    <x v="120"/>
    <x v="10"/>
    <s v="N"/>
    <s v="N"/>
    <x v="1"/>
    <x v="0"/>
    <x v="0"/>
    <x v="0"/>
    <m/>
    <m/>
    <s v="닷컴"/>
    <x v="4"/>
    <x v="2"/>
    <x v="1"/>
    <x v="1538"/>
    <s v="HP2637104646"/>
    <x v="1"/>
    <n v="0"/>
  </r>
  <r>
    <x v="1"/>
    <x v="3"/>
    <x v="14"/>
    <x v="51"/>
    <x v="120"/>
    <x v="120"/>
    <x v="10"/>
    <s v="N"/>
    <s v="N"/>
    <x v="1"/>
    <x v="0"/>
    <x v="0"/>
    <x v="0"/>
    <m/>
    <m/>
    <s v="대리점"/>
    <x v="0"/>
    <x v="2"/>
    <x v="0"/>
    <x v="1539"/>
    <s v="HP2637119834"/>
    <x v="0"/>
    <n v="4"/>
  </r>
  <r>
    <x v="1"/>
    <x v="3"/>
    <x v="14"/>
    <x v="51"/>
    <x v="120"/>
    <x v="120"/>
    <x v="10"/>
    <s v="N"/>
    <s v="N"/>
    <x v="1"/>
    <x v="0"/>
    <x v="0"/>
    <x v="0"/>
    <m/>
    <m/>
    <s v="대리점"/>
    <x v="0"/>
    <x v="2"/>
    <x v="0"/>
    <x v="1539"/>
    <s v="HP2637119834"/>
    <x v="1"/>
    <n v="4632400"/>
  </r>
  <r>
    <x v="1"/>
    <x v="3"/>
    <x v="14"/>
    <x v="51"/>
    <x v="121"/>
    <x v="121"/>
    <x v="0"/>
    <s v="N"/>
    <s v="N"/>
    <x v="0"/>
    <x v="0"/>
    <x v="0"/>
    <x v="0"/>
    <s v="성인"/>
    <s v="성인"/>
    <s v="대리점"/>
    <x v="0"/>
    <x v="2"/>
    <x v="0"/>
    <x v="1540"/>
    <s v="HP2636922592"/>
    <x v="0"/>
    <n v="2"/>
  </r>
  <r>
    <x v="1"/>
    <x v="3"/>
    <x v="14"/>
    <x v="51"/>
    <x v="121"/>
    <x v="121"/>
    <x v="0"/>
    <s v="N"/>
    <s v="N"/>
    <x v="0"/>
    <x v="0"/>
    <x v="0"/>
    <x v="0"/>
    <s v="성인"/>
    <s v="성인"/>
    <s v="대리점"/>
    <x v="0"/>
    <x v="2"/>
    <x v="0"/>
    <x v="1540"/>
    <s v="HP2636922592"/>
    <x v="1"/>
    <n v="2711600"/>
  </r>
  <r>
    <x v="1"/>
    <x v="3"/>
    <x v="14"/>
    <x v="51"/>
    <x v="121"/>
    <x v="121"/>
    <x v="0"/>
    <s v="N"/>
    <s v="N"/>
    <x v="1"/>
    <x v="0"/>
    <x v="0"/>
    <x v="0"/>
    <s v="성인"/>
    <s v="성인"/>
    <s v="대리점"/>
    <x v="0"/>
    <x v="15"/>
    <x v="0"/>
    <x v="1541"/>
    <s v="HP2636924934"/>
    <x v="0"/>
    <n v="2"/>
  </r>
  <r>
    <x v="1"/>
    <x v="3"/>
    <x v="14"/>
    <x v="51"/>
    <x v="121"/>
    <x v="121"/>
    <x v="0"/>
    <s v="N"/>
    <s v="N"/>
    <x v="1"/>
    <x v="0"/>
    <x v="0"/>
    <x v="0"/>
    <s v="성인"/>
    <s v="성인"/>
    <s v="대리점"/>
    <x v="0"/>
    <x v="15"/>
    <x v="0"/>
    <x v="1541"/>
    <s v="HP2636924934"/>
    <x v="1"/>
    <n v="5598000"/>
  </r>
  <r>
    <x v="1"/>
    <x v="3"/>
    <x v="14"/>
    <x v="51"/>
    <x v="121"/>
    <x v="121"/>
    <x v="0"/>
    <s v="N"/>
    <s v="N"/>
    <x v="8"/>
    <x v="6"/>
    <x v="0"/>
    <x v="0"/>
    <s v="성인"/>
    <s v="성인"/>
    <s v="닷컴"/>
    <x v="2"/>
    <x v="42"/>
    <x v="0"/>
    <x v="1542"/>
    <s v="HX2636927994"/>
    <x v="0"/>
    <n v="2"/>
  </r>
  <r>
    <x v="1"/>
    <x v="3"/>
    <x v="14"/>
    <x v="51"/>
    <x v="121"/>
    <x v="121"/>
    <x v="0"/>
    <s v="N"/>
    <s v="N"/>
    <x v="8"/>
    <x v="6"/>
    <x v="0"/>
    <x v="0"/>
    <s v="성인"/>
    <s v="성인"/>
    <s v="닷컴"/>
    <x v="2"/>
    <x v="42"/>
    <x v="0"/>
    <x v="1542"/>
    <s v="HX2636927994"/>
    <x v="1"/>
    <n v="1998000"/>
  </r>
  <r>
    <x v="1"/>
    <x v="3"/>
    <x v="14"/>
    <x v="51"/>
    <x v="121"/>
    <x v="121"/>
    <x v="0"/>
    <s v="N"/>
    <s v="N"/>
    <x v="8"/>
    <x v="6"/>
    <x v="0"/>
    <x v="1"/>
    <s v="아동"/>
    <s v="아동"/>
    <s v="닷컴"/>
    <x v="2"/>
    <x v="42"/>
    <x v="0"/>
    <x v="1542"/>
    <s v="HX2636927994"/>
    <x v="0"/>
    <n v="2"/>
  </r>
  <r>
    <x v="1"/>
    <x v="3"/>
    <x v="14"/>
    <x v="51"/>
    <x v="121"/>
    <x v="121"/>
    <x v="0"/>
    <s v="N"/>
    <s v="N"/>
    <x v="8"/>
    <x v="6"/>
    <x v="0"/>
    <x v="1"/>
    <s v="아동"/>
    <s v="아동"/>
    <s v="닷컴"/>
    <x v="2"/>
    <x v="42"/>
    <x v="0"/>
    <x v="1542"/>
    <s v="HX2636927994"/>
    <x v="1"/>
    <n v="999000"/>
  </r>
  <r>
    <x v="1"/>
    <x v="3"/>
    <x v="14"/>
    <x v="51"/>
    <x v="121"/>
    <x v="121"/>
    <x v="1"/>
    <s v="N"/>
    <s v="N"/>
    <x v="0"/>
    <x v="0"/>
    <x v="0"/>
    <x v="0"/>
    <s v="성인"/>
    <s v="성인"/>
    <s v="대리점"/>
    <x v="0"/>
    <x v="2"/>
    <x v="0"/>
    <x v="1543"/>
    <s v="HP2636949668"/>
    <x v="0"/>
    <n v="7"/>
  </r>
  <r>
    <x v="1"/>
    <x v="3"/>
    <x v="14"/>
    <x v="51"/>
    <x v="121"/>
    <x v="121"/>
    <x v="1"/>
    <s v="N"/>
    <s v="N"/>
    <x v="0"/>
    <x v="0"/>
    <x v="0"/>
    <x v="0"/>
    <s v="성인"/>
    <s v="성인"/>
    <s v="대리점"/>
    <x v="0"/>
    <x v="2"/>
    <x v="0"/>
    <x v="1543"/>
    <s v="HP2636949668"/>
    <x v="1"/>
    <n v="741230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4"/>
    <x v="0"/>
    <n v="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4"/>
    <x v="1"/>
    <n v="855120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8"/>
    <x v="0"/>
    <n v="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8"/>
    <x v="1"/>
    <n v="0"/>
  </r>
  <r>
    <x v="1"/>
    <x v="3"/>
    <x v="14"/>
    <x v="51"/>
    <x v="121"/>
    <x v="121"/>
    <x v="1"/>
    <s v="N"/>
    <s v="N"/>
    <x v="1"/>
    <x v="0"/>
    <x v="0"/>
    <x v="0"/>
    <s v="성인"/>
    <s v="성인"/>
    <s v="대리점"/>
    <x v="0"/>
    <x v="2"/>
    <x v="0"/>
    <x v="1544"/>
    <s v="HP2636953222"/>
    <x v="0"/>
    <n v="2"/>
  </r>
  <r>
    <x v="1"/>
    <x v="3"/>
    <x v="14"/>
    <x v="51"/>
    <x v="121"/>
    <x v="121"/>
    <x v="1"/>
    <s v="N"/>
    <s v="N"/>
    <x v="1"/>
    <x v="0"/>
    <x v="0"/>
    <x v="0"/>
    <s v="성인"/>
    <s v="성인"/>
    <s v="대리점"/>
    <x v="0"/>
    <x v="2"/>
    <x v="0"/>
    <x v="1544"/>
    <s v="HP2636953222"/>
    <x v="1"/>
    <n v="2726000"/>
  </r>
  <r>
    <x v="1"/>
    <x v="3"/>
    <x v="14"/>
    <x v="51"/>
    <x v="121"/>
    <x v="121"/>
    <x v="11"/>
    <s v="Y"/>
    <s v="N"/>
    <x v="5"/>
    <x v="3"/>
    <x v="0"/>
    <x v="0"/>
    <s v="성인"/>
    <s v="성인"/>
    <s v="대리점"/>
    <x v="0"/>
    <x v="18"/>
    <x v="0"/>
    <x v="1545"/>
    <s v="HG2636974110"/>
    <x v="0"/>
    <n v="5"/>
  </r>
  <r>
    <x v="1"/>
    <x v="3"/>
    <x v="14"/>
    <x v="51"/>
    <x v="121"/>
    <x v="121"/>
    <x v="11"/>
    <s v="Y"/>
    <s v="N"/>
    <x v="5"/>
    <x v="3"/>
    <x v="0"/>
    <x v="0"/>
    <s v="성인"/>
    <s v="성인"/>
    <s v="대리점"/>
    <x v="0"/>
    <x v="18"/>
    <x v="0"/>
    <x v="1545"/>
    <s v="HG2636974110"/>
    <x v="1"/>
    <n v="8549500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0"/>
    <x v="1545"/>
    <s v="HG2636974110"/>
    <x v="0"/>
    <n v="1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0"/>
    <x v="1545"/>
    <s v="HG2636974110"/>
    <x v="1"/>
    <n v="1709900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1"/>
    <x v="1545"/>
    <s v="HG2636974110"/>
    <x v="0"/>
    <n v="0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1"/>
    <x v="1545"/>
    <s v="HG2636974110"/>
    <x v="1"/>
    <n v="3419800"/>
  </r>
  <r>
    <x v="1"/>
    <x v="3"/>
    <x v="14"/>
    <x v="51"/>
    <x v="121"/>
    <x v="121"/>
    <x v="3"/>
    <s v="N"/>
    <s v="Y"/>
    <x v="4"/>
    <x v="1"/>
    <x v="0"/>
    <x v="0"/>
    <s v="성인"/>
    <s v="성인"/>
    <s v="대리점"/>
    <x v="0"/>
    <x v="12"/>
    <x v="0"/>
    <x v="1546"/>
    <s v="HB2636987958"/>
    <x v="0"/>
    <n v="2"/>
  </r>
  <r>
    <x v="1"/>
    <x v="3"/>
    <x v="14"/>
    <x v="51"/>
    <x v="121"/>
    <x v="121"/>
    <x v="3"/>
    <s v="N"/>
    <s v="Y"/>
    <x v="4"/>
    <x v="1"/>
    <x v="0"/>
    <x v="0"/>
    <s v="성인"/>
    <s v="성인"/>
    <s v="대리점"/>
    <x v="0"/>
    <x v="12"/>
    <x v="0"/>
    <x v="1546"/>
    <s v="HB2636987958"/>
    <x v="1"/>
    <n v="1546000"/>
  </r>
  <r>
    <x v="1"/>
    <x v="3"/>
    <x v="14"/>
    <x v="51"/>
    <x v="121"/>
    <x v="121"/>
    <x v="3"/>
    <s v="N"/>
    <s v="Y"/>
    <x v="4"/>
    <x v="1"/>
    <x v="0"/>
    <x v="2"/>
    <s v="기타"/>
    <s v="기타"/>
    <s v="대리점"/>
    <x v="0"/>
    <x v="12"/>
    <x v="0"/>
    <x v="1546"/>
    <s v="HB2636987958"/>
    <x v="0"/>
    <n v="1"/>
  </r>
  <r>
    <x v="1"/>
    <x v="3"/>
    <x v="14"/>
    <x v="51"/>
    <x v="121"/>
    <x v="121"/>
    <x v="3"/>
    <s v="N"/>
    <s v="Y"/>
    <x v="4"/>
    <x v="1"/>
    <x v="0"/>
    <x v="2"/>
    <s v="기타"/>
    <s v="기타"/>
    <s v="대리점"/>
    <x v="0"/>
    <x v="12"/>
    <x v="0"/>
    <x v="1546"/>
    <s v="HB2636987958"/>
    <x v="1"/>
    <n v="80300"/>
  </r>
  <r>
    <x v="1"/>
    <x v="3"/>
    <x v="14"/>
    <x v="51"/>
    <x v="121"/>
    <x v="121"/>
    <x v="3"/>
    <s v="N"/>
    <s v="Y"/>
    <x v="1"/>
    <x v="0"/>
    <x v="0"/>
    <x v="0"/>
    <s v="성인"/>
    <s v="성인"/>
    <s v="대리점"/>
    <x v="0"/>
    <x v="2"/>
    <x v="0"/>
    <x v="1547"/>
    <s v="HP2636986714"/>
    <x v="0"/>
    <n v="2"/>
  </r>
  <r>
    <x v="1"/>
    <x v="3"/>
    <x v="14"/>
    <x v="51"/>
    <x v="121"/>
    <x v="121"/>
    <x v="3"/>
    <s v="N"/>
    <s v="Y"/>
    <x v="1"/>
    <x v="0"/>
    <x v="0"/>
    <x v="0"/>
    <s v="성인"/>
    <s v="성인"/>
    <s v="대리점"/>
    <x v="0"/>
    <x v="2"/>
    <x v="0"/>
    <x v="1547"/>
    <s v="HP2636986714"/>
    <x v="1"/>
    <n v="3358000"/>
  </r>
  <r>
    <x v="1"/>
    <x v="3"/>
    <x v="14"/>
    <x v="51"/>
    <x v="121"/>
    <x v="121"/>
    <x v="4"/>
    <s v="N"/>
    <s v="N"/>
    <x v="1"/>
    <x v="0"/>
    <x v="0"/>
    <x v="0"/>
    <s v="성인"/>
    <s v="성인"/>
    <s v="대리점"/>
    <x v="0"/>
    <x v="2"/>
    <x v="0"/>
    <x v="1548"/>
    <s v="HP2637007804"/>
    <x v="0"/>
    <n v="2"/>
  </r>
  <r>
    <x v="1"/>
    <x v="3"/>
    <x v="14"/>
    <x v="51"/>
    <x v="121"/>
    <x v="121"/>
    <x v="4"/>
    <s v="N"/>
    <s v="N"/>
    <x v="1"/>
    <x v="0"/>
    <x v="0"/>
    <x v="0"/>
    <s v="성인"/>
    <s v="성인"/>
    <s v="대리점"/>
    <x v="0"/>
    <x v="2"/>
    <x v="0"/>
    <x v="1548"/>
    <s v="HP2637007804"/>
    <x v="1"/>
    <n v="2474800"/>
  </r>
  <r>
    <x v="1"/>
    <x v="3"/>
    <x v="14"/>
    <x v="51"/>
    <x v="121"/>
    <x v="121"/>
    <x v="4"/>
    <s v="N"/>
    <s v="N"/>
    <x v="8"/>
    <x v="6"/>
    <x v="0"/>
    <x v="0"/>
    <s v="성인"/>
    <s v="성인"/>
    <s v="대리점"/>
    <x v="0"/>
    <x v="34"/>
    <x v="0"/>
    <x v="1549"/>
    <s v="HX2637001596"/>
    <x v="0"/>
    <n v="2"/>
  </r>
  <r>
    <x v="1"/>
    <x v="3"/>
    <x v="14"/>
    <x v="51"/>
    <x v="121"/>
    <x v="121"/>
    <x v="4"/>
    <s v="N"/>
    <s v="N"/>
    <x v="8"/>
    <x v="6"/>
    <x v="0"/>
    <x v="0"/>
    <s v="성인"/>
    <s v="성인"/>
    <s v="대리점"/>
    <x v="0"/>
    <x v="34"/>
    <x v="0"/>
    <x v="1549"/>
    <s v="HX2637001596"/>
    <x v="1"/>
    <n v="218000"/>
  </r>
  <r>
    <x v="1"/>
    <x v="3"/>
    <x v="14"/>
    <x v="51"/>
    <x v="121"/>
    <x v="121"/>
    <x v="5"/>
    <s v="N"/>
    <s v="N"/>
    <x v="0"/>
    <x v="0"/>
    <x v="0"/>
    <x v="0"/>
    <s v="성인"/>
    <s v="성인"/>
    <s v="닷컴"/>
    <x v="2"/>
    <x v="2"/>
    <x v="0"/>
    <x v="1550"/>
    <s v="HP2637028730"/>
    <x v="0"/>
    <n v="2"/>
  </r>
  <r>
    <x v="1"/>
    <x v="3"/>
    <x v="14"/>
    <x v="51"/>
    <x v="121"/>
    <x v="121"/>
    <x v="5"/>
    <s v="N"/>
    <s v="N"/>
    <x v="0"/>
    <x v="0"/>
    <x v="0"/>
    <x v="0"/>
    <s v="성인"/>
    <s v="성인"/>
    <s v="닷컴"/>
    <x v="2"/>
    <x v="2"/>
    <x v="0"/>
    <x v="1550"/>
    <s v="HP2637028730"/>
    <x v="1"/>
    <n v="1979800"/>
  </r>
  <r>
    <x v="1"/>
    <x v="3"/>
    <x v="14"/>
    <x v="51"/>
    <x v="121"/>
    <x v="121"/>
    <x v="5"/>
    <s v="N"/>
    <s v="N"/>
    <x v="0"/>
    <x v="0"/>
    <x v="0"/>
    <x v="0"/>
    <s v="성인"/>
    <s v="성인"/>
    <s v="대리점"/>
    <x v="0"/>
    <x v="0"/>
    <x v="0"/>
    <x v="1551"/>
    <s v="HP2637029856"/>
    <x v="0"/>
    <n v="3"/>
  </r>
  <r>
    <x v="1"/>
    <x v="3"/>
    <x v="14"/>
    <x v="51"/>
    <x v="121"/>
    <x v="121"/>
    <x v="5"/>
    <s v="N"/>
    <s v="N"/>
    <x v="0"/>
    <x v="0"/>
    <x v="0"/>
    <x v="0"/>
    <s v="성인"/>
    <s v="성인"/>
    <s v="대리점"/>
    <x v="0"/>
    <x v="0"/>
    <x v="0"/>
    <x v="1551"/>
    <s v="HP2637029856"/>
    <x v="1"/>
    <n v="2004000"/>
  </r>
  <r>
    <x v="1"/>
    <x v="3"/>
    <x v="14"/>
    <x v="51"/>
    <x v="121"/>
    <x v="121"/>
    <x v="5"/>
    <s v="N"/>
    <s v="N"/>
    <x v="0"/>
    <x v="0"/>
    <x v="0"/>
    <x v="0"/>
    <s v="청소년"/>
    <s v="청소년"/>
    <s v="닷컴"/>
    <x v="2"/>
    <x v="2"/>
    <x v="0"/>
    <x v="1550"/>
    <s v="HP2637028730"/>
    <x v="0"/>
    <n v="1"/>
  </r>
  <r>
    <x v="1"/>
    <x v="3"/>
    <x v="14"/>
    <x v="51"/>
    <x v="121"/>
    <x v="121"/>
    <x v="5"/>
    <s v="N"/>
    <s v="N"/>
    <x v="0"/>
    <x v="0"/>
    <x v="0"/>
    <x v="0"/>
    <s v="청소년"/>
    <s v="청소년"/>
    <s v="닷컴"/>
    <x v="2"/>
    <x v="2"/>
    <x v="0"/>
    <x v="1550"/>
    <s v="HP2637028730"/>
    <x v="1"/>
    <n v="989900"/>
  </r>
  <r>
    <x v="1"/>
    <x v="3"/>
    <x v="14"/>
    <x v="51"/>
    <x v="121"/>
    <x v="121"/>
    <x v="5"/>
    <s v="N"/>
    <s v="N"/>
    <x v="0"/>
    <x v="0"/>
    <x v="0"/>
    <x v="1"/>
    <s v="아동"/>
    <s v="아동"/>
    <s v="닷컴"/>
    <x v="2"/>
    <x v="2"/>
    <x v="0"/>
    <x v="1550"/>
    <s v="HP2637028730"/>
    <x v="0"/>
    <n v="1"/>
  </r>
  <r>
    <x v="1"/>
    <x v="3"/>
    <x v="14"/>
    <x v="51"/>
    <x v="121"/>
    <x v="121"/>
    <x v="5"/>
    <s v="N"/>
    <s v="N"/>
    <x v="0"/>
    <x v="0"/>
    <x v="0"/>
    <x v="1"/>
    <s v="아동"/>
    <s v="아동"/>
    <s v="닷컴"/>
    <x v="2"/>
    <x v="2"/>
    <x v="0"/>
    <x v="1550"/>
    <s v="HP2637028730"/>
    <x v="1"/>
    <n v="989900"/>
  </r>
  <r>
    <x v="1"/>
    <x v="3"/>
    <x v="14"/>
    <x v="51"/>
    <x v="121"/>
    <x v="121"/>
    <x v="5"/>
    <s v="N"/>
    <s v="N"/>
    <x v="0"/>
    <x v="0"/>
    <x v="0"/>
    <x v="1"/>
    <s v="유아"/>
    <s v="유아"/>
    <s v="대리점"/>
    <x v="0"/>
    <x v="0"/>
    <x v="0"/>
    <x v="1551"/>
    <s v="HP2637029856"/>
    <x v="0"/>
    <n v="1"/>
  </r>
  <r>
    <x v="1"/>
    <x v="3"/>
    <x v="14"/>
    <x v="51"/>
    <x v="121"/>
    <x v="121"/>
    <x v="5"/>
    <s v="N"/>
    <s v="N"/>
    <x v="0"/>
    <x v="0"/>
    <x v="0"/>
    <x v="1"/>
    <s v="유아"/>
    <s v="유아"/>
    <s v="대리점"/>
    <x v="0"/>
    <x v="0"/>
    <x v="0"/>
    <x v="1551"/>
    <s v="HP2637029856"/>
    <x v="1"/>
    <n v="334000"/>
  </r>
  <r>
    <x v="1"/>
    <x v="3"/>
    <x v="14"/>
    <x v="51"/>
    <x v="121"/>
    <x v="121"/>
    <x v="5"/>
    <s v="N"/>
    <s v="N"/>
    <x v="1"/>
    <x v="0"/>
    <x v="0"/>
    <x v="0"/>
    <s v="성인"/>
    <s v="성인"/>
    <s v="닷컴"/>
    <x v="2"/>
    <x v="15"/>
    <x v="0"/>
    <x v="1552"/>
    <s v="HP2637031874"/>
    <x v="0"/>
    <n v="1"/>
  </r>
  <r>
    <x v="1"/>
    <x v="3"/>
    <x v="14"/>
    <x v="51"/>
    <x v="121"/>
    <x v="121"/>
    <x v="5"/>
    <s v="N"/>
    <s v="N"/>
    <x v="1"/>
    <x v="0"/>
    <x v="0"/>
    <x v="0"/>
    <s v="성인"/>
    <s v="성인"/>
    <s v="닷컴"/>
    <x v="2"/>
    <x v="15"/>
    <x v="0"/>
    <x v="1552"/>
    <s v="HP2637031874"/>
    <x v="1"/>
    <n v="3275400"/>
  </r>
  <r>
    <x v="1"/>
    <x v="3"/>
    <x v="14"/>
    <x v="51"/>
    <x v="121"/>
    <x v="121"/>
    <x v="5"/>
    <s v="N"/>
    <s v="N"/>
    <x v="1"/>
    <x v="0"/>
    <x v="0"/>
    <x v="0"/>
    <m/>
    <m/>
    <s v="닷컴"/>
    <x v="2"/>
    <x v="15"/>
    <x v="0"/>
    <x v="1552"/>
    <s v="HP2637031874"/>
    <x v="0"/>
    <n v="3"/>
  </r>
  <r>
    <x v="1"/>
    <x v="3"/>
    <x v="14"/>
    <x v="51"/>
    <x v="121"/>
    <x v="121"/>
    <x v="5"/>
    <s v="N"/>
    <s v="N"/>
    <x v="1"/>
    <x v="0"/>
    <x v="0"/>
    <x v="0"/>
    <m/>
    <m/>
    <s v="닷컴"/>
    <x v="2"/>
    <x v="15"/>
    <x v="0"/>
    <x v="1552"/>
    <s v="HP2637031874"/>
    <x v="1"/>
    <n v="9826200"/>
  </r>
  <r>
    <x v="1"/>
    <x v="3"/>
    <x v="14"/>
    <x v="51"/>
    <x v="121"/>
    <x v="121"/>
    <x v="6"/>
    <s v="N"/>
    <s v="N"/>
    <x v="5"/>
    <x v="3"/>
    <x v="0"/>
    <x v="0"/>
    <s v="성인"/>
    <s v="성인"/>
    <s v="대리점"/>
    <x v="0"/>
    <x v="20"/>
    <x v="0"/>
    <x v="1553"/>
    <s v="HG2637054990"/>
    <x v="0"/>
    <n v="2"/>
  </r>
  <r>
    <x v="1"/>
    <x v="3"/>
    <x v="14"/>
    <x v="51"/>
    <x v="121"/>
    <x v="121"/>
    <x v="6"/>
    <s v="N"/>
    <s v="N"/>
    <x v="5"/>
    <x v="3"/>
    <x v="0"/>
    <x v="0"/>
    <s v="성인"/>
    <s v="성인"/>
    <s v="대리점"/>
    <x v="0"/>
    <x v="20"/>
    <x v="0"/>
    <x v="1553"/>
    <s v="HG2637054990"/>
    <x v="1"/>
    <n v="776000"/>
  </r>
  <r>
    <x v="1"/>
    <x v="3"/>
    <x v="14"/>
    <x v="51"/>
    <x v="121"/>
    <x v="121"/>
    <x v="6"/>
    <s v="N"/>
    <s v="N"/>
    <x v="0"/>
    <x v="0"/>
    <x v="0"/>
    <x v="0"/>
    <s v="성인"/>
    <s v="성인"/>
    <s v="닷컴"/>
    <x v="2"/>
    <x v="25"/>
    <x v="0"/>
    <x v="1554"/>
    <s v="HP2637049306"/>
    <x v="0"/>
    <n v="4"/>
  </r>
  <r>
    <x v="1"/>
    <x v="3"/>
    <x v="14"/>
    <x v="51"/>
    <x v="121"/>
    <x v="121"/>
    <x v="6"/>
    <s v="N"/>
    <s v="N"/>
    <x v="0"/>
    <x v="0"/>
    <x v="0"/>
    <x v="0"/>
    <s v="성인"/>
    <s v="성인"/>
    <s v="닷컴"/>
    <x v="2"/>
    <x v="25"/>
    <x v="0"/>
    <x v="1554"/>
    <s v="HP2637049306"/>
    <x v="1"/>
    <n v="919600"/>
  </r>
  <r>
    <x v="1"/>
    <x v="3"/>
    <x v="14"/>
    <x v="51"/>
    <x v="121"/>
    <x v="121"/>
    <x v="8"/>
    <s v="Y"/>
    <s v="N"/>
    <x v="1"/>
    <x v="0"/>
    <x v="0"/>
    <x v="0"/>
    <s v="성인"/>
    <s v="성인"/>
    <s v="대리점"/>
    <x v="0"/>
    <x v="0"/>
    <x v="0"/>
    <x v="1555"/>
    <s v="HP2637086114"/>
    <x v="0"/>
    <n v="1"/>
  </r>
  <r>
    <x v="1"/>
    <x v="3"/>
    <x v="14"/>
    <x v="51"/>
    <x v="121"/>
    <x v="121"/>
    <x v="8"/>
    <s v="Y"/>
    <s v="N"/>
    <x v="1"/>
    <x v="0"/>
    <x v="0"/>
    <x v="0"/>
    <s v="성인"/>
    <s v="성인"/>
    <s v="대리점"/>
    <x v="0"/>
    <x v="0"/>
    <x v="0"/>
    <x v="1555"/>
    <s v="HP2637086114"/>
    <x v="1"/>
    <n v="1248000"/>
  </r>
  <r>
    <x v="1"/>
    <x v="3"/>
    <x v="14"/>
    <x v="51"/>
    <x v="121"/>
    <x v="121"/>
    <x v="8"/>
    <s v="Y"/>
    <s v="N"/>
    <x v="1"/>
    <x v="0"/>
    <x v="0"/>
    <x v="0"/>
    <m/>
    <m/>
    <s v="대리점"/>
    <x v="0"/>
    <x v="0"/>
    <x v="0"/>
    <x v="1555"/>
    <s v="HP2637086114"/>
    <x v="0"/>
    <n v="1"/>
  </r>
  <r>
    <x v="1"/>
    <x v="3"/>
    <x v="14"/>
    <x v="51"/>
    <x v="121"/>
    <x v="121"/>
    <x v="8"/>
    <s v="Y"/>
    <s v="N"/>
    <x v="1"/>
    <x v="0"/>
    <x v="0"/>
    <x v="0"/>
    <m/>
    <m/>
    <s v="대리점"/>
    <x v="0"/>
    <x v="0"/>
    <x v="0"/>
    <x v="1555"/>
    <s v="HP2637086114"/>
    <x v="1"/>
    <n v="1248000"/>
  </r>
  <r>
    <x v="1"/>
    <x v="3"/>
    <x v="14"/>
    <x v="51"/>
    <x v="121"/>
    <x v="121"/>
    <x v="9"/>
    <s v="Y"/>
    <s v="N"/>
    <x v="1"/>
    <x v="0"/>
    <x v="0"/>
    <x v="0"/>
    <s v="성인"/>
    <s v="성인"/>
    <s v="대리점"/>
    <x v="0"/>
    <x v="2"/>
    <x v="0"/>
    <x v="1556"/>
    <s v="HP2637095182"/>
    <x v="0"/>
    <n v="2"/>
  </r>
  <r>
    <x v="1"/>
    <x v="3"/>
    <x v="14"/>
    <x v="51"/>
    <x v="121"/>
    <x v="121"/>
    <x v="9"/>
    <s v="Y"/>
    <s v="N"/>
    <x v="1"/>
    <x v="0"/>
    <x v="0"/>
    <x v="0"/>
    <s v="성인"/>
    <s v="성인"/>
    <s v="대리점"/>
    <x v="0"/>
    <x v="2"/>
    <x v="0"/>
    <x v="1556"/>
    <s v="HP2637095182"/>
    <x v="1"/>
    <n v="6710000"/>
  </r>
  <r>
    <x v="1"/>
    <x v="3"/>
    <x v="14"/>
    <x v="51"/>
    <x v="121"/>
    <x v="121"/>
    <x v="10"/>
    <s v="N"/>
    <s v="N"/>
    <x v="5"/>
    <x v="3"/>
    <x v="0"/>
    <x v="0"/>
    <s v="성인"/>
    <s v="성인"/>
    <s v="대리점"/>
    <x v="0"/>
    <x v="18"/>
    <x v="0"/>
    <x v="1557"/>
    <s v="HG2637114022"/>
    <x v="0"/>
    <n v="2"/>
  </r>
  <r>
    <x v="1"/>
    <x v="3"/>
    <x v="14"/>
    <x v="51"/>
    <x v="121"/>
    <x v="121"/>
    <x v="10"/>
    <s v="N"/>
    <s v="N"/>
    <x v="5"/>
    <x v="3"/>
    <x v="0"/>
    <x v="0"/>
    <s v="성인"/>
    <s v="성인"/>
    <s v="대리점"/>
    <x v="0"/>
    <x v="18"/>
    <x v="0"/>
    <x v="1557"/>
    <s v="HG2637114022"/>
    <x v="1"/>
    <n v="3599800"/>
  </r>
  <r>
    <x v="1"/>
    <x v="3"/>
    <x v="14"/>
    <x v="51"/>
    <x v="121"/>
    <x v="121"/>
    <x v="10"/>
    <s v="N"/>
    <s v="N"/>
    <x v="5"/>
    <x v="3"/>
    <x v="0"/>
    <x v="0"/>
    <m/>
    <m/>
    <s v="대리점"/>
    <x v="0"/>
    <x v="18"/>
    <x v="0"/>
    <x v="1557"/>
    <s v="HG2637114022"/>
    <x v="0"/>
    <n v="2"/>
  </r>
  <r>
    <x v="1"/>
    <x v="3"/>
    <x v="14"/>
    <x v="51"/>
    <x v="121"/>
    <x v="121"/>
    <x v="10"/>
    <s v="N"/>
    <s v="N"/>
    <x v="5"/>
    <x v="3"/>
    <x v="0"/>
    <x v="0"/>
    <m/>
    <m/>
    <s v="대리점"/>
    <x v="0"/>
    <x v="18"/>
    <x v="0"/>
    <x v="1557"/>
    <s v="HG2637114022"/>
    <x v="1"/>
    <n v="3599800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14"/>
    <x v="0"/>
    <x v="1558"/>
    <s v="HP2637110110"/>
    <x v="0"/>
    <n v="1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14"/>
    <x v="0"/>
    <x v="1558"/>
    <s v="HP2637110110"/>
    <x v="1"/>
    <n v="1283900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2"/>
    <x v="0"/>
    <x v="502"/>
    <s v="HP2637124430"/>
    <x v="0"/>
    <n v="1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2"/>
    <x v="0"/>
    <x v="502"/>
    <s v="HP2637124430"/>
    <x v="1"/>
    <n v="839900"/>
  </r>
  <r>
    <x v="1"/>
    <x v="3"/>
    <x v="14"/>
    <x v="51"/>
    <x v="121"/>
    <x v="121"/>
    <x v="10"/>
    <s v="N"/>
    <s v="N"/>
    <x v="0"/>
    <x v="0"/>
    <x v="0"/>
    <x v="0"/>
    <m/>
    <m/>
    <s v="대리점"/>
    <x v="0"/>
    <x v="14"/>
    <x v="0"/>
    <x v="1558"/>
    <s v="HP2637110110"/>
    <x v="0"/>
    <n v="3"/>
  </r>
  <r>
    <x v="1"/>
    <x v="3"/>
    <x v="14"/>
    <x v="51"/>
    <x v="121"/>
    <x v="121"/>
    <x v="10"/>
    <s v="N"/>
    <s v="N"/>
    <x v="0"/>
    <x v="0"/>
    <x v="0"/>
    <x v="0"/>
    <m/>
    <m/>
    <s v="대리점"/>
    <x v="0"/>
    <x v="14"/>
    <x v="0"/>
    <x v="1558"/>
    <s v="HP2637110110"/>
    <x v="1"/>
    <n v="3851700"/>
  </r>
  <r>
    <x v="1"/>
    <x v="3"/>
    <x v="14"/>
    <x v="51"/>
    <x v="122"/>
    <x v="122"/>
    <x v="1"/>
    <s v="N"/>
    <s v="N"/>
    <x v="4"/>
    <x v="2"/>
    <x v="0"/>
    <x v="0"/>
    <s v="성인"/>
    <s v="성인"/>
    <s v="대리점"/>
    <x v="0"/>
    <x v="2"/>
    <x v="0"/>
    <x v="1559"/>
    <s v="HQ2636944858"/>
    <x v="0"/>
    <n v="4"/>
  </r>
  <r>
    <x v="1"/>
    <x v="3"/>
    <x v="14"/>
    <x v="51"/>
    <x v="122"/>
    <x v="122"/>
    <x v="1"/>
    <s v="N"/>
    <s v="N"/>
    <x v="4"/>
    <x v="2"/>
    <x v="0"/>
    <x v="0"/>
    <s v="성인"/>
    <s v="성인"/>
    <s v="대리점"/>
    <x v="0"/>
    <x v="2"/>
    <x v="0"/>
    <x v="1559"/>
    <s v="HQ2636944858"/>
    <x v="1"/>
    <n v="0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0"/>
    <s v="HP2637002342"/>
    <x v="0"/>
    <n v="9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0"/>
    <s v="HP2637002342"/>
    <x v="1"/>
    <n v="6102900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1"/>
    <s v="HP2637005056"/>
    <x v="0"/>
    <n v="2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1"/>
    <s v="HP2637005056"/>
    <x v="1"/>
    <n v="1740200"/>
  </r>
  <r>
    <x v="1"/>
    <x v="3"/>
    <x v="15"/>
    <x v="52"/>
    <x v="123"/>
    <x v="123"/>
    <x v="4"/>
    <s v="N"/>
    <s v="N"/>
    <x v="0"/>
    <x v="0"/>
    <x v="0"/>
    <x v="0"/>
    <s v="성인"/>
    <s v="성인"/>
    <s v="대리점"/>
    <x v="0"/>
    <x v="2"/>
    <x v="0"/>
    <x v="1562"/>
    <s v="HP2637007552"/>
    <x v="0"/>
    <n v="10"/>
  </r>
  <r>
    <x v="1"/>
    <x v="3"/>
    <x v="15"/>
    <x v="52"/>
    <x v="123"/>
    <x v="123"/>
    <x v="4"/>
    <s v="N"/>
    <s v="N"/>
    <x v="0"/>
    <x v="0"/>
    <x v="0"/>
    <x v="0"/>
    <s v="성인"/>
    <s v="성인"/>
    <s v="대리점"/>
    <x v="0"/>
    <x v="2"/>
    <x v="0"/>
    <x v="1562"/>
    <s v="HP2637007552"/>
    <x v="1"/>
    <n v="1137500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07552"/>
    <x v="0"/>
    <n v="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07552"/>
    <x v="1"/>
    <n v="233500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10014"/>
    <x v="0"/>
    <n v="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10014"/>
    <x v="1"/>
    <n v="2335000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3"/>
    <s v="HP2637122474"/>
    <x v="0"/>
    <n v="1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3"/>
    <s v="HP2637122474"/>
    <x v="1"/>
    <n v="1088000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4"/>
    <s v="HP2637129472"/>
    <x v="0"/>
    <n v="1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4"/>
    <s v="HP2637129472"/>
    <x v="1"/>
    <n v="1108000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5"/>
    <s v="HP2637117942"/>
    <x v="0"/>
    <n v="2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5"/>
    <s v="HP2637117942"/>
    <x v="1"/>
    <n v="3511600"/>
  </r>
  <r>
    <x v="1"/>
    <x v="3"/>
    <x v="15"/>
    <x v="53"/>
    <x v="124"/>
    <x v="124"/>
    <x v="0"/>
    <s v="N"/>
    <s v="N"/>
    <x v="1"/>
    <x v="0"/>
    <x v="0"/>
    <x v="0"/>
    <s v="성인"/>
    <s v="성인"/>
    <s v="닷컴"/>
    <x v="4"/>
    <x v="2"/>
    <x v="0"/>
    <x v="1566"/>
    <s v="HP2636918736"/>
    <x v="0"/>
    <n v="2"/>
  </r>
  <r>
    <x v="1"/>
    <x v="3"/>
    <x v="15"/>
    <x v="53"/>
    <x v="124"/>
    <x v="124"/>
    <x v="0"/>
    <s v="N"/>
    <s v="N"/>
    <x v="1"/>
    <x v="0"/>
    <x v="0"/>
    <x v="0"/>
    <s v="성인"/>
    <s v="성인"/>
    <s v="닷컴"/>
    <x v="4"/>
    <x v="2"/>
    <x v="0"/>
    <x v="1566"/>
    <s v="HP2636918736"/>
    <x v="1"/>
    <n v="2334200"/>
  </r>
  <r>
    <x v="1"/>
    <x v="3"/>
    <x v="15"/>
    <x v="53"/>
    <x v="124"/>
    <x v="124"/>
    <x v="0"/>
    <s v="N"/>
    <s v="N"/>
    <x v="1"/>
    <x v="0"/>
    <x v="0"/>
    <x v="0"/>
    <s v="성인"/>
    <s v="성인"/>
    <s v="대리점"/>
    <x v="0"/>
    <x v="2"/>
    <x v="0"/>
    <x v="1567"/>
    <s v="HP2636921236"/>
    <x v="0"/>
    <n v="6"/>
  </r>
  <r>
    <x v="1"/>
    <x v="3"/>
    <x v="15"/>
    <x v="53"/>
    <x v="124"/>
    <x v="124"/>
    <x v="0"/>
    <s v="N"/>
    <s v="N"/>
    <x v="1"/>
    <x v="0"/>
    <x v="0"/>
    <x v="0"/>
    <s v="성인"/>
    <s v="성인"/>
    <s v="대리점"/>
    <x v="0"/>
    <x v="2"/>
    <x v="0"/>
    <x v="1567"/>
    <s v="HP2636921236"/>
    <x v="1"/>
    <n v="6438000"/>
  </r>
  <r>
    <x v="1"/>
    <x v="3"/>
    <x v="15"/>
    <x v="53"/>
    <x v="124"/>
    <x v="124"/>
    <x v="0"/>
    <s v="N"/>
    <s v="N"/>
    <x v="6"/>
    <x v="2"/>
    <x v="1"/>
    <x v="0"/>
    <s v="성인"/>
    <s v="성인"/>
    <s v="대리점"/>
    <x v="0"/>
    <x v="28"/>
    <x v="0"/>
    <x v="1568"/>
    <s v="HP2636928882"/>
    <x v="0"/>
    <n v="10"/>
  </r>
  <r>
    <x v="1"/>
    <x v="3"/>
    <x v="15"/>
    <x v="53"/>
    <x v="124"/>
    <x v="124"/>
    <x v="0"/>
    <s v="N"/>
    <s v="N"/>
    <x v="6"/>
    <x v="2"/>
    <x v="1"/>
    <x v="0"/>
    <s v="성인"/>
    <s v="성인"/>
    <s v="대리점"/>
    <x v="0"/>
    <x v="28"/>
    <x v="0"/>
    <x v="1568"/>
    <s v="HP2636928882"/>
    <x v="1"/>
    <n v="0"/>
  </r>
  <r>
    <x v="1"/>
    <x v="3"/>
    <x v="15"/>
    <x v="53"/>
    <x v="124"/>
    <x v="124"/>
    <x v="0"/>
    <s v="N"/>
    <s v="N"/>
    <x v="2"/>
    <x v="0"/>
    <x v="0"/>
    <x v="0"/>
    <s v="성인"/>
    <s v="성인"/>
    <s v="대리점"/>
    <x v="0"/>
    <x v="24"/>
    <x v="0"/>
    <x v="1569"/>
    <s v="HP2636926844"/>
    <x v="0"/>
    <n v="3"/>
  </r>
  <r>
    <x v="1"/>
    <x v="3"/>
    <x v="15"/>
    <x v="53"/>
    <x v="124"/>
    <x v="124"/>
    <x v="0"/>
    <s v="N"/>
    <s v="N"/>
    <x v="2"/>
    <x v="0"/>
    <x v="0"/>
    <x v="0"/>
    <s v="성인"/>
    <s v="성인"/>
    <s v="대리점"/>
    <x v="0"/>
    <x v="24"/>
    <x v="0"/>
    <x v="1569"/>
    <s v="HP2636926844"/>
    <x v="1"/>
    <n v="4269000"/>
  </r>
  <r>
    <x v="1"/>
    <x v="3"/>
    <x v="15"/>
    <x v="53"/>
    <x v="124"/>
    <x v="124"/>
    <x v="0"/>
    <s v="N"/>
    <s v="N"/>
    <x v="2"/>
    <x v="0"/>
    <x v="0"/>
    <x v="0"/>
    <m/>
    <m/>
    <s v="대리점"/>
    <x v="0"/>
    <x v="23"/>
    <x v="1"/>
    <x v="1570"/>
    <s v="HP2636927452"/>
    <x v="0"/>
    <n v="0"/>
  </r>
  <r>
    <x v="1"/>
    <x v="3"/>
    <x v="15"/>
    <x v="53"/>
    <x v="124"/>
    <x v="124"/>
    <x v="0"/>
    <s v="N"/>
    <s v="N"/>
    <x v="2"/>
    <x v="0"/>
    <x v="0"/>
    <x v="0"/>
    <m/>
    <m/>
    <s v="대리점"/>
    <x v="0"/>
    <x v="23"/>
    <x v="1"/>
    <x v="1570"/>
    <s v="HP2636927452"/>
    <x v="1"/>
    <n v="6208000"/>
  </r>
  <r>
    <x v="1"/>
    <x v="3"/>
    <x v="15"/>
    <x v="53"/>
    <x v="124"/>
    <x v="124"/>
    <x v="1"/>
    <s v="N"/>
    <s v="N"/>
    <x v="1"/>
    <x v="0"/>
    <x v="0"/>
    <x v="0"/>
    <s v="성인"/>
    <s v="성인"/>
    <s v="대리점"/>
    <x v="0"/>
    <x v="15"/>
    <x v="0"/>
    <x v="1571"/>
    <s v="HP2636945862"/>
    <x v="0"/>
    <n v="1"/>
  </r>
  <r>
    <x v="1"/>
    <x v="3"/>
    <x v="15"/>
    <x v="53"/>
    <x v="124"/>
    <x v="124"/>
    <x v="1"/>
    <s v="N"/>
    <s v="N"/>
    <x v="1"/>
    <x v="0"/>
    <x v="0"/>
    <x v="0"/>
    <s v="성인"/>
    <s v="성인"/>
    <s v="대리점"/>
    <x v="0"/>
    <x v="15"/>
    <x v="0"/>
    <x v="1571"/>
    <s v="HP2636945862"/>
    <x v="1"/>
    <n v="2905800"/>
  </r>
  <r>
    <x v="1"/>
    <x v="3"/>
    <x v="15"/>
    <x v="53"/>
    <x v="124"/>
    <x v="124"/>
    <x v="1"/>
    <s v="N"/>
    <s v="N"/>
    <x v="1"/>
    <x v="0"/>
    <x v="0"/>
    <x v="0"/>
    <m/>
    <m/>
    <s v="닷컴"/>
    <x v="4"/>
    <x v="2"/>
    <x v="0"/>
    <x v="1572"/>
    <s v="HP2636949910"/>
    <x v="0"/>
    <n v="4"/>
  </r>
  <r>
    <x v="1"/>
    <x v="3"/>
    <x v="15"/>
    <x v="53"/>
    <x v="124"/>
    <x v="124"/>
    <x v="1"/>
    <s v="N"/>
    <s v="N"/>
    <x v="1"/>
    <x v="0"/>
    <x v="0"/>
    <x v="0"/>
    <m/>
    <m/>
    <s v="닷컴"/>
    <x v="4"/>
    <x v="2"/>
    <x v="0"/>
    <x v="1572"/>
    <s v="HP2636949910"/>
    <x v="1"/>
    <n v="6103200"/>
  </r>
  <r>
    <x v="1"/>
    <x v="3"/>
    <x v="15"/>
    <x v="53"/>
    <x v="124"/>
    <x v="124"/>
    <x v="2"/>
    <s v="Y"/>
    <s v="Y"/>
    <x v="4"/>
    <x v="1"/>
    <x v="0"/>
    <x v="0"/>
    <s v="성인"/>
    <s v="성인"/>
    <s v="대리점"/>
    <x v="0"/>
    <x v="12"/>
    <x v="0"/>
    <x v="1573"/>
    <s v="HB2636966614"/>
    <x v="0"/>
    <n v="4"/>
  </r>
  <r>
    <x v="1"/>
    <x v="3"/>
    <x v="15"/>
    <x v="53"/>
    <x v="124"/>
    <x v="124"/>
    <x v="2"/>
    <s v="Y"/>
    <s v="Y"/>
    <x v="4"/>
    <x v="1"/>
    <x v="0"/>
    <x v="0"/>
    <s v="성인"/>
    <s v="성인"/>
    <s v="대리점"/>
    <x v="0"/>
    <x v="12"/>
    <x v="0"/>
    <x v="1573"/>
    <s v="HB2636966614"/>
    <x v="1"/>
    <n v="1987600"/>
  </r>
  <r>
    <x v="1"/>
    <x v="3"/>
    <x v="15"/>
    <x v="53"/>
    <x v="124"/>
    <x v="124"/>
    <x v="2"/>
    <s v="Y"/>
    <s v="Y"/>
    <x v="1"/>
    <x v="0"/>
    <x v="0"/>
    <x v="0"/>
    <m/>
    <m/>
    <s v="대리점"/>
    <x v="0"/>
    <x v="2"/>
    <x v="0"/>
    <x v="1574"/>
    <s v="HP2636968350"/>
    <x v="0"/>
    <n v="2"/>
  </r>
  <r>
    <x v="1"/>
    <x v="3"/>
    <x v="15"/>
    <x v="53"/>
    <x v="124"/>
    <x v="124"/>
    <x v="2"/>
    <s v="Y"/>
    <s v="Y"/>
    <x v="1"/>
    <x v="0"/>
    <x v="0"/>
    <x v="0"/>
    <m/>
    <m/>
    <s v="대리점"/>
    <x v="0"/>
    <x v="2"/>
    <x v="0"/>
    <x v="1574"/>
    <s v="HP2636968350"/>
    <x v="1"/>
    <n v="2174200"/>
  </r>
  <r>
    <x v="1"/>
    <x v="3"/>
    <x v="15"/>
    <x v="53"/>
    <x v="124"/>
    <x v="124"/>
    <x v="2"/>
    <s v="Y"/>
    <s v="Y"/>
    <x v="2"/>
    <x v="0"/>
    <x v="0"/>
    <x v="0"/>
    <s v="성인"/>
    <s v="성인"/>
    <s v="대리점"/>
    <x v="0"/>
    <x v="23"/>
    <x v="0"/>
    <x v="1575"/>
    <s v="HP2636967216"/>
    <x v="0"/>
    <n v="6"/>
  </r>
  <r>
    <x v="1"/>
    <x v="3"/>
    <x v="15"/>
    <x v="53"/>
    <x v="124"/>
    <x v="124"/>
    <x v="2"/>
    <s v="Y"/>
    <s v="Y"/>
    <x v="2"/>
    <x v="0"/>
    <x v="0"/>
    <x v="0"/>
    <s v="성인"/>
    <s v="성인"/>
    <s v="대리점"/>
    <x v="0"/>
    <x v="23"/>
    <x v="0"/>
    <x v="1575"/>
    <s v="HP2636967216"/>
    <x v="1"/>
    <n v="9612000"/>
  </r>
  <r>
    <x v="1"/>
    <x v="3"/>
    <x v="15"/>
    <x v="53"/>
    <x v="124"/>
    <x v="124"/>
    <x v="11"/>
    <s v="Y"/>
    <s v="N"/>
    <x v="0"/>
    <x v="0"/>
    <x v="0"/>
    <x v="0"/>
    <m/>
    <m/>
    <s v="닷컴"/>
    <x v="4"/>
    <x v="6"/>
    <x v="1"/>
    <x v="1520"/>
    <s v="HP2636973696"/>
    <x v="0"/>
    <n v="0"/>
  </r>
  <r>
    <x v="1"/>
    <x v="3"/>
    <x v="15"/>
    <x v="53"/>
    <x v="124"/>
    <x v="124"/>
    <x v="11"/>
    <s v="Y"/>
    <s v="N"/>
    <x v="0"/>
    <x v="0"/>
    <x v="0"/>
    <x v="0"/>
    <m/>
    <m/>
    <s v="닷컴"/>
    <x v="4"/>
    <x v="6"/>
    <x v="1"/>
    <x v="1520"/>
    <s v="HP2636973696"/>
    <x v="1"/>
    <n v="1899800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00"/>
    <s v="HP2636983398"/>
    <x v="0"/>
    <n v="2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00"/>
    <s v="HP2636983398"/>
    <x v="1"/>
    <n v="2455000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76"/>
    <s v="HP2636988626"/>
    <x v="0"/>
    <n v="2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76"/>
    <s v="HP2636988626"/>
    <x v="1"/>
    <n v="2271600"/>
  </r>
  <r>
    <x v="1"/>
    <x v="3"/>
    <x v="15"/>
    <x v="53"/>
    <x v="124"/>
    <x v="124"/>
    <x v="3"/>
    <s v="N"/>
    <s v="Y"/>
    <x v="0"/>
    <x v="0"/>
    <x v="0"/>
    <x v="0"/>
    <m/>
    <m/>
    <s v="닷컴"/>
    <x v="4"/>
    <x v="2"/>
    <x v="1"/>
    <x v="1577"/>
    <s v="HP2636986968"/>
    <x v="0"/>
    <n v="0"/>
  </r>
  <r>
    <x v="1"/>
    <x v="3"/>
    <x v="15"/>
    <x v="53"/>
    <x v="124"/>
    <x v="124"/>
    <x v="3"/>
    <s v="N"/>
    <s v="Y"/>
    <x v="0"/>
    <x v="0"/>
    <x v="0"/>
    <x v="0"/>
    <m/>
    <m/>
    <s v="닷컴"/>
    <x v="4"/>
    <x v="2"/>
    <x v="1"/>
    <x v="1577"/>
    <s v="HP2636986968"/>
    <x v="1"/>
    <n v="62790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8"/>
    <s v="HP2636986044"/>
    <x v="0"/>
    <n v="6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8"/>
    <s v="HP2636986044"/>
    <x v="1"/>
    <n v="460560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9"/>
    <s v="HP2636986196"/>
    <x v="0"/>
    <n v="3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9"/>
    <s v="HP2636986196"/>
    <x v="1"/>
    <n v="383250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1"/>
    <x v="1576"/>
    <s v="HP2636988626"/>
    <x v="0"/>
    <n v="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1"/>
    <x v="1576"/>
    <s v="HP2636988626"/>
    <x v="1"/>
    <n v="2271600"/>
  </r>
  <r>
    <x v="1"/>
    <x v="3"/>
    <x v="15"/>
    <x v="53"/>
    <x v="124"/>
    <x v="124"/>
    <x v="3"/>
    <s v="N"/>
    <s v="Y"/>
    <x v="0"/>
    <x v="0"/>
    <x v="0"/>
    <x v="1"/>
    <m/>
    <m/>
    <s v="닷컴"/>
    <x v="4"/>
    <x v="2"/>
    <x v="1"/>
    <x v="1577"/>
    <s v="HP2636986968"/>
    <x v="0"/>
    <n v="0"/>
  </r>
  <r>
    <x v="1"/>
    <x v="3"/>
    <x v="15"/>
    <x v="53"/>
    <x v="124"/>
    <x v="124"/>
    <x v="3"/>
    <s v="N"/>
    <s v="Y"/>
    <x v="0"/>
    <x v="0"/>
    <x v="0"/>
    <x v="1"/>
    <m/>
    <m/>
    <s v="닷컴"/>
    <x v="4"/>
    <x v="2"/>
    <x v="1"/>
    <x v="1577"/>
    <s v="HP2636986968"/>
    <x v="1"/>
    <n v="627900"/>
  </r>
  <r>
    <x v="1"/>
    <x v="3"/>
    <x v="15"/>
    <x v="53"/>
    <x v="124"/>
    <x v="124"/>
    <x v="4"/>
    <s v="N"/>
    <s v="N"/>
    <x v="1"/>
    <x v="0"/>
    <x v="0"/>
    <x v="0"/>
    <s v="성인"/>
    <s v="성인"/>
    <s v="닷컴"/>
    <x v="5"/>
    <x v="2"/>
    <x v="0"/>
    <x v="1580"/>
    <s v="HP2637018976"/>
    <x v="0"/>
    <n v="3"/>
  </r>
  <r>
    <x v="1"/>
    <x v="3"/>
    <x v="15"/>
    <x v="53"/>
    <x v="124"/>
    <x v="124"/>
    <x v="4"/>
    <s v="N"/>
    <s v="N"/>
    <x v="1"/>
    <x v="0"/>
    <x v="0"/>
    <x v="0"/>
    <s v="성인"/>
    <s v="성인"/>
    <s v="닷컴"/>
    <x v="5"/>
    <x v="2"/>
    <x v="0"/>
    <x v="1580"/>
    <s v="HP2637018976"/>
    <x v="1"/>
    <n v="4497000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1"/>
    <s v="HP2637012972"/>
    <x v="0"/>
    <n v="5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1"/>
    <s v="HP2637012972"/>
    <x v="1"/>
    <n v="6145000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2"/>
    <s v="HP2637011714"/>
    <x v="0"/>
    <n v="4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2"/>
    <s v="HP2637011714"/>
    <x v="1"/>
    <n v="5188400"/>
  </r>
  <r>
    <x v="1"/>
    <x v="3"/>
    <x v="15"/>
    <x v="53"/>
    <x v="124"/>
    <x v="124"/>
    <x v="4"/>
    <s v="N"/>
    <s v="N"/>
    <x v="1"/>
    <x v="0"/>
    <x v="0"/>
    <x v="1"/>
    <s v="아동"/>
    <s v="아동"/>
    <s v="대리점"/>
    <x v="0"/>
    <x v="2"/>
    <x v="0"/>
    <x v="1581"/>
    <s v="HP2637012972"/>
    <x v="0"/>
    <n v="2"/>
  </r>
  <r>
    <x v="1"/>
    <x v="3"/>
    <x v="15"/>
    <x v="53"/>
    <x v="124"/>
    <x v="124"/>
    <x v="4"/>
    <s v="N"/>
    <s v="N"/>
    <x v="1"/>
    <x v="0"/>
    <x v="0"/>
    <x v="1"/>
    <s v="아동"/>
    <s v="아동"/>
    <s v="대리점"/>
    <x v="0"/>
    <x v="2"/>
    <x v="0"/>
    <x v="1581"/>
    <s v="HP2637012972"/>
    <x v="1"/>
    <n v="2458000"/>
  </r>
  <r>
    <x v="1"/>
    <x v="3"/>
    <x v="15"/>
    <x v="53"/>
    <x v="124"/>
    <x v="124"/>
    <x v="4"/>
    <s v="N"/>
    <s v="N"/>
    <x v="1"/>
    <x v="0"/>
    <x v="0"/>
    <x v="1"/>
    <s v="유아"/>
    <s v="유아"/>
    <s v="대리점"/>
    <x v="0"/>
    <x v="2"/>
    <x v="0"/>
    <x v="1581"/>
    <s v="HP2637012972"/>
    <x v="0"/>
    <n v="1"/>
  </r>
  <r>
    <x v="1"/>
    <x v="3"/>
    <x v="15"/>
    <x v="53"/>
    <x v="124"/>
    <x v="124"/>
    <x v="4"/>
    <s v="N"/>
    <s v="N"/>
    <x v="1"/>
    <x v="0"/>
    <x v="0"/>
    <x v="1"/>
    <s v="유아"/>
    <s v="유아"/>
    <s v="대리점"/>
    <x v="0"/>
    <x v="2"/>
    <x v="0"/>
    <x v="1581"/>
    <s v="HP2637012972"/>
    <x v="1"/>
    <n v="1229000"/>
  </r>
  <r>
    <x v="1"/>
    <x v="3"/>
    <x v="15"/>
    <x v="53"/>
    <x v="124"/>
    <x v="124"/>
    <x v="5"/>
    <s v="N"/>
    <s v="N"/>
    <x v="0"/>
    <x v="0"/>
    <x v="0"/>
    <x v="0"/>
    <s v="성인"/>
    <s v="성인"/>
    <s v="대리점"/>
    <x v="0"/>
    <x v="6"/>
    <x v="0"/>
    <x v="1583"/>
    <s v="HP2637034222"/>
    <x v="0"/>
    <n v="6"/>
  </r>
  <r>
    <x v="1"/>
    <x v="3"/>
    <x v="15"/>
    <x v="53"/>
    <x v="124"/>
    <x v="124"/>
    <x v="5"/>
    <s v="N"/>
    <s v="N"/>
    <x v="0"/>
    <x v="0"/>
    <x v="0"/>
    <x v="0"/>
    <s v="성인"/>
    <s v="성인"/>
    <s v="대리점"/>
    <x v="0"/>
    <x v="6"/>
    <x v="0"/>
    <x v="1583"/>
    <s v="HP2637034222"/>
    <x v="1"/>
    <n v="4199400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4"/>
    <s v="HP2637036134"/>
    <x v="0"/>
    <n v="4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4"/>
    <s v="HP2637036134"/>
    <x v="1"/>
    <n v="4430000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5"/>
    <s v="HP2637032456"/>
    <x v="0"/>
    <n v="3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5"/>
    <s v="HP2637032456"/>
    <x v="1"/>
    <n v="4127400"/>
  </r>
  <r>
    <x v="1"/>
    <x v="3"/>
    <x v="15"/>
    <x v="53"/>
    <x v="124"/>
    <x v="124"/>
    <x v="5"/>
    <s v="N"/>
    <s v="N"/>
    <x v="1"/>
    <x v="0"/>
    <x v="0"/>
    <x v="0"/>
    <s v="성인"/>
    <s v="성인"/>
    <s v="대리점"/>
    <x v="0"/>
    <x v="23"/>
    <x v="0"/>
    <x v="1586"/>
    <s v="HP2636791154"/>
    <x v="0"/>
    <n v="2"/>
  </r>
  <r>
    <x v="1"/>
    <x v="3"/>
    <x v="15"/>
    <x v="53"/>
    <x v="124"/>
    <x v="124"/>
    <x v="5"/>
    <s v="N"/>
    <s v="N"/>
    <x v="1"/>
    <x v="0"/>
    <x v="0"/>
    <x v="0"/>
    <s v="성인"/>
    <s v="성인"/>
    <s v="대리점"/>
    <x v="0"/>
    <x v="23"/>
    <x v="0"/>
    <x v="1586"/>
    <s v="HP2636791154"/>
    <x v="1"/>
    <n v="2038000"/>
  </r>
  <r>
    <x v="1"/>
    <x v="3"/>
    <x v="15"/>
    <x v="53"/>
    <x v="124"/>
    <x v="124"/>
    <x v="5"/>
    <s v="N"/>
    <s v="N"/>
    <x v="2"/>
    <x v="0"/>
    <x v="0"/>
    <x v="0"/>
    <s v="성인"/>
    <s v="성인"/>
    <s v="대리점"/>
    <x v="0"/>
    <x v="24"/>
    <x v="0"/>
    <x v="1587"/>
    <s v="HP2635607816"/>
    <x v="0"/>
    <n v="2"/>
  </r>
  <r>
    <x v="1"/>
    <x v="3"/>
    <x v="15"/>
    <x v="53"/>
    <x v="124"/>
    <x v="124"/>
    <x v="5"/>
    <s v="N"/>
    <s v="N"/>
    <x v="2"/>
    <x v="0"/>
    <x v="0"/>
    <x v="0"/>
    <s v="성인"/>
    <s v="성인"/>
    <s v="대리점"/>
    <x v="0"/>
    <x v="24"/>
    <x v="0"/>
    <x v="1587"/>
    <s v="HP2635607816"/>
    <x v="1"/>
    <n v="3598000"/>
  </r>
  <r>
    <x v="1"/>
    <x v="3"/>
    <x v="15"/>
    <x v="53"/>
    <x v="124"/>
    <x v="124"/>
    <x v="6"/>
    <s v="N"/>
    <s v="N"/>
    <x v="5"/>
    <x v="3"/>
    <x v="0"/>
    <x v="0"/>
    <s v="성인"/>
    <s v="성인"/>
    <s v="대리점"/>
    <x v="0"/>
    <x v="18"/>
    <x v="0"/>
    <x v="1588"/>
    <s v="HG2637053192"/>
    <x v="0"/>
    <n v="4"/>
  </r>
  <r>
    <x v="1"/>
    <x v="3"/>
    <x v="15"/>
    <x v="53"/>
    <x v="124"/>
    <x v="124"/>
    <x v="6"/>
    <s v="N"/>
    <s v="N"/>
    <x v="5"/>
    <x v="3"/>
    <x v="0"/>
    <x v="0"/>
    <s v="성인"/>
    <s v="성인"/>
    <s v="대리점"/>
    <x v="0"/>
    <x v="18"/>
    <x v="0"/>
    <x v="1588"/>
    <s v="HG2637053192"/>
    <x v="1"/>
    <n v="11999600"/>
  </r>
  <r>
    <x v="1"/>
    <x v="3"/>
    <x v="15"/>
    <x v="53"/>
    <x v="124"/>
    <x v="124"/>
    <x v="6"/>
    <s v="N"/>
    <s v="N"/>
    <x v="4"/>
    <x v="1"/>
    <x v="0"/>
    <x v="0"/>
    <s v="성인"/>
    <s v="성인"/>
    <s v="닷컴"/>
    <x v="4"/>
    <x v="21"/>
    <x v="0"/>
    <x v="1589"/>
    <s v="HB2637064232"/>
    <x v="0"/>
    <n v="2"/>
  </r>
  <r>
    <x v="1"/>
    <x v="3"/>
    <x v="15"/>
    <x v="53"/>
    <x v="124"/>
    <x v="124"/>
    <x v="6"/>
    <s v="N"/>
    <s v="N"/>
    <x v="4"/>
    <x v="1"/>
    <x v="0"/>
    <x v="0"/>
    <s v="성인"/>
    <s v="성인"/>
    <s v="닷컴"/>
    <x v="4"/>
    <x v="21"/>
    <x v="0"/>
    <x v="1589"/>
    <s v="HB2637064232"/>
    <x v="1"/>
    <n v="641800"/>
  </r>
  <r>
    <x v="1"/>
    <x v="3"/>
    <x v="15"/>
    <x v="53"/>
    <x v="124"/>
    <x v="124"/>
    <x v="6"/>
    <s v="N"/>
    <s v="N"/>
    <x v="0"/>
    <x v="0"/>
    <x v="0"/>
    <x v="0"/>
    <m/>
    <m/>
    <s v="대리점"/>
    <x v="0"/>
    <x v="19"/>
    <x v="1"/>
    <x v="1590"/>
    <s v="HP2637053960"/>
    <x v="0"/>
    <n v="0"/>
  </r>
  <r>
    <x v="1"/>
    <x v="3"/>
    <x v="15"/>
    <x v="53"/>
    <x v="124"/>
    <x v="124"/>
    <x v="6"/>
    <s v="N"/>
    <s v="N"/>
    <x v="0"/>
    <x v="0"/>
    <x v="0"/>
    <x v="0"/>
    <m/>
    <m/>
    <s v="대리점"/>
    <x v="0"/>
    <x v="19"/>
    <x v="1"/>
    <x v="1590"/>
    <s v="HP2637053960"/>
    <x v="1"/>
    <n v="5718300"/>
  </r>
  <r>
    <x v="1"/>
    <x v="3"/>
    <x v="15"/>
    <x v="53"/>
    <x v="124"/>
    <x v="124"/>
    <x v="6"/>
    <s v="N"/>
    <s v="N"/>
    <x v="0"/>
    <x v="0"/>
    <x v="0"/>
    <x v="1"/>
    <m/>
    <m/>
    <s v="대리점"/>
    <x v="0"/>
    <x v="19"/>
    <x v="1"/>
    <x v="1590"/>
    <s v="HP2637053960"/>
    <x v="0"/>
    <n v="0"/>
  </r>
  <r>
    <x v="1"/>
    <x v="3"/>
    <x v="15"/>
    <x v="53"/>
    <x v="124"/>
    <x v="124"/>
    <x v="6"/>
    <s v="N"/>
    <s v="N"/>
    <x v="0"/>
    <x v="0"/>
    <x v="0"/>
    <x v="1"/>
    <m/>
    <m/>
    <s v="대리점"/>
    <x v="0"/>
    <x v="19"/>
    <x v="1"/>
    <x v="1590"/>
    <s v="HP2637053960"/>
    <x v="1"/>
    <n v="2205630"/>
  </r>
  <r>
    <x v="1"/>
    <x v="3"/>
    <x v="15"/>
    <x v="53"/>
    <x v="124"/>
    <x v="124"/>
    <x v="6"/>
    <s v="N"/>
    <s v="N"/>
    <x v="1"/>
    <x v="0"/>
    <x v="0"/>
    <x v="0"/>
    <s v="성인"/>
    <s v="성인"/>
    <s v="닷컴"/>
    <x v="4"/>
    <x v="2"/>
    <x v="0"/>
    <x v="1591"/>
    <s v="HP2637053502"/>
    <x v="0"/>
    <n v="3"/>
  </r>
  <r>
    <x v="1"/>
    <x v="3"/>
    <x v="15"/>
    <x v="53"/>
    <x v="124"/>
    <x v="124"/>
    <x v="6"/>
    <s v="N"/>
    <s v="N"/>
    <x v="1"/>
    <x v="0"/>
    <x v="0"/>
    <x v="0"/>
    <s v="성인"/>
    <s v="성인"/>
    <s v="닷컴"/>
    <x v="4"/>
    <x v="2"/>
    <x v="0"/>
    <x v="1591"/>
    <s v="HP2637053502"/>
    <x v="1"/>
    <n v="5007000"/>
  </r>
  <r>
    <x v="1"/>
    <x v="3"/>
    <x v="15"/>
    <x v="53"/>
    <x v="124"/>
    <x v="124"/>
    <x v="7"/>
    <s v="N"/>
    <s v="Y"/>
    <x v="0"/>
    <x v="0"/>
    <x v="0"/>
    <x v="0"/>
    <m/>
    <m/>
    <s v="대리점"/>
    <x v="0"/>
    <x v="19"/>
    <x v="0"/>
    <x v="1592"/>
    <s v="HP2637068392"/>
    <x v="0"/>
    <n v="10"/>
  </r>
  <r>
    <x v="1"/>
    <x v="3"/>
    <x v="15"/>
    <x v="53"/>
    <x v="124"/>
    <x v="124"/>
    <x v="7"/>
    <s v="N"/>
    <s v="Y"/>
    <x v="0"/>
    <x v="0"/>
    <x v="0"/>
    <x v="0"/>
    <m/>
    <m/>
    <s v="대리점"/>
    <x v="0"/>
    <x v="19"/>
    <x v="0"/>
    <x v="1592"/>
    <s v="HP2637068392"/>
    <x v="1"/>
    <n v="8169000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32"/>
    <x v="0"/>
    <x v="1525"/>
    <s v="HP2637069588"/>
    <x v="0"/>
    <n v="4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32"/>
    <x v="0"/>
    <x v="1525"/>
    <s v="HP2637069588"/>
    <x v="1"/>
    <n v="5499600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2"/>
    <x v="0"/>
    <x v="1593"/>
    <s v="HP2637068618"/>
    <x v="0"/>
    <n v="3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2"/>
    <x v="0"/>
    <x v="1593"/>
    <s v="HP2637068618"/>
    <x v="1"/>
    <n v="3474000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19"/>
    <x v="0"/>
    <x v="1594"/>
    <s v="HP2637087972"/>
    <x v="0"/>
    <n v="3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19"/>
    <x v="0"/>
    <x v="1594"/>
    <s v="HP2637087972"/>
    <x v="1"/>
    <n v="2602800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5"/>
    <s v="HP2637081846"/>
    <x v="0"/>
    <n v="4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5"/>
    <s v="HP2637081846"/>
    <x v="1"/>
    <n v="3737600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6"/>
    <s v="HP2637082380"/>
    <x v="0"/>
    <n v="2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6"/>
    <s v="HP2637082380"/>
    <x v="1"/>
    <n v="2595000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19"/>
    <x v="0"/>
    <x v="1594"/>
    <s v="HP2637087972"/>
    <x v="0"/>
    <n v="1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19"/>
    <x v="0"/>
    <x v="1594"/>
    <s v="HP2637087972"/>
    <x v="1"/>
    <n v="867600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2"/>
    <x v="0"/>
    <x v="1596"/>
    <s v="HP2637082380"/>
    <x v="0"/>
    <n v="1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2"/>
    <x v="0"/>
    <x v="1596"/>
    <s v="HP2637082380"/>
    <x v="1"/>
    <n v="1297500"/>
  </r>
  <r>
    <x v="1"/>
    <x v="3"/>
    <x v="15"/>
    <x v="53"/>
    <x v="124"/>
    <x v="124"/>
    <x v="8"/>
    <s v="Y"/>
    <s v="N"/>
    <x v="0"/>
    <x v="0"/>
    <x v="0"/>
    <x v="0"/>
    <m/>
    <m/>
    <s v="대리점"/>
    <x v="0"/>
    <x v="2"/>
    <x v="0"/>
    <x v="1597"/>
    <s v="HP2637085042"/>
    <x v="0"/>
    <n v="4"/>
  </r>
  <r>
    <x v="1"/>
    <x v="3"/>
    <x v="15"/>
    <x v="53"/>
    <x v="124"/>
    <x v="124"/>
    <x v="8"/>
    <s v="Y"/>
    <s v="N"/>
    <x v="0"/>
    <x v="0"/>
    <x v="0"/>
    <x v="0"/>
    <m/>
    <m/>
    <s v="대리점"/>
    <x v="0"/>
    <x v="2"/>
    <x v="0"/>
    <x v="1597"/>
    <s v="HP2637085042"/>
    <x v="1"/>
    <n v="1416000"/>
  </r>
  <r>
    <x v="1"/>
    <x v="3"/>
    <x v="15"/>
    <x v="53"/>
    <x v="124"/>
    <x v="124"/>
    <x v="8"/>
    <s v="Y"/>
    <s v="N"/>
    <x v="0"/>
    <x v="0"/>
    <x v="0"/>
    <x v="1"/>
    <s v="아동"/>
    <s v="아동"/>
    <s v="대리점"/>
    <x v="0"/>
    <x v="2"/>
    <x v="0"/>
    <x v="1596"/>
    <s v="HP2637082380"/>
    <x v="0"/>
    <n v="1"/>
  </r>
  <r>
    <x v="1"/>
    <x v="3"/>
    <x v="15"/>
    <x v="53"/>
    <x v="124"/>
    <x v="124"/>
    <x v="8"/>
    <s v="Y"/>
    <s v="N"/>
    <x v="0"/>
    <x v="0"/>
    <x v="0"/>
    <x v="1"/>
    <s v="아동"/>
    <s v="아동"/>
    <s v="대리점"/>
    <x v="0"/>
    <x v="2"/>
    <x v="0"/>
    <x v="1596"/>
    <s v="HP2637082380"/>
    <x v="1"/>
    <n v="1297500"/>
  </r>
  <r>
    <x v="1"/>
    <x v="3"/>
    <x v="15"/>
    <x v="53"/>
    <x v="124"/>
    <x v="124"/>
    <x v="9"/>
    <s v="Y"/>
    <s v="N"/>
    <x v="0"/>
    <x v="0"/>
    <x v="0"/>
    <x v="0"/>
    <s v="성인"/>
    <s v="성인"/>
    <s v="닷컴"/>
    <x v="4"/>
    <x v="2"/>
    <x v="0"/>
    <x v="1598"/>
    <s v="HP2637099706"/>
    <x v="0"/>
    <n v="1"/>
  </r>
  <r>
    <x v="1"/>
    <x v="3"/>
    <x v="15"/>
    <x v="53"/>
    <x v="124"/>
    <x v="124"/>
    <x v="9"/>
    <s v="Y"/>
    <s v="N"/>
    <x v="0"/>
    <x v="0"/>
    <x v="0"/>
    <x v="0"/>
    <s v="성인"/>
    <s v="성인"/>
    <s v="닷컴"/>
    <x v="4"/>
    <x v="2"/>
    <x v="0"/>
    <x v="1598"/>
    <s v="HP2637099706"/>
    <x v="1"/>
    <n v="1135800"/>
  </r>
  <r>
    <x v="1"/>
    <x v="3"/>
    <x v="15"/>
    <x v="53"/>
    <x v="124"/>
    <x v="124"/>
    <x v="9"/>
    <s v="Y"/>
    <s v="N"/>
    <x v="0"/>
    <x v="0"/>
    <x v="0"/>
    <x v="0"/>
    <s v="아동"/>
    <s v="아동"/>
    <s v="닷컴"/>
    <x v="4"/>
    <x v="2"/>
    <x v="0"/>
    <x v="1598"/>
    <s v="HP2637099706"/>
    <x v="0"/>
    <n v="1"/>
  </r>
  <r>
    <x v="1"/>
    <x v="3"/>
    <x v="15"/>
    <x v="53"/>
    <x v="124"/>
    <x v="124"/>
    <x v="9"/>
    <s v="Y"/>
    <s v="N"/>
    <x v="0"/>
    <x v="0"/>
    <x v="0"/>
    <x v="0"/>
    <s v="아동"/>
    <s v="아동"/>
    <s v="닷컴"/>
    <x v="4"/>
    <x v="2"/>
    <x v="0"/>
    <x v="1598"/>
    <s v="HP2637099706"/>
    <x v="1"/>
    <n v="1135800"/>
  </r>
  <r>
    <x v="1"/>
    <x v="3"/>
    <x v="15"/>
    <x v="53"/>
    <x v="124"/>
    <x v="124"/>
    <x v="9"/>
    <s v="Y"/>
    <s v="N"/>
    <x v="0"/>
    <x v="0"/>
    <x v="0"/>
    <x v="0"/>
    <s v="청소년"/>
    <s v="청소년"/>
    <s v="닷컴"/>
    <x v="4"/>
    <x v="2"/>
    <x v="0"/>
    <x v="1598"/>
    <s v="HP2637099706"/>
    <x v="0"/>
    <n v="1"/>
  </r>
  <r>
    <x v="1"/>
    <x v="3"/>
    <x v="15"/>
    <x v="53"/>
    <x v="124"/>
    <x v="124"/>
    <x v="9"/>
    <s v="Y"/>
    <s v="N"/>
    <x v="0"/>
    <x v="0"/>
    <x v="0"/>
    <x v="0"/>
    <s v="청소년"/>
    <s v="청소년"/>
    <s v="닷컴"/>
    <x v="4"/>
    <x v="2"/>
    <x v="0"/>
    <x v="1598"/>
    <s v="HP2637099706"/>
    <x v="1"/>
    <n v="1135800"/>
  </r>
  <r>
    <x v="1"/>
    <x v="3"/>
    <x v="15"/>
    <x v="53"/>
    <x v="124"/>
    <x v="124"/>
    <x v="9"/>
    <s v="Y"/>
    <s v="N"/>
    <x v="0"/>
    <x v="0"/>
    <x v="0"/>
    <x v="0"/>
    <m/>
    <m/>
    <s v="닷컴"/>
    <x v="4"/>
    <x v="2"/>
    <x v="1"/>
    <x v="1599"/>
    <s v="HP2637093640"/>
    <x v="0"/>
    <n v="0"/>
  </r>
  <r>
    <x v="1"/>
    <x v="3"/>
    <x v="15"/>
    <x v="53"/>
    <x v="124"/>
    <x v="124"/>
    <x v="9"/>
    <s v="Y"/>
    <s v="N"/>
    <x v="0"/>
    <x v="0"/>
    <x v="0"/>
    <x v="0"/>
    <m/>
    <m/>
    <s v="닷컴"/>
    <x v="4"/>
    <x v="2"/>
    <x v="1"/>
    <x v="1599"/>
    <s v="HP2637093640"/>
    <x v="1"/>
    <n v="1415800"/>
  </r>
  <r>
    <x v="1"/>
    <x v="3"/>
    <x v="15"/>
    <x v="53"/>
    <x v="124"/>
    <x v="124"/>
    <x v="9"/>
    <s v="Y"/>
    <s v="N"/>
    <x v="1"/>
    <x v="0"/>
    <x v="0"/>
    <x v="0"/>
    <s v="성인"/>
    <s v="성인"/>
    <s v="대리점"/>
    <x v="0"/>
    <x v="0"/>
    <x v="0"/>
    <x v="1600"/>
    <s v="HP2637096078"/>
    <x v="0"/>
    <n v="2"/>
  </r>
  <r>
    <x v="1"/>
    <x v="3"/>
    <x v="15"/>
    <x v="53"/>
    <x v="124"/>
    <x v="124"/>
    <x v="9"/>
    <s v="Y"/>
    <s v="N"/>
    <x v="1"/>
    <x v="0"/>
    <x v="0"/>
    <x v="0"/>
    <s v="성인"/>
    <s v="성인"/>
    <s v="대리점"/>
    <x v="0"/>
    <x v="0"/>
    <x v="0"/>
    <x v="1600"/>
    <s v="HP2637096078"/>
    <x v="1"/>
    <n v="2538000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1"/>
    <s v="HP2637114378"/>
    <x v="0"/>
    <n v="8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1"/>
    <s v="HP2637114378"/>
    <x v="1"/>
    <n v="10119200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2"/>
    <s v="HP2637116480"/>
    <x v="0"/>
    <n v="2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2"/>
    <s v="HP2637116480"/>
    <x v="1"/>
    <n v="2058000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3"/>
    <s v="HP2637128280"/>
    <x v="0"/>
    <n v="4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3"/>
    <s v="HP2637128280"/>
    <x v="1"/>
    <n v="5503200"/>
  </r>
  <r>
    <x v="1"/>
    <x v="3"/>
    <x v="15"/>
    <x v="53"/>
    <x v="124"/>
    <x v="124"/>
    <x v="10"/>
    <s v="N"/>
    <s v="N"/>
    <x v="1"/>
    <x v="0"/>
    <x v="0"/>
    <x v="0"/>
    <s v="성인"/>
    <s v="성인"/>
    <s v="대리점"/>
    <x v="0"/>
    <x v="4"/>
    <x v="0"/>
    <x v="1604"/>
    <s v="HP2637117562"/>
    <x v="0"/>
    <n v="3"/>
  </r>
  <r>
    <x v="1"/>
    <x v="3"/>
    <x v="15"/>
    <x v="53"/>
    <x v="124"/>
    <x v="124"/>
    <x v="10"/>
    <s v="N"/>
    <s v="N"/>
    <x v="1"/>
    <x v="0"/>
    <x v="0"/>
    <x v="0"/>
    <s v="성인"/>
    <s v="성인"/>
    <s v="대리점"/>
    <x v="0"/>
    <x v="4"/>
    <x v="0"/>
    <x v="1604"/>
    <s v="HP2637117562"/>
    <x v="1"/>
    <n v="4199700"/>
  </r>
  <r>
    <x v="1"/>
    <x v="3"/>
    <x v="15"/>
    <x v="53"/>
    <x v="125"/>
    <x v="125"/>
    <x v="0"/>
    <s v="N"/>
    <s v="N"/>
    <x v="0"/>
    <x v="0"/>
    <x v="0"/>
    <x v="0"/>
    <s v="성인"/>
    <s v="성인"/>
    <s v="닷컴"/>
    <x v="4"/>
    <x v="2"/>
    <x v="0"/>
    <x v="1500"/>
    <s v="HP2636939716"/>
    <x v="0"/>
    <n v="2"/>
  </r>
  <r>
    <x v="1"/>
    <x v="3"/>
    <x v="15"/>
    <x v="53"/>
    <x v="125"/>
    <x v="125"/>
    <x v="0"/>
    <s v="N"/>
    <s v="N"/>
    <x v="0"/>
    <x v="0"/>
    <x v="0"/>
    <x v="0"/>
    <s v="성인"/>
    <s v="성인"/>
    <s v="닷컴"/>
    <x v="4"/>
    <x v="2"/>
    <x v="0"/>
    <x v="1500"/>
    <s v="HP2636939716"/>
    <x v="1"/>
    <n v="2355000"/>
  </r>
  <r>
    <x v="1"/>
    <x v="3"/>
    <x v="15"/>
    <x v="53"/>
    <x v="125"/>
    <x v="125"/>
    <x v="0"/>
    <s v="N"/>
    <s v="N"/>
    <x v="0"/>
    <x v="0"/>
    <x v="0"/>
    <x v="0"/>
    <m/>
    <m/>
    <s v="대리점"/>
    <x v="0"/>
    <x v="16"/>
    <x v="1"/>
    <x v="1605"/>
    <s v="HP2636935932"/>
    <x v="0"/>
    <n v="0"/>
  </r>
  <r>
    <x v="1"/>
    <x v="3"/>
    <x v="15"/>
    <x v="53"/>
    <x v="125"/>
    <x v="125"/>
    <x v="0"/>
    <s v="N"/>
    <s v="N"/>
    <x v="0"/>
    <x v="0"/>
    <x v="0"/>
    <x v="0"/>
    <m/>
    <m/>
    <s v="대리점"/>
    <x v="0"/>
    <x v="16"/>
    <x v="1"/>
    <x v="1605"/>
    <s v="HP2636935932"/>
    <x v="1"/>
    <n v="6075600"/>
  </r>
  <r>
    <x v="1"/>
    <x v="3"/>
    <x v="15"/>
    <x v="53"/>
    <x v="125"/>
    <x v="125"/>
    <x v="0"/>
    <s v="N"/>
    <s v="N"/>
    <x v="0"/>
    <x v="0"/>
    <x v="0"/>
    <x v="1"/>
    <m/>
    <m/>
    <s v="대리점"/>
    <x v="0"/>
    <x v="16"/>
    <x v="1"/>
    <x v="1605"/>
    <s v="HP2636935932"/>
    <x v="0"/>
    <n v="0"/>
  </r>
  <r>
    <x v="1"/>
    <x v="3"/>
    <x v="15"/>
    <x v="53"/>
    <x v="125"/>
    <x v="125"/>
    <x v="0"/>
    <s v="N"/>
    <s v="N"/>
    <x v="0"/>
    <x v="0"/>
    <x v="0"/>
    <x v="1"/>
    <m/>
    <m/>
    <s v="대리점"/>
    <x v="0"/>
    <x v="16"/>
    <x v="1"/>
    <x v="1605"/>
    <s v="HP2636935932"/>
    <x v="1"/>
    <n v="2835280"/>
  </r>
  <r>
    <x v="1"/>
    <x v="3"/>
    <x v="15"/>
    <x v="53"/>
    <x v="125"/>
    <x v="125"/>
    <x v="1"/>
    <s v="N"/>
    <s v="N"/>
    <x v="4"/>
    <x v="2"/>
    <x v="1"/>
    <x v="0"/>
    <m/>
    <m/>
    <s v="대리점"/>
    <x v="0"/>
    <x v="2"/>
    <x v="0"/>
    <x v="1606"/>
    <s v="HQ2636951850"/>
    <x v="0"/>
    <n v="1"/>
  </r>
  <r>
    <x v="1"/>
    <x v="3"/>
    <x v="15"/>
    <x v="53"/>
    <x v="125"/>
    <x v="125"/>
    <x v="1"/>
    <s v="N"/>
    <s v="N"/>
    <x v="4"/>
    <x v="2"/>
    <x v="1"/>
    <x v="0"/>
    <m/>
    <m/>
    <s v="대리점"/>
    <x v="0"/>
    <x v="2"/>
    <x v="0"/>
    <x v="1606"/>
    <s v="HQ2636951850"/>
    <x v="1"/>
    <n v="1459900"/>
  </r>
  <r>
    <x v="1"/>
    <x v="3"/>
    <x v="15"/>
    <x v="53"/>
    <x v="125"/>
    <x v="125"/>
    <x v="1"/>
    <s v="N"/>
    <s v="N"/>
    <x v="4"/>
    <x v="2"/>
    <x v="0"/>
    <x v="0"/>
    <s v="성인"/>
    <s v="성인"/>
    <s v="대리점"/>
    <x v="0"/>
    <x v="2"/>
    <x v="0"/>
    <x v="1606"/>
    <s v="HQ2636951850"/>
    <x v="0"/>
    <n v="6"/>
  </r>
  <r>
    <x v="1"/>
    <x v="3"/>
    <x v="15"/>
    <x v="53"/>
    <x v="125"/>
    <x v="125"/>
    <x v="1"/>
    <s v="N"/>
    <s v="N"/>
    <x v="4"/>
    <x v="2"/>
    <x v="0"/>
    <x v="0"/>
    <s v="성인"/>
    <s v="성인"/>
    <s v="대리점"/>
    <x v="0"/>
    <x v="2"/>
    <x v="0"/>
    <x v="1606"/>
    <s v="HQ2636951850"/>
    <x v="1"/>
    <n v="0"/>
  </r>
  <r>
    <x v="1"/>
    <x v="3"/>
    <x v="15"/>
    <x v="53"/>
    <x v="125"/>
    <x v="125"/>
    <x v="1"/>
    <s v="N"/>
    <s v="N"/>
    <x v="4"/>
    <x v="2"/>
    <x v="0"/>
    <x v="0"/>
    <m/>
    <m/>
    <s v="대리점"/>
    <x v="0"/>
    <x v="2"/>
    <x v="0"/>
    <x v="1606"/>
    <s v="HQ2636951850"/>
    <x v="0"/>
    <n v="6"/>
  </r>
  <r>
    <x v="1"/>
    <x v="3"/>
    <x v="15"/>
    <x v="53"/>
    <x v="125"/>
    <x v="125"/>
    <x v="1"/>
    <s v="N"/>
    <s v="N"/>
    <x v="4"/>
    <x v="2"/>
    <x v="0"/>
    <x v="0"/>
    <m/>
    <m/>
    <s v="대리점"/>
    <x v="0"/>
    <x v="2"/>
    <x v="0"/>
    <x v="1606"/>
    <s v="HQ2636951850"/>
    <x v="1"/>
    <n v="0"/>
  </r>
  <r>
    <x v="1"/>
    <x v="3"/>
    <x v="15"/>
    <x v="53"/>
    <x v="125"/>
    <x v="125"/>
    <x v="1"/>
    <s v="N"/>
    <s v="N"/>
    <x v="1"/>
    <x v="0"/>
    <x v="0"/>
    <x v="0"/>
    <s v="성인"/>
    <s v="성인"/>
    <s v="닷컴"/>
    <x v="4"/>
    <x v="2"/>
    <x v="0"/>
    <x v="1607"/>
    <s v="HP2636958732"/>
    <x v="0"/>
    <n v="1"/>
  </r>
  <r>
    <x v="1"/>
    <x v="3"/>
    <x v="15"/>
    <x v="53"/>
    <x v="125"/>
    <x v="125"/>
    <x v="1"/>
    <s v="N"/>
    <s v="N"/>
    <x v="1"/>
    <x v="0"/>
    <x v="0"/>
    <x v="0"/>
    <s v="성인"/>
    <s v="성인"/>
    <s v="닷컴"/>
    <x v="4"/>
    <x v="2"/>
    <x v="0"/>
    <x v="1607"/>
    <s v="HP2636958732"/>
    <x v="1"/>
    <n v="1599000"/>
  </r>
  <r>
    <x v="1"/>
    <x v="3"/>
    <x v="15"/>
    <x v="53"/>
    <x v="125"/>
    <x v="125"/>
    <x v="1"/>
    <s v="N"/>
    <s v="N"/>
    <x v="1"/>
    <x v="0"/>
    <x v="0"/>
    <x v="0"/>
    <m/>
    <m/>
    <s v="닷컴"/>
    <x v="4"/>
    <x v="2"/>
    <x v="1"/>
    <x v="1607"/>
    <s v="HP2636958732"/>
    <x v="0"/>
    <n v="0"/>
  </r>
  <r>
    <x v="1"/>
    <x v="3"/>
    <x v="15"/>
    <x v="53"/>
    <x v="125"/>
    <x v="125"/>
    <x v="1"/>
    <s v="N"/>
    <s v="N"/>
    <x v="1"/>
    <x v="0"/>
    <x v="0"/>
    <x v="0"/>
    <m/>
    <m/>
    <s v="닷컴"/>
    <x v="4"/>
    <x v="2"/>
    <x v="1"/>
    <x v="1607"/>
    <s v="HP2636958732"/>
    <x v="1"/>
    <n v="1599000"/>
  </r>
  <r>
    <x v="1"/>
    <x v="3"/>
    <x v="15"/>
    <x v="53"/>
    <x v="125"/>
    <x v="125"/>
    <x v="1"/>
    <s v="N"/>
    <s v="N"/>
    <x v="1"/>
    <x v="0"/>
    <x v="0"/>
    <x v="0"/>
    <m/>
    <m/>
    <s v="대리점"/>
    <x v="0"/>
    <x v="2"/>
    <x v="1"/>
    <x v="1608"/>
    <s v="HP2636952744"/>
    <x v="0"/>
    <n v="0"/>
  </r>
  <r>
    <x v="1"/>
    <x v="3"/>
    <x v="15"/>
    <x v="53"/>
    <x v="125"/>
    <x v="125"/>
    <x v="1"/>
    <s v="N"/>
    <s v="N"/>
    <x v="1"/>
    <x v="0"/>
    <x v="0"/>
    <x v="0"/>
    <m/>
    <m/>
    <s v="대리점"/>
    <x v="0"/>
    <x v="2"/>
    <x v="1"/>
    <x v="1608"/>
    <s v="HP2636952744"/>
    <x v="1"/>
    <n v="2115800"/>
  </r>
  <r>
    <x v="1"/>
    <x v="3"/>
    <x v="15"/>
    <x v="53"/>
    <x v="125"/>
    <x v="125"/>
    <x v="11"/>
    <s v="Y"/>
    <s v="N"/>
    <x v="0"/>
    <x v="0"/>
    <x v="0"/>
    <x v="0"/>
    <m/>
    <m/>
    <s v="닷컴"/>
    <x v="5"/>
    <x v="2"/>
    <x v="1"/>
    <x v="1609"/>
    <s v="HP2636979332"/>
    <x v="0"/>
    <n v="0"/>
  </r>
  <r>
    <x v="1"/>
    <x v="3"/>
    <x v="15"/>
    <x v="53"/>
    <x v="125"/>
    <x v="125"/>
    <x v="11"/>
    <s v="Y"/>
    <s v="N"/>
    <x v="0"/>
    <x v="0"/>
    <x v="0"/>
    <x v="0"/>
    <m/>
    <m/>
    <s v="닷컴"/>
    <x v="5"/>
    <x v="2"/>
    <x v="1"/>
    <x v="1609"/>
    <s v="HP2636979332"/>
    <x v="1"/>
    <n v="2268000"/>
  </r>
  <r>
    <x v="1"/>
    <x v="3"/>
    <x v="15"/>
    <x v="53"/>
    <x v="125"/>
    <x v="125"/>
    <x v="3"/>
    <s v="N"/>
    <s v="Y"/>
    <x v="4"/>
    <x v="1"/>
    <x v="0"/>
    <x v="0"/>
    <m/>
    <m/>
    <s v="닷컴"/>
    <x v="4"/>
    <x v="12"/>
    <x v="1"/>
    <x v="1610"/>
    <s v="HB2636992546"/>
    <x v="0"/>
    <n v="0"/>
  </r>
  <r>
    <x v="1"/>
    <x v="3"/>
    <x v="15"/>
    <x v="53"/>
    <x v="125"/>
    <x v="125"/>
    <x v="3"/>
    <s v="N"/>
    <s v="Y"/>
    <x v="4"/>
    <x v="1"/>
    <x v="0"/>
    <x v="0"/>
    <m/>
    <m/>
    <s v="닷컴"/>
    <x v="4"/>
    <x v="12"/>
    <x v="1"/>
    <x v="1610"/>
    <s v="HB2636992546"/>
    <x v="1"/>
    <n v="65090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0"/>
    <x v="1611"/>
    <s v="HB2636988574"/>
    <x v="0"/>
    <n v="4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0"/>
    <x v="1611"/>
    <s v="HB2636988574"/>
    <x v="1"/>
    <n v="562040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2"/>
    <s v="HB2636986408"/>
    <x v="0"/>
    <n v="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2"/>
    <s v="HB2636986408"/>
    <x v="1"/>
    <n v="58760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3"/>
    <s v="HB2636986458"/>
    <x v="0"/>
    <n v="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3"/>
    <s v="HB2636986458"/>
    <x v="1"/>
    <n v="3107000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0"/>
    <x v="1611"/>
    <s v="HB2636988574"/>
    <x v="0"/>
    <n v="2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0"/>
    <x v="1611"/>
    <s v="HB2636988574"/>
    <x v="1"/>
    <n v="2521800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1"/>
    <x v="1612"/>
    <s v="HB2636986408"/>
    <x v="0"/>
    <n v="0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1"/>
    <x v="1612"/>
    <s v="HB2636986408"/>
    <x v="1"/>
    <n v="793260"/>
  </r>
  <r>
    <x v="1"/>
    <x v="3"/>
    <x v="15"/>
    <x v="53"/>
    <x v="125"/>
    <x v="125"/>
    <x v="3"/>
    <s v="N"/>
    <s v="Y"/>
    <x v="0"/>
    <x v="0"/>
    <x v="0"/>
    <x v="0"/>
    <s v="성인"/>
    <s v="성인"/>
    <s v="대리점"/>
    <x v="0"/>
    <x v="16"/>
    <x v="0"/>
    <x v="1605"/>
    <s v="HP2636988790"/>
    <x v="0"/>
    <n v="2"/>
  </r>
  <r>
    <x v="1"/>
    <x v="3"/>
    <x v="15"/>
    <x v="53"/>
    <x v="125"/>
    <x v="125"/>
    <x v="3"/>
    <s v="N"/>
    <s v="Y"/>
    <x v="0"/>
    <x v="0"/>
    <x v="0"/>
    <x v="0"/>
    <s v="성인"/>
    <s v="성인"/>
    <s v="대리점"/>
    <x v="0"/>
    <x v="16"/>
    <x v="0"/>
    <x v="1605"/>
    <s v="HP2636988790"/>
    <x v="1"/>
    <n v="2025200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6"/>
    <x v="0"/>
    <x v="1614"/>
    <s v="HP2636986760"/>
    <x v="0"/>
    <n v="8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6"/>
    <x v="0"/>
    <x v="1614"/>
    <s v="HP2636986760"/>
    <x v="1"/>
    <n v="13199200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08"/>
    <s v="HP2636987144"/>
    <x v="0"/>
    <n v="2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08"/>
    <s v="HP2636987144"/>
    <x v="1"/>
    <n v="2115800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15"/>
    <s v="HP2636986290"/>
    <x v="0"/>
    <n v="2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15"/>
    <s v="HP2636986290"/>
    <x v="1"/>
    <n v="369800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6"/>
    <x v="0"/>
    <x v="1614"/>
    <s v="HP2636986760"/>
    <x v="0"/>
    <n v="1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6"/>
    <x v="0"/>
    <x v="1614"/>
    <s v="HP2636986760"/>
    <x v="1"/>
    <n v="164990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497"/>
    <s v="HP2636986302"/>
    <x v="0"/>
    <n v="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497"/>
    <s v="HP2636986302"/>
    <x v="1"/>
    <n v="578700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615"/>
    <s v="HP2636986290"/>
    <x v="0"/>
    <n v="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615"/>
    <s v="HP2636986290"/>
    <x v="1"/>
    <n v="1849000"/>
  </r>
  <r>
    <x v="1"/>
    <x v="3"/>
    <x v="15"/>
    <x v="53"/>
    <x v="125"/>
    <x v="125"/>
    <x v="3"/>
    <s v="N"/>
    <s v="Y"/>
    <x v="2"/>
    <x v="0"/>
    <x v="0"/>
    <x v="0"/>
    <m/>
    <m/>
    <s v="대리점"/>
    <x v="0"/>
    <x v="3"/>
    <x v="0"/>
    <x v="1616"/>
    <s v="HP2636987036"/>
    <x v="0"/>
    <n v="2"/>
  </r>
  <r>
    <x v="1"/>
    <x v="3"/>
    <x v="15"/>
    <x v="53"/>
    <x v="125"/>
    <x v="125"/>
    <x v="3"/>
    <s v="N"/>
    <s v="Y"/>
    <x v="2"/>
    <x v="0"/>
    <x v="0"/>
    <x v="0"/>
    <m/>
    <m/>
    <s v="대리점"/>
    <x v="0"/>
    <x v="3"/>
    <x v="0"/>
    <x v="1616"/>
    <s v="HP2636987036"/>
    <x v="1"/>
    <n v="4533200"/>
  </r>
  <r>
    <x v="1"/>
    <x v="3"/>
    <x v="15"/>
    <x v="53"/>
    <x v="125"/>
    <x v="125"/>
    <x v="4"/>
    <s v="N"/>
    <s v="N"/>
    <x v="5"/>
    <x v="3"/>
    <x v="0"/>
    <x v="0"/>
    <m/>
    <m/>
    <s v="대리점"/>
    <x v="0"/>
    <x v="18"/>
    <x v="1"/>
    <x v="1617"/>
    <s v="HG2637006924"/>
    <x v="0"/>
    <n v="0"/>
  </r>
  <r>
    <x v="1"/>
    <x v="3"/>
    <x v="15"/>
    <x v="53"/>
    <x v="125"/>
    <x v="125"/>
    <x v="4"/>
    <s v="N"/>
    <s v="N"/>
    <x v="5"/>
    <x v="3"/>
    <x v="0"/>
    <x v="0"/>
    <m/>
    <m/>
    <s v="대리점"/>
    <x v="0"/>
    <x v="18"/>
    <x v="1"/>
    <x v="1617"/>
    <s v="HG2637006924"/>
    <x v="1"/>
    <n v="3519800"/>
  </r>
  <r>
    <x v="1"/>
    <x v="3"/>
    <x v="15"/>
    <x v="53"/>
    <x v="125"/>
    <x v="125"/>
    <x v="4"/>
    <s v="N"/>
    <s v="N"/>
    <x v="0"/>
    <x v="0"/>
    <x v="0"/>
    <x v="0"/>
    <s v="성인"/>
    <s v="성인"/>
    <s v="대리점"/>
    <x v="0"/>
    <x v="16"/>
    <x v="0"/>
    <x v="1605"/>
    <s v="HP2636988790"/>
    <x v="0"/>
    <n v="4"/>
  </r>
  <r>
    <x v="1"/>
    <x v="3"/>
    <x v="15"/>
    <x v="53"/>
    <x v="125"/>
    <x v="125"/>
    <x v="4"/>
    <s v="N"/>
    <s v="N"/>
    <x v="0"/>
    <x v="0"/>
    <x v="0"/>
    <x v="0"/>
    <s v="성인"/>
    <s v="성인"/>
    <s v="대리점"/>
    <x v="0"/>
    <x v="16"/>
    <x v="0"/>
    <x v="1605"/>
    <s v="HP2636988790"/>
    <x v="1"/>
    <n v="4050400"/>
  </r>
  <r>
    <x v="1"/>
    <x v="3"/>
    <x v="15"/>
    <x v="53"/>
    <x v="125"/>
    <x v="125"/>
    <x v="4"/>
    <s v="N"/>
    <s v="N"/>
    <x v="0"/>
    <x v="0"/>
    <x v="0"/>
    <x v="1"/>
    <s v="아동"/>
    <s v="아동"/>
    <s v="대리점"/>
    <x v="0"/>
    <x v="16"/>
    <x v="0"/>
    <x v="1605"/>
    <s v="HP2636988790"/>
    <x v="0"/>
    <n v="3"/>
  </r>
  <r>
    <x v="1"/>
    <x v="3"/>
    <x v="15"/>
    <x v="53"/>
    <x v="125"/>
    <x v="125"/>
    <x v="4"/>
    <s v="N"/>
    <s v="N"/>
    <x v="0"/>
    <x v="0"/>
    <x v="0"/>
    <x v="1"/>
    <s v="아동"/>
    <s v="아동"/>
    <s v="대리점"/>
    <x v="0"/>
    <x v="16"/>
    <x v="0"/>
    <x v="1605"/>
    <s v="HP2636988790"/>
    <x v="1"/>
    <n v="2835280"/>
  </r>
  <r>
    <x v="1"/>
    <x v="3"/>
    <x v="15"/>
    <x v="53"/>
    <x v="125"/>
    <x v="125"/>
    <x v="4"/>
    <s v="N"/>
    <s v="N"/>
    <x v="1"/>
    <x v="0"/>
    <x v="0"/>
    <x v="0"/>
    <s v="성인"/>
    <s v="성인"/>
    <s v="대리점"/>
    <x v="0"/>
    <x v="2"/>
    <x v="0"/>
    <x v="1618"/>
    <s v="HP2637002838"/>
    <x v="0"/>
    <n v="2"/>
  </r>
  <r>
    <x v="1"/>
    <x v="3"/>
    <x v="15"/>
    <x v="53"/>
    <x v="125"/>
    <x v="125"/>
    <x v="4"/>
    <s v="N"/>
    <s v="N"/>
    <x v="1"/>
    <x v="0"/>
    <x v="0"/>
    <x v="0"/>
    <s v="성인"/>
    <s v="성인"/>
    <s v="대리점"/>
    <x v="0"/>
    <x v="2"/>
    <x v="0"/>
    <x v="1618"/>
    <s v="HP2637002838"/>
    <x v="1"/>
    <n v="32780000"/>
  </r>
  <r>
    <x v="1"/>
    <x v="3"/>
    <x v="15"/>
    <x v="53"/>
    <x v="125"/>
    <x v="125"/>
    <x v="5"/>
    <s v="N"/>
    <s v="N"/>
    <x v="1"/>
    <x v="0"/>
    <x v="0"/>
    <x v="0"/>
    <s v="성인"/>
    <s v="성인"/>
    <s v="닷컴"/>
    <x v="5"/>
    <x v="3"/>
    <x v="0"/>
    <x v="1619"/>
    <s v="HP2637028330"/>
    <x v="0"/>
    <n v="1"/>
  </r>
  <r>
    <x v="1"/>
    <x v="3"/>
    <x v="15"/>
    <x v="53"/>
    <x v="125"/>
    <x v="125"/>
    <x v="5"/>
    <s v="N"/>
    <s v="N"/>
    <x v="1"/>
    <x v="0"/>
    <x v="0"/>
    <x v="0"/>
    <s v="성인"/>
    <s v="성인"/>
    <s v="닷컴"/>
    <x v="5"/>
    <x v="3"/>
    <x v="0"/>
    <x v="1619"/>
    <s v="HP2637028330"/>
    <x v="1"/>
    <n v="736900"/>
  </r>
  <r>
    <x v="1"/>
    <x v="3"/>
    <x v="15"/>
    <x v="53"/>
    <x v="125"/>
    <x v="125"/>
    <x v="6"/>
    <s v="N"/>
    <s v="N"/>
    <x v="5"/>
    <x v="3"/>
    <x v="0"/>
    <x v="0"/>
    <m/>
    <m/>
    <s v="대리점"/>
    <x v="0"/>
    <x v="18"/>
    <x v="1"/>
    <x v="1620"/>
    <s v="HG2637057402"/>
    <x v="0"/>
    <n v="0"/>
  </r>
  <r>
    <x v="1"/>
    <x v="3"/>
    <x v="15"/>
    <x v="53"/>
    <x v="125"/>
    <x v="125"/>
    <x v="6"/>
    <s v="N"/>
    <s v="N"/>
    <x v="5"/>
    <x v="3"/>
    <x v="0"/>
    <x v="0"/>
    <m/>
    <m/>
    <s v="대리점"/>
    <x v="0"/>
    <x v="18"/>
    <x v="1"/>
    <x v="1620"/>
    <s v="HG2637057402"/>
    <x v="1"/>
    <n v="3559800"/>
  </r>
  <r>
    <x v="1"/>
    <x v="3"/>
    <x v="15"/>
    <x v="53"/>
    <x v="125"/>
    <x v="125"/>
    <x v="6"/>
    <s v="N"/>
    <s v="N"/>
    <x v="0"/>
    <x v="0"/>
    <x v="0"/>
    <x v="0"/>
    <m/>
    <m/>
    <s v="닷컴"/>
    <x v="4"/>
    <x v="2"/>
    <x v="1"/>
    <x v="1621"/>
    <s v="HP2637055086"/>
    <x v="0"/>
    <n v="0"/>
  </r>
  <r>
    <x v="1"/>
    <x v="3"/>
    <x v="15"/>
    <x v="53"/>
    <x v="125"/>
    <x v="125"/>
    <x v="6"/>
    <s v="N"/>
    <s v="N"/>
    <x v="0"/>
    <x v="0"/>
    <x v="0"/>
    <x v="0"/>
    <m/>
    <m/>
    <s v="닷컴"/>
    <x v="4"/>
    <x v="2"/>
    <x v="1"/>
    <x v="1621"/>
    <s v="HP2637055086"/>
    <x v="1"/>
    <n v="4230000"/>
  </r>
  <r>
    <x v="1"/>
    <x v="3"/>
    <x v="15"/>
    <x v="53"/>
    <x v="125"/>
    <x v="125"/>
    <x v="6"/>
    <s v="N"/>
    <s v="N"/>
    <x v="1"/>
    <x v="0"/>
    <x v="0"/>
    <x v="0"/>
    <s v="성인"/>
    <s v="성인"/>
    <s v="닷컴"/>
    <x v="5"/>
    <x v="2"/>
    <x v="0"/>
    <x v="1622"/>
    <s v="HP2637050850"/>
    <x v="0"/>
    <n v="2"/>
  </r>
  <r>
    <x v="1"/>
    <x v="3"/>
    <x v="15"/>
    <x v="53"/>
    <x v="125"/>
    <x v="125"/>
    <x v="6"/>
    <s v="N"/>
    <s v="N"/>
    <x v="1"/>
    <x v="0"/>
    <x v="0"/>
    <x v="0"/>
    <s v="성인"/>
    <s v="성인"/>
    <s v="닷컴"/>
    <x v="5"/>
    <x v="2"/>
    <x v="0"/>
    <x v="1622"/>
    <s v="HP2637050850"/>
    <x v="1"/>
    <n v="2196000"/>
  </r>
  <r>
    <x v="1"/>
    <x v="3"/>
    <x v="15"/>
    <x v="53"/>
    <x v="125"/>
    <x v="125"/>
    <x v="7"/>
    <s v="N"/>
    <s v="Y"/>
    <x v="5"/>
    <x v="3"/>
    <x v="0"/>
    <x v="0"/>
    <s v="성인"/>
    <s v="성인"/>
    <s v="대리점"/>
    <x v="0"/>
    <x v="18"/>
    <x v="0"/>
    <x v="1620"/>
    <s v="HG2637070458"/>
    <x v="0"/>
    <n v="2"/>
  </r>
  <r>
    <x v="1"/>
    <x v="3"/>
    <x v="15"/>
    <x v="53"/>
    <x v="125"/>
    <x v="125"/>
    <x v="7"/>
    <s v="N"/>
    <s v="Y"/>
    <x v="5"/>
    <x v="3"/>
    <x v="0"/>
    <x v="0"/>
    <s v="성인"/>
    <s v="성인"/>
    <s v="대리점"/>
    <x v="0"/>
    <x v="18"/>
    <x v="0"/>
    <x v="1620"/>
    <s v="HG2637070458"/>
    <x v="1"/>
    <n v="3559800"/>
  </r>
  <r>
    <x v="1"/>
    <x v="3"/>
    <x v="15"/>
    <x v="53"/>
    <x v="125"/>
    <x v="125"/>
    <x v="7"/>
    <s v="N"/>
    <s v="Y"/>
    <x v="1"/>
    <x v="0"/>
    <x v="0"/>
    <x v="0"/>
    <m/>
    <m/>
    <s v="대리점"/>
    <x v="0"/>
    <x v="2"/>
    <x v="0"/>
    <x v="1623"/>
    <s v="HP2637073642"/>
    <x v="0"/>
    <n v="9"/>
  </r>
  <r>
    <x v="1"/>
    <x v="3"/>
    <x v="15"/>
    <x v="53"/>
    <x v="125"/>
    <x v="125"/>
    <x v="7"/>
    <s v="N"/>
    <s v="Y"/>
    <x v="1"/>
    <x v="0"/>
    <x v="0"/>
    <x v="0"/>
    <m/>
    <m/>
    <s v="대리점"/>
    <x v="0"/>
    <x v="2"/>
    <x v="0"/>
    <x v="1623"/>
    <s v="HP2637073642"/>
    <x v="1"/>
    <n v="14661900"/>
  </r>
  <r>
    <x v="1"/>
    <x v="3"/>
    <x v="15"/>
    <x v="53"/>
    <x v="125"/>
    <x v="125"/>
    <x v="8"/>
    <s v="Y"/>
    <s v="N"/>
    <x v="0"/>
    <x v="0"/>
    <x v="0"/>
    <x v="0"/>
    <s v="성인"/>
    <s v="성인"/>
    <s v="닷컴"/>
    <x v="4"/>
    <x v="6"/>
    <x v="0"/>
    <x v="1624"/>
    <s v="HP2637090922"/>
    <x v="0"/>
    <n v="2"/>
  </r>
  <r>
    <x v="1"/>
    <x v="3"/>
    <x v="15"/>
    <x v="53"/>
    <x v="125"/>
    <x v="125"/>
    <x v="8"/>
    <s v="Y"/>
    <s v="N"/>
    <x v="0"/>
    <x v="0"/>
    <x v="0"/>
    <x v="0"/>
    <s v="성인"/>
    <s v="성인"/>
    <s v="닷컴"/>
    <x v="4"/>
    <x v="6"/>
    <x v="0"/>
    <x v="1624"/>
    <s v="HP2637090922"/>
    <x v="1"/>
    <n v="1999800"/>
  </r>
  <r>
    <x v="1"/>
    <x v="3"/>
    <x v="15"/>
    <x v="53"/>
    <x v="125"/>
    <x v="125"/>
    <x v="8"/>
    <s v="Y"/>
    <s v="N"/>
    <x v="0"/>
    <x v="0"/>
    <x v="0"/>
    <x v="0"/>
    <s v="청소년"/>
    <s v="청소년"/>
    <s v="닷컴"/>
    <x v="4"/>
    <x v="6"/>
    <x v="0"/>
    <x v="1624"/>
    <s v="HP2637090922"/>
    <x v="0"/>
    <n v="1"/>
  </r>
  <r>
    <x v="1"/>
    <x v="3"/>
    <x v="15"/>
    <x v="53"/>
    <x v="125"/>
    <x v="125"/>
    <x v="8"/>
    <s v="Y"/>
    <s v="N"/>
    <x v="0"/>
    <x v="0"/>
    <x v="0"/>
    <x v="0"/>
    <s v="청소년"/>
    <s v="청소년"/>
    <s v="닷컴"/>
    <x v="4"/>
    <x v="6"/>
    <x v="0"/>
    <x v="1624"/>
    <s v="HP2637090922"/>
    <x v="1"/>
    <n v="999900"/>
  </r>
  <r>
    <x v="1"/>
    <x v="3"/>
    <x v="15"/>
    <x v="53"/>
    <x v="125"/>
    <x v="125"/>
    <x v="10"/>
    <s v="N"/>
    <s v="N"/>
    <x v="4"/>
    <x v="1"/>
    <x v="0"/>
    <x v="0"/>
    <s v="성인"/>
    <s v="성인"/>
    <s v="닷컴"/>
    <x v="4"/>
    <x v="43"/>
    <x v="0"/>
    <x v="1625"/>
    <s v="HB2637126258"/>
    <x v="0"/>
    <n v="1"/>
  </r>
  <r>
    <x v="1"/>
    <x v="3"/>
    <x v="15"/>
    <x v="53"/>
    <x v="125"/>
    <x v="125"/>
    <x v="10"/>
    <s v="N"/>
    <s v="N"/>
    <x v="4"/>
    <x v="1"/>
    <x v="0"/>
    <x v="0"/>
    <s v="성인"/>
    <s v="성인"/>
    <s v="닷컴"/>
    <x v="4"/>
    <x v="43"/>
    <x v="0"/>
    <x v="1625"/>
    <s v="HB2637126258"/>
    <x v="1"/>
    <n v="206900"/>
  </r>
  <r>
    <x v="1"/>
    <x v="3"/>
    <x v="15"/>
    <x v="53"/>
    <x v="125"/>
    <x v="125"/>
    <x v="10"/>
    <s v="N"/>
    <s v="N"/>
    <x v="0"/>
    <x v="0"/>
    <x v="0"/>
    <x v="0"/>
    <m/>
    <m/>
    <s v="닷컴"/>
    <x v="5"/>
    <x v="2"/>
    <x v="0"/>
    <x v="1626"/>
    <s v="HP2637121320"/>
    <x v="0"/>
    <n v="2"/>
  </r>
  <r>
    <x v="1"/>
    <x v="3"/>
    <x v="15"/>
    <x v="53"/>
    <x v="125"/>
    <x v="125"/>
    <x v="10"/>
    <s v="N"/>
    <s v="N"/>
    <x v="0"/>
    <x v="0"/>
    <x v="0"/>
    <x v="0"/>
    <m/>
    <m/>
    <s v="닷컴"/>
    <x v="5"/>
    <x v="2"/>
    <x v="0"/>
    <x v="1626"/>
    <s v="HP2637121320"/>
    <x v="1"/>
    <n v="1215200"/>
  </r>
  <r>
    <x v="1"/>
    <x v="3"/>
    <x v="15"/>
    <x v="53"/>
    <x v="125"/>
    <x v="125"/>
    <x v="10"/>
    <s v="N"/>
    <s v="N"/>
    <x v="0"/>
    <x v="0"/>
    <x v="0"/>
    <x v="0"/>
    <m/>
    <m/>
    <s v="대리점"/>
    <x v="0"/>
    <x v="2"/>
    <x v="0"/>
    <x v="1627"/>
    <s v="HP2637126562"/>
    <x v="0"/>
    <n v="2"/>
  </r>
  <r>
    <x v="1"/>
    <x v="3"/>
    <x v="15"/>
    <x v="53"/>
    <x v="125"/>
    <x v="125"/>
    <x v="10"/>
    <s v="N"/>
    <s v="N"/>
    <x v="0"/>
    <x v="0"/>
    <x v="0"/>
    <x v="0"/>
    <m/>
    <m/>
    <s v="대리점"/>
    <x v="0"/>
    <x v="2"/>
    <x v="0"/>
    <x v="1627"/>
    <s v="HP2637126562"/>
    <x v="1"/>
    <n v="2649800"/>
  </r>
  <r>
    <x v="1"/>
    <x v="3"/>
    <x v="15"/>
    <x v="53"/>
    <x v="125"/>
    <x v="125"/>
    <x v="10"/>
    <s v="N"/>
    <s v="N"/>
    <x v="6"/>
    <x v="2"/>
    <x v="0"/>
    <x v="0"/>
    <s v="성인"/>
    <s v="성인"/>
    <s v="대리점"/>
    <x v="0"/>
    <x v="28"/>
    <x v="0"/>
    <x v="1628"/>
    <s v="HQ2637124978"/>
    <x v="0"/>
    <n v="2"/>
  </r>
  <r>
    <x v="1"/>
    <x v="3"/>
    <x v="15"/>
    <x v="53"/>
    <x v="125"/>
    <x v="125"/>
    <x v="10"/>
    <s v="N"/>
    <s v="N"/>
    <x v="6"/>
    <x v="2"/>
    <x v="0"/>
    <x v="0"/>
    <s v="성인"/>
    <s v="성인"/>
    <s v="대리점"/>
    <x v="0"/>
    <x v="28"/>
    <x v="0"/>
    <x v="1628"/>
    <s v="HQ2637124978"/>
    <x v="1"/>
    <n v="0"/>
  </r>
  <r>
    <x v="1"/>
    <x v="3"/>
    <x v="15"/>
    <x v="53"/>
    <x v="126"/>
    <x v="126"/>
    <x v="1"/>
    <s v="N"/>
    <s v="N"/>
    <x v="4"/>
    <x v="2"/>
    <x v="1"/>
    <x v="0"/>
    <s v="성인"/>
    <s v="성인"/>
    <s v="대리점"/>
    <x v="0"/>
    <x v="2"/>
    <x v="0"/>
    <x v="1629"/>
    <s v="HQ2635415560"/>
    <x v="0"/>
    <n v="1"/>
  </r>
  <r>
    <x v="1"/>
    <x v="3"/>
    <x v="15"/>
    <x v="53"/>
    <x v="126"/>
    <x v="126"/>
    <x v="1"/>
    <s v="N"/>
    <s v="N"/>
    <x v="4"/>
    <x v="2"/>
    <x v="1"/>
    <x v="0"/>
    <s v="성인"/>
    <s v="성인"/>
    <s v="대리점"/>
    <x v="0"/>
    <x v="2"/>
    <x v="0"/>
    <x v="1629"/>
    <s v="HQ2635415560"/>
    <x v="1"/>
    <n v="800000"/>
  </r>
  <r>
    <x v="1"/>
    <x v="3"/>
    <x v="15"/>
    <x v="53"/>
    <x v="126"/>
    <x v="126"/>
    <x v="5"/>
    <s v="N"/>
    <s v="N"/>
    <x v="0"/>
    <x v="0"/>
    <x v="0"/>
    <x v="0"/>
    <s v="성인"/>
    <s v="성인"/>
    <s v="대리점"/>
    <x v="0"/>
    <x v="2"/>
    <x v="0"/>
    <x v="1630"/>
    <s v="HP2637032316"/>
    <x v="0"/>
    <n v="2"/>
  </r>
  <r>
    <x v="1"/>
    <x v="3"/>
    <x v="15"/>
    <x v="53"/>
    <x v="126"/>
    <x v="126"/>
    <x v="5"/>
    <s v="N"/>
    <s v="N"/>
    <x v="0"/>
    <x v="0"/>
    <x v="0"/>
    <x v="0"/>
    <s v="성인"/>
    <s v="성인"/>
    <s v="대리점"/>
    <x v="0"/>
    <x v="2"/>
    <x v="0"/>
    <x v="1630"/>
    <s v="HP2637032316"/>
    <x v="1"/>
    <n v="7650000"/>
  </r>
  <r>
    <x v="1"/>
    <x v="3"/>
    <x v="15"/>
    <x v="53"/>
    <x v="126"/>
    <x v="126"/>
    <x v="6"/>
    <s v="N"/>
    <s v="N"/>
    <x v="4"/>
    <x v="2"/>
    <x v="1"/>
    <x v="0"/>
    <m/>
    <m/>
    <s v="대리점"/>
    <x v="0"/>
    <x v="2"/>
    <x v="0"/>
    <x v="1629"/>
    <s v="HQ2635415560"/>
    <x v="0"/>
    <n v="2"/>
  </r>
  <r>
    <x v="1"/>
    <x v="3"/>
    <x v="15"/>
    <x v="53"/>
    <x v="126"/>
    <x v="126"/>
    <x v="6"/>
    <s v="N"/>
    <s v="N"/>
    <x v="4"/>
    <x v="2"/>
    <x v="1"/>
    <x v="0"/>
    <m/>
    <m/>
    <s v="대리점"/>
    <x v="0"/>
    <x v="2"/>
    <x v="0"/>
    <x v="1629"/>
    <s v="HQ2635415560"/>
    <x v="1"/>
    <n v="1600000"/>
  </r>
  <r>
    <x v="1"/>
    <x v="3"/>
    <x v="15"/>
    <x v="53"/>
    <x v="126"/>
    <x v="126"/>
    <x v="10"/>
    <s v="N"/>
    <s v="N"/>
    <x v="0"/>
    <x v="0"/>
    <x v="0"/>
    <x v="0"/>
    <m/>
    <m/>
    <s v="대리점"/>
    <x v="0"/>
    <x v="2"/>
    <x v="0"/>
    <x v="1631"/>
    <s v="HP2637121824"/>
    <x v="0"/>
    <n v="2"/>
  </r>
  <r>
    <x v="1"/>
    <x v="3"/>
    <x v="15"/>
    <x v="53"/>
    <x v="126"/>
    <x v="126"/>
    <x v="10"/>
    <s v="N"/>
    <s v="N"/>
    <x v="0"/>
    <x v="0"/>
    <x v="0"/>
    <x v="0"/>
    <m/>
    <m/>
    <s v="대리점"/>
    <x v="0"/>
    <x v="2"/>
    <x v="0"/>
    <x v="1631"/>
    <s v="HP2637121824"/>
    <x v="1"/>
    <n v="3298000"/>
  </r>
  <r>
    <x v="1"/>
    <x v="3"/>
    <x v="15"/>
    <x v="53"/>
    <x v="126"/>
    <x v="126"/>
    <x v="10"/>
    <s v="N"/>
    <s v="N"/>
    <x v="1"/>
    <x v="0"/>
    <x v="0"/>
    <x v="0"/>
    <s v="성인"/>
    <s v="성인"/>
    <s v="대리점"/>
    <x v="0"/>
    <x v="2"/>
    <x v="0"/>
    <x v="1632"/>
    <s v="HP2637117928"/>
    <x v="0"/>
    <n v="1"/>
  </r>
  <r>
    <x v="1"/>
    <x v="3"/>
    <x v="15"/>
    <x v="53"/>
    <x v="126"/>
    <x v="126"/>
    <x v="10"/>
    <s v="N"/>
    <s v="N"/>
    <x v="1"/>
    <x v="0"/>
    <x v="0"/>
    <x v="0"/>
    <s v="성인"/>
    <s v="성인"/>
    <s v="대리점"/>
    <x v="0"/>
    <x v="2"/>
    <x v="0"/>
    <x v="1632"/>
    <s v="HP2637117928"/>
    <x v="1"/>
    <n v="929500"/>
  </r>
  <r>
    <x v="1"/>
    <x v="3"/>
    <x v="15"/>
    <x v="53"/>
    <x v="126"/>
    <x v="126"/>
    <x v="10"/>
    <s v="N"/>
    <s v="N"/>
    <x v="1"/>
    <x v="0"/>
    <x v="0"/>
    <x v="0"/>
    <m/>
    <m/>
    <s v="대리점"/>
    <x v="0"/>
    <x v="2"/>
    <x v="0"/>
    <x v="1632"/>
    <s v="HP2637117928"/>
    <x v="0"/>
    <n v="1"/>
  </r>
  <r>
    <x v="1"/>
    <x v="3"/>
    <x v="15"/>
    <x v="53"/>
    <x v="126"/>
    <x v="126"/>
    <x v="10"/>
    <s v="N"/>
    <s v="N"/>
    <x v="1"/>
    <x v="0"/>
    <x v="0"/>
    <x v="0"/>
    <m/>
    <m/>
    <s v="대리점"/>
    <x v="0"/>
    <x v="2"/>
    <x v="0"/>
    <x v="1632"/>
    <s v="HP2637117928"/>
    <x v="1"/>
    <n v="929500"/>
  </r>
  <r>
    <x v="1"/>
    <x v="3"/>
    <x v="16"/>
    <x v="54"/>
    <x v="127"/>
    <x v="127"/>
    <x v="1"/>
    <s v="N"/>
    <s v="N"/>
    <x v="1"/>
    <x v="0"/>
    <x v="0"/>
    <x v="0"/>
    <s v="성인"/>
    <s v="성인"/>
    <s v="대리점"/>
    <x v="0"/>
    <x v="3"/>
    <x v="0"/>
    <x v="1633"/>
    <s v="HP2636755522"/>
    <x v="0"/>
    <n v="3"/>
  </r>
  <r>
    <x v="1"/>
    <x v="3"/>
    <x v="16"/>
    <x v="54"/>
    <x v="127"/>
    <x v="127"/>
    <x v="1"/>
    <s v="N"/>
    <s v="N"/>
    <x v="1"/>
    <x v="0"/>
    <x v="0"/>
    <x v="0"/>
    <s v="성인"/>
    <s v="성인"/>
    <s v="대리점"/>
    <x v="0"/>
    <x v="3"/>
    <x v="0"/>
    <x v="1633"/>
    <s v="HP2636755522"/>
    <x v="1"/>
    <n v="453030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4"/>
    <s v="HP2636946230"/>
    <x v="0"/>
    <n v="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4"/>
    <s v="HP2636946230"/>
    <x v="1"/>
    <n v="601100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5"/>
    <s v="HP2636956344"/>
    <x v="0"/>
    <n v="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5"/>
    <s v="HP2636956344"/>
    <x v="1"/>
    <n v="5100000"/>
  </r>
  <r>
    <x v="1"/>
    <x v="3"/>
    <x v="16"/>
    <x v="54"/>
    <x v="127"/>
    <x v="127"/>
    <x v="1"/>
    <s v="N"/>
    <s v="N"/>
    <x v="1"/>
    <x v="0"/>
    <x v="0"/>
    <x v="1"/>
    <s v="아동"/>
    <s v="아동"/>
    <s v="대리점"/>
    <x v="0"/>
    <x v="3"/>
    <x v="0"/>
    <x v="1633"/>
    <s v="HP2636755522"/>
    <x v="0"/>
    <n v="1"/>
  </r>
  <r>
    <x v="1"/>
    <x v="3"/>
    <x v="16"/>
    <x v="54"/>
    <x v="127"/>
    <x v="127"/>
    <x v="1"/>
    <s v="N"/>
    <s v="N"/>
    <x v="1"/>
    <x v="0"/>
    <x v="0"/>
    <x v="1"/>
    <s v="아동"/>
    <s v="아동"/>
    <s v="대리점"/>
    <x v="0"/>
    <x v="3"/>
    <x v="0"/>
    <x v="1633"/>
    <s v="HP2636755522"/>
    <x v="1"/>
    <n v="1510100"/>
  </r>
  <r>
    <x v="1"/>
    <x v="3"/>
    <x v="16"/>
    <x v="54"/>
    <x v="127"/>
    <x v="127"/>
    <x v="4"/>
    <s v="N"/>
    <s v="N"/>
    <x v="1"/>
    <x v="0"/>
    <x v="0"/>
    <x v="0"/>
    <m/>
    <m/>
    <s v="대리점"/>
    <x v="0"/>
    <x v="3"/>
    <x v="1"/>
    <x v="1636"/>
    <s v="HP2637003880"/>
    <x v="0"/>
    <n v="0"/>
  </r>
  <r>
    <x v="1"/>
    <x v="3"/>
    <x v="16"/>
    <x v="54"/>
    <x v="127"/>
    <x v="127"/>
    <x v="4"/>
    <s v="N"/>
    <s v="N"/>
    <x v="1"/>
    <x v="0"/>
    <x v="0"/>
    <x v="0"/>
    <m/>
    <m/>
    <s v="대리점"/>
    <x v="0"/>
    <x v="3"/>
    <x v="1"/>
    <x v="1636"/>
    <s v="HP2637003880"/>
    <x v="1"/>
    <n v="1898000"/>
  </r>
  <r>
    <x v="1"/>
    <x v="3"/>
    <x v="16"/>
    <x v="54"/>
    <x v="127"/>
    <x v="127"/>
    <x v="5"/>
    <s v="N"/>
    <s v="N"/>
    <x v="0"/>
    <x v="0"/>
    <x v="1"/>
    <x v="0"/>
    <s v="성인"/>
    <s v="성인"/>
    <s v="대리점"/>
    <x v="0"/>
    <x v="2"/>
    <x v="0"/>
    <x v="1637"/>
    <s v="HP2637026262"/>
    <x v="0"/>
    <n v="2"/>
  </r>
  <r>
    <x v="1"/>
    <x v="3"/>
    <x v="16"/>
    <x v="54"/>
    <x v="127"/>
    <x v="127"/>
    <x v="5"/>
    <s v="N"/>
    <s v="N"/>
    <x v="0"/>
    <x v="0"/>
    <x v="1"/>
    <x v="0"/>
    <s v="성인"/>
    <s v="성인"/>
    <s v="대리점"/>
    <x v="0"/>
    <x v="2"/>
    <x v="0"/>
    <x v="1637"/>
    <s v="HP2637026262"/>
    <x v="1"/>
    <n v="1979800"/>
  </r>
  <r>
    <x v="1"/>
    <x v="3"/>
    <x v="16"/>
    <x v="54"/>
    <x v="127"/>
    <x v="127"/>
    <x v="5"/>
    <s v="N"/>
    <s v="N"/>
    <x v="1"/>
    <x v="0"/>
    <x v="0"/>
    <x v="0"/>
    <s v="성인"/>
    <s v="성인"/>
    <s v="대리점"/>
    <x v="0"/>
    <x v="7"/>
    <x v="0"/>
    <x v="1638"/>
    <s v="HP2637030430"/>
    <x v="0"/>
    <n v="2"/>
  </r>
  <r>
    <x v="1"/>
    <x v="3"/>
    <x v="16"/>
    <x v="54"/>
    <x v="127"/>
    <x v="127"/>
    <x v="5"/>
    <s v="N"/>
    <s v="N"/>
    <x v="1"/>
    <x v="0"/>
    <x v="0"/>
    <x v="0"/>
    <s v="성인"/>
    <s v="성인"/>
    <s v="대리점"/>
    <x v="0"/>
    <x v="7"/>
    <x v="0"/>
    <x v="1638"/>
    <s v="HP2637030430"/>
    <x v="1"/>
    <n v="9493200"/>
  </r>
  <r>
    <x v="1"/>
    <x v="3"/>
    <x v="16"/>
    <x v="54"/>
    <x v="127"/>
    <x v="127"/>
    <x v="6"/>
    <s v="N"/>
    <s v="N"/>
    <x v="1"/>
    <x v="2"/>
    <x v="0"/>
    <x v="0"/>
    <m/>
    <m/>
    <s v="대리점"/>
    <x v="0"/>
    <x v="2"/>
    <x v="0"/>
    <x v="1639"/>
    <s v="HQ2637058946"/>
    <x v="0"/>
    <n v="13"/>
  </r>
  <r>
    <x v="1"/>
    <x v="3"/>
    <x v="16"/>
    <x v="54"/>
    <x v="127"/>
    <x v="127"/>
    <x v="6"/>
    <s v="N"/>
    <s v="N"/>
    <x v="1"/>
    <x v="2"/>
    <x v="0"/>
    <x v="0"/>
    <m/>
    <m/>
    <s v="대리점"/>
    <x v="0"/>
    <x v="2"/>
    <x v="0"/>
    <x v="1639"/>
    <s v="HQ2637058946"/>
    <x v="1"/>
    <n v="0"/>
  </r>
  <r>
    <x v="1"/>
    <x v="3"/>
    <x v="16"/>
    <x v="55"/>
    <x v="128"/>
    <x v="128"/>
    <x v="0"/>
    <s v="N"/>
    <s v="N"/>
    <x v="1"/>
    <x v="0"/>
    <x v="0"/>
    <x v="0"/>
    <s v="성인"/>
    <s v="성인"/>
    <s v="대리점"/>
    <x v="0"/>
    <x v="2"/>
    <x v="0"/>
    <x v="676"/>
    <s v="HP2636932582"/>
    <x v="0"/>
    <n v="4"/>
  </r>
  <r>
    <x v="1"/>
    <x v="3"/>
    <x v="16"/>
    <x v="55"/>
    <x v="128"/>
    <x v="128"/>
    <x v="0"/>
    <s v="N"/>
    <s v="N"/>
    <x v="1"/>
    <x v="0"/>
    <x v="0"/>
    <x v="0"/>
    <s v="성인"/>
    <s v="성인"/>
    <s v="대리점"/>
    <x v="0"/>
    <x v="2"/>
    <x v="0"/>
    <x v="676"/>
    <s v="HP2636932582"/>
    <x v="1"/>
    <n v="4380000"/>
  </r>
  <r>
    <x v="1"/>
    <x v="3"/>
    <x v="16"/>
    <x v="55"/>
    <x v="128"/>
    <x v="128"/>
    <x v="2"/>
    <s v="Y"/>
    <s v="Y"/>
    <x v="4"/>
    <x v="2"/>
    <x v="0"/>
    <x v="0"/>
    <s v="성인"/>
    <s v="성인"/>
    <s v="대리점"/>
    <x v="0"/>
    <x v="2"/>
    <x v="0"/>
    <x v="1640"/>
    <s v="HQ2636963224"/>
    <x v="0"/>
    <n v="8"/>
  </r>
  <r>
    <x v="1"/>
    <x v="3"/>
    <x v="16"/>
    <x v="55"/>
    <x v="128"/>
    <x v="128"/>
    <x v="2"/>
    <s v="Y"/>
    <s v="Y"/>
    <x v="4"/>
    <x v="2"/>
    <x v="0"/>
    <x v="0"/>
    <s v="성인"/>
    <s v="성인"/>
    <s v="대리점"/>
    <x v="0"/>
    <x v="2"/>
    <x v="0"/>
    <x v="1640"/>
    <s v="HQ2636963224"/>
    <x v="1"/>
    <n v="9560000"/>
  </r>
  <r>
    <x v="1"/>
    <x v="3"/>
    <x v="16"/>
    <x v="55"/>
    <x v="128"/>
    <x v="128"/>
    <x v="2"/>
    <s v="Y"/>
    <s v="Y"/>
    <x v="4"/>
    <x v="2"/>
    <x v="0"/>
    <x v="0"/>
    <s v="청소년"/>
    <s v="청소년"/>
    <s v="대리점"/>
    <x v="0"/>
    <x v="2"/>
    <x v="0"/>
    <x v="1640"/>
    <s v="HQ2636963224"/>
    <x v="0"/>
    <n v="2"/>
  </r>
  <r>
    <x v="1"/>
    <x v="3"/>
    <x v="16"/>
    <x v="55"/>
    <x v="128"/>
    <x v="128"/>
    <x v="2"/>
    <s v="Y"/>
    <s v="Y"/>
    <x v="4"/>
    <x v="2"/>
    <x v="0"/>
    <x v="0"/>
    <s v="청소년"/>
    <s v="청소년"/>
    <s v="대리점"/>
    <x v="0"/>
    <x v="2"/>
    <x v="0"/>
    <x v="1640"/>
    <s v="HQ2636963224"/>
    <x v="1"/>
    <n v="2390000"/>
  </r>
  <r>
    <x v="1"/>
    <x v="3"/>
    <x v="16"/>
    <x v="55"/>
    <x v="128"/>
    <x v="128"/>
    <x v="2"/>
    <s v="Y"/>
    <s v="Y"/>
    <x v="4"/>
    <x v="2"/>
    <x v="0"/>
    <x v="1"/>
    <s v="아동"/>
    <s v="아동"/>
    <s v="대리점"/>
    <x v="0"/>
    <x v="2"/>
    <x v="0"/>
    <x v="1640"/>
    <s v="HQ2636963224"/>
    <x v="0"/>
    <n v="1"/>
  </r>
  <r>
    <x v="1"/>
    <x v="3"/>
    <x v="16"/>
    <x v="55"/>
    <x v="128"/>
    <x v="128"/>
    <x v="2"/>
    <s v="Y"/>
    <s v="Y"/>
    <x v="4"/>
    <x v="2"/>
    <x v="0"/>
    <x v="1"/>
    <s v="아동"/>
    <s v="아동"/>
    <s v="대리점"/>
    <x v="0"/>
    <x v="2"/>
    <x v="0"/>
    <x v="1640"/>
    <s v="HQ2636963224"/>
    <x v="1"/>
    <n v="0"/>
  </r>
  <r>
    <x v="1"/>
    <x v="3"/>
    <x v="16"/>
    <x v="55"/>
    <x v="128"/>
    <x v="128"/>
    <x v="2"/>
    <s v="Y"/>
    <s v="Y"/>
    <x v="1"/>
    <x v="0"/>
    <x v="0"/>
    <x v="0"/>
    <s v="성인"/>
    <s v="성인"/>
    <s v="대리점"/>
    <x v="0"/>
    <x v="17"/>
    <x v="0"/>
    <x v="1641"/>
    <s v="HP2636963940"/>
    <x v="0"/>
    <n v="6"/>
  </r>
  <r>
    <x v="1"/>
    <x v="3"/>
    <x v="16"/>
    <x v="55"/>
    <x v="128"/>
    <x v="128"/>
    <x v="2"/>
    <s v="Y"/>
    <s v="Y"/>
    <x v="1"/>
    <x v="0"/>
    <x v="0"/>
    <x v="0"/>
    <s v="성인"/>
    <s v="성인"/>
    <s v="대리점"/>
    <x v="0"/>
    <x v="17"/>
    <x v="0"/>
    <x v="1641"/>
    <s v="HP2636963940"/>
    <x v="1"/>
    <n v="8934000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3"/>
    <x v="0"/>
    <x v="1642"/>
    <s v="HP2637035390"/>
    <x v="0"/>
    <n v="3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3"/>
    <x v="0"/>
    <x v="1642"/>
    <s v="HP2637035390"/>
    <x v="1"/>
    <n v="3035700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2"/>
    <x v="0"/>
    <x v="1502"/>
    <s v="HP2637039050"/>
    <x v="0"/>
    <n v="4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2"/>
    <x v="0"/>
    <x v="1502"/>
    <s v="HP2637039050"/>
    <x v="1"/>
    <n v="4560800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16"/>
    <x v="0"/>
    <x v="1643"/>
    <s v="HP2637055546"/>
    <x v="0"/>
    <n v="6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16"/>
    <x v="0"/>
    <x v="1643"/>
    <s v="HP2637055546"/>
    <x v="1"/>
    <n v="10619400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3"/>
    <x v="0"/>
    <x v="1644"/>
    <s v="HP2637051708"/>
    <x v="0"/>
    <n v="4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3"/>
    <x v="0"/>
    <x v="1644"/>
    <s v="HP2637051708"/>
    <x v="1"/>
    <n v="4876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9">
  <r>
    <x v="0"/>
    <x v="0"/>
    <x v="0"/>
    <x v="0"/>
    <x v="0"/>
    <x v="0"/>
    <x v="0"/>
    <x v="0"/>
    <x v="0"/>
    <n v="1375800"/>
    <m/>
    <m/>
    <m/>
    <n v="1375800"/>
    <n v="2063700"/>
    <m/>
    <n v="2063700"/>
  </r>
  <r>
    <x v="0"/>
    <x v="0"/>
    <x v="0"/>
    <x v="0"/>
    <x v="0"/>
    <x v="0"/>
    <x v="1"/>
    <x v="1"/>
    <x v="1"/>
    <n v="5204000"/>
    <m/>
    <m/>
    <m/>
    <n v="5204000"/>
    <m/>
    <n v="5204000"/>
    <n v="5204000"/>
  </r>
  <r>
    <x v="0"/>
    <x v="0"/>
    <x v="0"/>
    <x v="0"/>
    <x v="0"/>
    <x v="0"/>
    <x v="1"/>
    <x v="1"/>
    <x v="2"/>
    <n v="2161800"/>
    <m/>
    <m/>
    <m/>
    <n v="2161800"/>
    <m/>
    <n v="2161800"/>
    <n v="2161800"/>
  </r>
  <r>
    <x v="0"/>
    <x v="0"/>
    <x v="0"/>
    <x v="0"/>
    <x v="0"/>
    <x v="1"/>
    <x v="1"/>
    <x v="1"/>
    <x v="3"/>
    <s v="-"/>
    <m/>
    <m/>
    <m/>
    <s v="-"/>
    <m/>
    <m/>
    <m/>
  </r>
  <r>
    <x v="0"/>
    <x v="0"/>
    <x v="0"/>
    <x v="0"/>
    <x v="1"/>
    <x v="2"/>
    <x v="0"/>
    <x v="0"/>
    <x v="4"/>
    <n v="2884800"/>
    <m/>
    <m/>
    <m/>
    <n v="2884800"/>
    <m/>
    <n v="2884800"/>
    <n v="2884800"/>
  </r>
  <r>
    <x v="0"/>
    <x v="0"/>
    <x v="0"/>
    <x v="0"/>
    <x v="1"/>
    <x v="2"/>
    <x v="0"/>
    <x v="0"/>
    <x v="5"/>
    <n v="152900"/>
    <m/>
    <m/>
    <m/>
    <n v="152900"/>
    <m/>
    <n v="152900"/>
    <n v="152900"/>
  </r>
  <r>
    <x v="0"/>
    <x v="0"/>
    <x v="0"/>
    <x v="0"/>
    <x v="1"/>
    <x v="2"/>
    <x v="0"/>
    <x v="0"/>
    <x v="6"/>
    <n v="1999800"/>
    <m/>
    <m/>
    <m/>
    <n v="1999800"/>
    <n v="2999700"/>
    <m/>
    <n v="2999700"/>
  </r>
  <r>
    <x v="0"/>
    <x v="0"/>
    <x v="0"/>
    <x v="0"/>
    <x v="1"/>
    <x v="2"/>
    <x v="0"/>
    <x v="0"/>
    <x v="7"/>
    <n v="1453800"/>
    <m/>
    <m/>
    <m/>
    <n v="1453800"/>
    <n v="2180700"/>
    <m/>
    <n v="2180700"/>
  </r>
  <r>
    <x v="0"/>
    <x v="0"/>
    <x v="0"/>
    <x v="0"/>
    <x v="1"/>
    <x v="2"/>
    <x v="2"/>
    <x v="2"/>
    <x v="8"/>
    <n v="3793200"/>
    <m/>
    <m/>
    <m/>
    <n v="3793200"/>
    <m/>
    <n v="3793200"/>
    <n v="3793200"/>
  </r>
  <r>
    <x v="0"/>
    <x v="0"/>
    <x v="0"/>
    <x v="0"/>
    <x v="1"/>
    <x v="2"/>
    <x v="2"/>
    <x v="2"/>
    <x v="9"/>
    <n v="9630600"/>
    <m/>
    <m/>
    <m/>
    <n v="9630600"/>
    <n v="14445900"/>
    <m/>
    <n v="14445900"/>
  </r>
  <r>
    <x v="0"/>
    <x v="0"/>
    <x v="0"/>
    <x v="0"/>
    <x v="1"/>
    <x v="2"/>
    <x v="1"/>
    <x v="1"/>
    <x v="10"/>
    <n v="515000"/>
    <m/>
    <m/>
    <m/>
    <n v="515000"/>
    <n v="772500"/>
    <m/>
    <n v="772500"/>
  </r>
  <r>
    <x v="0"/>
    <x v="0"/>
    <x v="0"/>
    <x v="0"/>
    <x v="1"/>
    <x v="2"/>
    <x v="1"/>
    <x v="1"/>
    <x v="11"/>
    <n v="2051800"/>
    <m/>
    <m/>
    <m/>
    <n v="2051800"/>
    <m/>
    <n v="2051800"/>
    <n v="2051800"/>
  </r>
  <r>
    <x v="0"/>
    <x v="0"/>
    <x v="0"/>
    <x v="0"/>
    <x v="2"/>
    <x v="2"/>
    <x v="0"/>
    <x v="0"/>
    <x v="12"/>
    <n v="9140400"/>
    <m/>
    <n v="13710600"/>
    <m/>
    <n v="13710600"/>
    <m/>
    <n v="13710600"/>
    <n v="13710600"/>
  </r>
  <r>
    <x v="0"/>
    <x v="0"/>
    <x v="0"/>
    <x v="0"/>
    <x v="2"/>
    <x v="2"/>
    <x v="0"/>
    <x v="0"/>
    <x v="13"/>
    <n v="3054000"/>
    <m/>
    <n v="4581000"/>
    <m/>
    <n v="4581000"/>
    <m/>
    <n v="4581000"/>
    <n v="4581000"/>
  </r>
  <r>
    <x v="0"/>
    <x v="0"/>
    <x v="0"/>
    <x v="0"/>
    <x v="2"/>
    <x v="2"/>
    <x v="0"/>
    <x v="0"/>
    <x v="14"/>
    <n v="7149600"/>
    <m/>
    <n v="10724400"/>
    <m/>
    <n v="10724400"/>
    <m/>
    <n v="10724400"/>
    <n v="10724400"/>
  </r>
  <r>
    <x v="0"/>
    <x v="0"/>
    <x v="0"/>
    <x v="0"/>
    <x v="2"/>
    <x v="2"/>
    <x v="0"/>
    <x v="0"/>
    <x v="15"/>
    <n v="1978000"/>
    <m/>
    <n v="2967000"/>
    <m/>
    <n v="2967000"/>
    <m/>
    <n v="2967000"/>
    <n v="2967000"/>
  </r>
  <r>
    <x v="0"/>
    <x v="0"/>
    <x v="0"/>
    <x v="0"/>
    <x v="2"/>
    <x v="2"/>
    <x v="0"/>
    <x v="0"/>
    <x v="16"/>
    <n v="4556000"/>
    <m/>
    <n v="6834000"/>
    <m/>
    <n v="6834000"/>
    <m/>
    <n v="6834000"/>
    <n v="6834000"/>
  </r>
  <r>
    <x v="0"/>
    <x v="0"/>
    <x v="0"/>
    <x v="0"/>
    <x v="2"/>
    <x v="2"/>
    <x v="0"/>
    <x v="0"/>
    <x v="17"/>
    <n v="2938000"/>
    <m/>
    <n v="4407000"/>
    <m/>
    <n v="4407000"/>
    <m/>
    <n v="4407000"/>
    <n v="4407000"/>
  </r>
  <r>
    <x v="0"/>
    <x v="0"/>
    <x v="0"/>
    <x v="0"/>
    <x v="2"/>
    <x v="2"/>
    <x v="0"/>
    <x v="0"/>
    <x v="18"/>
    <n v="2498000"/>
    <m/>
    <n v="3747000"/>
    <m/>
    <n v="3747000"/>
    <m/>
    <n v="3747000"/>
    <n v="3747000"/>
  </r>
  <r>
    <x v="0"/>
    <x v="0"/>
    <x v="0"/>
    <x v="0"/>
    <x v="2"/>
    <x v="2"/>
    <x v="0"/>
    <x v="0"/>
    <x v="19"/>
    <n v="9310000"/>
    <m/>
    <n v="13965000"/>
    <m/>
    <n v="13965000"/>
    <m/>
    <n v="13965000"/>
    <n v="13965000"/>
  </r>
  <r>
    <x v="0"/>
    <x v="0"/>
    <x v="0"/>
    <x v="0"/>
    <x v="2"/>
    <x v="2"/>
    <x v="0"/>
    <x v="0"/>
    <x v="20"/>
    <n v="10498000"/>
    <m/>
    <n v="15747000"/>
    <m/>
    <n v="15747000"/>
    <m/>
    <n v="15747000"/>
    <n v="15747000"/>
  </r>
  <r>
    <x v="0"/>
    <x v="0"/>
    <x v="0"/>
    <x v="0"/>
    <x v="2"/>
    <x v="2"/>
    <x v="0"/>
    <x v="0"/>
    <x v="21"/>
    <n v="17598000"/>
    <m/>
    <n v="26397000"/>
    <m/>
    <n v="26397000"/>
    <m/>
    <n v="26397000"/>
    <n v="26397000"/>
  </r>
  <r>
    <x v="0"/>
    <x v="0"/>
    <x v="0"/>
    <x v="0"/>
    <x v="2"/>
    <x v="2"/>
    <x v="0"/>
    <x v="0"/>
    <x v="22"/>
    <n v="20396000"/>
    <m/>
    <n v="30594000"/>
    <m/>
    <n v="30594000"/>
    <m/>
    <n v="30594000"/>
    <n v="30594000"/>
  </r>
  <r>
    <x v="0"/>
    <x v="0"/>
    <x v="0"/>
    <x v="0"/>
    <x v="2"/>
    <x v="2"/>
    <x v="0"/>
    <x v="0"/>
    <x v="23"/>
    <n v="15589800"/>
    <m/>
    <n v="23384700"/>
    <m/>
    <n v="23384700"/>
    <m/>
    <n v="23384700"/>
    <n v="23384700"/>
  </r>
  <r>
    <x v="0"/>
    <x v="0"/>
    <x v="0"/>
    <x v="0"/>
    <x v="2"/>
    <x v="2"/>
    <x v="0"/>
    <x v="0"/>
    <x v="24"/>
    <n v="2199800"/>
    <m/>
    <n v="3299700"/>
    <m/>
    <n v="3299700"/>
    <m/>
    <n v="3299700"/>
    <n v="3299700"/>
  </r>
  <r>
    <x v="0"/>
    <x v="0"/>
    <x v="0"/>
    <x v="0"/>
    <x v="2"/>
    <x v="2"/>
    <x v="0"/>
    <x v="0"/>
    <x v="25"/>
    <n v="2840200"/>
    <m/>
    <n v="4260300"/>
    <m/>
    <n v="4260300"/>
    <m/>
    <n v="4260300"/>
    <n v="4260300"/>
  </r>
  <r>
    <x v="0"/>
    <x v="0"/>
    <x v="0"/>
    <x v="0"/>
    <x v="2"/>
    <x v="2"/>
    <x v="0"/>
    <x v="0"/>
    <x v="26"/>
    <n v="5596000"/>
    <m/>
    <n v="8394000"/>
    <m/>
    <n v="8394000"/>
    <m/>
    <n v="8394000"/>
    <n v="8394000"/>
  </r>
  <r>
    <x v="0"/>
    <x v="0"/>
    <x v="0"/>
    <x v="0"/>
    <x v="2"/>
    <x v="2"/>
    <x v="0"/>
    <x v="0"/>
    <x v="27"/>
    <n v="4197000"/>
    <m/>
    <n v="6295500"/>
    <m/>
    <n v="6295500"/>
    <m/>
    <n v="6295500"/>
    <n v="6295500"/>
  </r>
  <r>
    <x v="0"/>
    <x v="0"/>
    <x v="0"/>
    <x v="0"/>
    <x v="2"/>
    <x v="2"/>
    <x v="1"/>
    <x v="1"/>
    <x v="28"/>
    <n v="2238000"/>
    <m/>
    <n v="3357000"/>
    <m/>
    <n v="3357000"/>
    <m/>
    <n v="3357000"/>
    <n v="3357000"/>
  </r>
  <r>
    <x v="0"/>
    <x v="0"/>
    <x v="0"/>
    <x v="0"/>
    <x v="2"/>
    <x v="2"/>
    <x v="1"/>
    <x v="1"/>
    <x v="29"/>
    <n v="10844000"/>
    <m/>
    <n v="16266000"/>
    <m/>
    <n v="16266000"/>
    <m/>
    <n v="16266000"/>
    <n v="16266000"/>
  </r>
  <r>
    <x v="0"/>
    <x v="0"/>
    <x v="0"/>
    <x v="0"/>
    <x v="2"/>
    <x v="2"/>
    <x v="1"/>
    <x v="1"/>
    <x v="30"/>
    <n v="13820000"/>
    <m/>
    <n v="20730000"/>
    <m/>
    <n v="20730000"/>
    <n v="31095000"/>
    <m/>
    <n v="31095000"/>
  </r>
  <r>
    <x v="0"/>
    <x v="0"/>
    <x v="0"/>
    <x v="0"/>
    <x v="2"/>
    <x v="2"/>
    <x v="1"/>
    <x v="1"/>
    <x v="31"/>
    <n v="16639800"/>
    <m/>
    <n v="24959700"/>
    <m/>
    <n v="24959700"/>
    <m/>
    <n v="24959700"/>
    <n v="24959700"/>
  </r>
  <r>
    <x v="0"/>
    <x v="0"/>
    <x v="0"/>
    <x v="0"/>
    <x v="2"/>
    <x v="2"/>
    <x v="1"/>
    <x v="1"/>
    <x v="32"/>
    <n v="15942400"/>
    <m/>
    <n v="23913600"/>
    <m/>
    <n v="23913600"/>
    <m/>
    <n v="23913600"/>
    <n v="23913600"/>
  </r>
  <r>
    <x v="0"/>
    <x v="0"/>
    <x v="0"/>
    <x v="0"/>
    <x v="2"/>
    <x v="2"/>
    <x v="1"/>
    <x v="1"/>
    <x v="33"/>
    <n v="12799200"/>
    <m/>
    <n v="19198800"/>
    <m/>
    <n v="19198800"/>
    <m/>
    <n v="19198800"/>
    <n v="19198800"/>
  </r>
  <r>
    <x v="0"/>
    <x v="0"/>
    <x v="0"/>
    <x v="0"/>
    <x v="3"/>
    <x v="2"/>
    <x v="0"/>
    <x v="0"/>
    <x v="34"/>
    <n v="3198000"/>
    <m/>
    <n v="4797000"/>
    <m/>
    <n v="4797000"/>
    <n v="7195500"/>
    <m/>
    <n v="7195500"/>
  </r>
  <r>
    <x v="0"/>
    <x v="0"/>
    <x v="0"/>
    <x v="0"/>
    <x v="3"/>
    <x v="2"/>
    <x v="0"/>
    <x v="0"/>
    <x v="35"/>
    <n v="23397000"/>
    <m/>
    <n v="35095500"/>
    <m/>
    <n v="35095500"/>
    <m/>
    <n v="35095500"/>
    <n v="35095500"/>
  </r>
  <r>
    <x v="0"/>
    <x v="0"/>
    <x v="0"/>
    <x v="1"/>
    <x v="4"/>
    <x v="3"/>
    <x v="3"/>
    <x v="3"/>
    <x v="36"/>
    <n v="3676000"/>
    <m/>
    <m/>
    <m/>
    <n v="3676000"/>
    <m/>
    <n v="3676000"/>
    <n v="3676000"/>
  </r>
  <r>
    <x v="0"/>
    <x v="0"/>
    <x v="0"/>
    <x v="1"/>
    <x v="4"/>
    <x v="3"/>
    <x v="3"/>
    <x v="3"/>
    <x v="37"/>
    <n v="5119600"/>
    <m/>
    <m/>
    <m/>
    <n v="5119600"/>
    <m/>
    <n v="5119600"/>
    <n v="5119600"/>
  </r>
  <r>
    <x v="0"/>
    <x v="0"/>
    <x v="0"/>
    <x v="1"/>
    <x v="4"/>
    <x v="1"/>
    <x v="3"/>
    <x v="3"/>
    <x v="38"/>
    <s v="-"/>
    <m/>
    <m/>
    <m/>
    <s v="-"/>
    <m/>
    <m/>
    <m/>
  </r>
  <r>
    <x v="0"/>
    <x v="0"/>
    <x v="0"/>
    <x v="1"/>
    <x v="0"/>
    <x v="0"/>
    <x v="3"/>
    <x v="3"/>
    <x v="39"/>
    <n v="862200"/>
    <m/>
    <m/>
    <m/>
    <n v="862200"/>
    <m/>
    <n v="862200"/>
    <n v="862200"/>
  </r>
  <r>
    <x v="0"/>
    <x v="0"/>
    <x v="0"/>
    <x v="1"/>
    <x v="0"/>
    <x v="0"/>
    <x v="4"/>
    <x v="4"/>
    <x v="40"/>
    <n v="2304800"/>
    <m/>
    <m/>
    <m/>
    <n v="2304800"/>
    <m/>
    <n v="2304800"/>
    <n v="2304800"/>
  </r>
  <r>
    <x v="0"/>
    <x v="0"/>
    <x v="0"/>
    <x v="1"/>
    <x v="0"/>
    <x v="0"/>
    <x v="5"/>
    <x v="5"/>
    <x v="41"/>
    <n v="1719600"/>
    <m/>
    <m/>
    <m/>
    <n v="1719600"/>
    <m/>
    <n v="1719600"/>
    <n v="1719600"/>
  </r>
  <r>
    <x v="0"/>
    <x v="0"/>
    <x v="0"/>
    <x v="1"/>
    <x v="0"/>
    <x v="2"/>
    <x v="3"/>
    <x v="3"/>
    <x v="42"/>
    <n v="678000"/>
    <m/>
    <m/>
    <m/>
    <n v="678000"/>
    <n v="1017000"/>
    <m/>
    <n v="1017000"/>
  </r>
  <r>
    <x v="0"/>
    <x v="0"/>
    <x v="0"/>
    <x v="1"/>
    <x v="0"/>
    <x v="2"/>
    <x v="4"/>
    <x v="4"/>
    <x v="43"/>
    <n v="774000"/>
    <m/>
    <m/>
    <m/>
    <n v="774000"/>
    <m/>
    <n v="774000"/>
    <n v="774000"/>
  </r>
  <r>
    <x v="0"/>
    <x v="0"/>
    <x v="0"/>
    <x v="1"/>
    <x v="0"/>
    <x v="2"/>
    <x v="4"/>
    <x v="4"/>
    <x v="44"/>
    <n v="758000"/>
    <m/>
    <m/>
    <m/>
    <n v="758000"/>
    <n v="1137000"/>
    <m/>
    <n v="1137000"/>
  </r>
  <r>
    <x v="0"/>
    <x v="0"/>
    <x v="0"/>
    <x v="1"/>
    <x v="0"/>
    <x v="2"/>
    <x v="6"/>
    <x v="6"/>
    <x v="45"/>
    <n v="338000"/>
    <m/>
    <m/>
    <m/>
    <n v="338000"/>
    <m/>
    <n v="338000"/>
    <n v="338000"/>
  </r>
  <r>
    <x v="0"/>
    <x v="0"/>
    <x v="0"/>
    <x v="1"/>
    <x v="0"/>
    <x v="1"/>
    <x v="3"/>
    <x v="3"/>
    <x v="46"/>
    <s v="-"/>
    <m/>
    <m/>
    <m/>
    <s v="-"/>
    <m/>
    <m/>
    <m/>
  </r>
  <r>
    <x v="0"/>
    <x v="0"/>
    <x v="0"/>
    <x v="1"/>
    <x v="0"/>
    <x v="1"/>
    <x v="7"/>
    <x v="7"/>
    <x v="47"/>
    <s v="-"/>
    <m/>
    <m/>
    <m/>
    <s v="-"/>
    <m/>
    <m/>
    <m/>
  </r>
  <r>
    <x v="0"/>
    <x v="0"/>
    <x v="0"/>
    <x v="1"/>
    <x v="1"/>
    <x v="2"/>
    <x v="3"/>
    <x v="3"/>
    <x v="48"/>
    <n v="1148400"/>
    <m/>
    <m/>
    <m/>
    <n v="1148400"/>
    <m/>
    <n v="1148400"/>
    <n v="1148400"/>
  </r>
  <r>
    <x v="0"/>
    <x v="0"/>
    <x v="0"/>
    <x v="1"/>
    <x v="1"/>
    <x v="2"/>
    <x v="8"/>
    <x v="8"/>
    <x v="49"/>
    <n v="1944300"/>
    <m/>
    <m/>
    <m/>
    <n v="1944300"/>
    <m/>
    <n v="1944300"/>
    <n v="1944300"/>
  </r>
  <r>
    <x v="0"/>
    <x v="0"/>
    <x v="0"/>
    <x v="1"/>
    <x v="1"/>
    <x v="2"/>
    <x v="8"/>
    <x v="8"/>
    <x v="50"/>
    <n v="12589800"/>
    <m/>
    <m/>
    <m/>
    <n v="12589800"/>
    <m/>
    <n v="12589800"/>
    <n v="12589800"/>
  </r>
  <r>
    <x v="0"/>
    <x v="0"/>
    <x v="0"/>
    <x v="1"/>
    <x v="1"/>
    <x v="2"/>
    <x v="8"/>
    <x v="8"/>
    <x v="51"/>
    <n v="4143600"/>
    <m/>
    <m/>
    <m/>
    <n v="4143600"/>
    <m/>
    <n v="4143600"/>
    <n v="4143600"/>
  </r>
  <r>
    <x v="0"/>
    <x v="0"/>
    <x v="0"/>
    <x v="1"/>
    <x v="1"/>
    <x v="2"/>
    <x v="8"/>
    <x v="8"/>
    <x v="52"/>
    <n v="2198600"/>
    <m/>
    <m/>
    <m/>
    <n v="2198600"/>
    <n v="3297900"/>
    <m/>
    <n v="3297900"/>
  </r>
  <r>
    <x v="0"/>
    <x v="0"/>
    <x v="0"/>
    <x v="1"/>
    <x v="1"/>
    <x v="2"/>
    <x v="4"/>
    <x v="4"/>
    <x v="53"/>
    <n v="1499800"/>
    <m/>
    <m/>
    <m/>
    <n v="1499800"/>
    <m/>
    <n v="1499800"/>
    <n v="1499800"/>
  </r>
  <r>
    <x v="0"/>
    <x v="0"/>
    <x v="0"/>
    <x v="1"/>
    <x v="1"/>
    <x v="2"/>
    <x v="7"/>
    <x v="7"/>
    <x v="54"/>
    <n v="4998000"/>
    <m/>
    <m/>
    <m/>
    <n v="4998000"/>
    <m/>
    <n v="4998000"/>
    <n v="4998000"/>
  </r>
  <r>
    <x v="0"/>
    <x v="0"/>
    <x v="0"/>
    <x v="1"/>
    <x v="1"/>
    <x v="2"/>
    <x v="5"/>
    <x v="5"/>
    <x v="55"/>
    <n v="954300"/>
    <m/>
    <m/>
    <m/>
    <n v="954300"/>
    <n v="1431450"/>
    <m/>
    <n v="1431450"/>
  </r>
  <r>
    <x v="0"/>
    <x v="0"/>
    <x v="0"/>
    <x v="1"/>
    <x v="1"/>
    <x v="2"/>
    <x v="5"/>
    <x v="5"/>
    <x v="56"/>
    <n v="9110400"/>
    <m/>
    <m/>
    <m/>
    <n v="9110400"/>
    <m/>
    <n v="9110400"/>
    <n v="9110400"/>
  </r>
  <r>
    <x v="0"/>
    <x v="0"/>
    <x v="0"/>
    <x v="1"/>
    <x v="1"/>
    <x v="2"/>
    <x v="5"/>
    <x v="5"/>
    <x v="57"/>
    <n v="385500"/>
    <m/>
    <m/>
    <m/>
    <n v="385500"/>
    <m/>
    <n v="385500"/>
    <n v="385500"/>
  </r>
  <r>
    <x v="0"/>
    <x v="0"/>
    <x v="0"/>
    <x v="1"/>
    <x v="1"/>
    <x v="2"/>
    <x v="5"/>
    <x v="5"/>
    <x v="58"/>
    <n v="2249800"/>
    <m/>
    <m/>
    <m/>
    <n v="2249800"/>
    <n v="3374700"/>
    <m/>
    <n v="3374700"/>
  </r>
  <r>
    <x v="0"/>
    <x v="0"/>
    <x v="0"/>
    <x v="1"/>
    <x v="1"/>
    <x v="2"/>
    <x v="5"/>
    <x v="5"/>
    <x v="59"/>
    <n v="1948500"/>
    <m/>
    <m/>
    <m/>
    <n v="1948500"/>
    <m/>
    <n v="1948500"/>
    <n v="1948500"/>
  </r>
  <r>
    <x v="0"/>
    <x v="0"/>
    <x v="0"/>
    <x v="1"/>
    <x v="1"/>
    <x v="2"/>
    <x v="5"/>
    <x v="5"/>
    <x v="60"/>
    <n v="6108600"/>
    <m/>
    <m/>
    <m/>
    <n v="6108600"/>
    <m/>
    <n v="6108600"/>
    <n v="6108600"/>
  </r>
  <r>
    <x v="0"/>
    <x v="0"/>
    <x v="0"/>
    <x v="1"/>
    <x v="1"/>
    <x v="2"/>
    <x v="6"/>
    <x v="6"/>
    <x v="61"/>
    <n v="1099800"/>
    <m/>
    <m/>
    <m/>
    <n v="1099800"/>
    <m/>
    <n v="1099800"/>
    <n v="1099800"/>
  </r>
  <r>
    <x v="0"/>
    <x v="0"/>
    <x v="0"/>
    <x v="1"/>
    <x v="1"/>
    <x v="2"/>
    <x v="6"/>
    <x v="6"/>
    <x v="62"/>
    <n v="1167200"/>
    <m/>
    <m/>
    <m/>
    <n v="1167200"/>
    <n v="1750800"/>
    <m/>
    <n v="1750800"/>
  </r>
  <r>
    <x v="0"/>
    <x v="0"/>
    <x v="0"/>
    <x v="1"/>
    <x v="1"/>
    <x v="2"/>
    <x v="9"/>
    <x v="9"/>
    <x v="63"/>
    <n v="1819800"/>
    <m/>
    <m/>
    <m/>
    <n v="1819800"/>
    <n v="2729700"/>
    <m/>
    <n v="2729700"/>
  </r>
  <r>
    <x v="0"/>
    <x v="0"/>
    <x v="0"/>
    <x v="1"/>
    <x v="2"/>
    <x v="2"/>
    <x v="3"/>
    <x v="3"/>
    <x v="64"/>
    <n v="1886000"/>
    <m/>
    <n v="2829000"/>
    <m/>
    <n v="2829000"/>
    <m/>
    <n v="2829000"/>
    <n v="2829000"/>
  </r>
  <r>
    <x v="0"/>
    <x v="0"/>
    <x v="0"/>
    <x v="1"/>
    <x v="2"/>
    <x v="2"/>
    <x v="3"/>
    <x v="3"/>
    <x v="65"/>
    <n v="9165000"/>
    <m/>
    <n v="13747500"/>
    <m/>
    <n v="13747500"/>
    <m/>
    <n v="13747500"/>
    <n v="13747500"/>
  </r>
  <r>
    <x v="0"/>
    <x v="0"/>
    <x v="0"/>
    <x v="1"/>
    <x v="2"/>
    <x v="2"/>
    <x v="3"/>
    <x v="3"/>
    <x v="66"/>
    <n v="10698000"/>
    <m/>
    <n v="16047000"/>
    <m/>
    <n v="16047000"/>
    <n v="24070500"/>
    <m/>
    <n v="24070500"/>
  </r>
  <r>
    <x v="0"/>
    <x v="0"/>
    <x v="0"/>
    <x v="1"/>
    <x v="2"/>
    <x v="2"/>
    <x v="10"/>
    <x v="10"/>
    <x v="67"/>
    <n v="5876400"/>
    <m/>
    <n v="8814600"/>
    <m/>
    <n v="8814600"/>
    <m/>
    <n v="8814600"/>
    <n v="8814600"/>
  </r>
  <r>
    <x v="0"/>
    <x v="0"/>
    <x v="0"/>
    <x v="1"/>
    <x v="2"/>
    <x v="2"/>
    <x v="10"/>
    <x v="10"/>
    <x v="68"/>
    <n v="5945600"/>
    <m/>
    <n v="8918400"/>
    <m/>
    <n v="8918400"/>
    <m/>
    <n v="8918400"/>
    <n v="8918400"/>
  </r>
  <r>
    <x v="0"/>
    <x v="0"/>
    <x v="0"/>
    <x v="1"/>
    <x v="2"/>
    <x v="2"/>
    <x v="10"/>
    <x v="10"/>
    <x v="69"/>
    <n v="5945600"/>
    <m/>
    <n v="8918400"/>
    <m/>
    <n v="8918400"/>
    <m/>
    <n v="8918400"/>
    <n v="8918400"/>
  </r>
  <r>
    <x v="0"/>
    <x v="0"/>
    <x v="0"/>
    <x v="1"/>
    <x v="2"/>
    <x v="2"/>
    <x v="8"/>
    <x v="8"/>
    <x v="70"/>
    <n v="8380800"/>
    <m/>
    <n v="12571200"/>
    <m/>
    <n v="12571200"/>
    <n v="18856800"/>
    <m/>
    <n v="18856800"/>
  </r>
  <r>
    <x v="0"/>
    <x v="0"/>
    <x v="0"/>
    <x v="1"/>
    <x v="2"/>
    <x v="2"/>
    <x v="8"/>
    <x v="8"/>
    <x v="71"/>
    <n v="5713200"/>
    <m/>
    <n v="8569800"/>
    <m/>
    <n v="8569800"/>
    <m/>
    <n v="8569800"/>
    <n v="8569800"/>
  </r>
  <r>
    <x v="0"/>
    <x v="0"/>
    <x v="0"/>
    <x v="1"/>
    <x v="2"/>
    <x v="2"/>
    <x v="8"/>
    <x v="8"/>
    <x v="72"/>
    <n v="2298000"/>
    <m/>
    <n v="3447000"/>
    <m/>
    <n v="3447000"/>
    <n v="5170500"/>
    <m/>
    <n v="5170500"/>
  </r>
  <r>
    <x v="0"/>
    <x v="0"/>
    <x v="0"/>
    <x v="1"/>
    <x v="2"/>
    <x v="2"/>
    <x v="8"/>
    <x v="8"/>
    <x v="73"/>
    <n v="3626800"/>
    <m/>
    <n v="5440200"/>
    <m/>
    <n v="5440200"/>
    <m/>
    <n v="5440200"/>
    <n v="5440200"/>
  </r>
  <r>
    <x v="0"/>
    <x v="0"/>
    <x v="0"/>
    <x v="1"/>
    <x v="2"/>
    <x v="2"/>
    <x v="8"/>
    <x v="8"/>
    <x v="74"/>
    <n v="2451800"/>
    <m/>
    <n v="3677700"/>
    <m/>
    <n v="3677700"/>
    <m/>
    <n v="3677700"/>
    <n v="3677700"/>
  </r>
  <r>
    <x v="0"/>
    <x v="0"/>
    <x v="0"/>
    <x v="1"/>
    <x v="2"/>
    <x v="2"/>
    <x v="8"/>
    <x v="8"/>
    <x v="75"/>
    <n v="13175000"/>
    <m/>
    <n v="19762500"/>
    <m/>
    <n v="19762500"/>
    <m/>
    <n v="19762500"/>
    <n v="19762500"/>
  </r>
  <r>
    <x v="0"/>
    <x v="0"/>
    <x v="0"/>
    <x v="1"/>
    <x v="2"/>
    <x v="2"/>
    <x v="8"/>
    <x v="8"/>
    <x v="76"/>
    <n v="3398000"/>
    <m/>
    <n v="5097000"/>
    <m/>
    <n v="5097000"/>
    <n v="7645500"/>
    <m/>
    <n v="7645500"/>
  </r>
  <r>
    <x v="0"/>
    <x v="0"/>
    <x v="0"/>
    <x v="1"/>
    <x v="2"/>
    <x v="2"/>
    <x v="4"/>
    <x v="4"/>
    <x v="77"/>
    <n v="2006000"/>
    <m/>
    <n v="3009000"/>
    <m/>
    <n v="3009000"/>
    <m/>
    <n v="3009000"/>
    <n v="3009000"/>
  </r>
  <r>
    <x v="0"/>
    <x v="0"/>
    <x v="0"/>
    <x v="1"/>
    <x v="2"/>
    <x v="2"/>
    <x v="4"/>
    <x v="4"/>
    <x v="78"/>
    <n v="2318000"/>
    <m/>
    <n v="3477000"/>
    <m/>
    <n v="3477000"/>
    <m/>
    <n v="3477000"/>
    <n v="3477000"/>
  </r>
  <r>
    <x v="0"/>
    <x v="0"/>
    <x v="0"/>
    <x v="1"/>
    <x v="2"/>
    <x v="2"/>
    <x v="4"/>
    <x v="4"/>
    <x v="79"/>
    <n v="4780000"/>
    <m/>
    <n v="7170000"/>
    <m/>
    <n v="7170000"/>
    <n v="10755000"/>
    <m/>
    <n v="10755000"/>
  </r>
  <r>
    <x v="0"/>
    <x v="0"/>
    <x v="0"/>
    <x v="1"/>
    <x v="2"/>
    <x v="2"/>
    <x v="7"/>
    <x v="7"/>
    <x v="80"/>
    <n v="3246900"/>
    <m/>
    <n v="4870350"/>
    <m/>
    <n v="4870350"/>
    <n v="7305525"/>
    <m/>
    <n v="7305525"/>
  </r>
  <r>
    <x v="0"/>
    <x v="0"/>
    <x v="0"/>
    <x v="1"/>
    <x v="2"/>
    <x v="2"/>
    <x v="7"/>
    <x v="7"/>
    <x v="81"/>
    <n v="3000200"/>
    <m/>
    <n v="4500300"/>
    <m/>
    <n v="4500300"/>
    <n v="6750450"/>
    <m/>
    <n v="6750450"/>
  </r>
  <r>
    <x v="0"/>
    <x v="0"/>
    <x v="0"/>
    <x v="1"/>
    <x v="2"/>
    <x v="2"/>
    <x v="7"/>
    <x v="7"/>
    <x v="82"/>
    <n v="2758400"/>
    <m/>
    <n v="4137600"/>
    <m/>
    <n v="4137600"/>
    <m/>
    <n v="4137600"/>
    <n v="4137600"/>
  </r>
  <r>
    <x v="0"/>
    <x v="0"/>
    <x v="0"/>
    <x v="1"/>
    <x v="2"/>
    <x v="2"/>
    <x v="5"/>
    <x v="5"/>
    <x v="83"/>
    <n v="1963200"/>
    <m/>
    <n v="2944800"/>
    <m/>
    <n v="2944800"/>
    <m/>
    <n v="2944800"/>
    <n v="2944800"/>
  </r>
  <r>
    <x v="0"/>
    <x v="0"/>
    <x v="0"/>
    <x v="1"/>
    <x v="2"/>
    <x v="2"/>
    <x v="5"/>
    <x v="5"/>
    <x v="84"/>
    <n v="3969800"/>
    <m/>
    <n v="5954700"/>
    <m/>
    <n v="5954700"/>
    <m/>
    <n v="5954700"/>
    <n v="5954700"/>
  </r>
  <r>
    <x v="0"/>
    <x v="0"/>
    <x v="0"/>
    <x v="1"/>
    <x v="2"/>
    <x v="2"/>
    <x v="5"/>
    <x v="5"/>
    <x v="85"/>
    <n v="4519600"/>
    <m/>
    <n v="6779400"/>
    <m/>
    <n v="6779400"/>
    <m/>
    <n v="6779400"/>
    <n v="6779400"/>
  </r>
  <r>
    <x v="0"/>
    <x v="0"/>
    <x v="0"/>
    <x v="1"/>
    <x v="2"/>
    <x v="2"/>
    <x v="5"/>
    <x v="5"/>
    <x v="86"/>
    <n v="6593200"/>
    <m/>
    <n v="9889800"/>
    <m/>
    <n v="9889800"/>
    <m/>
    <n v="9889800"/>
    <n v="9889800"/>
  </r>
  <r>
    <x v="0"/>
    <x v="0"/>
    <x v="0"/>
    <x v="1"/>
    <x v="2"/>
    <x v="2"/>
    <x v="5"/>
    <x v="5"/>
    <x v="87"/>
    <n v="7970800"/>
    <m/>
    <n v="11956200"/>
    <m/>
    <n v="11956200"/>
    <m/>
    <n v="11956200"/>
    <n v="11956200"/>
  </r>
  <r>
    <x v="0"/>
    <x v="0"/>
    <x v="0"/>
    <x v="1"/>
    <x v="2"/>
    <x v="2"/>
    <x v="5"/>
    <x v="5"/>
    <x v="88"/>
    <n v="3276000"/>
    <m/>
    <n v="4914000"/>
    <m/>
    <n v="4914000"/>
    <m/>
    <n v="4914000"/>
    <n v="4914000"/>
  </r>
  <r>
    <x v="0"/>
    <x v="0"/>
    <x v="0"/>
    <x v="1"/>
    <x v="2"/>
    <x v="2"/>
    <x v="5"/>
    <x v="5"/>
    <x v="89"/>
    <n v="11675300"/>
    <m/>
    <n v="17512950"/>
    <m/>
    <n v="17512950"/>
    <m/>
    <n v="17512950"/>
    <n v="17512950"/>
  </r>
  <r>
    <x v="0"/>
    <x v="0"/>
    <x v="0"/>
    <x v="1"/>
    <x v="2"/>
    <x v="2"/>
    <x v="9"/>
    <x v="9"/>
    <x v="90"/>
    <n v="3134700"/>
    <m/>
    <n v="4702050"/>
    <m/>
    <n v="4702050"/>
    <n v="7053075"/>
    <m/>
    <n v="7053075"/>
  </r>
  <r>
    <x v="0"/>
    <x v="0"/>
    <x v="0"/>
    <x v="1"/>
    <x v="2"/>
    <x v="2"/>
    <x v="9"/>
    <x v="9"/>
    <x v="91"/>
    <n v="2004400"/>
    <m/>
    <n v="3006600"/>
    <m/>
    <n v="3006600"/>
    <m/>
    <n v="3006600"/>
    <n v="3006600"/>
  </r>
  <r>
    <x v="0"/>
    <x v="0"/>
    <x v="0"/>
    <x v="1"/>
    <x v="5"/>
    <x v="4"/>
    <x v="3"/>
    <x v="3"/>
    <x v="92"/>
    <n v="6930000"/>
    <n v="13860000"/>
    <m/>
    <m/>
    <n v="13860000"/>
    <m/>
    <n v="13860000"/>
    <n v="13860000"/>
  </r>
  <r>
    <x v="0"/>
    <x v="0"/>
    <x v="0"/>
    <x v="1"/>
    <x v="3"/>
    <x v="2"/>
    <x v="9"/>
    <x v="9"/>
    <x v="93"/>
    <n v="5020200"/>
    <m/>
    <n v="7530300"/>
    <m/>
    <n v="7530300"/>
    <m/>
    <n v="7530300"/>
    <n v="7530300"/>
  </r>
  <r>
    <x v="0"/>
    <x v="0"/>
    <x v="0"/>
    <x v="2"/>
    <x v="0"/>
    <x v="2"/>
    <x v="11"/>
    <x v="11"/>
    <x v="94"/>
    <n v="39000"/>
    <m/>
    <m/>
    <m/>
    <n v="39000"/>
    <m/>
    <n v="39000"/>
    <n v="39000"/>
  </r>
  <r>
    <x v="0"/>
    <x v="0"/>
    <x v="0"/>
    <x v="2"/>
    <x v="0"/>
    <x v="1"/>
    <x v="12"/>
    <x v="12"/>
    <x v="95"/>
    <s v="-"/>
    <m/>
    <m/>
    <m/>
    <s v=" - "/>
    <m/>
    <m/>
    <m/>
  </r>
  <r>
    <x v="0"/>
    <x v="0"/>
    <x v="0"/>
    <x v="2"/>
    <x v="0"/>
    <x v="1"/>
    <x v="11"/>
    <x v="11"/>
    <x v="96"/>
    <s v="-"/>
    <m/>
    <m/>
    <m/>
    <s v="-"/>
    <m/>
    <m/>
    <m/>
  </r>
  <r>
    <x v="0"/>
    <x v="0"/>
    <x v="0"/>
    <x v="2"/>
    <x v="1"/>
    <x v="2"/>
    <x v="12"/>
    <x v="12"/>
    <x v="97"/>
    <n v="1236000"/>
    <m/>
    <m/>
    <m/>
    <n v="1236000"/>
    <m/>
    <n v="1236000"/>
    <n v="1236000"/>
  </r>
  <r>
    <x v="0"/>
    <x v="0"/>
    <x v="0"/>
    <x v="2"/>
    <x v="1"/>
    <x v="2"/>
    <x v="12"/>
    <x v="12"/>
    <x v="98"/>
    <n v="897000"/>
    <m/>
    <m/>
    <m/>
    <n v="897000"/>
    <m/>
    <n v="897000"/>
    <n v="897000"/>
  </r>
  <r>
    <x v="0"/>
    <x v="0"/>
    <x v="0"/>
    <x v="2"/>
    <x v="1"/>
    <x v="2"/>
    <x v="12"/>
    <x v="12"/>
    <x v="99"/>
    <n v="599000"/>
    <m/>
    <m/>
    <m/>
    <n v="599000"/>
    <m/>
    <n v="599000"/>
    <n v="599000"/>
  </r>
  <r>
    <x v="0"/>
    <x v="0"/>
    <x v="0"/>
    <x v="2"/>
    <x v="1"/>
    <x v="2"/>
    <x v="12"/>
    <x v="12"/>
    <x v="100"/>
    <n v="4342000"/>
    <m/>
    <m/>
    <m/>
    <n v="4342000"/>
    <m/>
    <n v="4342000"/>
    <n v="4342000"/>
  </r>
  <r>
    <x v="0"/>
    <x v="0"/>
    <x v="0"/>
    <x v="2"/>
    <x v="1"/>
    <x v="2"/>
    <x v="12"/>
    <x v="12"/>
    <x v="101"/>
    <n v="2676200"/>
    <m/>
    <m/>
    <m/>
    <n v="2676200"/>
    <m/>
    <n v="2676200"/>
    <n v="2676200"/>
  </r>
  <r>
    <x v="0"/>
    <x v="0"/>
    <x v="0"/>
    <x v="2"/>
    <x v="1"/>
    <x v="2"/>
    <x v="12"/>
    <x v="12"/>
    <x v="102"/>
    <n v="3298000"/>
    <m/>
    <m/>
    <m/>
    <n v="3298000"/>
    <n v="4947000"/>
    <m/>
    <n v="4947000"/>
  </r>
  <r>
    <x v="0"/>
    <x v="0"/>
    <x v="0"/>
    <x v="2"/>
    <x v="1"/>
    <x v="2"/>
    <x v="13"/>
    <x v="13"/>
    <x v="103"/>
    <n v="1778000"/>
    <m/>
    <m/>
    <m/>
    <n v="1778000"/>
    <m/>
    <n v="1778000"/>
    <n v="1778000"/>
  </r>
  <r>
    <x v="0"/>
    <x v="0"/>
    <x v="0"/>
    <x v="2"/>
    <x v="1"/>
    <x v="2"/>
    <x v="13"/>
    <x v="13"/>
    <x v="104"/>
    <n v="798100"/>
    <m/>
    <m/>
    <m/>
    <n v="798100"/>
    <m/>
    <n v="798100"/>
    <n v="798100"/>
  </r>
  <r>
    <x v="0"/>
    <x v="0"/>
    <x v="0"/>
    <x v="2"/>
    <x v="1"/>
    <x v="2"/>
    <x v="13"/>
    <x v="13"/>
    <x v="105"/>
    <n v="3224400"/>
    <m/>
    <m/>
    <m/>
    <n v="3224400"/>
    <m/>
    <n v="3224400"/>
    <n v="3224400"/>
  </r>
  <r>
    <x v="0"/>
    <x v="0"/>
    <x v="0"/>
    <x v="2"/>
    <x v="1"/>
    <x v="2"/>
    <x v="13"/>
    <x v="13"/>
    <x v="106"/>
    <n v="1593000"/>
    <m/>
    <m/>
    <m/>
    <n v="1593000"/>
    <m/>
    <n v="1593000"/>
    <n v="1593000"/>
  </r>
  <r>
    <x v="0"/>
    <x v="0"/>
    <x v="0"/>
    <x v="2"/>
    <x v="1"/>
    <x v="2"/>
    <x v="13"/>
    <x v="13"/>
    <x v="107"/>
    <n v="2359800"/>
    <m/>
    <m/>
    <m/>
    <n v="2359800"/>
    <m/>
    <n v="2359800"/>
    <n v="2359800"/>
  </r>
  <r>
    <x v="0"/>
    <x v="0"/>
    <x v="0"/>
    <x v="2"/>
    <x v="1"/>
    <x v="2"/>
    <x v="13"/>
    <x v="13"/>
    <x v="108"/>
    <n v="8310000"/>
    <m/>
    <m/>
    <m/>
    <n v="8310000"/>
    <m/>
    <n v="8310000"/>
    <n v="8310000"/>
  </r>
  <r>
    <x v="0"/>
    <x v="0"/>
    <x v="0"/>
    <x v="2"/>
    <x v="1"/>
    <x v="2"/>
    <x v="13"/>
    <x v="13"/>
    <x v="109"/>
    <n v="7558000"/>
    <m/>
    <m/>
    <m/>
    <n v="7558000"/>
    <m/>
    <n v="7558000"/>
    <n v="7558000"/>
  </r>
  <r>
    <x v="0"/>
    <x v="0"/>
    <x v="0"/>
    <x v="2"/>
    <x v="1"/>
    <x v="2"/>
    <x v="11"/>
    <x v="11"/>
    <x v="110"/>
    <n v="4409700"/>
    <m/>
    <m/>
    <m/>
    <n v="4409700"/>
    <n v="6614550"/>
    <m/>
    <n v="6614550"/>
  </r>
  <r>
    <x v="0"/>
    <x v="0"/>
    <x v="0"/>
    <x v="2"/>
    <x v="1"/>
    <x v="2"/>
    <x v="11"/>
    <x v="11"/>
    <x v="111"/>
    <n v="1316200"/>
    <m/>
    <m/>
    <m/>
    <n v="1316200"/>
    <m/>
    <n v="1316200"/>
    <n v="1316200"/>
  </r>
  <r>
    <x v="0"/>
    <x v="0"/>
    <x v="0"/>
    <x v="2"/>
    <x v="1"/>
    <x v="2"/>
    <x v="11"/>
    <x v="11"/>
    <x v="112"/>
    <n v="1071000"/>
    <m/>
    <m/>
    <m/>
    <n v="1071000"/>
    <m/>
    <n v="1071000"/>
    <n v="1071000"/>
  </r>
  <r>
    <x v="0"/>
    <x v="0"/>
    <x v="0"/>
    <x v="2"/>
    <x v="1"/>
    <x v="2"/>
    <x v="11"/>
    <x v="11"/>
    <x v="113"/>
    <n v="3501000"/>
    <m/>
    <m/>
    <m/>
    <n v="3501000"/>
    <n v="5251500"/>
    <m/>
    <n v="5251500"/>
  </r>
  <r>
    <x v="0"/>
    <x v="0"/>
    <x v="0"/>
    <x v="2"/>
    <x v="1"/>
    <x v="2"/>
    <x v="11"/>
    <x v="11"/>
    <x v="114"/>
    <n v="12589800"/>
    <m/>
    <m/>
    <m/>
    <n v="12589800"/>
    <m/>
    <n v="12589800"/>
    <n v="12589800"/>
  </r>
  <r>
    <x v="0"/>
    <x v="0"/>
    <x v="0"/>
    <x v="2"/>
    <x v="1"/>
    <x v="2"/>
    <x v="11"/>
    <x v="11"/>
    <x v="115"/>
    <n v="5994000"/>
    <m/>
    <m/>
    <m/>
    <n v="5994000"/>
    <n v="8991000"/>
    <m/>
    <n v="8991000"/>
  </r>
  <r>
    <x v="0"/>
    <x v="0"/>
    <x v="0"/>
    <x v="2"/>
    <x v="1"/>
    <x v="2"/>
    <x v="11"/>
    <x v="11"/>
    <x v="116"/>
    <n v="2115400"/>
    <m/>
    <m/>
    <m/>
    <n v="2115400"/>
    <m/>
    <n v="2115400"/>
    <n v="2115400"/>
  </r>
  <r>
    <x v="0"/>
    <x v="0"/>
    <x v="0"/>
    <x v="2"/>
    <x v="1"/>
    <x v="2"/>
    <x v="11"/>
    <x v="11"/>
    <x v="117"/>
    <n v="1940200"/>
    <m/>
    <m/>
    <m/>
    <n v="1940200"/>
    <m/>
    <n v="1940200"/>
    <n v="1940200"/>
  </r>
  <r>
    <x v="0"/>
    <x v="0"/>
    <x v="0"/>
    <x v="2"/>
    <x v="1"/>
    <x v="2"/>
    <x v="11"/>
    <x v="11"/>
    <x v="118"/>
    <n v="1253800"/>
    <m/>
    <m/>
    <m/>
    <n v="1253800"/>
    <m/>
    <n v="1253800"/>
    <n v="1253800"/>
  </r>
  <r>
    <x v="0"/>
    <x v="0"/>
    <x v="0"/>
    <x v="2"/>
    <x v="1"/>
    <x v="2"/>
    <x v="11"/>
    <x v="11"/>
    <x v="119"/>
    <n v="17394000"/>
    <m/>
    <m/>
    <m/>
    <n v="17394000"/>
    <m/>
    <n v="17394000"/>
    <n v="17394000"/>
  </r>
  <r>
    <x v="0"/>
    <x v="0"/>
    <x v="0"/>
    <x v="2"/>
    <x v="2"/>
    <x v="2"/>
    <x v="12"/>
    <x v="12"/>
    <x v="120"/>
    <n v="1072400"/>
    <m/>
    <n v="1608600"/>
    <m/>
    <n v="1608600"/>
    <m/>
    <n v="1608600"/>
    <n v="1608600"/>
  </r>
  <r>
    <x v="0"/>
    <x v="0"/>
    <x v="0"/>
    <x v="2"/>
    <x v="2"/>
    <x v="2"/>
    <x v="12"/>
    <x v="12"/>
    <x v="121"/>
    <n v="2198000"/>
    <m/>
    <n v="3297000"/>
    <m/>
    <n v="3297000"/>
    <m/>
    <n v="3297000"/>
    <n v="3297000"/>
  </r>
  <r>
    <x v="0"/>
    <x v="0"/>
    <x v="0"/>
    <x v="2"/>
    <x v="2"/>
    <x v="2"/>
    <x v="12"/>
    <x v="12"/>
    <x v="122"/>
    <n v="20826000"/>
    <m/>
    <n v="31239000"/>
    <m/>
    <n v="31239000"/>
    <m/>
    <n v="31239000"/>
    <n v="31239000"/>
  </r>
  <r>
    <x v="0"/>
    <x v="0"/>
    <x v="0"/>
    <x v="2"/>
    <x v="2"/>
    <x v="2"/>
    <x v="12"/>
    <x v="12"/>
    <x v="123"/>
    <n v="3350200"/>
    <m/>
    <n v="5025300"/>
    <m/>
    <n v="5025300"/>
    <n v="7537950"/>
    <m/>
    <n v="7537950"/>
  </r>
  <r>
    <x v="0"/>
    <x v="0"/>
    <x v="0"/>
    <x v="2"/>
    <x v="2"/>
    <x v="2"/>
    <x v="13"/>
    <x v="13"/>
    <x v="124"/>
    <n v="3698000"/>
    <m/>
    <n v="5547000"/>
    <m/>
    <n v="5547000"/>
    <n v="8320500"/>
    <m/>
    <n v="8320500"/>
  </r>
  <r>
    <x v="0"/>
    <x v="0"/>
    <x v="0"/>
    <x v="2"/>
    <x v="2"/>
    <x v="2"/>
    <x v="11"/>
    <x v="11"/>
    <x v="125"/>
    <n v="2169800"/>
    <m/>
    <n v="3254700"/>
    <m/>
    <n v="3254700"/>
    <m/>
    <n v="3254700"/>
    <n v="3254700"/>
  </r>
  <r>
    <x v="0"/>
    <x v="0"/>
    <x v="0"/>
    <x v="2"/>
    <x v="2"/>
    <x v="2"/>
    <x v="11"/>
    <x v="11"/>
    <x v="126"/>
    <n v="4206400"/>
    <m/>
    <n v="6309600"/>
    <m/>
    <n v="6309600"/>
    <m/>
    <n v="6309600"/>
    <n v="6309600"/>
  </r>
  <r>
    <x v="0"/>
    <x v="0"/>
    <x v="0"/>
    <x v="2"/>
    <x v="2"/>
    <x v="2"/>
    <x v="11"/>
    <x v="11"/>
    <x v="127"/>
    <n v="2276430"/>
    <m/>
    <n v="3414645"/>
    <m/>
    <n v="3414645"/>
    <m/>
    <n v="3414645"/>
    <n v="3414645"/>
  </r>
  <r>
    <x v="0"/>
    <x v="0"/>
    <x v="0"/>
    <x v="2"/>
    <x v="2"/>
    <x v="2"/>
    <x v="11"/>
    <x v="11"/>
    <x v="128"/>
    <n v="7971600"/>
    <m/>
    <n v="11957400"/>
    <m/>
    <n v="11957400"/>
    <m/>
    <n v="11957400"/>
    <n v="11957400"/>
  </r>
  <r>
    <x v="0"/>
    <x v="0"/>
    <x v="0"/>
    <x v="2"/>
    <x v="3"/>
    <x v="2"/>
    <x v="11"/>
    <x v="11"/>
    <x v="129"/>
    <n v="3339800"/>
    <m/>
    <n v="5009700"/>
    <m/>
    <n v="5009700"/>
    <m/>
    <n v="5009700"/>
    <n v="5009700"/>
  </r>
  <r>
    <x v="0"/>
    <x v="0"/>
    <x v="0"/>
    <x v="3"/>
    <x v="0"/>
    <x v="0"/>
    <x v="14"/>
    <x v="14"/>
    <x v="130"/>
    <n v="595000"/>
    <m/>
    <m/>
    <m/>
    <n v="595000"/>
    <m/>
    <n v="595000"/>
    <n v="595000"/>
  </r>
  <r>
    <x v="0"/>
    <x v="0"/>
    <x v="0"/>
    <x v="3"/>
    <x v="1"/>
    <x v="2"/>
    <x v="15"/>
    <x v="15"/>
    <x v="131"/>
    <n v="814000"/>
    <m/>
    <m/>
    <m/>
    <n v="814000"/>
    <m/>
    <n v="814000"/>
    <n v="814000"/>
  </r>
  <r>
    <x v="0"/>
    <x v="0"/>
    <x v="0"/>
    <x v="3"/>
    <x v="1"/>
    <x v="2"/>
    <x v="15"/>
    <x v="15"/>
    <x v="132"/>
    <n v="794000"/>
    <m/>
    <m/>
    <m/>
    <n v="794000"/>
    <m/>
    <n v="794000"/>
    <n v="794000"/>
  </r>
  <r>
    <x v="0"/>
    <x v="0"/>
    <x v="0"/>
    <x v="3"/>
    <x v="1"/>
    <x v="2"/>
    <x v="15"/>
    <x v="15"/>
    <x v="133"/>
    <n v="325200"/>
    <m/>
    <m/>
    <m/>
    <n v="325200"/>
    <m/>
    <n v="325200"/>
    <n v="325200"/>
  </r>
  <r>
    <x v="0"/>
    <x v="0"/>
    <x v="0"/>
    <x v="3"/>
    <x v="1"/>
    <x v="2"/>
    <x v="15"/>
    <x v="15"/>
    <x v="134"/>
    <n v="2851600"/>
    <m/>
    <m/>
    <m/>
    <n v="2851600"/>
    <n v="4277400"/>
    <m/>
    <n v="4277400"/>
  </r>
  <r>
    <x v="0"/>
    <x v="0"/>
    <x v="0"/>
    <x v="3"/>
    <x v="1"/>
    <x v="2"/>
    <x v="16"/>
    <x v="16"/>
    <x v="135"/>
    <n v="1991800"/>
    <m/>
    <m/>
    <m/>
    <n v="1991800"/>
    <m/>
    <n v="1991800"/>
    <n v="1991800"/>
  </r>
  <r>
    <x v="0"/>
    <x v="0"/>
    <x v="0"/>
    <x v="3"/>
    <x v="1"/>
    <x v="2"/>
    <x v="17"/>
    <x v="17"/>
    <x v="136"/>
    <n v="1599800"/>
    <m/>
    <m/>
    <m/>
    <n v="1599800"/>
    <n v="2399700"/>
    <m/>
    <n v="2399700"/>
  </r>
  <r>
    <x v="0"/>
    <x v="0"/>
    <x v="0"/>
    <x v="3"/>
    <x v="1"/>
    <x v="2"/>
    <x v="17"/>
    <x v="17"/>
    <x v="137"/>
    <n v="2800200"/>
    <m/>
    <m/>
    <m/>
    <n v="2800200"/>
    <n v="4200300"/>
    <m/>
    <n v="4200300"/>
  </r>
  <r>
    <x v="0"/>
    <x v="0"/>
    <x v="0"/>
    <x v="3"/>
    <x v="1"/>
    <x v="2"/>
    <x v="18"/>
    <x v="18"/>
    <x v="138"/>
    <n v="2437400"/>
    <m/>
    <m/>
    <m/>
    <n v="2437400"/>
    <m/>
    <n v="2437400"/>
    <n v="2437400"/>
  </r>
  <r>
    <x v="0"/>
    <x v="0"/>
    <x v="0"/>
    <x v="3"/>
    <x v="1"/>
    <x v="2"/>
    <x v="19"/>
    <x v="19"/>
    <x v="139"/>
    <n v="3299700"/>
    <m/>
    <m/>
    <m/>
    <n v="3299700"/>
    <m/>
    <n v="3299700"/>
    <n v="3299700"/>
  </r>
  <r>
    <x v="0"/>
    <x v="0"/>
    <x v="0"/>
    <x v="3"/>
    <x v="1"/>
    <x v="2"/>
    <x v="19"/>
    <x v="19"/>
    <x v="140"/>
    <n v="1695400"/>
    <m/>
    <m/>
    <m/>
    <n v="1695400"/>
    <m/>
    <n v="1695400"/>
    <n v="1695400"/>
  </r>
  <r>
    <x v="0"/>
    <x v="0"/>
    <x v="0"/>
    <x v="3"/>
    <x v="1"/>
    <x v="2"/>
    <x v="14"/>
    <x v="14"/>
    <x v="141"/>
    <n v="1506000"/>
    <m/>
    <m/>
    <m/>
    <n v="1506000"/>
    <n v="2259000"/>
    <m/>
    <n v="2259000"/>
  </r>
  <r>
    <x v="0"/>
    <x v="0"/>
    <x v="0"/>
    <x v="3"/>
    <x v="2"/>
    <x v="2"/>
    <x v="16"/>
    <x v="16"/>
    <x v="142"/>
    <n v="4164400"/>
    <m/>
    <n v="6246600"/>
    <m/>
    <n v="6246600"/>
    <n v="9369900"/>
    <m/>
    <n v="9369900"/>
  </r>
  <r>
    <x v="0"/>
    <x v="0"/>
    <x v="0"/>
    <x v="3"/>
    <x v="2"/>
    <x v="2"/>
    <x v="16"/>
    <x v="16"/>
    <x v="143"/>
    <n v="1534000"/>
    <m/>
    <n v="2301000"/>
    <m/>
    <n v="2301000"/>
    <m/>
    <n v="2301000"/>
    <n v="2301000"/>
  </r>
  <r>
    <x v="0"/>
    <x v="0"/>
    <x v="0"/>
    <x v="3"/>
    <x v="2"/>
    <x v="2"/>
    <x v="16"/>
    <x v="16"/>
    <x v="144"/>
    <n v="13869000"/>
    <m/>
    <n v="20803500"/>
    <m/>
    <n v="20803500"/>
    <m/>
    <n v="20803500"/>
    <n v="20803500"/>
  </r>
  <r>
    <x v="0"/>
    <x v="0"/>
    <x v="0"/>
    <x v="3"/>
    <x v="2"/>
    <x v="2"/>
    <x v="17"/>
    <x v="17"/>
    <x v="145"/>
    <n v="3559800"/>
    <m/>
    <n v="5339700"/>
    <m/>
    <n v="5339700"/>
    <n v="8009550"/>
    <m/>
    <n v="8009550"/>
  </r>
  <r>
    <x v="0"/>
    <x v="0"/>
    <x v="0"/>
    <x v="3"/>
    <x v="2"/>
    <x v="2"/>
    <x v="17"/>
    <x v="17"/>
    <x v="146"/>
    <n v="2398000"/>
    <m/>
    <n v="3597000"/>
    <m/>
    <n v="3597000"/>
    <n v="5395500"/>
    <m/>
    <n v="5395500"/>
  </r>
  <r>
    <x v="0"/>
    <x v="0"/>
    <x v="0"/>
    <x v="3"/>
    <x v="2"/>
    <x v="2"/>
    <x v="17"/>
    <x v="17"/>
    <x v="147"/>
    <n v="4737600"/>
    <m/>
    <n v="7106400"/>
    <m/>
    <n v="7106400"/>
    <n v="10659600"/>
    <m/>
    <n v="10659600"/>
  </r>
  <r>
    <x v="0"/>
    <x v="0"/>
    <x v="0"/>
    <x v="3"/>
    <x v="2"/>
    <x v="2"/>
    <x v="17"/>
    <x v="17"/>
    <x v="148"/>
    <n v="3651600"/>
    <m/>
    <n v="5477400"/>
    <m/>
    <n v="5477400"/>
    <m/>
    <n v="5477400"/>
    <n v="5477400"/>
  </r>
  <r>
    <x v="0"/>
    <x v="0"/>
    <x v="0"/>
    <x v="3"/>
    <x v="2"/>
    <x v="2"/>
    <x v="17"/>
    <x v="17"/>
    <x v="149"/>
    <n v="10410000"/>
    <m/>
    <n v="15615000"/>
    <m/>
    <n v="15615000"/>
    <n v="23422500"/>
    <m/>
    <n v="23422500"/>
  </r>
  <r>
    <x v="0"/>
    <x v="0"/>
    <x v="0"/>
    <x v="3"/>
    <x v="2"/>
    <x v="2"/>
    <x v="18"/>
    <x v="18"/>
    <x v="150"/>
    <n v="4196800"/>
    <m/>
    <n v="6295200"/>
    <m/>
    <n v="6295200"/>
    <m/>
    <n v="6295200"/>
    <n v="6295200"/>
  </r>
  <r>
    <x v="0"/>
    <x v="0"/>
    <x v="0"/>
    <x v="3"/>
    <x v="2"/>
    <x v="2"/>
    <x v="19"/>
    <x v="19"/>
    <x v="151"/>
    <n v="2856600"/>
    <m/>
    <n v="4284900"/>
    <m/>
    <n v="4284900"/>
    <m/>
    <n v="4284900"/>
    <n v="4284900"/>
  </r>
  <r>
    <x v="0"/>
    <x v="0"/>
    <x v="0"/>
    <x v="3"/>
    <x v="2"/>
    <x v="2"/>
    <x v="19"/>
    <x v="19"/>
    <x v="152"/>
    <n v="2038000"/>
    <m/>
    <n v="3057000"/>
    <m/>
    <n v="3057000"/>
    <m/>
    <n v="3057000"/>
    <n v="3057000"/>
  </r>
  <r>
    <x v="0"/>
    <x v="0"/>
    <x v="0"/>
    <x v="3"/>
    <x v="2"/>
    <x v="2"/>
    <x v="14"/>
    <x v="14"/>
    <x v="153"/>
    <n v="3846400"/>
    <m/>
    <n v="5769600"/>
    <m/>
    <n v="5769600"/>
    <m/>
    <n v="5769600"/>
    <n v="5769600"/>
  </r>
  <r>
    <x v="0"/>
    <x v="0"/>
    <x v="0"/>
    <x v="3"/>
    <x v="2"/>
    <x v="2"/>
    <x v="14"/>
    <x v="14"/>
    <x v="154"/>
    <n v="3846400"/>
    <m/>
    <n v="5769600"/>
    <m/>
    <n v="5769600"/>
    <m/>
    <n v="5769600"/>
    <n v="5769600"/>
  </r>
  <r>
    <x v="0"/>
    <x v="0"/>
    <x v="0"/>
    <x v="3"/>
    <x v="2"/>
    <x v="2"/>
    <x v="14"/>
    <x v="14"/>
    <x v="155"/>
    <n v="4158000"/>
    <m/>
    <n v="6237000"/>
    <m/>
    <n v="6237000"/>
    <m/>
    <n v="6237000"/>
    <n v="6237000"/>
  </r>
  <r>
    <x v="0"/>
    <x v="0"/>
    <x v="0"/>
    <x v="3"/>
    <x v="2"/>
    <x v="2"/>
    <x v="14"/>
    <x v="14"/>
    <x v="156"/>
    <n v="25584000"/>
    <m/>
    <n v="38376000"/>
    <m/>
    <n v="38376000"/>
    <m/>
    <n v="38376000"/>
    <n v="38376000"/>
  </r>
  <r>
    <x v="0"/>
    <x v="0"/>
    <x v="0"/>
    <x v="3"/>
    <x v="3"/>
    <x v="2"/>
    <x v="15"/>
    <x v="15"/>
    <x v="157"/>
    <n v="4383300"/>
    <m/>
    <n v="6574950"/>
    <m/>
    <n v="6574950"/>
    <m/>
    <n v="6574950"/>
    <n v="6574950"/>
  </r>
  <r>
    <x v="0"/>
    <x v="0"/>
    <x v="0"/>
    <x v="3"/>
    <x v="3"/>
    <x v="2"/>
    <x v="17"/>
    <x v="17"/>
    <x v="158"/>
    <n v="6531000"/>
    <m/>
    <n v="9796500"/>
    <m/>
    <n v="9796500"/>
    <n v="14694750"/>
    <m/>
    <n v="14694750"/>
  </r>
  <r>
    <x v="0"/>
    <x v="0"/>
    <x v="0"/>
    <x v="3"/>
    <x v="3"/>
    <x v="2"/>
    <x v="17"/>
    <x v="17"/>
    <x v="159"/>
    <n v="3746800"/>
    <m/>
    <n v="5620200"/>
    <m/>
    <n v="5620200"/>
    <m/>
    <n v="5620200"/>
    <n v="5620200"/>
  </r>
  <r>
    <x v="0"/>
    <x v="0"/>
    <x v="0"/>
    <x v="3"/>
    <x v="6"/>
    <x v="5"/>
    <x v="17"/>
    <x v="17"/>
    <x v="160"/>
    <n v="198000"/>
    <m/>
    <m/>
    <m/>
    <n v="198000"/>
    <m/>
    <n v="198000"/>
    <n v="198000"/>
  </r>
  <r>
    <x v="0"/>
    <x v="0"/>
    <x v="0"/>
    <x v="4"/>
    <x v="4"/>
    <x v="3"/>
    <x v="20"/>
    <x v="20"/>
    <x v="161"/>
    <n v="4959600"/>
    <m/>
    <m/>
    <m/>
    <n v="4959600"/>
    <m/>
    <n v="4959600"/>
    <n v="4959600"/>
  </r>
  <r>
    <x v="0"/>
    <x v="0"/>
    <x v="0"/>
    <x v="4"/>
    <x v="0"/>
    <x v="0"/>
    <x v="21"/>
    <x v="21"/>
    <x v="162"/>
    <n v="825100"/>
    <m/>
    <m/>
    <m/>
    <n v="825100"/>
    <m/>
    <n v="825100"/>
    <n v="825100"/>
  </r>
  <r>
    <x v="0"/>
    <x v="0"/>
    <x v="0"/>
    <x v="4"/>
    <x v="0"/>
    <x v="1"/>
    <x v="22"/>
    <x v="22"/>
    <x v="163"/>
    <s v="-"/>
    <m/>
    <m/>
    <m/>
    <s v="-"/>
    <m/>
    <m/>
    <m/>
  </r>
  <r>
    <x v="0"/>
    <x v="0"/>
    <x v="0"/>
    <x v="4"/>
    <x v="0"/>
    <x v="1"/>
    <x v="22"/>
    <x v="22"/>
    <x v="164"/>
    <s v="-"/>
    <m/>
    <m/>
    <m/>
    <s v="-"/>
    <m/>
    <m/>
    <m/>
  </r>
  <r>
    <x v="0"/>
    <x v="0"/>
    <x v="0"/>
    <x v="4"/>
    <x v="1"/>
    <x v="2"/>
    <x v="20"/>
    <x v="20"/>
    <x v="165"/>
    <n v="2008800"/>
    <m/>
    <m/>
    <m/>
    <n v="2008800"/>
    <m/>
    <n v="2008800"/>
    <n v="2008800"/>
  </r>
  <r>
    <x v="0"/>
    <x v="0"/>
    <x v="0"/>
    <x v="4"/>
    <x v="1"/>
    <x v="2"/>
    <x v="20"/>
    <x v="20"/>
    <x v="166"/>
    <n v="2919600"/>
    <m/>
    <m/>
    <m/>
    <n v="2919600"/>
    <m/>
    <n v="2919600"/>
    <n v="2919600"/>
  </r>
  <r>
    <x v="0"/>
    <x v="0"/>
    <x v="0"/>
    <x v="4"/>
    <x v="1"/>
    <x v="2"/>
    <x v="21"/>
    <x v="21"/>
    <x v="167"/>
    <n v="1934400"/>
    <m/>
    <m/>
    <m/>
    <n v="1934400"/>
    <n v="2901600"/>
    <m/>
    <n v="2901600"/>
  </r>
  <r>
    <x v="0"/>
    <x v="0"/>
    <x v="0"/>
    <x v="4"/>
    <x v="1"/>
    <x v="2"/>
    <x v="23"/>
    <x v="23"/>
    <x v="168"/>
    <n v="4374000"/>
    <m/>
    <m/>
    <m/>
    <n v="4374000"/>
    <n v="6561000"/>
    <m/>
    <n v="6561000"/>
  </r>
  <r>
    <x v="0"/>
    <x v="0"/>
    <x v="0"/>
    <x v="4"/>
    <x v="1"/>
    <x v="2"/>
    <x v="23"/>
    <x v="23"/>
    <x v="169"/>
    <n v="1497000"/>
    <m/>
    <m/>
    <m/>
    <n v="1497000"/>
    <m/>
    <n v="1497000"/>
    <n v="1497000"/>
  </r>
  <r>
    <x v="0"/>
    <x v="0"/>
    <x v="0"/>
    <x v="4"/>
    <x v="1"/>
    <x v="2"/>
    <x v="23"/>
    <x v="23"/>
    <x v="170"/>
    <n v="3298000"/>
    <m/>
    <m/>
    <m/>
    <n v="3298000"/>
    <m/>
    <n v="3298000"/>
    <n v="3298000"/>
  </r>
  <r>
    <x v="0"/>
    <x v="0"/>
    <x v="0"/>
    <x v="4"/>
    <x v="2"/>
    <x v="2"/>
    <x v="20"/>
    <x v="20"/>
    <x v="171"/>
    <n v="11575300"/>
    <m/>
    <n v="17362950"/>
    <m/>
    <n v="17362950"/>
    <m/>
    <n v="17362950"/>
    <n v="17362950"/>
  </r>
  <r>
    <x v="0"/>
    <x v="0"/>
    <x v="0"/>
    <x v="4"/>
    <x v="2"/>
    <x v="2"/>
    <x v="21"/>
    <x v="21"/>
    <x v="172"/>
    <n v="1656600"/>
    <m/>
    <n v="2484900"/>
    <m/>
    <n v="2484900"/>
    <n v="3727350"/>
    <m/>
    <n v="3727350"/>
  </r>
  <r>
    <x v="0"/>
    <x v="0"/>
    <x v="0"/>
    <x v="4"/>
    <x v="2"/>
    <x v="2"/>
    <x v="21"/>
    <x v="21"/>
    <x v="173"/>
    <n v="1149900"/>
    <m/>
    <n v="1724850"/>
    <m/>
    <n v="1724850"/>
    <m/>
    <n v="1724850"/>
    <n v="1724850"/>
  </r>
  <r>
    <x v="0"/>
    <x v="0"/>
    <x v="0"/>
    <x v="4"/>
    <x v="2"/>
    <x v="2"/>
    <x v="24"/>
    <x v="24"/>
    <x v="174"/>
    <n v="1138400"/>
    <m/>
    <n v="1707600"/>
    <m/>
    <n v="1707600"/>
    <m/>
    <n v="1707600"/>
    <n v="1707600"/>
  </r>
  <r>
    <x v="0"/>
    <x v="0"/>
    <x v="0"/>
    <x v="4"/>
    <x v="2"/>
    <x v="2"/>
    <x v="24"/>
    <x v="24"/>
    <x v="175"/>
    <n v="2587400"/>
    <m/>
    <n v="3881100"/>
    <m/>
    <n v="3881100"/>
    <m/>
    <n v="3881100"/>
    <n v="3881100"/>
  </r>
  <r>
    <x v="0"/>
    <x v="0"/>
    <x v="0"/>
    <x v="4"/>
    <x v="2"/>
    <x v="2"/>
    <x v="24"/>
    <x v="24"/>
    <x v="176"/>
    <n v="4272000"/>
    <m/>
    <n v="6408000"/>
    <m/>
    <n v="6408000"/>
    <n v="9612000"/>
    <m/>
    <n v="9612000"/>
  </r>
  <r>
    <x v="0"/>
    <x v="0"/>
    <x v="0"/>
    <x v="4"/>
    <x v="2"/>
    <x v="2"/>
    <x v="24"/>
    <x v="24"/>
    <x v="177"/>
    <n v="3998000"/>
    <m/>
    <n v="5997000"/>
    <m/>
    <n v="5997000"/>
    <m/>
    <n v="5997000"/>
    <n v="5997000"/>
  </r>
  <r>
    <x v="0"/>
    <x v="0"/>
    <x v="0"/>
    <x v="4"/>
    <x v="2"/>
    <x v="2"/>
    <x v="25"/>
    <x v="25"/>
    <x v="178"/>
    <n v="17056000"/>
    <m/>
    <n v="25584000"/>
    <m/>
    <n v="25584000"/>
    <n v="38376000"/>
    <m/>
    <n v="38376000"/>
  </r>
  <r>
    <x v="0"/>
    <x v="0"/>
    <x v="0"/>
    <x v="4"/>
    <x v="2"/>
    <x v="2"/>
    <x v="25"/>
    <x v="25"/>
    <x v="146"/>
    <n v="2398000"/>
    <m/>
    <n v="3597000"/>
    <m/>
    <n v="3597000"/>
    <n v="5395500"/>
    <m/>
    <n v="5395500"/>
  </r>
  <r>
    <x v="0"/>
    <x v="0"/>
    <x v="0"/>
    <x v="4"/>
    <x v="2"/>
    <x v="2"/>
    <x v="25"/>
    <x v="25"/>
    <x v="179"/>
    <n v="8610000"/>
    <m/>
    <n v="12915000"/>
    <m/>
    <n v="12915000"/>
    <m/>
    <n v="12915000"/>
    <n v="12915000"/>
  </r>
  <r>
    <x v="0"/>
    <x v="0"/>
    <x v="0"/>
    <x v="4"/>
    <x v="2"/>
    <x v="2"/>
    <x v="22"/>
    <x v="22"/>
    <x v="180"/>
    <n v="2898000"/>
    <m/>
    <n v="4347000"/>
    <m/>
    <n v="4347000"/>
    <n v="6520500"/>
    <m/>
    <n v="6520500"/>
  </r>
  <r>
    <x v="0"/>
    <x v="0"/>
    <x v="0"/>
    <x v="4"/>
    <x v="2"/>
    <x v="2"/>
    <x v="22"/>
    <x v="22"/>
    <x v="181"/>
    <n v="1124000"/>
    <m/>
    <n v="1686000"/>
    <m/>
    <n v="1686000"/>
    <m/>
    <n v="1686000"/>
    <n v="1686000"/>
  </r>
  <r>
    <x v="0"/>
    <x v="0"/>
    <x v="0"/>
    <x v="4"/>
    <x v="2"/>
    <x v="2"/>
    <x v="22"/>
    <x v="22"/>
    <x v="182"/>
    <n v="3688800"/>
    <m/>
    <n v="5533200"/>
    <m/>
    <n v="5533200"/>
    <n v="8299800"/>
    <m/>
    <n v="8299800"/>
  </r>
  <r>
    <x v="0"/>
    <x v="0"/>
    <x v="0"/>
    <x v="4"/>
    <x v="2"/>
    <x v="2"/>
    <x v="22"/>
    <x v="22"/>
    <x v="183"/>
    <n v="8514000"/>
    <m/>
    <n v="12771000"/>
    <m/>
    <n v="12771000"/>
    <m/>
    <n v="12771000"/>
    <n v="12771000"/>
  </r>
  <r>
    <x v="0"/>
    <x v="0"/>
    <x v="0"/>
    <x v="4"/>
    <x v="2"/>
    <x v="2"/>
    <x v="22"/>
    <x v="22"/>
    <x v="184"/>
    <n v="6196000"/>
    <m/>
    <n v="9294000"/>
    <m/>
    <n v="9294000"/>
    <m/>
    <n v="9294000"/>
    <n v="9294000"/>
  </r>
  <r>
    <x v="0"/>
    <x v="0"/>
    <x v="0"/>
    <x v="4"/>
    <x v="2"/>
    <x v="2"/>
    <x v="22"/>
    <x v="22"/>
    <x v="185"/>
    <n v="5355000"/>
    <m/>
    <n v="8032500"/>
    <m/>
    <n v="8032500"/>
    <n v="12048750"/>
    <m/>
    <n v="12048750"/>
  </r>
  <r>
    <x v="0"/>
    <x v="0"/>
    <x v="0"/>
    <x v="4"/>
    <x v="2"/>
    <x v="2"/>
    <x v="22"/>
    <x v="22"/>
    <x v="186"/>
    <n v="7799400"/>
    <m/>
    <n v="11699100"/>
    <m/>
    <n v="11699100"/>
    <n v="17548650"/>
    <m/>
    <n v="17548650"/>
  </r>
  <r>
    <x v="0"/>
    <x v="0"/>
    <x v="0"/>
    <x v="4"/>
    <x v="2"/>
    <x v="2"/>
    <x v="22"/>
    <x v="22"/>
    <x v="187"/>
    <n v="2998000"/>
    <m/>
    <n v="4497000"/>
    <m/>
    <n v="4497000"/>
    <m/>
    <n v="4497000"/>
    <n v="4497000"/>
  </r>
  <r>
    <x v="0"/>
    <x v="0"/>
    <x v="0"/>
    <x v="4"/>
    <x v="5"/>
    <x v="1"/>
    <x v="20"/>
    <x v="20"/>
    <x v="188"/>
    <s v="-"/>
    <m/>
    <m/>
    <m/>
    <s v="-"/>
    <m/>
    <m/>
    <m/>
  </r>
  <r>
    <x v="0"/>
    <x v="0"/>
    <x v="0"/>
    <x v="4"/>
    <x v="3"/>
    <x v="2"/>
    <x v="20"/>
    <x v="20"/>
    <x v="189"/>
    <n v="7996000"/>
    <m/>
    <n v="11994000"/>
    <m/>
    <n v="11994000"/>
    <m/>
    <n v="11994000"/>
    <n v="11994000"/>
  </r>
  <r>
    <x v="0"/>
    <x v="0"/>
    <x v="0"/>
    <x v="4"/>
    <x v="3"/>
    <x v="2"/>
    <x v="25"/>
    <x v="25"/>
    <x v="190"/>
    <n v="25398000"/>
    <m/>
    <n v="38097000"/>
    <m/>
    <n v="38097000"/>
    <n v="57145500"/>
    <m/>
    <n v="57145500"/>
  </r>
  <r>
    <x v="0"/>
    <x v="0"/>
    <x v="0"/>
    <x v="5"/>
    <x v="4"/>
    <x v="3"/>
    <x v="26"/>
    <x v="26"/>
    <x v="191"/>
    <n v="1280000"/>
    <m/>
    <m/>
    <m/>
    <n v="1280000"/>
    <m/>
    <n v="1280000"/>
    <n v="1280000"/>
  </r>
  <r>
    <x v="0"/>
    <x v="0"/>
    <x v="0"/>
    <x v="5"/>
    <x v="7"/>
    <x v="2"/>
    <x v="27"/>
    <x v="27"/>
    <x v="192"/>
    <n v="2340000"/>
    <m/>
    <m/>
    <m/>
    <n v="2340000"/>
    <m/>
    <n v="2340000"/>
    <n v="2340000"/>
  </r>
  <r>
    <x v="0"/>
    <x v="0"/>
    <x v="0"/>
    <x v="5"/>
    <x v="7"/>
    <x v="2"/>
    <x v="26"/>
    <x v="26"/>
    <x v="193"/>
    <n v="1560000"/>
    <m/>
    <m/>
    <m/>
    <n v="1560000"/>
    <n v="2340000"/>
    <m/>
    <n v="2340000"/>
  </r>
  <r>
    <x v="0"/>
    <x v="0"/>
    <x v="0"/>
    <x v="5"/>
    <x v="0"/>
    <x v="0"/>
    <x v="28"/>
    <x v="28"/>
    <x v="194"/>
    <n v="10190500"/>
    <m/>
    <m/>
    <m/>
    <n v="10190500"/>
    <m/>
    <n v="10190500"/>
    <n v="10190500"/>
  </r>
  <r>
    <x v="0"/>
    <x v="0"/>
    <x v="0"/>
    <x v="5"/>
    <x v="0"/>
    <x v="0"/>
    <x v="28"/>
    <x v="28"/>
    <x v="195"/>
    <n v="665400"/>
    <m/>
    <m/>
    <m/>
    <n v="665400"/>
    <m/>
    <n v="665400"/>
    <n v="665400"/>
  </r>
  <r>
    <x v="0"/>
    <x v="0"/>
    <x v="0"/>
    <x v="5"/>
    <x v="0"/>
    <x v="2"/>
    <x v="29"/>
    <x v="29"/>
    <x v="196"/>
    <n v="958000"/>
    <m/>
    <m/>
    <m/>
    <n v="958000"/>
    <m/>
    <n v="958000"/>
    <n v="958000"/>
  </r>
  <r>
    <x v="0"/>
    <x v="0"/>
    <x v="0"/>
    <x v="5"/>
    <x v="1"/>
    <x v="2"/>
    <x v="27"/>
    <x v="27"/>
    <x v="197"/>
    <n v="754000"/>
    <m/>
    <m/>
    <m/>
    <n v="754000"/>
    <n v="1131000"/>
    <m/>
    <n v="1131000"/>
  </r>
  <r>
    <x v="0"/>
    <x v="0"/>
    <x v="0"/>
    <x v="5"/>
    <x v="1"/>
    <x v="2"/>
    <x v="26"/>
    <x v="26"/>
    <x v="198"/>
    <n v="4041200"/>
    <m/>
    <m/>
    <m/>
    <n v="4041200"/>
    <m/>
    <n v="4041200"/>
    <n v="4041200"/>
  </r>
  <r>
    <x v="0"/>
    <x v="0"/>
    <x v="0"/>
    <x v="5"/>
    <x v="1"/>
    <x v="2"/>
    <x v="29"/>
    <x v="29"/>
    <x v="199"/>
    <n v="1276800"/>
    <m/>
    <m/>
    <m/>
    <n v="1276800"/>
    <m/>
    <n v="1276800"/>
    <n v="1276800"/>
  </r>
  <r>
    <x v="0"/>
    <x v="0"/>
    <x v="0"/>
    <x v="5"/>
    <x v="1"/>
    <x v="2"/>
    <x v="29"/>
    <x v="29"/>
    <x v="200"/>
    <n v="699900"/>
    <m/>
    <m/>
    <m/>
    <n v="699900"/>
    <m/>
    <n v="699900"/>
    <n v="699900"/>
  </r>
  <r>
    <x v="0"/>
    <x v="0"/>
    <x v="0"/>
    <x v="5"/>
    <x v="1"/>
    <x v="2"/>
    <x v="28"/>
    <x v="28"/>
    <x v="201"/>
    <n v="1372000"/>
    <m/>
    <m/>
    <m/>
    <n v="1372000"/>
    <m/>
    <n v="1372000"/>
    <n v="1372000"/>
  </r>
  <r>
    <x v="0"/>
    <x v="0"/>
    <x v="0"/>
    <x v="5"/>
    <x v="1"/>
    <x v="2"/>
    <x v="28"/>
    <x v="28"/>
    <x v="202"/>
    <n v="3149800"/>
    <m/>
    <m/>
    <m/>
    <n v="3149800"/>
    <m/>
    <n v="3149800"/>
    <n v="3149800"/>
  </r>
  <r>
    <x v="0"/>
    <x v="0"/>
    <x v="0"/>
    <x v="5"/>
    <x v="1"/>
    <x v="2"/>
    <x v="28"/>
    <x v="28"/>
    <x v="203"/>
    <n v="152900"/>
    <m/>
    <m/>
    <m/>
    <n v="152900"/>
    <m/>
    <n v="152900"/>
    <n v="152900"/>
  </r>
  <r>
    <x v="0"/>
    <x v="0"/>
    <x v="0"/>
    <x v="5"/>
    <x v="1"/>
    <x v="2"/>
    <x v="28"/>
    <x v="28"/>
    <x v="204"/>
    <n v="3880400"/>
    <m/>
    <m/>
    <m/>
    <n v="3880400"/>
    <m/>
    <n v="3880400"/>
    <n v="3880400"/>
  </r>
  <r>
    <x v="0"/>
    <x v="0"/>
    <x v="0"/>
    <x v="5"/>
    <x v="1"/>
    <x v="2"/>
    <x v="28"/>
    <x v="28"/>
    <x v="205"/>
    <n v="5396000"/>
    <m/>
    <m/>
    <m/>
    <n v="5396000"/>
    <m/>
    <n v="5396000"/>
    <n v="5396000"/>
  </r>
  <r>
    <x v="0"/>
    <x v="0"/>
    <x v="0"/>
    <x v="5"/>
    <x v="1"/>
    <x v="2"/>
    <x v="28"/>
    <x v="28"/>
    <x v="206"/>
    <n v="4693200"/>
    <m/>
    <m/>
    <m/>
    <n v="4693200"/>
    <m/>
    <n v="4693200"/>
    <n v="4693200"/>
  </r>
  <r>
    <x v="0"/>
    <x v="0"/>
    <x v="0"/>
    <x v="5"/>
    <x v="1"/>
    <x v="2"/>
    <x v="28"/>
    <x v="28"/>
    <x v="207"/>
    <n v="4293200"/>
    <m/>
    <m/>
    <m/>
    <n v="4293200"/>
    <m/>
    <n v="4293200"/>
    <n v="4293200"/>
  </r>
  <r>
    <x v="0"/>
    <x v="0"/>
    <x v="0"/>
    <x v="5"/>
    <x v="2"/>
    <x v="2"/>
    <x v="27"/>
    <x v="27"/>
    <x v="208"/>
    <n v="6149600"/>
    <m/>
    <n v="9224400"/>
    <m/>
    <n v="9224400"/>
    <n v="13836600"/>
    <m/>
    <n v="13836600"/>
  </r>
  <r>
    <x v="0"/>
    <x v="0"/>
    <x v="0"/>
    <x v="5"/>
    <x v="2"/>
    <x v="2"/>
    <x v="26"/>
    <x v="26"/>
    <x v="209"/>
    <n v="3360000"/>
    <m/>
    <n v="5040000"/>
    <m/>
    <n v="5040000"/>
    <n v="7560000"/>
    <m/>
    <n v="7560000"/>
  </r>
  <r>
    <x v="0"/>
    <x v="0"/>
    <x v="0"/>
    <x v="5"/>
    <x v="2"/>
    <x v="2"/>
    <x v="29"/>
    <x v="29"/>
    <x v="210"/>
    <n v="12261600"/>
    <m/>
    <n v="18392400"/>
    <m/>
    <n v="18392400"/>
    <m/>
    <n v="18392400"/>
    <n v="18392400"/>
  </r>
  <r>
    <x v="0"/>
    <x v="0"/>
    <x v="0"/>
    <x v="5"/>
    <x v="2"/>
    <x v="2"/>
    <x v="29"/>
    <x v="29"/>
    <x v="211"/>
    <n v="9594000"/>
    <m/>
    <n v="14391000"/>
    <m/>
    <n v="14391000"/>
    <m/>
    <n v="14391000"/>
    <n v="14391000"/>
  </r>
  <r>
    <x v="0"/>
    <x v="0"/>
    <x v="0"/>
    <x v="5"/>
    <x v="2"/>
    <x v="2"/>
    <x v="29"/>
    <x v="29"/>
    <x v="212"/>
    <n v="7945000"/>
    <m/>
    <n v="11917500"/>
    <m/>
    <n v="11917500"/>
    <m/>
    <n v="11917500"/>
    <n v="11917500"/>
  </r>
  <r>
    <x v="0"/>
    <x v="0"/>
    <x v="0"/>
    <x v="5"/>
    <x v="2"/>
    <x v="2"/>
    <x v="28"/>
    <x v="28"/>
    <x v="213"/>
    <n v="6246600"/>
    <m/>
    <n v="9369900"/>
    <m/>
    <n v="9369900"/>
    <n v="14054850"/>
    <m/>
    <n v="14054850"/>
  </r>
  <r>
    <x v="0"/>
    <x v="0"/>
    <x v="0"/>
    <x v="5"/>
    <x v="2"/>
    <x v="2"/>
    <x v="28"/>
    <x v="28"/>
    <x v="214"/>
    <n v="6432000"/>
    <m/>
    <n v="9648000"/>
    <m/>
    <n v="9648000"/>
    <m/>
    <n v="9648000"/>
    <n v="9648000"/>
  </r>
  <r>
    <x v="0"/>
    <x v="0"/>
    <x v="0"/>
    <x v="5"/>
    <x v="2"/>
    <x v="2"/>
    <x v="28"/>
    <x v="28"/>
    <x v="215"/>
    <n v="4305000"/>
    <m/>
    <n v="6457500"/>
    <m/>
    <n v="6457500"/>
    <m/>
    <n v="6457500"/>
    <n v="6457500"/>
  </r>
  <r>
    <x v="0"/>
    <x v="0"/>
    <x v="0"/>
    <x v="5"/>
    <x v="2"/>
    <x v="2"/>
    <x v="28"/>
    <x v="28"/>
    <x v="216"/>
    <n v="6830800"/>
    <m/>
    <n v="10246200"/>
    <m/>
    <n v="10246200"/>
    <m/>
    <n v="10246200"/>
    <n v="10246200"/>
  </r>
  <r>
    <x v="0"/>
    <x v="0"/>
    <x v="0"/>
    <x v="5"/>
    <x v="2"/>
    <x v="2"/>
    <x v="28"/>
    <x v="28"/>
    <x v="217"/>
    <n v="7199600"/>
    <m/>
    <n v="10799400"/>
    <m/>
    <n v="10799400"/>
    <m/>
    <n v="10799400"/>
    <n v="10799400"/>
  </r>
  <r>
    <x v="0"/>
    <x v="0"/>
    <x v="0"/>
    <x v="5"/>
    <x v="3"/>
    <x v="2"/>
    <x v="28"/>
    <x v="28"/>
    <x v="218"/>
    <n v="3158000"/>
    <m/>
    <n v="4737000"/>
    <m/>
    <n v="4737000"/>
    <m/>
    <n v="4737000"/>
    <n v="4737000"/>
  </r>
  <r>
    <x v="0"/>
    <x v="0"/>
    <x v="0"/>
    <x v="6"/>
    <x v="0"/>
    <x v="0"/>
    <x v="30"/>
    <x v="30"/>
    <x v="219"/>
    <n v="1059800"/>
    <m/>
    <m/>
    <m/>
    <n v="1059800"/>
    <n v="1589700"/>
    <m/>
    <n v="1589700"/>
  </r>
  <r>
    <x v="0"/>
    <x v="0"/>
    <x v="0"/>
    <x v="6"/>
    <x v="0"/>
    <x v="0"/>
    <x v="30"/>
    <x v="30"/>
    <x v="220"/>
    <n v="739800"/>
    <m/>
    <m/>
    <m/>
    <n v="739800"/>
    <n v="1109700"/>
    <m/>
    <n v="1109700"/>
  </r>
  <r>
    <x v="0"/>
    <x v="0"/>
    <x v="0"/>
    <x v="6"/>
    <x v="1"/>
    <x v="2"/>
    <x v="30"/>
    <x v="30"/>
    <x v="221"/>
    <n v="2440000"/>
    <m/>
    <m/>
    <m/>
    <n v="2440000"/>
    <m/>
    <n v="2440000"/>
    <n v="2440000"/>
  </r>
  <r>
    <x v="0"/>
    <x v="0"/>
    <x v="0"/>
    <x v="6"/>
    <x v="1"/>
    <x v="2"/>
    <x v="30"/>
    <x v="30"/>
    <x v="222"/>
    <n v="1947000"/>
    <m/>
    <m/>
    <m/>
    <n v="1947000"/>
    <n v="2920500"/>
    <m/>
    <n v="2920500"/>
  </r>
  <r>
    <x v="0"/>
    <x v="0"/>
    <x v="0"/>
    <x v="6"/>
    <x v="1"/>
    <x v="2"/>
    <x v="30"/>
    <x v="30"/>
    <x v="223"/>
    <n v="598000"/>
    <m/>
    <m/>
    <m/>
    <n v="598000"/>
    <m/>
    <n v="598000"/>
    <n v="598000"/>
  </r>
  <r>
    <x v="0"/>
    <x v="0"/>
    <x v="0"/>
    <x v="6"/>
    <x v="1"/>
    <x v="2"/>
    <x v="30"/>
    <x v="30"/>
    <x v="224"/>
    <n v="5599300"/>
    <m/>
    <m/>
    <m/>
    <n v="5599300"/>
    <n v="8398950"/>
    <m/>
    <n v="8398950"/>
  </r>
  <r>
    <x v="0"/>
    <x v="0"/>
    <x v="0"/>
    <x v="6"/>
    <x v="1"/>
    <x v="2"/>
    <x v="30"/>
    <x v="30"/>
    <x v="225"/>
    <n v="1322700"/>
    <m/>
    <m/>
    <m/>
    <n v="1322700"/>
    <m/>
    <n v="1322700"/>
    <n v="1322700"/>
  </r>
  <r>
    <x v="0"/>
    <x v="0"/>
    <x v="0"/>
    <x v="6"/>
    <x v="1"/>
    <x v="2"/>
    <x v="30"/>
    <x v="30"/>
    <x v="226"/>
    <n v="1251000"/>
    <m/>
    <m/>
    <m/>
    <n v="1251000"/>
    <n v="1876500"/>
    <m/>
    <n v="1876500"/>
  </r>
  <r>
    <x v="0"/>
    <x v="0"/>
    <x v="0"/>
    <x v="6"/>
    <x v="1"/>
    <x v="2"/>
    <x v="30"/>
    <x v="30"/>
    <x v="227"/>
    <n v="940800"/>
    <m/>
    <m/>
    <m/>
    <n v="940800"/>
    <n v="1411200"/>
    <m/>
    <n v="1411200"/>
  </r>
  <r>
    <x v="0"/>
    <x v="0"/>
    <x v="0"/>
    <x v="6"/>
    <x v="1"/>
    <x v="2"/>
    <x v="30"/>
    <x v="30"/>
    <x v="228"/>
    <n v="1350000"/>
    <m/>
    <m/>
    <m/>
    <n v="1350000"/>
    <m/>
    <n v="1350000"/>
    <n v="1350000"/>
  </r>
  <r>
    <x v="0"/>
    <x v="0"/>
    <x v="0"/>
    <x v="6"/>
    <x v="1"/>
    <x v="2"/>
    <x v="30"/>
    <x v="30"/>
    <x v="229"/>
    <n v="1699800"/>
    <m/>
    <m/>
    <m/>
    <n v="1699800"/>
    <n v="2549700"/>
    <m/>
    <n v="2549700"/>
  </r>
  <r>
    <x v="0"/>
    <x v="0"/>
    <x v="0"/>
    <x v="6"/>
    <x v="1"/>
    <x v="2"/>
    <x v="30"/>
    <x v="30"/>
    <x v="230"/>
    <n v="11033000"/>
    <m/>
    <m/>
    <m/>
    <n v="11033000"/>
    <n v="16549500"/>
    <m/>
    <n v="16549500"/>
  </r>
  <r>
    <x v="0"/>
    <x v="0"/>
    <x v="0"/>
    <x v="6"/>
    <x v="1"/>
    <x v="2"/>
    <x v="30"/>
    <x v="30"/>
    <x v="231"/>
    <n v="2055800"/>
    <m/>
    <m/>
    <m/>
    <n v="2055800"/>
    <m/>
    <n v="2055800"/>
    <n v="2055800"/>
  </r>
  <r>
    <x v="0"/>
    <x v="0"/>
    <x v="0"/>
    <x v="6"/>
    <x v="2"/>
    <x v="2"/>
    <x v="30"/>
    <x v="30"/>
    <x v="232"/>
    <n v="2128400"/>
    <m/>
    <n v="3192600"/>
    <m/>
    <n v="3192600"/>
    <m/>
    <n v="3192600"/>
    <n v="3192600"/>
  </r>
  <r>
    <x v="0"/>
    <x v="0"/>
    <x v="0"/>
    <x v="6"/>
    <x v="2"/>
    <x v="2"/>
    <x v="30"/>
    <x v="30"/>
    <x v="233"/>
    <n v="2520000"/>
    <m/>
    <n v="3780000"/>
    <m/>
    <n v="3780000"/>
    <m/>
    <n v="3780000"/>
    <n v="3780000"/>
  </r>
  <r>
    <x v="0"/>
    <x v="0"/>
    <x v="0"/>
    <x v="6"/>
    <x v="2"/>
    <x v="2"/>
    <x v="30"/>
    <x v="30"/>
    <x v="234"/>
    <n v="2460000"/>
    <m/>
    <n v="3690000"/>
    <m/>
    <n v="3690000"/>
    <n v="5535000"/>
    <m/>
    <n v="5535000"/>
  </r>
  <r>
    <x v="0"/>
    <x v="0"/>
    <x v="0"/>
    <x v="6"/>
    <x v="2"/>
    <x v="2"/>
    <x v="30"/>
    <x v="30"/>
    <x v="235"/>
    <n v="6771800"/>
    <m/>
    <n v="10157700"/>
    <m/>
    <n v="10157700"/>
    <m/>
    <n v="10157700"/>
    <n v="10157700"/>
  </r>
  <r>
    <x v="0"/>
    <x v="0"/>
    <x v="0"/>
    <x v="6"/>
    <x v="2"/>
    <x v="2"/>
    <x v="30"/>
    <x v="30"/>
    <x v="236"/>
    <n v="1825200"/>
    <m/>
    <n v="2737800"/>
    <m/>
    <n v="2737800"/>
    <m/>
    <n v="2737800"/>
    <n v="2737800"/>
  </r>
  <r>
    <x v="0"/>
    <x v="0"/>
    <x v="0"/>
    <x v="6"/>
    <x v="2"/>
    <x v="2"/>
    <x v="30"/>
    <x v="30"/>
    <x v="185"/>
    <n v="10910000"/>
    <m/>
    <n v="16365000"/>
    <m/>
    <n v="16365000"/>
    <n v="24547500"/>
    <m/>
    <n v="24547500"/>
  </r>
  <r>
    <x v="0"/>
    <x v="0"/>
    <x v="0"/>
    <x v="6"/>
    <x v="2"/>
    <x v="2"/>
    <x v="30"/>
    <x v="30"/>
    <x v="237"/>
    <n v="12453200"/>
    <m/>
    <n v="18679800"/>
    <m/>
    <n v="18679800"/>
    <m/>
    <n v="18679800"/>
    <n v="18679800"/>
  </r>
  <r>
    <x v="0"/>
    <x v="0"/>
    <x v="0"/>
    <x v="6"/>
    <x v="2"/>
    <x v="2"/>
    <x v="30"/>
    <x v="30"/>
    <x v="238"/>
    <n v="7499500"/>
    <m/>
    <n v="11249250"/>
    <m/>
    <n v="11249250"/>
    <m/>
    <n v="11249250"/>
    <n v="11249250"/>
  </r>
  <r>
    <x v="0"/>
    <x v="0"/>
    <x v="0"/>
    <x v="6"/>
    <x v="2"/>
    <x v="2"/>
    <x v="30"/>
    <x v="30"/>
    <x v="239"/>
    <n v="1396800"/>
    <m/>
    <n v="2095200"/>
    <m/>
    <n v="2095200"/>
    <m/>
    <n v="2095200"/>
    <n v="2095200"/>
  </r>
  <r>
    <x v="0"/>
    <x v="0"/>
    <x v="0"/>
    <x v="6"/>
    <x v="2"/>
    <x v="2"/>
    <x v="30"/>
    <x v="30"/>
    <x v="240"/>
    <n v="16192800"/>
    <m/>
    <n v="24289200"/>
    <m/>
    <n v="24289200"/>
    <n v="36433800"/>
    <m/>
    <n v="36433800"/>
  </r>
  <r>
    <x v="0"/>
    <x v="0"/>
    <x v="0"/>
    <x v="6"/>
    <x v="3"/>
    <x v="2"/>
    <x v="30"/>
    <x v="30"/>
    <x v="241"/>
    <n v="4815600"/>
    <m/>
    <n v="7223400"/>
    <m/>
    <n v="7223400"/>
    <m/>
    <n v="7223400"/>
    <n v="7223400"/>
  </r>
  <r>
    <x v="0"/>
    <x v="0"/>
    <x v="0"/>
    <x v="6"/>
    <x v="3"/>
    <x v="2"/>
    <x v="30"/>
    <x v="30"/>
    <x v="242"/>
    <n v="2113600"/>
    <m/>
    <n v="3170400"/>
    <m/>
    <n v="3170400"/>
    <m/>
    <n v="3170400"/>
    <n v="3170400"/>
  </r>
  <r>
    <x v="0"/>
    <x v="0"/>
    <x v="1"/>
    <x v="7"/>
    <x v="0"/>
    <x v="2"/>
    <x v="31"/>
    <x v="31"/>
    <x v="243"/>
    <n v="2694000"/>
    <m/>
    <m/>
    <m/>
    <n v="2694000"/>
    <m/>
    <n v="2694000"/>
    <n v="2694000"/>
  </r>
  <r>
    <x v="0"/>
    <x v="0"/>
    <x v="1"/>
    <x v="7"/>
    <x v="0"/>
    <x v="1"/>
    <x v="31"/>
    <x v="31"/>
    <x v="244"/>
    <s v="-"/>
    <m/>
    <m/>
    <m/>
    <s v="-"/>
    <m/>
    <m/>
    <m/>
  </r>
  <r>
    <x v="0"/>
    <x v="0"/>
    <x v="1"/>
    <x v="7"/>
    <x v="1"/>
    <x v="2"/>
    <x v="31"/>
    <x v="31"/>
    <x v="245"/>
    <n v="3050400"/>
    <m/>
    <m/>
    <m/>
    <n v="3050400"/>
    <n v="4575600"/>
    <m/>
    <n v="4575600"/>
  </r>
  <r>
    <x v="0"/>
    <x v="0"/>
    <x v="1"/>
    <x v="7"/>
    <x v="1"/>
    <x v="2"/>
    <x v="31"/>
    <x v="31"/>
    <x v="246"/>
    <n v="378000"/>
    <m/>
    <m/>
    <m/>
    <n v="378000"/>
    <m/>
    <n v="378000"/>
    <n v="378000"/>
  </r>
  <r>
    <x v="0"/>
    <x v="0"/>
    <x v="1"/>
    <x v="7"/>
    <x v="2"/>
    <x v="2"/>
    <x v="31"/>
    <x v="31"/>
    <x v="247"/>
    <n v="3929200"/>
    <m/>
    <n v="5893800"/>
    <m/>
    <n v="5893800"/>
    <n v="8840700"/>
    <m/>
    <n v="8840700"/>
  </r>
  <r>
    <x v="0"/>
    <x v="0"/>
    <x v="1"/>
    <x v="7"/>
    <x v="2"/>
    <x v="2"/>
    <x v="31"/>
    <x v="31"/>
    <x v="248"/>
    <n v="8994000"/>
    <m/>
    <n v="13491000"/>
    <m/>
    <n v="13491000"/>
    <n v="20236500"/>
    <m/>
    <n v="20236500"/>
  </r>
  <r>
    <x v="0"/>
    <x v="0"/>
    <x v="1"/>
    <x v="7"/>
    <x v="2"/>
    <x v="2"/>
    <x v="31"/>
    <x v="31"/>
    <x v="249"/>
    <n v="6260800"/>
    <m/>
    <n v="9391200"/>
    <m/>
    <n v="9391200"/>
    <n v="14086800"/>
    <m/>
    <n v="14086800"/>
  </r>
  <r>
    <x v="0"/>
    <x v="0"/>
    <x v="1"/>
    <x v="8"/>
    <x v="2"/>
    <x v="2"/>
    <x v="32"/>
    <x v="32"/>
    <x v="250"/>
    <n v="6635500"/>
    <m/>
    <n v="9953250"/>
    <m/>
    <n v="9953250"/>
    <m/>
    <n v="9953250"/>
    <n v="9953250"/>
  </r>
  <r>
    <x v="0"/>
    <x v="0"/>
    <x v="1"/>
    <x v="8"/>
    <x v="8"/>
    <x v="1"/>
    <x v="32"/>
    <x v="32"/>
    <x v="251"/>
    <s v="-"/>
    <m/>
    <m/>
    <m/>
    <s v="-"/>
    <m/>
    <m/>
    <m/>
  </r>
  <r>
    <x v="0"/>
    <x v="0"/>
    <x v="1"/>
    <x v="8"/>
    <x v="3"/>
    <x v="2"/>
    <x v="32"/>
    <x v="32"/>
    <x v="252"/>
    <n v="7495000"/>
    <m/>
    <n v="11242500"/>
    <m/>
    <n v="11242500"/>
    <m/>
    <n v="11242500"/>
    <n v="11242500"/>
  </r>
  <r>
    <x v="0"/>
    <x v="0"/>
    <x v="1"/>
    <x v="9"/>
    <x v="0"/>
    <x v="0"/>
    <x v="33"/>
    <x v="33"/>
    <x v="253"/>
    <n v="1827600"/>
    <m/>
    <m/>
    <m/>
    <n v="1827600"/>
    <n v="2741400"/>
    <m/>
    <n v="2741400"/>
  </r>
  <r>
    <x v="0"/>
    <x v="0"/>
    <x v="1"/>
    <x v="9"/>
    <x v="0"/>
    <x v="1"/>
    <x v="33"/>
    <x v="33"/>
    <x v="254"/>
    <s v="-"/>
    <m/>
    <m/>
    <m/>
    <s v="-"/>
    <m/>
    <m/>
    <m/>
  </r>
  <r>
    <x v="0"/>
    <x v="0"/>
    <x v="1"/>
    <x v="9"/>
    <x v="0"/>
    <x v="1"/>
    <x v="33"/>
    <x v="33"/>
    <x v="255"/>
    <s v="-"/>
    <m/>
    <m/>
    <m/>
    <s v="-"/>
    <m/>
    <m/>
    <m/>
  </r>
  <r>
    <x v="0"/>
    <x v="0"/>
    <x v="1"/>
    <x v="9"/>
    <x v="0"/>
    <x v="1"/>
    <x v="33"/>
    <x v="33"/>
    <x v="256"/>
    <s v="-"/>
    <m/>
    <m/>
    <m/>
    <s v="-"/>
    <m/>
    <m/>
    <m/>
  </r>
  <r>
    <x v="0"/>
    <x v="0"/>
    <x v="1"/>
    <x v="9"/>
    <x v="0"/>
    <x v="1"/>
    <x v="33"/>
    <x v="33"/>
    <x v="257"/>
    <s v="-"/>
    <m/>
    <m/>
    <m/>
    <s v="-"/>
    <m/>
    <m/>
    <m/>
  </r>
  <r>
    <x v="0"/>
    <x v="0"/>
    <x v="1"/>
    <x v="9"/>
    <x v="1"/>
    <x v="2"/>
    <x v="34"/>
    <x v="34"/>
    <x v="258"/>
    <n v="2730300"/>
    <m/>
    <m/>
    <m/>
    <n v="2730300"/>
    <m/>
    <n v="2730300"/>
    <n v="2730300"/>
  </r>
  <r>
    <x v="0"/>
    <x v="0"/>
    <x v="1"/>
    <x v="9"/>
    <x v="1"/>
    <x v="2"/>
    <x v="34"/>
    <x v="34"/>
    <x v="259"/>
    <n v="4898400"/>
    <m/>
    <m/>
    <m/>
    <n v="4898400"/>
    <m/>
    <n v="4898400"/>
    <n v="4898400"/>
  </r>
  <r>
    <x v="0"/>
    <x v="0"/>
    <x v="1"/>
    <x v="9"/>
    <x v="1"/>
    <x v="1"/>
    <x v="33"/>
    <x v="33"/>
    <x v="260"/>
    <s v="-"/>
    <m/>
    <m/>
    <m/>
    <s v="-"/>
    <m/>
    <m/>
    <m/>
  </r>
  <r>
    <x v="0"/>
    <x v="0"/>
    <x v="1"/>
    <x v="9"/>
    <x v="2"/>
    <x v="2"/>
    <x v="34"/>
    <x v="34"/>
    <x v="261"/>
    <n v="8757700"/>
    <m/>
    <n v="13136550"/>
    <m/>
    <n v="13136550"/>
    <m/>
    <n v="13136550"/>
    <n v="13136550"/>
  </r>
  <r>
    <x v="0"/>
    <x v="0"/>
    <x v="1"/>
    <x v="9"/>
    <x v="2"/>
    <x v="2"/>
    <x v="33"/>
    <x v="33"/>
    <x v="262"/>
    <n v="9117000"/>
    <m/>
    <n v="13675500"/>
    <m/>
    <n v="13675500"/>
    <m/>
    <n v="13675500"/>
    <n v="13675500"/>
  </r>
  <r>
    <x v="0"/>
    <x v="0"/>
    <x v="1"/>
    <x v="9"/>
    <x v="2"/>
    <x v="2"/>
    <x v="33"/>
    <x v="33"/>
    <x v="263"/>
    <n v="1417900"/>
    <m/>
    <n v="2126850"/>
    <m/>
    <n v="2126850"/>
    <m/>
    <n v="2126850"/>
    <n v="2126850"/>
  </r>
  <r>
    <x v="0"/>
    <x v="0"/>
    <x v="1"/>
    <x v="9"/>
    <x v="2"/>
    <x v="2"/>
    <x v="35"/>
    <x v="35"/>
    <x v="264"/>
    <n v="3890400"/>
    <m/>
    <n v="5835600"/>
    <m/>
    <n v="5835600"/>
    <m/>
    <n v="5835600"/>
    <n v="5835600"/>
  </r>
  <r>
    <x v="0"/>
    <x v="0"/>
    <x v="1"/>
    <x v="9"/>
    <x v="2"/>
    <x v="2"/>
    <x v="35"/>
    <x v="35"/>
    <x v="265"/>
    <n v="6630000"/>
    <m/>
    <n v="9945000"/>
    <m/>
    <n v="9945000"/>
    <n v="14917500"/>
    <m/>
    <n v="14917500"/>
  </r>
  <r>
    <x v="0"/>
    <x v="0"/>
    <x v="1"/>
    <x v="10"/>
    <x v="0"/>
    <x v="2"/>
    <x v="36"/>
    <x v="36"/>
    <x v="266"/>
    <n v="662000"/>
    <m/>
    <m/>
    <m/>
    <n v="662000"/>
    <m/>
    <n v="662000"/>
    <n v="662000"/>
  </r>
  <r>
    <x v="0"/>
    <x v="0"/>
    <x v="1"/>
    <x v="10"/>
    <x v="0"/>
    <x v="1"/>
    <x v="37"/>
    <x v="37"/>
    <x v="267"/>
    <s v="-"/>
    <m/>
    <m/>
    <m/>
    <s v="-"/>
    <m/>
    <m/>
    <m/>
  </r>
  <r>
    <x v="0"/>
    <x v="0"/>
    <x v="1"/>
    <x v="10"/>
    <x v="0"/>
    <x v="1"/>
    <x v="37"/>
    <x v="37"/>
    <x v="268"/>
    <s v="-"/>
    <m/>
    <m/>
    <m/>
    <s v="-"/>
    <m/>
    <m/>
    <m/>
  </r>
  <r>
    <x v="0"/>
    <x v="0"/>
    <x v="1"/>
    <x v="10"/>
    <x v="0"/>
    <x v="1"/>
    <x v="37"/>
    <x v="37"/>
    <x v="269"/>
    <s v="-"/>
    <m/>
    <m/>
    <m/>
    <s v="-"/>
    <m/>
    <m/>
    <m/>
  </r>
  <r>
    <x v="0"/>
    <x v="0"/>
    <x v="1"/>
    <x v="10"/>
    <x v="0"/>
    <x v="1"/>
    <x v="37"/>
    <x v="37"/>
    <x v="270"/>
    <s v="-"/>
    <m/>
    <m/>
    <m/>
    <s v="-"/>
    <m/>
    <m/>
    <m/>
  </r>
  <r>
    <x v="0"/>
    <x v="0"/>
    <x v="1"/>
    <x v="10"/>
    <x v="0"/>
    <x v="1"/>
    <x v="37"/>
    <x v="37"/>
    <x v="271"/>
    <s v="-"/>
    <m/>
    <m/>
    <m/>
    <s v="-"/>
    <m/>
    <m/>
    <m/>
  </r>
  <r>
    <x v="0"/>
    <x v="0"/>
    <x v="1"/>
    <x v="10"/>
    <x v="0"/>
    <x v="1"/>
    <x v="37"/>
    <x v="37"/>
    <x v="272"/>
    <s v="-"/>
    <m/>
    <m/>
    <m/>
    <s v="-"/>
    <m/>
    <m/>
    <m/>
  </r>
  <r>
    <x v="0"/>
    <x v="0"/>
    <x v="1"/>
    <x v="10"/>
    <x v="0"/>
    <x v="1"/>
    <x v="36"/>
    <x v="36"/>
    <x v="273"/>
    <s v="-"/>
    <m/>
    <m/>
    <m/>
    <s v="-"/>
    <m/>
    <m/>
    <m/>
  </r>
  <r>
    <x v="0"/>
    <x v="0"/>
    <x v="1"/>
    <x v="10"/>
    <x v="0"/>
    <x v="1"/>
    <x v="36"/>
    <x v="36"/>
    <x v="274"/>
    <s v="-"/>
    <m/>
    <m/>
    <m/>
    <s v="-"/>
    <m/>
    <m/>
    <m/>
  </r>
  <r>
    <x v="0"/>
    <x v="0"/>
    <x v="1"/>
    <x v="10"/>
    <x v="1"/>
    <x v="2"/>
    <x v="37"/>
    <x v="37"/>
    <x v="275"/>
    <n v="1472700"/>
    <m/>
    <m/>
    <m/>
    <n v="1472700"/>
    <n v="2209050"/>
    <m/>
    <n v="2209050"/>
  </r>
  <r>
    <x v="0"/>
    <x v="0"/>
    <x v="1"/>
    <x v="10"/>
    <x v="1"/>
    <x v="2"/>
    <x v="37"/>
    <x v="37"/>
    <x v="276"/>
    <n v="7379400"/>
    <m/>
    <m/>
    <m/>
    <n v="7379400"/>
    <m/>
    <n v="7379400"/>
    <n v="7379400"/>
  </r>
  <r>
    <x v="0"/>
    <x v="0"/>
    <x v="1"/>
    <x v="10"/>
    <x v="1"/>
    <x v="2"/>
    <x v="37"/>
    <x v="37"/>
    <x v="277"/>
    <n v="2998000"/>
    <m/>
    <m/>
    <m/>
    <n v="2998000"/>
    <n v="4497000"/>
    <m/>
    <n v="4497000"/>
  </r>
  <r>
    <x v="0"/>
    <x v="0"/>
    <x v="1"/>
    <x v="10"/>
    <x v="1"/>
    <x v="2"/>
    <x v="36"/>
    <x v="36"/>
    <x v="278"/>
    <n v="2486400"/>
    <m/>
    <m/>
    <m/>
    <n v="2486400"/>
    <m/>
    <n v="2486400"/>
    <n v="2486400"/>
  </r>
  <r>
    <x v="0"/>
    <x v="0"/>
    <x v="1"/>
    <x v="10"/>
    <x v="1"/>
    <x v="2"/>
    <x v="36"/>
    <x v="36"/>
    <x v="279"/>
    <n v="4445400"/>
    <m/>
    <m/>
    <m/>
    <n v="4445400"/>
    <n v="6668100"/>
    <m/>
    <n v="6668100"/>
  </r>
  <r>
    <x v="0"/>
    <x v="0"/>
    <x v="1"/>
    <x v="10"/>
    <x v="1"/>
    <x v="2"/>
    <x v="36"/>
    <x v="36"/>
    <x v="280"/>
    <n v="6649300"/>
    <m/>
    <m/>
    <m/>
    <n v="6649300"/>
    <m/>
    <n v="6649300"/>
    <n v="6649300"/>
  </r>
  <r>
    <x v="0"/>
    <x v="0"/>
    <x v="1"/>
    <x v="10"/>
    <x v="1"/>
    <x v="2"/>
    <x v="36"/>
    <x v="36"/>
    <x v="281"/>
    <n v="2255000"/>
    <m/>
    <m/>
    <m/>
    <n v="2255000"/>
    <m/>
    <n v="2255000"/>
    <n v="2255000"/>
  </r>
  <r>
    <x v="0"/>
    <x v="0"/>
    <x v="1"/>
    <x v="10"/>
    <x v="1"/>
    <x v="1"/>
    <x v="37"/>
    <x v="37"/>
    <x v="282"/>
    <s v="-"/>
    <m/>
    <m/>
    <m/>
    <s v="-"/>
    <m/>
    <m/>
    <m/>
  </r>
  <r>
    <x v="0"/>
    <x v="0"/>
    <x v="1"/>
    <x v="10"/>
    <x v="2"/>
    <x v="2"/>
    <x v="37"/>
    <x v="37"/>
    <x v="283"/>
    <n v="3099800"/>
    <m/>
    <n v="4649700"/>
    <m/>
    <n v="4649700"/>
    <n v="6974550"/>
    <m/>
    <n v="6974550"/>
  </r>
  <r>
    <x v="0"/>
    <x v="0"/>
    <x v="1"/>
    <x v="10"/>
    <x v="2"/>
    <x v="2"/>
    <x v="37"/>
    <x v="37"/>
    <x v="284"/>
    <n v="11053200"/>
    <m/>
    <n v="16579800"/>
    <m/>
    <n v="16579800"/>
    <m/>
    <n v="16579800"/>
    <n v="16579800"/>
  </r>
  <r>
    <x v="0"/>
    <x v="0"/>
    <x v="1"/>
    <x v="10"/>
    <x v="2"/>
    <x v="2"/>
    <x v="37"/>
    <x v="37"/>
    <x v="285"/>
    <n v="5345600"/>
    <m/>
    <n v="8018400"/>
    <m/>
    <n v="8018400"/>
    <n v="12027600"/>
    <m/>
    <n v="12027600"/>
  </r>
  <r>
    <x v="0"/>
    <x v="0"/>
    <x v="1"/>
    <x v="10"/>
    <x v="2"/>
    <x v="2"/>
    <x v="36"/>
    <x v="36"/>
    <x v="286"/>
    <n v="4432000"/>
    <m/>
    <n v="6648000"/>
    <m/>
    <n v="6648000"/>
    <m/>
    <n v="6648000"/>
    <n v="6648000"/>
  </r>
  <r>
    <x v="0"/>
    <x v="0"/>
    <x v="1"/>
    <x v="10"/>
    <x v="2"/>
    <x v="2"/>
    <x v="36"/>
    <x v="36"/>
    <x v="287"/>
    <n v="14791060"/>
    <m/>
    <n v="22186590"/>
    <m/>
    <n v="22186590"/>
    <m/>
    <n v="22186590"/>
    <n v="22186590"/>
  </r>
  <r>
    <x v="0"/>
    <x v="0"/>
    <x v="1"/>
    <x v="10"/>
    <x v="2"/>
    <x v="1"/>
    <x v="37"/>
    <x v="37"/>
    <x v="288"/>
    <s v="-"/>
    <m/>
    <m/>
    <m/>
    <s v="-"/>
    <m/>
    <m/>
    <m/>
  </r>
  <r>
    <x v="0"/>
    <x v="0"/>
    <x v="1"/>
    <x v="10"/>
    <x v="5"/>
    <x v="1"/>
    <x v="37"/>
    <x v="37"/>
    <x v="289"/>
    <s v="-"/>
    <m/>
    <m/>
    <m/>
    <s v="-"/>
    <m/>
    <m/>
    <m/>
  </r>
  <r>
    <x v="0"/>
    <x v="0"/>
    <x v="1"/>
    <x v="10"/>
    <x v="5"/>
    <x v="1"/>
    <x v="37"/>
    <x v="37"/>
    <x v="290"/>
    <s v="-"/>
    <m/>
    <m/>
    <m/>
    <s v="-"/>
    <m/>
    <m/>
    <m/>
  </r>
  <r>
    <x v="0"/>
    <x v="0"/>
    <x v="1"/>
    <x v="10"/>
    <x v="5"/>
    <x v="1"/>
    <x v="36"/>
    <x v="36"/>
    <x v="291"/>
    <s v="-"/>
    <m/>
    <m/>
    <m/>
    <s v="-"/>
    <m/>
    <m/>
    <m/>
  </r>
  <r>
    <x v="0"/>
    <x v="0"/>
    <x v="1"/>
    <x v="10"/>
    <x v="5"/>
    <x v="1"/>
    <x v="36"/>
    <x v="36"/>
    <x v="292"/>
    <s v="-"/>
    <m/>
    <m/>
    <m/>
    <s v="-"/>
    <m/>
    <m/>
    <m/>
  </r>
  <r>
    <x v="0"/>
    <x v="0"/>
    <x v="1"/>
    <x v="10"/>
    <x v="3"/>
    <x v="2"/>
    <x v="37"/>
    <x v="37"/>
    <x v="293"/>
    <n v="2938000"/>
    <m/>
    <n v="4407000"/>
    <m/>
    <n v="4407000"/>
    <m/>
    <n v="4407000"/>
    <n v="4407000"/>
  </r>
  <r>
    <x v="0"/>
    <x v="1"/>
    <x v="2"/>
    <x v="11"/>
    <x v="7"/>
    <x v="2"/>
    <x v="38"/>
    <x v="38"/>
    <x v="193"/>
    <n v="1560000"/>
    <m/>
    <m/>
    <m/>
    <n v="1560000"/>
    <n v="2340000"/>
    <m/>
    <n v="2340000"/>
  </r>
  <r>
    <x v="0"/>
    <x v="1"/>
    <x v="2"/>
    <x v="11"/>
    <x v="0"/>
    <x v="2"/>
    <x v="38"/>
    <x v="38"/>
    <x v="294"/>
    <n v="1796000"/>
    <m/>
    <m/>
    <m/>
    <n v="1796000"/>
    <m/>
    <n v="1796000"/>
    <n v="1796000"/>
  </r>
  <r>
    <x v="0"/>
    <x v="1"/>
    <x v="2"/>
    <x v="11"/>
    <x v="1"/>
    <x v="2"/>
    <x v="38"/>
    <x v="38"/>
    <x v="295"/>
    <n v="4080800"/>
    <m/>
    <m/>
    <m/>
    <n v="4080800"/>
    <m/>
    <n v="4080800"/>
    <n v="4080800"/>
  </r>
  <r>
    <x v="0"/>
    <x v="1"/>
    <x v="2"/>
    <x v="11"/>
    <x v="1"/>
    <x v="2"/>
    <x v="38"/>
    <x v="38"/>
    <x v="296"/>
    <n v="1086000"/>
    <m/>
    <m/>
    <m/>
    <n v="1086000"/>
    <m/>
    <n v="1086000"/>
    <n v="1086000"/>
  </r>
  <r>
    <x v="0"/>
    <x v="1"/>
    <x v="2"/>
    <x v="11"/>
    <x v="1"/>
    <x v="2"/>
    <x v="38"/>
    <x v="38"/>
    <x v="297"/>
    <n v="2699700"/>
    <m/>
    <m/>
    <m/>
    <n v="2699700"/>
    <m/>
    <n v="2699700"/>
    <n v="2699700"/>
  </r>
  <r>
    <x v="0"/>
    <x v="1"/>
    <x v="2"/>
    <x v="11"/>
    <x v="2"/>
    <x v="2"/>
    <x v="38"/>
    <x v="38"/>
    <x v="298"/>
    <n v="2310000"/>
    <m/>
    <n v="3465000"/>
    <m/>
    <n v="3465000"/>
    <m/>
    <n v="3465000"/>
    <n v="3465000"/>
  </r>
  <r>
    <x v="0"/>
    <x v="1"/>
    <x v="2"/>
    <x v="11"/>
    <x v="2"/>
    <x v="2"/>
    <x v="38"/>
    <x v="38"/>
    <x v="299"/>
    <n v="2473200"/>
    <m/>
    <n v="3709800"/>
    <m/>
    <n v="3709800"/>
    <m/>
    <n v="3709800"/>
    <n v="3709800"/>
  </r>
  <r>
    <x v="0"/>
    <x v="1"/>
    <x v="2"/>
    <x v="11"/>
    <x v="2"/>
    <x v="2"/>
    <x v="38"/>
    <x v="38"/>
    <x v="300"/>
    <n v="7356600"/>
    <m/>
    <n v="11034900"/>
    <m/>
    <n v="11034900"/>
    <m/>
    <n v="11034900"/>
    <n v="11034900"/>
  </r>
  <r>
    <x v="0"/>
    <x v="1"/>
    <x v="2"/>
    <x v="11"/>
    <x v="2"/>
    <x v="2"/>
    <x v="38"/>
    <x v="38"/>
    <x v="301"/>
    <n v="6110000"/>
    <m/>
    <n v="9165000"/>
    <m/>
    <n v="9165000"/>
    <m/>
    <n v="9165000"/>
    <n v="9165000"/>
  </r>
  <r>
    <x v="0"/>
    <x v="1"/>
    <x v="2"/>
    <x v="11"/>
    <x v="2"/>
    <x v="2"/>
    <x v="38"/>
    <x v="38"/>
    <x v="302"/>
    <n v="8798000"/>
    <m/>
    <n v="13197000"/>
    <m/>
    <n v="13197000"/>
    <m/>
    <n v="13197000"/>
    <n v="13197000"/>
  </r>
  <r>
    <x v="0"/>
    <x v="1"/>
    <x v="2"/>
    <x v="11"/>
    <x v="2"/>
    <x v="2"/>
    <x v="38"/>
    <x v="38"/>
    <x v="303"/>
    <n v="8945800"/>
    <m/>
    <n v="13418700"/>
    <m/>
    <n v="13418700"/>
    <m/>
    <n v="13418700"/>
    <n v="13418700"/>
  </r>
  <r>
    <x v="0"/>
    <x v="1"/>
    <x v="2"/>
    <x v="11"/>
    <x v="2"/>
    <x v="2"/>
    <x v="38"/>
    <x v="38"/>
    <x v="304"/>
    <n v="10547700"/>
    <m/>
    <n v="15821550"/>
    <m/>
    <n v="15821550"/>
    <n v="23732325"/>
    <m/>
    <n v="23732325"/>
  </r>
  <r>
    <x v="0"/>
    <x v="1"/>
    <x v="2"/>
    <x v="11"/>
    <x v="2"/>
    <x v="2"/>
    <x v="38"/>
    <x v="38"/>
    <x v="305"/>
    <n v="2759800"/>
    <m/>
    <n v="4139700"/>
    <m/>
    <n v="4139700"/>
    <n v="6209550"/>
    <m/>
    <n v="6209550"/>
  </r>
  <r>
    <x v="0"/>
    <x v="1"/>
    <x v="2"/>
    <x v="11"/>
    <x v="2"/>
    <x v="2"/>
    <x v="38"/>
    <x v="38"/>
    <x v="306"/>
    <n v="5697000"/>
    <m/>
    <n v="8545500"/>
    <m/>
    <n v="8545500"/>
    <m/>
    <n v="8545500"/>
    <n v="8545500"/>
  </r>
  <r>
    <x v="0"/>
    <x v="1"/>
    <x v="2"/>
    <x v="11"/>
    <x v="9"/>
    <x v="6"/>
    <x v="38"/>
    <x v="38"/>
    <x v="307"/>
    <n v="10160000"/>
    <m/>
    <m/>
    <m/>
    <n v="10160000"/>
    <n v="15240000"/>
    <m/>
    <n v="15240000"/>
  </r>
  <r>
    <x v="0"/>
    <x v="1"/>
    <x v="2"/>
    <x v="12"/>
    <x v="4"/>
    <x v="3"/>
    <x v="39"/>
    <x v="39"/>
    <x v="308"/>
    <n v="1366000"/>
    <m/>
    <m/>
    <m/>
    <n v="1366000"/>
    <m/>
    <n v="1366000"/>
    <n v="1366000"/>
  </r>
  <r>
    <x v="0"/>
    <x v="1"/>
    <x v="2"/>
    <x v="12"/>
    <x v="4"/>
    <x v="3"/>
    <x v="39"/>
    <x v="39"/>
    <x v="309"/>
    <n v="2578000"/>
    <m/>
    <m/>
    <m/>
    <n v="2578000"/>
    <m/>
    <n v="2578000"/>
    <n v="2578000"/>
  </r>
  <r>
    <x v="0"/>
    <x v="1"/>
    <x v="2"/>
    <x v="12"/>
    <x v="0"/>
    <x v="1"/>
    <x v="39"/>
    <x v="39"/>
    <x v="310"/>
    <s v="-"/>
    <m/>
    <m/>
    <m/>
    <s v="-"/>
    <m/>
    <m/>
    <m/>
  </r>
  <r>
    <x v="0"/>
    <x v="1"/>
    <x v="2"/>
    <x v="12"/>
    <x v="1"/>
    <x v="2"/>
    <x v="39"/>
    <x v="39"/>
    <x v="311"/>
    <n v="912200"/>
    <m/>
    <m/>
    <m/>
    <n v="912200"/>
    <n v="1368300"/>
    <m/>
    <n v="1368300"/>
  </r>
  <r>
    <x v="0"/>
    <x v="1"/>
    <x v="2"/>
    <x v="12"/>
    <x v="1"/>
    <x v="2"/>
    <x v="39"/>
    <x v="39"/>
    <x v="312"/>
    <n v="1459800"/>
    <m/>
    <m/>
    <m/>
    <n v="1459800"/>
    <m/>
    <n v="1459800"/>
    <n v="1459800"/>
  </r>
  <r>
    <x v="0"/>
    <x v="1"/>
    <x v="2"/>
    <x v="12"/>
    <x v="2"/>
    <x v="2"/>
    <x v="39"/>
    <x v="39"/>
    <x v="313"/>
    <n v="4599600"/>
    <m/>
    <n v="6899400"/>
    <m/>
    <n v="6899400"/>
    <m/>
    <n v="6899400"/>
    <n v="6899400"/>
  </r>
  <r>
    <x v="0"/>
    <x v="1"/>
    <x v="2"/>
    <x v="12"/>
    <x v="2"/>
    <x v="2"/>
    <x v="39"/>
    <x v="39"/>
    <x v="314"/>
    <n v="4156000"/>
    <m/>
    <n v="6234000"/>
    <m/>
    <n v="6234000"/>
    <m/>
    <n v="6234000"/>
    <n v="6234000"/>
  </r>
  <r>
    <x v="0"/>
    <x v="1"/>
    <x v="2"/>
    <x v="12"/>
    <x v="2"/>
    <x v="2"/>
    <x v="39"/>
    <x v="39"/>
    <x v="315"/>
    <n v="11056000"/>
    <m/>
    <n v="16584000"/>
    <m/>
    <n v="16584000"/>
    <m/>
    <n v="16584000"/>
    <n v="16584000"/>
  </r>
  <r>
    <x v="0"/>
    <x v="1"/>
    <x v="2"/>
    <x v="12"/>
    <x v="2"/>
    <x v="2"/>
    <x v="39"/>
    <x v="39"/>
    <x v="316"/>
    <n v="2299800"/>
    <m/>
    <n v="3449700"/>
    <m/>
    <n v="3449700"/>
    <m/>
    <n v="3449700"/>
    <n v="3449700"/>
  </r>
  <r>
    <x v="0"/>
    <x v="1"/>
    <x v="2"/>
    <x v="12"/>
    <x v="2"/>
    <x v="2"/>
    <x v="39"/>
    <x v="39"/>
    <x v="317"/>
    <n v="6264610"/>
    <m/>
    <n v="9396915"/>
    <m/>
    <n v="9396915"/>
    <m/>
    <n v="9396915"/>
    <n v="9396915"/>
  </r>
  <r>
    <x v="0"/>
    <x v="1"/>
    <x v="2"/>
    <x v="12"/>
    <x v="2"/>
    <x v="2"/>
    <x v="39"/>
    <x v="39"/>
    <x v="318"/>
    <n v="2779600"/>
    <m/>
    <n v="4169400"/>
    <m/>
    <n v="4169400"/>
    <n v="6254100"/>
    <m/>
    <n v="6254100"/>
  </r>
  <r>
    <x v="0"/>
    <x v="1"/>
    <x v="3"/>
    <x v="13"/>
    <x v="0"/>
    <x v="0"/>
    <x v="40"/>
    <x v="40"/>
    <x v="319"/>
    <n v="1823200"/>
    <m/>
    <m/>
    <m/>
    <n v="1823200"/>
    <n v="2734800"/>
    <m/>
    <n v="2734800"/>
  </r>
  <r>
    <x v="0"/>
    <x v="1"/>
    <x v="3"/>
    <x v="13"/>
    <x v="1"/>
    <x v="2"/>
    <x v="40"/>
    <x v="40"/>
    <x v="320"/>
    <n v="3271000"/>
    <m/>
    <m/>
    <m/>
    <n v="3271000"/>
    <m/>
    <n v="3271000"/>
    <n v="3271000"/>
  </r>
  <r>
    <x v="0"/>
    <x v="1"/>
    <x v="3"/>
    <x v="13"/>
    <x v="1"/>
    <x v="2"/>
    <x v="40"/>
    <x v="40"/>
    <x v="321"/>
    <n v="15375000"/>
    <m/>
    <m/>
    <m/>
    <n v="15375000"/>
    <m/>
    <n v="15375000"/>
    <n v="15375000"/>
  </r>
  <r>
    <x v="0"/>
    <x v="1"/>
    <x v="3"/>
    <x v="13"/>
    <x v="2"/>
    <x v="2"/>
    <x v="40"/>
    <x v="40"/>
    <x v="322"/>
    <n v="4369600"/>
    <m/>
    <n v="6554400"/>
    <m/>
    <n v="6554400"/>
    <m/>
    <n v="6554400"/>
    <n v="6554400"/>
  </r>
  <r>
    <x v="0"/>
    <x v="1"/>
    <x v="3"/>
    <x v="13"/>
    <x v="2"/>
    <x v="2"/>
    <x v="40"/>
    <x v="40"/>
    <x v="323"/>
    <n v="19980000"/>
    <m/>
    <n v="29970000"/>
    <m/>
    <n v="29970000"/>
    <m/>
    <n v="29970000"/>
    <n v="29970000"/>
  </r>
  <r>
    <x v="0"/>
    <x v="1"/>
    <x v="3"/>
    <x v="13"/>
    <x v="2"/>
    <x v="2"/>
    <x v="40"/>
    <x v="40"/>
    <x v="324"/>
    <n v="4596000"/>
    <m/>
    <n v="6894000"/>
    <m/>
    <n v="6894000"/>
    <m/>
    <n v="6894000"/>
    <n v="6894000"/>
  </r>
  <r>
    <x v="0"/>
    <x v="1"/>
    <x v="3"/>
    <x v="13"/>
    <x v="2"/>
    <x v="2"/>
    <x v="40"/>
    <x v="40"/>
    <x v="325"/>
    <n v="13234000"/>
    <m/>
    <n v="19851000"/>
    <m/>
    <n v="19851000"/>
    <m/>
    <n v="19851000"/>
    <n v="19851000"/>
  </r>
  <r>
    <x v="0"/>
    <x v="1"/>
    <x v="3"/>
    <x v="13"/>
    <x v="2"/>
    <x v="2"/>
    <x v="40"/>
    <x v="40"/>
    <x v="326"/>
    <n v="16234000"/>
    <m/>
    <n v="24351000"/>
    <m/>
    <n v="24351000"/>
    <m/>
    <n v="24351000"/>
    <n v="24351000"/>
  </r>
  <r>
    <x v="0"/>
    <x v="1"/>
    <x v="3"/>
    <x v="14"/>
    <x v="4"/>
    <x v="3"/>
    <x v="41"/>
    <x v="41"/>
    <x v="327"/>
    <n v="8356000"/>
    <m/>
    <m/>
    <m/>
    <n v="8356000"/>
    <m/>
    <n v="8356000"/>
    <n v="8356000"/>
  </r>
  <r>
    <x v="0"/>
    <x v="1"/>
    <x v="3"/>
    <x v="14"/>
    <x v="7"/>
    <x v="2"/>
    <x v="41"/>
    <x v="41"/>
    <x v="328"/>
    <n v="4200000"/>
    <m/>
    <m/>
    <m/>
    <n v="4200000"/>
    <m/>
    <n v="4200000"/>
    <n v="4200000"/>
  </r>
  <r>
    <x v="0"/>
    <x v="1"/>
    <x v="3"/>
    <x v="14"/>
    <x v="0"/>
    <x v="0"/>
    <x v="41"/>
    <x v="41"/>
    <x v="329"/>
    <n v="3556000"/>
    <m/>
    <m/>
    <m/>
    <n v="3556000"/>
    <m/>
    <n v="3556000"/>
    <n v="3556000"/>
  </r>
  <r>
    <x v="0"/>
    <x v="1"/>
    <x v="3"/>
    <x v="14"/>
    <x v="0"/>
    <x v="0"/>
    <x v="42"/>
    <x v="42"/>
    <x v="330"/>
    <n v="865400"/>
    <m/>
    <m/>
    <m/>
    <n v="865400"/>
    <m/>
    <n v="865400"/>
    <n v="865400"/>
  </r>
  <r>
    <x v="0"/>
    <x v="1"/>
    <x v="3"/>
    <x v="14"/>
    <x v="1"/>
    <x v="2"/>
    <x v="42"/>
    <x v="42"/>
    <x v="331"/>
    <n v="2676000"/>
    <m/>
    <m/>
    <m/>
    <n v="2676000"/>
    <m/>
    <n v="2676000"/>
    <n v="2676000"/>
  </r>
  <r>
    <x v="0"/>
    <x v="1"/>
    <x v="3"/>
    <x v="14"/>
    <x v="1"/>
    <x v="2"/>
    <x v="42"/>
    <x v="42"/>
    <x v="332"/>
    <n v="224800"/>
    <m/>
    <m/>
    <m/>
    <n v="224800"/>
    <m/>
    <n v="224800"/>
    <n v="224800"/>
  </r>
  <r>
    <x v="0"/>
    <x v="1"/>
    <x v="3"/>
    <x v="14"/>
    <x v="1"/>
    <x v="2"/>
    <x v="42"/>
    <x v="42"/>
    <x v="333"/>
    <n v="1868800"/>
    <m/>
    <m/>
    <m/>
    <n v="1868800"/>
    <m/>
    <n v="1868800"/>
    <n v="1868800"/>
  </r>
  <r>
    <x v="0"/>
    <x v="1"/>
    <x v="3"/>
    <x v="14"/>
    <x v="1"/>
    <x v="2"/>
    <x v="42"/>
    <x v="42"/>
    <x v="334"/>
    <n v="3993200"/>
    <m/>
    <m/>
    <m/>
    <n v="3993200"/>
    <m/>
    <n v="3993200"/>
    <n v="3993200"/>
  </r>
  <r>
    <x v="0"/>
    <x v="1"/>
    <x v="3"/>
    <x v="14"/>
    <x v="2"/>
    <x v="2"/>
    <x v="41"/>
    <x v="41"/>
    <x v="335"/>
    <n v="3349800"/>
    <m/>
    <n v="5024700"/>
    <m/>
    <n v="5024700"/>
    <m/>
    <n v="5024700"/>
    <n v="5024700"/>
  </r>
  <r>
    <x v="0"/>
    <x v="1"/>
    <x v="3"/>
    <x v="14"/>
    <x v="2"/>
    <x v="2"/>
    <x v="41"/>
    <x v="41"/>
    <x v="336"/>
    <n v="5596000"/>
    <m/>
    <n v="8394000"/>
    <m/>
    <n v="8394000"/>
    <n v="12591000"/>
    <m/>
    <n v="12591000"/>
  </r>
  <r>
    <x v="0"/>
    <x v="1"/>
    <x v="3"/>
    <x v="14"/>
    <x v="2"/>
    <x v="2"/>
    <x v="41"/>
    <x v="41"/>
    <x v="337"/>
    <n v="1979000"/>
    <m/>
    <n v="2968500"/>
    <m/>
    <n v="2968500"/>
    <m/>
    <n v="2968500"/>
    <n v="2968500"/>
  </r>
  <r>
    <x v="0"/>
    <x v="1"/>
    <x v="3"/>
    <x v="14"/>
    <x v="2"/>
    <x v="2"/>
    <x v="42"/>
    <x v="42"/>
    <x v="338"/>
    <n v="1845200"/>
    <m/>
    <n v="2767800"/>
    <m/>
    <n v="2767800"/>
    <m/>
    <n v="2767800"/>
    <n v="2767800"/>
  </r>
  <r>
    <x v="0"/>
    <x v="1"/>
    <x v="3"/>
    <x v="14"/>
    <x v="2"/>
    <x v="2"/>
    <x v="42"/>
    <x v="42"/>
    <x v="339"/>
    <n v="6612000"/>
    <m/>
    <n v="9918000"/>
    <m/>
    <n v="9918000"/>
    <m/>
    <n v="9918000"/>
    <n v="9918000"/>
  </r>
  <r>
    <x v="0"/>
    <x v="1"/>
    <x v="3"/>
    <x v="14"/>
    <x v="2"/>
    <x v="2"/>
    <x v="42"/>
    <x v="42"/>
    <x v="340"/>
    <n v="5178000"/>
    <m/>
    <n v="7767000"/>
    <m/>
    <n v="7767000"/>
    <n v="11650500"/>
    <m/>
    <n v="11650500"/>
  </r>
  <r>
    <x v="0"/>
    <x v="1"/>
    <x v="3"/>
    <x v="14"/>
    <x v="2"/>
    <x v="2"/>
    <x v="42"/>
    <x v="42"/>
    <x v="341"/>
    <n v="6199200"/>
    <m/>
    <n v="9298800"/>
    <m/>
    <n v="9298800"/>
    <m/>
    <n v="9298800"/>
    <n v="9298800"/>
  </r>
  <r>
    <x v="0"/>
    <x v="1"/>
    <x v="3"/>
    <x v="14"/>
    <x v="2"/>
    <x v="2"/>
    <x v="42"/>
    <x v="42"/>
    <x v="342"/>
    <n v="6199200"/>
    <m/>
    <n v="9298800"/>
    <m/>
    <n v="9298800"/>
    <m/>
    <n v="9298800"/>
    <n v="9298800"/>
  </r>
  <r>
    <x v="0"/>
    <x v="1"/>
    <x v="3"/>
    <x v="14"/>
    <x v="3"/>
    <x v="2"/>
    <x v="42"/>
    <x v="42"/>
    <x v="343"/>
    <n v="3198000"/>
    <m/>
    <n v="4797000"/>
    <m/>
    <n v="4797000"/>
    <m/>
    <n v="4797000"/>
    <n v="4797000"/>
  </r>
  <r>
    <x v="0"/>
    <x v="1"/>
    <x v="3"/>
    <x v="15"/>
    <x v="1"/>
    <x v="2"/>
    <x v="43"/>
    <x v="43"/>
    <x v="344"/>
    <n v="1798000"/>
    <m/>
    <m/>
    <m/>
    <n v="1798000"/>
    <m/>
    <n v="1798000"/>
    <n v="1798000"/>
  </r>
  <r>
    <x v="0"/>
    <x v="1"/>
    <x v="3"/>
    <x v="15"/>
    <x v="1"/>
    <x v="2"/>
    <x v="43"/>
    <x v="43"/>
    <x v="345"/>
    <n v="4738500"/>
    <m/>
    <m/>
    <m/>
    <n v="4738500"/>
    <m/>
    <n v="4738500"/>
    <n v="4738500"/>
  </r>
  <r>
    <x v="0"/>
    <x v="1"/>
    <x v="3"/>
    <x v="15"/>
    <x v="1"/>
    <x v="2"/>
    <x v="43"/>
    <x v="43"/>
    <x v="346"/>
    <n v="2599800"/>
    <m/>
    <m/>
    <m/>
    <n v="2599800"/>
    <m/>
    <n v="2599800"/>
    <n v="2599800"/>
  </r>
  <r>
    <x v="0"/>
    <x v="1"/>
    <x v="3"/>
    <x v="15"/>
    <x v="1"/>
    <x v="2"/>
    <x v="43"/>
    <x v="43"/>
    <x v="347"/>
    <n v="8049300"/>
    <m/>
    <m/>
    <m/>
    <n v="8049300"/>
    <m/>
    <n v="8049300"/>
    <n v="8049300"/>
  </r>
  <r>
    <x v="0"/>
    <x v="1"/>
    <x v="3"/>
    <x v="15"/>
    <x v="1"/>
    <x v="2"/>
    <x v="43"/>
    <x v="43"/>
    <x v="348"/>
    <n v="3399600"/>
    <m/>
    <m/>
    <m/>
    <n v="3399600"/>
    <m/>
    <n v="3399600"/>
    <n v="3399600"/>
  </r>
  <r>
    <x v="0"/>
    <x v="1"/>
    <x v="3"/>
    <x v="15"/>
    <x v="1"/>
    <x v="2"/>
    <x v="43"/>
    <x v="43"/>
    <x v="349"/>
    <n v="1799800"/>
    <m/>
    <m/>
    <m/>
    <n v="1799800"/>
    <m/>
    <n v="1799800"/>
    <n v="1799800"/>
  </r>
  <r>
    <x v="0"/>
    <x v="1"/>
    <x v="3"/>
    <x v="15"/>
    <x v="2"/>
    <x v="2"/>
    <x v="43"/>
    <x v="43"/>
    <x v="350"/>
    <n v="3984400"/>
    <m/>
    <n v="5976600"/>
    <m/>
    <n v="5976600"/>
    <m/>
    <n v="5976600"/>
    <n v="5976600"/>
  </r>
  <r>
    <x v="0"/>
    <x v="1"/>
    <x v="3"/>
    <x v="15"/>
    <x v="2"/>
    <x v="2"/>
    <x v="43"/>
    <x v="43"/>
    <x v="208"/>
    <n v="3074800"/>
    <m/>
    <n v="4612200"/>
    <m/>
    <n v="4612200"/>
    <n v="6918300"/>
    <m/>
    <n v="6918300"/>
  </r>
  <r>
    <x v="0"/>
    <x v="1"/>
    <x v="4"/>
    <x v="16"/>
    <x v="1"/>
    <x v="2"/>
    <x v="44"/>
    <x v="44"/>
    <x v="351"/>
    <n v="3090600"/>
    <m/>
    <m/>
    <m/>
    <n v="3090600"/>
    <m/>
    <n v="3090600"/>
    <n v="3090600"/>
  </r>
  <r>
    <x v="0"/>
    <x v="1"/>
    <x v="4"/>
    <x v="16"/>
    <x v="1"/>
    <x v="2"/>
    <x v="45"/>
    <x v="45"/>
    <x v="352"/>
    <n v="2199800"/>
    <m/>
    <m/>
    <m/>
    <n v="2199800"/>
    <m/>
    <n v="2199800"/>
    <n v="2199800"/>
  </r>
  <r>
    <x v="0"/>
    <x v="1"/>
    <x v="4"/>
    <x v="16"/>
    <x v="1"/>
    <x v="2"/>
    <x v="45"/>
    <x v="45"/>
    <x v="353"/>
    <n v="2676200"/>
    <m/>
    <m/>
    <m/>
    <n v="2676200"/>
    <m/>
    <n v="2676200"/>
    <n v="2676200"/>
  </r>
  <r>
    <x v="0"/>
    <x v="1"/>
    <x v="4"/>
    <x v="16"/>
    <x v="1"/>
    <x v="2"/>
    <x v="45"/>
    <x v="45"/>
    <x v="354"/>
    <n v="2593800"/>
    <m/>
    <m/>
    <m/>
    <n v="2593800"/>
    <m/>
    <n v="2593800"/>
    <n v="2593800"/>
  </r>
  <r>
    <x v="0"/>
    <x v="1"/>
    <x v="4"/>
    <x v="16"/>
    <x v="1"/>
    <x v="2"/>
    <x v="46"/>
    <x v="46"/>
    <x v="355"/>
    <n v="976200"/>
    <m/>
    <m/>
    <m/>
    <n v="976200"/>
    <m/>
    <n v="976200"/>
    <n v="976200"/>
  </r>
  <r>
    <x v="0"/>
    <x v="1"/>
    <x v="4"/>
    <x v="16"/>
    <x v="1"/>
    <x v="2"/>
    <x v="46"/>
    <x v="46"/>
    <x v="356"/>
    <n v="1004400"/>
    <m/>
    <m/>
    <m/>
    <n v="1004400"/>
    <m/>
    <n v="1004400"/>
    <n v="1004400"/>
  </r>
  <r>
    <x v="0"/>
    <x v="1"/>
    <x v="4"/>
    <x v="16"/>
    <x v="1"/>
    <x v="2"/>
    <x v="46"/>
    <x v="46"/>
    <x v="357"/>
    <n v="7916000"/>
    <m/>
    <m/>
    <m/>
    <n v="7916000"/>
    <m/>
    <n v="7916000"/>
    <n v="7916000"/>
  </r>
  <r>
    <x v="0"/>
    <x v="1"/>
    <x v="4"/>
    <x v="16"/>
    <x v="2"/>
    <x v="2"/>
    <x v="45"/>
    <x v="45"/>
    <x v="358"/>
    <n v="7884400"/>
    <m/>
    <n v="11826600"/>
    <m/>
    <n v="11826600"/>
    <n v="17739900"/>
    <m/>
    <n v="17739900"/>
  </r>
  <r>
    <x v="0"/>
    <x v="1"/>
    <x v="4"/>
    <x v="16"/>
    <x v="2"/>
    <x v="2"/>
    <x v="45"/>
    <x v="45"/>
    <x v="359"/>
    <n v="3599800"/>
    <m/>
    <n v="5399700"/>
    <m/>
    <n v="5399700"/>
    <n v="8099550"/>
    <m/>
    <n v="8099550"/>
  </r>
  <r>
    <x v="0"/>
    <x v="1"/>
    <x v="4"/>
    <x v="16"/>
    <x v="2"/>
    <x v="2"/>
    <x v="45"/>
    <x v="45"/>
    <x v="360"/>
    <n v="2580000"/>
    <m/>
    <n v="3870000"/>
    <m/>
    <n v="3870000"/>
    <m/>
    <n v="3870000"/>
    <n v="3870000"/>
  </r>
  <r>
    <x v="0"/>
    <x v="1"/>
    <x v="4"/>
    <x v="16"/>
    <x v="2"/>
    <x v="2"/>
    <x v="45"/>
    <x v="45"/>
    <x v="361"/>
    <n v="5693100"/>
    <m/>
    <n v="8539650"/>
    <m/>
    <n v="8539650"/>
    <n v="12809475"/>
    <m/>
    <n v="12809475"/>
  </r>
  <r>
    <x v="0"/>
    <x v="1"/>
    <x v="4"/>
    <x v="16"/>
    <x v="2"/>
    <x v="2"/>
    <x v="45"/>
    <x v="45"/>
    <x v="362"/>
    <n v="5097000"/>
    <m/>
    <n v="7645500"/>
    <m/>
    <n v="7645500"/>
    <n v="11468250"/>
    <m/>
    <n v="11468250"/>
  </r>
  <r>
    <x v="0"/>
    <x v="1"/>
    <x v="4"/>
    <x v="16"/>
    <x v="2"/>
    <x v="2"/>
    <x v="45"/>
    <x v="45"/>
    <x v="363"/>
    <n v="3049200"/>
    <m/>
    <n v="4573800"/>
    <m/>
    <n v="4573800"/>
    <m/>
    <n v="4573800"/>
    <n v="4573800"/>
  </r>
  <r>
    <x v="0"/>
    <x v="1"/>
    <x v="4"/>
    <x v="16"/>
    <x v="2"/>
    <x v="2"/>
    <x v="45"/>
    <x v="45"/>
    <x v="364"/>
    <n v="7310000"/>
    <m/>
    <n v="10965000"/>
    <m/>
    <n v="10965000"/>
    <n v="16447500"/>
    <m/>
    <n v="16447500"/>
  </r>
  <r>
    <x v="0"/>
    <x v="1"/>
    <x v="4"/>
    <x v="16"/>
    <x v="2"/>
    <x v="2"/>
    <x v="47"/>
    <x v="47"/>
    <x v="365"/>
    <n v="2582000"/>
    <m/>
    <n v="3873000"/>
    <m/>
    <n v="3873000"/>
    <m/>
    <n v="3873000"/>
    <n v="3873000"/>
  </r>
  <r>
    <x v="0"/>
    <x v="1"/>
    <x v="4"/>
    <x v="16"/>
    <x v="2"/>
    <x v="2"/>
    <x v="46"/>
    <x v="46"/>
    <x v="366"/>
    <n v="2558000"/>
    <m/>
    <n v="3837000"/>
    <m/>
    <n v="3837000"/>
    <m/>
    <n v="3837000"/>
    <n v="3837000"/>
  </r>
  <r>
    <x v="0"/>
    <x v="1"/>
    <x v="4"/>
    <x v="16"/>
    <x v="2"/>
    <x v="2"/>
    <x v="46"/>
    <x v="46"/>
    <x v="367"/>
    <n v="4005000"/>
    <m/>
    <n v="6007500"/>
    <m/>
    <n v="6007500"/>
    <n v="9011250"/>
    <m/>
    <n v="9011250"/>
  </r>
  <r>
    <x v="0"/>
    <x v="1"/>
    <x v="4"/>
    <x v="16"/>
    <x v="2"/>
    <x v="2"/>
    <x v="46"/>
    <x v="46"/>
    <x v="368"/>
    <n v="4018000"/>
    <m/>
    <n v="6027000"/>
    <m/>
    <n v="6027000"/>
    <m/>
    <n v="6027000"/>
    <n v="6027000"/>
  </r>
  <r>
    <x v="0"/>
    <x v="1"/>
    <x v="4"/>
    <x v="16"/>
    <x v="2"/>
    <x v="2"/>
    <x v="46"/>
    <x v="46"/>
    <x v="369"/>
    <n v="2739800"/>
    <m/>
    <n v="4109700"/>
    <m/>
    <n v="4109700"/>
    <n v="6164550"/>
    <m/>
    <n v="6164550"/>
  </r>
  <r>
    <x v="0"/>
    <x v="1"/>
    <x v="4"/>
    <x v="16"/>
    <x v="3"/>
    <x v="2"/>
    <x v="45"/>
    <x v="45"/>
    <x v="370"/>
    <n v="3840400"/>
    <m/>
    <n v="5760600"/>
    <m/>
    <n v="5760600"/>
    <m/>
    <n v="5760600"/>
    <n v="5760600"/>
  </r>
  <r>
    <x v="0"/>
    <x v="1"/>
    <x v="4"/>
    <x v="16"/>
    <x v="3"/>
    <x v="2"/>
    <x v="45"/>
    <x v="45"/>
    <x v="371"/>
    <n v="14734000"/>
    <m/>
    <n v="22101000"/>
    <m/>
    <n v="22101000"/>
    <m/>
    <n v="22101000"/>
    <n v="22101000"/>
  </r>
  <r>
    <x v="0"/>
    <x v="1"/>
    <x v="4"/>
    <x v="16"/>
    <x v="6"/>
    <x v="5"/>
    <x v="46"/>
    <x v="46"/>
    <x v="372"/>
    <n v="324000"/>
    <m/>
    <m/>
    <m/>
    <n v="324000"/>
    <m/>
    <n v="324000"/>
    <n v="324000"/>
  </r>
  <r>
    <x v="0"/>
    <x v="1"/>
    <x v="4"/>
    <x v="17"/>
    <x v="0"/>
    <x v="0"/>
    <x v="48"/>
    <x v="48"/>
    <x v="373"/>
    <n v="2188400"/>
    <m/>
    <m/>
    <m/>
    <n v="2188400"/>
    <m/>
    <n v="2188400"/>
    <n v="2188400"/>
  </r>
  <r>
    <x v="0"/>
    <x v="1"/>
    <x v="4"/>
    <x v="17"/>
    <x v="0"/>
    <x v="0"/>
    <x v="48"/>
    <x v="48"/>
    <x v="374"/>
    <n v="2816800"/>
    <m/>
    <m/>
    <m/>
    <n v="2816800"/>
    <n v="4225200"/>
    <m/>
    <n v="4225200"/>
  </r>
  <r>
    <x v="0"/>
    <x v="1"/>
    <x v="4"/>
    <x v="17"/>
    <x v="0"/>
    <x v="0"/>
    <x v="49"/>
    <x v="49"/>
    <x v="375"/>
    <n v="6590800"/>
    <m/>
    <m/>
    <m/>
    <n v="6590800"/>
    <m/>
    <n v="6590800"/>
    <n v="6590800"/>
  </r>
  <r>
    <x v="0"/>
    <x v="1"/>
    <x v="4"/>
    <x v="17"/>
    <x v="0"/>
    <x v="2"/>
    <x v="50"/>
    <x v="50"/>
    <x v="376"/>
    <n v="1982000"/>
    <m/>
    <m/>
    <m/>
    <n v="1982000"/>
    <n v="2973000"/>
    <m/>
    <n v="2973000"/>
  </r>
  <r>
    <x v="0"/>
    <x v="1"/>
    <x v="4"/>
    <x v="17"/>
    <x v="0"/>
    <x v="1"/>
    <x v="50"/>
    <x v="50"/>
    <x v="377"/>
    <s v="-"/>
    <m/>
    <m/>
    <m/>
    <s v="-"/>
    <m/>
    <m/>
    <m/>
  </r>
  <r>
    <x v="0"/>
    <x v="1"/>
    <x v="4"/>
    <x v="17"/>
    <x v="0"/>
    <x v="1"/>
    <x v="48"/>
    <x v="48"/>
    <x v="378"/>
    <s v="-"/>
    <m/>
    <m/>
    <m/>
    <s v="-"/>
    <m/>
    <m/>
    <m/>
  </r>
  <r>
    <x v="0"/>
    <x v="1"/>
    <x v="4"/>
    <x v="17"/>
    <x v="0"/>
    <x v="1"/>
    <x v="48"/>
    <x v="48"/>
    <x v="379"/>
    <s v="-"/>
    <m/>
    <m/>
    <m/>
    <s v="-"/>
    <m/>
    <m/>
    <m/>
  </r>
  <r>
    <x v="0"/>
    <x v="1"/>
    <x v="4"/>
    <x v="17"/>
    <x v="0"/>
    <x v="1"/>
    <x v="51"/>
    <x v="51"/>
    <x v="380"/>
    <s v="-"/>
    <m/>
    <m/>
    <m/>
    <s v="-"/>
    <m/>
    <m/>
    <m/>
  </r>
  <r>
    <x v="0"/>
    <x v="1"/>
    <x v="4"/>
    <x v="17"/>
    <x v="0"/>
    <x v="1"/>
    <x v="51"/>
    <x v="51"/>
    <x v="381"/>
    <s v="-"/>
    <m/>
    <m/>
    <m/>
    <s v="-"/>
    <m/>
    <m/>
    <m/>
  </r>
  <r>
    <x v="0"/>
    <x v="1"/>
    <x v="4"/>
    <x v="17"/>
    <x v="1"/>
    <x v="2"/>
    <x v="50"/>
    <x v="50"/>
    <x v="382"/>
    <n v="2737600"/>
    <m/>
    <m/>
    <m/>
    <n v="2737600"/>
    <m/>
    <n v="2737600"/>
    <n v="2737600"/>
  </r>
  <r>
    <x v="0"/>
    <x v="1"/>
    <x v="4"/>
    <x v="17"/>
    <x v="1"/>
    <x v="2"/>
    <x v="50"/>
    <x v="50"/>
    <x v="383"/>
    <n v="6323800"/>
    <m/>
    <m/>
    <m/>
    <n v="6323800"/>
    <m/>
    <n v="6323800"/>
    <n v="6323800"/>
  </r>
  <r>
    <x v="0"/>
    <x v="1"/>
    <x v="4"/>
    <x v="17"/>
    <x v="1"/>
    <x v="2"/>
    <x v="50"/>
    <x v="50"/>
    <x v="384"/>
    <n v="3089700"/>
    <m/>
    <m/>
    <m/>
    <n v="3089700"/>
    <n v="4634550"/>
    <m/>
    <n v="4634550"/>
  </r>
  <r>
    <x v="0"/>
    <x v="1"/>
    <x v="4"/>
    <x v="17"/>
    <x v="1"/>
    <x v="2"/>
    <x v="50"/>
    <x v="50"/>
    <x v="385"/>
    <n v="2898000"/>
    <m/>
    <m/>
    <m/>
    <n v="2898000"/>
    <m/>
    <n v="2898000"/>
    <n v="2898000"/>
  </r>
  <r>
    <x v="0"/>
    <x v="1"/>
    <x v="4"/>
    <x v="17"/>
    <x v="1"/>
    <x v="2"/>
    <x v="50"/>
    <x v="50"/>
    <x v="386"/>
    <n v="3026600"/>
    <m/>
    <m/>
    <m/>
    <n v="3026600"/>
    <m/>
    <n v="3026600"/>
    <n v="3026600"/>
  </r>
  <r>
    <x v="0"/>
    <x v="1"/>
    <x v="4"/>
    <x v="17"/>
    <x v="1"/>
    <x v="2"/>
    <x v="48"/>
    <x v="48"/>
    <x v="387"/>
    <n v="2543100"/>
    <m/>
    <m/>
    <m/>
    <n v="2543100"/>
    <n v="3814650"/>
    <m/>
    <n v="3814650"/>
  </r>
  <r>
    <x v="0"/>
    <x v="1"/>
    <x v="4"/>
    <x v="17"/>
    <x v="1"/>
    <x v="2"/>
    <x v="51"/>
    <x v="51"/>
    <x v="388"/>
    <n v="858000"/>
    <m/>
    <m/>
    <m/>
    <n v="858000"/>
    <n v="1287000"/>
    <m/>
    <n v="1287000"/>
  </r>
  <r>
    <x v="0"/>
    <x v="1"/>
    <x v="4"/>
    <x v="17"/>
    <x v="1"/>
    <x v="2"/>
    <x v="51"/>
    <x v="51"/>
    <x v="389"/>
    <n v="1599800"/>
    <m/>
    <m/>
    <m/>
    <n v="1599800"/>
    <n v="2399700"/>
    <m/>
    <n v="2399700"/>
  </r>
  <r>
    <x v="0"/>
    <x v="1"/>
    <x v="4"/>
    <x v="17"/>
    <x v="1"/>
    <x v="2"/>
    <x v="49"/>
    <x v="49"/>
    <x v="390"/>
    <n v="798400"/>
    <m/>
    <m/>
    <m/>
    <n v="798400"/>
    <m/>
    <n v="798400"/>
    <n v="798400"/>
  </r>
  <r>
    <x v="0"/>
    <x v="1"/>
    <x v="4"/>
    <x v="17"/>
    <x v="1"/>
    <x v="2"/>
    <x v="49"/>
    <x v="49"/>
    <x v="391"/>
    <n v="4632400"/>
    <m/>
    <m/>
    <m/>
    <n v="4632400"/>
    <m/>
    <n v="4632400"/>
    <n v="4632400"/>
  </r>
  <r>
    <x v="0"/>
    <x v="1"/>
    <x v="4"/>
    <x v="17"/>
    <x v="1"/>
    <x v="2"/>
    <x v="49"/>
    <x v="49"/>
    <x v="392"/>
    <n v="3588200"/>
    <m/>
    <m/>
    <m/>
    <n v="3588200"/>
    <m/>
    <n v="3588200"/>
    <n v="3588200"/>
  </r>
  <r>
    <x v="0"/>
    <x v="1"/>
    <x v="4"/>
    <x v="17"/>
    <x v="2"/>
    <x v="2"/>
    <x v="50"/>
    <x v="50"/>
    <x v="393"/>
    <n v="17265600"/>
    <m/>
    <n v="25898400"/>
    <m/>
    <n v="25898400"/>
    <m/>
    <n v="25898400"/>
    <n v="25898400"/>
  </r>
  <r>
    <x v="0"/>
    <x v="1"/>
    <x v="4"/>
    <x v="17"/>
    <x v="2"/>
    <x v="2"/>
    <x v="50"/>
    <x v="50"/>
    <x v="394"/>
    <n v="1806000"/>
    <m/>
    <n v="2709000"/>
    <m/>
    <n v="2709000"/>
    <m/>
    <n v="2709000"/>
    <n v="2709000"/>
  </r>
  <r>
    <x v="0"/>
    <x v="1"/>
    <x v="4"/>
    <x v="17"/>
    <x v="2"/>
    <x v="2"/>
    <x v="50"/>
    <x v="50"/>
    <x v="395"/>
    <n v="10093200"/>
    <m/>
    <n v="15139800"/>
    <m/>
    <n v="15139800"/>
    <m/>
    <n v="15139800"/>
    <n v="15139800"/>
  </r>
  <r>
    <x v="0"/>
    <x v="1"/>
    <x v="4"/>
    <x v="17"/>
    <x v="2"/>
    <x v="2"/>
    <x v="50"/>
    <x v="50"/>
    <x v="396"/>
    <n v="5076800"/>
    <m/>
    <n v="7615200"/>
    <m/>
    <n v="7615200"/>
    <m/>
    <n v="7615200"/>
    <n v="7615200"/>
  </r>
  <r>
    <x v="0"/>
    <x v="1"/>
    <x v="4"/>
    <x v="17"/>
    <x v="2"/>
    <x v="2"/>
    <x v="50"/>
    <x v="50"/>
    <x v="397"/>
    <n v="5996000"/>
    <m/>
    <n v="8994000"/>
    <m/>
    <n v="8994000"/>
    <m/>
    <n v="8994000"/>
    <n v="8994000"/>
  </r>
  <r>
    <x v="0"/>
    <x v="1"/>
    <x v="4"/>
    <x v="17"/>
    <x v="2"/>
    <x v="2"/>
    <x v="50"/>
    <x v="50"/>
    <x v="398"/>
    <n v="7196000"/>
    <m/>
    <n v="10794000"/>
    <m/>
    <n v="10794000"/>
    <n v="16191000"/>
    <m/>
    <n v="16191000"/>
  </r>
  <r>
    <x v="0"/>
    <x v="1"/>
    <x v="4"/>
    <x v="17"/>
    <x v="2"/>
    <x v="2"/>
    <x v="48"/>
    <x v="48"/>
    <x v="399"/>
    <n v="2456600"/>
    <m/>
    <n v="3684900"/>
    <m/>
    <n v="3684900"/>
    <m/>
    <n v="3684900"/>
    <n v="3684900"/>
  </r>
  <r>
    <x v="0"/>
    <x v="1"/>
    <x v="4"/>
    <x v="17"/>
    <x v="2"/>
    <x v="2"/>
    <x v="48"/>
    <x v="48"/>
    <x v="400"/>
    <n v="2780000"/>
    <m/>
    <n v="4170000"/>
    <m/>
    <n v="4170000"/>
    <m/>
    <n v="4170000"/>
    <n v="4170000"/>
  </r>
  <r>
    <x v="0"/>
    <x v="1"/>
    <x v="4"/>
    <x v="17"/>
    <x v="2"/>
    <x v="2"/>
    <x v="52"/>
    <x v="52"/>
    <x v="401"/>
    <n v="3419800"/>
    <m/>
    <n v="5129700"/>
    <m/>
    <n v="5129700"/>
    <m/>
    <n v="5129700"/>
    <n v="5129700"/>
  </r>
  <r>
    <x v="0"/>
    <x v="1"/>
    <x v="4"/>
    <x v="17"/>
    <x v="2"/>
    <x v="2"/>
    <x v="52"/>
    <x v="52"/>
    <x v="402"/>
    <n v="6226400"/>
    <m/>
    <n v="9339600"/>
    <m/>
    <n v="9339600"/>
    <m/>
    <n v="9339600"/>
    <n v="9339600"/>
  </r>
  <r>
    <x v="0"/>
    <x v="1"/>
    <x v="4"/>
    <x v="17"/>
    <x v="2"/>
    <x v="2"/>
    <x v="52"/>
    <x v="52"/>
    <x v="361"/>
    <n v="1897700"/>
    <m/>
    <n v="2846550"/>
    <m/>
    <n v="2846550"/>
    <n v="4269825"/>
    <m/>
    <n v="4269825"/>
  </r>
  <r>
    <x v="0"/>
    <x v="1"/>
    <x v="4"/>
    <x v="17"/>
    <x v="2"/>
    <x v="2"/>
    <x v="51"/>
    <x v="51"/>
    <x v="403"/>
    <n v="1184000"/>
    <m/>
    <n v="1776000"/>
    <m/>
    <n v="1776000"/>
    <n v="2664000"/>
    <m/>
    <n v="2664000"/>
  </r>
  <r>
    <x v="0"/>
    <x v="1"/>
    <x v="4"/>
    <x v="17"/>
    <x v="2"/>
    <x v="2"/>
    <x v="51"/>
    <x v="51"/>
    <x v="404"/>
    <n v="4586400"/>
    <m/>
    <n v="6879600"/>
    <m/>
    <n v="6879600"/>
    <m/>
    <n v="6879600"/>
    <n v="6879600"/>
  </r>
  <r>
    <x v="0"/>
    <x v="1"/>
    <x v="4"/>
    <x v="17"/>
    <x v="2"/>
    <x v="2"/>
    <x v="51"/>
    <x v="51"/>
    <x v="405"/>
    <n v="7349500"/>
    <m/>
    <n v="11024250"/>
    <m/>
    <n v="11024250"/>
    <m/>
    <n v="11024250"/>
    <n v="11024250"/>
  </r>
  <r>
    <x v="0"/>
    <x v="1"/>
    <x v="4"/>
    <x v="17"/>
    <x v="2"/>
    <x v="2"/>
    <x v="51"/>
    <x v="51"/>
    <x v="406"/>
    <n v="4599000"/>
    <m/>
    <n v="6898500"/>
    <m/>
    <n v="6898500"/>
    <m/>
    <n v="6898500"/>
    <n v="6898500"/>
  </r>
  <r>
    <x v="0"/>
    <x v="1"/>
    <x v="4"/>
    <x v="17"/>
    <x v="2"/>
    <x v="2"/>
    <x v="51"/>
    <x v="51"/>
    <x v="407"/>
    <n v="12798000"/>
    <m/>
    <n v="19197000"/>
    <m/>
    <n v="19197000"/>
    <m/>
    <n v="19197000"/>
    <n v="19197000"/>
  </r>
  <r>
    <x v="0"/>
    <x v="1"/>
    <x v="4"/>
    <x v="17"/>
    <x v="2"/>
    <x v="2"/>
    <x v="51"/>
    <x v="51"/>
    <x v="369"/>
    <n v="2739800"/>
    <m/>
    <n v="4109700"/>
    <m/>
    <n v="4109700"/>
    <n v="6164550"/>
    <m/>
    <n v="6164550"/>
  </r>
  <r>
    <x v="0"/>
    <x v="1"/>
    <x v="4"/>
    <x v="17"/>
    <x v="2"/>
    <x v="2"/>
    <x v="51"/>
    <x v="51"/>
    <x v="408"/>
    <n v="2998000"/>
    <m/>
    <n v="4497000"/>
    <m/>
    <n v="4497000"/>
    <m/>
    <n v="4497000"/>
    <n v="4497000"/>
  </r>
  <r>
    <x v="0"/>
    <x v="1"/>
    <x v="4"/>
    <x v="17"/>
    <x v="2"/>
    <x v="2"/>
    <x v="49"/>
    <x v="49"/>
    <x v="409"/>
    <n v="11699400"/>
    <m/>
    <n v="17549100"/>
    <m/>
    <n v="17549100"/>
    <m/>
    <n v="17549100"/>
    <n v="17549100"/>
  </r>
  <r>
    <x v="0"/>
    <x v="1"/>
    <x v="4"/>
    <x v="17"/>
    <x v="2"/>
    <x v="2"/>
    <x v="49"/>
    <x v="49"/>
    <x v="410"/>
    <n v="2316600"/>
    <m/>
    <n v="3474900"/>
    <m/>
    <n v="3474900"/>
    <m/>
    <n v="3474900"/>
    <n v="3474900"/>
  </r>
  <r>
    <x v="0"/>
    <x v="1"/>
    <x v="4"/>
    <x v="17"/>
    <x v="2"/>
    <x v="2"/>
    <x v="49"/>
    <x v="49"/>
    <x v="411"/>
    <n v="3398000"/>
    <m/>
    <n v="5097000"/>
    <m/>
    <n v="5097000"/>
    <m/>
    <n v="5097000"/>
    <n v="5097000"/>
  </r>
  <r>
    <x v="0"/>
    <x v="1"/>
    <x v="4"/>
    <x v="17"/>
    <x v="5"/>
    <x v="1"/>
    <x v="48"/>
    <x v="48"/>
    <x v="412"/>
    <s v="-"/>
    <m/>
    <m/>
    <m/>
    <s v="-"/>
    <m/>
    <m/>
    <m/>
  </r>
  <r>
    <x v="0"/>
    <x v="1"/>
    <x v="4"/>
    <x v="17"/>
    <x v="5"/>
    <x v="1"/>
    <x v="48"/>
    <x v="48"/>
    <x v="413"/>
    <s v="-"/>
    <m/>
    <m/>
    <m/>
    <s v="-"/>
    <m/>
    <m/>
    <m/>
  </r>
  <r>
    <x v="0"/>
    <x v="1"/>
    <x v="4"/>
    <x v="17"/>
    <x v="5"/>
    <x v="4"/>
    <x v="51"/>
    <x v="51"/>
    <x v="414"/>
    <n v="7518000"/>
    <n v="15036000"/>
    <m/>
    <m/>
    <n v="15036000"/>
    <n v="22554000"/>
    <m/>
    <n v="22554000"/>
  </r>
  <r>
    <x v="0"/>
    <x v="1"/>
    <x v="4"/>
    <x v="17"/>
    <x v="3"/>
    <x v="2"/>
    <x v="48"/>
    <x v="48"/>
    <x v="415"/>
    <n v="4198000"/>
    <m/>
    <n v="6297000"/>
    <m/>
    <n v="6297000"/>
    <m/>
    <n v="6297000"/>
    <n v="6297000"/>
  </r>
  <r>
    <x v="0"/>
    <x v="1"/>
    <x v="5"/>
    <x v="18"/>
    <x v="4"/>
    <x v="3"/>
    <x v="53"/>
    <x v="53"/>
    <x v="416"/>
    <n v="5919600"/>
    <m/>
    <m/>
    <m/>
    <n v="5919600"/>
    <m/>
    <n v="5919600"/>
    <n v="5919600"/>
  </r>
  <r>
    <x v="0"/>
    <x v="1"/>
    <x v="5"/>
    <x v="18"/>
    <x v="4"/>
    <x v="1"/>
    <x v="54"/>
    <x v="54"/>
    <x v="417"/>
    <s v="-"/>
    <m/>
    <m/>
    <m/>
    <s v="-"/>
    <m/>
    <m/>
    <m/>
  </r>
  <r>
    <x v="0"/>
    <x v="1"/>
    <x v="5"/>
    <x v="18"/>
    <x v="4"/>
    <x v="1"/>
    <x v="54"/>
    <x v="54"/>
    <x v="418"/>
    <s v="-"/>
    <m/>
    <m/>
    <m/>
    <s v="-"/>
    <m/>
    <m/>
    <m/>
  </r>
  <r>
    <x v="0"/>
    <x v="1"/>
    <x v="5"/>
    <x v="18"/>
    <x v="0"/>
    <x v="0"/>
    <x v="54"/>
    <x v="54"/>
    <x v="419"/>
    <n v="888000"/>
    <m/>
    <m/>
    <m/>
    <n v="888000"/>
    <m/>
    <n v="888000"/>
    <n v="888000"/>
  </r>
  <r>
    <x v="0"/>
    <x v="1"/>
    <x v="5"/>
    <x v="18"/>
    <x v="0"/>
    <x v="0"/>
    <x v="54"/>
    <x v="54"/>
    <x v="420"/>
    <n v="3408000"/>
    <m/>
    <m/>
    <m/>
    <n v="3408000"/>
    <m/>
    <n v="3408000"/>
    <n v="3408000"/>
  </r>
  <r>
    <x v="0"/>
    <x v="1"/>
    <x v="5"/>
    <x v="18"/>
    <x v="0"/>
    <x v="0"/>
    <x v="54"/>
    <x v="54"/>
    <x v="421"/>
    <n v="16449200"/>
    <m/>
    <m/>
    <m/>
    <n v="16449200"/>
    <m/>
    <n v="16449200"/>
    <n v="16449200"/>
  </r>
  <r>
    <x v="0"/>
    <x v="1"/>
    <x v="5"/>
    <x v="18"/>
    <x v="0"/>
    <x v="0"/>
    <x v="54"/>
    <x v="54"/>
    <x v="422"/>
    <n v="4750800"/>
    <m/>
    <m/>
    <m/>
    <n v="4750800"/>
    <m/>
    <n v="4750800"/>
    <n v="4750800"/>
  </r>
  <r>
    <x v="0"/>
    <x v="1"/>
    <x v="5"/>
    <x v="18"/>
    <x v="0"/>
    <x v="1"/>
    <x v="54"/>
    <x v="54"/>
    <x v="423"/>
    <s v="-"/>
    <m/>
    <m/>
    <m/>
    <s v="-"/>
    <m/>
    <m/>
    <m/>
  </r>
  <r>
    <x v="0"/>
    <x v="1"/>
    <x v="5"/>
    <x v="18"/>
    <x v="0"/>
    <x v="1"/>
    <x v="54"/>
    <x v="54"/>
    <x v="424"/>
    <s v="-"/>
    <m/>
    <m/>
    <m/>
    <s v="-"/>
    <m/>
    <m/>
    <m/>
  </r>
  <r>
    <x v="0"/>
    <x v="1"/>
    <x v="5"/>
    <x v="18"/>
    <x v="1"/>
    <x v="2"/>
    <x v="53"/>
    <x v="53"/>
    <x v="425"/>
    <n v="7462800"/>
    <m/>
    <m/>
    <m/>
    <n v="7462800"/>
    <m/>
    <n v="7462800"/>
    <n v="7462800"/>
  </r>
  <r>
    <x v="0"/>
    <x v="1"/>
    <x v="5"/>
    <x v="18"/>
    <x v="1"/>
    <x v="2"/>
    <x v="53"/>
    <x v="53"/>
    <x v="426"/>
    <n v="2067000"/>
    <m/>
    <m/>
    <m/>
    <n v="2067000"/>
    <m/>
    <n v="2067000"/>
    <n v="2067000"/>
  </r>
  <r>
    <x v="0"/>
    <x v="1"/>
    <x v="5"/>
    <x v="18"/>
    <x v="1"/>
    <x v="2"/>
    <x v="53"/>
    <x v="53"/>
    <x v="427"/>
    <n v="895600"/>
    <m/>
    <m/>
    <m/>
    <n v="895600"/>
    <m/>
    <n v="895600"/>
    <n v="895600"/>
  </r>
  <r>
    <x v="0"/>
    <x v="1"/>
    <x v="5"/>
    <x v="18"/>
    <x v="1"/>
    <x v="2"/>
    <x v="54"/>
    <x v="54"/>
    <x v="428"/>
    <n v="2205000"/>
    <m/>
    <m/>
    <m/>
    <n v="2205000"/>
    <m/>
    <n v="2205000"/>
    <n v="2205000"/>
  </r>
  <r>
    <x v="0"/>
    <x v="1"/>
    <x v="5"/>
    <x v="18"/>
    <x v="1"/>
    <x v="2"/>
    <x v="54"/>
    <x v="54"/>
    <x v="429"/>
    <n v="3590400"/>
    <m/>
    <m/>
    <m/>
    <n v="3590400"/>
    <m/>
    <n v="3590400"/>
    <n v="3590400"/>
  </r>
  <r>
    <x v="0"/>
    <x v="1"/>
    <x v="5"/>
    <x v="18"/>
    <x v="1"/>
    <x v="2"/>
    <x v="54"/>
    <x v="54"/>
    <x v="430"/>
    <n v="3417900"/>
    <m/>
    <m/>
    <m/>
    <n v="3417900"/>
    <m/>
    <n v="3417900"/>
    <n v="3417900"/>
  </r>
  <r>
    <x v="0"/>
    <x v="1"/>
    <x v="5"/>
    <x v="18"/>
    <x v="1"/>
    <x v="2"/>
    <x v="54"/>
    <x v="54"/>
    <x v="431"/>
    <n v="5468800"/>
    <m/>
    <m/>
    <m/>
    <n v="5468800"/>
    <n v="8203200"/>
    <m/>
    <n v="8203200"/>
  </r>
  <r>
    <x v="0"/>
    <x v="1"/>
    <x v="5"/>
    <x v="18"/>
    <x v="1"/>
    <x v="2"/>
    <x v="54"/>
    <x v="54"/>
    <x v="432"/>
    <n v="4401600"/>
    <m/>
    <m/>
    <m/>
    <n v="4401600"/>
    <m/>
    <n v="4401600"/>
    <n v="4401600"/>
  </r>
  <r>
    <x v="0"/>
    <x v="1"/>
    <x v="5"/>
    <x v="18"/>
    <x v="1"/>
    <x v="2"/>
    <x v="54"/>
    <x v="54"/>
    <x v="433"/>
    <n v="5301600"/>
    <m/>
    <m/>
    <m/>
    <n v="5301600"/>
    <n v="7952400"/>
    <m/>
    <n v="7952400"/>
  </r>
  <r>
    <x v="0"/>
    <x v="1"/>
    <x v="5"/>
    <x v="18"/>
    <x v="1"/>
    <x v="2"/>
    <x v="54"/>
    <x v="54"/>
    <x v="434"/>
    <n v="2136000"/>
    <m/>
    <m/>
    <m/>
    <n v="2136000"/>
    <m/>
    <n v="2136000"/>
    <n v="2136000"/>
  </r>
  <r>
    <x v="0"/>
    <x v="1"/>
    <x v="5"/>
    <x v="18"/>
    <x v="1"/>
    <x v="2"/>
    <x v="55"/>
    <x v="55"/>
    <x v="435"/>
    <n v="2636000"/>
    <m/>
    <m/>
    <m/>
    <n v="2636000"/>
    <n v="3954000"/>
    <m/>
    <n v="3954000"/>
  </r>
  <r>
    <x v="0"/>
    <x v="1"/>
    <x v="5"/>
    <x v="18"/>
    <x v="1"/>
    <x v="2"/>
    <x v="56"/>
    <x v="56"/>
    <x v="436"/>
    <n v="6749400"/>
    <m/>
    <m/>
    <m/>
    <n v="6749400"/>
    <m/>
    <n v="6749400"/>
    <n v="6749400"/>
  </r>
  <r>
    <x v="0"/>
    <x v="1"/>
    <x v="5"/>
    <x v="18"/>
    <x v="1"/>
    <x v="2"/>
    <x v="56"/>
    <x v="56"/>
    <x v="437"/>
    <n v="3898000"/>
    <m/>
    <m/>
    <m/>
    <n v="3898000"/>
    <m/>
    <n v="3898000"/>
    <n v="3898000"/>
  </r>
  <r>
    <x v="0"/>
    <x v="1"/>
    <x v="5"/>
    <x v="18"/>
    <x v="1"/>
    <x v="2"/>
    <x v="56"/>
    <x v="56"/>
    <x v="438"/>
    <n v="3539700"/>
    <m/>
    <m/>
    <m/>
    <n v="3539700"/>
    <n v="5309550"/>
    <m/>
    <n v="5309550"/>
  </r>
  <r>
    <x v="0"/>
    <x v="1"/>
    <x v="5"/>
    <x v="18"/>
    <x v="1"/>
    <x v="2"/>
    <x v="56"/>
    <x v="56"/>
    <x v="439"/>
    <n v="4401600"/>
    <m/>
    <m/>
    <m/>
    <n v="4401600"/>
    <m/>
    <n v="4401600"/>
    <n v="4401600"/>
  </r>
  <r>
    <x v="0"/>
    <x v="1"/>
    <x v="5"/>
    <x v="18"/>
    <x v="1"/>
    <x v="2"/>
    <x v="56"/>
    <x v="56"/>
    <x v="440"/>
    <n v="2796000"/>
    <m/>
    <m/>
    <m/>
    <n v="2796000"/>
    <m/>
    <n v="2796000"/>
    <n v="2796000"/>
  </r>
  <r>
    <x v="0"/>
    <x v="1"/>
    <x v="5"/>
    <x v="18"/>
    <x v="2"/>
    <x v="2"/>
    <x v="53"/>
    <x v="53"/>
    <x v="441"/>
    <n v="11331000"/>
    <m/>
    <n v="16996500"/>
    <m/>
    <n v="16996500"/>
    <m/>
    <n v="16996500"/>
    <n v="16996500"/>
  </r>
  <r>
    <x v="0"/>
    <x v="1"/>
    <x v="5"/>
    <x v="18"/>
    <x v="2"/>
    <x v="2"/>
    <x v="53"/>
    <x v="53"/>
    <x v="442"/>
    <n v="17887800"/>
    <m/>
    <n v="26831700"/>
    <m/>
    <n v="26831700"/>
    <m/>
    <n v="26831700"/>
    <n v="26831700"/>
  </r>
  <r>
    <x v="0"/>
    <x v="1"/>
    <x v="5"/>
    <x v="18"/>
    <x v="2"/>
    <x v="2"/>
    <x v="53"/>
    <x v="53"/>
    <x v="443"/>
    <n v="9351300"/>
    <m/>
    <n v="14026950"/>
    <m/>
    <n v="14026950"/>
    <n v="21040425"/>
    <m/>
    <n v="21040425"/>
  </r>
  <r>
    <x v="0"/>
    <x v="1"/>
    <x v="5"/>
    <x v="18"/>
    <x v="2"/>
    <x v="2"/>
    <x v="54"/>
    <x v="54"/>
    <x v="444"/>
    <n v="5236400"/>
    <m/>
    <n v="7854600"/>
    <m/>
    <n v="7854600"/>
    <m/>
    <n v="7854600"/>
    <n v="7854600"/>
  </r>
  <r>
    <x v="0"/>
    <x v="1"/>
    <x v="5"/>
    <x v="18"/>
    <x v="2"/>
    <x v="2"/>
    <x v="54"/>
    <x v="54"/>
    <x v="445"/>
    <n v="3372000"/>
    <m/>
    <n v="5058000"/>
    <m/>
    <n v="5058000"/>
    <m/>
    <n v="5058000"/>
    <n v="5058000"/>
  </r>
  <r>
    <x v="0"/>
    <x v="1"/>
    <x v="5"/>
    <x v="18"/>
    <x v="2"/>
    <x v="2"/>
    <x v="54"/>
    <x v="54"/>
    <x v="446"/>
    <n v="3198000"/>
    <m/>
    <n v="4797000"/>
    <m/>
    <n v="4797000"/>
    <n v="7195500"/>
    <m/>
    <n v="7195500"/>
  </r>
  <r>
    <x v="0"/>
    <x v="1"/>
    <x v="5"/>
    <x v="18"/>
    <x v="2"/>
    <x v="2"/>
    <x v="54"/>
    <x v="54"/>
    <x v="447"/>
    <n v="3867000"/>
    <m/>
    <n v="5800500"/>
    <m/>
    <n v="5800500"/>
    <m/>
    <n v="5800500"/>
    <n v="5800500"/>
  </r>
  <r>
    <x v="0"/>
    <x v="1"/>
    <x v="5"/>
    <x v="18"/>
    <x v="2"/>
    <x v="2"/>
    <x v="54"/>
    <x v="54"/>
    <x v="448"/>
    <n v="1780000"/>
    <m/>
    <n v="2670000"/>
    <m/>
    <n v="2670000"/>
    <m/>
    <n v="2670000"/>
    <n v="2670000"/>
  </r>
  <r>
    <x v="0"/>
    <x v="1"/>
    <x v="5"/>
    <x v="18"/>
    <x v="2"/>
    <x v="2"/>
    <x v="56"/>
    <x v="56"/>
    <x v="449"/>
    <n v="1698000"/>
    <m/>
    <n v="2547000"/>
    <m/>
    <n v="2547000"/>
    <m/>
    <n v="2547000"/>
    <n v="2547000"/>
  </r>
  <r>
    <x v="0"/>
    <x v="1"/>
    <x v="5"/>
    <x v="18"/>
    <x v="2"/>
    <x v="2"/>
    <x v="56"/>
    <x v="56"/>
    <x v="450"/>
    <n v="11378100"/>
    <m/>
    <n v="17067150"/>
    <m/>
    <n v="17067150"/>
    <m/>
    <n v="17067150"/>
    <n v="17067150"/>
  </r>
  <r>
    <x v="0"/>
    <x v="1"/>
    <x v="5"/>
    <x v="18"/>
    <x v="2"/>
    <x v="2"/>
    <x v="56"/>
    <x v="56"/>
    <x v="451"/>
    <n v="4472000"/>
    <m/>
    <n v="6708000"/>
    <m/>
    <n v="6708000"/>
    <m/>
    <n v="6708000"/>
    <n v="6708000"/>
  </r>
  <r>
    <x v="0"/>
    <x v="1"/>
    <x v="5"/>
    <x v="18"/>
    <x v="2"/>
    <x v="2"/>
    <x v="56"/>
    <x v="56"/>
    <x v="452"/>
    <n v="5128000"/>
    <m/>
    <n v="7692000"/>
    <m/>
    <n v="7692000"/>
    <n v="11538000"/>
    <m/>
    <n v="11538000"/>
  </r>
  <r>
    <x v="0"/>
    <x v="1"/>
    <x v="5"/>
    <x v="18"/>
    <x v="2"/>
    <x v="2"/>
    <x v="56"/>
    <x v="56"/>
    <x v="453"/>
    <n v="2819800"/>
    <m/>
    <n v="4229700"/>
    <m/>
    <n v="4229700"/>
    <m/>
    <n v="4229700"/>
    <n v="4229700"/>
  </r>
  <r>
    <x v="0"/>
    <x v="1"/>
    <x v="5"/>
    <x v="18"/>
    <x v="2"/>
    <x v="2"/>
    <x v="56"/>
    <x v="56"/>
    <x v="454"/>
    <n v="10026600"/>
    <m/>
    <n v="15039900"/>
    <m/>
    <n v="15039900"/>
    <m/>
    <n v="15039900"/>
    <n v="15039900"/>
  </r>
  <r>
    <x v="0"/>
    <x v="1"/>
    <x v="5"/>
    <x v="18"/>
    <x v="2"/>
    <x v="2"/>
    <x v="56"/>
    <x v="56"/>
    <x v="455"/>
    <n v="4469400"/>
    <m/>
    <n v="6704100"/>
    <m/>
    <n v="6704100"/>
    <n v="10056150"/>
    <m/>
    <n v="10056150"/>
  </r>
  <r>
    <x v="0"/>
    <x v="1"/>
    <x v="5"/>
    <x v="18"/>
    <x v="2"/>
    <x v="2"/>
    <x v="56"/>
    <x v="56"/>
    <x v="456"/>
    <n v="3598000"/>
    <m/>
    <n v="5397000"/>
    <m/>
    <n v="5397000"/>
    <n v="8095500"/>
    <m/>
    <n v="8095500"/>
  </r>
  <r>
    <x v="0"/>
    <x v="1"/>
    <x v="5"/>
    <x v="18"/>
    <x v="2"/>
    <x v="2"/>
    <x v="56"/>
    <x v="56"/>
    <x v="457"/>
    <n v="6759200"/>
    <m/>
    <n v="10138800"/>
    <m/>
    <n v="10138800"/>
    <m/>
    <n v="10138800"/>
    <n v="10138800"/>
  </r>
  <r>
    <x v="0"/>
    <x v="1"/>
    <x v="5"/>
    <x v="18"/>
    <x v="2"/>
    <x v="1"/>
    <x v="54"/>
    <x v="54"/>
    <x v="458"/>
    <s v="-"/>
    <m/>
    <m/>
    <m/>
    <s v="-"/>
    <m/>
    <m/>
    <m/>
  </r>
  <r>
    <x v="0"/>
    <x v="1"/>
    <x v="5"/>
    <x v="18"/>
    <x v="5"/>
    <x v="1"/>
    <x v="54"/>
    <x v="54"/>
    <x v="459"/>
    <s v="-"/>
    <m/>
    <m/>
    <m/>
    <s v="-"/>
    <m/>
    <m/>
    <m/>
  </r>
  <r>
    <x v="0"/>
    <x v="1"/>
    <x v="5"/>
    <x v="18"/>
    <x v="9"/>
    <x v="6"/>
    <x v="55"/>
    <x v="55"/>
    <x v="460"/>
    <n v="5914000"/>
    <m/>
    <m/>
    <m/>
    <n v="5914000"/>
    <n v="8871000"/>
    <m/>
    <n v="8871000"/>
  </r>
  <r>
    <x v="0"/>
    <x v="1"/>
    <x v="5"/>
    <x v="19"/>
    <x v="4"/>
    <x v="3"/>
    <x v="57"/>
    <x v="57"/>
    <x v="461"/>
    <n v="2454000"/>
    <m/>
    <m/>
    <m/>
    <n v="2454000"/>
    <m/>
    <n v="2454000"/>
    <n v="2454000"/>
  </r>
  <r>
    <x v="0"/>
    <x v="1"/>
    <x v="5"/>
    <x v="19"/>
    <x v="4"/>
    <x v="1"/>
    <x v="58"/>
    <x v="58"/>
    <x v="462"/>
    <s v="-"/>
    <m/>
    <m/>
    <m/>
    <s v="-"/>
    <m/>
    <m/>
    <m/>
  </r>
  <r>
    <x v="0"/>
    <x v="1"/>
    <x v="5"/>
    <x v="19"/>
    <x v="4"/>
    <x v="1"/>
    <x v="58"/>
    <x v="58"/>
    <x v="463"/>
    <s v="-"/>
    <m/>
    <m/>
    <m/>
    <s v="-"/>
    <m/>
    <m/>
    <m/>
  </r>
  <r>
    <x v="0"/>
    <x v="1"/>
    <x v="5"/>
    <x v="19"/>
    <x v="4"/>
    <x v="1"/>
    <x v="58"/>
    <x v="58"/>
    <x v="464"/>
    <s v="-"/>
    <m/>
    <m/>
    <m/>
    <s v="-"/>
    <m/>
    <m/>
    <m/>
  </r>
  <r>
    <x v="0"/>
    <x v="1"/>
    <x v="5"/>
    <x v="19"/>
    <x v="0"/>
    <x v="0"/>
    <x v="59"/>
    <x v="59"/>
    <x v="465"/>
    <n v="871800"/>
    <m/>
    <m/>
    <m/>
    <n v="871800"/>
    <m/>
    <n v="871800"/>
    <n v="871800"/>
  </r>
  <r>
    <x v="0"/>
    <x v="1"/>
    <x v="5"/>
    <x v="19"/>
    <x v="0"/>
    <x v="1"/>
    <x v="60"/>
    <x v="60"/>
    <x v="466"/>
    <s v="-"/>
    <m/>
    <m/>
    <m/>
    <s v="-"/>
    <m/>
    <m/>
    <m/>
  </r>
  <r>
    <x v="0"/>
    <x v="1"/>
    <x v="5"/>
    <x v="19"/>
    <x v="0"/>
    <x v="1"/>
    <x v="59"/>
    <x v="59"/>
    <x v="467"/>
    <s v="-"/>
    <m/>
    <m/>
    <m/>
    <s v="-"/>
    <m/>
    <m/>
    <m/>
  </r>
  <r>
    <x v="0"/>
    <x v="1"/>
    <x v="5"/>
    <x v="19"/>
    <x v="0"/>
    <x v="1"/>
    <x v="61"/>
    <x v="61"/>
    <x v="468"/>
    <s v="-"/>
    <m/>
    <m/>
    <m/>
    <s v="-"/>
    <m/>
    <m/>
    <m/>
  </r>
  <r>
    <x v="0"/>
    <x v="1"/>
    <x v="5"/>
    <x v="19"/>
    <x v="1"/>
    <x v="2"/>
    <x v="62"/>
    <x v="62"/>
    <x v="469"/>
    <n v="404400"/>
    <m/>
    <m/>
    <m/>
    <n v="404400"/>
    <m/>
    <n v="404400"/>
    <n v="404400"/>
  </r>
  <r>
    <x v="0"/>
    <x v="1"/>
    <x v="5"/>
    <x v="19"/>
    <x v="1"/>
    <x v="2"/>
    <x v="62"/>
    <x v="62"/>
    <x v="470"/>
    <n v="6900800"/>
    <m/>
    <m/>
    <m/>
    <n v="6900800"/>
    <n v="10351200"/>
    <m/>
    <n v="10351200"/>
  </r>
  <r>
    <x v="0"/>
    <x v="1"/>
    <x v="5"/>
    <x v="19"/>
    <x v="1"/>
    <x v="2"/>
    <x v="62"/>
    <x v="62"/>
    <x v="471"/>
    <n v="8098400"/>
    <m/>
    <m/>
    <m/>
    <n v="8098400"/>
    <m/>
    <n v="8098400"/>
    <n v="8098400"/>
  </r>
  <r>
    <x v="0"/>
    <x v="1"/>
    <x v="5"/>
    <x v="19"/>
    <x v="1"/>
    <x v="2"/>
    <x v="62"/>
    <x v="62"/>
    <x v="472"/>
    <n v="6017400"/>
    <m/>
    <m/>
    <m/>
    <n v="6017400"/>
    <m/>
    <n v="6017400"/>
    <n v="6017400"/>
  </r>
  <r>
    <x v="0"/>
    <x v="1"/>
    <x v="5"/>
    <x v="19"/>
    <x v="1"/>
    <x v="2"/>
    <x v="62"/>
    <x v="62"/>
    <x v="473"/>
    <n v="2393100"/>
    <m/>
    <m/>
    <m/>
    <n v="2393100"/>
    <m/>
    <n v="2393100"/>
    <n v="2393100"/>
  </r>
  <r>
    <x v="0"/>
    <x v="1"/>
    <x v="5"/>
    <x v="19"/>
    <x v="1"/>
    <x v="2"/>
    <x v="62"/>
    <x v="62"/>
    <x v="474"/>
    <n v="2499800"/>
    <m/>
    <m/>
    <m/>
    <n v="2499800"/>
    <m/>
    <n v="2499800"/>
    <n v="2499800"/>
  </r>
  <r>
    <x v="0"/>
    <x v="1"/>
    <x v="5"/>
    <x v="19"/>
    <x v="1"/>
    <x v="2"/>
    <x v="62"/>
    <x v="62"/>
    <x v="6"/>
    <n v="2999700"/>
    <m/>
    <m/>
    <m/>
    <n v="2999700"/>
    <n v="4499550"/>
    <m/>
    <n v="4499550"/>
  </r>
  <r>
    <x v="0"/>
    <x v="1"/>
    <x v="5"/>
    <x v="19"/>
    <x v="1"/>
    <x v="2"/>
    <x v="62"/>
    <x v="62"/>
    <x v="475"/>
    <n v="1999800"/>
    <m/>
    <m/>
    <m/>
    <n v="1999800"/>
    <m/>
    <n v="1999800"/>
    <n v="1999800"/>
  </r>
  <r>
    <x v="0"/>
    <x v="1"/>
    <x v="5"/>
    <x v="19"/>
    <x v="1"/>
    <x v="2"/>
    <x v="62"/>
    <x v="62"/>
    <x v="476"/>
    <n v="1679800"/>
    <m/>
    <m/>
    <m/>
    <n v="1679800"/>
    <n v="2519700"/>
    <m/>
    <n v="2519700"/>
  </r>
  <r>
    <x v="0"/>
    <x v="1"/>
    <x v="5"/>
    <x v="19"/>
    <x v="1"/>
    <x v="2"/>
    <x v="62"/>
    <x v="62"/>
    <x v="477"/>
    <n v="2538400"/>
    <m/>
    <m/>
    <m/>
    <n v="2538400"/>
    <n v="3807600"/>
    <m/>
    <n v="3807600"/>
  </r>
  <r>
    <x v="0"/>
    <x v="1"/>
    <x v="5"/>
    <x v="19"/>
    <x v="1"/>
    <x v="2"/>
    <x v="62"/>
    <x v="62"/>
    <x v="478"/>
    <n v="10881200"/>
    <m/>
    <m/>
    <m/>
    <n v="10881200"/>
    <m/>
    <n v="10881200"/>
    <n v="10881200"/>
  </r>
  <r>
    <x v="0"/>
    <x v="1"/>
    <x v="5"/>
    <x v="19"/>
    <x v="1"/>
    <x v="2"/>
    <x v="62"/>
    <x v="62"/>
    <x v="431"/>
    <n v="4978400"/>
    <m/>
    <m/>
    <m/>
    <n v="4978400"/>
    <n v="7467600"/>
    <m/>
    <n v="7467600"/>
  </r>
  <r>
    <x v="0"/>
    <x v="1"/>
    <x v="5"/>
    <x v="19"/>
    <x v="1"/>
    <x v="2"/>
    <x v="57"/>
    <x v="57"/>
    <x v="479"/>
    <n v="4750000"/>
    <m/>
    <m/>
    <m/>
    <n v="4750000"/>
    <m/>
    <n v="4750000"/>
    <n v="4750000"/>
  </r>
  <r>
    <x v="0"/>
    <x v="1"/>
    <x v="5"/>
    <x v="19"/>
    <x v="1"/>
    <x v="2"/>
    <x v="57"/>
    <x v="57"/>
    <x v="480"/>
    <n v="2131200"/>
    <m/>
    <m/>
    <m/>
    <n v="2131200"/>
    <m/>
    <n v="2131200"/>
    <n v="2131200"/>
  </r>
  <r>
    <x v="0"/>
    <x v="1"/>
    <x v="5"/>
    <x v="19"/>
    <x v="1"/>
    <x v="2"/>
    <x v="57"/>
    <x v="57"/>
    <x v="481"/>
    <n v="7718700"/>
    <m/>
    <m/>
    <m/>
    <n v="7718700"/>
    <m/>
    <n v="7718700"/>
    <n v="7718700"/>
  </r>
  <r>
    <x v="0"/>
    <x v="1"/>
    <x v="5"/>
    <x v="19"/>
    <x v="1"/>
    <x v="2"/>
    <x v="60"/>
    <x v="60"/>
    <x v="482"/>
    <n v="2013000"/>
    <m/>
    <m/>
    <m/>
    <n v="2013000"/>
    <m/>
    <n v="2013000"/>
    <n v="2013000"/>
  </r>
  <r>
    <x v="0"/>
    <x v="1"/>
    <x v="5"/>
    <x v="19"/>
    <x v="1"/>
    <x v="2"/>
    <x v="60"/>
    <x v="60"/>
    <x v="483"/>
    <n v="4275600"/>
    <m/>
    <m/>
    <m/>
    <n v="4275600"/>
    <m/>
    <n v="4275600"/>
    <n v="4275600"/>
  </r>
  <r>
    <x v="0"/>
    <x v="1"/>
    <x v="5"/>
    <x v="19"/>
    <x v="1"/>
    <x v="2"/>
    <x v="60"/>
    <x v="60"/>
    <x v="484"/>
    <n v="3436000"/>
    <m/>
    <m/>
    <m/>
    <n v="3436000"/>
    <m/>
    <n v="3436000"/>
    <n v="3436000"/>
  </r>
  <r>
    <x v="0"/>
    <x v="1"/>
    <x v="5"/>
    <x v="19"/>
    <x v="1"/>
    <x v="2"/>
    <x v="58"/>
    <x v="58"/>
    <x v="485"/>
    <n v="10575000"/>
    <m/>
    <m/>
    <m/>
    <n v="10575000"/>
    <m/>
    <n v="10575000"/>
    <n v="10575000"/>
  </r>
  <r>
    <x v="0"/>
    <x v="1"/>
    <x v="5"/>
    <x v="19"/>
    <x v="1"/>
    <x v="2"/>
    <x v="58"/>
    <x v="58"/>
    <x v="486"/>
    <n v="3674400"/>
    <m/>
    <m/>
    <m/>
    <n v="3674400"/>
    <n v="5511600"/>
    <m/>
    <n v="5511600"/>
  </r>
  <r>
    <x v="0"/>
    <x v="1"/>
    <x v="5"/>
    <x v="19"/>
    <x v="1"/>
    <x v="2"/>
    <x v="58"/>
    <x v="58"/>
    <x v="487"/>
    <n v="9920800"/>
    <m/>
    <m/>
    <m/>
    <n v="9920800"/>
    <n v="14881200"/>
    <m/>
    <n v="14881200"/>
  </r>
  <r>
    <x v="0"/>
    <x v="1"/>
    <x v="5"/>
    <x v="19"/>
    <x v="1"/>
    <x v="2"/>
    <x v="63"/>
    <x v="63"/>
    <x v="488"/>
    <n v="5484000"/>
    <m/>
    <m/>
    <m/>
    <n v="5484000"/>
    <m/>
    <n v="5484000"/>
    <n v="5484000"/>
  </r>
  <r>
    <x v="0"/>
    <x v="1"/>
    <x v="5"/>
    <x v="19"/>
    <x v="1"/>
    <x v="2"/>
    <x v="63"/>
    <x v="63"/>
    <x v="134"/>
    <n v="4277400"/>
    <m/>
    <m/>
    <m/>
    <n v="4277400"/>
    <n v="6416100"/>
    <m/>
    <n v="6416100"/>
  </r>
  <r>
    <x v="0"/>
    <x v="1"/>
    <x v="5"/>
    <x v="19"/>
    <x v="1"/>
    <x v="2"/>
    <x v="63"/>
    <x v="63"/>
    <x v="489"/>
    <n v="889500"/>
    <m/>
    <m/>
    <m/>
    <n v="889500"/>
    <n v="1334250"/>
    <m/>
    <n v="1334250"/>
  </r>
  <r>
    <x v="0"/>
    <x v="1"/>
    <x v="5"/>
    <x v="19"/>
    <x v="1"/>
    <x v="2"/>
    <x v="63"/>
    <x v="63"/>
    <x v="490"/>
    <n v="2118600"/>
    <m/>
    <m/>
    <m/>
    <n v="2118600"/>
    <n v="3177900"/>
    <m/>
    <n v="3177900"/>
  </r>
  <r>
    <x v="0"/>
    <x v="1"/>
    <x v="5"/>
    <x v="19"/>
    <x v="1"/>
    <x v="2"/>
    <x v="63"/>
    <x v="63"/>
    <x v="491"/>
    <n v="4922500"/>
    <m/>
    <m/>
    <m/>
    <n v="4922500"/>
    <m/>
    <n v="4922500"/>
    <n v="4922500"/>
  </r>
  <r>
    <x v="0"/>
    <x v="1"/>
    <x v="5"/>
    <x v="19"/>
    <x v="1"/>
    <x v="2"/>
    <x v="63"/>
    <x v="63"/>
    <x v="492"/>
    <n v="4276800"/>
    <m/>
    <m/>
    <m/>
    <n v="4276800"/>
    <n v="6415200"/>
    <m/>
    <n v="6415200"/>
  </r>
  <r>
    <x v="0"/>
    <x v="1"/>
    <x v="5"/>
    <x v="19"/>
    <x v="1"/>
    <x v="2"/>
    <x v="59"/>
    <x v="59"/>
    <x v="490"/>
    <n v="2058600"/>
    <m/>
    <m/>
    <m/>
    <n v="2058600"/>
    <n v="3087900"/>
    <m/>
    <n v="3087900"/>
  </r>
  <r>
    <x v="0"/>
    <x v="1"/>
    <x v="5"/>
    <x v="19"/>
    <x v="1"/>
    <x v="2"/>
    <x v="59"/>
    <x v="59"/>
    <x v="493"/>
    <n v="3879600"/>
    <m/>
    <m/>
    <m/>
    <n v="3879600"/>
    <m/>
    <n v="3879600"/>
    <n v="3879600"/>
  </r>
  <r>
    <x v="0"/>
    <x v="1"/>
    <x v="5"/>
    <x v="19"/>
    <x v="1"/>
    <x v="2"/>
    <x v="59"/>
    <x v="59"/>
    <x v="494"/>
    <n v="1738400"/>
    <m/>
    <m/>
    <m/>
    <n v="1738400"/>
    <m/>
    <n v="1738400"/>
    <n v="1738400"/>
  </r>
  <r>
    <x v="0"/>
    <x v="1"/>
    <x v="5"/>
    <x v="19"/>
    <x v="1"/>
    <x v="2"/>
    <x v="61"/>
    <x v="61"/>
    <x v="495"/>
    <n v="1216000"/>
    <m/>
    <m/>
    <m/>
    <n v="1216000"/>
    <n v="1824000"/>
    <m/>
    <n v="1824000"/>
  </r>
  <r>
    <x v="0"/>
    <x v="1"/>
    <x v="5"/>
    <x v="19"/>
    <x v="1"/>
    <x v="2"/>
    <x v="61"/>
    <x v="61"/>
    <x v="496"/>
    <n v="500400"/>
    <m/>
    <m/>
    <m/>
    <n v="500400"/>
    <m/>
    <n v="500400"/>
    <n v="500400"/>
  </r>
  <r>
    <x v="0"/>
    <x v="1"/>
    <x v="5"/>
    <x v="19"/>
    <x v="1"/>
    <x v="1"/>
    <x v="62"/>
    <x v="62"/>
    <x v="497"/>
    <s v="-"/>
    <m/>
    <m/>
    <m/>
    <s v="-"/>
    <m/>
    <m/>
    <m/>
  </r>
  <r>
    <x v="0"/>
    <x v="1"/>
    <x v="5"/>
    <x v="19"/>
    <x v="2"/>
    <x v="2"/>
    <x v="62"/>
    <x v="62"/>
    <x v="498"/>
    <n v="5929500"/>
    <m/>
    <n v="8894250"/>
    <m/>
    <n v="8894250"/>
    <m/>
    <n v="8894250"/>
    <n v="8894250"/>
  </r>
  <r>
    <x v="0"/>
    <x v="1"/>
    <x v="5"/>
    <x v="19"/>
    <x v="2"/>
    <x v="2"/>
    <x v="62"/>
    <x v="62"/>
    <x v="499"/>
    <n v="4060000"/>
    <m/>
    <n v="6090000"/>
    <m/>
    <n v="6090000"/>
    <m/>
    <n v="6090000"/>
    <n v="6090000"/>
  </r>
  <r>
    <x v="0"/>
    <x v="1"/>
    <x v="5"/>
    <x v="19"/>
    <x v="2"/>
    <x v="2"/>
    <x v="62"/>
    <x v="62"/>
    <x v="500"/>
    <n v="6479100"/>
    <m/>
    <n v="9718650"/>
    <m/>
    <n v="9718650"/>
    <m/>
    <n v="9718650"/>
    <n v="9718650"/>
  </r>
  <r>
    <x v="0"/>
    <x v="1"/>
    <x v="5"/>
    <x v="19"/>
    <x v="2"/>
    <x v="2"/>
    <x v="62"/>
    <x v="62"/>
    <x v="501"/>
    <n v="9861840"/>
    <m/>
    <n v="14792760"/>
    <m/>
    <n v="14792760"/>
    <m/>
    <n v="14792760"/>
    <n v="14792760"/>
  </r>
  <r>
    <x v="0"/>
    <x v="1"/>
    <x v="5"/>
    <x v="19"/>
    <x v="2"/>
    <x v="2"/>
    <x v="62"/>
    <x v="62"/>
    <x v="502"/>
    <n v="4669800"/>
    <m/>
    <n v="7004700"/>
    <m/>
    <n v="7004700"/>
    <m/>
    <n v="7004700"/>
    <n v="7004700"/>
  </r>
  <r>
    <x v="0"/>
    <x v="1"/>
    <x v="5"/>
    <x v="19"/>
    <x v="2"/>
    <x v="2"/>
    <x v="62"/>
    <x v="62"/>
    <x v="503"/>
    <n v="4396800"/>
    <m/>
    <n v="6595200"/>
    <m/>
    <n v="6595200"/>
    <m/>
    <n v="6595200"/>
    <n v="6595200"/>
  </r>
  <r>
    <x v="0"/>
    <x v="1"/>
    <x v="5"/>
    <x v="19"/>
    <x v="2"/>
    <x v="2"/>
    <x v="62"/>
    <x v="62"/>
    <x v="504"/>
    <n v="2640200"/>
    <m/>
    <n v="3960300"/>
    <m/>
    <n v="3960300"/>
    <m/>
    <n v="3960300"/>
    <n v="3960300"/>
  </r>
  <r>
    <x v="0"/>
    <x v="1"/>
    <x v="5"/>
    <x v="19"/>
    <x v="2"/>
    <x v="2"/>
    <x v="57"/>
    <x v="57"/>
    <x v="505"/>
    <n v="2058400"/>
    <m/>
    <n v="3087600"/>
    <m/>
    <n v="3087600"/>
    <n v="4631400"/>
    <m/>
    <n v="4631400"/>
  </r>
  <r>
    <x v="0"/>
    <x v="1"/>
    <x v="5"/>
    <x v="19"/>
    <x v="2"/>
    <x v="2"/>
    <x v="60"/>
    <x v="60"/>
    <x v="506"/>
    <n v="2669700"/>
    <m/>
    <n v="4004550"/>
    <m/>
    <n v="4004550"/>
    <m/>
    <n v="4004550"/>
    <n v="4004550"/>
  </r>
  <r>
    <x v="0"/>
    <x v="1"/>
    <x v="5"/>
    <x v="19"/>
    <x v="2"/>
    <x v="2"/>
    <x v="58"/>
    <x v="58"/>
    <x v="507"/>
    <n v="2895000"/>
    <m/>
    <n v="4342500"/>
    <m/>
    <n v="4342500"/>
    <m/>
    <n v="4342500"/>
    <n v="4342500"/>
  </r>
  <r>
    <x v="0"/>
    <x v="1"/>
    <x v="5"/>
    <x v="19"/>
    <x v="2"/>
    <x v="2"/>
    <x v="63"/>
    <x v="63"/>
    <x v="508"/>
    <n v="1137900"/>
    <m/>
    <n v="1706850"/>
    <m/>
    <n v="1706850"/>
    <m/>
    <n v="1706850"/>
    <n v="1706850"/>
  </r>
  <r>
    <x v="0"/>
    <x v="1"/>
    <x v="5"/>
    <x v="19"/>
    <x v="2"/>
    <x v="2"/>
    <x v="63"/>
    <x v="63"/>
    <x v="509"/>
    <n v="1147700"/>
    <m/>
    <n v="1721550"/>
    <m/>
    <n v="1721550"/>
    <m/>
    <n v="1721550"/>
    <n v="1721550"/>
  </r>
  <r>
    <x v="0"/>
    <x v="1"/>
    <x v="5"/>
    <x v="19"/>
    <x v="2"/>
    <x v="2"/>
    <x v="59"/>
    <x v="59"/>
    <x v="510"/>
    <n v="4936800"/>
    <m/>
    <n v="7405200"/>
    <m/>
    <n v="7405200"/>
    <m/>
    <n v="7405200"/>
    <n v="7405200"/>
  </r>
  <r>
    <x v="0"/>
    <x v="1"/>
    <x v="5"/>
    <x v="19"/>
    <x v="2"/>
    <x v="2"/>
    <x v="59"/>
    <x v="59"/>
    <x v="511"/>
    <n v="1840000"/>
    <m/>
    <n v="2760000"/>
    <m/>
    <n v="2760000"/>
    <m/>
    <n v="2760000"/>
    <n v="2760000"/>
  </r>
  <r>
    <x v="0"/>
    <x v="1"/>
    <x v="5"/>
    <x v="19"/>
    <x v="2"/>
    <x v="2"/>
    <x v="59"/>
    <x v="59"/>
    <x v="512"/>
    <n v="4155200"/>
    <m/>
    <n v="6232800"/>
    <m/>
    <n v="6232800"/>
    <m/>
    <n v="6232800"/>
    <n v="6232800"/>
  </r>
  <r>
    <x v="0"/>
    <x v="1"/>
    <x v="5"/>
    <x v="19"/>
    <x v="2"/>
    <x v="2"/>
    <x v="59"/>
    <x v="59"/>
    <x v="513"/>
    <n v="5355000"/>
    <m/>
    <n v="8032500"/>
    <m/>
    <n v="8032500"/>
    <m/>
    <n v="8032500"/>
    <n v="8032500"/>
  </r>
  <r>
    <x v="0"/>
    <x v="1"/>
    <x v="5"/>
    <x v="19"/>
    <x v="2"/>
    <x v="2"/>
    <x v="59"/>
    <x v="59"/>
    <x v="514"/>
    <n v="6831600"/>
    <m/>
    <n v="10247400"/>
    <m/>
    <n v="10247400"/>
    <m/>
    <n v="10247400"/>
    <n v="10247400"/>
  </r>
  <r>
    <x v="0"/>
    <x v="1"/>
    <x v="5"/>
    <x v="19"/>
    <x v="2"/>
    <x v="2"/>
    <x v="59"/>
    <x v="59"/>
    <x v="515"/>
    <n v="4332600"/>
    <m/>
    <n v="6498900"/>
    <m/>
    <n v="6498900"/>
    <m/>
    <n v="6498900"/>
    <n v="6498900"/>
  </r>
  <r>
    <x v="0"/>
    <x v="1"/>
    <x v="5"/>
    <x v="19"/>
    <x v="2"/>
    <x v="2"/>
    <x v="61"/>
    <x v="61"/>
    <x v="516"/>
    <n v="5993200"/>
    <m/>
    <n v="8989800"/>
    <m/>
    <n v="8989800"/>
    <m/>
    <n v="8989800"/>
    <n v="8989800"/>
  </r>
  <r>
    <x v="0"/>
    <x v="1"/>
    <x v="5"/>
    <x v="19"/>
    <x v="5"/>
    <x v="1"/>
    <x v="58"/>
    <x v="58"/>
    <x v="517"/>
    <s v="-"/>
    <m/>
    <m/>
    <m/>
    <s v="-"/>
    <m/>
    <m/>
    <m/>
  </r>
  <r>
    <x v="0"/>
    <x v="1"/>
    <x v="5"/>
    <x v="19"/>
    <x v="9"/>
    <x v="6"/>
    <x v="61"/>
    <x v="61"/>
    <x v="518"/>
    <n v="4188400"/>
    <m/>
    <m/>
    <m/>
    <n v="4188400"/>
    <n v="6282600"/>
    <m/>
    <n v="6282600"/>
  </r>
  <r>
    <x v="0"/>
    <x v="1"/>
    <x v="5"/>
    <x v="19"/>
    <x v="6"/>
    <x v="5"/>
    <x v="59"/>
    <x v="59"/>
    <x v="519"/>
    <n v="222000"/>
    <m/>
    <m/>
    <m/>
    <n v="222000"/>
    <m/>
    <n v="222000"/>
    <n v="222000"/>
  </r>
  <r>
    <x v="0"/>
    <x v="1"/>
    <x v="5"/>
    <x v="20"/>
    <x v="7"/>
    <x v="2"/>
    <x v="64"/>
    <x v="64"/>
    <x v="520"/>
    <n v="1520000"/>
    <m/>
    <m/>
    <m/>
    <n v="1520000"/>
    <m/>
    <n v="1520000"/>
    <n v="1520000"/>
  </r>
  <r>
    <x v="0"/>
    <x v="1"/>
    <x v="5"/>
    <x v="20"/>
    <x v="7"/>
    <x v="2"/>
    <x v="65"/>
    <x v="65"/>
    <x v="521"/>
    <n v="1560000"/>
    <m/>
    <m/>
    <m/>
    <n v="1560000"/>
    <n v="2340000"/>
    <m/>
    <n v="2340000"/>
  </r>
  <r>
    <x v="0"/>
    <x v="1"/>
    <x v="5"/>
    <x v="20"/>
    <x v="0"/>
    <x v="2"/>
    <x v="66"/>
    <x v="66"/>
    <x v="522"/>
    <n v="864000"/>
    <m/>
    <m/>
    <m/>
    <n v="864000"/>
    <n v="1296000"/>
    <m/>
    <n v="1296000"/>
  </r>
  <r>
    <x v="0"/>
    <x v="1"/>
    <x v="5"/>
    <x v="20"/>
    <x v="1"/>
    <x v="2"/>
    <x v="64"/>
    <x v="64"/>
    <x v="523"/>
    <n v="5299500"/>
    <m/>
    <m/>
    <m/>
    <n v="5299500"/>
    <m/>
    <n v="5299500"/>
    <n v="5299500"/>
  </r>
  <r>
    <x v="0"/>
    <x v="1"/>
    <x v="5"/>
    <x v="20"/>
    <x v="1"/>
    <x v="2"/>
    <x v="64"/>
    <x v="64"/>
    <x v="524"/>
    <n v="1340200"/>
    <m/>
    <m/>
    <m/>
    <n v="1340200"/>
    <n v="2010300"/>
    <m/>
    <n v="2010300"/>
  </r>
  <r>
    <x v="0"/>
    <x v="1"/>
    <x v="5"/>
    <x v="20"/>
    <x v="1"/>
    <x v="2"/>
    <x v="67"/>
    <x v="67"/>
    <x v="525"/>
    <n v="8281570"/>
    <m/>
    <m/>
    <m/>
    <n v="8281570"/>
    <n v="12422355"/>
    <m/>
    <n v="12422355"/>
  </r>
  <r>
    <x v="0"/>
    <x v="1"/>
    <x v="5"/>
    <x v="20"/>
    <x v="1"/>
    <x v="2"/>
    <x v="65"/>
    <x v="65"/>
    <x v="526"/>
    <n v="334000"/>
    <m/>
    <m/>
    <m/>
    <n v="334000"/>
    <n v="501000"/>
    <m/>
    <n v="501000"/>
  </r>
  <r>
    <x v="0"/>
    <x v="1"/>
    <x v="5"/>
    <x v="20"/>
    <x v="1"/>
    <x v="2"/>
    <x v="65"/>
    <x v="65"/>
    <x v="527"/>
    <n v="4706400"/>
    <m/>
    <m/>
    <m/>
    <n v="4706400"/>
    <n v="7059600"/>
    <m/>
    <n v="7059600"/>
  </r>
  <r>
    <x v="0"/>
    <x v="1"/>
    <x v="5"/>
    <x v="20"/>
    <x v="1"/>
    <x v="2"/>
    <x v="65"/>
    <x v="65"/>
    <x v="528"/>
    <n v="917400"/>
    <m/>
    <m/>
    <m/>
    <n v="917400"/>
    <m/>
    <n v="917400"/>
    <n v="917400"/>
  </r>
  <r>
    <x v="0"/>
    <x v="1"/>
    <x v="5"/>
    <x v="20"/>
    <x v="1"/>
    <x v="2"/>
    <x v="66"/>
    <x v="66"/>
    <x v="529"/>
    <n v="383200"/>
    <m/>
    <m/>
    <m/>
    <n v="383200"/>
    <n v="574800"/>
    <m/>
    <n v="574800"/>
  </r>
  <r>
    <x v="0"/>
    <x v="1"/>
    <x v="5"/>
    <x v="20"/>
    <x v="1"/>
    <x v="2"/>
    <x v="66"/>
    <x v="66"/>
    <x v="530"/>
    <n v="908000"/>
    <m/>
    <m/>
    <m/>
    <n v="908000"/>
    <n v="1362000"/>
    <m/>
    <n v="1362000"/>
  </r>
  <r>
    <x v="0"/>
    <x v="1"/>
    <x v="5"/>
    <x v="20"/>
    <x v="1"/>
    <x v="2"/>
    <x v="66"/>
    <x v="66"/>
    <x v="531"/>
    <n v="2856000"/>
    <m/>
    <m/>
    <m/>
    <n v="2856000"/>
    <n v="4284000"/>
    <m/>
    <n v="4284000"/>
  </r>
  <r>
    <x v="0"/>
    <x v="1"/>
    <x v="5"/>
    <x v="20"/>
    <x v="1"/>
    <x v="2"/>
    <x v="66"/>
    <x v="66"/>
    <x v="532"/>
    <n v="1437200"/>
    <m/>
    <m/>
    <m/>
    <n v="1437200"/>
    <m/>
    <n v="1437200"/>
    <n v="1437200"/>
  </r>
  <r>
    <x v="0"/>
    <x v="1"/>
    <x v="5"/>
    <x v="20"/>
    <x v="2"/>
    <x v="2"/>
    <x v="64"/>
    <x v="64"/>
    <x v="505"/>
    <n v="2058400"/>
    <m/>
    <n v="3087600"/>
    <m/>
    <n v="3087600"/>
    <n v="4631400"/>
    <m/>
    <n v="4631400"/>
  </r>
  <r>
    <x v="0"/>
    <x v="1"/>
    <x v="5"/>
    <x v="20"/>
    <x v="2"/>
    <x v="2"/>
    <x v="64"/>
    <x v="64"/>
    <x v="533"/>
    <n v="2986800"/>
    <m/>
    <n v="4480200"/>
    <m/>
    <n v="4480200"/>
    <m/>
    <n v="4480200"/>
    <n v="4480200"/>
  </r>
  <r>
    <x v="0"/>
    <x v="1"/>
    <x v="5"/>
    <x v="20"/>
    <x v="2"/>
    <x v="2"/>
    <x v="64"/>
    <x v="64"/>
    <x v="534"/>
    <n v="7910000"/>
    <m/>
    <n v="11865000"/>
    <m/>
    <n v="11865000"/>
    <m/>
    <n v="11865000"/>
    <n v="11865000"/>
  </r>
  <r>
    <x v="0"/>
    <x v="1"/>
    <x v="5"/>
    <x v="20"/>
    <x v="2"/>
    <x v="2"/>
    <x v="64"/>
    <x v="64"/>
    <x v="535"/>
    <n v="4284000"/>
    <m/>
    <n v="6426000"/>
    <m/>
    <n v="6426000"/>
    <m/>
    <n v="6426000"/>
    <n v="6426000"/>
  </r>
  <r>
    <x v="0"/>
    <x v="1"/>
    <x v="5"/>
    <x v="20"/>
    <x v="2"/>
    <x v="2"/>
    <x v="64"/>
    <x v="64"/>
    <x v="536"/>
    <n v="2364800"/>
    <m/>
    <n v="3547200"/>
    <m/>
    <n v="3547200"/>
    <m/>
    <n v="3547200"/>
    <n v="3547200"/>
  </r>
  <r>
    <x v="0"/>
    <x v="1"/>
    <x v="5"/>
    <x v="20"/>
    <x v="2"/>
    <x v="2"/>
    <x v="67"/>
    <x v="67"/>
    <x v="537"/>
    <n v="14422100"/>
    <m/>
    <n v="21633150"/>
    <m/>
    <n v="21633150"/>
    <m/>
    <n v="21633150"/>
    <n v="21633150"/>
  </r>
  <r>
    <x v="0"/>
    <x v="1"/>
    <x v="5"/>
    <x v="20"/>
    <x v="2"/>
    <x v="2"/>
    <x v="67"/>
    <x v="67"/>
    <x v="538"/>
    <n v="1099000"/>
    <m/>
    <n v="1648500"/>
    <m/>
    <n v="1648500"/>
    <m/>
    <n v="1648500"/>
    <n v="1648500"/>
  </r>
  <r>
    <x v="0"/>
    <x v="1"/>
    <x v="5"/>
    <x v="20"/>
    <x v="2"/>
    <x v="2"/>
    <x v="67"/>
    <x v="67"/>
    <x v="539"/>
    <n v="3510600"/>
    <m/>
    <n v="5265900"/>
    <m/>
    <n v="5265900"/>
    <m/>
    <n v="5265900"/>
    <n v="5265900"/>
  </r>
  <r>
    <x v="0"/>
    <x v="1"/>
    <x v="5"/>
    <x v="20"/>
    <x v="2"/>
    <x v="2"/>
    <x v="67"/>
    <x v="67"/>
    <x v="540"/>
    <n v="5069600"/>
    <m/>
    <n v="7604400"/>
    <m/>
    <n v="7604400"/>
    <m/>
    <n v="7604400"/>
    <n v="7604400"/>
  </r>
  <r>
    <x v="0"/>
    <x v="1"/>
    <x v="5"/>
    <x v="20"/>
    <x v="2"/>
    <x v="2"/>
    <x v="67"/>
    <x v="67"/>
    <x v="541"/>
    <n v="5269600"/>
    <m/>
    <n v="7904400"/>
    <m/>
    <n v="7904400"/>
    <m/>
    <n v="7904400"/>
    <n v="7904400"/>
  </r>
  <r>
    <x v="0"/>
    <x v="1"/>
    <x v="5"/>
    <x v="20"/>
    <x v="2"/>
    <x v="2"/>
    <x v="67"/>
    <x v="67"/>
    <x v="542"/>
    <n v="2298000"/>
    <m/>
    <n v="3447000"/>
    <m/>
    <n v="3447000"/>
    <m/>
    <n v="3447000"/>
    <n v="3447000"/>
  </r>
  <r>
    <x v="0"/>
    <x v="1"/>
    <x v="5"/>
    <x v="20"/>
    <x v="2"/>
    <x v="2"/>
    <x v="67"/>
    <x v="67"/>
    <x v="543"/>
    <n v="2138000"/>
    <m/>
    <n v="3207000"/>
    <m/>
    <n v="3207000"/>
    <m/>
    <n v="3207000"/>
    <n v="3207000"/>
  </r>
  <r>
    <x v="0"/>
    <x v="1"/>
    <x v="5"/>
    <x v="20"/>
    <x v="2"/>
    <x v="2"/>
    <x v="67"/>
    <x v="67"/>
    <x v="544"/>
    <n v="10910000"/>
    <m/>
    <n v="16365000"/>
    <m/>
    <n v="16365000"/>
    <n v="24547500"/>
    <m/>
    <n v="24547500"/>
  </r>
  <r>
    <x v="0"/>
    <x v="1"/>
    <x v="5"/>
    <x v="20"/>
    <x v="2"/>
    <x v="2"/>
    <x v="67"/>
    <x v="67"/>
    <x v="545"/>
    <n v="4898800"/>
    <m/>
    <n v="7348200"/>
    <m/>
    <n v="7348200"/>
    <n v="11022300"/>
    <m/>
    <n v="11022300"/>
  </r>
  <r>
    <x v="0"/>
    <x v="1"/>
    <x v="5"/>
    <x v="20"/>
    <x v="2"/>
    <x v="2"/>
    <x v="67"/>
    <x v="67"/>
    <x v="546"/>
    <n v="2299800"/>
    <m/>
    <n v="3449700"/>
    <m/>
    <n v="3449700"/>
    <m/>
    <n v="3449700"/>
    <n v="3449700"/>
  </r>
  <r>
    <x v="0"/>
    <x v="1"/>
    <x v="5"/>
    <x v="20"/>
    <x v="2"/>
    <x v="2"/>
    <x v="65"/>
    <x v="65"/>
    <x v="547"/>
    <n v="12165000"/>
    <m/>
    <n v="18247500"/>
    <m/>
    <n v="18247500"/>
    <n v="27371250"/>
    <m/>
    <n v="27371250"/>
  </r>
  <r>
    <x v="0"/>
    <x v="1"/>
    <x v="5"/>
    <x v="20"/>
    <x v="2"/>
    <x v="2"/>
    <x v="65"/>
    <x v="65"/>
    <x v="548"/>
    <n v="4998000"/>
    <m/>
    <n v="7497000"/>
    <m/>
    <n v="7497000"/>
    <m/>
    <n v="7497000"/>
    <n v="7497000"/>
  </r>
  <r>
    <x v="0"/>
    <x v="1"/>
    <x v="5"/>
    <x v="20"/>
    <x v="2"/>
    <x v="2"/>
    <x v="66"/>
    <x v="66"/>
    <x v="549"/>
    <n v="4178000"/>
    <m/>
    <n v="6267000"/>
    <m/>
    <n v="6267000"/>
    <n v="9400500"/>
    <m/>
    <n v="9400500"/>
  </r>
  <r>
    <x v="0"/>
    <x v="1"/>
    <x v="5"/>
    <x v="20"/>
    <x v="2"/>
    <x v="2"/>
    <x v="66"/>
    <x v="66"/>
    <x v="550"/>
    <n v="3199800"/>
    <m/>
    <n v="4799700"/>
    <m/>
    <n v="4799700"/>
    <n v="7199550"/>
    <m/>
    <n v="7199550"/>
  </r>
  <r>
    <x v="0"/>
    <x v="1"/>
    <x v="5"/>
    <x v="20"/>
    <x v="2"/>
    <x v="2"/>
    <x v="66"/>
    <x v="66"/>
    <x v="551"/>
    <n v="2313200"/>
    <m/>
    <n v="3469800"/>
    <m/>
    <n v="3469800"/>
    <m/>
    <n v="3469800"/>
    <n v="3469800"/>
  </r>
  <r>
    <x v="0"/>
    <x v="1"/>
    <x v="5"/>
    <x v="20"/>
    <x v="2"/>
    <x v="2"/>
    <x v="66"/>
    <x v="66"/>
    <x v="552"/>
    <n v="13739000"/>
    <m/>
    <n v="20608500"/>
    <m/>
    <n v="20608500"/>
    <n v="30912750"/>
    <m/>
    <n v="30912750"/>
  </r>
  <r>
    <x v="0"/>
    <x v="1"/>
    <x v="5"/>
    <x v="20"/>
    <x v="3"/>
    <x v="2"/>
    <x v="67"/>
    <x v="67"/>
    <x v="553"/>
    <n v="6950000"/>
    <m/>
    <n v="10425000"/>
    <m/>
    <n v="10425000"/>
    <n v="15637500"/>
    <m/>
    <n v="15637500"/>
  </r>
  <r>
    <x v="0"/>
    <x v="1"/>
    <x v="5"/>
    <x v="20"/>
    <x v="3"/>
    <x v="2"/>
    <x v="67"/>
    <x v="67"/>
    <x v="554"/>
    <n v="14998000"/>
    <m/>
    <n v="22497000"/>
    <m/>
    <n v="22497000"/>
    <m/>
    <n v="22497000"/>
    <n v="22497000"/>
  </r>
  <r>
    <x v="0"/>
    <x v="1"/>
    <x v="5"/>
    <x v="20"/>
    <x v="3"/>
    <x v="2"/>
    <x v="67"/>
    <x v="67"/>
    <x v="555"/>
    <n v="15198000"/>
    <m/>
    <n v="22797000"/>
    <m/>
    <n v="22797000"/>
    <m/>
    <n v="22797000"/>
    <n v="22797000"/>
  </r>
  <r>
    <x v="0"/>
    <x v="1"/>
    <x v="6"/>
    <x v="21"/>
    <x v="0"/>
    <x v="0"/>
    <x v="68"/>
    <x v="68"/>
    <x v="556"/>
    <n v="614000"/>
    <m/>
    <m/>
    <m/>
    <n v="614000"/>
    <n v="921000"/>
    <m/>
    <n v="921000"/>
  </r>
  <r>
    <x v="0"/>
    <x v="1"/>
    <x v="6"/>
    <x v="21"/>
    <x v="0"/>
    <x v="0"/>
    <x v="68"/>
    <x v="68"/>
    <x v="557"/>
    <n v="1891600"/>
    <m/>
    <m/>
    <m/>
    <n v="1891600"/>
    <m/>
    <n v="1891600"/>
    <n v="1891600"/>
  </r>
  <r>
    <x v="0"/>
    <x v="1"/>
    <x v="6"/>
    <x v="21"/>
    <x v="0"/>
    <x v="2"/>
    <x v="68"/>
    <x v="68"/>
    <x v="558"/>
    <n v="469900"/>
    <m/>
    <m/>
    <m/>
    <n v="469900"/>
    <m/>
    <n v="469900"/>
    <n v="469900"/>
  </r>
  <r>
    <x v="0"/>
    <x v="1"/>
    <x v="6"/>
    <x v="21"/>
    <x v="0"/>
    <x v="1"/>
    <x v="68"/>
    <x v="68"/>
    <x v="559"/>
    <s v="-"/>
    <m/>
    <m/>
    <m/>
    <s v="-"/>
    <m/>
    <m/>
    <m/>
  </r>
  <r>
    <x v="0"/>
    <x v="1"/>
    <x v="6"/>
    <x v="21"/>
    <x v="0"/>
    <x v="1"/>
    <x v="68"/>
    <x v="68"/>
    <x v="560"/>
    <s v="-"/>
    <m/>
    <m/>
    <m/>
    <s v="-"/>
    <m/>
    <m/>
    <m/>
  </r>
  <r>
    <x v="0"/>
    <x v="1"/>
    <x v="6"/>
    <x v="21"/>
    <x v="1"/>
    <x v="2"/>
    <x v="68"/>
    <x v="68"/>
    <x v="561"/>
    <n v="238000"/>
    <m/>
    <m/>
    <m/>
    <n v="238000"/>
    <m/>
    <n v="238000"/>
    <n v="238000"/>
  </r>
  <r>
    <x v="0"/>
    <x v="1"/>
    <x v="6"/>
    <x v="21"/>
    <x v="1"/>
    <x v="2"/>
    <x v="68"/>
    <x v="68"/>
    <x v="562"/>
    <n v="2793000"/>
    <m/>
    <m/>
    <m/>
    <n v="2793000"/>
    <n v="4189500"/>
    <m/>
    <n v="4189500"/>
  </r>
  <r>
    <x v="0"/>
    <x v="1"/>
    <x v="6"/>
    <x v="21"/>
    <x v="1"/>
    <x v="2"/>
    <x v="68"/>
    <x v="68"/>
    <x v="563"/>
    <n v="740400"/>
    <m/>
    <m/>
    <m/>
    <n v="740400"/>
    <n v="1110600"/>
    <m/>
    <n v="1110600"/>
  </r>
  <r>
    <x v="0"/>
    <x v="1"/>
    <x v="6"/>
    <x v="21"/>
    <x v="1"/>
    <x v="2"/>
    <x v="68"/>
    <x v="68"/>
    <x v="564"/>
    <n v="10392000"/>
    <m/>
    <m/>
    <m/>
    <n v="10392000"/>
    <n v="15588000"/>
    <m/>
    <n v="15588000"/>
  </r>
  <r>
    <x v="0"/>
    <x v="1"/>
    <x v="6"/>
    <x v="21"/>
    <x v="1"/>
    <x v="2"/>
    <x v="68"/>
    <x v="68"/>
    <x v="565"/>
    <n v="9592000"/>
    <m/>
    <m/>
    <m/>
    <n v="9592000"/>
    <n v="14388000"/>
    <m/>
    <n v="14388000"/>
  </r>
  <r>
    <x v="0"/>
    <x v="1"/>
    <x v="6"/>
    <x v="21"/>
    <x v="1"/>
    <x v="2"/>
    <x v="68"/>
    <x v="68"/>
    <x v="566"/>
    <n v="7420000"/>
    <m/>
    <m/>
    <m/>
    <n v="7420000"/>
    <n v="11130000"/>
    <m/>
    <n v="11130000"/>
  </r>
  <r>
    <x v="0"/>
    <x v="1"/>
    <x v="6"/>
    <x v="21"/>
    <x v="1"/>
    <x v="2"/>
    <x v="68"/>
    <x v="68"/>
    <x v="567"/>
    <n v="2075400"/>
    <m/>
    <m/>
    <m/>
    <n v="2075400"/>
    <m/>
    <n v="2075400"/>
    <n v="2075400"/>
  </r>
  <r>
    <x v="0"/>
    <x v="1"/>
    <x v="6"/>
    <x v="21"/>
    <x v="1"/>
    <x v="2"/>
    <x v="68"/>
    <x v="68"/>
    <x v="568"/>
    <n v="7407200"/>
    <m/>
    <m/>
    <m/>
    <n v="7407200"/>
    <n v="11110800"/>
    <m/>
    <n v="11110800"/>
  </r>
  <r>
    <x v="0"/>
    <x v="1"/>
    <x v="6"/>
    <x v="21"/>
    <x v="1"/>
    <x v="2"/>
    <x v="68"/>
    <x v="68"/>
    <x v="569"/>
    <n v="2340200"/>
    <m/>
    <m/>
    <m/>
    <n v="2340200"/>
    <n v="3510300"/>
    <m/>
    <n v="3510300"/>
  </r>
  <r>
    <x v="0"/>
    <x v="1"/>
    <x v="6"/>
    <x v="21"/>
    <x v="1"/>
    <x v="2"/>
    <x v="68"/>
    <x v="68"/>
    <x v="62"/>
    <n v="2349200"/>
    <m/>
    <m/>
    <m/>
    <n v="2349200"/>
    <n v="3523800"/>
    <m/>
    <n v="3523800"/>
  </r>
  <r>
    <x v="0"/>
    <x v="1"/>
    <x v="6"/>
    <x v="21"/>
    <x v="1"/>
    <x v="2"/>
    <x v="68"/>
    <x v="68"/>
    <x v="570"/>
    <n v="8194800"/>
    <m/>
    <m/>
    <m/>
    <n v="8194800"/>
    <m/>
    <n v="8194800"/>
    <n v="8194800"/>
  </r>
  <r>
    <x v="0"/>
    <x v="1"/>
    <x v="6"/>
    <x v="21"/>
    <x v="1"/>
    <x v="2"/>
    <x v="68"/>
    <x v="68"/>
    <x v="571"/>
    <n v="3298000"/>
    <m/>
    <m/>
    <m/>
    <n v="3298000"/>
    <n v="4947000"/>
    <m/>
    <n v="4947000"/>
  </r>
  <r>
    <x v="0"/>
    <x v="1"/>
    <x v="6"/>
    <x v="21"/>
    <x v="2"/>
    <x v="2"/>
    <x v="69"/>
    <x v="69"/>
    <x v="572"/>
    <n v="1158400"/>
    <m/>
    <n v="1737600"/>
    <m/>
    <n v="1737600"/>
    <m/>
    <n v="1737600"/>
    <n v="1737600"/>
  </r>
  <r>
    <x v="0"/>
    <x v="1"/>
    <x v="6"/>
    <x v="21"/>
    <x v="2"/>
    <x v="2"/>
    <x v="69"/>
    <x v="69"/>
    <x v="573"/>
    <n v="4890500"/>
    <m/>
    <n v="7335750"/>
    <m/>
    <n v="7335750"/>
    <n v="11003625"/>
    <m/>
    <n v="11003625"/>
  </r>
  <r>
    <x v="0"/>
    <x v="1"/>
    <x v="6"/>
    <x v="21"/>
    <x v="2"/>
    <x v="2"/>
    <x v="69"/>
    <x v="69"/>
    <x v="574"/>
    <n v="4481100"/>
    <m/>
    <n v="6721650"/>
    <m/>
    <n v="6721650"/>
    <n v="10082475"/>
    <m/>
    <n v="10082475"/>
  </r>
  <r>
    <x v="0"/>
    <x v="1"/>
    <x v="6"/>
    <x v="21"/>
    <x v="2"/>
    <x v="2"/>
    <x v="69"/>
    <x v="69"/>
    <x v="575"/>
    <n v="5725000"/>
    <m/>
    <n v="8587500"/>
    <m/>
    <n v="8587500"/>
    <m/>
    <n v="8587500"/>
    <n v="8587500"/>
  </r>
  <r>
    <x v="0"/>
    <x v="1"/>
    <x v="6"/>
    <x v="21"/>
    <x v="2"/>
    <x v="2"/>
    <x v="69"/>
    <x v="69"/>
    <x v="576"/>
    <n v="2038000"/>
    <m/>
    <n v="3057000"/>
    <m/>
    <n v="3057000"/>
    <m/>
    <n v="3057000"/>
    <n v="3057000"/>
  </r>
  <r>
    <x v="0"/>
    <x v="1"/>
    <x v="6"/>
    <x v="21"/>
    <x v="2"/>
    <x v="2"/>
    <x v="69"/>
    <x v="69"/>
    <x v="124"/>
    <n v="5547000"/>
    <m/>
    <n v="8320500"/>
    <m/>
    <n v="8320500"/>
    <n v="12480750"/>
    <m/>
    <n v="12480750"/>
  </r>
  <r>
    <x v="0"/>
    <x v="1"/>
    <x v="6"/>
    <x v="21"/>
    <x v="2"/>
    <x v="2"/>
    <x v="69"/>
    <x v="69"/>
    <x v="577"/>
    <n v="3349000"/>
    <m/>
    <n v="5023500"/>
    <m/>
    <n v="5023500"/>
    <m/>
    <n v="5023500"/>
    <n v="5023500"/>
  </r>
  <r>
    <x v="0"/>
    <x v="1"/>
    <x v="6"/>
    <x v="21"/>
    <x v="2"/>
    <x v="2"/>
    <x v="68"/>
    <x v="68"/>
    <x v="578"/>
    <n v="4996000"/>
    <m/>
    <n v="7494000"/>
    <m/>
    <n v="7494000"/>
    <n v="11241000"/>
    <m/>
    <n v="11241000"/>
  </r>
  <r>
    <x v="0"/>
    <x v="1"/>
    <x v="6"/>
    <x v="21"/>
    <x v="2"/>
    <x v="2"/>
    <x v="68"/>
    <x v="68"/>
    <x v="247"/>
    <n v="4089200"/>
    <m/>
    <n v="6133800"/>
    <m/>
    <n v="6133800"/>
    <n v="9200700"/>
    <m/>
    <n v="9200700"/>
  </r>
  <r>
    <x v="0"/>
    <x v="1"/>
    <x v="6"/>
    <x v="21"/>
    <x v="2"/>
    <x v="2"/>
    <x v="68"/>
    <x v="68"/>
    <x v="579"/>
    <n v="6090500"/>
    <m/>
    <n v="9135750"/>
    <m/>
    <n v="9135750"/>
    <m/>
    <n v="9135750"/>
    <n v="9135750"/>
  </r>
  <r>
    <x v="0"/>
    <x v="1"/>
    <x v="6"/>
    <x v="21"/>
    <x v="2"/>
    <x v="2"/>
    <x v="68"/>
    <x v="68"/>
    <x v="580"/>
    <n v="5796000"/>
    <m/>
    <n v="8694000"/>
    <m/>
    <n v="8694000"/>
    <n v="13041000"/>
    <m/>
    <n v="13041000"/>
  </r>
  <r>
    <x v="0"/>
    <x v="1"/>
    <x v="6"/>
    <x v="21"/>
    <x v="2"/>
    <x v="2"/>
    <x v="68"/>
    <x v="68"/>
    <x v="581"/>
    <n v="2612000"/>
    <m/>
    <n v="3918000"/>
    <m/>
    <n v="3918000"/>
    <m/>
    <n v="3918000"/>
    <n v="3918000"/>
  </r>
  <r>
    <x v="0"/>
    <x v="1"/>
    <x v="6"/>
    <x v="21"/>
    <x v="2"/>
    <x v="2"/>
    <x v="68"/>
    <x v="68"/>
    <x v="582"/>
    <n v="1434800"/>
    <m/>
    <n v="2152200"/>
    <m/>
    <n v="2152200"/>
    <n v="3228300"/>
    <m/>
    <n v="3228300"/>
  </r>
  <r>
    <x v="0"/>
    <x v="1"/>
    <x v="6"/>
    <x v="21"/>
    <x v="2"/>
    <x v="2"/>
    <x v="68"/>
    <x v="68"/>
    <x v="583"/>
    <n v="13186400"/>
    <m/>
    <n v="19779600"/>
    <m/>
    <n v="19779600"/>
    <n v="29669400"/>
    <m/>
    <n v="29669400"/>
  </r>
  <r>
    <x v="0"/>
    <x v="1"/>
    <x v="6"/>
    <x v="21"/>
    <x v="2"/>
    <x v="2"/>
    <x v="68"/>
    <x v="68"/>
    <x v="584"/>
    <n v="8998000"/>
    <m/>
    <n v="13497000"/>
    <m/>
    <n v="13497000"/>
    <m/>
    <n v="13497000"/>
    <n v="13497000"/>
  </r>
  <r>
    <x v="0"/>
    <x v="1"/>
    <x v="6"/>
    <x v="21"/>
    <x v="2"/>
    <x v="2"/>
    <x v="68"/>
    <x v="68"/>
    <x v="585"/>
    <n v="11598000"/>
    <m/>
    <n v="17397000"/>
    <m/>
    <n v="17397000"/>
    <m/>
    <n v="17397000"/>
    <n v="17397000"/>
  </r>
  <r>
    <x v="0"/>
    <x v="1"/>
    <x v="6"/>
    <x v="21"/>
    <x v="2"/>
    <x v="2"/>
    <x v="68"/>
    <x v="68"/>
    <x v="586"/>
    <n v="6396000"/>
    <m/>
    <n v="9594000"/>
    <m/>
    <n v="9594000"/>
    <m/>
    <n v="9594000"/>
    <n v="9594000"/>
  </r>
  <r>
    <x v="0"/>
    <x v="1"/>
    <x v="6"/>
    <x v="21"/>
    <x v="3"/>
    <x v="2"/>
    <x v="69"/>
    <x v="69"/>
    <x v="587"/>
    <n v="6390000"/>
    <m/>
    <n v="9585000"/>
    <m/>
    <n v="9585000"/>
    <m/>
    <n v="9585000"/>
    <n v="9585000"/>
  </r>
  <r>
    <x v="0"/>
    <x v="1"/>
    <x v="6"/>
    <x v="21"/>
    <x v="3"/>
    <x v="2"/>
    <x v="69"/>
    <x v="69"/>
    <x v="588"/>
    <n v="6032000"/>
    <m/>
    <n v="9048000"/>
    <m/>
    <n v="9048000"/>
    <m/>
    <n v="9048000"/>
    <n v="9048000"/>
  </r>
  <r>
    <x v="0"/>
    <x v="1"/>
    <x v="6"/>
    <x v="21"/>
    <x v="3"/>
    <x v="2"/>
    <x v="69"/>
    <x v="69"/>
    <x v="589"/>
    <n v="7045000"/>
    <m/>
    <n v="10567500"/>
    <m/>
    <n v="10567500"/>
    <m/>
    <n v="10567500"/>
    <n v="10567500"/>
  </r>
  <r>
    <x v="0"/>
    <x v="1"/>
    <x v="6"/>
    <x v="21"/>
    <x v="6"/>
    <x v="5"/>
    <x v="68"/>
    <x v="68"/>
    <x v="590"/>
    <n v="198000"/>
    <m/>
    <m/>
    <m/>
    <n v="198000"/>
    <m/>
    <n v="198000"/>
    <n v="198000"/>
  </r>
  <r>
    <x v="0"/>
    <x v="1"/>
    <x v="6"/>
    <x v="22"/>
    <x v="0"/>
    <x v="2"/>
    <x v="70"/>
    <x v="70"/>
    <x v="591"/>
    <n v="150000"/>
    <m/>
    <m/>
    <m/>
    <n v="150000"/>
    <m/>
    <n v="150000"/>
    <n v="150000"/>
  </r>
  <r>
    <x v="0"/>
    <x v="1"/>
    <x v="6"/>
    <x v="22"/>
    <x v="0"/>
    <x v="1"/>
    <x v="71"/>
    <x v="71"/>
    <x v="592"/>
    <s v="-"/>
    <m/>
    <m/>
    <m/>
    <s v="-"/>
    <m/>
    <m/>
    <m/>
  </r>
  <r>
    <x v="0"/>
    <x v="1"/>
    <x v="6"/>
    <x v="22"/>
    <x v="0"/>
    <x v="1"/>
    <x v="70"/>
    <x v="70"/>
    <x v="593"/>
    <s v="-"/>
    <m/>
    <m/>
    <m/>
    <s v="-"/>
    <m/>
    <m/>
    <m/>
  </r>
  <r>
    <x v="0"/>
    <x v="1"/>
    <x v="6"/>
    <x v="22"/>
    <x v="0"/>
    <x v="1"/>
    <x v="70"/>
    <x v="70"/>
    <x v="594"/>
    <s v="-"/>
    <m/>
    <m/>
    <m/>
    <s v="-"/>
    <m/>
    <m/>
    <m/>
  </r>
  <r>
    <x v="0"/>
    <x v="1"/>
    <x v="6"/>
    <x v="22"/>
    <x v="1"/>
    <x v="2"/>
    <x v="71"/>
    <x v="71"/>
    <x v="595"/>
    <n v="916200"/>
    <m/>
    <m/>
    <m/>
    <n v="916200"/>
    <m/>
    <n v="916200"/>
    <n v="916200"/>
  </r>
  <r>
    <x v="0"/>
    <x v="1"/>
    <x v="6"/>
    <x v="22"/>
    <x v="1"/>
    <x v="2"/>
    <x v="71"/>
    <x v="71"/>
    <x v="596"/>
    <n v="3820400"/>
    <m/>
    <m/>
    <m/>
    <n v="3820400"/>
    <m/>
    <n v="3820400"/>
    <n v="3820400"/>
  </r>
  <r>
    <x v="0"/>
    <x v="1"/>
    <x v="6"/>
    <x v="22"/>
    <x v="1"/>
    <x v="2"/>
    <x v="70"/>
    <x v="70"/>
    <x v="597"/>
    <n v="1536000"/>
    <m/>
    <m/>
    <m/>
    <n v="1536000"/>
    <m/>
    <n v="1536000"/>
    <n v="1536000"/>
  </r>
  <r>
    <x v="0"/>
    <x v="1"/>
    <x v="6"/>
    <x v="22"/>
    <x v="2"/>
    <x v="2"/>
    <x v="71"/>
    <x v="71"/>
    <x v="598"/>
    <n v="3285000"/>
    <m/>
    <n v="4927500"/>
    <m/>
    <n v="4927500"/>
    <n v="7391250"/>
    <m/>
    <n v="7391250"/>
  </r>
  <r>
    <x v="0"/>
    <x v="1"/>
    <x v="6"/>
    <x v="22"/>
    <x v="2"/>
    <x v="2"/>
    <x v="71"/>
    <x v="71"/>
    <x v="599"/>
    <n v="3980000"/>
    <m/>
    <n v="5970000"/>
    <m/>
    <n v="5970000"/>
    <m/>
    <n v="5970000"/>
    <n v="5970000"/>
  </r>
  <r>
    <x v="0"/>
    <x v="1"/>
    <x v="6"/>
    <x v="22"/>
    <x v="3"/>
    <x v="2"/>
    <x v="71"/>
    <x v="71"/>
    <x v="600"/>
    <n v="8332800"/>
    <m/>
    <n v="12499200"/>
    <m/>
    <n v="12499200"/>
    <m/>
    <n v="12499200"/>
    <n v="12499200"/>
  </r>
  <r>
    <x v="0"/>
    <x v="1"/>
    <x v="6"/>
    <x v="22"/>
    <x v="3"/>
    <x v="2"/>
    <x v="71"/>
    <x v="71"/>
    <x v="601"/>
    <n v="10081400"/>
    <m/>
    <n v="15122100"/>
    <m/>
    <n v="15122100"/>
    <m/>
    <n v="15122100"/>
    <n v="15122100"/>
  </r>
  <r>
    <x v="0"/>
    <x v="1"/>
    <x v="6"/>
    <x v="22"/>
    <x v="3"/>
    <x v="2"/>
    <x v="70"/>
    <x v="70"/>
    <x v="602"/>
    <n v="23259400"/>
    <m/>
    <n v="34889100"/>
    <m/>
    <n v="34889100"/>
    <m/>
    <n v="34889100"/>
    <n v="34889100"/>
  </r>
  <r>
    <x v="0"/>
    <x v="1"/>
    <x v="6"/>
    <x v="23"/>
    <x v="7"/>
    <x v="2"/>
    <x v="72"/>
    <x v="72"/>
    <x v="603"/>
    <n v="6420000"/>
    <m/>
    <m/>
    <m/>
    <n v="6420000"/>
    <m/>
    <n v="6420000"/>
    <n v="6420000"/>
  </r>
  <r>
    <x v="0"/>
    <x v="1"/>
    <x v="6"/>
    <x v="23"/>
    <x v="0"/>
    <x v="0"/>
    <x v="72"/>
    <x v="72"/>
    <x v="604"/>
    <n v="16377600"/>
    <m/>
    <m/>
    <m/>
    <n v="16377600"/>
    <m/>
    <n v="16377600"/>
    <n v="16377600"/>
  </r>
  <r>
    <x v="0"/>
    <x v="1"/>
    <x v="6"/>
    <x v="23"/>
    <x v="0"/>
    <x v="0"/>
    <x v="72"/>
    <x v="72"/>
    <x v="605"/>
    <n v="1180800"/>
    <m/>
    <m/>
    <m/>
    <n v="1180800"/>
    <m/>
    <n v="1180800"/>
    <n v="1180800"/>
  </r>
  <r>
    <x v="0"/>
    <x v="1"/>
    <x v="6"/>
    <x v="23"/>
    <x v="0"/>
    <x v="2"/>
    <x v="73"/>
    <x v="73"/>
    <x v="606"/>
    <n v="696000"/>
    <m/>
    <m/>
    <m/>
    <n v="696000"/>
    <m/>
    <n v="696000"/>
    <n v="696000"/>
  </r>
  <r>
    <x v="0"/>
    <x v="1"/>
    <x v="6"/>
    <x v="23"/>
    <x v="0"/>
    <x v="2"/>
    <x v="73"/>
    <x v="73"/>
    <x v="607"/>
    <n v="2045000"/>
    <m/>
    <m/>
    <m/>
    <n v="2045000"/>
    <m/>
    <n v="2045000"/>
    <n v="2045000"/>
  </r>
  <r>
    <x v="0"/>
    <x v="1"/>
    <x v="6"/>
    <x v="23"/>
    <x v="1"/>
    <x v="2"/>
    <x v="72"/>
    <x v="72"/>
    <x v="608"/>
    <n v="3023100"/>
    <m/>
    <m/>
    <m/>
    <n v="3023100"/>
    <n v="4534650"/>
    <m/>
    <n v="4534650"/>
  </r>
  <r>
    <x v="0"/>
    <x v="1"/>
    <x v="6"/>
    <x v="23"/>
    <x v="1"/>
    <x v="2"/>
    <x v="73"/>
    <x v="73"/>
    <x v="609"/>
    <n v="2993100"/>
    <m/>
    <m/>
    <m/>
    <n v="2993100"/>
    <m/>
    <n v="2993100"/>
    <n v="2993100"/>
  </r>
  <r>
    <x v="0"/>
    <x v="1"/>
    <x v="6"/>
    <x v="23"/>
    <x v="2"/>
    <x v="2"/>
    <x v="74"/>
    <x v="74"/>
    <x v="610"/>
    <n v="5116000"/>
    <m/>
    <n v="7674000"/>
    <m/>
    <n v="7674000"/>
    <m/>
    <n v="7674000"/>
    <n v="7674000"/>
  </r>
  <r>
    <x v="0"/>
    <x v="1"/>
    <x v="6"/>
    <x v="23"/>
    <x v="2"/>
    <x v="2"/>
    <x v="72"/>
    <x v="72"/>
    <x v="611"/>
    <n v="2262200"/>
    <m/>
    <n v="3393300"/>
    <m/>
    <n v="3393300"/>
    <m/>
    <n v="3393300"/>
    <n v="3393300"/>
  </r>
  <r>
    <x v="0"/>
    <x v="1"/>
    <x v="6"/>
    <x v="23"/>
    <x v="2"/>
    <x v="2"/>
    <x v="72"/>
    <x v="72"/>
    <x v="612"/>
    <n v="2498400"/>
    <m/>
    <n v="3747600"/>
    <m/>
    <n v="3747600"/>
    <m/>
    <n v="3747600"/>
    <n v="3747600"/>
  </r>
  <r>
    <x v="0"/>
    <x v="1"/>
    <x v="6"/>
    <x v="23"/>
    <x v="2"/>
    <x v="2"/>
    <x v="72"/>
    <x v="72"/>
    <x v="613"/>
    <n v="2038000"/>
    <m/>
    <n v="3057000"/>
    <m/>
    <n v="3057000"/>
    <n v="4585500"/>
    <m/>
    <n v="4585500"/>
  </r>
  <r>
    <x v="0"/>
    <x v="1"/>
    <x v="6"/>
    <x v="23"/>
    <x v="2"/>
    <x v="2"/>
    <x v="72"/>
    <x v="72"/>
    <x v="614"/>
    <n v="4780000"/>
    <m/>
    <n v="7170000"/>
    <m/>
    <n v="7170000"/>
    <m/>
    <n v="7170000"/>
    <n v="7170000"/>
  </r>
  <r>
    <x v="0"/>
    <x v="1"/>
    <x v="6"/>
    <x v="23"/>
    <x v="2"/>
    <x v="2"/>
    <x v="73"/>
    <x v="73"/>
    <x v="615"/>
    <n v="5365200"/>
    <m/>
    <n v="8047800"/>
    <m/>
    <n v="8047800"/>
    <m/>
    <n v="8047800"/>
    <n v="8047800"/>
  </r>
  <r>
    <x v="0"/>
    <x v="1"/>
    <x v="6"/>
    <x v="23"/>
    <x v="3"/>
    <x v="2"/>
    <x v="72"/>
    <x v="72"/>
    <x v="616"/>
    <n v="2838000"/>
    <m/>
    <n v="4257000"/>
    <m/>
    <n v="4257000"/>
    <m/>
    <n v="4257000"/>
    <n v="4257000"/>
  </r>
  <r>
    <x v="0"/>
    <x v="1"/>
    <x v="6"/>
    <x v="24"/>
    <x v="10"/>
    <x v="7"/>
    <x v="75"/>
    <x v="75"/>
    <x v="617"/>
    <n v="5224000"/>
    <m/>
    <m/>
    <m/>
    <n v="5224000"/>
    <n v="7836000"/>
    <m/>
    <n v="7836000"/>
  </r>
  <r>
    <x v="0"/>
    <x v="1"/>
    <x v="6"/>
    <x v="24"/>
    <x v="1"/>
    <x v="2"/>
    <x v="75"/>
    <x v="75"/>
    <x v="618"/>
    <n v="9360800"/>
    <m/>
    <m/>
    <m/>
    <n v="9360800"/>
    <n v="14041200"/>
    <m/>
    <n v="14041200"/>
  </r>
  <r>
    <x v="1"/>
    <x v="2"/>
    <x v="7"/>
    <x v="25"/>
    <x v="1"/>
    <x v="2"/>
    <x v="76"/>
    <x v="76"/>
    <x v="619"/>
    <n v="313600"/>
    <m/>
    <m/>
    <m/>
    <n v="313600"/>
    <m/>
    <n v="313600"/>
    <n v="313600"/>
  </r>
  <r>
    <x v="1"/>
    <x v="2"/>
    <x v="7"/>
    <x v="25"/>
    <x v="1"/>
    <x v="2"/>
    <x v="76"/>
    <x v="76"/>
    <x v="620"/>
    <n v="139800"/>
    <m/>
    <m/>
    <m/>
    <n v="139800"/>
    <m/>
    <n v="139800"/>
    <n v="139800"/>
  </r>
  <r>
    <x v="1"/>
    <x v="2"/>
    <x v="7"/>
    <x v="25"/>
    <x v="1"/>
    <x v="2"/>
    <x v="76"/>
    <x v="76"/>
    <x v="621"/>
    <n v="389700"/>
    <m/>
    <m/>
    <m/>
    <n v="389700"/>
    <m/>
    <n v="389700"/>
    <n v="389700"/>
  </r>
  <r>
    <x v="1"/>
    <x v="2"/>
    <x v="7"/>
    <x v="25"/>
    <x v="1"/>
    <x v="2"/>
    <x v="76"/>
    <x v="76"/>
    <x v="622"/>
    <n v="2841200"/>
    <m/>
    <m/>
    <m/>
    <n v="2841200"/>
    <n v="4261800"/>
    <m/>
    <n v="4261800"/>
  </r>
  <r>
    <x v="1"/>
    <x v="2"/>
    <x v="7"/>
    <x v="26"/>
    <x v="4"/>
    <x v="1"/>
    <x v="77"/>
    <x v="77"/>
    <x v="623"/>
    <s v="-"/>
    <m/>
    <m/>
    <m/>
    <s v="-"/>
    <m/>
    <m/>
    <m/>
  </r>
  <r>
    <x v="1"/>
    <x v="2"/>
    <x v="7"/>
    <x v="26"/>
    <x v="0"/>
    <x v="0"/>
    <x v="77"/>
    <x v="77"/>
    <x v="624"/>
    <n v="6130000"/>
    <m/>
    <m/>
    <m/>
    <n v="6130000"/>
    <m/>
    <n v="6130000"/>
    <n v="6130000"/>
  </r>
  <r>
    <x v="1"/>
    <x v="2"/>
    <x v="7"/>
    <x v="26"/>
    <x v="0"/>
    <x v="0"/>
    <x v="78"/>
    <x v="78"/>
    <x v="625"/>
    <n v="7413000"/>
    <m/>
    <m/>
    <m/>
    <n v="7413000"/>
    <m/>
    <n v="7413000"/>
    <n v="7413000"/>
  </r>
  <r>
    <x v="1"/>
    <x v="2"/>
    <x v="7"/>
    <x v="26"/>
    <x v="0"/>
    <x v="2"/>
    <x v="78"/>
    <x v="78"/>
    <x v="626"/>
    <n v="537000"/>
    <m/>
    <m/>
    <m/>
    <n v="537000"/>
    <m/>
    <n v="537000"/>
    <n v="537000"/>
  </r>
  <r>
    <x v="1"/>
    <x v="2"/>
    <x v="7"/>
    <x v="26"/>
    <x v="0"/>
    <x v="1"/>
    <x v="77"/>
    <x v="77"/>
    <x v="627"/>
    <s v="-"/>
    <m/>
    <m/>
    <m/>
    <s v="-"/>
    <m/>
    <m/>
    <m/>
  </r>
  <r>
    <x v="1"/>
    <x v="2"/>
    <x v="7"/>
    <x v="26"/>
    <x v="0"/>
    <x v="1"/>
    <x v="77"/>
    <x v="77"/>
    <x v="628"/>
    <s v="-"/>
    <m/>
    <m/>
    <m/>
    <s v="-"/>
    <m/>
    <m/>
    <m/>
  </r>
  <r>
    <x v="1"/>
    <x v="2"/>
    <x v="7"/>
    <x v="26"/>
    <x v="0"/>
    <x v="1"/>
    <x v="78"/>
    <x v="78"/>
    <x v="629"/>
    <s v="-"/>
    <m/>
    <m/>
    <m/>
    <s v="-"/>
    <m/>
    <m/>
    <m/>
  </r>
  <r>
    <x v="1"/>
    <x v="2"/>
    <x v="7"/>
    <x v="26"/>
    <x v="0"/>
    <x v="1"/>
    <x v="78"/>
    <x v="78"/>
    <x v="630"/>
    <s v="-"/>
    <m/>
    <m/>
    <m/>
    <s v="-"/>
    <m/>
    <m/>
    <m/>
  </r>
  <r>
    <x v="1"/>
    <x v="2"/>
    <x v="7"/>
    <x v="26"/>
    <x v="0"/>
    <x v="1"/>
    <x v="78"/>
    <x v="78"/>
    <x v="631"/>
    <s v="-"/>
    <m/>
    <m/>
    <m/>
    <s v="-"/>
    <m/>
    <m/>
    <m/>
  </r>
  <r>
    <x v="1"/>
    <x v="2"/>
    <x v="7"/>
    <x v="26"/>
    <x v="1"/>
    <x v="2"/>
    <x v="77"/>
    <x v="77"/>
    <x v="632"/>
    <n v="1330000"/>
    <m/>
    <m/>
    <m/>
    <n v="1330000"/>
    <m/>
    <n v="1330000"/>
    <n v="1330000"/>
  </r>
  <r>
    <x v="1"/>
    <x v="2"/>
    <x v="7"/>
    <x v="26"/>
    <x v="1"/>
    <x v="2"/>
    <x v="77"/>
    <x v="77"/>
    <x v="633"/>
    <n v="2010000"/>
    <m/>
    <m/>
    <m/>
    <n v="2010000"/>
    <m/>
    <n v="2010000"/>
    <n v="2010000"/>
  </r>
  <r>
    <x v="1"/>
    <x v="2"/>
    <x v="7"/>
    <x v="26"/>
    <x v="1"/>
    <x v="2"/>
    <x v="77"/>
    <x v="77"/>
    <x v="634"/>
    <n v="7192000"/>
    <m/>
    <m/>
    <m/>
    <n v="7192000"/>
    <m/>
    <n v="7192000"/>
    <n v="7192000"/>
  </r>
  <r>
    <x v="1"/>
    <x v="2"/>
    <x v="7"/>
    <x v="26"/>
    <x v="1"/>
    <x v="2"/>
    <x v="77"/>
    <x v="77"/>
    <x v="635"/>
    <n v="1399800"/>
    <m/>
    <m/>
    <m/>
    <n v="1399800"/>
    <m/>
    <n v="1399800"/>
    <n v="1399800"/>
  </r>
  <r>
    <x v="1"/>
    <x v="2"/>
    <x v="7"/>
    <x v="26"/>
    <x v="1"/>
    <x v="2"/>
    <x v="77"/>
    <x v="77"/>
    <x v="636"/>
    <n v="2950200"/>
    <m/>
    <m/>
    <m/>
    <n v="2950200"/>
    <m/>
    <n v="2950200"/>
    <n v="2950200"/>
  </r>
  <r>
    <x v="1"/>
    <x v="2"/>
    <x v="7"/>
    <x v="26"/>
    <x v="1"/>
    <x v="2"/>
    <x v="77"/>
    <x v="77"/>
    <x v="637"/>
    <n v="239600"/>
    <m/>
    <m/>
    <m/>
    <n v="239600"/>
    <m/>
    <n v="239600"/>
    <n v="239600"/>
  </r>
  <r>
    <x v="1"/>
    <x v="2"/>
    <x v="7"/>
    <x v="26"/>
    <x v="1"/>
    <x v="2"/>
    <x v="77"/>
    <x v="77"/>
    <x v="638"/>
    <n v="333800"/>
    <m/>
    <m/>
    <m/>
    <n v="333800"/>
    <m/>
    <n v="333800"/>
    <n v="333800"/>
  </r>
  <r>
    <x v="1"/>
    <x v="2"/>
    <x v="7"/>
    <x v="26"/>
    <x v="1"/>
    <x v="2"/>
    <x v="77"/>
    <x v="77"/>
    <x v="639"/>
    <n v="1499800"/>
    <m/>
    <m/>
    <m/>
    <n v="1499800"/>
    <m/>
    <n v="1499800"/>
    <n v="1499800"/>
  </r>
  <r>
    <x v="1"/>
    <x v="2"/>
    <x v="7"/>
    <x v="26"/>
    <x v="1"/>
    <x v="2"/>
    <x v="77"/>
    <x v="77"/>
    <x v="640"/>
    <n v="3797400"/>
    <m/>
    <m/>
    <m/>
    <n v="3797400"/>
    <m/>
    <n v="3797400"/>
    <n v="3797400"/>
  </r>
  <r>
    <x v="1"/>
    <x v="2"/>
    <x v="7"/>
    <x v="26"/>
    <x v="1"/>
    <x v="2"/>
    <x v="77"/>
    <x v="77"/>
    <x v="641"/>
    <n v="16484000"/>
    <m/>
    <m/>
    <m/>
    <n v="16484000"/>
    <m/>
    <n v="16484000"/>
    <n v="16484000"/>
  </r>
  <r>
    <x v="1"/>
    <x v="2"/>
    <x v="7"/>
    <x v="26"/>
    <x v="1"/>
    <x v="2"/>
    <x v="77"/>
    <x v="77"/>
    <x v="642"/>
    <n v="2553800"/>
    <m/>
    <m/>
    <m/>
    <n v="2553800"/>
    <n v="3830700"/>
    <m/>
    <n v="3830700"/>
  </r>
  <r>
    <x v="1"/>
    <x v="2"/>
    <x v="7"/>
    <x v="26"/>
    <x v="1"/>
    <x v="2"/>
    <x v="78"/>
    <x v="78"/>
    <x v="643"/>
    <n v="187900"/>
    <m/>
    <m/>
    <m/>
    <n v="187900"/>
    <n v="281850"/>
    <m/>
    <n v="281850"/>
  </r>
  <r>
    <x v="1"/>
    <x v="2"/>
    <x v="7"/>
    <x v="26"/>
    <x v="1"/>
    <x v="2"/>
    <x v="78"/>
    <x v="78"/>
    <x v="644"/>
    <n v="1100000"/>
    <m/>
    <m/>
    <m/>
    <n v="1100000"/>
    <m/>
    <n v="1100000"/>
    <n v="1100000"/>
  </r>
  <r>
    <x v="1"/>
    <x v="2"/>
    <x v="7"/>
    <x v="26"/>
    <x v="1"/>
    <x v="2"/>
    <x v="78"/>
    <x v="78"/>
    <x v="645"/>
    <n v="2225800"/>
    <m/>
    <m/>
    <m/>
    <n v="2225800"/>
    <m/>
    <n v="2225800"/>
    <n v="2225800"/>
  </r>
  <r>
    <x v="1"/>
    <x v="2"/>
    <x v="7"/>
    <x v="26"/>
    <x v="1"/>
    <x v="2"/>
    <x v="78"/>
    <x v="78"/>
    <x v="646"/>
    <n v="3199600"/>
    <m/>
    <m/>
    <m/>
    <n v="3199600"/>
    <m/>
    <n v="3199600"/>
    <n v="3199600"/>
  </r>
  <r>
    <x v="1"/>
    <x v="2"/>
    <x v="7"/>
    <x v="26"/>
    <x v="1"/>
    <x v="2"/>
    <x v="78"/>
    <x v="78"/>
    <x v="647"/>
    <n v="1553800"/>
    <m/>
    <m/>
    <m/>
    <n v="1553800"/>
    <m/>
    <n v="1553800"/>
    <n v="1553800"/>
  </r>
  <r>
    <x v="1"/>
    <x v="2"/>
    <x v="7"/>
    <x v="26"/>
    <x v="1"/>
    <x v="2"/>
    <x v="78"/>
    <x v="78"/>
    <x v="648"/>
    <n v="2439800"/>
    <m/>
    <m/>
    <m/>
    <n v="2439800"/>
    <m/>
    <n v="2439800"/>
    <n v="2439800"/>
  </r>
  <r>
    <x v="1"/>
    <x v="2"/>
    <x v="7"/>
    <x v="26"/>
    <x v="1"/>
    <x v="2"/>
    <x v="78"/>
    <x v="78"/>
    <x v="649"/>
    <n v="5479600"/>
    <m/>
    <m/>
    <m/>
    <n v="5479600"/>
    <m/>
    <n v="5479600"/>
    <n v="5479600"/>
  </r>
  <r>
    <x v="1"/>
    <x v="2"/>
    <x v="7"/>
    <x v="26"/>
    <x v="1"/>
    <x v="2"/>
    <x v="78"/>
    <x v="78"/>
    <x v="650"/>
    <n v="2779800"/>
    <m/>
    <m/>
    <m/>
    <n v="2779800"/>
    <m/>
    <n v="2779800"/>
    <n v="2779800"/>
  </r>
  <r>
    <x v="1"/>
    <x v="2"/>
    <x v="7"/>
    <x v="26"/>
    <x v="1"/>
    <x v="1"/>
    <x v="78"/>
    <x v="78"/>
    <x v="651"/>
    <s v="-"/>
    <m/>
    <m/>
    <m/>
    <s v="-"/>
    <m/>
    <m/>
    <m/>
  </r>
  <r>
    <x v="1"/>
    <x v="2"/>
    <x v="7"/>
    <x v="26"/>
    <x v="2"/>
    <x v="2"/>
    <x v="77"/>
    <x v="77"/>
    <x v="652"/>
    <n v="1583800"/>
    <m/>
    <n v="2375700"/>
    <m/>
    <n v="2375700"/>
    <m/>
    <n v="2375700"/>
    <n v="2375700"/>
  </r>
  <r>
    <x v="1"/>
    <x v="2"/>
    <x v="7"/>
    <x v="26"/>
    <x v="2"/>
    <x v="2"/>
    <x v="77"/>
    <x v="77"/>
    <x v="336"/>
    <n v="4197000"/>
    <m/>
    <n v="6295500"/>
    <m/>
    <n v="6295500"/>
    <n v="9443250"/>
    <m/>
    <n v="9443250"/>
  </r>
  <r>
    <x v="1"/>
    <x v="2"/>
    <x v="7"/>
    <x v="26"/>
    <x v="2"/>
    <x v="2"/>
    <x v="77"/>
    <x v="77"/>
    <x v="653"/>
    <n v="2910800"/>
    <m/>
    <n v="4366200"/>
    <m/>
    <n v="4366200"/>
    <m/>
    <n v="4366200"/>
    <n v="4366200"/>
  </r>
  <r>
    <x v="1"/>
    <x v="2"/>
    <x v="7"/>
    <x v="26"/>
    <x v="2"/>
    <x v="2"/>
    <x v="77"/>
    <x v="77"/>
    <x v="654"/>
    <n v="4279600"/>
    <m/>
    <n v="6419400"/>
    <m/>
    <n v="6419400"/>
    <n v="9629100"/>
    <m/>
    <n v="9629100"/>
  </r>
  <r>
    <x v="1"/>
    <x v="2"/>
    <x v="7"/>
    <x v="26"/>
    <x v="2"/>
    <x v="2"/>
    <x v="77"/>
    <x v="77"/>
    <x v="655"/>
    <n v="4876800"/>
    <m/>
    <n v="7315200"/>
    <m/>
    <n v="7315200"/>
    <m/>
    <n v="7315200"/>
    <n v="7315200"/>
  </r>
  <r>
    <x v="1"/>
    <x v="2"/>
    <x v="7"/>
    <x v="26"/>
    <x v="2"/>
    <x v="2"/>
    <x v="78"/>
    <x v="78"/>
    <x v="656"/>
    <n v="2256000"/>
    <m/>
    <n v="3384000"/>
    <m/>
    <n v="3384000"/>
    <n v="5076000"/>
    <m/>
    <n v="5076000"/>
  </r>
  <r>
    <x v="1"/>
    <x v="2"/>
    <x v="7"/>
    <x v="26"/>
    <x v="2"/>
    <x v="2"/>
    <x v="78"/>
    <x v="78"/>
    <x v="657"/>
    <n v="1841800"/>
    <m/>
    <n v="2762700"/>
    <m/>
    <n v="2762700"/>
    <m/>
    <n v="2762700"/>
    <n v="2762700"/>
  </r>
  <r>
    <x v="1"/>
    <x v="2"/>
    <x v="7"/>
    <x v="26"/>
    <x v="5"/>
    <x v="4"/>
    <x v="78"/>
    <x v="78"/>
    <x v="658"/>
    <n v="7480800"/>
    <n v="14961600"/>
    <m/>
    <m/>
    <n v="14961600"/>
    <m/>
    <n v="14961600"/>
    <n v="14961600"/>
  </r>
  <r>
    <x v="1"/>
    <x v="2"/>
    <x v="7"/>
    <x v="26"/>
    <x v="11"/>
    <x v="8"/>
    <x v="78"/>
    <x v="78"/>
    <x v="659"/>
    <n v="3780000"/>
    <m/>
    <m/>
    <m/>
    <n v="3780000"/>
    <m/>
    <n v="3780000"/>
    <n v="3780000"/>
  </r>
  <r>
    <x v="1"/>
    <x v="2"/>
    <x v="7"/>
    <x v="26"/>
    <x v="3"/>
    <x v="2"/>
    <x v="77"/>
    <x v="77"/>
    <x v="660"/>
    <n v="10203200"/>
    <m/>
    <n v="15304800"/>
    <m/>
    <n v="15304800"/>
    <m/>
    <n v="15304800"/>
    <n v="15304800"/>
  </r>
  <r>
    <x v="1"/>
    <x v="2"/>
    <x v="7"/>
    <x v="26"/>
    <x v="3"/>
    <x v="2"/>
    <x v="77"/>
    <x v="77"/>
    <x v="661"/>
    <n v="2759900"/>
    <m/>
    <n v="4139850"/>
    <m/>
    <n v="4139850"/>
    <n v="6209775"/>
    <m/>
    <n v="6209775"/>
  </r>
  <r>
    <x v="1"/>
    <x v="2"/>
    <x v="7"/>
    <x v="26"/>
    <x v="6"/>
    <x v="5"/>
    <x v="78"/>
    <x v="78"/>
    <x v="662"/>
    <n v="0"/>
    <m/>
    <m/>
    <m/>
    <n v="0"/>
    <m/>
    <n v="0"/>
    <n v="0"/>
  </r>
  <r>
    <x v="1"/>
    <x v="2"/>
    <x v="7"/>
    <x v="27"/>
    <x v="1"/>
    <x v="2"/>
    <x v="79"/>
    <x v="79"/>
    <x v="643"/>
    <n v="2479000"/>
    <m/>
    <m/>
    <m/>
    <n v="2479000"/>
    <n v="3718500"/>
    <m/>
    <n v="3718500"/>
  </r>
  <r>
    <x v="1"/>
    <x v="2"/>
    <x v="7"/>
    <x v="27"/>
    <x v="1"/>
    <x v="2"/>
    <x v="79"/>
    <x v="79"/>
    <x v="663"/>
    <n v="2559800"/>
    <m/>
    <m/>
    <m/>
    <n v="2559800"/>
    <n v="3839700"/>
    <m/>
    <n v="3839700"/>
  </r>
  <r>
    <x v="1"/>
    <x v="2"/>
    <x v="7"/>
    <x v="27"/>
    <x v="1"/>
    <x v="2"/>
    <x v="79"/>
    <x v="79"/>
    <x v="664"/>
    <n v="749900"/>
    <m/>
    <m/>
    <m/>
    <n v="749900"/>
    <m/>
    <n v="749900"/>
    <n v="749900"/>
  </r>
  <r>
    <x v="1"/>
    <x v="2"/>
    <x v="7"/>
    <x v="27"/>
    <x v="1"/>
    <x v="2"/>
    <x v="79"/>
    <x v="79"/>
    <x v="665"/>
    <n v="3500000"/>
    <m/>
    <m/>
    <m/>
    <n v="3500000"/>
    <n v="5250000"/>
    <m/>
    <n v="5250000"/>
  </r>
  <r>
    <x v="1"/>
    <x v="2"/>
    <x v="7"/>
    <x v="27"/>
    <x v="1"/>
    <x v="2"/>
    <x v="79"/>
    <x v="79"/>
    <x v="666"/>
    <n v="2739800"/>
    <m/>
    <m/>
    <m/>
    <n v="2739800"/>
    <m/>
    <n v="2739800"/>
    <n v="2739800"/>
  </r>
  <r>
    <x v="1"/>
    <x v="2"/>
    <x v="7"/>
    <x v="27"/>
    <x v="1"/>
    <x v="2"/>
    <x v="79"/>
    <x v="79"/>
    <x v="667"/>
    <n v="13599000"/>
    <m/>
    <m/>
    <m/>
    <n v="13599000"/>
    <n v="20398500"/>
    <m/>
    <n v="20398500"/>
  </r>
  <r>
    <x v="1"/>
    <x v="2"/>
    <x v="7"/>
    <x v="27"/>
    <x v="1"/>
    <x v="2"/>
    <x v="79"/>
    <x v="79"/>
    <x v="668"/>
    <n v="1155900"/>
    <m/>
    <m/>
    <m/>
    <n v="1155900"/>
    <n v="1733850"/>
    <m/>
    <n v="1733850"/>
  </r>
  <r>
    <x v="1"/>
    <x v="2"/>
    <x v="7"/>
    <x v="27"/>
    <x v="2"/>
    <x v="2"/>
    <x v="79"/>
    <x v="79"/>
    <x v="669"/>
    <n v="2518000"/>
    <m/>
    <n v="3777000"/>
    <m/>
    <n v="3777000"/>
    <n v="5665500"/>
    <m/>
    <n v="5665500"/>
  </r>
  <r>
    <x v="1"/>
    <x v="2"/>
    <x v="7"/>
    <x v="27"/>
    <x v="2"/>
    <x v="2"/>
    <x v="79"/>
    <x v="79"/>
    <x v="670"/>
    <n v="8319600"/>
    <m/>
    <n v="12479400"/>
    <m/>
    <n v="12479400"/>
    <m/>
    <n v="12479400"/>
    <n v="12479400"/>
  </r>
  <r>
    <x v="1"/>
    <x v="2"/>
    <x v="7"/>
    <x v="27"/>
    <x v="2"/>
    <x v="2"/>
    <x v="79"/>
    <x v="79"/>
    <x v="671"/>
    <n v="2039800"/>
    <m/>
    <n v="3059700"/>
    <m/>
    <n v="3059700"/>
    <m/>
    <n v="3059700"/>
    <n v="3059700"/>
  </r>
  <r>
    <x v="1"/>
    <x v="2"/>
    <x v="7"/>
    <x v="28"/>
    <x v="1"/>
    <x v="2"/>
    <x v="80"/>
    <x v="80"/>
    <x v="672"/>
    <n v="2099700"/>
    <m/>
    <m/>
    <m/>
    <n v="2099700"/>
    <m/>
    <n v="2099700"/>
    <n v="2099700"/>
  </r>
  <r>
    <x v="1"/>
    <x v="2"/>
    <x v="7"/>
    <x v="28"/>
    <x v="1"/>
    <x v="2"/>
    <x v="80"/>
    <x v="80"/>
    <x v="673"/>
    <n v="119800"/>
    <m/>
    <m/>
    <m/>
    <n v="119800"/>
    <m/>
    <n v="119800"/>
    <n v="119800"/>
  </r>
  <r>
    <x v="1"/>
    <x v="2"/>
    <x v="7"/>
    <x v="28"/>
    <x v="1"/>
    <x v="2"/>
    <x v="80"/>
    <x v="80"/>
    <x v="674"/>
    <n v="335800"/>
    <m/>
    <m/>
    <m/>
    <n v="335800"/>
    <n v="503700"/>
    <m/>
    <n v="503700"/>
  </r>
  <r>
    <x v="1"/>
    <x v="2"/>
    <x v="7"/>
    <x v="28"/>
    <x v="1"/>
    <x v="2"/>
    <x v="80"/>
    <x v="80"/>
    <x v="675"/>
    <n v="1653800"/>
    <m/>
    <m/>
    <m/>
    <n v="1653800"/>
    <n v="2480700"/>
    <m/>
    <n v="2480700"/>
  </r>
  <r>
    <x v="1"/>
    <x v="2"/>
    <x v="7"/>
    <x v="28"/>
    <x v="2"/>
    <x v="2"/>
    <x v="80"/>
    <x v="80"/>
    <x v="676"/>
    <n v="9793200"/>
    <m/>
    <n v="14689800"/>
    <m/>
    <n v="14689800"/>
    <m/>
    <n v="14689800"/>
    <n v="14689800"/>
  </r>
  <r>
    <x v="1"/>
    <x v="2"/>
    <x v="8"/>
    <x v="29"/>
    <x v="0"/>
    <x v="1"/>
    <x v="81"/>
    <x v="81"/>
    <x v="677"/>
    <s v="-"/>
    <m/>
    <m/>
    <m/>
    <s v="-"/>
    <m/>
    <m/>
    <m/>
  </r>
  <r>
    <x v="1"/>
    <x v="2"/>
    <x v="8"/>
    <x v="29"/>
    <x v="1"/>
    <x v="2"/>
    <x v="82"/>
    <x v="82"/>
    <x v="678"/>
    <n v="776000"/>
    <m/>
    <m/>
    <m/>
    <n v="776000"/>
    <m/>
    <n v="776000"/>
    <n v="776000"/>
  </r>
  <r>
    <x v="1"/>
    <x v="2"/>
    <x v="8"/>
    <x v="29"/>
    <x v="1"/>
    <x v="2"/>
    <x v="82"/>
    <x v="82"/>
    <x v="679"/>
    <n v="1003800"/>
    <m/>
    <m/>
    <m/>
    <n v="1003800"/>
    <m/>
    <n v="1003800"/>
    <n v="1003800"/>
  </r>
  <r>
    <x v="1"/>
    <x v="2"/>
    <x v="8"/>
    <x v="29"/>
    <x v="1"/>
    <x v="2"/>
    <x v="82"/>
    <x v="82"/>
    <x v="680"/>
    <n v="5119600"/>
    <m/>
    <m/>
    <m/>
    <n v="5119600"/>
    <n v="7679400"/>
    <m/>
    <n v="7679400"/>
  </r>
  <r>
    <x v="1"/>
    <x v="2"/>
    <x v="8"/>
    <x v="29"/>
    <x v="1"/>
    <x v="2"/>
    <x v="82"/>
    <x v="82"/>
    <x v="681"/>
    <n v="7019400"/>
    <m/>
    <m/>
    <m/>
    <n v="7019400"/>
    <n v="10529100"/>
    <m/>
    <n v="10529100"/>
  </r>
  <r>
    <x v="1"/>
    <x v="2"/>
    <x v="8"/>
    <x v="29"/>
    <x v="1"/>
    <x v="2"/>
    <x v="82"/>
    <x v="82"/>
    <x v="682"/>
    <n v="719900"/>
    <m/>
    <m/>
    <m/>
    <n v="719900"/>
    <m/>
    <n v="719900"/>
    <n v="719900"/>
  </r>
  <r>
    <x v="1"/>
    <x v="2"/>
    <x v="8"/>
    <x v="29"/>
    <x v="1"/>
    <x v="2"/>
    <x v="82"/>
    <x v="82"/>
    <x v="683"/>
    <n v="3993200"/>
    <m/>
    <m/>
    <m/>
    <n v="3993200"/>
    <m/>
    <n v="3993200"/>
    <n v="3993200"/>
  </r>
  <r>
    <x v="1"/>
    <x v="2"/>
    <x v="8"/>
    <x v="29"/>
    <x v="1"/>
    <x v="2"/>
    <x v="82"/>
    <x v="82"/>
    <x v="665"/>
    <n v="3000000"/>
    <m/>
    <m/>
    <m/>
    <n v="3000000"/>
    <n v="4500000"/>
    <m/>
    <n v="4500000"/>
  </r>
  <r>
    <x v="1"/>
    <x v="2"/>
    <x v="8"/>
    <x v="29"/>
    <x v="1"/>
    <x v="2"/>
    <x v="82"/>
    <x v="82"/>
    <x v="684"/>
    <n v="6215200"/>
    <m/>
    <m/>
    <m/>
    <n v="6215200"/>
    <m/>
    <n v="6215200"/>
    <n v="6215200"/>
  </r>
  <r>
    <x v="1"/>
    <x v="2"/>
    <x v="8"/>
    <x v="29"/>
    <x v="1"/>
    <x v="2"/>
    <x v="82"/>
    <x v="82"/>
    <x v="675"/>
    <n v="3307600"/>
    <m/>
    <m/>
    <m/>
    <n v="3307600"/>
    <n v="4961400"/>
    <m/>
    <n v="4961400"/>
  </r>
  <r>
    <x v="1"/>
    <x v="2"/>
    <x v="8"/>
    <x v="29"/>
    <x v="1"/>
    <x v="2"/>
    <x v="82"/>
    <x v="82"/>
    <x v="685"/>
    <n v="5479600"/>
    <m/>
    <m/>
    <m/>
    <n v="5479600"/>
    <n v="8219400"/>
    <m/>
    <n v="8219400"/>
  </r>
  <r>
    <x v="1"/>
    <x v="2"/>
    <x v="8"/>
    <x v="29"/>
    <x v="1"/>
    <x v="2"/>
    <x v="83"/>
    <x v="83"/>
    <x v="686"/>
    <n v="1081800"/>
    <m/>
    <m/>
    <m/>
    <n v="1081800"/>
    <m/>
    <n v="1081800"/>
    <n v="1081800"/>
  </r>
  <r>
    <x v="1"/>
    <x v="2"/>
    <x v="8"/>
    <x v="29"/>
    <x v="1"/>
    <x v="2"/>
    <x v="83"/>
    <x v="83"/>
    <x v="687"/>
    <n v="3011600"/>
    <m/>
    <m/>
    <m/>
    <n v="3011600"/>
    <m/>
    <n v="3011600"/>
    <n v="3011600"/>
  </r>
  <r>
    <x v="1"/>
    <x v="2"/>
    <x v="8"/>
    <x v="29"/>
    <x v="1"/>
    <x v="2"/>
    <x v="83"/>
    <x v="83"/>
    <x v="688"/>
    <n v="2620700"/>
    <m/>
    <m/>
    <m/>
    <n v="2620700"/>
    <m/>
    <n v="2620700"/>
    <n v="2620700"/>
  </r>
  <r>
    <x v="1"/>
    <x v="2"/>
    <x v="8"/>
    <x v="29"/>
    <x v="1"/>
    <x v="2"/>
    <x v="81"/>
    <x v="81"/>
    <x v="689"/>
    <n v="1399800"/>
    <m/>
    <m/>
    <m/>
    <n v="1399800"/>
    <m/>
    <n v="1399800"/>
    <n v="1399800"/>
  </r>
  <r>
    <x v="1"/>
    <x v="2"/>
    <x v="8"/>
    <x v="29"/>
    <x v="1"/>
    <x v="2"/>
    <x v="81"/>
    <x v="81"/>
    <x v="690"/>
    <n v="1299800"/>
    <m/>
    <m/>
    <m/>
    <n v="1299800"/>
    <n v="1949700"/>
    <m/>
    <n v="1949700"/>
  </r>
  <r>
    <x v="1"/>
    <x v="2"/>
    <x v="8"/>
    <x v="29"/>
    <x v="1"/>
    <x v="2"/>
    <x v="81"/>
    <x v="81"/>
    <x v="691"/>
    <n v="2579400"/>
    <m/>
    <m/>
    <m/>
    <n v="2579400"/>
    <m/>
    <n v="2579400"/>
    <n v="2579400"/>
  </r>
  <r>
    <x v="1"/>
    <x v="2"/>
    <x v="8"/>
    <x v="29"/>
    <x v="1"/>
    <x v="2"/>
    <x v="81"/>
    <x v="81"/>
    <x v="692"/>
    <n v="2831400"/>
    <m/>
    <m/>
    <m/>
    <n v="2831400"/>
    <m/>
    <n v="2831400"/>
    <n v="2831400"/>
  </r>
  <r>
    <x v="1"/>
    <x v="2"/>
    <x v="8"/>
    <x v="29"/>
    <x v="1"/>
    <x v="2"/>
    <x v="81"/>
    <x v="81"/>
    <x v="693"/>
    <n v="3199600"/>
    <m/>
    <m/>
    <m/>
    <n v="3199600"/>
    <n v="4799400"/>
    <m/>
    <n v="4799400"/>
  </r>
  <r>
    <x v="1"/>
    <x v="2"/>
    <x v="8"/>
    <x v="29"/>
    <x v="1"/>
    <x v="2"/>
    <x v="81"/>
    <x v="81"/>
    <x v="694"/>
    <n v="2039600"/>
    <m/>
    <m/>
    <m/>
    <n v="2039600"/>
    <n v="3059400"/>
    <m/>
    <n v="3059400"/>
  </r>
  <r>
    <x v="1"/>
    <x v="2"/>
    <x v="8"/>
    <x v="29"/>
    <x v="1"/>
    <x v="2"/>
    <x v="81"/>
    <x v="81"/>
    <x v="695"/>
    <n v="2429700"/>
    <m/>
    <m/>
    <m/>
    <n v="2429700"/>
    <m/>
    <n v="2429700"/>
    <n v="2429700"/>
  </r>
  <r>
    <x v="1"/>
    <x v="2"/>
    <x v="8"/>
    <x v="29"/>
    <x v="2"/>
    <x v="2"/>
    <x v="82"/>
    <x v="82"/>
    <x v="696"/>
    <n v="9458120"/>
    <m/>
    <n v="14187180"/>
    <m/>
    <n v="14187180"/>
    <n v="21280770"/>
    <m/>
    <n v="21280770"/>
  </r>
  <r>
    <x v="1"/>
    <x v="2"/>
    <x v="8"/>
    <x v="29"/>
    <x v="2"/>
    <x v="2"/>
    <x v="82"/>
    <x v="82"/>
    <x v="697"/>
    <n v="1999800"/>
    <m/>
    <n v="2999700"/>
    <m/>
    <n v="2999700"/>
    <m/>
    <n v="2999700"/>
    <n v="2999700"/>
  </r>
  <r>
    <x v="1"/>
    <x v="2"/>
    <x v="8"/>
    <x v="29"/>
    <x v="2"/>
    <x v="2"/>
    <x v="82"/>
    <x v="82"/>
    <x v="698"/>
    <n v="2419800"/>
    <m/>
    <n v="3629700"/>
    <m/>
    <n v="3629700"/>
    <m/>
    <n v="3629700"/>
    <n v="3629700"/>
  </r>
  <r>
    <x v="1"/>
    <x v="2"/>
    <x v="8"/>
    <x v="29"/>
    <x v="2"/>
    <x v="2"/>
    <x v="81"/>
    <x v="81"/>
    <x v="699"/>
    <n v="6110000"/>
    <m/>
    <n v="9165000"/>
    <m/>
    <n v="9165000"/>
    <n v="13747500"/>
    <m/>
    <n v="13747500"/>
  </r>
  <r>
    <x v="1"/>
    <x v="2"/>
    <x v="8"/>
    <x v="29"/>
    <x v="2"/>
    <x v="2"/>
    <x v="81"/>
    <x v="81"/>
    <x v="79"/>
    <n v="13381600"/>
    <m/>
    <n v="20072400"/>
    <m/>
    <n v="20072400"/>
    <n v="30108600"/>
    <m/>
    <n v="30108600"/>
  </r>
  <r>
    <x v="1"/>
    <x v="2"/>
    <x v="8"/>
    <x v="29"/>
    <x v="2"/>
    <x v="2"/>
    <x v="81"/>
    <x v="81"/>
    <x v="700"/>
    <n v="6590800"/>
    <m/>
    <n v="9886200"/>
    <m/>
    <n v="9886200"/>
    <m/>
    <n v="9886200"/>
    <n v="9886200"/>
  </r>
  <r>
    <x v="1"/>
    <x v="2"/>
    <x v="8"/>
    <x v="29"/>
    <x v="3"/>
    <x v="2"/>
    <x v="82"/>
    <x v="82"/>
    <x v="701"/>
    <n v="5249700"/>
    <m/>
    <n v="7874550"/>
    <m/>
    <n v="7874550"/>
    <m/>
    <n v="7874550"/>
    <n v="7874550"/>
  </r>
  <r>
    <x v="1"/>
    <x v="2"/>
    <x v="8"/>
    <x v="30"/>
    <x v="1"/>
    <x v="2"/>
    <x v="84"/>
    <x v="84"/>
    <x v="702"/>
    <n v="1399800"/>
    <m/>
    <m/>
    <m/>
    <n v="1399800"/>
    <m/>
    <n v="1399800"/>
    <n v="1399800"/>
  </r>
  <r>
    <x v="1"/>
    <x v="2"/>
    <x v="8"/>
    <x v="30"/>
    <x v="1"/>
    <x v="2"/>
    <x v="84"/>
    <x v="84"/>
    <x v="703"/>
    <n v="2659800"/>
    <m/>
    <m/>
    <m/>
    <n v="2659800"/>
    <m/>
    <n v="2659800"/>
    <n v="2659800"/>
  </r>
  <r>
    <x v="1"/>
    <x v="2"/>
    <x v="8"/>
    <x v="30"/>
    <x v="1"/>
    <x v="2"/>
    <x v="84"/>
    <x v="84"/>
    <x v="704"/>
    <n v="2799800"/>
    <m/>
    <m/>
    <m/>
    <n v="2799800"/>
    <m/>
    <n v="2799800"/>
    <n v="2799800"/>
  </r>
  <r>
    <x v="1"/>
    <x v="2"/>
    <x v="8"/>
    <x v="30"/>
    <x v="2"/>
    <x v="2"/>
    <x v="84"/>
    <x v="84"/>
    <x v="705"/>
    <n v="2882700"/>
    <m/>
    <n v="4324050"/>
    <m/>
    <n v="4324050"/>
    <m/>
    <n v="4324050"/>
    <n v="4324050"/>
  </r>
  <r>
    <x v="1"/>
    <x v="2"/>
    <x v="8"/>
    <x v="30"/>
    <x v="2"/>
    <x v="2"/>
    <x v="84"/>
    <x v="84"/>
    <x v="706"/>
    <n v="2299800"/>
    <m/>
    <n v="3449700"/>
    <m/>
    <n v="3449700"/>
    <n v="5174550"/>
    <m/>
    <n v="5174550"/>
  </r>
  <r>
    <x v="1"/>
    <x v="2"/>
    <x v="8"/>
    <x v="30"/>
    <x v="2"/>
    <x v="2"/>
    <x v="84"/>
    <x v="84"/>
    <x v="707"/>
    <n v="2659800"/>
    <m/>
    <n v="3989700"/>
    <m/>
    <n v="3989700"/>
    <m/>
    <n v="3989700"/>
    <n v="3989700"/>
  </r>
  <r>
    <x v="1"/>
    <x v="2"/>
    <x v="8"/>
    <x v="30"/>
    <x v="2"/>
    <x v="2"/>
    <x v="84"/>
    <x v="84"/>
    <x v="708"/>
    <n v="2619800"/>
    <m/>
    <n v="3929700"/>
    <m/>
    <n v="3929700"/>
    <n v="5894550"/>
    <m/>
    <n v="5894550"/>
  </r>
  <r>
    <x v="1"/>
    <x v="2"/>
    <x v="8"/>
    <x v="30"/>
    <x v="3"/>
    <x v="2"/>
    <x v="84"/>
    <x v="84"/>
    <x v="709"/>
    <n v="3499800"/>
    <m/>
    <n v="5249700"/>
    <m/>
    <n v="5249700"/>
    <m/>
    <n v="5249700"/>
    <n v="5249700"/>
  </r>
  <r>
    <x v="1"/>
    <x v="2"/>
    <x v="8"/>
    <x v="31"/>
    <x v="0"/>
    <x v="1"/>
    <x v="85"/>
    <x v="85"/>
    <x v="710"/>
    <s v="-"/>
    <m/>
    <m/>
    <m/>
    <s v="-"/>
    <m/>
    <m/>
    <m/>
  </r>
  <r>
    <x v="1"/>
    <x v="2"/>
    <x v="8"/>
    <x v="31"/>
    <x v="1"/>
    <x v="2"/>
    <x v="85"/>
    <x v="85"/>
    <x v="711"/>
    <n v="995200"/>
    <m/>
    <m/>
    <m/>
    <n v="995200"/>
    <n v="1492800"/>
    <m/>
    <n v="1492800"/>
  </r>
  <r>
    <x v="1"/>
    <x v="2"/>
    <x v="8"/>
    <x v="31"/>
    <x v="1"/>
    <x v="2"/>
    <x v="85"/>
    <x v="85"/>
    <x v="712"/>
    <n v="2763600"/>
    <m/>
    <m/>
    <m/>
    <n v="2763600"/>
    <m/>
    <n v="2763600"/>
    <n v="2763600"/>
  </r>
  <r>
    <x v="1"/>
    <x v="2"/>
    <x v="8"/>
    <x v="31"/>
    <x v="1"/>
    <x v="2"/>
    <x v="85"/>
    <x v="85"/>
    <x v="713"/>
    <n v="3719400"/>
    <m/>
    <m/>
    <m/>
    <n v="3719400"/>
    <m/>
    <n v="3719400"/>
    <n v="3719400"/>
  </r>
  <r>
    <x v="1"/>
    <x v="2"/>
    <x v="8"/>
    <x v="31"/>
    <x v="1"/>
    <x v="2"/>
    <x v="85"/>
    <x v="85"/>
    <x v="714"/>
    <n v="802900"/>
    <m/>
    <m/>
    <m/>
    <n v="802900"/>
    <m/>
    <n v="802900"/>
    <n v="802900"/>
  </r>
  <r>
    <x v="1"/>
    <x v="2"/>
    <x v="8"/>
    <x v="31"/>
    <x v="1"/>
    <x v="2"/>
    <x v="85"/>
    <x v="85"/>
    <x v="715"/>
    <n v="2099700"/>
    <m/>
    <m/>
    <m/>
    <n v="2099700"/>
    <n v="3149550"/>
    <m/>
    <n v="3149550"/>
  </r>
  <r>
    <x v="1"/>
    <x v="2"/>
    <x v="8"/>
    <x v="31"/>
    <x v="1"/>
    <x v="2"/>
    <x v="85"/>
    <x v="85"/>
    <x v="716"/>
    <n v="2219800"/>
    <m/>
    <m/>
    <m/>
    <n v="2219800"/>
    <n v="3329700"/>
    <m/>
    <n v="3329700"/>
  </r>
  <r>
    <x v="1"/>
    <x v="2"/>
    <x v="8"/>
    <x v="31"/>
    <x v="1"/>
    <x v="2"/>
    <x v="85"/>
    <x v="85"/>
    <x v="668"/>
    <n v="2411800"/>
    <m/>
    <m/>
    <m/>
    <n v="2411800"/>
    <n v="3617700"/>
    <m/>
    <n v="3617700"/>
  </r>
  <r>
    <x v="1"/>
    <x v="2"/>
    <x v="8"/>
    <x v="31"/>
    <x v="2"/>
    <x v="2"/>
    <x v="85"/>
    <x v="85"/>
    <x v="717"/>
    <n v="5199600"/>
    <m/>
    <n v="7799400"/>
    <m/>
    <n v="7799400"/>
    <n v="11699100"/>
    <m/>
    <n v="11699100"/>
  </r>
  <r>
    <x v="1"/>
    <x v="2"/>
    <x v="8"/>
    <x v="31"/>
    <x v="2"/>
    <x v="2"/>
    <x v="85"/>
    <x v="85"/>
    <x v="718"/>
    <n v="5719600"/>
    <m/>
    <n v="8579400"/>
    <m/>
    <n v="8579400"/>
    <m/>
    <n v="8579400"/>
    <n v="8579400"/>
  </r>
  <r>
    <x v="1"/>
    <x v="2"/>
    <x v="8"/>
    <x v="31"/>
    <x v="2"/>
    <x v="2"/>
    <x v="85"/>
    <x v="85"/>
    <x v="719"/>
    <n v="4049700"/>
    <m/>
    <n v="6074550"/>
    <m/>
    <n v="6074550"/>
    <m/>
    <n v="6074550"/>
    <n v="6074550"/>
  </r>
  <r>
    <x v="1"/>
    <x v="2"/>
    <x v="8"/>
    <x v="31"/>
    <x v="3"/>
    <x v="2"/>
    <x v="85"/>
    <x v="85"/>
    <x v="720"/>
    <n v="4767600"/>
    <m/>
    <n v="7151400"/>
    <m/>
    <n v="7151400"/>
    <n v="10727100"/>
    <m/>
    <n v="10727100"/>
  </r>
  <r>
    <x v="1"/>
    <x v="2"/>
    <x v="8"/>
    <x v="32"/>
    <x v="0"/>
    <x v="1"/>
    <x v="86"/>
    <x v="86"/>
    <x v="721"/>
    <s v="-"/>
    <m/>
    <m/>
    <m/>
    <s v="-"/>
    <m/>
    <m/>
    <m/>
  </r>
  <r>
    <x v="1"/>
    <x v="2"/>
    <x v="8"/>
    <x v="32"/>
    <x v="1"/>
    <x v="2"/>
    <x v="86"/>
    <x v="86"/>
    <x v="722"/>
    <n v="2766000"/>
    <m/>
    <m/>
    <m/>
    <n v="2766000"/>
    <m/>
    <n v="2766000"/>
    <n v="2766000"/>
  </r>
  <r>
    <x v="1"/>
    <x v="2"/>
    <x v="8"/>
    <x v="32"/>
    <x v="1"/>
    <x v="2"/>
    <x v="86"/>
    <x v="86"/>
    <x v="723"/>
    <n v="2455000"/>
    <m/>
    <m/>
    <m/>
    <n v="2455000"/>
    <m/>
    <n v="2455000"/>
    <n v="2455000"/>
  </r>
  <r>
    <x v="1"/>
    <x v="2"/>
    <x v="8"/>
    <x v="32"/>
    <x v="2"/>
    <x v="2"/>
    <x v="86"/>
    <x v="86"/>
    <x v="724"/>
    <n v="4736700"/>
    <m/>
    <n v="7105050"/>
    <m/>
    <n v="7105050"/>
    <m/>
    <n v="7105050"/>
    <n v="7105050"/>
  </r>
  <r>
    <x v="1"/>
    <x v="2"/>
    <x v="8"/>
    <x v="32"/>
    <x v="2"/>
    <x v="2"/>
    <x v="86"/>
    <x v="86"/>
    <x v="725"/>
    <n v="2536000"/>
    <m/>
    <n v="3804000"/>
    <m/>
    <n v="3804000"/>
    <m/>
    <n v="3804000"/>
    <n v="3804000"/>
  </r>
  <r>
    <x v="1"/>
    <x v="2"/>
    <x v="8"/>
    <x v="32"/>
    <x v="2"/>
    <x v="2"/>
    <x v="86"/>
    <x v="86"/>
    <x v="726"/>
    <n v="5805000"/>
    <m/>
    <n v="8707500"/>
    <m/>
    <n v="8707500"/>
    <m/>
    <n v="8707500"/>
    <n v="8707500"/>
  </r>
  <r>
    <x v="1"/>
    <x v="2"/>
    <x v="9"/>
    <x v="33"/>
    <x v="1"/>
    <x v="2"/>
    <x v="87"/>
    <x v="87"/>
    <x v="727"/>
    <n v="6379600"/>
    <m/>
    <m/>
    <m/>
    <n v="6379600"/>
    <m/>
    <n v="6379600"/>
    <n v="6379600"/>
  </r>
  <r>
    <x v="1"/>
    <x v="2"/>
    <x v="9"/>
    <x v="33"/>
    <x v="1"/>
    <x v="2"/>
    <x v="87"/>
    <x v="87"/>
    <x v="728"/>
    <n v="2798000"/>
    <m/>
    <m/>
    <m/>
    <n v="2798000"/>
    <m/>
    <n v="2798000"/>
    <n v="2798000"/>
  </r>
  <r>
    <x v="1"/>
    <x v="2"/>
    <x v="9"/>
    <x v="34"/>
    <x v="1"/>
    <x v="2"/>
    <x v="88"/>
    <x v="88"/>
    <x v="729"/>
    <n v="2159800"/>
    <m/>
    <m/>
    <m/>
    <n v="2159800"/>
    <n v="3239700"/>
    <m/>
    <n v="3239700"/>
  </r>
  <r>
    <x v="1"/>
    <x v="2"/>
    <x v="9"/>
    <x v="34"/>
    <x v="1"/>
    <x v="2"/>
    <x v="88"/>
    <x v="88"/>
    <x v="730"/>
    <n v="519800"/>
    <m/>
    <m/>
    <m/>
    <n v="519800"/>
    <m/>
    <n v="519800"/>
    <n v="519800"/>
  </r>
  <r>
    <x v="1"/>
    <x v="2"/>
    <x v="9"/>
    <x v="34"/>
    <x v="1"/>
    <x v="2"/>
    <x v="88"/>
    <x v="88"/>
    <x v="731"/>
    <n v="1153800"/>
    <m/>
    <m/>
    <m/>
    <n v="1153800"/>
    <m/>
    <n v="1153800"/>
    <n v="1153800"/>
  </r>
  <r>
    <x v="1"/>
    <x v="2"/>
    <x v="9"/>
    <x v="34"/>
    <x v="1"/>
    <x v="2"/>
    <x v="88"/>
    <x v="88"/>
    <x v="732"/>
    <n v="949000"/>
    <m/>
    <m/>
    <m/>
    <n v="949000"/>
    <n v="1423500"/>
    <m/>
    <n v="1423500"/>
  </r>
  <r>
    <x v="1"/>
    <x v="2"/>
    <x v="9"/>
    <x v="34"/>
    <x v="1"/>
    <x v="2"/>
    <x v="89"/>
    <x v="89"/>
    <x v="733"/>
    <n v="2821800"/>
    <m/>
    <m/>
    <m/>
    <n v="2821800"/>
    <m/>
    <n v="2821800"/>
    <n v="2821800"/>
  </r>
  <r>
    <x v="1"/>
    <x v="2"/>
    <x v="9"/>
    <x v="34"/>
    <x v="1"/>
    <x v="2"/>
    <x v="89"/>
    <x v="89"/>
    <x v="734"/>
    <n v="2043600"/>
    <m/>
    <m/>
    <m/>
    <n v="2043600"/>
    <n v="3065400"/>
    <m/>
    <n v="3065400"/>
  </r>
  <r>
    <x v="1"/>
    <x v="2"/>
    <x v="9"/>
    <x v="34"/>
    <x v="1"/>
    <x v="2"/>
    <x v="89"/>
    <x v="89"/>
    <x v="735"/>
    <n v="4651600"/>
    <m/>
    <m/>
    <m/>
    <n v="4651600"/>
    <m/>
    <n v="4651600"/>
    <n v="4651600"/>
  </r>
  <r>
    <x v="1"/>
    <x v="2"/>
    <x v="9"/>
    <x v="34"/>
    <x v="1"/>
    <x v="2"/>
    <x v="89"/>
    <x v="89"/>
    <x v="736"/>
    <n v="4749500"/>
    <m/>
    <m/>
    <m/>
    <n v="4749500"/>
    <m/>
    <n v="4749500"/>
    <n v="4749500"/>
  </r>
  <r>
    <x v="1"/>
    <x v="2"/>
    <x v="9"/>
    <x v="34"/>
    <x v="1"/>
    <x v="2"/>
    <x v="89"/>
    <x v="89"/>
    <x v="737"/>
    <n v="2429700"/>
    <m/>
    <m/>
    <m/>
    <n v="2429700"/>
    <m/>
    <n v="2429700"/>
    <n v="2429700"/>
  </r>
  <r>
    <x v="1"/>
    <x v="2"/>
    <x v="9"/>
    <x v="34"/>
    <x v="1"/>
    <x v="2"/>
    <x v="89"/>
    <x v="89"/>
    <x v="738"/>
    <n v="15899000"/>
    <m/>
    <m/>
    <m/>
    <n v="15899000"/>
    <m/>
    <n v="15899000"/>
    <n v="15899000"/>
  </r>
  <r>
    <x v="1"/>
    <x v="2"/>
    <x v="9"/>
    <x v="34"/>
    <x v="2"/>
    <x v="2"/>
    <x v="88"/>
    <x v="88"/>
    <x v="739"/>
    <n v="5199600"/>
    <m/>
    <n v="7799400"/>
    <m/>
    <n v="7799400"/>
    <n v="11699100"/>
    <m/>
    <n v="11699100"/>
  </r>
  <r>
    <x v="1"/>
    <x v="2"/>
    <x v="9"/>
    <x v="34"/>
    <x v="2"/>
    <x v="2"/>
    <x v="89"/>
    <x v="89"/>
    <x v="740"/>
    <n v="3799800"/>
    <m/>
    <n v="5699700"/>
    <m/>
    <n v="5699700"/>
    <m/>
    <n v="5699700"/>
    <n v="5699700"/>
  </r>
  <r>
    <x v="1"/>
    <x v="2"/>
    <x v="9"/>
    <x v="34"/>
    <x v="2"/>
    <x v="2"/>
    <x v="89"/>
    <x v="89"/>
    <x v="741"/>
    <n v="5020000"/>
    <m/>
    <n v="7530000"/>
    <m/>
    <n v="7530000"/>
    <n v="11295000"/>
    <m/>
    <n v="11295000"/>
  </r>
  <r>
    <x v="1"/>
    <x v="2"/>
    <x v="9"/>
    <x v="34"/>
    <x v="3"/>
    <x v="2"/>
    <x v="88"/>
    <x v="88"/>
    <x v="742"/>
    <n v="2319600"/>
    <m/>
    <n v="3479400"/>
    <m/>
    <n v="3479400"/>
    <m/>
    <n v="3479400"/>
    <n v="3479400"/>
  </r>
  <r>
    <x v="1"/>
    <x v="2"/>
    <x v="9"/>
    <x v="34"/>
    <x v="9"/>
    <x v="1"/>
    <x v="89"/>
    <x v="89"/>
    <x v="743"/>
    <s v="-"/>
    <m/>
    <m/>
    <m/>
    <s v="-"/>
    <m/>
    <m/>
    <m/>
  </r>
  <r>
    <x v="1"/>
    <x v="2"/>
    <x v="9"/>
    <x v="35"/>
    <x v="1"/>
    <x v="2"/>
    <x v="90"/>
    <x v="90"/>
    <x v="744"/>
    <n v="2463000"/>
    <m/>
    <m/>
    <m/>
    <n v="2463000"/>
    <m/>
    <n v="2463000"/>
    <n v="2463000"/>
  </r>
  <r>
    <x v="1"/>
    <x v="2"/>
    <x v="9"/>
    <x v="35"/>
    <x v="1"/>
    <x v="2"/>
    <x v="90"/>
    <x v="90"/>
    <x v="745"/>
    <n v="5045400"/>
    <m/>
    <m/>
    <m/>
    <n v="5045400"/>
    <m/>
    <n v="5045400"/>
    <n v="5045400"/>
  </r>
  <r>
    <x v="1"/>
    <x v="2"/>
    <x v="9"/>
    <x v="35"/>
    <x v="1"/>
    <x v="2"/>
    <x v="90"/>
    <x v="90"/>
    <x v="58"/>
    <n v="4499600"/>
    <m/>
    <m/>
    <m/>
    <n v="4499600"/>
    <n v="6749400"/>
    <m/>
    <n v="6749400"/>
  </r>
  <r>
    <x v="1"/>
    <x v="2"/>
    <x v="9"/>
    <x v="35"/>
    <x v="1"/>
    <x v="2"/>
    <x v="90"/>
    <x v="90"/>
    <x v="729"/>
    <n v="3359700"/>
    <m/>
    <m/>
    <m/>
    <n v="3359700"/>
    <n v="5039550"/>
    <m/>
    <n v="5039550"/>
  </r>
  <r>
    <x v="1"/>
    <x v="2"/>
    <x v="9"/>
    <x v="35"/>
    <x v="1"/>
    <x v="2"/>
    <x v="90"/>
    <x v="90"/>
    <x v="746"/>
    <n v="1649700"/>
    <m/>
    <m/>
    <m/>
    <n v="1649700"/>
    <m/>
    <n v="1649700"/>
    <n v="1649700"/>
  </r>
  <r>
    <x v="1"/>
    <x v="2"/>
    <x v="9"/>
    <x v="35"/>
    <x v="1"/>
    <x v="2"/>
    <x v="90"/>
    <x v="90"/>
    <x v="747"/>
    <n v="2417400"/>
    <m/>
    <m/>
    <m/>
    <n v="2417400"/>
    <m/>
    <n v="2417400"/>
    <n v="2417400"/>
  </r>
  <r>
    <x v="1"/>
    <x v="2"/>
    <x v="9"/>
    <x v="35"/>
    <x v="1"/>
    <x v="2"/>
    <x v="90"/>
    <x v="90"/>
    <x v="748"/>
    <n v="16098600"/>
    <m/>
    <m/>
    <m/>
    <n v="16098600"/>
    <n v="24147900"/>
    <m/>
    <n v="24147900"/>
  </r>
  <r>
    <x v="1"/>
    <x v="2"/>
    <x v="9"/>
    <x v="35"/>
    <x v="1"/>
    <x v="2"/>
    <x v="90"/>
    <x v="90"/>
    <x v="749"/>
    <n v="1179900"/>
    <m/>
    <m/>
    <m/>
    <n v="1179900"/>
    <n v="1769850"/>
    <m/>
    <n v="1769850"/>
  </r>
  <r>
    <x v="1"/>
    <x v="2"/>
    <x v="9"/>
    <x v="35"/>
    <x v="1"/>
    <x v="2"/>
    <x v="90"/>
    <x v="90"/>
    <x v="750"/>
    <n v="2179800"/>
    <m/>
    <m/>
    <m/>
    <n v="2179800"/>
    <m/>
    <n v="2179800"/>
    <n v="2179800"/>
  </r>
  <r>
    <x v="1"/>
    <x v="2"/>
    <x v="9"/>
    <x v="35"/>
    <x v="2"/>
    <x v="2"/>
    <x v="90"/>
    <x v="90"/>
    <x v="751"/>
    <n v="3161800"/>
    <m/>
    <n v="4742700"/>
    <m/>
    <n v="4742700"/>
    <n v="7114050"/>
    <m/>
    <n v="7114050"/>
  </r>
  <r>
    <x v="1"/>
    <x v="2"/>
    <x v="9"/>
    <x v="35"/>
    <x v="2"/>
    <x v="2"/>
    <x v="90"/>
    <x v="90"/>
    <x v="752"/>
    <n v="2613000"/>
    <m/>
    <n v="3919500"/>
    <m/>
    <n v="3919500"/>
    <m/>
    <n v="3919500"/>
    <n v="3919500"/>
  </r>
  <r>
    <x v="1"/>
    <x v="2"/>
    <x v="9"/>
    <x v="35"/>
    <x v="3"/>
    <x v="2"/>
    <x v="90"/>
    <x v="90"/>
    <x v="753"/>
    <n v="15317100"/>
    <m/>
    <n v="22975650"/>
    <m/>
    <n v="22975650"/>
    <m/>
    <n v="22975650"/>
    <n v="22975650"/>
  </r>
  <r>
    <x v="1"/>
    <x v="2"/>
    <x v="10"/>
    <x v="36"/>
    <x v="1"/>
    <x v="2"/>
    <x v="91"/>
    <x v="91"/>
    <x v="754"/>
    <n v="2239500"/>
    <m/>
    <m/>
    <m/>
    <n v="2239500"/>
    <m/>
    <n v="2239500"/>
    <n v="2239500"/>
  </r>
  <r>
    <x v="1"/>
    <x v="2"/>
    <x v="10"/>
    <x v="36"/>
    <x v="1"/>
    <x v="2"/>
    <x v="91"/>
    <x v="91"/>
    <x v="755"/>
    <n v="1963600"/>
    <m/>
    <m/>
    <m/>
    <n v="1963600"/>
    <m/>
    <n v="1963600"/>
    <n v="1963600"/>
  </r>
  <r>
    <x v="1"/>
    <x v="2"/>
    <x v="10"/>
    <x v="36"/>
    <x v="1"/>
    <x v="2"/>
    <x v="91"/>
    <x v="91"/>
    <x v="756"/>
    <n v="2763600"/>
    <m/>
    <m/>
    <m/>
    <n v="2763600"/>
    <m/>
    <n v="2763600"/>
    <n v="2763600"/>
  </r>
  <r>
    <x v="1"/>
    <x v="2"/>
    <x v="10"/>
    <x v="36"/>
    <x v="1"/>
    <x v="2"/>
    <x v="91"/>
    <x v="91"/>
    <x v="757"/>
    <n v="2957400"/>
    <m/>
    <m/>
    <m/>
    <n v="2957400"/>
    <m/>
    <n v="2957400"/>
    <n v="2957400"/>
  </r>
  <r>
    <x v="1"/>
    <x v="2"/>
    <x v="10"/>
    <x v="36"/>
    <x v="1"/>
    <x v="2"/>
    <x v="91"/>
    <x v="91"/>
    <x v="758"/>
    <n v="599900"/>
    <m/>
    <m/>
    <m/>
    <n v="599900"/>
    <n v="899850"/>
    <m/>
    <n v="899850"/>
  </r>
  <r>
    <x v="1"/>
    <x v="2"/>
    <x v="10"/>
    <x v="36"/>
    <x v="1"/>
    <x v="2"/>
    <x v="91"/>
    <x v="91"/>
    <x v="759"/>
    <n v="8454110"/>
    <m/>
    <m/>
    <m/>
    <n v="8454110"/>
    <m/>
    <n v="8454110"/>
    <n v="8454110"/>
  </r>
  <r>
    <x v="1"/>
    <x v="2"/>
    <x v="10"/>
    <x v="36"/>
    <x v="1"/>
    <x v="2"/>
    <x v="91"/>
    <x v="91"/>
    <x v="760"/>
    <n v="4023600"/>
    <m/>
    <m/>
    <m/>
    <n v="4023600"/>
    <m/>
    <n v="4023600"/>
    <n v="4023600"/>
  </r>
  <r>
    <x v="1"/>
    <x v="2"/>
    <x v="10"/>
    <x v="36"/>
    <x v="1"/>
    <x v="2"/>
    <x v="91"/>
    <x v="91"/>
    <x v="761"/>
    <n v="2599800"/>
    <m/>
    <m/>
    <m/>
    <n v="2599800"/>
    <m/>
    <n v="2599800"/>
    <n v="2599800"/>
  </r>
  <r>
    <x v="1"/>
    <x v="2"/>
    <x v="10"/>
    <x v="36"/>
    <x v="1"/>
    <x v="2"/>
    <x v="92"/>
    <x v="92"/>
    <x v="762"/>
    <n v="2315600"/>
    <m/>
    <m/>
    <m/>
    <n v="2315600"/>
    <n v="3473400"/>
    <m/>
    <n v="3473400"/>
  </r>
  <r>
    <x v="1"/>
    <x v="2"/>
    <x v="10"/>
    <x v="36"/>
    <x v="1"/>
    <x v="2"/>
    <x v="92"/>
    <x v="92"/>
    <x v="763"/>
    <n v="2334300"/>
    <m/>
    <m/>
    <m/>
    <n v="2334300"/>
    <n v="3501450"/>
    <m/>
    <n v="3501450"/>
  </r>
  <r>
    <x v="1"/>
    <x v="2"/>
    <x v="10"/>
    <x v="36"/>
    <x v="1"/>
    <x v="2"/>
    <x v="92"/>
    <x v="92"/>
    <x v="764"/>
    <n v="4799400"/>
    <m/>
    <m/>
    <m/>
    <n v="4799400"/>
    <m/>
    <n v="4799400"/>
    <n v="4799400"/>
  </r>
  <r>
    <x v="1"/>
    <x v="2"/>
    <x v="10"/>
    <x v="36"/>
    <x v="1"/>
    <x v="2"/>
    <x v="92"/>
    <x v="92"/>
    <x v="765"/>
    <n v="3004500"/>
    <m/>
    <m/>
    <m/>
    <n v="3004500"/>
    <n v="4506750"/>
    <m/>
    <n v="4506750"/>
  </r>
  <r>
    <x v="1"/>
    <x v="2"/>
    <x v="10"/>
    <x v="36"/>
    <x v="1"/>
    <x v="2"/>
    <x v="92"/>
    <x v="92"/>
    <x v="766"/>
    <n v="2281800"/>
    <m/>
    <m/>
    <m/>
    <n v="2281800"/>
    <m/>
    <n v="2281800"/>
    <n v="2281800"/>
  </r>
  <r>
    <x v="1"/>
    <x v="2"/>
    <x v="10"/>
    <x v="36"/>
    <x v="1"/>
    <x v="2"/>
    <x v="92"/>
    <x v="92"/>
    <x v="767"/>
    <n v="1281800"/>
    <m/>
    <m/>
    <m/>
    <n v="1281800"/>
    <n v="1922700"/>
    <m/>
    <n v="1922700"/>
  </r>
  <r>
    <x v="1"/>
    <x v="2"/>
    <x v="10"/>
    <x v="36"/>
    <x v="1"/>
    <x v="2"/>
    <x v="92"/>
    <x v="92"/>
    <x v="768"/>
    <n v="10778900"/>
    <m/>
    <m/>
    <m/>
    <n v="10778900"/>
    <m/>
    <n v="10778900"/>
    <n v="10778900"/>
  </r>
  <r>
    <x v="1"/>
    <x v="2"/>
    <x v="10"/>
    <x v="36"/>
    <x v="1"/>
    <x v="2"/>
    <x v="92"/>
    <x v="92"/>
    <x v="769"/>
    <n v="4593200"/>
    <m/>
    <m/>
    <m/>
    <n v="4593200"/>
    <n v="6889800"/>
    <m/>
    <n v="6889800"/>
  </r>
  <r>
    <x v="1"/>
    <x v="2"/>
    <x v="10"/>
    <x v="36"/>
    <x v="1"/>
    <x v="2"/>
    <x v="92"/>
    <x v="92"/>
    <x v="770"/>
    <n v="1419500"/>
    <m/>
    <m/>
    <m/>
    <n v="1419500"/>
    <m/>
    <n v="1419500"/>
    <n v="1419500"/>
  </r>
  <r>
    <x v="1"/>
    <x v="2"/>
    <x v="10"/>
    <x v="36"/>
    <x v="1"/>
    <x v="2"/>
    <x v="92"/>
    <x v="92"/>
    <x v="771"/>
    <n v="1549500"/>
    <m/>
    <m/>
    <m/>
    <n v="1549500"/>
    <n v="2324250"/>
    <m/>
    <n v="2324250"/>
  </r>
  <r>
    <x v="1"/>
    <x v="2"/>
    <x v="10"/>
    <x v="36"/>
    <x v="1"/>
    <x v="2"/>
    <x v="92"/>
    <x v="92"/>
    <x v="772"/>
    <n v="1053800"/>
    <m/>
    <m/>
    <m/>
    <n v="1053800"/>
    <m/>
    <n v="1053800"/>
    <n v="1053800"/>
  </r>
  <r>
    <x v="1"/>
    <x v="2"/>
    <x v="10"/>
    <x v="36"/>
    <x v="1"/>
    <x v="2"/>
    <x v="92"/>
    <x v="92"/>
    <x v="773"/>
    <n v="1053800"/>
    <m/>
    <m/>
    <m/>
    <n v="1053800"/>
    <n v="1580700"/>
    <m/>
    <n v="1580700"/>
  </r>
  <r>
    <x v="1"/>
    <x v="2"/>
    <x v="10"/>
    <x v="36"/>
    <x v="1"/>
    <x v="2"/>
    <x v="92"/>
    <x v="92"/>
    <x v="774"/>
    <n v="2055800"/>
    <m/>
    <m/>
    <m/>
    <n v="2055800"/>
    <m/>
    <n v="2055800"/>
    <n v="2055800"/>
  </r>
  <r>
    <x v="1"/>
    <x v="2"/>
    <x v="10"/>
    <x v="36"/>
    <x v="1"/>
    <x v="2"/>
    <x v="92"/>
    <x v="92"/>
    <x v="775"/>
    <n v="3551600"/>
    <m/>
    <m/>
    <m/>
    <n v="3551600"/>
    <n v="5327400"/>
    <m/>
    <n v="5327400"/>
  </r>
  <r>
    <x v="1"/>
    <x v="2"/>
    <x v="10"/>
    <x v="36"/>
    <x v="1"/>
    <x v="2"/>
    <x v="92"/>
    <x v="92"/>
    <x v="776"/>
    <n v="1655800"/>
    <m/>
    <m/>
    <m/>
    <n v="1655800"/>
    <m/>
    <n v="1655800"/>
    <n v="1655800"/>
  </r>
  <r>
    <x v="1"/>
    <x v="2"/>
    <x v="10"/>
    <x v="36"/>
    <x v="1"/>
    <x v="2"/>
    <x v="92"/>
    <x v="92"/>
    <x v="777"/>
    <n v="8239500"/>
    <m/>
    <m/>
    <m/>
    <n v="8239500"/>
    <m/>
    <n v="8239500"/>
    <n v="8239500"/>
  </r>
  <r>
    <x v="1"/>
    <x v="2"/>
    <x v="10"/>
    <x v="36"/>
    <x v="2"/>
    <x v="2"/>
    <x v="91"/>
    <x v="91"/>
    <x v="778"/>
    <n v="2256200"/>
    <m/>
    <n v="3384300"/>
    <m/>
    <n v="3384300"/>
    <m/>
    <n v="3384300"/>
    <n v="3384300"/>
  </r>
  <r>
    <x v="1"/>
    <x v="2"/>
    <x v="10"/>
    <x v="36"/>
    <x v="2"/>
    <x v="2"/>
    <x v="91"/>
    <x v="91"/>
    <x v="779"/>
    <n v="2043800"/>
    <m/>
    <n v="3065700"/>
    <m/>
    <n v="3065700"/>
    <n v="4598550"/>
    <m/>
    <n v="4598550"/>
  </r>
  <r>
    <x v="1"/>
    <x v="2"/>
    <x v="10"/>
    <x v="36"/>
    <x v="2"/>
    <x v="2"/>
    <x v="92"/>
    <x v="92"/>
    <x v="780"/>
    <n v="1881800"/>
    <m/>
    <n v="2822700"/>
    <m/>
    <n v="2822700"/>
    <n v="4234050"/>
    <m/>
    <n v="4234050"/>
  </r>
  <r>
    <x v="1"/>
    <x v="2"/>
    <x v="10"/>
    <x v="36"/>
    <x v="2"/>
    <x v="2"/>
    <x v="92"/>
    <x v="92"/>
    <x v="781"/>
    <n v="4031600"/>
    <m/>
    <n v="6047400"/>
    <m/>
    <n v="6047400"/>
    <m/>
    <n v="6047400"/>
    <n v="6047400"/>
  </r>
  <r>
    <x v="1"/>
    <x v="2"/>
    <x v="10"/>
    <x v="36"/>
    <x v="2"/>
    <x v="2"/>
    <x v="92"/>
    <x v="92"/>
    <x v="782"/>
    <n v="4512400"/>
    <m/>
    <n v="6768600"/>
    <m/>
    <n v="6768600"/>
    <m/>
    <n v="6768600"/>
    <n v="6768600"/>
  </r>
  <r>
    <x v="1"/>
    <x v="2"/>
    <x v="10"/>
    <x v="36"/>
    <x v="2"/>
    <x v="2"/>
    <x v="92"/>
    <x v="92"/>
    <x v="783"/>
    <n v="4399000"/>
    <m/>
    <n v="6598500"/>
    <m/>
    <n v="6598500"/>
    <m/>
    <n v="6598500"/>
    <n v="6598500"/>
  </r>
  <r>
    <x v="1"/>
    <x v="2"/>
    <x v="10"/>
    <x v="36"/>
    <x v="2"/>
    <x v="2"/>
    <x v="92"/>
    <x v="92"/>
    <x v="544"/>
    <n v="10910000"/>
    <m/>
    <n v="16365000"/>
    <m/>
    <n v="16365000"/>
    <n v="24547500"/>
    <m/>
    <n v="24547500"/>
  </r>
  <r>
    <x v="1"/>
    <x v="2"/>
    <x v="10"/>
    <x v="36"/>
    <x v="3"/>
    <x v="2"/>
    <x v="91"/>
    <x v="91"/>
    <x v="784"/>
    <n v="7399800"/>
    <m/>
    <n v="11099700"/>
    <m/>
    <n v="11099700"/>
    <m/>
    <n v="11099700"/>
    <n v="11099700"/>
  </r>
  <r>
    <x v="1"/>
    <x v="2"/>
    <x v="10"/>
    <x v="36"/>
    <x v="3"/>
    <x v="2"/>
    <x v="92"/>
    <x v="92"/>
    <x v="785"/>
    <n v="4497000"/>
    <m/>
    <n v="6745500"/>
    <m/>
    <n v="6745500"/>
    <m/>
    <n v="6745500"/>
    <n v="6745500"/>
  </r>
  <r>
    <x v="1"/>
    <x v="2"/>
    <x v="10"/>
    <x v="36"/>
    <x v="3"/>
    <x v="2"/>
    <x v="92"/>
    <x v="92"/>
    <x v="786"/>
    <n v="4367600"/>
    <m/>
    <n v="6551400"/>
    <m/>
    <n v="6551400"/>
    <n v="9827100"/>
    <m/>
    <n v="9827100"/>
  </r>
  <r>
    <x v="1"/>
    <x v="2"/>
    <x v="10"/>
    <x v="36"/>
    <x v="3"/>
    <x v="2"/>
    <x v="92"/>
    <x v="92"/>
    <x v="787"/>
    <n v="3799800"/>
    <m/>
    <n v="5699700"/>
    <m/>
    <n v="5699700"/>
    <n v="8549550"/>
    <m/>
    <n v="8549550"/>
  </r>
  <r>
    <x v="1"/>
    <x v="2"/>
    <x v="10"/>
    <x v="36"/>
    <x v="3"/>
    <x v="2"/>
    <x v="92"/>
    <x v="92"/>
    <x v="788"/>
    <n v="4403700"/>
    <m/>
    <n v="6605550"/>
    <m/>
    <n v="6605550"/>
    <n v="9908325"/>
    <m/>
    <n v="9908325"/>
  </r>
  <r>
    <x v="1"/>
    <x v="2"/>
    <x v="10"/>
    <x v="37"/>
    <x v="1"/>
    <x v="2"/>
    <x v="93"/>
    <x v="93"/>
    <x v="389"/>
    <n v="1599800"/>
    <m/>
    <m/>
    <m/>
    <n v="1599800"/>
    <n v="2399700"/>
    <m/>
    <n v="2399700"/>
  </r>
  <r>
    <x v="1"/>
    <x v="2"/>
    <x v="10"/>
    <x v="37"/>
    <x v="1"/>
    <x v="2"/>
    <x v="93"/>
    <x v="93"/>
    <x v="789"/>
    <n v="4134500"/>
    <m/>
    <m/>
    <m/>
    <n v="4134500"/>
    <m/>
    <n v="4134500"/>
    <n v="4134500"/>
  </r>
  <r>
    <x v="1"/>
    <x v="2"/>
    <x v="10"/>
    <x v="37"/>
    <x v="1"/>
    <x v="2"/>
    <x v="93"/>
    <x v="93"/>
    <x v="790"/>
    <n v="1406000"/>
    <m/>
    <m/>
    <m/>
    <n v="1406000"/>
    <n v="2109000"/>
    <m/>
    <n v="2109000"/>
  </r>
  <r>
    <x v="1"/>
    <x v="2"/>
    <x v="10"/>
    <x v="37"/>
    <x v="1"/>
    <x v="2"/>
    <x v="93"/>
    <x v="93"/>
    <x v="791"/>
    <n v="4231600"/>
    <m/>
    <m/>
    <m/>
    <n v="4231600"/>
    <m/>
    <n v="4231600"/>
    <n v="4231600"/>
  </r>
  <r>
    <x v="1"/>
    <x v="2"/>
    <x v="10"/>
    <x v="37"/>
    <x v="1"/>
    <x v="2"/>
    <x v="93"/>
    <x v="93"/>
    <x v="792"/>
    <n v="2835800"/>
    <m/>
    <m/>
    <m/>
    <n v="2835800"/>
    <n v="4253700"/>
    <m/>
    <n v="4253700"/>
  </r>
  <r>
    <x v="1"/>
    <x v="2"/>
    <x v="10"/>
    <x v="37"/>
    <x v="2"/>
    <x v="2"/>
    <x v="93"/>
    <x v="93"/>
    <x v="793"/>
    <n v="1803800"/>
    <m/>
    <n v="2705700"/>
    <m/>
    <n v="2705700"/>
    <n v="4058550"/>
    <m/>
    <n v="4058550"/>
  </r>
  <r>
    <x v="1"/>
    <x v="2"/>
    <x v="10"/>
    <x v="37"/>
    <x v="2"/>
    <x v="2"/>
    <x v="93"/>
    <x v="93"/>
    <x v="794"/>
    <n v="5990400"/>
    <m/>
    <n v="8985600"/>
    <m/>
    <n v="8985600"/>
    <n v="13478400"/>
    <m/>
    <n v="13478400"/>
  </r>
  <r>
    <x v="1"/>
    <x v="2"/>
    <x v="10"/>
    <x v="37"/>
    <x v="3"/>
    <x v="2"/>
    <x v="93"/>
    <x v="93"/>
    <x v="795"/>
    <n v="2685800"/>
    <m/>
    <n v="4028700"/>
    <m/>
    <n v="4028700"/>
    <m/>
    <n v="4028700"/>
    <n v="4028700"/>
  </r>
  <r>
    <x v="1"/>
    <x v="2"/>
    <x v="10"/>
    <x v="38"/>
    <x v="0"/>
    <x v="1"/>
    <x v="94"/>
    <x v="94"/>
    <x v="796"/>
    <s v="-"/>
    <m/>
    <m/>
    <m/>
    <s v="-"/>
    <m/>
    <m/>
    <m/>
  </r>
  <r>
    <x v="1"/>
    <x v="2"/>
    <x v="10"/>
    <x v="38"/>
    <x v="1"/>
    <x v="2"/>
    <x v="94"/>
    <x v="94"/>
    <x v="797"/>
    <n v="3632700"/>
    <m/>
    <m/>
    <m/>
    <n v="3632700"/>
    <m/>
    <n v="3632700"/>
    <n v="3632700"/>
  </r>
  <r>
    <x v="1"/>
    <x v="2"/>
    <x v="10"/>
    <x v="38"/>
    <x v="1"/>
    <x v="2"/>
    <x v="94"/>
    <x v="94"/>
    <x v="798"/>
    <n v="1476000"/>
    <m/>
    <m/>
    <m/>
    <n v="1476000"/>
    <m/>
    <n v="1476000"/>
    <n v="1476000"/>
  </r>
  <r>
    <x v="1"/>
    <x v="2"/>
    <x v="10"/>
    <x v="38"/>
    <x v="1"/>
    <x v="2"/>
    <x v="94"/>
    <x v="94"/>
    <x v="799"/>
    <n v="10140000"/>
    <m/>
    <m/>
    <m/>
    <n v="10140000"/>
    <m/>
    <n v="10140000"/>
    <n v="10140000"/>
  </r>
  <r>
    <x v="1"/>
    <x v="2"/>
    <x v="10"/>
    <x v="38"/>
    <x v="1"/>
    <x v="2"/>
    <x v="94"/>
    <x v="94"/>
    <x v="800"/>
    <n v="1974000"/>
    <m/>
    <m/>
    <m/>
    <n v="1974000"/>
    <m/>
    <n v="1974000"/>
    <n v="1974000"/>
  </r>
  <r>
    <x v="1"/>
    <x v="2"/>
    <x v="10"/>
    <x v="38"/>
    <x v="1"/>
    <x v="2"/>
    <x v="94"/>
    <x v="94"/>
    <x v="801"/>
    <n v="2671600"/>
    <m/>
    <m/>
    <m/>
    <n v="2671600"/>
    <n v="4007400"/>
    <m/>
    <n v="4007400"/>
  </r>
  <r>
    <x v="1"/>
    <x v="2"/>
    <x v="10"/>
    <x v="38"/>
    <x v="1"/>
    <x v="2"/>
    <x v="94"/>
    <x v="94"/>
    <x v="802"/>
    <n v="747800"/>
    <m/>
    <m/>
    <m/>
    <n v="747800"/>
    <m/>
    <n v="747800"/>
    <n v="747800"/>
  </r>
  <r>
    <x v="1"/>
    <x v="2"/>
    <x v="10"/>
    <x v="38"/>
    <x v="1"/>
    <x v="2"/>
    <x v="94"/>
    <x v="94"/>
    <x v="803"/>
    <n v="503700"/>
    <m/>
    <m/>
    <m/>
    <n v="503700"/>
    <n v="755550"/>
    <m/>
    <n v="755550"/>
  </r>
  <r>
    <x v="1"/>
    <x v="2"/>
    <x v="10"/>
    <x v="38"/>
    <x v="1"/>
    <x v="2"/>
    <x v="94"/>
    <x v="94"/>
    <x v="804"/>
    <n v="3415200"/>
    <m/>
    <m/>
    <m/>
    <n v="3415200"/>
    <n v="5122800"/>
    <m/>
    <n v="5122800"/>
  </r>
  <r>
    <x v="1"/>
    <x v="2"/>
    <x v="10"/>
    <x v="38"/>
    <x v="1"/>
    <x v="2"/>
    <x v="94"/>
    <x v="94"/>
    <x v="805"/>
    <n v="3903600"/>
    <m/>
    <m/>
    <m/>
    <n v="3903600"/>
    <n v="5855400"/>
    <m/>
    <n v="5855400"/>
  </r>
  <r>
    <x v="1"/>
    <x v="2"/>
    <x v="10"/>
    <x v="38"/>
    <x v="1"/>
    <x v="2"/>
    <x v="94"/>
    <x v="94"/>
    <x v="806"/>
    <n v="6311600"/>
    <m/>
    <m/>
    <m/>
    <n v="6311600"/>
    <m/>
    <n v="6311600"/>
    <n v="6311600"/>
  </r>
  <r>
    <x v="1"/>
    <x v="2"/>
    <x v="10"/>
    <x v="38"/>
    <x v="1"/>
    <x v="2"/>
    <x v="94"/>
    <x v="94"/>
    <x v="807"/>
    <n v="3079600"/>
    <m/>
    <m/>
    <m/>
    <n v="3079600"/>
    <m/>
    <n v="3079600"/>
    <n v="3079600"/>
  </r>
  <r>
    <x v="1"/>
    <x v="2"/>
    <x v="10"/>
    <x v="38"/>
    <x v="1"/>
    <x v="2"/>
    <x v="94"/>
    <x v="94"/>
    <x v="808"/>
    <n v="11549300"/>
    <m/>
    <m/>
    <m/>
    <n v="11549300"/>
    <m/>
    <n v="11549300"/>
    <n v="11549300"/>
  </r>
  <r>
    <x v="1"/>
    <x v="2"/>
    <x v="10"/>
    <x v="38"/>
    <x v="1"/>
    <x v="2"/>
    <x v="94"/>
    <x v="94"/>
    <x v="809"/>
    <n v="4797000"/>
    <m/>
    <m/>
    <m/>
    <n v="4797000"/>
    <m/>
    <n v="4797000"/>
    <n v="4797000"/>
  </r>
  <r>
    <x v="1"/>
    <x v="2"/>
    <x v="10"/>
    <x v="38"/>
    <x v="2"/>
    <x v="2"/>
    <x v="94"/>
    <x v="94"/>
    <x v="810"/>
    <n v="2439600"/>
    <m/>
    <n v="3659400"/>
    <m/>
    <n v="3659400"/>
    <m/>
    <n v="3659400"/>
    <n v="3659400"/>
  </r>
  <r>
    <x v="1"/>
    <x v="2"/>
    <x v="10"/>
    <x v="38"/>
    <x v="3"/>
    <x v="2"/>
    <x v="94"/>
    <x v="94"/>
    <x v="811"/>
    <n v="4423200"/>
    <m/>
    <n v="6634800"/>
    <m/>
    <n v="6634800"/>
    <m/>
    <n v="6634800"/>
    <n v="6634800"/>
  </r>
  <r>
    <x v="1"/>
    <x v="2"/>
    <x v="10"/>
    <x v="39"/>
    <x v="1"/>
    <x v="2"/>
    <x v="95"/>
    <x v="95"/>
    <x v="812"/>
    <n v="3399800"/>
    <m/>
    <m/>
    <m/>
    <n v="3399800"/>
    <m/>
    <n v="3399800"/>
    <n v="3399800"/>
  </r>
  <r>
    <x v="1"/>
    <x v="2"/>
    <x v="10"/>
    <x v="39"/>
    <x v="1"/>
    <x v="2"/>
    <x v="95"/>
    <x v="95"/>
    <x v="813"/>
    <n v="2903700"/>
    <m/>
    <m/>
    <m/>
    <n v="2903700"/>
    <m/>
    <n v="2903700"/>
    <n v="2903700"/>
  </r>
  <r>
    <x v="1"/>
    <x v="2"/>
    <x v="10"/>
    <x v="39"/>
    <x v="1"/>
    <x v="2"/>
    <x v="95"/>
    <x v="95"/>
    <x v="814"/>
    <n v="5500140"/>
    <m/>
    <m/>
    <m/>
    <n v="5500140"/>
    <n v="8250210"/>
    <m/>
    <n v="8250210"/>
  </r>
  <r>
    <x v="1"/>
    <x v="2"/>
    <x v="10"/>
    <x v="39"/>
    <x v="2"/>
    <x v="2"/>
    <x v="95"/>
    <x v="95"/>
    <x v="815"/>
    <n v="2999800"/>
    <m/>
    <n v="4499700"/>
    <m/>
    <n v="4499700"/>
    <n v="6749550"/>
    <m/>
    <n v="6749550"/>
  </r>
  <r>
    <x v="1"/>
    <x v="2"/>
    <x v="10"/>
    <x v="39"/>
    <x v="2"/>
    <x v="2"/>
    <x v="95"/>
    <x v="95"/>
    <x v="816"/>
    <n v="3459800"/>
    <m/>
    <n v="5189700"/>
    <m/>
    <n v="5189700"/>
    <n v="7784550"/>
    <m/>
    <n v="7784550"/>
  </r>
  <r>
    <x v="1"/>
    <x v="2"/>
    <x v="10"/>
    <x v="39"/>
    <x v="2"/>
    <x v="2"/>
    <x v="95"/>
    <x v="95"/>
    <x v="817"/>
    <n v="3299800"/>
    <m/>
    <n v="4949700"/>
    <m/>
    <n v="4949700"/>
    <m/>
    <n v="4949700"/>
    <n v="4949700"/>
  </r>
  <r>
    <x v="1"/>
    <x v="2"/>
    <x v="10"/>
    <x v="39"/>
    <x v="5"/>
    <x v="1"/>
    <x v="95"/>
    <x v="95"/>
    <x v="818"/>
    <s v="-"/>
    <m/>
    <m/>
    <m/>
    <s v="-"/>
    <m/>
    <m/>
    <m/>
  </r>
  <r>
    <x v="1"/>
    <x v="2"/>
    <x v="10"/>
    <x v="39"/>
    <x v="3"/>
    <x v="2"/>
    <x v="95"/>
    <x v="95"/>
    <x v="819"/>
    <n v="4290600"/>
    <m/>
    <n v="6435900"/>
    <m/>
    <n v="6435900"/>
    <m/>
    <n v="6435900"/>
    <n v="6435900"/>
  </r>
  <r>
    <x v="1"/>
    <x v="2"/>
    <x v="11"/>
    <x v="40"/>
    <x v="0"/>
    <x v="0"/>
    <x v="96"/>
    <x v="96"/>
    <x v="820"/>
    <n v="1428000"/>
    <m/>
    <m/>
    <m/>
    <n v="1428000"/>
    <m/>
    <n v="1428000"/>
    <n v="1428000"/>
  </r>
  <r>
    <x v="1"/>
    <x v="2"/>
    <x v="11"/>
    <x v="40"/>
    <x v="0"/>
    <x v="1"/>
    <x v="97"/>
    <x v="97"/>
    <x v="821"/>
    <s v="-"/>
    <m/>
    <m/>
    <m/>
    <s v="-"/>
    <m/>
    <m/>
    <m/>
  </r>
  <r>
    <x v="1"/>
    <x v="2"/>
    <x v="11"/>
    <x v="40"/>
    <x v="1"/>
    <x v="2"/>
    <x v="96"/>
    <x v="96"/>
    <x v="822"/>
    <n v="799900"/>
    <m/>
    <m/>
    <m/>
    <n v="799900"/>
    <m/>
    <n v="799900"/>
    <n v="799900"/>
  </r>
  <r>
    <x v="1"/>
    <x v="2"/>
    <x v="11"/>
    <x v="40"/>
    <x v="1"/>
    <x v="2"/>
    <x v="96"/>
    <x v="96"/>
    <x v="823"/>
    <n v="1405800"/>
    <m/>
    <m/>
    <m/>
    <n v="1405800"/>
    <m/>
    <n v="1405800"/>
    <n v="1405800"/>
  </r>
  <r>
    <x v="1"/>
    <x v="2"/>
    <x v="11"/>
    <x v="40"/>
    <x v="1"/>
    <x v="2"/>
    <x v="96"/>
    <x v="96"/>
    <x v="824"/>
    <n v="10109300"/>
    <m/>
    <m/>
    <m/>
    <n v="10109300"/>
    <n v="15163950"/>
    <m/>
    <n v="15163950"/>
  </r>
  <r>
    <x v="1"/>
    <x v="2"/>
    <x v="11"/>
    <x v="40"/>
    <x v="1"/>
    <x v="2"/>
    <x v="96"/>
    <x v="96"/>
    <x v="668"/>
    <n v="2311800"/>
    <m/>
    <m/>
    <m/>
    <n v="2311800"/>
    <n v="3467700"/>
    <m/>
    <n v="3467700"/>
  </r>
  <r>
    <x v="1"/>
    <x v="2"/>
    <x v="11"/>
    <x v="40"/>
    <x v="1"/>
    <x v="2"/>
    <x v="96"/>
    <x v="96"/>
    <x v="825"/>
    <n v="7759200"/>
    <m/>
    <m/>
    <m/>
    <n v="7759200"/>
    <m/>
    <n v="7759200"/>
    <n v="7759200"/>
  </r>
  <r>
    <x v="1"/>
    <x v="2"/>
    <x v="11"/>
    <x v="40"/>
    <x v="1"/>
    <x v="2"/>
    <x v="97"/>
    <x v="97"/>
    <x v="826"/>
    <n v="3239600"/>
    <m/>
    <m/>
    <m/>
    <n v="3239600"/>
    <m/>
    <n v="3239600"/>
    <n v="3239600"/>
  </r>
  <r>
    <x v="1"/>
    <x v="2"/>
    <x v="11"/>
    <x v="40"/>
    <x v="1"/>
    <x v="2"/>
    <x v="97"/>
    <x v="97"/>
    <x v="827"/>
    <n v="3599400"/>
    <m/>
    <m/>
    <m/>
    <n v="3599400"/>
    <m/>
    <n v="3599400"/>
    <n v="3599400"/>
  </r>
  <r>
    <x v="1"/>
    <x v="2"/>
    <x v="11"/>
    <x v="40"/>
    <x v="2"/>
    <x v="2"/>
    <x v="96"/>
    <x v="96"/>
    <x v="828"/>
    <n v="9279200"/>
    <m/>
    <n v="13918800"/>
    <m/>
    <n v="13918800"/>
    <m/>
    <n v="13918800"/>
    <n v="13918800"/>
  </r>
  <r>
    <x v="1"/>
    <x v="2"/>
    <x v="11"/>
    <x v="40"/>
    <x v="2"/>
    <x v="2"/>
    <x v="96"/>
    <x v="96"/>
    <x v="829"/>
    <n v="2799800"/>
    <m/>
    <n v="4199700"/>
    <m/>
    <n v="4199700"/>
    <m/>
    <n v="4199700"/>
    <n v="4199700"/>
  </r>
  <r>
    <x v="1"/>
    <x v="2"/>
    <x v="11"/>
    <x v="40"/>
    <x v="2"/>
    <x v="2"/>
    <x v="97"/>
    <x v="97"/>
    <x v="830"/>
    <n v="5160800"/>
    <m/>
    <n v="7741200"/>
    <m/>
    <n v="7741200"/>
    <m/>
    <n v="7741200"/>
    <n v="7741200"/>
  </r>
  <r>
    <x v="1"/>
    <x v="2"/>
    <x v="11"/>
    <x v="40"/>
    <x v="2"/>
    <x v="2"/>
    <x v="97"/>
    <x v="97"/>
    <x v="831"/>
    <n v="2199800"/>
    <m/>
    <n v="3299700"/>
    <m/>
    <n v="3299700"/>
    <m/>
    <n v="3299700"/>
    <n v="3299700"/>
  </r>
  <r>
    <x v="1"/>
    <x v="2"/>
    <x v="11"/>
    <x v="40"/>
    <x v="2"/>
    <x v="2"/>
    <x v="97"/>
    <x v="97"/>
    <x v="832"/>
    <n v="12996000"/>
    <m/>
    <n v="19494000"/>
    <m/>
    <n v="19494000"/>
    <m/>
    <n v="19494000"/>
    <n v="19494000"/>
  </r>
  <r>
    <x v="1"/>
    <x v="2"/>
    <x v="11"/>
    <x v="40"/>
    <x v="11"/>
    <x v="8"/>
    <x v="96"/>
    <x v="96"/>
    <x v="833"/>
    <n v="948000"/>
    <m/>
    <m/>
    <m/>
    <n v="948000"/>
    <m/>
    <n v="948000"/>
    <n v="948000"/>
  </r>
  <r>
    <x v="1"/>
    <x v="2"/>
    <x v="11"/>
    <x v="40"/>
    <x v="3"/>
    <x v="2"/>
    <x v="96"/>
    <x v="96"/>
    <x v="834"/>
    <n v="3599800"/>
    <m/>
    <n v="5399700"/>
    <m/>
    <n v="5399700"/>
    <n v="8099550"/>
    <m/>
    <n v="8099550"/>
  </r>
  <r>
    <x v="1"/>
    <x v="2"/>
    <x v="11"/>
    <x v="41"/>
    <x v="1"/>
    <x v="2"/>
    <x v="98"/>
    <x v="98"/>
    <x v="835"/>
    <n v="4723600"/>
    <m/>
    <m/>
    <m/>
    <n v="4723600"/>
    <m/>
    <n v="4723600"/>
    <n v="4723600"/>
  </r>
  <r>
    <x v="1"/>
    <x v="2"/>
    <x v="11"/>
    <x v="41"/>
    <x v="1"/>
    <x v="2"/>
    <x v="98"/>
    <x v="98"/>
    <x v="836"/>
    <n v="560900"/>
    <m/>
    <m/>
    <m/>
    <n v="560900"/>
    <n v="841350"/>
    <m/>
    <n v="841350"/>
  </r>
  <r>
    <x v="1"/>
    <x v="2"/>
    <x v="11"/>
    <x v="41"/>
    <x v="1"/>
    <x v="2"/>
    <x v="98"/>
    <x v="98"/>
    <x v="837"/>
    <n v="1219800"/>
    <m/>
    <m/>
    <m/>
    <n v="1219800"/>
    <n v="1829700"/>
    <m/>
    <n v="1829700"/>
  </r>
  <r>
    <x v="1"/>
    <x v="2"/>
    <x v="11"/>
    <x v="41"/>
    <x v="1"/>
    <x v="2"/>
    <x v="98"/>
    <x v="98"/>
    <x v="838"/>
    <n v="799600"/>
    <m/>
    <m/>
    <m/>
    <n v="799600"/>
    <m/>
    <n v="799600"/>
    <n v="799600"/>
  </r>
  <r>
    <x v="1"/>
    <x v="2"/>
    <x v="11"/>
    <x v="41"/>
    <x v="1"/>
    <x v="2"/>
    <x v="98"/>
    <x v="98"/>
    <x v="839"/>
    <n v="4661400"/>
    <m/>
    <m/>
    <m/>
    <n v="4661400"/>
    <n v="6992100"/>
    <m/>
    <n v="6992100"/>
  </r>
  <r>
    <x v="1"/>
    <x v="2"/>
    <x v="11"/>
    <x v="41"/>
    <x v="1"/>
    <x v="2"/>
    <x v="98"/>
    <x v="98"/>
    <x v="840"/>
    <n v="7999500"/>
    <m/>
    <m/>
    <m/>
    <n v="7999500"/>
    <m/>
    <n v="7999500"/>
    <n v="7999500"/>
  </r>
  <r>
    <x v="1"/>
    <x v="2"/>
    <x v="11"/>
    <x v="41"/>
    <x v="1"/>
    <x v="2"/>
    <x v="98"/>
    <x v="98"/>
    <x v="841"/>
    <n v="8249500"/>
    <m/>
    <m/>
    <m/>
    <n v="8249500"/>
    <m/>
    <n v="8249500"/>
    <n v="8249500"/>
  </r>
  <r>
    <x v="1"/>
    <x v="2"/>
    <x v="11"/>
    <x v="41"/>
    <x v="1"/>
    <x v="2"/>
    <x v="99"/>
    <x v="99"/>
    <x v="842"/>
    <n v="10372600"/>
    <m/>
    <m/>
    <m/>
    <n v="10372600"/>
    <m/>
    <n v="10372600"/>
    <n v="10372600"/>
  </r>
  <r>
    <x v="1"/>
    <x v="2"/>
    <x v="11"/>
    <x v="41"/>
    <x v="1"/>
    <x v="2"/>
    <x v="99"/>
    <x v="99"/>
    <x v="843"/>
    <n v="3107600"/>
    <m/>
    <m/>
    <m/>
    <n v="3107600"/>
    <m/>
    <n v="3107600"/>
    <n v="3107600"/>
  </r>
  <r>
    <x v="1"/>
    <x v="2"/>
    <x v="11"/>
    <x v="41"/>
    <x v="1"/>
    <x v="2"/>
    <x v="99"/>
    <x v="99"/>
    <x v="844"/>
    <n v="2561400"/>
    <m/>
    <m/>
    <m/>
    <n v="2561400"/>
    <n v="3842100"/>
    <m/>
    <n v="3842100"/>
  </r>
  <r>
    <x v="1"/>
    <x v="2"/>
    <x v="11"/>
    <x v="41"/>
    <x v="2"/>
    <x v="2"/>
    <x v="98"/>
    <x v="98"/>
    <x v="845"/>
    <n v="4851800"/>
    <m/>
    <n v="7277700"/>
    <m/>
    <n v="7277700"/>
    <m/>
    <n v="7277700"/>
    <n v="7277700"/>
  </r>
  <r>
    <x v="1"/>
    <x v="2"/>
    <x v="11"/>
    <x v="41"/>
    <x v="2"/>
    <x v="2"/>
    <x v="98"/>
    <x v="98"/>
    <x v="846"/>
    <n v="10172000"/>
    <m/>
    <n v="15258000"/>
    <m/>
    <n v="15258000"/>
    <m/>
    <n v="15258000"/>
    <n v="15258000"/>
  </r>
  <r>
    <x v="1"/>
    <x v="2"/>
    <x v="11"/>
    <x v="41"/>
    <x v="2"/>
    <x v="2"/>
    <x v="98"/>
    <x v="98"/>
    <x v="847"/>
    <n v="11310000"/>
    <m/>
    <n v="16965000"/>
    <m/>
    <n v="16965000"/>
    <m/>
    <n v="16965000"/>
    <n v="16965000"/>
  </r>
  <r>
    <x v="1"/>
    <x v="2"/>
    <x v="11"/>
    <x v="41"/>
    <x v="2"/>
    <x v="2"/>
    <x v="99"/>
    <x v="99"/>
    <x v="848"/>
    <n v="7497000"/>
    <m/>
    <n v="11245500"/>
    <m/>
    <n v="11245500"/>
    <m/>
    <n v="11245500"/>
    <n v="11245500"/>
  </r>
  <r>
    <x v="1"/>
    <x v="2"/>
    <x v="11"/>
    <x v="42"/>
    <x v="4"/>
    <x v="3"/>
    <x v="100"/>
    <x v="100"/>
    <x v="849"/>
    <n v="5036000"/>
    <m/>
    <m/>
    <m/>
    <n v="5036000"/>
    <m/>
    <n v="5036000"/>
    <n v="5036000"/>
  </r>
  <r>
    <x v="1"/>
    <x v="2"/>
    <x v="11"/>
    <x v="42"/>
    <x v="0"/>
    <x v="1"/>
    <x v="101"/>
    <x v="101"/>
    <x v="850"/>
    <s v="-"/>
    <m/>
    <m/>
    <m/>
    <s v="-"/>
    <m/>
    <m/>
    <m/>
  </r>
  <r>
    <x v="1"/>
    <x v="2"/>
    <x v="11"/>
    <x v="42"/>
    <x v="0"/>
    <x v="1"/>
    <x v="101"/>
    <x v="101"/>
    <x v="851"/>
    <s v="-"/>
    <m/>
    <m/>
    <m/>
    <s v="-"/>
    <m/>
    <m/>
    <m/>
  </r>
  <r>
    <x v="1"/>
    <x v="2"/>
    <x v="11"/>
    <x v="42"/>
    <x v="0"/>
    <x v="1"/>
    <x v="101"/>
    <x v="101"/>
    <x v="852"/>
    <s v="-"/>
    <m/>
    <m/>
    <m/>
    <s v="-"/>
    <m/>
    <m/>
    <m/>
  </r>
  <r>
    <x v="1"/>
    <x v="2"/>
    <x v="11"/>
    <x v="42"/>
    <x v="1"/>
    <x v="2"/>
    <x v="100"/>
    <x v="100"/>
    <x v="853"/>
    <n v="2896800"/>
    <m/>
    <m/>
    <m/>
    <n v="2896800"/>
    <n v="4345200"/>
    <m/>
    <n v="4345200"/>
  </r>
  <r>
    <x v="1"/>
    <x v="2"/>
    <x v="11"/>
    <x v="42"/>
    <x v="1"/>
    <x v="2"/>
    <x v="100"/>
    <x v="100"/>
    <x v="854"/>
    <n v="1799800"/>
    <m/>
    <m/>
    <m/>
    <n v="1799800"/>
    <n v="2699700"/>
    <m/>
    <n v="2699700"/>
  </r>
  <r>
    <x v="1"/>
    <x v="2"/>
    <x v="11"/>
    <x v="42"/>
    <x v="1"/>
    <x v="2"/>
    <x v="100"/>
    <x v="100"/>
    <x v="855"/>
    <n v="1165800"/>
    <m/>
    <m/>
    <m/>
    <n v="1165800"/>
    <m/>
    <n v="1165800"/>
    <n v="1165800"/>
  </r>
  <r>
    <x v="1"/>
    <x v="2"/>
    <x v="11"/>
    <x v="42"/>
    <x v="1"/>
    <x v="2"/>
    <x v="100"/>
    <x v="100"/>
    <x v="856"/>
    <n v="2457000"/>
    <m/>
    <m/>
    <m/>
    <n v="2457000"/>
    <m/>
    <n v="2457000"/>
    <n v="2457000"/>
  </r>
  <r>
    <x v="1"/>
    <x v="2"/>
    <x v="11"/>
    <x v="42"/>
    <x v="1"/>
    <x v="2"/>
    <x v="100"/>
    <x v="100"/>
    <x v="857"/>
    <n v="3919600"/>
    <m/>
    <m/>
    <m/>
    <n v="3919600"/>
    <m/>
    <n v="3919600"/>
    <n v="3919600"/>
  </r>
  <r>
    <x v="1"/>
    <x v="2"/>
    <x v="11"/>
    <x v="42"/>
    <x v="1"/>
    <x v="2"/>
    <x v="100"/>
    <x v="100"/>
    <x v="858"/>
    <n v="2999700"/>
    <m/>
    <m/>
    <m/>
    <n v="2999700"/>
    <m/>
    <n v="2999700"/>
    <n v="2999700"/>
  </r>
  <r>
    <x v="1"/>
    <x v="2"/>
    <x v="11"/>
    <x v="42"/>
    <x v="1"/>
    <x v="2"/>
    <x v="100"/>
    <x v="100"/>
    <x v="859"/>
    <n v="4199400"/>
    <m/>
    <m/>
    <m/>
    <n v="4199400"/>
    <m/>
    <n v="4199400"/>
    <n v="4199400"/>
  </r>
  <r>
    <x v="1"/>
    <x v="2"/>
    <x v="11"/>
    <x v="42"/>
    <x v="1"/>
    <x v="2"/>
    <x v="100"/>
    <x v="100"/>
    <x v="860"/>
    <n v="3299800"/>
    <m/>
    <m/>
    <m/>
    <n v="3299800"/>
    <m/>
    <n v="3299800"/>
    <n v="3299800"/>
  </r>
  <r>
    <x v="1"/>
    <x v="2"/>
    <x v="11"/>
    <x v="42"/>
    <x v="1"/>
    <x v="2"/>
    <x v="100"/>
    <x v="100"/>
    <x v="861"/>
    <n v="4129500"/>
    <m/>
    <m/>
    <m/>
    <n v="4129500"/>
    <n v="6194250"/>
    <m/>
    <n v="6194250"/>
  </r>
  <r>
    <x v="1"/>
    <x v="2"/>
    <x v="11"/>
    <x v="42"/>
    <x v="1"/>
    <x v="2"/>
    <x v="100"/>
    <x v="100"/>
    <x v="862"/>
    <n v="3473700"/>
    <m/>
    <m/>
    <m/>
    <n v="3473700"/>
    <n v="5210550"/>
    <m/>
    <n v="5210550"/>
  </r>
  <r>
    <x v="1"/>
    <x v="2"/>
    <x v="11"/>
    <x v="42"/>
    <x v="1"/>
    <x v="2"/>
    <x v="100"/>
    <x v="100"/>
    <x v="863"/>
    <n v="3449700"/>
    <m/>
    <m/>
    <m/>
    <n v="3449700"/>
    <n v="5174550"/>
    <m/>
    <n v="5174550"/>
  </r>
  <r>
    <x v="1"/>
    <x v="2"/>
    <x v="11"/>
    <x v="42"/>
    <x v="1"/>
    <x v="2"/>
    <x v="100"/>
    <x v="100"/>
    <x v="864"/>
    <n v="11199200"/>
    <m/>
    <m/>
    <m/>
    <n v="11199200"/>
    <n v="16798800"/>
    <m/>
    <n v="16798800"/>
  </r>
  <r>
    <x v="1"/>
    <x v="2"/>
    <x v="11"/>
    <x v="42"/>
    <x v="1"/>
    <x v="2"/>
    <x v="100"/>
    <x v="100"/>
    <x v="865"/>
    <n v="2551800"/>
    <m/>
    <m/>
    <m/>
    <n v="2551800"/>
    <n v="3827700"/>
    <m/>
    <n v="3827700"/>
  </r>
  <r>
    <x v="1"/>
    <x v="2"/>
    <x v="11"/>
    <x v="42"/>
    <x v="1"/>
    <x v="2"/>
    <x v="100"/>
    <x v="100"/>
    <x v="866"/>
    <n v="4671600"/>
    <m/>
    <m/>
    <m/>
    <n v="4671600"/>
    <n v="7007400"/>
    <m/>
    <n v="7007400"/>
  </r>
  <r>
    <x v="1"/>
    <x v="2"/>
    <x v="11"/>
    <x v="42"/>
    <x v="1"/>
    <x v="2"/>
    <x v="101"/>
    <x v="101"/>
    <x v="867"/>
    <n v="375800"/>
    <m/>
    <m/>
    <m/>
    <n v="375800"/>
    <n v="563700"/>
    <m/>
    <n v="563700"/>
  </r>
  <r>
    <x v="1"/>
    <x v="2"/>
    <x v="11"/>
    <x v="42"/>
    <x v="1"/>
    <x v="2"/>
    <x v="101"/>
    <x v="101"/>
    <x v="837"/>
    <n v="3539400"/>
    <m/>
    <m/>
    <m/>
    <n v="3539400"/>
    <n v="5309100"/>
    <m/>
    <n v="5309100"/>
  </r>
  <r>
    <x v="1"/>
    <x v="2"/>
    <x v="11"/>
    <x v="42"/>
    <x v="1"/>
    <x v="2"/>
    <x v="101"/>
    <x v="101"/>
    <x v="868"/>
    <n v="2907600"/>
    <m/>
    <m/>
    <m/>
    <n v="2907600"/>
    <m/>
    <n v="2907600"/>
    <n v="2907600"/>
  </r>
  <r>
    <x v="1"/>
    <x v="2"/>
    <x v="11"/>
    <x v="42"/>
    <x v="1"/>
    <x v="2"/>
    <x v="101"/>
    <x v="101"/>
    <x v="773"/>
    <n v="853800"/>
    <m/>
    <m/>
    <m/>
    <n v="853800"/>
    <n v="1280700"/>
    <m/>
    <n v="1280700"/>
  </r>
  <r>
    <x v="1"/>
    <x v="2"/>
    <x v="11"/>
    <x v="42"/>
    <x v="1"/>
    <x v="2"/>
    <x v="101"/>
    <x v="101"/>
    <x v="869"/>
    <n v="2511600"/>
    <m/>
    <m/>
    <m/>
    <n v="2511600"/>
    <m/>
    <n v="2511600"/>
    <n v="2511600"/>
  </r>
  <r>
    <x v="1"/>
    <x v="2"/>
    <x v="11"/>
    <x v="42"/>
    <x v="1"/>
    <x v="2"/>
    <x v="101"/>
    <x v="101"/>
    <x v="870"/>
    <n v="4111600"/>
    <m/>
    <m/>
    <m/>
    <n v="4111600"/>
    <n v="6167400"/>
    <m/>
    <n v="6167400"/>
  </r>
  <r>
    <x v="1"/>
    <x v="2"/>
    <x v="11"/>
    <x v="42"/>
    <x v="1"/>
    <x v="2"/>
    <x v="101"/>
    <x v="101"/>
    <x v="871"/>
    <n v="1995800"/>
    <m/>
    <m/>
    <m/>
    <n v="1995800"/>
    <m/>
    <n v="1995800"/>
    <n v="1995800"/>
  </r>
  <r>
    <x v="1"/>
    <x v="2"/>
    <x v="11"/>
    <x v="42"/>
    <x v="2"/>
    <x v="2"/>
    <x v="100"/>
    <x v="100"/>
    <x v="780"/>
    <n v="3575420"/>
    <m/>
    <n v="5363130"/>
    <m/>
    <n v="5363130"/>
    <n v="8044695"/>
    <m/>
    <n v="8044695"/>
  </r>
  <r>
    <x v="1"/>
    <x v="2"/>
    <x v="11"/>
    <x v="42"/>
    <x v="2"/>
    <x v="2"/>
    <x v="100"/>
    <x v="100"/>
    <x v="872"/>
    <n v="3723600"/>
    <m/>
    <n v="5585400"/>
    <m/>
    <n v="5585400"/>
    <n v="8378100"/>
    <m/>
    <n v="8378100"/>
  </r>
  <r>
    <x v="1"/>
    <x v="2"/>
    <x v="11"/>
    <x v="42"/>
    <x v="2"/>
    <x v="2"/>
    <x v="100"/>
    <x v="100"/>
    <x v="873"/>
    <n v="8040000"/>
    <m/>
    <n v="12060000"/>
    <m/>
    <n v="12060000"/>
    <n v="18090000"/>
    <m/>
    <n v="18090000"/>
  </r>
  <r>
    <x v="1"/>
    <x v="2"/>
    <x v="11"/>
    <x v="42"/>
    <x v="2"/>
    <x v="2"/>
    <x v="100"/>
    <x v="100"/>
    <x v="874"/>
    <n v="8885400"/>
    <m/>
    <n v="13328100"/>
    <m/>
    <n v="13328100"/>
    <m/>
    <n v="13328100"/>
    <n v="13328100"/>
  </r>
  <r>
    <x v="1"/>
    <x v="2"/>
    <x v="11"/>
    <x v="42"/>
    <x v="2"/>
    <x v="2"/>
    <x v="100"/>
    <x v="100"/>
    <x v="875"/>
    <n v="2961800"/>
    <m/>
    <n v="4442700"/>
    <m/>
    <n v="4442700"/>
    <n v="6664050"/>
    <m/>
    <n v="6664050"/>
  </r>
  <r>
    <x v="1"/>
    <x v="2"/>
    <x v="11"/>
    <x v="42"/>
    <x v="2"/>
    <x v="2"/>
    <x v="100"/>
    <x v="100"/>
    <x v="876"/>
    <n v="2056000"/>
    <m/>
    <n v="3084000"/>
    <m/>
    <n v="3084000"/>
    <n v="4626000"/>
    <m/>
    <n v="4626000"/>
  </r>
  <r>
    <x v="1"/>
    <x v="2"/>
    <x v="11"/>
    <x v="42"/>
    <x v="2"/>
    <x v="2"/>
    <x v="100"/>
    <x v="100"/>
    <x v="877"/>
    <n v="2381800"/>
    <m/>
    <n v="3572700"/>
    <m/>
    <n v="3572700"/>
    <n v="5359050"/>
    <m/>
    <n v="5359050"/>
  </r>
  <r>
    <x v="1"/>
    <x v="2"/>
    <x v="11"/>
    <x v="42"/>
    <x v="2"/>
    <x v="2"/>
    <x v="100"/>
    <x v="100"/>
    <x v="878"/>
    <n v="2799800"/>
    <m/>
    <n v="4199700"/>
    <m/>
    <n v="4199700"/>
    <n v="6299550"/>
    <m/>
    <n v="6299550"/>
  </r>
  <r>
    <x v="1"/>
    <x v="2"/>
    <x v="11"/>
    <x v="42"/>
    <x v="2"/>
    <x v="2"/>
    <x v="100"/>
    <x v="100"/>
    <x v="879"/>
    <n v="10983000"/>
    <m/>
    <n v="16474500"/>
    <m/>
    <n v="16474500"/>
    <m/>
    <n v="16474500"/>
    <n v="16474500"/>
  </r>
  <r>
    <x v="1"/>
    <x v="2"/>
    <x v="11"/>
    <x v="42"/>
    <x v="2"/>
    <x v="2"/>
    <x v="100"/>
    <x v="100"/>
    <x v="880"/>
    <n v="9031400"/>
    <m/>
    <n v="13547100"/>
    <m/>
    <n v="13547100"/>
    <n v="20320650"/>
    <m/>
    <n v="20320650"/>
  </r>
  <r>
    <x v="1"/>
    <x v="2"/>
    <x v="11"/>
    <x v="42"/>
    <x v="2"/>
    <x v="2"/>
    <x v="100"/>
    <x v="100"/>
    <x v="881"/>
    <n v="5999600"/>
    <m/>
    <n v="8999400"/>
    <m/>
    <n v="8999400"/>
    <m/>
    <n v="8999400"/>
    <n v="8999400"/>
  </r>
  <r>
    <x v="1"/>
    <x v="2"/>
    <x v="11"/>
    <x v="42"/>
    <x v="2"/>
    <x v="2"/>
    <x v="100"/>
    <x v="100"/>
    <x v="882"/>
    <n v="7710000"/>
    <m/>
    <n v="11565000"/>
    <m/>
    <n v="11565000"/>
    <n v="17347500"/>
    <m/>
    <n v="17347500"/>
  </r>
  <r>
    <x v="1"/>
    <x v="2"/>
    <x v="11"/>
    <x v="42"/>
    <x v="2"/>
    <x v="2"/>
    <x v="101"/>
    <x v="101"/>
    <x v="883"/>
    <n v="2421800"/>
    <m/>
    <n v="3632700"/>
    <m/>
    <n v="3632700"/>
    <m/>
    <n v="3632700"/>
    <n v="3632700"/>
  </r>
  <r>
    <x v="1"/>
    <x v="2"/>
    <x v="11"/>
    <x v="42"/>
    <x v="2"/>
    <x v="2"/>
    <x v="101"/>
    <x v="101"/>
    <x v="884"/>
    <n v="6468600"/>
    <m/>
    <n v="9702900"/>
    <m/>
    <n v="9702900"/>
    <n v="14554350"/>
    <m/>
    <n v="14554350"/>
  </r>
  <r>
    <x v="1"/>
    <x v="2"/>
    <x v="11"/>
    <x v="42"/>
    <x v="2"/>
    <x v="2"/>
    <x v="101"/>
    <x v="101"/>
    <x v="885"/>
    <n v="3160000"/>
    <m/>
    <n v="4740000"/>
    <m/>
    <n v="4740000"/>
    <m/>
    <n v="4740000"/>
    <n v="4740000"/>
  </r>
  <r>
    <x v="1"/>
    <x v="2"/>
    <x v="11"/>
    <x v="42"/>
    <x v="3"/>
    <x v="2"/>
    <x v="100"/>
    <x v="100"/>
    <x v="886"/>
    <n v="3060000"/>
    <m/>
    <n v="4590000"/>
    <m/>
    <n v="4590000"/>
    <m/>
    <n v="4590000"/>
    <n v="4590000"/>
  </r>
  <r>
    <x v="1"/>
    <x v="2"/>
    <x v="11"/>
    <x v="42"/>
    <x v="3"/>
    <x v="2"/>
    <x v="100"/>
    <x v="100"/>
    <x v="887"/>
    <n v="6671600"/>
    <m/>
    <n v="10007400"/>
    <m/>
    <n v="10007400"/>
    <m/>
    <n v="10007400"/>
    <n v="10007400"/>
  </r>
  <r>
    <x v="1"/>
    <x v="2"/>
    <x v="12"/>
    <x v="43"/>
    <x v="0"/>
    <x v="1"/>
    <x v="102"/>
    <x v="102"/>
    <x v="888"/>
    <s v="-"/>
    <m/>
    <m/>
    <m/>
    <s v="-"/>
    <m/>
    <m/>
    <m/>
  </r>
  <r>
    <x v="1"/>
    <x v="2"/>
    <x v="12"/>
    <x v="44"/>
    <x v="1"/>
    <x v="2"/>
    <x v="103"/>
    <x v="103"/>
    <x v="889"/>
    <n v="1229900"/>
    <m/>
    <m/>
    <m/>
    <n v="1229900"/>
    <m/>
    <n v="1229900"/>
    <n v="1229900"/>
  </r>
  <r>
    <x v="1"/>
    <x v="2"/>
    <x v="12"/>
    <x v="44"/>
    <x v="1"/>
    <x v="2"/>
    <x v="103"/>
    <x v="103"/>
    <x v="890"/>
    <n v="2039800"/>
    <m/>
    <m/>
    <m/>
    <n v="2039800"/>
    <m/>
    <n v="2039800"/>
    <n v="2039800"/>
  </r>
  <r>
    <x v="1"/>
    <x v="2"/>
    <x v="12"/>
    <x v="44"/>
    <x v="1"/>
    <x v="2"/>
    <x v="103"/>
    <x v="103"/>
    <x v="891"/>
    <n v="404700"/>
    <m/>
    <m/>
    <m/>
    <n v="404700"/>
    <m/>
    <n v="404700"/>
    <n v="404700"/>
  </r>
  <r>
    <x v="1"/>
    <x v="2"/>
    <x v="12"/>
    <x v="44"/>
    <x v="1"/>
    <x v="2"/>
    <x v="103"/>
    <x v="103"/>
    <x v="892"/>
    <n v="8499000"/>
    <m/>
    <m/>
    <m/>
    <n v="8499000"/>
    <m/>
    <n v="8499000"/>
    <n v="8499000"/>
  </r>
  <r>
    <x v="1"/>
    <x v="2"/>
    <x v="12"/>
    <x v="44"/>
    <x v="1"/>
    <x v="2"/>
    <x v="103"/>
    <x v="103"/>
    <x v="893"/>
    <n v="12257700"/>
    <m/>
    <m/>
    <m/>
    <n v="12257700"/>
    <m/>
    <n v="12257700"/>
    <n v="12257700"/>
  </r>
  <r>
    <x v="1"/>
    <x v="2"/>
    <x v="12"/>
    <x v="44"/>
    <x v="1"/>
    <x v="2"/>
    <x v="103"/>
    <x v="103"/>
    <x v="894"/>
    <n v="2839600"/>
    <m/>
    <m/>
    <m/>
    <n v="2839600"/>
    <m/>
    <n v="2839600"/>
    <n v="2839600"/>
  </r>
  <r>
    <x v="1"/>
    <x v="2"/>
    <x v="12"/>
    <x v="44"/>
    <x v="2"/>
    <x v="2"/>
    <x v="103"/>
    <x v="103"/>
    <x v="895"/>
    <n v="5505600"/>
    <m/>
    <n v="8258400"/>
    <m/>
    <n v="8258400"/>
    <m/>
    <n v="8258400"/>
    <n v="8258400"/>
  </r>
  <r>
    <x v="1"/>
    <x v="2"/>
    <x v="12"/>
    <x v="44"/>
    <x v="2"/>
    <x v="2"/>
    <x v="103"/>
    <x v="103"/>
    <x v="896"/>
    <n v="5840000"/>
    <m/>
    <n v="8760000"/>
    <m/>
    <n v="8760000"/>
    <m/>
    <n v="8760000"/>
    <n v="8760000"/>
  </r>
  <r>
    <x v="1"/>
    <x v="2"/>
    <x v="12"/>
    <x v="44"/>
    <x v="2"/>
    <x v="2"/>
    <x v="103"/>
    <x v="103"/>
    <x v="654"/>
    <n v="6419400"/>
    <m/>
    <n v="9629100"/>
    <m/>
    <n v="9629100"/>
    <n v="14443650"/>
    <m/>
    <n v="14443650"/>
  </r>
  <r>
    <x v="1"/>
    <x v="2"/>
    <x v="12"/>
    <x v="44"/>
    <x v="2"/>
    <x v="2"/>
    <x v="103"/>
    <x v="103"/>
    <x v="897"/>
    <n v="14620000"/>
    <m/>
    <n v="21930000"/>
    <m/>
    <n v="21930000"/>
    <m/>
    <n v="21930000"/>
    <n v="21930000"/>
  </r>
  <r>
    <x v="1"/>
    <x v="2"/>
    <x v="12"/>
    <x v="45"/>
    <x v="0"/>
    <x v="0"/>
    <x v="104"/>
    <x v="104"/>
    <x v="898"/>
    <n v="770000"/>
    <m/>
    <m/>
    <m/>
    <n v="770000"/>
    <n v="1155000"/>
    <m/>
    <n v="1155000"/>
  </r>
  <r>
    <x v="1"/>
    <x v="2"/>
    <x v="12"/>
    <x v="45"/>
    <x v="0"/>
    <x v="1"/>
    <x v="104"/>
    <x v="104"/>
    <x v="899"/>
    <s v="-"/>
    <m/>
    <m/>
    <m/>
    <s v="-"/>
    <m/>
    <m/>
    <m/>
  </r>
  <r>
    <x v="1"/>
    <x v="2"/>
    <x v="12"/>
    <x v="45"/>
    <x v="1"/>
    <x v="2"/>
    <x v="104"/>
    <x v="104"/>
    <x v="900"/>
    <n v="175800"/>
    <m/>
    <m/>
    <m/>
    <n v="175800"/>
    <m/>
    <n v="175800"/>
    <n v="175800"/>
  </r>
  <r>
    <x v="1"/>
    <x v="2"/>
    <x v="12"/>
    <x v="45"/>
    <x v="1"/>
    <x v="2"/>
    <x v="104"/>
    <x v="104"/>
    <x v="901"/>
    <n v="3709500"/>
    <m/>
    <m/>
    <m/>
    <n v="3709500"/>
    <n v="5564250"/>
    <m/>
    <n v="5564250"/>
  </r>
  <r>
    <x v="1"/>
    <x v="2"/>
    <x v="12"/>
    <x v="45"/>
    <x v="1"/>
    <x v="2"/>
    <x v="104"/>
    <x v="104"/>
    <x v="902"/>
    <n v="721800"/>
    <m/>
    <m/>
    <m/>
    <n v="721800"/>
    <m/>
    <n v="721800"/>
    <n v="721800"/>
  </r>
  <r>
    <x v="1"/>
    <x v="2"/>
    <x v="12"/>
    <x v="45"/>
    <x v="2"/>
    <x v="2"/>
    <x v="104"/>
    <x v="104"/>
    <x v="903"/>
    <n v="1581800"/>
    <m/>
    <n v="2372700"/>
    <m/>
    <n v="2372700"/>
    <m/>
    <n v="2372700"/>
    <n v="2372700"/>
  </r>
  <r>
    <x v="1"/>
    <x v="2"/>
    <x v="12"/>
    <x v="45"/>
    <x v="3"/>
    <x v="2"/>
    <x v="104"/>
    <x v="104"/>
    <x v="904"/>
    <n v="2659800"/>
    <m/>
    <n v="3989700"/>
    <m/>
    <n v="3989700"/>
    <m/>
    <n v="3989700"/>
    <n v="3989700"/>
  </r>
  <r>
    <x v="1"/>
    <x v="3"/>
    <x v="13"/>
    <x v="46"/>
    <x v="1"/>
    <x v="2"/>
    <x v="105"/>
    <x v="105"/>
    <x v="905"/>
    <n v="526900"/>
    <m/>
    <m/>
    <m/>
    <n v="526900"/>
    <n v="790350"/>
    <m/>
    <n v="790350"/>
  </r>
  <r>
    <x v="1"/>
    <x v="3"/>
    <x v="13"/>
    <x v="46"/>
    <x v="1"/>
    <x v="2"/>
    <x v="106"/>
    <x v="106"/>
    <x v="906"/>
    <n v="5321400"/>
    <m/>
    <m/>
    <m/>
    <n v="5321400"/>
    <m/>
    <n v="5321400"/>
    <n v="5321400"/>
  </r>
  <r>
    <x v="1"/>
    <x v="3"/>
    <x v="13"/>
    <x v="46"/>
    <x v="2"/>
    <x v="2"/>
    <x v="105"/>
    <x v="105"/>
    <x v="907"/>
    <n v="9093000"/>
    <m/>
    <n v="13639500"/>
    <m/>
    <n v="13639500"/>
    <m/>
    <n v="13639500"/>
    <n v="13639500"/>
  </r>
  <r>
    <x v="1"/>
    <x v="3"/>
    <x v="13"/>
    <x v="46"/>
    <x v="2"/>
    <x v="2"/>
    <x v="105"/>
    <x v="105"/>
    <x v="285"/>
    <n v="9202300"/>
    <m/>
    <n v="13803450"/>
    <m/>
    <n v="13803450"/>
    <n v="20705175"/>
    <m/>
    <n v="20705175"/>
  </r>
  <r>
    <x v="1"/>
    <x v="3"/>
    <x v="13"/>
    <x v="46"/>
    <x v="2"/>
    <x v="2"/>
    <x v="107"/>
    <x v="107"/>
    <x v="908"/>
    <n v="6396000"/>
    <m/>
    <n v="9594000"/>
    <m/>
    <n v="9594000"/>
    <m/>
    <n v="9594000"/>
    <n v="9594000"/>
  </r>
  <r>
    <x v="1"/>
    <x v="3"/>
    <x v="13"/>
    <x v="46"/>
    <x v="2"/>
    <x v="2"/>
    <x v="107"/>
    <x v="107"/>
    <x v="909"/>
    <n v="4598000"/>
    <m/>
    <n v="6897000"/>
    <m/>
    <n v="6897000"/>
    <m/>
    <n v="6897000"/>
    <n v="6897000"/>
  </r>
  <r>
    <x v="1"/>
    <x v="3"/>
    <x v="13"/>
    <x v="47"/>
    <x v="0"/>
    <x v="0"/>
    <x v="108"/>
    <x v="108"/>
    <x v="910"/>
    <n v="1065400"/>
    <m/>
    <m/>
    <m/>
    <n v="1065400"/>
    <m/>
    <n v="1065400"/>
    <n v="1065400"/>
  </r>
  <r>
    <x v="1"/>
    <x v="3"/>
    <x v="13"/>
    <x v="47"/>
    <x v="1"/>
    <x v="2"/>
    <x v="108"/>
    <x v="108"/>
    <x v="911"/>
    <n v="428000"/>
    <m/>
    <m/>
    <m/>
    <n v="428000"/>
    <m/>
    <n v="428000"/>
    <n v="428000"/>
  </r>
  <r>
    <x v="1"/>
    <x v="3"/>
    <x v="13"/>
    <x v="47"/>
    <x v="1"/>
    <x v="2"/>
    <x v="108"/>
    <x v="108"/>
    <x v="489"/>
    <n v="711600"/>
    <m/>
    <m/>
    <m/>
    <n v="711600"/>
    <n v="1067400"/>
    <m/>
    <n v="1067400"/>
  </r>
  <r>
    <x v="1"/>
    <x v="3"/>
    <x v="13"/>
    <x v="47"/>
    <x v="1"/>
    <x v="2"/>
    <x v="108"/>
    <x v="108"/>
    <x v="912"/>
    <n v="9863100"/>
    <m/>
    <m/>
    <m/>
    <n v="9863100"/>
    <m/>
    <n v="9863100"/>
    <n v="9863100"/>
  </r>
  <r>
    <x v="1"/>
    <x v="3"/>
    <x v="13"/>
    <x v="47"/>
    <x v="1"/>
    <x v="2"/>
    <x v="108"/>
    <x v="108"/>
    <x v="913"/>
    <n v="4999600"/>
    <m/>
    <m/>
    <m/>
    <n v="4999600"/>
    <m/>
    <n v="4999600"/>
    <n v="4999600"/>
  </r>
  <r>
    <x v="1"/>
    <x v="3"/>
    <x v="13"/>
    <x v="47"/>
    <x v="1"/>
    <x v="2"/>
    <x v="108"/>
    <x v="108"/>
    <x v="914"/>
    <n v="2375000"/>
    <m/>
    <m/>
    <m/>
    <n v="2375000"/>
    <n v="3562500"/>
    <m/>
    <n v="3562500"/>
  </r>
  <r>
    <x v="1"/>
    <x v="3"/>
    <x v="13"/>
    <x v="47"/>
    <x v="1"/>
    <x v="2"/>
    <x v="108"/>
    <x v="108"/>
    <x v="915"/>
    <n v="1934400"/>
    <m/>
    <m/>
    <m/>
    <n v="1934400"/>
    <m/>
    <n v="1934400"/>
    <n v="1934400"/>
  </r>
  <r>
    <x v="1"/>
    <x v="3"/>
    <x v="13"/>
    <x v="47"/>
    <x v="1"/>
    <x v="2"/>
    <x v="109"/>
    <x v="109"/>
    <x v="438"/>
    <n v="4799600"/>
    <m/>
    <m/>
    <m/>
    <n v="4799600"/>
    <n v="7199400"/>
    <m/>
    <n v="7199400"/>
  </r>
  <r>
    <x v="1"/>
    <x v="3"/>
    <x v="13"/>
    <x v="47"/>
    <x v="1"/>
    <x v="2"/>
    <x v="109"/>
    <x v="109"/>
    <x v="916"/>
    <n v="3719600"/>
    <m/>
    <m/>
    <m/>
    <n v="3719600"/>
    <m/>
    <n v="3719600"/>
    <n v="3719600"/>
  </r>
  <r>
    <x v="1"/>
    <x v="3"/>
    <x v="13"/>
    <x v="47"/>
    <x v="1"/>
    <x v="2"/>
    <x v="109"/>
    <x v="109"/>
    <x v="917"/>
    <n v="6846000"/>
    <m/>
    <m/>
    <m/>
    <n v="6846000"/>
    <m/>
    <n v="6846000"/>
    <n v="6846000"/>
  </r>
  <r>
    <x v="1"/>
    <x v="3"/>
    <x v="13"/>
    <x v="47"/>
    <x v="1"/>
    <x v="2"/>
    <x v="110"/>
    <x v="110"/>
    <x v="918"/>
    <n v="3436000"/>
    <m/>
    <m/>
    <m/>
    <n v="3436000"/>
    <m/>
    <n v="3436000"/>
    <n v="3436000"/>
  </r>
  <r>
    <x v="1"/>
    <x v="3"/>
    <x v="13"/>
    <x v="47"/>
    <x v="1"/>
    <x v="2"/>
    <x v="110"/>
    <x v="110"/>
    <x v="919"/>
    <n v="2098000"/>
    <m/>
    <m/>
    <m/>
    <n v="2098000"/>
    <m/>
    <n v="2098000"/>
    <n v="2098000"/>
  </r>
  <r>
    <x v="1"/>
    <x v="3"/>
    <x v="13"/>
    <x v="47"/>
    <x v="1"/>
    <x v="2"/>
    <x v="110"/>
    <x v="110"/>
    <x v="920"/>
    <n v="2555000"/>
    <m/>
    <m/>
    <m/>
    <n v="2555000"/>
    <m/>
    <n v="2555000"/>
    <n v="2555000"/>
  </r>
  <r>
    <x v="1"/>
    <x v="3"/>
    <x v="13"/>
    <x v="47"/>
    <x v="1"/>
    <x v="2"/>
    <x v="110"/>
    <x v="110"/>
    <x v="921"/>
    <n v="10446400"/>
    <m/>
    <m/>
    <m/>
    <n v="10446400"/>
    <m/>
    <n v="10446400"/>
    <n v="10446400"/>
  </r>
  <r>
    <x v="1"/>
    <x v="3"/>
    <x v="13"/>
    <x v="47"/>
    <x v="1"/>
    <x v="2"/>
    <x v="111"/>
    <x v="111"/>
    <x v="922"/>
    <n v="2835000"/>
    <m/>
    <m/>
    <m/>
    <n v="2835000"/>
    <m/>
    <n v="2835000"/>
    <n v="2835000"/>
  </r>
  <r>
    <x v="1"/>
    <x v="3"/>
    <x v="13"/>
    <x v="47"/>
    <x v="1"/>
    <x v="2"/>
    <x v="111"/>
    <x v="111"/>
    <x v="923"/>
    <n v="1278000"/>
    <m/>
    <m/>
    <m/>
    <n v="1278000"/>
    <n v="1917000"/>
    <m/>
    <n v="1917000"/>
  </r>
  <r>
    <x v="1"/>
    <x v="3"/>
    <x v="13"/>
    <x v="47"/>
    <x v="1"/>
    <x v="2"/>
    <x v="111"/>
    <x v="111"/>
    <x v="924"/>
    <n v="4515000"/>
    <m/>
    <m/>
    <m/>
    <n v="4515000"/>
    <m/>
    <n v="4515000"/>
    <n v="4515000"/>
  </r>
  <r>
    <x v="1"/>
    <x v="3"/>
    <x v="13"/>
    <x v="47"/>
    <x v="2"/>
    <x v="2"/>
    <x v="108"/>
    <x v="108"/>
    <x v="925"/>
    <n v="7220400"/>
    <m/>
    <n v="10830600"/>
    <m/>
    <n v="10830600"/>
    <m/>
    <n v="10830600"/>
    <n v="10830600"/>
  </r>
  <r>
    <x v="1"/>
    <x v="3"/>
    <x v="13"/>
    <x v="47"/>
    <x v="2"/>
    <x v="2"/>
    <x v="108"/>
    <x v="108"/>
    <x v="926"/>
    <n v="2210000"/>
    <m/>
    <n v="3315000"/>
    <m/>
    <n v="3315000"/>
    <n v="4972500"/>
    <m/>
    <n v="4972500"/>
  </r>
  <r>
    <x v="1"/>
    <x v="3"/>
    <x v="13"/>
    <x v="47"/>
    <x v="2"/>
    <x v="2"/>
    <x v="108"/>
    <x v="108"/>
    <x v="927"/>
    <n v="6714400"/>
    <m/>
    <n v="10071600"/>
    <m/>
    <n v="10071600"/>
    <n v="15107400"/>
    <m/>
    <n v="15107400"/>
  </r>
  <r>
    <x v="1"/>
    <x v="3"/>
    <x v="13"/>
    <x v="47"/>
    <x v="2"/>
    <x v="2"/>
    <x v="108"/>
    <x v="108"/>
    <x v="928"/>
    <n v="2238000"/>
    <m/>
    <n v="3357000"/>
    <m/>
    <n v="3357000"/>
    <m/>
    <n v="3357000"/>
    <n v="3357000"/>
  </r>
  <r>
    <x v="1"/>
    <x v="3"/>
    <x v="13"/>
    <x v="47"/>
    <x v="2"/>
    <x v="2"/>
    <x v="108"/>
    <x v="108"/>
    <x v="929"/>
    <n v="2639700"/>
    <m/>
    <n v="3959550"/>
    <m/>
    <n v="3959550"/>
    <m/>
    <n v="3959550"/>
    <n v="3959550"/>
  </r>
  <r>
    <x v="1"/>
    <x v="3"/>
    <x v="13"/>
    <x v="47"/>
    <x v="2"/>
    <x v="2"/>
    <x v="108"/>
    <x v="108"/>
    <x v="930"/>
    <n v="2546000"/>
    <m/>
    <n v="3819000"/>
    <m/>
    <n v="3819000"/>
    <m/>
    <n v="3819000"/>
    <n v="3819000"/>
  </r>
  <r>
    <x v="1"/>
    <x v="3"/>
    <x v="13"/>
    <x v="47"/>
    <x v="2"/>
    <x v="2"/>
    <x v="108"/>
    <x v="108"/>
    <x v="931"/>
    <n v="16365000"/>
    <m/>
    <n v="24547500"/>
    <m/>
    <n v="24547500"/>
    <m/>
    <n v="24547500"/>
    <n v="24547500"/>
  </r>
  <r>
    <x v="1"/>
    <x v="3"/>
    <x v="13"/>
    <x v="47"/>
    <x v="2"/>
    <x v="2"/>
    <x v="108"/>
    <x v="108"/>
    <x v="932"/>
    <n v="8630800"/>
    <m/>
    <n v="12946200"/>
    <m/>
    <n v="12946200"/>
    <n v="19419300"/>
    <m/>
    <n v="19419300"/>
  </r>
  <r>
    <x v="1"/>
    <x v="3"/>
    <x v="13"/>
    <x v="47"/>
    <x v="2"/>
    <x v="2"/>
    <x v="108"/>
    <x v="108"/>
    <x v="933"/>
    <n v="3347600"/>
    <m/>
    <n v="5021400"/>
    <m/>
    <n v="5021400"/>
    <m/>
    <n v="5021400"/>
    <n v="5021400"/>
  </r>
  <r>
    <x v="1"/>
    <x v="3"/>
    <x v="13"/>
    <x v="47"/>
    <x v="2"/>
    <x v="2"/>
    <x v="109"/>
    <x v="109"/>
    <x v="934"/>
    <n v="6020000"/>
    <m/>
    <n v="9030000"/>
    <m/>
    <n v="9030000"/>
    <m/>
    <n v="9030000"/>
    <n v="9030000"/>
  </r>
  <r>
    <x v="1"/>
    <x v="3"/>
    <x v="13"/>
    <x v="47"/>
    <x v="2"/>
    <x v="2"/>
    <x v="109"/>
    <x v="109"/>
    <x v="935"/>
    <n v="11210000"/>
    <m/>
    <n v="16815000"/>
    <m/>
    <n v="16815000"/>
    <m/>
    <n v="16815000"/>
    <n v="16815000"/>
  </r>
  <r>
    <x v="1"/>
    <x v="3"/>
    <x v="13"/>
    <x v="47"/>
    <x v="2"/>
    <x v="2"/>
    <x v="109"/>
    <x v="109"/>
    <x v="149"/>
    <n v="10410000"/>
    <m/>
    <n v="15615000"/>
    <m/>
    <n v="15615000"/>
    <n v="23422500"/>
    <m/>
    <n v="23422500"/>
  </r>
  <r>
    <x v="1"/>
    <x v="3"/>
    <x v="13"/>
    <x v="47"/>
    <x v="2"/>
    <x v="2"/>
    <x v="110"/>
    <x v="110"/>
    <x v="176"/>
    <n v="2136000"/>
    <m/>
    <n v="3204000"/>
    <m/>
    <n v="3204000"/>
    <n v="4806000"/>
    <m/>
    <n v="4806000"/>
  </r>
  <r>
    <x v="1"/>
    <x v="3"/>
    <x v="13"/>
    <x v="47"/>
    <x v="2"/>
    <x v="2"/>
    <x v="111"/>
    <x v="111"/>
    <x v="142"/>
    <n v="4164400"/>
    <m/>
    <n v="6246600"/>
    <m/>
    <n v="6246600"/>
    <n v="9369900"/>
    <m/>
    <n v="9369900"/>
  </r>
  <r>
    <x v="1"/>
    <x v="3"/>
    <x v="13"/>
    <x v="47"/>
    <x v="2"/>
    <x v="2"/>
    <x v="111"/>
    <x v="111"/>
    <x v="936"/>
    <n v="3329800"/>
    <m/>
    <n v="4994700"/>
    <m/>
    <n v="4994700"/>
    <m/>
    <n v="4994700"/>
    <n v="4994700"/>
  </r>
  <r>
    <x v="1"/>
    <x v="3"/>
    <x v="13"/>
    <x v="47"/>
    <x v="2"/>
    <x v="2"/>
    <x v="111"/>
    <x v="111"/>
    <x v="937"/>
    <n v="3210600"/>
    <m/>
    <n v="4815900"/>
    <m/>
    <n v="4815900"/>
    <n v="7223850"/>
    <m/>
    <n v="7223850"/>
  </r>
  <r>
    <x v="1"/>
    <x v="3"/>
    <x v="13"/>
    <x v="47"/>
    <x v="2"/>
    <x v="2"/>
    <x v="111"/>
    <x v="111"/>
    <x v="613"/>
    <n v="2038000"/>
    <m/>
    <n v="3057000"/>
    <m/>
    <n v="3057000"/>
    <n v="4585500"/>
    <m/>
    <n v="4585500"/>
  </r>
  <r>
    <x v="1"/>
    <x v="3"/>
    <x v="13"/>
    <x v="47"/>
    <x v="2"/>
    <x v="2"/>
    <x v="111"/>
    <x v="111"/>
    <x v="938"/>
    <n v="3858000"/>
    <m/>
    <n v="5787000"/>
    <m/>
    <n v="5787000"/>
    <m/>
    <n v="5787000"/>
    <n v="5787000"/>
  </r>
  <r>
    <x v="1"/>
    <x v="3"/>
    <x v="13"/>
    <x v="47"/>
    <x v="2"/>
    <x v="2"/>
    <x v="111"/>
    <x v="111"/>
    <x v="939"/>
    <n v="4572000"/>
    <m/>
    <n v="6858000"/>
    <m/>
    <n v="6858000"/>
    <m/>
    <n v="6858000"/>
    <n v="6858000"/>
  </r>
  <r>
    <x v="1"/>
    <x v="3"/>
    <x v="13"/>
    <x v="47"/>
    <x v="2"/>
    <x v="2"/>
    <x v="111"/>
    <x v="111"/>
    <x v="940"/>
    <n v="11886400"/>
    <m/>
    <n v="17829600"/>
    <m/>
    <n v="17829600"/>
    <m/>
    <n v="17829600"/>
    <n v="17829600"/>
  </r>
  <r>
    <x v="1"/>
    <x v="3"/>
    <x v="13"/>
    <x v="47"/>
    <x v="2"/>
    <x v="2"/>
    <x v="111"/>
    <x v="111"/>
    <x v="941"/>
    <n v="17616000"/>
    <m/>
    <n v="26424000"/>
    <m/>
    <n v="26424000"/>
    <n v="39636000"/>
    <m/>
    <n v="39636000"/>
  </r>
  <r>
    <x v="1"/>
    <x v="3"/>
    <x v="13"/>
    <x v="47"/>
    <x v="2"/>
    <x v="1"/>
    <x v="111"/>
    <x v="111"/>
    <x v="942"/>
    <s v="-"/>
    <m/>
    <m/>
    <m/>
    <s v="-"/>
    <m/>
    <m/>
    <m/>
  </r>
  <r>
    <x v="1"/>
    <x v="3"/>
    <x v="13"/>
    <x v="47"/>
    <x v="3"/>
    <x v="2"/>
    <x v="108"/>
    <x v="108"/>
    <x v="943"/>
    <n v="12254400"/>
    <m/>
    <n v="18381600"/>
    <m/>
    <n v="18381600"/>
    <m/>
    <n v="18381600"/>
    <n v="18381600"/>
  </r>
  <r>
    <x v="1"/>
    <x v="3"/>
    <x v="13"/>
    <x v="47"/>
    <x v="3"/>
    <x v="2"/>
    <x v="108"/>
    <x v="108"/>
    <x v="944"/>
    <n v="4699800"/>
    <m/>
    <n v="7049700"/>
    <m/>
    <n v="7049700"/>
    <m/>
    <n v="7049700"/>
    <n v="7049700"/>
  </r>
  <r>
    <x v="1"/>
    <x v="3"/>
    <x v="13"/>
    <x v="47"/>
    <x v="3"/>
    <x v="2"/>
    <x v="110"/>
    <x v="110"/>
    <x v="945"/>
    <n v="11773000"/>
    <m/>
    <n v="17659500"/>
    <m/>
    <n v="17659500"/>
    <m/>
    <n v="17659500"/>
    <n v="17659500"/>
  </r>
  <r>
    <x v="1"/>
    <x v="3"/>
    <x v="13"/>
    <x v="48"/>
    <x v="4"/>
    <x v="3"/>
    <x v="112"/>
    <x v="112"/>
    <x v="946"/>
    <n v="776000"/>
    <m/>
    <m/>
    <m/>
    <n v="776000"/>
    <m/>
    <n v="776000"/>
    <n v="776000"/>
  </r>
  <r>
    <x v="1"/>
    <x v="3"/>
    <x v="13"/>
    <x v="48"/>
    <x v="4"/>
    <x v="3"/>
    <x v="112"/>
    <x v="112"/>
    <x v="947"/>
    <n v="7199600"/>
    <m/>
    <m/>
    <m/>
    <n v="7199600"/>
    <m/>
    <n v="7199600"/>
    <n v="7199600"/>
  </r>
  <r>
    <x v="1"/>
    <x v="3"/>
    <x v="13"/>
    <x v="48"/>
    <x v="4"/>
    <x v="3"/>
    <x v="112"/>
    <x v="112"/>
    <x v="948"/>
    <n v="10259400"/>
    <m/>
    <m/>
    <m/>
    <n v="10259400"/>
    <n v="15389100"/>
    <m/>
    <n v="15389100"/>
  </r>
  <r>
    <x v="1"/>
    <x v="3"/>
    <x v="13"/>
    <x v="48"/>
    <x v="0"/>
    <x v="0"/>
    <x v="112"/>
    <x v="112"/>
    <x v="949"/>
    <n v="1546000"/>
    <m/>
    <m/>
    <m/>
    <n v="1546000"/>
    <m/>
    <n v="1546000"/>
    <n v="1546000"/>
  </r>
  <r>
    <x v="1"/>
    <x v="3"/>
    <x v="13"/>
    <x v="48"/>
    <x v="0"/>
    <x v="2"/>
    <x v="113"/>
    <x v="113"/>
    <x v="950"/>
    <n v="948000"/>
    <m/>
    <m/>
    <m/>
    <n v="948000"/>
    <m/>
    <n v="948000"/>
    <n v="948000"/>
  </r>
  <r>
    <x v="1"/>
    <x v="3"/>
    <x v="13"/>
    <x v="48"/>
    <x v="0"/>
    <x v="1"/>
    <x v="113"/>
    <x v="113"/>
    <x v="951"/>
    <s v="-"/>
    <m/>
    <m/>
    <m/>
    <s v="-"/>
    <m/>
    <m/>
    <m/>
  </r>
  <r>
    <x v="1"/>
    <x v="3"/>
    <x v="13"/>
    <x v="48"/>
    <x v="0"/>
    <x v="1"/>
    <x v="114"/>
    <x v="114"/>
    <x v="952"/>
    <s v="-"/>
    <m/>
    <m/>
    <m/>
    <s v="-"/>
    <m/>
    <m/>
    <m/>
  </r>
  <r>
    <x v="1"/>
    <x v="3"/>
    <x v="13"/>
    <x v="48"/>
    <x v="1"/>
    <x v="2"/>
    <x v="113"/>
    <x v="113"/>
    <x v="953"/>
    <n v="5490000"/>
    <m/>
    <m/>
    <m/>
    <n v="5490000"/>
    <m/>
    <n v="5490000"/>
    <n v="5490000"/>
  </r>
  <r>
    <x v="1"/>
    <x v="3"/>
    <x v="13"/>
    <x v="48"/>
    <x v="1"/>
    <x v="2"/>
    <x v="113"/>
    <x v="113"/>
    <x v="954"/>
    <n v="1677000"/>
    <m/>
    <m/>
    <m/>
    <n v="1677000"/>
    <n v="2515500"/>
    <m/>
    <n v="2515500"/>
  </r>
  <r>
    <x v="1"/>
    <x v="3"/>
    <x v="13"/>
    <x v="48"/>
    <x v="1"/>
    <x v="2"/>
    <x v="113"/>
    <x v="113"/>
    <x v="955"/>
    <n v="1250700"/>
    <m/>
    <m/>
    <m/>
    <n v="1250700"/>
    <n v="1876050"/>
    <m/>
    <n v="1876050"/>
  </r>
  <r>
    <x v="1"/>
    <x v="3"/>
    <x v="13"/>
    <x v="48"/>
    <x v="1"/>
    <x v="2"/>
    <x v="113"/>
    <x v="113"/>
    <x v="956"/>
    <n v="2971600"/>
    <m/>
    <m/>
    <m/>
    <n v="2971600"/>
    <m/>
    <n v="2971600"/>
    <n v="2971600"/>
  </r>
  <r>
    <x v="1"/>
    <x v="3"/>
    <x v="13"/>
    <x v="48"/>
    <x v="1"/>
    <x v="2"/>
    <x v="113"/>
    <x v="113"/>
    <x v="957"/>
    <n v="3206700"/>
    <m/>
    <m/>
    <m/>
    <n v="3206700"/>
    <n v="4810050"/>
    <m/>
    <n v="4810050"/>
  </r>
  <r>
    <x v="1"/>
    <x v="3"/>
    <x v="13"/>
    <x v="48"/>
    <x v="1"/>
    <x v="2"/>
    <x v="113"/>
    <x v="113"/>
    <x v="958"/>
    <n v="2455800"/>
    <m/>
    <m/>
    <m/>
    <n v="2455800"/>
    <m/>
    <n v="2455800"/>
    <n v="2455800"/>
  </r>
  <r>
    <x v="1"/>
    <x v="3"/>
    <x v="13"/>
    <x v="48"/>
    <x v="1"/>
    <x v="2"/>
    <x v="113"/>
    <x v="113"/>
    <x v="959"/>
    <n v="7450400"/>
    <m/>
    <m/>
    <m/>
    <n v="7450400"/>
    <n v="11175600"/>
    <m/>
    <n v="11175600"/>
  </r>
  <r>
    <x v="1"/>
    <x v="3"/>
    <x v="13"/>
    <x v="48"/>
    <x v="1"/>
    <x v="2"/>
    <x v="112"/>
    <x v="112"/>
    <x v="960"/>
    <n v="2338000"/>
    <m/>
    <m/>
    <m/>
    <n v="2338000"/>
    <m/>
    <n v="2338000"/>
    <n v="2338000"/>
  </r>
  <r>
    <x v="1"/>
    <x v="3"/>
    <x v="13"/>
    <x v="48"/>
    <x v="1"/>
    <x v="2"/>
    <x v="112"/>
    <x v="112"/>
    <x v="961"/>
    <n v="5135600"/>
    <m/>
    <m/>
    <m/>
    <n v="5135600"/>
    <m/>
    <n v="5135600"/>
    <n v="5135600"/>
  </r>
  <r>
    <x v="1"/>
    <x v="3"/>
    <x v="13"/>
    <x v="48"/>
    <x v="1"/>
    <x v="2"/>
    <x v="112"/>
    <x v="112"/>
    <x v="962"/>
    <n v="7412300"/>
    <m/>
    <m/>
    <m/>
    <n v="7412300"/>
    <m/>
    <n v="7412300"/>
    <n v="7412300"/>
  </r>
  <r>
    <x v="1"/>
    <x v="3"/>
    <x v="13"/>
    <x v="48"/>
    <x v="1"/>
    <x v="2"/>
    <x v="112"/>
    <x v="112"/>
    <x v="476"/>
    <n v="839900"/>
    <m/>
    <m/>
    <m/>
    <n v="839900"/>
    <n v="1259850"/>
    <m/>
    <n v="1259850"/>
  </r>
  <r>
    <x v="1"/>
    <x v="3"/>
    <x v="13"/>
    <x v="48"/>
    <x v="1"/>
    <x v="2"/>
    <x v="112"/>
    <x v="112"/>
    <x v="963"/>
    <n v="2711600"/>
    <m/>
    <m/>
    <m/>
    <n v="2711600"/>
    <m/>
    <n v="2711600"/>
    <n v="2711600"/>
  </r>
  <r>
    <x v="1"/>
    <x v="3"/>
    <x v="13"/>
    <x v="48"/>
    <x v="1"/>
    <x v="2"/>
    <x v="114"/>
    <x v="114"/>
    <x v="964"/>
    <n v="6102900"/>
    <m/>
    <m/>
    <m/>
    <n v="6102900"/>
    <m/>
    <n v="6102900"/>
    <n v="6102900"/>
  </r>
  <r>
    <x v="1"/>
    <x v="3"/>
    <x v="13"/>
    <x v="48"/>
    <x v="1"/>
    <x v="2"/>
    <x v="114"/>
    <x v="114"/>
    <x v="965"/>
    <n v="1740200"/>
    <m/>
    <m/>
    <m/>
    <n v="1740200"/>
    <m/>
    <n v="1740200"/>
    <n v="1740200"/>
  </r>
  <r>
    <x v="1"/>
    <x v="3"/>
    <x v="13"/>
    <x v="48"/>
    <x v="2"/>
    <x v="2"/>
    <x v="113"/>
    <x v="113"/>
    <x v="966"/>
    <n v="4632400"/>
    <m/>
    <n v="6948600"/>
    <m/>
    <n v="6948600"/>
    <m/>
    <n v="6948600"/>
    <n v="6948600"/>
  </r>
  <r>
    <x v="1"/>
    <x v="3"/>
    <x v="13"/>
    <x v="48"/>
    <x v="2"/>
    <x v="2"/>
    <x v="113"/>
    <x v="113"/>
    <x v="967"/>
    <n v="5996000"/>
    <m/>
    <n v="8994000"/>
    <m/>
    <n v="8994000"/>
    <m/>
    <n v="8994000"/>
    <n v="8994000"/>
  </r>
  <r>
    <x v="1"/>
    <x v="3"/>
    <x v="13"/>
    <x v="48"/>
    <x v="2"/>
    <x v="2"/>
    <x v="113"/>
    <x v="113"/>
    <x v="968"/>
    <n v="13249000"/>
    <m/>
    <n v="19873500"/>
    <m/>
    <n v="19873500"/>
    <n v="29810250"/>
    <m/>
    <n v="29810250"/>
  </r>
  <r>
    <x v="1"/>
    <x v="3"/>
    <x v="13"/>
    <x v="48"/>
    <x v="2"/>
    <x v="2"/>
    <x v="113"/>
    <x v="113"/>
    <x v="969"/>
    <n v="13579300"/>
    <m/>
    <n v="20368950"/>
    <m/>
    <n v="20368950"/>
    <n v="30553425"/>
    <m/>
    <n v="30553425"/>
  </r>
  <r>
    <x v="1"/>
    <x v="3"/>
    <x v="13"/>
    <x v="48"/>
    <x v="2"/>
    <x v="2"/>
    <x v="112"/>
    <x v="112"/>
    <x v="970"/>
    <n v="2496000"/>
    <m/>
    <n v="3744000"/>
    <m/>
    <n v="3744000"/>
    <n v="5616000"/>
    <m/>
    <n v="5616000"/>
  </r>
  <r>
    <x v="1"/>
    <x v="3"/>
    <x v="13"/>
    <x v="48"/>
    <x v="2"/>
    <x v="2"/>
    <x v="112"/>
    <x v="112"/>
    <x v="971"/>
    <n v="2474800"/>
    <m/>
    <n v="3712200"/>
    <m/>
    <n v="3712200"/>
    <m/>
    <n v="3712200"/>
    <n v="3712200"/>
  </r>
  <r>
    <x v="1"/>
    <x v="3"/>
    <x v="13"/>
    <x v="48"/>
    <x v="2"/>
    <x v="2"/>
    <x v="112"/>
    <x v="112"/>
    <x v="972"/>
    <n v="3358000"/>
    <m/>
    <n v="5037000"/>
    <m/>
    <n v="5037000"/>
    <m/>
    <n v="5037000"/>
    <n v="5037000"/>
  </r>
  <r>
    <x v="1"/>
    <x v="3"/>
    <x v="13"/>
    <x v="48"/>
    <x v="2"/>
    <x v="2"/>
    <x v="112"/>
    <x v="112"/>
    <x v="973"/>
    <n v="2726000"/>
    <m/>
    <n v="4089000"/>
    <m/>
    <n v="4089000"/>
    <m/>
    <n v="4089000"/>
    <n v="4089000"/>
  </r>
  <r>
    <x v="1"/>
    <x v="3"/>
    <x v="13"/>
    <x v="48"/>
    <x v="2"/>
    <x v="2"/>
    <x v="112"/>
    <x v="112"/>
    <x v="974"/>
    <n v="6710000"/>
    <m/>
    <n v="10065000"/>
    <m/>
    <n v="10065000"/>
    <n v="15097500"/>
    <m/>
    <n v="15097500"/>
  </r>
  <r>
    <x v="1"/>
    <x v="3"/>
    <x v="13"/>
    <x v="48"/>
    <x v="2"/>
    <x v="2"/>
    <x v="112"/>
    <x v="112"/>
    <x v="975"/>
    <n v="5598000"/>
    <m/>
    <n v="8397000"/>
    <m/>
    <n v="8397000"/>
    <m/>
    <n v="8397000"/>
    <n v="8397000"/>
  </r>
  <r>
    <x v="1"/>
    <x v="3"/>
    <x v="13"/>
    <x v="48"/>
    <x v="9"/>
    <x v="1"/>
    <x v="113"/>
    <x v="113"/>
    <x v="976"/>
    <s v="-"/>
    <m/>
    <m/>
    <m/>
    <s v="-"/>
    <m/>
    <m/>
    <m/>
  </r>
  <r>
    <x v="1"/>
    <x v="3"/>
    <x v="13"/>
    <x v="48"/>
    <x v="9"/>
    <x v="1"/>
    <x v="113"/>
    <x v="113"/>
    <x v="977"/>
    <s v="-"/>
    <m/>
    <m/>
    <m/>
    <s v="-"/>
    <m/>
    <m/>
    <m/>
  </r>
  <r>
    <x v="1"/>
    <x v="3"/>
    <x v="13"/>
    <x v="48"/>
    <x v="6"/>
    <x v="5"/>
    <x v="112"/>
    <x v="112"/>
    <x v="978"/>
    <n v="218000"/>
    <m/>
    <m/>
    <m/>
    <n v="218000"/>
    <m/>
    <n v="218000"/>
    <n v="218000"/>
  </r>
  <r>
    <x v="1"/>
    <x v="3"/>
    <x v="14"/>
    <x v="49"/>
    <x v="1"/>
    <x v="2"/>
    <x v="115"/>
    <x v="115"/>
    <x v="979"/>
    <n v="11375000"/>
    <m/>
    <m/>
    <m/>
    <n v="11375000"/>
    <m/>
    <n v="11375000"/>
    <n v="11375000"/>
  </r>
  <r>
    <x v="1"/>
    <x v="3"/>
    <x v="14"/>
    <x v="49"/>
    <x v="2"/>
    <x v="2"/>
    <x v="115"/>
    <x v="115"/>
    <x v="980"/>
    <n v="1088000"/>
    <m/>
    <n v="1632000"/>
    <m/>
    <n v="1632000"/>
    <m/>
    <n v="1632000"/>
    <n v="1632000"/>
  </r>
  <r>
    <x v="1"/>
    <x v="3"/>
    <x v="14"/>
    <x v="49"/>
    <x v="2"/>
    <x v="2"/>
    <x v="115"/>
    <x v="115"/>
    <x v="981"/>
    <n v="1108000"/>
    <m/>
    <n v="1662000"/>
    <m/>
    <n v="1662000"/>
    <m/>
    <n v="1662000"/>
    <n v="1662000"/>
  </r>
  <r>
    <x v="1"/>
    <x v="3"/>
    <x v="14"/>
    <x v="49"/>
    <x v="2"/>
    <x v="2"/>
    <x v="115"/>
    <x v="115"/>
    <x v="982"/>
    <n v="3511600"/>
    <m/>
    <n v="5267400"/>
    <m/>
    <n v="5267400"/>
    <m/>
    <n v="5267400"/>
    <n v="5267400"/>
  </r>
  <r>
    <x v="1"/>
    <x v="3"/>
    <x v="14"/>
    <x v="50"/>
    <x v="4"/>
    <x v="3"/>
    <x v="116"/>
    <x v="116"/>
    <x v="983"/>
    <n v="11999600"/>
    <m/>
    <m/>
    <m/>
    <n v="11999600"/>
    <m/>
    <n v="11999600"/>
    <n v="11999600"/>
  </r>
  <r>
    <x v="1"/>
    <x v="3"/>
    <x v="14"/>
    <x v="50"/>
    <x v="4"/>
    <x v="3"/>
    <x v="117"/>
    <x v="117"/>
    <x v="984"/>
    <n v="3559800"/>
    <m/>
    <m/>
    <m/>
    <n v="3559800"/>
    <n v="5339700"/>
    <m/>
    <n v="5339700"/>
  </r>
  <r>
    <x v="1"/>
    <x v="3"/>
    <x v="14"/>
    <x v="50"/>
    <x v="0"/>
    <x v="0"/>
    <x v="116"/>
    <x v="116"/>
    <x v="985"/>
    <n v="1987600"/>
    <m/>
    <m/>
    <m/>
    <n v="1987600"/>
    <n v="2981400"/>
    <m/>
    <n v="2981400"/>
  </r>
  <r>
    <x v="1"/>
    <x v="3"/>
    <x v="14"/>
    <x v="50"/>
    <x v="0"/>
    <x v="0"/>
    <x v="117"/>
    <x v="117"/>
    <x v="986"/>
    <n v="8142200"/>
    <m/>
    <m/>
    <m/>
    <n v="8142200"/>
    <m/>
    <n v="8142200"/>
    <n v="8142200"/>
  </r>
  <r>
    <x v="1"/>
    <x v="3"/>
    <x v="14"/>
    <x v="50"/>
    <x v="0"/>
    <x v="1"/>
    <x v="117"/>
    <x v="117"/>
    <x v="987"/>
    <s v="-"/>
    <m/>
    <m/>
    <m/>
    <s v="-"/>
    <m/>
    <m/>
    <m/>
  </r>
  <r>
    <x v="1"/>
    <x v="3"/>
    <x v="14"/>
    <x v="50"/>
    <x v="0"/>
    <x v="1"/>
    <x v="118"/>
    <x v="118"/>
    <x v="988"/>
    <s v="-"/>
    <m/>
    <m/>
    <m/>
    <s v="-"/>
    <m/>
    <m/>
    <m/>
  </r>
  <r>
    <x v="1"/>
    <x v="3"/>
    <x v="14"/>
    <x v="50"/>
    <x v="1"/>
    <x v="2"/>
    <x v="116"/>
    <x v="116"/>
    <x v="989"/>
    <n v="8169000"/>
    <m/>
    <m/>
    <m/>
    <n v="8169000"/>
    <n v="12253500"/>
    <m/>
    <n v="12253500"/>
  </r>
  <r>
    <x v="1"/>
    <x v="3"/>
    <x v="14"/>
    <x v="50"/>
    <x v="1"/>
    <x v="2"/>
    <x v="116"/>
    <x v="116"/>
    <x v="990"/>
    <n v="4605600"/>
    <m/>
    <m/>
    <m/>
    <n v="4605600"/>
    <m/>
    <n v="4605600"/>
    <n v="4605600"/>
  </r>
  <r>
    <x v="1"/>
    <x v="3"/>
    <x v="14"/>
    <x v="50"/>
    <x v="1"/>
    <x v="2"/>
    <x v="116"/>
    <x v="116"/>
    <x v="991"/>
    <n v="3470400"/>
    <m/>
    <m/>
    <m/>
    <n v="3470400"/>
    <n v="5205600"/>
    <m/>
    <n v="5205600"/>
  </r>
  <r>
    <x v="1"/>
    <x v="3"/>
    <x v="14"/>
    <x v="50"/>
    <x v="1"/>
    <x v="2"/>
    <x v="116"/>
    <x v="116"/>
    <x v="992"/>
    <n v="1416000"/>
    <m/>
    <m/>
    <m/>
    <n v="1416000"/>
    <n v="2124000"/>
    <m/>
    <n v="2124000"/>
  </r>
  <r>
    <x v="1"/>
    <x v="3"/>
    <x v="14"/>
    <x v="50"/>
    <x v="1"/>
    <x v="2"/>
    <x v="116"/>
    <x v="116"/>
    <x v="993"/>
    <n v="3737600"/>
    <m/>
    <m/>
    <m/>
    <n v="3737600"/>
    <n v="5606400"/>
    <m/>
    <n v="5606400"/>
  </r>
  <r>
    <x v="1"/>
    <x v="3"/>
    <x v="14"/>
    <x v="50"/>
    <x v="1"/>
    <x v="2"/>
    <x v="116"/>
    <x v="116"/>
    <x v="994"/>
    <n v="4199400"/>
    <m/>
    <m/>
    <m/>
    <n v="4199400"/>
    <m/>
    <n v="4199400"/>
    <n v="4199400"/>
  </r>
  <r>
    <x v="1"/>
    <x v="3"/>
    <x v="14"/>
    <x v="50"/>
    <x v="1"/>
    <x v="2"/>
    <x v="116"/>
    <x v="116"/>
    <x v="995"/>
    <n v="2455000"/>
    <m/>
    <m/>
    <m/>
    <n v="2455000"/>
    <m/>
    <n v="2455000"/>
    <n v="2455000"/>
  </r>
  <r>
    <x v="1"/>
    <x v="3"/>
    <x v="14"/>
    <x v="50"/>
    <x v="1"/>
    <x v="2"/>
    <x v="116"/>
    <x v="116"/>
    <x v="996"/>
    <n v="3832500"/>
    <m/>
    <m/>
    <m/>
    <n v="3832500"/>
    <m/>
    <n v="3832500"/>
    <n v="3832500"/>
  </r>
  <r>
    <x v="1"/>
    <x v="3"/>
    <x v="14"/>
    <x v="50"/>
    <x v="1"/>
    <x v="2"/>
    <x v="116"/>
    <x v="116"/>
    <x v="997"/>
    <n v="5190000"/>
    <m/>
    <m/>
    <m/>
    <n v="5190000"/>
    <n v="7785000"/>
    <m/>
    <n v="7785000"/>
  </r>
  <r>
    <x v="1"/>
    <x v="3"/>
    <x v="14"/>
    <x v="50"/>
    <x v="1"/>
    <x v="2"/>
    <x v="116"/>
    <x v="116"/>
    <x v="998"/>
    <n v="10119200"/>
    <m/>
    <m/>
    <m/>
    <n v="10119200"/>
    <m/>
    <n v="10119200"/>
    <n v="10119200"/>
  </r>
  <r>
    <x v="1"/>
    <x v="3"/>
    <x v="14"/>
    <x v="50"/>
    <x v="1"/>
    <x v="2"/>
    <x v="116"/>
    <x v="116"/>
    <x v="999"/>
    <n v="4430000"/>
    <m/>
    <m/>
    <m/>
    <n v="4430000"/>
    <m/>
    <n v="4430000"/>
    <n v="4430000"/>
  </r>
  <r>
    <x v="1"/>
    <x v="3"/>
    <x v="14"/>
    <x v="50"/>
    <x v="1"/>
    <x v="2"/>
    <x v="116"/>
    <x v="116"/>
    <x v="1000"/>
    <n v="2058000"/>
    <m/>
    <m/>
    <m/>
    <n v="2058000"/>
    <m/>
    <n v="2058000"/>
    <n v="2058000"/>
  </r>
  <r>
    <x v="1"/>
    <x v="3"/>
    <x v="14"/>
    <x v="50"/>
    <x v="1"/>
    <x v="2"/>
    <x v="116"/>
    <x v="116"/>
    <x v="1001"/>
    <n v="4127400"/>
    <m/>
    <m/>
    <m/>
    <n v="4127400"/>
    <m/>
    <n v="4127400"/>
    <n v="4127400"/>
  </r>
  <r>
    <x v="1"/>
    <x v="3"/>
    <x v="14"/>
    <x v="50"/>
    <x v="1"/>
    <x v="2"/>
    <x v="116"/>
    <x v="116"/>
    <x v="1002"/>
    <n v="2271600"/>
    <m/>
    <m/>
    <m/>
    <n v="2271600"/>
    <m/>
    <n v="2271600"/>
    <n v="2271600"/>
  </r>
  <r>
    <x v="1"/>
    <x v="3"/>
    <x v="14"/>
    <x v="50"/>
    <x v="1"/>
    <x v="2"/>
    <x v="116"/>
    <x v="116"/>
    <x v="1003"/>
    <n v="5503200"/>
    <m/>
    <m/>
    <m/>
    <n v="5503200"/>
    <m/>
    <n v="5503200"/>
    <n v="5503200"/>
  </r>
  <r>
    <x v="1"/>
    <x v="3"/>
    <x v="14"/>
    <x v="50"/>
    <x v="1"/>
    <x v="2"/>
    <x v="117"/>
    <x v="117"/>
    <x v="1004"/>
    <n v="8910880"/>
    <m/>
    <m/>
    <m/>
    <n v="8910880"/>
    <m/>
    <n v="8910880"/>
    <n v="8910880"/>
  </r>
  <r>
    <x v="1"/>
    <x v="3"/>
    <x v="14"/>
    <x v="50"/>
    <x v="1"/>
    <x v="2"/>
    <x v="117"/>
    <x v="117"/>
    <x v="1005"/>
    <n v="2649800"/>
    <m/>
    <m/>
    <m/>
    <n v="2649800"/>
    <m/>
    <n v="2649800"/>
    <n v="2649800"/>
  </r>
  <r>
    <x v="1"/>
    <x v="3"/>
    <x v="14"/>
    <x v="50"/>
    <x v="1"/>
    <x v="2"/>
    <x v="118"/>
    <x v="118"/>
    <x v="1006"/>
    <n v="3298000"/>
    <m/>
    <m/>
    <m/>
    <n v="3298000"/>
    <m/>
    <n v="3298000"/>
    <n v="3298000"/>
  </r>
  <r>
    <x v="1"/>
    <x v="3"/>
    <x v="14"/>
    <x v="50"/>
    <x v="1"/>
    <x v="2"/>
    <x v="118"/>
    <x v="118"/>
    <x v="1007"/>
    <n v="7650000"/>
    <m/>
    <m/>
    <m/>
    <n v="7650000"/>
    <m/>
    <n v="7650000"/>
    <n v="7650000"/>
  </r>
  <r>
    <x v="1"/>
    <x v="3"/>
    <x v="14"/>
    <x v="50"/>
    <x v="2"/>
    <x v="2"/>
    <x v="116"/>
    <x v="116"/>
    <x v="1008"/>
    <n v="3474000"/>
    <m/>
    <n v="5211000"/>
    <m/>
    <n v="5211000"/>
    <n v="7816500"/>
    <m/>
    <n v="7816500"/>
  </r>
  <r>
    <x v="1"/>
    <x v="3"/>
    <x v="14"/>
    <x v="50"/>
    <x v="2"/>
    <x v="2"/>
    <x v="116"/>
    <x v="116"/>
    <x v="1009"/>
    <n v="9832000"/>
    <m/>
    <n v="14748000"/>
    <m/>
    <n v="14748000"/>
    <m/>
    <n v="14748000"/>
    <n v="14748000"/>
  </r>
  <r>
    <x v="1"/>
    <x v="3"/>
    <x v="14"/>
    <x v="50"/>
    <x v="2"/>
    <x v="2"/>
    <x v="116"/>
    <x v="116"/>
    <x v="1010"/>
    <n v="2538000"/>
    <m/>
    <n v="3807000"/>
    <m/>
    <n v="3807000"/>
    <n v="5710500"/>
    <m/>
    <n v="5710500"/>
  </r>
  <r>
    <x v="1"/>
    <x v="3"/>
    <x v="14"/>
    <x v="50"/>
    <x v="2"/>
    <x v="2"/>
    <x v="116"/>
    <x v="116"/>
    <x v="1011"/>
    <n v="2038000"/>
    <m/>
    <n v="3057000"/>
    <m/>
    <n v="3057000"/>
    <m/>
    <n v="3057000"/>
    <n v="3057000"/>
  </r>
  <r>
    <x v="1"/>
    <x v="3"/>
    <x v="14"/>
    <x v="50"/>
    <x v="2"/>
    <x v="2"/>
    <x v="116"/>
    <x v="116"/>
    <x v="1012"/>
    <n v="6438000"/>
    <m/>
    <n v="9657000"/>
    <m/>
    <n v="9657000"/>
    <m/>
    <n v="9657000"/>
    <n v="9657000"/>
  </r>
  <r>
    <x v="1"/>
    <x v="3"/>
    <x v="14"/>
    <x v="50"/>
    <x v="2"/>
    <x v="2"/>
    <x v="116"/>
    <x v="116"/>
    <x v="1013"/>
    <n v="2905800"/>
    <m/>
    <n v="4358700"/>
    <m/>
    <n v="4358700"/>
    <m/>
    <n v="4358700"/>
    <n v="4358700"/>
  </r>
  <r>
    <x v="1"/>
    <x v="3"/>
    <x v="14"/>
    <x v="50"/>
    <x v="2"/>
    <x v="2"/>
    <x v="116"/>
    <x v="116"/>
    <x v="1014"/>
    <n v="4199700"/>
    <m/>
    <n v="6299550"/>
    <m/>
    <n v="6299550"/>
    <m/>
    <n v="6299550"/>
    <n v="6299550"/>
  </r>
  <r>
    <x v="1"/>
    <x v="3"/>
    <x v="14"/>
    <x v="50"/>
    <x v="2"/>
    <x v="2"/>
    <x v="116"/>
    <x v="116"/>
    <x v="1015"/>
    <n v="5188400"/>
    <m/>
    <n v="7782600"/>
    <m/>
    <n v="7782600"/>
    <m/>
    <n v="7782600"/>
    <n v="7782600"/>
  </r>
  <r>
    <x v="1"/>
    <x v="3"/>
    <x v="14"/>
    <x v="50"/>
    <x v="2"/>
    <x v="2"/>
    <x v="116"/>
    <x v="116"/>
    <x v="1016"/>
    <n v="2174200"/>
    <m/>
    <n v="3261300"/>
    <m/>
    <n v="3261300"/>
    <n v="4891950"/>
    <m/>
    <n v="4891950"/>
  </r>
  <r>
    <x v="1"/>
    <x v="3"/>
    <x v="14"/>
    <x v="50"/>
    <x v="2"/>
    <x v="2"/>
    <x v="116"/>
    <x v="116"/>
    <x v="968"/>
    <n v="5499600"/>
    <m/>
    <n v="8249400"/>
    <m/>
    <n v="8249400"/>
    <n v="12374100"/>
    <m/>
    <n v="12374100"/>
  </r>
  <r>
    <x v="1"/>
    <x v="3"/>
    <x v="14"/>
    <x v="50"/>
    <x v="2"/>
    <x v="2"/>
    <x v="117"/>
    <x v="117"/>
    <x v="1017"/>
    <n v="14661900"/>
    <m/>
    <n v="21992850"/>
    <m/>
    <n v="21992850"/>
    <n v="32989275"/>
    <m/>
    <n v="32989275"/>
  </r>
  <r>
    <x v="1"/>
    <x v="3"/>
    <x v="14"/>
    <x v="50"/>
    <x v="2"/>
    <x v="2"/>
    <x v="117"/>
    <x v="117"/>
    <x v="1018"/>
    <n v="14849100"/>
    <m/>
    <n v="22273650"/>
    <m/>
    <n v="22273650"/>
    <m/>
    <n v="22273650"/>
    <n v="22273650"/>
  </r>
  <r>
    <x v="1"/>
    <x v="3"/>
    <x v="14"/>
    <x v="50"/>
    <x v="2"/>
    <x v="2"/>
    <x v="117"/>
    <x v="117"/>
    <x v="1019"/>
    <n v="2115800"/>
    <m/>
    <n v="3173700"/>
    <m/>
    <n v="3173700"/>
    <m/>
    <n v="3173700"/>
    <n v="3173700"/>
  </r>
  <r>
    <x v="1"/>
    <x v="3"/>
    <x v="14"/>
    <x v="50"/>
    <x v="2"/>
    <x v="2"/>
    <x v="117"/>
    <x v="117"/>
    <x v="1020"/>
    <n v="3698000"/>
    <m/>
    <n v="5547000"/>
    <m/>
    <n v="5547000"/>
    <m/>
    <n v="5547000"/>
    <n v="5547000"/>
  </r>
  <r>
    <x v="1"/>
    <x v="3"/>
    <x v="14"/>
    <x v="50"/>
    <x v="2"/>
    <x v="2"/>
    <x v="117"/>
    <x v="117"/>
    <x v="1021"/>
    <n v="32780000"/>
    <m/>
    <n v="49170000"/>
    <m/>
    <n v="49170000"/>
    <m/>
    <n v="49170000"/>
    <n v="49170000"/>
  </r>
  <r>
    <x v="1"/>
    <x v="3"/>
    <x v="14"/>
    <x v="50"/>
    <x v="2"/>
    <x v="2"/>
    <x v="118"/>
    <x v="118"/>
    <x v="1022"/>
    <n v="1859000"/>
    <m/>
    <n v="2788500"/>
    <m/>
    <n v="2788500"/>
    <m/>
    <n v="2788500"/>
    <n v="2788500"/>
  </r>
  <r>
    <x v="1"/>
    <x v="3"/>
    <x v="14"/>
    <x v="50"/>
    <x v="5"/>
    <x v="1"/>
    <x v="116"/>
    <x v="116"/>
    <x v="1023"/>
    <s v="-"/>
    <m/>
    <m/>
    <m/>
    <s v="-"/>
    <m/>
    <m/>
    <m/>
  </r>
  <r>
    <x v="1"/>
    <x v="3"/>
    <x v="14"/>
    <x v="50"/>
    <x v="5"/>
    <x v="1"/>
    <x v="117"/>
    <x v="117"/>
    <x v="1024"/>
    <s v="-"/>
    <m/>
    <m/>
    <m/>
    <s v="-"/>
    <m/>
    <m/>
    <m/>
  </r>
  <r>
    <x v="1"/>
    <x v="3"/>
    <x v="14"/>
    <x v="50"/>
    <x v="3"/>
    <x v="2"/>
    <x v="116"/>
    <x v="116"/>
    <x v="1025"/>
    <n v="9612000"/>
    <m/>
    <n v="14418000"/>
    <m/>
    <n v="14418000"/>
    <n v="21627000"/>
    <m/>
    <n v="21627000"/>
  </r>
  <r>
    <x v="1"/>
    <x v="3"/>
    <x v="14"/>
    <x v="50"/>
    <x v="3"/>
    <x v="2"/>
    <x v="116"/>
    <x v="116"/>
    <x v="1026"/>
    <n v="3598000"/>
    <m/>
    <n v="5397000"/>
    <m/>
    <n v="5397000"/>
    <m/>
    <n v="5397000"/>
    <n v="5397000"/>
  </r>
  <r>
    <x v="1"/>
    <x v="3"/>
    <x v="14"/>
    <x v="50"/>
    <x v="3"/>
    <x v="2"/>
    <x v="116"/>
    <x v="116"/>
    <x v="1027"/>
    <n v="4269000"/>
    <m/>
    <n v="6403500"/>
    <m/>
    <n v="6403500"/>
    <m/>
    <n v="6403500"/>
    <n v="6403500"/>
  </r>
  <r>
    <x v="1"/>
    <x v="3"/>
    <x v="14"/>
    <x v="50"/>
    <x v="3"/>
    <x v="2"/>
    <x v="117"/>
    <x v="117"/>
    <x v="1028"/>
    <n v="4533200"/>
    <m/>
    <n v="6799800"/>
    <m/>
    <n v="6799800"/>
    <m/>
    <n v="6799800"/>
    <n v="6799800"/>
  </r>
  <r>
    <x v="1"/>
    <x v="3"/>
    <x v="15"/>
    <x v="51"/>
    <x v="1"/>
    <x v="2"/>
    <x v="119"/>
    <x v="119"/>
    <x v="1029"/>
    <n v="1979800"/>
    <m/>
    <m/>
    <m/>
    <n v="1979800"/>
    <m/>
    <n v="1979800"/>
    <n v="1979800"/>
  </r>
  <r>
    <x v="1"/>
    <x v="3"/>
    <x v="15"/>
    <x v="51"/>
    <x v="2"/>
    <x v="2"/>
    <x v="119"/>
    <x v="119"/>
    <x v="1030"/>
    <n v="9493200"/>
    <m/>
    <n v="14239800"/>
    <m/>
    <n v="14239800"/>
    <m/>
    <n v="14239800"/>
    <n v="14239800"/>
  </r>
  <r>
    <x v="1"/>
    <x v="3"/>
    <x v="15"/>
    <x v="51"/>
    <x v="2"/>
    <x v="2"/>
    <x v="119"/>
    <x v="119"/>
    <x v="1031"/>
    <n v="6040400"/>
    <m/>
    <n v="9060600"/>
    <m/>
    <n v="9060600"/>
    <m/>
    <n v="9060600"/>
    <n v="9060600"/>
  </r>
  <r>
    <x v="1"/>
    <x v="3"/>
    <x v="15"/>
    <x v="51"/>
    <x v="2"/>
    <x v="1"/>
    <x v="119"/>
    <x v="119"/>
    <x v="1032"/>
    <s v="-"/>
    <m/>
    <m/>
    <m/>
    <s v="-"/>
    <m/>
    <m/>
    <m/>
  </r>
  <r>
    <x v="1"/>
    <x v="3"/>
    <x v="15"/>
    <x v="52"/>
    <x v="0"/>
    <x v="1"/>
    <x v="120"/>
    <x v="120"/>
    <x v="1033"/>
    <s v="-"/>
    <m/>
    <m/>
    <m/>
    <s v="-"/>
    <m/>
    <m/>
    <m/>
  </r>
  <r>
    <x v="1"/>
    <x v="3"/>
    <x v="15"/>
    <x v="52"/>
    <x v="2"/>
    <x v="2"/>
    <x v="120"/>
    <x v="120"/>
    <x v="1034"/>
    <n v="8934000"/>
    <m/>
    <n v="13401000"/>
    <m/>
    <n v="13401000"/>
    <n v="20101500"/>
    <m/>
    <n v="20101500"/>
  </r>
  <r>
    <x v="1"/>
    <x v="3"/>
    <x v="15"/>
    <x v="52"/>
    <x v="2"/>
    <x v="2"/>
    <x v="120"/>
    <x v="120"/>
    <x v="1035"/>
    <n v="10619400"/>
    <m/>
    <n v="15929100"/>
    <m/>
    <n v="15929100"/>
    <m/>
    <n v="15929100"/>
    <n v="15929100"/>
  </r>
  <r>
    <x v="1"/>
    <x v="3"/>
    <x v="15"/>
    <x v="52"/>
    <x v="2"/>
    <x v="2"/>
    <x v="120"/>
    <x v="120"/>
    <x v="598"/>
    <n v="4380000"/>
    <m/>
    <n v="6570000"/>
    <m/>
    <n v="6570000"/>
    <n v="9855000"/>
    <m/>
    <n v="9855000"/>
  </r>
  <r>
    <x v="1"/>
    <x v="3"/>
    <x v="15"/>
    <x v="52"/>
    <x v="2"/>
    <x v="2"/>
    <x v="120"/>
    <x v="120"/>
    <x v="1036"/>
    <n v="4876000"/>
    <m/>
    <n v="7314000"/>
    <m/>
    <n v="7314000"/>
    <m/>
    <n v="7314000"/>
    <n v="7314000"/>
  </r>
  <r>
    <x v="1"/>
    <x v="3"/>
    <x v="15"/>
    <x v="52"/>
    <x v="2"/>
    <x v="2"/>
    <x v="120"/>
    <x v="120"/>
    <x v="1037"/>
    <n v="3035700"/>
    <m/>
    <n v="4553550"/>
    <m/>
    <n v="4553550"/>
    <m/>
    <n v="4553550"/>
    <n v="4553550"/>
  </r>
  <r>
    <x v="1"/>
    <x v="3"/>
    <x v="15"/>
    <x v="52"/>
    <x v="2"/>
    <x v="2"/>
    <x v="120"/>
    <x v="120"/>
    <x v="937"/>
    <n v="4560800"/>
    <m/>
    <n v="6841200"/>
    <m/>
    <n v="6841200"/>
    <n v="10261800"/>
    <m/>
    <n v="10261800"/>
  </r>
  <r>
    <x v="1"/>
    <x v="3"/>
    <x v="16"/>
    <x v="53"/>
    <x v="0"/>
    <x v="1"/>
    <x v="121"/>
    <x v="121"/>
    <x v="1038"/>
    <s v="-"/>
    <m/>
    <m/>
    <m/>
    <s v="-"/>
    <m/>
    <m/>
    <m/>
  </r>
  <r>
    <x v="1"/>
    <x v="3"/>
    <x v="16"/>
    <x v="53"/>
    <x v="1"/>
    <x v="2"/>
    <x v="122"/>
    <x v="122"/>
    <x v="1039"/>
    <n v="3164000"/>
    <m/>
    <m/>
    <m/>
    <n v="3164000"/>
    <m/>
    <n v="3164000"/>
    <n v="3164000"/>
  </r>
  <r>
    <x v="1"/>
    <x v="3"/>
    <x v="16"/>
    <x v="53"/>
    <x v="1"/>
    <x v="2"/>
    <x v="122"/>
    <x v="122"/>
    <x v="1040"/>
    <n v="698000"/>
    <m/>
    <m/>
    <m/>
    <n v="698000"/>
    <m/>
    <n v="698000"/>
    <n v="698000"/>
  </r>
  <r>
    <x v="1"/>
    <x v="3"/>
    <x v="16"/>
    <x v="53"/>
    <x v="1"/>
    <x v="2"/>
    <x v="122"/>
    <x v="122"/>
    <x v="1041"/>
    <n v="1046610"/>
    <m/>
    <m/>
    <m/>
    <n v="1046610"/>
    <m/>
    <n v="1046610"/>
    <n v="1046610"/>
  </r>
  <r>
    <x v="1"/>
    <x v="3"/>
    <x v="16"/>
    <x v="53"/>
    <x v="1"/>
    <x v="2"/>
    <x v="122"/>
    <x v="122"/>
    <x v="1042"/>
    <n v="3258000"/>
    <m/>
    <m/>
    <m/>
    <n v="3258000"/>
    <m/>
    <n v="3258000"/>
    <n v="3258000"/>
  </r>
  <r>
    <x v="1"/>
    <x v="3"/>
    <x v="16"/>
    <x v="53"/>
    <x v="1"/>
    <x v="2"/>
    <x v="122"/>
    <x v="122"/>
    <x v="1043"/>
    <n v="1668800"/>
    <m/>
    <m/>
    <m/>
    <n v="1668800"/>
    <m/>
    <n v="1668800"/>
    <n v="1668800"/>
  </r>
  <r>
    <x v="1"/>
    <x v="3"/>
    <x v="16"/>
    <x v="53"/>
    <x v="1"/>
    <x v="2"/>
    <x v="122"/>
    <x v="122"/>
    <x v="1044"/>
    <n v="1349900"/>
    <m/>
    <m/>
    <m/>
    <n v="1349900"/>
    <m/>
    <n v="1349900"/>
    <n v="1349900"/>
  </r>
  <r>
    <x v="1"/>
    <x v="3"/>
    <x v="16"/>
    <x v="53"/>
    <x v="1"/>
    <x v="2"/>
    <x v="122"/>
    <x v="122"/>
    <x v="1045"/>
    <n v="886000"/>
    <m/>
    <m/>
    <m/>
    <n v="886000"/>
    <n v="1329000"/>
    <m/>
    <n v="1329000"/>
  </r>
  <r>
    <x v="1"/>
    <x v="3"/>
    <x v="16"/>
    <x v="53"/>
    <x v="1"/>
    <x v="2"/>
    <x v="122"/>
    <x v="122"/>
    <x v="1046"/>
    <n v="2872800"/>
    <m/>
    <m/>
    <m/>
    <n v="2872800"/>
    <m/>
    <n v="2872800"/>
    <n v="2872800"/>
  </r>
  <r>
    <x v="1"/>
    <x v="3"/>
    <x v="16"/>
    <x v="53"/>
    <x v="1"/>
    <x v="2"/>
    <x v="122"/>
    <x v="122"/>
    <x v="1047"/>
    <n v="2598000"/>
    <m/>
    <m/>
    <m/>
    <n v="2598000"/>
    <m/>
    <n v="2598000"/>
    <n v="2598000"/>
  </r>
  <r>
    <x v="1"/>
    <x v="3"/>
    <x v="16"/>
    <x v="53"/>
    <x v="1"/>
    <x v="2"/>
    <x v="123"/>
    <x v="123"/>
    <x v="1048"/>
    <n v="3018610"/>
    <m/>
    <m/>
    <m/>
    <n v="3018610"/>
    <n v="4527915"/>
    <m/>
    <n v="4527915"/>
  </r>
  <r>
    <x v="1"/>
    <x v="3"/>
    <x v="16"/>
    <x v="53"/>
    <x v="1"/>
    <x v="2"/>
    <x v="121"/>
    <x v="121"/>
    <x v="1049"/>
    <n v="3639600"/>
    <m/>
    <m/>
    <m/>
    <n v="3639600"/>
    <m/>
    <n v="3639600"/>
    <n v="3639600"/>
  </r>
  <r>
    <x v="1"/>
    <x v="3"/>
    <x v="16"/>
    <x v="53"/>
    <x v="1"/>
    <x v="2"/>
    <x v="121"/>
    <x v="121"/>
    <x v="1050"/>
    <n v="6779400"/>
    <m/>
    <m/>
    <m/>
    <n v="6779400"/>
    <n v="10169100"/>
    <m/>
    <n v="10169100"/>
  </r>
  <r>
    <x v="1"/>
    <x v="3"/>
    <x v="16"/>
    <x v="53"/>
    <x v="1"/>
    <x v="2"/>
    <x v="121"/>
    <x v="121"/>
    <x v="1051"/>
    <n v="359800"/>
    <m/>
    <m/>
    <m/>
    <n v="359800"/>
    <m/>
    <n v="359800"/>
    <n v="359800"/>
  </r>
  <r>
    <x v="1"/>
    <x v="3"/>
    <x v="16"/>
    <x v="53"/>
    <x v="1"/>
    <x v="2"/>
    <x v="124"/>
    <x v="124"/>
    <x v="1052"/>
    <n v="3040000"/>
    <m/>
    <m/>
    <m/>
    <n v="3040000"/>
    <m/>
    <n v="3040000"/>
    <n v="3040000"/>
  </r>
  <r>
    <x v="1"/>
    <x v="3"/>
    <x v="16"/>
    <x v="53"/>
    <x v="1"/>
    <x v="2"/>
    <x v="124"/>
    <x v="124"/>
    <x v="1053"/>
    <n v="1668000"/>
    <m/>
    <m/>
    <m/>
    <n v="1668000"/>
    <m/>
    <n v="1668000"/>
    <n v="1668000"/>
  </r>
  <r>
    <x v="1"/>
    <x v="3"/>
    <x v="16"/>
    <x v="53"/>
    <x v="1"/>
    <x v="2"/>
    <x v="125"/>
    <x v="125"/>
    <x v="1054"/>
    <n v="2596000"/>
    <m/>
    <m/>
    <m/>
    <n v="2596000"/>
    <m/>
    <n v="2596000"/>
    <n v="2596000"/>
  </r>
  <r>
    <x v="1"/>
    <x v="3"/>
    <x v="16"/>
    <x v="53"/>
    <x v="1"/>
    <x v="2"/>
    <x v="125"/>
    <x v="125"/>
    <x v="1055"/>
    <n v="600000"/>
    <m/>
    <m/>
    <m/>
    <n v="600000"/>
    <m/>
    <n v="600000"/>
    <n v="600000"/>
  </r>
  <r>
    <x v="1"/>
    <x v="3"/>
    <x v="16"/>
    <x v="53"/>
    <x v="2"/>
    <x v="2"/>
    <x v="122"/>
    <x v="122"/>
    <x v="1056"/>
    <n v="4596000"/>
    <m/>
    <n v="6894000"/>
    <m/>
    <n v="6894000"/>
    <m/>
    <n v="6894000"/>
    <n v="6894000"/>
  </r>
  <r>
    <x v="1"/>
    <x v="3"/>
    <x v="16"/>
    <x v="53"/>
    <x v="2"/>
    <x v="2"/>
    <x v="123"/>
    <x v="123"/>
    <x v="1057"/>
    <n v="4239600"/>
    <m/>
    <n v="6359400"/>
    <m/>
    <n v="6359400"/>
    <m/>
    <n v="6359400"/>
    <n v="6359400"/>
  </r>
  <r>
    <x v="1"/>
    <x v="3"/>
    <x v="16"/>
    <x v="53"/>
    <x v="2"/>
    <x v="2"/>
    <x v="121"/>
    <x v="121"/>
    <x v="1058"/>
    <n v="9495000"/>
    <m/>
    <n v="14242500"/>
    <m/>
    <n v="14242500"/>
    <m/>
    <n v="14242500"/>
    <n v="14242500"/>
  </r>
  <r>
    <x v="1"/>
    <x v="3"/>
    <x v="16"/>
    <x v="53"/>
    <x v="2"/>
    <x v="2"/>
    <x v="124"/>
    <x v="124"/>
    <x v="1059"/>
    <n v="12463200"/>
    <m/>
    <n v="18694800"/>
    <m/>
    <n v="18694800"/>
    <n v="28042200"/>
    <m/>
    <n v="28042200"/>
  </r>
  <r>
    <x v="1"/>
    <x v="3"/>
    <x v="16"/>
    <x v="53"/>
    <x v="5"/>
    <x v="1"/>
    <x v="122"/>
    <x v="122"/>
    <x v="1060"/>
    <s v="-"/>
    <m/>
    <m/>
    <m/>
    <s v="-"/>
    <m/>
    <m/>
    <m/>
  </r>
  <r>
    <x v="1"/>
    <x v="3"/>
    <x v="16"/>
    <x v="53"/>
    <x v="3"/>
    <x v="2"/>
    <x v="123"/>
    <x v="123"/>
    <x v="1061"/>
    <n v="5286000"/>
    <m/>
    <n v="7929000"/>
    <m/>
    <n v="7929000"/>
    <n v="11893500"/>
    <m/>
    <n v="11893500"/>
  </r>
  <r>
    <x v="1"/>
    <x v="3"/>
    <x v="16"/>
    <x v="53"/>
    <x v="3"/>
    <x v="2"/>
    <x v="124"/>
    <x v="124"/>
    <x v="1062"/>
    <n v="5339700"/>
    <m/>
    <n v="8009550"/>
    <m/>
    <n v="8009550"/>
    <m/>
    <n v="8009550"/>
    <n v="8009550"/>
  </r>
  <r>
    <x v="1"/>
    <x v="3"/>
    <x v="16"/>
    <x v="54"/>
    <x v="0"/>
    <x v="0"/>
    <x v="126"/>
    <x v="126"/>
    <x v="1063"/>
    <n v="2069700"/>
    <m/>
    <m/>
    <m/>
    <n v="2069700"/>
    <m/>
    <n v="2069700"/>
    <n v="2069700"/>
  </r>
  <r>
    <x v="1"/>
    <x v="3"/>
    <x v="16"/>
    <x v="54"/>
    <x v="2"/>
    <x v="2"/>
    <x v="126"/>
    <x v="126"/>
    <x v="283"/>
    <n v="6199600"/>
    <m/>
    <n v="9299400"/>
    <m/>
    <n v="9299400"/>
    <n v="13949100"/>
    <m/>
    <n v="13949100"/>
  </r>
  <r>
    <x v="1"/>
    <x v="3"/>
    <x v="16"/>
    <x v="54"/>
    <x v="2"/>
    <x v="2"/>
    <x v="126"/>
    <x v="126"/>
    <x v="1064"/>
    <n v="5004500"/>
    <m/>
    <n v="7506750"/>
    <m/>
    <n v="7506750"/>
    <n v="11260125"/>
    <m/>
    <n v="11260125"/>
  </r>
  <r>
    <x v="1"/>
    <x v="3"/>
    <x v="16"/>
    <x v="55"/>
    <x v="0"/>
    <x v="0"/>
    <x v="127"/>
    <x v="127"/>
    <x v="1065"/>
    <n v="5363100"/>
    <m/>
    <m/>
    <m/>
    <n v="5363100"/>
    <m/>
    <n v="5363100"/>
    <n v="5363100"/>
  </r>
  <r>
    <x v="1"/>
    <x v="3"/>
    <x v="16"/>
    <x v="55"/>
    <x v="1"/>
    <x v="2"/>
    <x v="127"/>
    <x v="127"/>
    <x v="1066"/>
    <n v="6300400"/>
    <m/>
    <m/>
    <m/>
    <n v="6300400"/>
    <m/>
    <n v="6300400"/>
    <n v="6300400"/>
  </r>
  <r>
    <x v="1"/>
    <x v="3"/>
    <x v="16"/>
    <x v="55"/>
    <x v="2"/>
    <x v="2"/>
    <x v="127"/>
    <x v="127"/>
    <x v="1067"/>
    <n v="7939200"/>
    <m/>
    <n v="11908800"/>
    <m/>
    <n v="11908800"/>
    <m/>
    <n v="11908800"/>
    <n v="11908800"/>
  </r>
  <r>
    <x v="1"/>
    <x v="3"/>
    <x v="16"/>
    <x v="55"/>
    <x v="2"/>
    <x v="2"/>
    <x v="127"/>
    <x v="127"/>
    <x v="1068"/>
    <n v="3225000"/>
    <m/>
    <n v="4837500"/>
    <m/>
    <n v="4837500"/>
    <m/>
    <n v="4837500"/>
    <n v="4837500"/>
  </r>
  <r>
    <x v="1"/>
    <x v="3"/>
    <x v="16"/>
    <x v="55"/>
    <x v="2"/>
    <x v="2"/>
    <x v="127"/>
    <x v="127"/>
    <x v="1069"/>
    <n v="5574000"/>
    <m/>
    <n v="8361000"/>
    <m/>
    <n v="8361000"/>
    <m/>
    <n v="8361000"/>
    <n v="8361000"/>
  </r>
  <r>
    <x v="1"/>
    <x v="3"/>
    <x v="16"/>
    <x v="55"/>
    <x v="2"/>
    <x v="2"/>
    <x v="127"/>
    <x v="127"/>
    <x v="1070"/>
    <n v="4500000"/>
    <m/>
    <n v="6750000"/>
    <m/>
    <n v="6750000"/>
    <m/>
    <n v="6750000"/>
    <n v="6750000"/>
  </r>
  <r>
    <x v="1"/>
    <x v="3"/>
    <x v="16"/>
    <x v="55"/>
    <x v="2"/>
    <x v="2"/>
    <x v="127"/>
    <x v="127"/>
    <x v="1071"/>
    <n v="8059600"/>
    <m/>
    <n v="12089400"/>
    <m/>
    <n v="12089400"/>
    <m/>
    <n v="12089400"/>
    <n v="12089400"/>
  </r>
  <r>
    <x v="1"/>
    <x v="3"/>
    <x v="16"/>
    <x v="55"/>
    <x v="2"/>
    <x v="2"/>
    <x v="127"/>
    <x v="127"/>
    <x v="1072"/>
    <n v="7919400"/>
    <m/>
    <n v="11879100"/>
    <m/>
    <n v="11879100"/>
    <m/>
    <n v="11879100"/>
    <n v="11879100"/>
  </r>
  <r>
    <x v="1"/>
    <x v="3"/>
    <x v="16"/>
    <x v="55"/>
    <x v="2"/>
    <x v="2"/>
    <x v="127"/>
    <x v="127"/>
    <x v="1073"/>
    <n v="7310000"/>
    <m/>
    <n v="10965000"/>
    <m/>
    <n v="10965000"/>
    <m/>
    <n v="10965000"/>
    <n v="10965000"/>
  </r>
  <r>
    <x v="1"/>
    <x v="3"/>
    <x v="16"/>
    <x v="55"/>
    <x v="2"/>
    <x v="2"/>
    <x v="128"/>
    <x v="128"/>
    <x v="1074"/>
    <n v="1642000"/>
    <m/>
    <n v="2463000"/>
    <m/>
    <n v="2463000"/>
    <m/>
    <n v="2463000"/>
    <n v="2463000"/>
  </r>
  <r>
    <x v="1"/>
    <x v="3"/>
    <x v="16"/>
    <x v="55"/>
    <x v="2"/>
    <x v="2"/>
    <x v="128"/>
    <x v="128"/>
    <x v="1075"/>
    <n v="8699400"/>
    <m/>
    <n v="13049100"/>
    <m/>
    <n v="13049100"/>
    <m/>
    <n v="13049100"/>
    <n v="13049100"/>
  </r>
  <r>
    <x v="1"/>
    <x v="3"/>
    <x v="16"/>
    <x v="55"/>
    <x v="3"/>
    <x v="2"/>
    <x v="127"/>
    <x v="127"/>
    <x v="1076"/>
    <n v="3946800"/>
    <m/>
    <n v="5920200"/>
    <m/>
    <n v="5920200"/>
    <m/>
    <n v="5920200"/>
    <n v="5920200"/>
  </r>
  <r>
    <x v="2"/>
    <x v="4"/>
    <x v="17"/>
    <x v="56"/>
    <x v="12"/>
    <x v="9"/>
    <x v="129"/>
    <x v="129"/>
    <x v="1077"/>
    <n v="5367928925"/>
    <m/>
    <m/>
    <m/>
    <n v="6133541390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5">
  <r>
    <n v="1"/>
    <x v="0"/>
    <x v="0"/>
    <x v="0"/>
    <x v="0"/>
    <x v="0"/>
    <x v="0"/>
    <n v="1375800"/>
  </r>
  <r>
    <n v="2"/>
    <x v="0"/>
    <x v="0"/>
    <x v="0"/>
    <x v="0"/>
    <x v="1"/>
    <x v="1"/>
    <n v="7365800"/>
  </r>
  <r>
    <n v="3"/>
    <x v="0"/>
    <x v="0"/>
    <x v="0"/>
    <x v="0"/>
    <x v="0"/>
    <x v="0"/>
    <n v="6491300"/>
  </r>
  <r>
    <n v="4"/>
    <x v="0"/>
    <x v="0"/>
    <x v="0"/>
    <x v="0"/>
    <x v="2"/>
    <x v="2"/>
    <n v="13423800"/>
  </r>
  <r>
    <n v="5"/>
    <x v="0"/>
    <x v="0"/>
    <x v="0"/>
    <x v="0"/>
    <x v="1"/>
    <x v="1"/>
    <n v="2566800"/>
  </r>
  <r>
    <n v="6"/>
    <x v="0"/>
    <x v="0"/>
    <x v="0"/>
    <x v="0"/>
    <x v="0"/>
    <x v="0"/>
    <n v="119538800"/>
  </r>
  <r>
    <n v="7"/>
    <x v="0"/>
    <x v="0"/>
    <x v="0"/>
    <x v="0"/>
    <x v="1"/>
    <x v="1"/>
    <n v="72283400"/>
  </r>
  <r>
    <n v="8"/>
    <x v="0"/>
    <x v="0"/>
    <x v="0"/>
    <x v="0"/>
    <x v="0"/>
    <x v="0"/>
    <n v="26595000"/>
  </r>
  <r>
    <n v="9"/>
    <x v="0"/>
    <x v="0"/>
    <x v="0"/>
    <x v="1"/>
    <x v="3"/>
    <x v="3"/>
    <n v="8795600"/>
  </r>
  <r>
    <n v="10"/>
    <x v="0"/>
    <x v="0"/>
    <x v="0"/>
    <x v="1"/>
    <x v="3"/>
    <x v="3"/>
    <n v="1540200"/>
  </r>
  <r>
    <n v="11"/>
    <x v="0"/>
    <x v="0"/>
    <x v="0"/>
    <x v="1"/>
    <x v="4"/>
    <x v="4"/>
    <n v="3836800"/>
  </r>
  <r>
    <n v="12"/>
    <x v="0"/>
    <x v="0"/>
    <x v="0"/>
    <x v="1"/>
    <x v="5"/>
    <x v="5"/>
    <n v="1719600"/>
  </r>
  <r>
    <n v="13"/>
    <x v="0"/>
    <x v="0"/>
    <x v="0"/>
    <x v="1"/>
    <x v="6"/>
    <x v="6"/>
    <n v="338000"/>
  </r>
  <r>
    <n v="14"/>
    <x v="0"/>
    <x v="0"/>
    <x v="0"/>
    <x v="1"/>
    <x v="3"/>
    <x v="3"/>
    <n v="1148400"/>
  </r>
  <r>
    <n v="15"/>
    <x v="0"/>
    <x v="0"/>
    <x v="0"/>
    <x v="1"/>
    <x v="7"/>
    <x v="7"/>
    <n v="20876300"/>
  </r>
  <r>
    <n v="16"/>
    <x v="0"/>
    <x v="0"/>
    <x v="0"/>
    <x v="1"/>
    <x v="4"/>
    <x v="4"/>
    <n v="1499800"/>
  </r>
  <r>
    <n v="17"/>
    <x v="0"/>
    <x v="0"/>
    <x v="0"/>
    <x v="1"/>
    <x v="5"/>
    <x v="5"/>
    <n v="20757100"/>
  </r>
  <r>
    <n v="18"/>
    <x v="0"/>
    <x v="0"/>
    <x v="0"/>
    <x v="1"/>
    <x v="6"/>
    <x v="6"/>
    <n v="2267000"/>
  </r>
  <r>
    <n v="19"/>
    <x v="0"/>
    <x v="0"/>
    <x v="0"/>
    <x v="1"/>
    <x v="8"/>
    <x v="8"/>
    <n v="1819800"/>
  </r>
  <r>
    <n v="20"/>
    <x v="0"/>
    <x v="0"/>
    <x v="0"/>
    <x v="1"/>
    <x v="3"/>
    <x v="3"/>
    <n v="21749000"/>
  </r>
  <r>
    <n v="21"/>
    <x v="0"/>
    <x v="0"/>
    <x v="0"/>
    <x v="1"/>
    <x v="9"/>
    <x v="9"/>
    <n v="17767600"/>
  </r>
  <r>
    <n v="22"/>
    <x v="0"/>
    <x v="0"/>
    <x v="0"/>
    <x v="1"/>
    <x v="7"/>
    <x v="7"/>
    <n v="39043600"/>
  </r>
  <r>
    <n v="23"/>
    <x v="0"/>
    <x v="0"/>
    <x v="0"/>
    <x v="1"/>
    <x v="4"/>
    <x v="4"/>
    <n v="4324000"/>
  </r>
  <r>
    <n v="24"/>
    <x v="0"/>
    <x v="0"/>
    <x v="0"/>
    <x v="1"/>
    <x v="10"/>
    <x v="10"/>
    <n v="9005500"/>
  </r>
  <r>
    <n v="25"/>
    <x v="0"/>
    <x v="0"/>
    <x v="0"/>
    <x v="1"/>
    <x v="5"/>
    <x v="5"/>
    <n v="39967900"/>
  </r>
  <r>
    <n v="26"/>
    <x v="0"/>
    <x v="0"/>
    <x v="0"/>
    <x v="1"/>
    <x v="8"/>
    <x v="8"/>
    <n v="5139100"/>
  </r>
  <r>
    <n v="27"/>
    <x v="0"/>
    <x v="0"/>
    <x v="0"/>
    <x v="1"/>
    <x v="3"/>
    <x v="3"/>
    <n v="6930000"/>
  </r>
  <r>
    <n v="28"/>
    <x v="0"/>
    <x v="0"/>
    <x v="0"/>
    <x v="1"/>
    <x v="8"/>
    <x v="8"/>
    <n v="5020200"/>
  </r>
  <r>
    <n v="29"/>
    <x v="0"/>
    <x v="0"/>
    <x v="0"/>
    <x v="2"/>
    <x v="11"/>
    <x v="11"/>
    <n v="39000"/>
  </r>
  <r>
    <n v="30"/>
    <x v="0"/>
    <x v="0"/>
    <x v="0"/>
    <x v="2"/>
    <x v="12"/>
    <x v="12"/>
    <n v="13048200"/>
  </r>
  <r>
    <n v="31"/>
    <x v="0"/>
    <x v="0"/>
    <x v="0"/>
    <x v="2"/>
    <x v="13"/>
    <x v="13"/>
    <n v="25621300"/>
  </r>
  <r>
    <n v="32"/>
    <x v="0"/>
    <x v="0"/>
    <x v="0"/>
    <x v="2"/>
    <x v="11"/>
    <x v="11"/>
    <n v="51585100"/>
  </r>
  <r>
    <n v="33"/>
    <x v="0"/>
    <x v="0"/>
    <x v="0"/>
    <x v="2"/>
    <x v="12"/>
    <x v="12"/>
    <n v="27446600"/>
  </r>
  <r>
    <n v="34"/>
    <x v="0"/>
    <x v="0"/>
    <x v="0"/>
    <x v="2"/>
    <x v="13"/>
    <x v="13"/>
    <n v="3698000"/>
  </r>
  <r>
    <n v="35"/>
    <x v="0"/>
    <x v="0"/>
    <x v="0"/>
    <x v="2"/>
    <x v="11"/>
    <x v="11"/>
    <n v="16624230"/>
  </r>
  <r>
    <n v="36"/>
    <x v="0"/>
    <x v="0"/>
    <x v="0"/>
    <x v="2"/>
    <x v="11"/>
    <x v="11"/>
    <n v="3339800"/>
  </r>
  <r>
    <n v="37"/>
    <x v="0"/>
    <x v="0"/>
    <x v="0"/>
    <x v="3"/>
    <x v="14"/>
    <x v="14"/>
    <n v="595000"/>
  </r>
  <r>
    <n v="38"/>
    <x v="0"/>
    <x v="0"/>
    <x v="0"/>
    <x v="3"/>
    <x v="15"/>
    <x v="15"/>
    <n v="4784800"/>
  </r>
  <r>
    <n v="39"/>
    <x v="0"/>
    <x v="0"/>
    <x v="0"/>
    <x v="3"/>
    <x v="16"/>
    <x v="16"/>
    <n v="1991800"/>
  </r>
  <r>
    <n v="40"/>
    <x v="0"/>
    <x v="0"/>
    <x v="0"/>
    <x v="3"/>
    <x v="17"/>
    <x v="17"/>
    <n v="4400000"/>
  </r>
  <r>
    <n v="41"/>
    <x v="0"/>
    <x v="0"/>
    <x v="0"/>
    <x v="3"/>
    <x v="18"/>
    <x v="18"/>
    <n v="2437400"/>
  </r>
  <r>
    <n v="42"/>
    <x v="0"/>
    <x v="0"/>
    <x v="0"/>
    <x v="3"/>
    <x v="19"/>
    <x v="19"/>
    <n v="4995100"/>
  </r>
  <r>
    <n v="43"/>
    <x v="0"/>
    <x v="0"/>
    <x v="0"/>
    <x v="3"/>
    <x v="14"/>
    <x v="14"/>
    <n v="1506000"/>
  </r>
  <r>
    <n v="44"/>
    <x v="0"/>
    <x v="0"/>
    <x v="0"/>
    <x v="3"/>
    <x v="16"/>
    <x v="16"/>
    <n v="19567400"/>
  </r>
  <r>
    <n v="45"/>
    <x v="0"/>
    <x v="0"/>
    <x v="0"/>
    <x v="3"/>
    <x v="17"/>
    <x v="17"/>
    <n v="24757000"/>
  </r>
  <r>
    <n v="46"/>
    <x v="0"/>
    <x v="0"/>
    <x v="0"/>
    <x v="3"/>
    <x v="18"/>
    <x v="18"/>
    <n v="4196800"/>
  </r>
  <r>
    <n v="47"/>
    <x v="0"/>
    <x v="0"/>
    <x v="0"/>
    <x v="3"/>
    <x v="19"/>
    <x v="19"/>
    <n v="4894600"/>
  </r>
  <r>
    <n v="48"/>
    <x v="0"/>
    <x v="0"/>
    <x v="0"/>
    <x v="3"/>
    <x v="14"/>
    <x v="14"/>
    <n v="37434800"/>
  </r>
  <r>
    <n v="49"/>
    <x v="0"/>
    <x v="0"/>
    <x v="0"/>
    <x v="3"/>
    <x v="15"/>
    <x v="15"/>
    <n v="4383300"/>
  </r>
  <r>
    <n v="50"/>
    <x v="0"/>
    <x v="0"/>
    <x v="0"/>
    <x v="3"/>
    <x v="17"/>
    <x v="17"/>
    <n v="10277800"/>
  </r>
  <r>
    <n v="51"/>
    <x v="0"/>
    <x v="0"/>
    <x v="0"/>
    <x v="3"/>
    <x v="17"/>
    <x v="17"/>
    <n v="198000"/>
  </r>
  <r>
    <n v="52"/>
    <x v="0"/>
    <x v="0"/>
    <x v="0"/>
    <x v="4"/>
    <x v="20"/>
    <x v="20"/>
    <n v="4959600"/>
  </r>
  <r>
    <n v="53"/>
    <x v="0"/>
    <x v="0"/>
    <x v="0"/>
    <x v="4"/>
    <x v="21"/>
    <x v="21"/>
    <n v="825100"/>
  </r>
  <r>
    <n v="54"/>
    <x v="0"/>
    <x v="0"/>
    <x v="0"/>
    <x v="4"/>
    <x v="20"/>
    <x v="20"/>
    <n v="4928400"/>
  </r>
  <r>
    <n v="55"/>
    <x v="0"/>
    <x v="0"/>
    <x v="0"/>
    <x v="4"/>
    <x v="21"/>
    <x v="21"/>
    <n v="1934400"/>
  </r>
  <r>
    <n v="56"/>
    <x v="0"/>
    <x v="0"/>
    <x v="0"/>
    <x v="4"/>
    <x v="22"/>
    <x v="22"/>
    <n v="9169000"/>
  </r>
  <r>
    <n v="57"/>
    <x v="0"/>
    <x v="0"/>
    <x v="0"/>
    <x v="4"/>
    <x v="20"/>
    <x v="20"/>
    <n v="11575300"/>
  </r>
  <r>
    <n v="58"/>
    <x v="0"/>
    <x v="0"/>
    <x v="0"/>
    <x v="4"/>
    <x v="21"/>
    <x v="21"/>
    <n v="2806500"/>
  </r>
  <r>
    <n v="59"/>
    <x v="0"/>
    <x v="0"/>
    <x v="0"/>
    <x v="4"/>
    <x v="23"/>
    <x v="23"/>
    <n v="11995800"/>
  </r>
  <r>
    <n v="60"/>
    <x v="0"/>
    <x v="0"/>
    <x v="0"/>
    <x v="4"/>
    <x v="24"/>
    <x v="24"/>
    <n v="28064000"/>
  </r>
  <r>
    <n v="61"/>
    <x v="0"/>
    <x v="0"/>
    <x v="0"/>
    <x v="4"/>
    <x v="25"/>
    <x v="25"/>
    <n v="38573200"/>
  </r>
  <r>
    <n v="62"/>
    <x v="0"/>
    <x v="0"/>
    <x v="0"/>
    <x v="4"/>
    <x v="20"/>
    <x v="20"/>
    <n v="7996000"/>
  </r>
  <r>
    <n v="63"/>
    <x v="0"/>
    <x v="0"/>
    <x v="0"/>
    <x v="4"/>
    <x v="24"/>
    <x v="24"/>
    <n v="25398000"/>
  </r>
  <r>
    <n v="64"/>
    <x v="0"/>
    <x v="0"/>
    <x v="0"/>
    <x v="5"/>
    <x v="26"/>
    <x v="26"/>
    <n v="2340000"/>
  </r>
  <r>
    <n v="65"/>
    <x v="0"/>
    <x v="0"/>
    <x v="0"/>
    <x v="5"/>
    <x v="27"/>
    <x v="27"/>
    <n v="1560000"/>
  </r>
  <r>
    <n v="66"/>
    <x v="0"/>
    <x v="0"/>
    <x v="0"/>
    <x v="5"/>
    <x v="28"/>
    <x v="28"/>
    <n v="958000"/>
  </r>
  <r>
    <n v="67"/>
    <x v="0"/>
    <x v="0"/>
    <x v="0"/>
    <x v="5"/>
    <x v="29"/>
    <x v="29"/>
    <n v="10855900"/>
  </r>
  <r>
    <n v="68"/>
    <x v="0"/>
    <x v="0"/>
    <x v="0"/>
    <x v="5"/>
    <x v="26"/>
    <x v="26"/>
    <n v="754000"/>
  </r>
  <r>
    <n v="69"/>
    <x v="0"/>
    <x v="0"/>
    <x v="0"/>
    <x v="5"/>
    <x v="27"/>
    <x v="27"/>
    <n v="4041200"/>
  </r>
  <r>
    <n v="70"/>
    <x v="0"/>
    <x v="0"/>
    <x v="0"/>
    <x v="5"/>
    <x v="28"/>
    <x v="28"/>
    <n v="1976700"/>
  </r>
  <r>
    <n v="71"/>
    <x v="0"/>
    <x v="0"/>
    <x v="0"/>
    <x v="5"/>
    <x v="29"/>
    <x v="29"/>
    <n v="22937500"/>
  </r>
  <r>
    <n v="72"/>
    <x v="0"/>
    <x v="0"/>
    <x v="0"/>
    <x v="5"/>
    <x v="26"/>
    <x v="26"/>
    <n v="6149600"/>
  </r>
  <r>
    <n v="73"/>
    <x v="0"/>
    <x v="0"/>
    <x v="0"/>
    <x v="5"/>
    <x v="28"/>
    <x v="28"/>
    <n v="29800600"/>
  </r>
  <r>
    <n v="74"/>
    <x v="0"/>
    <x v="0"/>
    <x v="0"/>
    <x v="5"/>
    <x v="29"/>
    <x v="29"/>
    <n v="31014000"/>
  </r>
  <r>
    <n v="75"/>
    <x v="0"/>
    <x v="0"/>
    <x v="0"/>
    <x v="5"/>
    <x v="29"/>
    <x v="29"/>
    <n v="3158000"/>
  </r>
  <r>
    <n v="76"/>
    <x v="0"/>
    <x v="0"/>
    <x v="0"/>
    <x v="6"/>
    <x v="30"/>
    <x v="30"/>
    <n v="1799600"/>
  </r>
  <r>
    <n v="77"/>
    <x v="0"/>
    <x v="0"/>
    <x v="0"/>
    <x v="6"/>
    <x v="30"/>
    <x v="30"/>
    <n v="30237400"/>
  </r>
  <r>
    <n v="78"/>
    <x v="0"/>
    <x v="0"/>
    <x v="0"/>
    <x v="6"/>
    <x v="30"/>
    <x v="30"/>
    <n v="64157700"/>
  </r>
  <r>
    <n v="79"/>
    <x v="0"/>
    <x v="0"/>
    <x v="0"/>
    <x v="6"/>
    <x v="30"/>
    <x v="30"/>
    <n v="6929200"/>
  </r>
  <r>
    <n v="80"/>
    <x v="0"/>
    <x v="0"/>
    <x v="1"/>
    <x v="7"/>
    <x v="31"/>
    <x v="31"/>
    <n v="2694000"/>
  </r>
  <r>
    <n v="81"/>
    <x v="0"/>
    <x v="0"/>
    <x v="1"/>
    <x v="7"/>
    <x v="31"/>
    <x v="31"/>
    <n v="3428400"/>
  </r>
  <r>
    <n v="82"/>
    <x v="0"/>
    <x v="0"/>
    <x v="1"/>
    <x v="7"/>
    <x v="31"/>
    <x v="31"/>
    <n v="19184000"/>
  </r>
  <r>
    <n v="83"/>
    <x v="0"/>
    <x v="0"/>
    <x v="1"/>
    <x v="8"/>
    <x v="32"/>
    <x v="32"/>
    <n v="6635500"/>
  </r>
  <r>
    <n v="84"/>
    <x v="0"/>
    <x v="0"/>
    <x v="1"/>
    <x v="8"/>
    <x v="32"/>
    <x v="32"/>
    <n v="7495000"/>
  </r>
  <r>
    <n v="85"/>
    <x v="0"/>
    <x v="0"/>
    <x v="1"/>
    <x v="9"/>
    <x v="33"/>
    <x v="33"/>
    <n v="1827600"/>
  </r>
  <r>
    <n v="86"/>
    <x v="0"/>
    <x v="0"/>
    <x v="1"/>
    <x v="9"/>
    <x v="34"/>
    <x v="34"/>
    <n v="7628700"/>
  </r>
  <r>
    <n v="87"/>
    <x v="0"/>
    <x v="0"/>
    <x v="1"/>
    <x v="9"/>
    <x v="34"/>
    <x v="34"/>
    <n v="8757700"/>
  </r>
  <r>
    <n v="88"/>
    <x v="0"/>
    <x v="0"/>
    <x v="1"/>
    <x v="9"/>
    <x v="33"/>
    <x v="33"/>
    <n v="10534900"/>
  </r>
  <r>
    <n v="89"/>
    <x v="0"/>
    <x v="0"/>
    <x v="1"/>
    <x v="9"/>
    <x v="35"/>
    <x v="35"/>
    <n v="10520400"/>
  </r>
  <r>
    <n v="90"/>
    <x v="0"/>
    <x v="0"/>
    <x v="1"/>
    <x v="10"/>
    <x v="36"/>
    <x v="36"/>
    <n v="662000"/>
  </r>
  <r>
    <n v="91"/>
    <x v="0"/>
    <x v="0"/>
    <x v="1"/>
    <x v="10"/>
    <x v="37"/>
    <x v="37"/>
    <n v="11850100"/>
  </r>
  <r>
    <n v="92"/>
    <x v="0"/>
    <x v="0"/>
    <x v="1"/>
    <x v="10"/>
    <x v="36"/>
    <x v="36"/>
    <n v="15836100"/>
  </r>
  <r>
    <n v="93"/>
    <x v="0"/>
    <x v="0"/>
    <x v="1"/>
    <x v="10"/>
    <x v="37"/>
    <x v="37"/>
    <n v="19498600"/>
  </r>
  <r>
    <n v="94"/>
    <x v="0"/>
    <x v="0"/>
    <x v="1"/>
    <x v="10"/>
    <x v="36"/>
    <x v="36"/>
    <n v="19223060"/>
  </r>
  <r>
    <n v="95"/>
    <x v="0"/>
    <x v="0"/>
    <x v="1"/>
    <x v="10"/>
    <x v="37"/>
    <x v="37"/>
    <n v="2938000"/>
  </r>
  <r>
    <n v="96"/>
    <x v="0"/>
    <x v="1"/>
    <x v="2"/>
    <x v="11"/>
    <x v="38"/>
    <x v="38"/>
    <n v="1560000"/>
  </r>
  <r>
    <n v="97"/>
    <x v="0"/>
    <x v="1"/>
    <x v="2"/>
    <x v="11"/>
    <x v="38"/>
    <x v="38"/>
    <n v="1796000"/>
  </r>
  <r>
    <n v="98"/>
    <x v="0"/>
    <x v="1"/>
    <x v="2"/>
    <x v="11"/>
    <x v="38"/>
    <x v="38"/>
    <n v="7866500"/>
  </r>
  <r>
    <n v="99"/>
    <x v="0"/>
    <x v="1"/>
    <x v="2"/>
    <x v="11"/>
    <x v="38"/>
    <x v="38"/>
    <n v="54998100"/>
  </r>
  <r>
    <n v="100"/>
    <x v="0"/>
    <x v="1"/>
    <x v="2"/>
    <x v="11"/>
    <x v="38"/>
    <x v="38"/>
    <n v="10160000"/>
  </r>
  <r>
    <n v="101"/>
    <x v="0"/>
    <x v="1"/>
    <x v="2"/>
    <x v="12"/>
    <x v="39"/>
    <x v="39"/>
    <n v="3944000"/>
  </r>
  <r>
    <n v="102"/>
    <x v="0"/>
    <x v="1"/>
    <x v="2"/>
    <x v="12"/>
    <x v="39"/>
    <x v="39"/>
    <n v="2372000"/>
  </r>
  <r>
    <n v="103"/>
    <x v="0"/>
    <x v="1"/>
    <x v="2"/>
    <x v="12"/>
    <x v="39"/>
    <x v="39"/>
    <n v="29375610"/>
  </r>
  <r>
    <n v="104"/>
    <x v="0"/>
    <x v="1"/>
    <x v="3"/>
    <x v="13"/>
    <x v="40"/>
    <x v="40"/>
    <n v="1823200"/>
  </r>
  <r>
    <n v="105"/>
    <x v="0"/>
    <x v="1"/>
    <x v="3"/>
    <x v="13"/>
    <x v="40"/>
    <x v="40"/>
    <n v="18646000"/>
  </r>
  <r>
    <n v="106"/>
    <x v="0"/>
    <x v="1"/>
    <x v="3"/>
    <x v="13"/>
    <x v="40"/>
    <x v="40"/>
    <n v="58413600"/>
  </r>
  <r>
    <n v="107"/>
    <x v="0"/>
    <x v="1"/>
    <x v="3"/>
    <x v="14"/>
    <x v="41"/>
    <x v="41"/>
    <n v="8356000"/>
  </r>
  <r>
    <n v="108"/>
    <x v="0"/>
    <x v="1"/>
    <x v="3"/>
    <x v="14"/>
    <x v="41"/>
    <x v="41"/>
    <n v="4200000"/>
  </r>
  <r>
    <n v="109"/>
    <x v="0"/>
    <x v="1"/>
    <x v="3"/>
    <x v="14"/>
    <x v="41"/>
    <x v="41"/>
    <n v="3556000"/>
  </r>
  <r>
    <n v="110"/>
    <x v="0"/>
    <x v="1"/>
    <x v="3"/>
    <x v="14"/>
    <x v="42"/>
    <x v="42"/>
    <n v="865400"/>
  </r>
  <r>
    <n v="111"/>
    <x v="0"/>
    <x v="1"/>
    <x v="3"/>
    <x v="14"/>
    <x v="42"/>
    <x v="42"/>
    <n v="8762800"/>
  </r>
  <r>
    <n v="112"/>
    <x v="0"/>
    <x v="1"/>
    <x v="3"/>
    <x v="14"/>
    <x v="41"/>
    <x v="41"/>
    <n v="10924800"/>
  </r>
  <r>
    <n v="113"/>
    <x v="0"/>
    <x v="1"/>
    <x v="3"/>
    <x v="14"/>
    <x v="42"/>
    <x v="42"/>
    <n v="26033600"/>
  </r>
  <r>
    <n v="114"/>
    <x v="0"/>
    <x v="1"/>
    <x v="3"/>
    <x v="14"/>
    <x v="42"/>
    <x v="42"/>
    <n v="3198000"/>
  </r>
  <r>
    <n v="115"/>
    <x v="0"/>
    <x v="1"/>
    <x v="3"/>
    <x v="15"/>
    <x v="43"/>
    <x v="43"/>
    <n v="22385000"/>
  </r>
  <r>
    <n v="116"/>
    <x v="0"/>
    <x v="1"/>
    <x v="3"/>
    <x v="15"/>
    <x v="43"/>
    <x v="43"/>
    <n v="7059200"/>
  </r>
  <r>
    <n v="117"/>
    <x v="0"/>
    <x v="1"/>
    <x v="4"/>
    <x v="16"/>
    <x v="44"/>
    <x v="44"/>
    <n v="3090600"/>
  </r>
  <r>
    <n v="118"/>
    <x v="0"/>
    <x v="1"/>
    <x v="4"/>
    <x v="16"/>
    <x v="45"/>
    <x v="45"/>
    <n v="7469800"/>
  </r>
  <r>
    <n v="119"/>
    <x v="0"/>
    <x v="1"/>
    <x v="4"/>
    <x v="16"/>
    <x v="46"/>
    <x v="46"/>
    <n v="9896600"/>
  </r>
  <r>
    <n v="120"/>
    <x v="0"/>
    <x v="1"/>
    <x v="4"/>
    <x v="16"/>
    <x v="45"/>
    <x v="45"/>
    <n v="32633500"/>
  </r>
  <r>
    <n v="121"/>
    <x v="0"/>
    <x v="1"/>
    <x v="4"/>
    <x v="16"/>
    <x v="47"/>
    <x v="47"/>
    <n v="2582000"/>
  </r>
  <r>
    <n v="122"/>
    <x v="0"/>
    <x v="1"/>
    <x v="4"/>
    <x v="16"/>
    <x v="46"/>
    <x v="46"/>
    <n v="13320800"/>
  </r>
  <r>
    <n v="123"/>
    <x v="0"/>
    <x v="1"/>
    <x v="4"/>
    <x v="16"/>
    <x v="45"/>
    <x v="45"/>
    <n v="18574400"/>
  </r>
  <r>
    <n v="124"/>
    <x v="0"/>
    <x v="1"/>
    <x v="4"/>
    <x v="16"/>
    <x v="46"/>
    <x v="46"/>
    <n v="324000"/>
  </r>
  <r>
    <n v="125"/>
    <x v="0"/>
    <x v="1"/>
    <x v="4"/>
    <x v="17"/>
    <x v="48"/>
    <x v="48"/>
    <n v="1982000"/>
  </r>
  <r>
    <n v="126"/>
    <x v="0"/>
    <x v="1"/>
    <x v="4"/>
    <x v="17"/>
    <x v="49"/>
    <x v="49"/>
    <n v="5005200"/>
  </r>
  <r>
    <n v="127"/>
    <x v="0"/>
    <x v="1"/>
    <x v="4"/>
    <x v="17"/>
    <x v="50"/>
    <x v="50"/>
    <n v="4710800"/>
  </r>
  <r>
    <n v="128"/>
    <x v="0"/>
    <x v="1"/>
    <x v="4"/>
    <x v="17"/>
    <x v="48"/>
    <x v="48"/>
    <n v="18075700"/>
  </r>
  <r>
    <n v="129"/>
    <x v="0"/>
    <x v="1"/>
    <x v="4"/>
    <x v="17"/>
    <x v="49"/>
    <x v="49"/>
    <n v="2543100"/>
  </r>
  <r>
    <n v="130"/>
    <x v="0"/>
    <x v="1"/>
    <x v="4"/>
    <x v="17"/>
    <x v="51"/>
    <x v="51"/>
    <n v="2457800"/>
  </r>
  <r>
    <n v="131"/>
    <x v="0"/>
    <x v="1"/>
    <x v="4"/>
    <x v="17"/>
    <x v="50"/>
    <x v="50"/>
    <n v="9019000"/>
  </r>
  <r>
    <n v="132"/>
    <x v="0"/>
    <x v="1"/>
    <x v="4"/>
    <x v="17"/>
    <x v="48"/>
    <x v="48"/>
    <n v="47433600"/>
  </r>
  <r>
    <n v="133"/>
    <x v="0"/>
    <x v="1"/>
    <x v="4"/>
    <x v="17"/>
    <x v="49"/>
    <x v="49"/>
    <n v="2456600"/>
  </r>
  <r>
    <n v="134"/>
    <x v="0"/>
    <x v="1"/>
    <x v="4"/>
    <x v="17"/>
    <x v="52"/>
    <x v="52"/>
    <n v="11543900"/>
  </r>
  <r>
    <n v="135"/>
    <x v="0"/>
    <x v="1"/>
    <x v="4"/>
    <x v="17"/>
    <x v="51"/>
    <x v="51"/>
    <n v="36254700"/>
  </r>
  <r>
    <n v="136"/>
    <x v="0"/>
    <x v="1"/>
    <x v="4"/>
    <x v="17"/>
    <x v="50"/>
    <x v="50"/>
    <n v="17414000"/>
  </r>
  <r>
    <n v="137"/>
    <x v="0"/>
    <x v="1"/>
    <x v="4"/>
    <x v="17"/>
    <x v="51"/>
    <x v="51"/>
    <n v="7518000"/>
  </r>
  <r>
    <n v="138"/>
    <x v="0"/>
    <x v="1"/>
    <x v="4"/>
    <x v="17"/>
    <x v="49"/>
    <x v="49"/>
    <n v="4198000"/>
  </r>
  <r>
    <n v="139"/>
    <x v="0"/>
    <x v="1"/>
    <x v="5"/>
    <x v="18"/>
    <x v="53"/>
    <x v="53"/>
    <n v="5919600"/>
  </r>
  <r>
    <n v="140"/>
    <x v="0"/>
    <x v="1"/>
    <x v="5"/>
    <x v="18"/>
    <x v="54"/>
    <x v="54"/>
    <n v="25496000"/>
  </r>
  <r>
    <n v="141"/>
    <x v="0"/>
    <x v="1"/>
    <x v="5"/>
    <x v="18"/>
    <x v="53"/>
    <x v="53"/>
    <n v="10425400"/>
  </r>
  <r>
    <n v="142"/>
    <x v="0"/>
    <x v="1"/>
    <x v="5"/>
    <x v="18"/>
    <x v="54"/>
    <x v="54"/>
    <n v="26521300"/>
  </r>
  <r>
    <n v="143"/>
    <x v="0"/>
    <x v="1"/>
    <x v="5"/>
    <x v="18"/>
    <x v="55"/>
    <x v="55"/>
    <n v="2636000"/>
  </r>
  <r>
    <n v="144"/>
    <x v="0"/>
    <x v="1"/>
    <x v="5"/>
    <x v="18"/>
    <x v="56"/>
    <x v="56"/>
    <n v="21384700"/>
  </r>
  <r>
    <n v="145"/>
    <x v="0"/>
    <x v="1"/>
    <x v="5"/>
    <x v="18"/>
    <x v="53"/>
    <x v="53"/>
    <n v="38570100"/>
  </r>
  <r>
    <n v="146"/>
    <x v="0"/>
    <x v="1"/>
    <x v="5"/>
    <x v="18"/>
    <x v="54"/>
    <x v="54"/>
    <n v="17453400"/>
  </r>
  <r>
    <n v="147"/>
    <x v="0"/>
    <x v="1"/>
    <x v="5"/>
    <x v="18"/>
    <x v="56"/>
    <x v="56"/>
    <n v="50349100"/>
  </r>
  <r>
    <n v="148"/>
    <x v="0"/>
    <x v="1"/>
    <x v="5"/>
    <x v="18"/>
    <x v="55"/>
    <x v="55"/>
    <n v="5914000"/>
  </r>
  <r>
    <n v="149"/>
    <x v="0"/>
    <x v="1"/>
    <x v="5"/>
    <x v="19"/>
    <x v="57"/>
    <x v="57"/>
    <n v="2454000"/>
  </r>
  <r>
    <n v="150"/>
    <x v="0"/>
    <x v="1"/>
    <x v="5"/>
    <x v="19"/>
    <x v="58"/>
    <x v="58"/>
    <n v="871800"/>
  </r>
  <r>
    <n v="151"/>
    <x v="0"/>
    <x v="1"/>
    <x v="5"/>
    <x v="19"/>
    <x v="59"/>
    <x v="59"/>
    <n v="51391200"/>
  </r>
  <r>
    <n v="152"/>
    <x v="0"/>
    <x v="1"/>
    <x v="5"/>
    <x v="19"/>
    <x v="57"/>
    <x v="57"/>
    <n v="14599900"/>
  </r>
  <r>
    <n v="153"/>
    <x v="0"/>
    <x v="1"/>
    <x v="5"/>
    <x v="19"/>
    <x v="60"/>
    <x v="60"/>
    <n v="9724600"/>
  </r>
  <r>
    <n v="154"/>
    <x v="0"/>
    <x v="1"/>
    <x v="5"/>
    <x v="19"/>
    <x v="61"/>
    <x v="61"/>
    <n v="24170200"/>
  </r>
  <r>
    <n v="155"/>
    <x v="0"/>
    <x v="1"/>
    <x v="5"/>
    <x v="19"/>
    <x v="62"/>
    <x v="62"/>
    <n v="21968800"/>
  </r>
  <r>
    <n v="156"/>
    <x v="0"/>
    <x v="1"/>
    <x v="5"/>
    <x v="19"/>
    <x v="58"/>
    <x v="58"/>
    <n v="7676600"/>
  </r>
  <r>
    <n v="157"/>
    <x v="0"/>
    <x v="1"/>
    <x v="5"/>
    <x v="19"/>
    <x v="63"/>
    <x v="63"/>
    <n v="1716400"/>
  </r>
  <r>
    <n v="158"/>
    <x v="0"/>
    <x v="1"/>
    <x v="5"/>
    <x v="19"/>
    <x v="59"/>
    <x v="59"/>
    <n v="38037240"/>
  </r>
  <r>
    <n v="159"/>
    <x v="0"/>
    <x v="1"/>
    <x v="5"/>
    <x v="19"/>
    <x v="57"/>
    <x v="57"/>
    <n v="2058400"/>
  </r>
  <r>
    <n v="160"/>
    <x v="0"/>
    <x v="1"/>
    <x v="5"/>
    <x v="19"/>
    <x v="60"/>
    <x v="60"/>
    <n v="2669700"/>
  </r>
  <r>
    <n v="161"/>
    <x v="0"/>
    <x v="1"/>
    <x v="5"/>
    <x v="19"/>
    <x v="61"/>
    <x v="61"/>
    <n v="2895000"/>
  </r>
  <r>
    <n v="162"/>
    <x v="0"/>
    <x v="1"/>
    <x v="5"/>
    <x v="19"/>
    <x v="62"/>
    <x v="62"/>
    <n v="1137900"/>
  </r>
  <r>
    <n v="163"/>
    <x v="0"/>
    <x v="1"/>
    <x v="5"/>
    <x v="19"/>
    <x v="58"/>
    <x v="58"/>
    <n v="27451200"/>
  </r>
  <r>
    <n v="164"/>
    <x v="0"/>
    <x v="1"/>
    <x v="5"/>
    <x v="19"/>
    <x v="63"/>
    <x v="63"/>
    <n v="5993200"/>
  </r>
  <r>
    <n v="165"/>
    <x v="0"/>
    <x v="1"/>
    <x v="5"/>
    <x v="19"/>
    <x v="63"/>
    <x v="63"/>
    <n v="4188400"/>
  </r>
  <r>
    <n v="166"/>
    <x v="0"/>
    <x v="1"/>
    <x v="5"/>
    <x v="19"/>
    <x v="58"/>
    <x v="58"/>
    <n v="222000"/>
  </r>
  <r>
    <n v="167"/>
    <x v="0"/>
    <x v="1"/>
    <x v="5"/>
    <x v="20"/>
    <x v="64"/>
    <x v="64"/>
    <n v="1520000"/>
  </r>
  <r>
    <n v="168"/>
    <x v="0"/>
    <x v="1"/>
    <x v="5"/>
    <x v="20"/>
    <x v="65"/>
    <x v="65"/>
    <n v="1560000"/>
  </r>
  <r>
    <n v="169"/>
    <x v="0"/>
    <x v="1"/>
    <x v="5"/>
    <x v="20"/>
    <x v="66"/>
    <x v="66"/>
    <n v="864000"/>
  </r>
  <r>
    <n v="170"/>
    <x v="0"/>
    <x v="1"/>
    <x v="5"/>
    <x v="20"/>
    <x v="64"/>
    <x v="64"/>
    <n v="6639700"/>
  </r>
  <r>
    <n v="171"/>
    <x v="0"/>
    <x v="1"/>
    <x v="5"/>
    <x v="20"/>
    <x v="67"/>
    <x v="67"/>
    <n v="8281570"/>
  </r>
  <r>
    <n v="172"/>
    <x v="0"/>
    <x v="1"/>
    <x v="5"/>
    <x v="20"/>
    <x v="65"/>
    <x v="65"/>
    <n v="5957800"/>
  </r>
  <r>
    <n v="173"/>
    <x v="0"/>
    <x v="1"/>
    <x v="5"/>
    <x v="20"/>
    <x v="66"/>
    <x v="66"/>
    <n v="5584400"/>
  </r>
  <r>
    <n v="174"/>
    <x v="0"/>
    <x v="1"/>
    <x v="5"/>
    <x v="20"/>
    <x v="64"/>
    <x v="64"/>
    <n v="19604000"/>
  </r>
  <r>
    <n v="175"/>
    <x v="0"/>
    <x v="1"/>
    <x v="5"/>
    <x v="20"/>
    <x v="67"/>
    <x v="67"/>
    <n v="51915500"/>
  </r>
  <r>
    <n v="176"/>
    <x v="0"/>
    <x v="1"/>
    <x v="5"/>
    <x v="20"/>
    <x v="65"/>
    <x v="65"/>
    <n v="17163000"/>
  </r>
  <r>
    <n v="177"/>
    <x v="0"/>
    <x v="1"/>
    <x v="5"/>
    <x v="20"/>
    <x v="66"/>
    <x v="66"/>
    <n v="23430000"/>
  </r>
  <r>
    <n v="178"/>
    <x v="0"/>
    <x v="1"/>
    <x v="5"/>
    <x v="20"/>
    <x v="67"/>
    <x v="67"/>
    <n v="37146000"/>
  </r>
  <r>
    <n v="179"/>
    <x v="0"/>
    <x v="1"/>
    <x v="6"/>
    <x v="21"/>
    <x v="68"/>
    <x v="68"/>
    <n v="2975500"/>
  </r>
  <r>
    <n v="180"/>
    <x v="0"/>
    <x v="1"/>
    <x v="6"/>
    <x v="21"/>
    <x v="68"/>
    <x v="68"/>
    <n v="56840200"/>
  </r>
  <r>
    <n v="181"/>
    <x v="0"/>
    <x v="1"/>
    <x v="6"/>
    <x v="21"/>
    <x v="69"/>
    <x v="69"/>
    <n v="27189000"/>
  </r>
  <r>
    <n v="182"/>
    <x v="0"/>
    <x v="1"/>
    <x v="6"/>
    <x v="21"/>
    <x v="68"/>
    <x v="68"/>
    <n v="65196900"/>
  </r>
  <r>
    <n v="183"/>
    <x v="0"/>
    <x v="1"/>
    <x v="6"/>
    <x v="21"/>
    <x v="69"/>
    <x v="69"/>
    <n v="19467000"/>
  </r>
  <r>
    <n v="184"/>
    <x v="0"/>
    <x v="1"/>
    <x v="6"/>
    <x v="21"/>
    <x v="68"/>
    <x v="68"/>
    <n v="198000"/>
  </r>
  <r>
    <n v="185"/>
    <x v="0"/>
    <x v="1"/>
    <x v="6"/>
    <x v="22"/>
    <x v="70"/>
    <x v="70"/>
    <n v="150000"/>
  </r>
  <r>
    <n v="186"/>
    <x v="0"/>
    <x v="1"/>
    <x v="6"/>
    <x v="22"/>
    <x v="71"/>
    <x v="71"/>
    <n v="4736600"/>
  </r>
  <r>
    <n v="187"/>
    <x v="0"/>
    <x v="1"/>
    <x v="6"/>
    <x v="22"/>
    <x v="70"/>
    <x v="70"/>
    <n v="1536000"/>
  </r>
  <r>
    <n v="188"/>
    <x v="0"/>
    <x v="1"/>
    <x v="6"/>
    <x v="22"/>
    <x v="71"/>
    <x v="71"/>
    <n v="7265000"/>
  </r>
  <r>
    <n v="189"/>
    <x v="0"/>
    <x v="1"/>
    <x v="6"/>
    <x v="22"/>
    <x v="71"/>
    <x v="71"/>
    <n v="18414200"/>
  </r>
  <r>
    <n v="190"/>
    <x v="0"/>
    <x v="1"/>
    <x v="6"/>
    <x v="22"/>
    <x v="70"/>
    <x v="70"/>
    <n v="23259400"/>
  </r>
  <r>
    <n v="191"/>
    <x v="0"/>
    <x v="1"/>
    <x v="6"/>
    <x v="23"/>
    <x v="72"/>
    <x v="72"/>
    <n v="6420000"/>
  </r>
  <r>
    <n v="192"/>
    <x v="0"/>
    <x v="1"/>
    <x v="6"/>
    <x v="23"/>
    <x v="72"/>
    <x v="72"/>
    <n v="17558400"/>
  </r>
  <r>
    <n v="193"/>
    <x v="0"/>
    <x v="1"/>
    <x v="6"/>
    <x v="23"/>
    <x v="73"/>
    <x v="73"/>
    <n v="2741000"/>
  </r>
  <r>
    <n v="194"/>
    <x v="0"/>
    <x v="1"/>
    <x v="6"/>
    <x v="23"/>
    <x v="72"/>
    <x v="72"/>
    <n v="3023100"/>
  </r>
  <r>
    <n v="195"/>
    <x v="0"/>
    <x v="1"/>
    <x v="6"/>
    <x v="23"/>
    <x v="73"/>
    <x v="73"/>
    <n v="2993100"/>
  </r>
  <r>
    <n v="196"/>
    <x v="0"/>
    <x v="1"/>
    <x v="6"/>
    <x v="23"/>
    <x v="74"/>
    <x v="74"/>
    <n v="5116000"/>
  </r>
  <r>
    <n v="197"/>
    <x v="0"/>
    <x v="1"/>
    <x v="6"/>
    <x v="23"/>
    <x v="72"/>
    <x v="72"/>
    <n v="6798600"/>
  </r>
  <r>
    <n v="198"/>
    <x v="0"/>
    <x v="1"/>
    <x v="6"/>
    <x v="23"/>
    <x v="73"/>
    <x v="73"/>
    <n v="5365200"/>
  </r>
  <r>
    <n v="199"/>
    <x v="0"/>
    <x v="1"/>
    <x v="6"/>
    <x v="23"/>
    <x v="72"/>
    <x v="72"/>
    <n v="2838000"/>
  </r>
  <r>
    <n v="200"/>
    <x v="0"/>
    <x v="1"/>
    <x v="6"/>
    <x v="24"/>
    <x v="75"/>
    <x v="75"/>
    <n v="5224000"/>
  </r>
  <r>
    <n v="201"/>
    <x v="0"/>
    <x v="1"/>
    <x v="6"/>
    <x v="24"/>
    <x v="75"/>
    <x v="75"/>
    <n v="9360800"/>
  </r>
  <r>
    <n v="202"/>
    <x v="1"/>
    <x v="2"/>
    <x v="7"/>
    <x v="25"/>
    <x v="76"/>
    <x v="76"/>
    <n v="3684300"/>
  </r>
  <r>
    <n v="203"/>
    <x v="1"/>
    <x v="2"/>
    <x v="7"/>
    <x v="26"/>
    <x v="77"/>
    <x v="77"/>
    <n v="6130000"/>
  </r>
  <r>
    <n v="204"/>
    <x v="1"/>
    <x v="2"/>
    <x v="7"/>
    <x v="26"/>
    <x v="78"/>
    <x v="78"/>
    <n v="7427000"/>
  </r>
  <r>
    <n v="205"/>
    <x v="1"/>
    <x v="2"/>
    <x v="7"/>
    <x v="26"/>
    <x v="77"/>
    <x v="77"/>
    <n v="39790400"/>
  </r>
  <r>
    <n v="206"/>
    <x v="1"/>
    <x v="2"/>
    <x v="7"/>
    <x v="26"/>
    <x v="78"/>
    <x v="78"/>
    <n v="17286300"/>
  </r>
  <r>
    <n v="207"/>
    <x v="1"/>
    <x v="2"/>
    <x v="7"/>
    <x v="26"/>
    <x v="77"/>
    <x v="77"/>
    <n v="17848000"/>
  </r>
  <r>
    <n v="208"/>
    <x v="1"/>
    <x v="2"/>
    <x v="7"/>
    <x v="26"/>
    <x v="78"/>
    <x v="78"/>
    <n v="4097800"/>
  </r>
  <r>
    <n v="209"/>
    <x v="1"/>
    <x v="2"/>
    <x v="7"/>
    <x v="26"/>
    <x v="78"/>
    <x v="78"/>
    <n v="7480800"/>
  </r>
  <r>
    <n v="210"/>
    <x v="1"/>
    <x v="2"/>
    <x v="7"/>
    <x v="26"/>
    <x v="78"/>
    <x v="78"/>
    <n v="3780000"/>
  </r>
  <r>
    <n v="211"/>
    <x v="1"/>
    <x v="2"/>
    <x v="7"/>
    <x v="26"/>
    <x v="77"/>
    <x v="77"/>
    <n v="11983100"/>
  </r>
  <r>
    <n v="212"/>
    <x v="1"/>
    <x v="2"/>
    <x v="7"/>
    <x v="26"/>
    <x v="78"/>
    <x v="78"/>
    <n v="0"/>
  </r>
  <r>
    <n v="213"/>
    <x v="1"/>
    <x v="2"/>
    <x v="7"/>
    <x v="27"/>
    <x v="79"/>
    <x v="79"/>
    <n v="26783400"/>
  </r>
  <r>
    <n v="214"/>
    <x v="1"/>
    <x v="2"/>
    <x v="7"/>
    <x v="27"/>
    <x v="79"/>
    <x v="79"/>
    <n v="12877400"/>
  </r>
  <r>
    <n v="215"/>
    <x v="1"/>
    <x v="2"/>
    <x v="7"/>
    <x v="28"/>
    <x v="80"/>
    <x v="80"/>
    <n v="4209100"/>
  </r>
  <r>
    <n v="216"/>
    <x v="1"/>
    <x v="2"/>
    <x v="7"/>
    <x v="28"/>
    <x v="80"/>
    <x v="80"/>
    <n v="9793200"/>
  </r>
  <r>
    <n v="217"/>
    <x v="1"/>
    <x v="2"/>
    <x v="8"/>
    <x v="29"/>
    <x v="81"/>
    <x v="81"/>
    <n v="36634300"/>
  </r>
  <r>
    <n v="218"/>
    <x v="1"/>
    <x v="2"/>
    <x v="8"/>
    <x v="29"/>
    <x v="82"/>
    <x v="82"/>
    <n v="6714100"/>
  </r>
  <r>
    <n v="219"/>
    <x v="1"/>
    <x v="2"/>
    <x v="8"/>
    <x v="29"/>
    <x v="83"/>
    <x v="83"/>
    <n v="15779300"/>
  </r>
  <r>
    <n v="220"/>
    <x v="1"/>
    <x v="2"/>
    <x v="8"/>
    <x v="29"/>
    <x v="81"/>
    <x v="81"/>
    <n v="13877720"/>
  </r>
  <r>
    <n v="221"/>
    <x v="1"/>
    <x v="2"/>
    <x v="8"/>
    <x v="29"/>
    <x v="83"/>
    <x v="83"/>
    <n v="26082400"/>
  </r>
  <r>
    <n v="222"/>
    <x v="1"/>
    <x v="2"/>
    <x v="8"/>
    <x v="29"/>
    <x v="81"/>
    <x v="81"/>
    <n v="5249700"/>
  </r>
  <r>
    <n v="223"/>
    <x v="1"/>
    <x v="2"/>
    <x v="8"/>
    <x v="30"/>
    <x v="84"/>
    <x v="84"/>
    <n v="6859400"/>
  </r>
  <r>
    <n v="224"/>
    <x v="1"/>
    <x v="2"/>
    <x v="8"/>
    <x v="30"/>
    <x v="84"/>
    <x v="84"/>
    <n v="10462100"/>
  </r>
  <r>
    <n v="225"/>
    <x v="1"/>
    <x v="2"/>
    <x v="8"/>
    <x v="30"/>
    <x v="84"/>
    <x v="84"/>
    <n v="3499800"/>
  </r>
  <r>
    <n v="226"/>
    <x v="1"/>
    <x v="2"/>
    <x v="8"/>
    <x v="31"/>
    <x v="85"/>
    <x v="85"/>
    <n v="15012400"/>
  </r>
  <r>
    <n v="227"/>
    <x v="1"/>
    <x v="2"/>
    <x v="8"/>
    <x v="31"/>
    <x v="85"/>
    <x v="85"/>
    <n v="14968900"/>
  </r>
  <r>
    <n v="228"/>
    <x v="1"/>
    <x v="2"/>
    <x v="8"/>
    <x v="31"/>
    <x v="85"/>
    <x v="85"/>
    <n v="4767600"/>
  </r>
  <r>
    <n v="229"/>
    <x v="1"/>
    <x v="2"/>
    <x v="8"/>
    <x v="32"/>
    <x v="86"/>
    <x v="86"/>
    <n v="5221000"/>
  </r>
  <r>
    <n v="230"/>
    <x v="1"/>
    <x v="2"/>
    <x v="8"/>
    <x v="32"/>
    <x v="86"/>
    <x v="86"/>
    <n v="13077700"/>
  </r>
  <r>
    <n v="231"/>
    <x v="1"/>
    <x v="2"/>
    <x v="9"/>
    <x v="33"/>
    <x v="87"/>
    <x v="87"/>
    <n v="9177600"/>
  </r>
  <r>
    <n v="232"/>
    <x v="1"/>
    <x v="2"/>
    <x v="9"/>
    <x v="34"/>
    <x v="88"/>
    <x v="88"/>
    <n v="4782400"/>
  </r>
  <r>
    <n v="233"/>
    <x v="1"/>
    <x v="2"/>
    <x v="9"/>
    <x v="34"/>
    <x v="89"/>
    <x v="89"/>
    <n v="32595200"/>
  </r>
  <r>
    <n v="234"/>
    <x v="1"/>
    <x v="2"/>
    <x v="9"/>
    <x v="34"/>
    <x v="88"/>
    <x v="88"/>
    <n v="5199600"/>
  </r>
  <r>
    <n v="235"/>
    <x v="1"/>
    <x v="2"/>
    <x v="9"/>
    <x v="34"/>
    <x v="89"/>
    <x v="89"/>
    <n v="8819800"/>
  </r>
  <r>
    <n v="236"/>
    <x v="1"/>
    <x v="2"/>
    <x v="9"/>
    <x v="34"/>
    <x v="88"/>
    <x v="88"/>
    <n v="2319600"/>
  </r>
  <r>
    <n v="237"/>
    <x v="1"/>
    <x v="2"/>
    <x v="9"/>
    <x v="35"/>
    <x v="90"/>
    <x v="90"/>
    <n v="38893100"/>
  </r>
  <r>
    <n v="238"/>
    <x v="1"/>
    <x v="2"/>
    <x v="9"/>
    <x v="35"/>
    <x v="90"/>
    <x v="90"/>
    <n v="5774800"/>
  </r>
  <r>
    <n v="239"/>
    <x v="1"/>
    <x v="2"/>
    <x v="9"/>
    <x v="35"/>
    <x v="90"/>
    <x v="90"/>
    <n v="15317100"/>
  </r>
  <r>
    <n v="240"/>
    <x v="1"/>
    <x v="2"/>
    <x v="10"/>
    <x v="36"/>
    <x v="91"/>
    <x v="91"/>
    <n v="25601510"/>
  </r>
  <r>
    <n v="241"/>
    <x v="1"/>
    <x v="2"/>
    <x v="10"/>
    <x v="36"/>
    <x v="92"/>
    <x v="92"/>
    <n v="51968800"/>
  </r>
  <r>
    <n v="242"/>
    <x v="1"/>
    <x v="2"/>
    <x v="10"/>
    <x v="36"/>
    <x v="91"/>
    <x v="91"/>
    <n v="4300000"/>
  </r>
  <r>
    <n v="243"/>
    <x v="1"/>
    <x v="2"/>
    <x v="10"/>
    <x v="36"/>
    <x v="92"/>
    <x v="92"/>
    <n v="25734800"/>
  </r>
  <r>
    <n v="244"/>
    <x v="1"/>
    <x v="2"/>
    <x v="10"/>
    <x v="36"/>
    <x v="91"/>
    <x v="91"/>
    <n v="7399800"/>
  </r>
  <r>
    <n v="245"/>
    <x v="1"/>
    <x v="2"/>
    <x v="10"/>
    <x v="36"/>
    <x v="92"/>
    <x v="92"/>
    <n v="17068100"/>
  </r>
  <r>
    <n v="246"/>
    <x v="1"/>
    <x v="2"/>
    <x v="10"/>
    <x v="37"/>
    <x v="93"/>
    <x v="93"/>
    <n v="14207700"/>
  </r>
  <r>
    <n v="247"/>
    <x v="1"/>
    <x v="2"/>
    <x v="10"/>
    <x v="37"/>
    <x v="93"/>
    <x v="93"/>
    <n v="7794200"/>
  </r>
  <r>
    <n v="248"/>
    <x v="1"/>
    <x v="2"/>
    <x v="10"/>
    <x v="37"/>
    <x v="93"/>
    <x v="93"/>
    <n v="2685800"/>
  </r>
  <r>
    <n v="249"/>
    <x v="1"/>
    <x v="2"/>
    <x v="10"/>
    <x v="38"/>
    <x v="94"/>
    <x v="94"/>
    <n v="54202100"/>
  </r>
  <r>
    <n v="250"/>
    <x v="1"/>
    <x v="2"/>
    <x v="10"/>
    <x v="38"/>
    <x v="94"/>
    <x v="94"/>
    <n v="2439600"/>
  </r>
  <r>
    <n v="251"/>
    <x v="1"/>
    <x v="2"/>
    <x v="10"/>
    <x v="38"/>
    <x v="94"/>
    <x v="94"/>
    <n v="4423200"/>
  </r>
  <r>
    <n v="252"/>
    <x v="1"/>
    <x v="2"/>
    <x v="10"/>
    <x v="39"/>
    <x v="95"/>
    <x v="95"/>
    <n v="11803640"/>
  </r>
  <r>
    <n v="253"/>
    <x v="1"/>
    <x v="2"/>
    <x v="10"/>
    <x v="39"/>
    <x v="95"/>
    <x v="95"/>
    <n v="9759400"/>
  </r>
  <r>
    <n v="254"/>
    <x v="1"/>
    <x v="2"/>
    <x v="10"/>
    <x v="39"/>
    <x v="95"/>
    <x v="95"/>
    <n v="4290600"/>
  </r>
  <r>
    <n v="255"/>
    <x v="1"/>
    <x v="2"/>
    <x v="11"/>
    <x v="40"/>
    <x v="96"/>
    <x v="96"/>
    <n v="1428000"/>
  </r>
  <r>
    <n v="256"/>
    <x v="1"/>
    <x v="2"/>
    <x v="11"/>
    <x v="40"/>
    <x v="96"/>
    <x v="96"/>
    <n v="22386000"/>
  </r>
  <r>
    <n v="257"/>
    <x v="1"/>
    <x v="2"/>
    <x v="11"/>
    <x v="40"/>
    <x v="97"/>
    <x v="97"/>
    <n v="6839000"/>
  </r>
  <r>
    <n v="258"/>
    <x v="1"/>
    <x v="2"/>
    <x v="11"/>
    <x v="40"/>
    <x v="96"/>
    <x v="96"/>
    <n v="12079000"/>
  </r>
  <r>
    <n v="259"/>
    <x v="1"/>
    <x v="2"/>
    <x v="11"/>
    <x v="40"/>
    <x v="97"/>
    <x v="97"/>
    <n v="20356600"/>
  </r>
  <r>
    <n v="260"/>
    <x v="1"/>
    <x v="2"/>
    <x v="11"/>
    <x v="40"/>
    <x v="96"/>
    <x v="96"/>
    <n v="948000"/>
  </r>
  <r>
    <n v="261"/>
    <x v="1"/>
    <x v="2"/>
    <x v="11"/>
    <x v="40"/>
    <x v="96"/>
    <x v="96"/>
    <n v="3599800"/>
  </r>
  <r>
    <n v="262"/>
    <x v="1"/>
    <x v="2"/>
    <x v="11"/>
    <x v="41"/>
    <x v="98"/>
    <x v="98"/>
    <n v="28214300"/>
  </r>
  <r>
    <n v="263"/>
    <x v="1"/>
    <x v="2"/>
    <x v="11"/>
    <x v="41"/>
    <x v="99"/>
    <x v="99"/>
    <n v="16041600"/>
  </r>
  <r>
    <n v="264"/>
    <x v="1"/>
    <x v="2"/>
    <x v="11"/>
    <x v="41"/>
    <x v="98"/>
    <x v="98"/>
    <n v="25063800"/>
  </r>
  <r>
    <n v="265"/>
    <x v="1"/>
    <x v="2"/>
    <x v="11"/>
    <x v="41"/>
    <x v="99"/>
    <x v="99"/>
    <n v="7497000"/>
  </r>
  <r>
    <n v="266"/>
    <x v="1"/>
    <x v="2"/>
    <x v="11"/>
    <x v="42"/>
    <x v="100"/>
    <x v="100"/>
    <n v="5036000"/>
  </r>
  <r>
    <n v="267"/>
    <x v="1"/>
    <x v="2"/>
    <x v="11"/>
    <x v="42"/>
    <x v="100"/>
    <x v="100"/>
    <n v="51333400"/>
  </r>
  <r>
    <n v="268"/>
    <x v="1"/>
    <x v="2"/>
    <x v="11"/>
    <x v="42"/>
    <x v="101"/>
    <x v="101"/>
    <n v="16295600"/>
  </r>
  <r>
    <n v="269"/>
    <x v="1"/>
    <x v="2"/>
    <x v="11"/>
    <x v="42"/>
    <x v="100"/>
    <x v="100"/>
    <n v="68147820"/>
  </r>
  <r>
    <n v="270"/>
    <x v="1"/>
    <x v="2"/>
    <x v="11"/>
    <x v="42"/>
    <x v="101"/>
    <x v="101"/>
    <n v="12050400"/>
  </r>
  <r>
    <n v="271"/>
    <x v="1"/>
    <x v="2"/>
    <x v="11"/>
    <x v="42"/>
    <x v="100"/>
    <x v="100"/>
    <n v="9731600"/>
  </r>
  <r>
    <n v="272"/>
    <x v="1"/>
    <x v="2"/>
    <x v="12"/>
    <x v="43"/>
    <x v="102"/>
    <x v="102"/>
    <n v="27270700"/>
  </r>
  <r>
    <n v="273"/>
    <x v="1"/>
    <x v="2"/>
    <x v="12"/>
    <x v="43"/>
    <x v="102"/>
    <x v="102"/>
    <n v="32385000"/>
  </r>
  <r>
    <n v="274"/>
    <x v="1"/>
    <x v="2"/>
    <x v="12"/>
    <x v="44"/>
    <x v="103"/>
    <x v="103"/>
    <n v="770000"/>
  </r>
  <r>
    <n v="275"/>
    <x v="1"/>
    <x v="2"/>
    <x v="12"/>
    <x v="44"/>
    <x v="103"/>
    <x v="103"/>
    <n v="4607100"/>
  </r>
  <r>
    <n v="276"/>
    <x v="1"/>
    <x v="2"/>
    <x v="12"/>
    <x v="44"/>
    <x v="103"/>
    <x v="103"/>
    <n v="1581800"/>
  </r>
  <r>
    <n v="277"/>
    <x v="1"/>
    <x v="2"/>
    <x v="12"/>
    <x v="44"/>
    <x v="103"/>
    <x v="103"/>
    <n v="2659800"/>
  </r>
  <r>
    <n v="278"/>
    <x v="1"/>
    <x v="3"/>
    <x v="13"/>
    <x v="45"/>
    <x v="104"/>
    <x v="104"/>
    <n v="526900"/>
  </r>
  <r>
    <n v="279"/>
    <x v="1"/>
    <x v="3"/>
    <x v="13"/>
    <x v="45"/>
    <x v="105"/>
    <x v="105"/>
    <n v="5321400"/>
  </r>
  <r>
    <n v="280"/>
    <x v="1"/>
    <x v="3"/>
    <x v="13"/>
    <x v="45"/>
    <x v="104"/>
    <x v="104"/>
    <n v="18295300"/>
  </r>
  <r>
    <n v="281"/>
    <x v="1"/>
    <x v="3"/>
    <x v="13"/>
    <x v="45"/>
    <x v="106"/>
    <x v="106"/>
    <n v="10994000"/>
  </r>
  <r>
    <n v="282"/>
    <x v="1"/>
    <x v="3"/>
    <x v="13"/>
    <x v="46"/>
    <x v="107"/>
    <x v="107"/>
    <n v="1065400"/>
  </r>
  <r>
    <n v="283"/>
    <x v="1"/>
    <x v="3"/>
    <x v="13"/>
    <x v="46"/>
    <x v="107"/>
    <x v="107"/>
    <n v="20311700"/>
  </r>
  <r>
    <n v="284"/>
    <x v="1"/>
    <x v="3"/>
    <x v="13"/>
    <x v="46"/>
    <x v="108"/>
    <x v="108"/>
    <n v="15365200"/>
  </r>
  <r>
    <n v="285"/>
    <x v="1"/>
    <x v="3"/>
    <x v="13"/>
    <x v="46"/>
    <x v="109"/>
    <x v="109"/>
    <n v="18535400"/>
  </r>
  <r>
    <n v="286"/>
    <x v="1"/>
    <x v="3"/>
    <x v="13"/>
    <x v="46"/>
    <x v="110"/>
    <x v="110"/>
    <n v="8628000"/>
  </r>
  <r>
    <n v="287"/>
    <x v="1"/>
    <x v="3"/>
    <x v="13"/>
    <x v="46"/>
    <x v="107"/>
    <x v="107"/>
    <n v="51911900"/>
  </r>
  <r>
    <n v="288"/>
    <x v="1"/>
    <x v="3"/>
    <x v="13"/>
    <x v="46"/>
    <x v="108"/>
    <x v="108"/>
    <n v="27640000"/>
  </r>
  <r>
    <n v="289"/>
    <x v="1"/>
    <x v="3"/>
    <x v="13"/>
    <x v="46"/>
    <x v="109"/>
    <x v="109"/>
    <n v="2136000"/>
  </r>
  <r>
    <n v="290"/>
    <x v="1"/>
    <x v="3"/>
    <x v="13"/>
    <x v="46"/>
    <x v="110"/>
    <x v="110"/>
    <n v="50675200"/>
  </r>
  <r>
    <n v="291"/>
    <x v="1"/>
    <x v="3"/>
    <x v="13"/>
    <x v="46"/>
    <x v="107"/>
    <x v="107"/>
    <n v="16954200"/>
  </r>
  <r>
    <n v="292"/>
    <x v="1"/>
    <x v="3"/>
    <x v="13"/>
    <x v="46"/>
    <x v="109"/>
    <x v="109"/>
    <n v="11773000"/>
  </r>
  <r>
    <n v="293"/>
    <x v="1"/>
    <x v="3"/>
    <x v="13"/>
    <x v="47"/>
    <x v="111"/>
    <x v="111"/>
    <n v="18235000"/>
  </r>
  <r>
    <n v="294"/>
    <x v="1"/>
    <x v="3"/>
    <x v="13"/>
    <x v="47"/>
    <x v="112"/>
    <x v="112"/>
    <n v="948000"/>
  </r>
  <r>
    <n v="295"/>
    <x v="1"/>
    <x v="3"/>
    <x v="13"/>
    <x v="47"/>
    <x v="111"/>
    <x v="111"/>
    <n v="1546000"/>
  </r>
  <r>
    <n v="296"/>
    <x v="1"/>
    <x v="3"/>
    <x v="13"/>
    <x v="47"/>
    <x v="112"/>
    <x v="112"/>
    <n v="24502200"/>
  </r>
  <r>
    <n v="297"/>
    <x v="1"/>
    <x v="3"/>
    <x v="13"/>
    <x v="47"/>
    <x v="111"/>
    <x v="111"/>
    <n v="18437400"/>
  </r>
  <r>
    <n v="298"/>
    <x v="1"/>
    <x v="3"/>
    <x v="13"/>
    <x v="47"/>
    <x v="113"/>
    <x v="113"/>
    <n v="7843100"/>
  </r>
  <r>
    <n v="299"/>
    <x v="1"/>
    <x v="3"/>
    <x v="13"/>
    <x v="47"/>
    <x v="112"/>
    <x v="112"/>
    <n v="37456700"/>
  </r>
  <r>
    <n v="300"/>
    <x v="1"/>
    <x v="3"/>
    <x v="13"/>
    <x v="47"/>
    <x v="111"/>
    <x v="111"/>
    <n v="23362800"/>
  </r>
  <r>
    <n v="301"/>
    <x v="1"/>
    <x v="3"/>
    <x v="13"/>
    <x v="47"/>
    <x v="111"/>
    <x v="111"/>
    <n v="218000"/>
  </r>
  <r>
    <n v="302"/>
    <x v="1"/>
    <x v="3"/>
    <x v="14"/>
    <x v="48"/>
    <x v="114"/>
    <x v="114"/>
    <n v="11375000"/>
  </r>
  <r>
    <n v="303"/>
    <x v="1"/>
    <x v="3"/>
    <x v="14"/>
    <x v="48"/>
    <x v="114"/>
    <x v="114"/>
    <n v="5707600"/>
  </r>
  <r>
    <n v="304"/>
    <x v="1"/>
    <x v="3"/>
    <x v="14"/>
    <x v="49"/>
    <x v="115"/>
    <x v="115"/>
    <n v="11999600"/>
  </r>
  <r>
    <n v="305"/>
    <x v="1"/>
    <x v="3"/>
    <x v="14"/>
    <x v="49"/>
    <x v="116"/>
    <x v="116"/>
    <n v="3559800"/>
  </r>
  <r>
    <n v="306"/>
    <x v="1"/>
    <x v="3"/>
    <x v="14"/>
    <x v="49"/>
    <x v="115"/>
    <x v="115"/>
    <n v="1987600"/>
  </r>
  <r>
    <n v="307"/>
    <x v="1"/>
    <x v="3"/>
    <x v="14"/>
    <x v="49"/>
    <x v="116"/>
    <x v="116"/>
    <n v="8142200"/>
  </r>
  <r>
    <n v="308"/>
    <x v="1"/>
    <x v="3"/>
    <x v="14"/>
    <x v="49"/>
    <x v="115"/>
    <x v="115"/>
    <n v="65584900"/>
  </r>
  <r>
    <n v="309"/>
    <x v="1"/>
    <x v="3"/>
    <x v="14"/>
    <x v="49"/>
    <x v="116"/>
    <x v="116"/>
    <n v="11560680"/>
  </r>
  <r>
    <n v="310"/>
    <x v="1"/>
    <x v="3"/>
    <x v="14"/>
    <x v="49"/>
    <x v="117"/>
    <x v="117"/>
    <n v="10948000"/>
  </r>
  <r>
    <n v="311"/>
    <x v="1"/>
    <x v="3"/>
    <x v="14"/>
    <x v="49"/>
    <x v="115"/>
    <x v="115"/>
    <n v="44287700"/>
  </r>
  <r>
    <n v="312"/>
    <x v="1"/>
    <x v="3"/>
    <x v="14"/>
    <x v="49"/>
    <x v="116"/>
    <x v="116"/>
    <n v="68104800"/>
  </r>
  <r>
    <n v="313"/>
    <x v="1"/>
    <x v="3"/>
    <x v="14"/>
    <x v="49"/>
    <x v="117"/>
    <x v="117"/>
    <n v="1859000"/>
  </r>
  <r>
    <n v="314"/>
    <x v="1"/>
    <x v="3"/>
    <x v="14"/>
    <x v="49"/>
    <x v="115"/>
    <x v="115"/>
    <n v="17479000"/>
  </r>
  <r>
    <n v="315"/>
    <x v="1"/>
    <x v="3"/>
    <x v="14"/>
    <x v="49"/>
    <x v="116"/>
    <x v="116"/>
    <n v="4533200"/>
  </r>
  <r>
    <n v="316"/>
    <x v="1"/>
    <x v="3"/>
    <x v="15"/>
    <x v="50"/>
    <x v="118"/>
    <x v="118"/>
    <n v="15533600"/>
  </r>
  <r>
    <n v="317"/>
    <x v="1"/>
    <x v="3"/>
    <x v="15"/>
    <x v="51"/>
    <x v="119"/>
    <x v="119"/>
    <n v="36405900"/>
  </r>
  <r>
    <n v="318"/>
    <x v="1"/>
    <x v="3"/>
    <x v="16"/>
    <x v="52"/>
    <x v="120"/>
    <x v="120"/>
    <n v="17542110"/>
  </r>
  <r>
    <n v="319"/>
    <x v="1"/>
    <x v="3"/>
    <x v="16"/>
    <x v="52"/>
    <x v="121"/>
    <x v="121"/>
    <n v="3018610"/>
  </r>
  <r>
    <n v="320"/>
    <x v="1"/>
    <x v="3"/>
    <x v="16"/>
    <x v="52"/>
    <x v="122"/>
    <x v="122"/>
    <n v="10778800"/>
  </r>
  <r>
    <n v="321"/>
    <x v="1"/>
    <x v="3"/>
    <x v="16"/>
    <x v="52"/>
    <x v="123"/>
    <x v="123"/>
    <n v="4708000"/>
  </r>
  <r>
    <n v="322"/>
    <x v="1"/>
    <x v="3"/>
    <x v="16"/>
    <x v="52"/>
    <x v="124"/>
    <x v="124"/>
    <n v="2596000"/>
  </r>
  <r>
    <n v="323"/>
    <x v="1"/>
    <x v="3"/>
    <x v="16"/>
    <x v="52"/>
    <x v="120"/>
    <x v="120"/>
    <n v="4596000"/>
  </r>
  <r>
    <n v="324"/>
    <x v="1"/>
    <x v="3"/>
    <x v="16"/>
    <x v="52"/>
    <x v="121"/>
    <x v="121"/>
    <n v="4239600"/>
  </r>
  <r>
    <n v="325"/>
    <x v="1"/>
    <x v="3"/>
    <x v="16"/>
    <x v="52"/>
    <x v="122"/>
    <x v="122"/>
    <n v="9495000"/>
  </r>
  <r>
    <n v="326"/>
    <x v="1"/>
    <x v="3"/>
    <x v="16"/>
    <x v="52"/>
    <x v="123"/>
    <x v="123"/>
    <n v="12463200"/>
  </r>
  <r>
    <n v="327"/>
    <x v="1"/>
    <x v="3"/>
    <x v="16"/>
    <x v="52"/>
    <x v="121"/>
    <x v="121"/>
    <n v="5286000"/>
  </r>
  <r>
    <n v="328"/>
    <x v="1"/>
    <x v="3"/>
    <x v="16"/>
    <x v="52"/>
    <x v="123"/>
    <x v="123"/>
    <n v="5339700"/>
  </r>
  <r>
    <n v="329"/>
    <x v="1"/>
    <x v="3"/>
    <x v="16"/>
    <x v="53"/>
    <x v="125"/>
    <x v="125"/>
    <n v="2069700"/>
  </r>
  <r>
    <n v="330"/>
    <x v="1"/>
    <x v="3"/>
    <x v="16"/>
    <x v="53"/>
    <x v="125"/>
    <x v="125"/>
    <n v="11204100"/>
  </r>
  <r>
    <n v="331"/>
    <x v="1"/>
    <x v="3"/>
    <x v="16"/>
    <x v="54"/>
    <x v="126"/>
    <x v="126"/>
    <n v="5363100"/>
  </r>
  <r>
    <n v="332"/>
    <x v="1"/>
    <x v="3"/>
    <x v="16"/>
    <x v="54"/>
    <x v="126"/>
    <x v="126"/>
    <n v="6300400"/>
  </r>
  <r>
    <n v="333"/>
    <x v="1"/>
    <x v="3"/>
    <x v="16"/>
    <x v="54"/>
    <x v="126"/>
    <x v="126"/>
    <n v="44527200"/>
  </r>
  <r>
    <n v="334"/>
    <x v="1"/>
    <x v="3"/>
    <x v="16"/>
    <x v="54"/>
    <x v="127"/>
    <x v="127"/>
    <n v="10341400"/>
  </r>
  <r>
    <n v="335"/>
    <x v="1"/>
    <x v="3"/>
    <x v="16"/>
    <x v="54"/>
    <x v="126"/>
    <x v="126"/>
    <n v="3946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E1A23D-90A8-431B-946C-674AA3F6902D}" name="피벗 테이블4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4:F134" firstHeaderRow="1" firstDataRow="1" firstDataCol="5" rowPageCount="2" colPageCount="1"/>
  <pivotFields count="17">
    <pivotField showAll="0">
      <items count="4">
        <item x="0"/>
        <item x="1"/>
        <item x="2"/>
        <item t="default"/>
      </items>
    </pivotField>
    <pivotField axis="axisRow" outline="0" showAll="0" defaultSubtotal="0">
      <items count="5">
        <item x="0"/>
        <item x="1"/>
        <item x="2"/>
        <item x="3"/>
        <item x="4"/>
      </items>
    </pivotField>
    <pivotField axis="axisRow" outline="0" showAll="0" defaultSubtota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axis="axisRow" outline="0" showAll="0" defaultSubtotal="0">
      <items count="57">
        <item x="21"/>
        <item x="16"/>
        <item x="22"/>
        <item x="51"/>
        <item x="40"/>
        <item x="13"/>
        <item x="18"/>
        <item x="14"/>
        <item x="0"/>
        <item x="11"/>
        <item x="46"/>
        <item x="7"/>
        <item x="23"/>
        <item x="1"/>
        <item x="24"/>
        <item x="43"/>
        <item x="29"/>
        <item x="49"/>
        <item x="19"/>
        <item x="30"/>
        <item x="36"/>
        <item x="47"/>
        <item x="25"/>
        <item x="8"/>
        <item x="9"/>
        <item x="44"/>
        <item x="15"/>
        <item x="33"/>
        <item x="37"/>
        <item x="41"/>
        <item x="2"/>
        <item x="12"/>
        <item x="3"/>
        <item x="45"/>
        <item x="53"/>
        <item x="50"/>
        <item x="42"/>
        <item x="38"/>
        <item x="17"/>
        <item x="4"/>
        <item x="26"/>
        <item x="10"/>
        <item x="5"/>
        <item x="6"/>
        <item x="34"/>
        <item x="27"/>
        <item x="48"/>
        <item x="28"/>
        <item x="39"/>
        <item x="52"/>
        <item x="54"/>
        <item x="20"/>
        <item x="31"/>
        <item x="35"/>
        <item x="32"/>
        <item x="55"/>
        <item x="56"/>
      </items>
    </pivotField>
    <pivotField axis="axisPage" outline="0" multipleItemSelectionAllowed="1" showAll="0" defaultSubtotal="0">
      <items count="13">
        <item x="4"/>
        <item x="7"/>
        <item x="10"/>
        <item x="0"/>
        <item x="1"/>
        <item x="2"/>
        <item x="5"/>
        <item x="11"/>
        <item x="8"/>
        <item x="3"/>
        <item x="9"/>
        <item x="6"/>
        <item x="12"/>
      </items>
    </pivotField>
    <pivotField axis="axisPage" multipleItemSelectionAllowed="1" showAll="0">
      <items count="11">
        <item x="0"/>
        <item x="8"/>
        <item x="3"/>
        <item x="7"/>
        <item x="2"/>
        <item h="1" x="1"/>
        <item x="4"/>
        <item x="6"/>
        <item x="5"/>
        <item x="9"/>
        <item t="default"/>
      </items>
    </pivotField>
    <pivotField axis="axisRow" outline="0" showAll="0" defaultSubtotal="0">
      <items count="130">
        <item x="74"/>
        <item x="104"/>
        <item x="108"/>
        <item x="62"/>
        <item x="44"/>
        <item x="45"/>
        <item x="122"/>
        <item x="96"/>
        <item x="69"/>
        <item x="84"/>
        <item x="105"/>
        <item x="72"/>
        <item x="82"/>
        <item x="64"/>
        <item x="67"/>
        <item x="47"/>
        <item x="15"/>
        <item x="109"/>
        <item x="3"/>
        <item x="32"/>
        <item x="85"/>
        <item x="50"/>
        <item x="116"/>
        <item x="103"/>
        <item x="127"/>
        <item x="30"/>
        <item x="0"/>
        <item x="53"/>
        <item x="86"/>
        <item x="87"/>
        <item x="41"/>
        <item x="107"/>
        <item x="20"/>
        <item x="115"/>
        <item x="21"/>
        <item x="24"/>
        <item x="42"/>
        <item x="94"/>
        <item x="16"/>
        <item x="12"/>
        <item x="46"/>
        <item x="38"/>
        <item x="43"/>
        <item x="100"/>
        <item x="10"/>
        <item x="34"/>
        <item x="71"/>
        <item x="123"/>
        <item x="90"/>
        <item x="17"/>
        <item x="40"/>
        <item x="27"/>
        <item x="54"/>
        <item x="98"/>
        <item x="26"/>
        <item x="37"/>
        <item x="2"/>
        <item x="57"/>
        <item x="97"/>
        <item x="121"/>
        <item x="113"/>
        <item x="117"/>
        <item x="8"/>
        <item x="4"/>
        <item x="13"/>
        <item x="70"/>
        <item x="1"/>
        <item x="7"/>
        <item x="48"/>
        <item x="5"/>
        <item x="95"/>
        <item x="25"/>
        <item x="88"/>
        <item x="29"/>
        <item x="124"/>
        <item x="75"/>
        <item x="6"/>
        <item x="28"/>
        <item x="112"/>
        <item x="79"/>
        <item x="128"/>
        <item x="18"/>
        <item x="22"/>
        <item x="39"/>
        <item x="77"/>
        <item x="33"/>
        <item x="52"/>
        <item x="55"/>
        <item x="76"/>
        <item x="23"/>
        <item x="118"/>
        <item x="60"/>
        <item x="110"/>
        <item x="125"/>
        <item x="35"/>
        <item x="120"/>
        <item x="126"/>
        <item x="89"/>
        <item x="31"/>
        <item x="36"/>
        <item x="73"/>
        <item x="19"/>
        <item x="14"/>
        <item x="83"/>
        <item x="78"/>
        <item x="58"/>
        <item x="102"/>
        <item x="65"/>
        <item x="51"/>
        <item x="68"/>
        <item x="119"/>
        <item x="99"/>
        <item x="63"/>
        <item x="11"/>
        <item x="111"/>
        <item x="91"/>
        <item x="101"/>
        <item x="9"/>
        <item x="114"/>
        <item x="80"/>
        <item x="81"/>
        <item x="106"/>
        <item x="66"/>
        <item x="93"/>
        <item x="59"/>
        <item x="61"/>
        <item x="49"/>
        <item x="56"/>
        <item x="92"/>
        <item x="129"/>
      </items>
    </pivotField>
    <pivotField axis="axisRow" outline="0" showAll="0" defaultSubtotal="0">
      <items count="130">
        <item x="126"/>
        <item x="21"/>
        <item x="66"/>
        <item x="92"/>
        <item x="9"/>
        <item x="114"/>
        <item x="93"/>
        <item x="87"/>
        <item x="111"/>
        <item x="61"/>
        <item x="32"/>
        <item x="95"/>
        <item x="8"/>
        <item x="4"/>
        <item x="77"/>
        <item x="78"/>
        <item x="127"/>
        <item x="72"/>
        <item x="31"/>
        <item x="47"/>
        <item x="23"/>
        <item x="76"/>
        <item x="83"/>
        <item x="26"/>
        <item x="24"/>
        <item x="118"/>
        <item x="88"/>
        <item x="45"/>
        <item x="5"/>
        <item x="65"/>
        <item x="117"/>
        <item x="125"/>
        <item x="124"/>
        <item x="106"/>
        <item x="73"/>
        <item x="36"/>
        <item x="48"/>
        <item x="6"/>
        <item x="81"/>
        <item x="42"/>
        <item x="35"/>
        <item x="104"/>
        <item x="33"/>
        <item x="113"/>
        <item x="70"/>
        <item x="109"/>
        <item x="79"/>
        <item x="25"/>
        <item x="110"/>
        <item x="100"/>
        <item x="99"/>
        <item x="119"/>
        <item x="22"/>
        <item x="43"/>
        <item x="55"/>
        <item x="122"/>
        <item x="34"/>
        <item x="107"/>
        <item x="108"/>
        <item x="7"/>
        <item x="17"/>
        <item x="51"/>
        <item x="89"/>
        <item x="97"/>
        <item x="94"/>
        <item x="3"/>
        <item x="29"/>
        <item x="12"/>
        <item x="120"/>
        <item x="68"/>
        <item x="18"/>
        <item x="91"/>
        <item x="57"/>
        <item x="0"/>
        <item x="59"/>
        <item x="49"/>
        <item x="13"/>
        <item x="58"/>
        <item x="75"/>
        <item x="121"/>
        <item x="85"/>
        <item x="30"/>
        <item x="19"/>
        <item x="103"/>
        <item x="38"/>
        <item x="63"/>
        <item x="71"/>
        <item x="39"/>
        <item x="46"/>
        <item x="102"/>
        <item x="80"/>
        <item x="1"/>
        <item x="123"/>
        <item x="128"/>
        <item x="50"/>
        <item x="74"/>
        <item x="52"/>
        <item x="2"/>
        <item x="82"/>
        <item x="84"/>
        <item x="41"/>
        <item x="116"/>
        <item x="28"/>
        <item x="98"/>
        <item x="105"/>
        <item x="56"/>
        <item x="60"/>
        <item x="90"/>
        <item x="69"/>
        <item x="62"/>
        <item x="10"/>
        <item x="15"/>
        <item x="112"/>
        <item x="67"/>
        <item x="96"/>
        <item x="16"/>
        <item x="86"/>
        <item x="37"/>
        <item x="11"/>
        <item x="53"/>
        <item x="14"/>
        <item x="20"/>
        <item x="115"/>
        <item x="64"/>
        <item x="54"/>
        <item x="44"/>
        <item x="101"/>
        <item x="27"/>
        <item x="40"/>
        <item x="129"/>
      </items>
    </pivotField>
    <pivotField outline="0" showAll="0" defaultSubtotal="0">
      <items count="1078">
        <item x="191"/>
        <item x="449"/>
        <item x="615"/>
        <item x="1074"/>
        <item x="120"/>
        <item x="1067"/>
        <item x="1017"/>
        <item x="1056"/>
        <item x="578"/>
        <item x="218"/>
        <item x="943"/>
        <item x="180"/>
        <item x="322"/>
        <item x="918"/>
        <item x="903"/>
        <item x="895"/>
        <item x="660"/>
        <item x="711"/>
        <item x="780"/>
        <item x="872"/>
        <item x="254"/>
        <item x="47"/>
        <item x="320"/>
        <item x="232"/>
        <item x="450"/>
        <item x="518"/>
        <item x="308"/>
        <item x="36"/>
        <item x="309"/>
        <item x="48"/>
        <item x="507"/>
        <item x="142"/>
        <item x="611"/>
        <item x="213"/>
        <item x="510"/>
        <item x="537"/>
        <item x="1049"/>
        <item x="1057"/>
        <item x="740"/>
        <item x="291"/>
        <item x="604"/>
        <item x="103"/>
        <item x="549"/>
        <item x="366"/>
        <item x="907"/>
        <item x="1034"/>
        <item x="785"/>
        <item x="883"/>
        <item x="845"/>
        <item x="460"/>
        <item x="519"/>
        <item x="556"/>
        <item x="946"/>
        <item x="199"/>
        <item x="390"/>
        <item x="522"/>
        <item x="197"/>
        <item x="131"/>
        <item x="488"/>
        <item x="132"/>
        <item x="174"/>
        <item x="181"/>
        <item x="572"/>
        <item x="934"/>
        <item x="403"/>
        <item x="350"/>
        <item x="243"/>
        <item x="294"/>
        <item x="196"/>
        <item x="950"/>
        <item x="94"/>
        <item x="192"/>
        <item x="520"/>
        <item x="193"/>
        <item x="521"/>
        <item x="603"/>
        <item x="328"/>
        <item x="43"/>
        <item x="626"/>
        <item x="42"/>
        <item x="45"/>
        <item x="44"/>
        <item x="606"/>
        <item x="607"/>
        <item x="376"/>
        <item x="266"/>
        <item x="591"/>
        <item x="850"/>
        <item x="851"/>
        <item x="629"/>
        <item x="849"/>
        <item x="158"/>
        <item x="1054"/>
        <item x="70"/>
        <item x="221"/>
        <item x="511"/>
        <item x="815"/>
        <item x="283"/>
        <item x="550"/>
        <item x="1018"/>
        <item x="662"/>
        <item x="1"/>
        <item x="264"/>
        <item x="1004"/>
        <item x="811"/>
        <item x="469"/>
        <item x="470"/>
        <item x="335"/>
        <item x="960"/>
        <item x="404"/>
        <item x="495"/>
        <item x="97"/>
        <item x="587"/>
        <item x="451"/>
        <item x="588"/>
        <item x="214"/>
        <item x="452"/>
        <item x="323"/>
        <item x="1025"/>
        <item x="553"/>
        <item x="178"/>
        <item x="953"/>
        <item x="873"/>
        <item x="886"/>
        <item x="762"/>
        <item x="592"/>
        <item x="951"/>
        <item x="267"/>
        <item x="268"/>
        <item x="630"/>
        <item x="175"/>
        <item x="401"/>
        <item x="12"/>
        <item x="409"/>
        <item x="925"/>
        <item x="816"/>
        <item x="145"/>
        <item x="110"/>
        <item x="961"/>
        <item x="1035"/>
        <item x="874"/>
        <item x="875"/>
        <item x="751"/>
        <item x="835"/>
        <item x="797"/>
        <item x="733"/>
        <item x="724"/>
        <item x="1038"/>
        <item x="39"/>
        <item x="327"/>
        <item x="964"/>
        <item x="104"/>
        <item x="508"/>
        <item x="632"/>
        <item x="399"/>
        <item x="598"/>
        <item x="599"/>
        <item x="247"/>
        <item x="410"/>
        <item x="171"/>
        <item x="261"/>
        <item x="358"/>
        <item x="485"/>
        <item x="428"/>
        <item x="471"/>
        <item x="926"/>
        <item x="298"/>
        <item x="1068"/>
        <item x="441"/>
        <item x="157"/>
        <item x="498"/>
        <item x="499"/>
        <item x="80"/>
        <item x="265"/>
        <item x="367"/>
        <item x="573"/>
        <item x="391"/>
        <item x="10"/>
        <item x="744"/>
        <item x="1039"/>
        <item x="896"/>
        <item x="669"/>
        <item x="717"/>
        <item x="656"/>
        <item x="678"/>
        <item x="798"/>
        <item x="876"/>
        <item x="13"/>
        <item x="215"/>
        <item x="752"/>
        <item x="633"/>
        <item x="799"/>
        <item x="800"/>
        <item x="741"/>
        <item x="970"/>
        <item x="980"/>
        <item x="981"/>
        <item x="176"/>
        <item x="286"/>
        <item x="1019"/>
        <item x="781"/>
        <item x="1008"/>
        <item x="763"/>
        <item x="579"/>
        <item x="884"/>
        <item x="782"/>
        <item x="778"/>
        <item x="725"/>
        <item x="726"/>
        <item x="722"/>
        <item x="723"/>
        <item x="96"/>
        <item x="1024"/>
        <item x="95"/>
        <item x="255"/>
        <item x="627"/>
        <item x="419"/>
        <item x="820"/>
        <item x="194"/>
        <item x="898"/>
        <item x="319"/>
        <item x="329"/>
        <item x="986"/>
        <item x="624"/>
        <item x="420"/>
        <item x="162"/>
        <item x="2"/>
        <item x="253"/>
        <item x="421"/>
        <item x="985"/>
        <item x="161"/>
        <item x="947"/>
        <item x="948"/>
        <item x="595"/>
        <item x="55"/>
        <item x="1040"/>
        <item x="1052"/>
        <item x="278"/>
        <item x="551"/>
        <item x="83"/>
        <item x="500"/>
        <item x="64"/>
        <item x="77"/>
        <item x="153"/>
        <item x="90"/>
        <item x="501"/>
        <item x="154"/>
        <item x="125"/>
        <item x="14"/>
        <item x="1036"/>
        <item x="927"/>
        <item x="84"/>
        <item x="936"/>
        <item x="393"/>
        <item x="589"/>
        <item x="4"/>
        <item x="425"/>
        <item x="580"/>
        <item x="444"/>
        <item x="351"/>
        <item x="1055"/>
        <item x="331"/>
        <item x="245"/>
        <item x="222"/>
        <item x="436"/>
        <item x="56"/>
        <item x="67"/>
        <item x="111"/>
        <item x="332"/>
        <item x="561"/>
        <item x="246"/>
        <item x="392"/>
        <item x="49"/>
        <item x="612"/>
        <item x="15"/>
        <item x="853"/>
        <item x="355"/>
        <item x="552"/>
        <item x="98"/>
        <item x="526"/>
        <item x="911"/>
        <item x="223"/>
        <item x="529"/>
        <item x="562"/>
        <item x="435"/>
        <item x="99"/>
        <item x="1053"/>
        <item x="954"/>
        <item x="634"/>
        <item x="479"/>
        <item x="121"/>
        <item x="1069"/>
        <item x="233"/>
        <item x="368"/>
        <item x="28"/>
        <item x="126"/>
        <item x="402"/>
        <item x="1058"/>
        <item x="502"/>
        <item x="234"/>
        <item x="1028"/>
        <item x="143"/>
        <item x="530"/>
        <item x="574"/>
        <item x="531"/>
        <item x="168"/>
        <item x="1009"/>
        <item x="610"/>
        <item x="426"/>
        <item x="321"/>
        <item x="966"/>
        <item x="1070"/>
        <item x="509"/>
        <item x="575"/>
        <item x="922"/>
        <item x="248"/>
        <item x="388"/>
        <item x="689"/>
        <item x="690"/>
        <item x="672"/>
        <item x="85"/>
        <item x="313"/>
        <item x="718"/>
        <item x="904"/>
        <item x="719"/>
        <item x="854"/>
        <item x="900"/>
        <item x="764"/>
        <item x="224"/>
        <item x="734"/>
        <item x="754"/>
        <item x="643"/>
        <item x="867"/>
        <item x="686"/>
        <item x="901"/>
        <item x="652"/>
        <item x="1037"/>
        <item x="828"/>
        <item x="1041"/>
        <item x="765"/>
        <item x="705"/>
        <item x="657"/>
        <item x="1064"/>
        <item x="745"/>
        <item x="702"/>
        <item x="279"/>
        <item x="712"/>
        <item x="275"/>
        <item x="1048"/>
        <item x="766"/>
        <item x="739"/>
        <item x="696"/>
        <item x="405"/>
        <item x="1022"/>
        <item x="955"/>
        <item x="905"/>
        <item x="989"/>
        <item x="990"/>
        <item x="906"/>
        <item x="991"/>
        <item x="429"/>
        <item x="902"/>
        <item x="877"/>
        <item x="836"/>
        <item x="755"/>
        <item x="842"/>
        <item x="756"/>
        <item x="225"/>
        <item x="767"/>
        <item x="885"/>
        <item x="468"/>
        <item x="289"/>
        <item x="467"/>
        <item x="1033"/>
        <item x="269"/>
        <item x="273"/>
        <item x="380"/>
        <item x="1060"/>
        <item x="292"/>
        <item x="381"/>
        <item x="423"/>
        <item x="424"/>
        <item x="593"/>
        <item x="377"/>
        <item x="256"/>
        <item x="417"/>
        <item x="418"/>
        <item x="38"/>
        <item x="462"/>
        <item x="463"/>
        <item x="464"/>
        <item x="188"/>
        <item x="594"/>
        <item x="270"/>
        <item x="290"/>
        <item x="899"/>
        <item x="821"/>
        <item x="631"/>
        <item x="888"/>
        <item x="852"/>
        <item x="1023"/>
        <item x="818"/>
        <item x="92"/>
        <item x="784"/>
        <item x="602"/>
        <item x="307"/>
        <item x="122"/>
        <item x="1061"/>
        <item x="78"/>
        <item x="338"/>
        <item x="461"/>
        <item x="496"/>
        <item x="563"/>
        <item x="112"/>
        <item x="619"/>
        <item x="226"/>
        <item x="57"/>
        <item x="227"/>
        <item x="133"/>
        <item x="480"/>
        <item x="581"/>
        <item x="742"/>
        <item x="992"/>
        <item x="837"/>
        <item x="810"/>
        <item x="497"/>
        <item x="710"/>
        <item x="235"/>
        <item x="819"/>
        <item x="1032"/>
        <item x="659"/>
        <item x="538"/>
        <item x="16"/>
        <item x="314"/>
        <item x="937"/>
        <item x="928"/>
        <item x="971"/>
        <item x="151"/>
        <item x="91"/>
        <item x="127"/>
        <item x="539"/>
        <item x="540"/>
        <item x="541"/>
        <item x="182"/>
        <item x="71"/>
        <item x="208"/>
        <item x="169"/>
        <item x="113"/>
        <item x="923"/>
        <item x="356"/>
        <item x="165"/>
        <item x="295"/>
        <item x="241"/>
        <item x="720"/>
        <item x="786"/>
        <item x="753"/>
        <item x="691"/>
        <item x="506"/>
        <item x="692"/>
        <item x="793"/>
        <item x="929"/>
        <item x="679"/>
        <item x="1010"/>
        <item x="795"/>
        <item x="855"/>
        <item x="757"/>
        <item x="251"/>
        <item x="228"/>
        <item x="830"/>
        <item x="952"/>
        <item x="1011"/>
        <item x="613"/>
        <item x="146"/>
        <item x="542"/>
        <item x="576"/>
        <item x="324"/>
        <item x="543"/>
        <item x="72"/>
        <item x="152"/>
        <item x="856"/>
        <item x="34"/>
        <item x="293"/>
        <item x="616"/>
        <item x="831"/>
        <item x="706"/>
        <item x="635"/>
        <item x="697"/>
        <item x="878"/>
        <item x="942"/>
        <item x="1042"/>
        <item x="1043"/>
        <item x="527"/>
        <item x="333"/>
        <item x="993"/>
        <item x="382"/>
        <item x="365"/>
        <item x="29"/>
        <item x="1071"/>
        <item x="505"/>
        <item x="150"/>
        <item x="445"/>
        <item x="512"/>
        <item x="144"/>
        <item x="503"/>
        <item x="339"/>
        <item x="147"/>
        <item x="600"/>
        <item x="768"/>
        <item x="663"/>
        <item x="670"/>
        <item x="857"/>
        <item x="779"/>
        <item x="988"/>
        <item x="972"/>
        <item x="249"/>
        <item x="177"/>
        <item x="938"/>
        <item x="1020"/>
        <item x="155"/>
        <item x="262"/>
        <item x="73"/>
        <item x="908"/>
        <item x="336"/>
        <item x="124"/>
        <item x="967"/>
        <item x="533"/>
        <item x="879"/>
        <item x="17"/>
        <item x="880"/>
        <item x="183"/>
        <item x="325"/>
        <item x="326"/>
        <item x="383"/>
        <item x="415"/>
        <item x="343"/>
        <item x="370"/>
        <item x="1076"/>
        <item x="159"/>
        <item x="189"/>
        <item x="93"/>
        <item x="1026"/>
        <item x="945"/>
        <item x="601"/>
        <item x="371"/>
        <item x="105"/>
        <item x="919"/>
        <item x="1006"/>
        <item x="148"/>
        <item x="337"/>
        <item x="134"/>
        <item x="486"/>
        <item x="564"/>
        <item x="565"/>
        <item x="528"/>
        <item x="644"/>
        <item x="703"/>
        <item x="889"/>
        <item x="58"/>
        <item x="680"/>
        <item x="704"/>
        <item x="229"/>
        <item x="1050"/>
        <item x="890"/>
        <item x="681"/>
        <item x="729"/>
        <item x="707"/>
        <item x="1072"/>
        <item x="661"/>
        <item x="1062"/>
        <item x="701"/>
        <item x="709"/>
        <item x="129"/>
        <item x="758"/>
        <item x="822"/>
        <item x="389"/>
        <item x="801"/>
        <item x="1044"/>
        <item x="817"/>
        <item x="881"/>
        <item x="829"/>
        <item x="944"/>
        <item x="834"/>
        <item x="887"/>
        <item x="787"/>
        <item x="788"/>
        <item x="458"/>
        <item x="288"/>
        <item x="260"/>
        <item x="257"/>
        <item x="628"/>
        <item x="282"/>
        <item x="973"/>
        <item x="244"/>
        <item x="311"/>
        <item x="236"/>
        <item x="271"/>
        <item x="930"/>
        <item x="713"/>
        <item x="172"/>
        <item x="299"/>
        <item x="653"/>
        <item x="242"/>
        <item x="378"/>
        <item x="272"/>
        <item x="1029"/>
        <item x="858"/>
        <item x="859"/>
        <item x="141"/>
        <item x="848"/>
        <item x="459"/>
        <item x="274"/>
        <item x="414"/>
        <item x="201"/>
        <item x="296"/>
        <item x="1045"/>
        <item x="924"/>
        <item x="939"/>
        <item x="394"/>
        <item x="340"/>
        <item x="582"/>
        <item x="300"/>
        <item x="682"/>
        <item x="671"/>
        <item x="654"/>
        <item x="1012"/>
        <item x="1027"/>
        <item x="46"/>
        <item x="466"/>
        <item x="163"/>
        <item x="164"/>
        <item x="184"/>
        <item x="18"/>
        <item x="252"/>
        <item x="301"/>
        <item x="86"/>
        <item x="19"/>
        <item x="534"/>
        <item x="974"/>
        <item x="699"/>
        <item x="583"/>
        <item x="897"/>
        <item x="30"/>
        <item x="65"/>
        <item x="179"/>
        <item x="516"/>
        <item x="882"/>
        <item x="437"/>
        <item x="683"/>
        <item x="566"/>
        <item x="769"/>
        <item x="976"/>
        <item x="554"/>
        <item x="555"/>
        <item x="190"/>
        <item x="35"/>
        <item x="20"/>
        <item x="302"/>
        <item x="406"/>
        <item x="21"/>
        <item x="407"/>
        <item x="584"/>
        <item x="783"/>
        <item x="66"/>
        <item x="585"/>
        <item x="22"/>
        <item x="160"/>
        <item x="1013"/>
        <item x="1059"/>
        <item x="547"/>
        <item x="931"/>
        <item x="1030"/>
        <item x="185"/>
        <item x="303"/>
        <item x="1073"/>
        <item x="577"/>
        <item x="935"/>
        <item x="832"/>
        <item x="481"/>
        <item x="977"/>
        <item x="975"/>
        <item x="216"/>
        <item x="79"/>
        <item x="614"/>
        <item x="794"/>
        <item x="700"/>
        <item x="548"/>
        <item x="909"/>
        <item x="1046"/>
        <item x="1047"/>
        <item x="344"/>
        <item x="590"/>
        <item x="846"/>
        <item x="847"/>
        <item x="31"/>
        <item x="544"/>
        <item x="395"/>
        <item x="149"/>
        <item x="23"/>
        <item x="315"/>
        <item x="545"/>
        <item x="128"/>
        <item x="287"/>
        <item x="676"/>
        <item x="237"/>
        <item x="32"/>
        <item x="114"/>
        <item x="50"/>
        <item x="956"/>
        <item x="472"/>
        <item x="310"/>
        <item x="978"/>
        <item x="1021"/>
        <item x="375"/>
        <item x="422"/>
        <item x="304"/>
        <item x="932"/>
        <item x="87"/>
        <item x="210"/>
        <item x="743"/>
        <item x="513"/>
        <item x="284"/>
        <item x="54"/>
        <item x="636"/>
        <item x="202"/>
        <item x="316"/>
        <item x="546"/>
        <item x="173"/>
        <item x="1014"/>
        <item x="359"/>
        <item x="812"/>
        <item x="860"/>
        <item x="217"/>
        <item x="673"/>
        <item x="620"/>
        <item x="637"/>
        <item x="802"/>
        <item x="730"/>
        <item x="674"/>
        <item x="203"/>
        <item x="638"/>
        <item x="1051"/>
        <item x="891"/>
        <item x="59"/>
        <item x="838"/>
        <item x="803"/>
        <item x="5"/>
        <item x="770"/>
        <item x="489"/>
        <item x="621"/>
        <item x="427"/>
        <item x="771"/>
        <item x="833"/>
        <item x="130"/>
        <item x="465"/>
        <item x="24"/>
        <item x="136"/>
        <item x="100"/>
        <item x="166"/>
        <item x="51"/>
        <item x="61"/>
        <item x="200"/>
        <item x="280"/>
        <item x="994"/>
        <item x="345"/>
        <item x="608"/>
        <item x="53"/>
        <item x="920"/>
        <item x="567"/>
        <item x="482"/>
        <item x="490"/>
        <item x="438"/>
        <item x="11"/>
        <item x="346"/>
        <item x="360"/>
        <item x="347"/>
        <item x="115"/>
        <item x="137"/>
        <item x="139"/>
        <item x="568"/>
        <item x="81"/>
        <item x="135"/>
        <item x="238"/>
        <item x="995"/>
        <item x="387"/>
        <item x="140"/>
        <item x="281"/>
        <item x="186"/>
        <item x="1031"/>
        <item x="491"/>
        <item x="609"/>
        <item x="912"/>
        <item x="996"/>
        <item x="361"/>
        <item x="297"/>
        <item x="52"/>
        <item x="913"/>
        <item x="639"/>
        <item x="693"/>
        <item x="892"/>
        <item x="746"/>
        <item x="664"/>
        <item x="893"/>
        <item x="735"/>
        <item x="759"/>
        <item x="861"/>
        <item x="645"/>
        <item x="823"/>
        <item x="687"/>
        <item x="640"/>
        <item x="714"/>
        <item x="747"/>
        <item x="694"/>
        <item x="317"/>
        <item x="826"/>
        <item x="558"/>
        <item x="772"/>
        <item x="868"/>
        <item x="773"/>
        <item x="804"/>
        <item x="843"/>
        <item x="789"/>
        <item x="844"/>
        <item x="839"/>
        <item x="987"/>
        <item x="677"/>
        <item x="623"/>
        <item x="195"/>
        <item x="910"/>
        <item x="330"/>
        <item x="312"/>
        <item x="984"/>
        <item x="37"/>
        <item x="416"/>
        <item x="473"/>
        <item x="106"/>
        <item x="116"/>
        <item x="442"/>
        <item x="665"/>
        <item x="790"/>
        <item x="219"/>
        <item x="220"/>
        <item x="1063"/>
        <item x="41"/>
        <item x="557"/>
        <item x="1065"/>
        <item x="443"/>
        <item x="1015"/>
        <item x="1016"/>
        <item x="965"/>
        <item x="258"/>
        <item x="348"/>
        <item x="63"/>
        <item x="107"/>
        <item x="523"/>
        <item x="524"/>
        <item x="618"/>
        <item x="239"/>
        <item x="263"/>
        <item x="369"/>
        <item x="209"/>
        <item x="74"/>
        <item x="305"/>
        <item x="25"/>
        <item x="123"/>
        <item x="968"/>
        <item x="504"/>
        <item x="250"/>
        <item x="453"/>
        <item x="1075"/>
        <item x="138"/>
        <item x="474"/>
        <item x="352"/>
        <item x="957"/>
        <item x="204"/>
        <item x="117"/>
        <item x="916"/>
        <item x="6"/>
        <item x="493"/>
        <item x="1005"/>
        <item x="475"/>
        <item x="349"/>
        <item x="979"/>
        <item x="962"/>
        <item x="483"/>
        <item x="476"/>
        <item x="487"/>
        <item x="997"/>
        <item x="998"/>
        <item x="999"/>
        <item x="198"/>
        <item x="430"/>
        <item x="736"/>
        <item x="276"/>
        <item x="75"/>
        <item x="454"/>
        <item x="569"/>
        <item x="384"/>
        <item x="914"/>
        <item x="894"/>
        <item x="622"/>
        <item x="731"/>
        <item x="737"/>
        <item x="646"/>
        <item x="647"/>
        <item x="684"/>
        <item x="695"/>
        <item x="827"/>
        <item x="675"/>
        <item x="7"/>
        <item x="118"/>
        <item x="715"/>
        <item x="688"/>
        <item x="230"/>
        <item x="748"/>
        <item x="805"/>
        <item x="760"/>
        <item x="231"/>
        <item x="774"/>
        <item x="869"/>
        <item x="775"/>
        <item x="776"/>
        <item x="813"/>
        <item x="777"/>
        <item x="958"/>
        <item x="791"/>
        <item x="870"/>
        <item x="806"/>
        <item x="862"/>
        <item x="412"/>
        <item x="796"/>
        <item x="721"/>
        <item x="379"/>
        <item x="372"/>
        <item x="605"/>
        <item x="949"/>
        <item x="362"/>
        <item x="535"/>
        <item x="396"/>
        <item x="26"/>
        <item x="82"/>
        <item x="655"/>
        <item x="27"/>
        <item x="411"/>
        <item x="76"/>
        <item x="318"/>
        <item x="341"/>
        <item x="400"/>
        <item x="306"/>
        <item x="455"/>
        <item x="586"/>
        <item x="68"/>
        <item x="69"/>
        <item x="397"/>
        <item x="398"/>
        <item x="363"/>
        <item x="477"/>
        <item x="88"/>
        <item x="342"/>
        <item x="641"/>
        <item x="963"/>
        <item x="456"/>
        <item x="439"/>
        <item x="62"/>
        <item x="494"/>
        <item x="915"/>
        <item x="446"/>
        <item x="492"/>
        <item x="167"/>
        <item x="478"/>
        <item x="187"/>
        <item x="447"/>
        <item x="431"/>
        <item x="432"/>
        <item x="433"/>
        <item x="484"/>
        <item x="211"/>
        <item x="259"/>
        <item x="156"/>
        <item x="457"/>
        <item x="666"/>
        <item x="749"/>
        <item x="807"/>
        <item x="863"/>
        <item x="750"/>
        <item x="716"/>
        <item x="685"/>
        <item x="648"/>
        <item x="667"/>
        <item x="824"/>
        <item x="649"/>
        <item x="727"/>
        <item x="738"/>
        <item x="33"/>
        <item x="240"/>
        <item x="708"/>
        <item x="969"/>
        <item x="933"/>
        <item x="940"/>
        <item x="982"/>
        <item x="1000"/>
        <item x="1001"/>
        <item x="1002"/>
        <item x="1003"/>
        <item x="570"/>
        <item x="840"/>
        <item x="841"/>
        <item x="761"/>
        <item x="808"/>
        <item x="864"/>
        <item x="413"/>
        <item x="0"/>
        <item x="60"/>
        <item x="285"/>
        <item x="353"/>
        <item x="101"/>
        <item x="514"/>
        <item x="89"/>
        <item x="668"/>
        <item x="865"/>
        <item x="698"/>
        <item x="650"/>
        <item x="866"/>
        <item x="792"/>
        <item x="871"/>
        <item x="3"/>
        <item x="983"/>
        <item x="617"/>
        <item x="434"/>
        <item x="597"/>
        <item x="119"/>
        <item x="408"/>
        <item x="212"/>
        <item x="941"/>
        <item x="205"/>
        <item x="917"/>
        <item x="440"/>
        <item x="732"/>
        <item x="642"/>
        <item x="354"/>
        <item x="825"/>
        <item x="921"/>
        <item x="559"/>
        <item x="560"/>
        <item x="517"/>
        <item x="651"/>
        <item x="658"/>
        <item x="571"/>
        <item x="809"/>
        <item x="170"/>
        <item x="385"/>
        <item x="8"/>
        <item x="102"/>
        <item x="728"/>
        <item x="814"/>
        <item x="525"/>
        <item x="277"/>
        <item x="386"/>
        <item x="334"/>
        <item x="364"/>
        <item x="206"/>
        <item x="207"/>
        <item x="596"/>
        <item x="9"/>
        <item x="959"/>
        <item x="1066"/>
        <item x="108"/>
        <item x="357"/>
        <item x="373"/>
        <item x="374"/>
        <item x="40"/>
        <item x="625"/>
        <item x="536"/>
        <item x="515"/>
        <item x="532"/>
        <item x="1007"/>
        <item x="109"/>
        <item x="448"/>
        <item x="1077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5">
    <field x="1"/>
    <field x="2"/>
    <field x="3"/>
    <field x="6"/>
    <field x="7"/>
  </rowFields>
  <rowItems count="130">
    <i>
      <x/>
      <x/>
      <x v="8"/>
      <x v="26"/>
      <x v="73"/>
    </i>
    <i r="3">
      <x v="56"/>
      <x v="97"/>
    </i>
    <i r="3">
      <x v="66"/>
      <x v="91"/>
    </i>
    <i r="2">
      <x v="13"/>
      <x v="18"/>
      <x v="65"/>
    </i>
    <i r="3">
      <x v="44"/>
      <x v="110"/>
    </i>
    <i r="3">
      <x v="62"/>
      <x v="12"/>
    </i>
    <i r="3">
      <x v="63"/>
      <x v="13"/>
    </i>
    <i r="3">
      <x v="67"/>
      <x v="59"/>
    </i>
    <i r="3">
      <x v="69"/>
      <x v="28"/>
    </i>
    <i r="3">
      <x v="76"/>
      <x v="37"/>
    </i>
    <i r="3">
      <x v="117"/>
      <x v="4"/>
    </i>
    <i r="2">
      <x v="30"/>
      <x v="39"/>
      <x v="67"/>
    </i>
    <i r="3">
      <x v="64"/>
      <x v="76"/>
    </i>
    <i r="3">
      <x v="113"/>
      <x v="118"/>
    </i>
    <i r="2">
      <x v="32"/>
      <x v="16"/>
      <x v="111"/>
    </i>
    <i r="3">
      <x v="38"/>
      <x v="115"/>
    </i>
    <i r="3">
      <x v="49"/>
      <x v="60"/>
    </i>
    <i r="3">
      <x v="81"/>
      <x v="70"/>
    </i>
    <i r="3">
      <x v="101"/>
      <x v="82"/>
    </i>
    <i r="3">
      <x v="102"/>
      <x v="120"/>
    </i>
    <i r="2">
      <x v="39"/>
      <x v="32"/>
      <x v="121"/>
    </i>
    <i r="3">
      <x v="34"/>
      <x v="1"/>
    </i>
    <i r="3">
      <x v="35"/>
      <x v="24"/>
    </i>
    <i r="3">
      <x v="71"/>
      <x v="47"/>
    </i>
    <i r="3">
      <x v="82"/>
      <x v="52"/>
    </i>
    <i r="3">
      <x v="89"/>
      <x v="20"/>
    </i>
    <i r="2">
      <x v="42"/>
      <x v="51"/>
      <x v="127"/>
    </i>
    <i r="3">
      <x v="54"/>
      <x v="23"/>
    </i>
    <i r="3">
      <x v="73"/>
      <x v="66"/>
    </i>
    <i r="3">
      <x v="77"/>
      <x v="102"/>
    </i>
    <i r="2">
      <x v="43"/>
      <x v="25"/>
      <x v="81"/>
    </i>
    <i r="1">
      <x v="1"/>
      <x v="11"/>
      <x v="98"/>
      <x v="18"/>
    </i>
    <i r="2">
      <x v="23"/>
      <x v="19"/>
      <x v="10"/>
    </i>
    <i r="2">
      <x v="24"/>
      <x v="45"/>
      <x v="56"/>
    </i>
    <i r="3">
      <x v="85"/>
      <x v="42"/>
    </i>
    <i r="3">
      <x v="94"/>
      <x v="40"/>
    </i>
    <i r="2">
      <x v="41"/>
      <x v="55"/>
      <x v="117"/>
    </i>
    <i r="3">
      <x v="99"/>
      <x v="35"/>
    </i>
    <i>
      <x v="1"/>
      <x v="2"/>
      <x v="9"/>
      <x v="41"/>
      <x v="84"/>
    </i>
    <i r="2">
      <x v="31"/>
      <x v="83"/>
      <x v="87"/>
    </i>
    <i r="1">
      <x v="3"/>
      <x v="5"/>
      <x v="50"/>
      <x v="128"/>
    </i>
    <i r="2">
      <x v="7"/>
      <x v="30"/>
      <x v="100"/>
    </i>
    <i r="3">
      <x v="36"/>
      <x v="39"/>
    </i>
    <i r="2">
      <x v="26"/>
      <x v="42"/>
      <x v="53"/>
    </i>
    <i r="1">
      <x v="4"/>
      <x v="1"/>
      <x v="4"/>
      <x v="125"/>
    </i>
    <i r="3">
      <x v="5"/>
      <x v="27"/>
    </i>
    <i r="3">
      <x v="15"/>
      <x v="19"/>
    </i>
    <i r="3">
      <x v="40"/>
      <x v="88"/>
    </i>
    <i r="2">
      <x v="38"/>
      <x v="21"/>
      <x v="94"/>
    </i>
    <i r="3">
      <x v="68"/>
      <x v="36"/>
    </i>
    <i r="3">
      <x v="86"/>
      <x v="96"/>
    </i>
    <i r="3">
      <x v="108"/>
      <x v="61"/>
    </i>
    <i r="3">
      <x v="126"/>
      <x v="75"/>
    </i>
    <i r="1">
      <x v="5"/>
      <x v="6"/>
      <x v="27"/>
      <x v="119"/>
    </i>
    <i r="3">
      <x v="52"/>
      <x v="124"/>
    </i>
    <i r="3">
      <x v="87"/>
      <x v="54"/>
    </i>
    <i r="3">
      <x v="127"/>
      <x v="105"/>
    </i>
    <i r="2">
      <x v="18"/>
      <x v="3"/>
      <x v="109"/>
    </i>
    <i r="3">
      <x v="57"/>
      <x v="72"/>
    </i>
    <i r="3">
      <x v="91"/>
      <x v="106"/>
    </i>
    <i r="3">
      <x v="105"/>
      <x v="77"/>
    </i>
    <i r="3">
      <x v="112"/>
      <x v="85"/>
    </i>
    <i r="3">
      <x v="124"/>
      <x v="74"/>
    </i>
    <i r="3">
      <x v="125"/>
      <x v="9"/>
    </i>
    <i r="2">
      <x v="51"/>
      <x v="13"/>
      <x v="123"/>
    </i>
    <i r="3">
      <x v="14"/>
      <x v="113"/>
    </i>
    <i r="3">
      <x v="107"/>
      <x v="29"/>
    </i>
    <i r="3">
      <x v="122"/>
      <x v="2"/>
    </i>
    <i r="1">
      <x v="6"/>
      <x/>
      <x v="8"/>
      <x v="108"/>
    </i>
    <i r="3">
      <x v="109"/>
      <x v="69"/>
    </i>
    <i r="2">
      <x v="2"/>
      <x v="46"/>
      <x v="86"/>
    </i>
    <i r="3">
      <x v="65"/>
      <x v="44"/>
    </i>
    <i r="2">
      <x v="12"/>
      <x/>
      <x v="95"/>
    </i>
    <i r="3">
      <x v="11"/>
      <x v="17"/>
    </i>
    <i r="3">
      <x v="100"/>
      <x v="34"/>
    </i>
    <i r="2">
      <x v="14"/>
      <x v="75"/>
      <x v="78"/>
    </i>
    <i>
      <x v="2"/>
      <x v="7"/>
      <x v="22"/>
      <x v="88"/>
      <x v="21"/>
    </i>
    <i r="2">
      <x v="40"/>
      <x v="84"/>
      <x v="14"/>
    </i>
    <i r="3">
      <x v="104"/>
      <x v="15"/>
    </i>
    <i r="2">
      <x v="45"/>
      <x v="79"/>
      <x v="46"/>
    </i>
    <i r="2">
      <x v="47"/>
      <x v="119"/>
      <x v="90"/>
    </i>
    <i r="1">
      <x v="8"/>
      <x v="16"/>
      <x v="12"/>
      <x v="98"/>
    </i>
    <i r="3">
      <x v="103"/>
      <x v="22"/>
    </i>
    <i r="3">
      <x v="120"/>
      <x v="38"/>
    </i>
    <i r="2">
      <x v="19"/>
      <x v="9"/>
      <x v="99"/>
    </i>
    <i r="2">
      <x v="52"/>
      <x v="20"/>
      <x v="80"/>
    </i>
    <i r="2">
      <x v="54"/>
      <x v="28"/>
      <x v="116"/>
    </i>
    <i r="1">
      <x v="9"/>
      <x v="27"/>
      <x v="29"/>
      <x v="7"/>
    </i>
    <i r="2">
      <x v="44"/>
      <x v="72"/>
      <x v="26"/>
    </i>
    <i r="3">
      <x v="97"/>
      <x v="62"/>
    </i>
    <i r="2">
      <x v="53"/>
      <x v="48"/>
      <x v="107"/>
    </i>
    <i r="1">
      <x v="10"/>
      <x v="20"/>
      <x v="115"/>
      <x v="71"/>
    </i>
    <i r="3">
      <x v="128"/>
      <x v="3"/>
    </i>
    <i r="2">
      <x v="28"/>
      <x v="123"/>
      <x v="6"/>
    </i>
    <i r="2">
      <x v="37"/>
      <x v="37"/>
      <x v="64"/>
    </i>
    <i r="2">
      <x v="48"/>
      <x v="70"/>
      <x v="11"/>
    </i>
    <i r="1">
      <x v="11"/>
      <x v="4"/>
      <x v="7"/>
      <x v="114"/>
    </i>
    <i r="3">
      <x v="58"/>
      <x v="63"/>
    </i>
    <i r="2">
      <x v="29"/>
      <x v="53"/>
      <x v="103"/>
    </i>
    <i r="3">
      <x v="111"/>
      <x v="50"/>
    </i>
    <i r="2">
      <x v="36"/>
      <x v="43"/>
      <x v="49"/>
    </i>
    <i r="3">
      <x v="116"/>
      <x v="126"/>
    </i>
    <i r="1">
      <x v="12"/>
      <x v="25"/>
      <x v="23"/>
      <x v="83"/>
    </i>
    <i r="2">
      <x v="33"/>
      <x v="1"/>
      <x v="41"/>
    </i>
    <i>
      <x v="3"/>
      <x v="13"/>
      <x v="10"/>
      <x v="10"/>
      <x v="104"/>
    </i>
    <i r="3">
      <x v="31"/>
      <x v="57"/>
    </i>
    <i r="3">
      <x v="121"/>
      <x v="33"/>
    </i>
    <i r="2">
      <x v="21"/>
      <x v="2"/>
      <x v="58"/>
    </i>
    <i r="3">
      <x v="17"/>
      <x v="45"/>
    </i>
    <i r="3">
      <x v="92"/>
      <x v="48"/>
    </i>
    <i r="3">
      <x v="114"/>
      <x v="8"/>
    </i>
    <i r="2">
      <x v="46"/>
      <x v="60"/>
      <x v="43"/>
    </i>
    <i r="3">
      <x v="78"/>
      <x v="112"/>
    </i>
    <i r="3">
      <x v="118"/>
      <x v="5"/>
    </i>
    <i r="1">
      <x v="14"/>
      <x v="17"/>
      <x v="33"/>
      <x v="122"/>
    </i>
    <i r="2">
      <x v="35"/>
      <x v="22"/>
      <x v="101"/>
    </i>
    <i r="3">
      <x v="61"/>
      <x v="30"/>
    </i>
    <i r="3">
      <x v="90"/>
      <x v="25"/>
    </i>
    <i r="1">
      <x v="15"/>
      <x v="3"/>
      <x v="110"/>
      <x v="51"/>
    </i>
    <i r="2">
      <x v="49"/>
      <x v="95"/>
      <x v="68"/>
    </i>
    <i r="1">
      <x v="16"/>
      <x v="34"/>
      <x v="6"/>
      <x v="55"/>
    </i>
    <i r="3">
      <x v="47"/>
      <x v="92"/>
    </i>
    <i r="3">
      <x v="59"/>
      <x v="79"/>
    </i>
    <i r="3">
      <x v="74"/>
      <x v="32"/>
    </i>
    <i r="3">
      <x v="93"/>
      <x v="31"/>
    </i>
    <i r="2">
      <x v="50"/>
      <x v="96"/>
      <x/>
    </i>
    <i r="2">
      <x v="55"/>
      <x v="24"/>
      <x v="16"/>
    </i>
    <i r="3">
      <x v="80"/>
      <x v="93"/>
    </i>
    <i>
      <x v="4"/>
      <x v="17"/>
      <x v="56"/>
      <x v="129"/>
      <x v="129"/>
    </i>
    <i t="grand">
      <x/>
    </i>
  </rowItems>
  <colItems count="1">
    <i/>
  </colItems>
  <pageFields count="2">
    <pageField fld="4" hier="-1"/>
    <pageField fld="5" hier="-1"/>
  </pageFields>
  <dataFields count="1">
    <dataField name="합계 : 총보정매출" fld="16" baseField="0" baseItem="0" numFmtId="3"/>
  </dataFields>
  <formats count="2">
    <format dxfId="12">
      <pivotArea outline="0" collapsedLevelsAreSubtotals="1" fieldPosition="0"/>
    </format>
    <format dxfId="1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94D345-7F48-4104-B5D8-07DF922EE9F8}" name="피벗 테이블1" cacheId="2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G132" firstHeaderRow="1" firstDataRow="1" firstDataCol="6"/>
  <pivotFields count="8">
    <pivotField showAll="0"/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Row" outline="0" showAll="0" defaultSubtotal="0">
      <items count="55">
        <item x="21"/>
        <item x="16"/>
        <item x="22"/>
        <item x="50"/>
        <item x="40"/>
        <item x="13"/>
        <item x="18"/>
        <item x="14"/>
        <item x="0"/>
        <item x="11"/>
        <item x="45"/>
        <item x="7"/>
        <item x="23"/>
        <item x="1"/>
        <item x="24"/>
        <item x="29"/>
        <item x="48"/>
        <item x="19"/>
        <item x="30"/>
        <item x="36"/>
        <item x="46"/>
        <item x="25"/>
        <item x="8"/>
        <item x="9"/>
        <item x="43"/>
        <item x="15"/>
        <item x="33"/>
        <item x="37"/>
        <item x="41"/>
        <item x="2"/>
        <item x="12"/>
        <item x="3"/>
        <item x="44"/>
        <item x="52"/>
        <item x="49"/>
        <item x="42"/>
        <item x="38"/>
        <item x="17"/>
        <item x="4"/>
        <item x="26"/>
        <item x="10"/>
        <item x="5"/>
        <item x="6"/>
        <item x="34"/>
        <item x="27"/>
        <item x="47"/>
        <item x="28"/>
        <item x="39"/>
        <item x="51"/>
        <item x="53"/>
        <item x="20"/>
        <item x="31"/>
        <item x="35"/>
        <item x="32"/>
        <item x="54"/>
      </items>
    </pivotField>
    <pivotField axis="axisRow" outline="0" showAll="0" defaultSubtotal="0">
      <items count="128">
        <item x="74"/>
        <item x="103"/>
        <item x="107"/>
        <item x="59"/>
        <item x="44"/>
        <item x="45"/>
        <item x="120"/>
        <item x="96"/>
        <item x="69"/>
        <item x="84"/>
        <item x="104"/>
        <item x="72"/>
        <item x="81"/>
        <item x="64"/>
        <item x="67"/>
        <item x="47"/>
        <item x="15"/>
        <item x="108"/>
        <item x="3"/>
        <item x="32"/>
        <item x="85"/>
        <item x="48"/>
        <item x="115"/>
        <item x="102"/>
        <item x="126"/>
        <item x="30"/>
        <item x="0"/>
        <item x="53"/>
        <item x="86"/>
        <item x="87"/>
        <item x="41"/>
        <item x="106"/>
        <item x="20"/>
        <item x="114"/>
        <item x="21"/>
        <item x="23"/>
        <item x="42"/>
        <item x="94"/>
        <item x="16"/>
        <item x="12"/>
        <item x="46"/>
        <item x="38"/>
        <item x="43"/>
        <item x="100"/>
        <item x="9"/>
        <item x="34"/>
        <item x="71"/>
        <item x="121"/>
        <item x="90"/>
        <item x="17"/>
        <item x="40"/>
        <item x="26"/>
        <item x="54"/>
        <item x="98"/>
        <item x="27"/>
        <item x="37"/>
        <item x="2"/>
        <item x="57"/>
        <item x="97"/>
        <item x="122"/>
        <item x="112"/>
        <item x="116"/>
        <item x="7"/>
        <item x="4"/>
        <item x="13"/>
        <item x="70"/>
        <item x="1"/>
        <item x="10"/>
        <item x="49"/>
        <item x="5"/>
        <item x="95"/>
        <item x="24"/>
        <item x="88"/>
        <item x="28"/>
        <item x="123"/>
        <item x="75"/>
        <item x="6"/>
        <item x="29"/>
        <item x="111"/>
        <item x="79"/>
        <item x="127"/>
        <item x="18"/>
        <item x="25"/>
        <item x="39"/>
        <item x="77"/>
        <item x="33"/>
        <item x="52"/>
        <item x="55"/>
        <item x="76"/>
        <item x="22"/>
        <item x="117"/>
        <item x="60"/>
        <item x="109"/>
        <item x="124"/>
        <item x="35"/>
        <item x="119"/>
        <item x="125"/>
        <item x="89"/>
        <item x="31"/>
        <item x="36"/>
        <item x="73"/>
        <item x="19"/>
        <item x="14"/>
        <item x="82"/>
        <item x="78"/>
        <item x="61"/>
        <item x="65"/>
        <item x="51"/>
        <item x="68"/>
        <item x="118"/>
        <item x="99"/>
        <item x="62"/>
        <item x="11"/>
        <item x="110"/>
        <item x="91"/>
        <item x="101"/>
        <item x="8"/>
        <item x="113"/>
        <item x="80"/>
        <item x="83"/>
        <item x="105"/>
        <item x="66"/>
        <item x="93"/>
        <item x="58"/>
        <item x="63"/>
        <item x="50"/>
        <item x="56"/>
        <item x="92"/>
      </items>
    </pivotField>
    <pivotField axis="axisRow" outline="0" showAll="0" defaultSubtotal="0">
      <items count="128">
        <item x="125"/>
        <item x="21"/>
        <item x="66"/>
        <item x="92"/>
        <item x="8"/>
        <item x="113"/>
        <item x="93"/>
        <item x="87"/>
        <item x="110"/>
        <item x="63"/>
        <item x="32"/>
        <item x="95"/>
        <item x="7"/>
        <item x="4"/>
        <item x="77"/>
        <item x="78"/>
        <item x="126"/>
        <item x="72"/>
        <item x="31"/>
        <item x="47"/>
        <item x="22"/>
        <item x="76"/>
        <item x="82"/>
        <item x="27"/>
        <item x="23"/>
        <item x="117"/>
        <item x="88"/>
        <item x="45"/>
        <item x="5"/>
        <item x="65"/>
        <item x="116"/>
        <item x="124"/>
        <item x="123"/>
        <item x="105"/>
        <item x="73"/>
        <item x="36"/>
        <item x="49"/>
        <item x="6"/>
        <item x="83"/>
        <item x="42"/>
        <item x="35"/>
        <item x="103"/>
        <item x="33"/>
        <item x="112"/>
        <item x="70"/>
        <item x="108"/>
        <item x="79"/>
        <item x="24"/>
        <item x="109"/>
        <item x="100"/>
        <item x="99"/>
        <item x="118"/>
        <item x="25"/>
        <item x="43"/>
        <item x="55"/>
        <item x="120"/>
        <item x="34"/>
        <item x="106"/>
        <item x="107"/>
        <item x="10"/>
        <item x="17"/>
        <item x="51"/>
        <item x="89"/>
        <item x="97"/>
        <item x="94"/>
        <item x="3"/>
        <item x="28"/>
        <item x="12"/>
        <item x="119"/>
        <item x="68"/>
        <item x="18"/>
        <item x="91"/>
        <item x="57"/>
        <item x="0"/>
        <item x="58"/>
        <item x="50"/>
        <item x="13"/>
        <item x="61"/>
        <item x="75"/>
        <item x="122"/>
        <item x="85"/>
        <item x="30"/>
        <item x="19"/>
        <item x="102"/>
        <item x="38"/>
        <item x="62"/>
        <item x="71"/>
        <item x="39"/>
        <item x="46"/>
        <item x="80"/>
        <item x="1"/>
        <item x="121"/>
        <item x="127"/>
        <item x="48"/>
        <item x="74"/>
        <item x="52"/>
        <item x="2"/>
        <item x="81"/>
        <item x="84"/>
        <item x="41"/>
        <item x="115"/>
        <item x="29"/>
        <item x="98"/>
        <item x="104"/>
        <item x="56"/>
        <item x="60"/>
        <item x="90"/>
        <item x="69"/>
        <item x="59"/>
        <item x="9"/>
        <item x="15"/>
        <item x="111"/>
        <item x="67"/>
        <item x="96"/>
        <item x="16"/>
        <item x="86"/>
        <item x="37"/>
        <item x="11"/>
        <item x="53"/>
        <item x="14"/>
        <item x="20"/>
        <item x="114"/>
        <item x="64"/>
        <item x="54"/>
        <item x="44"/>
        <item x="101"/>
        <item x="26"/>
        <item x="40"/>
      </items>
    </pivotField>
    <pivotField dataField="1" numFmtId="3" showAll="0"/>
  </pivotFields>
  <rowFields count="6">
    <field x="1"/>
    <field x="2"/>
    <field x="3"/>
    <field x="4"/>
    <field x="5"/>
    <field x="6"/>
  </rowFields>
  <rowItems count="129">
    <i>
      <x/>
      <x/>
      <x/>
      <x v="8"/>
      <x v="26"/>
      <x v="73"/>
    </i>
    <i r="4">
      <x v="56"/>
      <x v="96"/>
    </i>
    <i r="4">
      <x v="66"/>
      <x v="90"/>
    </i>
    <i r="3">
      <x v="13"/>
      <x v="18"/>
      <x v="65"/>
    </i>
    <i r="4">
      <x v="44"/>
      <x v="109"/>
    </i>
    <i r="4">
      <x v="62"/>
      <x v="12"/>
    </i>
    <i r="4">
      <x v="63"/>
      <x v="13"/>
    </i>
    <i r="4">
      <x v="67"/>
      <x v="59"/>
    </i>
    <i r="4">
      <x v="69"/>
      <x v="28"/>
    </i>
    <i r="4">
      <x v="76"/>
      <x v="37"/>
    </i>
    <i r="4">
      <x v="116"/>
      <x v="4"/>
    </i>
    <i r="3">
      <x v="29"/>
      <x v="39"/>
      <x v="67"/>
    </i>
    <i r="4">
      <x v="64"/>
      <x v="76"/>
    </i>
    <i r="4">
      <x v="112"/>
      <x v="117"/>
    </i>
    <i r="3">
      <x v="31"/>
      <x v="16"/>
      <x v="110"/>
    </i>
    <i r="4">
      <x v="38"/>
      <x v="114"/>
    </i>
    <i r="4">
      <x v="49"/>
      <x v="60"/>
    </i>
    <i r="4">
      <x v="81"/>
      <x v="70"/>
    </i>
    <i r="4">
      <x v="101"/>
      <x v="82"/>
    </i>
    <i r="4">
      <x v="102"/>
      <x v="119"/>
    </i>
    <i r="3">
      <x v="38"/>
      <x v="32"/>
      <x v="120"/>
    </i>
    <i r="4">
      <x v="34"/>
      <x v="1"/>
    </i>
    <i r="4">
      <x v="35"/>
      <x v="24"/>
    </i>
    <i r="4">
      <x v="71"/>
      <x v="47"/>
    </i>
    <i r="4">
      <x v="82"/>
      <x v="52"/>
    </i>
    <i r="4">
      <x v="89"/>
      <x v="20"/>
    </i>
    <i r="3">
      <x v="41"/>
      <x v="51"/>
      <x v="126"/>
    </i>
    <i r="4">
      <x v="54"/>
      <x v="23"/>
    </i>
    <i r="4">
      <x v="73"/>
      <x v="66"/>
    </i>
    <i r="4">
      <x v="77"/>
      <x v="101"/>
    </i>
    <i r="3">
      <x v="42"/>
      <x v="25"/>
      <x v="81"/>
    </i>
    <i r="2">
      <x v="1"/>
      <x v="11"/>
      <x v="98"/>
      <x v="18"/>
    </i>
    <i r="3">
      <x v="22"/>
      <x v="19"/>
      <x v="10"/>
    </i>
    <i r="3">
      <x v="23"/>
      <x v="45"/>
      <x v="56"/>
    </i>
    <i r="4">
      <x v="85"/>
      <x v="42"/>
    </i>
    <i r="4">
      <x v="94"/>
      <x v="40"/>
    </i>
    <i r="3">
      <x v="40"/>
      <x v="55"/>
      <x v="116"/>
    </i>
    <i r="4">
      <x v="99"/>
      <x v="35"/>
    </i>
    <i r="1">
      <x v="1"/>
      <x v="2"/>
      <x v="9"/>
      <x v="41"/>
      <x v="84"/>
    </i>
    <i r="3">
      <x v="30"/>
      <x v="83"/>
      <x v="87"/>
    </i>
    <i r="2">
      <x v="3"/>
      <x v="5"/>
      <x v="50"/>
      <x v="127"/>
    </i>
    <i r="3">
      <x v="7"/>
      <x v="30"/>
      <x v="99"/>
    </i>
    <i r="4">
      <x v="36"/>
      <x v="39"/>
    </i>
    <i r="3">
      <x v="25"/>
      <x v="42"/>
      <x v="53"/>
    </i>
    <i r="2">
      <x v="4"/>
      <x v="1"/>
      <x v="4"/>
      <x v="124"/>
    </i>
    <i r="4">
      <x v="5"/>
      <x v="27"/>
    </i>
    <i r="4">
      <x v="15"/>
      <x v="19"/>
    </i>
    <i r="4">
      <x v="40"/>
      <x v="88"/>
    </i>
    <i r="3">
      <x v="37"/>
      <x v="21"/>
      <x v="93"/>
    </i>
    <i r="4">
      <x v="68"/>
      <x v="36"/>
    </i>
    <i r="4">
      <x v="86"/>
      <x v="95"/>
    </i>
    <i r="4">
      <x v="107"/>
      <x v="61"/>
    </i>
    <i r="4">
      <x v="125"/>
      <x v="75"/>
    </i>
    <i r="2">
      <x v="5"/>
      <x v="6"/>
      <x v="27"/>
      <x v="118"/>
    </i>
    <i r="4">
      <x v="52"/>
      <x v="123"/>
    </i>
    <i r="4">
      <x v="87"/>
      <x v="54"/>
    </i>
    <i r="4">
      <x v="126"/>
      <x v="104"/>
    </i>
    <i r="3">
      <x v="17"/>
      <x v="3"/>
      <x v="108"/>
    </i>
    <i r="4">
      <x v="57"/>
      <x v="72"/>
    </i>
    <i r="4">
      <x v="91"/>
      <x v="105"/>
    </i>
    <i r="4">
      <x v="105"/>
      <x v="77"/>
    </i>
    <i r="4">
      <x v="111"/>
      <x v="85"/>
    </i>
    <i r="4">
      <x v="123"/>
      <x v="74"/>
    </i>
    <i r="4">
      <x v="124"/>
      <x v="9"/>
    </i>
    <i r="3">
      <x v="50"/>
      <x v="13"/>
      <x v="122"/>
    </i>
    <i r="4">
      <x v="14"/>
      <x v="112"/>
    </i>
    <i r="4">
      <x v="106"/>
      <x v="29"/>
    </i>
    <i r="4">
      <x v="121"/>
      <x v="2"/>
    </i>
    <i r="2">
      <x v="6"/>
      <x/>
      <x v="8"/>
      <x v="107"/>
    </i>
    <i r="4">
      <x v="108"/>
      <x v="69"/>
    </i>
    <i r="3">
      <x v="2"/>
      <x v="46"/>
      <x v="86"/>
    </i>
    <i r="4">
      <x v="65"/>
      <x v="44"/>
    </i>
    <i r="3">
      <x v="12"/>
      <x/>
      <x v="94"/>
    </i>
    <i r="4">
      <x v="11"/>
      <x v="17"/>
    </i>
    <i r="4">
      <x v="100"/>
      <x v="34"/>
    </i>
    <i r="3">
      <x v="14"/>
      <x v="75"/>
      <x v="78"/>
    </i>
    <i>
      <x v="1"/>
      <x v="2"/>
      <x v="7"/>
      <x v="21"/>
      <x v="88"/>
      <x v="21"/>
    </i>
    <i r="3">
      <x v="39"/>
      <x v="84"/>
      <x v="14"/>
    </i>
    <i r="4">
      <x v="104"/>
      <x v="15"/>
    </i>
    <i r="3">
      <x v="44"/>
      <x v="79"/>
      <x v="46"/>
    </i>
    <i r="3">
      <x v="46"/>
      <x v="118"/>
      <x v="89"/>
    </i>
    <i r="2">
      <x v="8"/>
      <x v="15"/>
      <x v="12"/>
      <x v="97"/>
    </i>
    <i r="4">
      <x v="103"/>
      <x v="22"/>
    </i>
    <i r="4">
      <x v="119"/>
      <x v="38"/>
    </i>
    <i r="3">
      <x v="18"/>
      <x v="9"/>
      <x v="98"/>
    </i>
    <i r="3">
      <x v="51"/>
      <x v="20"/>
      <x v="80"/>
    </i>
    <i r="3">
      <x v="53"/>
      <x v="28"/>
      <x v="115"/>
    </i>
    <i r="2">
      <x v="9"/>
      <x v="26"/>
      <x v="29"/>
      <x v="7"/>
    </i>
    <i r="3">
      <x v="43"/>
      <x v="72"/>
      <x v="26"/>
    </i>
    <i r="4">
      <x v="97"/>
      <x v="62"/>
    </i>
    <i r="3">
      <x v="52"/>
      <x v="48"/>
      <x v="106"/>
    </i>
    <i r="2">
      <x v="10"/>
      <x v="19"/>
      <x v="114"/>
      <x v="71"/>
    </i>
    <i r="4">
      <x v="127"/>
      <x v="3"/>
    </i>
    <i r="3">
      <x v="27"/>
      <x v="122"/>
      <x v="6"/>
    </i>
    <i r="3">
      <x v="36"/>
      <x v="37"/>
      <x v="64"/>
    </i>
    <i r="3">
      <x v="47"/>
      <x v="70"/>
      <x v="11"/>
    </i>
    <i r="2">
      <x v="11"/>
      <x v="4"/>
      <x v="7"/>
      <x v="113"/>
    </i>
    <i r="4">
      <x v="58"/>
      <x v="63"/>
    </i>
    <i r="3">
      <x v="28"/>
      <x v="53"/>
      <x v="102"/>
    </i>
    <i r="4">
      <x v="110"/>
      <x v="50"/>
    </i>
    <i r="3">
      <x v="35"/>
      <x v="43"/>
      <x v="49"/>
    </i>
    <i r="4">
      <x v="115"/>
      <x v="125"/>
    </i>
    <i r="2">
      <x v="12"/>
      <x v="24"/>
      <x v="23"/>
      <x v="83"/>
    </i>
    <i r="3">
      <x v="32"/>
      <x v="1"/>
      <x v="41"/>
    </i>
    <i r="1">
      <x v="3"/>
      <x v="13"/>
      <x v="10"/>
      <x v="10"/>
      <x v="103"/>
    </i>
    <i r="4">
      <x v="31"/>
      <x v="57"/>
    </i>
    <i r="4">
      <x v="120"/>
      <x v="33"/>
    </i>
    <i r="3">
      <x v="20"/>
      <x v="2"/>
      <x v="58"/>
    </i>
    <i r="4">
      <x v="17"/>
      <x v="45"/>
    </i>
    <i r="4">
      <x v="92"/>
      <x v="48"/>
    </i>
    <i r="4">
      <x v="113"/>
      <x v="8"/>
    </i>
    <i r="3">
      <x v="45"/>
      <x v="60"/>
      <x v="43"/>
    </i>
    <i r="4">
      <x v="78"/>
      <x v="111"/>
    </i>
    <i r="4">
      <x v="117"/>
      <x v="5"/>
    </i>
    <i r="2">
      <x v="14"/>
      <x v="16"/>
      <x v="33"/>
      <x v="121"/>
    </i>
    <i r="3">
      <x v="34"/>
      <x v="22"/>
      <x v="100"/>
    </i>
    <i r="4">
      <x v="61"/>
      <x v="30"/>
    </i>
    <i r="4">
      <x v="90"/>
      <x v="25"/>
    </i>
    <i r="2">
      <x v="15"/>
      <x v="3"/>
      <x v="109"/>
      <x v="51"/>
    </i>
    <i r="3">
      <x v="48"/>
      <x v="95"/>
      <x v="68"/>
    </i>
    <i r="2">
      <x v="16"/>
      <x v="33"/>
      <x v="6"/>
      <x v="55"/>
    </i>
    <i r="4">
      <x v="47"/>
      <x v="91"/>
    </i>
    <i r="4">
      <x v="59"/>
      <x v="79"/>
    </i>
    <i r="4">
      <x v="74"/>
      <x v="32"/>
    </i>
    <i r="4">
      <x v="93"/>
      <x v="31"/>
    </i>
    <i r="3">
      <x v="49"/>
      <x v="96"/>
      <x/>
    </i>
    <i r="3">
      <x v="54"/>
      <x v="24"/>
      <x v="16"/>
    </i>
    <i r="4">
      <x v="80"/>
      <x v="92"/>
    </i>
    <i t="grand">
      <x/>
    </i>
  </rowItems>
  <colItems count="1">
    <i/>
  </colItems>
  <dataFields count="1">
    <dataField name="합계 : 매출" fld="7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833CD6-0DB7-40C0-A05F-C4C4394B9CF3}" name="피벗 테이블2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11:G140" firstHeaderRow="1" firstDataRow="1" firstDataCol="6" rowPageCount="8" colPageCount="1"/>
  <pivotFields count="23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4"/>
        <item x="5"/>
        <item x="6"/>
        <item x="2"/>
        <item x="3"/>
        <item x="10"/>
        <item x="11"/>
        <item x="12"/>
        <item x="8"/>
        <item x="9"/>
        <item x="7"/>
        <item x="14"/>
        <item x="15"/>
        <item x="16"/>
        <item x="13"/>
      </items>
    </pivotField>
    <pivotField axis="axisRow" outline="0" showAll="0" defaultSubtotal="0">
      <items count="56">
        <item x="14"/>
        <item x="23"/>
        <item x="15"/>
        <item x="54"/>
        <item x="32"/>
        <item x="20"/>
        <item x="11"/>
        <item x="21"/>
        <item x="0"/>
        <item x="18"/>
        <item x="49"/>
        <item x="7"/>
        <item x="16"/>
        <item x="1"/>
        <item x="17"/>
        <item x="25"/>
        <item x="39"/>
        <item x="52"/>
        <item x="12"/>
        <item x="40"/>
        <item x="28"/>
        <item x="50"/>
        <item x="35"/>
        <item x="8"/>
        <item x="9"/>
        <item x="26"/>
        <item x="22"/>
        <item x="43"/>
        <item x="29"/>
        <item x="33"/>
        <item x="2"/>
        <item x="19"/>
        <item x="3"/>
        <item x="27"/>
        <item x="46"/>
        <item x="53"/>
        <item x="34"/>
        <item x="30"/>
        <item x="24"/>
        <item x="4"/>
        <item x="36"/>
        <item x="10"/>
        <item x="5"/>
        <item x="6"/>
        <item x="44"/>
        <item x="37"/>
        <item x="51"/>
        <item x="38"/>
        <item x="31"/>
        <item x="55"/>
        <item x="47"/>
        <item x="13"/>
        <item x="41"/>
        <item x="45"/>
        <item x="42"/>
        <item x="48"/>
      </items>
    </pivotField>
    <pivotField axis="axisRow" outline="0" showAll="0" defaultSubtotal="0">
      <items count="129">
        <item x="57"/>
        <item x="78"/>
        <item x="116"/>
        <item x="42"/>
        <item x="67"/>
        <item x="68"/>
        <item x="105"/>
        <item x="84"/>
        <item x="53"/>
        <item x="98"/>
        <item x="113"/>
        <item x="58"/>
        <item x="95"/>
        <item x="49"/>
        <item x="50"/>
        <item x="69"/>
        <item x="14"/>
        <item x="117"/>
        <item x="3"/>
        <item x="32"/>
        <item x="99"/>
        <item x="71"/>
        <item x="124"/>
        <item x="77"/>
        <item x="111"/>
        <item x="30"/>
        <item x="0"/>
        <item x="38"/>
        <item x="100"/>
        <item x="101"/>
        <item x="64"/>
        <item x="114"/>
        <item x="20"/>
        <item x="123"/>
        <item x="21"/>
        <item x="22"/>
        <item x="65"/>
        <item x="82"/>
        <item x="15"/>
        <item x="11"/>
        <item x="70"/>
        <item x="61"/>
        <item x="66"/>
        <item x="88"/>
        <item x="4"/>
        <item x="33"/>
        <item x="55"/>
        <item x="106"/>
        <item x="104"/>
        <item x="16"/>
        <item x="63"/>
        <item x="26"/>
        <item x="39"/>
        <item x="86"/>
        <item x="27"/>
        <item x="36"/>
        <item x="1"/>
        <item x="43"/>
        <item x="85"/>
        <item x="107"/>
        <item x="120"/>
        <item x="125"/>
        <item x="5"/>
        <item x="6"/>
        <item x="12"/>
        <item x="56"/>
        <item x="2"/>
        <item x="7"/>
        <item x="72"/>
        <item x="8"/>
        <item x="83"/>
        <item x="23"/>
        <item x="102"/>
        <item x="28"/>
        <item x="108"/>
        <item x="60"/>
        <item x="9"/>
        <item x="29"/>
        <item x="121"/>
        <item x="93"/>
        <item x="112"/>
        <item x="17"/>
        <item x="24"/>
        <item x="62"/>
        <item x="91"/>
        <item x="34"/>
        <item x="73"/>
        <item x="40"/>
        <item x="90"/>
        <item x="25"/>
        <item x="126"/>
        <item x="44"/>
        <item x="118"/>
        <item x="109"/>
        <item x="35"/>
        <item x="128"/>
        <item x="110"/>
        <item x="103"/>
        <item x="31"/>
        <item x="37"/>
        <item x="59"/>
        <item x="18"/>
        <item x="19"/>
        <item x="96"/>
        <item x="92"/>
        <item x="45"/>
        <item x="76"/>
        <item x="51"/>
        <item x="74"/>
        <item x="54"/>
        <item x="127"/>
        <item x="87"/>
        <item x="46"/>
        <item x="13"/>
        <item x="119"/>
        <item x="79"/>
        <item x="89"/>
        <item x="10"/>
        <item x="122"/>
        <item x="94"/>
        <item x="97"/>
        <item x="115"/>
        <item x="52"/>
        <item x="81"/>
        <item x="47"/>
        <item x="48"/>
        <item x="75"/>
        <item x="41"/>
        <item x="80"/>
      </items>
    </pivotField>
    <pivotField axis="axisRow" outline="0" showAll="0" defaultSubtotal="0">
      <items count="129">
        <item x="110"/>
        <item x="21"/>
        <item x="52"/>
        <item x="80"/>
        <item x="10"/>
        <item x="122"/>
        <item x="81"/>
        <item x="101"/>
        <item x="119"/>
        <item x="48"/>
        <item x="32"/>
        <item x="83"/>
        <item x="5"/>
        <item x="6"/>
        <item x="91"/>
        <item x="92"/>
        <item x="111"/>
        <item x="58"/>
        <item x="31"/>
        <item x="69"/>
        <item x="25"/>
        <item x="90"/>
        <item x="96"/>
        <item x="27"/>
        <item x="22"/>
        <item x="126"/>
        <item x="102"/>
        <item x="68"/>
        <item x="8"/>
        <item x="51"/>
        <item x="125"/>
        <item x="109"/>
        <item x="108"/>
        <item x="115"/>
        <item x="59"/>
        <item x="37"/>
        <item x="72"/>
        <item x="9"/>
        <item x="97"/>
        <item x="65"/>
        <item x="35"/>
        <item x="78"/>
        <item x="34"/>
        <item x="120"/>
        <item x="56"/>
        <item x="117"/>
        <item x="93"/>
        <item x="23"/>
        <item x="118"/>
        <item x="88"/>
        <item x="87"/>
        <item x="127"/>
        <item x="24"/>
        <item x="66"/>
        <item x="40"/>
        <item x="105"/>
        <item x="33"/>
        <item x="114"/>
        <item x="116"/>
        <item x="7"/>
        <item x="16"/>
        <item x="74"/>
        <item x="103"/>
        <item x="85"/>
        <item x="82"/>
        <item x="3"/>
        <item x="28"/>
        <item x="11"/>
        <item x="128"/>
        <item x="54"/>
        <item x="17"/>
        <item x="79"/>
        <item x="43"/>
        <item x="0"/>
        <item x="47"/>
        <item x="75"/>
        <item x="12"/>
        <item x="45"/>
        <item x="60"/>
        <item x="107"/>
        <item x="99"/>
        <item x="30"/>
        <item x="18"/>
        <item x="77"/>
        <item x="61"/>
        <item x="46"/>
        <item x="55"/>
        <item x="62"/>
        <item x="70"/>
        <item x="76"/>
        <item x="94"/>
        <item x="2"/>
        <item x="106"/>
        <item x="112"/>
        <item x="71"/>
        <item x="57"/>
        <item x="73"/>
        <item x="1"/>
        <item x="95"/>
        <item x="98"/>
        <item x="64"/>
        <item x="124"/>
        <item x="29"/>
        <item x="86"/>
        <item x="113"/>
        <item x="41"/>
        <item x="44"/>
        <item x="104"/>
        <item x="53"/>
        <item x="42"/>
        <item x="4"/>
        <item x="14"/>
        <item x="121"/>
        <item x="50"/>
        <item x="84"/>
        <item x="15"/>
        <item x="100"/>
        <item x="36"/>
        <item x="13"/>
        <item x="38"/>
        <item x="19"/>
        <item x="20"/>
        <item x="123"/>
        <item x="49"/>
        <item x="39"/>
        <item x="67"/>
        <item x="89"/>
        <item x="26"/>
        <item x="63"/>
      </items>
    </pivotField>
    <pivotField axis="axisPage" multipleItemSelectionAllowed="1" showAll="0">
      <items count="13">
        <item x="0"/>
        <item x="1"/>
        <item x="2"/>
        <item x="11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outline="0" multipleItemSelectionAllowed="1" showAll="0" defaultSubtotal="0">
      <items count="12">
        <item x="5"/>
        <item x="3"/>
        <item x="11"/>
        <item x="4"/>
        <item x="0"/>
        <item x="1"/>
        <item x="6"/>
        <item x="9"/>
        <item x="10"/>
        <item x="2"/>
        <item x="7"/>
        <item x="8"/>
      </items>
    </pivotField>
    <pivotField axis="axisPage" outline="0" multipleItemSelectionAllowed="1" showAll="0" defaultSubtotal="0">
      <items count="10">
        <item x="1"/>
        <item x="7"/>
        <item x="3"/>
        <item x="8"/>
        <item x="9"/>
        <item x="0"/>
        <item h="1" x="2"/>
        <item x="4"/>
        <item x="5"/>
        <item x="6"/>
      </items>
    </pivotField>
    <pivotField axis="axisPage" multipleItemSelectionAllowed="1" showAll="0">
      <items count="3">
        <item h="1" x="1"/>
        <item x="0"/>
        <item t="default"/>
      </items>
    </pivotField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Page" multipleItemSelectionAllowed="1" showAll="0">
      <items count="7">
        <item h="1" x="2"/>
        <item h="1" x="5"/>
        <item h="1" x="4"/>
        <item h="1" x="3"/>
        <item h="1" x="1"/>
        <item x="0"/>
        <item t="default"/>
      </items>
    </pivotField>
    <pivotField axis="axisPage" multipleItemSelectionAllowed="1" showAll="0">
      <items count="45">
        <item x="26"/>
        <item x="15"/>
        <item x="7"/>
        <item x="39"/>
        <item x="0"/>
        <item x="38"/>
        <item x="13"/>
        <item x="9"/>
        <item x="20"/>
        <item x="27"/>
        <item x="19"/>
        <item x="18"/>
        <item x="23"/>
        <item x="1"/>
        <item x="14"/>
        <item x="42"/>
        <item x="37"/>
        <item x="30"/>
        <item x="43"/>
        <item x="8"/>
        <item x="16"/>
        <item x="28"/>
        <item x="22"/>
        <item x="5"/>
        <item x="3"/>
        <item x="34"/>
        <item x="32"/>
        <item x="33"/>
        <item x="12"/>
        <item x="24"/>
        <item x="11"/>
        <item x="21"/>
        <item x="41"/>
        <item x="40"/>
        <item x="29"/>
        <item x="6"/>
        <item x="36"/>
        <item x="35"/>
        <item x="25"/>
        <item x="4"/>
        <item x="31"/>
        <item x="10"/>
        <item x="17"/>
        <item x="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outline="0" showAll="0" defaultSubtotal="0">
      <items count="1645">
        <item x="315"/>
        <item x="822"/>
        <item x="485"/>
        <item x="525"/>
        <item x="700"/>
        <item x="1435"/>
        <item x="167"/>
        <item x="1431"/>
        <item x="1623"/>
        <item x="1397"/>
        <item x="635"/>
        <item x="325"/>
        <item x="1453"/>
        <item x="299"/>
        <item x="745"/>
        <item x="1485"/>
        <item x="823"/>
        <item x="908"/>
        <item x="875"/>
        <item x="1291"/>
        <item x="1142"/>
        <item x="89"/>
        <item x="1310"/>
        <item x="969"/>
        <item x="1100"/>
        <item x="970"/>
        <item x="957"/>
        <item x="400"/>
        <item x="698"/>
        <item x="123"/>
        <item x="742"/>
        <item x="362"/>
        <item x="496"/>
        <item x="562"/>
        <item x="78"/>
        <item x="721"/>
        <item x="79"/>
        <item x="722"/>
        <item x="83"/>
        <item x="527"/>
        <item x="230"/>
        <item x="694"/>
        <item x="344"/>
        <item x="545"/>
        <item x="575"/>
        <item x="868"/>
        <item x="1411"/>
        <item x="636"/>
        <item x="1405"/>
        <item x="1361"/>
        <item x="433"/>
        <item x="686"/>
        <item x="185"/>
        <item x="600"/>
        <item x="803"/>
        <item x="1438"/>
        <item x="1641"/>
        <item x="935"/>
        <item x="903"/>
        <item x="1126"/>
        <item x="1059"/>
        <item x="1221"/>
        <item x="479"/>
        <item x="547"/>
        <item x="1542"/>
        <item x="654"/>
        <item x="1553"/>
        <item x="320"/>
        <item x="863"/>
        <item x="597"/>
        <item x="309"/>
        <item x="221"/>
        <item x="538"/>
        <item x="223"/>
        <item x="530"/>
        <item x="280"/>
        <item x="281"/>
        <item x="288"/>
        <item x="616"/>
        <item x="609"/>
        <item x="1480"/>
        <item x="855"/>
        <item x="771"/>
        <item x="390"/>
        <item x="710"/>
        <item x="321"/>
        <item x="159"/>
        <item x="1529"/>
        <item x="647"/>
        <item x="32"/>
        <item x="201"/>
        <item x="312"/>
        <item x="574"/>
        <item x="571"/>
        <item x="313"/>
        <item x="595"/>
        <item x="24"/>
        <item x="685"/>
        <item x="755"/>
        <item x="116"/>
        <item x="585"/>
        <item x="1195"/>
        <item x="72"/>
        <item x="157"/>
        <item x="118"/>
        <item x="252"/>
        <item x="701"/>
        <item x="702"/>
        <item x="810"/>
        <item x="811"/>
        <item x="434"/>
        <item x="682"/>
        <item x="181"/>
        <item x="1124"/>
        <item x="1117"/>
        <item x="1187"/>
        <item x="448"/>
        <item x="1091"/>
        <item x="240"/>
        <item x="1419"/>
        <item x="780"/>
        <item x="110"/>
        <item x="111"/>
        <item x="375"/>
        <item x="1250"/>
        <item x="560"/>
        <item x="1022"/>
        <item x="419"/>
        <item x="599"/>
        <item x="1614"/>
        <item x="1178"/>
        <item x="48"/>
        <item x="343"/>
        <item x="200"/>
        <item x="409"/>
        <item x="1605"/>
        <item x="995"/>
        <item x="511"/>
        <item x="510"/>
        <item x="756"/>
        <item x="1551"/>
        <item x="851"/>
        <item x="565"/>
        <item x="171"/>
        <item x="473"/>
        <item x="617"/>
        <item x="484"/>
        <item x="488"/>
        <item x="610"/>
        <item x="350"/>
        <item x="1570"/>
        <item x="493"/>
        <item x="751"/>
        <item x="1575"/>
        <item x="589"/>
        <item x="287"/>
        <item x="1512"/>
        <item x="954"/>
        <item x="950"/>
        <item x="1087"/>
        <item x="1071"/>
        <item x="1333"/>
        <item x="1382"/>
        <item x="1381"/>
        <item x="1351"/>
        <item x="1164"/>
        <item x="1372"/>
        <item x="912"/>
        <item x="959"/>
        <item x="1211"/>
        <item x="678"/>
        <item x="1537"/>
        <item x="420"/>
        <item x="421"/>
        <item x="1410"/>
        <item x="1175"/>
        <item x="1334"/>
        <item x="333"/>
        <item x="277"/>
        <item x="696"/>
        <item x="693"/>
        <item x="836"/>
        <item x="470"/>
        <item x="9"/>
        <item x="862"/>
        <item x="1452"/>
        <item x="1021"/>
        <item x="242"/>
        <item x="310"/>
        <item x="1018"/>
        <item x="217"/>
        <item x="1558"/>
        <item x="706"/>
        <item x="1643"/>
        <item x="1069"/>
        <item x="1106"/>
        <item x="1389"/>
        <item x="1054"/>
        <item x="1004"/>
        <item x="1366"/>
        <item x="52"/>
        <item x="1266"/>
        <item x="1332"/>
        <item x="1412"/>
        <item x="535"/>
        <item x="88"/>
        <item x="1313"/>
        <item x="1194"/>
        <item x="1589"/>
        <item x="752"/>
        <item x="1560"/>
        <item x="177"/>
        <item x="6"/>
        <item x="540"/>
        <item x="1158"/>
        <item x="1140"/>
        <item x="279"/>
        <item x="826"/>
        <item x="676"/>
        <item x="673"/>
        <item x="387"/>
        <item x="860"/>
        <item x="269"/>
        <item x="399"/>
        <item x="784"/>
        <item x="204"/>
        <item x="1196"/>
        <item x="3"/>
        <item x="529"/>
        <item x="454"/>
        <item x="505"/>
        <item x="154"/>
        <item x="1461"/>
        <item x="716"/>
        <item x="1428"/>
        <item x="450"/>
        <item x="644"/>
        <item x="225"/>
        <item x="235"/>
        <item x="506"/>
        <item x="507"/>
        <item x="126"/>
        <item x="410"/>
        <item x="800"/>
        <item x="1504"/>
        <item x="618"/>
        <item x="857"/>
        <item x="44"/>
        <item x="1379"/>
        <item x="1398"/>
        <item x="889"/>
        <item x="1230"/>
        <item x="1228"/>
        <item x="1297"/>
        <item x="49"/>
        <item x="1296"/>
        <item x="1180"/>
        <item x="1179"/>
        <item x="45"/>
        <item x="1257"/>
        <item x="1005"/>
        <item x="870"/>
        <item x="1077"/>
        <item x="14"/>
        <item x="330"/>
        <item x="1393"/>
        <item x="910"/>
        <item x="1162"/>
        <item x="1304"/>
        <item x="981"/>
        <item x="997"/>
        <item x="1367"/>
        <item x="1214"/>
        <item x="1340"/>
        <item x="1362"/>
        <item x="877"/>
        <item x="1494"/>
        <item x="1478"/>
        <item x="1577"/>
        <item x="1599"/>
        <item x="1555"/>
        <item x="1563"/>
        <item x="1564"/>
        <item x="282"/>
        <item x="441"/>
        <item x="1475"/>
        <item x="1608"/>
        <item x="1481"/>
        <item x="738"/>
        <item x="2"/>
        <item x="1622"/>
        <item x="933"/>
        <item x="1593"/>
        <item x="1114"/>
        <item x="951"/>
        <item x="1061"/>
        <item x="1002"/>
        <item x="1008"/>
        <item x="940"/>
        <item x="941"/>
        <item x="1102"/>
        <item x="666"/>
        <item x="1129"/>
        <item x="934"/>
        <item x="920"/>
        <item x="937"/>
        <item x="1011"/>
        <item x="1328"/>
        <item x="1320"/>
        <item x="1331"/>
        <item x="1321"/>
        <item x="1329"/>
        <item x="1319"/>
        <item x="1317"/>
        <item x="1318"/>
        <item x="1325"/>
        <item x="191"/>
        <item x="1628"/>
        <item x="166"/>
        <item x="401"/>
        <item x="1157"/>
        <item x="462"/>
        <item x="127"/>
        <item x="1027"/>
        <item x="337"/>
        <item x="913"/>
        <item x="749"/>
        <item x="457"/>
        <item x="326"/>
        <item x="753"/>
        <item x="1611"/>
        <item x="1135"/>
        <item x="465"/>
        <item x="1096"/>
        <item x="271"/>
        <item x="878"/>
        <item x="40"/>
        <item x="404"/>
        <item x="471"/>
        <item x="1612"/>
        <item x="1625"/>
        <item x="1573"/>
        <item x="267"/>
        <item x="65"/>
        <item x="1557"/>
        <item x="1545"/>
        <item x="672"/>
        <item x="134"/>
        <item x="1152"/>
        <item x="1402"/>
        <item x="1115"/>
        <item x="345"/>
        <item x="1416"/>
        <item x="1110"/>
        <item x="432"/>
        <item x="331"/>
        <item x="138"/>
        <item x="137"/>
        <item x="498"/>
        <item x="80"/>
        <item x="1467"/>
        <item x="115"/>
        <item x="253"/>
        <item x="162"/>
        <item x="514"/>
        <item x="254"/>
        <item x="194"/>
        <item x="37"/>
        <item x="1644"/>
        <item x="1463"/>
        <item x="146"/>
        <item x="1495"/>
        <item x="809"/>
        <item x="613"/>
        <item x="629"/>
        <item x="0"/>
        <item x="449"/>
        <item x="662"/>
        <item x="468"/>
        <item x="736"/>
        <item x="777"/>
        <item x="1418"/>
        <item x="760"/>
        <item x="393"/>
        <item x="357"/>
        <item x="264"/>
        <item x="263"/>
        <item x="487"/>
        <item x="149"/>
        <item x="91"/>
        <item x="190"/>
        <item x="767"/>
        <item x="664"/>
        <item x="392"/>
        <item x="643"/>
        <item x="68"/>
        <item x="861"/>
        <item x="96"/>
        <item x="1636"/>
        <item x="691"/>
        <item x="193"/>
        <item x="27"/>
        <item x="1309"/>
        <item x="1186"/>
        <item x="1104"/>
        <item x="603"/>
        <item x="352"/>
        <item x="804"/>
        <item x="607"/>
        <item x="172"/>
        <item x="590"/>
        <item x="90"/>
        <item x="1464"/>
        <item x="373"/>
        <item x="598"/>
        <item x="556"/>
        <item x="358"/>
        <item x="656"/>
        <item x="455"/>
        <item x="456"/>
        <item x="478"/>
        <item x="176"/>
        <item x="1113"/>
        <item x="1417"/>
        <item x="843"/>
        <item x="1536"/>
        <item x="1169"/>
        <item x="520"/>
        <item x="124"/>
        <item x="165"/>
        <item x="335"/>
        <item x="1427"/>
        <item x="622"/>
        <item x="354"/>
        <item x="840"/>
        <item x="799"/>
        <item x="56"/>
        <item x="220"/>
        <item x="837"/>
        <item x="1413"/>
        <item x="509"/>
        <item x="384"/>
        <item x="1616"/>
        <item x="623"/>
        <item x="227"/>
        <item x="212"/>
        <item x="605"/>
        <item x="611"/>
        <item x="606"/>
        <item x="307"/>
        <item x="306"/>
        <item x="268"/>
        <item x="1324"/>
        <item x="797"/>
        <item x="1456"/>
        <item x="1581"/>
        <item x="548"/>
        <item x="684"/>
        <item x="131"/>
        <item x="446"/>
        <item x="490"/>
        <item x="750"/>
        <item x="1539"/>
        <item x="1423"/>
        <item x="539"/>
        <item x="133"/>
        <item x="608"/>
        <item x="1499"/>
        <item x="389"/>
        <item x="1385"/>
        <item x="1350"/>
        <item x="1302"/>
        <item x="1225"/>
        <item x="1352"/>
        <item x="854"/>
        <item x="1450"/>
        <item x="135"/>
        <item x="898"/>
        <item x="1263"/>
        <item x="1239"/>
        <item x="1271"/>
        <item x="1281"/>
        <item x="1392"/>
        <item x="1236"/>
        <item x="130"/>
        <item x="731"/>
        <item x="1244"/>
        <item x="1292"/>
        <item x="911"/>
        <item x="1231"/>
        <item x="1210"/>
        <item x="1306"/>
        <item x="1307"/>
        <item x="1107"/>
        <item x="917"/>
        <item x="1386"/>
        <item x="1247"/>
        <item x="942"/>
        <item x="359"/>
        <item x="1365"/>
        <item x="921"/>
        <item x="25"/>
        <item x="1229"/>
        <item x="1130"/>
        <item x="1305"/>
        <item x="1270"/>
        <item x="902"/>
        <item x="882"/>
        <item x="1172"/>
        <item x="1642"/>
        <item x="1023"/>
        <item x="1024"/>
        <item x="1215"/>
        <item x="1396"/>
        <item x="1234"/>
        <item x="960"/>
        <item x="915"/>
        <item x="1346"/>
        <item x="1421"/>
        <item x="1285"/>
        <item x="1200"/>
        <item x="1420"/>
        <item x="1301"/>
        <item x="1251"/>
        <item x="1092"/>
        <item x="1380"/>
        <item x="59"/>
        <item x="1375"/>
        <item x="1284"/>
        <item x="439"/>
        <item x="1316"/>
        <item x="426"/>
        <item x="1407"/>
        <item x="943"/>
        <item x="1344"/>
        <item x="1261"/>
        <item x="848"/>
        <item x="919"/>
        <item x="1507"/>
        <item x="1163"/>
        <item x="1632"/>
        <item x="1492"/>
        <item x="1503"/>
        <item x="1482"/>
        <item x="1533"/>
        <item x="1626"/>
        <item x="1468"/>
        <item x="360"/>
        <item x="1523"/>
        <item x="1518"/>
        <item x="1436"/>
        <item x="1592"/>
        <item x="1590"/>
        <item x="1578"/>
        <item x="1442"/>
        <item x="1594"/>
        <item x="1619"/>
        <item x="1112"/>
        <item x="452"/>
        <item x="918"/>
        <item x="1105"/>
        <item x="1047"/>
        <item x="926"/>
        <item x="1067"/>
        <item x="924"/>
        <item x="351"/>
        <item x="1103"/>
        <item x="932"/>
        <item x="936"/>
        <item x="1121"/>
        <item x="213"/>
        <item x="564"/>
        <item x="425"/>
        <item x="557"/>
        <item x="128"/>
        <item x="604"/>
        <item x="1640"/>
        <item x="262"/>
        <item x="428"/>
        <item x="435"/>
        <item x="838"/>
        <item x="1395"/>
        <item x="437"/>
        <item x="842"/>
        <item x="472"/>
        <item x="451"/>
        <item x="681"/>
        <item x="806"/>
        <item x="402"/>
        <item x="67"/>
        <item x="460"/>
        <item x="461"/>
        <item x="66"/>
        <item x="534"/>
        <item x="531"/>
        <item x="528"/>
        <item x="265"/>
        <item x="417"/>
        <item x="680"/>
        <item x="411"/>
        <item x="865"/>
        <item x="416"/>
        <item x="909"/>
        <item x="1041"/>
        <item x="1176"/>
        <item x="864"/>
        <item x="1122"/>
        <item x="1514"/>
        <item x="1527"/>
        <item x="1528"/>
        <item x="1568"/>
        <item x="1012"/>
        <item x="1201"/>
        <item x="70"/>
        <item x="670"/>
        <item x="671"/>
        <item x="285"/>
        <item x="925"/>
        <item x="679"/>
        <item x="709"/>
        <item x="174"/>
        <item x="1406"/>
        <item x="113"/>
        <item x="847"/>
        <item x="763"/>
        <item x="516"/>
        <item x="87"/>
        <item x="82"/>
        <item x="846"/>
        <item x="1193"/>
        <item x="368"/>
        <item x="196"/>
        <item x="561"/>
        <item x="633"/>
        <item x="219"/>
        <item x="1131"/>
        <item x="379"/>
        <item x="147"/>
        <item x="380"/>
        <item x="224"/>
        <item x="519"/>
        <item x="665"/>
        <item x="726"/>
        <item x="727"/>
        <item x="900"/>
        <item x="1116"/>
        <item x="1357"/>
        <item x="1219"/>
        <item x="901"/>
        <item x="1213"/>
        <item x="1348"/>
        <item x="1493"/>
        <item x="1597"/>
        <item x="1062"/>
        <item x="1042"/>
        <item x="1046"/>
        <item x="993"/>
        <item x="503"/>
        <item x="1300"/>
        <item x="374"/>
        <item x="1006"/>
        <item x="1639"/>
        <item x="1336"/>
        <item x="1188"/>
        <item x="586"/>
        <item x="18"/>
        <item x="720"/>
        <item x="1498"/>
        <item x="1502"/>
        <item x="1443"/>
        <item x="1548"/>
        <item x="429"/>
        <item x="210"/>
        <item x="139"/>
        <item x="160"/>
        <item x="1634"/>
        <item x="205"/>
        <item x="587"/>
        <item x="584"/>
        <item x="583"/>
        <item x="582"/>
        <item x="300"/>
        <item x="98"/>
        <item x="311"/>
        <item x="305"/>
        <item x="197"/>
        <item x="444"/>
        <item x="1144"/>
        <item x="290"/>
        <item x="805"/>
        <item x="261"/>
        <item x="711"/>
        <item x="385"/>
        <item x="867"/>
        <item x="1275"/>
        <item x="1212"/>
        <item x="1447"/>
        <item x="841"/>
        <item x="895"/>
        <item x="356"/>
        <item x="1298"/>
        <item x="966"/>
        <item x="85"/>
        <item x="1384"/>
        <item x="1383"/>
        <item x="1277"/>
        <item x="1274"/>
        <item x="526"/>
        <item x="1279"/>
        <item x="975"/>
        <item x="1312"/>
        <item x="916"/>
        <item x="904"/>
        <item x="1445"/>
        <item x="1255"/>
        <item x="1254"/>
        <item x="7"/>
        <item x="1600"/>
        <item x="58"/>
        <item x="974"/>
        <item x="728"/>
        <item x="1183"/>
        <item x="927"/>
        <item x="1326"/>
        <item x="239"/>
        <item x="394"/>
        <item x="370"/>
        <item x="1037"/>
        <item x="1262"/>
        <item x="1559"/>
        <item x="1586"/>
        <item x="690"/>
        <item x="243"/>
        <item x="336"/>
        <item x="1083"/>
        <item x="573"/>
        <item x="614"/>
        <item x="744"/>
        <item x="748"/>
        <item x="588"/>
        <item x="108"/>
        <item x="246"/>
        <item x="1086"/>
        <item x="31"/>
        <item x="430"/>
        <item x="692"/>
        <item x="286"/>
        <item x="195"/>
        <item x="907"/>
        <item x="1245"/>
        <item x="1390"/>
        <item x="1370"/>
        <item x="1039"/>
        <item x="976"/>
        <item x="1288"/>
        <item x="1138"/>
        <item x="1373"/>
        <item x="652"/>
        <item x="1248"/>
        <item x="1073"/>
        <item x="1111"/>
        <item x="986"/>
        <item x="1511"/>
        <item x="866"/>
        <item x="1052"/>
        <item x="1399"/>
        <item x="1394"/>
        <item x="596"/>
        <item x="764"/>
        <item x="1595"/>
        <item x="808"/>
        <item x="156"/>
        <item x="795"/>
        <item x="54"/>
        <item x="1424"/>
        <item x="1635"/>
        <item x="76"/>
        <item x="518"/>
        <item x="245"/>
        <item x="453"/>
        <item x="552"/>
        <item x="229"/>
        <item x="515"/>
        <item x="155"/>
        <item x="768"/>
        <item x="233"/>
        <item x="677"/>
        <item x="41"/>
        <item x="1049"/>
        <item x="1050"/>
        <item x="944"/>
        <item x="1224"/>
        <item x="1216"/>
        <item x="994"/>
        <item x="1199"/>
        <item x="1098"/>
        <item x="1203"/>
        <item x="1341"/>
        <item x="947"/>
        <item x="923"/>
        <item x="1629"/>
        <item x="1072"/>
        <item x="26"/>
        <item x="481"/>
        <item x="1547"/>
        <item x="1607"/>
        <item x="1538"/>
        <item x="388"/>
        <item x="278"/>
        <item x="1171"/>
        <item x="1497"/>
        <item x="558"/>
        <item x="743"/>
        <item x="1451"/>
        <item x="1580"/>
        <item x="1095"/>
        <item x="1615"/>
        <item x="251"/>
        <item x="405"/>
        <item x="95"/>
        <item x="1440"/>
        <item x="754"/>
        <item x="188"/>
        <item x="1591"/>
        <item x="1531"/>
        <item x="42"/>
        <item x="568"/>
        <item x="1090"/>
        <item x="1101"/>
        <item x="1425"/>
        <item x="11"/>
        <item x="1082"/>
        <item x="303"/>
        <item x="746"/>
        <item x="747"/>
        <item x="812"/>
        <item x="1470"/>
        <item x="824"/>
        <item x="765"/>
        <item x="1469"/>
        <item x="1471"/>
        <item x="783"/>
        <item x="1430"/>
        <item x="231"/>
        <item x="266"/>
        <item x="161"/>
        <item x="1587"/>
        <item x="1488"/>
        <item x="674"/>
        <item x="787"/>
        <item x="178"/>
        <item x="1486"/>
        <item x="1517"/>
        <item x="1509"/>
        <item x="250"/>
        <item x="1631"/>
        <item x="236"/>
        <item x="757"/>
        <item x="1075"/>
        <item x="222"/>
        <item x="533"/>
        <item x="659"/>
        <item x="657"/>
        <item x="592"/>
        <item x="1191"/>
        <item x="1259"/>
        <item x="1290"/>
        <item x="869"/>
        <item x="893"/>
        <item x="145"/>
        <item x="1260"/>
        <item x="1264"/>
        <item x="1283"/>
        <item x="381"/>
        <item x="1408"/>
        <item x="886"/>
        <item x="1267"/>
        <item x="1349"/>
        <item x="140"/>
        <item x="141"/>
        <item x="1429"/>
        <item x="887"/>
        <item x="1146"/>
        <item x="1414"/>
        <item x="1252"/>
        <item x="1286"/>
        <item x="899"/>
        <item x="883"/>
        <item x="208"/>
        <item x="980"/>
        <item x="922"/>
        <item x="1031"/>
        <item x="1010"/>
        <item x="856"/>
        <item x="1001"/>
        <item x="1404"/>
        <item x="1017"/>
        <item x="964"/>
        <item x="1019"/>
        <item x="1089"/>
        <item x="999"/>
        <item x="1035"/>
        <item x="938"/>
        <item x="949"/>
        <item x="1444"/>
        <item x="1051"/>
        <item x="1032"/>
        <item x="1070"/>
        <item x="207"/>
        <item x="667"/>
        <item x="939"/>
        <item x="965"/>
        <item x="668"/>
        <item x="464"/>
        <item x="424"/>
        <item x="406"/>
        <item x="403"/>
        <item x="1161"/>
        <item x="422"/>
        <item x="1544"/>
        <item x="64"/>
        <item x="391"/>
        <item x="740"/>
        <item x="363"/>
        <item x="1238"/>
        <item x="1609"/>
        <item x="412"/>
        <item x="1459"/>
        <item x="1295"/>
        <item x="274"/>
        <item x="364"/>
        <item x="717"/>
        <item x="1156"/>
        <item x="1170"/>
        <item x="257"/>
        <item x="827"/>
        <item x="1108"/>
        <item x="365"/>
        <item x="834"/>
        <item x="418"/>
        <item x="624"/>
        <item x="1097"/>
        <item x="53"/>
        <item x="258"/>
        <item x="881"/>
        <item x="1637"/>
        <item x="1093"/>
        <item x="968"/>
        <item x="1099"/>
        <item x="798"/>
        <item x="249"/>
        <item x="1065"/>
        <item x="477"/>
        <item x="431"/>
        <item x="892"/>
        <item x="844"/>
        <item x="349"/>
        <item x="715"/>
        <item x="1400"/>
        <item x="1501"/>
        <item x="1510"/>
        <item x="815"/>
        <item x="1060"/>
        <item x="294"/>
        <item x="766"/>
        <item x="651"/>
        <item x="718"/>
        <item x="1355"/>
        <item x="1240"/>
        <item x="1209"/>
        <item x="890"/>
        <item x="1567"/>
        <item x="1569"/>
        <item x="74"/>
        <item x="521"/>
        <item x="301"/>
        <item x="302"/>
        <item x="304"/>
        <item x="46"/>
        <item x="36"/>
        <item x="395"/>
        <item x="1160"/>
        <item x="719"/>
        <item x="334"/>
        <item x="150"/>
        <item x="8"/>
        <item x="22"/>
        <item x="23"/>
        <item x="407"/>
        <item x="13"/>
        <item x="1556"/>
        <item x="1141"/>
        <item x="1282"/>
        <item x="653"/>
        <item x="880"/>
        <item x="60"/>
        <item x="84"/>
        <item x="16"/>
        <item x="283"/>
        <item x="563"/>
        <item x="1088"/>
        <item x="81"/>
        <item x="1149"/>
        <item x="482"/>
        <item x="1256"/>
        <item x="660"/>
        <item x="962"/>
        <item x="1522"/>
        <item x="122"/>
        <item x="576"/>
        <item x="581"/>
        <item x="284"/>
        <item x="5"/>
        <item x="10"/>
        <item x="707"/>
        <item x="850"/>
        <item x="21"/>
        <item x="839"/>
        <item x="1496"/>
        <item x="631"/>
        <item x="948"/>
        <item x="86"/>
        <item x="1181"/>
        <item x="632"/>
        <item x="15"/>
        <item x="621"/>
        <item x="77"/>
        <item x="232"/>
        <item x="782"/>
        <item x="1571"/>
        <item x="215"/>
        <item x="1415"/>
        <item x="591"/>
        <item x="129"/>
        <item x="1458"/>
        <item x="1638"/>
        <item x="99"/>
        <item x="100"/>
        <item x="296"/>
        <item x="713"/>
        <item x="1432"/>
        <item x="612"/>
        <item x="1476"/>
        <item x="1038"/>
        <item x="517"/>
        <item x="1515"/>
        <item x="1541"/>
        <item x="341"/>
        <item x="112"/>
        <item x="689"/>
        <item x="978"/>
        <item x="1276"/>
        <item x="1243"/>
        <item x="119"/>
        <item x="593"/>
        <item x="1552"/>
        <item x="1439"/>
        <item x="637"/>
        <item x="1401"/>
        <item x="1403"/>
        <item x="773"/>
        <item x="649"/>
        <item x="669"/>
        <item x="1055"/>
        <item x="579"/>
        <item x="105"/>
        <item x="106"/>
        <item x="497"/>
        <item x="1044"/>
        <item x="55"/>
        <item x="739"/>
        <item x="580"/>
        <item x="813"/>
        <item x="238"/>
        <item x="814"/>
        <item x="1128"/>
        <item x="20"/>
        <item x="723"/>
        <item x="578"/>
        <item x="206"/>
        <item x="438"/>
        <item x="1237"/>
        <item x="559"/>
        <item x="376"/>
        <item x="353"/>
        <item x="663"/>
        <item x="61"/>
        <item x="198"/>
        <item x="192"/>
        <item x="103"/>
        <item x="594"/>
        <item x="327"/>
        <item x="43"/>
        <item x="513"/>
        <item x="332"/>
        <item x="732"/>
        <item x="1549"/>
        <item x="1618"/>
        <item x="1437"/>
        <item x="858"/>
        <item x="466"/>
        <item x="714"/>
        <item x="1460"/>
        <item x="152"/>
        <item x="318"/>
        <item x="1364"/>
        <item x="544"/>
        <item x="423"/>
        <item x="121"/>
        <item x="1168"/>
        <item x="1137"/>
        <item x="1007"/>
        <item x="338"/>
        <item x="1155"/>
        <item x="734"/>
        <item x="216"/>
        <item x="183"/>
        <item x="273"/>
        <item x="1604"/>
        <item x="1448"/>
        <item x="1145"/>
        <item x="12"/>
        <item x="793"/>
        <item x="791"/>
        <item x="741"/>
        <item x="1009"/>
        <item x="1013"/>
        <item x="1074"/>
        <item x="342"/>
        <item x="1232"/>
        <item x="1132"/>
        <item x="1136"/>
        <item x="69"/>
        <item x="992"/>
        <item x="1338"/>
        <item x="1233"/>
        <item x="324"/>
        <item x="845"/>
        <item x="1147"/>
        <item x="1377"/>
        <item x="1409"/>
        <item x="71"/>
        <item x="884"/>
        <item x="144"/>
        <item x="1554"/>
        <item x="1043"/>
        <item x="984"/>
        <item x="17"/>
        <item x="967"/>
        <item x="541"/>
        <item x="1133"/>
        <item x="442"/>
        <item x="958"/>
        <item x="1030"/>
        <item x="1613"/>
        <item x="255"/>
        <item x="383"/>
        <item x="1610"/>
        <item x="1253"/>
        <item x="1293"/>
        <item x="550"/>
        <item x="1151"/>
        <item x="1150"/>
        <item x="1143"/>
        <item x="169"/>
        <item x="35"/>
        <item x="234"/>
        <item x="1520"/>
        <item x="170"/>
        <item x="180"/>
        <item x="259"/>
        <item x="94"/>
        <item x="153"/>
        <item x="319"/>
        <item x="440"/>
        <item x="695"/>
        <item x="1583"/>
        <item x="1624"/>
        <item x="688"/>
        <item x="1441"/>
        <item x="775"/>
        <item x="687"/>
        <item x="117"/>
        <item x="1534"/>
        <item x="1472"/>
        <item x="1487"/>
        <item x="619"/>
        <item x="522"/>
        <item x="543"/>
        <item x="480"/>
        <item x="51"/>
        <item x="776"/>
        <item x="794"/>
        <item x="620"/>
        <item x="226"/>
        <item x="237"/>
        <item x="770"/>
        <item x="214"/>
        <item x="241"/>
        <item x="247"/>
        <item x="658"/>
        <item x="125"/>
        <item x="228"/>
        <item x="386"/>
        <item x="1500"/>
        <item x="829"/>
        <item x="248"/>
        <item x="436"/>
        <item x="291"/>
        <item x="182"/>
        <item x="1633"/>
        <item x="1508"/>
        <item x="537"/>
        <item x="639"/>
        <item x="703"/>
        <item x="1465"/>
        <item x="1579"/>
        <item x="414"/>
        <item x="779"/>
        <item x="615"/>
        <item x="107"/>
        <item x="47"/>
        <item x="852"/>
        <item x="1466"/>
        <item x="1154"/>
        <item x="1273"/>
        <item x="876"/>
        <item x="885"/>
        <item x="1368"/>
        <item x="1217"/>
        <item x="1202"/>
        <item x="873"/>
        <item x="1358"/>
        <item x="928"/>
        <item x="1078"/>
        <item x="1204"/>
        <item x="1190"/>
        <item x="1033"/>
        <item x="361"/>
        <item x="1153"/>
        <item x="1246"/>
        <item x="1139"/>
        <item x="1303"/>
        <item x="1347"/>
        <item x="1315"/>
        <item x="1376"/>
        <item x="1280"/>
        <item x="1374"/>
        <item x="888"/>
        <item x="735"/>
        <item x="871"/>
        <item x="1339"/>
        <item x="1040"/>
        <item x="646"/>
        <item x="952"/>
        <item x="1056"/>
        <item x="1118"/>
        <item x="953"/>
        <item x="1015"/>
        <item x="1000"/>
        <item x="1064"/>
        <item x="1120"/>
        <item x="1003"/>
        <item x="972"/>
        <item x="1066"/>
        <item x="1048"/>
        <item x="1084"/>
        <item x="1327"/>
        <item x="1330"/>
        <item x="1606"/>
        <item x="1278"/>
        <item x="1167"/>
        <item x="347"/>
        <item x="1449"/>
        <item x="758"/>
        <item x="1314"/>
        <item x="1222"/>
        <item x="1207"/>
        <item x="733"/>
        <item x="1617"/>
        <item x="1620"/>
        <item x="73"/>
        <item x="443"/>
        <item x="62"/>
        <item x="512"/>
        <item x="186"/>
        <item x="211"/>
        <item x="447"/>
        <item x="1223"/>
        <item x="973"/>
        <item x="367"/>
        <item x="1516"/>
        <item x="382"/>
        <item x="1422"/>
        <item x="142"/>
        <item x="645"/>
        <item x="1433"/>
        <item x="979"/>
        <item x="987"/>
        <item x="1566"/>
        <item x="445"/>
        <item x="1582"/>
        <item x="1574"/>
        <item x="1561"/>
        <item x="853"/>
        <item x="397"/>
        <item x="769"/>
        <item x="555"/>
        <item x="1166"/>
        <item x="572"/>
        <item x="202"/>
        <item x="102"/>
        <item x="163"/>
        <item x="187"/>
        <item x="1621"/>
        <item x="569"/>
        <item x="570"/>
        <item x="704"/>
        <item x="1473"/>
        <item x="346"/>
        <item x="355"/>
        <item x="408"/>
        <item x="1526"/>
        <item x="802"/>
        <item x="316"/>
        <item x="104"/>
        <item x="708"/>
        <item x="4"/>
        <item x="175"/>
        <item x="1525"/>
        <item x="504"/>
        <item x="396"/>
        <item x="483"/>
        <item x="1434"/>
        <item x="244"/>
        <item x="508"/>
        <item x="786"/>
        <item x="1519"/>
        <item x="628"/>
        <item x="329"/>
        <item x="209"/>
        <item x="1474"/>
        <item x="29"/>
        <item x="551"/>
        <item x="553"/>
        <item x="627"/>
        <item x="1524"/>
        <item x="292"/>
        <item x="293"/>
        <item x="1627"/>
        <item x="501"/>
        <item x="295"/>
        <item x="774"/>
        <item x="75"/>
        <item x="1562"/>
        <item x="1543"/>
        <item x="524"/>
        <item x="502"/>
        <item x="532"/>
        <item x="1446"/>
        <item x="1483"/>
        <item x="1596"/>
        <item x="63"/>
        <item x="1601"/>
        <item x="1584"/>
        <item x="314"/>
        <item x="661"/>
        <item x="463"/>
        <item x="1359"/>
        <item x="1513"/>
        <item x="413"/>
        <item x="97"/>
        <item x="830"/>
        <item x="199"/>
        <item x="495"/>
        <item x="1521"/>
        <item x="655"/>
        <item x="1490"/>
        <item x="634"/>
        <item x="819"/>
        <item x="1479"/>
        <item x="1462"/>
        <item x="874"/>
        <item x="1134"/>
        <item x="1294"/>
        <item x="1356"/>
        <item x="872"/>
        <item x="1353"/>
        <item x="1360"/>
        <item x="1197"/>
        <item x="1177"/>
        <item x="1241"/>
        <item x="1272"/>
        <item x="1391"/>
        <item x="1036"/>
        <item x="1242"/>
        <item x="896"/>
        <item x="914"/>
        <item x="1235"/>
        <item x="897"/>
        <item x="30"/>
        <item x="218"/>
        <item x="1308"/>
        <item x="1311"/>
        <item x="1371"/>
        <item x="894"/>
        <item x="1220"/>
        <item x="879"/>
        <item x="1269"/>
        <item x="143"/>
        <item x="377"/>
        <item x="1388"/>
        <item x="699"/>
        <item x="1345"/>
        <item x="1378"/>
        <item x="1454"/>
        <item x="985"/>
        <item x="929"/>
        <item x="1550"/>
        <item x="1218"/>
        <item x="1058"/>
        <item x="372"/>
        <item x="988"/>
        <item x="946"/>
        <item x="1045"/>
        <item x="1053"/>
        <item x="1094"/>
        <item x="1063"/>
        <item x="1125"/>
        <item x="961"/>
        <item x="991"/>
        <item x="1014"/>
        <item x="963"/>
        <item x="955"/>
        <item x="1016"/>
        <item x="956"/>
        <item x="1068"/>
        <item x="1530"/>
        <item x="971"/>
        <item x="1079"/>
        <item x="1127"/>
        <item x="996"/>
        <item x="1080"/>
        <item x="1323"/>
        <item x="835"/>
        <item x="772"/>
        <item x="990"/>
        <item x="1322"/>
        <item x="831"/>
        <item x="801"/>
        <item x="697"/>
        <item x="1546"/>
        <item x="725"/>
        <item x="785"/>
        <item x="566"/>
        <item x="821"/>
        <item x="19"/>
        <item x="120"/>
        <item x="601"/>
        <item x="1148"/>
        <item x="818"/>
        <item x="28"/>
        <item x="859"/>
        <item x="109"/>
        <item x="737"/>
        <item x="761"/>
        <item x="825"/>
        <item x="712"/>
        <item x="492"/>
        <item x="640"/>
        <item x="92"/>
        <item x="93"/>
        <item x="817"/>
        <item x="820"/>
        <item x="789"/>
        <item x="499"/>
        <item x="132"/>
        <item x="1"/>
        <item x="762"/>
        <item x="1159"/>
        <item x="289"/>
        <item x="650"/>
        <item x="724"/>
        <item x="1540"/>
        <item x="491"/>
        <item x="486"/>
        <item x="158"/>
        <item x="641"/>
        <item x="630"/>
        <item x="554"/>
        <item x="1455"/>
        <item x="458"/>
        <item x="276"/>
        <item x="275"/>
        <item x="542"/>
        <item x="500"/>
        <item x="297"/>
        <item x="467"/>
        <item x="475"/>
        <item x="476"/>
        <item x="474"/>
        <item x="523"/>
        <item x="317"/>
        <item x="398"/>
        <item x="256"/>
        <item x="489"/>
        <item x="1205"/>
        <item x="1208"/>
        <item x="1387"/>
        <item x="998"/>
        <item x="905"/>
        <item x="1109"/>
        <item x="1369"/>
        <item x="1299"/>
        <item x="1265"/>
        <item x="1182"/>
        <item x="1227"/>
        <item x="1026"/>
        <item x="1025"/>
        <item x="1184"/>
        <item x="1337"/>
        <item x="1363"/>
        <item x="57"/>
        <item x="1226"/>
        <item x="369"/>
        <item x="1289"/>
        <item x="1532"/>
        <item x="1457"/>
        <item x="1491"/>
        <item x="1572"/>
        <item x="1565"/>
        <item x="1477"/>
        <item x="1602"/>
        <item x="1585"/>
        <item x="1576"/>
        <item x="1603"/>
        <item x="642"/>
        <item x="378"/>
        <item x="1029"/>
        <item x="1057"/>
        <item x="930"/>
        <item x="989"/>
        <item x="983"/>
        <item x="1081"/>
        <item x="833"/>
        <item x="270"/>
        <item x="1287"/>
        <item x="34"/>
        <item x="33"/>
        <item x="148"/>
        <item x="1505"/>
        <item x="415"/>
        <item x="790"/>
        <item x="173"/>
        <item x="546"/>
        <item x="151"/>
        <item x="1342"/>
        <item x="1028"/>
        <item x="1085"/>
        <item x="1249"/>
        <item x="1354"/>
        <item x="1258"/>
        <item x="1198"/>
        <item x="136"/>
        <item x="931"/>
        <item x="328"/>
        <item x="945"/>
        <item x="977"/>
        <item x="1123"/>
        <item x="50"/>
        <item x="778"/>
        <item x="891"/>
        <item x="1588"/>
        <item x="705"/>
        <item x="459"/>
        <item x="683"/>
        <item x="203"/>
        <item x="788"/>
        <item x="272"/>
        <item x="849"/>
        <item x="322"/>
        <item x="1506"/>
        <item x="339"/>
        <item x="260"/>
        <item x="1484"/>
        <item x="494"/>
        <item x="366"/>
        <item x="1343"/>
        <item x="1165"/>
        <item x="781"/>
        <item x="1034"/>
        <item x="1489"/>
        <item x="1598"/>
        <item x="625"/>
        <item x="626"/>
        <item x="536"/>
        <item x="1192"/>
        <item x="1185"/>
        <item x="298"/>
        <item x="729"/>
        <item x="371"/>
        <item x="648"/>
        <item x="164"/>
        <item x="982"/>
        <item x="308"/>
        <item x="816"/>
        <item x="38"/>
        <item x="168"/>
        <item x="1335"/>
        <item x="1020"/>
        <item x="577"/>
        <item x="427"/>
        <item x="807"/>
        <item x="759"/>
        <item x="792"/>
        <item x="323"/>
        <item x="340"/>
        <item x="348"/>
        <item x="675"/>
        <item x="39"/>
        <item x="1535"/>
        <item x="1426"/>
        <item x="184"/>
        <item x="796"/>
        <item x="1119"/>
        <item x="832"/>
        <item x="828"/>
        <item x="114"/>
        <item x="1174"/>
        <item x="1189"/>
        <item x="1206"/>
        <item x="1173"/>
        <item x="730"/>
        <item x="567"/>
        <item x="549"/>
        <item x="602"/>
        <item x="1076"/>
        <item x="1268"/>
        <item x="906"/>
        <item x="189"/>
        <item x="101"/>
        <item x="1630"/>
        <item x="638"/>
        <item x="179"/>
        <item x="469"/>
      </items>
    </pivotField>
    <pivotField showAll="0"/>
    <pivotField axis="axisPage" multipleItemSelectionAllowed="1" showAll="0">
      <items count="3">
        <item x="0"/>
        <item h="1" x="1"/>
        <item t="default"/>
      </items>
    </pivotField>
    <pivotField dataField="1" numFmtId="176" showAll="0"/>
  </pivotFields>
  <rowFields count="6">
    <field x="0"/>
    <field x="1"/>
    <field x="2"/>
    <field x="3"/>
    <field x="4"/>
    <field x="5"/>
  </rowFields>
  <rowItems count="129">
    <i>
      <x/>
      <x/>
      <x/>
      <x v="8"/>
      <x v="26"/>
      <x v="73"/>
    </i>
    <i r="4">
      <x v="56"/>
      <x v="97"/>
    </i>
    <i r="4">
      <x v="66"/>
      <x v="91"/>
    </i>
    <i r="3">
      <x v="13"/>
      <x v="18"/>
      <x v="65"/>
    </i>
    <i r="4">
      <x v="44"/>
      <x v="110"/>
    </i>
    <i r="4">
      <x v="62"/>
      <x v="12"/>
    </i>
    <i r="4">
      <x v="63"/>
      <x v="13"/>
    </i>
    <i r="4">
      <x v="67"/>
      <x v="59"/>
    </i>
    <i r="4">
      <x v="69"/>
      <x v="28"/>
    </i>
    <i r="4">
      <x v="76"/>
      <x v="37"/>
    </i>
    <i r="4">
      <x v="117"/>
      <x v="4"/>
    </i>
    <i r="3">
      <x v="30"/>
      <x v="39"/>
      <x v="67"/>
    </i>
    <i r="4">
      <x v="64"/>
      <x v="76"/>
    </i>
    <i r="4">
      <x v="113"/>
      <x v="118"/>
    </i>
    <i r="3">
      <x v="32"/>
      <x v="16"/>
      <x v="111"/>
    </i>
    <i r="4">
      <x v="38"/>
      <x v="115"/>
    </i>
    <i r="4">
      <x v="49"/>
      <x v="60"/>
    </i>
    <i r="4">
      <x v="81"/>
      <x v="70"/>
    </i>
    <i r="4">
      <x v="101"/>
      <x v="82"/>
    </i>
    <i r="4">
      <x v="102"/>
      <x v="120"/>
    </i>
    <i r="3">
      <x v="39"/>
      <x v="32"/>
      <x v="121"/>
    </i>
    <i r="4">
      <x v="34"/>
      <x v="1"/>
    </i>
    <i r="4">
      <x v="35"/>
      <x v="24"/>
    </i>
    <i r="4">
      <x v="71"/>
      <x v="47"/>
    </i>
    <i r="4">
      <x v="82"/>
      <x v="52"/>
    </i>
    <i r="4">
      <x v="89"/>
      <x v="20"/>
    </i>
    <i r="3">
      <x v="42"/>
      <x v="51"/>
      <x v="127"/>
    </i>
    <i r="4">
      <x v="54"/>
      <x v="23"/>
    </i>
    <i r="4">
      <x v="73"/>
      <x v="66"/>
    </i>
    <i r="4">
      <x v="77"/>
      <x v="102"/>
    </i>
    <i r="3">
      <x v="43"/>
      <x v="25"/>
      <x v="81"/>
    </i>
    <i r="2">
      <x v="1"/>
      <x v="11"/>
      <x v="98"/>
      <x v="18"/>
    </i>
    <i r="3">
      <x v="23"/>
      <x v="19"/>
      <x v="10"/>
    </i>
    <i r="3">
      <x v="24"/>
      <x v="45"/>
      <x v="56"/>
    </i>
    <i r="4">
      <x v="85"/>
      <x v="42"/>
    </i>
    <i r="4">
      <x v="94"/>
      <x v="40"/>
    </i>
    <i r="3">
      <x v="41"/>
      <x v="55"/>
      <x v="117"/>
    </i>
    <i r="4">
      <x v="99"/>
      <x v="35"/>
    </i>
    <i r="1">
      <x v="1"/>
      <x v="2"/>
      <x v="9"/>
      <x v="41"/>
      <x v="84"/>
    </i>
    <i r="3">
      <x v="31"/>
      <x v="83"/>
      <x v="87"/>
    </i>
    <i r="2">
      <x v="3"/>
      <x v="5"/>
      <x v="50"/>
      <x v="128"/>
    </i>
    <i r="3">
      <x v="7"/>
      <x v="30"/>
      <x v="100"/>
    </i>
    <i r="4">
      <x v="36"/>
      <x v="39"/>
    </i>
    <i r="3">
      <x v="26"/>
      <x v="42"/>
      <x v="53"/>
    </i>
    <i r="2">
      <x v="4"/>
      <x v="1"/>
      <x v="4"/>
      <x v="125"/>
    </i>
    <i r="4">
      <x v="5"/>
      <x v="27"/>
    </i>
    <i r="4">
      <x v="15"/>
      <x v="19"/>
    </i>
    <i r="4">
      <x v="40"/>
      <x v="88"/>
    </i>
    <i r="3">
      <x v="38"/>
      <x v="21"/>
      <x v="94"/>
    </i>
    <i r="4">
      <x v="68"/>
      <x v="36"/>
    </i>
    <i r="4">
      <x v="86"/>
      <x v="96"/>
    </i>
    <i r="4">
      <x v="108"/>
      <x v="61"/>
    </i>
    <i r="4">
      <x v="126"/>
      <x v="75"/>
    </i>
    <i r="2">
      <x v="5"/>
      <x v="6"/>
      <x v="27"/>
      <x v="119"/>
    </i>
    <i r="4">
      <x v="52"/>
      <x v="124"/>
    </i>
    <i r="4">
      <x v="87"/>
      <x v="54"/>
    </i>
    <i r="4">
      <x v="127"/>
      <x v="105"/>
    </i>
    <i r="3">
      <x v="18"/>
      <x v="3"/>
      <x v="109"/>
    </i>
    <i r="4">
      <x v="57"/>
      <x v="72"/>
    </i>
    <i r="4">
      <x v="91"/>
      <x v="106"/>
    </i>
    <i r="4">
      <x v="105"/>
      <x v="77"/>
    </i>
    <i r="4">
      <x v="112"/>
      <x v="85"/>
    </i>
    <i r="4">
      <x v="124"/>
      <x v="74"/>
    </i>
    <i r="4">
      <x v="125"/>
      <x v="9"/>
    </i>
    <i r="3">
      <x v="51"/>
      <x v="13"/>
      <x v="123"/>
    </i>
    <i r="4">
      <x v="14"/>
      <x v="113"/>
    </i>
    <i r="4">
      <x v="107"/>
      <x v="29"/>
    </i>
    <i r="4">
      <x v="122"/>
      <x v="2"/>
    </i>
    <i r="2">
      <x v="6"/>
      <x/>
      <x v="8"/>
      <x v="108"/>
    </i>
    <i r="4">
      <x v="109"/>
      <x v="69"/>
    </i>
    <i r="3">
      <x v="2"/>
      <x v="46"/>
      <x v="86"/>
    </i>
    <i r="4">
      <x v="65"/>
      <x v="44"/>
    </i>
    <i r="3">
      <x v="12"/>
      <x/>
      <x v="95"/>
    </i>
    <i r="4">
      <x v="11"/>
      <x v="17"/>
    </i>
    <i r="4">
      <x v="100"/>
      <x v="34"/>
    </i>
    <i r="3">
      <x v="14"/>
      <x v="75"/>
      <x v="78"/>
    </i>
    <i>
      <x v="1"/>
      <x v="2"/>
      <x v="7"/>
      <x v="22"/>
      <x v="88"/>
      <x v="21"/>
    </i>
    <i r="3">
      <x v="40"/>
      <x v="84"/>
      <x v="14"/>
    </i>
    <i r="4">
      <x v="104"/>
      <x v="15"/>
    </i>
    <i r="3">
      <x v="45"/>
      <x v="79"/>
      <x v="46"/>
    </i>
    <i r="3">
      <x v="47"/>
      <x v="119"/>
      <x v="90"/>
    </i>
    <i r="2">
      <x v="8"/>
      <x v="16"/>
      <x v="12"/>
      <x v="98"/>
    </i>
    <i r="4">
      <x v="103"/>
      <x v="22"/>
    </i>
    <i r="4">
      <x v="120"/>
      <x v="38"/>
    </i>
    <i r="3">
      <x v="19"/>
      <x v="9"/>
      <x v="99"/>
    </i>
    <i r="3">
      <x v="52"/>
      <x v="20"/>
      <x v="80"/>
    </i>
    <i r="3">
      <x v="54"/>
      <x v="28"/>
      <x v="116"/>
    </i>
    <i r="2">
      <x v="9"/>
      <x v="27"/>
      <x v="29"/>
      <x v="7"/>
    </i>
    <i r="3">
      <x v="44"/>
      <x v="72"/>
      <x v="26"/>
    </i>
    <i r="4">
      <x v="97"/>
      <x v="62"/>
    </i>
    <i r="3">
      <x v="53"/>
      <x v="48"/>
      <x v="107"/>
    </i>
    <i r="2">
      <x v="10"/>
      <x v="20"/>
      <x v="115"/>
      <x v="71"/>
    </i>
    <i r="4">
      <x v="128"/>
      <x v="3"/>
    </i>
    <i r="3">
      <x v="28"/>
      <x v="123"/>
      <x v="6"/>
    </i>
    <i r="3">
      <x v="37"/>
      <x v="37"/>
      <x v="64"/>
    </i>
    <i r="3">
      <x v="48"/>
      <x v="70"/>
      <x v="11"/>
    </i>
    <i r="2">
      <x v="11"/>
      <x v="4"/>
      <x v="7"/>
      <x v="114"/>
    </i>
    <i r="4">
      <x v="58"/>
      <x v="63"/>
    </i>
    <i r="3">
      <x v="29"/>
      <x v="53"/>
      <x v="103"/>
    </i>
    <i r="4">
      <x v="111"/>
      <x v="50"/>
    </i>
    <i r="3">
      <x v="36"/>
      <x v="43"/>
      <x v="49"/>
    </i>
    <i r="4">
      <x v="116"/>
      <x v="126"/>
    </i>
    <i r="2">
      <x v="12"/>
      <x v="25"/>
      <x v="23"/>
      <x v="83"/>
    </i>
    <i r="3">
      <x v="33"/>
      <x v="1"/>
      <x v="41"/>
    </i>
    <i r="1">
      <x v="3"/>
      <x v="13"/>
      <x v="10"/>
      <x v="10"/>
      <x v="104"/>
    </i>
    <i r="4">
      <x v="31"/>
      <x v="57"/>
    </i>
    <i r="4">
      <x v="121"/>
      <x v="33"/>
    </i>
    <i r="3">
      <x v="21"/>
      <x v="2"/>
      <x v="58"/>
    </i>
    <i r="4">
      <x v="17"/>
      <x v="45"/>
    </i>
    <i r="4">
      <x v="92"/>
      <x v="48"/>
    </i>
    <i r="4">
      <x v="114"/>
      <x v="8"/>
    </i>
    <i r="3">
      <x v="46"/>
      <x v="60"/>
      <x v="43"/>
    </i>
    <i r="4">
      <x v="78"/>
      <x v="112"/>
    </i>
    <i r="4">
      <x v="118"/>
      <x v="5"/>
    </i>
    <i r="2">
      <x v="14"/>
      <x v="17"/>
      <x v="33"/>
      <x v="122"/>
    </i>
    <i r="3">
      <x v="35"/>
      <x v="22"/>
      <x v="101"/>
    </i>
    <i r="4">
      <x v="61"/>
      <x v="30"/>
    </i>
    <i r="4">
      <x v="90"/>
      <x v="25"/>
    </i>
    <i r="2">
      <x v="15"/>
      <x v="3"/>
      <x v="110"/>
      <x v="51"/>
    </i>
    <i r="3">
      <x v="49"/>
      <x v="95"/>
      <x v="68"/>
    </i>
    <i r="2">
      <x v="16"/>
      <x v="34"/>
      <x v="6"/>
      <x v="55"/>
    </i>
    <i r="4">
      <x v="47"/>
      <x v="92"/>
    </i>
    <i r="4">
      <x v="59"/>
      <x v="79"/>
    </i>
    <i r="4">
      <x v="74"/>
      <x v="32"/>
    </i>
    <i r="4">
      <x v="93"/>
      <x v="31"/>
    </i>
    <i r="3">
      <x v="50"/>
      <x v="96"/>
      <x/>
    </i>
    <i r="3">
      <x v="55"/>
      <x v="24"/>
      <x v="16"/>
    </i>
    <i r="4">
      <x v="80"/>
      <x v="93"/>
    </i>
    <i t="grand">
      <x/>
    </i>
  </rowItems>
  <colItems count="1">
    <i/>
  </colItems>
  <pageFields count="8">
    <pageField fld="6" hier="-1"/>
    <pageField fld="11" hier="-1"/>
    <pageField fld="12" hier="-1"/>
    <pageField fld="16" hier="-1"/>
    <pageField fld="17" hier="-1"/>
    <pageField fld="18" hier="-1"/>
    <pageField fld="21" hier="-1"/>
    <pageField fld="10" hier="-1"/>
  </pageFields>
  <dataFields count="1">
    <dataField name="합계 : 값2" fld="22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46E01-2C5F-4AA1-B9DA-15EF3A911243}">
  <sheetPr>
    <tabColor rgb="FFFFFF00"/>
  </sheetPr>
  <dimension ref="B2:H130"/>
  <sheetViews>
    <sheetView workbookViewId="0">
      <selection activeCell="B2" sqref="B2"/>
    </sheetView>
  </sheetViews>
  <sheetFormatPr defaultRowHeight="12.75" x14ac:dyDescent="0.2"/>
  <cols>
    <col min="2" max="2" width="9.140625" style="6"/>
    <col min="3" max="4" width="12.28515625" bestFit="1" customWidth="1"/>
    <col min="5" max="6" width="11.140625" bestFit="1" customWidth="1"/>
    <col min="7" max="7" width="38.28515625" bestFit="1" customWidth="1"/>
    <col min="8" max="8" width="11.7109375" style="5" bestFit="1" customWidth="1"/>
  </cols>
  <sheetData>
    <row r="2" spans="2:8" ht="13.5" x14ac:dyDescent="0.2">
      <c r="B2" s="23" t="s">
        <v>3955</v>
      </c>
      <c r="C2" s="23" t="s">
        <v>3952</v>
      </c>
      <c r="D2" s="23" t="s">
        <v>3953</v>
      </c>
      <c r="E2" s="23" t="s">
        <v>3954</v>
      </c>
      <c r="F2" s="23" t="s">
        <v>5</v>
      </c>
      <c r="G2" s="23" t="s">
        <v>6</v>
      </c>
      <c r="H2" s="24" t="s">
        <v>3950</v>
      </c>
    </row>
    <row r="3" spans="2:8" ht="13.5" x14ac:dyDescent="0.2">
      <c r="B3" s="25">
        <v>1</v>
      </c>
      <c r="C3" s="49" t="s">
        <v>24</v>
      </c>
      <c r="D3" s="49" t="s">
        <v>25</v>
      </c>
      <c r="E3" s="21" t="s">
        <v>26</v>
      </c>
      <c r="F3" s="21" t="s">
        <v>27</v>
      </c>
      <c r="G3" s="21" t="s">
        <v>28</v>
      </c>
      <c r="H3" s="22">
        <v>231881000</v>
      </c>
    </row>
    <row r="4" spans="2:8" ht="13.5" x14ac:dyDescent="0.2">
      <c r="B4" s="26">
        <v>2</v>
      </c>
      <c r="C4" s="50"/>
      <c r="D4" s="50"/>
      <c r="E4" s="21" t="s">
        <v>26</v>
      </c>
      <c r="F4" s="21" t="s">
        <v>146</v>
      </c>
      <c r="G4" s="21" t="s">
        <v>147</v>
      </c>
      <c r="H4" s="22">
        <v>18239100</v>
      </c>
    </row>
    <row r="5" spans="2:8" ht="13.5" x14ac:dyDescent="0.2">
      <c r="B5" s="26">
        <v>3</v>
      </c>
      <c r="C5" s="50"/>
      <c r="D5" s="50"/>
      <c r="E5" s="21" t="s">
        <v>26</v>
      </c>
      <c r="F5" s="21" t="s">
        <v>154</v>
      </c>
      <c r="G5" s="21" t="s">
        <v>155</v>
      </c>
      <c r="H5" s="22">
        <v>128980200</v>
      </c>
    </row>
    <row r="6" spans="2:8" ht="13.5" x14ac:dyDescent="0.2">
      <c r="B6" s="25">
        <v>4</v>
      </c>
      <c r="C6" s="50"/>
      <c r="D6" s="50"/>
      <c r="E6" s="21" t="s">
        <v>208</v>
      </c>
      <c r="F6" s="21" t="s">
        <v>209</v>
      </c>
      <c r="G6" s="21" t="s">
        <v>210</v>
      </c>
      <c r="H6" s="22">
        <v>66330200</v>
      </c>
    </row>
    <row r="7" spans="2:8" ht="13.5" x14ac:dyDescent="0.2">
      <c r="B7" s="26">
        <v>5</v>
      </c>
      <c r="C7" s="50"/>
      <c r="D7" s="50"/>
      <c r="E7" s="21" t="s">
        <v>208</v>
      </c>
      <c r="F7" s="21" t="s">
        <v>279</v>
      </c>
      <c r="G7" s="21" t="s">
        <v>280</v>
      </c>
      <c r="H7" s="22">
        <v>26651400</v>
      </c>
    </row>
    <row r="8" spans="2:8" ht="13.5" x14ac:dyDescent="0.2">
      <c r="B8" s="26">
        <v>6</v>
      </c>
      <c r="C8" s="50"/>
      <c r="D8" s="50"/>
      <c r="E8" s="21" t="s">
        <v>208</v>
      </c>
      <c r="F8" s="21" t="s">
        <v>290</v>
      </c>
      <c r="G8" s="21" t="s">
        <v>291</v>
      </c>
      <c r="H8" s="22">
        <v>91098600</v>
      </c>
    </row>
    <row r="9" spans="2:8" ht="13.5" x14ac:dyDescent="0.2">
      <c r="B9" s="25">
        <v>7</v>
      </c>
      <c r="C9" s="50"/>
      <c r="D9" s="50"/>
      <c r="E9" s="21" t="s">
        <v>208</v>
      </c>
      <c r="F9" s="21" t="s">
        <v>330</v>
      </c>
      <c r="G9" s="21" t="s">
        <v>331</v>
      </c>
      <c r="H9" s="22">
        <v>22956600</v>
      </c>
    </row>
    <row r="10" spans="2:8" ht="13.5" x14ac:dyDescent="0.2">
      <c r="B10" s="26">
        <v>8</v>
      </c>
      <c r="C10" s="50"/>
      <c r="D10" s="50"/>
      <c r="E10" s="21" t="s">
        <v>208</v>
      </c>
      <c r="F10" s="21" t="s">
        <v>347</v>
      </c>
      <c r="G10" s="21" t="s">
        <v>348</v>
      </c>
      <c r="H10" s="22">
        <v>23191575</v>
      </c>
    </row>
    <row r="11" spans="2:8" ht="13.5" x14ac:dyDescent="0.2">
      <c r="B11" s="26">
        <v>9</v>
      </c>
      <c r="C11" s="50"/>
      <c r="D11" s="50"/>
      <c r="E11" s="21" t="s">
        <v>208</v>
      </c>
      <c r="F11" s="21" t="s">
        <v>368</v>
      </c>
      <c r="G11" s="21" t="s">
        <v>369</v>
      </c>
      <c r="H11" s="22">
        <v>84030600</v>
      </c>
    </row>
    <row r="12" spans="2:8" ht="13.5" x14ac:dyDescent="0.2">
      <c r="B12" s="25">
        <v>10</v>
      </c>
      <c r="C12" s="50"/>
      <c r="D12" s="50"/>
      <c r="E12" s="21" t="s">
        <v>208</v>
      </c>
      <c r="F12" s="21" t="s">
        <v>426</v>
      </c>
      <c r="G12" s="21" t="s">
        <v>427</v>
      </c>
      <c r="H12" s="22">
        <v>3188600</v>
      </c>
    </row>
    <row r="13" spans="2:8" ht="13.5" x14ac:dyDescent="0.2">
      <c r="B13" s="26">
        <v>11</v>
      </c>
      <c r="C13" s="50"/>
      <c r="D13" s="50"/>
      <c r="E13" s="21" t="s">
        <v>208</v>
      </c>
      <c r="F13" s="21" t="s">
        <v>440</v>
      </c>
      <c r="G13" s="21" t="s">
        <v>441</v>
      </c>
      <c r="H13" s="22">
        <v>20319675</v>
      </c>
    </row>
    <row r="14" spans="2:8" ht="13.5" x14ac:dyDescent="0.2">
      <c r="B14" s="26">
        <v>12</v>
      </c>
      <c r="C14" s="50"/>
      <c r="D14" s="50"/>
      <c r="E14" s="21" t="s">
        <v>454</v>
      </c>
      <c r="F14" s="21" t="s">
        <v>455</v>
      </c>
      <c r="G14" s="21" t="s">
        <v>456</v>
      </c>
      <c r="H14" s="22">
        <v>58379750</v>
      </c>
    </row>
    <row r="15" spans="2:8" ht="13.5" x14ac:dyDescent="0.2">
      <c r="B15" s="25">
        <v>13</v>
      </c>
      <c r="C15" s="50"/>
      <c r="D15" s="50"/>
      <c r="E15" s="21" t="s">
        <v>454</v>
      </c>
      <c r="F15" s="21" t="s">
        <v>481</v>
      </c>
      <c r="G15" s="21" t="s">
        <v>482</v>
      </c>
      <c r="H15" s="22">
        <v>33941800</v>
      </c>
    </row>
    <row r="16" spans="2:8" ht="13.5" x14ac:dyDescent="0.2">
      <c r="B16" s="26">
        <v>14</v>
      </c>
      <c r="C16" s="50"/>
      <c r="D16" s="50"/>
      <c r="E16" s="21" t="s">
        <v>454</v>
      </c>
      <c r="F16" s="21" t="s">
        <v>508</v>
      </c>
      <c r="G16" s="21" t="s">
        <v>509</v>
      </c>
      <c r="H16" s="22">
        <v>88522495</v>
      </c>
    </row>
    <row r="17" spans="2:8" ht="13.5" x14ac:dyDescent="0.2">
      <c r="B17" s="26">
        <v>15</v>
      </c>
      <c r="C17" s="50"/>
      <c r="D17" s="50"/>
      <c r="E17" s="21" t="s">
        <v>581</v>
      </c>
      <c r="F17" s="21" t="s">
        <v>582</v>
      </c>
      <c r="G17" s="21" t="s">
        <v>583</v>
      </c>
      <c r="H17" s="22">
        <v>12785550</v>
      </c>
    </row>
    <row r="18" spans="2:8" ht="13.5" x14ac:dyDescent="0.2">
      <c r="B18" s="25">
        <v>16</v>
      </c>
      <c r="C18" s="50"/>
      <c r="D18" s="50"/>
      <c r="E18" s="21" t="s">
        <v>581</v>
      </c>
      <c r="F18" s="21" t="s">
        <v>594</v>
      </c>
      <c r="G18" s="21" t="s">
        <v>595</v>
      </c>
      <c r="H18" s="22">
        <v>34466200</v>
      </c>
    </row>
    <row r="19" spans="2:8" ht="13.5" x14ac:dyDescent="0.2">
      <c r="B19" s="26">
        <v>17</v>
      </c>
      <c r="C19" s="50"/>
      <c r="D19" s="50"/>
      <c r="E19" s="21" t="s">
        <v>581</v>
      </c>
      <c r="F19" s="21" t="s">
        <v>606</v>
      </c>
      <c r="G19" s="21" t="s">
        <v>607</v>
      </c>
      <c r="H19" s="22">
        <v>80077500</v>
      </c>
    </row>
    <row r="20" spans="2:8" ht="13.5" x14ac:dyDescent="0.2">
      <c r="B20" s="26">
        <v>18</v>
      </c>
      <c r="C20" s="50"/>
      <c r="D20" s="50"/>
      <c r="E20" s="21" t="s">
        <v>581</v>
      </c>
      <c r="F20" s="21" t="s">
        <v>637</v>
      </c>
      <c r="G20" s="21" t="s">
        <v>638</v>
      </c>
      <c r="H20" s="22">
        <v>8732600</v>
      </c>
    </row>
    <row r="21" spans="2:8" ht="13.5" x14ac:dyDescent="0.2">
      <c r="B21" s="25">
        <v>19</v>
      </c>
      <c r="C21" s="50"/>
      <c r="D21" s="50"/>
      <c r="E21" s="21" t="s">
        <v>581</v>
      </c>
      <c r="F21" s="21" t="s">
        <v>643</v>
      </c>
      <c r="G21" s="21" t="s">
        <v>644</v>
      </c>
      <c r="H21" s="22">
        <v>12337000</v>
      </c>
    </row>
    <row r="22" spans="2:8" ht="13.5" x14ac:dyDescent="0.2">
      <c r="B22" s="26">
        <v>20</v>
      </c>
      <c r="C22" s="50"/>
      <c r="D22" s="50"/>
      <c r="E22" s="21" t="s">
        <v>581</v>
      </c>
      <c r="F22" s="21" t="s">
        <v>653</v>
      </c>
      <c r="G22" s="21" t="s">
        <v>654</v>
      </c>
      <c r="H22" s="22">
        <v>59006200</v>
      </c>
    </row>
    <row r="23" spans="2:8" ht="13.5" x14ac:dyDescent="0.2">
      <c r="B23" s="26">
        <v>21</v>
      </c>
      <c r="C23" s="50"/>
      <c r="D23" s="50"/>
      <c r="E23" s="21" t="s">
        <v>671</v>
      </c>
      <c r="F23" s="21" t="s">
        <v>672</v>
      </c>
      <c r="G23" s="21" t="s">
        <v>673</v>
      </c>
      <c r="H23" s="22">
        <v>39244950</v>
      </c>
    </row>
    <row r="24" spans="2:8" ht="13.5" x14ac:dyDescent="0.2">
      <c r="B24" s="25">
        <v>22</v>
      </c>
      <c r="C24" s="50"/>
      <c r="D24" s="50"/>
      <c r="E24" s="21" t="s">
        <v>671</v>
      </c>
      <c r="F24" s="21" t="s">
        <v>707</v>
      </c>
      <c r="G24" s="21" t="s">
        <v>708</v>
      </c>
      <c r="H24" s="22">
        <v>9178900</v>
      </c>
    </row>
    <row r="25" spans="2:8" ht="13.5" x14ac:dyDescent="0.2">
      <c r="B25" s="26">
        <v>23</v>
      </c>
      <c r="C25" s="50"/>
      <c r="D25" s="50"/>
      <c r="E25" s="21" t="s">
        <v>671</v>
      </c>
      <c r="F25" s="21" t="s">
        <v>721</v>
      </c>
      <c r="G25" s="21" t="s">
        <v>722</v>
      </c>
      <c r="H25" s="22">
        <v>21197700</v>
      </c>
    </row>
    <row r="26" spans="2:8" ht="13.5" x14ac:dyDescent="0.2">
      <c r="B26" s="26">
        <v>24</v>
      </c>
      <c r="C26" s="50"/>
      <c r="D26" s="50"/>
      <c r="E26" s="21" t="s">
        <v>671</v>
      </c>
      <c r="F26" s="21" t="s">
        <v>735</v>
      </c>
      <c r="G26" s="21" t="s">
        <v>736</v>
      </c>
      <c r="H26" s="22">
        <v>113832000</v>
      </c>
    </row>
    <row r="27" spans="2:8" ht="13.5" x14ac:dyDescent="0.2">
      <c r="B27" s="25">
        <v>25</v>
      </c>
      <c r="C27" s="50"/>
      <c r="D27" s="50"/>
      <c r="E27" s="21" t="s">
        <v>671</v>
      </c>
      <c r="F27" s="21" t="s">
        <v>749</v>
      </c>
      <c r="G27" s="21" t="s">
        <v>750</v>
      </c>
      <c r="H27" s="22">
        <v>72665700</v>
      </c>
    </row>
    <row r="28" spans="2:8" ht="13.5" x14ac:dyDescent="0.2">
      <c r="B28" s="26">
        <v>26</v>
      </c>
      <c r="C28" s="50"/>
      <c r="D28" s="50"/>
      <c r="E28" s="21" t="s">
        <v>671</v>
      </c>
      <c r="F28" s="21" t="s">
        <v>786</v>
      </c>
      <c r="G28" s="21" t="s">
        <v>787</v>
      </c>
      <c r="H28" s="22">
        <v>11356000</v>
      </c>
    </row>
    <row r="29" spans="2:8" ht="13.5" x14ac:dyDescent="0.2">
      <c r="B29" s="26">
        <v>27</v>
      </c>
      <c r="C29" s="50"/>
      <c r="D29" s="50"/>
      <c r="E29" s="21" t="s">
        <v>797</v>
      </c>
      <c r="F29" s="21" t="s">
        <v>798</v>
      </c>
      <c r="G29" s="21" t="s">
        <v>799</v>
      </c>
      <c r="H29" s="22">
        <v>17307600</v>
      </c>
    </row>
    <row r="30" spans="2:8" ht="13.5" x14ac:dyDescent="0.2">
      <c r="B30" s="25">
        <v>28</v>
      </c>
      <c r="C30" s="50"/>
      <c r="D30" s="50"/>
      <c r="E30" s="21" t="s">
        <v>797</v>
      </c>
      <c r="F30" s="21" t="s">
        <v>808</v>
      </c>
      <c r="G30" s="21" t="s">
        <v>809</v>
      </c>
      <c r="H30" s="22">
        <v>15221200</v>
      </c>
    </row>
    <row r="31" spans="2:8" ht="13.5" x14ac:dyDescent="0.2">
      <c r="B31" s="26">
        <v>29</v>
      </c>
      <c r="C31" s="50"/>
      <c r="D31" s="50"/>
      <c r="E31" s="21" t="s">
        <v>797</v>
      </c>
      <c r="F31" s="21" t="s">
        <v>818</v>
      </c>
      <c r="G31" s="21" t="s">
        <v>819</v>
      </c>
      <c r="H31" s="22">
        <v>47635600</v>
      </c>
    </row>
    <row r="32" spans="2:8" ht="13.5" x14ac:dyDescent="0.2">
      <c r="B32" s="26">
        <v>30</v>
      </c>
      <c r="C32" s="50"/>
      <c r="D32" s="50"/>
      <c r="E32" s="21" t="s">
        <v>797</v>
      </c>
      <c r="F32" s="21" t="s">
        <v>832</v>
      </c>
      <c r="G32" s="21" t="s">
        <v>833</v>
      </c>
      <c r="H32" s="22">
        <v>89736350</v>
      </c>
    </row>
    <row r="33" spans="2:8" ht="13.5" x14ac:dyDescent="0.2">
      <c r="B33" s="25">
        <v>31</v>
      </c>
      <c r="C33" s="50"/>
      <c r="D33" s="51"/>
      <c r="E33" s="21" t="s">
        <v>893</v>
      </c>
      <c r="F33" s="21" t="s">
        <v>894</v>
      </c>
      <c r="G33" s="21" t="s">
        <v>895</v>
      </c>
      <c r="H33" s="22">
        <v>172974700</v>
      </c>
    </row>
    <row r="34" spans="2:8" ht="13.5" x14ac:dyDescent="0.2">
      <c r="B34" s="26">
        <v>32</v>
      </c>
      <c r="C34" s="50"/>
      <c r="D34" s="49" t="s">
        <v>978</v>
      </c>
      <c r="E34" s="21" t="s">
        <v>979</v>
      </c>
      <c r="F34" s="21" t="s">
        <v>980</v>
      </c>
      <c r="G34" s="21" t="s">
        <v>981</v>
      </c>
      <c r="H34" s="22">
        <v>50811600</v>
      </c>
    </row>
    <row r="35" spans="2:8" ht="13.5" x14ac:dyDescent="0.2">
      <c r="B35" s="26">
        <v>33</v>
      </c>
      <c r="C35" s="50"/>
      <c r="D35" s="50"/>
      <c r="E35" s="21" t="s">
        <v>996</v>
      </c>
      <c r="F35" s="21" t="s">
        <v>997</v>
      </c>
      <c r="G35" s="21" t="s">
        <v>998</v>
      </c>
      <c r="H35" s="22">
        <v>21195750</v>
      </c>
    </row>
    <row r="36" spans="2:8" ht="13.5" x14ac:dyDescent="0.2">
      <c r="B36" s="25">
        <v>34</v>
      </c>
      <c r="C36" s="50"/>
      <c r="D36" s="50"/>
      <c r="E36" s="21" t="s">
        <v>1006</v>
      </c>
      <c r="F36" s="21" t="s">
        <v>1007</v>
      </c>
      <c r="G36" s="21" t="s">
        <v>1008</v>
      </c>
      <c r="H36" s="22">
        <v>20765250</v>
      </c>
    </row>
    <row r="37" spans="2:8" ht="13.5" x14ac:dyDescent="0.2">
      <c r="B37" s="26">
        <v>35</v>
      </c>
      <c r="C37" s="50"/>
      <c r="D37" s="50"/>
      <c r="E37" s="21" t="s">
        <v>1006</v>
      </c>
      <c r="F37" s="21" t="s">
        <v>1015</v>
      </c>
      <c r="G37" s="21" t="s">
        <v>1016</v>
      </c>
      <c r="H37" s="22">
        <v>18543750</v>
      </c>
    </row>
    <row r="38" spans="2:8" ht="13.5" x14ac:dyDescent="0.2">
      <c r="B38" s="26">
        <v>36</v>
      </c>
      <c r="C38" s="50"/>
      <c r="D38" s="50"/>
      <c r="E38" s="21" t="s">
        <v>1006</v>
      </c>
      <c r="F38" s="21" t="s">
        <v>1035</v>
      </c>
      <c r="G38" s="21" t="s">
        <v>1036</v>
      </c>
      <c r="H38" s="22">
        <v>20753100</v>
      </c>
    </row>
    <row r="39" spans="2:8" ht="13.5" x14ac:dyDescent="0.2">
      <c r="B39" s="25">
        <v>37</v>
      </c>
      <c r="C39" s="50"/>
      <c r="D39" s="50"/>
      <c r="E39" s="21" t="s">
        <v>1041</v>
      </c>
      <c r="F39" s="21" t="s">
        <v>1042</v>
      </c>
      <c r="G39" s="21" t="s">
        <v>1043</v>
      </c>
      <c r="H39" s="22">
        <v>54074400</v>
      </c>
    </row>
    <row r="40" spans="2:8" ht="13.5" x14ac:dyDescent="0.2">
      <c r="B40" s="26">
        <v>38</v>
      </c>
      <c r="C40" s="51"/>
      <c r="D40" s="51"/>
      <c r="E40" s="21" t="s">
        <v>1041</v>
      </c>
      <c r="F40" s="21" t="s">
        <v>1084</v>
      </c>
      <c r="G40" s="21" t="s">
        <v>1085</v>
      </c>
      <c r="H40" s="22">
        <v>47555390</v>
      </c>
    </row>
    <row r="41" spans="2:8" ht="13.5" x14ac:dyDescent="0.2">
      <c r="B41" s="26">
        <v>39</v>
      </c>
      <c r="C41" s="49" t="s">
        <v>1108</v>
      </c>
      <c r="D41" s="49" t="s">
        <v>1725</v>
      </c>
      <c r="E41" s="21" t="s">
        <v>1726</v>
      </c>
      <c r="F41" s="21" t="s">
        <v>1727</v>
      </c>
      <c r="G41" s="21" t="s">
        <v>1728</v>
      </c>
      <c r="H41" s="22">
        <v>119720275</v>
      </c>
    </row>
    <row r="42" spans="2:8" ht="13.5" x14ac:dyDescent="0.2">
      <c r="B42" s="25">
        <v>40</v>
      </c>
      <c r="C42" s="50"/>
      <c r="D42" s="51"/>
      <c r="E42" s="21" t="s">
        <v>1759</v>
      </c>
      <c r="F42" s="21" t="s">
        <v>1760</v>
      </c>
      <c r="G42" s="21" t="s">
        <v>1761</v>
      </c>
      <c r="H42" s="22">
        <v>55590215</v>
      </c>
    </row>
    <row r="43" spans="2:8" ht="13.5" x14ac:dyDescent="0.2">
      <c r="B43" s="26">
        <v>41</v>
      </c>
      <c r="C43" s="50"/>
      <c r="D43" s="49" t="s">
        <v>1808</v>
      </c>
      <c r="E43" s="21" t="s">
        <v>1809</v>
      </c>
      <c r="F43" s="21" t="s">
        <v>1810</v>
      </c>
      <c r="G43" s="21" t="s">
        <v>1811</v>
      </c>
      <c r="H43" s="22">
        <v>109001200</v>
      </c>
    </row>
    <row r="44" spans="2:8" ht="13.5" x14ac:dyDescent="0.2">
      <c r="B44" s="26">
        <v>42</v>
      </c>
      <c r="C44" s="50"/>
      <c r="D44" s="50"/>
      <c r="E44" s="21" t="s">
        <v>1832</v>
      </c>
      <c r="F44" s="21" t="s">
        <v>1833</v>
      </c>
      <c r="G44" s="21" t="s">
        <v>1834</v>
      </c>
      <c r="H44" s="22">
        <v>36696200</v>
      </c>
    </row>
    <row r="45" spans="2:8" ht="13.5" x14ac:dyDescent="0.2">
      <c r="B45" s="25">
        <v>43</v>
      </c>
      <c r="C45" s="50"/>
      <c r="D45" s="50"/>
      <c r="E45" s="21" t="s">
        <v>1832</v>
      </c>
      <c r="F45" s="21" t="s">
        <v>1848</v>
      </c>
      <c r="G45" s="21" t="s">
        <v>1849</v>
      </c>
      <c r="H45" s="22">
        <v>57359100</v>
      </c>
    </row>
    <row r="46" spans="2:8" ht="13.5" x14ac:dyDescent="0.2">
      <c r="B46" s="26">
        <v>44</v>
      </c>
      <c r="C46" s="50"/>
      <c r="D46" s="51"/>
      <c r="E46" s="21" t="s">
        <v>1872</v>
      </c>
      <c r="F46" s="21" t="s">
        <v>1873</v>
      </c>
      <c r="G46" s="21" t="s">
        <v>1874</v>
      </c>
      <c r="H46" s="22">
        <v>35279900</v>
      </c>
    </row>
    <row r="47" spans="2:8" ht="13.5" x14ac:dyDescent="0.2">
      <c r="B47" s="26">
        <v>45</v>
      </c>
      <c r="C47" s="50"/>
      <c r="D47" s="49" t="s">
        <v>1893</v>
      </c>
      <c r="E47" s="21" t="s">
        <v>1894</v>
      </c>
      <c r="F47" s="21" t="s">
        <v>1895</v>
      </c>
      <c r="G47" s="21" t="s">
        <v>1896</v>
      </c>
      <c r="H47" s="22">
        <v>3090600</v>
      </c>
    </row>
    <row r="48" spans="2:8" ht="13.5" x14ac:dyDescent="0.2">
      <c r="B48" s="25">
        <v>46</v>
      </c>
      <c r="C48" s="50"/>
      <c r="D48" s="50"/>
      <c r="E48" s="21" t="s">
        <v>1894</v>
      </c>
      <c r="F48" s="21" t="s">
        <v>1899</v>
      </c>
      <c r="G48" s="21" t="s">
        <v>1900</v>
      </c>
      <c r="H48" s="22">
        <v>110339875</v>
      </c>
    </row>
    <row r="49" spans="2:8" ht="13.5" x14ac:dyDescent="0.2">
      <c r="B49" s="26">
        <v>47</v>
      </c>
      <c r="C49" s="50"/>
      <c r="D49" s="50"/>
      <c r="E49" s="21" t="s">
        <v>1894</v>
      </c>
      <c r="F49" s="21" t="s">
        <v>1936</v>
      </c>
      <c r="G49" s="21" t="s">
        <v>1937</v>
      </c>
      <c r="H49" s="22">
        <v>3873000</v>
      </c>
    </row>
    <row r="50" spans="2:8" ht="13.5" x14ac:dyDescent="0.2">
      <c r="B50" s="26">
        <v>48</v>
      </c>
      <c r="C50" s="50"/>
      <c r="D50" s="50"/>
      <c r="E50" s="21" t="s">
        <v>1894</v>
      </c>
      <c r="F50" s="21" t="s">
        <v>1940</v>
      </c>
      <c r="G50" s="21" t="s">
        <v>1941</v>
      </c>
      <c r="H50" s="22">
        <v>35260400</v>
      </c>
    </row>
    <row r="51" spans="2:8" ht="13.5" x14ac:dyDescent="0.2">
      <c r="B51" s="25">
        <v>49</v>
      </c>
      <c r="C51" s="50"/>
      <c r="D51" s="50"/>
      <c r="E51" s="21" t="s">
        <v>1962</v>
      </c>
      <c r="F51" s="21" t="s">
        <v>1963</v>
      </c>
      <c r="G51" s="21" t="s">
        <v>1964</v>
      </c>
      <c r="H51" s="22">
        <v>99140950</v>
      </c>
    </row>
    <row r="52" spans="2:8" ht="13.5" x14ac:dyDescent="0.2">
      <c r="B52" s="26">
        <v>50</v>
      </c>
      <c r="C52" s="50"/>
      <c r="D52" s="50"/>
      <c r="E52" s="21" t="s">
        <v>1962</v>
      </c>
      <c r="F52" s="21" t="s">
        <v>1998</v>
      </c>
      <c r="G52" s="21" t="s">
        <v>1999</v>
      </c>
      <c r="H52" s="22">
        <v>24380150</v>
      </c>
    </row>
    <row r="53" spans="2:8" ht="13.5" x14ac:dyDescent="0.2">
      <c r="B53" s="26">
        <v>51</v>
      </c>
      <c r="C53" s="50"/>
      <c r="D53" s="50"/>
      <c r="E53" s="21" t="s">
        <v>1962</v>
      </c>
      <c r="F53" s="21" t="s">
        <v>2028</v>
      </c>
      <c r="G53" s="21" t="s">
        <v>2029</v>
      </c>
      <c r="H53" s="22">
        <v>18739125</v>
      </c>
    </row>
    <row r="54" spans="2:8" ht="13.5" x14ac:dyDescent="0.2">
      <c r="B54" s="25">
        <v>52</v>
      </c>
      <c r="C54" s="50"/>
      <c r="D54" s="50"/>
      <c r="E54" s="21" t="s">
        <v>1962</v>
      </c>
      <c r="F54" s="21" t="s">
        <v>2035</v>
      </c>
      <c r="G54" s="21" t="s">
        <v>2036</v>
      </c>
      <c r="H54" s="22">
        <v>83565600</v>
      </c>
    </row>
    <row r="55" spans="2:8" ht="13.5" x14ac:dyDescent="0.2">
      <c r="B55" s="26">
        <v>53</v>
      </c>
      <c r="C55" s="50"/>
      <c r="D55" s="51"/>
      <c r="E55" s="21" t="s">
        <v>1962</v>
      </c>
      <c r="F55" s="21" t="s">
        <v>2079</v>
      </c>
      <c r="G55" s="21" t="s">
        <v>2080</v>
      </c>
      <c r="H55" s="22">
        <v>41730800</v>
      </c>
    </row>
    <row r="56" spans="2:8" ht="13.5" x14ac:dyDescent="0.2">
      <c r="B56" s="26">
        <v>54</v>
      </c>
      <c r="C56" s="50"/>
      <c r="D56" s="49" t="s">
        <v>1109</v>
      </c>
      <c r="E56" s="21" t="s">
        <v>1110</v>
      </c>
      <c r="F56" s="21" t="s">
        <v>1111</v>
      </c>
      <c r="G56" s="21" t="s">
        <v>1112</v>
      </c>
      <c r="H56" s="22">
        <v>81213625</v>
      </c>
    </row>
    <row r="57" spans="2:8" ht="13.5" x14ac:dyDescent="0.2">
      <c r="B57" s="25">
        <v>55</v>
      </c>
      <c r="C57" s="50"/>
      <c r="D57" s="50"/>
      <c r="E57" s="21" t="s">
        <v>1110</v>
      </c>
      <c r="F57" s="21" t="s">
        <v>1131</v>
      </c>
      <c r="G57" s="21" t="s">
        <v>1132</v>
      </c>
      <c r="H57" s="22">
        <v>85981100</v>
      </c>
    </row>
    <row r="58" spans="2:8" ht="13.5" x14ac:dyDescent="0.2">
      <c r="B58" s="26">
        <v>56</v>
      </c>
      <c r="C58" s="50"/>
      <c r="D58" s="50"/>
      <c r="E58" s="21" t="s">
        <v>1110</v>
      </c>
      <c r="F58" s="21" t="s">
        <v>1192</v>
      </c>
      <c r="G58" s="21" t="s">
        <v>1193</v>
      </c>
      <c r="H58" s="22">
        <v>12825000</v>
      </c>
    </row>
    <row r="59" spans="2:8" ht="13.5" x14ac:dyDescent="0.2">
      <c r="B59" s="26">
        <v>57</v>
      </c>
      <c r="C59" s="50"/>
      <c r="D59" s="50"/>
      <c r="E59" s="21" t="s">
        <v>1110</v>
      </c>
      <c r="F59" s="21" t="s">
        <v>1198</v>
      </c>
      <c r="G59" s="21" t="s">
        <v>1199</v>
      </c>
      <c r="H59" s="22">
        <v>108574750</v>
      </c>
    </row>
    <row r="60" spans="2:8" ht="13.5" x14ac:dyDescent="0.2">
      <c r="B60" s="25">
        <v>58</v>
      </c>
      <c r="C60" s="50"/>
      <c r="D60" s="50"/>
      <c r="E60" s="21" t="s">
        <v>1234</v>
      </c>
      <c r="F60" s="21" t="s">
        <v>1235</v>
      </c>
      <c r="G60" s="21" t="s">
        <v>1236</v>
      </c>
      <c r="H60" s="22">
        <v>117995610</v>
      </c>
    </row>
    <row r="61" spans="2:8" ht="13.5" x14ac:dyDescent="0.2">
      <c r="B61" s="26">
        <v>59</v>
      </c>
      <c r="C61" s="50"/>
      <c r="D61" s="50"/>
      <c r="E61" s="21" t="s">
        <v>1234</v>
      </c>
      <c r="F61" s="21" t="s">
        <v>1279</v>
      </c>
      <c r="G61" s="21" t="s">
        <v>1280</v>
      </c>
      <c r="H61" s="22">
        <v>21685300</v>
      </c>
    </row>
    <row r="62" spans="2:8" ht="13.5" x14ac:dyDescent="0.2">
      <c r="B62" s="26">
        <v>60</v>
      </c>
      <c r="C62" s="50"/>
      <c r="D62" s="50"/>
      <c r="E62" s="21" t="s">
        <v>1234</v>
      </c>
      <c r="F62" s="21" t="s">
        <v>1291</v>
      </c>
      <c r="G62" s="21" t="s">
        <v>1292</v>
      </c>
      <c r="H62" s="22">
        <v>13729150</v>
      </c>
    </row>
    <row r="63" spans="2:8" ht="13.5" x14ac:dyDescent="0.2">
      <c r="B63" s="25">
        <v>61</v>
      </c>
      <c r="C63" s="50"/>
      <c r="D63" s="50"/>
      <c r="E63" s="21" t="s">
        <v>1234</v>
      </c>
      <c r="F63" s="21" t="s">
        <v>1305</v>
      </c>
      <c r="G63" s="21" t="s">
        <v>1306</v>
      </c>
      <c r="H63" s="22">
        <v>35310300</v>
      </c>
    </row>
    <row r="64" spans="2:8" ht="13.5" x14ac:dyDescent="0.2">
      <c r="B64" s="26">
        <v>62</v>
      </c>
      <c r="C64" s="50"/>
      <c r="D64" s="50"/>
      <c r="E64" s="21" t="s">
        <v>1234</v>
      </c>
      <c r="F64" s="21" t="s">
        <v>1327</v>
      </c>
      <c r="G64" s="21" t="s">
        <v>1328</v>
      </c>
      <c r="H64" s="22">
        <v>31178350</v>
      </c>
    </row>
    <row r="65" spans="2:8" ht="13.5" x14ac:dyDescent="0.2">
      <c r="B65" s="26">
        <v>63</v>
      </c>
      <c r="C65" s="50"/>
      <c r="D65" s="50"/>
      <c r="E65" s="21" t="s">
        <v>1234</v>
      </c>
      <c r="F65" s="21" t="s">
        <v>1346</v>
      </c>
      <c r="G65" s="21" t="s">
        <v>1347</v>
      </c>
      <c r="H65" s="22">
        <v>50976500</v>
      </c>
    </row>
    <row r="66" spans="2:8" ht="13.5" x14ac:dyDescent="0.2">
      <c r="B66" s="25">
        <v>64</v>
      </c>
      <c r="C66" s="50"/>
      <c r="D66" s="50"/>
      <c r="E66" s="21" t="s">
        <v>1234</v>
      </c>
      <c r="F66" s="21" t="s">
        <v>1385</v>
      </c>
      <c r="G66" s="21" t="s">
        <v>1386</v>
      </c>
      <c r="H66" s="22">
        <v>17596800</v>
      </c>
    </row>
    <row r="67" spans="2:8" ht="13.5" x14ac:dyDescent="0.2">
      <c r="B67" s="26">
        <v>65</v>
      </c>
      <c r="C67" s="50"/>
      <c r="D67" s="50"/>
      <c r="E67" s="21" t="s">
        <v>1397</v>
      </c>
      <c r="F67" s="21" t="s">
        <v>1398</v>
      </c>
      <c r="G67" s="21" t="s">
        <v>1399</v>
      </c>
      <c r="H67" s="22">
        <v>39779600</v>
      </c>
    </row>
    <row r="68" spans="2:8" ht="13.5" x14ac:dyDescent="0.2">
      <c r="B68" s="26">
        <v>66</v>
      </c>
      <c r="C68" s="50"/>
      <c r="D68" s="50"/>
      <c r="E68" s="21" t="s">
        <v>1397</v>
      </c>
      <c r="F68" s="21" t="s">
        <v>1417</v>
      </c>
      <c r="G68" s="21" t="s">
        <v>1418</v>
      </c>
      <c r="H68" s="22">
        <v>163083705</v>
      </c>
    </row>
    <row r="69" spans="2:8" ht="13.5" x14ac:dyDescent="0.2">
      <c r="B69" s="25">
        <v>67</v>
      </c>
      <c r="C69" s="50"/>
      <c r="D69" s="50"/>
      <c r="E69" s="21" t="s">
        <v>1397</v>
      </c>
      <c r="F69" s="21" t="s">
        <v>1454</v>
      </c>
      <c r="G69" s="21" t="s">
        <v>1455</v>
      </c>
      <c r="H69" s="22">
        <v>45686250</v>
      </c>
    </row>
    <row r="70" spans="2:8" ht="13.5" x14ac:dyDescent="0.2">
      <c r="B70" s="26">
        <v>68</v>
      </c>
      <c r="C70" s="50"/>
      <c r="D70" s="51"/>
      <c r="E70" s="21" t="s">
        <v>1397</v>
      </c>
      <c r="F70" s="21" t="s">
        <v>1470</v>
      </c>
      <c r="G70" s="21" t="s">
        <v>1471</v>
      </c>
      <c r="H70" s="22">
        <v>59936600</v>
      </c>
    </row>
    <row r="71" spans="2:8" ht="13.5" x14ac:dyDescent="0.2">
      <c r="B71" s="26">
        <v>69</v>
      </c>
      <c r="C71" s="50"/>
      <c r="D71" s="49" t="s">
        <v>1495</v>
      </c>
      <c r="E71" s="21" t="s">
        <v>1496</v>
      </c>
      <c r="F71" s="21" t="s">
        <v>1497</v>
      </c>
      <c r="G71" s="21" t="s">
        <v>1498</v>
      </c>
      <c r="H71" s="22">
        <v>81172950</v>
      </c>
    </row>
    <row r="72" spans="2:8" ht="13.5" x14ac:dyDescent="0.2">
      <c r="B72" s="25">
        <v>70</v>
      </c>
      <c r="C72" s="50"/>
      <c r="D72" s="50"/>
      <c r="E72" s="21" t="s">
        <v>1496</v>
      </c>
      <c r="F72" s="21" t="s">
        <v>1522</v>
      </c>
      <c r="G72" s="21" t="s">
        <v>1523</v>
      </c>
      <c r="H72" s="22">
        <v>203408850</v>
      </c>
    </row>
    <row r="73" spans="2:8" ht="13.5" x14ac:dyDescent="0.2">
      <c r="B73" s="26">
        <v>71</v>
      </c>
      <c r="C73" s="50"/>
      <c r="D73" s="50"/>
      <c r="E73" s="21" t="s">
        <v>1637</v>
      </c>
      <c r="F73" s="21" t="s">
        <v>1638</v>
      </c>
      <c r="G73" s="21" t="s">
        <v>1639</v>
      </c>
      <c r="H73" s="22">
        <v>45719150</v>
      </c>
    </row>
    <row r="74" spans="2:8" ht="13.5" x14ac:dyDescent="0.2">
      <c r="B74" s="26">
        <v>72</v>
      </c>
      <c r="C74" s="50"/>
      <c r="D74" s="50"/>
      <c r="E74" s="21" t="s">
        <v>1637</v>
      </c>
      <c r="F74" s="21" t="s">
        <v>1655</v>
      </c>
      <c r="G74" s="21" t="s">
        <v>1656</v>
      </c>
      <c r="H74" s="22">
        <v>36575100</v>
      </c>
    </row>
    <row r="75" spans="2:8" ht="13.5" x14ac:dyDescent="0.2">
      <c r="B75" s="25">
        <v>73</v>
      </c>
      <c r="C75" s="50"/>
      <c r="D75" s="50"/>
      <c r="E75" s="21" t="s">
        <v>1667</v>
      </c>
      <c r="F75" s="21" t="s">
        <v>1668</v>
      </c>
      <c r="G75" s="21" t="s">
        <v>1669</v>
      </c>
      <c r="H75" s="22">
        <v>7674000</v>
      </c>
    </row>
    <row r="76" spans="2:8" ht="13.5" x14ac:dyDescent="0.2">
      <c r="B76" s="26">
        <v>74</v>
      </c>
      <c r="C76" s="50"/>
      <c r="D76" s="50"/>
      <c r="E76" s="21" t="s">
        <v>1667</v>
      </c>
      <c r="F76" s="21" t="s">
        <v>1672</v>
      </c>
      <c r="G76" s="21" t="s">
        <v>1673</v>
      </c>
      <c r="H76" s="22">
        <v>51666450</v>
      </c>
    </row>
    <row r="77" spans="2:8" ht="13.5" x14ac:dyDescent="0.2">
      <c r="B77" s="26">
        <v>75</v>
      </c>
      <c r="C77" s="50"/>
      <c r="D77" s="50"/>
      <c r="E77" s="21" t="s">
        <v>1667</v>
      </c>
      <c r="F77" s="21" t="s">
        <v>1702</v>
      </c>
      <c r="G77" s="21" t="s">
        <v>1703</v>
      </c>
      <c r="H77" s="22">
        <v>13781900</v>
      </c>
    </row>
    <row r="78" spans="2:8" ht="13.5" x14ac:dyDescent="0.2">
      <c r="B78" s="25">
        <v>76</v>
      </c>
      <c r="C78" s="51"/>
      <c r="D78" s="51"/>
      <c r="E78" s="21" t="s">
        <v>1714</v>
      </c>
      <c r="F78" s="21" t="s">
        <v>1715</v>
      </c>
      <c r="G78" s="21" t="s">
        <v>1716</v>
      </c>
      <c r="H78" s="22">
        <v>21877200</v>
      </c>
    </row>
    <row r="79" spans="2:8" ht="13.5" x14ac:dyDescent="0.2">
      <c r="B79" s="26">
        <v>77</v>
      </c>
      <c r="C79" s="49" t="s">
        <v>2097</v>
      </c>
      <c r="D79" s="49" t="s">
        <v>2718</v>
      </c>
      <c r="E79" s="21" t="s">
        <v>2719</v>
      </c>
      <c r="F79" s="21" t="s">
        <v>2720</v>
      </c>
      <c r="G79" s="21" t="s">
        <v>2721</v>
      </c>
      <c r="H79" s="22">
        <v>5104900</v>
      </c>
    </row>
    <row r="80" spans="2:8" ht="13.5" x14ac:dyDescent="0.2">
      <c r="B80" s="26">
        <v>78</v>
      </c>
      <c r="C80" s="50"/>
      <c r="D80" s="50"/>
      <c r="E80" s="21" t="s">
        <v>2730</v>
      </c>
      <c r="F80" s="21" t="s">
        <v>2731</v>
      </c>
      <c r="G80" s="21" t="s">
        <v>2732</v>
      </c>
      <c r="H80" s="22">
        <v>101841325</v>
      </c>
    </row>
    <row r="81" spans="2:8" ht="13.5" x14ac:dyDescent="0.2">
      <c r="B81" s="25">
        <v>79</v>
      </c>
      <c r="C81" s="50"/>
      <c r="D81" s="50"/>
      <c r="E81" s="21" t="s">
        <v>2730</v>
      </c>
      <c r="F81" s="21" t="s">
        <v>2818</v>
      </c>
      <c r="G81" s="21" t="s">
        <v>2819</v>
      </c>
      <c r="H81" s="22">
        <v>53590550</v>
      </c>
    </row>
    <row r="82" spans="2:8" ht="13.5" x14ac:dyDescent="0.2">
      <c r="B82" s="26">
        <v>80</v>
      </c>
      <c r="C82" s="50"/>
      <c r="D82" s="50"/>
      <c r="E82" s="21" t="s">
        <v>2883</v>
      </c>
      <c r="F82" s="21" t="s">
        <v>2884</v>
      </c>
      <c r="G82" s="21" t="s">
        <v>2885</v>
      </c>
      <c r="H82" s="22">
        <v>59634850</v>
      </c>
    </row>
    <row r="83" spans="2:8" ht="13.5" x14ac:dyDescent="0.2">
      <c r="B83" s="26">
        <v>81</v>
      </c>
      <c r="C83" s="50"/>
      <c r="D83" s="51"/>
      <c r="E83" s="21" t="s">
        <v>2953</v>
      </c>
      <c r="F83" s="21" t="s">
        <v>2954</v>
      </c>
      <c r="G83" s="21" t="s">
        <v>2955</v>
      </c>
      <c r="H83" s="22">
        <v>19893700</v>
      </c>
    </row>
    <row r="84" spans="2:8" ht="13.5" x14ac:dyDescent="0.2">
      <c r="B84" s="25">
        <v>82</v>
      </c>
      <c r="C84" s="50"/>
      <c r="D84" s="49" t="s">
        <v>2971</v>
      </c>
      <c r="E84" s="21" t="s">
        <v>2972</v>
      </c>
      <c r="F84" s="21" t="s">
        <v>2973</v>
      </c>
      <c r="G84" s="21" t="s">
        <v>2974</v>
      </c>
      <c r="H84" s="22">
        <v>84382120</v>
      </c>
    </row>
    <row r="85" spans="2:8" ht="13.5" x14ac:dyDescent="0.2">
      <c r="B85" s="26">
        <v>83</v>
      </c>
      <c r="C85" s="50"/>
      <c r="D85" s="50"/>
      <c r="E85" s="21" t="s">
        <v>2972</v>
      </c>
      <c r="F85" s="21" t="s">
        <v>3038</v>
      </c>
      <c r="G85" s="21" t="s">
        <v>3039</v>
      </c>
      <c r="H85" s="22">
        <v>6714100</v>
      </c>
    </row>
    <row r="86" spans="2:8" ht="13.5" x14ac:dyDescent="0.2">
      <c r="B86" s="26">
        <v>84</v>
      </c>
      <c r="C86" s="50"/>
      <c r="D86" s="50"/>
      <c r="E86" s="21" t="s">
        <v>2972</v>
      </c>
      <c r="F86" s="21" t="s">
        <v>3045</v>
      </c>
      <c r="G86" s="21" t="s">
        <v>3046</v>
      </c>
      <c r="H86" s="22">
        <v>72791100</v>
      </c>
    </row>
    <row r="87" spans="2:8" ht="13.5" x14ac:dyDescent="0.2">
      <c r="B87" s="25">
        <v>85</v>
      </c>
      <c r="C87" s="50"/>
      <c r="D87" s="50"/>
      <c r="E87" s="21" t="s">
        <v>3073</v>
      </c>
      <c r="F87" s="21" t="s">
        <v>3074</v>
      </c>
      <c r="G87" s="21" t="s">
        <v>3075</v>
      </c>
      <c r="H87" s="22">
        <v>31491950</v>
      </c>
    </row>
    <row r="88" spans="2:8" ht="13.5" x14ac:dyDescent="0.2">
      <c r="B88" s="26">
        <v>86</v>
      </c>
      <c r="C88" s="50"/>
      <c r="D88" s="50"/>
      <c r="E88" s="21" t="s">
        <v>3093</v>
      </c>
      <c r="F88" s="21" t="s">
        <v>3094</v>
      </c>
      <c r="G88" s="21" t="s">
        <v>3095</v>
      </c>
      <c r="H88" s="22">
        <v>55955800</v>
      </c>
    </row>
    <row r="89" spans="2:8" ht="13.5" x14ac:dyDescent="0.2">
      <c r="B89" s="26">
        <v>87</v>
      </c>
      <c r="C89" s="50"/>
      <c r="D89" s="51"/>
      <c r="E89" s="21" t="s">
        <v>3153</v>
      </c>
      <c r="F89" s="21" t="s">
        <v>3154</v>
      </c>
      <c r="G89" s="21" t="s">
        <v>3155</v>
      </c>
      <c r="H89" s="22">
        <v>24837550</v>
      </c>
    </row>
    <row r="90" spans="2:8" ht="13.5" x14ac:dyDescent="0.2">
      <c r="B90" s="25">
        <v>88</v>
      </c>
      <c r="C90" s="50"/>
      <c r="D90" s="49" t="s">
        <v>3190</v>
      </c>
      <c r="E90" s="21" t="s">
        <v>3191</v>
      </c>
      <c r="F90" s="21" t="s">
        <v>3192</v>
      </c>
      <c r="G90" s="21" t="s">
        <v>3193</v>
      </c>
      <c r="H90" s="22">
        <v>9177600</v>
      </c>
    </row>
    <row r="91" spans="2:8" ht="13.5" x14ac:dyDescent="0.2">
      <c r="B91" s="26">
        <v>89</v>
      </c>
      <c r="C91" s="50"/>
      <c r="D91" s="50"/>
      <c r="E91" s="21" t="s">
        <v>3204</v>
      </c>
      <c r="F91" s="21" t="s">
        <v>3205</v>
      </c>
      <c r="G91" s="21" t="s">
        <v>3206</v>
      </c>
      <c r="H91" s="22">
        <v>21515300</v>
      </c>
    </row>
    <row r="92" spans="2:8" ht="13.5" x14ac:dyDescent="0.2">
      <c r="B92" s="26">
        <v>90</v>
      </c>
      <c r="C92" s="50"/>
      <c r="D92" s="50"/>
      <c r="E92" s="21" t="s">
        <v>3204</v>
      </c>
      <c r="F92" s="21" t="s">
        <v>3249</v>
      </c>
      <c r="G92" s="21" t="s">
        <v>3250</v>
      </c>
      <c r="H92" s="22">
        <v>50611700</v>
      </c>
    </row>
    <row r="93" spans="2:8" ht="13.5" x14ac:dyDescent="0.2">
      <c r="B93" s="25">
        <v>91</v>
      </c>
      <c r="C93" s="50"/>
      <c r="D93" s="51"/>
      <c r="E93" s="21" t="s">
        <v>3271</v>
      </c>
      <c r="F93" s="21" t="s">
        <v>3272</v>
      </c>
      <c r="G93" s="21" t="s">
        <v>3273</v>
      </c>
      <c r="H93" s="22">
        <v>85471200</v>
      </c>
    </row>
    <row r="94" spans="2:8" ht="13.5" x14ac:dyDescent="0.2">
      <c r="B94" s="26">
        <v>92</v>
      </c>
      <c r="C94" s="50"/>
      <c r="D94" s="49" t="s">
        <v>2233</v>
      </c>
      <c r="E94" s="21" t="s">
        <v>2234</v>
      </c>
      <c r="F94" s="21" t="s">
        <v>2235</v>
      </c>
      <c r="G94" s="21" t="s">
        <v>2236</v>
      </c>
      <c r="H94" s="22">
        <v>44984010</v>
      </c>
    </row>
    <row r="95" spans="2:8" ht="13.5" x14ac:dyDescent="0.2">
      <c r="B95" s="26">
        <v>93</v>
      </c>
      <c r="C95" s="50"/>
      <c r="D95" s="50"/>
      <c r="E95" s="21" t="s">
        <v>2234</v>
      </c>
      <c r="F95" s="21" t="s">
        <v>2259</v>
      </c>
      <c r="G95" s="21" t="s">
        <v>2260</v>
      </c>
      <c r="H95" s="22">
        <v>145037475</v>
      </c>
    </row>
    <row r="96" spans="2:8" ht="13.5" x14ac:dyDescent="0.2">
      <c r="B96" s="25">
        <v>94</v>
      </c>
      <c r="C96" s="50"/>
      <c r="D96" s="50"/>
      <c r="E96" s="21" t="s">
        <v>2344</v>
      </c>
      <c r="F96" s="21" t="s">
        <v>2345</v>
      </c>
      <c r="G96" s="21" t="s">
        <v>2346</v>
      </c>
      <c r="H96" s="22">
        <v>38694150</v>
      </c>
    </row>
    <row r="97" spans="2:8" ht="13.5" x14ac:dyDescent="0.2">
      <c r="B97" s="26">
        <v>95</v>
      </c>
      <c r="C97" s="50"/>
      <c r="D97" s="50"/>
      <c r="E97" s="21" t="s">
        <v>2367</v>
      </c>
      <c r="F97" s="21" t="s">
        <v>2368</v>
      </c>
      <c r="G97" s="21" t="s">
        <v>2369</v>
      </c>
      <c r="H97" s="22">
        <v>69743350</v>
      </c>
    </row>
    <row r="98" spans="2:8" ht="13.5" x14ac:dyDescent="0.2">
      <c r="B98" s="26">
        <v>96</v>
      </c>
      <c r="C98" s="50"/>
      <c r="D98" s="51"/>
      <c r="E98" s="21" t="s">
        <v>2427</v>
      </c>
      <c r="F98" s="21" t="s">
        <v>2428</v>
      </c>
      <c r="G98" s="21" t="s">
        <v>2429</v>
      </c>
      <c r="H98" s="22">
        <v>40473410</v>
      </c>
    </row>
    <row r="99" spans="2:8" ht="13.5" x14ac:dyDescent="0.2">
      <c r="B99" s="25">
        <v>97</v>
      </c>
      <c r="C99" s="50"/>
      <c r="D99" s="49" t="s">
        <v>2466</v>
      </c>
      <c r="E99" s="21" t="s">
        <v>2467</v>
      </c>
      <c r="F99" s="21" t="s">
        <v>2468</v>
      </c>
      <c r="G99" s="21" t="s">
        <v>2469</v>
      </c>
      <c r="H99" s="22">
        <v>57190600</v>
      </c>
    </row>
    <row r="100" spans="2:8" ht="13.5" x14ac:dyDescent="0.2">
      <c r="B100" s="26">
        <v>98</v>
      </c>
      <c r="C100" s="50"/>
      <c r="D100" s="50"/>
      <c r="E100" s="21" t="s">
        <v>2467</v>
      </c>
      <c r="F100" s="21" t="s">
        <v>2497</v>
      </c>
      <c r="G100" s="21" t="s">
        <v>2498</v>
      </c>
      <c r="H100" s="22">
        <v>37373900</v>
      </c>
    </row>
    <row r="101" spans="2:8" ht="13.5" x14ac:dyDescent="0.2">
      <c r="B101" s="26">
        <v>99</v>
      </c>
      <c r="C101" s="50"/>
      <c r="D101" s="50"/>
      <c r="E101" s="21" t="s">
        <v>2513</v>
      </c>
      <c r="F101" s="21" t="s">
        <v>2514</v>
      </c>
      <c r="G101" s="21" t="s">
        <v>2515</v>
      </c>
      <c r="H101" s="22">
        <v>70936050</v>
      </c>
    </row>
    <row r="102" spans="2:8" ht="13.5" x14ac:dyDescent="0.2">
      <c r="B102" s="25">
        <v>100</v>
      </c>
      <c r="C102" s="50"/>
      <c r="D102" s="50"/>
      <c r="E102" s="21" t="s">
        <v>2513</v>
      </c>
      <c r="F102" s="21" t="s">
        <v>2563</v>
      </c>
      <c r="G102" s="21" t="s">
        <v>2564</v>
      </c>
      <c r="H102" s="22">
        <v>28567800</v>
      </c>
    </row>
    <row r="103" spans="2:8" ht="13.5" x14ac:dyDescent="0.2">
      <c r="B103" s="26">
        <v>101</v>
      </c>
      <c r="C103" s="50"/>
      <c r="D103" s="50"/>
      <c r="E103" s="21" t="s">
        <v>2573</v>
      </c>
      <c r="F103" s="21" t="s">
        <v>2574</v>
      </c>
      <c r="G103" s="21" t="s">
        <v>2575</v>
      </c>
      <c r="H103" s="22">
        <v>222864445</v>
      </c>
    </row>
    <row r="104" spans="2:8" ht="13.5" x14ac:dyDescent="0.2">
      <c r="B104" s="26">
        <v>102</v>
      </c>
      <c r="C104" s="50"/>
      <c r="D104" s="51"/>
      <c r="E104" s="21" t="s">
        <v>2573</v>
      </c>
      <c r="F104" s="21" t="s">
        <v>2684</v>
      </c>
      <c r="G104" s="21" t="s">
        <v>2685</v>
      </c>
      <c r="H104" s="22">
        <v>43662950</v>
      </c>
    </row>
    <row r="105" spans="2:8" ht="13.5" x14ac:dyDescent="0.2">
      <c r="B105" s="25">
        <v>103</v>
      </c>
      <c r="C105" s="50"/>
      <c r="D105" s="49" t="s">
        <v>2098</v>
      </c>
      <c r="E105" s="21" t="s">
        <v>2108</v>
      </c>
      <c r="F105" s="21" t="s">
        <v>2109</v>
      </c>
      <c r="G105" s="21" t="s">
        <v>2110</v>
      </c>
      <c r="H105" s="22">
        <v>80662750</v>
      </c>
    </row>
    <row r="106" spans="2:8" ht="13.5" x14ac:dyDescent="0.2">
      <c r="B106" s="26">
        <v>104</v>
      </c>
      <c r="C106" s="51"/>
      <c r="D106" s="51"/>
      <c r="E106" s="21" t="s">
        <v>2182</v>
      </c>
      <c r="F106" s="21" t="s">
        <v>2183</v>
      </c>
      <c r="G106" s="21" t="s">
        <v>2184</v>
      </c>
      <c r="H106" s="22">
        <v>13979250</v>
      </c>
    </row>
    <row r="107" spans="2:8" ht="13.5" x14ac:dyDescent="0.2">
      <c r="B107" s="26">
        <v>105</v>
      </c>
      <c r="C107" s="49" t="s">
        <v>3333</v>
      </c>
      <c r="D107" s="49" t="s">
        <v>3442</v>
      </c>
      <c r="E107" s="21" t="s">
        <v>3443</v>
      </c>
      <c r="F107" s="21" t="s">
        <v>3444</v>
      </c>
      <c r="G107" s="21" t="s">
        <v>3445</v>
      </c>
      <c r="H107" s="22">
        <v>35135025</v>
      </c>
    </row>
    <row r="108" spans="2:8" ht="13.5" x14ac:dyDescent="0.2">
      <c r="B108" s="25">
        <v>106</v>
      </c>
      <c r="C108" s="50"/>
      <c r="D108" s="50"/>
      <c r="E108" s="21" t="s">
        <v>3443</v>
      </c>
      <c r="F108" s="21" t="s">
        <v>3453</v>
      </c>
      <c r="G108" s="21" t="s">
        <v>3454</v>
      </c>
      <c r="H108" s="22">
        <v>16491000</v>
      </c>
    </row>
    <row r="109" spans="2:8" ht="13.5" x14ac:dyDescent="0.2">
      <c r="B109" s="26">
        <v>107</v>
      </c>
      <c r="C109" s="50"/>
      <c r="D109" s="50"/>
      <c r="E109" s="21" t="s">
        <v>3443</v>
      </c>
      <c r="F109" s="21" t="s">
        <v>3461</v>
      </c>
      <c r="G109" s="21" t="s">
        <v>3462</v>
      </c>
      <c r="H109" s="22">
        <v>5321400</v>
      </c>
    </row>
    <row r="110" spans="2:8" ht="13.5" x14ac:dyDescent="0.2">
      <c r="B110" s="26">
        <v>108</v>
      </c>
      <c r="C110" s="50"/>
      <c r="D110" s="50"/>
      <c r="E110" s="21" t="s">
        <v>3466</v>
      </c>
      <c r="F110" s="21" t="s">
        <v>3467</v>
      </c>
      <c r="G110" s="21" t="s">
        <v>3468</v>
      </c>
      <c r="H110" s="22">
        <v>139385950</v>
      </c>
    </row>
    <row r="111" spans="2:8" ht="13.5" x14ac:dyDescent="0.2">
      <c r="B111" s="25">
        <v>109</v>
      </c>
      <c r="C111" s="50"/>
      <c r="D111" s="50"/>
      <c r="E111" s="21" t="s">
        <v>3466</v>
      </c>
      <c r="F111" s="21" t="s">
        <v>3526</v>
      </c>
      <c r="G111" s="21" t="s">
        <v>3527</v>
      </c>
      <c r="H111" s="22">
        <v>67032500</v>
      </c>
    </row>
    <row r="112" spans="2:8" ht="13.5" x14ac:dyDescent="0.2">
      <c r="B112" s="26">
        <v>110</v>
      </c>
      <c r="C112" s="50"/>
      <c r="D112" s="50"/>
      <c r="E112" s="21" t="s">
        <v>3466</v>
      </c>
      <c r="F112" s="21" t="s">
        <v>3564</v>
      </c>
      <c r="G112" s="21" t="s">
        <v>3565</v>
      </c>
      <c r="H112" s="22">
        <v>41000900</v>
      </c>
    </row>
    <row r="113" spans="2:8" ht="13.5" x14ac:dyDescent="0.2">
      <c r="B113" s="26">
        <v>111</v>
      </c>
      <c r="C113" s="50"/>
      <c r="D113" s="50"/>
      <c r="E113" s="21" t="s">
        <v>3466</v>
      </c>
      <c r="F113" s="21" t="s">
        <v>3577</v>
      </c>
      <c r="G113" s="21" t="s">
        <v>3578</v>
      </c>
      <c r="H113" s="22">
        <v>105551550</v>
      </c>
    </row>
    <row r="114" spans="2:8" ht="13.5" x14ac:dyDescent="0.2">
      <c r="B114" s="25">
        <v>112</v>
      </c>
      <c r="C114" s="50"/>
      <c r="D114" s="50"/>
      <c r="E114" s="21" t="s">
        <v>3626</v>
      </c>
      <c r="F114" s="21" t="s">
        <v>3627</v>
      </c>
      <c r="G114" s="21" t="s">
        <v>3628</v>
      </c>
      <c r="H114" s="22">
        <v>108548875</v>
      </c>
    </row>
    <row r="115" spans="2:8" ht="13.5" x14ac:dyDescent="0.2">
      <c r="B115" s="26">
        <v>113</v>
      </c>
      <c r="C115" s="50"/>
      <c r="D115" s="50"/>
      <c r="E115" s="21" t="s">
        <v>3626</v>
      </c>
      <c r="F115" s="21" t="s">
        <v>3688</v>
      </c>
      <c r="G115" s="21" t="s">
        <v>3689</v>
      </c>
      <c r="H115" s="22">
        <v>85934750</v>
      </c>
    </row>
    <row r="116" spans="2:8" ht="13.5" x14ac:dyDescent="0.2">
      <c r="B116" s="26">
        <v>114</v>
      </c>
      <c r="C116" s="50"/>
      <c r="D116" s="51"/>
      <c r="E116" s="21" t="s">
        <v>3626</v>
      </c>
      <c r="F116" s="21" t="s">
        <v>3731</v>
      </c>
      <c r="G116" s="21" t="s">
        <v>3732</v>
      </c>
      <c r="H116" s="22">
        <v>7843100</v>
      </c>
    </row>
    <row r="117" spans="2:8" ht="13.5" x14ac:dyDescent="0.2">
      <c r="B117" s="25">
        <v>115</v>
      </c>
      <c r="C117" s="50"/>
      <c r="D117" s="49" t="s">
        <v>3739</v>
      </c>
      <c r="E117" s="21" t="s">
        <v>3740</v>
      </c>
      <c r="F117" s="21" t="s">
        <v>3741</v>
      </c>
      <c r="G117" s="21" t="s">
        <v>3742</v>
      </c>
      <c r="H117" s="22">
        <v>19936400</v>
      </c>
    </row>
    <row r="118" spans="2:8" ht="13.5" x14ac:dyDescent="0.2">
      <c r="B118" s="26">
        <v>116</v>
      </c>
      <c r="C118" s="50"/>
      <c r="D118" s="50"/>
      <c r="E118" s="21" t="s">
        <v>3752</v>
      </c>
      <c r="F118" s="21" t="s">
        <v>3753</v>
      </c>
      <c r="G118" s="21" t="s">
        <v>3754</v>
      </c>
      <c r="H118" s="22">
        <v>201680800</v>
      </c>
    </row>
    <row r="119" spans="2:8" ht="13.5" x14ac:dyDescent="0.2">
      <c r="B119" s="26">
        <v>117</v>
      </c>
      <c r="C119" s="50"/>
      <c r="D119" s="50"/>
      <c r="E119" s="21" t="s">
        <v>3752</v>
      </c>
      <c r="F119" s="21" t="s">
        <v>3836</v>
      </c>
      <c r="G119" s="21" t="s">
        <v>3837</v>
      </c>
      <c r="H119" s="22">
        <v>144996005</v>
      </c>
    </row>
    <row r="120" spans="2:8" ht="13.5" x14ac:dyDescent="0.2">
      <c r="B120" s="25">
        <v>118</v>
      </c>
      <c r="C120" s="50"/>
      <c r="D120" s="51"/>
      <c r="E120" s="21" t="s">
        <v>3752</v>
      </c>
      <c r="F120" s="21" t="s">
        <v>3892</v>
      </c>
      <c r="G120" s="21" t="s">
        <v>3893</v>
      </c>
      <c r="H120" s="22">
        <v>13736500</v>
      </c>
    </row>
    <row r="121" spans="2:8" ht="13.5" x14ac:dyDescent="0.2">
      <c r="B121" s="26">
        <v>119</v>
      </c>
      <c r="C121" s="50"/>
      <c r="D121" s="49" t="s">
        <v>3902</v>
      </c>
      <c r="E121" s="21" t="s">
        <v>3903</v>
      </c>
      <c r="F121" s="21" t="s">
        <v>3904</v>
      </c>
      <c r="G121" s="21" t="s">
        <v>3905</v>
      </c>
      <c r="H121" s="22">
        <v>25280200</v>
      </c>
    </row>
    <row r="122" spans="2:8" ht="13.5" x14ac:dyDescent="0.2">
      <c r="B122" s="26">
        <v>120</v>
      </c>
      <c r="C122" s="50"/>
      <c r="D122" s="51"/>
      <c r="E122" s="21" t="s">
        <v>3920</v>
      </c>
      <c r="F122" s="21" t="s">
        <v>3921</v>
      </c>
      <c r="G122" s="21" t="s">
        <v>3922</v>
      </c>
      <c r="H122" s="22">
        <v>68014950</v>
      </c>
    </row>
    <row r="123" spans="2:8" ht="13.5" x14ac:dyDescent="0.2">
      <c r="B123" s="25">
        <v>121</v>
      </c>
      <c r="C123" s="50"/>
      <c r="D123" s="49" t="s">
        <v>3334</v>
      </c>
      <c r="E123" s="21" t="s">
        <v>3335</v>
      </c>
      <c r="F123" s="21" t="s">
        <v>3336</v>
      </c>
      <c r="G123" s="21" t="s">
        <v>3337</v>
      </c>
      <c r="H123" s="22">
        <v>24879110</v>
      </c>
    </row>
    <row r="124" spans="2:8" ht="13.5" x14ac:dyDescent="0.2">
      <c r="B124" s="26">
        <v>122</v>
      </c>
      <c r="C124" s="50"/>
      <c r="D124" s="50"/>
      <c r="E124" s="21" t="s">
        <v>3335</v>
      </c>
      <c r="F124" s="21" t="s">
        <v>3361</v>
      </c>
      <c r="G124" s="21" t="s">
        <v>3362</v>
      </c>
      <c r="H124" s="22">
        <v>22780815</v>
      </c>
    </row>
    <row r="125" spans="2:8" ht="13.5" x14ac:dyDescent="0.2">
      <c r="B125" s="26">
        <v>123</v>
      </c>
      <c r="C125" s="50"/>
      <c r="D125" s="50"/>
      <c r="E125" s="21" t="s">
        <v>3335</v>
      </c>
      <c r="F125" s="21" t="s">
        <v>3369</v>
      </c>
      <c r="G125" s="21" t="s">
        <v>3370</v>
      </c>
      <c r="H125" s="22">
        <v>28411000</v>
      </c>
    </row>
    <row r="126" spans="2:8" ht="13.5" x14ac:dyDescent="0.2">
      <c r="B126" s="25">
        <v>124</v>
      </c>
      <c r="C126" s="50"/>
      <c r="D126" s="50"/>
      <c r="E126" s="21" t="s">
        <v>3335</v>
      </c>
      <c r="F126" s="21" t="s">
        <v>3383</v>
      </c>
      <c r="G126" s="21" t="s">
        <v>3384</v>
      </c>
      <c r="H126" s="22">
        <v>40759750</v>
      </c>
    </row>
    <row r="127" spans="2:8" ht="13.5" x14ac:dyDescent="0.2">
      <c r="B127" s="26">
        <v>125</v>
      </c>
      <c r="C127" s="50"/>
      <c r="D127" s="50"/>
      <c r="E127" s="21" t="s">
        <v>3335</v>
      </c>
      <c r="F127" s="21" t="s">
        <v>3393</v>
      </c>
      <c r="G127" s="21" t="s">
        <v>3394</v>
      </c>
      <c r="H127" s="22">
        <v>3196000</v>
      </c>
    </row>
    <row r="128" spans="2:8" ht="13.5" x14ac:dyDescent="0.2">
      <c r="B128" s="26">
        <v>126</v>
      </c>
      <c r="C128" s="50"/>
      <c r="D128" s="50"/>
      <c r="E128" s="21" t="s">
        <v>3399</v>
      </c>
      <c r="F128" s="21" t="s">
        <v>3400</v>
      </c>
      <c r="G128" s="21" t="s">
        <v>3401</v>
      </c>
      <c r="H128" s="22">
        <v>27278925</v>
      </c>
    </row>
    <row r="129" spans="2:8" ht="13.5" x14ac:dyDescent="0.2">
      <c r="B129" s="25">
        <v>127</v>
      </c>
      <c r="C129" s="50"/>
      <c r="D129" s="50"/>
      <c r="E129" s="21" t="s">
        <v>3409</v>
      </c>
      <c r="F129" s="21" t="s">
        <v>3410</v>
      </c>
      <c r="G129" s="21" t="s">
        <v>3411</v>
      </c>
      <c r="H129" s="22">
        <v>84374500</v>
      </c>
    </row>
    <row r="130" spans="2:8" ht="13.5" x14ac:dyDescent="0.2">
      <c r="B130" s="26">
        <v>128</v>
      </c>
      <c r="C130" s="51"/>
      <c r="D130" s="51"/>
      <c r="E130" s="21" t="s">
        <v>3409</v>
      </c>
      <c r="F130" s="21" t="s">
        <v>3436</v>
      </c>
      <c r="G130" s="21" t="s">
        <v>3437</v>
      </c>
      <c r="H130" s="22">
        <v>15512100</v>
      </c>
    </row>
  </sheetData>
  <mergeCells count="21">
    <mergeCell ref="C3:C40"/>
    <mergeCell ref="D34:D40"/>
    <mergeCell ref="D3:D33"/>
    <mergeCell ref="C41:C78"/>
    <mergeCell ref="D41:D42"/>
    <mergeCell ref="D43:D46"/>
    <mergeCell ref="D47:D55"/>
    <mergeCell ref="D56:D70"/>
    <mergeCell ref="D71:D78"/>
    <mergeCell ref="C79:C106"/>
    <mergeCell ref="D79:D83"/>
    <mergeCell ref="D84:D89"/>
    <mergeCell ref="D90:D93"/>
    <mergeCell ref="D94:D98"/>
    <mergeCell ref="D99:D104"/>
    <mergeCell ref="D105:D106"/>
    <mergeCell ref="D107:D116"/>
    <mergeCell ref="D117:D120"/>
    <mergeCell ref="D121:D122"/>
    <mergeCell ref="D123:D130"/>
    <mergeCell ref="C107:C130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3F5B-ABE3-4309-BD04-BF7D96A113F8}">
  <dimension ref="A1:F135"/>
  <sheetViews>
    <sheetView workbookViewId="0">
      <selection activeCell="B41" sqref="B41"/>
    </sheetView>
  </sheetViews>
  <sheetFormatPr defaultRowHeight="12.75" x14ac:dyDescent="0.2"/>
  <cols>
    <col min="1" max="1" width="17.42578125" bestFit="1" customWidth="1"/>
    <col min="2" max="2" width="39.5703125" bestFit="1" customWidth="1"/>
    <col min="3" max="3" width="41.7109375" bestFit="1" customWidth="1"/>
    <col min="4" max="4" width="13.42578125" bestFit="1" customWidth="1"/>
    <col min="5" max="5" width="38.140625" bestFit="1" customWidth="1"/>
    <col min="6" max="6" width="17.140625" style="5" bestFit="1" customWidth="1"/>
    <col min="7" max="7" width="17.140625" bestFit="1" customWidth="1"/>
  </cols>
  <sheetData>
    <row r="1" spans="1:6" x14ac:dyDescent="0.2">
      <c r="A1" s="3" t="s">
        <v>10</v>
      </c>
      <c r="B1" t="s">
        <v>3938</v>
      </c>
    </row>
    <row r="2" spans="1:6" x14ac:dyDescent="0.2">
      <c r="A2" s="3" t="s">
        <v>11</v>
      </c>
      <c r="B2" t="s">
        <v>3941</v>
      </c>
    </row>
    <row r="4" spans="1:6" x14ac:dyDescent="0.2">
      <c r="A4" s="3" t="s">
        <v>3936</v>
      </c>
      <c r="B4" s="3" t="s">
        <v>3</v>
      </c>
      <c r="C4" s="3" t="s">
        <v>4</v>
      </c>
      <c r="D4" s="3" t="s">
        <v>5</v>
      </c>
      <c r="E4" s="3" t="s">
        <v>6</v>
      </c>
      <c r="F4" s="5" t="s">
        <v>3951</v>
      </c>
    </row>
    <row r="5" spans="1:6" x14ac:dyDescent="0.2">
      <c r="A5" t="s">
        <v>24</v>
      </c>
      <c r="B5" t="s">
        <v>25</v>
      </c>
      <c r="C5" t="s">
        <v>26</v>
      </c>
      <c r="D5" t="s">
        <v>27</v>
      </c>
      <c r="E5" t="s">
        <v>28</v>
      </c>
      <c r="F5" s="5">
        <v>231881000</v>
      </c>
    </row>
    <row r="6" spans="1:6" x14ac:dyDescent="0.2">
      <c r="D6" t="s">
        <v>146</v>
      </c>
      <c r="E6" t="s">
        <v>147</v>
      </c>
      <c r="F6" s="5">
        <v>18239100</v>
      </c>
    </row>
    <row r="7" spans="1:6" x14ac:dyDescent="0.2">
      <c r="D7" t="s">
        <v>154</v>
      </c>
      <c r="E7" t="s">
        <v>155</v>
      </c>
      <c r="F7" s="5">
        <v>128980200</v>
      </c>
    </row>
    <row r="8" spans="1:6" x14ac:dyDescent="0.2">
      <c r="C8" t="s">
        <v>208</v>
      </c>
      <c r="D8" t="s">
        <v>209</v>
      </c>
      <c r="E8" t="s">
        <v>210</v>
      </c>
      <c r="F8" s="5">
        <v>66330200</v>
      </c>
    </row>
    <row r="9" spans="1:6" x14ac:dyDescent="0.2">
      <c r="D9" t="s">
        <v>279</v>
      </c>
      <c r="E9" t="s">
        <v>280</v>
      </c>
      <c r="F9" s="5">
        <v>26651400</v>
      </c>
    </row>
    <row r="10" spans="1:6" x14ac:dyDescent="0.2">
      <c r="D10" t="s">
        <v>290</v>
      </c>
      <c r="E10" t="s">
        <v>291</v>
      </c>
      <c r="F10" s="5">
        <v>91098600</v>
      </c>
    </row>
    <row r="11" spans="1:6" x14ac:dyDescent="0.2">
      <c r="D11" t="s">
        <v>330</v>
      </c>
      <c r="E11" t="s">
        <v>331</v>
      </c>
      <c r="F11" s="5">
        <v>22956600</v>
      </c>
    </row>
    <row r="12" spans="1:6" x14ac:dyDescent="0.2">
      <c r="D12" t="s">
        <v>347</v>
      </c>
      <c r="E12" t="s">
        <v>348</v>
      </c>
      <c r="F12" s="5">
        <v>23191575</v>
      </c>
    </row>
    <row r="13" spans="1:6" x14ac:dyDescent="0.2">
      <c r="D13" t="s">
        <v>368</v>
      </c>
      <c r="E13" t="s">
        <v>369</v>
      </c>
      <c r="F13" s="5">
        <v>84030600</v>
      </c>
    </row>
    <row r="14" spans="1:6" x14ac:dyDescent="0.2">
      <c r="D14" t="s">
        <v>426</v>
      </c>
      <c r="E14" t="s">
        <v>427</v>
      </c>
      <c r="F14" s="5">
        <v>3188600</v>
      </c>
    </row>
    <row r="15" spans="1:6" x14ac:dyDescent="0.2">
      <c r="D15" t="s">
        <v>440</v>
      </c>
      <c r="E15" t="s">
        <v>441</v>
      </c>
      <c r="F15" s="5">
        <v>20319675</v>
      </c>
    </row>
    <row r="16" spans="1:6" x14ac:dyDescent="0.2">
      <c r="C16" t="s">
        <v>454</v>
      </c>
      <c r="D16" t="s">
        <v>455</v>
      </c>
      <c r="E16" t="s">
        <v>456</v>
      </c>
      <c r="F16" s="5">
        <v>58379750</v>
      </c>
    </row>
    <row r="17" spans="3:6" x14ac:dyDescent="0.2">
      <c r="D17" t="s">
        <v>481</v>
      </c>
      <c r="E17" t="s">
        <v>482</v>
      </c>
      <c r="F17" s="5">
        <v>33941800</v>
      </c>
    </row>
    <row r="18" spans="3:6" x14ac:dyDescent="0.2">
      <c r="D18" t="s">
        <v>508</v>
      </c>
      <c r="E18" t="s">
        <v>509</v>
      </c>
      <c r="F18" s="5">
        <v>88522495</v>
      </c>
    </row>
    <row r="19" spans="3:6" x14ac:dyDescent="0.2">
      <c r="C19" t="s">
        <v>581</v>
      </c>
      <c r="D19" t="s">
        <v>582</v>
      </c>
      <c r="E19" t="s">
        <v>583</v>
      </c>
      <c r="F19" s="5">
        <v>12785550</v>
      </c>
    </row>
    <row r="20" spans="3:6" x14ac:dyDescent="0.2">
      <c r="D20" t="s">
        <v>594</v>
      </c>
      <c r="E20" t="s">
        <v>595</v>
      </c>
      <c r="F20" s="5">
        <v>34466200</v>
      </c>
    </row>
    <row r="21" spans="3:6" x14ac:dyDescent="0.2">
      <c r="D21" t="s">
        <v>606</v>
      </c>
      <c r="E21" t="s">
        <v>607</v>
      </c>
      <c r="F21" s="5">
        <v>80077500</v>
      </c>
    </row>
    <row r="22" spans="3:6" x14ac:dyDescent="0.2">
      <c r="D22" t="s">
        <v>637</v>
      </c>
      <c r="E22" t="s">
        <v>638</v>
      </c>
      <c r="F22" s="5">
        <v>8732600</v>
      </c>
    </row>
    <row r="23" spans="3:6" x14ac:dyDescent="0.2">
      <c r="D23" t="s">
        <v>643</v>
      </c>
      <c r="E23" t="s">
        <v>644</v>
      </c>
      <c r="F23" s="5">
        <v>12337000</v>
      </c>
    </row>
    <row r="24" spans="3:6" x14ac:dyDescent="0.2">
      <c r="D24" t="s">
        <v>653</v>
      </c>
      <c r="E24" t="s">
        <v>654</v>
      </c>
      <c r="F24" s="5">
        <v>59006200</v>
      </c>
    </row>
    <row r="25" spans="3:6" x14ac:dyDescent="0.2">
      <c r="C25" t="s">
        <v>671</v>
      </c>
      <c r="D25" t="s">
        <v>672</v>
      </c>
      <c r="E25" t="s">
        <v>673</v>
      </c>
      <c r="F25" s="5">
        <v>39244950</v>
      </c>
    </row>
    <row r="26" spans="3:6" x14ac:dyDescent="0.2">
      <c r="D26" t="s">
        <v>707</v>
      </c>
      <c r="E26" t="s">
        <v>708</v>
      </c>
      <c r="F26" s="5">
        <v>9178900</v>
      </c>
    </row>
    <row r="27" spans="3:6" x14ac:dyDescent="0.2">
      <c r="D27" t="s">
        <v>721</v>
      </c>
      <c r="E27" t="s">
        <v>722</v>
      </c>
      <c r="F27" s="5">
        <v>21197700</v>
      </c>
    </row>
    <row r="28" spans="3:6" x14ac:dyDescent="0.2">
      <c r="D28" t="s">
        <v>735</v>
      </c>
      <c r="E28" t="s">
        <v>736</v>
      </c>
      <c r="F28" s="5">
        <v>113832000</v>
      </c>
    </row>
    <row r="29" spans="3:6" x14ac:dyDescent="0.2">
      <c r="D29" t="s">
        <v>749</v>
      </c>
      <c r="E29" t="s">
        <v>750</v>
      </c>
      <c r="F29" s="5">
        <v>72665700</v>
      </c>
    </row>
    <row r="30" spans="3:6" x14ac:dyDescent="0.2">
      <c r="D30" t="s">
        <v>786</v>
      </c>
      <c r="E30" t="s">
        <v>787</v>
      </c>
      <c r="F30" s="5">
        <v>11356000</v>
      </c>
    </row>
    <row r="31" spans="3:6" x14ac:dyDescent="0.2">
      <c r="C31" t="s">
        <v>797</v>
      </c>
      <c r="D31" t="s">
        <v>798</v>
      </c>
      <c r="E31" t="s">
        <v>799</v>
      </c>
      <c r="F31" s="5">
        <v>17307600</v>
      </c>
    </row>
    <row r="32" spans="3:6" x14ac:dyDescent="0.2">
      <c r="D32" t="s">
        <v>808</v>
      </c>
      <c r="E32" t="s">
        <v>809</v>
      </c>
      <c r="F32" s="5">
        <v>15221200</v>
      </c>
    </row>
    <row r="33" spans="1:6" x14ac:dyDescent="0.2">
      <c r="D33" t="s">
        <v>818</v>
      </c>
      <c r="E33" t="s">
        <v>819</v>
      </c>
      <c r="F33" s="5">
        <v>47635600</v>
      </c>
    </row>
    <row r="34" spans="1:6" x14ac:dyDescent="0.2">
      <c r="D34" t="s">
        <v>832</v>
      </c>
      <c r="E34" t="s">
        <v>833</v>
      </c>
      <c r="F34" s="5">
        <v>89736350</v>
      </c>
    </row>
    <row r="35" spans="1:6" x14ac:dyDescent="0.2">
      <c r="C35" t="s">
        <v>893</v>
      </c>
      <c r="D35" t="s">
        <v>894</v>
      </c>
      <c r="E35" t="s">
        <v>895</v>
      </c>
      <c r="F35" s="5">
        <v>172974700</v>
      </c>
    </row>
    <row r="36" spans="1:6" x14ac:dyDescent="0.2">
      <c r="B36" t="s">
        <v>978</v>
      </c>
      <c r="C36" t="s">
        <v>979</v>
      </c>
      <c r="D36" t="s">
        <v>980</v>
      </c>
      <c r="E36" t="s">
        <v>981</v>
      </c>
      <c r="F36" s="5">
        <v>50811600</v>
      </c>
    </row>
    <row r="37" spans="1:6" x14ac:dyDescent="0.2">
      <c r="C37" t="s">
        <v>996</v>
      </c>
      <c r="D37" t="s">
        <v>997</v>
      </c>
      <c r="E37" t="s">
        <v>998</v>
      </c>
      <c r="F37" s="5">
        <v>21195750</v>
      </c>
    </row>
    <row r="38" spans="1:6" x14ac:dyDescent="0.2">
      <c r="C38" t="s">
        <v>1006</v>
      </c>
      <c r="D38" t="s">
        <v>1007</v>
      </c>
      <c r="E38" t="s">
        <v>1008</v>
      </c>
      <c r="F38" s="5">
        <v>20765250</v>
      </c>
    </row>
    <row r="39" spans="1:6" x14ac:dyDescent="0.2">
      <c r="D39" t="s">
        <v>1015</v>
      </c>
      <c r="E39" t="s">
        <v>1016</v>
      </c>
      <c r="F39" s="5">
        <v>18543750</v>
      </c>
    </row>
    <row r="40" spans="1:6" x14ac:dyDescent="0.2">
      <c r="D40" t="s">
        <v>1035</v>
      </c>
      <c r="E40" t="s">
        <v>1036</v>
      </c>
      <c r="F40" s="5">
        <v>20753100</v>
      </c>
    </row>
    <row r="41" spans="1:6" x14ac:dyDescent="0.2">
      <c r="C41" t="s">
        <v>1041</v>
      </c>
      <c r="D41" t="s">
        <v>1042</v>
      </c>
      <c r="E41" t="s">
        <v>1043</v>
      </c>
      <c r="F41" s="5">
        <v>54074400</v>
      </c>
    </row>
    <row r="42" spans="1:6" x14ac:dyDescent="0.2">
      <c r="D42" t="s">
        <v>1084</v>
      </c>
      <c r="E42" t="s">
        <v>1085</v>
      </c>
      <c r="F42" s="5">
        <v>47555390</v>
      </c>
    </row>
    <row r="43" spans="1:6" x14ac:dyDescent="0.2">
      <c r="A43" t="s">
        <v>1108</v>
      </c>
      <c r="B43" t="s">
        <v>1725</v>
      </c>
      <c r="C43" t="s">
        <v>1726</v>
      </c>
      <c r="D43" t="s">
        <v>1727</v>
      </c>
      <c r="E43" t="s">
        <v>1728</v>
      </c>
      <c r="F43" s="5">
        <v>119720275</v>
      </c>
    </row>
    <row r="44" spans="1:6" x14ac:dyDescent="0.2">
      <c r="C44" t="s">
        <v>1759</v>
      </c>
      <c r="D44" t="s">
        <v>1760</v>
      </c>
      <c r="E44" t="s">
        <v>1761</v>
      </c>
      <c r="F44" s="5">
        <v>55590215</v>
      </c>
    </row>
    <row r="45" spans="1:6" x14ac:dyDescent="0.2">
      <c r="B45" t="s">
        <v>1808</v>
      </c>
      <c r="C45" t="s">
        <v>1809</v>
      </c>
      <c r="D45" t="s">
        <v>1810</v>
      </c>
      <c r="E45" t="s">
        <v>1811</v>
      </c>
      <c r="F45" s="5">
        <v>109001200</v>
      </c>
    </row>
    <row r="46" spans="1:6" x14ac:dyDescent="0.2">
      <c r="C46" t="s">
        <v>1832</v>
      </c>
      <c r="D46" t="s">
        <v>1833</v>
      </c>
      <c r="E46" t="s">
        <v>1834</v>
      </c>
      <c r="F46" s="5">
        <v>36696200</v>
      </c>
    </row>
    <row r="47" spans="1:6" x14ac:dyDescent="0.2">
      <c r="D47" t="s">
        <v>1848</v>
      </c>
      <c r="E47" t="s">
        <v>1849</v>
      </c>
      <c r="F47" s="5">
        <v>57359100</v>
      </c>
    </row>
    <row r="48" spans="1:6" x14ac:dyDescent="0.2">
      <c r="C48" t="s">
        <v>1872</v>
      </c>
      <c r="D48" t="s">
        <v>1873</v>
      </c>
      <c r="E48" t="s">
        <v>1874</v>
      </c>
      <c r="F48" s="5">
        <v>35279900</v>
      </c>
    </row>
    <row r="49" spans="2:6" x14ac:dyDescent="0.2">
      <c r="B49" t="s">
        <v>1893</v>
      </c>
      <c r="C49" t="s">
        <v>1894</v>
      </c>
      <c r="D49" t="s">
        <v>1895</v>
      </c>
      <c r="E49" t="s">
        <v>1896</v>
      </c>
      <c r="F49" s="5">
        <v>3090600</v>
      </c>
    </row>
    <row r="50" spans="2:6" x14ac:dyDescent="0.2">
      <c r="D50" t="s">
        <v>1899</v>
      </c>
      <c r="E50" t="s">
        <v>1900</v>
      </c>
      <c r="F50" s="5">
        <v>110339875</v>
      </c>
    </row>
    <row r="51" spans="2:6" x14ac:dyDescent="0.2">
      <c r="D51" t="s">
        <v>1936</v>
      </c>
      <c r="E51" t="s">
        <v>1937</v>
      </c>
      <c r="F51" s="5">
        <v>3873000</v>
      </c>
    </row>
    <row r="52" spans="2:6" x14ac:dyDescent="0.2">
      <c r="D52" t="s">
        <v>1940</v>
      </c>
      <c r="E52" t="s">
        <v>1941</v>
      </c>
      <c r="F52" s="5">
        <v>35260400</v>
      </c>
    </row>
    <row r="53" spans="2:6" x14ac:dyDescent="0.2">
      <c r="C53" t="s">
        <v>1962</v>
      </c>
      <c r="D53" t="s">
        <v>1963</v>
      </c>
      <c r="E53" t="s">
        <v>1964</v>
      </c>
      <c r="F53" s="5">
        <v>99140950</v>
      </c>
    </row>
    <row r="54" spans="2:6" x14ac:dyDescent="0.2">
      <c r="D54" t="s">
        <v>1998</v>
      </c>
      <c r="E54" t="s">
        <v>1999</v>
      </c>
      <c r="F54" s="5">
        <v>24380150</v>
      </c>
    </row>
    <row r="55" spans="2:6" x14ac:dyDescent="0.2">
      <c r="D55" t="s">
        <v>2028</v>
      </c>
      <c r="E55" t="s">
        <v>2029</v>
      </c>
      <c r="F55" s="5">
        <v>18739125</v>
      </c>
    </row>
    <row r="56" spans="2:6" x14ac:dyDescent="0.2">
      <c r="D56" t="s">
        <v>2035</v>
      </c>
      <c r="E56" t="s">
        <v>2036</v>
      </c>
      <c r="F56" s="5">
        <v>83565600</v>
      </c>
    </row>
    <row r="57" spans="2:6" x14ac:dyDescent="0.2">
      <c r="D57" t="s">
        <v>2079</v>
      </c>
      <c r="E57" t="s">
        <v>2080</v>
      </c>
      <c r="F57" s="5">
        <v>41730800</v>
      </c>
    </row>
    <row r="58" spans="2:6" x14ac:dyDescent="0.2">
      <c r="B58" t="s">
        <v>1109</v>
      </c>
      <c r="C58" t="s">
        <v>1110</v>
      </c>
      <c r="D58" t="s">
        <v>1111</v>
      </c>
      <c r="E58" t="s">
        <v>1112</v>
      </c>
      <c r="F58" s="5">
        <v>81213625</v>
      </c>
    </row>
    <row r="59" spans="2:6" x14ac:dyDescent="0.2">
      <c r="D59" t="s">
        <v>1131</v>
      </c>
      <c r="E59" t="s">
        <v>1132</v>
      </c>
      <c r="F59" s="5">
        <v>85981100</v>
      </c>
    </row>
    <row r="60" spans="2:6" x14ac:dyDescent="0.2">
      <c r="D60" t="s">
        <v>1192</v>
      </c>
      <c r="E60" t="s">
        <v>1193</v>
      </c>
      <c r="F60" s="5">
        <v>12825000</v>
      </c>
    </row>
    <row r="61" spans="2:6" x14ac:dyDescent="0.2">
      <c r="D61" t="s">
        <v>1198</v>
      </c>
      <c r="E61" t="s">
        <v>1199</v>
      </c>
      <c r="F61" s="5">
        <v>108574750</v>
      </c>
    </row>
    <row r="62" spans="2:6" x14ac:dyDescent="0.2">
      <c r="C62" t="s">
        <v>1234</v>
      </c>
      <c r="D62" t="s">
        <v>1235</v>
      </c>
      <c r="E62" t="s">
        <v>1236</v>
      </c>
      <c r="F62" s="5">
        <v>117995610</v>
      </c>
    </row>
    <row r="63" spans="2:6" x14ac:dyDescent="0.2">
      <c r="D63" t="s">
        <v>1279</v>
      </c>
      <c r="E63" t="s">
        <v>1280</v>
      </c>
      <c r="F63" s="5">
        <v>21685300</v>
      </c>
    </row>
    <row r="64" spans="2:6" x14ac:dyDescent="0.2">
      <c r="D64" t="s">
        <v>1291</v>
      </c>
      <c r="E64" t="s">
        <v>1292</v>
      </c>
      <c r="F64" s="5">
        <v>13729150</v>
      </c>
    </row>
    <row r="65" spans="2:6" x14ac:dyDescent="0.2">
      <c r="D65" t="s">
        <v>1305</v>
      </c>
      <c r="E65" t="s">
        <v>1306</v>
      </c>
      <c r="F65" s="5">
        <v>35310300</v>
      </c>
    </row>
    <row r="66" spans="2:6" x14ac:dyDescent="0.2">
      <c r="D66" t="s">
        <v>1327</v>
      </c>
      <c r="E66" t="s">
        <v>1328</v>
      </c>
      <c r="F66" s="5">
        <v>31178350</v>
      </c>
    </row>
    <row r="67" spans="2:6" x14ac:dyDescent="0.2">
      <c r="D67" t="s">
        <v>1346</v>
      </c>
      <c r="E67" t="s">
        <v>1347</v>
      </c>
      <c r="F67" s="5">
        <v>50976500</v>
      </c>
    </row>
    <row r="68" spans="2:6" x14ac:dyDescent="0.2">
      <c r="D68" t="s">
        <v>1385</v>
      </c>
      <c r="E68" t="s">
        <v>1386</v>
      </c>
      <c r="F68" s="5">
        <v>17596800</v>
      </c>
    </row>
    <row r="69" spans="2:6" x14ac:dyDescent="0.2">
      <c r="C69" t="s">
        <v>1397</v>
      </c>
      <c r="D69" t="s">
        <v>1398</v>
      </c>
      <c r="E69" t="s">
        <v>1399</v>
      </c>
      <c r="F69" s="5">
        <v>39779600</v>
      </c>
    </row>
    <row r="70" spans="2:6" x14ac:dyDescent="0.2">
      <c r="D70" t="s">
        <v>1417</v>
      </c>
      <c r="E70" t="s">
        <v>1418</v>
      </c>
      <c r="F70" s="5">
        <v>163083705</v>
      </c>
    </row>
    <row r="71" spans="2:6" x14ac:dyDescent="0.2">
      <c r="D71" t="s">
        <v>1454</v>
      </c>
      <c r="E71" t="s">
        <v>1455</v>
      </c>
      <c r="F71" s="5">
        <v>45686250</v>
      </c>
    </row>
    <row r="72" spans="2:6" x14ac:dyDescent="0.2">
      <c r="D72" t="s">
        <v>1470</v>
      </c>
      <c r="E72" t="s">
        <v>1471</v>
      </c>
      <c r="F72" s="5">
        <v>59936600</v>
      </c>
    </row>
    <row r="73" spans="2:6" x14ac:dyDescent="0.2">
      <c r="B73" t="s">
        <v>1495</v>
      </c>
      <c r="C73" t="s">
        <v>1496</v>
      </c>
      <c r="D73" t="s">
        <v>1497</v>
      </c>
      <c r="E73" t="s">
        <v>1498</v>
      </c>
      <c r="F73" s="5">
        <v>81172950</v>
      </c>
    </row>
    <row r="74" spans="2:6" x14ac:dyDescent="0.2">
      <c r="D74" t="s">
        <v>1522</v>
      </c>
      <c r="E74" t="s">
        <v>1523</v>
      </c>
      <c r="F74" s="5">
        <v>203408850</v>
      </c>
    </row>
    <row r="75" spans="2:6" x14ac:dyDescent="0.2">
      <c r="C75" t="s">
        <v>1637</v>
      </c>
      <c r="D75" t="s">
        <v>1638</v>
      </c>
      <c r="E75" t="s">
        <v>1639</v>
      </c>
      <c r="F75" s="5">
        <v>45719150</v>
      </c>
    </row>
    <row r="76" spans="2:6" x14ac:dyDescent="0.2">
      <c r="D76" t="s">
        <v>1655</v>
      </c>
      <c r="E76" t="s">
        <v>1656</v>
      </c>
      <c r="F76" s="5">
        <v>36575100</v>
      </c>
    </row>
    <row r="77" spans="2:6" x14ac:dyDescent="0.2">
      <c r="C77" t="s">
        <v>1667</v>
      </c>
      <c r="D77" t="s">
        <v>1668</v>
      </c>
      <c r="E77" t="s">
        <v>1669</v>
      </c>
      <c r="F77" s="5">
        <v>7674000</v>
      </c>
    </row>
    <row r="78" spans="2:6" x14ac:dyDescent="0.2">
      <c r="D78" t="s">
        <v>1672</v>
      </c>
      <c r="E78" t="s">
        <v>1673</v>
      </c>
      <c r="F78" s="5">
        <v>51666450</v>
      </c>
    </row>
    <row r="79" spans="2:6" x14ac:dyDescent="0.2">
      <c r="D79" t="s">
        <v>1702</v>
      </c>
      <c r="E79" t="s">
        <v>1703</v>
      </c>
      <c r="F79" s="5">
        <v>13781900</v>
      </c>
    </row>
    <row r="80" spans="2:6" x14ac:dyDescent="0.2">
      <c r="C80" t="s">
        <v>1714</v>
      </c>
      <c r="D80" t="s">
        <v>1715</v>
      </c>
      <c r="E80" t="s">
        <v>1716</v>
      </c>
      <c r="F80" s="5">
        <v>21877200</v>
      </c>
    </row>
    <row r="81" spans="1:6" x14ac:dyDescent="0.2">
      <c r="A81" t="s">
        <v>2097</v>
      </c>
      <c r="B81" t="s">
        <v>2718</v>
      </c>
      <c r="C81" t="s">
        <v>2719</v>
      </c>
      <c r="D81" t="s">
        <v>2720</v>
      </c>
      <c r="E81" t="s">
        <v>2721</v>
      </c>
      <c r="F81" s="5">
        <v>5104900</v>
      </c>
    </row>
    <row r="82" spans="1:6" x14ac:dyDescent="0.2">
      <c r="C82" t="s">
        <v>2730</v>
      </c>
      <c r="D82" t="s">
        <v>2731</v>
      </c>
      <c r="E82" t="s">
        <v>2732</v>
      </c>
      <c r="F82" s="5">
        <v>101841325</v>
      </c>
    </row>
    <row r="83" spans="1:6" x14ac:dyDescent="0.2">
      <c r="D83" t="s">
        <v>2818</v>
      </c>
      <c r="E83" t="s">
        <v>2819</v>
      </c>
      <c r="F83" s="5">
        <v>53590550</v>
      </c>
    </row>
    <row r="84" spans="1:6" x14ac:dyDescent="0.2">
      <c r="C84" t="s">
        <v>2883</v>
      </c>
      <c r="D84" t="s">
        <v>2884</v>
      </c>
      <c r="E84" t="s">
        <v>2885</v>
      </c>
      <c r="F84" s="5">
        <v>59634850</v>
      </c>
    </row>
    <row r="85" spans="1:6" x14ac:dyDescent="0.2">
      <c r="C85" t="s">
        <v>2953</v>
      </c>
      <c r="D85" t="s">
        <v>2954</v>
      </c>
      <c r="E85" t="s">
        <v>2955</v>
      </c>
      <c r="F85" s="5">
        <v>19893700</v>
      </c>
    </row>
    <row r="86" spans="1:6" x14ac:dyDescent="0.2">
      <c r="B86" t="s">
        <v>2971</v>
      </c>
      <c r="C86" t="s">
        <v>2972</v>
      </c>
      <c r="D86" t="s">
        <v>2973</v>
      </c>
      <c r="E86" t="s">
        <v>2974</v>
      </c>
      <c r="F86" s="5">
        <v>84382120</v>
      </c>
    </row>
    <row r="87" spans="1:6" x14ac:dyDescent="0.2">
      <c r="D87" t="s">
        <v>3038</v>
      </c>
      <c r="E87" t="s">
        <v>3039</v>
      </c>
      <c r="F87" s="5">
        <v>6714100</v>
      </c>
    </row>
    <row r="88" spans="1:6" x14ac:dyDescent="0.2">
      <c r="D88" t="s">
        <v>3045</v>
      </c>
      <c r="E88" t="s">
        <v>3046</v>
      </c>
      <c r="F88" s="5">
        <v>72791100</v>
      </c>
    </row>
    <row r="89" spans="1:6" x14ac:dyDescent="0.2">
      <c r="C89" t="s">
        <v>3073</v>
      </c>
      <c r="D89" t="s">
        <v>3074</v>
      </c>
      <c r="E89" t="s">
        <v>3075</v>
      </c>
      <c r="F89" s="5">
        <v>31491950</v>
      </c>
    </row>
    <row r="90" spans="1:6" x14ac:dyDescent="0.2">
      <c r="C90" t="s">
        <v>3093</v>
      </c>
      <c r="D90" t="s">
        <v>3094</v>
      </c>
      <c r="E90" t="s">
        <v>3095</v>
      </c>
      <c r="F90" s="5">
        <v>55955800</v>
      </c>
    </row>
    <row r="91" spans="1:6" x14ac:dyDescent="0.2">
      <c r="C91" t="s">
        <v>3153</v>
      </c>
      <c r="D91" t="s">
        <v>3154</v>
      </c>
      <c r="E91" t="s">
        <v>3155</v>
      </c>
      <c r="F91" s="5">
        <v>24837550</v>
      </c>
    </row>
    <row r="92" spans="1:6" x14ac:dyDescent="0.2">
      <c r="B92" t="s">
        <v>3190</v>
      </c>
      <c r="C92" t="s">
        <v>3191</v>
      </c>
      <c r="D92" t="s">
        <v>3192</v>
      </c>
      <c r="E92" t="s">
        <v>3193</v>
      </c>
      <c r="F92" s="5">
        <v>9177600</v>
      </c>
    </row>
    <row r="93" spans="1:6" x14ac:dyDescent="0.2">
      <c r="C93" t="s">
        <v>3204</v>
      </c>
      <c r="D93" t="s">
        <v>3205</v>
      </c>
      <c r="E93" t="s">
        <v>3206</v>
      </c>
      <c r="F93" s="5">
        <v>21515300</v>
      </c>
    </row>
    <row r="94" spans="1:6" x14ac:dyDescent="0.2">
      <c r="D94" t="s">
        <v>3249</v>
      </c>
      <c r="E94" t="s">
        <v>3250</v>
      </c>
      <c r="F94" s="5">
        <v>50611700</v>
      </c>
    </row>
    <row r="95" spans="1:6" x14ac:dyDescent="0.2">
      <c r="C95" t="s">
        <v>3271</v>
      </c>
      <c r="D95" t="s">
        <v>3272</v>
      </c>
      <c r="E95" t="s">
        <v>3273</v>
      </c>
      <c r="F95" s="5">
        <v>85471200</v>
      </c>
    </row>
    <row r="96" spans="1:6" x14ac:dyDescent="0.2">
      <c r="B96" t="s">
        <v>2233</v>
      </c>
      <c r="C96" t="s">
        <v>2234</v>
      </c>
      <c r="D96" t="s">
        <v>2235</v>
      </c>
      <c r="E96" t="s">
        <v>2236</v>
      </c>
      <c r="F96" s="5">
        <v>44984010</v>
      </c>
    </row>
    <row r="97" spans="1:6" x14ac:dyDescent="0.2">
      <c r="D97" t="s">
        <v>2259</v>
      </c>
      <c r="E97" t="s">
        <v>2260</v>
      </c>
      <c r="F97" s="5">
        <v>145037475</v>
      </c>
    </row>
    <row r="98" spans="1:6" x14ac:dyDescent="0.2">
      <c r="C98" t="s">
        <v>2344</v>
      </c>
      <c r="D98" t="s">
        <v>2345</v>
      </c>
      <c r="E98" t="s">
        <v>2346</v>
      </c>
      <c r="F98" s="5">
        <v>38694150</v>
      </c>
    </row>
    <row r="99" spans="1:6" x14ac:dyDescent="0.2">
      <c r="C99" t="s">
        <v>2367</v>
      </c>
      <c r="D99" t="s">
        <v>2368</v>
      </c>
      <c r="E99" t="s">
        <v>2369</v>
      </c>
      <c r="F99" s="5">
        <v>69743350</v>
      </c>
    </row>
    <row r="100" spans="1:6" x14ac:dyDescent="0.2">
      <c r="C100" t="s">
        <v>2427</v>
      </c>
      <c r="D100" t="s">
        <v>2428</v>
      </c>
      <c r="E100" t="s">
        <v>2429</v>
      </c>
      <c r="F100" s="5">
        <v>40473410</v>
      </c>
    </row>
    <row r="101" spans="1:6" x14ac:dyDescent="0.2">
      <c r="B101" t="s">
        <v>2466</v>
      </c>
      <c r="C101" t="s">
        <v>2467</v>
      </c>
      <c r="D101" t="s">
        <v>2468</v>
      </c>
      <c r="E101" t="s">
        <v>2469</v>
      </c>
      <c r="F101" s="5">
        <v>57190600</v>
      </c>
    </row>
    <row r="102" spans="1:6" x14ac:dyDescent="0.2">
      <c r="D102" t="s">
        <v>2497</v>
      </c>
      <c r="E102" t="s">
        <v>2498</v>
      </c>
      <c r="F102" s="5">
        <v>37373900</v>
      </c>
    </row>
    <row r="103" spans="1:6" x14ac:dyDescent="0.2">
      <c r="C103" t="s">
        <v>2513</v>
      </c>
      <c r="D103" t="s">
        <v>2514</v>
      </c>
      <c r="E103" t="s">
        <v>2515</v>
      </c>
      <c r="F103" s="5">
        <v>70936050</v>
      </c>
    </row>
    <row r="104" spans="1:6" x14ac:dyDescent="0.2">
      <c r="D104" t="s">
        <v>2563</v>
      </c>
      <c r="E104" t="s">
        <v>2564</v>
      </c>
      <c r="F104" s="5">
        <v>28567800</v>
      </c>
    </row>
    <row r="105" spans="1:6" x14ac:dyDescent="0.2">
      <c r="C105" t="s">
        <v>2573</v>
      </c>
      <c r="D105" t="s">
        <v>2574</v>
      </c>
      <c r="E105" t="s">
        <v>2575</v>
      </c>
      <c r="F105" s="5">
        <v>222864445</v>
      </c>
    </row>
    <row r="106" spans="1:6" x14ac:dyDescent="0.2">
      <c r="D106" t="s">
        <v>2684</v>
      </c>
      <c r="E106" t="s">
        <v>2685</v>
      </c>
      <c r="F106" s="5">
        <v>43662950</v>
      </c>
    </row>
    <row r="107" spans="1:6" x14ac:dyDescent="0.2">
      <c r="B107" t="s">
        <v>2098</v>
      </c>
      <c r="C107" t="s">
        <v>2108</v>
      </c>
      <c r="D107" t="s">
        <v>2109</v>
      </c>
      <c r="E107" t="s">
        <v>2110</v>
      </c>
      <c r="F107" s="5">
        <v>80662750</v>
      </c>
    </row>
    <row r="108" spans="1:6" x14ac:dyDescent="0.2">
      <c r="C108" t="s">
        <v>2182</v>
      </c>
      <c r="D108" t="s">
        <v>2183</v>
      </c>
      <c r="E108" t="s">
        <v>2184</v>
      </c>
      <c r="F108" s="5">
        <v>13979250</v>
      </c>
    </row>
    <row r="109" spans="1:6" x14ac:dyDescent="0.2">
      <c r="A109" t="s">
        <v>3333</v>
      </c>
      <c r="B109" t="s">
        <v>3442</v>
      </c>
      <c r="C109" t="s">
        <v>3443</v>
      </c>
      <c r="D109" t="s">
        <v>3444</v>
      </c>
      <c r="E109" t="s">
        <v>3445</v>
      </c>
      <c r="F109" s="5">
        <v>35135025</v>
      </c>
    </row>
    <row r="110" spans="1:6" x14ac:dyDescent="0.2">
      <c r="D110" t="s">
        <v>3453</v>
      </c>
      <c r="E110" t="s">
        <v>3454</v>
      </c>
      <c r="F110" s="5">
        <v>16491000</v>
      </c>
    </row>
    <row r="111" spans="1:6" x14ac:dyDescent="0.2">
      <c r="D111" t="s">
        <v>3461</v>
      </c>
      <c r="E111" t="s">
        <v>3462</v>
      </c>
      <c r="F111" s="5">
        <v>5321400</v>
      </c>
    </row>
    <row r="112" spans="1:6" x14ac:dyDescent="0.2">
      <c r="C112" t="s">
        <v>3466</v>
      </c>
      <c r="D112" t="s">
        <v>3467</v>
      </c>
      <c r="E112" t="s">
        <v>3468</v>
      </c>
      <c r="F112" s="5">
        <v>139385950</v>
      </c>
    </row>
    <row r="113" spans="2:6" x14ac:dyDescent="0.2">
      <c r="D113" t="s">
        <v>3526</v>
      </c>
      <c r="E113" t="s">
        <v>3527</v>
      </c>
      <c r="F113" s="5">
        <v>67032500</v>
      </c>
    </row>
    <row r="114" spans="2:6" x14ac:dyDescent="0.2">
      <c r="D114" t="s">
        <v>3564</v>
      </c>
      <c r="E114" t="s">
        <v>3565</v>
      </c>
      <c r="F114" s="5">
        <v>41000900</v>
      </c>
    </row>
    <row r="115" spans="2:6" x14ac:dyDescent="0.2">
      <c r="D115" t="s">
        <v>3577</v>
      </c>
      <c r="E115" t="s">
        <v>3578</v>
      </c>
      <c r="F115" s="5">
        <v>105551550</v>
      </c>
    </row>
    <row r="116" spans="2:6" x14ac:dyDescent="0.2">
      <c r="C116" t="s">
        <v>3626</v>
      </c>
      <c r="D116" t="s">
        <v>3627</v>
      </c>
      <c r="E116" t="s">
        <v>3628</v>
      </c>
      <c r="F116" s="5">
        <v>108548875</v>
      </c>
    </row>
    <row r="117" spans="2:6" x14ac:dyDescent="0.2">
      <c r="D117" t="s">
        <v>3688</v>
      </c>
      <c r="E117" t="s">
        <v>3689</v>
      </c>
      <c r="F117" s="5">
        <v>85934750</v>
      </c>
    </row>
    <row r="118" spans="2:6" x14ac:dyDescent="0.2">
      <c r="D118" t="s">
        <v>3731</v>
      </c>
      <c r="E118" t="s">
        <v>3732</v>
      </c>
      <c r="F118" s="5">
        <v>7843100</v>
      </c>
    </row>
    <row r="119" spans="2:6" x14ac:dyDescent="0.2">
      <c r="B119" t="s">
        <v>3739</v>
      </c>
      <c r="C119" t="s">
        <v>3740</v>
      </c>
      <c r="D119" t="s">
        <v>3741</v>
      </c>
      <c r="E119" t="s">
        <v>3742</v>
      </c>
      <c r="F119" s="5">
        <v>19936400</v>
      </c>
    </row>
    <row r="120" spans="2:6" x14ac:dyDescent="0.2">
      <c r="C120" t="s">
        <v>3752</v>
      </c>
      <c r="D120" t="s">
        <v>3753</v>
      </c>
      <c r="E120" t="s">
        <v>3754</v>
      </c>
      <c r="F120" s="5">
        <v>201680800</v>
      </c>
    </row>
    <row r="121" spans="2:6" x14ac:dyDescent="0.2">
      <c r="D121" t="s">
        <v>3836</v>
      </c>
      <c r="E121" t="s">
        <v>3837</v>
      </c>
      <c r="F121" s="5">
        <v>144996005</v>
      </c>
    </row>
    <row r="122" spans="2:6" x14ac:dyDescent="0.2">
      <c r="D122" t="s">
        <v>3892</v>
      </c>
      <c r="E122" t="s">
        <v>3893</v>
      </c>
      <c r="F122" s="5">
        <v>13736500</v>
      </c>
    </row>
    <row r="123" spans="2:6" x14ac:dyDescent="0.2">
      <c r="B123" t="s">
        <v>3902</v>
      </c>
      <c r="C123" t="s">
        <v>3903</v>
      </c>
      <c r="D123" t="s">
        <v>3904</v>
      </c>
      <c r="E123" t="s">
        <v>3905</v>
      </c>
      <c r="F123" s="5">
        <v>25280200</v>
      </c>
    </row>
    <row r="124" spans="2:6" x14ac:dyDescent="0.2">
      <c r="C124" t="s">
        <v>3920</v>
      </c>
      <c r="D124" t="s">
        <v>3921</v>
      </c>
      <c r="E124" t="s">
        <v>3922</v>
      </c>
      <c r="F124" s="5">
        <v>68014950</v>
      </c>
    </row>
    <row r="125" spans="2:6" x14ac:dyDescent="0.2">
      <c r="B125" t="s">
        <v>3334</v>
      </c>
      <c r="C125" t="s">
        <v>3335</v>
      </c>
      <c r="D125" t="s">
        <v>3336</v>
      </c>
      <c r="E125" t="s">
        <v>3337</v>
      </c>
      <c r="F125" s="5">
        <v>24879110</v>
      </c>
    </row>
    <row r="126" spans="2:6" x14ac:dyDescent="0.2">
      <c r="D126" t="s">
        <v>3361</v>
      </c>
      <c r="E126" t="s">
        <v>3362</v>
      </c>
      <c r="F126" s="5">
        <v>22780815</v>
      </c>
    </row>
    <row r="127" spans="2:6" x14ac:dyDescent="0.2">
      <c r="D127" t="s">
        <v>3369</v>
      </c>
      <c r="E127" t="s">
        <v>3370</v>
      </c>
      <c r="F127" s="5">
        <v>28411000</v>
      </c>
    </row>
    <row r="128" spans="2:6" x14ac:dyDescent="0.2">
      <c r="D128" t="s">
        <v>3383</v>
      </c>
      <c r="E128" t="s">
        <v>3384</v>
      </c>
      <c r="F128" s="5">
        <v>40759750</v>
      </c>
    </row>
    <row r="129" spans="1:6" x14ac:dyDescent="0.2">
      <c r="D129" t="s">
        <v>3393</v>
      </c>
      <c r="E129" t="s">
        <v>3394</v>
      </c>
      <c r="F129" s="5">
        <v>3196000</v>
      </c>
    </row>
    <row r="130" spans="1:6" x14ac:dyDescent="0.2">
      <c r="C130" t="s">
        <v>3399</v>
      </c>
      <c r="D130" t="s">
        <v>3400</v>
      </c>
      <c r="E130" t="s">
        <v>3401</v>
      </c>
      <c r="F130" s="5">
        <v>27278925</v>
      </c>
    </row>
    <row r="131" spans="1:6" x14ac:dyDescent="0.2">
      <c r="C131" t="s">
        <v>3409</v>
      </c>
      <c r="D131" t="s">
        <v>3410</v>
      </c>
      <c r="E131" t="s">
        <v>3411</v>
      </c>
      <c r="F131" s="5">
        <v>84374500</v>
      </c>
    </row>
    <row r="132" spans="1:6" x14ac:dyDescent="0.2">
      <c r="D132" t="s">
        <v>3436</v>
      </c>
      <c r="E132" t="s">
        <v>3437</v>
      </c>
      <c r="F132" s="5">
        <v>15512100</v>
      </c>
    </row>
    <row r="133" spans="1:6" x14ac:dyDescent="0.2">
      <c r="A133" t="s">
        <v>3939</v>
      </c>
      <c r="B133" t="s">
        <v>3939</v>
      </c>
      <c r="C133" t="s">
        <v>3939</v>
      </c>
      <c r="D133" t="s">
        <v>3939</v>
      </c>
      <c r="E133" t="s">
        <v>3939</v>
      </c>
    </row>
    <row r="134" spans="1:6" x14ac:dyDescent="0.2">
      <c r="A134" t="s">
        <v>3937</v>
      </c>
      <c r="F134" s="5">
        <v>7040628205</v>
      </c>
    </row>
    <row r="135" spans="1:6" x14ac:dyDescent="0.2">
      <c r="F135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73BF5-2D2F-482D-9F31-28940C6221E5}">
  <sheetPr filterMode="1"/>
  <dimension ref="A2:R1121"/>
  <sheetViews>
    <sheetView topLeftCell="B1" workbookViewId="0">
      <selection activeCell="B2" sqref="B2"/>
    </sheetView>
  </sheetViews>
  <sheetFormatPr defaultRowHeight="12.75" x14ac:dyDescent="0.2"/>
  <cols>
    <col min="1" max="1" width="13.140625" style="6" bestFit="1" customWidth="1"/>
    <col min="2" max="3" width="12.28515625" style="6" bestFit="1" customWidth="1"/>
    <col min="4" max="4" width="15.7109375" style="6" bestFit="1" customWidth="1"/>
    <col min="5" max="5" width="17.7109375" style="6" bestFit="1" customWidth="1"/>
    <col min="6" max="6" width="22" style="6" bestFit="1" customWidth="1"/>
    <col min="7" max="7" width="15.7109375" style="6" bestFit="1" customWidth="1"/>
    <col min="8" max="8" width="38.28515625" bestFit="1" customWidth="1"/>
    <col min="9" max="9" width="20.140625" bestFit="1" customWidth="1"/>
    <col min="10" max="10" width="14" style="6" bestFit="1" customWidth="1"/>
    <col min="11" max="11" width="13.7109375" style="5" bestFit="1" customWidth="1"/>
    <col min="12" max="12" width="20.28515625" style="5" bestFit="1" customWidth="1"/>
    <col min="13" max="13" width="11.85546875" style="5" bestFit="1" customWidth="1"/>
    <col min="14" max="14" width="13.7109375" style="5" bestFit="1" customWidth="1"/>
    <col min="15" max="16" width="10.5703125" style="5" bestFit="1" customWidth="1"/>
    <col min="17" max="17" width="11.140625" bestFit="1" customWidth="1"/>
    <col min="18" max="18" width="9.85546875" customWidth="1"/>
  </cols>
  <sheetData>
    <row r="2" spans="1:18" s="6" customFormat="1" ht="13.5" x14ac:dyDescent="0.2">
      <c r="A2" s="10" t="s">
        <v>4024</v>
      </c>
      <c r="B2" s="10" t="s">
        <v>4025</v>
      </c>
      <c r="C2" s="10" t="s">
        <v>4026</v>
      </c>
      <c r="D2" s="10" t="s">
        <v>4027</v>
      </c>
      <c r="E2" s="10" t="s">
        <v>10</v>
      </c>
      <c r="F2" s="10" t="s">
        <v>11</v>
      </c>
      <c r="G2" s="10" t="s">
        <v>5</v>
      </c>
      <c r="H2" s="10" t="s">
        <v>6</v>
      </c>
      <c r="I2" s="10" t="s">
        <v>20</v>
      </c>
      <c r="J2" s="10" t="s">
        <v>3945</v>
      </c>
      <c r="K2" s="10" t="s">
        <v>3942</v>
      </c>
      <c r="L2" s="10" t="s">
        <v>4035</v>
      </c>
      <c r="M2" s="10" t="s">
        <v>3943</v>
      </c>
      <c r="N2" s="10" t="s">
        <v>3947</v>
      </c>
      <c r="O2" s="10" t="s">
        <v>3944</v>
      </c>
      <c r="P2" s="10" t="s">
        <v>3949</v>
      </c>
      <c r="Q2" s="10" t="s">
        <v>3950</v>
      </c>
      <c r="R2" s="46"/>
    </row>
    <row r="3" spans="1:18" ht="13.5" x14ac:dyDescent="0.2">
      <c r="A3" s="47" t="s">
        <v>23</v>
      </c>
      <c r="B3" s="47" t="s">
        <v>24</v>
      </c>
      <c r="C3" s="21" t="s">
        <v>25</v>
      </c>
      <c r="D3" s="47" t="s">
        <v>26</v>
      </c>
      <c r="E3" s="21" t="s">
        <v>128</v>
      </c>
      <c r="F3" s="47" t="s">
        <v>135</v>
      </c>
      <c r="G3" s="21" t="s">
        <v>27</v>
      </c>
      <c r="H3" s="7" t="s">
        <v>28</v>
      </c>
      <c r="I3" s="8" t="s">
        <v>137</v>
      </c>
      <c r="J3" s="9">
        <v>1375800</v>
      </c>
      <c r="K3" s="8"/>
      <c r="L3" s="8"/>
      <c r="M3" s="8"/>
      <c r="N3" s="42">
        <f>J3</f>
        <v>1375800</v>
      </c>
      <c r="O3" s="42">
        <f>N3*1.5</f>
        <v>2063700</v>
      </c>
      <c r="P3" s="42"/>
      <c r="Q3" s="42">
        <f>SUM(O3:P3)</f>
        <v>2063700</v>
      </c>
    </row>
    <row r="4" spans="1:18" ht="13.5" x14ac:dyDescent="0.2">
      <c r="A4" s="47" t="s">
        <v>23</v>
      </c>
      <c r="B4" s="47" t="s">
        <v>24</v>
      </c>
      <c r="C4" s="21" t="s">
        <v>25</v>
      </c>
      <c r="D4" s="47" t="s">
        <v>26</v>
      </c>
      <c r="E4" s="21" t="s">
        <v>128</v>
      </c>
      <c r="F4" s="47" t="s">
        <v>135</v>
      </c>
      <c r="G4" s="21" t="s">
        <v>154</v>
      </c>
      <c r="H4" s="7" t="s">
        <v>155</v>
      </c>
      <c r="I4" s="8" t="s">
        <v>177</v>
      </c>
      <c r="J4" s="9">
        <v>5204000</v>
      </c>
      <c r="K4" s="8"/>
      <c r="L4" s="8"/>
      <c r="M4" s="8"/>
      <c r="N4" s="42">
        <f>J4</f>
        <v>5204000</v>
      </c>
      <c r="O4" s="42"/>
      <c r="P4" s="42">
        <f>N4</f>
        <v>5204000</v>
      </c>
      <c r="Q4" s="42">
        <f t="shared" ref="Q4:Q5" si="0">SUM(O4:P4)</f>
        <v>5204000</v>
      </c>
      <c r="R4" s="5"/>
    </row>
    <row r="5" spans="1:18" ht="13.5" x14ac:dyDescent="0.2">
      <c r="A5" s="47" t="s">
        <v>23</v>
      </c>
      <c r="B5" s="47" t="s">
        <v>24</v>
      </c>
      <c r="C5" s="21" t="s">
        <v>25</v>
      </c>
      <c r="D5" s="47" t="s">
        <v>26</v>
      </c>
      <c r="E5" s="21" t="s">
        <v>128</v>
      </c>
      <c r="F5" s="47" t="s">
        <v>135</v>
      </c>
      <c r="G5" s="21" t="s">
        <v>154</v>
      </c>
      <c r="H5" s="7" t="s">
        <v>155</v>
      </c>
      <c r="I5" s="8" t="s">
        <v>156</v>
      </c>
      <c r="J5" s="9">
        <v>2161800</v>
      </c>
      <c r="K5" s="8"/>
      <c r="L5" s="8"/>
      <c r="M5" s="8"/>
      <c r="N5" s="42">
        <f t="shared" ref="N5:N14" si="1">J5</f>
        <v>2161800</v>
      </c>
      <c r="O5" s="42"/>
      <c r="P5" s="42">
        <f>N5</f>
        <v>2161800</v>
      </c>
      <c r="Q5" s="42">
        <f t="shared" si="0"/>
        <v>2161800</v>
      </c>
      <c r="R5" s="5"/>
    </row>
    <row r="6" spans="1:18" ht="13.5" hidden="1" x14ac:dyDescent="0.2">
      <c r="A6" s="12" t="s">
        <v>23</v>
      </c>
      <c r="B6" s="12" t="s">
        <v>24</v>
      </c>
      <c r="C6" s="13" t="s">
        <v>25</v>
      </c>
      <c r="D6" s="12" t="s">
        <v>26</v>
      </c>
      <c r="E6" s="13" t="s">
        <v>128</v>
      </c>
      <c r="F6" s="12" t="s">
        <v>181</v>
      </c>
      <c r="G6" s="13" t="s">
        <v>154</v>
      </c>
      <c r="H6" s="12" t="s">
        <v>155</v>
      </c>
      <c r="I6" s="13" t="s">
        <v>182</v>
      </c>
      <c r="J6" s="14" t="s">
        <v>3946</v>
      </c>
      <c r="K6" s="18"/>
      <c r="L6" s="18"/>
      <c r="M6" s="18"/>
      <c r="N6" s="19" t="s">
        <v>3946</v>
      </c>
      <c r="O6"/>
      <c r="P6"/>
    </row>
    <row r="7" spans="1:18" ht="13.5" x14ac:dyDescent="0.2">
      <c r="A7" s="47" t="s">
        <v>23</v>
      </c>
      <c r="B7" s="47" t="s">
        <v>24</v>
      </c>
      <c r="C7" s="21" t="s">
        <v>25</v>
      </c>
      <c r="D7" s="47" t="s">
        <v>26</v>
      </c>
      <c r="E7" s="21" t="s">
        <v>31</v>
      </c>
      <c r="F7" s="47" t="s">
        <v>32</v>
      </c>
      <c r="G7" s="21" t="s">
        <v>27</v>
      </c>
      <c r="H7" s="7" t="s">
        <v>28</v>
      </c>
      <c r="I7" s="8" t="s">
        <v>37</v>
      </c>
      <c r="J7" s="9">
        <v>2884800</v>
      </c>
      <c r="K7" s="8"/>
      <c r="L7" s="8"/>
      <c r="M7" s="8"/>
      <c r="N7" s="42">
        <f t="shared" si="1"/>
        <v>2884800</v>
      </c>
      <c r="O7" s="42"/>
      <c r="P7" s="42">
        <f t="shared" ref="P7:P8" si="2">N7</f>
        <v>2884800</v>
      </c>
      <c r="Q7" s="42">
        <f t="shared" ref="Q7:Q40" si="3">SUM(O7:P7)</f>
        <v>2884800</v>
      </c>
      <c r="R7" s="5"/>
    </row>
    <row r="8" spans="1:18" ht="13.5" x14ac:dyDescent="0.2">
      <c r="A8" s="47" t="s">
        <v>23</v>
      </c>
      <c r="B8" s="47" t="s">
        <v>24</v>
      </c>
      <c r="C8" s="21" t="s">
        <v>25</v>
      </c>
      <c r="D8" s="47" t="s">
        <v>26</v>
      </c>
      <c r="E8" s="21" t="s">
        <v>31</v>
      </c>
      <c r="F8" s="47" t="s">
        <v>32</v>
      </c>
      <c r="G8" s="21" t="s">
        <v>27</v>
      </c>
      <c r="H8" s="7" t="s">
        <v>28</v>
      </c>
      <c r="I8" s="8" t="s">
        <v>90</v>
      </c>
      <c r="J8" s="9">
        <v>152900</v>
      </c>
      <c r="K8" s="8"/>
      <c r="L8" s="8"/>
      <c r="M8" s="8"/>
      <c r="N8" s="42">
        <f t="shared" si="1"/>
        <v>152900</v>
      </c>
      <c r="O8" s="42"/>
      <c r="P8" s="42">
        <f t="shared" si="2"/>
        <v>152900</v>
      </c>
      <c r="Q8" s="42">
        <f t="shared" si="3"/>
        <v>152900</v>
      </c>
      <c r="R8" s="5"/>
    </row>
    <row r="9" spans="1:18" ht="13.5" x14ac:dyDescent="0.2">
      <c r="A9" s="47" t="s">
        <v>23</v>
      </c>
      <c r="B9" s="47" t="s">
        <v>24</v>
      </c>
      <c r="C9" s="21" t="s">
        <v>25</v>
      </c>
      <c r="D9" s="47" t="s">
        <v>26</v>
      </c>
      <c r="E9" s="21" t="s">
        <v>31</v>
      </c>
      <c r="F9" s="47" t="s">
        <v>32</v>
      </c>
      <c r="G9" s="21" t="s">
        <v>27</v>
      </c>
      <c r="H9" s="7" t="s">
        <v>28</v>
      </c>
      <c r="I9" s="8" t="s">
        <v>120</v>
      </c>
      <c r="J9" s="9">
        <v>1999800</v>
      </c>
      <c r="K9" s="8"/>
      <c r="L9" s="8"/>
      <c r="M9" s="8"/>
      <c r="N9" s="42">
        <f t="shared" si="1"/>
        <v>1999800</v>
      </c>
      <c r="O9" s="42">
        <f t="shared" ref="O9:O10" si="4">N9*1.5</f>
        <v>2999700</v>
      </c>
      <c r="P9" s="42"/>
      <c r="Q9" s="42">
        <f t="shared" si="3"/>
        <v>2999700</v>
      </c>
    </row>
    <row r="10" spans="1:18" ht="13.5" x14ac:dyDescent="0.2">
      <c r="A10" s="47" t="s">
        <v>23</v>
      </c>
      <c r="B10" s="47" t="s">
        <v>24</v>
      </c>
      <c r="C10" s="21" t="s">
        <v>25</v>
      </c>
      <c r="D10" s="47" t="s">
        <v>26</v>
      </c>
      <c r="E10" s="21" t="s">
        <v>31</v>
      </c>
      <c r="F10" s="47" t="s">
        <v>32</v>
      </c>
      <c r="G10" s="21" t="s">
        <v>27</v>
      </c>
      <c r="H10" s="7" t="s">
        <v>28</v>
      </c>
      <c r="I10" s="8" t="s">
        <v>122</v>
      </c>
      <c r="J10" s="9">
        <v>1453800</v>
      </c>
      <c r="K10" s="8"/>
      <c r="L10" s="8"/>
      <c r="M10" s="8"/>
      <c r="N10" s="42">
        <f t="shared" si="1"/>
        <v>1453800</v>
      </c>
      <c r="O10" s="42">
        <f t="shared" si="4"/>
        <v>2180700</v>
      </c>
      <c r="P10" s="42"/>
      <c r="Q10" s="42">
        <f t="shared" si="3"/>
        <v>2180700</v>
      </c>
    </row>
    <row r="11" spans="1:18" ht="13.5" x14ac:dyDescent="0.2">
      <c r="A11" s="47" t="s">
        <v>23</v>
      </c>
      <c r="B11" s="47" t="s">
        <v>24</v>
      </c>
      <c r="C11" s="21" t="s">
        <v>25</v>
      </c>
      <c r="D11" s="47" t="s">
        <v>26</v>
      </c>
      <c r="E11" s="21" t="s">
        <v>31</v>
      </c>
      <c r="F11" s="47" t="s">
        <v>32</v>
      </c>
      <c r="G11" s="21" t="s">
        <v>146</v>
      </c>
      <c r="H11" s="7" t="s">
        <v>147</v>
      </c>
      <c r="I11" s="8" t="s">
        <v>149</v>
      </c>
      <c r="J11" s="9">
        <v>3793200</v>
      </c>
      <c r="K11" s="8"/>
      <c r="L11" s="8"/>
      <c r="M11" s="8"/>
      <c r="N11" s="42">
        <f t="shared" si="1"/>
        <v>3793200</v>
      </c>
      <c r="O11" s="42"/>
      <c r="P11" s="42">
        <f>N11</f>
        <v>3793200</v>
      </c>
      <c r="Q11" s="42">
        <f t="shared" si="3"/>
        <v>3793200</v>
      </c>
      <c r="R11" s="5"/>
    </row>
    <row r="12" spans="1:18" ht="13.5" x14ac:dyDescent="0.2">
      <c r="A12" s="47" t="s">
        <v>23</v>
      </c>
      <c r="B12" s="47" t="s">
        <v>24</v>
      </c>
      <c r="C12" s="21" t="s">
        <v>25</v>
      </c>
      <c r="D12" s="47" t="s">
        <v>26</v>
      </c>
      <c r="E12" s="21" t="s">
        <v>31</v>
      </c>
      <c r="F12" s="47" t="s">
        <v>32</v>
      </c>
      <c r="G12" s="21" t="s">
        <v>146</v>
      </c>
      <c r="H12" s="7" t="s">
        <v>147</v>
      </c>
      <c r="I12" s="8" t="s">
        <v>152</v>
      </c>
      <c r="J12" s="9">
        <v>9630600</v>
      </c>
      <c r="K12" s="8"/>
      <c r="L12" s="8"/>
      <c r="M12" s="8"/>
      <c r="N12" s="42">
        <f t="shared" si="1"/>
        <v>9630600</v>
      </c>
      <c r="O12" s="42">
        <f t="shared" ref="O12:O13" si="5">N12*1.5</f>
        <v>14445900</v>
      </c>
      <c r="P12" s="42"/>
      <c r="Q12" s="42">
        <f t="shared" si="3"/>
        <v>14445900</v>
      </c>
    </row>
    <row r="13" spans="1:18" ht="13.5" x14ac:dyDescent="0.2">
      <c r="A13" s="47" t="s">
        <v>23</v>
      </c>
      <c r="B13" s="47" t="s">
        <v>24</v>
      </c>
      <c r="C13" s="21" t="s">
        <v>25</v>
      </c>
      <c r="D13" s="47" t="s">
        <v>26</v>
      </c>
      <c r="E13" s="21" t="s">
        <v>31</v>
      </c>
      <c r="F13" s="47" t="s">
        <v>32</v>
      </c>
      <c r="G13" s="21" t="s">
        <v>154</v>
      </c>
      <c r="H13" s="7" t="s">
        <v>155</v>
      </c>
      <c r="I13" s="8" t="s">
        <v>165</v>
      </c>
      <c r="J13" s="9">
        <v>515000</v>
      </c>
      <c r="K13" s="8"/>
      <c r="L13" s="8"/>
      <c r="M13" s="8"/>
      <c r="N13" s="42">
        <f t="shared" si="1"/>
        <v>515000</v>
      </c>
      <c r="O13" s="42">
        <f t="shared" si="5"/>
        <v>772500</v>
      </c>
      <c r="P13" s="42"/>
      <c r="Q13" s="42">
        <f t="shared" si="3"/>
        <v>772500</v>
      </c>
    </row>
    <row r="14" spans="1:18" ht="13.5" x14ac:dyDescent="0.2">
      <c r="A14" s="47" t="s">
        <v>23</v>
      </c>
      <c r="B14" s="47" t="s">
        <v>24</v>
      </c>
      <c r="C14" s="21" t="s">
        <v>25</v>
      </c>
      <c r="D14" s="47" t="s">
        <v>26</v>
      </c>
      <c r="E14" s="21" t="s">
        <v>31</v>
      </c>
      <c r="F14" s="47" t="s">
        <v>32</v>
      </c>
      <c r="G14" s="21" t="s">
        <v>154</v>
      </c>
      <c r="H14" s="7" t="s">
        <v>155</v>
      </c>
      <c r="I14" s="8" t="s">
        <v>185</v>
      </c>
      <c r="J14" s="9">
        <v>2051800</v>
      </c>
      <c r="K14" s="8"/>
      <c r="L14" s="8"/>
      <c r="M14" s="8"/>
      <c r="N14" s="42">
        <f t="shared" si="1"/>
        <v>2051800</v>
      </c>
      <c r="O14" s="42"/>
      <c r="P14" s="42">
        <f t="shared" ref="P14:P32" si="6">N14</f>
        <v>2051800</v>
      </c>
      <c r="Q14" s="42">
        <f t="shared" si="3"/>
        <v>2051800</v>
      </c>
      <c r="R14" s="5"/>
    </row>
    <row r="15" spans="1:18" ht="13.5" x14ac:dyDescent="0.2">
      <c r="A15" s="47" t="s">
        <v>23</v>
      </c>
      <c r="B15" s="47" t="s">
        <v>24</v>
      </c>
      <c r="C15" s="21" t="s">
        <v>25</v>
      </c>
      <c r="D15" s="47" t="s">
        <v>26</v>
      </c>
      <c r="E15" s="21" t="s">
        <v>41</v>
      </c>
      <c r="F15" s="47" t="s">
        <v>32</v>
      </c>
      <c r="G15" s="21" t="s">
        <v>27</v>
      </c>
      <c r="H15" s="7" t="s">
        <v>28</v>
      </c>
      <c r="I15" s="8" t="s">
        <v>71</v>
      </c>
      <c r="J15" s="9">
        <v>9140400</v>
      </c>
      <c r="K15" s="8"/>
      <c r="L15" s="42">
        <f>J15*1.5</f>
        <v>13710600</v>
      </c>
      <c r="M15" s="8"/>
      <c r="N15" s="42">
        <f t="shared" ref="N15:N67" si="7">SUM(K15:M15)</f>
        <v>13710600</v>
      </c>
      <c r="O15" s="42"/>
      <c r="P15" s="42">
        <f t="shared" si="6"/>
        <v>13710600</v>
      </c>
      <c r="Q15" s="42">
        <f t="shared" si="3"/>
        <v>13710600</v>
      </c>
      <c r="R15" s="5"/>
    </row>
    <row r="16" spans="1:18" ht="13.5" x14ac:dyDescent="0.2">
      <c r="A16" s="47" t="s">
        <v>23</v>
      </c>
      <c r="B16" s="47" t="s">
        <v>24</v>
      </c>
      <c r="C16" s="21" t="s">
        <v>25</v>
      </c>
      <c r="D16" s="47" t="s">
        <v>26</v>
      </c>
      <c r="E16" s="21" t="s">
        <v>41</v>
      </c>
      <c r="F16" s="47" t="s">
        <v>32</v>
      </c>
      <c r="G16" s="21" t="s">
        <v>27</v>
      </c>
      <c r="H16" s="7" t="s">
        <v>28</v>
      </c>
      <c r="I16" s="8" t="s">
        <v>83</v>
      </c>
      <c r="J16" s="9">
        <v>3054000</v>
      </c>
      <c r="K16" s="8"/>
      <c r="L16" s="42">
        <f t="shared" ref="L16:L38" si="8">J16*1.5</f>
        <v>4581000</v>
      </c>
      <c r="M16" s="8"/>
      <c r="N16" s="42">
        <f t="shared" si="7"/>
        <v>4581000</v>
      </c>
      <c r="O16" s="42"/>
      <c r="P16" s="42">
        <f t="shared" si="6"/>
        <v>4581000</v>
      </c>
      <c r="Q16" s="42">
        <f t="shared" si="3"/>
        <v>4581000</v>
      </c>
      <c r="R16" s="5"/>
    </row>
    <row r="17" spans="1:18" ht="13.5" x14ac:dyDescent="0.2">
      <c r="A17" s="47" t="s">
        <v>23</v>
      </c>
      <c r="B17" s="47" t="s">
        <v>24</v>
      </c>
      <c r="C17" s="21" t="s">
        <v>25</v>
      </c>
      <c r="D17" s="47" t="s">
        <v>26</v>
      </c>
      <c r="E17" s="21" t="s">
        <v>41</v>
      </c>
      <c r="F17" s="47" t="s">
        <v>32</v>
      </c>
      <c r="G17" s="21" t="s">
        <v>27</v>
      </c>
      <c r="H17" s="7" t="s">
        <v>28</v>
      </c>
      <c r="I17" s="8" t="s">
        <v>144</v>
      </c>
      <c r="J17" s="9">
        <v>7149600</v>
      </c>
      <c r="K17" s="8"/>
      <c r="L17" s="42">
        <f t="shared" si="8"/>
        <v>10724400</v>
      </c>
      <c r="M17" s="8"/>
      <c r="N17" s="42">
        <f t="shared" si="7"/>
        <v>10724400</v>
      </c>
      <c r="O17" s="42"/>
      <c r="P17" s="42">
        <f t="shared" si="6"/>
        <v>10724400</v>
      </c>
      <c r="Q17" s="42">
        <f t="shared" si="3"/>
        <v>10724400</v>
      </c>
      <c r="R17" s="5"/>
    </row>
    <row r="18" spans="1:18" ht="13.5" x14ac:dyDescent="0.2">
      <c r="A18" s="47" t="s">
        <v>23</v>
      </c>
      <c r="B18" s="47" t="s">
        <v>24</v>
      </c>
      <c r="C18" s="21" t="s">
        <v>25</v>
      </c>
      <c r="D18" s="47" t="s">
        <v>26</v>
      </c>
      <c r="E18" s="21" t="s">
        <v>41</v>
      </c>
      <c r="F18" s="47" t="s">
        <v>32</v>
      </c>
      <c r="G18" s="21" t="s">
        <v>27</v>
      </c>
      <c r="H18" s="7" t="s">
        <v>28</v>
      </c>
      <c r="I18" s="8" t="s">
        <v>115</v>
      </c>
      <c r="J18" s="9">
        <v>1978000</v>
      </c>
      <c r="K18" s="8"/>
      <c r="L18" s="42">
        <f t="shared" si="8"/>
        <v>2967000</v>
      </c>
      <c r="M18" s="8"/>
      <c r="N18" s="42">
        <f t="shared" si="7"/>
        <v>2967000</v>
      </c>
      <c r="O18" s="42"/>
      <c r="P18" s="42">
        <f t="shared" si="6"/>
        <v>2967000</v>
      </c>
      <c r="Q18" s="42">
        <f t="shared" si="3"/>
        <v>2967000</v>
      </c>
      <c r="R18" s="5"/>
    </row>
    <row r="19" spans="1:18" ht="13.5" x14ac:dyDescent="0.2">
      <c r="A19" s="47" t="s">
        <v>23</v>
      </c>
      <c r="B19" s="47" t="s">
        <v>24</v>
      </c>
      <c r="C19" s="21" t="s">
        <v>25</v>
      </c>
      <c r="D19" s="47" t="s">
        <v>26</v>
      </c>
      <c r="E19" s="21" t="s">
        <v>41</v>
      </c>
      <c r="F19" s="47" t="s">
        <v>32</v>
      </c>
      <c r="G19" s="21" t="s">
        <v>27</v>
      </c>
      <c r="H19" s="7" t="s">
        <v>28</v>
      </c>
      <c r="I19" s="8" t="s">
        <v>92</v>
      </c>
      <c r="J19" s="9">
        <v>4556000</v>
      </c>
      <c r="K19" s="8"/>
      <c r="L19" s="42">
        <f t="shared" si="8"/>
        <v>6834000</v>
      </c>
      <c r="M19" s="8"/>
      <c r="N19" s="42">
        <f t="shared" si="7"/>
        <v>6834000</v>
      </c>
      <c r="O19" s="42"/>
      <c r="P19" s="42">
        <f t="shared" si="6"/>
        <v>6834000</v>
      </c>
      <c r="Q19" s="42">
        <f t="shared" si="3"/>
        <v>6834000</v>
      </c>
      <c r="R19" s="5"/>
    </row>
    <row r="20" spans="1:18" ht="13.5" x14ac:dyDescent="0.2">
      <c r="A20" s="47" t="s">
        <v>23</v>
      </c>
      <c r="B20" s="47" t="s">
        <v>24</v>
      </c>
      <c r="C20" s="21" t="s">
        <v>25</v>
      </c>
      <c r="D20" s="47" t="s">
        <v>26</v>
      </c>
      <c r="E20" s="21" t="s">
        <v>41</v>
      </c>
      <c r="F20" s="47" t="s">
        <v>32</v>
      </c>
      <c r="G20" s="21" t="s">
        <v>27</v>
      </c>
      <c r="H20" s="7" t="s">
        <v>28</v>
      </c>
      <c r="I20" s="8" t="s">
        <v>76</v>
      </c>
      <c r="J20" s="9">
        <v>2938000</v>
      </c>
      <c r="K20" s="8"/>
      <c r="L20" s="42">
        <f t="shared" si="8"/>
        <v>4407000</v>
      </c>
      <c r="M20" s="8"/>
      <c r="N20" s="42">
        <f t="shared" si="7"/>
        <v>4407000</v>
      </c>
      <c r="O20" s="42"/>
      <c r="P20" s="42">
        <f t="shared" si="6"/>
        <v>4407000</v>
      </c>
      <c r="Q20" s="42">
        <f t="shared" si="3"/>
        <v>4407000</v>
      </c>
      <c r="R20" s="5"/>
    </row>
    <row r="21" spans="1:18" ht="13.5" x14ac:dyDescent="0.2">
      <c r="A21" s="47" t="s">
        <v>23</v>
      </c>
      <c r="B21" s="47" t="s">
        <v>24</v>
      </c>
      <c r="C21" s="21" t="s">
        <v>25</v>
      </c>
      <c r="D21" s="47" t="s">
        <v>26</v>
      </c>
      <c r="E21" s="21" t="s">
        <v>41</v>
      </c>
      <c r="F21" s="47" t="s">
        <v>32</v>
      </c>
      <c r="G21" s="21" t="s">
        <v>27</v>
      </c>
      <c r="H21" s="7" t="s">
        <v>28</v>
      </c>
      <c r="I21" s="8" t="s">
        <v>142</v>
      </c>
      <c r="J21" s="9">
        <v>2498000</v>
      </c>
      <c r="K21" s="8"/>
      <c r="L21" s="42">
        <f t="shared" si="8"/>
        <v>3747000</v>
      </c>
      <c r="M21" s="8"/>
      <c r="N21" s="42">
        <f t="shared" si="7"/>
        <v>3747000</v>
      </c>
      <c r="O21" s="42"/>
      <c r="P21" s="42">
        <f t="shared" si="6"/>
        <v>3747000</v>
      </c>
      <c r="Q21" s="42">
        <f t="shared" si="3"/>
        <v>3747000</v>
      </c>
      <c r="R21" s="5"/>
    </row>
    <row r="22" spans="1:18" ht="13.5" x14ac:dyDescent="0.2">
      <c r="A22" s="47" t="s">
        <v>23</v>
      </c>
      <c r="B22" s="47" t="s">
        <v>24</v>
      </c>
      <c r="C22" s="21" t="s">
        <v>25</v>
      </c>
      <c r="D22" s="47" t="s">
        <v>26</v>
      </c>
      <c r="E22" s="21" t="s">
        <v>41</v>
      </c>
      <c r="F22" s="47" t="s">
        <v>32</v>
      </c>
      <c r="G22" s="21" t="s">
        <v>27</v>
      </c>
      <c r="H22" s="7" t="s">
        <v>28</v>
      </c>
      <c r="I22" s="8" t="s">
        <v>69</v>
      </c>
      <c r="J22" s="9">
        <v>9310000</v>
      </c>
      <c r="K22" s="8"/>
      <c r="L22" s="42">
        <f t="shared" si="8"/>
        <v>13965000</v>
      </c>
      <c r="M22" s="8"/>
      <c r="N22" s="42">
        <f t="shared" si="7"/>
        <v>13965000</v>
      </c>
      <c r="O22" s="42"/>
      <c r="P22" s="42">
        <f t="shared" si="6"/>
        <v>13965000</v>
      </c>
      <c r="Q22" s="42">
        <f t="shared" si="3"/>
        <v>13965000</v>
      </c>
      <c r="R22" s="5"/>
    </row>
    <row r="23" spans="1:18" ht="13.5" x14ac:dyDescent="0.2">
      <c r="A23" s="47" t="s">
        <v>23</v>
      </c>
      <c r="B23" s="47" t="s">
        <v>24</v>
      </c>
      <c r="C23" s="21" t="s">
        <v>25</v>
      </c>
      <c r="D23" s="47" t="s">
        <v>26</v>
      </c>
      <c r="E23" s="21" t="s">
        <v>41</v>
      </c>
      <c r="F23" s="47" t="s">
        <v>32</v>
      </c>
      <c r="G23" s="21" t="s">
        <v>27</v>
      </c>
      <c r="H23" s="7" t="s">
        <v>28</v>
      </c>
      <c r="I23" s="8" t="s">
        <v>74</v>
      </c>
      <c r="J23" s="9">
        <v>10498000</v>
      </c>
      <c r="K23" s="8"/>
      <c r="L23" s="42">
        <f t="shared" si="8"/>
        <v>15747000</v>
      </c>
      <c r="M23" s="8"/>
      <c r="N23" s="42">
        <f t="shared" si="7"/>
        <v>15747000</v>
      </c>
      <c r="O23" s="42"/>
      <c r="P23" s="42">
        <f t="shared" si="6"/>
        <v>15747000</v>
      </c>
      <c r="Q23" s="42">
        <f t="shared" si="3"/>
        <v>15747000</v>
      </c>
      <c r="R23" s="5"/>
    </row>
    <row r="24" spans="1:18" ht="13.5" x14ac:dyDescent="0.2">
      <c r="A24" s="47" t="s">
        <v>23</v>
      </c>
      <c r="B24" s="47" t="s">
        <v>24</v>
      </c>
      <c r="C24" s="21" t="s">
        <v>25</v>
      </c>
      <c r="D24" s="47" t="s">
        <v>26</v>
      </c>
      <c r="E24" s="21" t="s">
        <v>41</v>
      </c>
      <c r="F24" s="47" t="s">
        <v>32</v>
      </c>
      <c r="G24" s="21" t="s">
        <v>27</v>
      </c>
      <c r="H24" s="7" t="s">
        <v>28</v>
      </c>
      <c r="I24" s="8" t="s">
        <v>100</v>
      </c>
      <c r="J24" s="9">
        <v>17598000</v>
      </c>
      <c r="K24" s="8"/>
      <c r="L24" s="42">
        <f t="shared" si="8"/>
        <v>26397000</v>
      </c>
      <c r="M24" s="8"/>
      <c r="N24" s="42">
        <f t="shared" si="7"/>
        <v>26397000</v>
      </c>
      <c r="O24" s="42"/>
      <c r="P24" s="42">
        <f t="shared" si="6"/>
        <v>26397000</v>
      </c>
      <c r="Q24" s="42">
        <f t="shared" si="3"/>
        <v>26397000</v>
      </c>
      <c r="R24" s="5"/>
    </row>
    <row r="25" spans="1:18" ht="13.5" x14ac:dyDescent="0.2">
      <c r="A25" s="47" t="s">
        <v>23</v>
      </c>
      <c r="B25" s="47" t="s">
        <v>24</v>
      </c>
      <c r="C25" s="21" t="s">
        <v>25</v>
      </c>
      <c r="D25" s="47" t="s">
        <v>26</v>
      </c>
      <c r="E25" s="21" t="s">
        <v>41</v>
      </c>
      <c r="F25" s="47" t="s">
        <v>32</v>
      </c>
      <c r="G25" s="21" t="s">
        <v>27</v>
      </c>
      <c r="H25" s="7" t="s">
        <v>28</v>
      </c>
      <c r="I25" s="8" t="s">
        <v>85</v>
      </c>
      <c r="J25" s="9">
        <v>20396000</v>
      </c>
      <c r="K25" s="8"/>
      <c r="L25" s="42">
        <f t="shared" si="8"/>
        <v>30594000</v>
      </c>
      <c r="M25" s="8"/>
      <c r="N25" s="42">
        <f t="shared" si="7"/>
        <v>30594000</v>
      </c>
      <c r="O25" s="42"/>
      <c r="P25" s="42">
        <f t="shared" si="6"/>
        <v>30594000</v>
      </c>
      <c r="Q25" s="42">
        <f t="shared" si="3"/>
        <v>30594000</v>
      </c>
      <c r="R25" s="5"/>
    </row>
    <row r="26" spans="1:18" ht="13.5" x14ac:dyDescent="0.2">
      <c r="A26" s="47" t="s">
        <v>23</v>
      </c>
      <c r="B26" s="47" t="s">
        <v>24</v>
      </c>
      <c r="C26" s="21" t="s">
        <v>25</v>
      </c>
      <c r="D26" s="47" t="s">
        <v>26</v>
      </c>
      <c r="E26" s="21" t="s">
        <v>41</v>
      </c>
      <c r="F26" s="47" t="s">
        <v>32</v>
      </c>
      <c r="G26" s="21" t="s">
        <v>27</v>
      </c>
      <c r="H26" s="7" t="s">
        <v>28</v>
      </c>
      <c r="I26" s="8" t="s">
        <v>97</v>
      </c>
      <c r="J26" s="9">
        <v>15589800</v>
      </c>
      <c r="K26" s="8"/>
      <c r="L26" s="42">
        <f t="shared" si="8"/>
        <v>23384700</v>
      </c>
      <c r="M26" s="8"/>
      <c r="N26" s="42">
        <f t="shared" si="7"/>
        <v>23384700</v>
      </c>
      <c r="O26" s="42"/>
      <c r="P26" s="42">
        <f t="shared" si="6"/>
        <v>23384700</v>
      </c>
      <c r="Q26" s="42">
        <f t="shared" si="3"/>
        <v>23384700</v>
      </c>
      <c r="R26" s="5"/>
    </row>
    <row r="27" spans="1:18" ht="13.5" x14ac:dyDescent="0.2">
      <c r="A27" s="47" t="s">
        <v>23</v>
      </c>
      <c r="B27" s="47" t="s">
        <v>24</v>
      </c>
      <c r="C27" s="21" t="s">
        <v>25</v>
      </c>
      <c r="D27" s="47" t="s">
        <v>26</v>
      </c>
      <c r="E27" s="21" t="s">
        <v>41</v>
      </c>
      <c r="F27" s="47" t="s">
        <v>32</v>
      </c>
      <c r="G27" s="21" t="s">
        <v>27</v>
      </c>
      <c r="H27" s="7" t="s">
        <v>28</v>
      </c>
      <c r="I27" s="8" t="s">
        <v>140</v>
      </c>
      <c r="J27" s="9">
        <v>2199800</v>
      </c>
      <c r="K27" s="8"/>
      <c r="L27" s="42">
        <f t="shared" si="8"/>
        <v>3299700</v>
      </c>
      <c r="M27" s="8"/>
      <c r="N27" s="42">
        <f t="shared" si="7"/>
        <v>3299700</v>
      </c>
      <c r="O27" s="42"/>
      <c r="P27" s="42">
        <f t="shared" si="6"/>
        <v>3299700</v>
      </c>
      <c r="Q27" s="42">
        <f t="shared" si="3"/>
        <v>3299700</v>
      </c>
      <c r="R27" s="5"/>
    </row>
    <row r="28" spans="1:18" ht="13.5" x14ac:dyDescent="0.2">
      <c r="A28" s="47" t="s">
        <v>23</v>
      </c>
      <c r="B28" s="47" t="s">
        <v>24</v>
      </c>
      <c r="C28" s="21" t="s">
        <v>25</v>
      </c>
      <c r="D28" s="47" t="s">
        <v>26</v>
      </c>
      <c r="E28" s="21" t="s">
        <v>41</v>
      </c>
      <c r="F28" s="47" t="s">
        <v>32</v>
      </c>
      <c r="G28" s="21" t="s">
        <v>27</v>
      </c>
      <c r="H28" s="7" t="s">
        <v>28</v>
      </c>
      <c r="I28" s="8" t="s">
        <v>55</v>
      </c>
      <c r="J28" s="9">
        <v>2840200</v>
      </c>
      <c r="K28" s="8"/>
      <c r="L28" s="42">
        <f t="shared" si="8"/>
        <v>4260300</v>
      </c>
      <c r="M28" s="8"/>
      <c r="N28" s="42">
        <f t="shared" si="7"/>
        <v>4260300</v>
      </c>
      <c r="O28" s="42"/>
      <c r="P28" s="42">
        <f t="shared" si="6"/>
        <v>4260300</v>
      </c>
      <c r="Q28" s="42">
        <f t="shared" si="3"/>
        <v>4260300</v>
      </c>
      <c r="R28" s="5"/>
    </row>
    <row r="29" spans="1:18" ht="13.5" x14ac:dyDescent="0.2">
      <c r="A29" s="47" t="s">
        <v>23</v>
      </c>
      <c r="B29" s="47" t="s">
        <v>24</v>
      </c>
      <c r="C29" s="21" t="s">
        <v>25</v>
      </c>
      <c r="D29" s="47" t="s">
        <v>26</v>
      </c>
      <c r="E29" s="21" t="s">
        <v>41</v>
      </c>
      <c r="F29" s="47" t="s">
        <v>32</v>
      </c>
      <c r="G29" s="21" t="s">
        <v>27</v>
      </c>
      <c r="H29" s="7" t="s">
        <v>28</v>
      </c>
      <c r="I29" s="8" t="s">
        <v>94</v>
      </c>
      <c r="J29" s="9">
        <v>5596000</v>
      </c>
      <c r="K29" s="8"/>
      <c r="L29" s="42">
        <f t="shared" si="8"/>
        <v>8394000</v>
      </c>
      <c r="M29" s="8"/>
      <c r="N29" s="42">
        <f t="shared" si="7"/>
        <v>8394000</v>
      </c>
      <c r="O29" s="42"/>
      <c r="P29" s="42">
        <f t="shared" si="6"/>
        <v>8394000</v>
      </c>
      <c r="Q29" s="42">
        <f t="shared" si="3"/>
        <v>8394000</v>
      </c>
      <c r="R29" s="5"/>
    </row>
    <row r="30" spans="1:18" ht="13.5" x14ac:dyDescent="0.2">
      <c r="A30" s="47" t="s">
        <v>23</v>
      </c>
      <c r="B30" s="47" t="s">
        <v>24</v>
      </c>
      <c r="C30" s="21" t="s">
        <v>25</v>
      </c>
      <c r="D30" s="47" t="s">
        <v>26</v>
      </c>
      <c r="E30" s="21" t="s">
        <v>41</v>
      </c>
      <c r="F30" s="47" t="s">
        <v>32</v>
      </c>
      <c r="G30" s="21" t="s">
        <v>27</v>
      </c>
      <c r="H30" s="7" t="s">
        <v>28</v>
      </c>
      <c r="I30" s="8" t="s">
        <v>117</v>
      </c>
      <c r="J30" s="9">
        <v>4197000</v>
      </c>
      <c r="K30" s="8"/>
      <c r="L30" s="42">
        <f t="shared" si="8"/>
        <v>6295500</v>
      </c>
      <c r="M30" s="8"/>
      <c r="N30" s="42">
        <f t="shared" si="7"/>
        <v>6295500</v>
      </c>
      <c r="O30" s="42"/>
      <c r="P30" s="42">
        <f t="shared" si="6"/>
        <v>6295500</v>
      </c>
      <c r="Q30" s="42">
        <f t="shared" si="3"/>
        <v>6295500</v>
      </c>
      <c r="R30" s="5"/>
    </row>
    <row r="31" spans="1:18" ht="13.5" x14ac:dyDescent="0.2">
      <c r="A31" s="47" t="s">
        <v>23</v>
      </c>
      <c r="B31" s="47" t="s">
        <v>24</v>
      </c>
      <c r="C31" s="21" t="s">
        <v>25</v>
      </c>
      <c r="D31" s="47" t="s">
        <v>26</v>
      </c>
      <c r="E31" s="21" t="s">
        <v>41</v>
      </c>
      <c r="F31" s="47" t="s">
        <v>32</v>
      </c>
      <c r="G31" s="21" t="s">
        <v>154</v>
      </c>
      <c r="H31" s="7" t="s">
        <v>155</v>
      </c>
      <c r="I31" s="8" t="s">
        <v>196</v>
      </c>
      <c r="J31" s="9">
        <v>2238000</v>
      </c>
      <c r="K31" s="8"/>
      <c r="L31" s="42">
        <f t="shared" si="8"/>
        <v>3357000</v>
      </c>
      <c r="M31" s="8"/>
      <c r="N31" s="42">
        <f t="shared" si="7"/>
        <v>3357000</v>
      </c>
      <c r="O31" s="42"/>
      <c r="P31" s="42">
        <f t="shared" si="6"/>
        <v>3357000</v>
      </c>
      <c r="Q31" s="42">
        <f t="shared" si="3"/>
        <v>3357000</v>
      </c>
      <c r="R31" s="5"/>
    </row>
    <row r="32" spans="1:18" ht="13.5" x14ac:dyDescent="0.2">
      <c r="A32" s="47" t="s">
        <v>23</v>
      </c>
      <c r="B32" s="47" t="s">
        <v>24</v>
      </c>
      <c r="C32" s="21" t="s">
        <v>25</v>
      </c>
      <c r="D32" s="47" t="s">
        <v>26</v>
      </c>
      <c r="E32" s="21" t="s">
        <v>41</v>
      </c>
      <c r="F32" s="47" t="s">
        <v>32</v>
      </c>
      <c r="G32" s="21" t="s">
        <v>154</v>
      </c>
      <c r="H32" s="7" t="s">
        <v>155</v>
      </c>
      <c r="I32" s="8" t="s">
        <v>191</v>
      </c>
      <c r="J32" s="9">
        <v>10844000</v>
      </c>
      <c r="K32" s="8"/>
      <c r="L32" s="42">
        <f t="shared" si="8"/>
        <v>16266000</v>
      </c>
      <c r="M32" s="8"/>
      <c r="N32" s="42">
        <f t="shared" si="7"/>
        <v>16266000</v>
      </c>
      <c r="O32" s="42"/>
      <c r="P32" s="42">
        <f t="shared" si="6"/>
        <v>16266000</v>
      </c>
      <c r="Q32" s="42">
        <f t="shared" si="3"/>
        <v>16266000</v>
      </c>
      <c r="R32" s="5"/>
    </row>
    <row r="33" spans="1:18" ht="13.5" x14ac:dyDescent="0.2">
      <c r="A33" s="47" t="s">
        <v>23</v>
      </c>
      <c r="B33" s="47" t="s">
        <v>24</v>
      </c>
      <c r="C33" s="21" t="s">
        <v>25</v>
      </c>
      <c r="D33" s="47" t="s">
        <v>26</v>
      </c>
      <c r="E33" s="21" t="s">
        <v>41</v>
      </c>
      <c r="F33" s="47" t="s">
        <v>32</v>
      </c>
      <c r="G33" s="21" t="s">
        <v>154</v>
      </c>
      <c r="H33" s="7" t="s">
        <v>155</v>
      </c>
      <c r="I33" s="8" t="s">
        <v>204</v>
      </c>
      <c r="J33" s="9">
        <v>13820000</v>
      </c>
      <c r="K33" s="8"/>
      <c r="L33" s="42">
        <f t="shared" si="8"/>
        <v>20730000</v>
      </c>
      <c r="M33" s="8"/>
      <c r="N33" s="42">
        <f t="shared" si="7"/>
        <v>20730000</v>
      </c>
      <c r="O33" s="42">
        <f>N33*1.5</f>
        <v>31095000</v>
      </c>
      <c r="P33" s="42"/>
      <c r="Q33" s="42">
        <f t="shared" si="3"/>
        <v>31095000</v>
      </c>
    </row>
    <row r="34" spans="1:18" ht="13.5" x14ac:dyDescent="0.2">
      <c r="A34" s="47" t="s">
        <v>23</v>
      </c>
      <c r="B34" s="47" t="s">
        <v>24</v>
      </c>
      <c r="C34" s="21" t="s">
        <v>25</v>
      </c>
      <c r="D34" s="47" t="s">
        <v>26</v>
      </c>
      <c r="E34" s="21" t="s">
        <v>41</v>
      </c>
      <c r="F34" s="47" t="s">
        <v>32</v>
      </c>
      <c r="G34" s="21" t="s">
        <v>154</v>
      </c>
      <c r="H34" s="7" t="s">
        <v>155</v>
      </c>
      <c r="I34" s="8" t="s">
        <v>193</v>
      </c>
      <c r="J34" s="9">
        <v>16639800</v>
      </c>
      <c r="K34" s="8"/>
      <c r="L34" s="42">
        <f t="shared" si="8"/>
        <v>24959700</v>
      </c>
      <c r="M34" s="8"/>
      <c r="N34" s="42">
        <f t="shared" si="7"/>
        <v>24959700</v>
      </c>
      <c r="O34" s="42"/>
      <c r="P34" s="42">
        <f t="shared" ref="P34:P36" si="9">N34</f>
        <v>24959700</v>
      </c>
      <c r="Q34" s="42">
        <f t="shared" si="3"/>
        <v>24959700</v>
      </c>
      <c r="R34" s="5"/>
    </row>
    <row r="35" spans="1:18" ht="13.5" x14ac:dyDescent="0.2">
      <c r="A35" s="47" t="s">
        <v>23</v>
      </c>
      <c r="B35" s="47" t="s">
        <v>24</v>
      </c>
      <c r="C35" s="21" t="s">
        <v>25</v>
      </c>
      <c r="D35" s="47" t="s">
        <v>26</v>
      </c>
      <c r="E35" s="21" t="s">
        <v>41</v>
      </c>
      <c r="F35" s="47" t="s">
        <v>32</v>
      </c>
      <c r="G35" s="21" t="s">
        <v>154</v>
      </c>
      <c r="H35" s="7" t="s">
        <v>155</v>
      </c>
      <c r="I35" s="8" t="s">
        <v>206</v>
      </c>
      <c r="J35" s="9">
        <v>15942400</v>
      </c>
      <c r="K35" s="8"/>
      <c r="L35" s="42">
        <f t="shared" si="8"/>
        <v>23913600</v>
      </c>
      <c r="M35" s="8"/>
      <c r="N35" s="42">
        <f t="shared" si="7"/>
        <v>23913600</v>
      </c>
      <c r="O35" s="42"/>
      <c r="P35" s="42">
        <f t="shared" si="9"/>
        <v>23913600</v>
      </c>
      <c r="Q35" s="42">
        <f t="shared" si="3"/>
        <v>23913600</v>
      </c>
      <c r="R35" s="5"/>
    </row>
    <row r="36" spans="1:18" ht="13.5" x14ac:dyDescent="0.2">
      <c r="A36" s="47" t="s">
        <v>23</v>
      </c>
      <c r="B36" s="47" t="s">
        <v>24</v>
      </c>
      <c r="C36" s="21" t="s">
        <v>25</v>
      </c>
      <c r="D36" s="47" t="s">
        <v>26</v>
      </c>
      <c r="E36" s="21" t="s">
        <v>41</v>
      </c>
      <c r="F36" s="47" t="s">
        <v>32</v>
      </c>
      <c r="G36" s="21" t="s">
        <v>154</v>
      </c>
      <c r="H36" s="7" t="s">
        <v>155</v>
      </c>
      <c r="I36" s="8" t="s">
        <v>198</v>
      </c>
      <c r="J36" s="9">
        <v>12799200</v>
      </c>
      <c r="K36" s="8"/>
      <c r="L36" s="42">
        <f t="shared" si="8"/>
        <v>19198800</v>
      </c>
      <c r="M36" s="8"/>
      <c r="N36" s="42">
        <f t="shared" si="7"/>
        <v>19198800</v>
      </c>
      <c r="O36" s="42"/>
      <c r="P36" s="42">
        <f t="shared" si="9"/>
        <v>19198800</v>
      </c>
      <c r="Q36" s="42">
        <f t="shared" si="3"/>
        <v>19198800</v>
      </c>
      <c r="R36" s="5"/>
    </row>
    <row r="37" spans="1:18" ht="13.5" x14ac:dyDescent="0.2">
      <c r="A37" s="47" t="s">
        <v>23</v>
      </c>
      <c r="B37" s="47" t="s">
        <v>24</v>
      </c>
      <c r="C37" s="21" t="s">
        <v>25</v>
      </c>
      <c r="D37" s="47" t="s">
        <v>26</v>
      </c>
      <c r="E37" s="21" t="s">
        <v>57</v>
      </c>
      <c r="F37" s="47" t="s">
        <v>32</v>
      </c>
      <c r="G37" s="21" t="s">
        <v>27</v>
      </c>
      <c r="H37" s="7" t="s">
        <v>28</v>
      </c>
      <c r="I37" s="8" t="s">
        <v>125</v>
      </c>
      <c r="J37" s="9">
        <v>3198000</v>
      </c>
      <c r="K37" s="8"/>
      <c r="L37" s="42">
        <f t="shared" si="8"/>
        <v>4797000</v>
      </c>
      <c r="M37" s="8"/>
      <c r="N37" s="42">
        <f t="shared" si="7"/>
        <v>4797000</v>
      </c>
      <c r="O37" s="42">
        <f>N37*1.5</f>
        <v>7195500</v>
      </c>
      <c r="P37" s="42"/>
      <c r="Q37" s="42">
        <f t="shared" si="3"/>
        <v>7195500</v>
      </c>
    </row>
    <row r="38" spans="1:18" ht="13.5" x14ac:dyDescent="0.2">
      <c r="A38" s="47" t="s">
        <v>23</v>
      </c>
      <c r="B38" s="47" t="s">
        <v>24</v>
      </c>
      <c r="C38" s="21" t="s">
        <v>25</v>
      </c>
      <c r="D38" s="47" t="s">
        <v>26</v>
      </c>
      <c r="E38" s="21" t="s">
        <v>57</v>
      </c>
      <c r="F38" s="47" t="s">
        <v>32</v>
      </c>
      <c r="G38" s="21" t="s">
        <v>27</v>
      </c>
      <c r="H38" s="7" t="s">
        <v>28</v>
      </c>
      <c r="I38" s="8" t="s">
        <v>59</v>
      </c>
      <c r="J38" s="9">
        <v>23397000</v>
      </c>
      <c r="K38" s="8"/>
      <c r="L38" s="42">
        <f t="shared" si="8"/>
        <v>35095500</v>
      </c>
      <c r="M38" s="8"/>
      <c r="N38" s="42">
        <f t="shared" si="7"/>
        <v>35095500</v>
      </c>
      <c r="O38" s="42"/>
      <c r="P38" s="42">
        <f t="shared" ref="P38:P40" si="10">N38</f>
        <v>35095500</v>
      </c>
      <c r="Q38" s="42">
        <f t="shared" si="3"/>
        <v>35095500</v>
      </c>
      <c r="R38" s="5"/>
    </row>
    <row r="39" spans="1:18" ht="13.5" x14ac:dyDescent="0.2">
      <c r="A39" s="47" t="s">
        <v>23</v>
      </c>
      <c r="B39" s="47" t="s">
        <v>24</v>
      </c>
      <c r="C39" s="21" t="s">
        <v>25</v>
      </c>
      <c r="D39" s="47" t="s">
        <v>208</v>
      </c>
      <c r="E39" s="21" t="s">
        <v>211</v>
      </c>
      <c r="F39" s="47" t="s">
        <v>212</v>
      </c>
      <c r="G39" s="21" t="s">
        <v>209</v>
      </c>
      <c r="H39" s="7" t="s">
        <v>210</v>
      </c>
      <c r="I39" s="8" t="s">
        <v>256</v>
      </c>
      <c r="J39" s="9">
        <v>3676000</v>
      </c>
      <c r="K39" s="8"/>
      <c r="L39" s="8"/>
      <c r="M39" s="8"/>
      <c r="N39" s="42">
        <f t="shared" ref="N39:N66" si="11">J39</f>
        <v>3676000</v>
      </c>
      <c r="O39" s="42"/>
      <c r="P39" s="42">
        <f t="shared" si="10"/>
        <v>3676000</v>
      </c>
      <c r="Q39" s="42">
        <f t="shared" si="3"/>
        <v>3676000</v>
      </c>
      <c r="R39" s="5"/>
    </row>
    <row r="40" spans="1:18" ht="13.5" x14ac:dyDescent="0.2">
      <c r="A40" s="47" t="s">
        <v>23</v>
      </c>
      <c r="B40" s="47" t="s">
        <v>24</v>
      </c>
      <c r="C40" s="21" t="s">
        <v>25</v>
      </c>
      <c r="D40" s="47" t="s">
        <v>208</v>
      </c>
      <c r="E40" s="21" t="s">
        <v>211</v>
      </c>
      <c r="F40" s="47" t="s">
        <v>212</v>
      </c>
      <c r="G40" s="21" t="s">
        <v>209</v>
      </c>
      <c r="H40" s="7" t="s">
        <v>210</v>
      </c>
      <c r="I40" s="8" t="s">
        <v>243</v>
      </c>
      <c r="J40" s="9">
        <v>5119600</v>
      </c>
      <c r="K40" s="8"/>
      <c r="L40" s="8"/>
      <c r="M40" s="8"/>
      <c r="N40" s="42">
        <f t="shared" si="11"/>
        <v>5119600</v>
      </c>
      <c r="O40" s="42"/>
      <c r="P40" s="42">
        <f t="shared" si="10"/>
        <v>5119600</v>
      </c>
      <c r="Q40" s="42">
        <f t="shared" si="3"/>
        <v>5119600</v>
      </c>
      <c r="R40" s="5"/>
    </row>
    <row r="41" spans="1:18" ht="13.5" hidden="1" x14ac:dyDescent="0.2">
      <c r="A41" s="12" t="s">
        <v>23</v>
      </c>
      <c r="B41" s="12" t="s">
        <v>24</v>
      </c>
      <c r="C41" s="13" t="s">
        <v>25</v>
      </c>
      <c r="D41" s="12" t="s">
        <v>208</v>
      </c>
      <c r="E41" s="13" t="s">
        <v>211</v>
      </c>
      <c r="F41" s="12" t="s">
        <v>181</v>
      </c>
      <c r="G41" s="13" t="s">
        <v>209</v>
      </c>
      <c r="H41" s="12" t="s">
        <v>210</v>
      </c>
      <c r="I41" s="13" t="s">
        <v>224</v>
      </c>
      <c r="J41" s="14" t="s">
        <v>3946</v>
      </c>
      <c r="K41" s="18"/>
      <c r="L41" s="18"/>
      <c r="M41" s="18"/>
      <c r="N41" s="19" t="s">
        <v>3946</v>
      </c>
      <c r="O41"/>
      <c r="P41"/>
    </row>
    <row r="42" spans="1:18" ht="13.5" x14ac:dyDescent="0.2">
      <c r="A42" s="47" t="s">
        <v>23</v>
      </c>
      <c r="B42" s="47" t="s">
        <v>24</v>
      </c>
      <c r="C42" s="21" t="s">
        <v>25</v>
      </c>
      <c r="D42" s="47" t="s">
        <v>208</v>
      </c>
      <c r="E42" s="21" t="s">
        <v>128</v>
      </c>
      <c r="F42" s="47" t="s">
        <v>135</v>
      </c>
      <c r="G42" s="21" t="s">
        <v>209</v>
      </c>
      <c r="H42" s="7" t="s">
        <v>210</v>
      </c>
      <c r="I42" s="8" t="s">
        <v>275</v>
      </c>
      <c r="J42" s="9">
        <v>862200</v>
      </c>
      <c r="K42" s="8"/>
      <c r="L42" s="8"/>
      <c r="M42" s="8"/>
      <c r="N42" s="42">
        <f t="shared" si="11"/>
        <v>862200</v>
      </c>
      <c r="O42" s="42"/>
      <c r="P42" s="42">
        <f t="shared" ref="P42:P44" si="12">N42</f>
        <v>862200</v>
      </c>
      <c r="Q42" s="42">
        <f t="shared" ref="Q42:Q48" si="13">SUM(O42:P42)</f>
        <v>862200</v>
      </c>
      <c r="R42" s="5"/>
    </row>
    <row r="43" spans="1:18" ht="13.5" x14ac:dyDescent="0.2">
      <c r="A43" s="47" t="s">
        <v>23</v>
      </c>
      <c r="B43" s="47" t="s">
        <v>24</v>
      </c>
      <c r="C43" s="21" t="s">
        <v>25</v>
      </c>
      <c r="D43" s="47" t="s">
        <v>208</v>
      </c>
      <c r="E43" s="21" t="s">
        <v>128</v>
      </c>
      <c r="F43" s="47" t="s">
        <v>135</v>
      </c>
      <c r="G43" s="21" t="s">
        <v>330</v>
      </c>
      <c r="H43" s="7" t="s">
        <v>331</v>
      </c>
      <c r="I43" s="8" t="s">
        <v>337</v>
      </c>
      <c r="J43" s="9">
        <v>2304800</v>
      </c>
      <c r="K43" s="8"/>
      <c r="L43" s="8"/>
      <c r="M43" s="8"/>
      <c r="N43" s="42">
        <f t="shared" si="11"/>
        <v>2304800</v>
      </c>
      <c r="O43" s="42"/>
      <c r="P43" s="42">
        <f t="shared" si="12"/>
        <v>2304800</v>
      </c>
      <c r="Q43" s="42">
        <f t="shared" si="13"/>
        <v>2304800</v>
      </c>
      <c r="R43" s="5"/>
    </row>
    <row r="44" spans="1:18" ht="13.5" x14ac:dyDescent="0.2">
      <c r="A44" s="47" t="s">
        <v>23</v>
      </c>
      <c r="B44" s="47" t="s">
        <v>24</v>
      </c>
      <c r="C44" s="21" t="s">
        <v>25</v>
      </c>
      <c r="D44" s="47" t="s">
        <v>208</v>
      </c>
      <c r="E44" s="21" t="s">
        <v>128</v>
      </c>
      <c r="F44" s="47" t="s">
        <v>135</v>
      </c>
      <c r="G44" s="21" t="s">
        <v>368</v>
      </c>
      <c r="H44" s="7" t="s">
        <v>369</v>
      </c>
      <c r="I44" s="8" t="s">
        <v>404</v>
      </c>
      <c r="J44" s="9">
        <v>1719600</v>
      </c>
      <c r="K44" s="8"/>
      <c r="L44" s="8"/>
      <c r="M44" s="8"/>
      <c r="N44" s="42">
        <f t="shared" si="11"/>
        <v>1719600</v>
      </c>
      <c r="O44" s="42"/>
      <c r="P44" s="42">
        <f t="shared" si="12"/>
        <v>1719600</v>
      </c>
      <c r="Q44" s="42">
        <f t="shared" si="13"/>
        <v>1719600</v>
      </c>
      <c r="R44" s="5"/>
    </row>
    <row r="45" spans="1:18" ht="13.5" x14ac:dyDescent="0.2">
      <c r="A45" s="47" t="s">
        <v>23</v>
      </c>
      <c r="B45" s="47" t="s">
        <v>24</v>
      </c>
      <c r="C45" s="21" t="s">
        <v>25</v>
      </c>
      <c r="D45" s="47" t="s">
        <v>208</v>
      </c>
      <c r="E45" s="21" t="s">
        <v>128</v>
      </c>
      <c r="F45" s="47" t="s">
        <v>32</v>
      </c>
      <c r="G45" s="21" t="s">
        <v>209</v>
      </c>
      <c r="H45" s="7" t="s">
        <v>210</v>
      </c>
      <c r="I45" s="8" t="s">
        <v>240</v>
      </c>
      <c r="J45" s="9">
        <v>678000</v>
      </c>
      <c r="K45" s="8"/>
      <c r="L45" s="8"/>
      <c r="M45" s="8"/>
      <c r="N45" s="42">
        <f t="shared" si="11"/>
        <v>678000</v>
      </c>
      <c r="O45" s="42">
        <f>N45*1.5</f>
        <v>1017000</v>
      </c>
      <c r="P45" s="42"/>
      <c r="Q45" s="42">
        <f t="shared" si="13"/>
        <v>1017000</v>
      </c>
    </row>
    <row r="46" spans="1:18" ht="13.5" x14ac:dyDescent="0.2">
      <c r="A46" s="47" t="s">
        <v>23</v>
      </c>
      <c r="B46" s="47" t="s">
        <v>24</v>
      </c>
      <c r="C46" s="21" t="s">
        <v>25</v>
      </c>
      <c r="D46" s="47" t="s">
        <v>208</v>
      </c>
      <c r="E46" s="21" t="s">
        <v>128</v>
      </c>
      <c r="F46" s="47" t="s">
        <v>32</v>
      </c>
      <c r="G46" s="21" t="s">
        <v>330</v>
      </c>
      <c r="H46" s="7" t="s">
        <v>331</v>
      </c>
      <c r="I46" s="8" t="s">
        <v>341</v>
      </c>
      <c r="J46" s="9">
        <v>774000</v>
      </c>
      <c r="K46" s="8"/>
      <c r="L46" s="8"/>
      <c r="M46" s="8"/>
      <c r="N46" s="42">
        <f t="shared" si="11"/>
        <v>774000</v>
      </c>
      <c r="O46" s="42"/>
      <c r="P46" s="42">
        <f>N46</f>
        <v>774000</v>
      </c>
      <c r="Q46" s="42">
        <f t="shared" si="13"/>
        <v>774000</v>
      </c>
      <c r="R46" s="5"/>
    </row>
    <row r="47" spans="1:18" ht="13.5" x14ac:dyDescent="0.2">
      <c r="A47" s="47" t="s">
        <v>23</v>
      </c>
      <c r="B47" s="47" t="s">
        <v>24</v>
      </c>
      <c r="C47" s="21" t="s">
        <v>25</v>
      </c>
      <c r="D47" s="47" t="s">
        <v>208</v>
      </c>
      <c r="E47" s="21" t="s">
        <v>128</v>
      </c>
      <c r="F47" s="47" t="s">
        <v>32</v>
      </c>
      <c r="G47" s="21" t="s">
        <v>330</v>
      </c>
      <c r="H47" s="7" t="s">
        <v>331</v>
      </c>
      <c r="I47" s="8" t="s">
        <v>345</v>
      </c>
      <c r="J47" s="9">
        <v>758000</v>
      </c>
      <c r="K47" s="8"/>
      <c r="L47" s="8"/>
      <c r="M47" s="8"/>
      <c r="N47" s="42">
        <f t="shared" si="11"/>
        <v>758000</v>
      </c>
      <c r="O47" s="42">
        <f>N47*1.5</f>
        <v>1137000</v>
      </c>
      <c r="P47" s="42"/>
      <c r="Q47" s="42">
        <f t="shared" si="13"/>
        <v>1137000</v>
      </c>
    </row>
    <row r="48" spans="1:18" ht="13.5" x14ac:dyDescent="0.2">
      <c r="A48" s="47" t="s">
        <v>23</v>
      </c>
      <c r="B48" s="47" t="s">
        <v>24</v>
      </c>
      <c r="C48" s="21" t="s">
        <v>25</v>
      </c>
      <c r="D48" s="47" t="s">
        <v>208</v>
      </c>
      <c r="E48" s="21" t="s">
        <v>128</v>
      </c>
      <c r="F48" s="47" t="s">
        <v>32</v>
      </c>
      <c r="G48" s="21" t="s">
        <v>426</v>
      </c>
      <c r="H48" s="7" t="s">
        <v>427</v>
      </c>
      <c r="I48" s="8" t="s">
        <v>436</v>
      </c>
      <c r="J48" s="9">
        <v>338000</v>
      </c>
      <c r="K48" s="8"/>
      <c r="L48" s="8"/>
      <c r="M48" s="8"/>
      <c r="N48" s="42">
        <f t="shared" si="11"/>
        <v>338000</v>
      </c>
      <c r="O48" s="42"/>
      <c r="P48" s="42">
        <f>N48</f>
        <v>338000</v>
      </c>
      <c r="Q48" s="42">
        <f t="shared" si="13"/>
        <v>338000</v>
      </c>
      <c r="R48" s="5"/>
    </row>
    <row r="49" spans="1:18" ht="13.5" hidden="1" x14ac:dyDescent="0.2">
      <c r="A49" s="12" t="s">
        <v>23</v>
      </c>
      <c r="B49" s="12" t="s">
        <v>24</v>
      </c>
      <c r="C49" s="13" t="s">
        <v>25</v>
      </c>
      <c r="D49" s="12" t="s">
        <v>208</v>
      </c>
      <c r="E49" s="13" t="s">
        <v>128</v>
      </c>
      <c r="F49" s="12" t="s">
        <v>181</v>
      </c>
      <c r="G49" s="13" t="s">
        <v>209</v>
      </c>
      <c r="H49" s="12" t="s">
        <v>210</v>
      </c>
      <c r="I49" s="13" t="s">
        <v>245</v>
      </c>
      <c r="J49" s="14" t="s">
        <v>3946</v>
      </c>
      <c r="K49" s="18"/>
      <c r="L49" s="18"/>
      <c r="M49" s="18"/>
      <c r="N49" s="19" t="s">
        <v>3946</v>
      </c>
      <c r="O49"/>
      <c r="P49"/>
    </row>
    <row r="50" spans="1:18" ht="13.5" hidden="1" x14ac:dyDescent="0.2">
      <c r="A50" s="7" t="s">
        <v>23</v>
      </c>
      <c r="B50" s="7" t="s">
        <v>24</v>
      </c>
      <c r="C50" s="8" t="s">
        <v>25</v>
      </c>
      <c r="D50" s="7" t="s">
        <v>208</v>
      </c>
      <c r="E50" s="8" t="s">
        <v>128</v>
      </c>
      <c r="F50" s="7" t="s">
        <v>181</v>
      </c>
      <c r="G50" s="8" t="s">
        <v>347</v>
      </c>
      <c r="H50" s="7" t="s">
        <v>348</v>
      </c>
      <c r="I50" s="8" t="s">
        <v>360</v>
      </c>
      <c r="J50" s="9" t="s">
        <v>3946</v>
      </c>
      <c r="K50" s="15"/>
      <c r="L50" s="15"/>
      <c r="M50" s="15"/>
      <c r="N50" s="17" t="s">
        <v>3946</v>
      </c>
      <c r="O50"/>
      <c r="P50"/>
    </row>
    <row r="51" spans="1:18" ht="13.5" x14ac:dyDescent="0.2">
      <c r="A51" s="47" t="s">
        <v>23</v>
      </c>
      <c r="B51" s="47" t="s">
        <v>24</v>
      </c>
      <c r="C51" s="21" t="s">
        <v>25</v>
      </c>
      <c r="D51" s="47" t="s">
        <v>208</v>
      </c>
      <c r="E51" s="21" t="s">
        <v>31</v>
      </c>
      <c r="F51" s="47" t="s">
        <v>32</v>
      </c>
      <c r="G51" s="21" t="s">
        <v>209</v>
      </c>
      <c r="H51" s="7" t="s">
        <v>210</v>
      </c>
      <c r="I51" s="8" t="s">
        <v>264</v>
      </c>
      <c r="J51" s="9">
        <v>1148400</v>
      </c>
      <c r="K51" s="8"/>
      <c r="L51" s="8"/>
      <c r="M51" s="8"/>
      <c r="N51" s="42">
        <f t="shared" si="11"/>
        <v>1148400</v>
      </c>
      <c r="O51" s="42"/>
      <c r="P51" s="42">
        <f t="shared" ref="P51:P54" si="14">N51</f>
        <v>1148400</v>
      </c>
      <c r="Q51" s="42">
        <f t="shared" ref="Q51:Q97" si="15">SUM(O51:P51)</f>
        <v>1148400</v>
      </c>
      <c r="R51" s="5"/>
    </row>
    <row r="52" spans="1:18" ht="13.5" x14ac:dyDescent="0.2">
      <c r="A52" s="47" t="s">
        <v>23</v>
      </c>
      <c r="B52" s="47" t="s">
        <v>24</v>
      </c>
      <c r="C52" s="21" t="s">
        <v>25</v>
      </c>
      <c r="D52" s="47" t="s">
        <v>208</v>
      </c>
      <c r="E52" s="21" t="s">
        <v>31</v>
      </c>
      <c r="F52" s="47" t="s">
        <v>32</v>
      </c>
      <c r="G52" s="21" t="s">
        <v>290</v>
      </c>
      <c r="H52" s="7" t="s">
        <v>291</v>
      </c>
      <c r="I52" s="8" t="s">
        <v>297</v>
      </c>
      <c r="J52" s="9">
        <v>1944300</v>
      </c>
      <c r="K52" s="8"/>
      <c r="L52" s="8"/>
      <c r="M52" s="8"/>
      <c r="N52" s="42">
        <f t="shared" si="11"/>
        <v>1944300</v>
      </c>
      <c r="O52" s="42"/>
      <c r="P52" s="42">
        <f t="shared" si="14"/>
        <v>1944300</v>
      </c>
      <c r="Q52" s="42">
        <f t="shared" si="15"/>
        <v>1944300</v>
      </c>
      <c r="R52" s="5"/>
    </row>
    <row r="53" spans="1:18" ht="13.5" x14ac:dyDescent="0.2">
      <c r="A53" s="47" t="s">
        <v>23</v>
      </c>
      <c r="B53" s="47" t="s">
        <v>24</v>
      </c>
      <c r="C53" s="21" t="s">
        <v>25</v>
      </c>
      <c r="D53" s="47" t="s">
        <v>208</v>
      </c>
      <c r="E53" s="21" t="s">
        <v>31</v>
      </c>
      <c r="F53" s="47" t="s">
        <v>32</v>
      </c>
      <c r="G53" s="21" t="s">
        <v>290</v>
      </c>
      <c r="H53" s="7" t="s">
        <v>291</v>
      </c>
      <c r="I53" s="8" t="s">
        <v>311</v>
      </c>
      <c r="J53" s="9">
        <v>12589800</v>
      </c>
      <c r="K53" s="8"/>
      <c r="L53" s="8"/>
      <c r="M53" s="8"/>
      <c r="N53" s="42">
        <f t="shared" si="11"/>
        <v>12589800</v>
      </c>
      <c r="O53" s="42"/>
      <c r="P53" s="42">
        <f t="shared" si="14"/>
        <v>12589800</v>
      </c>
      <c r="Q53" s="42">
        <f t="shared" si="15"/>
        <v>12589800</v>
      </c>
      <c r="R53" s="5"/>
    </row>
    <row r="54" spans="1:18" ht="13.5" x14ac:dyDescent="0.2">
      <c r="A54" s="47" t="s">
        <v>23</v>
      </c>
      <c r="B54" s="47" t="s">
        <v>24</v>
      </c>
      <c r="C54" s="21" t="s">
        <v>25</v>
      </c>
      <c r="D54" s="47" t="s">
        <v>208</v>
      </c>
      <c r="E54" s="21" t="s">
        <v>31</v>
      </c>
      <c r="F54" s="47" t="s">
        <v>32</v>
      </c>
      <c r="G54" s="21" t="s">
        <v>290</v>
      </c>
      <c r="H54" s="7" t="s">
        <v>291</v>
      </c>
      <c r="I54" s="8" t="s">
        <v>292</v>
      </c>
      <c r="J54" s="9">
        <v>4143600</v>
      </c>
      <c r="K54" s="8"/>
      <c r="L54" s="8"/>
      <c r="M54" s="8"/>
      <c r="N54" s="42">
        <f t="shared" si="11"/>
        <v>4143600</v>
      </c>
      <c r="O54" s="42"/>
      <c r="P54" s="42">
        <f t="shared" si="14"/>
        <v>4143600</v>
      </c>
      <c r="Q54" s="42">
        <f t="shared" si="15"/>
        <v>4143600</v>
      </c>
      <c r="R54" s="5"/>
    </row>
    <row r="55" spans="1:18" ht="13.5" x14ac:dyDescent="0.2">
      <c r="A55" s="47" t="s">
        <v>23</v>
      </c>
      <c r="B55" s="47" t="s">
        <v>24</v>
      </c>
      <c r="C55" s="21" t="s">
        <v>25</v>
      </c>
      <c r="D55" s="47" t="s">
        <v>208</v>
      </c>
      <c r="E55" s="21" t="s">
        <v>31</v>
      </c>
      <c r="F55" s="47" t="s">
        <v>32</v>
      </c>
      <c r="G55" s="21" t="s">
        <v>290</v>
      </c>
      <c r="H55" s="7" t="s">
        <v>291</v>
      </c>
      <c r="I55" s="8" t="s">
        <v>320</v>
      </c>
      <c r="J55" s="9">
        <v>2198600</v>
      </c>
      <c r="K55" s="8"/>
      <c r="L55" s="8"/>
      <c r="M55" s="8"/>
      <c r="N55" s="42">
        <f t="shared" si="11"/>
        <v>2198600</v>
      </c>
      <c r="O55" s="42">
        <f>N55*1.5</f>
        <v>3297900</v>
      </c>
      <c r="P55" s="42"/>
      <c r="Q55" s="42">
        <f t="shared" si="15"/>
        <v>3297900</v>
      </c>
    </row>
    <row r="56" spans="1:18" ht="13.5" x14ac:dyDescent="0.2">
      <c r="A56" s="47" t="s">
        <v>23</v>
      </c>
      <c r="B56" s="47" t="s">
        <v>24</v>
      </c>
      <c r="C56" s="21" t="s">
        <v>25</v>
      </c>
      <c r="D56" s="47" t="s">
        <v>208</v>
      </c>
      <c r="E56" s="21" t="s">
        <v>31</v>
      </c>
      <c r="F56" s="47" t="s">
        <v>32</v>
      </c>
      <c r="G56" s="21" t="s">
        <v>330</v>
      </c>
      <c r="H56" s="7" t="s">
        <v>331</v>
      </c>
      <c r="I56" s="8" t="s">
        <v>343</v>
      </c>
      <c r="J56" s="9">
        <v>1499800</v>
      </c>
      <c r="K56" s="8"/>
      <c r="L56" s="8"/>
      <c r="M56" s="8"/>
      <c r="N56" s="42">
        <f t="shared" si="11"/>
        <v>1499800</v>
      </c>
      <c r="O56" s="42"/>
      <c r="P56" s="42">
        <f t="shared" ref="P56:P57" si="16">N56</f>
        <v>1499800</v>
      </c>
      <c r="Q56" s="42">
        <f t="shared" si="15"/>
        <v>1499800</v>
      </c>
      <c r="R56" s="5"/>
    </row>
    <row r="57" spans="1:18" ht="13.5" x14ac:dyDescent="0.2">
      <c r="A57" s="47" t="s">
        <v>23</v>
      </c>
      <c r="B57" s="47" t="s">
        <v>24</v>
      </c>
      <c r="C57" s="21" t="s">
        <v>25</v>
      </c>
      <c r="D57" s="47" t="s">
        <v>208</v>
      </c>
      <c r="E57" s="21" t="s">
        <v>31</v>
      </c>
      <c r="F57" s="47" t="s">
        <v>32</v>
      </c>
      <c r="G57" s="21" t="s">
        <v>347</v>
      </c>
      <c r="H57" s="7" t="s">
        <v>348</v>
      </c>
      <c r="I57" s="8" t="s">
        <v>354</v>
      </c>
      <c r="J57" s="9">
        <v>4998000</v>
      </c>
      <c r="K57" s="8"/>
      <c r="L57" s="8"/>
      <c r="M57" s="8"/>
      <c r="N57" s="42">
        <f t="shared" si="11"/>
        <v>4998000</v>
      </c>
      <c r="O57" s="42"/>
      <c r="P57" s="42">
        <f t="shared" si="16"/>
        <v>4998000</v>
      </c>
      <c r="Q57" s="42">
        <f t="shared" si="15"/>
        <v>4998000</v>
      </c>
      <c r="R57" s="5"/>
    </row>
    <row r="58" spans="1:18" ht="13.5" x14ac:dyDescent="0.2">
      <c r="A58" s="47" t="s">
        <v>23</v>
      </c>
      <c r="B58" s="47" t="s">
        <v>24</v>
      </c>
      <c r="C58" s="21" t="s">
        <v>25</v>
      </c>
      <c r="D58" s="47" t="s">
        <v>208</v>
      </c>
      <c r="E58" s="21" t="s">
        <v>31</v>
      </c>
      <c r="F58" s="47" t="s">
        <v>32</v>
      </c>
      <c r="G58" s="21" t="s">
        <v>368</v>
      </c>
      <c r="H58" s="7" t="s">
        <v>369</v>
      </c>
      <c r="I58" s="8" t="s">
        <v>387</v>
      </c>
      <c r="J58" s="9">
        <v>954300</v>
      </c>
      <c r="K58" s="8"/>
      <c r="L58" s="8"/>
      <c r="M58" s="8"/>
      <c r="N58" s="42">
        <f t="shared" si="11"/>
        <v>954300</v>
      </c>
      <c r="O58" s="42">
        <f>N58*1.5</f>
        <v>1431450</v>
      </c>
      <c r="P58" s="42"/>
      <c r="Q58" s="42">
        <f t="shared" si="15"/>
        <v>1431450</v>
      </c>
    </row>
    <row r="59" spans="1:18" ht="13.5" x14ac:dyDescent="0.2">
      <c r="A59" s="47" t="s">
        <v>23</v>
      </c>
      <c r="B59" s="47" t="s">
        <v>24</v>
      </c>
      <c r="C59" s="21" t="s">
        <v>25</v>
      </c>
      <c r="D59" s="47" t="s">
        <v>208</v>
      </c>
      <c r="E59" s="21" t="s">
        <v>31</v>
      </c>
      <c r="F59" s="47" t="s">
        <v>32</v>
      </c>
      <c r="G59" s="21" t="s">
        <v>368</v>
      </c>
      <c r="H59" s="7" t="s">
        <v>369</v>
      </c>
      <c r="I59" s="8" t="s">
        <v>418</v>
      </c>
      <c r="J59" s="9">
        <v>9110400</v>
      </c>
      <c r="K59" s="8"/>
      <c r="L59" s="8"/>
      <c r="M59" s="8"/>
      <c r="N59" s="42">
        <f t="shared" si="11"/>
        <v>9110400</v>
      </c>
      <c r="O59" s="42"/>
      <c r="P59" s="42">
        <f t="shared" ref="P59:P60" si="17">N59</f>
        <v>9110400</v>
      </c>
      <c r="Q59" s="42">
        <f t="shared" si="15"/>
        <v>9110400</v>
      </c>
      <c r="R59" s="5"/>
    </row>
    <row r="60" spans="1:18" ht="13.5" x14ac:dyDescent="0.2">
      <c r="A60" s="47" t="s">
        <v>23</v>
      </c>
      <c r="B60" s="47" t="s">
        <v>24</v>
      </c>
      <c r="C60" s="21" t="s">
        <v>25</v>
      </c>
      <c r="D60" s="47" t="s">
        <v>208</v>
      </c>
      <c r="E60" s="21" t="s">
        <v>31</v>
      </c>
      <c r="F60" s="47" t="s">
        <v>32</v>
      </c>
      <c r="G60" s="21" t="s">
        <v>368</v>
      </c>
      <c r="H60" s="7" t="s">
        <v>369</v>
      </c>
      <c r="I60" s="8" t="s">
        <v>414</v>
      </c>
      <c r="J60" s="9">
        <v>385500</v>
      </c>
      <c r="K60" s="8"/>
      <c r="L60" s="8"/>
      <c r="M60" s="8"/>
      <c r="N60" s="42">
        <f t="shared" si="11"/>
        <v>385500</v>
      </c>
      <c r="O60" s="42"/>
      <c r="P60" s="42">
        <f t="shared" si="17"/>
        <v>385500</v>
      </c>
      <c r="Q60" s="42">
        <f t="shared" si="15"/>
        <v>385500</v>
      </c>
      <c r="R60" s="5"/>
    </row>
    <row r="61" spans="1:18" ht="13.5" x14ac:dyDescent="0.2">
      <c r="A61" s="47" t="s">
        <v>23</v>
      </c>
      <c r="B61" s="47" t="s">
        <v>24</v>
      </c>
      <c r="C61" s="21" t="s">
        <v>25</v>
      </c>
      <c r="D61" s="47" t="s">
        <v>208</v>
      </c>
      <c r="E61" s="21" t="s">
        <v>31</v>
      </c>
      <c r="F61" s="47" t="s">
        <v>32</v>
      </c>
      <c r="G61" s="21" t="s">
        <v>368</v>
      </c>
      <c r="H61" s="7" t="s">
        <v>369</v>
      </c>
      <c r="I61" s="8" t="s">
        <v>410</v>
      </c>
      <c r="J61" s="9">
        <v>2249800</v>
      </c>
      <c r="K61" s="8"/>
      <c r="L61" s="8"/>
      <c r="M61" s="8"/>
      <c r="N61" s="42">
        <f t="shared" si="11"/>
        <v>2249800</v>
      </c>
      <c r="O61" s="42">
        <f>N61*1.5</f>
        <v>3374700</v>
      </c>
      <c r="P61" s="42"/>
      <c r="Q61" s="42">
        <f t="shared" si="15"/>
        <v>3374700</v>
      </c>
    </row>
    <row r="62" spans="1:18" ht="13.5" x14ac:dyDescent="0.2">
      <c r="A62" s="47" t="s">
        <v>23</v>
      </c>
      <c r="B62" s="47" t="s">
        <v>24</v>
      </c>
      <c r="C62" s="21" t="s">
        <v>25</v>
      </c>
      <c r="D62" s="47" t="s">
        <v>208</v>
      </c>
      <c r="E62" s="21" t="s">
        <v>31</v>
      </c>
      <c r="F62" s="47" t="s">
        <v>32</v>
      </c>
      <c r="G62" s="21" t="s">
        <v>368</v>
      </c>
      <c r="H62" s="7" t="s">
        <v>369</v>
      </c>
      <c r="I62" s="8" t="s">
        <v>408</v>
      </c>
      <c r="J62" s="9">
        <v>1948500</v>
      </c>
      <c r="K62" s="8"/>
      <c r="L62" s="8"/>
      <c r="M62" s="8"/>
      <c r="N62" s="42">
        <f t="shared" si="11"/>
        <v>1948500</v>
      </c>
      <c r="O62" s="42"/>
      <c r="P62" s="42">
        <f t="shared" ref="P62:P64" si="18">N62</f>
        <v>1948500</v>
      </c>
      <c r="Q62" s="42">
        <f t="shared" si="15"/>
        <v>1948500</v>
      </c>
      <c r="R62" s="5"/>
    </row>
    <row r="63" spans="1:18" ht="13.5" x14ac:dyDescent="0.2">
      <c r="A63" s="47" t="s">
        <v>23</v>
      </c>
      <c r="B63" s="47" t="s">
        <v>24</v>
      </c>
      <c r="C63" s="21" t="s">
        <v>25</v>
      </c>
      <c r="D63" s="47" t="s">
        <v>208</v>
      </c>
      <c r="E63" s="21" t="s">
        <v>31</v>
      </c>
      <c r="F63" s="47" t="s">
        <v>32</v>
      </c>
      <c r="G63" s="21" t="s">
        <v>368</v>
      </c>
      <c r="H63" s="7" t="s">
        <v>369</v>
      </c>
      <c r="I63" s="8" t="s">
        <v>416</v>
      </c>
      <c r="J63" s="9">
        <v>6108600</v>
      </c>
      <c r="K63" s="8"/>
      <c r="L63" s="8"/>
      <c r="M63" s="8"/>
      <c r="N63" s="42">
        <f t="shared" si="11"/>
        <v>6108600</v>
      </c>
      <c r="O63" s="42"/>
      <c r="P63" s="42">
        <f t="shared" si="18"/>
        <v>6108600</v>
      </c>
      <c r="Q63" s="42">
        <f t="shared" si="15"/>
        <v>6108600</v>
      </c>
      <c r="R63" s="5"/>
    </row>
    <row r="64" spans="1:18" ht="13.5" x14ac:dyDescent="0.2">
      <c r="A64" s="47" t="s">
        <v>23</v>
      </c>
      <c r="B64" s="47" t="s">
        <v>24</v>
      </c>
      <c r="C64" s="21" t="s">
        <v>25</v>
      </c>
      <c r="D64" s="47" t="s">
        <v>208</v>
      </c>
      <c r="E64" s="21" t="s">
        <v>31</v>
      </c>
      <c r="F64" s="47" t="s">
        <v>32</v>
      </c>
      <c r="G64" s="21" t="s">
        <v>426</v>
      </c>
      <c r="H64" s="7" t="s">
        <v>427</v>
      </c>
      <c r="I64" s="8" t="s">
        <v>428</v>
      </c>
      <c r="J64" s="9">
        <v>1099800</v>
      </c>
      <c r="K64" s="8"/>
      <c r="L64" s="8"/>
      <c r="M64" s="8"/>
      <c r="N64" s="42">
        <f t="shared" si="11"/>
        <v>1099800</v>
      </c>
      <c r="O64" s="42"/>
      <c r="P64" s="42">
        <f t="shared" si="18"/>
        <v>1099800</v>
      </c>
      <c r="Q64" s="42">
        <f t="shared" si="15"/>
        <v>1099800</v>
      </c>
      <c r="R64" s="5"/>
    </row>
    <row r="65" spans="1:18" ht="13.5" x14ac:dyDescent="0.2">
      <c r="A65" s="47" t="s">
        <v>23</v>
      </c>
      <c r="B65" s="47" t="s">
        <v>24</v>
      </c>
      <c r="C65" s="21" t="s">
        <v>25</v>
      </c>
      <c r="D65" s="47" t="s">
        <v>208</v>
      </c>
      <c r="E65" s="21" t="s">
        <v>31</v>
      </c>
      <c r="F65" s="47" t="s">
        <v>32</v>
      </c>
      <c r="G65" s="21" t="s">
        <v>426</v>
      </c>
      <c r="H65" s="7" t="s">
        <v>427</v>
      </c>
      <c r="I65" s="8" t="s">
        <v>438</v>
      </c>
      <c r="J65" s="9">
        <v>1167200</v>
      </c>
      <c r="K65" s="8"/>
      <c r="L65" s="8"/>
      <c r="M65" s="8"/>
      <c r="N65" s="42">
        <f t="shared" si="11"/>
        <v>1167200</v>
      </c>
      <c r="O65" s="42">
        <f t="shared" ref="O65:O66" si="19">N65*1.5</f>
        <v>1750800</v>
      </c>
      <c r="P65" s="42"/>
      <c r="Q65" s="42">
        <f t="shared" si="15"/>
        <v>1750800</v>
      </c>
    </row>
    <row r="66" spans="1:18" ht="13.5" x14ac:dyDescent="0.2">
      <c r="A66" s="47" t="s">
        <v>23</v>
      </c>
      <c r="B66" s="47" t="s">
        <v>24</v>
      </c>
      <c r="C66" s="21" t="s">
        <v>25</v>
      </c>
      <c r="D66" s="47" t="s">
        <v>208</v>
      </c>
      <c r="E66" s="21" t="s">
        <v>31</v>
      </c>
      <c r="F66" s="47" t="s">
        <v>32</v>
      </c>
      <c r="G66" s="21" t="s">
        <v>440</v>
      </c>
      <c r="H66" s="7" t="s">
        <v>441</v>
      </c>
      <c r="I66" s="8" t="s">
        <v>450</v>
      </c>
      <c r="J66" s="9">
        <v>1819800</v>
      </c>
      <c r="K66" s="8"/>
      <c r="L66" s="8"/>
      <c r="M66" s="8"/>
      <c r="N66" s="42">
        <f t="shared" si="11"/>
        <v>1819800</v>
      </c>
      <c r="O66" s="42">
        <f t="shared" si="19"/>
        <v>2729700</v>
      </c>
      <c r="P66" s="42"/>
      <c r="Q66" s="42">
        <f t="shared" si="15"/>
        <v>2729700</v>
      </c>
    </row>
    <row r="67" spans="1:18" ht="13.5" x14ac:dyDescent="0.2">
      <c r="A67" s="47" t="s">
        <v>23</v>
      </c>
      <c r="B67" s="47" t="s">
        <v>24</v>
      </c>
      <c r="C67" s="21" t="s">
        <v>25</v>
      </c>
      <c r="D67" s="47" t="s">
        <v>208</v>
      </c>
      <c r="E67" s="21" t="s">
        <v>41</v>
      </c>
      <c r="F67" s="47" t="s">
        <v>32</v>
      </c>
      <c r="G67" s="21" t="s">
        <v>209</v>
      </c>
      <c r="H67" s="7" t="s">
        <v>210</v>
      </c>
      <c r="I67" s="8" t="s">
        <v>258</v>
      </c>
      <c r="J67" s="9">
        <v>1886000</v>
      </c>
      <c r="K67" s="8"/>
      <c r="L67" s="42">
        <f t="shared" ref="L67:L94" si="20">J67*1.5</f>
        <v>2829000</v>
      </c>
      <c r="M67" s="8"/>
      <c r="N67" s="42">
        <f t="shared" si="7"/>
        <v>2829000</v>
      </c>
      <c r="O67" s="42"/>
      <c r="P67" s="42">
        <f t="shared" ref="P67:P68" si="21">N67</f>
        <v>2829000</v>
      </c>
      <c r="Q67" s="42">
        <f t="shared" si="15"/>
        <v>2829000</v>
      </c>
      <c r="R67" s="5"/>
    </row>
    <row r="68" spans="1:18" ht="13.5" x14ac:dyDescent="0.2">
      <c r="A68" s="47" t="s">
        <v>23</v>
      </c>
      <c r="B68" s="47" t="s">
        <v>24</v>
      </c>
      <c r="C68" s="21" t="s">
        <v>25</v>
      </c>
      <c r="D68" s="47" t="s">
        <v>208</v>
      </c>
      <c r="E68" s="21" t="s">
        <v>41</v>
      </c>
      <c r="F68" s="47" t="s">
        <v>32</v>
      </c>
      <c r="G68" s="21" t="s">
        <v>209</v>
      </c>
      <c r="H68" s="7" t="s">
        <v>210</v>
      </c>
      <c r="I68" s="8" t="s">
        <v>266</v>
      </c>
      <c r="J68" s="9">
        <v>9165000</v>
      </c>
      <c r="K68" s="8"/>
      <c r="L68" s="42">
        <f t="shared" si="20"/>
        <v>13747500</v>
      </c>
      <c r="M68" s="8"/>
      <c r="N68" s="42">
        <f t="shared" ref="N68:N131" si="22">SUM(K68:M68)</f>
        <v>13747500</v>
      </c>
      <c r="O68" s="42"/>
      <c r="P68" s="42">
        <f t="shared" si="21"/>
        <v>13747500</v>
      </c>
      <c r="Q68" s="42">
        <f t="shared" si="15"/>
        <v>13747500</v>
      </c>
      <c r="R68" s="5"/>
    </row>
    <row r="69" spans="1:18" ht="13.5" x14ac:dyDescent="0.2">
      <c r="A69" s="47" t="s">
        <v>23</v>
      </c>
      <c r="B69" s="47" t="s">
        <v>24</v>
      </c>
      <c r="C69" s="21" t="s">
        <v>25</v>
      </c>
      <c r="D69" s="47" t="s">
        <v>208</v>
      </c>
      <c r="E69" s="21" t="s">
        <v>41</v>
      </c>
      <c r="F69" s="47" t="s">
        <v>32</v>
      </c>
      <c r="G69" s="21" t="s">
        <v>209</v>
      </c>
      <c r="H69" s="7" t="s">
        <v>210</v>
      </c>
      <c r="I69" s="8" t="s">
        <v>270</v>
      </c>
      <c r="J69" s="9">
        <v>10698000</v>
      </c>
      <c r="K69" s="8"/>
      <c r="L69" s="42">
        <f t="shared" si="20"/>
        <v>16047000</v>
      </c>
      <c r="M69" s="8"/>
      <c r="N69" s="42">
        <f t="shared" si="22"/>
        <v>16047000</v>
      </c>
      <c r="O69" s="42">
        <f>N69*1.5</f>
        <v>24070500</v>
      </c>
      <c r="P69" s="42"/>
      <c r="Q69" s="42">
        <f t="shared" si="15"/>
        <v>24070500</v>
      </c>
    </row>
    <row r="70" spans="1:18" ht="13.5" x14ac:dyDescent="0.2">
      <c r="A70" s="47" t="s">
        <v>23</v>
      </c>
      <c r="B70" s="47" t="s">
        <v>24</v>
      </c>
      <c r="C70" s="21" t="s">
        <v>25</v>
      </c>
      <c r="D70" s="47" t="s">
        <v>208</v>
      </c>
      <c r="E70" s="21" t="s">
        <v>41</v>
      </c>
      <c r="F70" s="47" t="s">
        <v>32</v>
      </c>
      <c r="G70" s="21" t="s">
        <v>279</v>
      </c>
      <c r="H70" s="7" t="s">
        <v>280</v>
      </c>
      <c r="I70" s="8" t="s">
        <v>283</v>
      </c>
      <c r="J70" s="9">
        <v>5876400</v>
      </c>
      <c r="K70" s="8"/>
      <c r="L70" s="42">
        <f t="shared" si="20"/>
        <v>8814600</v>
      </c>
      <c r="M70" s="8"/>
      <c r="N70" s="42">
        <f t="shared" si="22"/>
        <v>8814600</v>
      </c>
      <c r="O70" s="42"/>
      <c r="P70" s="42">
        <f t="shared" ref="P70:P72" si="23">N70</f>
        <v>8814600</v>
      </c>
      <c r="Q70" s="42">
        <f t="shared" si="15"/>
        <v>8814600</v>
      </c>
      <c r="R70" s="5"/>
    </row>
    <row r="71" spans="1:18" ht="13.5" x14ac:dyDescent="0.2">
      <c r="A71" s="47" t="s">
        <v>23</v>
      </c>
      <c r="B71" s="47" t="s">
        <v>24</v>
      </c>
      <c r="C71" s="21" t="s">
        <v>25</v>
      </c>
      <c r="D71" s="47" t="s">
        <v>208</v>
      </c>
      <c r="E71" s="21" t="s">
        <v>41</v>
      </c>
      <c r="F71" s="47" t="s">
        <v>32</v>
      </c>
      <c r="G71" s="21" t="s">
        <v>279</v>
      </c>
      <c r="H71" s="7" t="s">
        <v>280</v>
      </c>
      <c r="I71" s="8" t="s">
        <v>286</v>
      </c>
      <c r="J71" s="9">
        <v>5945600</v>
      </c>
      <c r="K71" s="8"/>
      <c r="L71" s="42">
        <f t="shared" si="20"/>
        <v>8918400</v>
      </c>
      <c r="M71" s="8"/>
      <c r="N71" s="42">
        <f t="shared" si="22"/>
        <v>8918400</v>
      </c>
      <c r="O71" s="42"/>
      <c r="P71" s="42">
        <f t="shared" si="23"/>
        <v>8918400</v>
      </c>
      <c r="Q71" s="42">
        <f t="shared" si="15"/>
        <v>8918400</v>
      </c>
      <c r="R71" s="5"/>
    </row>
    <row r="72" spans="1:18" ht="13.5" x14ac:dyDescent="0.2">
      <c r="A72" s="47" t="s">
        <v>23</v>
      </c>
      <c r="B72" s="47" t="s">
        <v>24</v>
      </c>
      <c r="C72" s="21" t="s">
        <v>25</v>
      </c>
      <c r="D72" s="47" t="s">
        <v>208</v>
      </c>
      <c r="E72" s="21" t="s">
        <v>41</v>
      </c>
      <c r="F72" s="47" t="s">
        <v>32</v>
      </c>
      <c r="G72" s="21" t="s">
        <v>279</v>
      </c>
      <c r="H72" s="7" t="s">
        <v>280</v>
      </c>
      <c r="I72" s="8" t="s">
        <v>288</v>
      </c>
      <c r="J72" s="9">
        <v>5945600</v>
      </c>
      <c r="K72" s="8"/>
      <c r="L72" s="42">
        <f t="shared" si="20"/>
        <v>8918400</v>
      </c>
      <c r="M72" s="8"/>
      <c r="N72" s="42">
        <f t="shared" si="22"/>
        <v>8918400</v>
      </c>
      <c r="O72" s="42"/>
      <c r="P72" s="42">
        <f t="shared" si="23"/>
        <v>8918400</v>
      </c>
      <c r="Q72" s="42">
        <f t="shared" si="15"/>
        <v>8918400</v>
      </c>
      <c r="R72" s="5"/>
    </row>
    <row r="73" spans="1:18" ht="13.5" x14ac:dyDescent="0.2">
      <c r="A73" s="47" t="s">
        <v>23</v>
      </c>
      <c r="B73" s="47" t="s">
        <v>24</v>
      </c>
      <c r="C73" s="21" t="s">
        <v>25</v>
      </c>
      <c r="D73" s="47" t="s">
        <v>208</v>
      </c>
      <c r="E73" s="21" t="s">
        <v>41</v>
      </c>
      <c r="F73" s="47" t="s">
        <v>32</v>
      </c>
      <c r="G73" s="21" t="s">
        <v>290</v>
      </c>
      <c r="H73" s="7" t="s">
        <v>291</v>
      </c>
      <c r="I73" s="8" t="s">
        <v>328</v>
      </c>
      <c r="J73" s="9">
        <v>8380800</v>
      </c>
      <c r="K73" s="8"/>
      <c r="L73" s="42">
        <f t="shared" si="20"/>
        <v>12571200</v>
      </c>
      <c r="M73" s="8"/>
      <c r="N73" s="42">
        <f t="shared" si="22"/>
        <v>12571200</v>
      </c>
      <c r="O73" s="42">
        <f>N73*1.5</f>
        <v>18856800</v>
      </c>
      <c r="P73" s="42"/>
      <c r="Q73" s="42">
        <f t="shared" si="15"/>
        <v>18856800</v>
      </c>
    </row>
    <row r="74" spans="1:18" ht="13.5" x14ac:dyDescent="0.2">
      <c r="A74" s="47" t="s">
        <v>23</v>
      </c>
      <c r="B74" s="47" t="s">
        <v>24</v>
      </c>
      <c r="C74" s="21" t="s">
        <v>25</v>
      </c>
      <c r="D74" s="47" t="s">
        <v>208</v>
      </c>
      <c r="E74" s="21" t="s">
        <v>41</v>
      </c>
      <c r="F74" s="47" t="s">
        <v>32</v>
      </c>
      <c r="G74" s="21" t="s">
        <v>290</v>
      </c>
      <c r="H74" s="7" t="s">
        <v>291</v>
      </c>
      <c r="I74" s="8" t="s">
        <v>301</v>
      </c>
      <c r="J74" s="9">
        <v>5713200</v>
      </c>
      <c r="K74" s="8"/>
      <c r="L74" s="42">
        <f t="shared" si="20"/>
        <v>8569800</v>
      </c>
      <c r="M74" s="8"/>
      <c r="N74" s="42">
        <f t="shared" si="22"/>
        <v>8569800</v>
      </c>
      <c r="O74" s="42"/>
      <c r="P74" s="42">
        <f>N74</f>
        <v>8569800</v>
      </c>
      <c r="Q74" s="42">
        <f t="shared" si="15"/>
        <v>8569800</v>
      </c>
      <c r="R74" s="5"/>
    </row>
    <row r="75" spans="1:18" ht="13.5" x14ac:dyDescent="0.2">
      <c r="A75" s="47" t="s">
        <v>23</v>
      </c>
      <c r="B75" s="47" t="s">
        <v>24</v>
      </c>
      <c r="C75" s="21" t="s">
        <v>25</v>
      </c>
      <c r="D75" s="47" t="s">
        <v>208</v>
      </c>
      <c r="E75" s="21" t="s">
        <v>41</v>
      </c>
      <c r="F75" s="47" t="s">
        <v>32</v>
      </c>
      <c r="G75" s="21" t="s">
        <v>290</v>
      </c>
      <c r="H75" s="7" t="s">
        <v>291</v>
      </c>
      <c r="I75" s="8" t="s">
        <v>322</v>
      </c>
      <c r="J75" s="9">
        <v>2298000</v>
      </c>
      <c r="K75" s="8"/>
      <c r="L75" s="42">
        <f t="shared" si="20"/>
        <v>3447000</v>
      </c>
      <c r="M75" s="8"/>
      <c r="N75" s="42">
        <f t="shared" si="22"/>
        <v>3447000</v>
      </c>
      <c r="O75" s="42">
        <f>N75*1.5</f>
        <v>5170500</v>
      </c>
      <c r="P75" s="42"/>
      <c r="Q75" s="42">
        <f t="shared" si="15"/>
        <v>5170500</v>
      </c>
    </row>
    <row r="76" spans="1:18" ht="13.5" x14ac:dyDescent="0.2">
      <c r="A76" s="47" t="s">
        <v>23</v>
      </c>
      <c r="B76" s="47" t="s">
        <v>24</v>
      </c>
      <c r="C76" s="21" t="s">
        <v>25</v>
      </c>
      <c r="D76" s="47" t="s">
        <v>208</v>
      </c>
      <c r="E76" s="21" t="s">
        <v>41</v>
      </c>
      <c r="F76" s="47" t="s">
        <v>32</v>
      </c>
      <c r="G76" s="21" t="s">
        <v>290</v>
      </c>
      <c r="H76" s="7" t="s">
        <v>291</v>
      </c>
      <c r="I76" s="8" t="s">
        <v>295</v>
      </c>
      <c r="J76" s="9">
        <v>3626800</v>
      </c>
      <c r="K76" s="8"/>
      <c r="L76" s="42">
        <f t="shared" si="20"/>
        <v>5440200</v>
      </c>
      <c r="M76" s="8"/>
      <c r="N76" s="42">
        <f t="shared" si="22"/>
        <v>5440200</v>
      </c>
      <c r="O76" s="42"/>
      <c r="P76" s="42">
        <f t="shared" ref="P76:P78" si="24">N76</f>
        <v>5440200</v>
      </c>
      <c r="Q76" s="42">
        <f t="shared" si="15"/>
        <v>5440200</v>
      </c>
      <c r="R76" s="5"/>
    </row>
    <row r="77" spans="1:18" ht="13.5" x14ac:dyDescent="0.2">
      <c r="A77" s="47" t="s">
        <v>23</v>
      </c>
      <c r="B77" s="47" t="s">
        <v>24</v>
      </c>
      <c r="C77" s="21" t="s">
        <v>25</v>
      </c>
      <c r="D77" s="47" t="s">
        <v>208</v>
      </c>
      <c r="E77" s="21" t="s">
        <v>41</v>
      </c>
      <c r="F77" s="47" t="s">
        <v>32</v>
      </c>
      <c r="G77" s="21" t="s">
        <v>290</v>
      </c>
      <c r="H77" s="7" t="s">
        <v>291</v>
      </c>
      <c r="I77" s="8" t="s">
        <v>313</v>
      </c>
      <c r="J77" s="9">
        <v>2451800</v>
      </c>
      <c r="K77" s="8"/>
      <c r="L77" s="42">
        <f t="shared" si="20"/>
        <v>3677700</v>
      </c>
      <c r="M77" s="8"/>
      <c r="N77" s="42">
        <f t="shared" si="22"/>
        <v>3677700</v>
      </c>
      <c r="O77" s="42"/>
      <c r="P77" s="42">
        <f t="shared" si="24"/>
        <v>3677700</v>
      </c>
      <c r="Q77" s="42">
        <f t="shared" si="15"/>
        <v>3677700</v>
      </c>
      <c r="R77" s="5"/>
    </row>
    <row r="78" spans="1:18" ht="13.5" x14ac:dyDescent="0.2">
      <c r="A78" s="47" t="s">
        <v>23</v>
      </c>
      <c r="B78" s="47" t="s">
        <v>24</v>
      </c>
      <c r="C78" s="21" t="s">
        <v>25</v>
      </c>
      <c r="D78" s="47" t="s">
        <v>208</v>
      </c>
      <c r="E78" s="21" t="s">
        <v>41</v>
      </c>
      <c r="F78" s="47" t="s">
        <v>32</v>
      </c>
      <c r="G78" s="21" t="s">
        <v>290</v>
      </c>
      <c r="H78" s="7" t="s">
        <v>291</v>
      </c>
      <c r="I78" s="8" t="s">
        <v>299</v>
      </c>
      <c r="J78" s="9">
        <v>13175000</v>
      </c>
      <c r="K78" s="8"/>
      <c r="L78" s="42">
        <f t="shared" si="20"/>
        <v>19762500</v>
      </c>
      <c r="M78" s="8"/>
      <c r="N78" s="42">
        <f t="shared" si="22"/>
        <v>19762500</v>
      </c>
      <c r="O78" s="42"/>
      <c r="P78" s="42">
        <f t="shared" si="24"/>
        <v>19762500</v>
      </c>
      <c r="Q78" s="42">
        <f t="shared" si="15"/>
        <v>19762500</v>
      </c>
      <c r="R78" s="5"/>
    </row>
    <row r="79" spans="1:18" ht="13.5" x14ac:dyDescent="0.2">
      <c r="A79" s="47" t="s">
        <v>23</v>
      </c>
      <c r="B79" s="47" t="s">
        <v>24</v>
      </c>
      <c r="C79" s="21" t="s">
        <v>25</v>
      </c>
      <c r="D79" s="47" t="s">
        <v>208</v>
      </c>
      <c r="E79" s="21" t="s">
        <v>41</v>
      </c>
      <c r="F79" s="47" t="s">
        <v>32</v>
      </c>
      <c r="G79" s="21" t="s">
        <v>290</v>
      </c>
      <c r="H79" s="7" t="s">
        <v>291</v>
      </c>
      <c r="I79" s="8" t="s">
        <v>324</v>
      </c>
      <c r="J79" s="9">
        <v>3398000</v>
      </c>
      <c r="K79" s="8"/>
      <c r="L79" s="42">
        <f t="shared" si="20"/>
        <v>5097000</v>
      </c>
      <c r="M79" s="8"/>
      <c r="N79" s="42">
        <f t="shared" si="22"/>
        <v>5097000</v>
      </c>
      <c r="O79" s="42">
        <f>N79*1.5</f>
        <v>7645500</v>
      </c>
      <c r="P79" s="42"/>
      <c r="Q79" s="42">
        <f t="shared" si="15"/>
        <v>7645500</v>
      </c>
    </row>
    <row r="80" spans="1:18" ht="13.5" x14ac:dyDescent="0.2">
      <c r="A80" s="47" t="s">
        <v>23</v>
      </c>
      <c r="B80" s="47" t="s">
        <v>24</v>
      </c>
      <c r="C80" s="21" t="s">
        <v>25</v>
      </c>
      <c r="D80" s="47" t="s">
        <v>208</v>
      </c>
      <c r="E80" s="21" t="s">
        <v>41</v>
      </c>
      <c r="F80" s="47" t="s">
        <v>32</v>
      </c>
      <c r="G80" s="21" t="s">
        <v>330</v>
      </c>
      <c r="H80" s="7" t="s">
        <v>331</v>
      </c>
      <c r="I80" s="8" t="s">
        <v>339</v>
      </c>
      <c r="J80" s="9">
        <v>2006000</v>
      </c>
      <c r="K80" s="8"/>
      <c r="L80" s="42">
        <f t="shared" si="20"/>
        <v>3009000</v>
      </c>
      <c r="M80" s="8"/>
      <c r="N80" s="42">
        <f t="shared" si="22"/>
        <v>3009000</v>
      </c>
      <c r="O80" s="42"/>
      <c r="P80" s="42">
        <f t="shared" ref="P80:P81" si="25">N80</f>
        <v>3009000</v>
      </c>
      <c r="Q80" s="42">
        <f t="shared" si="15"/>
        <v>3009000</v>
      </c>
      <c r="R80" s="5"/>
    </row>
    <row r="81" spans="1:18" ht="13.5" x14ac:dyDescent="0.2">
      <c r="A81" s="47" t="s">
        <v>23</v>
      </c>
      <c r="B81" s="47" t="s">
        <v>24</v>
      </c>
      <c r="C81" s="21" t="s">
        <v>25</v>
      </c>
      <c r="D81" s="47" t="s">
        <v>208</v>
      </c>
      <c r="E81" s="21" t="s">
        <v>41</v>
      </c>
      <c r="F81" s="47" t="s">
        <v>32</v>
      </c>
      <c r="G81" s="21" t="s">
        <v>330</v>
      </c>
      <c r="H81" s="7" t="s">
        <v>331</v>
      </c>
      <c r="I81" s="8" t="s">
        <v>335</v>
      </c>
      <c r="J81" s="9">
        <v>2318000</v>
      </c>
      <c r="K81" s="8"/>
      <c r="L81" s="42">
        <f t="shared" si="20"/>
        <v>3477000</v>
      </c>
      <c r="M81" s="8"/>
      <c r="N81" s="42">
        <f t="shared" si="22"/>
        <v>3477000</v>
      </c>
      <c r="O81" s="42"/>
      <c r="P81" s="42">
        <f t="shared" si="25"/>
        <v>3477000</v>
      </c>
      <c r="Q81" s="42">
        <f t="shared" si="15"/>
        <v>3477000</v>
      </c>
      <c r="R81" s="5"/>
    </row>
    <row r="82" spans="1:18" ht="13.5" x14ac:dyDescent="0.2">
      <c r="A82" s="47" t="s">
        <v>23</v>
      </c>
      <c r="B82" s="47" t="s">
        <v>24</v>
      </c>
      <c r="C82" s="21" t="s">
        <v>25</v>
      </c>
      <c r="D82" s="47" t="s">
        <v>208</v>
      </c>
      <c r="E82" s="21" t="s">
        <v>41</v>
      </c>
      <c r="F82" s="47" t="s">
        <v>32</v>
      </c>
      <c r="G82" s="21" t="s">
        <v>330</v>
      </c>
      <c r="H82" s="7" t="s">
        <v>331</v>
      </c>
      <c r="I82" s="8" t="s">
        <v>333</v>
      </c>
      <c r="J82" s="9">
        <v>4780000</v>
      </c>
      <c r="K82" s="8"/>
      <c r="L82" s="42">
        <f t="shared" si="20"/>
        <v>7170000</v>
      </c>
      <c r="M82" s="8"/>
      <c r="N82" s="42">
        <f t="shared" si="22"/>
        <v>7170000</v>
      </c>
      <c r="O82" s="42">
        <f t="shared" ref="O82:O84" si="26">N82*1.5</f>
        <v>10755000</v>
      </c>
      <c r="P82" s="42"/>
      <c r="Q82" s="42">
        <f t="shared" si="15"/>
        <v>10755000</v>
      </c>
    </row>
    <row r="83" spans="1:18" ht="13.5" x14ac:dyDescent="0.2">
      <c r="A83" s="47" t="s">
        <v>23</v>
      </c>
      <c r="B83" s="47" t="s">
        <v>24</v>
      </c>
      <c r="C83" s="21" t="s">
        <v>25</v>
      </c>
      <c r="D83" s="47" t="s">
        <v>208</v>
      </c>
      <c r="E83" s="21" t="s">
        <v>41</v>
      </c>
      <c r="F83" s="47" t="s">
        <v>32</v>
      </c>
      <c r="G83" s="21" t="s">
        <v>347</v>
      </c>
      <c r="H83" s="7" t="s">
        <v>348</v>
      </c>
      <c r="I83" s="8" t="s">
        <v>366</v>
      </c>
      <c r="J83" s="9">
        <v>3246900</v>
      </c>
      <c r="K83" s="8"/>
      <c r="L83" s="42">
        <f t="shared" si="20"/>
        <v>4870350</v>
      </c>
      <c r="M83" s="8"/>
      <c r="N83" s="42">
        <f t="shared" si="22"/>
        <v>4870350</v>
      </c>
      <c r="O83" s="42">
        <f t="shared" si="26"/>
        <v>7305525</v>
      </c>
      <c r="P83" s="42"/>
      <c r="Q83" s="42">
        <f t="shared" si="15"/>
        <v>7305525</v>
      </c>
    </row>
    <row r="84" spans="1:18" ht="13.5" x14ac:dyDescent="0.2">
      <c r="A84" s="47" t="s">
        <v>23</v>
      </c>
      <c r="B84" s="47" t="s">
        <v>24</v>
      </c>
      <c r="C84" s="21" t="s">
        <v>25</v>
      </c>
      <c r="D84" s="47" t="s">
        <v>208</v>
      </c>
      <c r="E84" s="21" t="s">
        <v>41</v>
      </c>
      <c r="F84" s="47" t="s">
        <v>32</v>
      </c>
      <c r="G84" s="21" t="s">
        <v>347</v>
      </c>
      <c r="H84" s="7" t="s">
        <v>348</v>
      </c>
      <c r="I84" s="8" t="s">
        <v>364</v>
      </c>
      <c r="J84" s="9">
        <v>3000200</v>
      </c>
      <c r="K84" s="8"/>
      <c r="L84" s="42">
        <f t="shared" si="20"/>
        <v>4500300</v>
      </c>
      <c r="M84" s="8"/>
      <c r="N84" s="42">
        <f t="shared" si="22"/>
        <v>4500300</v>
      </c>
      <c r="O84" s="42">
        <f t="shared" si="26"/>
        <v>6750450</v>
      </c>
      <c r="P84" s="42"/>
      <c r="Q84" s="42">
        <f t="shared" si="15"/>
        <v>6750450</v>
      </c>
    </row>
    <row r="85" spans="1:18" ht="13.5" x14ac:dyDescent="0.2">
      <c r="A85" s="47" t="s">
        <v>23</v>
      </c>
      <c r="B85" s="47" t="s">
        <v>24</v>
      </c>
      <c r="C85" s="21" t="s">
        <v>25</v>
      </c>
      <c r="D85" s="47" t="s">
        <v>208</v>
      </c>
      <c r="E85" s="21" t="s">
        <v>41</v>
      </c>
      <c r="F85" s="47" t="s">
        <v>32</v>
      </c>
      <c r="G85" s="21" t="s">
        <v>347</v>
      </c>
      <c r="H85" s="7" t="s">
        <v>348</v>
      </c>
      <c r="I85" s="8" t="s">
        <v>351</v>
      </c>
      <c r="J85" s="9">
        <v>2758400</v>
      </c>
      <c r="K85" s="8"/>
      <c r="L85" s="42">
        <f t="shared" si="20"/>
        <v>4137600</v>
      </c>
      <c r="M85" s="8"/>
      <c r="N85" s="42">
        <f t="shared" si="22"/>
        <v>4137600</v>
      </c>
      <c r="O85" s="42"/>
      <c r="P85" s="42">
        <f t="shared" ref="P85:P92" si="27">N85</f>
        <v>4137600</v>
      </c>
      <c r="Q85" s="42">
        <f t="shared" si="15"/>
        <v>4137600</v>
      </c>
      <c r="R85" s="5"/>
    </row>
    <row r="86" spans="1:18" ht="13.5" x14ac:dyDescent="0.2">
      <c r="A86" s="47" t="s">
        <v>23</v>
      </c>
      <c r="B86" s="47" t="s">
        <v>24</v>
      </c>
      <c r="C86" s="21" t="s">
        <v>25</v>
      </c>
      <c r="D86" s="47" t="s">
        <v>208</v>
      </c>
      <c r="E86" s="21" t="s">
        <v>41</v>
      </c>
      <c r="F86" s="47" t="s">
        <v>32</v>
      </c>
      <c r="G86" s="21" t="s">
        <v>368</v>
      </c>
      <c r="H86" s="7" t="s">
        <v>369</v>
      </c>
      <c r="I86" s="8" t="s">
        <v>394</v>
      </c>
      <c r="J86" s="9">
        <v>1963200</v>
      </c>
      <c r="K86" s="8"/>
      <c r="L86" s="42">
        <f t="shared" si="20"/>
        <v>2944800</v>
      </c>
      <c r="M86" s="8"/>
      <c r="N86" s="42">
        <f t="shared" si="22"/>
        <v>2944800</v>
      </c>
      <c r="O86" s="42"/>
      <c r="P86" s="42">
        <f t="shared" si="27"/>
        <v>2944800</v>
      </c>
      <c r="Q86" s="42">
        <f t="shared" si="15"/>
        <v>2944800</v>
      </c>
      <c r="R86" s="5"/>
    </row>
    <row r="87" spans="1:18" ht="13.5" x14ac:dyDescent="0.2">
      <c r="A87" s="47" t="s">
        <v>23</v>
      </c>
      <c r="B87" s="47" t="s">
        <v>24</v>
      </c>
      <c r="C87" s="21" t="s">
        <v>25</v>
      </c>
      <c r="D87" s="47" t="s">
        <v>208</v>
      </c>
      <c r="E87" s="21" t="s">
        <v>41</v>
      </c>
      <c r="F87" s="47" t="s">
        <v>32</v>
      </c>
      <c r="G87" s="21" t="s">
        <v>368</v>
      </c>
      <c r="H87" s="7" t="s">
        <v>369</v>
      </c>
      <c r="I87" s="8" t="s">
        <v>412</v>
      </c>
      <c r="J87" s="9">
        <v>3969800</v>
      </c>
      <c r="K87" s="8"/>
      <c r="L87" s="42">
        <f t="shared" si="20"/>
        <v>5954700</v>
      </c>
      <c r="M87" s="8"/>
      <c r="N87" s="42">
        <f t="shared" si="22"/>
        <v>5954700</v>
      </c>
      <c r="O87" s="42"/>
      <c r="P87" s="42">
        <f t="shared" si="27"/>
        <v>5954700</v>
      </c>
      <c r="Q87" s="42">
        <f t="shared" si="15"/>
        <v>5954700</v>
      </c>
      <c r="R87" s="5"/>
    </row>
    <row r="88" spans="1:18" ht="13.5" x14ac:dyDescent="0.2">
      <c r="A88" s="47" t="s">
        <v>23</v>
      </c>
      <c r="B88" s="47" t="s">
        <v>24</v>
      </c>
      <c r="C88" s="21" t="s">
        <v>25</v>
      </c>
      <c r="D88" s="47" t="s">
        <v>208</v>
      </c>
      <c r="E88" s="21" t="s">
        <v>41</v>
      </c>
      <c r="F88" s="47" t="s">
        <v>32</v>
      </c>
      <c r="G88" s="21" t="s">
        <v>368</v>
      </c>
      <c r="H88" s="7" t="s">
        <v>369</v>
      </c>
      <c r="I88" s="8" t="s">
        <v>378</v>
      </c>
      <c r="J88" s="9">
        <v>4519600</v>
      </c>
      <c r="K88" s="8"/>
      <c r="L88" s="42">
        <f t="shared" si="20"/>
        <v>6779400</v>
      </c>
      <c r="M88" s="8"/>
      <c r="N88" s="42">
        <f t="shared" si="22"/>
        <v>6779400</v>
      </c>
      <c r="O88" s="42"/>
      <c r="P88" s="42">
        <f t="shared" si="27"/>
        <v>6779400</v>
      </c>
      <c r="Q88" s="42">
        <f t="shared" si="15"/>
        <v>6779400</v>
      </c>
      <c r="R88" s="5"/>
    </row>
    <row r="89" spans="1:18" ht="13.5" x14ac:dyDescent="0.2">
      <c r="A89" s="47" t="s">
        <v>23</v>
      </c>
      <c r="B89" s="47" t="s">
        <v>24</v>
      </c>
      <c r="C89" s="21" t="s">
        <v>25</v>
      </c>
      <c r="D89" s="47" t="s">
        <v>208</v>
      </c>
      <c r="E89" s="21" t="s">
        <v>41</v>
      </c>
      <c r="F89" s="47" t="s">
        <v>32</v>
      </c>
      <c r="G89" s="21" t="s">
        <v>368</v>
      </c>
      <c r="H89" s="7" t="s">
        <v>369</v>
      </c>
      <c r="I89" s="8" t="s">
        <v>420</v>
      </c>
      <c r="J89" s="9">
        <v>6593200</v>
      </c>
      <c r="K89" s="8"/>
      <c r="L89" s="42">
        <f t="shared" si="20"/>
        <v>9889800</v>
      </c>
      <c r="M89" s="8"/>
      <c r="N89" s="42">
        <f t="shared" si="22"/>
        <v>9889800</v>
      </c>
      <c r="O89" s="42"/>
      <c r="P89" s="42">
        <f t="shared" si="27"/>
        <v>9889800</v>
      </c>
      <c r="Q89" s="42">
        <f t="shared" si="15"/>
        <v>9889800</v>
      </c>
      <c r="R89" s="5"/>
    </row>
    <row r="90" spans="1:18" ht="13.5" x14ac:dyDescent="0.2">
      <c r="A90" s="47" t="s">
        <v>23</v>
      </c>
      <c r="B90" s="47" t="s">
        <v>24</v>
      </c>
      <c r="C90" s="21" t="s">
        <v>25</v>
      </c>
      <c r="D90" s="47" t="s">
        <v>208</v>
      </c>
      <c r="E90" s="21" t="s">
        <v>41</v>
      </c>
      <c r="F90" s="47" t="s">
        <v>32</v>
      </c>
      <c r="G90" s="21" t="s">
        <v>368</v>
      </c>
      <c r="H90" s="7" t="s">
        <v>369</v>
      </c>
      <c r="I90" s="8" t="s">
        <v>424</v>
      </c>
      <c r="J90" s="9">
        <v>7970800</v>
      </c>
      <c r="K90" s="8"/>
      <c r="L90" s="42">
        <f t="shared" si="20"/>
        <v>11956200</v>
      </c>
      <c r="M90" s="8"/>
      <c r="N90" s="42">
        <f t="shared" si="22"/>
        <v>11956200</v>
      </c>
      <c r="O90" s="42"/>
      <c r="P90" s="42">
        <f t="shared" si="27"/>
        <v>11956200</v>
      </c>
      <c r="Q90" s="42">
        <f t="shared" si="15"/>
        <v>11956200</v>
      </c>
      <c r="R90" s="5"/>
    </row>
    <row r="91" spans="1:18" ht="13.5" x14ac:dyDescent="0.2">
      <c r="A91" s="47" t="s">
        <v>23</v>
      </c>
      <c r="B91" s="47" t="s">
        <v>24</v>
      </c>
      <c r="C91" s="21" t="s">
        <v>25</v>
      </c>
      <c r="D91" s="47" t="s">
        <v>208</v>
      </c>
      <c r="E91" s="21" t="s">
        <v>41</v>
      </c>
      <c r="F91" s="47" t="s">
        <v>32</v>
      </c>
      <c r="G91" s="21" t="s">
        <v>368</v>
      </c>
      <c r="H91" s="7" t="s">
        <v>369</v>
      </c>
      <c r="I91" s="8" t="s">
        <v>382</v>
      </c>
      <c r="J91" s="9">
        <v>3276000</v>
      </c>
      <c r="K91" s="8"/>
      <c r="L91" s="42">
        <f t="shared" si="20"/>
        <v>4914000</v>
      </c>
      <c r="M91" s="8"/>
      <c r="N91" s="42">
        <f t="shared" si="22"/>
        <v>4914000</v>
      </c>
      <c r="O91" s="42"/>
      <c r="P91" s="42">
        <f t="shared" si="27"/>
        <v>4914000</v>
      </c>
      <c r="Q91" s="42">
        <f t="shared" si="15"/>
        <v>4914000</v>
      </c>
      <c r="R91" s="5"/>
    </row>
    <row r="92" spans="1:18" ht="13.5" x14ac:dyDescent="0.2">
      <c r="A92" s="47" t="s">
        <v>23</v>
      </c>
      <c r="B92" s="47" t="s">
        <v>24</v>
      </c>
      <c r="C92" s="21" t="s">
        <v>25</v>
      </c>
      <c r="D92" s="47" t="s">
        <v>208</v>
      </c>
      <c r="E92" s="21" t="s">
        <v>41</v>
      </c>
      <c r="F92" s="47" t="s">
        <v>32</v>
      </c>
      <c r="G92" s="21" t="s">
        <v>368</v>
      </c>
      <c r="H92" s="7" t="s">
        <v>369</v>
      </c>
      <c r="I92" s="8" t="s">
        <v>422</v>
      </c>
      <c r="J92" s="9">
        <v>11675300</v>
      </c>
      <c r="K92" s="8"/>
      <c r="L92" s="42">
        <f t="shared" si="20"/>
        <v>17512950</v>
      </c>
      <c r="M92" s="8"/>
      <c r="N92" s="42">
        <f t="shared" si="22"/>
        <v>17512950</v>
      </c>
      <c r="O92" s="42"/>
      <c r="P92" s="42">
        <f t="shared" si="27"/>
        <v>17512950</v>
      </c>
      <c r="Q92" s="42">
        <f t="shared" si="15"/>
        <v>17512950</v>
      </c>
      <c r="R92" s="5"/>
    </row>
    <row r="93" spans="1:18" ht="13.5" x14ac:dyDescent="0.2">
      <c r="A93" s="47" t="s">
        <v>23</v>
      </c>
      <c r="B93" s="47" t="s">
        <v>24</v>
      </c>
      <c r="C93" s="21" t="s">
        <v>25</v>
      </c>
      <c r="D93" s="47" t="s">
        <v>208</v>
      </c>
      <c r="E93" s="21" t="s">
        <v>41</v>
      </c>
      <c r="F93" s="47" t="s">
        <v>32</v>
      </c>
      <c r="G93" s="21" t="s">
        <v>440</v>
      </c>
      <c r="H93" s="7" t="s">
        <v>441</v>
      </c>
      <c r="I93" s="8" t="s">
        <v>448</v>
      </c>
      <c r="J93" s="9">
        <v>3134700</v>
      </c>
      <c r="K93" s="8"/>
      <c r="L93" s="42">
        <f t="shared" si="20"/>
        <v>4702050</v>
      </c>
      <c r="M93" s="8"/>
      <c r="N93" s="42">
        <f t="shared" si="22"/>
        <v>4702050</v>
      </c>
      <c r="O93" s="42">
        <f>N93*1.5</f>
        <v>7053075</v>
      </c>
      <c r="P93" s="42"/>
      <c r="Q93" s="42">
        <f t="shared" si="15"/>
        <v>7053075</v>
      </c>
    </row>
    <row r="94" spans="1:18" ht="13.5" x14ac:dyDescent="0.2">
      <c r="A94" s="47" t="s">
        <v>23</v>
      </c>
      <c r="B94" s="47" t="s">
        <v>24</v>
      </c>
      <c r="C94" s="21" t="s">
        <v>25</v>
      </c>
      <c r="D94" s="47" t="s">
        <v>208</v>
      </c>
      <c r="E94" s="21" t="s">
        <v>41</v>
      </c>
      <c r="F94" s="47" t="s">
        <v>32</v>
      </c>
      <c r="G94" s="21" t="s">
        <v>440</v>
      </c>
      <c r="H94" s="7" t="s">
        <v>441</v>
      </c>
      <c r="I94" s="8" t="s">
        <v>444</v>
      </c>
      <c r="J94" s="9">
        <v>2004400</v>
      </c>
      <c r="K94" s="8"/>
      <c r="L94" s="42">
        <f t="shared" si="20"/>
        <v>3006600</v>
      </c>
      <c r="M94" s="8"/>
      <c r="N94" s="42">
        <f t="shared" si="22"/>
        <v>3006600</v>
      </c>
      <c r="O94" s="42"/>
      <c r="P94" s="42">
        <f t="shared" ref="P94:P97" si="28">N94</f>
        <v>3006600</v>
      </c>
      <c r="Q94" s="42">
        <f t="shared" si="15"/>
        <v>3006600</v>
      </c>
      <c r="R94" s="5"/>
    </row>
    <row r="95" spans="1:18" ht="13.5" x14ac:dyDescent="0.2">
      <c r="A95" s="47" t="s">
        <v>23</v>
      </c>
      <c r="B95" s="47" t="s">
        <v>24</v>
      </c>
      <c r="C95" s="21" t="s">
        <v>25</v>
      </c>
      <c r="D95" s="47" t="s">
        <v>208</v>
      </c>
      <c r="E95" s="21" t="s">
        <v>233</v>
      </c>
      <c r="F95" s="47" t="s">
        <v>234</v>
      </c>
      <c r="G95" s="21" t="s">
        <v>209</v>
      </c>
      <c r="H95" s="7" t="s">
        <v>210</v>
      </c>
      <c r="I95" s="8" t="s">
        <v>235</v>
      </c>
      <c r="J95" s="9">
        <v>6930000</v>
      </c>
      <c r="K95" s="42">
        <f>J95*2</f>
        <v>13860000</v>
      </c>
      <c r="L95" s="42"/>
      <c r="M95" s="42"/>
      <c r="N95" s="42">
        <f t="shared" si="22"/>
        <v>13860000</v>
      </c>
      <c r="O95" s="42"/>
      <c r="P95" s="42">
        <f t="shared" si="28"/>
        <v>13860000</v>
      </c>
      <c r="Q95" s="42">
        <f t="shared" si="15"/>
        <v>13860000</v>
      </c>
      <c r="R95" s="5"/>
    </row>
    <row r="96" spans="1:18" ht="13.5" x14ac:dyDescent="0.2">
      <c r="A96" s="47" t="s">
        <v>23</v>
      </c>
      <c r="B96" s="47" t="s">
        <v>24</v>
      </c>
      <c r="C96" s="21" t="s">
        <v>25</v>
      </c>
      <c r="D96" s="47" t="s">
        <v>208</v>
      </c>
      <c r="E96" s="21" t="s">
        <v>57</v>
      </c>
      <c r="F96" s="47" t="s">
        <v>32</v>
      </c>
      <c r="G96" s="21" t="s">
        <v>440</v>
      </c>
      <c r="H96" s="7" t="s">
        <v>441</v>
      </c>
      <c r="I96" s="8" t="s">
        <v>446</v>
      </c>
      <c r="J96" s="9">
        <v>5020200</v>
      </c>
      <c r="K96" s="8"/>
      <c r="L96" s="42">
        <f t="shared" ref="L96" si="29">J96*1.5</f>
        <v>7530300</v>
      </c>
      <c r="M96" s="8"/>
      <c r="N96" s="42">
        <f t="shared" si="22"/>
        <v>7530300</v>
      </c>
      <c r="O96" s="42"/>
      <c r="P96" s="42">
        <f t="shared" si="28"/>
        <v>7530300</v>
      </c>
      <c r="Q96" s="42">
        <f t="shared" si="15"/>
        <v>7530300</v>
      </c>
      <c r="R96" s="5"/>
    </row>
    <row r="97" spans="1:18" ht="13.5" x14ac:dyDescent="0.2">
      <c r="A97" s="47" t="s">
        <v>23</v>
      </c>
      <c r="B97" s="47" t="s">
        <v>24</v>
      </c>
      <c r="C97" s="21" t="s">
        <v>25</v>
      </c>
      <c r="D97" s="47" t="s">
        <v>454</v>
      </c>
      <c r="E97" s="21" t="s">
        <v>128</v>
      </c>
      <c r="F97" s="47" t="s">
        <v>32</v>
      </c>
      <c r="G97" s="21" t="s">
        <v>508</v>
      </c>
      <c r="H97" s="7" t="s">
        <v>509</v>
      </c>
      <c r="I97" s="8" t="s">
        <v>535</v>
      </c>
      <c r="J97" s="9">
        <v>39000</v>
      </c>
      <c r="K97" s="8"/>
      <c r="L97" s="8"/>
      <c r="M97" s="8"/>
      <c r="N97" s="42">
        <f t="shared" ref="N97:N122" si="30">J97</f>
        <v>39000</v>
      </c>
      <c r="O97" s="42"/>
      <c r="P97" s="42">
        <f t="shared" si="28"/>
        <v>39000</v>
      </c>
      <c r="Q97" s="42">
        <f t="shared" si="15"/>
        <v>39000</v>
      </c>
      <c r="R97" s="5"/>
    </row>
    <row r="98" spans="1:18" ht="13.5" hidden="1" x14ac:dyDescent="0.2">
      <c r="A98" s="12" t="s">
        <v>23</v>
      </c>
      <c r="B98" s="12" t="s">
        <v>24</v>
      </c>
      <c r="C98" s="13" t="s">
        <v>25</v>
      </c>
      <c r="D98" s="12" t="s">
        <v>454</v>
      </c>
      <c r="E98" s="13" t="s">
        <v>128</v>
      </c>
      <c r="F98" s="12" t="s">
        <v>181</v>
      </c>
      <c r="G98" s="13" t="s">
        <v>455</v>
      </c>
      <c r="H98" s="12" t="s">
        <v>456</v>
      </c>
      <c r="I98" s="13" t="s">
        <v>459</v>
      </c>
      <c r="J98" s="14" t="s">
        <v>3946</v>
      </c>
      <c r="K98" s="18"/>
      <c r="L98" s="18"/>
      <c r="M98" s="18"/>
      <c r="N98" s="19" t="s">
        <v>3948</v>
      </c>
      <c r="O98"/>
      <c r="P98"/>
    </row>
    <row r="99" spans="1:18" ht="13.5" hidden="1" x14ac:dyDescent="0.2">
      <c r="A99" s="7" t="s">
        <v>23</v>
      </c>
      <c r="B99" s="7" t="s">
        <v>24</v>
      </c>
      <c r="C99" s="8" t="s">
        <v>25</v>
      </c>
      <c r="D99" s="7" t="s">
        <v>454</v>
      </c>
      <c r="E99" s="8" t="s">
        <v>128</v>
      </c>
      <c r="F99" s="7" t="s">
        <v>181</v>
      </c>
      <c r="G99" s="8" t="s">
        <v>508</v>
      </c>
      <c r="H99" s="7" t="s">
        <v>509</v>
      </c>
      <c r="I99" s="8" t="s">
        <v>514</v>
      </c>
      <c r="J99" s="9" t="s">
        <v>3946</v>
      </c>
      <c r="K99" s="15"/>
      <c r="L99" s="15"/>
      <c r="M99" s="15"/>
      <c r="N99" s="16" t="str">
        <f t="shared" si="30"/>
        <v>-</v>
      </c>
      <c r="O99"/>
      <c r="P99"/>
    </row>
    <row r="100" spans="1:18" ht="13.5" x14ac:dyDescent="0.2">
      <c r="A100" s="47" t="s">
        <v>23</v>
      </c>
      <c r="B100" s="47" t="s">
        <v>24</v>
      </c>
      <c r="C100" s="21" t="s">
        <v>25</v>
      </c>
      <c r="D100" s="47" t="s">
        <v>454</v>
      </c>
      <c r="E100" s="21" t="s">
        <v>31</v>
      </c>
      <c r="F100" s="47" t="s">
        <v>32</v>
      </c>
      <c r="G100" s="21" t="s">
        <v>455</v>
      </c>
      <c r="H100" s="7" t="s">
        <v>456</v>
      </c>
      <c r="I100" s="8" t="s">
        <v>469</v>
      </c>
      <c r="J100" s="9">
        <v>1236000</v>
      </c>
      <c r="K100" s="8"/>
      <c r="L100" s="8"/>
      <c r="M100" s="8"/>
      <c r="N100" s="42">
        <f t="shared" si="30"/>
        <v>1236000</v>
      </c>
      <c r="O100" s="42"/>
      <c r="P100" s="42">
        <f t="shared" ref="P100:P104" si="31">N100</f>
        <v>1236000</v>
      </c>
      <c r="Q100" s="42">
        <f t="shared" ref="Q100:Q163" si="32">SUM(O100:P100)</f>
        <v>1236000</v>
      </c>
      <c r="R100" s="5"/>
    </row>
    <row r="101" spans="1:18" ht="13.5" x14ac:dyDescent="0.2">
      <c r="A101" s="47" t="s">
        <v>23</v>
      </c>
      <c r="B101" s="47" t="s">
        <v>24</v>
      </c>
      <c r="C101" s="21" t="s">
        <v>25</v>
      </c>
      <c r="D101" s="47" t="s">
        <v>454</v>
      </c>
      <c r="E101" s="21" t="s">
        <v>31</v>
      </c>
      <c r="F101" s="47" t="s">
        <v>32</v>
      </c>
      <c r="G101" s="21" t="s">
        <v>455</v>
      </c>
      <c r="H101" s="7" t="s">
        <v>456</v>
      </c>
      <c r="I101" s="8" t="s">
        <v>471</v>
      </c>
      <c r="J101" s="9">
        <v>897000</v>
      </c>
      <c r="K101" s="8"/>
      <c r="L101" s="8"/>
      <c r="M101" s="8"/>
      <c r="N101" s="42">
        <f t="shared" si="30"/>
        <v>897000</v>
      </c>
      <c r="O101" s="42"/>
      <c r="P101" s="42">
        <f t="shared" si="31"/>
        <v>897000</v>
      </c>
      <c r="Q101" s="42">
        <f t="shared" si="32"/>
        <v>897000</v>
      </c>
      <c r="R101" s="5"/>
    </row>
    <row r="102" spans="1:18" ht="13.5" x14ac:dyDescent="0.2">
      <c r="A102" s="47" t="s">
        <v>23</v>
      </c>
      <c r="B102" s="47" t="s">
        <v>24</v>
      </c>
      <c r="C102" s="21" t="s">
        <v>25</v>
      </c>
      <c r="D102" s="47" t="s">
        <v>454</v>
      </c>
      <c r="E102" s="21" t="s">
        <v>31</v>
      </c>
      <c r="F102" s="47" t="s">
        <v>32</v>
      </c>
      <c r="G102" s="21" t="s">
        <v>455</v>
      </c>
      <c r="H102" s="7" t="s">
        <v>456</v>
      </c>
      <c r="I102" s="8" t="s">
        <v>479</v>
      </c>
      <c r="J102" s="9">
        <v>599000</v>
      </c>
      <c r="K102" s="8"/>
      <c r="L102" s="8"/>
      <c r="M102" s="8"/>
      <c r="N102" s="42">
        <f t="shared" si="30"/>
        <v>599000</v>
      </c>
      <c r="O102" s="42"/>
      <c r="P102" s="42">
        <f t="shared" si="31"/>
        <v>599000</v>
      </c>
      <c r="Q102" s="42">
        <f t="shared" si="32"/>
        <v>599000</v>
      </c>
      <c r="R102" s="5"/>
    </row>
    <row r="103" spans="1:18" ht="13.5" x14ac:dyDescent="0.2">
      <c r="A103" s="47" t="s">
        <v>23</v>
      </c>
      <c r="B103" s="47" t="s">
        <v>24</v>
      </c>
      <c r="C103" s="21" t="s">
        <v>25</v>
      </c>
      <c r="D103" s="47" t="s">
        <v>454</v>
      </c>
      <c r="E103" s="21" t="s">
        <v>31</v>
      </c>
      <c r="F103" s="47" t="s">
        <v>32</v>
      </c>
      <c r="G103" s="21" t="s">
        <v>455</v>
      </c>
      <c r="H103" s="7" t="s">
        <v>456</v>
      </c>
      <c r="I103" s="8" t="s">
        <v>467</v>
      </c>
      <c r="J103" s="9">
        <v>4342000</v>
      </c>
      <c r="K103" s="8"/>
      <c r="L103" s="8"/>
      <c r="M103" s="8"/>
      <c r="N103" s="42">
        <f t="shared" si="30"/>
        <v>4342000</v>
      </c>
      <c r="O103" s="42"/>
      <c r="P103" s="42">
        <f t="shared" si="31"/>
        <v>4342000</v>
      </c>
      <c r="Q103" s="42">
        <f t="shared" si="32"/>
        <v>4342000</v>
      </c>
      <c r="R103" s="5"/>
    </row>
    <row r="104" spans="1:18" ht="13.5" x14ac:dyDescent="0.2">
      <c r="A104" s="47" t="s">
        <v>23</v>
      </c>
      <c r="B104" s="47" t="s">
        <v>24</v>
      </c>
      <c r="C104" s="21" t="s">
        <v>25</v>
      </c>
      <c r="D104" s="47" t="s">
        <v>454</v>
      </c>
      <c r="E104" s="21" t="s">
        <v>31</v>
      </c>
      <c r="F104" s="47" t="s">
        <v>32</v>
      </c>
      <c r="G104" s="21" t="s">
        <v>455</v>
      </c>
      <c r="H104" s="7" t="s">
        <v>456</v>
      </c>
      <c r="I104" s="8" t="s">
        <v>473</v>
      </c>
      <c r="J104" s="9">
        <v>2676200</v>
      </c>
      <c r="K104" s="8"/>
      <c r="L104" s="8"/>
      <c r="M104" s="8"/>
      <c r="N104" s="42">
        <f t="shared" si="30"/>
        <v>2676200</v>
      </c>
      <c r="O104" s="42"/>
      <c r="P104" s="42">
        <f t="shared" si="31"/>
        <v>2676200</v>
      </c>
      <c r="Q104" s="42">
        <f t="shared" si="32"/>
        <v>2676200</v>
      </c>
      <c r="R104" s="5"/>
    </row>
    <row r="105" spans="1:18" ht="13.5" x14ac:dyDescent="0.2">
      <c r="A105" s="47" t="s">
        <v>23</v>
      </c>
      <c r="B105" s="47" t="s">
        <v>24</v>
      </c>
      <c r="C105" s="21" t="s">
        <v>25</v>
      </c>
      <c r="D105" s="47" t="s">
        <v>454</v>
      </c>
      <c r="E105" s="21" t="s">
        <v>31</v>
      </c>
      <c r="F105" s="47" t="s">
        <v>32</v>
      </c>
      <c r="G105" s="21" t="s">
        <v>455</v>
      </c>
      <c r="H105" s="7" t="s">
        <v>456</v>
      </c>
      <c r="I105" s="8" t="s">
        <v>463</v>
      </c>
      <c r="J105" s="9">
        <v>3298000</v>
      </c>
      <c r="K105" s="8"/>
      <c r="L105" s="8"/>
      <c r="M105" s="8"/>
      <c r="N105" s="42">
        <f t="shared" si="30"/>
        <v>3298000</v>
      </c>
      <c r="O105" s="42">
        <f>N105*1.5</f>
        <v>4947000</v>
      </c>
      <c r="P105" s="42"/>
      <c r="Q105" s="42">
        <f t="shared" si="32"/>
        <v>4947000</v>
      </c>
    </row>
    <row r="106" spans="1:18" ht="13.5" x14ac:dyDescent="0.2">
      <c r="A106" s="47" t="s">
        <v>23</v>
      </c>
      <c r="B106" s="47" t="s">
        <v>24</v>
      </c>
      <c r="C106" s="21" t="s">
        <v>25</v>
      </c>
      <c r="D106" s="47" t="s">
        <v>454</v>
      </c>
      <c r="E106" s="21" t="s">
        <v>31</v>
      </c>
      <c r="F106" s="47" t="s">
        <v>32</v>
      </c>
      <c r="G106" s="21" t="s">
        <v>481</v>
      </c>
      <c r="H106" s="7" t="s">
        <v>482</v>
      </c>
      <c r="I106" s="8" t="s">
        <v>500</v>
      </c>
      <c r="J106" s="9">
        <v>1778000</v>
      </c>
      <c r="K106" s="8"/>
      <c r="L106" s="8"/>
      <c r="M106" s="8"/>
      <c r="N106" s="42">
        <f t="shared" si="30"/>
        <v>1778000</v>
      </c>
      <c r="O106" s="42"/>
      <c r="P106" s="42">
        <f t="shared" ref="P106:P112" si="33">N106</f>
        <v>1778000</v>
      </c>
      <c r="Q106" s="42">
        <f t="shared" si="32"/>
        <v>1778000</v>
      </c>
      <c r="R106" s="5"/>
    </row>
    <row r="107" spans="1:18" ht="13.5" x14ac:dyDescent="0.2">
      <c r="A107" s="47" t="s">
        <v>23</v>
      </c>
      <c r="B107" s="47" t="s">
        <v>24</v>
      </c>
      <c r="C107" s="21" t="s">
        <v>25</v>
      </c>
      <c r="D107" s="47" t="s">
        <v>454</v>
      </c>
      <c r="E107" s="21" t="s">
        <v>31</v>
      </c>
      <c r="F107" s="47" t="s">
        <v>32</v>
      </c>
      <c r="G107" s="21" t="s">
        <v>481</v>
      </c>
      <c r="H107" s="7" t="s">
        <v>482</v>
      </c>
      <c r="I107" s="8" t="s">
        <v>483</v>
      </c>
      <c r="J107" s="9">
        <v>798100</v>
      </c>
      <c r="K107" s="8"/>
      <c r="L107" s="8"/>
      <c r="M107" s="8"/>
      <c r="N107" s="42">
        <f t="shared" si="30"/>
        <v>798100</v>
      </c>
      <c r="O107" s="42"/>
      <c r="P107" s="42">
        <f t="shared" si="33"/>
        <v>798100</v>
      </c>
      <c r="Q107" s="42">
        <f t="shared" si="32"/>
        <v>798100</v>
      </c>
      <c r="R107" s="5"/>
    </row>
    <row r="108" spans="1:18" ht="13.5" x14ac:dyDescent="0.2">
      <c r="A108" s="47" t="s">
        <v>23</v>
      </c>
      <c r="B108" s="47" t="s">
        <v>24</v>
      </c>
      <c r="C108" s="21" t="s">
        <v>25</v>
      </c>
      <c r="D108" s="47" t="s">
        <v>454</v>
      </c>
      <c r="E108" s="21" t="s">
        <v>31</v>
      </c>
      <c r="F108" s="47" t="s">
        <v>32</v>
      </c>
      <c r="G108" s="21" t="s">
        <v>481</v>
      </c>
      <c r="H108" s="7" t="s">
        <v>482</v>
      </c>
      <c r="I108" s="8" t="s">
        <v>485</v>
      </c>
      <c r="J108" s="9">
        <v>3224400</v>
      </c>
      <c r="K108" s="8"/>
      <c r="L108" s="8"/>
      <c r="M108" s="8"/>
      <c r="N108" s="42">
        <f t="shared" si="30"/>
        <v>3224400</v>
      </c>
      <c r="O108" s="42"/>
      <c r="P108" s="42">
        <f t="shared" si="33"/>
        <v>3224400</v>
      </c>
      <c r="Q108" s="42">
        <f t="shared" si="32"/>
        <v>3224400</v>
      </c>
      <c r="R108" s="5"/>
    </row>
    <row r="109" spans="1:18" ht="13.5" x14ac:dyDescent="0.2">
      <c r="A109" s="47" t="s">
        <v>23</v>
      </c>
      <c r="B109" s="47" t="s">
        <v>24</v>
      </c>
      <c r="C109" s="21" t="s">
        <v>25</v>
      </c>
      <c r="D109" s="47" t="s">
        <v>454</v>
      </c>
      <c r="E109" s="21" t="s">
        <v>31</v>
      </c>
      <c r="F109" s="47" t="s">
        <v>32</v>
      </c>
      <c r="G109" s="21" t="s">
        <v>481</v>
      </c>
      <c r="H109" s="7" t="s">
        <v>482</v>
      </c>
      <c r="I109" s="8" t="s">
        <v>502</v>
      </c>
      <c r="J109" s="9">
        <v>1593000</v>
      </c>
      <c r="K109" s="8"/>
      <c r="L109" s="8"/>
      <c r="M109" s="8"/>
      <c r="N109" s="42">
        <f t="shared" si="30"/>
        <v>1593000</v>
      </c>
      <c r="O109" s="42"/>
      <c r="P109" s="42">
        <f t="shared" si="33"/>
        <v>1593000</v>
      </c>
      <c r="Q109" s="42">
        <f t="shared" si="32"/>
        <v>1593000</v>
      </c>
      <c r="R109" s="5"/>
    </row>
    <row r="110" spans="1:18" ht="13.5" x14ac:dyDescent="0.2">
      <c r="A110" s="47" t="s">
        <v>23</v>
      </c>
      <c r="B110" s="47" t="s">
        <v>24</v>
      </c>
      <c r="C110" s="21" t="s">
        <v>25</v>
      </c>
      <c r="D110" s="47" t="s">
        <v>454</v>
      </c>
      <c r="E110" s="21" t="s">
        <v>31</v>
      </c>
      <c r="F110" s="47" t="s">
        <v>32</v>
      </c>
      <c r="G110" s="21" t="s">
        <v>481</v>
      </c>
      <c r="H110" s="7" t="s">
        <v>482</v>
      </c>
      <c r="I110" s="8" t="s">
        <v>504</v>
      </c>
      <c r="J110" s="9">
        <v>2359800</v>
      </c>
      <c r="K110" s="8"/>
      <c r="L110" s="8"/>
      <c r="M110" s="8"/>
      <c r="N110" s="42">
        <f t="shared" si="30"/>
        <v>2359800</v>
      </c>
      <c r="O110" s="42"/>
      <c r="P110" s="42">
        <f t="shared" si="33"/>
        <v>2359800</v>
      </c>
      <c r="Q110" s="42">
        <f t="shared" si="32"/>
        <v>2359800</v>
      </c>
      <c r="R110" s="5"/>
    </row>
    <row r="111" spans="1:18" ht="13.5" x14ac:dyDescent="0.2">
      <c r="A111" s="47" t="s">
        <v>23</v>
      </c>
      <c r="B111" s="47" t="s">
        <v>24</v>
      </c>
      <c r="C111" s="21" t="s">
        <v>25</v>
      </c>
      <c r="D111" s="47" t="s">
        <v>454</v>
      </c>
      <c r="E111" s="21" t="s">
        <v>31</v>
      </c>
      <c r="F111" s="47" t="s">
        <v>32</v>
      </c>
      <c r="G111" s="21" t="s">
        <v>481</v>
      </c>
      <c r="H111" s="7" t="s">
        <v>482</v>
      </c>
      <c r="I111" s="8" t="s">
        <v>498</v>
      </c>
      <c r="J111" s="9">
        <v>8310000</v>
      </c>
      <c r="K111" s="8"/>
      <c r="L111" s="8"/>
      <c r="M111" s="8"/>
      <c r="N111" s="42">
        <f t="shared" si="30"/>
        <v>8310000</v>
      </c>
      <c r="O111" s="42"/>
      <c r="P111" s="42">
        <f t="shared" si="33"/>
        <v>8310000</v>
      </c>
      <c r="Q111" s="42">
        <f t="shared" si="32"/>
        <v>8310000</v>
      </c>
      <c r="R111" s="5"/>
    </row>
    <row r="112" spans="1:18" ht="13.5" x14ac:dyDescent="0.2">
      <c r="A112" s="47" t="s">
        <v>23</v>
      </c>
      <c r="B112" s="47" t="s">
        <v>24</v>
      </c>
      <c r="C112" s="21" t="s">
        <v>25</v>
      </c>
      <c r="D112" s="47" t="s">
        <v>454</v>
      </c>
      <c r="E112" s="21" t="s">
        <v>31</v>
      </c>
      <c r="F112" s="47" t="s">
        <v>32</v>
      </c>
      <c r="G112" s="21" t="s">
        <v>481</v>
      </c>
      <c r="H112" s="7" t="s">
        <v>482</v>
      </c>
      <c r="I112" s="8" t="s">
        <v>487</v>
      </c>
      <c r="J112" s="9">
        <v>7558000</v>
      </c>
      <c r="K112" s="8"/>
      <c r="L112" s="8"/>
      <c r="M112" s="8"/>
      <c r="N112" s="42">
        <f t="shared" si="30"/>
        <v>7558000</v>
      </c>
      <c r="O112" s="42"/>
      <c r="P112" s="42">
        <f t="shared" si="33"/>
        <v>7558000</v>
      </c>
      <c r="Q112" s="42">
        <f t="shared" si="32"/>
        <v>7558000</v>
      </c>
      <c r="R112" s="5"/>
    </row>
    <row r="113" spans="1:18" ht="13.5" x14ac:dyDescent="0.2">
      <c r="A113" s="47" t="s">
        <v>23</v>
      </c>
      <c r="B113" s="47" t="s">
        <v>24</v>
      </c>
      <c r="C113" s="21" t="s">
        <v>25</v>
      </c>
      <c r="D113" s="47" t="s">
        <v>454</v>
      </c>
      <c r="E113" s="21" t="s">
        <v>31</v>
      </c>
      <c r="F113" s="47" t="s">
        <v>32</v>
      </c>
      <c r="G113" s="21" t="s">
        <v>508</v>
      </c>
      <c r="H113" s="7" t="s">
        <v>509</v>
      </c>
      <c r="I113" s="8" t="s">
        <v>572</v>
      </c>
      <c r="J113" s="9">
        <v>4409700</v>
      </c>
      <c r="K113" s="8"/>
      <c r="L113" s="8"/>
      <c r="M113" s="8"/>
      <c r="N113" s="42">
        <f t="shared" si="30"/>
        <v>4409700</v>
      </c>
      <c r="O113" s="42">
        <f>N113*1.5</f>
        <v>6614550</v>
      </c>
      <c r="P113" s="42"/>
      <c r="Q113" s="42">
        <f t="shared" si="32"/>
        <v>6614550</v>
      </c>
    </row>
    <row r="114" spans="1:18" ht="13.5" x14ac:dyDescent="0.2">
      <c r="A114" s="47" t="s">
        <v>23</v>
      </c>
      <c r="B114" s="47" t="s">
        <v>24</v>
      </c>
      <c r="C114" s="21" t="s">
        <v>25</v>
      </c>
      <c r="D114" s="47" t="s">
        <v>454</v>
      </c>
      <c r="E114" s="21" t="s">
        <v>31</v>
      </c>
      <c r="F114" s="47" t="s">
        <v>32</v>
      </c>
      <c r="G114" s="21" t="s">
        <v>508</v>
      </c>
      <c r="H114" s="7" t="s">
        <v>509</v>
      </c>
      <c r="I114" s="8" t="s">
        <v>512</v>
      </c>
      <c r="J114" s="9">
        <v>1316200</v>
      </c>
      <c r="K114" s="8"/>
      <c r="L114" s="8"/>
      <c r="M114" s="8"/>
      <c r="N114" s="42">
        <f t="shared" si="30"/>
        <v>1316200</v>
      </c>
      <c r="O114" s="42"/>
      <c r="P114" s="42">
        <f t="shared" ref="P114:P115" si="34">N114</f>
        <v>1316200</v>
      </c>
      <c r="Q114" s="42">
        <f t="shared" si="32"/>
        <v>1316200</v>
      </c>
      <c r="R114" s="5"/>
    </row>
    <row r="115" spans="1:18" ht="13.5" x14ac:dyDescent="0.2">
      <c r="A115" s="47" t="s">
        <v>23</v>
      </c>
      <c r="B115" s="47" t="s">
        <v>24</v>
      </c>
      <c r="C115" s="21" t="s">
        <v>25</v>
      </c>
      <c r="D115" s="47" t="s">
        <v>454</v>
      </c>
      <c r="E115" s="21" t="s">
        <v>31</v>
      </c>
      <c r="F115" s="47" t="s">
        <v>32</v>
      </c>
      <c r="G115" s="21" t="s">
        <v>508</v>
      </c>
      <c r="H115" s="7" t="s">
        <v>509</v>
      </c>
      <c r="I115" s="8" t="s">
        <v>576</v>
      </c>
      <c r="J115" s="9">
        <v>1071000</v>
      </c>
      <c r="K115" s="8"/>
      <c r="L115" s="8"/>
      <c r="M115" s="8"/>
      <c r="N115" s="42">
        <f t="shared" si="30"/>
        <v>1071000</v>
      </c>
      <c r="O115" s="42"/>
      <c r="P115" s="42">
        <f t="shared" si="34"/>
        <v>1071000</v>
      </c>
      <c r="Q115" s="42">
        <f t="shared" si="32"/>
        <v>1071000</v>
      </c>
      <c r="R115" s="5"/>
    </row>
    <row r="116" spans="1:18" ht="13.5" x14ac:dyDescent="0.2">
      <c r="A116" s="47" t="s">
        <v>23</v>
      </c>
      <c r="B116" s="47" t="s">
        <v>24</v>
      </c>
      <c r="C116" s="21" t="s">
        <v>25</v>
      </c>
      <c r="D116" s="47" t="s">
        <v>454</v>
      </c>
      <c r="E116" s="21" t="s">
        <v>31</v>
      </c>
      <c r="F116" s="47" t="s">
        <v>32</v>
      </c>
      <c r="G116" s="21" t="s">
        <v>508</v>
      </c>
      <c r="H116" s="7" t="s">
        <v>509</v>
      </c>
      <c r="I116" s="8" t="s">
        <v>527</v>
      </c>
      <c r="J116" s="9">
        <v>3501000</v>
      </c>
      <c r="K116" s="8"/>
      <c r="L116" s="8"/>
      <c r="M116" s="8"/>
      <c r="N116" s="42">
        <f t="shared" si="30"/>
        <v>3501000</v>
      </c>
      <c r="O116" s="42">
        <f>N116*1.5</f>
        <v>5251500</v>
      </c>
      <c r="P116" s="42"/>
      <c r="Q116" s="42">
        <f t="shared" si="32"/>
        <v>5251500</v>
      </c>
    </row>
    <row r="117" spans="1:18" ht="13.5" x14ac:dyDescent="0.2">
      <c r="A117" s="47" t="s">
        <v>23</v>
      </c>
      <c r="B117" s="47" t="s">
        <v>24</v>
      </c>
      <c r="C117" s="21" t="s">
        <v>25</v>
      </c>
      <c r="D117" s="47" t="s">
        <v>454</v>
      </c>
      <c r="E117" s="21" t="s">
        <v>31</v>
      </c>
      <c r="F117" s="47" t="s">
        <v>32</v>
      </c>
      <c r="G117" s="21" t="s">
        <v>508</v>
      </c>
      <c r="H117" s="7" t="s">
        <v>509</v>
      </c>
      <c r="I117" s="8" t="s">
        <v>516</v>
      </c>
      <c r="J117" s="9">
        <v>12589800</v>
      </c>
      <c r="K117" s="8"/>
      <c r="L117" s="8"/>
      <c r="M117" s="8"/>
      <c r="N117" s="42">
        <f t="shared" si="30"/>
        <v>12589800</v>
      </c>
      <c r="O117" s="42"/>
      <c r="P117" s="42">
        <f>N117</f>
        <v>12589800</v>
      </c>
      <c r="Q117" s="42">
        <f t="shared" si="32"/>
        <v>12589800</v>
      </c>
      <c r="R117" s="5"/>
    </row>
    <row r="118" spans="1:18" ht="13.5" x14ac:dyDescent="0.2">
      <c r="A118" s="47" t="s">
        <v>23</v>
      </c>
      <c r="B118" s="47" t="s">
        <v>24</v>
      </c>
      <c r="C118" s="21" t="s">
        <v>25</v>
      </c>
      <c r="D118" s="47" t="s">
        <v>454</v>
      </c>
      <c r="E118" s="21" t="s">
        <v>31</v>
      </c>
      <c r="F118" s="47" t="s">
        <v>32</v>
      </c>
      <c r="G118" s="21" t="s">
        <v>508</v>
      </c>
      <c r="H118" s="7" t="s">
        <v>509</v>
      </c>
      <c r="I118" s="8" t="s">
        <v>565</v>
      </c>
      <c r="J118" s="9">
        <v>5994000</v>
      </c>
      <c r="K118" s="8"/>
      <c r="L118" s="8"/>
      <c r="M118" s="8"/>
      <c r="N118" s="42">
        <f t="shared" si="30"/>
        <v>5994000</v>
      </c>
      <c r="O118" s="42">
        <f>N118*1.5</f>
        <v>8991000</v>
      </c>
      <c r="P118" s="42"/>
      <c r="Q118" s="42">
        <f t="shared" si="32"/>
        <v>8991000</v>
      </c>
    </row>
    <row r="119" spans="1:18" ht="13.5" x14ac:dyDescent="0.2">
      <c r="A119" s="47" t="s">
        <v>23</v>
      </c>
      <c r="B119" s="47" t="s">
        <v>24</v>
      </c>
      <c r="C119" s="21" t="s">
        <v>25</v>
      </c>
      <c r="D119" s="47" t="s">
        <v>454</v>
      </c>
      <c r="E119" s="21" t="s">
        <v>31</v>
      </c>
      <c r="F119" s="47" t="s">
        <v>32</v>
      </c>
      <c r="G119" s="21" t="s">
        <v>508</v>
      </c>
      <c r="H119" s="7" t="s">
        <v>509</v>
      </c>
      <c r="I119" s="8" t="s">
        <v>557</v>
      </c>
      <c r="J119" s="9">
        <v>2115400</v>
      </c>
      <c r="K119" s="8"/>
      <c r="L119" s="8"/>
      <c r="M119" s="8"/>
      <c r="N119" s="42">
        <f t="shared" si="30"/>
        <v>2115400</v>
      </c>
      <c r="O119" s="42"/>
      <c r="P119" s="42">
        <f t="shared" ref="P119:P125" si="35">N119</f>
        <v>2115400</v>
      </c>
      <c r="Q119" s="42">
        <f t="shared" si="32"/>
        <v>2115400</v>
      </c>
      <c r="R119" s="5"/>
    </row>
    <row r="120" spans="1:18" ht="13.5" x14ac:dyDescent="0.2">
      <c r="A120" s="47" t="s">
        <v>23</v>
      </c>
      <c r="B120" s="47" t="s">
        <v>24</v>
      </c>
      <c r="C120" s="21" t="s">
        <v>25</v>
      </c>
      <c r="D120" s="47" t="s">
        <v>454</v>
      </c>
      <c r="E120" s="21" t="s">
        <v>31</v>
      </c>
      <c r="F120" s="47" t="s">
        <v>32</v>
      </c>
      <c r="G120" s="21" t="s">
        <v>508</v>
      </c>
      <c r="H120" s="7" t="s">
        <v>509</v>
      </c>
      <c r="I120" s="8" t="s">
        <v>553</v>
      </c>
      <c r="J120" s="9">
        <v>1940200</v>
      </c>
      <c r="K120" s="8"/>
      <c r="L120" s="8"/>
      <c r="M120" s="8"/>
      <c r="N120" s="42">
        <f t="shared" si="30"/>
        <v>1940200</v>
      </c>
      <c r="O120" s="42"/>
      <c r="P120" s="42">
        <f t="shared" si="35"/>
        <v>1940200</v>
      </c>
      <c r="Q120" s="42">
        <f t="shared" si="32"/>
        <v>1940200</v>
      </c>
      <c r="R120" s="5"/>
    </row>
    <row r="121" spans="1:18" ht="13.5" x14ac:dyDescent="0.2">
      <c r="A121" s="47" t="s">
        <v>23</v>
      </c>
      <c r="B121" s="47" t="s">
        <v>24</v>
      </c>
      <c r="C121" s="21" t="s">
        <v>25</v>
      </c>
      <c r="D121" s="47" t="s">
        <v>454</v>
      </c>
      <c r="E121" s="21" t="s">
        <v>31</v>
      </c>
      <c r="F121" s="47" t="s">
        <v>32</v>
      </c>
      <c r="G121" s="21" t="s">
        <v>508</v>
      </c>
      <c r="H121" s="7" t="s">
        <v>509</v>
      </c>
      <c r="I121" s="8" t="s">
        <v>574</v>
      </c>
      <c r="J121" s="9">
        <v>1253800</v>
      </c>
      <c r="K121" s="8"/>
      <c r="L121" s="8"/>
      <c r="M121" s="8"/>
      <c r="N121" s="42">
        <f t="shared" si="30"/>
        <v>1253800</v>
      </c>
      <c r="O121" s="42"/>
      <c r="P121" s="42">
        <f t="shared" si="35"/>
        <v>1253800</v>
      </c>
      <c r="Q121" s="42">
        <f t="shared" si="32"/>
        <v>1253800</v>
      </c>
      <c r="R121" s="5"/>
    </row>
    <row r="122" spans="1:18" ht="13.5" x14ac:dyDescent="0.2">
      <c r="A122" s="47" t="s">
        <v>23</v>
      </c>
      <c r="B122" s="47" t="s">
        <v>24</v>
      </c>
      <c r="C122" s="21" t="s">
        <v>25</v>
      </c>
      <c r="D122" s="47" t="s">
        <v>454</v>
      </c>
      <c r="E122" s="21" t="s">
        <v>31</v>
      </c>
      <c r="F122" s="47" t="s">
        <v>32</v>
      </c>
      <c r="G122" s="21" t="s">
        <v>508</v>
      </c>
      <c r="H122" s="7" t="s">
        <v>509</v>
      </c>
      <c r="I122" s="8" t="s">
        <v>540</v>
      </c>
      <c r="J122" s="9">
        <v>17394000</v>
      </c>
      <c r="K122" s="8"/>
      <c r="L122" s="8"/>
      <c r="M122" s="8"/>
      <c r="N122" s="42">
        <f t="shared" si="30"/>
        <v>17394000</v>
      </c>
      <c r="O122" s="42"/>
      <c r="P122" s="42">
        <f t="shared" si="35"/>
        <v>17394000</v>
      </c>
      <c r="Q122" s="42">
        <f t="shared" si="32"/>
        <v>17394000</v>
      </c>
      <c r="R122" s="5"/>
    </row>
    <row r="123" spans="1:18" ht="13.5" x14ac:dyDescent="0.2">
      <c r="A123" s="47" t="s">
        <v>23</v>
      </c>
      <c r="B123" s="47" t="s">
        <v>24</v>
      </c>
      <c r="C123" s="21" t="s">
        <v>25</v>
      </c>
      <c r="D123" s="47" t="s">
        <v>454</v>
      </c>
      <c r="E123" s="21" t="s">
        <v>41</v>
      </c>
      <c r="F123" s="47" t="s">
        <v>32</v>
      </c>
      <c r="G123" s="21" t="s">
        <v>455</v>
      </c>
      <c r="H123" s="7" t="s">
        <v>456</v>
      </c>
      <c r="I123" s="8" t="s">
        <v>461</v>
      </c>
      <c r="J123" s="9">
        <v>1072400</v>
      </c>
      <c r="K123" s="8"/>
      <c r="L123" s="42">
        <f t="shared" ref="L123:L132" si="36">J123*1.5</f>
        <v>1608600</v>
      </c>
      <c r="M123" s="8"/>
      <c r="N123" s="42">
        <f t="shared" si="22"/>
        <v>1608600</v>
      </c>
      <c r="O123" s="42"/>
      <c r="P123" s="42">
        <f t="shared" si="35"/>
        <v>1608600</v>
      </c>
      <c r="Q123" s="42">
        <f t="shared" si="32"/>
        <v>1608600</v>
      </c>
      <c r="R123" s="5"/>
    </row>
    <row r="124" spans="1:18" ht="13.5" x14ac:dyDescent="0.2">
      <c r="A124" s="47" t="s">
        <v>23</v>
      </c>
      <c r="B124" s="47" t="s">
        <v>24</v>
      </c>
      <c r="C124" s="21" t="s">
        <v>25</v>
      </c>
      <c r="D124" s="47" t="s">
        <v>454</v>
      </c>
      <c r="E124" s="21" t="s">
        <v>41</v>
      </c>
      <c r="F124" s="47" t="s">
        <v>32</v>
      </c>
      <c r="G124" s="21" t="s">
        <v>455</v>
      </c>
      <c r="H124" s="7" t="s">
        <v>456</v>
      </c>
      <c r="I124" s="8" t="s">
        <v>457</v>
      </c>
      <c r="J124" s="9">
        <v>2198000</v>
      </c>
      <c r="K124" s="8"/>
      <c r="L124" s="42">
        <f t="shared" si="36"/>
        <v>3297000</v>
      </c>
      <c r="M124" s="8"/>
      <c r="N124" s="42">
        <f t="shared" si="22"/>
        <v>3297000</v>
      </c>
      <c r="O124" s="42"/>
      <c r="P124" s="42">
        <f t="shared" si="35"/>
        <v>3297000</v>
      </c>
      <c r="Q124" s="42">
        <f t="shared" si="32"/>
        <v>3297000</v>
      </c>
      <c r="R124" s="5"/>
    </row>
    <row r="125" spans="1:18" ht="13.5" x14ac:dyDescent="0.2">
      <c r="A125" s="47" t="s">
        <v>23</v>
      </c>
      <c r="B125" s="47" t="s">
        <v>24</v>
      </c>
      <c r="C125" s="21" t="s">
        <v>25</v>
      </c>
      <c r="D125" s="47" t="s">
        <v>454</v>
      </c>
      <c r="E125" s="21" t="s">
        <v>41</v>
      </c>
      <c r="F125" s="47" t="s">
        <v>32</v>
      </c>
      <c r="G125" s="21" t="s">
        <v>455</v>
      </c>
      <c r="H125" s="7" t="s">
        <v>456</v>
      </c>
      <c r="I125" s="8" t="s">
        <v>475</v>
      </c>
      <c r="J125" s="9">
        <v>20826000</v>
      </c>
      <c r="K125" s="8"/>
      <c r="L125" s="42">
        <f t="shared" si="36"/>
        <v>31239000</v>
      </c>
      <c r="M125" s="8"/>
      <c r="N125" s="42">
        <f t="shared" si="22"/>
        <v>31239000</v>
      </c>
      <c r="O125" s="42"/>
      <c r="P125" s="42">
        <f t="shared" si="35"/>
        <v>31239000</v>
      </c>
      <c r="Q125" s="42">
        <f t="shared" si="32"/>
        <v>31239000</v>
      </c>
      <c r="R125" s="5"/>
    </row>
    <row r="126" spans="1:18" ht="13.5" x14ac:dyDescent="0.2">
      <c r="A126" s="47" t="s">
        <v>23</v>
      </c>
      <c r="B126" s="47" t="s">
        <v>24</v>
      </c>
      <c r="C126" s="21" t="s">
        <v>25</v>
      </c>
      <c r="D126" s="47" t="s">
        <v>454</v>
      </c>
      <c r="E126" s="21" t="s">
        <v>41</v>
      </c>
      <c r="F126" s="47" t="s">
        <v>32</v>
      </c>
      <c r="G126" s="21" t="s">
        <v>455</v>
      </c>
      <c r="H126" s="7" t="s">
        <v>456</v>
      </c>
      <c r="I126" s="8" t="s">
        <v>477</v>
      </c>
      <c r="J126" s="9">
        <v>3350200</v>
      </c>
      <c r="K126" s="8"/>
      <c r="L126" s="42">
        <f t="shared" si="36"/>
        <v>5025300</v>
      </c>
      <c r="M126" s="8"/>
      <c r="N126" s="42">
        <f t="shared" si="22"/>
        <v>5025300</v>
      </c>
      <c r="O126" s="42">
        <f t="shared" ref="O126:O127" si="37">N126*1.5</f>
        <v>7537950</v>
      </c>
      <c r="P126" s="42"/>
      <c r="Q126" s="42">
        <f t="shared" si="32"/>
        <v>7537950</v>
      </c>
    </row>
    <row r="127" spans="1:18" ht="13.5" x14ac:dyDescent="0.2">
      <c r="A127" s="47" t="s">
        <v>23</v>
      </c>
      <c r="B127" s="47" t="s">
        <v>24</v>
      </c>
      <c r="C127" s="21" t="s">
        <v>25</v>
      </c>
      <c r="D127" s="47" t="s">
        <v>454</v>
      </c>
      <c r="E127" s="21" t="s">
        <v>41</v>
      </c>
      <c r="F127" s="47" t="s">
        <v>32</v>
      </c>
      <c r="G127" s="21" t="s">
        <v>481</v>
      </c>
      <c r="H127" s="7" t="s">
        <v>482</v>
      </c>
      <c r="I127" s="8" t="s">
        <v>506</v>
      </c>
      <c r="J127" s="9">
        <v>3698000</v>
      </c>
      <c r="K127" s="8"/>
      <c r="L127" s="42">
        <f t="shared" si="36"/>
        <v>5547000</v>
      </c>
      <c r="M127" s="8"/>
      <c r="N127" s="42">
        <f t="shared" si="22"/>
        <v>5547000</v>
      </c>
      <c r="O127" s="42">
        <f t="shared" si="37"/>
        <v>8320500</v>
      </c>
      <c r="P127" s="42"/>
      <c r="Q127" s="42">
        <f t="shared" si="32"/>
        <v>8320500</v>
      </c>
    </row>
    <row r="128" spans="1:18" ht="13.5" x14ac:dyDescent="0.2">
      <c r="A128" s="47" t="s">
        <v>23</v>
      </c>
      <c r="B128" s="47" t="s">
        <v>24</v>
      </c>
      <c r="C128" s="21" t="s">
        <v>25</v>
      </c>
      <c r="D128" s="47" t="s">
        <v>454</v>
      </c>
      <c r="E128" s="21" t="s">
        <v>41</v>
      </c>
      <c r="F128" s="47" t="s">
        <v>32</v>
      </c>
      <c r="G128" s="21" t="s">
        <v>508</v>
      </c>
      <c r="H128" s="7" t="s">
        <v>509</v>
      </c>
      <c r="I128" s="8" t="s">
        <v>520</v>
      </c>
      <c r="J128" s="9">
        <v>2169800</v>
      </c>
      <c r="K128" s="8"/>
      <c r="L128" s="42">
        <f t="shared" si="36"/>
        <v>3254700</v>
      </c>
      <c r="M128" s="8"/>
      <c r="N128" s="42">
        <f t="shared" si="22"/>
        <v>3254700</v>
      </c>
      <c r="O128" s="42"/>
      <c r="P128" s="42">
        <f t="shared" ref="P128:P136" si="38">N128</f>
        <v>3254700</v>
      </c>
      <c r="Q128" s="42">
        <f t="shared" si="32"/>
        <v>3254700</v>
      </c>
      <c r="R128" s="5"/>
    </row>
    <row r="129" spans="1:18" ht="13.5" x14ac:dyDescent="0.2">
      <c r="A129" s="47" t="s">
        <v>23</v>
      </c>
      <c r="B129" s="47" t="s">
        <v>24</v>
      </c>
      <c r="C129" s="21" t="s">
        <v>25</v>
      </c>
      <c r="D129" s="47" t="s">
        <v>454</v>
      </c>
      <c r="E129" s="21" t="s">
        <v>41</v>
      </c>
      <c r="F129" s="47" t="s">
        <v>32</v>
      </c>
      <c r="G129" s="21" t="s">
        <v>508</v>
      </c>
      <c r="H129" s="7" t="s">
        <v>509</v>
      </c>
      <c r="I129" s="8" t="s">
        <v>579</v>
      </c>
      <c r="J129" s="9">
        <v>4206400</v>
      </c>
      <c r="K129" s="8"/>
      <c r="L129" s="42">
        <f t="shared" si="36"/>
        <v>6309600</v>
      </c>
      <c r="M129" s="8"/>
      <c r="N129" s="42">
        <f t="shared" si="22"/>
        <v>6309600</v>
      </c>
      <c r="O129" s="42"/>
      <c r="P129" s="42">
        <f t="shared" si="38"/>
        <v>6309600</v>
      </c>
      <c r="Q129" s="42">
        <f t="shared" si="32"/>
        <v>6309600</v>
      </c>
      <c r="R129" s="5"/>
    </row>
    <row r="130" spans="1:18" ht="13.5" x14ac:dyDescent="0.2">
      <c r="A130" s="47" t="s">
        <v>23</v>
      </c>
      <c r="B130" s="47" t="s">
        <v>24</v>
      </c>
      <c r="C130" s="21" t="s">
        <v>25</v>
      </c>
      <c r="D130" s="47" t="s">
        <v>454</v>
      </c>
      <c r="E130" s="21" t="s">
        <v>41</v>
      </c>
      <c r="F130" s="47" t="s">
        <v>32</v>
      </c>
      <c r="G130" s="21" t="s">
        <v>508</v>
      </c>
      <c r="H130" s="7" t="s">
        <v>509</v>
      </c>
      <c r="I130" s="8" t="s">
        <v>544</v>
      </c>
      <c r="J130" s="9">
        <v>2276430</v>
      </c>
      <c r="K130" s="8"/>
      <c r="L130" s="42">
        <f t="shared" si="36"/>
        <v>3414645</v>
      </c>
      <c r="M130" s="8"/>
      <c r="N130" s="42">
        <f t="shared" si="22"/>
        <v>3414645</v>
      </c>
      <c r="O130" s="42"/>
      <c r="P130" s="42">
        <f t="shared" si="38"/>
        <v>3414645</v>
      </c>
      <c r="Q130" s="42">
        <f t="shared" si="32"/>
        <v>3414645</v>
      </c>
      <c r="R130" s="5"/>
    </row>
    <row r="131" spans="1:18" ht="13.5" x14ac:dyDescent="0.2">
      <c r="A131" s="47" t="s">
        <v>23</v>
      </c>
      <c r="B131" s="47" t="s">
        <v>24</v>
      </c>
      <c r="C131" s="21" t="s">
        <v>25</v>
      </c>
      <c r="D131" s="47" t="s">
        <v>454</v>
      </c>
      <c r="E131" s="21" t="s">
        <v>41</v>
      </c>
      <c r="F131" s="47" t="s">
        <v>32</v>
      </c>
      <c r="G131" s="21" t="s">
        <v>508</v>
      </c>
      <c r="H131" s="7" t="s">
        <v>509</v>
      </c>
      <c r="I131" s="8" t="s">
        <v>546</v>
      </c>
      <c r="J131" s="9">
        <v>7971600</v>
      </c>
      <c r="K131" s="8"/>
      <c r="L131" s="42">
        <f t="shared" si="36"/>
        <v>11957400</v>
      </c>
      <c r="M131" s="8"/>
      <c r="N131" s="42">
        <f t="shared" si="22"/>
        <v>11957400</v>
      </c>
      <c r="O131" s="42"/>
      <c r="P131" s="42">
        <f t="shared" si="38"/>
        <v>11957400</v>
      </c>
      <c r="Q131" s="42">
        <f t="shared" si="32"/>
        <v>11957400</v>
      </c>
      <c r="R131" s="5"/>
    </row>
    <row r="132" spans="1:18" ht="13.5" x14ac:dyDescent="0.2">
      <c r="A132" s="47" t="s">
        <v>23</v>
      </c>
      <c r="B132" s="47" t="s">
        <v>24</v>
      </c>
      <c r="C132" s="21" t="s">
        <v>25</v>
      </c>
      <c r="D132" s="47" t="s">
        <v>454</v>
      </c>
      <c r="E132" s="21" t="s">
        <v>57</v>
      </c>
      <c r="F132" s="47" t="s">
        <v>32</v>
      </c>
      <c r="G132" s="21" t="s">
        <v>508</v>
      </c>
      <c r="H132" s="7" t="s">
        <v>509</v>
      </c>
      <c r="I132" s="8" t="s">
        <v>551</v>
      </c>
      <c r="J132" s="9">
        <v>3339800</v>
      </c>
      <c r="K132" s="8"/>
      <c r="L132" s="42">
        <f t="shared" si="36"/>
        <v>5009700</v>
      </c>
      <c r="M132" s="8"/>
      <c r="N132" s="42">
        <f t="shared" ref="N132:N194" si="39">SUM(K132:M132)</f>
        <v>5009700</v>
      </c>
      <c r="O132" s="42"/>
      <c r="P132" s="42">
        <f t="shared" si="38"/>
        <v>5009700</v>
      </c>
      <c r="Q132" s="42">
        <f t="shared" si="32"/>
        <v>5009700</v>
      </c>
      <c r="R132" s="5"/>
    </row>
    <row r="133" spans="1:18" ht="13.5" x14ac:dyDescent="0.2">
      <c r="A133" s="47" t="s">
        <v>23</v>
      </c>
      <c r="B133" s="47" t="s">
        <v>24</v>
      </c>
      <c r="C133" s="21" t="s">
        <v>25</v>
      </c>
      <c r="D133" s="47" t="s">
        <v>581</v>
      </c>
      <c r="E133" s="21" t="s">
        <v>128</v>
      </c>
      <c r="F133" s="47" t="s">
        <v>135</v>
      </c>
      <c r="G133" s="21" t="s">
        <v>653</v>
      </c>
      <c r="H133" s="7" t="s">
        <v>654</v>
      </c>
      <c r="I133" s="8" t="s">
        <v>667</v>
      </c>
      <c r="J133" s="9">
        <v>595000</v>
      </c>
      <c r="K133" s="8"/>
      <c r="L133" s="8"/>
      <c r="M133" s="8"/>
      <c r="N133" s="42">
        <f t="shared" ref="N133:N144" si="40">J133</f>
        <v>595000</v>
      </c>
      <c r="O133" s="42"/>
      <c r="P133" s="42">
        <f t="shared" si="38"/>
        <v>595000</v>
      </c>
      <c r="Q133" s="42">
        <f t="shared" si="32"/>
        <v>595000</v>
      </c>
      <c r="R133" s="5"/>
    </row>
    <row r="134" spans="1:18" ht="13.5" x14ac:dyDescent="0.2">
      <c r="A134" s="47" t="s">
        <v>23</v>
      </c>
      <c r="B134" s="47" t="s">
        <v>24</v>
      </c>
      <c r="C134" s="21" t="s">
        <v>25</v>
      </c>
      <c r="D134" s="47" t="s">
        <v>581</v>
      </c>
      <c r="E134" s="21" t="s">
        <v>31</v>
      </c>
      <c r="F134" s="47" t="s">
        <v>32</v>
      </c>
      <c r="G134" s="21" t="s">
        <v>582</v>
      </c>
      <c r="H134" s="7" t="s">
        <v>583</v>
      </c>
      <c r="I134" s="8" t="s">
        <v>584</v>
      </c>
      <c r="J134" s="9">
        <v>814000</v>
      </c>
      <c r="K134" s="8"/>
      <c r="L134" s="8"/>
      <c r="M134" s="8"/>
      <c r="N134" s="42">
        <f t="shared" si="40"/>
        <v>814000</v>
      </c>
      <c r="O134" s="42"/>
      <c r="P134" s="42">
        <f t="shared" si="38"/>
        <v>814000</v>
      </c>
      <c r="Q134" s="42">
        <f t="shared" si="32"/>
        <v>814000</v>
      </c>
      <c r="R134" s="5"/>
    </row>
    <row r="135" spans="1:18" ht="13.5" x14ac:dyDescent="0.2">
      <c r="A135" s="47" t="s">
        <v>23</v>
      </c>
      <c r="B135" s="47" t="s">
        <v>24</v>
      </c>
      <c r="C135" s="21" t="s">
        <v>25</v>
      </c>
      <c r="D135" s="47" t="s">
        <v>581</v>
      </c>
      <c r="E135" s="21" t="s">
        <v>31</v>
      </c>
      <c r="F135" s="47" t="s">
        <v>32</v>
      </c>
      <c r="G135" s="21" t="s">
        <v>582</v>
      </c>
      <c r="H135" s="7" t="s">
        <v>583</v>
      </c>
      <c r="I135" s="8" t="s">
        <v>588</v>
      </c>
      <c r="J135" s="9">
        <v>794000</v>
      </c>
      <c r="K135" s="8"/>
      <c r="L135" s="8"/>
      <c r="M135" s="8"/>
      <c r="N135" s="42">
        <f t="shared" si="40"/>
        <v>794000</v>
      </c>
      <c r="O135" s="42"/>
      <c r="P135" s="42">
        <f t="shared" si="38"/>
        <v>794000</v>
      </c>
      <c r="Q135" s="42">
        <f t="shared" si="32"/>
        <v>794000</v>
      </c>
      <c r="R135" s="5"/>
    </row>
    <row r="136" spans="1:18" ht="13.5" x14ac:dyDescent="0.2">
      <c r="A136" s="47" t="s">
        <v>23</v>
      </c>
      <c r="B136" s="47" t="s">
        <v>24</v>
      </c>
      <c r="C136" s="21" t="s">
        <v>25</v>
      </c>
      <c r="D136" s="47" t="s">
        <v>581</v>
      </c>
      <c r="E136" s="21" t="s">
        <v>31</v>
      </c>
      <c r="F136" s="47" t="s">
        <v>32</v>
      </c>
      <c r="G136" s="21" t="s">
        <v>582</v>
      </c>
      <c r="H136" s="7" t="s">
        <v>583</v>
      </c>
      <c r="I136" s="8" t="s">
        <v>590</v>
      </c>
      <c r="J136" s="9">
        <v>325200</v>
      </c>
      <c r="K136" s="8"/>
      <c r="L136" s="8"/>
      <c r="M136" s="8"/>
      <c r="N136" s="42">
        <f t="shared" si="40"/>
        <v>325200</v>
      </c>
      <c r="O136" s="42"/>
      <c r="P136" s="42">
        <f t="shared" si="38"/>
        <v>325200</v>
      </c>
      <c r="Q136" s="42">
        <f t="shared" si="32"/>
        <v>325200</v>
      </c>
      <c r="R136" s="5"/>
    </row>
    <row r="137" spans="1:18" ht="13.5" x14ac:dyDescent="0.2">
      <c r="A137" s="47" t="s">
        <v>23</v>
      </c>
      <c r="B137" s="47" t="s">
        <v>24</v>
      </c>
      <c r="C137" s="21" t="s">
        <v>25</v>
      </c>
      <c r="D137" s="47" t="s">
        <v>581</v>
      </c>
      <c r="E137" s="21" t="s">
        <v>31</v>
      </c>
      <c r="F137" s="47" t="s">
        <v>32</v>
      </c>
      <c r="G137" s="21" t="s">
        <v>582</v>
      </c>
      <c r="H137" s="7" t="s">
        <v>583</v>
      </c>
      <c r="I137" s="8" t="s">
        <v>586</v>
      </c>
      <c r="J137" s="9">
        <v>2851600</v>
      </c>
      <c r="K137" s="8"/>
      <c r="L137" s="8"/>
      <c r="M137" s="8"/>
      <c r="N137" s="42">
        <f t="shared" si="40"/>
        <v>2851600</v>
      </c>
      <c r="O137" s="42">
        <f>N137*1.5</f>
        <v>4277400</v>
      </c>
      <c r="P137" s="42"/>
      <c r="Q137" s="42">
        <f t="shared" si="32"/>
        <v>4277400</v>
      </c>
    </row>
    <row r="138" spans="1:18" ht="13.5" x14ac:dyDescent="0.2">
      <c r="A138" s="47" t="s">
        <v>23</v>
      </c>
      <c r="B138" s="47" t="s">
        <v>24</v>
      </c>
      <c r="C138" s="21" t="s">
        <v>25</v>
      </c>
      <c r="D138" s="47" t="s">
        <v>581</v>
      </c>
      <c r="E138" s="21" t="s">
        <v>31</v>
      </c>
      <c r="F138" s="47" t="s">
        <v>32</v>
      </c>
      <c r="G138" s="21" t="s">
        <v>594</v>
      </c>
      <c r="H138" s="7" t="s">
        <v>595</v>
      </c>
      <c r="I138" s="8" t="s">
        <v>600</v>
      </c>
      <c r="J138" s="9">
        <v>1991800</v>
      </c>
      <c r="K138" s="8"/>
      <c r="L138" s="8"/>
      <c r="M138" s="8"/>
      <c r="N138" s="42">
        <f t="shared" si="40"/>
        <v>1991800</v>
      </c>
      <c r="O138" s="42"/>
      <c r="P138" s="42">
        <f>N138</f>
        <v>1991800</v>
      </c>
      <c r="Q138" s="42">
        <f t="shared" si="32"/>
        <v>1991800</v>
      </c>
      <c r="R138" s="5"/>
    </row>
    <row r="139" spans="1:18" ht="13.5" x14ac:dyDescent="0.2">
      <c r="A139" s="47" t="s">
        <v>23</v>
      </c>
      <c r="B139" s="47" t="s">
        <v>24</v>
      </c>
      <c r="C139" s="21" t="s">
        <v>25</v>
      </c>
      <c r="D139" s="47" t="s">
        <v>581</v>
      </c>
      <c r="E139" s="21" t="s">
        <v>31</v>
      </c>
      <c r="F139" s="47" t="s">
        <v>32</v>
      </c>
      <c r="G139" s="21" t="s">
        <v>606</v>
      </c>
      <c r="H139" s="7" t="s">
        <v>607</v>
      </c>
      <c r="I139" s="8" t="s">
        <v>617</v>
      </c>
      <c r="J139" s="9">
        <v>1599800</v>
      </c>
      <c r="K139" s="8"/>
      <c r="L139" s="8"/>
      <c r="M139" s="8"/>
      <c r="N139" s="42">
        <f t="shared" si="40"/>
        <v>1599800</v>
      </c>
      <c r="O139" s="42">
        <f t="shared" ref="O139:O140" si="41">N139*1.5</f>
        <v>2399700</v>
      </c>
      <c r="P139" s="42"/>
      <c r="Q139" s="42">
        <f t="shared" si="32"/>
        <v>2399700</v>
      </c>
    </row>
    <row r="140" spans="1:18" ht="13.5" x14ac:dyDescent="0.2">
      <c r="A140" s="47" t="s">
        <v>23</v>
      </c>
      <c r="B140" s="47" t="s">
        <v>24</v>
      </c>
      <c r="C140" s="21" t="s">
        <v>25</v>
      </c>
      <c r="D140" s="47" t="s">
        <v>581</v>
      </c>
      <c r="E140" s="21" t="s">
        <v>31</v>
      </c>
      <c r="F140" s="47" t="s">
        <v>32</v>
      </c>
      <c r="G140" s="21" t="s">
        <v>606</v>
      </c>
      <c r="H140" s="7" t="s">
        <v>607</v>
      </c>
      <c r="I140" s="8" t="s">
        <v>631</v>
      </c>
      <c r="J140" s="9">
        <v>2800200</v>
      </c>
      <c r="K140" s="8"/>
      <c r="L140" s="8"/>
      <c r="M140" s="8"/>
      <c r="N140" s="42">
        <f t="shared" si="40"/>
        <v>2800200</v>
      </c>
      <c r="O140" s="42">
        <f t="shared" si="41"/>
        <v>4200300</v>
      </c>
      <c r="P140" s="42"/>
      <c r="Q140" s="42">
        <f t="shared" si="32"/>
        <v>4200300</v>
      </c>
    </row>
    <row r="141" spans="1:18" ht="13.5" x14ac:dyDescent="0.2">
      <c r="A141" s="47" t="s">
        <v>23</v>
      </c>
      <c r="B141" s="47" t="s">
        <v>24</v>
      </c>
      <c r="C141" s="21" t="s">
        <v>25</v>
      </c>
      <c r="D141" s="47" t="s">
        <v>581</v>
      </c>
      <c r="E141" s="21" t="s">
        <v>31</v>
      </c>
      <c r="F141" s="47" t="s">
        <v>32</v>
      </c>
      <c r="G141" s="21" t="s">
        <v>637</v>
      </c>
      <c r="H141" s="7" t="s">
        <v>638</v>
      </c>
      <c r="I141" s="8" t="s">
        <v>639</v>
      </c>
      <c r="J141" s="9">
        <v>2437400</v>
      </c>
      <c r="K141" s="8"/>
      <c r="L141" s="8"/>
      <c r="M141" s="8"/>
      <c r="N141" s="42">
        <f t="shared" si="40"/>
        <v>2437400</v>
      </c>
      <c r="O141" s="42"/>
      <c r="P141" s="42">
        <f t="shared" ref="P141:P143" si="42">N141</f>
        <v>2437400</v>
      </c>
      <c r="Q141" s="42">
        <f t="shared" si="32"/>
        <v>2437400</v>
      </c>
      <c r="R141" s="5"/>
    </row>
    <row r="142" spans="1:18" ht="13.5" x14ac:dyDescent="0.2">
      <c r="A142" s="47" t="s">
        <v>23</v>
      </c>
      <c r="B142" s="47" t="s">
        <v>24</v>
      </c>
      <c r="C142" s="21" t="s">
        <v>25</v>
      </c>
      <c r="D142" s="47" t="s">
        <v>581</v>
      </c>
      <c r="E142" s="21" t="s">
        <v>31</v>
      </c>
      <c r="F142" s="47" t="s">
        <v>32</v>
      </c>
      <c r="G142" s="21" t="s">
        <v>643</v>
      </c>
      <c r="H142" s="7" t="s">
        <v>644</v>
      </c>
      <c r="I142" s="8" t="s">
        <v>648</v>
      </c>
      <c r="J142" s="9">
        <v>3299700</v>
      </c>
      <c r="K142" s="8"/>
      <c r="L142" s="8"/>
      <c r="M142" s="8"/>
      <c r="N142" s="42">
        <f t="shared" si="40"/>
        <v>3299700</v>
      </c>
      <c r="O142" s="42"/>
      <c r="P142" s="42">
        <f t="shared" si="42"/>
        <v>3299700</v>
      </c>
      <c r="Q142" s="42">
        <f t="shared" si="32"/>
        <v>3299700</v>
      </c>
      <c r="R142" s="5"/>
    </row>
    <row r="143" spans="1:18" ht="13.5" x14ac:dyDescent="0.2">
      <c r="A143" s="47" t="s">
        <v>23</v>
      </c>
      <c r="B143" s="47" t="s">
        <v>24</v>
      </c>
      <c r="C143" s="21" t="s">
        <v>25</v>
      </c>
      <c r="D143" s="47" t="s">
        <v>581</v>
      </c>
      <c r="E143" s="21" t="s">
        <v>31</v>
      </c>
      <c r="F143" s="47" t="s">
        <v>32</v>
      </c>
      <c r="G143" s="21" t="s">
        <v>643</v>
      </c>
      <c r="H143" s="7" t="s">
        <v>644</v>
      </c>
      <c r="I143" s="8" t="s">
        <v>651</v>
      </c>
      <c r="J143" s="9">
        <v>1695400</v>
      </c>
      <c r="K143" s="8"/>
      <c r="L143" s="8"/>
      <c r="M143" s="8"/>
      <c r="N143" s="42">
        <f t="shared" si="40"/>
        <v>1695400</v>
      </c>
      <c r="O143" s="42"/>
      <c r="P143" s="42">
        <f t="shared" si="42"/>
        <v>1695400</v>
      </c>
      <c r="Q143" s="42">
        <f t="shared" si="32"/>
        <v>1695400</v>
      </c>
      <c r="R143" s="5"/>
    </row>
    <row r="144" spans="1:18" ht="13.5" x14ac:dyDescent="0.2">
      <c r="A144" s="47" t="s">
        <v>23</v>
      </c>
      <c r="B144" s="47" t="s">
        <v>24</v>
      </c>
      <c r="C144" s="21" t="s">
        <v>25</v>
      </c>
      <c r="D144" s="47" t="s">
        <v>581</v>
      </c>
      <c r="E144" s="21" t="s">
        <v>31</v>
      </c>
      <c r="F144" s="47" t="s">
        <v>32</v>
      </c>
      <c r="G144" s="21" t="s">
        <v>653</v>
      </c>
      <c r="H144" s="7" t="s">
        <v>654</v>
      </c>
      <c r="I144" s="8" t="s">
        <v>655</v>
      </c>
      <c r="J144" s="9">
        <v>1506000</v>
      </c>
      <c r="K144" s="8"/>
      <c r="L144" s="8"/>
      <c r="M144" s="8"/>
      <c r="N144" s="42">
        <f t="shared" si="40"/>
        <v>1506000</v>
      </c>
      <c r="O144" s="42">
        <f t="shared" ref="O144:O145" si="43">N144*1.5</f>
        <v>2259000</v>
      </c>
      <c r="P144" s="42"/>
      <c r="Q144" s="42">
        <f t="shared" si="32"/>
        <v>2259000</v>
      </c>
    </row>
    <row r="145" spans="1:18" ht="13.5" x14ac:dyDescent="0.2">
      <c r="A145" s="47" t="s">
        <v>23</v>
      </c>
      <c r="B145" s="47" t="s">
        <v>24</v>
      </c>
      <c r="C145" s="21" t="s">
        <v>25</v>
      </c>
      <c r="D145" s="47" t="s">
        <v>581</v>
      </c>
      <c r="E145" s="21" t="s">
        <v>41</v>
      </c>
      <c r="F145" s="47" t="s">
        <v>32</v>
      </c>
      <c r="G145" s="21" t="s">
        <v>594</v>
      </c>
      <c r="H145" s="7" t="s">
        <v>595</v>
      </c>
      <c r="I145" s="8" t="s">
        <v>604</v>
      </c>
      <c r="J145" s="9">
        <v>4164400</v>
      </c>
      <c r="K145" s="8"/>
      <c r="L145" s="42">
        <f t="shared" ref="L145:L162" si="44">J145*1.5</f>
        <v>6246600</v>
      </c>
      <c r="M145" s="8"/>
      <c r="N145" s="42">
        <f t="shared" si="39"/>
        <v>6246600</v>
      </c>
      <c r="O145" s="42">
        <f t="shared" si="43"/>
        <v>9369900</v>
      </c>
      <c r="P145" s="42"/>
      <c r="Q145" s="42">
        <f t="shared" si="32"/>
        <v>9369900</v>
      </c>
    </row>
    <row r="146" spans="1:18" ht="13.5" x14ac:dyDescent="0.2">
      <c r="A146" s="47" t="s">
        <v>23</v>
      </c>
      <c r="B146" s="47" t="s">
        <v>24</v>
      </c>
      <c r="C146" s="21" t="s">
        <v>25</v>
      </c>
      <c r="D146" s="47" t="s">
        <v>581</v>
      </c>
      <c r="E146" s="21" t="s">
        <v>41</v>
      </c>
      <c r="F146" s="47" t="s">
        <v>32</v>
      </c>
      <c r="G146" s="21" t="s">
        <v>594</v>
      </c>
      <c r="H146" s="7" t="s">
        <v>595</v>
      </c>
      <c r="I146" s="8" t="s">
        <v>598</v>
      </c>
      <c r="J146" s="9">
        <v>1534000</v>
      </c>
      <c r="K146" s="8"/>
      <c r="L146" s="42">
        <f t="shared" si="44"/>
        <v>2301000</v>
      </c>
      <c r="M146" s="8"/>
      <c r="N146" s="42">
        <f t="shared" si="39"/>
        <v>2301000</v>
      </c>
      <c r="O146" s="42"/>
      <c r="P146" s="42">
        <f t="shared" ref="P146:P147" si="45">N146</f>
        <v>2301000</v>
      </c>
      <c r="Q146" s="42">
        <f t="shared" si="32"/>
        <v>2301000</v>
      </c>
      <c r="R146" s="5"/>
    </row>
    <row r="147" spans="1:18" ht="13.5" x14ac:dyDescent="0.2">
      <c r="A147" s="47" t="s">
        <v>23</v>
      </c>
      <c r="B147" s="47" t="s">
        <v>24</v>
      </c>
      <c r="C147" s="21" t="s">
        <v>25</v>
      </c>
      <c r="D147" s="47" t="s">
        <v>581</v>
      </c>
      <c r="E147" s="21" t="s">
        <v>41</v>
      </c>
      <c r="F147" s="47" t="s">
        <v>32</v>
      </c>
      <c r="G147" s="21" t="s">
        <v>594</v>
      </c>
      <c r="H147" s="7" t="s">
        <v>595</v>
      </c>
      <c r="I147" s="8" t="s">
        <v>602</v>
      </c>
      <c r="J147" s="9">
        <v>13869000</v>
      </c>
      <c r="K147" s="8"/>
      <c r="L147" s="42">
        <f t="shared" si="44"/>
        <v>20803500</v>
      </c>
      <c r="M147" s="8"/>
      <c r="N147" s="42">
        <f t="shared" si="39"/>
        <v>20803500</v>
      </c>
      <c r="O147" s="42"/>
      <c r="P147" s="42">
        <f t="shared" si="45"/>
        <v>20803500</v>
      </c>
      <c r="Q147" s="42">
        <f t="shared" si="32"/>
        <v>20803500</v>
      </c>
      <c r="R147" s="5"/>
    </row>
    <row r="148" spans="1:18" ht="13.5" x14ac:dyDescent="0.2">
      <c r="A148" s="47" t="s">
        <v>23</v>
      </c>
      <c r="B148" s="47" t="s">
        <v>24</v>
      </c>
      <c r="C148" s="21" t="s">
        <v>25</v>
      </c>
      <c r="D148" s="47" t="s">
        <v>581</v>
      </c>
      <c r="E148" s="21" t="s">
        <v>41</v>
      </c>
      <c r="F148" s="47" t="s">
        <v>32</v>
      </c>
      <c r="G148" s="21" t="s">
        <v>606</v>
      </c>
      <c r="H148" s="7" t="s">
        <v>607</v>
      </c>
      <c r="I148" s="8" t="s">
        <v>633</v>
      </c>
      <c r="J148" s="9">
        <v>3559800</v>
      </c>
      <c r="K148" s="8"/>
      <c r="L148" s="42">
        <f t="shared" si="44"/>
        <v>5339700</v>
      </c>
      <c r="M148" s="8"/>
      <c r="N148" s="42">
        <f t="shared" si="39"/>
        <v>5339700</v>
      </c>
      <c r="O148" s="42">
        <f t="shared" ref="O148:O150" si="46">N148*1.5</f>
        <v>8009550</v>
      </c>
      <c r="P148" s="42"/>
      <c r="Q148" s="42">
        <f t="shared" si="32"/>
        <v>8009550</v>
      </c>
    </row>
    <row r="149" spans="1:18" ht="13.5" x14ac:dyDescent="0.2">
      <c r="A149" s="47" t="s">
        <v>23</v>
      </c>
      <c r="B149" s="47" t="s">
        <v>24</v>
      </c>
      <c r="C149" s="21" t="s">
        <v>25</v>
      </c>
      <c r="D149" s="47" t="s">
        <v>581</v>
      </c>
      <c r="E149" s="21" t="s">
        <v>41</v>
      </c>
      <c r="F149" s="47" t="s">
        <v>32</v>
      </c>
      <c r="G149" s="21" t="s">
        <v>606</v>
      </c>
      <c r="H149" s="7" t="s">
        <v>607</v>
      </c>
      <c r="I149" s="8" t="s">
        <v>635</v>
      </c>
      <c r="J149" s="9">
        <v>2398000</v>
      </c>
      <c r="K149" s="8"/>
      <c r="L149" s="42">
        <f t="shared" si="44"/>
        <v>3597000</v>
      </c>
      <c r="M149" s="8"/>
      <c r="N149" s="42">
        <f t="shared" si="39"/>
        <v>3597000</v>
      </c>
      <c r="O149" s="42">
        <f t="shared" si="46"/>
        <v>5395500</v>
      </c>
      <c r="P149" s="42"/>
      <c r="Q149" s="42">
        <f t="shared" si="32"/>
        <v>5395500</v>
      </c>
    </row>
    <row r="150" spans="1:18" ht="13.5" x14ac:dyDescent="0.2">
      <c r="A150" s="47" t="s">
        <v>23</v>
      </c>
      <c r="B150" s="47" t="s">
        <v>24</v>
      </c>
      <c r="C150" s="21" t="s">
        <v>25</v>
      </c>
      <c r="D150" s="47" t="s">
        <v>581</v>
      </c>
      <c r="E150" s="21" t="s">
        <v>41</v>
      </c>
      <c r="F150" s="47" t="s">
        <v>32</v>
      </c>
      <c r="G150" s="21" t="s">
        <v>606</v>
      </c>
      <c r="H150" s="7" t="s">
        <v>607</v>
      </c>
      <c r="I150" s="8" t="s">
        <v>615</v>
      </c>
      <c r="J150" s="9">
        <v>4737600</v>
      </c>
      <c r="K150" s="8"/>
      <c r="L150" s="42">
        <f t="shared" si="44"/>
        <v>7106400</v>
      </c>
      <c r="M150" s="8"/>
      <c r="N150" s="42">
        <f t="shared" si="39"/>
        <v>7106400</v>
      </c>
      <c r="O150" s="42">
        <f t="shared" si="46"/>
        <v>10659600</v>
      </c>
      <c r="P150" s="42"/>
      <c r="Q150" s="42">
        <f t="shared" si="32"/>
        <v>10659600</v>
      </c>
    </row>
    <row r="151" spans="1:18" ht="13.5" x14ac:dyDescent="0.2">
      <c r="A151" s="47" t="s">
        <v>23</v>
      </c>
      <c r="B151" s="47" t="s">
        <v>24</v>
      </c>
      <c r="C151" s="21" t="s">
        <v>25</v>
      </c>
      <c r="D151" s="47" t="s">
        <v>581</v>
      </c>
      <c r="E151" s="21" t="s">
        <v>41</v>
      </c>
      <c r="F151" s="47" t="s">
        <v>32</v>
      </c>
      <c r="G151" s="21" t="s">
        <v>606</v>
      </c>
      <c r="H151" s="7" t="s">
        <v>607</v>
      </c>
      <c r="I151" s="8" t="s">
        <v>621</v>
      </c>
      <c r="J151" s="9">
        <v>3651600</v>
      </c>
      <c r="K151" s="8"/>
      <c r="L151" s="42">
        <f t="shared" si="44"/>
        <v>5477400</v>
      </c>
      <c r="M151" s="8"/>
      <c r="N151" s="42">
        <f t="shared" si="39"/>
        <v>5477400</v>
      </c>
      <c r="O151" s="42"/>
      <c r="P151" s="42">
        <f>N151</f>
        <v>5477400</v>
      </c>
      <c r="Q151" s="42">
        <f t="shared" si="32"/>
        <v>5477400</v>
      </c>
      <c r="R151" s="5"/>
    </row>
    <row r="152" spans="1:18" ht="13.5" x14ac:dyDescent="0.2">
      <c r="A152" s="47" t="s">
        <v>23</v>
      </c>
      <c r="B152" s="47" t="s">
        <v>24</v>
      </c>
      <c r="C152" s="21" t="s">
        <v>25</v>
      </c>
      <c r="D152" s="47" t="s">
        <v>581</v>
      </c>
      <c r="E152" s="21" t="s">
        <v>41</v>
      </c>
      <c r="F152" s="47" t="s">
        <v>32</v>
      </c>
      <c r="G152" s="21" t="s">
        <v>606</v>
      </c>
      <c r="H152" s="7" t="s">
        <v>607</v>
      </c>
      <c r="I152" s="8" t="s">
        <v>625</v>
      </c>
      <c r="J152" s="9">
        <v>10410000</v>
      </c>
      <c r="K152" s="8"/>
      <c r="L152" s="42">
        <f t="shared" si="44"/>
        <v>15615000</v>
      </c>
      <c r="M152" s="8"/>
      <c r="N152" s="42">
        <f t="shared" si="39"/>
        <v>15615000</v>
      </c>
      <c r="O152" s="42">
        <f>N152*1.5</f>
        <v>23422500</v>
      </c>
      <c r="P152" s="42"/>
      <c r="Q152" s="42">
        <f t="shared" si="32"/>
        <v>23422500</v>
      </c>
    </row>
    <row r="153" spans="1:18" ht="13.5" x14ac:dyDescent="0.2">
      <c r="A153" s="47" t="s">
        <v>23</v>
      </c>
      <c r="B153" s="47" t="s">
        <v>24</v>
      </c>
      <c r="C153" s="21" t="s">
        <v>25</v>
      </c>
      <c r="D153" s="47" t="s">
        <v>581</v>
      </c>
      <c r="E153" s="21" t="s">
        <v>41</v>
      </c>
      <c r="F153" s="47" t="s">
        <v>32</v>
      </c>
      <c r="G153" s="21" t="s">
        <v>637</v>
      </c>
      <c r="H153" s="7" t="s">
        <v>638</v>
      </c>
      <c r="I153" s="8" t="s">
        <v>641</v>
      </c>
      <c r="J153" s="9">
        <v>4196800</v>
      </c>
      <c r="K153" s="8"/>
      <c r="L153" s="42">
        <f t="shared" si="44"/>
        <v>6295200</v>
      </c>
      <c r="M153" s="8"/>
      <c r="N153" s="42">
        <f t="shared" si="39"/>
        <v>6295200</v>
      </c>
      <c r="O153" s="42"/>
      <c r="P153" s="42">
        <f t="shared" ref="P153:P160" si="47">N153</f>
        <v>6295200</v>
      </c>
      <c r="Q153" s="42">
        <f t="shared" si="32"/>
        <v>6295200</v>
      </c>
      <c r="R153" s="5"/>
    </row>
    <row r="154" spans="1:18" ht="13.5" x14ac:dyDescent="0.2">
      <c r="A154" s="47" t="s">
        <v>23</v>
      </c>
      <c r="B154" s="47" t="s">
        <v>24</v>
      </c>
      <c r="C154" s="21" t="s">
        <v>25</v>
      </c>
      <c r="D154" s="47" t="s">
        <v>581</v>
      </c>
      <c r="E154" s="21" t="s">
        <v>41</v>
      </c>
      <c r="F154" s="47" t="s">
        <v>32</v>
      </c>
      <c r="G154" s="21" t="s">
        <v>643</v>
      </c>
      <c r="H154" s="7" t="s">
        <v>644</v>
      </c>
      <c r="I154" s="8" t="s">
        <v>398</v>
      </c>
      <c r="J154" s="9">
        <v>2856600</v>
      </c>
      <c r="K154" s="8"/>
      <c r="L154" s="42">
        <f t="shared" si="44"/>
        <v>4284900</v>
      </c>
      <c r="M154" s="8"/>
      <c r="N154" s="42">
        <f t="shared" si="39"/>
        <v>4284900</v>
      </c>
      <c r="O154" s="42"/>
      <c r="P154" s="42">
        <f t="shared" si="47"/>
        <v>4284900</v>
      </c>
      <c r="Q154" s="42">
        <f t="shared" si="32"/>
        <v>4284900</v>
      </c>
      <c r="R154" s="5"/>
    </row>
    <row r="155" spans="1:18" ht="13.5" x14ac:dyDescent="0.2">
      <c r="A155" s="47" t="s">
        <v>23</v>
      </c>
      <c r="B155" s="47" t="s">
        <v>24</v>
      </c>
      <c r="C155" s="21" t="s">
        <v>25</v>
      </c>
      <c r="D155" s="47" t="s">
        <v>581</v>
      </c>
      <c r="E155" s="21" t="s">
        <v>41</v>
      </c>
      <c r="F155" s="47" t="s">
        <v>32</v>
      </c>
      <c r="G155" s="21" t="s">
        <v>643</v>
      </c>
      <c r="H155" s="7" t="s">
        <v>644</v>
      </c>
      <c r="I155" s="8" t="s">
        <v>646</v>
      </c>
      <c r="J155" s="9">
        <v>2038000</v>
      </c>
      <c r="K155" s="8"/>
      <c r="L155" s="42">
        <f t="shared" si="44"/>
        <v>3057000</v>
      </c>
      <c r="M155" s="8"/>
      <c r="N155" s="42">
        <f t="shared" si="39"/>
        <v>3057000</v>
      </c>
      <c r="O155" s="42"/>
      <c r="P155" s="42">
        <f t="shared" si="47"/>
        <v>3057000</v>
      </c>
      <c r="Q155" s="42">
        <f t="shared" si="32"/>
        <v>3057000</v>
      </c>
      <c r="R155" s="5"/>
    </row>
    <row r="156" spans="1:18" ht="13.5" x14ac:dyDescent="0.2">
      <c r="A156" s="47" t="s">
        <v>23</v>
      </c>
      <c r="B156" s="47" t="s">
        <v>24</v>
      </c>
      <c r="C156" s="21" t="s">
        <v>25</v>
      </c>
      <c r="D156" s="47" t="s">
        <v>581</v>
      </c>
      <c r="E156" s="21" t="s">
        <v>41</v>
      </c>
      <c r="F156" s="47" t="s">
        <v>32</v>
      </c>
      <c r="G156" s="21" t="s">
        <v>653</v>
      </c>
      <c r="H156" s="7" t="s">
        <v>654</v>
      </c>
      <c r="I156" s="8" t="s">
        <v>663</v>
      </c>
      <c r="J156" s="9">
        <v>3846400</v>
      </c>
      <c r="K156" s="8"/>
      <c r="L156" s="42">
        <f t="shared" si="44"/>
        <v>5769600</v>
      </c>
      <c r="M156" s="8"/>
      <c r="N156" s="42">
        <f t="shared" si="39"/>
        <v>5769600</v>
      </c>
      <c r="O156" s="42"/>
      <c r="P156" s="42">
        <f t="shared" si="47"/>
        <v>5769600</v>
      </c>
      <c r="Q156" s="42">
        <f t="shared" si="32"/>
        <v>5769600</v>
      </c>
      <c r="R156" s="5"/>
    </row>
    <row r="157" spans="1:18" ht="13.5" x14ac:dyDescent="0.2">
      <c r="A157" s="47" t="s">
        <v>23</v>
      </c>
      <c r="B157" s="47" t="s">
        <v>24</v>
      </c>
      <c r="C157" s="21" t="s">
        <v>25</v>
      </c>
      <c r="D157" s="47" t="s">
        <v>581</v>
      </c>
      <c r="E157" s="21" t="s">
        <v>41</v>
      </c>
      <c r="F157" s="47" t="s">
        <v>32</v>
      </c>
      <c r="G157" s="21" t="s">
        <v>653</v>
      </c>
      <c r="H157" s="7" t="s">
        <v>654</v>
      </c>
      <c r="I157" s="8" t="s">
        <v>665</v>
      </c>
      <c r="J157" s="9">
        <v>3846400</v>
      </c>
      <c r="K157" s="8"/>
      <c r="L157" s="42">
        <f t="shared" si="44"/>
        <v>5769600</v>
      </c>
      <c r="M157" s="8"/>
      <c r="N157" s="42">
        <f t="shared" si="39"/>
        <v>5769600</v>
      </c>
      <c r="O157" s="42"/>
      <c r="P157" s="42">
        <f t="shared" si="47"/>
        <v>5769600</v>
      </c>
      <c r="Q157" s="42">
        <f t="shared" si="32"/>
        <v>5769600</v>
      </c>
      <c r="R157" s="5"/>
    </row>
    <row r="158" spans="1:18" ht="13.5" x14ac:dyDescent="0.2">
      <c r="A158" s="47" t="s">
        <v>23</v>
      </c>
      <c r="B158" s="47" t="s">
        <v>24</v>
      </c>
      <c r="C158" s="21" t="s">
        <v>25</v>
      </c>
      <c r="D158" s="47" t="s">
        <v>581</v>
      </c>
      <c r="E158" s="21" t="s">
        <v>41</v>
      </c>
      <c r="F158" s="47" t="s">
        <v>32</v>
      </c>
      <c r="G158" s="21" t="s">
        <v>653</v>
      </c>
      <c r="H158" s="7" t="s">
        <v>654</v>
      </c>
      <c r="I158" s="8" t="s">
        <v>659</v>
      </c>
      <c r="J158" s="9">
        <v>4158000</v>
      </c>
      <c r="K158" s="8"/>
      <c r="L158" s="42">
        <f t="shared" si="44"/>
        <v>6237000</v>
      </c>
      <c r="M158" s="8"/>
      <c r="N158" s="42">
        <f t="shared" si="39"/>
        <v>6237000</v>
      </c>
      <c r="O158" s="42"/>
      <c r="P158" s="42">
        <f t="shared" si="47"/>
        <v>6237000</v>
      </c>
      <c r="Q158" s="42">
        <f t="shared" si="32"/>
        <v>6237000</v>
      </c>
      <c r="R158" s="5"/>
    </row>
    <row r="159" spans="1:18" ht="13.5" x14ac:dyDescent="0.2">
      <c r="A159" s="47" t="s">
        <v>23</v>
      </c>
      <c r="B159" s="47" t="s">
        <v>24</v>
      </c>
      <c r="C159" s="21" t="s">
        <v>25</v>
      </c>
      <c r="D159" s="47" t="s">
        <v>581</v>
      </c>
      <c r="E159" s="21" t="s">
        <v>41</v>
      </c>
      <c r="F159" s="47" t="s">
        <v>32</v>
      </c>
      <c r="G159" s="21" t="s">
        <v>653</v>
      </c>
      <c r="H159" s="7" t="s">
        <v>654</v>
      </c>
      <c r="I159" s="8" t="s">
        <v>669</v>
      </c>
      <c r="J159" s="9">
        <v>25584000</v>
      </c>
      <c r="K159" s="8"/>
      <c r="L159" s="42">
        <f t="shared" si="44"/>
        <v>38376000</v>
      </c>
      <c r="M159" s="8"/>
      <c r="N159" s="42">
        <f t="shared" si="39"/>
        <v>38376000</v>
      </c>
      <c r="O159" s="42"/>
      <c r="P159" s="42">
        <f t="shared" si="47"/>
        <v>38376000</v>
      </c>
      <c r="Q159" s="42">
        <f t="shared" si="32"/>
        <v>38376000</v>
      </c>
      <c r="R159" s="5"/>
    </row>
    <row r="160" spans="1:18" ht="13.5" x14ac:dyDescent="0.2">
      <c r="A160" s="47" t="s">
        <v>23</v>
      </c>
      <c r="B160" s="47" t="s">
        <v>24</v>
      </c>
      <c r="C160" s="21" t="s">
        <v>25</v>
      </c>
      <c r="D160" s="47" t="s">
        <v>581</v>
      </c>
      <c r="E160" s="21" t="s">
        <v>57</v>
      </c>
      <c r="F160" s="47" t="s">
        <v>32</v>
      </c>
      <c r="G160" s="21" t="s">
        <v>582</v>
      </c>
      <c r="H160" s="7" t="s">
        <v>583</v>
      </c>
      <c r="I160" s="8" t="s">
        <v>592</v>
      </c>
      <c r="J160" s="9">
        <v>4383300</v>
      </c>
      <c r="K160" s="8"/>
      <c r="L160" s="42">
        <f t="shared" si="44"/>
        <v>6574950</v>
      </c>
      <c r="M160" s="8"/>
      <c r="N160" s="42">
        <f t="shared" si="39"/>
        <v>6574950</v>
      </c>
      <c r="O160" s="42"/>
      <c r="P160" s="42">
        <f t="shared" si="47"/>
        <v>6574950</v>
      </c>
      <c r="Q160" s="42">
        <f t="shared" si="32"/>
        <v>6574950</v>
      </c>
      <c r="R160" s="5"/>
    </row>
    <row r="161" spans="1:18" ht="13.5" x14ac:dyDescent="0.2">
      <c r="A161" s="47" t="s">
        <v>23</v>
      </c>
      <c r="B161" s="47" t="s">
        <v>24</v>
      </c>
      <c r="C161" s="21" t="s">
        <v>25</v>
      </c>
      <c r="D161" s="47" t="s">
        <v>581</v>
      </c>
      <c r="E161" s="21" t="s">
        <v>57</v>
      </c>
      <c r="F161" s="47" t="s">
        <v>32</v>
      </c>
      <c r="G161" s="21" t="s">
        <v>606</v>
      </c>
      <c r="H161" s="7" t="s">
        <v>607</v>
      </c>
      <c r="I161" s="8" t="s">
        <v>629</v>
      </c>
      <c r="J161" s="9">
        <v>6531000</v>
      </c>
      <c r="K161" s="8"/>
      <c r="L161" s="42">
        <f t="shared" si="44"/>
        <v>9796500</v>
      </c>
      <c r="M161" s="8"/>
      <c r="N161" s="42">
        <f t="shared" si="39"/>
        <v>9796500</v>
      </c>
      <c r="O161" s="42">
        <f>N161*1.5</f>
        <v>14694750</v>
      </c>
      <c r="P161" s="42"/>
      <c r="Q161" s="42">
        <f t="shared" si="32"/>
        <v>14694750</v>
      </c>
    </row>
    <row r="162" spans="1:18" ht="13.5" x14ac:dyDescent="0.2">
      <c r="A162" s="47" t="s">
        <v>23</v>
      </c>
      <c r="B162" s="47" t="s">
        <v>24</v>
      </c>
      <c r="C162" s="21" t="s">
        <v>25</v>
      </c>
      <c r="D162" s="47" t="s">
        <v>581</v>
      </c>
      <c r="E162" s="21" t="s">
        <v>57</v>
      </c>
      <c r="F162" s="47" t="s">
        <v>32</v>
      </c>
      <c r="G162" s="21" t="s">
        <v>606</v>
      </c>
      <c r="H162" s="7" t="s">
        <v>607</v>
      </c>
      <c r="I162" s="8" t="s">
        <v>608</v>
      </c>
      <c r="J162" s="9">
        <v>3746800</v>
      </c>
      <c r="K162" s="8"/>
      <c r="L162" s="42">
        <f t="shared" si="44"/>
        <v>5620200</v>
      </c>
      <c r="M162" s="8"/>
      <c r="N162" s="42">
        <f t="shared" si="39"/>
        <v>5620200</v>
      </c>
      <c r="O162" s="42"/>
      <c r="P162" s="42">
        <f t="shared" ref="P162:P165" si="48">N162</f>
        <v>5620200</v>
      </c>
      <c r="Q162" s="42">
        <f t="shared" si="32"/>
        <v>5620200</v>
      </c>
      <c r="R162" s="5"/>
    </row>
    <row r="163" spans="1:18" ht="13.5" x14ac:dyDescent="0.2">
      <c r="A163" s="47" t="s">
        <v>23</v>
      </c>
      <c r="B163" s="47" t="s">
        <v>24</v>
      </c>
      <c r="C163" s="21" t="s">
        <v>25</v>
      </c>
      <c r="D163" s="47" t="s">
        <v>581</v>
      </c>
      <c r="E163" s="21" t="s">
        <v>610</v>
      </c>
      <c r="F163" s="47" t="s">
        <v>611</v>
      </c>
      <c r="G163" s="21" t="s">
        <v>606</v>
      </c>
      <c r="H163" s="7" t="s">
        <v>607</v>
      </c>
      <c r="I163" s="8" t="s">
        <v>613</v>
      </c>
      <c r="J163" s="9">
        <v>198000</v>
      </c>
      <c r="K163" s="8"/>
      <c r="L163" s="8"/>
      <c r="M163" s="8"/>
      <c r="N163" s="42">
        <f t="shared" ref="N163:N173" si="49">J163</f>
        <v>198000</v>
      </c>
      <c r="O163" s="42"/>
      <c r="P163" s="42">
        <f t="shared" si="48"/>
        <v>198000</v>
      </c>
      <c r="Q163" s="42">
        <f t="shared" si="32"/>
        <v>198000</v>
      </c>
      <c r="R163" s="5"/>
    </row>
    <row r="164" spans="1:18" ht="13.5" x14ac:dyDescent="0.2">
      <c r="A164" s="47" t="s">
        <v>23</v>
      </c>
      <c r="B164" s="47" t="s">
        <v>24</v>
      </c>
      <c r="C164" s="21" t="s">
        <v>25</v>
      </c>
      <c r="D164" s="47" t="s">
        <v>671</v>
      </c>
      <c r="E164" s="21" t="s">
        <v>211</v>
      </c>
      <c r="F164" s="47" t="s">
        <v>212</v>
      </c>
      <c r="G164" s="21" t="s">
        <v>672</v>
      </c>
      <c r="H164" s="7" t="s">
        <v>673</v>
      </c>
      <c r="I164" s="8" t="s">
        <v>698</v>
      </c>
      <c r="J164" s="9">
        <v>4959600</v>
      </c>
      <c r="K164" s="8"/>
      <c r="L164" s="8"/>
      <c r="M164" s="8"/>
      <c r="N164" s="42">
        <f t="shared" si="49"/>
        <v>4959600</v>
      </c>
      <c r="O164" s="42"/>
      <c r="P164" s="42">
        <f t="shared" si="48"/>
        <v>4959600</v>
      </c>
      <c r="Q164" s="42">
        <f t="shared" ref="Q164:Q165" si="50">SUM(O164:P164)</f>
        <v>4959600</v>
      </c>
      <c r="R164" s="5"/>
    </row>
    <row r="165" spans="1:18" ht="13.5" x14ac:dyDescent="0.2">
      <c r="A165" s="47" t="s">
        <v>23</v>
      </c>
      <c r="B165" s="47" t="s">
        <v>24</v>
      </c>
      <c r="C165" s="21" t="s">
        <v>25</v>
      </c>
      <c r="D165" s="47" t="s">
        <v>671</v>
      </c>
      <c r="E165" s="21" t="s">
        <v>128</v>
      </c>
      <c r="F165" s="47" t="s">
        <v>135</v>
      </c>
      <c r="G165" s="21" t="s">
        <v>707</v>
      </c>
      <c r="H165" s="7" t="s">
        <v>708</v>
      </c>
      <c r="I165" s="8" t="s">
        <v>709</v>
      </c>
      <c r="J165" s="9">
        <v>825100</v>
      </c>
      <c r="K165" s="8"/>
      <c r="L165" s="8"/>
      <c r="M165" s="8"/>
      <c r="N165" s="42">
        <f t="shared" si="49"/>
        <v>825100</v>
      </c>
      <c r="O165" s="42"/>
      <c r="P165" s="42">
        <f t="shared" si="48"/>
        <v>825100</v>
      </c>
      <c r="Q165" s="42">
        <f t="shared" si="50"/>
        <v>825100</v>
      </c>
      <c r="R165" s="5"/>
    </row>
    <row r="166" spans="1:18" ht="13.5" hidden="1" x14ac:dyDescent="0.2">
      <c r="A166" s="12" t="s">
        <v>23</v>
      </c>
      <c r="B166" s="12" t="s">
        <v>24</v>
      </c>
      <c r="C166" s="13" t="s">
        <v>25</v>
      </c>
      <c r="D166" s="12" t="s">
        <v>671</v>
      </c>
      <c r="E166" s="13" t="s">
        <v>128</v>
      </c>
      <c r="F166" s="12" t="s">
        <v>181</v>
      </c>
      <c r="G166" s="13" t="s">
        <v>749</v>
      </c>
      <c r="H166" s="12" t="s">
        <v>750</v>
      </c>
      <c r="I166" s="13" t="s">
        <v>777</v>
      </c>
      <c r="J166" s="14" t="s">
        <v>3946</v>
      </c>
      <c r="K166" s="18"/>
      <c r="L166" s="18"/>
      <c r="M166" s="18"/>
      <c r="N166" s="20" t="str">
        <f t="shared" si="49"/>
        <v>-</v>
      </c>
      <c r="O166"/>
      <c r="P166"/>
    </row>
    <row r="167" spans="1:18" ht="13.5" hidden="1" x14ac:dyDescent="0.2">
      <c r="A167" s="7" t="s">
        <v>23</v>
      </c>
      <c r="B167" s="7" t="s">
        <v>24</v>
      </c>
      <c r="C167" s="8" t="s">
        <v>25</v>
      </c>
      <c r="D167" s="7" t="s">
        <v>671</v>
      </c>
      <c r="E167" s="8" t="s">
        <v>128</v>
      </c>
      <c r="F167" s="7" t="s">
        <v>181</v>
      </c>
      <c r="G167" s="8" t="s">
        <v>749</v>
      </c>
      <c r="H167" s="7" t="s">
        <v>750</v>
      </c>
      <c r="I167" s="8" t="s">
        <v>779</v>
      </c>
      <c r="J167" s="9" t="s">
        <v>3946</v>
      </c>
      <c r="K167" s="15"/>
      <c r="L167" s="15"/>
      <c r="M167" s="15"/>
      <c r="N167" s="16" t="str">
        <f t="shared" si="49"/>
        <v>-</v>
      </c>
      <c r="O167"/>
      <c r="P167"/>
    </row>
    <row r="168" spans="1:18" ht="13.5" x14ac:dyDescent="0.2">
      <c r="A168" s="47" t="s">
        <v>23</v>
      </c>
      <c r="B168" s="47" t="s">
        <v>24</v>
      </c>
      <c r="C168" s="21" t="s">
        <v>25</v>
      </c>
      <c r="D168" s="47" t="s">
        <v>671</v>
      </c>
      <c r="E168" s="21" t="s">
        <v>31</v>
      </c>
      <c r="F168" s="47" t="s">
        <v>32</v>
      </c>
      <c r="G168" s="21" t="s">
        <v>672</v>
      </c>
      <c r="H168" s="7" t="s">
        <v>673</v>
      </c>
      <c r="I168" s="8" t="s">
        <v>684</v>
      </c>
      <c r="J168" s="9">
        <v>2008800</v>
      </c>
      <c r="K168" s="8"/>
      <c r="L168" s="8"/>
      <c r="M168" s="8"/>
      <c r="N168" s="42">
        <f t="shared" si="49"/>
        <v>2008800</v>
      </c>
      <c r="O168" s="42"/>
      <c r="P168" s="42">
        <f t="shared" ref="P168:P169" si="51">N168</f>
        <v>2008800</v>
      </c>
      <c r="Q168" s="42">
        <f t="shared" ref="Q168:Q191" si="52">SUM(O168:P168)</f>
        <v>2008800</v>
      </c>
      <c r="R168" s="5"/>
    </row>
    <row r="169" spans="1:18" ht="13.5" x14ac:dyDescent="0.2">
      <c r="A169" s="47" t="s">
        <v>23</v>
      </c>
      <c r="B169" s="47" t="s">
        <v>24</v>
      </c>
      <c r="C169" s="21" t="s">
        <v>25</v>
      </c>
      <c r="D169" s="47" t="s">
        <v>671</v>
      </c>
      <c r="E169" s="21" t="s">
        <v>31</v>
      </c>
      <c r="F169" s="47" t="s">
        <v>32</v>
      </c>
      <c r="G169" s="21" t="s">
        <v>672</v>
      </c>
      <c r="H169" s="7" t="s">
        <v>673</v>
      </c>
      <c r="I169" s="8" t="s">
        <v>680</v>
      </c>
      <c r="J169" s="9">
        <v>2919600</v>
      </c>
      <c r="K169" s="8"/>
      <c r="L169" s="8"/>
      <c r="M169" s="8"/>
      <c r="N169" s="42">
        <f t="shared" si="49"/>
        <v>2919600</v>
      </c>
      <c r="O169" s="42"/>
      <c r="P169" s="42">
        <f t="shared" si="51"/>
        <v>2919600</v>
      </c>
      <c r="Q169" s="42">
        <f t="shared" si="52"/>
        <v>2919600</v>
      </c>
      <c r="R169" s="5"/>
    </row>
    <row r="170" spans="1:18" ht="13.5" x14ac:dyDescent="0.2">
      <c r="A170" s="47" t="s">
        <v>23</v>
      </c>
      <c r="B170" s="47" t="s">
        <v>24</v>
      </c>
      <c r="C170" s="21" t="s">
        <v>25</v>
      </c>
      <c r="D170" s="47" t="s">
        <v>671</v>
      </c>
      <c r="E170" s="21" t="s">
        <v>31</v>
      </c>
      <c r="F170" s="47" t="s">
        <v>32</v>
      </c>
      <c r="G170" s="21" t="s">
        <v>707</v>
      </c>
      <c r="H170" s="7" t="s">
        <v>708</v>
      </c>
      <c r="I170" s="8" t="s">
        <v>717</v>
      </c>
      <c r="J170" s="9">
        <v>1934400</v>
      </c>
      <c r="K170" s="8"/>
      <c r="L170" s="8"/>
      <c r="M170" s="8"/>
      <c r="N170" s="42">
        <f t="shared" si="49"/>
        <v>1934400</v>
      </c>
      <c r="O170" s="42">
        <f t="shared" ref="O170:O171" si="53">N170*1.5</f>
        <v>2901600</v>
      </c>
      <c r="P170" s="42"/>
      <c r="Q170" s="42">
        <f t="shared" si="52"/>
        <v>2901600</v>
      </c>
    </row>
    <row r="171" spans="1:18" ht="13.5" x14ac:dyDescent="0.2">
      <c r="A171" s="47" t="s">
        <v>23</v>
      </c>
      <c r="B171" s="47" t="s">
        <v>24</v>
      </c>
      <c r="C171" s="21" t="s">
        <v>25</v>
      </c>
      <c r="D171" s="47" t="s">
        <v>671</v>
      </c>
      <c r="E171" s="21" t="s">
        <v>31</v>
      </c>
      <c r="F171" s="47" t="s">
        <v>32</v>
      </c>
      <c r="G171" s="21" t="s">
        <v>786</v>
      </c>
      <c r="H171" s="7" t="s">
        <v>787</v>
      </c>
      <c r="I171" s="8" t="s">
        <v>790</v>
      </c>
      <c r="J171" s="9">
        <v>4374000</v>
      </c>
      <c r="K171" s="8"/>
      <c r="L171" s="8"/>
      <c r="M171" s="8"/>
      <c r="N171" s="42">
        <f t="shared" si="49"/>
        <v>4374000</v>
      </c>
      <c r="O171" s="42">
        <f t="shared" si="53"/>
        <v>6561000</v>
      </c>
      <c r="P171" s="42"/>
      <c r="Q171" s="42">
        <f t="shared" si="52"/>
        <v>6561000</v>
      </c>
    </row>
    <row r="172" spans="1:18" ht="13.5" x14ac:dyDescent="0.2">
      <c r="A172" s="47" t="s">
        <v>23</v>
      </c>
      <c r="B172" s="47" t="s">
        <v>24</v>
      </c>
      <c r="C172" s="21" t="s">
        <v>25</v>
      </c>
      <c r="D172" s="47" t="s">
        <v>671</v>
      </c>
      <c r="E172" s="21" t="s">
        <v>31</v>
      </c>
      <c r="F172" s="47" t="s">
        <v>32</v>
      </c>
      <c r="G172" s="21" t="s">
        <v>786</v>
      </c>
      <c r="H172" s="7" t="s">
        <v>787</v>
      </c>
      <c r="I172" s="8" t="s">
        <v>788</v>
      </c>
      <c r="J172" s="9">
        <v>1497000</v>
      </c>
      <c r="K172" s="8"/>
      <c r="L172" s="8"/>
      <c r="M172" s="8"/>
      <c r="N172" s="42">
        <f t="shared" si="49"/>
        <v>1497000</v>
      </c>
      <c r="O172" s="42"/>
      <c r="P172" s="42">
        <f t="shared" ref="P172:P174" si="54">N172</f>
        <v>1497000</v>
      </c>
      <c r="Q172" s="42">
        <f t="shared" si="52"/>
        <v>1497000</v>
      </c>
      <c r="R172" s="5"/>
    </row>
    <row r="173" spans="1:18" ht="13.5" x14ac:dyDescent="0.2">
      <c r="A173" s="47" t="s">
        <v>23</v>
      </c>
      <c r="B173" s="47" t="s">
        <v>24</v>
      </c>
      <c r="C173" s="21" t="s">
        <v>25</v>
      </c>
      <c r="D173" s="47" t="s">
        <v>671</v>
      </c>
      <c r="E173" s="21" t="s">
        <v>31</v>
      </c>
      <c r="F173" s="47" t="s">
        <v>32</v>
      </c>
      <c r="G173" s="21" t="s">
        <v>786</v>
      </c>
      <c r="H173" s="7" t="s">
        <v>787</v>
      </c>
      <c r="I173" s="8" t="s">
        <v>795</v>
      </c>
      <c r="J173" s="9">
        <v>3298000</v>
      </c>
      <c r="K173" s="8"/>
      <c r="L173" s="8"/>
      <c r="M173" s="8"/>
      <c r="N173" s="42">
        <f t="shared" si="49"/>
        <v>3298000</v>
      </c>
      <c r="O173" s="42"/>
      <c r="P173" s="42">
        <f t="shared" si="54"/>
        <v>3298000</v>
      </c>
      <c r="Q173" s="42">
        <f t="shared" si="52"/>
        <v>3298000</v>
      </c>
      <c r="R173" s="5"/>
    </row>
    <row r="174" spans="1:18" ht="13.5" x14ac:dyDescent="0.2">
      <c r="A174" s="47" t="s">
        <v>23</v>
      </c>
      <c r="B174" s="47" t="s">
        <v>24</v>
      </c>
      <c r="C174" s="21" t="s">
        <v>25</v>
      </c>
      <c r="D174" s="47" t="s">
        <v>671</v>
      </c>
      <c r="E174" s="21" t="s">
        <v>41</v>
      </c>
      <c r="F174" s="47" t="s">
        <v>32</v>
      </c>
      <c r="G174" s="21" t="s">
        <v>672</v>
      </c>
      <c r="H174" s="7" t="s">
        <v>673</v>
      </c>
      <c r="I174" s="8" t="s">
        <v>703</v>
      </c>
      <c r="J174" s="9">
        <v>11575300</v>
      </c>
      <c r="K174" s="8"/>
      <c r="L174" s="42">
        <f t="shared" ref="L174:L191" si="55">J174*1.5</f>
        <v>17362950</v>
      </c>
      <c r="M174" s="8"/>
      <c r="N174" s="42">
        <f t="shared" si="39"/>
        <v>17362950</v>
      </c>
      <c r="O174" s="42"/>
      <c r="P174" s="42">
        <f t="shared" si="54"/>
        <v>17362950</v>
      </c>
      <c r="Q174" s="42">
        <f t="shared" si="52"/>
        <v>17362950</v>
      </c>
      <c r="R174" s="5"/>
    </row>
    <row r="175" spans="1:18" ht="13.5" x14ac:dyDescent="0.2">
      <c r="A175" s="47" t="s">
        <v>23</v>
      </c>
      <c r="B175" s="47" t="s">
        <v>24</v>
      </c>
      <c r="C175" s="21" t="s">
        <v>25</v>
      </c>
      <c r="D175" s="47" t="s">
        <v>671</v>
      </c>
      <c r="E175" s="21" t="s">
        <v>41</v>
      </c>
      <c r="F175" s="47" t="s">
        <v>32</v>
      </c>
      <c r="G175" s="21" t="s">
        <v>707</v>
      </c>
      <c r="H175" s="7" t="s">
        <v>708</v>
      </c>
      <c r="I175" s="8" t="s">
        <v>715</v>
      </c>
      <c r="J175" s="9">
        <v>1656600</v>
      </c>
      <c r="K175" s="8"/>
      <c r="L175" s="42">
        <f t="shared" si="55"/>
        <v>2484900</v>
      </c>
      <c r="M175" s="8"/>
      <c r="N175" s="42">
        <f t="shared" si="39"/>
        <v>2484900</v>
      </c>
      <c r="O175" s="42">
        <f>N175*1.5</f>
        <v>3727350</v>
      </c>
      <c r="P175" s="42"/>
      <c r="Q175" s="42">
        <f t="shared" si="52"/>
        <v>3727350</v>
      </c>
    </row>
    <row r="176" spans="1:18" ht="13.5" x14ac:dyDescent="0.2">
      <c r="A176" s="47" t="s">
        <v>23</v>
      </c>
      <c r="B176" s="47" t="s">
        <v>24</v>
      </c>
      <c r="C176" s="21" t="s">
        <v>25</v>
      </c>
      <c r="D176" s="47" t="s">
        <v>671</v>
      </c>
      <c r="E176" s="21" t="s">
        <v>41</v>
      </c>
      <c r="F176" s="47" t="s">
        <v>32</v>
      </c>
      <c r="G176" s="21" t="s">
        <v>707</v>
      </c>
      <c r="H176" s="7" t="s">
        <v>708</v>
      </c>
      <c r="I176" s="8" t="s">
        <v>713</v>
      </c>
      <c r="J176" s="9">
        <v>1149900</v>
      </c>
      <c r="K176" s="8"/>
      <c r="L176" s="42">
        <f t="shared" si="55"/>
        <v>1724850</v>
      </c>
      <c r="M176" s="8"/>
      <c r="N176" s="42">
        <f t="shared" si="39"/>
        <v>1724850</v>
      </c>
      <c r="O176" s="42"/>
      <c r="P176" s="42">
        <f t="shared" ref="P176:P178" si="56">N176</f>
        <v>1724850</v>
      </c>
      <c r="Q176" s="42">
        <f t="shared" si="52"/>
        <v>1724850</v>
      </c>
      <c r="R176" s="5"/>
    </row>
    <row r="177" spans="1:18" ht="13.5" x14ac:dyDescent="0.2">
      <c r="A177" s="47" t="s">
        <v>23</v>
      </c>
      <c r="B177" s="47" t="s">
        <v>24</v>
      </c>
      <c r="C177" s="21" t="s">
        <v>25</v>
      </c>
      <c r="D177" s="47" t="s">
        <v>671</v>
      </c>
      <c r="E177" s="21" t="s">
        <v>41</v>
      </c>
      <c r="F177" s="47" t="s">
        <v>32</v>
      </c>
      <c r="G177" s="21" t="s">
        <v>721</v>
      </c>
      <c r="H177" s="7" t="s">
        <v>722</v>
      </c>
      <c r="I177" s="8" t="s">
        <v>731</v>
      </c>
      <c r="J177" s="9">
        <v>1138400</v>
      </c>
      <c r="K177" s="8"/>
      <c r="L177" s="42">
        <f t="shared" si="55"/>
        <v>1707600</v>
      </c>
      <c r="M177" s="8"/>
      <c r="N177" s="42">
        <f t="shared" si="39"/>
        <v>1707600</v>
      </c>
      <c r="O177" s="42"/>
      <c r="P177" s="42">
        <f t="shared" si="56"/>
        <v>1707600</v>
      </c>
      <c r="Q177" s="42">
        <f t="shared" si="52"/>
        <v>1707600</v>
      </c>
      <c r="R177" s="5"/>
    </row>
    <row r="178" spans="1:18" ht="13.5" x14ac:dyDescent="0.2">
      <c r="A178" s="47" t="s">
        <v>23</v>
      </c>
      <c r="B178" s="47" t="s">
        <v>24</v>
      </c>
      <c r="C178" s="21" t="s">
        <v>25</v>
      </c>
      <c r="D178" s="47" t="s">
        <v>671</v>
      </c>
      <c r="E178" s="21" t="s">
        <v>41</v>
      </c>
      <c r="F178" s="47" t="s">
        <v>32</v>
      </c>
      <c r="G178" s="21" t="s">
        <v>721</v>
      </c>
      <c r="H178" s="7" t="s">
        <v>722</v>
      </c>
      <c r="I178" s="8" t="s">
        <v>723</v>
      </c>
      <c r="J178" s="9">
        <v>2587400</v>
      </c>
      <c r="K178" s="8"/>
      <c r="L178" s="42">
        <f t="shared" si="55"/>
        <v>3881100</v>
      </c>
      <c r="M178" s="8"/>
      <c r="N178" s="42">
        <f t="shared" si="39"/>
        <v>3881100</v>
      </c>
      <c r="O178" s="42"/>
      <c r="P178" s="42">
        <f t="shared" si="56"/>
        <v>3881100</v>
      </c>
      <c r="Q178" s="42">
        <f t="shared" si="52"/>
        <v>3881100</v>
      </c>
      <c r="R178" s="5"/>
    </row>
    <row r="179" spans="1:18" ht="13.5" x14ac:dyDescent="0.2">
      <c r="A179" s="47" t="s">
        <v>23</v>
      </c>
      <c r="B179" s="47" t="s">
        <v>24</v>
      </c>
      <c r="C179" s="21" t="s">
        <v>25</v>
      </c>
      <c r="D179" s="47" t="s">
        <v>671</v>
      </c>
      <c r="E179" s="21" t="s">
        <v>41</v>
      </c>
      <c r="F179" s="47" t="s">
        <v>32</v>
      </c>
      <c r="G179" s="21" t="s">
        <v>721</v>
      </c>
      <c r="H179" s="7" t="s">
        <v>722</v>
      </c>
      <c r="I179" s="8" t="s">
        <v>733</v>
      </c>
      <c r="J179" s="9">
        <v>4272000</v>
      </c>
      <c r="K179" s="8"/>
      <c r="L179" s="42">
        <f t="shared" si="55"/>
        <v>6408000</v>
      </c>
      <c r="M179" s="8"/>
      <c r="N179" s="42">
        <f t="shared" si="39"/>
        <v>6408000</v>
      </c>
      <c r="O179" s="42">
        <f>N179*1.5</f>
        <v>9612000</v>
      </c>
      <c r="P179" s="42"/>
      <c r="Q179" s="42">
        <f t="shared" si="52"/>
        <v>9612000</v>
      </c>
    </row>
    <row r="180" spans="1:18" ht="13.5" x14ac:dyDescent="0.2">
      <c r="A180" s="47" t="s">
        <v>23</v>
      </c>
      <c r="B180" s="47" t="s">
        <v>24</v>
      </c>
      <c r="C180" s="21" t="s">
        <v>25</v>
      </c>
      <c r="D180" s="47" t="s">
        <v>671</v>
      </c>
      <c r="E180" s="21" t="s">
        <v>41</v>
      </c>
      <c r="F180" s="47" t="s">
        <v>32</v>
      </c>
      <c r="G180" s="21" t="s">
        <v>721</v>
      </c>
      <c r="H180" s="7" t="s">
        <v>722</v>
      </c>
      <c r="I180" s="8" t="s">
        <v>725</v>
      </c>
      <c r="J180" s="9">
        <v>3998000</v>
      </c>
      <c r="K180" s="8"/>
      <c r="L180" s="42">
        <f t="shared" si="55"/>
        <v>5997000</v>
      </c>
      <c r="M180" s="8"/>
      <c r="N180" s="42">
        <f t="shared" si="39"/>
        <v>5997000</v>
      </c>
      <c r="O180" s="42"/>
      <c r="P180" s="42">
        <f>N180</f>
        <v>5997000</v>
      </c>
      <c r="Q180" s="42">
        <f t="shared" si="52"/>
        <v>5997000</v>
      </c>
      <c r="R180" s="5"/>
    </row>
    <row r="181" spans="1:18" ht="13.5" x14ac:dyDescent="0.2">
      <c r="A181" s="47" t="s">
        <v>23</v>
      </c>
      <c r="B181" s="47" t="s">
        <v>24</v>
      </c>
      <c r="C181" s="21" t="s">
        <v>25</v>
      </c>
      <c r="D181" s="47" t="s">
        <v>671</v>
      </c>
      <c r="E181" s="21" t="s">
        <v>41</v>
      </c>
      <c r="F181" s="47" t="s">
        <v>32</v>
      </c>
      <c r="G181" s="21" t="s">
        <v>735</v>
      </c>
      <c r="H181" s="7" t="s">
        <v>736</v>
      </c>
      <c r="I181" s="8" t="s">
        <v>746</v>
      </c>
      <c r="J181" s="9">
        <v>17056000</v>
      </c>
      <c r="K181" s="8"/>
      <c r="L181" s="42">
        <f t="shared" si="55"/>
        <v>25584000</v>
      </c>
      <c r="M181" s="8"/>
      <c r="N181" s="42">
        <f t="shared" si="39"/>
        <v>25584000</v>
      </c>
      <c r="O181" s="42">
        <f t="shared" ref="O181:O182" si="57">N181*1.5</f>
        <v>38376000</v>
      </c>
      <c r="P181" s="42"/>
      <c r="Q181" s="42">
        <f t="shared" si="52"/>
        <v>38376000</v>
      </c>
    </row>
    <row r="182" spans="1:18" ht="13.5" x14ac:dyDescent="0.2">
      <c r="A182" s="47" t="s">
        <v>23</v>
      </c>
      <c r="B182" s="47" t="s">
        <v>24</v>
      </c>
      <c r="C182" s="21" t="s">
        <v>25</v>
      </c>
      <c r="D182" s="47" t="s">
        <v>671</v>
      </c>
      <c r="E182" s="21" t="s">
        <v>41</v>
      </c>
      <c r="F182" s="47" t="s">
        <v>32</v>
      </c>
      <c r="G182" s="21" t="s">
        <v>735</v>
      </c>
      <c r="H182" s="7" t="s">
        <v>736</v>
      </c>
      <c r="I182" s="8" t="s">
        <v>635</v>
      </c>
      <c r="J182" s="9">
        <v>2398000</v>
      </c>
      <c r="K182" s="8"/>
      <c r="L182" s="42">
        <f t="shared" si="55"/>
        <v>3597000</v>
      </c>
      <c r="M182" s="8"/>
      <c r="N182" s="42">
        <f t="shared" si="39"/>
        <v>3597000</v>
      </c>
      <c r="O182" s="42">
        <f t="shared" si="57"/>
        <v>5395500</v>
      </c>
      <c r="P182" s="42"/>
      <c r="Q182" s="42">
        <f t="shared" si="52"/>
        <v>5395500</v>
      </c>
    </row>
    <row r="183" spans="1:18" ht="13.5" x14ac:dyDescent="0.2">
      <c r="A183" s="47" t="s">
        <v>23</v>
      </c>
      <c r="B183" s="47" t="s">
        <v>24</v>
      </c>
      <c r="C183" s="21" t="s">
        <v>25</v>
      </c>
      <c r="D183" s="47" t="s">
        <v>671</v>
      </c>
      <c r="E183" s="21" t="s">
        <v>41</v>
      </c>
      <c r="F183" s="47" t="s">
        <v>32</v>
      </c>
      <c r="G183" s="21" t="s">
        <v>735</v>
      </c>
      <c r="H183" s="7" t="s">
        <v>736</v>
      </c>
      <c r="I183" s="8" t="s">
        <v>737</v>
      </c>
      <c r="J183" s="9">
        <v>8610000</v>
      </c>
      <c r="K183" s="8"/>
      <c r="L183" s="42">
        <f t="shared" si="55"/>
        <v>12915000</v>
      </c>
      <c r="M183" s="8"/>
      <c r="N183" s="42">
        <f t="shared" si="39"/>
        <v>12915000</v>
      </c>
      <c r="O183" s="42"/>
      <c r="P183" s="42">
        <f>N183</f>
        <v>12915000</v>
      </c>
      <c r="Q183" s="42">
        <f t="shared" si="52"/>
        <v>12915000</v>
      </c>
      <c r="R183" s="5"/>
    </row>
    <row r="184" spans="1:18" ht="13.5" x14ac:dyDescent="0.2">
      <c r="A184" s="47" t="s">
        <v>23</v>
      </c>
      <c r="B184" s="47" t="s">
        <v>24</v>
      </c>
      <c r="C184" s="21" t="s">
        <v>25</v>
      </c>
      <c r="D184" s="47" t="s">
        <v>671</v>
      </c>
      <c r="E184" s="21" t="s">
        <v>41</v>
      </c>
      <c r="F184" s="47" t="s">
        <v>32</v>
      </c>
      <c r="G184" s="21" t="s">
        <v>749</v>
      </c>
      <c r="H184" s="7" t="s">
        <v>750</v>
      </c>
      <c r="I184" s="8" t="s">
        <v>773</v>
      </c>
      <c r="J184" s="9">
        <v>2898000</v>
      </c>
      <c r="K184" s="8"/>
      <c r="L184" s="42">
        <f t="shared" si="55"/>
        <v>4347000</v>
      </c>
      <c r="M184" s="8"/>
      <c r="N184" s="42">
        <f t="shared" si="39"/>
        <v>4347000</v>
      </c>
      <c r="O184" s="42">
        <f>N184*1.5</f>
        <v>6520500</v>
      </c>
      <c r="P184" s="42"/>
      <c r="Q184" s="42">
        <f t="shared" si="52"/>
        <v>6520500</v>
      </c>
    </row>
    <row r="185" spans="1:18" ht="13.5" x14ac:dyDescent="0.2">
      <c r="A185" s="47" t="s">
        <v>23</v>
      </c>
      <c r="B185" s="47" t="s">
        <v>24</v>
      </c>
      <c r="C185" s="21" t="s">
        <v>25</v>
      </c>
      <c r="D185" s="47" t="s">
        <v>671</v>
      </c>
      <c r="E185" s="21" t="s">
        <v>41</v>
      </c>
      <c r="F185" s="47" t="s">
        <v>32</v>
      </c>
      <c r="G185" s="21" t="s">
        <v>749</v>
      </c>
      <c r="H185" s="7" t="s">
        <v>750</v>
      </c>
      <c r="I185" s="8" t="s">
        <v>751</v>
      </c>
      <c r="J185" s="9">
        <v>1124000</v>
      </c>
      <c r="K185" s="8"/>
      <c r="L185" s="42">
        <f t="shared" si="55"/>
        <v>1686000</v>
      </c>
      <c r="M185" s="8"/>
      <c r="N185" s="42">
        <f t="shared" si="39"/>
        <v>1686000</v>
      </c>
      <c r="O185" s="42"/>
      <c r="P185" s="42">
        <f>N185</f>
        <v>1686000</v>
      </c>
      <c r="Q185" s="42">
        <f t="shared" si="52"/>
        <v>1686000</v>
      </c>
      <c r="R185" s="5"/>
    </row>
    <row r="186" spans="1:18" ht="13.5" x14ac:dyDescent="0.2">
      <c r="A186" s="47" t="s">
        <v>23</v>
      </c>
      <c r="B186" s="47" t="s">
        <v>24</v>
      </c>
      <c r="C186" s="21" t="s">
        <v>25</v>
      </c>
      <c r="D186" s="47" t="s">
        <v>671</v>
      </c>
      <c r="E186" s="21" t="s">
        <v>41</v>
      </c>
      <c r="F186" s="47" t="s">
        <v>32</v>
      </c>
      <c r="G186" s="21" t="s">
        <v>749</v>
      </c>
      <c r="H186" s="7" t="s">
        <v>750</v>
      </c>
      <c r="I186" s="8" t="s">
        <v>775</v>
      </c>
      <c r="J186" s="9">
        <v>3688800</v>
      </c>
      <c r="K186" s="8"/>
      <c r="L186" s="42">
        <f t="shared" si="55"/>
        <v>5533200</v>
      </c>
      <c r="M186" s="8"/>
      <c r="N186" s="42">
        <f t="shared" si="39"/>
        <v>5533200</v>
      </c>
      <c r="O186" s="42">
        <f>N186*1.5</f>
        <v>8299800</v>
      </c>
      <c r="P186" s="42"/>
      <c r="Q186" s="42">
        <f t="shared" si="52"/>
        <v>8299800</v>
      </c>
    </row>
    <row r="187" spans="1:18" ht="13.5" x14ac:dyDescent="0.2">
      <c r="A187" s="47" t="s">
        <v>23</v>
      </c>
      <c r="B187" s="47" t="s">
        <v>24</v>
      </c>
      <c r="C187" s="21" t="s">
        <v>25</v>
      </c>
      <c r="D187" s="47" t="s">
        <v>671</v>
      </c>
      <c r="E187" s="21" t="s">
        <v>41</v>
      </c>
      <c r="F187" s="47" t="s">
        <v>32</v>
      </c>
      <c r="G187" s="21" t="s">
        <v>749</v>
      </c>
      <c r="H187" s="7" t="s">
        <v>750</v>
      </c>
      <c r="I187" s="8" t="s">
        <v>781</v>
      </c>
      <c r="J187" s="9">
        <v>8514000</v>
      </c>
      <c r="K187" s="8"/>
      <c r="L187" s="42">
        <f t="shared" si="55"/>
        <v>12771000</v>
      </c>
      <c r="M187" s="8"/>
      <c r="N187" s="42">
        <f t="shared" si="39"/>
        <v>12771000</v>
      </c>
      <c r="O187" s="42"/>
      <c r="P187" s="42">
        <f t="shared" ref="P187:P188" si="58">N187</f>
        <v>12771000</v>
      </c>
      <c r="Q187" s="42">
        <f t="shared" si="52"/>
        <v>12771000</v>
      </c>
      <c r="R187" s="5"/>
    </row>
    <row r="188" spans="1:18" ht="13.5" x14ac:dyDescent="0.2">
      <c r="A188" s="47" t="s">
        <v>23</v>
      </c>
      <c r="B188" s="47" t="s">
        <v>24</v>
      </c>
      <c r="C188" s="21" t="s">
        <v>25</v>
      </c>
      <c r="D188" s="47" t="s">
        <v>671</v>
      </c>
      <c r="E188" s="21" t="s">
        <v>41</v>
      </c>
      <c r="F188" s="47" t="s">
        <v>32</v>
      </c>
      <c r="G188" s="21" t="s">
        <v>749</v>
      </c>
      <c r="H188" s="7" t="s">
        <v>750</v>
      </c>
      <c r="I188" s="8" t="s">
        <v>784</v>
      </c>
      <c r="J188" s="9">
        <v>6196000</v>
      </c>
      <c r="K188" s="8"/>
      <c r="L188" s="42">
        <f t="shared" si="55"/>
        <v>9294000</v>
      </c>
      <c r="M188" s="8"/>
      <c r="N188" s="42">
        <f t="shared" si="39"/>
        <v>9294000</v>
      </c>
      <c r="O188" s="42"/>
      <c r="P188" s="42">
        <f t="shared" si="58"/>
        <v>9294000</v>
      </c>
      <c r="Q188" s="42">
        <f t="shared" si="52"/>
        <v>9294000</v>
      </c>
      <c r="R188" s="5"/>
    </row>
    <row r="189" spans="1:18" ht="13.5" x14ac:dyDescent="0.2">
      <c r="A189" s="47" t="s">
        <v>23</v>
      </c>
      <c r="B189" s="47" t="s">
        <v>24</v>
      </c>
      <c r="C189" s="21" t="s">
        <v>25</v>
      </c>
      <c r="D189" s="47" t="s">
        <v>671</v>
      </c>
      <c r="E189" s="21" t="s">
        <v>41</v>
      </c>
      <c r="F189" s="47" t="s">
        <v>32</v>
      </c>
      <c r="G189" s="21" t="s">
        <v>749</v>
      </c>
      <c r="H189" s="7" t="s">
        <v>750</v>
      </c>
      <c r="I189" s="8" t="s">
        <v>767</v>
      </c>
      <c r="J189" s="9">
        <v>5355000</v>
      </c>
      <c r="K189" s="8"/>
      <c r="L189" s="42">
        <f t="shared" si="55"/>
        <v>8032500</v>
      </c>
      <c r="M189" s="8"/>
      <c r="N189" s="42">
        <f t="shared" si="39"/>
        <v>8032500</v>
      </c>
      <c r="O189" s="42">
        <f t="shared" ref="O189:O190" si="59">N189*1.5</f>
        <v>12048750</v>
      </c>
      <c r="P189" s="42"/>
      <c r="Q189" s="42">
        <f t="shared" si="52"/>
        <v>12048750</v>
      </c>
    </row>
    <row r="190" spans="1:18" ht="13.5" x14ac:dyDescent="0.2">
      <c r="A190" s="47" t="s">
        <v>23</v>
      </c>
      <c r="B190" s="47" t="s">
        <v>24</v>
      </c>
      <c r="C190" s="21" t="s">
        <v>25</v>
      </c>
      <c r="D190" s="47" t="s">
        <v>671</v>
      </c>
      <c r="E190" s="21" t="s">
        <v>41</v>
      </c>
      <c r="F190" s="47" t="s">
        <v>32</v>
      </c>
      <c r="G190" s="21" t="s">
        <v>749</v>
      </c>
      <c r="H190" s="7" t="s">
        <v>750</v>
      </c>
      <c r="I190" s="8" t="s">
        <v>757</v>
      </c>
      <c r="J190" s="9">
        <v>7799400</v>
      </c>
      <c r="K190" s="8"/>
      <c r="L190" s="42">
        <f t="shared" si="55"/>
        <v>11699100</v>
      </c>
      <c r="M190" s="8"/>
      <c r="N190" s="42">
        <f t="shared" si="39"/>
        <v>11699100</v>
      </c>
      <c r="O190" s="42">
        <f t="shared" si="59"/>
        <v>17548650</v>
      </c>
      <c r="P190" s="42"/>
      <c r="Q190" s="42">
        <f t="shared" si="52"/>
        <v>17548650</v>
      </c>
    </row>
    <row r="191" spans="1:18" ht="13.5" x14ac:dyDescent="0.2">
      <c r="A191" s="47" t="s">
        <v>23</v>
      </c>
      <c r="B191" s="47" t="s">
        <v>24</v>
      </c>
      <c r="C191" s="21" t="s">
        <v>25</v>
      </c>
      <c r="D191" s="47" t="s">
        <v>671</v>
      </c>
      <c r="E191" s="21" t="s">
        <v>41</v>
      </c>
      <c r="F191" s="47" t="s">
        <v>32</v>
      </c>
      <c r="G191" s="21" t="s">
        <v>749</v>
      </c>
      <c r="H191" s="7" t="s">
        <v>750</v>
      </c>
      <c r="I191" s="8" t="s">
        <v>769</v>
      </c>
      <c r="J191" s="9">
        <v>2998000</v>
      </c>
      <c r="K191" s="8"/>
      <c r="L191" s="42">
        <f t="shared" si="55"/>
        <v>4497000</v>
      </c>
      <c r="M191" s="8"/>
      <c r="N191" s="42">
        <f t="shared" si="39"/>
        <v>4497000</v>
      </c>
      <c r="O191" s="42"/>
      <c r="P191" s="42">
        <f>N191</f>
        <v>4497000</v>
      </c>
      <c r="Q191" s="42">
        <f t="shared" si="52"/>
        <v>4497000</v>
      </c>
      <c r="R191" s="5"/>
    </row>
    <row r="192" spans="1:18" ht="13.5" hidden="1" x14ac:dyDescent="0.2">
      <c r="A192" s="12" t="s">
        <v>23</v>
      </c>
      <c r="B192" s="12" t="s">
        <v>24</v>
      </c>
      <c r="C192" s="13" t="s">
        <v>25</v>
      </c>
      <c r="D192" s="12" t="s">
        <v>671</v>
      </c>
      <c r="E192" s="13" t="s">
        <v>233</v>
      </c>
      <c r="F192" s="12" t="s">
        <v>181</v>
      </c>
      <c r="G192" s="13" t="s">
        <v>672</v>
      </c>
      <c r="H192" s="12" t="s">
        <v>673</v>
      </c>
      <c r="I192" s="13" t="s">
        <v>694</v>
      </c>
      <c r="J192" s="14" t="s">
        <v>3946</v>
      </c>
      <c r="K192" s="18"/>
      <c r="L192" s="18"/>
      <c r="M192" s="18"/>
      <c r="N192" s="20" t="str">
        <f>J192</f>
        <v>-</v>
      </c>
      <c r="O192"/>
      <c r="P192"/>
    </row>
    <row r="193" spans="1:18" ht="13.5" x14ac:dyDescent="0.2">
      <c r="A193" s="47" t="s">
        <v>23</v>
      </c>
      <c r="B193" s="47" t="s">
        <v>24</v>
      </c>
      <c r="C193" s="21" t="s">
        <v>25</v>
      </c>
      <c r="D193" s="47" t="s">
        <v>671</v>
      </c>
      <c r="E193" s="21" t="s">
        <v>57</v>
      </c>
      <c r="F193" s="47" t="s">
        <v>32</v>
      </c>
      <c r="G193" s="21" t="s">
        <v>672</v>
      </c>
      <c r="H193" s="7" t="s">
        <v>673</v>
      </c>
      <c r="I193" s="8" t="s">
        <v>696</v>
      </c>
      <c r="J193" s="9">
        <v>7996000</v>
      </c>
      <c r="K193" s="8"/>
      <c r="L193" s="42">
        <f t="shared" ref="L193:L194" si="60">J193*1.5</f>
        <v>11994000</v>
      </c>
      <c r="M193" s="8"/>
      <c r="N193" s="42">
        <f t="shared" si="39"/>
        <v>11994000</v>
      </c>
      <c r="O193" s="42"/>
      <c r="P193" s="42">
        <f>N193</f>
        <v>11994000</v>
      </c>
      <c r="Q193" s="42">
        <f t="shared" ref="Q193:Q248" si="61">SUM(O193:P193)</f>
        <v>11994000</v>
      </c>
      <c r="R193" s="5"/>
    </row>
    <row r="194" spans="1:18" ht="13.5" x14ac:dyDescent="0.2">
      <c r="A194" s="47" t="s">
        <v>23</v>
      </c>
      <c r="B194" s="47" t="s">
        <v>24</v>
      </c>
      <c r="C194" s="21" t="s">
        <v>25</v>
      </c>
      <c r="D194" s="47" t="s">
        <v>671</v>
      </c>
      <c r="E194" s="21" t="s">
        <v>57</v>
      </c>
      <c r="F194" s="47" t="s">
        <v>32</v>
      </c>
      <c r="G194" s="21" t="s">
        <v>735</v>
      </c>
      <c r="H194" s="7" t="s">
        <v>736</v>
      </c>
      <c r="I194" s="8" t="s">
        <v>739</v>
      </c>
      <c r="J194" s="9">
        <v>25398000</v>
      </c>
      <c r="K194" s="8"/>
      <c r="L194" s="42">
        <f t="shared" si="60"/>
        <v>38097000</v>
      </c>
      <c r="M194" s="8"/>
      <c r="N194" s="42">
        <f t="shared" si="39"/>
        <v>38097000</v>
      </c>
      <c r="O194" s="42">
        <f>N194*1.5</f>
        <v>57145500</v>
      </c>
      <c r="P194" s="42"/>
      <c r="Q194" s="42">
        <f t="shared" si="61"/>
        <v>57145500</v>
      </c>
    </row>
    <row r="195" spans="1:18" ht="13.5" x14ac:dyDescent="0.2">
      <c r="A195" s="47" t="s">
        <v>23</v>
      </c>
      <c r="B195" s="47" t="s">
        <v>24</v>
      </c>
      <c r="C195" s="21" t="s">
        <v>25</v>
      </c>
      <c r="D195" s="47" t="s">
        <v>797</v>
      </c>
      <c r="E195" s="21" t="s">
        <v>211</v>
      </c>
      <c r="F195" s="47" t="s">
        <v>212</v>
      </c>
      <c r="G195" s="21" t="s">
        <v>808</v>
      </c>
      <c r="H195" s="7" t="s">
        <v>809</v>
      </c>
      <c r="I195" s="8" t="s">
        <v>814</v>
      </c>
      <c r="J195" s="9">
        <v>1280000</v>
      </c>
      <c r="K195" s="8"/>
      <c r="L195" s="8"/>
      <c r="M195" s="8"/>
      <c r="N195" s="42">
        <f t="shared" ref="N195:N211" si="62">J195</f>
        <v>1280000</v>
      </c>
      <c r="O195" s="42"/>
      <c r="P195" s="42">
        <f t="shared" ref="P195:P196" si="63">N195</f>
        <v>1280000</v>
      </c>
      <c r="Q195" s="42">
        <f t="shared" si="61"/>
        <v>1280000</v>
      </c>
      <c r="R195" s="5"/>
    </row>
    <row r="196" spans="1:18" ht="13.5" x14ac:dyDescent="0.2">
      <c r="A196" s="47" t="s">
        <v>23</v>
      </c>
      <c r="B196" s="47" t="s">
        <v>24</v>
      </c>
      <c r="C196" s="21" t="s">
        <v>25</v>
      </c>
      <c r="D196" s="47" t="s">
        <v>797</v>
      </c>
      <c r="E196" s="21" t="s">
        <v>107</v>
      </c>
      <c r="F196" s="47" t="s">
        <v>32</v>
      </c>
      <c r="G196" s="21" t="s">
        <v>798</v>
      </c>
      <c r="H196" s="7" t="s">
        <v>799</v>
      </c>
      <c r="I196" s="8" t="s">
        <v>806</v>
      </c>
      <c r="J196" s="9">
        <v>2340000</v>
      </c>
      <c r="K196" s="8"/>
      <c r="L196" s="8"/>
      <c r="M196" s="8"/>
      <c r="N196" s="42">
        <f t="shared" si="62"/>
        <v>2340000</v>
      </c>
      <c r="O196" s="42"/>
      <c r="P196" s="42">
        <f t="shared" si="63"/>
        <v>2340000</v>
      </c>
      <c r="Q196" s="42">
        <f t="shared" si="61"/>
        <v>2340000</v>
      </c>
      <c r="R196" s="5"/>
    </row>
    <row r="197" spans="1:18" ht="13.5" x14ac:dyDescent="0.2">
      <c r="A197" s="47" t="s">
        <v>23</v>
      </c>
      <c r="B197" s="47" t="s">
        <v>24</v>
      </c>
      <c r="C197" s="21" t="s">
        <v>25</v>
      </c>
      <c r="D197" s="47" t="s">
        <v>797</v>
      </c>
      <c r="E197" s="21" t="s">
        <v>107</v>
      </c>
      <c r="F197" s="47" t="s">
        <v>32</v>
      </c>
      <c r="G197" s="21" t="s">
        <v>808</v>
      </c>
      <c r="H197" s="7" t="s">
        <v>809</v>
      </c>
      <c r="I197" s="8" t="s">
        <v>810</v>
      </c>
      <c r="J197" s="9">
        <v>1560000</v>
      </c>
      <c r="K197" s="8"/>
      <c r="L197" s="8"/>
      <c r="M197" s="8"/>
      <c r="N197" s="42">
        <f t="shared" si="62"/>
        <v>1560000</v>
      </c>
      <c r="O197" s="42">
        <f>N197*1.5</f>
        <v>2340000</v>
      </c>
      <c r="P197" s="42"/>
      <c r="Q197" s="42">
        <f t="shared" si="61"/>
        <v>2340000</v>
      </c>
    </row>
    <row r="198" spans="1:18" ht="13.5" x14ac:dyDescent="0.2">
      <c r="A198" s="47" t="s">
        <v>23</v>
      </c>
      <c r="B198" s="47" t="s">
        <v>24</v>
      </c>
      <c r="C198" s="21" t="s">
        <v>25</v>
      </c>
      <c r="D198" s="47" t="s">
        <v>797</v>
      </c>
      <c r="E198" s="21" t="s">
        <v>128</v>
      </c>
      <c r="F198" s="47" t="s">
        <v>135</v>
      </c>
      <c r="G198" s="21" t="s">
        <v>832</v>
      </c>
      <c r="H198" s="7" t="s">
        <v>833</v>
      </c>
      <c r="I198" s="8" t="s">
        <v>865</v>
      </c>
      <c r="J198" s="9">
        <v>10190500</v>
      </c>
      <c r="K198" s="8"/>
      <c r="L198" s="8"/>
      <c r="M198" s="8"/>
      <c r="N198" s="42">
        <f t="shared" si="62"/>
        <v>10190500</v>
      </c>
      <c r="O198" s="42"/>
      <c r="P198" s="42">
        <f t="shared" ref="P198:P200" si="64">N198</f>
        <v>10190500</v>
      </c>
      <c r="Q198" s="42">
        <f t="shared" si="61"/>
        <v>10190500</v>
      </c>
      <c r="R198" s="5"/>
    </row>
    <row r="199" spans="1:18" ht="13.5" x14ac:dyDescent="0.2">
      <c r="A199" s="47" t="s">
        <v>23</v>
      </c>
      <c r="B199" s="47" t="s">
        <v>24</v>
      </c>
      <c r="C199" s="21" t="s">
        <v>25</v>
      </c>
      <c r="D199" s="47" t="s">
        <v>797</v>
      </c>
      <c r="E199" s="21" t="s">
        <v>128</v>
      </c>
      <c r="F199" s="47" t="s">
        <v>135</v>
      </c>
      <c r="G199" s="21" t="s">
        <v>832</v>
      </c>
      <c r="H199" s="7" t="s">
        <v>833</v>
      </c>
      <c r="I199" s="8" t="s">
        <v>885</v>
      </c>
      <c r="J199" s="9">
        <v>665400</v>
      </c>
      <c r="K199" s="8"/>
      <c r="L199" s="8"/>
      <c r="M199" s="8"/>
      <c r="N199" s="42">
        <f t="shared" si="62"/>
        <v>665400</v>
      </c>
      <c r="O199" s="42"/>
      <c r="P199" s="42">
        <f t="shared" si="64"/>
        <v>665400</v>
      </c>
      <c r="Q199" s="42">
        <f t="shared" si="61"/>
        <v>665400</v>
      </c>
      <c r="R199" s="5"/>
    </row>
    <row r="200" spans="1:18" ht="13.5" x14ac:dyDescent="0.2">
      <c r="A200" s="47" t="s">
        <v>23</v>
      </c>
      <c r="B200" s="47" t="s">
        <v>24</v>
      </c>
      <c r="C200" s="21" t="s">
        <v>25</v>
      </c>
      <c r="D200" s="47" t="s">
        <v>797</v>
      </c>
      <c r="E200" s="21" t="s">
        <v>128</v>
      </c>
      <c r="F200" s="47" t="s">
        <v>32</v>
      </c>
      <c r="G200" s="21" t="s">
        <v>818</v>
      </c>
      <c r="H200" s="7" t="s">
        <v>819</v>
      </c>
      <c r="I200" s="8" t="s">
        <v>828</v>
      </c>
      <c r="J200" s="9">
        <v>958000</v>
      </c>
      <c r="K200" s="8"/>
      <c r="L200" s="8"/>
      <c r="M200" s="8"/>
      <c r="N200" s="42">
        <f t="shared" si="62"/>
        <v>958000</v>
      </c>
      <c r="O200" s="42"/>
      <c r="P200" s="42">
        <f t="shared" si="64"/>
        <v>958000</v>
      </c>
      <c r="Q200" s="42">
        <f t="shared" si="61"/>
        <v>958000</v>
      </c>
      <c r="R200" s="5"/>
    </row>
    <row r="201" spans="1:18" ht="13.5" x14ac:dyDescent="0.2">
      <c r="A201" s="47" t="s">
        <v>23</v>
      </c>
      <c r="B201" s="47" t="s">
        <v>24</v>
      </c>
      <c r="C201" s="21" t="s">
        <v>25</v>
      </c>
      <c r="D201" s="47" t="s">
        <v>797</v>
      </c>
      <c r="E201" s="21" t="s">
        <v>31</v>
      </c>
      <c r="F201" s="47" t="s">
        <v>32</v>
      </c>
      <c r="G201" s="21" t="s">
        <v>798</v>
      </c>
      <c r="H201" s="7" t="s">
        <v>799</v>
      </c>
      <c r="I201" s="8" t="s">
        <v>800</v>
      </c>
      <c r="J201" s="9">
        <v>754000</v>
      </c>
      <c r="K201" s="8"/>
      <c r="L201" s="8"/>
      <c r="M201" s="8"/>
      <c r="N201" s="42">
        <f t="shared" si="62"/>
        <v>754000</v>
      </c>
      <c r="O201" s="42">
        <f>N201*1.5</f>
        <v>1131000</v>
      </c>
      <c r="P201" s="42"/>
      <c r="Q201" s="42">
        <f t="shared" si="61"/>
        <v>1131000</v>
      </c>
    </row>
    <row r="202" spans="1:18" ht="13.5" x14ac:dyDescent="0.2">
      <c r="A202" s="47" t="s">
        <v>23</v>
      </c>
      <c r="B202" s="47" t="s">
        <v>24</v>
      </c>
      <c r="C202" s="21" t="s">
        <v>25</v>
      </c>
      <c r="D202" s="47" t="s">
        <v>797</v>
      </c>
      <c r="E202" s="21" t="s">
        <v>31</v>
      </c>
      <c r="F202" s="47" t="s">
        <v>32</v>
      </c>
      <c r="G202" s="21" t="s">
        <v>808</v>
      </c>
      <c r="H202" s="7" t="s">
        <v>809</v>
      </c>
      <c r="I202" s="8" t="s">
        <v>812</v>
      </c>
      <c r="J202" s="9">
        <v>4041200</v>
      </c>
      <c r="K202" s="8"/>
      <c r="L202" s="8"/>
      <c r="M202" s="8"/>
      <c r="N202" s="42">
        <f t="shared" si="62"/>
        <v>4041200</v>
      </c>
      <c r="O202" s="42"/>
      <c r="P202" s="42">
        <f t="shared" ref="P202:P211" si="65">N202</f>
        <v>4041200</v>
      </c>
      <c r="Q202" s="42">
        <f t="shared" si="61"/>
        <v>4041200</v>
      </c>
      <c r="R202" s="5"/>
    </row>
    <row r="203" spans="1:18" ht="13.5" x14ac:dyDescent="0.2">
      <c r="A203" s="47" t="s">
        <v>23</v>
      </c>
      <c r="B203" s="47" t="s">
        <v>24</v>
      </c>
      <c r="C203" s="21" t="s">
        <v>25</v>
      </c>
      <c r="D203" s="47" t="s">
        <v>797</v>
      </c>
      <c r="E203" s="21" t="s">
        <v>31</v>
      </c>
      <c r="F203" s="47" t="s">
        <v>32</v>
      </c>
      <c r="G203" s="21" t="s">
        <v>818</v>
      </c>
      <c r="H203" s="7" t="s">
        <v>819</v>
      </c>
      <c r="I203" s="8" t="s">
        <v>826</v>
      </c>
      <c r="J203" s="9">
        <v>1276800</v>
      </c>
      <c r="K203" s="8"/>
      <c r="L203" s="8"/>
      <c r="M203" s="8"/>
      <c r="N203" s="42">
        <f t="shared" si="62"/>
        <v>1276800</v>
      </c>
      <c r="O203" s="42"/>
      <c r="P203" s="42">
        <f t="shared" si="65"/>
        <v>1276800</v>
      </c>
      <c r="Q203" s="42">
        <f t="shared" si="61"/>
        <v>1276800</v>
      </c>
      <c r="R203" s="5"/>
    </row>
    <row r="204" spans="1:18" ht="13.5" x14ac:dyDescent="0.2">
      <c r="A204" s="47" t="s">
        <v>23</v>
      </c>
      <c r="B204" s="47" t="s">
        <v>24</v>
      </c>
      <c r="C204" s="21" t="s">
        <v>25</v>
      </c>
      <c r="D204" s="47" t="s">
        <v>797</v>
      </c>
      <c r="E204" s="21" t="s">
        <v>31</v>
      </c>
      <c r="F204" s="47" t="s">
        <v>32</v>
      </c>
      <c r="G204" s="21" t="s">
        <v>818</v>
      </c>
      <c r="H204" s="7" t="s">
        <v>819</v>
      </c>
      <c r="I204" s="8" t="s">
        <v>824</v>
      </c>
      <c r="J204" s="9">
        <v>699900</v>
      </c>
      <c r="K204" s="8"/>
      <c r="L204" s="8"/>
      <c r="M204" s="8"/>
      <c r="N204" s="42">
        <f t="shared" si="62"/>
        <v>699900</v>
      </c>
      <c r="O204" s="42"/>
      <c r="P204" s="42">
        <f t="shared" si="65"/>
        <v>699900</v>
      </c>
      <c r="Q204" s="42">
        <f t="shared" si="61"/>
        <v>699900</v>
      </c>
      <c r="R204" s="5"/>
    </row>
    <row r="205" spans="1:18" ht="13.5" x14ac:dyDescent="0.2">
      <c r="A205" s="47" t="s">
        <v>23</v>
      </c>
      <c r="B205" s="47" t="s">
        <v>24</v>
      </c>
      <c r="C205" s="21" t="s">
        <v>25</v>
      </c>
      <c r="D205" s="47" t="s">
        <v>797</v>
      </c>
      <c r="E205" s="21" t="s">
        <v>31</v>
      </c>
      <c r="F205" s="47" t="s">
        <v>32</v>
      </c>
      <c r="G205" s="21" t="s">
        <v>832</v>
      </c>
      <c r="H205" s="7" t="s">
        <v>833</v>
      </c>
      <c r="I205" s="8" t="s">
        <v>889</v>
      </c>
      <c r="J205" s="9">
        <v>1372000</v>
      </c>
      <c r="K205" s="8"/>
      <c r="L205" s="8"/>
      <c r="M205" s="8"/>
      <c r="N205" s="42">
        <f t="shared" si="62"/>
        <v>1372000</v>
      </c>
      <c r="O205" s="42"/>
      <c r="P205" s="42">
        <f t="shared" si="65"/>
        <v>1372000</v>
      </c>
      <c r="Q205" s="42">
        <f t="shared" si="61"/>
        <v>1372000</v>
      </c>
      <c r="R205" s="5"/>
    </row>
    <row r="206" spans="1:18" ht="13.5" x14ac:dyDescent="0.2">
      <c r="A206" s="47" t="s">
        <v>23</v>
      </c>
      <c r="B206" s="47" t="s">
        <v>24</v>
      </c>
      <c r="C206" s="21" t="s">
        <v>25</v>
      </c>
      <c r="D206" s="47" t="s">
        <v>797</v>
      </c>
      <c r="E206" s="21" t="s">
        <v>31</v>
      </c>
      <c r="F206" s="47" t="s">
        <v>32</v>
      </c>
      <c r="G206" s="21" t="s">
        <v>832</v>
      </c>
      <c r="H206" s="7" t="s">
        <v>833</v>
      </c>
      <c r="I206" s="8" t="s">
        <v>867</v>
      </c>
      <c r="J206" s="9">
        <v>3149800</v>
      </c>
      <c r="K206" s="8"/>
      <c r="L206" s="8"/>
      <c r="M206" s="8"/>
      <c r="N206" s="42">
        <f t="shared" si="62"/>
        <v>3149800</v>
      </c>
      <c r="O206" s="42"/>
      <c r="P206" s="42">
        <f t="shared" si="65"/>
        <v>3149800</v>
      </c>
      <c r="Q206" s="42">
        <f t="shared" si="61"/>
        <v>3149800</v>
      </c>
      <c r="R206" s="5"/>
    </row>
    <row r="207" spans="1:18" ht="13.5" x14ac:dyDescent="0.2">
      <c r="A207" s="47" t="s">
        <v>23</v>
      </c>
      <c r="B207" s="47" t="s">
        <v>24</v>
      </c>
      <c r="C207" s="21" t="s">
        <v>25</v>
      </c>
      <c r="D207" s="47" t="s">
        <v>797</v>
      </c>
      <c r="E207" s="21" t="s">
        <v>31</v>
      </c>
      <c r="F207" s="47" t="s">
        <v>32</v>
      </c>
      <c r="G207" s="21" t="s">
        <v>832</v>
      </c>
      <c r="H207" s="7" t="s">
        <v>833</v>
      </c>
      <c r="I207" s="8" t="s">
        <v>836</v>
      </c>
      <c r="J207" s="9">
        <v>152900</v>
      </c>
      <c r="K207" s="8"/>
      <c r="L207" s="8"/>
      <c r="M207" s="8"/>
      <c r="N207" s="42">
        <f t="shared" si="62"/>
        <v>152900</v>
      </c>
      <c r="O207" s="42"/>
      <c r="P207" s="42">
        <f t="shared" si="65"/>
        <v>152900</v>
      </c>
      <c r="Q207" s="42">
        <f t="shared" si="61"/>
        <v>152900</v>
      </c>
      <c r="R207" s="5"/>
    </row>
    <row r="208" spans="1:18" ht="13.5" x14ac:dyDescent="0.2">
      <c r="A208" s="47" t="s">
        <v>23</v>
      </c>
      <c r="B208" s="47" t="s">
        <v>24</v>
      </c>
      <c r="C208" s="21" t="s">
        <v>25</v>
      </c>
      <c r="D208" s="47" t="s">
        <v>797</v>
      </c>
      <c r="E208" s="21" t="s">
        <v>31</v>
      </c>
      <c r="F208" s="47" t="s">
        <v>32</v>
      </c>
      <c r="G208" s="21" t="s">
        <v>832</v>
      </c>
      <c r="H208" s="7" t="s">
        <v>833</v>
      </c>
      <c r="I208" s="8" t="s">
        <v>847</v>
      </c>
      <c r="J208" s="9">
        <v>3880400</v>
      </c>
      <c r="K208" s="8"/>
      <c r="L208" s="8"/>
      <c r="M208" s="8"/>
      <c r="N208" s="42">
        <f t="shared" si="62"/>
        <v>3880400</v>
      </c>
      <c r="O208" s="42"/>
      <c r="P208" s="42">
        <f t="shared" si="65"/>
        <v>3880400</v>
      </c>
      <c r="Q208" s="42">
        <f t="shared" si="61"/>
        <v>3880400</v>
      </c>
      <c r="R208" s="5"/>
    </row>
    <row r="209" spans="1:18" ht="13.5" x14ac:dyDescent="0.2">
      <c r="A209" s="47" t="s">
        <v>23</v>
      </c>
      <c r="B209" s="47" t="s">
        <v>24</v>
      </c>
      <c r="C209" s="21" t="s">
        <v>25</v>
      </c>
      <c r="D209" s="47" t="s">
        <v>797</v>
      </c>
      <c r="E209" s="21" t="s">
        <v>31</v>
      </c>
      <c r="F209" s="47" t="s">
        <v>32</v>
      </c>
      <c r="G209" s="21" t="s">
        <v>832</v>
      </c>
      <c r="H209" s="7" t="s">
        <v>833</v>
      </c>
      <c r="I209" s="8" t="s">
        <v>869</v>
      </c>
      <c r="J209" s="9">
        <v>5396000</v>
      </c>
      <c r="K209" s="8"/>
      <c r="L209" s="8"/>
      <c r="M209" s="8"/>
      <c r="N209" s="42">
        <f t="shared" si="62"/>
        <v>5396000</v>
      </c>
      <c r="O209" s="42"/>
      <c r="P209" s="42">
        <f t="shared" si="65"/>
        <v>5396000</v>
      </c>
      <c r="Q209" s="42">
        <f t="shared" si="61"/>
        <v>5396000</v>
      </c>
      <c r="R209" s="5"/>
    </row>
    <row r="210" spans="1:18" ht="13.5" x14ac:dyDescent="0.2">
      <c r="A210" s="47" t="s">
        <v>23</v>
      </c>
      <c r="B210" s="47" t="s">
        <v>24</v>
      </c>
      <c r="C210" s="21" t="s">
        <v>25</v>
      </c>
      <c r="D210" s="47" t="s">
        <v>797</v>
      </c>
      <c r="E210" s="21" t="s">
        <v>31</v>
      </c>
      <c r="F210" s="47" t="s">
        <v>32</v>
      </c>
      <c r="G210" s="21" t="s">
        <v>832</v>
      </c>
      <c r="H210" s="7" t="s">
        <v>833</v>
      </c>
      <c r="I210" s="8" t="s">
        <v>834</v>
      </c>
      <c r="J210" s="9">
        <v>4693200</v>
      </c>
      <c r="K210" s="8"/>
      <c r="L210" s="8"/>
      <c r="M210" s="8"/>
      <c r="N210" s="42">
        <f t="shared" si="62"/>
        <v>4693200</v>
      </c>
      <c r="O210" s="42"/>
      <c r="P210" s="42">
        <f t="shared" si="65"/>
        <v>4693200</v>
      </c>
      <c r="Q210" s="42">
        <f t="shared" si="61"/>
        <v>4693200</v>
      </c>
      <c r="R210" s="5"/>
    </row>
    <row r="211" spans="1:18" ht="13.5" x14ac:dyDescent="0.2">
      <c r="A211" s="47" t="s">
        <v>23</v>
      </c>
      <c r="B211" s="47" t="s">
        <v>24</v>
      </c>
      <c r="C211" s="21" t="s">
        <v>25</v>
      </c>
      <c r="D211" s="47" t="s">
        <v>797</v>
      </c>
      <c r="E211" s="21" t="s">
        <v>31</v>
      </c>
      <c r="F211" s="47" t="s">
        <v>32</v>
      </c>
      <c r="G211" s="21" t="s">
        <v>832</v>
      </c>
      <c r="H211" s="7" t="s">
        <v>833</v>
      </c>
      <c r="I211" s="8" t="s">
        <v>887</v>
      </c>
      <c r="J211" s="9">
        <v>4293200</v>
      </c>
      <c r="K211" s="8"/>
      <c r="L211" s="8"/>
      <c r="M211" s="8"/>
      <c r="N211" s="42">
        <f t="shared" si="62"/>
        <v>4293200</v>
      </c>
      <c r="O211" s="42"/>
      <c r="P211" s="42">
        <f t="shared" si="65"/>
        <v>4293200</v>
      </c>
      <c r="Q211" s="42">
        <f t="shared" si="61"/>
        <v>4293200</v>
      </c>
      <c r="R211" s="5"/>
    </row>
    <row r="212" spans="1:18" ht="13.5" x14ac:dyDescent="0.2">
      <c r="A212" s="47" t="s">
        <v>23</v>
      </c>
      <c r="B212" s="47" t="s">
        <v>24</v>
      </c>
      <c r="C212" s="21" t="s">
        <v>25</v>
      </c>
      <c r="D212" s="47" t="s">
        <v>797</v>
      </c>
      <c r="E212" s="21" t="s">
        <v>41</v>
      </c>
      <c r="F212" s="47" t="s">
        <v>32</v>
      </c>
      <c r="G212" s="21" t="s">
        <v>798</v>
      </c>
      <c r="H212" s="7" t="s">
        <v>799</v>
      </c>
      <c r="I212" s="8" t="s">
        <v>804</v>
      </c>
      <c r="J212" s="9">
        <v>6149600</v>
      </c>
      <c r="K212" s="8"/>
      <c r="L212" s="42">
        <f t="shared" ref="L212:L222" si="66">J212*1.5</f>
        <v>9224400</v>
      </c>
      <c r="M212" s="8"/>
      <c r="N212" s="42">
        <f t="shared" ref="N212:N257" si="67">SUM(K212:M212)</f>
        <v>9224400</v>
      </c>
      <c r="O212" s="42">
        <f t="shared" ref="O212:O213" si="68">N212*1.5</f>
        <v>13836600</v>
      </c>
      <c r="P212" s="42"/>
      <c r="Q212" s="42">
        <f t="shared" si="61"/>
        <v>13836600</v>
      </c>
    </row>
    <row r="213" spans="1:18" ht="13.5" x14ac:dyDescent="0.2">
      <c r="A213" s="47" t="s">
        <v>23</v>
      </c>
      <c r="B213" s="47" t="s">
        <v>24</v>
      </c>
      <c r="C213" s="21" t="s">
        <v>25</v>
      </c>
      <c r="D213" s="47" t="s">
        <v>797</v>
      </c>
      <c r="E213" s="21" t="s">
        <v>41</v>
      </c>
      <c r="F213" s="47" t="s">
        <v>32</v>
      </c>
      <c r="G213" s="21" t="s">
        <v>808</v>
      </c>
      <c r="H213" s="7" t="s">
        <v>809</v>
      </c>
      <c r="I213" s="8" t="s">
        <v>816</v>
      </c>
      <c r="J213" s="9">
        <v>3360000</v>
      </c>
      <c r="K213" s="8"/>
      <c r="L213" s="42">
        <f t="shared" si="66"/>
        <v>5040000</v>
      </c>
      <c r="M213" s="8"/>
      <c r="N213" s="42">
        <f t="shared" si="67"/>
        <v>5040000</v>
      </c>
      <c r="O213" s="42">
        <f t="shared" si="68"/>
        <v>7560000</v>
      </c>
      <c r="P213" s="42"/>
      <c r="Q213" s="42">
        <f t="shared" si="61"/>
        <v>7560000</v>
      </c>
    </row>
    <row r="214" spans="1:18" ht="13.5" x14ac:dyDescent="0.2">
      <c r="A214" s="47" t="s">
        <v>23</v>
      </c>
      <c r="B214" s="47" t="s">
        <v>24</v>
      </c>
      <c r="C214" s="21" t="s">
        <v>25</v>
      </c>
      <c r="D214" s="47" t="s">
        <v>797</v>
      </c>
      <c r="E214" s="21" t="s">
        <v>41</v>
      </c>
      <c r="F214" s="47" t="s">
        <v>32</v>
      </c>
      <c r="G214" s="21" t="s">
        <v>818</v>
      </c>
      <c r="H214" s="7" t="s">
        <v>819</v>
      </c>
      <c r="I214" s="8" t="s">
        <v>822</v>
      </c>
      <c r="J214" s="9">
        <v>12261600</v>
      </c>
      <c r="K214" s="8"/>
      <c r="L214" s="42">
        <f t="shared" si="66"/>
        <v>18392400</v>
      </c>
      <c r="M214" s="8"/>
      <c r="N214" s="42">
        <f t="shared" si="67"/>
        <v>18392400</v>
      </c>
      <c r="O214" s="42"/>
      <c r="P214" s="42">
        <f t="shared" ref="P214:P216" si="69">N214</f>
        <v>18392400</v>
      </c>
      <c r="Q214" s="42">
        <f t="shared" si="61"/>
        <v>18392400</v>
      </c>
      <c r="R214" s="5"/>
    </row>
    <row r="215" spans="1:18" ht="13.5" x14ac:dyDescent="0.2">
      <c r="A215" s="47" t="s">
        <v>23</v>
      </c>
      <c r="B215" s="47" t="s">
        <v>24</v>
      </c>
      <c r="C215" s="21" t="s">
        <v>25</v>
      </c>
      <c r="D215" s="47" t="s">
        <v>797</v>
      </c>
      <c r="E215" s="21" t="s">
        <v>41</v>
      </c>
      <c r="F215" s="47" t="s">
        <v>32</v>
      </c>
      <c r="G215" s="21" t="s">
        <v>818</v>
      </c>
      <c r="H215" s="7" t="s">
        <v>819</v>
      </c>
      <c r="I215" s="8" t="s">
        <v>820</v>
      </c>
      <c r="J215" s="9">
        <v>9594000</v>
      </c>
      <c r="K215" s="8"/>
      <c r="L215" s="42">
        <f t="shared" si="66"/>
        <v>14391000</v>
      </c>
      <c r="M215" s="8"/>
      <c r="N215" s="42">
        <f t="shared" si="67"/>
        <v>14391000</v>
      </c>
      <c r="O215" s="42"/>
      <c r="P215" s="42">
        <f t="shared" si="69"/>
        <v>14391000</v>
      </c>
      <c r="Q215" s="42">
        <f t="shared" si="61"/>
        <v>14391000</v>
      </c>
      <c r="R215" s="5"/>
    </row>
    <row r="216" spans="1:18" ht="13.5" x14ac:dyDescent="0.2">
      <c r="A216" s="47" t="s">
        <v>23</v>
      </c>
      <c r="B216" s="47" t="s">
        <v>24</v>
      </c>
      <c r="C216" s="21" t="s">
        <v>25</v>
      </c>
      <c r="D216" s="47" t="s">
        <v>797</v>
      </c>
      <c r="E216" s="21" t="s">
        <v>41</v>
      </c>
      <c r="F216" s="47" t="s">
        <v>32</v>
      </c>
      <c r="G216" s="21" t="s">
        <v>818</v>
      </c>
      <c r="H216" s="7" t="s">
        <v>819</v>
      </c>
      <c r="I216" s="8" t="s">
        <v>830</v>
      </c>
      <c r="J216" s="9">
        <v>7945000</v>
      </c>
      <c r="K216" s="8"/>
      <c r="L216" s="42">
        <f t="shared" si="66"/>
        <v>11917500</v>
      </c>
      <c r="M216" s="8"/>
      <c r="N216" s="42">
        <f t="shared" si="67"/>
        <v>11917500</v>
      </c>
      <c r="O216" s="42"/>
      <c r="P216" s="42">
        <f t="shared" si="69"/>
        <v>11917500</v>
      </c>
      <c r="Q216" s="42">
        <f t="shared" si="61"/>
        <v>11917500</v>
      </c>
      <c r="R216" s="5"/>
    </row>
    <row r="217" spans="1:18" ht="13.5" x14ac:dyDescent="0.2">
      <c r="A217" s="47" t="s">
        <v>23</v>
      </c>
      <c r="B217" s="47" t="s">
        <v>24</v>
      </c>
      <c r="C217" s="21" t="s">
        <v>25</v>
      </c>
      <c r="D217" s="47" t="s">
        <v>797</v>
      </c>
      <c r="E217" s="21" t="s">
        <v>41</v>
      </c>
      <c r="F217" s="47" t="s">
        <v>32</v>
      </c>
      <c r="G217" s="21" t="s">
        <v>832</v>
      </c>
      <c r="H217" s="7" t="s">
        <v>833</v>
      </c>
      <c r="I217" s="8" t="s">
        <v>879</v>
      </c>
      <c r="J217" s="9">
        <v>6246600</v>
      </c>
      <c r="K217" s="8"/>
      <c r="L217" s="42">
        <f t="shared" si="66"/>
        <v>9369900</v>
      </c>
      <c r="M217" s="8"/>
      <c r="N217" s="42">
        <f t="shared" si="67"/>
        <v>9369900</v>
      </c>
      <c r="O217" s="42">
        <f>N217*1.5</f>
        <v>14054850</v>
      </c>
      <c r="P217" s="42"/>
      <c r="Q217" s="42">
        <f t="shared" si="61"/>
        <v>14054850</v>
      </c>
    </row>
    <row r="218" spans="1:18" ht="13.5" x14ac:dyDescent="0.2">
      <c r="A218" s="47" t="s">
        <v>23</v>
      </c>
      <c r="B218" s="47" t="s">
        <v>24</v>
      </c>
      <c r="C218" s="21" t="s">
        <v>25</v>
      </c>
      <c r="D218" s="47" t="s">
        <v>797</v>
      </c>
      <c r="E218" s="21" t="s">
        <v>41</v>
      </c>
      <c r="F218" s="47" t="s">
        <v>32</v>
      </c>
      <c r="G218" s="21" t="s">
        <v>832</v>
      </c>
      <c r="H218" s="7" t="s">
        <v>833</v>
      </c>
      <c r="I218" s="8" t="s">
        <v>891</v>
      </c>
      <c r="J218" s="9">
        <v>6432000</v>
      </c>
      <c r="K218" s="8"/>
      <c r="L218" s="42">
        <f t="shared" si="66"/>
        <v>9648000</v>
      </c>
      <c r="M218" s="8"/>
      <c r="N218" s="42">
        <f t="shared" si="67"/>
        <v>9648000</v>
      </c>
      <c r="O218" s="42"/>
      <c r="P218" s="42">
        <f t="shared" ref="P218:P222" si="70">N218</f>
        <v>9648000</v>
      </c>
      <c r="Q218" s="42">
        <f t="shared" si="61"/>
        <v>9648000</v>
      </c>
      <c r="R218" s="5"/>
    </row>
    <row r="219" spans="1:18" ht="13.5" x14ac:dyDescent="0.2">
      <c r="A219" s="47" t="s">
        <v>23</v>
      </c>
      <c r="B219" s="47" t="s">
        <v>24</v>
      </c>
      <c r="C219" s="21" t="s">
        <v>25</v>
      </c>
      <c r="D219" s="47" t="s">
        <v>797</v>
      </c>
      <c r="E219" s="21" t="s">
        <v>41</v>
      </c>
      <c r="F219" s="47" t="s">
        <v>32</v>
      </c>
      <c r="G219" s="21" t="s">
        <v>832</v>
      </c>
      <c r="H219" s="7" t="s">
        <v>833</v>
      </c>
      <c r="I219" s="8" t="s">
        <v>849</v>
      </c>
      <c r="J219" s="9">
        <v>4305000</v>
      </c>
      <c r="K219" s="8"/>
      <c r="L219" s="42">
        <f t="shared" si="66"/>
        <v>6457500</v>
      </c>
      <c r="M219" s="8"/>
      <c r="N219" s="42">
        <f t="shared" si="67"/>
        <v>6457500</v>
      </c>
      <c r="O219" s="42"/>
      <c r="P219" s="42">
        <f t="shared" si="70"/>
        <v>6457500</v>
      </c>
      <c r="Q219" s="42">
        <f t="shared" si="61"/>
        <v>6457500</v>
      </c>
      <c r="R219" s="5"/>
    </row>
    <row r="220" spans="1:18" ht="13.5" x14ac:dyDescent="0.2">
      <c r="A220" s="47" t="s">
        <v>23</v>
      </c>
      <c r="B220" s="47" t="s">
        <v>24</v>
      </c>
      <c r="C220" s="21" t="s">
        <v>25</v>
      </c>
      <c r="D220" s="47" t="s">
        <v>797</v>
      </c>
      <c r="E220" s="21" t="s">
        <v>41</v>
      </c>
      <c r="F220" s="47" t="s">
        <v>32</v>
      </c>
      <c r="G220" s="21" t="s">
        <v>832</v>
      </c>
      <c r="H220" s="7" t="s">
        <v>833</v>
      </c>
      <c r="I220" s="8" t="s">
        <v>873</v>
      </c>
      <c r="J220" s="9">
        <v>6830800</v>
      </c>
      <c r="K220" s="8"/>
      <c r="L220" s="42">
        <f t="shared" si="66"/>
        <v>10246200</v>
      </c>
      <c r="M220" s="8"/>
      <c r="N220" s="42">
        <f t="shared" si="67"/>
        <v>10246200</v>
      </c>
      <c r="O220" s="42"/>
      <c r="P220" s="42">
        <f t="shared" si="70"/>
        <v>10246200</v>
      </c>
      <c r="Q220" s="42">
        <f t="shared" si="61"/>
        <v>10246200</v>
      </c>
      <c r="R220" s="5"/>
    </row>
    <row r="221" spans="1:18" ht="13.5" x14ac:dyDescent="0.2">
      <c r="A221" s="47" t="s">
        <v>23</v>
      </c>
      <c r="B221" s="47" t="s">
        <v>24</v>
      </c>
      <c r="C221" s="21" t="s">
        <v>25</v>
      </c>
      <c r="D221" s="47" t="s">
        <v>797</v>
      </c>
      <c r="E221" s="21" t="s">
        <v>41</v>
      </c>
      <c r="F221" s="47" t="s">
        <v>32</v>
      </c>
      <c r="G221" s="21" t="s">
        <v>832</v>
      </c>
      <c r="H221" s="7" t="s">
        <v>833</v>
      </c>
      <c r="I221" s="8" t="s">
        <v>875</v>
      </c>
      <c r="J221" s="9">
        <v>7199600</v>
      </c>
      <c r="K221" s="8"/>
      <c r="L221" s="42">
        <f t="shared" si="66"/>
        <v>10799400</v>
      </c>
      <c r="M221" s="8"/>
      <c r="N221" s="42">
        <f t="shared" si="67"/>
        <v>10799400</v>
      </c>
      <c r="O221" s="42"/>
      <c r="P221" s="42">
        <f t="shared" si="70"/>
        <v>10799400</v>
      </c>
      <c r="Q221" s="42">
        <f t="shared" si="61"/>
        <v>10799400</v>
      </c>
      <c r="R221" s="5"/>
    </row>
    <row r="222" spans="1:18" ht="13.5" x14ac:dyDescent="0.2">
      <c r="A222" s="47" t="s">
        <v>23</v>
      </c>
      <c r="B222" s="47" t="s">
        <v>24</v>
      </c>
      <c r="C222" s="21" t="s">
        <v>25</v>
      </c>
      <c r="D222" s="47" t="s">
        <v>797</v>
      </c>
      <c r="E222" s="21" t="s">
        <v>57</v>
      </c>
      <c r="F222" s="47" t="s">
        <v>32</v>
      </c>
      <c r="G222" s="21" t="s">
        <v>832</v>
      </c>
      <c r="H222" s="7" t="s">
        <v>833</v>
      </c>
      <c r="I222" s="8" t="s">
        <v>839</v>
      </c>
      <c r="J222" s="9">
        <v>3158000</v>
      </c>
      <c r="K222" s="8"/>
      <c r="L222" s="42">
        <f t="shared" si="66"/>
        <v>4737000</v>
      </c>
      <c r="M222" s="8"/>
      <c r="N222" s="42">
        <f t="shared" si="67"/>
        <v>4737000</v>
      </c>
      <c r="O222" s="42"/>
      <c r="P222" s="42">
        <f t="shared" si="70"/>
        <v>4737000</v>
      </c>
      <c r="Q222" s="42">
        <f t="shared" si="61"/>
        <v>4737000</v>
      </c>
      <c r="R222" s="5"/>
    </row>
    <row r="223" spans="1:18" ht="13.5" x14ac:dyDescent="0.2">
      <c r="A223" s="47" t="s">
        <v>23</v>
      </c>
      <c r="B223" s="47" t="s">
        <v>24</v>
      </c>
      <c r="C223" s="21" t="s">
        <v>25</v>
      </c>
      <c r="D223" s="47" t="s">
        <v>893</v>
      </c>
      <c r="E223" s="21" t="s">
        <v>128</v>
      </c>
      <c r="F223" s="47" t="s">
        <v>135</v>
      </c>
      <c r="G223" s="21" t="s">
        <v>894</v>
      </c>
      <c r="H223" s="7" t="s">
        <v>895</v>
      </c>
      <c r="I223" s="8" t="s">
        <v>932</v>
      </c>
      <c r="J223" s="9">
        <v>1059800</v>
      </c>
      <c r="K223" s="8"/>
      <c r="L223" s="8"/>
      <c r="M223" s="8"/>
      <c r="N223" s="42">
        <f t="shared" ref="N223:N235" si="71">J223</f>
        <v>1059800</v>
      </c>
      <c r="O223" s="42">
        <f t="shared" ref="O223:O224" si="72">N223*1.5</f>
        <v>1589700</v>
      </c>
      <c r="P223" s="42"/>
      <c r="Q223" s="42">
        <f t="shared" si="61"/>
        <v>1589700</v>
      </c>
    </row>
    <row r="224" spans="1:18" ht="13.5" x14ac:dyDescent="0.2">
      <c r="A224" s="47" t="s">
        <v>23</v>
      </c>
      <c r="B224" s="47" t="s">
        <v>24</v>
      </c>
      <c r="C224" s="21" t="s">
        <v>25</v>
      </c>
      <c r="D224" s="47" t="s">
        <v>893</v>
      </c>
      <c r="E224" s="21" t="s">
        <v>128</v>
      </c>
      <c r="F224" s="47" t="s">
        <v>135</v>
      </c>
      <c r="G224" s="21" t="s">
        <v>894</v>
      </c>
      <c r="H224" s="7" t="s">
        <v>895</v>
      </c>
      <c r="I224" s="8" t="s">
        <v>967</v>
      </c>
      <c r="J224" s="9">
        <v>739800</v>
      </c>
      <c r="K224" s="8"/>
      <c r="L224" s="8"/>
      <c r="M224" s="8"/>
      <c r="N224" s="42">
        <f t="shared" si="71"/>
        <v>739800</v>
      </c>
      <c r="O224" s="42">
        <f t="shared" si="72"/>
        <v>1109700</v>
      </c>
      <c r="P224" s="42"/>
      <c r="Q224" s="42">
        <f t="shared" si="61"/>
        <v>1109700</v>
      </c>
    </row>
    <row r="225" spans="1:18" ht="13.5" x14ac:dyDescent="0.2">
      <c r="A225" s="47" t="s">
        <v>23</v>
      </c>
      <c r="B225" s="47" t="s">
        <v>24</v>
      </c>
      <c r="C225" s="21" t="s">
        <v>25</v>
      </c>
      <c r="D225" s="47" t="s">
        <v>893</v>
      </c>
      <c r="E225" s="21" t="s">
        <v>31</v>
      </c>
      <c r="F225" s="47" t="s">
        <v>32</v>
      </c>
      <c r="G225" s="21" t="s">
        <v>894</v>
      </c>
      <c r="H225" s="7" t="s">
        <v>895</v>
      </c>
      <c r="I225" s="8" t="s">
        <v>948</v>
      </c>
      <c r="J225" s="9">
        <v>2440000</v>
      </c>
      <c r="K225" s="8"/>
      <c r="L225" s="8"/>
      <c r="M225" s="8"/>
      <c r="N225" s="42">
        <f t="shared" si="71"/>
        <v>2440000</v>
      </c>
      <c r="O225" s="42"/>
      <c r="P225" s="42">
        <f>N225</f>
        <v>2440000</v>
      </c>
      <c r="Q225" s="42">
        <f t="shared" si="61"/>
        <v>2440000</v>
      </c>
      <c r="R225" s="5"/>
    </row>
    <row r="226" spans="1:18" ht="13.5" x14ac:dyDescent="0.2">
      <c r="A226" s="47" t="s">
        <v>23</v>
      </c>
      <c r="B226" s="47" t="s">
        <v>24</v>
      </c>
      <c r="C226" s="21" t="s">
        <v>25</v>
      </c>
      <c r="D226" s="47" t="s">
        <v>893</v>
      </c>
      <c r="E226" s="21" t="s">
        <v>31</v>
      </c>
      <c r="F226" s="47" t="s">
        <v>32</v>
      </c>
      <c r="G226" s="21" t="s">
        <v>894</v>
      </c>
      <c r="H226" s="7" t="s">
        <v>895</v>
      </c>
      <c r="I226" s="8" t="s">
        <v>910</v>
      </c>
      <c r="J226" s="9">
        <v>1947000</v>
      </c>
      <c r="K226" s="8"/>
      <c r="L226" s="8"/>
      <c r="M226" s="8"/>
      <c r="N226" s="42">
        <f t="shared" si="71"/>
        <v>1947000</v>
      </c>
      <c r="O226" s="42">
        <f>N226*1.5</f>
        <v>2920500</v>
      </c>
      <c r="P226" s="42"/>
      <c r="Q226" s="42">
        <f t="shared" si="61"/>
        <v>2920500</v>
      </c>
    </row>
    <row r="227" spans="1:18" ht="13.5" x14ac:dyDescent="0.2">
      <c r="A227" s="47" t="s">
        <v>23</v>
      </c>
      <c r="B227" s="47" t="s">
        <v>24</v>
      </c>
      <c r="C227" s="21" t="s">
        <v>25</v>
      </c>
      <c r="D227" s="47" t="s">
        <v>893</v>
      </c>
      <c r="E227" s="21" t="s">
        <v>31</v>
      </c>
      <c r="F227" s="47" t="s">
        <v>32</v>
      </c>
      <c r="G227" s="21" t="s">
        <v>894</v>
      </c>
      <c r="H227" s="7" t="s">
        <v>895</v>
      </c>
      <c r="I227" s="8" t="s">
        <v>944</v>
      </c>
      <c r="J227" s="9">
        <v>598000</v>
      </c>
      <c r="K227" s="8"/>
      <c r="L227" s="8"/>
      <c r="M227" s="8"/>
      <c r="N227" s="42">
        <f t="shared" si="71"/>
        <v>598000</v>
      </c>
      <c r="O227" s="42"/>
      <c r="P227" s="42">
        <f>N227</f>
        <v>598000</v>
      </c>
      <c r="Q227" s="42">
        <f t="shared" si="61"/>
        <v>598000</v>
      </c>
      <c r="R227" s="5"/>
    </row>
    <row r="228" spans="1:18" ht="13.5" x14ac:dyDescent="0.2">
      <c r="A228" s="47" t="s">
        <v>23</v>
      </c>
      <c r="B228" s="47" t="s">
        <v>24</v>
      </c>
      <c r="C228" s="21" t="s">
        <v>25</v>
      </c>
      <c r="D228" s="47" t="s">
        <v>893</v>
      </c>
      <c r="E228" s="21" t="s">
        <v>31</v>
      </c>
      <c r="F228" s="47" t="s">
        <v>32</v>
      </c>
      <c r="G228" s="21" t="s">
        <v>894</v>
      </c>
      <c r="H228" s="7" t="s">
        <v>895</v>
      </c>
      <c r="I228" s="8" t="s">
        <v>915</v>
      </c>
      <c r="J228" s="9">
        <v>5599300</v>
      </c>
      <c r="K228" s="8"/>
      <c r="L228" s="8"/>
      <c r="M228" s="8"/>
      <c r="N228" s="42">
        <f t="shared" si="71"/>
        <v>5599300</v>
      </c>
      <c r="O228" s="42">
        <f>N228*1.5</f>
        <v>8398950</v>
      </c>
      <c r="P228" s="42"/>
      <c r="Q228" s="42">
        <f t="shared" si="61"/>
        <v>8398950</v>
      </c>
    </row>
    <row r="229" spans="1:18" ht="13.5" x14ac:dyDescent="0.2">
      <c r="A229" s="47" t="s">
        <v>23</v>
      </c>
      <c r="B229" s="47" t="s">
        <v>24</v>
      </c>
      <c r="C229" s="21" t="s">
        <v>25</v>
      </c>
      <c r="D229" s="47" t="s">
        <v>893</v>
      </c>
      <c r="E229" s="21" t="s">
        <v>31</v>
      </c>
      <c r="F229" s="47" t="s">
        <v>32</v>
      </c>
      <c r="G229" s="21" t="s">
        <v>894</v>
      </c>
      <c r="H229" s="7" t="s">
        <v>895</v>
      </c>
      <c r="I229" s="8" t="s">
        <v>896</v>
      </c>
      <c r="J229" s="9">
        <v>1322700</v>
      </c>
      <c r="K229" s="8"/>
      <c r="L229" s="8"/>
      <c r="M229" s="8"/>
      <c r="N229" s="42">
        <f t="shared" si="71"/>
        <v>1322700</v>
      </c>
      <c r="O229" s="42"/>
      <c r="P229" s="42">
        <f>N229</f>
        <v>1322700</v>
      </c>
      <c r="Q229" s="42">
        <f t="shared" si="61"/>
        <v>1322700</v>
      </c>
      <c r="R229" s="5"/>
    </row>
    <row r="230" spans="1:18" ht="13.5" x14ac:dyDescent="0.2">
      <c r="A230" s="47" t="s">
        <v>23</v>
      </c>
      <c r="B230" s="47" t="s">
        <v>24</v>
      </c>
      <c r="C230" s="21" t="s">
        <v>25</v>
      </c>
      <c r="D230" s="47" t="s">
        <v>893</v>
      </c>
      <c r="E230" s="21" t="s">
        <v>31</v>
      </c>
      <c r="F230" s="47" t="s">
        <v>32</v>
      </c>
      <c r="G230" s="21" t="s">
        <v>894</v>
      </c>
      <c r="H230" s="7" t="s">
        <v>895</v>
      </c>
      <c r="I230" s="8" t="s">
        <v>961</v>
      </c>
      <c r="J230" s="9">
        <v>1251000</v>
      </c>
      <c r="K230" s="8"/>
      <c r="L230" s="8"/>
      <c r="M230" s="8"/>
      <c r="N230" s="42">
        <f t="shared" si="71"/>
        <v>1251000</v>
      </c>
      <c r="O230" s="42">
        <f t="shared" ref="O230:O231" si="73">N230*1.5</f>
        <v>1876500</v>
      </c>
      <c r="P230" s="42"/>
      <c r="Q230" s="42">
        <f t="shared" si="61"/>
        <v>1876500</v>
      </c>
    </row>
    <row r="231" spans="1:18" ht="13.5" x14ac:dyDescent="0.2">
      <c r="A231" s="47" t="s">
        <v>23</v>
      </c>
      <c r="B231" s="47" t="s">
        <v>24</v>
      </c>
      <c r="C231" s="21" t="s">
        <v>25</v>
      </c>
      <c r="D231" s="47" t="s">
        <v>893</v>
      </c>
      <c r="E231" s="21" t="s">
        <v>31</v>
      </c>
      <c r="F231" s="47" t="s">
        <v>32</v>
      </c>
      <c r="G231" s="21" t="s">
        <v>894</v>
      </c>
      <c r="H231" s="7" t="s">
        <v>895</v>
      </c>
      <c r="I231" s="8" t="s">
        <v>963</v>
      </c>
      <c r="J231" s="9">
        <v>940800</v>
      </c>
      <c r="K231" s="8"/>
      <c r="L231" s="8"/>
      <c r="M231" s="8"/>
      <c r="N231" s="42">
        <f t="shared" si="71"/>
        <v>940800</v>
      </c>
      <c r="O231" s="42">
        <f t="shared" si="73"/>
        <v>1411200</v>
      </c>
      <c r="P231" s="42"/>
      <c r="Q231" s="42">
        <f t="shared" si="61"/>
        <v>1411200</v>
      </c>
    </row>
    <row r="232" spans="1:18" ht="13.5" x14ac:dyDescent="0.2">
      <c r="A232" s="47" t="s">
        <v>23</v>
      </c>
      <c r="B232" s="47" t="s">
        <v>24</v>
      </c>
      <c r="C232" s="21" t="s">
        <v>25</v>
      </c>
      <c r="D232" s="47" t="s">
        <v>893</v>
      </c>
      <c r="E232" s="21" t="s">
        <v>31</v>
      </c>
      <c r="F232" s="47" t="s">
        <v>32</v>
      </c>
      <c r="G232" s="21" t="s">
        <v>894</v>
      </c>
      <c r="H232" s="7" t="s">
        <v>895</v>
      </c>
      <c r="I232" s="8" t="s">
        <v>938</v>
      </c>
      <c r="J232" s="9">
        <v>1350000</v>
      </c>
      <c r="K232" s="8"/>
      <c r="L232" s="8"/>
      <c r="M232" s="8"/>
      <c r="N232" s="42">
        <f t="shared" si="71"/>
        <v>1350000</v>
      </c>
      <c r="O232" s="42"/>
      <c r="P232" s="42">
        <f>N232</f>
        <v>1350000</v>
      </c>
      <c r="Q232" s="42">
        <f t="shared" si="61"/>
        <v>1350000</v>
      </c>
      <c r="R232" s="5"/>
    </row>
    <row r="233" spans="1:18" ht="13.5" x14ac:dyDescent="0.2">
      <c r="A233" s="47" t="s">
        <v>23</v>
      </c>
      <c r="B233" s="47" t="s">
        <v>24</v>
      </c>
      <c r="C233" s="21" t="s">
        <v>25</v>
      </c>
      <c r="D233" s="47" t="s">
        <v>893</v>
      </c>
      <c r="E233" s="21" t="s">
        <v>31</v>
      </c>
      <c r="F233" s="47" t="s">
        <v>32</v>
      </c>
      <c r="G233" s="21" t="s">
        <v>894</v>
      </c>
      <c r="H233" s="7" t="s">
        <v>895</v>
      </c>
      <c r="I233" s="8" t="s">
        <v>965</v>
      </c>
      <c r="J233" s="9">
        <v>1699800</v>
      </c>
      <c r="K233" s="8"/>
      <c r="L233" s="8"/>
      <c r="M233" s="8"/>
      <c r="N233" s="42">
        <f t="shared" si="71"/>
        <v>1699800</v>
      </c>
      <c r="O233" s="42">
        <f t="shared" ref="O233:O234" si="74">N233*1.5</f>
        <v>2549700</v>
      </c>
      <c r="P233" s="42"/>
      <c r="Q233" s="42">
        <f t="shared" si="61"/>
        <v>2549700</v>
      </c>
    </row>
    <row r="234" spans="1:18" ht="13.5" x14ac:dyDescent="0.2">
      <c r="A234" s="47" t="s">
        <v>23</v>
      </c>
      <c r="B234" s="47" t="s">
        <v>24</v>
      </c>
      <c r="C234" s="21" t="s">
        <v>25</v>
      </c>
      <c r="D234" s="47" t="s">
        <v>893</v>
      </c>
      <c r="E234" s="21" t="s">
        <v>31</v>
      </c>
      <c r="F234" s="47" t="s">
        <v>32</v>
      </c>
      <c r="G234" s="21" t="s">
        <v>894</v>
      </c>
      <c r="H234" s="7" t="s">
        <v>895</v>
      </c>
      <c r="I234" s="8" t="s">
        <v>952</v>
      </c>
      <c r="J234" s="9">
        <v>11033000</v>
      </c>
      <c r="K234" s="8"/>
      <c r="L234" s="8"/>
      <c r="M234" s="8"/>
      <c r="N234" s="42">
        <f t="shared" si="71"/>
        <v>11033000</v>
      </c>
      <c r="O234" s="42">
        <f t="shared" si="74"/>
        <v>16549500</v>
      </c>
      <c r="P234" s="42"/>
      <c r="Q234" s="42">
        <f t="shared" si="61"/>
        <v>16549500</v>
      </c>
    </row>
    <row r="235" spans="1:18" ht="13.5" x14ac:dyDescent="0.2">
      <c r="A235" s="47" t="s">
        <v>23</v>
      </c>
      <c r="B235" s="47" t="s">
        <v>24</v>
      </c>
      <c r="C235" s="21" t="s">
        <v>25</v>
      </c>
      <c r="D235" s="47" t="s">
        <v>893</v>
      </c>
      <c r="E235" s="21" t="s">
        <v>31</v>
      </c>
      <c r="F235" s="47" t="s">
        <v>32</v>
      </c>
      <c r="G235" s="21" t="s">
        <v>894</v>
      </c>
      <c r="H235" s="7" t="s">
        <v>895</v>
      </c>
      <c r="I235" s="8" t="s">
        <v>942</v>
      </c>
      <c r="J235" s="9">
        <v>2055800</v>
      </c>
      <c r="K235" s="8"/>
      <c r="L235" s="8"/>
      <c r="M235" s="8"/>
      <c r="N235" s="42">
        <f t="shared" si="71"/>
        <v>2055800</v>
      </c>
      <c r="O235" s="42"/>
      <c r="P235" s="42">
        <f t="shared" ref="P235:P237" si="75">N235</f>
        <v>2055800</v>
      </c>
      <c r="Q235" s="42">
        <f t="shared" si="61"/>
        <v>2055800</v>
      </c>
      <c r="R235" s="5"/>
    </row>
    <row r="236" spans="1:18" ht="13.5" x14ac:dyDescent="0.2">
      <c r="A236" s="47" t="s">
        <v>23</v>
      </c>
      <c r="B236" s="47" t="s">
        <v>24</v>
      </c>
      <c r="C236" s="21" t="s">
        <v>25</v>
      </c>
      <c r="D236" s="47" t="s">
        <v>893</v>
      </c>
      <c r="E236" s="21" t="s">
        <v>41</v>
      </c>
      <c r="F236" s="47" t="s">
        <v>32</v>
      </c>
      <c r="G236" s="21" t="s">
        <v>894</v>
      </c>
      <c r="H236" s="7" t="s">
        <v>895</v>
      </c>
      <c r="I236" s="8" t="s">
        <v>921</v>
      </c>
      <c r="J236" s="9">
        <v>2128400</v>
      </c>
      <c r="K236" s="8"/>
      <c r="L236" s="42">
        <f t="shared" ref="L236:L247" si="76">J236*1.5</f>
        <v>3192600</v>
      </c>
      <c r="M236" s="8"/>
      <c r="N236" s="42">
        <f t="shared" si="67"/>
        <v>3192600</v>
      </c>
      <c r="O236" s="42"/>
      <c r="P236" s="42">
        <f t="shared" si="75"/>
        <v>3192600</v>
      </c>
      <c r="Q236" s="42">
        <f t="shared" si="61"/>
        <v>3192600</v>
      </c>
      <c r="R236" s="5"/>
    </row>
    <row r="237" spans="1:18" ht="13.5" x14ac:dyDescent="0.2">
      <c r="A237" s="47" t="s">
        <v>23</v>
      </c>
      <c r="B237" s="47" t="s">
        <v>24</v>
      </c>
      <c r="C237" s="21" t="s">
        <v>25</v>
      </c>
      <c r="D237" s="47" t="s">
        <v>893</v>
      </c>
      <c r="E237" s="21" t="s">
        <v>41</v>
      </c>
      <c r="F237" s="47" t="s">
        <v>32</v>
      </c>
      <c r="G237" s="21" t="s">
        <v>894</v>
      </c>
      <c r="H237" s="7" t="s">
        <v>895</v>
      </c>
      <c r="I237" s="8" t="s">
        <v>902</v>
      </c>
      <c r="J237" s="9">
        <v>2520000</v>
      </c>
      <c r="K237" s="8"/>
      <c r="L237" s="42">
        <f t="shared" si="76"/>
        <v>3780000</v>
      </c>
      <c r="M237" s="8"/>
      <c r="N237" s="42">
        <f t="shared" si="67"/>
        <v>3780000</v>
      </c>
      <c r="O237" s="42"/>
      <c r="P237" s="42">
        <f t="shared" si="75"/>
        <v>3780000</v>
      </c>
      <c r="Q237" s="42">
        <f t="shared" si="61"/>
        <v>3780000</v>
      </c>
      <c r="R237" s="5"/>
    </row>
    <row r="238" spans="1:18" ht="13.5" x14ac:dyDescent="0.2">
      <c r="A238" s="47" t="s">
        <v>23</v>
      </c>
      <c r="B238" s="47" t="s">
        <v>24</v>
      </c>
      <c r="C238" s="21" t="s">
        <v>25</v>
      </c>
      <c r="D238" s="47" t="s">
        <v>893</v>
      </c>
      <c r="E238" s="21" t="s">
        <v>41</v>
      </c>
      <c r="F238" s="47" t="s">
        <v>32</v>
      </c>
      <c r="G238" s="21" t="s">
        <v>894</v>
      </c>
      <c r="H238" s="7" t="s">
        <v>895</v>
      </c>
      <c r="I238" s="8" t="s">
        <v>971</v>
      </c>
      <c r="J238" s="9">
        <v>2460000</v>
      </c>
      <c r="K238" s="8"/>
      <c r="L238" s="42">
        <f t="shared" si="76"/>
        <v>3690000</v>
      </c>
      <c r="M238" s="8"/>
      <c r="N238" s="42">
        <f t="shared" si="67"/>
        <v>3690000</v>
      </c>
      <c r="O238" s="42">
        <f>N238*1.5</f>
        <v>5535000</v>
      </c>
      <c r="P238" s="42"/>
      <c r="Q238" s="42">
        <f t="shared" si="61"/>
        <v>5535000</v>
      </c>
    </row>
    <row r="239" spans="1:18" ht="13.5" x14ac:dyDescent="0.2">
      <c r="A239" s="47" t="s">
        <v>23</v>
      </c>
      <c r="B239" s="47" t="s">
        <v>24</v>
      </c>
      <c r="C239" s="21" t="s">
        <v>25</v>
      </c>
      <c r="D239" s="47" t="s">
        <v>893</v>
      </c>
      <c r="E239" s="21" t="s">
        <v>41</v>
      </c>
      <c r="F239" s="47" t="s">
        <v>32</v>
      </c>
      <c r="G239" s="21" t="s">
        <v>894</v>
      </c>
      <c r="H239" s="7" t="s">
        <v>895</v>
      </c>
      <c r="I239" s="8" t="s">
        <v>946</v>
      </c>
      <c r="J239" s="9">
        <v>6771800</v>
      </c>
      <c r="K239" s="8"/>
      <c r="L239" s="42">
        <f t="shared" si="76"/>
        <v>10157700</v>
      </c>
      <c r="M239" s="8"/>
      <c r="N239" s="42">
        <f t="shared" si="67"/>
        <v>10157700</v>
      </c>
      <c r="O239" s="42"/>
      <c r="P239" s="42">
        <f t="shared" ref="P239:P240" si="77">N239</f>
        <v>10157700</v>
      </c>
      <c r="Q239" s="42">
        <f t="shared" si="61"/>
        <v>10157700</v>
      </c>
      <c r="R239" s="5"/>
    </row>
    <row r="240" spans="1:18" ht="13.5" x14ac:dyDescent="0.2">
      <c r="A240" s="47" t="s">
        <v>23</v>
      </c>
      <c r="B240" s="47" t="s">
        <v>24</v>
      </c>
      <c r="C240" s="21" t="s">
        <v>25</v>
      </c>
      <c r="D240" s="47" t="s">
        <v>893</v>
      </c>
      <c r="E240" s="21" t="s">
        <v>41</v>
      </c>
      <c r="F240" s="47" t="s">
        <v>32</v>
      </c>
      <c r="G240" s="21" t="s">
        <v>894</v>
      </c>
      <c r="H240" s="7" t="s">
        <v>895</v>
      </c>
      <c r="I240" s="8" t="s">
        <v>923</v>
      </c>
      <c r="J240" s="9">
        <v>1825200</v>
      </c>
      <c r="K240" s="8"/>
      <c r="L240" s="42">
        <f t="shared" si="76"/>
        <v>2737800</v>
      </c>
      <c r="M240" s="8"/>
      <c r="N240" s="42">
        <f t="shared" si="67"/>
        <v>2737800</v>
      </c>
      <c r="O240" s="42"/>
      <c r="P240" s="42">
        <f t="shared" si="77"/>
        <v>2737800</v>
      </c>
      <c r="Q240" s="42">
        <f t="shared" si="61"/>
        <v>2737800</v>
      </c>
      <c r="R240" s="5"/>
    </row>
    <row r="241" spans="1:18" ht="13.5" x14ac:dyDescent="0.2">
      <c r="A241" s="47" t="s">
        <v>23</v>
      </c>
      <c r="B241" s="47" t="s">
        <v>24</v>
      </c>
      <c r="C241" s="21" t="s">
        <v>25</v>
      </c>
      <c r="D241" s="47" t="s">
        <v>893</v>
      </c>
      <c r="E241" s="21" t="s">
        <v>41</v>
      </c>
      <c r="F241" s="47" t="s">
        <v>32</v>
      </c>
      <c r="G241" s="21" t="s">
        <v>894</v>
      </c>
      <c r="H241" s="7" t="s">
        <v>895</v>
      </c>
      <c r="I241" s="8" t="s">
        <v>767</v>
      </c>
      <c r="J241" s="9">
        <v>10910000</v>
      </c>
      <c r="K241" s="8"/>
      <c r="L241" s="42">
        <f t="shared" si="76"/>
        <v>16365000</v>
      </c>
      <c r="M241" s="8"/>
      <c r="N241" s="42">
        <f t="shared" si="67"/>
        <v>16365000</v>
      </c>
      <c r="O241" s="42">
        <f>N241*1.5</f>
        <v>24547500</v>
      </c>
      <c r="P241" s="42"/>
      <c r="Q241" s="42">
        <f t="shared" si="61"/>
        <v>24547500</v>
      </c>
    </row>
    <row r="242" spans="1:18" ht="13.5" x14ac:dyDescent="0.2">
      <c r="A242" s="47" t="s">
        <v>23</v>
      </c>
      <c r="B242" s="47" t="s">
        <v>24</v>
      </c>
      <c r="C242" s="21" t="s">
        <v>25</v>
      </c>
      <c r="D242" s="47" t="s">
        <v>893</v>
      </c>
      <c r="E242" s="21" t="s">
        <v>41</v>
      </c>
      <c r="F242" s="47" t="s">
        <v>32</v>
      </c>
      <c r="G242" s="21" t="s">
        <v>894</v>
      </c>
      <c r="H242" s="7" t="s">
        <v>895</v>
      </c>
      <c r="I242" s="8" t="s">
        <v>900</v>
      </c>
      <c r="J242" s="9">
        <v>12453200</v>
      </c>
      <c r="K242" s="8"/>
      <c r="L242" s="42">
        <f t="shared" si="76"/>
        <v>18679800</v>
      </c>
      <c r="M242" s="8"/>
      <c r="N242" s="42">
        <f t="shared" si="67"/>
        <v>18679800</v>
      </c>
      <c r="O242" s="42"/>
      <c r="P242" s="42">
        <f t="shared" ref="P242:P244" si="78">N242</f>
        <v>18679800</v>
      </c>
      <c r="Q242" s="42">
        <f t="shared" si="61"/>
        <v>18679800</v>
      </c>
      <c r="R242" s="5"/>
    </row>
    <row r="243" spans="1:18" ht="13.5" x14ac:dyDescent="0.2">
      <c r="A243" s="47" t="s">
        <v>23</v>
      </c>
      <c r="B243" s="47" t="s">
        <v>24</v>
      </c>
      <c r="C243" s="21" t="s">
        <v>25</v>
      </c>
      <c r="D243" s="47" t="s">
        <v>893</v>
      </c>
      <c r="E243" s="21" t="s">
        <v>41</v>
      </c>
      <c r="F243" s="47" t="s">
        <v>32</v>
      </c>
      <c r="G243" s="21" t="s">
        <v>894</v>
      </c>
      <c r="H243" s="7" t="s">
        <v>895</v>
      </c>
      <c r="I243" s="8" t="s">
        <v>976</v>
      </c>
      <c r="J243" s="9">
        <v>7499500</v>
      </c>
      <c r="K243" s="8"/>
      <c r="L243" s="42">
        <f t="shared" si="76"/>
        <v>11249250</v>
      </c>
      <c r="M243" s="8"/>
      <c r="N243" s="42">
        <f t="shared" si="67"/>
        <v>11249250</v>
      </c>
      <c r="O243" s="42"/>
      <c r="P243" s="42">
        <f t="shared" si="78"/>
        <v>11249250</v>
      </c>
      <c r="Q243" s="42">
        <f t="shared" si="61"/>
        <v>11249250</v>
      </c>
      <c r="R243" s="5"/>
    </row>
    <row r="244" spans="1:18" ht="13.5" x14ac:dyDescent="0.2">
      <c r="A244" s="47" t="s">
        <v>23</v>
      </c>
      <c r="B244" s="47" t="s">
        <v>24</v>
      </c>
      <c r="C244" s="21" t="s">
        <v>25</v>
      </c>
      <c r="D244" s="47" t="s">
        <v>893</v>
      </c>
      <c r="E244" s="21" t="s">
        <v>41</v>
      </c>
      <c r="F244" s="47" t="s">
        <v>32</v>
      </c>
      <c r="G244" s="21" t="s">
        <v>894</v>
      </c>
      <c r="H244" s="7" t="s">
        <v>895</v>
      </c>
      <c r="I244" s="8" t="s">
        <v>904</v>
      </c>
      <c r="J244" s="9">
        <v>1396800</v>
      </c>
      <c r="K244" s="8"/>
      <c r="L244" s="42">
        <f t="shared" si="76"/>
        <v>2095200</v>
      </c>
      <c r="M244" s="8"/>
      <c r="N244" s="42">
        <f t="shared" si="67"/>
        <v>2095200</v>
      </c>
      <c r="O244" s="42"/>
      <c r="P244" s="42">
        <f t="shared" si="78"/>
        <v>2095200</v>
      </c>
      <c r="Q244" s="42">
        <f t="shared" si="61"/>
        <v>2095200</v>
      </c>
      <c r="R244" s="5"/>
    </row>
    <row r="245" spans="1:18" ht="13.5" x14ac:dyDescent="0.2">
      <c r="A245" s="47" t="s">
        <v>23</v>
      </c>
      <c r="B245" s="47" t="s">
        <v>24</v>
      </c>
      <c r="C245" s="21" t="s">
        <v>25</v>
      </c>
      <c r="D245" s="47" t="s">
        <v>893</v>
      </c>
      <c r="E245" s="21" t="s">
        <v>41</v>
      </c>
      <c r="F245" s="47" t="s">
        <v>32</v>
      </c>
      <c r="G245" s="21" t="s">
        <v>894</v>
      </c>
      <c r="H245" s="7" t="s">
        <v>895</v>
      </c>
      <c r="I245" s="8" t="s">
        <v>936</v>
      </c>
      <c r="J245" s="9">
        <v>16192800</v>
      </c>
      <c r="K245" s="8"/>
      <c r="L245" s="42">
        <f t="shared" si="76"/>
        <v>24289200</v>
      </c>
      <c r="M245" s="8"/>
      <c r="N245" s="42">
        <f t="shared" si="67"/>
        <v>24289200</v>
      </c>
      <c r="O245" s="42">
        <f>N245*1.5</f>
        <v>36433800</v>
      </c>
      <c r="P245" s="42"/>
      <c r="Q245" s="42">
        <f t="shared" si="61"/>
        <v>36433800</v>
      </c>
    </row>
    <row r="246" spans="1:18" ht="13.5" x14ac:dyDescent="0.2">
      <c r="A246" s="47" t="s">
        <v>23</v>
      </c>
      <c r="B246" s="47" t="s">
        <v>24</v>
      </c>
      <c r="C246" s="21" t="s">
        <v>25</v>
      </c>
      <c r="D246" s="47" t="s">
        <v>893</v>
      </c>
      <c r="E246" s="21" t="s">
        <v>57</v>
      </c>
      <c r="F246" s="47" t="s">
        <v>32</v>
      </c>
      <c r="G246" s="21" t="s">
        <v>894</v>
      </c>
      <c r="H246" s="7" t="s">
        <v>895</v>
      </c>
      <c r="I246" s="8" t="s">
        <v>907</v>
      </c>
      <c r="J246" s="9">
        <v>4815600</v>
      </c>
      <c r="K246" s="8"/>
      <c r="L246" s="42">
        <f t="shared" si="76"/>
        <v>7223400</v>
      </c>
      <c r="M246" s="8"/>
      <c r="N246" s="42">
        <f t="shared" si="67"/>
        <v>7223400</v>
      </c>
      <c r="O246" s="42"/>
      <c r="P246" s="42">
        <f t="shared" ref="P246:P248" si="79">N246</f>
        <v>7223400</v>
      </c>
      <c r="Q246" s="42">
        <f t="shared" si="61"/>
        <v>7223400</v>
      </c>
      <c r="R246" s="5"/>
    </row>
    <row r="247" spans="1:18" ht="13.5" x14ac:dyDescent="0.2">
      <c r="A247" s="47" t="s">
        <v>23</v>
      </c>
      <c r="B247" s="47" t="s">
        <v>24</v>
      </c>
      <c r="C247" s="21" t="s">
        <v>25</v>
      </c>
      <c r="D247" s="47" t="s">
        <v>893</v>
      </c>
      <c r="E247" s="21" t="s">
        <v>57</v>
      </c>
      <c r="F247" s="47" t="s">
        <v>32</v>
      </c>
      <c r="G247" s="21" t="s">
        <v>894</v>
      </c>
      <c r="H247" s="7" t="s">
        <v>895</v>
      </c>
      <c r="I247" s="8" t="s">
        <v>928</v>
      </c>
      <c r="J247" s="9">
        <v>2113600</v>
      </c>
      <c r="K247" s="8"/>
      <c r="L247" s="42">
        <f t="shared" si="76"/>
        <v>3170400</v>
      </c>
      <c r="M247" s="8"/>
      <c r="N247" s="42">
        <f t="shared" si="67"/>
        <v>3170400</v>
      </c>
      <c r="O247" s="42"/>
      <c r="P247" s="42">
        <f t="shared" si="79"/>
        <v>3170400</v>
      </c>
      <c r="Q247" s="42">
        <f t="shared" si="61"/>
        <v>3170400</v>
      </c>
      <c r="R247" s="5"/>
    </row>
    <row r="248" spans="1:18" ht="13.5" x14ac:dyDescent="0.2">
      <c r="A248" s="47" t="s">
        <v>23</v>
      </c>
      <c r="B248" s="47" t="s">
        <v>24</v>
      </c>
      <c r="C248" s="21" t="s">
        <v>978</v>
      </c>
      <c r="D248" s="47" t="s">
        <v>979</v>
      </c>
      <c r="E248" s="21" t="s">
        <v>128</v>
      </c>
      <c r="F248" s="47" t="s">
        <v>32</v>
      </c>
      <c r="G248" s="21" t="s">
        <v>980</v>
      </c>
      <c r="H248" s="7" t="s">
        <v>981</v>
      </c>
      <c r="I248" s="8" t="s">
        <v>988</v>
      </c>
      <c r="J248" s="9">
        <v>2694000</v>
      </c>
      <c r="K248" s="8"/>
      <c r="L248" s="8"/>
      <c r="M248" s="8"/>
      <c r="N248" s="42">
        <f t="shared" ref="N248:N251" si="80">J248</f>
        <v>2694000</v>
      </c>
      <c r="O248" s="42"/>
      <c r="P248" s="42">
        <f t="shared" si="79"/>
        <v>2694000</v>
      </c>
      <c r="Q248" s="42">
        <f t="shared" si="61"/>
        <v>2694000</v>
      </c>
      <c r="R248" s="5"/>
    </row>
    <row r="249" spans="1:18" ht="13.5" hidden="1" x14ac:dyDescent="0.2">
      <c r="A249" s="12" t="s">
        <v>23</v>
      </c>
      <c r="B249" s="12" t="s">
        <v>24</v>
      </c>
      <c r="C249" s="13" t="s">
        <v>978</v>
      </c>
      <c r="D249" s="12" t="s">
        <v>979</v>
      </c>
      <c r="E249" s="13" t="s">
        <v>128</v>
      </c>
      <c r="F249" s="12" t="s">
        <v>181</v>
      </c>
      <c r="G249" s="13" t="s">
        <v>980</v>
      </c>
      <c r="H249" s="12" t="s">
        <v>981</v>
      </c>
      <c r="I249" s="13" t="s">
        <v>990</v>
      </c>
      <c r="J249" s="14" t="s">
        <v>3946</v>
      </c>
      <c r="K249" s="18"/>
      <c r="L249" s="18"/>
      <c r="M249" s="18"/>
      <c r="N249" s="20" t="str">
        <f t="shared" si="80"/>
        <v>-</v>
      </c>
      <c r="O249"/>
      <c r="P249"/>
    </row>
    <row r="250" spans="1:18" ht="13.5" x14ac:dyDescent="0.2">
      <c r="A250" s="47" t="s">
        <v>23</v>
      </c>
      <c r="B250" s="47" t="s">
        <v>24</v>
      </c>
      <c r="C250" s="21" t="s">
        <v>978</v>
      </c>
      <c r="D250" s="47" t="s">
        <v>979</v>
      </c>
      <c r="E250" s="21" t="s">
        <v>31</v>
      </c>
      <c r="F250" s="47" t="s">
        <v>32</v>
      </c>
      <c r="G250" s="21" t="s">
        <v>980</v>
      </c>
      <c r="H250" s="7" t="s">
        <v>981</v>
      </c>
      <c r="I250" s="8" t="s">
        <v>994</v>
      </c>
      <c r="J250" s="9">
        <v>3050400</v>
      </c>
      <c r="K250" s="8"/>
      <c r="L250" s="8"/>
      <c r="M250" s="8"/>
      <c r="N250" s="42">
        <f t="shared" si="80"/>
        <v>3050400</v>
      </c>
      <c r="O250" s="42">
        <f>N250*1.5</f>
        <v>4575600</v>
      </c>
      <c r="P250" s="42"/>
      <c r="Q250" s="42">
        <f t="shared" ref="Q250:Q255" si="81">SUM(O250:P250)</f>
        <v>4575600</v>
      </c>
    </row>
    <row r="251" spans="1:18" ht="13.5" x14ac:dyDescent="0.2">
      <c r="A251" s="47" t="s">
        <v>23</v>
      </c>
      <c r="B251" s="47" t="s">
        <v>24</v>
      </c>
      <c r="C251" s="21" t="s">
        <v>978</v>
      </c>
      <c r="D251" s="47" t="s">
        <v>979</v>
      </c>
      <c r="E251" s="21" t="s">
        <v>31</v>
      </c>
      <c r="F251" s="47" t="s">
        <v>32</v>
      </c>
      <c r="G251" s="21" t="s">
        <v>980</v>
      </c>
      <c r="H251" s="7" t="s">
        <v>981</v>
      </c>
      <c r="I251" s="8" t="s">
        <v>992</v>
      </c>
      <c r="J251" s="9">
        <v>378000</v>
      </c>
      <c r="K251" s="8"/>
      <c r="L251" s="8"/>
      <c r="M251" s="8"/>
      <c r="N251" s="42">
        <f t="shared" si="80"/>
        <v>378000</v>
      </c>
      <c r="O251" s="42"/>
      <c r="P251" s="42">
        <f>N251</f>
        <v>378000</v>
      </c>
      <c r="Q251" s="42">
        <f t="shared" si="81"/>
        <v>378000</v>
      </c>
      <c r="R251" s="5"/>
    </row>
    <row r="252" spans="1:18" ht="13.5" x14ac:dyDescent="0.2">
      <c r="A252" s="47" t="s">
        <v>23</v>
      </c>
      <c r="B252" s="47" t="s">
        <v>24</v>
      </c>
      <c r="C252" s="21" t="s">
        <v>978</v>
      </c>
      <c r="D252" s="47" t="s">
        <v>979</v>
      </c>
      <c r="E252" s="21" t="s">
        <v>41</v>
      </c>
      <c r="F252" s="47" t="s">
        <v>32</v>
      </c>
      <c r="G252" s="21" t="s">
        <v>980</v>
      </c>
      <c r="H252" s="7" t="s">
        <v>981</v>
      </c>
      <c r="I252" s="8" t="s">
        <v>982</v>
      </c>
      <c r="J252" s="9">
        <v>3929200</v>
      </c>
      <c r="K252" s="8"/>
      <c r="L252" s="42">
        <f t="shared" ref="L252:L255" si="82">J252*1.5</f>
        <v>5893800</v>
      </c>
      <c r="M252" s="8"/>
      <c r="N252" s="42">
        <f t="shared" si="67"/>
        <v>5893800</v>
      </c>
      <c r="O252" s="42">
        <f t="shared" ref="O252:O254" si="83">N252*1.5</f>
        <v>8840700</v>
      </c>
      <c r="P252" s="42"/>
      <c r="Q252" s="42">
        <f t="shared" si="81"/>
        <v>8840700</v>
      </c>
    </row>
    <row r="253" spans="1:18" ht="13.5" x14ac:dyDescent="0.2">
      <c r="A253" s="47" t="s">
        <v>23</v>
      </c>
      <c r="B253" s="47" t="s">
        <v>24</v>
      </c>
      <c r="C253" s="21" t="s">
        <v>978</v>
      </c>
      <c r="D253" s="47" t="s">
        <v>979</v>
      </c>
      <c r="E253" s="21" t="s">
        <v>41</v>
      </c>
      <c r="F253" s="47" t="s">
        <v>32</v>
      </c>
      <c r="G253" s="21" t="s">
        <v>980</v>
      </c>
      <c r="H253" s="7" t="s">
        <v>981</v>
      </c>
      <c r="I253" s="8" t="s">
        <v>986</v>
      </c>
      <c r="J253" s="9">
        <v>8994000</v>
      </c>
      <c r="K253" s="8"/>
      <c r="L253" s="42">
        <f t="shared" si="82"/>
        <v>13491000</v>
      </c>
      <c r="M253" s="8"/>
      <c r="N253" s="42">
        <f t="shared" si="67"/>
        <v>13491000</v>
      </c>
      <c r="O253" s="42">
        <f t="shared" si="83"/>
        <v>20236500</v>
      </c>
      <c r="P253" s="42"/>
      <c r="Q253" s="42">
        <f t="shared" si="81"/>
        <v>20236500</v>
      </c>
    </row>
    <row r="254" spans="1:18" ht="13.5" x14ac:dyDescent="0.2">
      <c r="A254" s="47" t="s">
        <v>23</v>
      </c>
      <c r="B254" s="47" t="s">
        <v>24</v>
      </c>
      <c r="C254" s="21" t="s">
        <v>978</v>
      </c>
      <c r="D254" s="47" t="s">
        <v>979</v>
      </c>
      <c r="E254" s="21" t="s">
        <v>41</v>
      </c>
      <c r="F254" s="47" t="s">
        <v>32</v>
      </c>
      <c r="G254" s="21" t="s">
        <v>980</v>
      </c>
      <c r="H254" s="7" t="s">
        <v>981</v>
      </c>
      <c r="I254" s="8" t="s">
        <v>984</v>
      </c>
      <c r="J254" s="9">
        <v>6260800</v>
      </c>
      <c r="K254" s="8"/>
      <c r="L254" s="42">
        <f t="shared" si="82"/>
        <v>9391200</v>
      </c>
      <c r="M254" s="8"/>
      <c r="N254" s="42">
        <f t="shared" si="67"/>
        <v>9391200</v>
      </c>
      <c r="O254" s="42">
        <f t="shared" si="83"/>
        <v>14086800</v>
      </c>
      <c r="P254" s="42"/>
      <c r="Q254" s="42">
        <f t="shared" si="81"/>
        <v>14086800</v>
      </c>
    </row>
    <row r="255" spans="1:18" ht="13.5" x14ac:dyDescent="0.2">
      <c r="A255" s="47" t="s">
        <v>23</v>
      </c>
      <c r="B255" s="47" t="s">
        <v>24</v>
      </c>
      <c r="C255" s="21" t="s">
        <v>978</v>
      </c>
      <c r="D255" s="47" t="s">
        <v>996</v>
      </c>
      <c r="E255" s="21" t="s">
        <v>41</v>
      </c>
      <c r="F255" s="47" t="s">
        <v>32</v>
      </c>
      <c r="G255" s="21" t="s">
        <v>997</v>
      </c>
      <c r="H255" s="7" t="s">
        <v>998</v>
      </c>
      <c r="I255" s="8" t="s">
        <v>1004</v>
      </c>
      <c r="J255" s="9">
        <v>6635500</v>
      </c>
      <c r="K255" s="8"/>
      <c r="L255" s="42">
        <f t="shared" si="82"/>
        <v>9953250</v>
      </c>
      <c r="M255" s="8"/>
      <c r="N255" s="42">
        <f t="shared" si="67"/>
        <v>9953250</v>
      </c>
      <c r="O255" s="42"/>
      <c r="P255" s="42">
        <f>N255</f>
        <v>9953250</v>
      </c>
      <c r="Q255" s="42">
        <f t="shared" si="81"/>
        <v>9953250</v>
      </c>
      <c r="R255" s="5"/>
    </row>
    <row r="256" spans="1:18" ht="13.5" hidden="1" x14ac:dyDescent="0.2">
      <c r="A256" s="12" t="s">
        <v>23</v>
      </c>
      <c r="B256" s="12" t="s">
        <v>24</v>
      </c>
      <c r="C256" s="13" t="s">
        <v>978</v>
      </c>
      <c r="D256" s="12" t="s">
        <v>996</v>
      </c>
      <c r="E256" s="13" t="s">
        <v>999</v>
      </c>
      <c r="F256" s="12" t="s">
        <v>181</v>
      </c>
      <c r="G256" s="13" t="s">
        <v>997</v>
      </c>
      <c r="H256" s="12" t="s">
        <v>998</v>
      </c>
      <c r="I256" s="13" t="s">
        <v>1000</v>
      </c>
      <c r="J256" s="14" t="s">
        <v>3946</v>
      </c>
      <c r="K256" s="18"/>
      <c r="L256" s="18"/>
      <c r="M256" s="18"/>
      <c r="N256" s="20" t="str">
        <f>J256</f>
        <v>-</v>
      </c>
      <c r="O256"/>
      <c r="P256"/>
    </row>
    <row r="257" spans="1:18" ht="13.5" x14ac:dyDescent="0.2">
      <c r="A257" s="47" t="s">
        <v>23</v>
      </c>
      <c r="B257" s="47" t="s">
        <v>24</v>
      </c>
      <c r="C257" s="21" t="s">
        <v>978</v>
      </c>
      <c r="D257" s="47" t="s">
        <v>996</v>
      </c>
      <c r="E257" s="21" t="s">
        <v>57</v>
      </c>
      <c r="F257" s="47" t="s">
        <v>32</v>
      </c>
      <c r="G257" s="21" t="s">
        <v>997</v>
      </c>
      <c r="H257" s="7" t="s">
        <v>998</v>
      </c>
      <c r="I257" s="8" t="s">
        <v>1002</v>
      </c>
      <c r="J257" s="9">
        <v>7495000</v>
      </c>
      <c r="K257" s="8"/>
      <c r="L257" s="42">
        <f t="shared" ref="L257" si="84">J257*1.5</f>
        <v>11242500</v>
      </c>
      <c r="M257" s="8"/>
      <c r="N257" s="42">
        <f t="shared" si="67"/>
        <v>11242500</v>
      </c>
      <c r="O257" s="42"/>
      <c r="P257" s="42">
        <f>N257</f>
        <v>11242500</v>
      </c>
      <c r="Q257" s="42">
        <f t="shared" ref="Q257:Q258" si="85">SUM(O257:P257)</f>
        <v>11242500</v>
      </c>
      <c r="R257" s="5"/>
    </row>
    <row r="258" spans="1:18" ht="13.5" x14ac:dyDescent="0.2">
      <c r="A258" s="47" t="s">
        <v>23</v>
      </c>
      <c r="B258" s="47" t="s">
        <v>24</v>
      </c>
      <c r="C258" s="21" t="s">
        <v>978</v>
      </c>
      <c r="D258" s="47" t="s">
        <v>1006</v>
      </c>
      <c r="E258" s="21" t="s">
        <v>128</v>
      </c>
      <c r="F258" s="47" t="s">
        <v>135</v>
      </c>
      <c r="G258" s="21" t="s">
        <v>1015</v>
      </c>
      <c r="H258" s="7" t="s">
        <v>1016</v>
      </c>
      <c r="I258" s="8" t="s">
        <v>1025</v>
      </c>
      <c r="J258" s="9">
        <v>1827600</v>
      </c>
      <c r="K258" s="8"/>
      <c r="L258" s="8"/>
      <c r="M258" s="8"/>
      <c r="N258" s="42">
        <f t="shared" ref="N258:N265" si="86">J258</f>
        <v>1827600</v>
      </c>
      <c r="O258" s="42">
        <f>N258*1.5</f>
        <v>2741400</v>
      </c>
      <c r="P258" s="42"/>
      <c r="Q258" s="42">
        <f t="shared" si="85"/>
        <v>2741400</v>
      </c>
    </row>
    <row r="259" spans="1:18" ht="13.5" hidden="1" x14ac:dyDescent="0.2">
      <c r="A259" s="12" t="s">
        <v>23</v>
      </c>
      <c r="B259" s="12" t="s">
        <v>24</v>
      </c>
      <c r="C259" s="13" t="s">
        <v>978</v>
      </c>
      <c r="D259" s="12" t="s">
        <v>1006</v>
      </c>
      <c r="E259" s="13" t="s">
        <v>128</v>
      </c>
      <c r="F259" s="12" t="s">
        <v>181</v>
      </c>
      <c r="G259" s="13" t="s">
        <v>1015</v>
      </c>
      <c r="H259" s="12" t="s">
        <v>1016</v>
      </c>
      <c r="I259" s="13" t="s">
        <v>1017</v>
      </c>
      <c r="J259" s="14" t="s">
        <v>3946</v>
      </c>
      <c r="K259" s="18"/>
      <c r="L259" s="18"/>
      <c r="M259" s="18"/>
      <c r="N259" s="20" t="str">
        <f t="shared" si="86"/>
        <v>-</v>
      </c>
      <c r="O259"/>
      <c r="P259"/>
    </row>
    <row r="260" spans="1:18" ht="13.5" hidden="1" x14ac:dyDescent="0.2">
      <c r="A260" s="7" t="s">
        <v>23</v>
      </c>
      <c r="B260" s="7" t="s">
        <v>24</v>
      </c>
      <c r="C260" s="8" t="s">
        <v>978</v>
      </c>
      <c r="D260" s="7" t="s">
        <v>1006</v>
      </c>
      <c r="E260" s="8" t="s">
        <v>128</v>
      </c>
      <c r="F260" s="7" t="s">
        <v>181</v>
      </c>
      <c r="G260" s="8" t="s">
        <v>1015</v>
      </c>
      <c r="H260" s="7" t="s">
        <v>1016</v>
      </c>
      <c r="I260" s="8" t="s">
        <v>1019</v>
      </c>
      <c r="J260" s="9" t="s">
        <v>3946</v>
      </c>
      <c r="K260" s="15"/>
      <c r="L260" s="15"/>
      <c r="M260" s="15"/>
      <c r="N260" s="16" t="str">
        <f t="shared" si="86"/>
        <v>-</v>
      </c>
      <c r="O260"/>
      <c r="P260"/>
    </row>
    <row r="261" spans="1:18" ht="13.5" hidden="1" x14ac:dyDescent="0.2">
      <c r="A261" s="7" t="s">
        <v>23</v>
      </c>
      <c r="B261" s="7" t="s">
        <v>24</v>
      </c>
      <c r="C261" s="8" t="s">
        <v>978</v>
      </c>
      <c r="D261" s="7" t="s">
        <v>1006</v>
      </c>
      <c r="E261" s="8" t="s">
        <v>128</v>
      </c>
      <c r="F261" s="7" t="s">
        <v>181</v>
      </c>
      <c r="G261" s="8" t="s">
        <v>1015</v>
      </c>
      <c r="H261" s="7" t="s">
        <v>1016</v>
      </c>
      <c r="I261" s="8" t="s">
        <v>1021</v>
      </c>
      <c r="J261" s="9" t="s">
        <v>3946</v>
      </c>
      <c r="K261" s="15"/>
      <c r="L261" s="15"/>
      <c r="M261" s="15"/>
      <c r="N261" s="16" t="str">
        <f t="shared" si="86"/>
        <v>-</v>
      </c>
      <c r="O261"/>
      <c r="P261"/>
    </row>
    <row r="262" spans="1:18" ht="13.5" hidden="1" x14ac:dyDescent="0.2">
      <c r="A262" s="7" t="s">
        <v>23</v>
      </c>
      <c r="B262" s="7" t="s">
        <v>24</v>
      </c>
      <c r="C262" s="8" t="s">
        <v>978</v>
      </c>
      <c r="D262" s="7" t="s">
        <v>1006</v>
      </c>
      <c r="E262" s="8" t="s">
        <v>128</v>
      </c>
      <c r="F262" s="7" t="s">
        <v>181</v>
      </c>
      <c r="G262" s="8" t="s">
        <v>1015</v>
      </c>
      <c r="H262" s="7" t="s">
        <v>1016</v>
      </c>
      <c r="I262" s="8" t="s">
        <v>1023</v>
      </c>
      <c r="J262" s="9" t="s">
        <v>3946</v>
      </c>
      <c r="K262" s="15"/>
      <c r="L262" s="15"/>
      <c r="M262" s="15"/>
      <c r="N262" s="16" t="str">
        <f t="shared" si="86"/>
        <v>-</v>
      </c>
      <c r="O262"/>
      <c r="P262"/>
    </row>
    <row r="263" spans="1:18" ht="13.5" x14ac:dyDescent="0.2">
      <c r="A263" s="47" t="s">
        <v>23</v>
      </c>
      <c r="B263" s="47" t="s">
        <v>24</v>
      </c>
      <c r="C263" s="21" t="s">
        <v>978</v>
      </c>
      <c r="D263" s="47" t="s">
        <v>1006</v>
      </c>
      <c r="E263" s="21" t="s">
        <v>31</v>
      </c>
      <c r="F263" s="47" t="s">
        <v>32</v>
      </c>
      <c r="G263" s="21" t="s">
        <v>1007</v>
      </c>
      <c r="H263" s="7" t="s">
        <v>1008</v>
      </c>
      <c r="I263" s="8" t="s">
        <v>1009</v>
      </c>
      <c r="J263" s="9">
        <v>2730300</v>
      </c>
      <c r="K263" s="8"/>
      <c r="L263" s="8"/>
      <c r="M263" s="8"/>
      <c r="N263" s="42">
        <f t="shared" si="86"/>
        <v>2730300</v>
      </c>
      <c r="O263" s="42"/>
      <c r="P263" s="42">
        <f t="shared" ref="P263:P264" si="87">N263</f>
        <v>2730300</v>
      </c>
      <c r="Q263" s="42">
        <f t="shared" ref="Q263:Q264" si="88">SUM(O263:P263)</f>
        <v>2730300</v>
      </c>
      <c r="R263" s="5"/>
    </row>
    <row r="264" spans="1:18" ht="13.5" x14ac:dyDescent="0.2">
      <c r="A264" s="47" t="s">
        <v>23</v>
      </c>
      <c r="B264" s="47" t="s">
        <v>24</v>
      </c>
      <c r="C264" s="21" t="s">
        <v>978</v>
      </c>
      <c r="D264" s="47" t="s">
        <v>1006</v>
      </c>
      <c r="E264" s="21" t="s">
        <v>31</v>
      </c>
      <c r="F264" s="47" t="s">
        <v>32</v>
      </c>
      <c r="G264" s="21" t="s">
        <v>1007</v>
      </c>
      <c r="H264" s="7" t="s">
        <v>1008</v>
      </c>
      <c r="I264" s="8" t="s">
        <v>1011</v>
      </c>
      <c r="J264" s="9">
        <v>4898400</v>
      </c>
      <c r="K264" s="8"/>
      <c r="L264" s="8"/>
      <c r="M264" s="8"/>
      <c r="N264" s="42">
        <f t="shared" si="86"/>
        <v>4898400</v>
      </c>
      <c r="O264" s="42"/>
      <c r="P264" s="42">
        <f t="shared" si="87"/>
        <v>4898400</v>
      </c>
      <c r="Q264" s="42">
        <f t="shared" si="88"/>
        <v>4898400</v>
      </c>
      <c r="R264" s="5"/>
    </row>
    <row r="265" spans="1:18" ht="13.5" hidden="1" x14ac:dyDescent="0.2">
      <c r="A265" s="12" t="s">
        <v>23</v>
      </c>
      <c r="B265" s="12" t="s">
        <v>24</v>
      </c>
      <c r="C265" s="13" t="s">
        <v>978</v>
      </c>
      <c r="D265" s="12" t="s">
        <v>1006</v>
      </c>
      <c r="E265" s="13" t="s">
        <v>31</v>
      </c>
      <c r="F265" s="12" t="s">
        <v>181</v>
      </c>
      <c r="G265" s="13" t="s">
        <v>1015</v>
      </c>
      <c r="H265" s="12" t="s">
        <v>1016</v>
      </c>
      <c r="I265" s="13" t="s">
        <v>1029</v>
      </c>
      <c r="J265" s="14" t="s">
        <v>3946</v>
      </c>
      <c r="K265" s="18"/>
      <c r="L265" s="18"/>
      <c r="M265" s="18"/>
      <c r="N265" s="20" t="str">
        <f t="shared" si="86"/>
        <v>-</v>
      </c>
      <c r="O265"/>
      <c r="P265"/>
    </row>
    <row r="266" spans="1:18" ht="13.5" x14ac:dyDescent="0.2">
      <c r="A266" s="47" t="s">
        <v>23</v>
      </c>
      <c r="B266" s="47" t="s">
        <v>24</v>
      </c>
      <c r="C266" s="21" t="s">
        <v>978</v>
      </c>
      <c r="D266" s="47" t="s">
        <v>1006</v>
      </c>
      <c r="E266" s="21" t="s">
        <v>41</v>
      </c>
      <c r="F266" s="47" t="s">
        <v>32</v>
      </c>
      <c r="G266" s="21" t="s">
        <v>1007</v>
      </c>
      <c r="H266" s="7" t="s">
        <v>1008</v>
      </c>
      <c r="I266" s="8" t="s">
        <v>1013</v>
      </c>
      <c r="J266" s="9">
        <v>8757700</v>
      </c>
      <c r="K266" s="8"/>
      <c r="L266" s="42">
        <f t="shared" ref="L266:L270" si="89">J266*1.5</f>
        <v>13136550</v>
      </c>
      <c r="M266" s="8"/>
      <c r="N266" s="42">
        <f t="shared" ref="N266:N323" si="90">SUM(K266:M266)</f>
        <v>13136550</v>
      </c>
      <c r="O266" s="42"/>
      <c r="P266" s="42">
        <f t="shared" ref="P266:P269" si="91">N266</f>
        <v>13136550</v>
      </c>
      <c r="Q266" s="42">
        <f t="shared" ref="Q266:Q271" si="92">SUM(O266:P266)</f>
        <v>13136550</v>
      </c>
      <c r="R266" s="5"/>
    </row>
    <row r="267" spans="1:18" ht="13.5" x14ac:dyDescent="0.2">
      <c r="A267" s="47" t="s">
        <v>23</v>
      </c>
      <c r="B267" s="47" t="s">
        <v>24</v>
      </c>
      <c r="C267" s="21" t="s">
        <v>978</v>
      </c>
      <c r="D267" s="47" t="s">
        <v>1006</v>
      </c>
      <c r="E267" s="21" t="s">
        <v>41</v>
      </c>
      <c r="F267" s="47" t="s">
        <v>32</v>
      </c>
      <c r="G267" s="21" t="s">
        <v>1015</v>
      </c>
      <c r="H267" s="7" t="s">
        <v>1016</v>
      </c>
      <c r="I267" s="8" t="s">
        <v>1027</v>
      </c>
      <c r="J267" s="9">
        <v>9117000</v>
      </c>
      <c r="K267" s="8"/>
      <c r="L267" s="42">
        <f t="shared" si="89"/>
        <v>13675500</v>
      </c>
      <c r="M267" s="8"/>
      <c r="N267" s="42">
        <f t="shared" si="90"/>
        <v>13675500</v>
      </c>
      <c r="O267" s="42"/>
      <c r="P267" s="42">
        <f t="shared" si="91"/>
        <v>13675500</v>
      </c>
      <c r="Q267" s="42">
        <f t="shared" si="92"/>
        <v>13675500</v>
      </c>
      <c r="R267" s="5"/>
    </row>
    <row r="268" spans="1:18" ht="13.5" x14ac:dyDescent="0.2">
      <c r="A268" s="47" t="s">
        <v>23</v>
      </c>
      <c r="B268" s="47" t="s">
        <v>24</v>
      </c>
      <c r="C268" s="21" t="s">
        <v>978</v>
      </c>
      <c r="D268" s="47" t="s">
        <v>1006</v>
      </c>
      <c r="E268" s="21" t="s">
        <v>41</v>
      </c>
      <c r="F268" s="47" t="s">
        <v>32</v>
      </c>
      <c r="G268" s="21" t="s">
        <v>1015</v>
      </c>
      <c r="H268" s="7" t="s">
        <v>1016</v>
      </c>
      <c r="I268" s="8" t="s">
        <v>1033</v>
      </c>
      <c r="J268" s="9">
        <v>1417900</v>
      </c>
      <c r="K268" s="8"/>
      <c r="L268" s="42">
        <f t="shared" si="89"/>
        <v>2126850</v>
      </c>
      <c r="M268" s="8"/>
      <c r="N268" s="42">
        <f t="shared" si="90"/>
        <v>2126850</v>
      </c>
      <c r="O268" s="42"/>
      <c r="P268" s="42">
        <f t="shared" si="91"/>
        <v>2126850</v>
      </c>
      <c r="Q268" s="42">
        <f t="shared" si="92"/>
        <v>2126850</v>
      </c>
      <c r="R268" s="5"/>
    </row>
    <row r="269" spans="1:18" ht="13.5" x14ac:dyDescent="0.2">
      <c r="A269" s="47" t="s">
        <v>23</v>
      </c>
      <c r="B269" s="47" t="s">
        <v>24</v>
      </c>
      <c r="C269" s="21" t="s">
        <v>978</v>
      </c>
      <c r="D269" s="47" t="s">
        <v>1006</v>
      </c>
      <c r="E269" s="21" t="s">
        <v>41</v>
      </c>
      <c r="F269" s="47" t="s">
        <v>32</v>
      </c>
      <c r="G269" s="21" t="s">
        <v>1035</v>
      </c>
      <c r="H269" s="7" t="s">
        <v>1036</v>
      </c>
      <c r="I269" s="8" t="s">
        <v>1037</v>
      </c>
      <c r="J269" s="9">
        <v>3890400</v>
      </c>
      <c r="K269" s="8"/>
      <c r="L269" s="42">
        <f t="shared" si="89"/>
        <v>5835600</v>
      </c>
      <c r="M269" s="8"/>
      <c r="N269" s="42">
        <f t="shared" si="90"/>
        <v>5835600</v>
      </c>
      <c r="O269" s="42"/>
      <c r="P269" s="42">
        <f t="shared" si="91"/>
        <v>5835600</v>
      </c>
      <c r="Q269" s="42">
        <f t="shared" si="92"/>
        <v>5835600</v>
      </c>
      <c r="R269" s="5"/>
    </row>
    <row r="270" spans="1:18" ht="13.5" x14ac:dyDescent="0.2">
      <c r="A270" s="47" t="s">
        <v>23</v>
      </c>
      <c r="B270" s="47" t="s">
        <v>24</v>
      </c>
      <c r="C270" s="21" t="s">
        <v>978</v>
      </c>
      <c r="D270" s="47" t="s">
        <v>1006</v>
      </c>
      <c r="E270" s="21" t="s">
        <v>41</v>
      </c>
      <c r="F270" s="47" t="s">
        <v>32</v>
      </c>
      <c r="G270" s="21" t="s">
        <v>1035</v>
      </c>
      <c r="H270" s="7" t="s">
        <v>1036</v>
      </c>
      <c r="I270" s="8" t="s">
        <v>1039</v>
      </c>
      <c r="J270" s="9">
        <v>6630000</v>
      </c>
      <c r="K270" s="8"/>
      <c r="L270" s="42">
        <f t="shared" si="89"/>
        <v>9945000</v>
      </c>
      <c r="M270" s="8"/>
      <c r="N270" s="42">
        <f t="shared" si="90"/>
        <v>9945000</v>
      </c>
      <c r="O270" s="42">
        <f>N270*1.5</f>
        <v>14917500</v>
      </c>
      <c r="P270" s="42"/>
      <c r="Q270" s="42">
        <f t="shared" si="92"/>
        <v>14917500</v>
      </c>
    </row>
    <row r="271" spans="1:18" ht="13.5" x14ac:dyDescent="0.2">
      <c r="A271" s="47" t="s">
        <v>23</v>
      </c>
      <c r="B271" s="47" t="s">
        <v>24</v>
      </c>
      <c r="C271" s="21" t="s">
        <v>978</v>
      </c>
      <c r="D271" s="47" t="s">
        <v>1041</v>
      </c>
      <c r="E271" s="21" t="s">
        <v>128</v>
      </c>
      <c r="F271" s="47" t="s">
        <v>32</v>
      </c>
      <c r="G271" s="21" t="s">
        <v>1084</v>
      </c>
      <c r="H271" s="7" t="s">
        <v>1085</v>
      </c>
      <c r="I271" s="8" t="s">
        <v>1092</v>
      </c>
      <c r="J271" s="9">
        <v>662000</v>
      </c>
      <c r="K271" s="8"/>
      <c r="L271" s="8"/>
      <c r="M271" s="8"/>
      <c r="N271" s="42">
        <f t="shared" ref="N271:N287" si="93">J271</f>
        <v>662000</v>
      </c>
      <c r="O271" s="42"/>
      <c r="P271" s="42">
        <f>N271</f>
        <v>662000</v>
      </c>
      <c r="Q271" s="42">
        <f t="shared" si="92"/>
        <v>662000</v>
      </c>
      <c r="R271" s="5"/>
    </row>
    <row r="272" spans="1:18" ht="13.5" hidden="1" x14ac:dyDescent="0.2">
      <c r="A272" s="12" t="s">
        <v>23</v>
      </c>
      <c r="B272" s="12" t="s">
        <v>24</v>
      </c>
      <c r="C272" s="13" t="s">
        <v>978</v>
      </c>
      <c r="D272" s="12" t="s">
        <v>1041</v>
      </c>
      <c r="E272" s="13" t="s">
        <v>128</v>
      </c>
      <c r="F272" s="12" t="s">
        <v>181</v>
      </c>
      <c r="G272" s="13" t="s">
        <v>1042</v>
      </c>
      <c r="H272" s="12" t="s">
        <v>1043</v>
      </c>
      <c r="I272" s="13" t="s">
        <v>1062</v>
      </c>
      <c r="J272" s="14" t="s">
        <v>3946</v>
      </c>
      <c r="K272" s="18"/>
      <c r="L272" s="18"/>
      <c r="M272" s="18"/>
      <c r="N272" s="20" t="str">
        <f t="shared" si="93"/>
        <v>-</v>
      </c>
      <c r="O272"/>
      <c r="P272"/>
    </row>
    <row r="273" spans="1:18" ht="13.5" hidden="1" x14ac:dyDescent="0.2">
      <c r="A273" s="7" t="s">
        <v>23</v>
      </c>
      <c r="B273" s="7" t="s">
        <v>24</v>
      </c>
      <c r="C273" s="8" t="s">
        <v>978</v>
      </c>
      <c r="D273" s="7" t="s">
        <v>1041</v>
      </c>
      <c r="E273" s="8" t="s">
        <v>128</v>
      </c>
      <c r="F273" s="7" t="s">
        <v>181</v>
      </c>
      <c r="G273" s="8" t="s">
        <v>1042</v>
      </c>
      <c r="H273" s="7" t="s">
        <v>1043</v>
      </c>
      <c r="I273" s="8" t="s">
        <v>1064</v>
      </c>
      <c r="J273" s="9" t="s">
        <v>3946</v>
      </c>
      <c r="K273" s="15"/>
      <c r="L273" s="15"/>
      <c r="M273" s="15"/>
      <c r="N273" s="16" t="str">
        <f t="shared" si="93"/>
        <v>-</v>
      </c>
      <c r="O273"/>
      <c r="P273"/>
    </row>
    <row r="274" spans="1:18" ht="13.5" hidden="1" x14ac:dyDescent="0.2">
      <c r="A274" s="7" t="s">
        <v>23</v>
      </c>
      <c r="B274" s="7" t="s">
        <v>24</v>
      </c>
      <c r="C274" s="8" t="s">
        <v>978</v>
      </c>
      <c r="D274" s="7" t="s">
        <v>1041</v>
      </c>
      <c r="E274" s="8" t="s">
        <v>128</v>
      </c>
      <c r="F274" s="7" t="s">
        <v>181</v>
      </c>
      <c r="G274" s="8" t="s">
        <v>1042</v>
      </c>
      <c r="H274" s="7" t="s">
        <v>1043</v>
      </c>
      <c r="I274" s="8" t="s">
        <v>1078</v>
      </c>
      <c r="J274" s="9" t="s">
        <v>3946</v>
      </c>
      <c r="K274" s="15"/>
      <c r="L274" s="15"/>
      <c r="M274" s="15"/>
      <c r="N274" s="16" t="str">
        <f t="shared" si="93"/>
        <v>-</v>
      </c>
      <c r="O274"/>
      <c r="P274"/>
    </row>
    <row r="275" spans="1:18" ht="13.5" hidden="1" x14ac:dyDescent="0.2">
      <c r="A275" s="7" t="s">
        <v>23</v>
      </c>
      <c r="B275" s="7" t="s">
        <v>24</v>
      </c>
      <c r="C275" s="8" t="s">
        <v>978</v>
      </c>
      <c r="D275" s="7" t="s">
        <v>1041</v>
      </c>
      <c r="E275" s="8" t="s">
        <v>128</v>
      </c>
      <c r="F275" s="7" t="s">
        <v>181</v>
      </c>
      <c r="G275" s="8" t="s">
        <v>1042</v>
      </c>
      <c r="H275" s="7" t="s">
        <v>1043</v>
      </c>
      <c r="I275" s="8" t="s">
        <v>1044</v>
      </c>
      <c r="J275" s="9" t="s">
        <v>3946</v>
      </c>
      <c r="K275" s="15"/>
      <c r="L275" s="15"/>
      <c r="M275" s="15"/>
      <c r="N275" s="16" t="str">
        <f t="shared" si="93"/>
        <v>-</v>
      </c>
      <c r="O275"/>
      <c r="P275"/>
    </row>
    <row r="276" spans="1:18" ht="13.5" hidden="1" x14ac:dyDescent="0.2">
      <c r="A276" s="7" t="s">
        <v>23</v>
      </c>
      <c r="B276" s="7" t="s">
        <v>24</v>
      </c>
      <c r="C276" s="8" t="s">
        <v>978</v>
      </c>
      <c r="D276" s="7" t="s">
        <v>1041</v>
      </c>
      <c r="E276" s="8" t="s">
        <v>128</v>
      </c>
      <c r="F276" s="7" t="s">
        <v>181</v>
      </c>
      <c r="G276" s="8" t="s">
        <v>1042</v>
      </c>
      <c r="H276" s="7" t="s">
        <v>1043</v>
      </c>
      <c r="I276" s="8" t="s">
        <v>1046</v>
      </c>
      <c r="J276" s="9" t="s">
        <v>3946</v>
      </c>
      <c r="K276" s="15"/>
      <c r="L276" s="15"/>
      <c r="M276" s="15"/>
      <c r="N276" s="16" t="str">
        <f t="shared" si="93"/>
        <v>-</v>
      </c>
      <c r="O276"/>
      <c r="P276"/>
    </row>
    <row r="277" spans="1:18" ht="13.5" hidden="1" x14ac:dyDescent="0.2">
      <c r="A277" s="7" t="s">
        <v>23</v>
      </c>
      <c r="B277" s="7" t="s">
        <v>24</v>
      </c>
      <c r="C277" s="8" t="s">
        <v>978</v>
      </c>
      <c r="D277" s="7" t="s">
        <v>1041</v>
      </c>
      <c r="E277" s="8" t="s">
        <v>128</v>
      </c>
      <c r="F277" s="7" t="s">
        <v>181</v>
      </c>
      <c r="G277" s="8" t="s">
        <v>1042</v>
      </c>
      <c r="H277" s="7" t="s">
        <v>1043</v>
      </c>
      <c r="I277" s="8" t="s">
        <v>1058</v>
      </c>
      <c r="J277" s="9" t="s">
        <v>3946</v>
      </c>
      <c r="K277" s="15"/>
      <c r="L277" s="15"/>
      <c r="M277" s="15"/>
      <c r="N277" s="16" t="str">
        <f t="shared" si="93"/>
        <v>-</v>
      </c>
      <c r="O277"/>
      <c r="P277"/>
    </row>
    <row r="278" spans="1:18" ht="13.5" hidden="1" x14ac:dyDescent="0.2">
      <c r="A278" s="7" t="s">
        <v>23</v>
      </c>
      <c r="B278" s="7" t="s">
        <v>24</v>
      </c>
      <c r="C278" s="8" t="s">
        <v>978</v>
      </c>
      <c r="D278" s="7" t="s">
        <v>1041</v>
      </c>
      <c r="E278" s="8" t="s">
        <v>128</v>
      </c>
      <c r="F278" s="7" t="s">
        <v>181</v>
      </c>
      <c r="G278" s="8" t="s">
        <v>1084</v>
      </c>
      <c r="H278" s="7" t="s">
        <v>1085</v>
      </c>
      <c r="I278" s="8" t="s">
        <v>1094</v>
      </c>
      <c r="J278" s="9" t="s">
        <v>3946</v>
      </c>
      <c r="K278" s="15"/>
      <c r="L278" s="15"/>
      <c r="M278" s="15"/>
      <c r="N278" s="16" t="str">
        <f t="shared" si="93"/>
        <v>-</v>
      </c>
      <c r="O278"/>
      <c r="P278"/>
    </row>
    <row r="279" spans="1:18" ht="13.5" hidden="1" x14ac:dyDescent="0.2">
      <c r="A279" s="7" t="s">
        <v>23</v>
      </c>
      <c r="B279" s="7" t="s">
        <v>24</v>
      </c>
      <c r="C279" s="8" t="s">
        <v>978</v>
      </c>
      <c r="D279" s="7" t="s">
        <v>1041</v>
      </c>
      <c r="E279" s="8" t="s">
        <v>128</v>
      </c>
      <c r="F279" s="7" t="s">
        <v>181</v>
      </c>
      <c r="G279" s="8" t="s">
        <v>1084</v>
      </c>
      <c r="H279" s="7" t="s">
        <v>1085</v>
      </c>
      <c r="I279" s="8" t="s">
        <v>1086</v>
      </c>
      <c r="J279" s="9" t="s">
        <v>3946</v>
      </c>
      <c r="K279" s="15"/>
      <c r="L279" s="15"/>
      <c r="M279" s="15"/>
      <c r="N279" s="16" t="str">
        <f t="shared" si="93"/>
        <v>-</v>
      </c>
      <c r="O279"/>
      <c r="P279"/>
    </row>
    <row r="280" spans="1:18" ht="13.5" x14ac:dyDescent="0.2">
      <c r="A280" s="47" t="s">
        <v>23</v>
      </c>
      <c r="B280" s="47" t="s">
        <v>24</v>
      </c>
      <c r="C280" s="21" t="s">
        <v>978</v>
      </c>
      <c r="D280" s="47" t="s">
        <v>1041</v>
      </c>
      <c r="E280" s="21" t="s">
        <v>31</v>
      </c>
      <c r="F280" s="47" t="s">
        <v>32</v>
      </c>
      <c r="G280" s="21" t="s">
        <v>1042</v>
      </c>
      <c r="H280" s="7" t="s">
        <v>1043</v>
      </c>
      <c r="I280" s="8" t="s">
        <v>1074</v>
      </c>
      <c r="J280" s="9">
        <v>1472700</v>
      </c>
      <c r="K280" s="8"/>
      <c r="L280" s="8"/>
      <c r="M280" s="8"/>
      <c r="N280" s="42">
        <f t="shared" si="93"/>
        <v>1472700</v>
      </c>
      <c r="O280" s="42">
        <f>N280*1.5</f>
        <v>2209050</v>
      </c>
      <c r="P280" s="42"/>
      <c r="Q280" s="42">
        <f t="shared" ref="Q280:Q286" si="94">SUM(O280:P280)</f>
        <v>2209050</v>
      </c>
    </row>
    <row r="281" spans="1:18" ht="13.5" x14ac:dyDescent="0.2">
      <c r="A281" s="47" t="s">
        <v>23</v>
      </c>
      <c r="B281" s="47" t="s">
        <v>24</v>
      </c>
      <c r="C281" s="21" t="s">
        <v>978</v>
      </c>
      <c r="D281" s="47" t="s">
        <v>1041</v>
      </c>
      <c r="E281" s="21" t="s">
        <v>31</v>
      </c>
      <c r="F281" s="47" t="s">
        <v>32</v>
      </c>
      <c r="G281" s="21" t="s">
        <v>1042</v>
      </c>
      <c r="H281" s="7" t="s">
        <v>1043</v>
      </c>
      <c r="I281" s="8" t="s">
        <v>1048</v>
      </c>
      <c r="J281" s="9">
        <v>7379400</v>
      </c>
      <c r="K281" s="8"/>
      <c r="L281" s="8"/>
      <c r="M281" s="8"/>
      <c r="N281" s="42">
        <f t="shared" si="93"/>
        <v>7379400</v>
      </c>
      <c r="O281" s="42"/>
      <c r="P281" s="42">
        <f>N281</f>
        <v>7379400</v>
      </c>
      <c r="Q281" s="42">
        <f t="shared" si="94"/>
        <v>7379400</v>
      </c>
      <c r="R281" s="5"/>
    </row>
    <row r="282" spans="1:18" ht="13.5" x14ac:dyDescent="0.2">
      <c r="A282" s="47" t="s">
        <v>23</v>
      </c>
      <c r="B282" s="47" t="s">
        <v>24</v>
      </c>
      <c r="C282" s="21" t="s">
        <v>978</v>
      </c>
      <c r="D282" s="47" t="s">
        <v>1041</v>
      </c>
      <c r="E282" s="21" t="s">
        <v>31</v>
      </c>
      <c r="F282" s="47" t="s">
        <v>32</v>
      </c>
      <c r="G282" s="21" t="s">
        <v>1042</v>
      </c>
      <c r="H282" s="7" t="s">
        <v>1043</v>
      </c>
      <c r="I282" s="8" t="s">
        <v>1076</v>
      </c>
      <c r="J282" s="9">
        <v>2998000</v>
      </c>
      <c r="K282" s="8"/>
      <c r="L282" s="8"/>
      <c r="M282" s="8"/>
      <c r="N282" s="42">
        <f t="shared" si="93"/>
        <v>2998000</v>
      </c>
      <c r="O282" s="42">
        <f>N282*1.5</f>
        <v>4497000</v>
      </c>
      <c r="P282" s="42"/>
      <c r="Q282" s="42">
        <f t="shared" si="94"/>
        <v>4497000</v>
      </c>
    </row>
    <row r="283" spans="1:18" ht="13.5" x14ac:dyDescent="0.2">
      <c r="A283" s="47" t="s">
        <v>23</v>
      </c>
      <c r="B283" s="47" t="s">
        <v>24</v>
      </c>
      <c r="C283" s="21" t="s">
        <v>978</v>
      </c>
      <c r="D283" s="47" t="s">
        <v>1041</v>
      </c>
      <c r="E283" s="21" t="s">
        <v>31</v>
      </c>
      <c r="F283" s="47" t="s">
        <v>32</v>
      </c>
      <c r="G283" s="21" t="s">
        <v>1084</v>
      </c>
      <c r="H283" s="7" t="s">
        <v>1085</v>
      </c>
      <c r="I283" s="8" t="s">
        <v>1088</v>
      </c>
      <c r="J283" s="9">
        <v>2486400</v>
      </c>
      <c r="K283" s="8"/>
      <c r="L283" s="8"/>
      <c r="M283" s="8"/>
      <c r="N283" s="42">
        <f t="shared" si="93"/>
        <v>2486400</v>
      </c>
      <c r="O283" s="42"/>
      <c r="P283" s="42">
        <f>N283</f>
        <v>2486400</v>
      </c>
      <c r="Q283" s="42">
        <f t="shared" si="94"/>
        <v>2486400</v>
      </c>
      <c r="R283" s="5"/>
    </row>
    <row r="284" spans="1:18" ht="13.5" x14ac:dyDescent="0.2">
      <c r="A284" s="47" t="s">
        <v>23</v>
      </c>
      <c r="B284" s="47" t="s">
        <v>24</v>
      </c>
      <c r="C284" s="21" t="s">
        <v>978</v>
      </c>
      <c r="D284" s="47" t="s">
        <v>1041</v>
      </c>
      <c r="E284" s="21" t="s">
        <v>31</v>
      </c>
      <c r="F284" s="47" t="s">
        <v>32</v>
      </c>
      <c r="G284" s="21" t="s">
        <v>1084</v>
      </c>
      <c r="H284" s="7" t="s">
        <v>1085</v>
      </c>
      <c r="I284" s="8" t="s">
        <v>1102</v>
      </c>
      <c r="J284" s="9">
        <v>4445400</v>
      </c>
      <c r="K284" s="8"/>
      <c r="L284" s="8"/>
      <c r="M284" s="8"/>
      <c r="N284" s="42">
        <f t="shared" si="93"/>
        <v>4445400</v>
      </c>
      <c r="O284" s="42">
        <f>N284*1.5</f>
        <v>6668100</v>
      </c>
      <c r="P284" s="42"/>
      <c r="Q284" s="42">
        <f t="shared" si="94"/>
        <v>6668100</v>
      </c>
    </row>
    <row r="285" spans="1:18" ht="13.5" x14ac:dyDescent="0.2">
      <c r="A285" s="47" t="s">
        <v>23</v>
      </c>
      <c r="B285" s="47" t="s">
        <v>24</v>
      </c>
      <c r="C285" s="21" t="s">
        <v>978</v>
      </c>
      <c r="D285" s="47" t="s">
        <v>1041</v>
      </c>
      <c r="E285" s="21" t="s">
        <v>31</v>
      </c>
      <c r="F285" s="47" t="s">
        <v>32</v>
      </c>
      <c r="G285" s="21" t="s">
        <v>1084</v>
      </c>
      <c r="H285" s="7" t="s">
        <v>1085</v>
      </c>
      <c r="I285" s="8" t="s">
        <v>1104</v>
      </c>
      <c r="J285" s="9">
        <v>6649300</v>
      </c>
      <c r="K285" s="8"/>
      <c r="L285" s="8"/>
      <c r="M285" s="8"/>
      <c r="N285" s="42">
        <f t="shared" si="93"/>
        <v>6649300</v>
      </c>
      <c r="O285" s="42"/>
      <c r="P285" s="42">
        <f t="shared" ref="P285:P286" si="95">N285</f>
        <v>6649300</v>
      </c>
      <c r="Q285" s="42">
        <f t="shared" si="94"/>
        <v>6649300</v>
      </c>
      <c r="R285" s="5"/>
    </row>
    <row r="286" spans="1:18" ht="13.5" x14ac:dyDescent="0.2">
      <c r="A286" s="47" t="s">
        <v>23</v>
      </c>
      <c r="B286" s="47" t="s">
        <v>24</v>
      </c>
      <c r="C286" s="21" t="s">
        <v>978</v>
      </c>
      <c r="D286" s="47" t="s">
        <v>1041</v>
      </c>
      <c r="E286" s="21" t="s">
        <v>31</v>
      </c>
      <c r="F286" s="47" t="s">
        <v>32</v>
      </c>
      <c r="G286" s="21" t="s">
        <v>1084</v>
      </c>
      <c r="H286" s="7" t="s">
        <v>1085</v>
      </c>
      <c r="I286" s="8" t="s">
        <v>1096</v>
      </c>
      <c r="J286" s="9">
        <v>2255000</v>
      </c>
      <c r="K286" s="8"/>
      <c r="L286" s="8"/>
      <c r="M286" s="8"/>
      <c r="N286" s="42">
        <f t="shared" si="93"/>
        <v>2255000</v>
      </c>
      <c r="O286" s="42"/>
      <c r="P286" s="42">
        <f t="shared" si="95"/>
        <v>2255000</v>
      </c>
      <c r="Q286" s="42">
        <f t="shared" si="94"/>
        <v>2255000</v>
      </c>
      <c r="R286" s="5"/>
    </row>
    <row r="287" spans="1:18" ht="13.5" hidden="1" x14ac:dyDescent="0.2">
      <c r="A287" s="12" t="s">
        <v>23</v>
      </c>
      <c r="B287" s="12" t="s">
        <v>24</v>
      </c>
      <c r="C287" s="13" t="s">
        <v>978</v>
      </c>
      <c r="D287" s="12" t="s">
        <v>1041</v>
      </c>
      <c r="E287" s="13" t="s">
        <v>31</v>
      </c>
      <c r="F287" s="12" t="s">
        <v>181</v>
      </c>
      <c r="G287" s="13" t="s">
        <v>1042</v>
      </c>
      <c r="H287" s="12" t="s">
        <v>1043</v>
      </c>
      <c r="I287" s="13" t="s">
        <v>1066</v>
      </c>
      <c r="J287" s="14" t="s">
        <v>3946</v>
      </c>
      <c r="K287" s="18"/>
      <c r="L287" s="18"/>
      <c r="M287" s="18"/>
      <c r="N287" s="20" t="str">
        <f t="shared" si="93"/>
        <v>-</v>
      </c>
      <c r="O287"/>
      <c r="P287"/>
    </row>
    <row r="288" spans="1:18" ht="13.5" x14ac:dyDescent="0.2">
      <c r="A288" s="47" t="s">
        <v>23</v>
      </c>
      <c r="B288" s="47" t="s">
        <v>24</v>
      </c>
      <c r="C288" s="21" t="s">
        <v>978</v>
      </c>
      <c r="D288" s="47" t="s">
        <v>1041</v>
      </c>
      <c r="E288" s="21" t="s">
        <v>41</v>
      </c>
      <c r="F288" s="47" t="s">
        <v>32</v>
      </c>
      <c r="G288" s="21" t="s">
        <v>1042</v>
      </c>
      <c r="H288" s="7" t="s">
        <v>1043</v>
      </c>
      <c r="I288" s="8" t="s">
        <v>1060</v>
      </c>
      <c r="J288" s="9">
        <v>3099800</v>
      </c>
      <c r="K288" s="8"/>
      <c r="L288" s="42">
        <f t="shared" ref="L288:L292" si="96">J288*1.5</f>
        <v>4649700</v>
      </c>
      <c r="M288" s="8"/>
      <c r="N288" s="42">
        <f t="shared" si="90"/>
        <v>4649700</v>
      </c>
      <c r="O288" s="42">
        <f>N288*1.5</f>
        <v>6974550</v>
      </c>
      <c r="P288" s="42"/>
      <c r="Q288" s="42">
        <f t="shared" ref="Q288:Q292" si="97">SUM(O288:P288)</f>
        <v>6974550</v>
      </c>
    </row>
    <row r="289" spans="1:18" ht="13.5" x14ac:dyDescent="0.2">
      <c r="A289" s="47" t="s">
        <v>23</v>
      </c>
      <c r="B289" s="47" t="s">
        <v>24</v>
      </c>
      <c r="C289" s="21" t="s">
        <v>978</v>
      </c>
      <c r="D289" s="47" t="s">
        <v>1041</v>
      </c>
      <c r="E289" s="21" t="s">
        <v>41</v>
      </c>
      <c r="F289" s="47" t="s">
        <v>32</v>
      </c>
      <c r="G289" s="21" t="s">
        <v>1042</v>
      </c>
      <c r="H289" s="7" t="s">
        <v>1043</v>
      </c>
      <c r="I289" s="8" t="s">
        <v>1068</v>
      </c>
      <c r="J289" s="9">
        <v>11053200</v>
      </c>
      <c r="K289" s="8"/>
      <c r="L289" s="42">
        <f t="shared" si="96"/>
        <v>16579800</v>
      </c>
      <c r="M289" s="8"/>
      <c r="N289" s="42">
        <f t="shared" si="90"/>
        <v>16579800</v>
      </c>
      <c r="O289" s="42"/>
      <c r="P289" s="42">
        <f>N289</f>
        <v>16579800</v>
      </c>
      <c r="Q289" s="42">
        <f t="shared" si="97"/>
        <v>16579800</v>
      </c>
      <c r="R289" s="5"/>
    </row>
    <row r="290" spans="1:18" ht="13.5" x14ac:dyDescent="0.2">
      <c r="A290" s="47" t="s">
        <v>23</v>
      </c>
      <c r="B290" s="47" t="s">
        <v>24</v>
      </c>
      <c r="C290" s="21" t="s">
        <v>978</v>
      </c>
      <c r="D290" s="47" t="s">
        <v>1041</v>
      </c>
      <c r="E290" s="21" t="s">
        <v>41</v>
      </c>
      <c r="F290" s="47" t="s">
        <v>32</v>
      </c>
      <c r="G290" s="21" t="s">
        <v>1042</v>
      </c>
      <c r="H290" s="7" t="s">
        <v>1043</v>
      </c>
      <c r="I290" s="8" t="s">
        <v>1052</v>
      </c>
      <c r="J290" s="9">
        <v>5345600</v>
      </c>
      <c r="K290" s="8"/>
      <c r="L290" s="42">
        <f t="shared" si="96"/>
        <v>8018400</v>
      </c>
      <c r="M290" s="8"/>
      <c r="N290" s="42">
        <f t="shared" si="90"/>
        <v>8018400</v>
      </c>
      <c r="O290" s="42">
        <f>N290*1.5</f>
        <v>12027600</v>
      </c>
      <c r="P290" s="42"/>
      <c r="Q290" s="42">
        <f t="shared" si="97"/>
        <v>12027600</v>
      </c>
    </row>
    <row r="291" spans="1:18" ht="13.5" x14ac:dyDescent="0.2">
      <c r="A291" s="47" t="s">
        <v>23</v>
      </c>
      <c r="B291" s="47" t="s">
        <v>24</v>
      </c>
      <c r="C291" s="21" t="s">
        <v>978</v>
      </c>
      <c r="D291" s="47" t="s">
        <v>1041</v>
      </c>
      <c r="E291" s="21" t="s">
        <v>41</v>
      </c>
      <c r="F291" s="47" t="s">
        <v>32</v>
      </c>
      <c r="G291" s="21" t="s">
        <v>1084</v>
      </c>
      <c r="H291" s="7" t="s">
        <v>1085</v>
      </c>
      <c r="I291" s="8" t="s">
        <v>1106</v>
      </c>
      <c r="J291" s="9">
        <v>4432000</v>
      </c>
      <c r="K291" s="8"/>
      <c r="L291" s="42">
        <f t="shared" si="96"/>
        <v>6648000</v>
      </c>
      <c r="M291" s="8"/>
      <c r="N291" s="42">
        <f t="shared" si="90"/>
        <v>6648000</v>
      </c>
      <c r="O291" s="42"/>
      <c r="P291" s="42">
        <f t="shared" ref="P291:P292" si="98">N291</f>
        <v>6648000</v>
      </c>
      <c r="Q291" s="42">
        <f t="shared" si="97"/>
        <v>6648000</v>
      </c>
      <c r="R291" s="5"/>
    </row>
    <row r="292" spans="1:18" ht="13.5" x14ac:dyDescent="0.2">
      <c r="A292" s="47" t="s">
        <v>23</v>
      </c>
      <c r="B292" s="47" t="s">
        <v>24</v>
      </c>
      <c r="C292" s="21" t="s">
        <v>978</v>
      </c>
      <c r="D292" s="47" t="s">
        <v>1041</v>
      </c>
      <c r="E292" s="21" t="s">
        <v>41</v>
      </c>
      <c r="F292" s="47" t="s">
        <v>32</v>
      </c>
      <c r="G292" s="21" t="s">
        <v>1084</v>
      </c>
      <c r="H292" s="7" t="s">
        <v>1085</v>
      </c>
      <c r="I292" s="8" t="s">
        <v>1100</v>
      </c>
      <c r="J292" s="9">
        <v>14791060</v>
      </c>
      <c r="K292" s="8"/>
      <c r="L292" s="42">
        <f t="shared" si="96"/>
        <v>22186590</v>
      </c>
      <c r="M292" s="8"/>
      <c r="N292" s="42">
        <f t="shared" si="90"/>
        <v>22186590</v>
      </c>
      <c r="O292" s="42"/>
      <c r="P292" s="42">
        <f t="shared" si="98"/>
        <v>22186590</v>
      </c>
      <c r="Q292" s="42">
        <f t="shared" si="97"/>
        <v>22186590</v>
      </c>
      <c r="R292" s="5"/>
    </row>
    <row r="293" spans="1:18" ht="13.5" hidden="1" x14ac:dyDescent="0.2">
      <c r="A293" s="12" t="s">
        <v>23</v>
      </c>
      <c r="B293" s="12" t="s">
        <v>24</v>
      </c>
      <c r="C293" s="13" t="s">
        <v>978</v>
      </c>
      <c r="D293" s="12" t="s">
        <v>1041</v>
      </c>
      <c r="E293" s="13" t="s">
        <v>41</v>
      </c>
      <c r="F293" s="12" t="s">
        <v>181</v>
      </c>
      <c r="G293" s="13" t="s">
        <v>1042</v>
      </c>
      <c r="H293" s="12" t="s">
        <v>1043</v>
      </c>
      <c r="I293" s="13" t="s">
        <v>1070</v>
      </c>
      <c r="J293" s="14" t="s">
        <v>3946</v>
      </c>
      <c r="K293" s="18"/>
      <c r="L293" s="20"/>
      <c r="M293" s="18"/>
      <c r="N293" s="20" t="str">
        <f t="shared" ref="N293:N297" si="99">J293</f>
        <v>-</v>
      </c>
      <c r="O293"/>
      <c r="P293"/>
    </row>
    <row r="294" spans="1:18" ht="13.5" hidden="1" x14ac:dyDescent="0.2">
      <c r="A294" s="7" t="s">
        <v>23</v>
      </c>
      <c r="B294" s="7" t="s">
        <v>24</v>
      </c>
      <c r="C294" s="8" t="s">
        <v>978</v>
      </c>
      <c r="D294" s="7" t="s">
        <v>1041</v>
      </c>
      <c r="E294" s="8" t="s">
        <v>233</v>
      </c>
      <c r="F294" s="7" t="s">
        <v>181</v>
      </c>
      <c r="G294" s="8" t="s">
        <v>1042</v>
      </c>
      <c r="H294" s="7" t="s">
        <v>1043</v>
      </c>
      <c r="I294" s="8" t="s">
        <v>1072</v>
      </c>
      <c r="J294" s="9" t="s">
        <v>3946</v>
      </c>
      <c r="K294" s="15"/>
      <c r="L294" s="15"/>
      <c r="M294" s="15"/>
      <c r="N294" s="16" t="str">
        <f t="shared" si="99"/>
        <v>-</v>
      </c>
      <c r="O294"/>
      <c r="P294"/>
    </row>
    <row r="295" spans="1:18" ht="13.5" hidden="1" x14ac:dyDescent="0.2">
      <c r="A295" s="7" t="s">
        <v>23</v>
      </c>
      <c r="B295" s="7" t="s">
        <v>24</v>
      </c>
      <c r="C295" s="8" t="s">
        <v>978</v>
      </c>
      <c r="D295" s="7" t="s">
        <v>1041</v>
      </c>
      <c r="E295" s="8" t="s">
        <v>233</v>
      </c>
      <c r="F295" s="7" t="s">
        <v>181</v>
      </c>
      <c r="G295" s="8" t="s">
        <v>1042</v>
      </c>
      <c r="H295" s="7" t="s">
        <v>1043</v>
      </c>
      <c r="I295" s="8" t="s">
        <v>1054</v>
      </c>
      <c r="J295" s="9" t="s">
        <v>3946</v>
      </c>
      <c r="K295" s="15"/>
      <c r="L295" s="15"/>
      <c r="M295" s="15"/>
      <c r="N295" s="16" t="str">
        <f t="shared" si="99"/>
        <v>-</v>
      </c>
      <c r="O295"/>
      <c r="P295"/>
    </row>
    <row r="296" spans="1:18" ht="13.5" hidden="1" x14ac:dyDescent="0.2">
      <c r="A296" s="7" t="s">
        <v>23</v>
      </c>
      <c r="B296" s="7" t="s">
        <v>24</v>
      </c>
      <c r="C296" s="8" t="s">
        <v>978</v>
      </c>
      <c r="D296" s="7" t="s">
        <v>1041</v>
      </c>
      <c r="E296" s="8" t="s">
        <v>233</v>
      </c>
      <c r="F296" s="7" t="s">
        <v>181</v>
      </c>
      <c r="G296" s="8" t="s">
        <v>1084</v>
      </c>
      <c r="H296" s="7" t="s">
        <v>1085</v>
      </c>
      <c r="I296" s="8" t="s">
        <v>1090</v>
      </c>
      <c r="J296" s="9" t="s">
        <v>3946</v>
      </c>
      <c r="K296" s="15"/>
      <c r="L296" s="15"/>
      <c r="M296" s="15"/>
      <c r="N296" s="16" t="str">
        <f t="shared" si="99"/>
        <v>-</v>
      </c>
      <c r="O296"/>
      <c r="P296"/>
    </row>
    <row r="297" spans="1:18" ht="13.5" hidden="1" x14ac:dyDescent="0.2">
      <c r="A297" s="7" t="s">
        <v>23</v>
      </c>
      <c r="B297" s="7" t="s">
        <v>24</v>
      </c>
      <c r="C297" s="8" t="s">
        <v>978</v>
      </c>
      <c r="D297" s="7" t="s">
        <v>1041</v>
      </c>
      <c r="E297" s="8" t="s">
        <v>233</v>
      </c>
      <c r="F297" s="7" t="s">
        <v>181</v>
      </c>
      <c r="G297" s="8" t="s">
        <v>1084</v>
      </c>
      <c r="H297" s="7" t="s">
        <v>1085</v>
      </c>
      <c r="I297" s="8" t="s">
        <v>1098</v>
      </c>
      <c r="J297" s="9" t="s">
        <v>3946</v>
      </c>
      <c r="K297" s="15"/>
      <c r="L297" s="15"/>
      <c r="M297" s="15"/>
      <c r="N297" s="16" t="str">
        <f t="shared" si="99"/>
        <v>-</v>
      </c>
      <c r="O297"/>
      <c r="P297"/>
    </row>
    <row r="298" spans="1:18" ht="13.5" x14ac:dyDescent="0.2">
      <c r="A298" s="47" t="s">
        <v>23</v>
      </c>
      <c r="B298" s="47" t="s">
        <v>24</v>
      </c>
      <c r="C298" s="21" t="s">
        <v>978</v>
      </c>
      <c r="D298" s="47" t="s">
        <v>1041</v>
      </c>
      <c r="E298" s="21" t="s">
        <v>57</v>
      </c>
      <c r="F298" s="47" t="s">
        <v>32</v>
      </c>
      <c r="G298" s="21" t="s">
        <v>1042</v>
      </c>
      <c r="H298" s="7" t="s">
        <v>1043</v>
      </c>
      <c r="I298" s="8" t="s">
        <v>1082</v>
      </c>
      <c r="J298" s="9">
        <v>2938000</v>
      </c>
      <c r="K298" s="8"/>
      <c r="L298" s="42">
        <f t="shared" ref="L298" si="100">J298*1.5</f>
        <v>4407000</v>
      </c>
      <c r="M298" s="8"/>
      <c r="N298" s="42">
        <f t="shared" si="90"/>
        <v>4407000</v>
      </c>
      <c r="O298" s="42"/>
      <c r="P298" s="42">
        <f>N298</f>
        <v>4407000</v>
      </c>
      <c r="Q298" s="42">
        <f t="shared" ref="Q298:Q315" si="101">SUM(O298:P298)</f>
        <v>4407000</v>
      </c>
      <c r="R298" s="5"/>
    </row>
    <row r="299" spans="1:18" ht="13.5" x14ac:dyDescent="0.2">
      <c r="A299" s="47" t="s">
        <v>23</v>
      </c>
      <c r="B299" s="47" t="s">
        <v>1108</v>
      </c>
      <c r="C299" s="21" t="s">
        <v>1725</v>
      </c>
      <c r="D299" s="47" t="s">
        <v>1726</v>
      </c>
      <c r="E299" s="21" t="s">
        <v>107</v>
      </c>
      <c r="F299" s="47" t="s">
        <v>32</v>
      </c>
      <c r="G299" s="21" t="s">
        <v>1727</v>
      </c>
      <c r="H299" s="7" t="s">
        <v>1728</v>
      </c>
      <c r="I299" s="8" t="s">
        <v>810</v>
      </c>
      <c r="J299" s="9">
        <v>1560000</v>
      </c>
      <c r="K299" s="8"/>
      <c r="L299" s="8"/>
      <c r="M299" s="8"/>
      <c r="N299" s="42">
        <f t="shared" ref="N299:N303" si="102">J299</f>
        <v>1560000</v>
      </c>
      <c r="O299" s="42">
        <f>N299*1.5</f>
        <v>2340000</v>
      </c>
      <c r="P299" s="42"/>
      <c r="Q299" s="42">
        <f t="shared" si="101"/>
        <v>2340000</v>
      </c>
    </row>
    <row r="300" spans="1:18" ht="13.5" x14ac:dyDescent="0.2">
      <c r="A300" s="47" t="s">
        <v>23</v>
      </c>
      <c r="B300" s="47" t="s">
        <v>1108</v>
      </c>
      <c r="C300" s="21" t="s">
        <v>1725</v>
      </c>
      <c r="D300" s="47" t="s">
        <v>1726</v>
      </c>
      <c r="E300" s="21" t="s">
        <v>128</v>
      </c>
      <c r="F300" s="47" t="s">
        <v>32</v>
      </c>
      <c r="G300" s="21" t="s">
        <v>1727</v>
      </c>
      <c r="H300" s="7" t="s">
        <v>1728</v>
      </c>
      <c r="I300" s="8" t="s">
        <v>1737</v>
      </c>
      <c r="J300" s="9">
        <v>1796000</v>
      </c>
      <c r="K300" s="8"/>
      <c r="L300" s="8"/>
      <c r="M300" s="8"/>
      <c r="N300" s="42">
        <f t="shared" si="102"/>
        <v>1796000</v>
      </c>
      <c r="O300" s="42"/>
      <c r="P300" s="42">
        <f t="shared" ref="P300:P309" si="103">N300</f>
        <v>1796000</v>
      </c>
      <c r="Q300" s="42">
        <f t="shared" si="101"/>
        <v>1796000</v>
      </c>
      <c r="R300" s="5"/>
    </row>
    <row r="301" spans="1:18" ht="13.5" x14ac:dyDescent="0.2">
      <c r="A301" s="47" t="s">
        <v>23</v>
      </c>
      <c r="B301" s="47" t="s">
        <v>1108</v>
      </c>
      <c r="C301" s="21" t="s">
        <v>1725</v>
      </c>
      <c r="D301" s="47" t="s">
        <v>1726</v>
      </c>
      <c r="E301" s="21" t="s">
        <v>31</v>
      </c>
      <c r="F301" s="47" t="s">
        <v>32</v>
      </c>
      <c r="G301" s="21" t="s">
        <v>1727</v>
      </c>
      <c r="H301" s="7" t="s">
        <v>1728</v>
      </c>
      <c r="I301" s="8" t="s">
        <v>1739</v>
      </c>
      <c r="J301" s="9">
        <v>4080800</v>
      </c>
      <c r="K301" s="8"/>
      <c r="L301" s="8"/>
      <c r="M301" s="8"/>
      <c r="N301" s="42">
        <f t="shared" si="102"/>
        <v>4080800</v>
      </c>
      <c r="O301" s="42"/>
      <c r="P301" s="42">
        <f t="shared" si="103"/>
        <v>4080800</v>
      </c>
      <c r="Q301" s="42">
        <f t="shared" si="101"/>
        <v>4080800</v>
      </c>
      <c r="R301" s="5"/>
    </row>
    <row r="302" spans="1:18" ht="13.5" x14ac:dyDescent="0.2">
      <c r="A302" s="47" t="s">
        <v>23</v>
      </c>
      <c r="B302" s="47" t="s">
        <v>1108</v>
      </c>
      <c r="C302" s="21" t="s">
        <v>1725</v>
      </c>
      <c r="D302" s="47" t="s">
        <v>1726</v>
      </c>
      <c r="E302" s="21" t="s">
        <v>31</v>
      </c>
      <c r="F302" s="47" t="s">
        <v>32</v>
      </c>
      <c r="G302" s="21" t="s">
        <v>1727</v>
      </c>
      <c r="H302" s="7" t="s">
        <v>1728</v>
      </c>
      <c r="I302" s="8" t="s">
        <v>1749</v>
      </c>
      <c r="J302" s="9">
        <v>1086000</v>
      </c>
      <c r="K302" s="8"/>
      <c r="L302" s="8"/>
      <c r="M302" s="8"/>
      <c r="N302" s="42">
        <f t="shared" si="102"/>
        <v>1086000</v>
      </c>
      <c r="O302" s="42"/>
      <c r="P302" s="42">
        <f t="shared" si="103"/>
        <v>1086000</v>
      </c>
      <c r="Q302" s="42">
        <f t="shared" si="101"/>
        <v>1086000</v>
      </c>
      <c r="R302" s="5"/>
    </row>
    <row r="303" spans="1:18" ht="13.5" x14ac:dyDescent="0.2">
      <c r="A303" s="47" t="s">
        <v>23</v>
      </c>
      <c r="B303" s="47" t="s">
        <v>1108</v>
      </c>
      <c r="C303" s="21" t="s">
        <v>1725</v>
      </c>
      <c r="D303" s="47" t="s">
        <v>1726</v>
      </c>
      <c r="E303" s="21" t="s">
        <v>31</v>
      </c>
      <c r="F303" s="47" t="s">
        <v>32</v>
      </c>
      <c r="G303" s="21" t="s">
        <v>1727</v>
      </c>
      <c r="H303" s="7" t="s">
        <v>1728</v>
      </c>
      <c r="I303" s="8" t="s">
        <v>1514</v>
      </c>
      <c r="J303" s="9">
        <v>2699700</v>
      </c>
      <c r="K303" s="8"/>
      <c r="L303" s="8"/>
      <c r="M303" s="8"/>
      <c r="N303" s="42">
        <f t="shared" si="102"/>
        <v>2699700</v>
      </c>
      <c r="O303" s="42"/>
      <c r="P303" s="42">
        <f t="shared" si="103"/>
        <v>2699700</v>
      </c>
      <c r="Q303" s="42">
        <f t="shared" si="101"/>
        <v>2699700</v>
      </c>
      <c r="R303" s="5"/>
    </row>
    <row r="304" spans="1:18" ht="13.5" x14ac:dyDescent="0.2">
      <c r="A304" s="47" t="s">
        <v>23</v>
      </c>
      <c r="B304" s="47" t="s">
        <v>1108</v>
      </c>
      <c r="C304" s="21" t="s">
        <v>1725</v>
      </c>
      <c r="D304" s="47" t="s">
        <v>1726</v>
      </c>
      <c r="E304" s="21" t="s">
        <v>41</v>
      </c>
      <c r="F304" s="47" t="s">
        <v>32</v>
      </c>
      <c r="G304" s="21" t="s">
        <v>1727</v>
      </c>
      <c r="H304" s="7" t="s">
        <v>1728</v>
      </c>
      <c r="I304" s="8" t="s">
        <v>1751</v>
      </c>
      <c r="J304" s="9">
        <v>2310000</v>
      </c>
      <c r="K304" s="8"/>
      <c r="L304" s="42">
        <f t="shared" ref="L304:L312" si="104">J304*1.5</f>
        <v>3465000</v>
      </c>
      <c r="M304" s="8"/>
      <c r="N304" s="42">
        <f t="shared" si="90"/>
        <v>3465000</v>
      </c>
      <c r="O304" s="42"/>
      <c r="P304" s="42">
        <f t="shared" si="103"/>
        <v>3465000</v>
      </c>
      <c r="Q304" s="42">
        <f t="shared" si="101"/>
        <v>3465000</v>
      </c>
      <c r="R304" s="5"/>
    </row>
    <row r="305" spans="1:18" ht="13.5" x14ac:dyDescent="0.2">
      <c r="A305" s="47" t="s">
        <v>23</v>
      </c>
      <c r="B305" s="47" t="s">
        <v>1108</v>
      </c>
      <c r="C305" s="21" t="s">
        <v>1725</v>
      </c>
      <c r="D305" s="47" t="s">
        <v>1726</v>
      </c>
      <c r="E305" s="21" t="s">
        <v>41</v>
      </c>
      <c r="F305" s="47" t="s">
        <v>32</v>
      </c>
      <c r="G305" s="21" t="s">
        <v>1727</v>
      </c>
      <c r="H305" s="7" t="s">
        <v>1728</v>
      </c>
      <c r="I305" s="8" t="s">
        <v>1753</v>
      </c>
      <c r="J305" s="9">
        <v>2473200</v>
      </c>
      <c r="K305" s="8"/>
      <c r="L305" s="42">
        <f t="shared" si="104"/>
        <v>3709800</v>
      </c>
      <c r="M305" s="8"/>
      <c r="N305" s="42">
        <f t="shared" si="90"/>
        <v>3709800</v>
      </c>
      <c r="O305" s="42"/>
      <c r="P305" s="42">
        <f t="shared" si="103"/>
        <v>3709800</v>
      </c>
      <c r="Q305" s="42">
        <f t="shared" si="101"/>
        <v>3709800</v>
      </c>
      <c r="R305" s="5"/>
    </row>
    <row r="306" spans="1:18" ht="13.5" x14ac:dyDescent="0.2">
      <c r="A306" s="47" t="s">
        <v>23</v>
      </c>
      <c r="B306" s="47" t="s">
        <v>1108</v>
      </c>
      <c r="C306" s="21" t="s">
        <v>1725</v>
      </c>
      <c r="D306" s="47" t="s">
        <v>1726</v>
      </c>
      <c r="E306" s="21" t="s">
        <v>41</v>
      </c>
      <c r="F306" s="47" t="s">
        <v>32</v>
      </c>
      <c r="G306" s="21" t="s">
        <v>1727</v>
      </c>
      <c r="H306" s="7" t="s">
        <v>1728</v>
      </c>
      <c r="I306" s="8" t="s">
        <v>1755</v>
      </c>
      <c r="J306" s="9">
        <v>7356600</v>
      </c>
      <c r="K306" s="8"/>
      <c r="L306" s="42">
        <f t="shared" si="104"/>
        <v>11034900</v>
      </c>
      <c r="M306" s="8"/>
      <c r="N306" s="42">
        <f t="shared" si="90"/>
        <v>11034900</v>
      </c>
      <c r="O306" s="42"/>
      <c r="P306" s="42">
        <f t="shared" si="103"/>
        <v>11034900</v>
      </c>
      <c r="Q306" s="42">
        <f t="shared" si="101"/>
        <v>11034900</v>
      </c>
      <c r="R306" s="5"/>
    </row>
    <row r="307" spans="1:18" ht="13.5" x14ac:dyDescent="0.2">
      <c r="A307" s="47" t="s">
        <v>23</v>
      </c>
      <c r="B307" s="47" t="s">
        <v>1108</v>
      </c>
      <c r="C307" s="21" t="s">
        <v>1725</v>
      </c>
      <c r="D307" s="47" t="s">
        <v>1726</v>
      </c>
      <c r="E307" s="21" t="s">
        <v>41</v>
      </c>
      <c r="F307" s="47" t="s">
        <v>32</v>
      </c>
      <c r="G307" s="21" t="s">
        <v>1727</v>
      </c>
      <c r="H307" s="7" t="s">
        <v>1728</v>
      </c>
      <c r="I307" s="8" t="s">
        <v>1757</v>
      </c>
      <c r="J307" s="9">
        <v>6110000</v>
      </c>
      <c r="K307" s="8"/>
      <c r="L307" s="42">
        <f t="shared" si="104"/>
        <v>9165000</v>
      </c>
      <c r="M307" s="8"/>
      <c r="N307" s="42">
        <f t="shared" si="90"/>
        <v>9165000</v>
      </c>
      <c r="O307" s="42"/>
      <c r="P307" s="42">
        <f t="shared" si="103"/>
        <v>9165000</v>
      </c>
      <c r="Q307" s="42">
        <f t="shared" si="101"/>
        <v>9165000</v>
      </c>
      <c r="R307" s="5"/>
    </row>
    <row r="308" spans="1:18" ht="13.5" x14ac:dyDescent="0.2">
      <c r="A308" s="47" t="s">
        <v>23</v>
      </c>
      <c r="B308" s="47" t="s">
        <v>1108</v>
      </c>
      <c r="C308" s="21" t="s">
        <v>1725</v>
      </c>
      <c r="D308" s="47" t="s">
        <v>1726</v>
      </c>
      <c r="E308" s="21" t="s">
        <v>41</v>
      </c>
      <c r="F308" s="47" t="s">
        <v>32</v>
      </c>
      <c r="G308" s="21" t="s">
        <v>1727</v>
      </c>
      <c r="H308" s="7" t="s">
        <v>1728</v>
      </c>
      <c r="I308" s="8" t="s">
        <v>1729</v>
      </c>
      <c r="J308" s="9">
        <v>8798000</v>
      </c>
      <c r="K308" s="8"/>
      <c r="L308" s="42">
        <f t="shared" si="104"/>
        <v>13197000</v>
      </c>
      <c r="M308" s="8"/>
      <c r="N308" s="42">
        <f t="shared" si="90"/>
        <v>13197000</v>
      </c>
      <c r="O308" s="42"/>
      <c r="P308" s="42">
        <f t="shared" si="103"/>
        <v>13197000</v>
      </c>
      <c r="Q308" s="42">
        <f t="shared" si="101"/>
        <v>13197000</v>
      </c>
      <c r="R308" s="5"/>
    </row>
    <row r="309" spans="1:18" ht="13.5" x14ac:dyDescent="0.2">
      <c r="A309" s="47" t="s">
        <v>23</v>
      </c>
      <c r="B309" s="47" t="s">
        <v>1108</v>
      </c>
      <c r="C309" s="21" t="s">
        <v>1725</v>
      </c>
      <c r="D309" s="47" t="s">
        <v>1726</v>
      </c>
      <c r="E309" s="21" t="s">
        <v>41</v>
      </c>
      <c r="F309" s="47" t="s">
        <v>32</v>
      </c>
      <c r="G309" s="21" t="s">
        <v>1727</v>
      </c>
      <c r="H309" s="7" t="s">
        <v>1728</v>
      </c>
      <c r="I309" s="8" t="s">
        <v>1744</v>
      </c>
      <c r="J309" s="9">
        <v>8945800</v>
      </c>
      <c r="K309" s="8"/>
      <c r="L309" s="42">
        <f t="shared" si="104"/>
        <v>13418700</v>
      </c>
      <c r="M309" s="8"/>
      <c r="N309" s="42">
        <f t="shared" si="90"/>
        <v>13418700</v>
      </c>
      <c r="O309" s="42"/>
      <c r="P309" s="42">
        <f t="shared" si="103"/>
        <v>13418700</v>
      </c>
      <c r="Q309" s="42">
        <f t="shared" si="101"/>
        <v>13418700</v>
      </c>
      <c r="R309" s="5"/>
    </row>
    <row r="310" spans="1:18" ht="13.5" x14ac:dyDescent="0.2">
      <c r="A310" s="47" t="s">
        <v>23</v>
      </c>
      <c r="B310" s="47" t="s">
        <v>1108</v>
      </c>
      <c r="C310" s="21" t="s">
        <v>1725</v>
      </c>
      <c r="D310" s="47" t="s">
        <v>1726</v>
      </c>
      <c r="E310" s="21" t="s">
        <v>41</v>
      </c>
      <c r="F310" s="47" t="s">
        <v>32</v>
      </c>
      <c r="G310" s="21" t="s">
        <v>1727</v>
      </c>
      <c r="H310" s="7" t="s">
        <v>1728</v>
      </c>
      <c r="I310" s="8" t="s">
        <v>1746</v>
      </c>
      <c r="J310" s="9">
        <v>10547700</v>
      </c>
      <c r="K310" s="8"/>
      <c r="L310" s="42">
        <f t="shared" si="104"/>
        <v>15821550</v>
      </c>
      <c r="M310" s="8"/>
      <c r="N310" s="42">
        <f t="shared" si="90"/>
        <v>15821550</v>
      </c>
      <c r="O310" s="42">
        <f t="shared" ref="O310:O311" si="105">N310*1.5</f>
        <v>23732325</v>
      </c>
      <c r="P310" s="42"/>
      <c r="Q310" s="42">
        <f t="shared" si="101"/>
        <v>23732325</v>
      </c>
    </row>
    <row r="311" spans="1:18" ht="13.5" x14ac:dyDescent="0.2">
      <c r="A311" s="47" t="s">
        <v>23</v>
      </c>
      <c r="B311" s="47" t="s">
        <v>1108</v>
      </c>
      <c r="C311" s="21" t="s">
        <v>1725</v>
      </c>
      <c r="D311" s="47" t="s">
        <v>1726</v>
      </c>
      <c r="E311" s="21" t="s">
        <v>41</v>
      </c>
      <c r="F311" s="47" t="s">
        <v>32</v>
      </c>
      <c r="G311" s="21" t="s">
        <v>1727</v>
      </c>
      <c r="H311" s="7" t="s">
        <v>1728</v>
      </c>
      <c r="I311" s="8" t="s">
        <v>1731</v>
      </c>
      <c r="J311" s="9">
        <v>2759800</v>
      </c>
      <c r="K311" s="8"/>
      <c r="L311" s="42">
        <f t="shared" si="104"/>
        <v>4139700</v>
      </c>
      <c r="M311" s="8"/>
      <c r="N311" s="42">
        <f t="shared" si="90"/>
        <v>4139700</v>
      </c>
      <c r="O311" s="42">
        <f t="shared" si="105"/>
        <v>6209550</v>
      </c>
      <c r="P311" s="42"/>
      <c r="Q311" s="42">
        <f t="shared" si="101"/>
        <v>6209550</v>
      </c>
    </row>
    <row r="312" spans="1:18" ht="13.5" x14ac:dyDescent="0.2">
      <c r="A312" s="47" t="s">
        <v>23</v>
      </c>
      <c r="B312" s="47" t="s">
        <v>1108</v>
      </c>
      <c r="C312" s="21" t="s">
        <v>1725</v>
      </c>
      <c r="D312" s="47" t="s">
        <v>1726</v>
      </c>
      <c r="E312" s="21" t="s">
        <v>41</v>
      </c>
      <c r="F312" s="47" t="s">
        <v>32</v>
      </c>
      <c r="G312" s="21" t="s">
        <v>1727</v>
      </c>
      <c r="H312" s="7" t="s">
        <v>1728</v>
      </c>
      <c r="I312" s="8" t="s">
        <v>1741</v>
      </c>
      <c r="J312" s="9">
        <v>5697000</v>
      </c>
      <c r="K312" s="8"/>
      <c r="L312" s="42">
        <f t="shared" si="104"/>
        <v>8545500</v>
      </c>
      <c r="M312" s="8"/>
      <c r="N312" s="42">
        <f t="shared" si="90"/>
        <v>8545500</v>
      </c>
      <c r="O312" s="42"/>
      <c r="P312" s="42">
        <f>N312</f>
        <v>8545500</v>
      </c>
      <c r="Q312" s="42">
        <f t="shared" si="101"/>
        <v>8545500</v>
      </c>
      <c r="R312" s="5"/>
    </row>
    <row r="313" spans="1:18" ht="13.5" x14ac:dyDescent="0.2">
      <c r="A313" s="47" t="s">
        <v>23</v>
      </c>
      <c r="B313" s="47" t="s">
        <v>1108</v>
      </c>
      <c r="C313" s="21" t="s">
        <v>1725</v>
      </c>
      <c r="D313" s="47" t="s">
        <v>1726</v>
      </c>
      <c r="E313" s="21" t="s">
        <v>356</v>
      </c>
      <c r="F313" s="47" t="s">
        <v>357</v>
      </c>
      <c r="G313" s="21" t="s">
        <v>1727</v>
      </c>
      <c r="H313" s="7" t="s">
        <v>1728</v>
      </c>
      <c r="I313" s="8" t="s">
        <v>1733</v>
      </c>
      <c r="J313" s="9">
        <v>10160000</v>
      </c>
      <c r="K313" s="8"/>
      <c r="L313" s="8"/>
      <c r="M313" s="8"/>
      <c r="N313" s="42">
        <f t="shared" ref="N313:N318" si="106">J313</f>
        <v>10160000</v>
      </c>
      <c r="O313" s="42">
        <f>N313*1.5</f>
        <v>15240000</v>
      </c>
      <c r="P313" s="42"/>
      <c r="Q313" s="42">
        <f t="shared" si="101"/>
        <v>15240000</v>
      </c>
    </row>
    <row r="314" spans="1:18" ht="13.5" x14ac:dyDescent="0.2">
      <c r="A314" s="47" t="s">
        <v>23</v>
      </c>
      <c r="B314" s="47" t="s">
        <v>1108</v>
      </c>
      <c r="C314" s="21" t="s">
        <v>1725</v>
      </c>
      <c r="D314" s="47" t="s">
        <v>1759</v>
      </c>
      <c r="E314" s="21" t="s">
        <v>211</v>
      </c>
      <c r="F314" s="47" t="s">
        <v>212</v>
      </c>
      <c r="G314" s="21" t="s">
        <v>1760</v>
      </c>
      <c r="H314" s="7" t="s">
        <v>1761</v>
      </c>
      <c r="I314" s="8" t="s">
        <v>1765</v>
      </c>
      <c r="J314" s="9">
        <v>1366000</v>
      </c>
      <c r="K314" s="8"/>
      <c r="L314" s="8"/>
      <c r="M314" s="8"/>
      <c r="N314" s="42">
        <f t="shared" si="106"/>
        <v>1366000</v>
      </c>
      <c r="O314" s="42"/>
      <c r="P314" s="42">
        <f t="shared" ref="P314:P315" si="107">N314</f>
        <v>1366000</v>
      </c>
      <c r="Q314" s="42">
        <f t="shared" si="101"/>
        <v>1366000</v>
      </c>
      <c r="R314" s="5"/>
    </row>
    <row r="315" spans="1:18" ht="13.5" x14ac:dyDescent="0.2">
      <c r="A315" s="47" t="s">
        <v>23</v>
      </c>
      <c r="B315" s="47" t="s">
        <v>1108</v>
      </c>
      <c r="C315" s="21" t="s">
        <v>1725</v>
      </c>
      <c r="D315" s="47" t="s">
        <v>1759</v>
      </c>
      <c r="E315" s="21" t="s">
        <v>211</v>
      </c>
      <c r="F315" s="47" t="s">
        <v>212</v>
      </c>
      <c r="G315" s="21" t="s">
        <v>1760</v>
      </c>
      <c r="H315" s="7" t="s">
        <v>1761</v>
      </c>
      <c r="I315" s="8" t="s">
        <v>1767</v>
      </c>
      <c r="J315" s="9">
        <v>2578000</v>
      </c>
      <c r="K315" s="8"/>
      <c r="L315" s="8"/>
      <c r="M315" s="8"/>
      <c r="N315" s="42">
        <f t="shared" si="106"/>
        <v>2578000</v>
      </c>
      <c r="O315" s="42"/>
      <c r="P315" s="42">
        <f t="shared" si="107"/>
        <v>2578000</v>
      </c>
      <c r="Q315" s="42">
        <f t="shared" si="101"/>
        <v>2578000</v>
      </c>
      <c r="R315" s="5"/>
    </row>
    <row r="316" spans="1:18" ht="13.5" hidden="1" x14ac:dyDescent="0.2">
      <c r="A316" s="12" t="s">
        <v>23</v>
      </c>
      <c r="B316" s="12" t="s">
        <v>1108</v>
      </c>
      <c r="C316" s="13" t="s">
        <v>1725</v>
      </c>
      <c r="D316" s="12" t="s">
        <v>1759</v>
      </c>
      <c r="E316" s="13" t="s">
        <v>128</v>
      </c>
      <c r="F316" s="12" t="s">
        <v>181</v>
      </c>
      <c r="G316" s="13" t="s">
        <v>1760</v>
      </c>
      <c r="H316" s="12" t="s">
        <v>1761</v>
      </c>
      <c r="I316" s="13" t="s">
        <v>1787</v>
      </c>
      <c r="J316" s="14" t="s">
        <v>3946</v>
      </c>
      <c r="K316" s="18"/>
      <c r="L316" s="18"/>
      <c r="M316" s="18"/>
      <c r="N316" s="20" t="str">
        <f t="shared" si="106"/>
        <v>-</v>
      </c>
      <c r="O316"/>
      <c r="P316"/>
    </row>
    <row r="317" spans="1:18" ht="13.5" x14ac:dyDescent="0.2">
      <c r="A317" s="47" t="s">
        <v>23</v>
      </c>
      <c r="B317" s="47" t="s">
        <v>1108</v>
      </c>
      <c r="C317" s="21" t="s">
        <v>1725</v>
      </c>
      <c r="D317" s="47" t="s">
        <v>1759</v>
      </c>
      <c r="E317" s="21" t="s">
        <v>31</v>
      </c>
      <c r="F317" s="47" t="s">
        <v>32</v>
      </c>
      <c r="G317" s="21" t="s">
        <v>1760</v>
      </c>
      <c r="H317" s="7" t="s">
        <v>1761</v>
      </c>
      <c r="I317" s="8" t="s">
        <v>1804</v>
      </c>
      <c r="J317" s="9">
        <v>912200</v>
      </c>
      <c r="K317" s="8"/>
      <c r="L317" s="8"/>
      <c r="M317" s="8"/>
      <c r="N317" s="42">
        <f t="shared" si="106"/>
        <v>912200</v>
      </c>
      <c r="O317" s="42">
        <f>N317*1.5</f>
        <v>1368300</v>
      </c>
      <c r="P317" s="42"/>
      <c r="Q317" s="42">
        <f t="shared" ref="Q317:Q380" si="108">SUM(O317:P317)</f>
        <v>1368300</v>
      </c>
    </row>
    <row r="318" spans="1:18" ht="13.5" x14ac:dyDescent="0.2">
      <c r="A318" s="47" t="s">
        <v>23</v>
      </c>
      <c r="B318" s="47" t="s">
        <v>1108</v>
      </c>
      <c r="C318" s="21" t="s">
        <v>1725</v>
      </c>
      <c r="D318" s="47" t="s">
        <v>1759</v>
      </c>
      <c r="E318" s="21" t="s">
        <v>31</v>
      </c>
      <c r="F318" s="47" t="s">
        <v>32</v>
      </c>
      <c r="G318" s="21" t="s">
        <v>1760</v>
      </c>
      <c r="H318" s="7" t="s">
        <v>1761</v>
      </c>
      <c r="I318" s="8" t="s">
        <v>1789</v>
      </c>
      <c r="J318" s="9">
        <v>1459800</v>
      </c>
      <c r="K318" s="8"/>
      <c r="L318" s="8"/>
      <c r="M318" s="8"/>
      <c r="N318" s="42">
        <f t="shared" si="106"/>
        <v>1459800</v>
      </c>
      <c r="O318" s="42"/>
      <c r="P318" s="42">
        <f t="shared" ref="P318:P323" si="109">N318</f>
        <v>1459800</v>
      </c>
      <c r="Q318" s="42">
        <f t="shared" si="108"/>
        <v>1459800</v>
      </c>
      <c r="R318" s="5"/>
    </row>
    <row r="319" spans="1:18" ht="13.5" x14ac:dyDescent="0.2">
      <c r="A319" s="47" t="s">
        <v>23</v>
      </c>
      <c r="B319" s="47" t="s">
        <v>1108</v>
      </c>
      <c r="C319" s="21" t="s">
        <v>1725</v>
      </c>
      <c r="D319" s="47" t="s">
        <v>1759</v>
      </c>
      <c r="E319" s="21" t="s">
        <v>41</v>
      </c>
      <c r="F319" s="47" t="s">
        <v>32</v>
      </c>
      <c r="G319" s="21" t="s">
        <v>1760</v>
      </c>
      <c r="H319" s="7" t="s">
        <v>1761</v>
      </c>
      <c r="I319" s="8" t="s">
        <v>1785</v>
      </c>
      <c r="J319" s="9">
        <v>4599600</v>
      </c>
      <c r="K319" s="8"/>
      <c r="L319" s="42">
        <f t="shared" ref="L319:L324" si="110">J319*1.5</f>
        <v>6899400</v>
      </c>
      <c r="M319" s="8"/>
      <c r="N319" s="42">
        <f t="shared" si="90"/>
        <v>6899400</v>
      </c>
      <c r="O319" s="42"/>
      <c r="P319" s="42">
        <f t="shared" si="109"/>
        <v>6899400</v>
      </c>
      <c r="Q319" s="42">
        <f t="shared" si="108"/>
        <v>6899400</v>
      </c>
      <c r="R319" s="5"/>
    </row>
    <row r="320" spans="1:18" ht="13.5" x14ac:dyDescent="0.2">
      <c r="A320" s="47" t="s">
        <v>23</v>
      </c>
      <c r="B320" s="47" t="s">
        <v>1108</v>
      </c>
      <c r="C320" s="21" t="s">
        <v>1725</v>
      </c>
      <c r="D320" s="47" t="s">
        <v>1759</v>
      </c>
      <c r="E320" s="21" t="s">
        <v>41</v>
      </c>
      <c r="F320" s="47" t="s">
        <v>32</v>
      </c>
      <c r="G320" s="21" t="s">
        <v>1760</v>
      </c>
      <c r="H320" s="7" t="s">
        <v>1761</v>
      </c>
      <c r="I320" s="8" t="s">
        <v>1762</v>
      </c>
      <c r="J320" s="9">
        <v>4156000</v>
      </c>
      <c r="K320" s="8"/>
      <c r="L320" s="42">
        <f t="shared" si="110"/>
        <v>6234000</v>
      </c>
      <c r="M320" s="8"/>
      <c r="N320" s="42">
        <f t="shared" si="90"/>
        <v>6234000</v>
      </c>
      <c r="O320" s="42"/>
      <c r="P320" s="42">
        <f t="shared" si="109"/>
        <v>6234000</v>
      </c>
      <c r="Q320" s="42">
        <f t="shared" si="108"/>
        <v>6234000</v>
      </c>
      <c r="R320" s="5"/>
    </row>
    <row r="321" spans="1:18" ht="13.5" x14ac:dyDescent="0.2">
      <c r="A321" s="47" t="s">
        <v>23</v>
      </c>
      <c r="B321" s="47" t="s">
        <v>1108</v>
      </c>
      <c r="C321" s="21" t="s">
        <v>1725</v>
      </c>
      <c r="D321" s="47" t="s">
        <v>1759</v>
      </c>
      <c r="E321" s="21" t="s">
        <v>41</v>
      </c>
      <c r="F321" s="47" t="s">
        <v>32</v>
      </c>
      <c r="G321" s="21" t="s">
        <v>1760</v>
      </c>
      <c r="H321" s="7" t="s">
        <v>1761</v>
      </c>
      <c r="I321" s="8" t="s">
        <v>1769</v>
      </c>
      <c r="J321" s="9">
        <v>11056000</v>
      </c>
      <c r="K321" s="8"/>
      <c r="L321" s="42">
        <f t="shared" si="110"/>
        <v>16584000</v>
      </c>
      <c r="M321" s="8"/>
      <c r="N321" s="42">
        <f t="shared" si="90"/>
        <v>16584000</v>
      </c>
      <c r="O321" s="42"/>
      <c r="P321" s="42">
        <f t="shared" si="109"/>
        <v>16584000</v>
      </c>
      <c r="Q321" s="42">
        <f t="shared" si="108"/>
        <v>16584000</v>
      </c>
      <c r="R321" s="5"/>
    </row>
    <row r="322" spans="1:18" ht="13.5" x14ac:dyDescent="0.2">
      <c r="A322" s="47" t="s">
        <v>23</v>
      </c>
      <c r="B322" s="47" t="s">
        <v>1108</v>
      </c>
      <c r="C322" s="21" t="s">
        <v>1725</v>
      </c>
      <c r="D322" s="47" t="s">
        <v>1759</v>
      </c>
      <c r="E322" s="21" t="s">
        <v>41</v>
      </c>
      <c r="F322" s="47" t="s">
        <v>32</v>
      </c>
      <c r="G322" s="21" t="s">
        <v>1760</v>
      </c>
      <c r="H322" s="7" t="s">
        <v>1761</v>
      </c>
      <c r="I322" s="8" t="s">
        <v>1791</v>
      </c>
      <c r="J322" s="9">
        <v>2299800</v>
      </c>
      <c r="K322" s="8"/>
      <c r="L322" s="42">
        <f t="shared" si="110"/>
        <v>3449700</v>
      </c>
      <c r="M322" s="8"/>
      <c r="N322" s="42">
        <f t="shared" si="90"/>
        <v>3449700</v>
      </c>
      <c r="O322" s="42"/>
      <c r="P322" s="42">
        <f t="shared" si="109"/>
        <v>3449700</v>
      </c>
      <c r="Q322" s="42">
        <f t="shared" si="108"/>
        <v>3449700</v>
      </c>
      <c r="R322" s="5"/>
    </row>
    <row r="323" spans="1:18" ht="13.5" x14ac:dyDescent="0.2">
      <c r="A323" s="47" t="s">
        <v>23</v>
      </c>
      <c r="B323" s="47" t="s">
        <v>1108</v>
      </c>
      <c r="C323" s="21" t="s">
        <v>1725</v>
      </c>
      <c r="D323" s="47" t="s">
        <v>1759</v>
      </c>
      <c r="E323" s="21" t="s">
        <v>41</v>
      </c>
      <c r="F323" s="47" t="s">
        <v>32</v>
      </c>
      <c r="G323" s="21" t="s">
        <v>1760</v>
      </c>
      <c r="H323" s="7" t="s">
        <v>1761</v>
      </c>
      <c r="I323" s="8" t="s">
        <v>1793</v>
      </c>
      <c r="J323" s="9">
        <v>6264610</v>
      </c>
      <c r="K323" s="8"/>
      <c r="L323" s="42">
        <f t="shared" si="110"/>
        <v>9396915</v>
      </c>
      <c r="M323" s="8"/>
      <c r="N323" s="42">
        <f t="shared" si="90"/>
        <v>9396915</v>
      </c>
      <c r="O323" s="42"/>
      <c r="P323" s="42">
        <f t="shared" si="109"/>
        <v>9396915</v>
      </c>
      <c r="Q323" s="42">
        <f t="shared" si="108"/>
        <v>9396915</v>
      </c>
      <c r="R323" s="5"/>
    </row>
    <row r="324" spans="1:18" ht="13.5" x14ac:dyDescent="0.2">
      <c r="A324" s="47" t="s">
        <v>23</v>
      </c>
      <c r="B324" s="47" t="s">
        <v>1108</v>
      </c>
      <c r="C324" s="21" t="s">
        <v>1725</v>
      </c>
      <c r="D324" s="47" t="s">
        <v>1759</v>
      </c>
      <c r="E324" s="21" t="s">
        <v>41</v>
      </c>
      <c r="F324" s="47" t="s">
        <v>32</v>
      </c>
      <c r="G324" s="21" t="s">
        <v>1760</v>
      </c>
      <c r="H324" s="7" t="s">
        <v>1761</v>
      </c>
      <c r="I324" s="8" t="s">
        <v>1797</v>
      </c>
      <c r="J324" s="9">
        <v>2779600</v>
      </c>
      <c r="K324" s="8"/>
      <c r="L324" s="42">
        <f t="shared" si="110"/>
        <v>4169400</v>
      </c>
      <c r="M324" s="8"/>
      <c r="N324" s="42">
        <f t="shared" ref="N324:N378" si="111">SUM(K324:M324)</f>
        <v>4169400</v>
      </c>
      <c r="O324" s="42">
        <f t="shared" ref="O324:O325" si="112">N324*1.5</f>
        <v>6254100</v>
      </c>
      <c r="P324" s="42"/>
      <c r="Q324" s="42">
        <f t="shared" si="108"/>
        <v>6254100</v>
      </c>
    </row>
    <row r="325" spans="1:18" ht="13.5" x14ac:dyDescent="0.2">
      <c r="A325" s="47" t="s">
        <v>23</v>
      </c>
      <c r="B325" s="47" t="s">
        <v>1108</v>
      </c>
      <c r="C325" s="21" t="s">
        <v>1808</v>
      </c>
      <c r="D325" s="47" t="s">
        <v>1809</v>
      </c>
      <c r="E325" s="21" t="s">
        <v>128</v>
      </c>
      <c r="F325" s="47" t="s">
        <v>135</v>
      </c>
      <c r="G325" s="21" t="s">
        <v>1810</v>
      </c>
      <c r="H325" s="7" t="s">
        <v>1811</v>
      </c>
      <c r="I325" s="8" t="s">
        <v>1826</v>
      </c>
      <c r="J325" s="9">
        <v>1823200</v>
      </c>
      <c r="K325" s="8"/>
      <c r="L325" s="8"/>
      <c r="M325" s="8"/>
      <c r="N325" s="42">
        <f t="shared" ref="N325:N327" si="113">J325</f>
        <v>1823200</v>
      </c>
      <c r="O325" s="42">
        <f t="shared" si="112"/>
        <v>2734800</v>
      </c>
      <c r="P325" s="42"/>
      <c r="Q325" s="42">
        <f t="shared" si="108"/>
        <v>2734800</v>
      </c>
    </row>
    <row r="326" spans="1:18" ht="13.5" x14ac:dyDescent="0.2">
      <c r="A326" s="47" t="s">
        <v>23</v>
      </c>
      <c r="B326" s="47" t="s">
        <v>1108</v>
      </c>
      <c r="C326" s="21" t="s">
        <v>1808</v>
      </c>
      <c r="D326" s="47" t="s">
        <v>1809</v>
      </c>
      <c r="E326" s="21" t="s">
        <v>31</v>
      </c>
      <c r="F326" s="47" t="s">
        <v>32</v>
      </c>
      <c r="G326" s="21" t="s">
        <v>1810</v>
      </c>
      <c r="H326" s="7" t="s">
        <v>1811</v>
      </c>
      <c r="I326" s="8" t="s">
        <v>1812</v>
      </c>
      <c r="J326" s="9">
        <v>3271000</v>
      </c>
      <c r="K326" s="8"/>
      <c r="L326" s="8"/>
      <c r="M326" s="8"/>
      <c r="N326" s="42">
        <f t="shared" si="113"/>
        <v>3271000</v>
      </c>
      <c r="O326" s="42"/>
      <c r="P326" s="42">
        <f t="shared" ref="P326:P341" si="114">N326</f>
        <v>3271000</v>
      </c>
      <c r="Q326" s="42">
        <f t="shared" si="108"/>
        <v>3271000</v>
      </c>
      <c r="R326" s="5"/>
    </row>
    <row r="327" spans="1:18" ht="13.5" x14ac:dyDescent="0.2">
      <c r="A327" s="47" t="s">
        <v>23</v>
      </c>
      <c r="B327" s="47" t="s">
        <v>1108</v>
      </c>
      <c r="C327" s="21" t="s">
        <v>1808</v>
      </c>
      <c r="D327" s="47" t="s">
        <v>1809</v>
      </c>
      <c r="E327" s="21" t="s">
        <v>31</v>
      </c>
      <c r="F327" s="47" t="s">
        <v>32</v>
      </c>
      <c r="G327" s="21" t="s">
        <v>1810</v>
      </c>
      <c r="H327" s="7" t="s">
        <v>1811</v>
      </c>
      <c r="I327" s="8" t="s">
        <v>1828</v>
      </c>
      <c r="J327" s="9">
        <v>15375000</v>
      </c>
      <c r="K327" s="8"/>
      <c r="L327" s="8"/>
      <c r="M327" s="8"/>
      <c r="N327" s="42">
        <f t="shared" si="113"/>
        <v>15375000</v>
      </c>
      <c r="O327" s="42"/>
      <c r="P327" s="42">
        <f t="shared" si="114"/>
        <v>15375000</v>
      </c>
      <c r="Q327" s="42">
        <f t="shared" si="108"/>
        <v>15375000</v>
      </c>
      <c r="R327" s="5"/>
    </row>
    <row r="328" spans="1:18" ht="13.5" x14ac:dyDescent="0.2">
      <c r="A328" s="47" t="s">
        <v>23</v>
      </c>
      <c r="B328" s="47" t="s">
        <v>1108</v>
      </c>
      <c r="C328" s="21" t="s">
        <v>1808</v>
      </c>
      <c r="D328" s="47" t="s">
        <v>1809</v>
      </c>
      <c r="E328" s="21" t="s">
        <v>41</v>
      </c>
      <c r="F328" s="47" t="s">
        <v>32</v>
      </c>
      <c r="G328" s="21" t="s">
        <v>1810</v>
      </c>
      <c r="H328" s="7" t="s">
        <v>1811</v>
      </c>
      <c r="I328" s="8" t="s">
        <v>1818</v>
      </c>
      <c r="J328" s="9">
        <v>4369600</v>
      </c>
      <c r="K328" s="8"/>
      <c r="L328" s="42">
        <f t="shared" ref="L328:L332" si="115">J328*1.5</f>
        <v>6554400</v>
      </c>
      <c r="M328" s="8"/>
      <c r="N328" s="42">
        <f t="shared" si="111"/>
        <v>6554400</v>
      </c>
      <c r="O328" s="42"/>
      <c r="P328" s="42">
        <f t="shared" si="114"/>
        <v>6554400</v>
      </c>
      <c r="Q328" s="42">
        <f t="shared" si="108"/>
        <v>6554400</v>
      </c>
      <c r="R328" s="5"/>
    </row>
    <row r="329" spans="1:18" ht="13.5" x14ac:dyDescent="0.2">
      <c r="A329" s="47" t="s">
        <v>23</v>
      </c>
      <c r="B329" s="47" t="s">
        <v>1108</v>
      </c>
      <c r="C329" s="21" t="s">
        <v>1808</v>
      </c>
      <c r="D329" s="47" t="s">
        <v>1809</v>
      </c>
      <c r="E329" s="21" t="s">
        <v>41</v>
      </c>
      <c r="F329" s="47" t="s">
        <v>32</v>
      </c>
      <c r="G329" s="21" t="s">
        <v>1810</v>
      </c>
      <c r="H329" s="7" t="s">
        <v>1811</v>
      </c>
      <c r="I329" s="8" t="s">
        <v>1830</v>
      </c>
      <c r="J329" s="9">
        <v>19980000</v>
      </c>
      <c r="K329" s="8"/>
      <c r="L329" s="42">
        <f t="shared" si="115"/>
        <v>29970000</v>
      </c>
      <c r="M329" s="8"/>
      <c r="N329" s="42">
        <f t="shared" si="111"/>
        <v>29970000</v>
      </c>
      <c r="O329" s="42"/>
      <c r="P329" s="42">
        <f t="shared" si="114"/>
        <v>29970000</v>
      </c>
      <c r="Q329" s="42">
        <f t="shared" si="108"/>
        <v>29970000</v>
      </c>
      <c r="R329" s="5"/>
    </row>
    <row r="330" spans="1:18" ht="13.5" x14ac:dyDescent="0.2">
      <c r="A330" s="47" t="s">
        <v>23</v>
      </c>
      <c r="B330" s="47" t="s">
        <v>1108</v>
      </c>
      <c r="C330" s="21" t="s">
        <v>1808</v>
      </c>
      <c r="D330" s="47" t="s">
        <v>1809</v>
      </c>
      <c r="E330" s="21" t="s">
        <v>41</v>
      </c>
      <c r="F330" s="47" t="s">
        <v>32</v>
      </c>
      <c r="G330" s="21" t="s">
        <v>1810</v>
      </c>
      <c r="H330" s="7" t="s">
        <v>1811</v>
      </c>
      <c r="I330" s="8" t="s">
        <v>1816</v>
      </c>
      <c r="J330" s="9">
        <v>4596000</v>
      </c>
      <c r="K330" s="8"/>
      <c r="L330" s="42">
        <f t="shared" si="115"/>
        <v>6894000</v>
      </c>
      <c r="M330" s="8"/>
      <c r="N330" s="42">
        <f t="shared" si="111"/>
        <v>6894000</v>
      </c>
      <c r="O330" s="42"/>
      <c r="P330" s="42">
        <f t="shared" si="114"/>
        <v>6894000</v>
      </c>
      <c r="Q330" s="42">
        <f t="shared" si="108"/>
        <v>6894000</v>
      </c>
      <c r="R330" s="5"/>
    </row>
    <row r="331" spans="1:18" ht="13.5" x14ac:dyDescent="0.2">
      <c r="A331" s="47" t="s">
        <v>23</v>
      </c>
      <c r="B331" s="47" t="s">
        <v>1108</v>
      </c>
      <c r="C331" s="21" t="s">
        <v>1808</v>
      </c>
      <c r="D331" s="47" t="s">
        <v>1809</v>
      </c>
      <c r="E331" s="21" t="s">
        <v>41</v>
      </c>
      <c r="F331" s="47" t="s">
        <v>32</v>
      </c>
      <c r="G331" s="21" t="s">
        <v>1810</v>
      </c>
      <c r="H331" s="7" t="s">
        <v>1811</v>
      </c>
      <c r="I331" s="8" t="s">
        <v>1820</v>
      </c>
      <c r="J331" s="9">
        <v>13234000</v>
      </c>
      <c r="K331" s="8"/>
      <c r="L331" s="42">
        <f t="shared" si="115"/>
        <v>19851000</v>
      </c>
      <c r="M331" s="8"/>
      <c r="N331" s="42">
        <f t="shared" si="111"/>
        <v>19851000</v>
      </c>
      <c r="O331" s="42"/>
      <c r="P331" s="42">
        <f t="shared" si="114"/>
        <v>19851000</v>
      </c>
      <c r="Q331" s="42">
        <f t="shared" si="108"/>
        <v>19851000</v>
      </c>
      <c r="R331" s="5"/>
    </row>
    <row r="332" spans="1:18" ht="13.5" x14ac:dyDescent="0.2">
      <c r="A332" s="47" t="s">
        <v>23</v>
      </c>
      <c r="B332" s="47" t="s">
        <v>1108</v>
      </c>
      <c r="C332" s="21" t="s">
        <v>1808</v>
      </c>
      <c r="D332" s="47" t="s">
        <v>1809</v>
      </c>
      <c r="E332" s="21" t="s">
        <v>41</v>
      </c>
      <c r="F332" s="47" t="s">
        <v>32</v>
      </c>
      <c r="G332" s="21" t="s">
        <v>1810</v>
      </c>
      <c r="H332" s="7" t="s">
        <v>1811</v>
      </c>
      <c r="I332" s="8" t="s">
        <v>1822</v>
      </c>
      <c r="J332" s="9">
        <v>16234000</v>
      </c>
      <c r="K332" s="8"/>
      <c r="L332" s="42">
        <f t="shared" si="115"/>
        <v>24351000</v>
      </c>
      <c r="M332" s="8"/>
      <c r="N332" s="42">
        <f t="shared" si="111"/>
        <v>24351000</v>
      </c>
      <c r="O332" s="42"/>
      <c r="P332" s="42">
        <f t="shared" si="114"/>
        <v>24351000</v>
      </c>
      <c r="Q332" s="42">
        <f t="shared" si="108"/>
        <v>24351000</v>
      </c>
      <c r="R332" s="5"/>
    </row>
    <row r="333" spans="1:18" ht="13.5" x14ac:dyDescent="0.2">
      <c r="A333" s="47" t="s">
        <v>23</v>
      </c>
      <c r="B333" s="47" t="s">
        <v>1108</v>
      </c>
      <c r="C333" s="21" t="s">
        <v>1808</v>
      </c>
      <c r="D333" s="47" t="s">
        <v>1832</v>
      </c>
      <c r="E333" s="21" t="s">
        <v>211</v>
      </c>
      <c r="F333" s="47" t="s">
        <v>212</v>
      </c>
      <c r="G333" s="21" t="s">
        <v>1833</v>
      </c>
      <c r="H333" s="7" t="s">
        <v>1834</v>
      </c>
      <c r="I333" s="8" t="s">
        <v>1835</v>
      </c>
      <c r="J333" s="9">
        <v>8356000</v>
      </c>
      <c r="K333" s="8"/>
      <c r="L333" s="8"/>
      <c r="M333" s="8"/>
      <c r="N333" s="42">
        <f t="shared" ref="N333:N340" si="116">J333</f>
        <v>8356000</v>
      </c>
      <c r="O333" s="42"/>
      <c r="P333" s="42">
        <f t="shared" si="114"/>
        <v>8356000</v>
      </c>
      <c r="Q333" s="42">
        <f t="shared" si="108"/>
        <v>8356000</v>
      </c>
      <c r="R333" s="5"/>
    </row>
    <row r="334" spans="1:18" ht="13.5" x14ac:dyDescent="0.2">
      <c r="A334" s="47" t="s">
        <v>23</v>
      </c>
      <c r="B334" s="47" t="s">
        <v>1108</v>
      </c>
      <c r="C334" s="21" t="s">
        <v>1808</v>
      </c>
      <c r="D334" s="47" t="s">
        <v>1832</v>
      </c>
      <c r="E334" s="21" t="s">
        <v>107</v>
      </c>
      <c r="F334" s="47" t="s">
        <v>32</v>
      </c>
      <c r="G334" s="21" t="s">
        <v>1833</v>
      </c>
      <c r="H334" s="7" t="s">
        <v>1834</v>
      </c>
      <c r="I334" s="8" t="s">
        <v>1841</v>
      </c>
      <c r="J334" s="9">
        <v>4200000</v>
      </c>
      <c r="K334" s="8"/>
      <c r="L334" s="8"/>
      <c r="M334" s="8"/>
      <c r="N334" s="42">
        <f t="shared" si="116"/>
        <v>4200000</v>
      </c>
      <c r="O334" s="42"/>
      <c r="P334" s="42">
        <f t="shared" si="114"/>
        <v>4200000</v>
      </c>
      <c r="Q334" s="42">
        <f t="shared" si="108"/>
        <v>4200000</v>
      </c>
      <c r="R334" s="5"/>
    </row>
    <row r="335" spans="1:18" ht="13.5" x14ac:dyDescent="0.2">
      <c r="A335" s="47" t="s">
        <v>23</v>
      </c>
      <c r="B335" s="47" t="s">
        <v>1108</v>
      </c>
      <c r="C335" s="21" t="s">
        <v>1808</v>
      </c>
      <c r="D335" s="47" t="s">
        <v>1832</v>
      </c>
      <c r="E335" s="21" t="s">
        <v>128</v>
      </c>
      <c r="F335" s="47" t="s">
        <v>135</v>
      </c>
      <c r="G335" s="21" t="s">
        <v>1833</v>
      </c>
      <c r="H335" s="7" t="s">
        <v>1834</v>
      </c>
      <c r="I335" s="8" t="s">
        <v>1837</v>
      </c>
      <c r="J335" s="9">
        <v>3556000</v>
      </c>
      <c r="K335" s="8"/>
      <c r="L335" s="8"/>
      <c r="M335" s="8"/>
      <c r="N335" s="42">
        <f t="shared" si="116"/>
        <v>3556000</v>
      </c>
      <c r="O335" s="42"/>
      <c r="P335" s="42">
        <f t="shared" si="114"/>
        <v>3556000</v>
      </c>
      <c r="Q335" s="42">
        <f t="shared" si="108"/>
        <v>3556000</v>
      </c>
      <c r="R335" s="5"/>
    </row>
    <row r="336" spans="1:18" ht="13.5" x14ac:dyDescent="0.2">
      <c r="A336" s="47" t="s">
        <v>23</v>
      </c>
      <c r="B336" s="47" t="s">
        <v>1108</v>
      </c>
      <c r="C336" s="21" t="s">
        <v>1808</v>
      </c>
      <c r="D336" s="47" t="s">
        <v>1832</v>
      </c>
      <c r="E336" s="21" t="s">
        <v>128</v>
      </c>
      <c r="F336" s="47" t="s">
        <v>135</v>
      </c>
      <c r="G336" s="21" t="s">
        <v>1848</v>
      </c>
      <c r="H336" s="7" t="s">
        <v>1849</v>
      </c>
      <c r="I336" s="8" t="s">
        <v>1850</v>
      </c>
      <c r="J336" s="9">
        <v>865400</v>
      </c>
      <c r="K336" s="8"/>
      <c r="L336" s="8"/>
      <c r="M336" s="8"/>
      <c r="N336" s="42">
        <f t="shared" si="116"/>
        <v>865400</v>
      </c>
      <c r="O336" s="42"/>
      <c r="P336" s="42">
        <f t="shared" si="114"/>
        <v>865400</v>
      </c>
      <c r="Q336" s="42">
        <f t="shared" si="108"/>
        <v>865400</v>
      </c>
      <c r="R336" s="5"/>
    </row>
    <row r="337" spans="1:18" ht="13.5" x14ac:dyDescent="0.2">
      <c r="A337" s="47" t="s">
        <v>23</v>
      </c>
      <c r="B337" s="47" t="s">
        <v>1108</v>
      </c>
      <c r="C337" s="21" t="s">
        <v>1808</v>
      </c>
      <c r="D337" s="47" t="s">
        <v>1832</v>
      </c>
      <c r="E337" s="21" t="s">
        <v>31</v>
      </c>
      <c r="F337" s="47" t="s">
        <v>32</v>
      </c>
      <c r="G337" s="21" t="s">
        <v>1848</v>
      </c>
      <c r="H337" s="7" t="s">
        <v>1849</v>
      </c>
      <c r="I337" s="8" t="s">
        <v>1854</v>
      </c>
      <c r="J337" s="9">
        <v>2676000</v>
      </c>
      <c r="K337" s="8"/>
      <c r="L337" s="8"/>
      <c r="M337" s="8"/>
      <c r="N337" s="42">
        <f t="shared" si="116"/>
        <v>2676000</v>
      </c>
      <c r="O337" s="42"/>
      <c r="P337" s="42">
        <f t="shared" si="114"/>
        <v>2676000</v>
      </c>
      <c r="Q337" s="42">
        <f t="shared" si="108"/>
        <v>2676000</v>
      </c>
      <c r="R337" s="5"/>
    </row>
    <row r="338" spans="1:18" ht="13.5" x14ac:dyDescent="0.2">
      <c r="A338" s="47" t="s">
        <v>23</v>
      </c>
      <c r="B338" s="47" t="s">
        <v>1108</v>
      </c>
      <c r="C338" s="21" t="s">
        <v>1808</v>
      </c>
      <c r="D338" s="47" t="s">
        <v>1832</v>
      </c>
      <c r="E338" s="21" t="s">
        <v>31</v>
      </c>
      <c r="F338" s="47" t="s">
        <v>32</v>
      </c>
      <c r="G338" s="21" t="s">
        <v>1848</v>
      </c>
      <c r="H338" s="7" t="s">
        <v>1849</v>
      </c>
      <c r="I338" s="8" t="s">
        <v>1868</v>
      </c>
      <c r="J338" s="9">
        <v>224800</v>
      </c>
      <c r="K338" s="8"/>
      <c r="L338" s="8"/>
      <c r="M338" s="8"/>
      <c r="N338" s="42">
        <f t="shared" si="116"/>
        <v>224800</v>
      </c>
      <c r="O338" s="42"/>
      <c r="P338" s="42">
        <f t="shared" si="114"/>
        <v>224800</v>
      </c>
      <c r="Q338" s="42">
        <f t="shared" si="108"/>
        <v>224800</v>
      </c>
      <c r="R338" s="5"/>
    </row>
    <row r="339" spans="1:18" ht="13.5" x14ac:dyDescent="0.2">
      <c r="A339" s="47" t="s">
        <v>23</v>
      </c>
      <c r="B339" s="47" t="s">
        <v>1108</v>
      </c>
      <c r="C339" s="21" t="s">
        <v>1808</v>
      </c>
      <c r="D339" s="47" t="s">
        <v>1832</v>
      </c>
      <c r="E339" s="21" t="s">
        <v>31</v>
      </c>
      <c r="F339" s="47" t="s">
        <v>32</v>
      </c>
      <c r="G339" s="21" t="s">
        <v>1848</v>
      </c>
      <c r="H339" s="7" t="s">
        <v>1849</v>
      </c>
      <c r="I339" s="8" t="s">
        <v>1862</v>
      </c>
      <c r="J339" s="9">
        <v>1868800</v>
      </c>
      <c r="K339" s="8"/>
      <c r="L339" s="8"/>
      <c r="M339" s="8"/>
      <c r="N339" s="42">
        <f t="shared" si="116"/>
        <v>1868800</v>
      </c>
      <c r="O339" s="42"/>
      <c r="P339" s="42">
        <f t="shared" si="114"/>
        <v>1868800</v>
      </c>
      <c r="Q339" s="42">
        <f t="shared" si="108"/>
        <v>1868800</v>
      </c>
      <c r="R339" s="5"/>
    </row>
    <row r="340" spans="1:18" ht="13.5" x14ac:dyDescent="0.2">
      <c r="A340" s="47" t="s">
        <v>23</v>
      </c>
      <c r="B340" s="47" t="s">
        <v>1108</v>
      </c>
      <c r="C340" s="21" t="s">
        <v>1808</v>
      </c>
      <c r="D340" s="47" t="s">
        <v>1832</v>
      </c>
      <c r="E340" s="21" t="s">
        <v>31</v>
      </c>
      <c r="F340" s="47" t="s">
        <v>32</v>
      </c>
      <c r="G340" s="21" t="s">
        <v>1848</v>
      </c>
      <c r="H340" s="7" t="s">
        <v>1849</v>
      </c>
      <c r="I340" s="8" t="s">
        <v>1852</v>
      </c>
      <c r="J340" s="9">
        <v>3993200</v>
      </c>
      <c r="K340" s="8"/>
      <c r="L340" s="8"/>
      <c r="M340" s="8"/>
      <c r="N340" s="42">
        <f t="shared" si="116"/>
        <v>3993200</v>
      </c>
      <c r="O340" s="42"/>
      <c r="P340" s="42">
        <f t="shared" si="114"/>
        <v>3993200</v>
      </c>
      <c r="Q340" s="42">
        <f t="shared" si="108"/>
        <v>3993200</v>
      </c>
      <c r="R340" s="5"/>
    </row>
    <row r="341" spans="1:18" ht="13.5" x14ac:dyDescent="0.2">
      <c r="A341" s="47" t="s">
        <v>23</v>
      </c>
      <c r="B341" s="47" t="s">
        <v>1108</v>
      </c>
      <c r="C341" s="21" t="s">
        <v>1808</v>
      </c>
      <c r="D341" s="47" t="s">
        <v>1832</v>
      </c>
      <c r="E341" s="21" t="s">
        <v>41</v>
      </c>
      <c r="F341" s="47" t="s">
        <v>32</v>
      </c>
      <c r="G341" s="21" t="s">
        <v>1833</v>
      </c>
      <c r="H341" s="7" t="s">
        <v>1834</v>
      </c>
      <c r="I341" s="8" t="s">
        <v>1844</v>
      </c>
      <c r="J341" s="9">
        <v>3349800</v>
      </c>
      <c r="K341" s="8"/>
      <c r="L341" s="42">
        <f t="shared" ref="L341:L349" si="117">J341*1.5</f>
        <v>5024700</v>
      </c>
      <c r="M341" s="8"/>
      <c r="N341" s="42">
        <f t="shared" si="111"/>
        <v>5024700</v>
      </c>
      <c r="O341" s="42"/>
      <c r="P341" s="42">
        <f t="shared" si="114"/>
        <v>5024700</v>
      </c>
      <c r="Q341" s="42">
        <f t="shared" si="108"/>
        <v>5024700</v>
      </c>
      <c r="R341" s="5"/>
    </row>
    <row r="342" spans="1:18" ht="13.5" x14ac:dyDescent="0.2">
      <c r="A342" s="47" t="s">
        <v>23</v>
      </c>
      <c r="B342" s="47" t="s">
        <v>1108</v>
      </c>
      <c r="C342" s="21" t="s">
        <v>1808</v>
      </c>
      <c r="D342" s="47" t="s">
        <v>1832</v>
      </c>
      <c r="E342" s="21" t="s">
        <v>41</v>
      </c>
      <c r="F342" s="47" t="s">
        <v>32</v>
      </c>
      <c r="G342" s="21" t="s">
        <v>1833</v>
      </c>
      <c r="H342" s="7" t="s">
        <v>1834</v>
      </c>
      <c r="I342" s="8" t="s">
        <v>1839</v>
      </c>
      <c r="J342" s="9">
        <v>5596000</v>
      </c>
      <c r="K342" s="8"/>
      <c r="L342" s="42">
        <f t="shared" si="117"/>
        <v>8394000</v>
      </c>
      <c r="M342" s="8"/>
      <c r="N342" s="42">
        <f t="shared" si="111"/>
        <v>8394000</v>
      </c>
      <c r="O342" s="42">
        <f>N342*1.5</f>
        <v>12591000</v>
      </c>
      <c r="P342" s="42"/>
      <c r="Q342" s="42">
        <f t="shared" si="108"/>
        <v>12591000</v>
      </c>
    </row>
    <row r="343" spans="1:18" ht="13.5" x14ac:dyDescent="0.2">
      <c r="A343" s="47" t="s">
        <v>23</v>
      </c>
      <c r="B343" s="47" t="s">
        <v>1108</v>
      </c>
      <c r="C343" s="21" t="s">
        <v>1808</v>
      </c>
      <c r="D343" s="47" t="s">
        <v>1832</v>
      </c>
      <c r="E343" s="21" t="s">
        <v>41</v>
      </c>
      <c r="F343" s="47" t="s">
        <v>32</v>
      </c>
      <c r="G343" s="21" t="s">
        <v>1833</v>
      </c>
      <c r="H343" s="7" t="s">
        <v>1834</v>
      </c>
      <c r="I343" s="8" t="s">
        <v>1846</v>
      </c>
      <c r="J343" s="9">
        <v>1979000</v>
      </c>
      <c r="K343" s="8"/>
      <c r="L343" s="42">
        <f t="shared" si="117"/>
        <v>2968500</v>
      </c>
      <c r="M343" s="8"/>
      <c r="N343" s="42">
        <f t="shared" si="111"/>
        <v>2968500</v>
      </c>
      <c r="O343" s="42"/>
      <c r="P343" s="42">
        <f t="shared" ref="P343:P345" si="118">N343</f>
        <v>2968500</v>
      </c>
      <c r="Q343" s="42">
        <f t="shared" si="108"/>
        <v>2968500</v>
      </c>
      <c r="R343" s="5"/>
    </row>
    <row r="344" spans="1:18" ht="13.5" x14ac:dyDescent="0.2">
      <c r="A344" s="47" t="s">
        <v>23</v>
      </c>
      <c r="B344" s="47" t="s">
        <v>1108</v>
      </c>
      <c r="C344" s="21" t="s">
        <v>1808</v>
      </c>
      <c r="D344" s="47" t="s">
        <v>1832</v>
      </c>
      <c r="E344" s="21" t="s">
        <v>41</v>
      </c>
      <c r="F344" s="47" t="s">
        <v>32</v>
      </c>
      <c r="G344" s="21" t="s">
        <v>1848</v>
      </c>
      <c r="H344" s="7" t="s">
        <v>1849</v>
      </c>
      <c r="I344" s="8" t="s">
        <v>1860</v>
      </c>
      <c r="J344" s="9">
        <v>1845200</v>
      </c>
      <c r="K344" s="8"/>
      <c r="L344" s="42">
        <f t="shared" si="117"/>
        <v>2767800</v>
      </c>
      <c r="M344" s="8"/>
      <c r="N344" s="42">
        <f t="shared" si="111"/>
        <v>2767800</v>
      </c>
      <c r="O344" s="42"/>
      <c r="P344" s="42">
        <f t="shared" si="118"/>
        <v>2767800</v>
      </c>
      <c r="Q344" s="42">
        <f t="shared" si="108"/>
        <v>2767800</v>
      </c>
      <c r="R344" s="5"/>
    </row>
    <row r="345" spans="1:18" ht="13.5" x14ac:dyDescent="0.2">
      <c r="A345" s="47" t="s">
        <v>23</v>
      </c>
      <c r="B345" s="47" t="s">
        <v>1108</v>
      </c>
      <c r="C345" s="21" t="s">
        <v>1808</v>
      </c>
      <c r="D345" s="47" t="s">
        <v>1832</v>
      </c>
      <c r="E345" s="21" t="s">
        <v>41</v>
      </c>
      <c r="F345" s="47" t="s">
        <v>32</v>
      </c>
      <c r="G345" s="21" t="s">
        <v>1848</v>
      </c>
      <c r="H345" s="7" t="s">
        <v>1849</v>
      </c>
      <c r="I345" s="8" t="s">
        <v>1870</v>
      </c>
      <c r="J345" s="9">
        <v>6612000</v>
      </c>
      <c r="K345" s="8"/>
      <c r="L345" s="42">
        <f t="shared" si="117"/>
        <v>9918000</v>
      </c>
      <c r="M345" s="8"/>
      <c r="N345" s="42">
        <f t="shared" si="111"/>
        <v>9918000</v>
      </c>
      <c r="O345" s="42"/>
      <c r="P345" s="42">
        <f t="shared" si="118"/>
        <v>9918000</v>
      </c>
      <c r="Q345" s="42">
        <f t="shared" si="108"/>
        <v>9918000</v>
      </c>
      <c r="R345" s="5"/>
    </row>
    <row r="346" spans="1:18" ht="13.5" x14ac:dyDescent="0.2">
      <c r="A346" s="47" t="s">
        <v>23</v>
      </c>
      <c r="B346" s="47" t="s">
        <v>1108</v>
      </c>
      <c r="C346" s="21" t="s">
        <v>1808</v>
      </c>
      <c r="D346" s="47" t="s">
        <v>1832</v>
      </c>
      <c r="E346" s="21" t="s">
        <v>41</v>
      </c>
      <c r="F346" s="47" t="s">
        <v>32</v>
      </c>
      <c r="G346" s="21" t="s">
        <v>1848</v>
      </c>
      <c r="H346" s="7" t="s">
        <v>1849</v>
      </c>
      <c r="I346" s="8" t="s">
        <v>1866</v>
      </c>
      <c r="J346" s="9">
        <v>5178000</v>
      </c>
      <c r="K346" s="8"/>
      <c r="L346" s="42">
        <f t="shared" si="117"/>
        <v>7767000</v>
      </c>
      <c r="M346" s="8"/>
      <c r="N346" s="42">
        <f t="shared" si="111"/>
        <v>7767000</v>
      </c>
      <c r="O346" s="42">
        <f>N346*1.5</f>
        <v>11650500</v>
      </c>
      <c r="P346" s="42"/>
      <c r="Q346" s="42">
        <f t="shared" si="108"/>
        <v>11650500</v>
      </c>
    </row>
    <row r="347" spans="1:18" ht="13.5" x14ac:dyDescent="0.2">
      <c r="A347" s="47" t="s">
        <v>23</v>
      </c>
      <c r="B347" s="47" t="s">
        <v>1108</v>
      </c>
      <c r="C347" s="21" t="s">
        <v>1808</v>
      </c>
      <c r="D347" s="47" t="s">
        <v>1832</v>
      </c>
      <c r="E347" s="21" t="s">
        <v>41</v>
      </c>
      <c r="F347" s="47" t="s">
        <v>32</v>
      </c>
      <c r="G347" s="21" t="s">
        <v>1848</v>
      </c>
      <c r="H347" s="7" t="s">
        <v>1849</v>
      </c>
      <c r="I347" s="8" t="s">
        <v>1856</v>
      </c>
      <c r="J347" s="9">
        <v>6199200</v>
      </c>
      <c r="K347" s="8"/>
      <c r="L347" s="42">
        <f t="shared" si="117"/>
        <v>9298800</v>
      </c>
      <c r="M347" s="8"/>
      <c r="N347" s="42">
        <f t="shared" si="111"/>
        <v>9298800</v>
      </c>
      <c r="O347" s="42"/>
      <c r="P347" s="42">
        <f t="shared" ref="P347:P356" si="119">N347</f>
        <v>9298800</v>
      </c>
      <c r="Q347" s="42">
        <f t="shared" si="108"/>
        <v>9298800</v>
      </c>
      <c r="R347" s="5"/>
    </row>
    <row r="348" spans="1:18" ht="13.5" x14ac:dyDescent="0.2">
      <c r="A348" s="47" t="s">
        <v>23</v>
      </c>
      <c r="B348" s="47" t="s">
        <v>1108</v>
      </c>
      <c r="C348" s="21" t="s">
        <v>1808</v>
      </c>
      <c r="D348" s="47" t="s">
        <v>1832</v>
      </c>
      <c r="E348" s="21" t="s">
        <v>41</v>
      </c>
      <c r="F348" s="47" t="s">
        <v>32</v>
      </c>
      <c r="G348" s="21" t="s">
        <v>1848</v>
      </c>
      <c r="H348" s="7" t="s">
        <v>1849</v>
      </c>
      <c r="I348" s="8" t="s">
        <v>1858</v>
      </c>
      <c r="J348" s="9">
        <v>6199200</v>
      </c>
      <c r="K348" s="8"/>
      <c r="L348" s="42">
        <f t="shared" si="117"/>
        <v>9298800</v>
      </c>
      <c r="M348" s="8"/>
      <c r="N348" s="42">
        <f t="shared" si="111"/>
        <v>9298800</v>
      </c>
      <c r="O348" s="42"/>
      <c r="P348" s="42">
        <f t="shared" si="119"/>
        <v>9298800</v>
      </c>
      <c r="Q348" s="42">
        <f t="shared" si="108"/>
        <v>9298800</v>
      </c>
      <c r="R348" s="5"/>
    </row>
    <row r="349" spans="1:18" ht="13.5" x14ac:dyDescent="0.2">
      <c r="A349" s="47" t="s">
        <v>23</v>
      </c>
      <c r="B349" s="47" t="s">
        <v>1108</v>
      </c>
      <c r="C349" s="21" t="s">
        <v>1808</v>
      </c>
      <c r="D349" s="47" t="s">
        <v>1832</v>
      </c>
      <c r="E349" s="21" t="s">
        <v>57</v>
      </c>
      <c r="F349" s="47" t="s">
        <v>32</v>
      </c>
      <c r="G349" s="21" t="s">
        <v>1848</v>
      </c>
      <c r="H349" s="7" t="s">
        <v>1849</v>
      </c>
      <c r="I349" s="8" t="s">
        <v>1864</v>
      </c>
      <c r="J349" s="9">
        <v>3198000</v>
      </c>
      <c r="K349" s="8"/>
      <c r="L349" s="42">
        <f t="shared" si="117"/>
        <v>4797000</v>
      </c>
      <c r="M349" s="8"/>
      <c r="N349" s="42">
        <f t="shared" si="111"/>
        <v>4797000</v>
      </c>
      <c r="O349" s="42"/>
      <c r="P349" s="42">
        <f t="shared" si="119"/>
        <v>4797000</v>
      </c>
      <c r="Q349" s="42">
        <f t="shared" si="108"/>
        <v>4797000</v>
      </c>
      <c r="R349" s="5"/>
    </row>
    <row r="350" spans="1:18" ht="13.5" x14ac:dyDescent="0.2">
      <c r="A350" s="47" t="s">
        <v>23</v>
      </c>
      <c r="B350" s="47" t="s">
        <v>1108</v>
      </c>
      <c r="C350" s="21" t="s">
        <v>1808</v>
      </c>
      <c r="D350" s="47" t="s">
        <v>1872</v>
      </c>
      <c r="E350" s="21" t="s">
        <v>31</v>
      </c>
      <c r="F350" s="47" t="s">
        <v>32</v>
      </c>
      <c r="G350" s="21" t="s">
        <v>1873</v>
      </c>
      <c r="H350" s="7" t="s">
        <v>1874</v>
      </c>
      <c r="I350" s="8" t="s">
        <v>1884</v>
      </c>
      <c r="J350" s="9">
        <v>1798000</v>
      </c>
      <c r="K350" s="8"/>
      <c r="L350" s="8"/>
      <c r="M350" s="8"/>
      <c r="N350" s="42">
        <f t="shared" ref="N350:N355" si="120">J350</f>
        <v>1798000</v>
      </c>
      <c r="O350" s="42"/>
      <c r="P350" s="42">
        <f t="shared" si="119"/>
        <v>1798000</v>
      </c>
      <c r="Q350" s="42">
        <f t="shared" si="108"/>
        <v>1798000</v>
      </c>
      <c r="R350" s="5"/>
    </row>
    <row r="351" spans="1:18" ht="13.5" x14ac:dyDescent="0.2">
      <c r="A351" s="47" t="s">
        <v>23</v>
      </c>
      <c r="B351" s="47" t="s">
        <v>1108</v>
      </c>
      <c r="C351" s="21" t="s">
        <v>1808</v>
      </c>
      <c r="D351" s="47" t="s">
        <v>1872</v>
      </c>
      <c r="E351" s="21" t="s">
        <v>31</v>
      </c>
      <c r="F351" s="47" t="s">
        <v>32</v>
      </c>
      <c r="G351" s="21" t="s">
        <v>1873</v>
      </c>
      <c r="H351" s="7" t="s">
        <v>1874</v>
      </c>
      <c r="I351" s="8" t="s">
        <v>1889</v>
      </c>
      <c r="J351" s="9">
        <v>4738500</v>
      </c>
      <c r="K351" s="8"/>
      <c r="L351" s="8"/>
      <c r="M351" s="8"/>
      <c r="N351" s="42">
        <f t="shared" si="120"/>
        <v>4738500</v>
      </c>
      <c r="O351" s="42"/>
      <c r="P351" s="42">
        <f t="shared" si="119"/>
        <v>4738500</v>
      </c>
      <c r="Q351" s="42">
        <f t="shared" si="108"/>
        <v>4738500</v>
      </c>
      <c r="R351" s="5"/>
    </row>
    <row r="352" spans="1:18" ht="13.5" x14ac:dyDescent="0.2">
      <c r="A352" s="47" t="s">
        <v>23</v>
      </c>
      <c r="B352" s="47" t="s">
        <v>1108</v>
      </c>
      <c r="C352" s="21" t="s">
        <v>1808</v>
      </c>
      <c r="D352" s="47" t="s">
        <v>1872</v>
      </c>
      <c r="E352" s="21" t="s">
        <v>31</v>
      </c>
      <c r="F352" s="47" t="s">
        <v>32</v>
      </c>
      <c r="G352" s="21" t="s">
        <v>1873</v>
      </c>
      <c r="H352" s="7" t="s">
        <v>1874</v>
      </c>
      <c r="I352" s="8" t="s">
        <v>1891</v>
      </c>
      <c r="J352" s="9">
        <v>2599800</v>
      </c>
      <c r="K352" s="8"/>
      <c r="L352" s="8"/>
      <c r="M352" s="8"/>
      <c r="N352" s="42">
        <f t="shared" si="120"/>
        <v>2599800</v>
      </c>
      <c r="O352" s="42"/>
      <c r="P352" s="42">
        <f t="shared" si="119"/>
        <v>2599800</v>
      </c>
      <c r="Q352" s="42">
        <f t="shared" si="108"/>
        <v>2599800</v>
      </c>
      <c r="R352" s="5"/>
    </row>
    <row r="353" spans="1:18" ht="13.5" x14ac:dyDescent="0.2">
      <c r="A353" s="47" t="s">
        <v>23</v>
      </c>
      <c r="B353" s="47" t="s">
        <v>1108</v>
      </c>
      <c r="C353" s="21" t="s">
        <v>1808</v>
      </c>
      <c r="D353" s="47" t="s">
        <v>1872</v>
      </c>
      <c r="E353" s="21" t="s">
        <v>31</v>
      </c>
      <c r="F353" s="47" t="s">
        <v>32</v>
      </c>
      <c r="G353" s="21" t="s">
        <v>1873</v>
      </c>
      <c r="H353" s="7" t="s">
        <v>1874</v>
      </c>
      <c r="I353" s="8" t="s">
        <v>1878</v>
      </c>
      <c r="J353" s="9">
        <v>8049300</v>
      </c>
      <c r="K353" s="8"/>
      <c r="L353" s="8"/>
      <c r="M353" s="8"/>
      <c r="N353" s="42">
        <f t="shared" si="120"/>
        <v>8049300</v>
      </c>
      <c r="O353" s="42"/>
      <c r="P353" s="42">
        <f t="shared" si="119"/>
        <v>8049300</v>
      </c>
      <c r="Q353" s="42">
        <f t="shared" si="108"/>
        <v>8049300</v>
      </c>
      <c r="R353" s="5"/>
    </row>
    <row r="354" spans="1:18" ht="13.5" x14ac:dyDescent="0.2">
      <c r="A354" s="47" t="s">
        <v>23</v>
      </c>
      <c r="B354" s="47" t="s">
        <v>1108</v>
      </c>
      <c r="C354" s="21" t="s">
        <v>1808</v>
      </c>
      <c r="D354" s="47" t="s">
        <v>1872</v>
      </c>
      <c r="E354" s="21" t="s">
        <v>31</v>
      </c>
      <c r="F354" s="47" t="s">
        <v>32</v>
      </c>
      <c r="G354" s="21" t="s">
        <v>1873</v>
      </c>
      <c r="H354" s="7" t="s">
        <v>1874</v>
      </c>
      <c r="I354" s="8" t="s">
        <v>1875</v>
      </c>
      <c r="J354" s="9">
        <v>3399600</v>
      </c>
      <c r="K354" s="8"/>
      <c r="L354" s="8"/>
      <c r="M354" s="8"/>
      <c r="N354" s="42">
        <f t="shared" si="120"/>
        <v>3399600</v>
      </c>
      <c r="O354" s="42"/>
      <c r="P354" s="42">
        <f t="shared" si="119"/>
        <v>3399600</v>
      </c>
      <c r="Q354" s="42">
        <f t="shared" si="108"/>
        <v>3399600</v>
      </c>
      <c r="R354" s="5"/>
    </row>
    <row r="355" spans="1:18" ht="13.5" x14ac:dyDescent="0.2">
      <c r="A355" s="47" t="s">
        <v>23</v>
      </c>
      <c r="B355" s="47" t="s">
        <v>1108</v>
      </c>
      <c r="C355" s="21" t="s">
        <v>1808</v>
      </c>
      <c r="D355" s="47" t="s">
        <v>1872</v>
      </c>
      <c r="E355" s="21" t="s">
        <v>31</v>
      </c>
      <c r="F355" s="47" t="s">
        <v>32</v>
      </c>
      <c r="G355" s="21" t="s">
        <v>1873</v>
      </c>
      <c r="H355" s="7" t="s">
        <v>1874</v>
      </c>
      <c r="I355" s="8" t="s">
        <v>1887</v>
      </c>
      <c r="J355" s="9">
        <v>1799800</v>
      </c>
      <c r="K355" s="8"/>
      <c r="L355" s="8"/>
      <c r="M355" s="8"/>
      <c r="N355" s="42">
        <f t="shared" si="120"/>
        <v>1799800</v>
      </c>
      <c r="O355" s="42"/>
      <c r="P355" s="42">
        <f t="shared" si="119"/>
        <v>1799800</v>
      </c>
      <c r="Q355" s="42">
        <f t="shared" si="108"/>
        <v>1799800</v>
      </c>
      <c r="R355" s="5"/>
    </row>
    <row r="356" spans="1:18" ht="13.5" x14ac:dyDescent="0.2">
      <c r="A356" s="47" t="s">
        <v>23</v>
      </c>
      <c r="B356" s="47" t="s">
        <v>1108</v>
      </c>
      <c r="C356" s="21" t="s">
        <v>1808</v>
      </c>
      <c r="D356" s="47" t="s">
        <v>1872</v>
      </c>
      <c r="E356" s="21" t="s">
        <v>41</v>
      </c>
      <c r="F356" s="47" t="s">
        <v>32</v>
      </c>
      <c r="G356" s="21" t="s">
        <v>1873</v>
      </c>
      <c r="H356" s="7" t="s">
        <v>1874</v>
      </c>
      <c r="I356" s="8" t="s">
        <v>1880</v>
      </c>
      <c r="J356" s="9">
        <v>3984400</v>
      </c>
      <c r="K356" s="8"/>
      <c r="L356" s="42">
        <f t="shared" ref="L356:L357" si="121">J356*1.5</f>
        <v>5976600</v>
      </c>
      <c r="M356" s="8"/>
      <c r="N356" s="42">
        <f t="shared" si="111"/>
        <v>5976600</v>
      </c>
      <c r="O356" s="42"/>
      <c r="P356" s="42">
        <f t="shared" si="119"/>
        <v>5976600</v>
      </c>
      <c r="Q356" s="42">
        <f t="shared" si="108"/>
        <v>5976600</v>
      </c>
      <c r="R356" s="5"/>
    </row>
    <row r="357" spans="1:18" ht="13.5" x14ac:dyDescent="0.2">
      <c r="A357" s="47" t="s">
        <v>23</v>
      </c>
      <c r="B357" s="47" t="s">
        <v>1108</v>
      </c>
      <c r="C357" s="21" t="s">
        <v>1808</v>
      </c>
      <c r="D357" s="47" t="s">
        <v>1872</v>
      </c>
      <c r="E357" s="21" t="s">
        <v>41</v>
      </c>
      <c r="F357" s="47" t="s">
        <v>32</v>
      </c>
      <c r="G357" s="21" t="s">
        <v>1873</v>
      </c>
      <c r="H357" s="7" t="s">
        <v>1874</v>
      </c>
      <c r="I357" s="8" t="s">
        <v>804</v>
      </c>
      <c r="J357" s="9">
        <v>3074800</v>
      </c>
      <c r="K357" s="8"/>
      <c r="L357" s="42">
        <f t="shared" si="121"/>
        <v>4612200</v>
      </c>
      <c r="M357" s="8"/>
      <c r="N357" s="42">
        <f t="shared" si="111"/>
        <v>4612200</v>
      </c>
      <c r="O357" s="42">
        <f>N357*1.5</f>
        <v>6918300</v>
      </c>
      <c r="P357" s="42"/>
      <c r="Q357" s="42">
        <f t="shared" si="108"/>
        <v>6918300</v>
      </c>
    </row>
    <row r="358" spans="1:18" ht="13.5" x14ac:dyDescent="0.2">
      <c r="A358" s="47" t="s">
        <v>23</v>
      </c>
      <c r="B358" s="47" t="s">
        <v>1108</v>
      </c>
      <c r="C358" s="21" t="s">
        <v>1893</v>
      </c>
      <c r="D358" s="47" t="s">
        <v>1894</v>
      </c>
      <c r="E358" s="21" t="s">
        <v>31</v>
      </c>
      <c r="F358" s="47" t="s">
        <v>32</v>
      </c>
      <c r="G358" s="21" t="s">
        <v>1895</v>
      </c>
      <c r="H358" s="7" t="s">
        <v>1896</v>
      </c>
      <c r="I358" s="8" t="s">
        <v>1897</v>
      </c>
      <c r="J358" s="9">
        <v>3090600</v>
      </c>
      <c r="K358" s="8"/>
      <c r="L358" s="8"/>
      <c r="M358" s="8"/>
      <c r="N358" s="42">
        <f t="shared" ref="N358:N364" si="122">J358</f>
        <v>3090600</v>
      </c>
      <c r="O358" s="42"/>
      <c r="P358" s="42">
        <f t="shared" ref="P358:P364" si="123">N358</f>
        <v>3090600</v>
      </c>
      <c r="Q358" s="42">
        <f t="shared" si="108"/>
        <v>3090600</v>
      </c>
      <c r="R358" s="5"/>
    </row>
    <row r="359" spans="1:18" ht="13.5" x14ac:dyDescent="0.2">
      <c r="A359" s="47" t="s">
        <v>23</v>
      </c>
      <c r="B359" s="47" t="s">
        <v>1108</v>
      </c>
      <c r="C359" s="21" t="s">
        <v>1893</v>
      </c>
      <c r="D359" s="47" t="s">
        <v>1894</v>
      </c>
      <c r="E359" s="21" t="s">
        <v>31</v>
      </c>
      <c r="F359" s="47" t="s">
        <v>32</v>
      </c>
      <c r="G359" s="21" t="s">
        <v>1899</v>
      </c>
      <c r="H359" s="7" t="s">
        <v>1900</v>
      </c>
      <c r="I359" s="8" t="s">
        <v>1917</v>
      </c>
      <c r="J359" s="9">
        <v>2199800</v>
      </c>
      <c r="K359" s="8"/>
      <c r="L359" s="8"/>
      <c r="M359" s="8"/>
      <c r="N359" s="42">
        <f t="shared" si="122"/>
        <v>2199800</v>
      </c>
      <c r="O359" s="42"/>
      <c r="P359" s="42">
        <f t="shared" si="123"/>
        <v>2199800</v>
      </c>
      <c r="Q359" s="42">
        <f t="shared" si="108"/>
        <v>2199800</v>
      </c>
      <c r="R359" s="5"/>
    </row>
    <row r="360" spans="1:18" ht="13.5" x14ac:dyDescent="0.2">
      <c r="A360" s="47" t="s">
        <v>23</v>
      </c>
      <c r="B360" s="47" t="s">
        <v>1108</v>
      </c>
      <c r="C360" s="21" t="s">
        <v>1893</v>
      </c>
      <c r="D360" s="47" t="s">
        <v>1894</v>
      </c>
      <c r="E360" s="21" t="s">
        <v>31</v>
      </c>
      <c r="F360" s="47" t="s">
        <v>32</v>
      </c>
      <c r="G360" s="21" t="s">
        <v>1899</v>
      </c>
      <c r="H360" s="7" t="s">
        <v>1900</v>
      </c>
      <c r="I360" s="8" t="s">
        <v>1925</v>
      </c>
      <c r="J360" s="9">
        <v>2676200</v>
      </c>
      <c r="K360" s="8"/>
      <c r="L360" s="8"/>
      <c r="M360" s="8"/>
      <c r="N360" s="42">
        <f t="shared" si="122"/>
        <v>2676200</v>
      </c>
      <c r="O360" s="42"/>
      <c r="P360" s="42">
        <f t="shared" si="123"/>
        <v>2676200</v>
      </c>
      <c r="Q360" s="42">
        <f t="shared" si="108"/>
        <v>2676200</v>
      </c>
      <c r="R360" s="5"/>
    </row>
    <row r="361" spans="1:18" ht="13.5" x14ac:dyDescent="0.2">
      <c r="A361" s="47" t="s">
        <v>23</v>
      </c>
      <c r="B361" s="47" t="s">
        <v>1108</v>
      </c>
      <c r="C361" s="21" t="s">
        <v>1893</v>
      </c>
      <c r="D361" s="47" t="s">
        <v>1894</v>
      </c>
      <c r="E361" s="21" t="s">
        <v>31</v>
      </c>
      <c r="F361" s="47" t="s">
        <v>32</v>
      </c>
      <c r="G361" s="21" t="s">
        <v>1899</v>
      </c>
      <c r="H361" s="7" t="s">
        <v>1900</v>
      </c>
      <c r="I361" s="8" t="s">
        <v>1907</v>
      </c>
      <c r="J361" s="9">
        <v>2593800</v>
      </c>
      <c r="K361" s="8"/>
      <c r="L361" s="8"/>
      <c r="M361" s="8"/>
      <c r="N361" s="42">
        <f t="shared" si="122"/>
        <v>2593800</v>
      </c>
      <c r="O361" s="42"/>
      <c r="P361" s="42">
        <f t="shared" si="123"/>
        <v>2593800</v>
      </c>
      <c r="Q361" s="42">
        <f t="shared" si="108"/>
        <v>2593800</v>
      </c>
      <c r="R361" s="5"/>
    </row>
    <row r="362" spans="1:18" ht="13.5" x14ac:dyDescent="0.2">
      <c r="A362" s="47" t="s">
        <v>23</v>
      </c>
      <c r="B362" s="47" t="s">
        <v>1108</v>
      </c>
      <c r="C362" s="21" t="s">
        <v>1893</v>
      </c>
      <c r="D362" s="47" t="s">
        <v>1894</v>
      </c>
      <c r="E362" s="21" t="s">
        <v>31</v>
      </c>
      <c r="F362" s="47" t="s">
        <v>32</v>
      </c>
      <c r="G362" s="21" t="s">
        <v>1940</v>
      </c>
      <c r="H362" s="7" t="s">
        <v>1941</v>
      </c>
      <c r="I362" s="8" t="s">
        <v>1958</v>
      </c>
      <c r="J362" s="9">
        <v>976200</v>
      </c>
      <c r="K362" s="8"/>
      <c r="L362" s="8"/>
      <c r="M362" s="8"/>
      <c r="N362" s="42">
        <f t="shared" si="122"/>
        <v>976200</v>
      </c>
      <c r="O362" s="42"/>
      <c r="P362" s="42">
        <f t="shared" si="123"/>
        <v>976200</v>
      </c>
      <c r="Q362" s="42">
        <f t="shared" si="108"/>
        <v>976200</v>
      </c>
      <c r="R362" s="5"/>
    </row>
    <row r="363" spans="1:18" ht="13.5" x14ac:dyDescent="0.2">
      <c r="A363" s="47" t="s">
        <v>23</v>
      </c>
      <c r="B363" s="47" t="s">
        <v>1108</v>
      </c>
      <c r="C363" s="21" t="s">
        <v>1893</v>
      </c>
      <c r="D363" s="47" t="s">
        <v>1894</v>
      </c>
      <c r="E363" s="21" t="s">
        <v>31</v>
      </c>
      <c r="F363" s="47" t="s">
        <v>32</v>
      </c>
      <c r="G363" s="21" t="s">
        <v>1940</v>
      </c>
      <c r="H363" s="7" t="s">
        <v>1941</v>
      </c>
      <c r="I363" s="8" t="s">
        <v>1960</v>
      </c>
      <c r="J363" s="9">
        <v>1004400</v>
      </c>
      <c r="K363" s="8"/>
      <c r="L363" s="8"/>
      <c r="M363" s="8"/>
      <c r="N363" s="42">
        <f t="shared" si="122"/>
        <v>1004400</v>
      </c>
      <c r="O363" s="42"/>
      <c r="P363" s="42">
        <f t="shared" si="123"/>
        <v>1004400</v>
      </c>
      <c r="Q363" s="42">
        <f t="shared" si="108"/>
        <v>1004400</v>
      </c>
      <c r="R363" s="5"/>
    </row>
    <row r="364" spans="1:18" ht="13.5" x14ac:dyDescent="0.2">
      <c r="A364" s="47" t="s">
        <v>23</v>
      </c>
      <c r="B364" s="47" t="s">
        <v>1108</v>
      </c>
      <c r="C364" s="21" t="s">
        <v>1893</v>
      </c>
      <c r="D364" s="47" t="s">
        <v>1894</v>
      </c>
      <c r="E364" s="21" t="s">
        <v>31</v>
      </c>
      <c r="F364" s="47" t="s">
        <v>32</v>
      </c>
      <c r="G364" s="21" t="s">
        <v>1940</v>
      </c>
      <c r="H364" s="7" t="s">
        <v>1941</v>
      </c>
      <c r="I364" s="8" t="s">
        <v>1942</v>
      </c>
      <c r="J364" s="9">
        <v>7916000</v>
      </c>
      <c r="K364" s="8"/>
      <c r="L364" s="8"/>
      <c r="M364" s="8"/>
      <c r="N364" s="42">
        <f t="shared" si="122"/>
        <v>7916000</v>
      </c>
      <c r="O364" s="42"/>
      <c r="P364" s="42">
        <f t="shared" si="123"/>
        <v>7916000</v>
      </c>
      <c r="Q364" s="42">
        <f t="shared" si="108"/>
        <v>7916000</v>
      </c>
      <c r="R364" s="5"/>
    </row>
    <row r="365" spans="1:18" ht="13.5" x14ac:dyDescent="0.2">
      <c r="A365" s="47" t="s">
        <v>23</v>
      </c>
      <c r="B365" s="47" t="s">
        <v>1108</v>
      </c>
      <c r="C365" s="21" t="s">
        <v>1893</v>
      </c>
      <c r="D365" s="47" t="s">
        <v>1894</v>
      </c>
      <c r="E365" s="21" t="s">
        <v>41</v>
      </c>
      <c r="F365" s="47" t="s">
        <v>32</v>
      </c>
      <c r="G365" s="21" t="s">
        <v>1899</v>
      </c>
      <c r="H365" s="7" t="s">
        <v>1900</v>
      </c>
      <c r="I365" s="8" t="s">
        <v>1913</v>
      </c>
      <c r="J365" s="9">
        <v>7884400</v>
      </c>
      <c r="K365" s="8"/>
      <c r="L365" s="42">
        <f t="shared" ref="L365:L378" si="124">J365*1.5</f>
        <v>11826600</v>
      </c>
      <c r="M365" s="8"/>
      <c r="N365" s="42">
        <f t="shared" si="111"/>
        <v>11826600</v>
      </c>
      <c r="O365" s="42">
        <f t="shared" ref="O365:O366" si="125">N365*1.5</f>
        <v>17739900</v>
      </c>
      <c r="P365" s="42"/>
      <c r="Q365" s="42">
        <f t="shared" si="108"/>
        <v>17739900</v>
      </c>
    </row>
    <row r="366" spans="1:18" ht="13.5" x14ac:dyDescent="0.2">
      <c r="A366" s="47" t="s">
        <v>23</v>
      </c>
      <c r="B366" s="47" t="s">
        <v>1108</v>
      </c>
      <c r="C366" s="21" t="s">
        <v>1893</v>
      </c>
      <c r="D366" s="47" t="s">
        <v>1894</v>
      </c>
      <c r="E366" s="21" t="s">
        <v>41</v>
      </c>
      <c r="F366" s="47" t="s">
        <v>32</v>
      </c>
      <c r="G366" s="21" t="s">
        <v>1899</v>
      </c>
      <c r="H366" s="7" t="s">
        <v>1900</v>
      </c>
      <c r="I366" s="8" t="s">
        <v>1928</v>
      </c>
      <c r="J366" s="9">
        <v>3599800</v>
      </c>
      <c r="K366" s="8"/>
      <c r="L366" s="42">
        <f t="shared" si="124"/>
        <v>5399700</v>
      </c>
      <c r="M366" s="8"/>
      <c r="N366" s="42">
        <f t="shared" si="111"/>
        <v>5399700</v>
      </c>
      <c r="O366" s="42">
        <f t="shared" si="125"/>
        <v>8099550</v>
      </c>
      <c r="P366" s="42"/>
      <c r="Q366" s="42">
        <f t="shared" si="108"/>
        <v>8099550</v>
      </c>
    </row>
    <row r="367" spans="1:18" ht="13.5" x14ac:dyDescent="0.2">
      <c r="A367" s="47" t="s">
        <v>23</v>
      </c>
      <c r="B367" s="47" t="s">
        <v>1108</v>
      </c>
      <c r="C367" s="21" t="s">
        <v>1893</v>
      </c>
      <c r="D367" s="47" t="s">
        <v>1894</v>
      </c>
      <c r="E367" s="21" t="s">
        <v>41</v>
      </c>
      <c r="F367" s="47" t="s">
        <v>32</v>
      </c>
      <c r="G367" s="21" t="s">
        <v>1899</v>
      </c>
      <c r="H367" s="7" t="s">
        <v>1900</v>
      </c>
      <c r="I367" s="8" t="s">
        <v>1934</v>
      </c>
      <c r="J367" s="9">
        <v>2580000</v>
      </c>
      <c r="K367" s="8"/>
      <c r="L367" s="42">
        <f t="shared" si="124"/>
        <v>3870000</v>
      </c>
      <c r="M367" s="8"/>
      <c r="N367" s="42">
        <f t="shared" si="111"/>
        <v>3870000</v>
      </c>
      <c r="O367" s="42"/>
      <c r="P367" s="42">
        <f>N367</f>
        <v>3870000</v>
      </c>
      <c r="Q367" s="42">
        <f t="shared" si="108"/>
        <v>3870000</v>
      </c>
      <c r="R367" s="5"/>
    </row>
    <row r="368" spans="1:18" ht="13.5" x14ac:dyDescent="0.2">
      <c r="A368" s="47" t="s">
        <v>23</v>
      </c>
      <c r="B368" s="47" t="s">
        <v>1108</v>
      </c>
      <c r="C368" s="21" t="s">
        <v>1893</v>
      </c>
      <c r="D368" s="47" t="s">
        <v>1894</v>
      </c>
      <c r="E368" s="21" t="s">
        <v>41</v>
      </c>
      <c r="F368" s="47" t="s">
        <v>32</v>
      </c>
      <c r="G368" s="21" t="s">
        <v>1899</v>
      </c>
      <c r="H368" s="7" t="s">
        <v>1900</v>
      </c>
      <c r="I368" s="8" t="s">
        <v>1903</v>
      </c>
      <c r="J368" s="9">
        <v>5693100</v>
      </c>
      <c r="K368" s="8"/>
      <c r="L368" s="42">
        <f t="shared" si="124"/>
        <v>8539650</v>
      </c>
      <c r="M368" s="8"/>
      <c r="N368" s="42">
        <f t="shared" si="111"/>
        <v>8539650</v>
      </c>
      <c r="O368" s="42">
        <f t="shared" ref="O368:O369" si="126">N368*1.5</f>
        <v>12809475</v>
      </c>
      <c r="P368" s="42"/>
      <c r="Q368" s="42">
        <f t="shared" si="108"/>
        <v>12809475</v>
      </c>
    </row>
    <row r="369" spans="1:18" ht="13.5" x14ac:dyDescent="0.2">
      <c r="A369" s="47" t="s">
        <v>23</v>
      </c>
      <c r="B369" s="47" t="s">
        <v>1108</v>
      </c>
      <c r="C369" s="21" t="s">
        <v>1893</v>
      </c>
      <c r="D369" s="47" t="s">
        <v>1894</v>
      </c>
      <c r="E369" s="21" t="s">
        <v>41</v>
      </c>
      <c r="F369" s="47" t="s">
        <v>32</v>
      </c>
      <c r="G369" s="21" t="s">
        <v>1899</v>
      </c>
      <c r="H369" s="7" t="s">
        <v>1900</v>
      </c>
      <c r="I369" s="8" t="s">
        <v>1915</v>
      </c>
      <c r="J369" s="9">
        <v>5097000</v>
      </c>
      <c r="K369" s="8"/>
      <c r="L369" s="42">
        <f t="shared" si="124"/>
        <v>7645500</v>
      </c>
      <c r="M369" s="8"/>
      <c r="N369" s="42">
        <f t="shared" si="111"/>
        <v>7645500</v>
      </c>
      <c r="O369" s="42">
        <f t="shared" si="126"/>
        <v>11468250</v>
      </c>
      <c r="P369" s="42"/>
      <c r="Q369" s="42">
        <f t="shared" si="108"/>
        <v>11468250</v>
      </c>
    </row>
    <row r="370" spans="1:18" ht="13.5" x14ac:dyDescent="0.2">
      <c r="A370" s="47" t="s">
        <v>23</v>
      </c>
      <c r="B370" s="47" t="s">
        <v>1108</v>
      </c>
      <c r="C370" s="21" t="s">
        <v>1893</v>
      </c>
      <c r="D370" s="47" t="s">
        <v>1894</v>
      </c>
      <c r="E370" s="21" t="s">
        <v>41</v>
      </c>
      <c r="F370" s="47" t="s">
        <v>32</v>
      </c>
      <c r="G370" s="21" t="s">
        <v>1899</v>
      </c>
      <c r="H370" s="7" t="s">
        <v>1900</v>
      </c>
      <c r="I370" s="8" t="s">
        <v>1923</v>
      </c>
      <c r="J370" s="9">
        <v>3049200</v>
      </c>
      <c r="K370" s="8"/>
      <c r="L370" s="42">
        <f t="shared" si="124"/>
        <v>4573800</v>
      </c>
      <c r="M370" s="8"/>
      <c r="N370" s="42">
        <f t="shared" si="111"/>
        <v>4573800</v>
      </c>
      <c r="O370" s="42"/>
      <c r="P370" s="42">
        <f>N370</f>
        <v>4573800</v>
      </c>
      <c r="Q370" s="42">
        <f t="shared" si="108"/>
        <v>4573800</v>
      </c>
      <c r="R370" s="5"/>
    </row>
    <row r="371" spans="1:18" ht="13.5" x14ac:dyDescent="0.2">
      <c r="A371" s="47" t="s">
        <v>23</v>
      </c>
      <c r="B371" s="47" t="s">
        <v>1108</v>
      </c>
      <c r="C371" s="21" t="s">
        <v>1893</v>
      </c>
      <c r="D371" s="47" t="s">
        <v>1894</v>
      </c>
      <c r="E371" s="21" t="s">
        <v>41</v>
      </c>
      <c r="F371" s="47" t="s">
        <v>32</v>
      </c>
      <c r="G371" s="21" t="s">
        <v>1899</v>
      </c>
      <c r="H371" s="7" t="s">
        <v>1900</v>
      </c>
      <c r="I371" s="8" t="s">
        <v>1930</v>
      </c>
      <c r="J371" s="9">
        <v>7310000</v>
      </c>
      <c r="K371" s="8"/>
      <c r="L371" s="42">
        <f t="shared" si="124"/>
        <v>10965000</v>
      </c>
      <c r="M371" s="8"/>
      <c r="N371" s="42">
        <f t="shared" si="111"/>
        <v>10965000</v>
      </c>
      <c r="O371" s="42">
        <f>N371*1.5</f>
        <v>16447500</v>
      </c>
      <c r="P371" s="42"/>
      <c r="Q371" s="42">
        <f t="shared" si="108"/>
        <v>16447500</v>
      </c>
    </row>
    <row r="372" spans="1:18" ht="13.5" x14ac:dyDescent="0.2">
      <c r="A372" s="47" t="s">
        <v>23</v>
      </c>
      <c r="B372" s="47" t="s">
        <v>1108</v>
      </c>
      <c r="C372" s="21" t="s">
        <v>1893</v>
      </c>
      <c r="D372" s="47" t="s">
        <v>1894</v>
      </c>
      <c r="E372" s="21" t="s">
        <v>41</v>
      </c>
      <c r="F372" s="47" t="s">
        <v>32</v>
      </c>
      <c r="G372" s="21" t="s">
        <v>1936</v>
      </c>
      <c r="H372" s="7" t="s">
        <v>1937</v>
      </c>
      <c r="I372" s="8" t="s">
        <v>1938</v>
      </c>
      <c r="J372" s="9">
        <v>2582000</v>
      </c>
      <c r="K372" s="8"/>
      <c r="L372" s="42">
        <f t="shared" si="124"/>
        <v>3873000</v>
      </c>
      <c r="M372" s="8"/>
      <c r="N372" s="42">
        <f t="shared" si="111"/>
        <v>3873000</v>
      </c>
      <c r="O372" s="42"/>
      <c r="P372" s="42">
        <f t="shared" ref="P372:P373" si="127">N372</f>
        <v>3873000</v>
      </c>
      <c r="Q372" s="42">
        <f t="shared" si="108"/>
        <v>3873000</v>
      </c>
      <c r="R372" s="5"/>
    </row>
    <row r="373" spans="1:18" ht="13.5" x14ac:dyDescent="0.2">
      <c r="A373" s="47" t="s">
        <v>23</v>
      </c>
      <c r="B373" s="47" t="s">
        <v>1108</v>
      </c>
      <c r="C373" s="21" t="s">
        <v>1893</v>
      </c>
      <c r="D373" s="47" t="s">
        <v>1894</v>
      </c>
      <c r="E373" s="21" t="s">
        <v>41</v>
      </c>
      <c r="F373" s="47" t="s">
        <v>32</v>
      </c>
      <c r="G373" s="21" t="s">
        <v>1940</v>
      </c>
      <c r="H373" s="7" t="s">
        <v>1941</v>
      </c>
      <c r="I373" s="8" t="s">
        <v>1956</v>
      </c>
      <c r="J373" s="9">
        <v>2558000</v>
      </c>
      <c r="K373" s="8"/>
      <c r="L373" s="42">
        <f t="shared" si="124"/>
        <v>3837000</v>
      </c>
      <c r="M373" s="8"/>
      <c r="N373" s="42">
        <f t="shared" si="111"/>
        <v>3837000</v>
      </c>
      <c r="O373" s="42"/>
      <c r="P373" s="42">
        <f t="shared" si="127"/>
        <v>3837000</v>
      </c>
      <c r="Q373" s="42">
        <f t="shared" si="108"/>
        <v>3837000</v>
      </c>
      <c r="R373" s="5"/>
    </row>
    <row r="374" spans="1:18" ht="13.5" x14ac:dyDescent="0.2">
      <c r="A374" s="47" t="s">
        <v>23</v>
      </c>
      <c r="B374" s="47" t="s">
        <v>1108</v>
      </c>
      <c r="C374" s="21" t="s">
        <v>1893</v>
      </c>
      <c r="D374" s="47" t="s">
        <v>1894</v>
      </c>
      <c r="E374" s="21" t="s">
        <v>41</v>
      </c>
      <c r="F374" s="47" t="s">
        <v>32</v>
      </c>
      <c r="G374" s="21" t="s">
        <v>1940</v>
      </c>
      <c r="H374" s="7" t="s">
        <v>1941</v>
      </c>
      <c r="I374" s="8" t="s">
        <v>1950</v>
      </c>
      <c r="J374" s="9">
        <v>4005000</v>
      </c>
      <c r="K374" s="8"/>
      <c r="L374" s="42">
        <f t="shared" si="124"/>
        <v>6007500</v>
      </c>
      <c r="M374" s="8"/>
      <c r="N374" s="42">
        <f t="shared" si="111"/>
        <v>6007500</v>
      </c>
      <c r="O374" s="42">
        <f>N374*1.5</f>
        <v>9011250</v>
      </c>
      <c r="P374" s="42"/>
      <c r="Q374" s="42">
        <f t="shared" si="108"/>
        <v>9011250</v>
      </c>
    </row>
    <row r="375" spans="1:18" ht="13.5" x14ac:dyDescent="0.2">
      <c r="A375" s="47" t="s">
        <v>23</v>
      </c>
      <c r="B375" s="47" t="s">
        <v>1108</v>
      </c>
      <c r="C375" s="21" t="s">
        <v>1893</v>
      </c>
      <c r="D375" s="47" t="s">
        <v>1894</v>
      </c>
      <c r="E375" s="21" t="s">
        <v>41</v>
      </c>
      <c r="F375" s="47" t="s">
        <v>32</v>
      </c>
      <c r="G375" s="21" t="s">
        <v>1940</v>
      </c>
      <c r="H375" s="7" t="s">
        <v>1941</v>
      </c>
      <c r="I375" s="8" t="s">
        <v>1948</v>
      </c>
      <c r="J375" s="9">
        <v>4018000</v>
      </c>
      <c r="K375" s="8"/>
      <c r="L375" s="42">
        <f t="shared" si="124"/>
        <v>6027000</v>
      </c>
      <c r="M375" s="8"/>
      <c r="N375" s="42">
        <f t="shared" si="111"/>
        <v>6027000</v>
      </c>
      <c r="O375" s="42"/>
      <c r="P375" s="42">
        <f>N375</f>
        <v>6027000</v>
      </c>
      <c r="Q375" s="42">
        <f t="shared" si="108"/>
        <v>6027000</v>
      </c>
      <c r="R375" s="5"/>
    </row>
    <row r="376" spans="1:18" ht="13.5" x14ac:dyDescent="0.2">
      <c r="A376" s="47" t="s">
        <v>23</v>
      </c>
      <c r="B376" s="47" t="s">
        <v>1108</v>
      </c>
      <c r="C376" s="21" t="s">
        <v>1893</v>
      </c>
      <c r="D376" s="47" t="s">
        <v>1894</v>
      </c>
      <c r="E376" s="21" t="s">
        <v>41</v>
      </c>
      <c r="F376" s="47" t="s">
        <v>32</v>
      </c>
      <c r="G376" s="21" t="s">
        <v>1940</v>
      </c>
      <c r="H376" s="7" t="s">
        <v>1941</v>
      </c>
      <c r="I376" s="8" t="s">
        <v>1954</v>
      </c>
      <c r="J376" s="9">
        <v>2739800</v>
      </c>
      <c r="K376" s="8"/>
      <c r="L376" s="42">
        <f t="shared" si="124"/>
        <v>4109700</v>
      </c>
      <c r="M376" s="8"/>
      <c r="N376" s="42">
        <f t="shared" si="111"/>
        <v>4109700</v>
      </c>
      <c r="O376" s="42">
        <f>N376*1.5</f>
        <v>6164550</v>
      </c>
      <c r="P376" s="42"/>
      <c r="Q376" s="42">
        <f t="shared" si="108"/>
        <v>6164550</v>
      </c>
    </row>
    <row r="377" spans="1:18" ht="13.5" x14ac:dyDescent="0.2">
      <c r="A377" s="47" t="s">
        <v>23</v>
      </c>
      <c r="B377" s="47" t="s">
        <v>1108</v>
      </c>
      <c r="C377" s="21" t="s">
        <v>1893</v>
      </c>
      <c r="D377" s="47" t="s">
        <v>1894</v>
      </c>
      <c r="E377" s="21" t="s">
        <v>57</v>
      </c>
      <c r="F377" s="47" t="s">
        <v>32</v>
      </c>
      <c r="G377" s="21" t="s">
        <v>1899</v>
      </c>
      <c r="H377" s="7" t="s">
        <v>1900</v>
      </c>
      <c r="I377" s="8" t="s">
        <v>1911</v>
      </c>
      <c r="J377" s="9">
        <v>3840400</v>
      </c>
      <c r="K377" s="8"/>
      <c r="L377" s="42">
        <f t="shared" si="124"/>
        <v>5760600</v>
      </c>
      <c r="M377" s="8"/>
      <c r="N377" s="42">
        <f t="shared" si="111"/>
        <v>5760600</v>
      </c>
      <c r="O377" s="42"/>
      <c r="P377" s="42">
        <f t="shared" ref="P377:P380" si="128">N377</f>
        <v>5760600</v>
      </c>
      <c r="Q377" s="42">
        <f t="shared" si="108"/>
        <v>5760600</v>
      </c>
      <c r="R377" s="5"/>
    </row>
    <row r="378" spans="1:18" ht="13.5" x14ac:dyDescent="0.2">
      <c r="A378" s="47" t="s">
        <v>23</v>
      </c>
      <c r="B378" s="47" t="s">
        <v>1108</v>
      </c>
      <c r="C378" s="21" t="s">
        <v>1893</v>
      </c>
      <c r="D378" s="47" t="s">
        <v>1894</v>
      </c>
      <c r="E378" s="21" t="s">
        <v>57</v>
      </c>
      <c r="F378" s="47" t="s">
        <v>32</v>
      </c>
      <c r="G378" s="21" t="s">
        <v>1899</v>
      </c>
      <c r="H378" s="7" t="s">
        <v>1900</v>
      </c>
      <c r="I378" s="8" t="s">
        <v>1919</v>
      </c>
      <c r="J378" s="9">
        <v>14734000</v>
      </c>
      <c r="K378" s="8"/>
      <c r="L378" s="42">
        <f t="shared" si="124"/>
        <v>22101000</v>
      </c>
      <c r="M378" s="8"/>
      <c r="N378" s="42">
        <f t="shared" si="111"/>
        <v>22101000</v>
      </c>
      <c r="O378" s="42"/>
      <c r="P378" s="42">
        <f t="shared" si="128"/>
        <v>22101000</v>
      </c>
      <c r="Q378" s="42">
        <f t="shared" si="108"/>
        <v>22101000</v>
      </c>
      <c r="R378" s="5"/>
    </row>
    <row r="379" spans="1:18" ht="13.5" x14ac:dyDescent="0.2">
      <c r="A379" s="47" t="s">
        <v>23</v>
      </c>
      <c r="B379" s="47" t="s">
        <v>1108</v>
      </c>
      <c r="C379" s="21" t="s">
        <v>1893</v>
      </c>
      <c r="D379" s="47" t="s">
        <v>1894</v>
      </c>
      <c r="E379" s="21" t="s">
        <v>610</v>
      </c>
      <c r="F379" s="47" t="s">
        <v>611</v>
      </c>
      <c r="G379" s="21" t="s">
        <v>1940</v>
      </c>
      <c r="H379" s="7" t="s">
        <v>1941</v>
      </c>
      <c r="I379" s="8" t="s">
        <v>1952</v>
      </c>
      <c r="J379" s="9">
        <v>324000</v>
      </c>
      <c r="K379" s="8"/>
      <c r="L379" s="8"/>
      <c r="M379" s="8"/>
      <c r="N379" s="42">
        <f t="shared" ref="N379:N399" si="129">J379</f>
        <v>324000</v>
      </c>
      <c r="O379" s="42"/>
      <c r="P379" s="42">
        <f t="shared" si="128"/>
        <v>324000</v>
      </c>
      <c r="Q379" s="42">
        <f t="shared" si="108"/>
        <v>324000</v>
      </c>
      <c r="R379" s="5"/>
    </row>
    <row r="380" spans="1:18" ht="13.5" x14ac:dyDescent="0.2">
      <c r="A380" s="47" t="s">
        <v>23</v>
      </c>
      <c r="B380" s="47" t="s">
        <v>1108</v>
      </c>
      <c r="C380" s="21" t="s">
        <v>1893</v>
      </c>
      <c r="D380" s="47" t="s">
        <v>1962</v>
      </c>
      <c r="E380" s="21" t="s">
        <v>128</v>
      </c>
      <c r="F380" s="47" t="s">
        <v>135</v>
      </c>
      <c r="G380" s="21" t="s">
        <v>1998</v>
      </c>
      <c r="H380" s="7" t="s">
        <v>1999</v>
      </c>
      <c r="I380" s="8" t="s">
        <v>2020</v>
      </c>
      <c r="J380" s="9">
        <v>2188400</v>
      </c>
      <c r="K380" s="8"/>
      <c r="L380" s="8"/>
      <c r="M380" s="8"/>
      <c r="N380" s="42">
        <f t="shared" si="129"/>
        <v>2188400</v>
      </c>
      <c r="O380" s="42"/>
      <c r="P380" s="42">
        <f t="shared" si="128"/>
        <v>2188400</v>
      </c>
      <c r="Q380" s="42">
        <f t="shared" si="108"/>
        <v>2188400</v>
      </c>
      <c r="R380" s="5"/>
    </row>
    <row r="381" spans="1:18" ht="13.5" x14ac:dyDescent="0.2">
      <c r="A381" s="47" t="s">
        <v>23</v>
      </c>
      <c r="B381" s="47" t="s">
        <v>1108</v>
      </c>
      <c r="C381" s="21" t="s">
        <v>1893</v>
      </c>
      <c r="D381" s="47" t="s">
        <v>1962</v>
      </c>
      <c r="E381" s="21" t="s">
        <v>128</v>
      </c>
      <c r="F381" s="47" t="s">
        <v>135</v>
      </c>
      <c r="G381" s="21" t="s">
        <v>1998</v>
      </c>
      <c r="H381" s="7" t="s">
        <v>1999</v>
      </c>
      <c r="I381" s="8" t="s">
        <v>2012</v>
      </c>
      <c r="J381" s="9">
        <v>2816800</v>
      </c>
      <c r="K381" s="8"/>
      <c r="L381" s="8"/>
      <c r="M381" s="8"/>
      <c r="N381" s="42">
        <f t="shared" si="129"/>
        <v>2816800</v>
      </c>
      <c r="O381" s="42">
        <f>N381*1.5</f>
        <v>4225200</v>
      </c>
      <c r="P381" s="42"/>
      <c r="Q381" s="42">
        <f t="shared" ref="Q381:Q383" si="130">SUM(O381:P381)</f>
        <v>4225200</v>
      </c>
    </row>
    <row r="382" spans="1:18" ht="13.5" x14ac:dyDescent="0.2">
      <c r="A382" s="47" t="s">
        <v>23</v>
      </c>
      <c r="B382" s="47" t="s">
        <v>1108</v>
      </c>
      <c r="C382" s="21" t="s">
        <v>1893</v>
      </c>
      <c r="D382" s="47" t="s">
        <v>1962</v>
      </c>
      <c r="E382" s="21" t="s">
        <v>128</v>
      </c>
      <c r="F382" s="47" t="s">
        <v>135</v>
      </c>
      <c r="G382" s="21" t="s">
        <v>2079</v>
      </c>
      <c r="H382" s="7" t="s">
        <v>2080</v>
      </c>
      <c r="I382" s="8" t="s">
        <v>2083</v>
      </c>
      <c r="J382" s="9">
        <v>6590800</v>
      </c>
      <c r="K382" s="8"/>
      <c r="L382" s="8"/>
      <c r="M382" s="8"/>
      <c r="N382" s="42">
        <f t="shared" si="129"/>
        <v>6590800</v>
      </c>
      <c r="O382" s="42"/>
      <c r="P382" s="42">
        <f>N382</f>
        <v>6590800</v>
      </c>
      <c r="Q382" s="42">
        <f t="shared" si="130"/>
        <v>6590800</v>
      </c>
      <c r="R382" s="5"/>
    </row>
    <row r="383" spans="1:18" ht="13.5" x14ac:dyDescent="0.2">
      <c r="A383" s="47" t="s">
        <v>23</v>
      </c>
      <c r="B383" s="47" t="s">
        <v>1108</v>
      </c>
      <c r="C383" s="21" t="s">
        <v>1893</v>
      </c>
      <c r="D383" s="47" t="s">
        <v>1962</v>
      </c>
      <c r="E383" s="21" t="s">
        <v>128</v>
      </c>
      <c r="F383" s="47" t="s">
        <v>32</v>
      </c>
      <c r="G383" s="21" t="s">
        <v>1963</v>
      </c>
      <c r="H383" s="7" t="s">
        <v>1964</v>
      </c>
      <c r="I383" s="8" t="s">
        <v>1973</v>
      </c>
      <c r="J383" s="9">
        <v>1982000</v>
      </c>
      <c r="K383" s="8"/>
      <c r="L383" s="8"/>
      <c r="M383" s="8"/>
      <c r="N383" s="42">
        <f t="shared" si="129"/>
        <v>1982000</v>
      </c>
      <c r="O383" s="42">
        <f>N383*1.5</f>
        <v>2973000</v>
      </c>
      <c r="P383" s="42"/>
      <c r="Q383" s="42">
        <f t="shared" si="130"/>
        <v>2973000</v>
      </c>
    </row>
    <row r="384" spans="1:18" ht="13.5" hidden="1" x14ac:dyDescent="0.2">
      <c r="A384" s="12" t="s">
        <v>23</v>
      </c>
      <c r="B384" s="12" t="s">
        <v>1108</v>
      </c>
      <c r="C384" s="13" t="s">
        <v>1893</v>
      </c>
      <c r="D384" s="12" t="s">
        <v>1962</v>
      </c>
      <c r="E384" s="13" t="s">
        <v>128</v>
      </c>
      <c r="F384" s="12" t="s">
        <v>181</v>
      </c>
      <c r="G384" s="13" t="s">
        <v>1963</v>
      </c>
      <c r="H384" s="12" t="s">
        <v>1964</v>
      </c>
      <c r="I384" s="13" t="s">
        <v>1965</v>
      </c>
      <c r="J384" s="14" t="s">
        <v>3946</v>
      </c>
      <c r="K384" s="18"/>
      <c r="L384" s="18"/>
      <c r="M384" s="18"/>
      <c r="N384" s="20" t="str">
        <f t="shared" si="129"/>
        <v>-</v>
      </c>
      <c r="O384"/>
      <c r="P384"/>
    </row>
    <row r="385" spans="1:18" ht="13.5" hidden="1" x14ac:dyDescent="0.2">
      <c r="A385" s="7" t="s">
        <v>23</v>
      </c>
      <c r="B385" s="7" t="s">
        <v>1108</v>
      </c>
      <c r="C385" s="8" t="s">
        <v>1893</v>
      </c>
      <c r="D385" s="7" t="s">
        <v>1962</v>
      </c>
      <c r="E385" s="8" t="s">
        <v>128</v>
      </c>
      <c r="F385" s="7" t="s">
        <v>181</v>
      </c>
      <c r="G385" s="8" t="s">
        <v>1998</v>
      </c>
      <c r="H385" s="7" t="s">
        <v>1999</v>
      </c>
      <c r="I385" s="8" t="s">
        <v>2024</v>
      </c>
      <c r="J385" s="9" t="s">
        <v>3946</v>
      </c>
      <c r="K385" s="15"/>
      <c r="L385" s="15"/>
      <c r="M385" s="15"/>
      <c r="N385" s="16" t="str">
        <f t="shared" si="129"/>
        <v>-</v>
      </c>
      <c r="O385"/>
      <c r="P385"/>
    </row>
    <row r="386" spans="1:18" ht="13.5" hidden="1" x14ac:dyDescent="0.2">
      <c r="A386" s="7" t="s">
        <v>23</v>
      </c>
      <c r="B386" s="7" t="s">
        <v>1108</v>
      </c>
      <c r="C386" s="8" t="s">
        <v>1893</v>
      </c>
      <c r="D386" s="7" t="s">
        <v>1962</v>
      </c>
      <c r="E386" s="8" t="s">
        <v>128</v>
      </c>
      <c r="F386" s="7" t="s">
        <v>181</v>
      </c>
      <c r="G386" s="8" t="s">
        <v>1998</v>
      </c>
      <c r="H386" s="7" t="s">
        <v>1999</v>
      </c>
      <c r="I386" s="8" t="s">
        <v>2018</v>
      </c>
      <c r="J386" s="9" t="s">
        <v>3946</v>
      </c>
      <c r="K386" s="15"/>
      <c r="L386" s="15"/>
      <c r="M386" s="15"/>
      <c r="N386" s="16" t="str">
        <f t="shared" si="129"/>
        <v>-</v>
      </c>
      <c r="O386"/>
      <c r="P386"/>
    </row>
    <row r="387" spans="1:18" ht="13.5" hidden="1" x14ac:dyDescent="0.2">
      <c r="A387" s="7" t="s">
        <v>23</v>
      </c>
      <c r="B387" s="7" t="s">
        <v>1108</v>
      </c>
      <c r="C387" s="8" t="s">
        <v>1893</v>
      </c>
      <c r="D387" s="7" t="s">
        <v>1962</v>
      </c>
      <c r="E387" s="8" t="s">
        <v>128</v>
      </c>
      <c r="F387" s="7" t="s">
        <v>181</v>
      </c>
      <c r="G387" s="8" t="s">
        <v>2035</v>
      </c>
      <c r="H387" s="7" t="s">
        <v>2036</v>
      </c>
      <c r="I387" s="8" t="s">
        <v>2037</v>
      </c>
      <c r="J387" s="9" t="s">
        <v>3946</v>
      </c>
      <c r="K387" s="15"/>
      <c r="L387" s="15"/>
      <c r="M387" s="15"/>
      <c r="N387" s="16" t="str">
        <f t="shared" si="129"/>
        <v>-</v>
      </c>
      <c r="O387"/>
      <c r="P387"/>
    </row>
    <row r="388" spans="1:18" ht="13.5" hidden="1" x14ac:dyDescent="0.2">
      <c r="A388" s="7" t="s">
        <v>23</v>
      </c>
      <c r="B388" s="7" t="s">
        <v>1108</v>
      </c>
      <c r="C388" s="8" t="s">
        <v>1893</v>
      </c>
      <c r="D388" s="7" t="s">
        <v>1962</v>
      </c>
      <c r="E388" s="8" t="s">
        <v>128</v>
      </c>
      <c r="F388" s="7" t="s">
        <v>181</v>
      </c>
      <c r="G388" s="8" t="s">
        <v>2035</v>
      </c>
      <c r="H388" s="7" t="s">
        <v>2036</v>
      </c>
      <c r="I388" s="8" t="s">
        <v>2046</v>
      </c>
      <c r="J388" s="9" t="s">
        <v>3946</v>
      </c>
      <c r="K388" s="15"/>
      <c r="L388" s="15"/>
      <c r="M388" s="15"/>
      <c r="N388" s="16" t="str">
        <f t="shared" si="129"/>
        <v>-</v>
      </c>
      <c r="O388"/>
      <c r="P388"/>
    </row>
    <row r="389" spans="1:18" ht="13.5" x14ac:dyDescent="0.2">
      <c r="A389" s="47" t="s">
        <v>23</v>
      </c>
      <c r="B389" s="47" t="s">
        <v>1108</v>
      </c>
      <c r="C389" s="21" t="s">
        <v>1893</v>
      </c>
      <c r="D389" s="47" t="s">
        <v>1962</v>
      </c>
      <c r="E389" s="21" t="s">
        <v>31</v>
      </c>
      <c r="F389" s="47" t="s">
        <v>32</v>
      </c>
      <c r="G389" s="21" t="s">
        <v>1963</v>
      </c>
      <c r="H389" s="7" t="s">
        <v>1964</v>
      </c>
      <c r="I389" s="8" t="s">
        <v>1969</v>
      </c>
      <c r="J389" s="9">
        <v>2737600</v>
      </c>
      <c r="K389" s="8"/>
      <c r="L389" s="8"/>
      <c r="M389" s="8"/>
      <c r="N389" s="42">
        <f t="shared" si="129"/>
        <v>2737600</v>
      </c>
      <c r="O389" s="42"/>
      <c r="P389" s="42">
        <f t="shared" ref="P389:P390" si="131">N389</f>
        <v>2737600</v>
      </c>
      <c r="Q389" s="42">
        <f t="shared" ref="Q389:Q420" si="132">SUM(O389:P389)</f>
        <v>2737600</v>
      </c>
      <c r="R389" s="5"/>
    </row>
    <row r="390" spans="1:18" ht="13.5" x14ac:dyDescent="0.2">
      <c r="A390" s="47" t="s">
        <v>23</v>
      </c>
      <c r="B390" s="47" t="s">
        <v>1108</v>
      </c>
      <c r="C390" s="21" t="s">
        <v>1893</v>
      </c>
      <c r="D390" s="47" t="s">
        <v>1962</v>
      </c>
      <c r="E390" s="21" t="s">
        <v>31</v>
      </c>
      <c r="F390" s="47" t="s">
        <v>32</v>
      </c>
      <c r="G390" s="21" t="s">
        <v>1963</v>
      </c>
      <c r="H390" s="7" t="s">
        <v>1964</v>
      </c>
      <c r="I390" s="8" t="s">
        <v>1977</v>
      </c>
      <c r="J390" s="9">
        <v>6323800</v>
      </c>
      <c r="K390" s="8"/>
      <c r="L390" s="8"/>
      <c r="M390" s="8"/>
      <c r="N390" s="42">
        <f t="shared" si="129"/>
        <v>6323800</v>
      </c>
      <c r="O390" s="42"/>
      <c r="P390" s="42">
        <f t="shared" si="131"/>
        <v>6323800</v>
      </c>
      <c r="Q390" s="42">
        <f t="shared" si="132"/>
        <v>6323800</v>
      </c>
      <c r="R390" s="5"/>
    </row>
    <row r="391" spans="1:18" ht="13.5" x14ac:dyDescent="0.2">
      <c r="A391" s="47" t="s">
        <v>23</v>
      </c>
      <c r="B391" s="47" t="s">
        <v>1108</v>
      </c>
      <c r="C391" s="21" t="s">
        <v>1893</v>
      </c>
      <c r="D391" s="47" t="s">
        <v>1962</v>
      </c>
      <c r="E391" s="21" t="s">
        <v>31</v>
      </c>
      <c r="F391" s="47" t="s">
        <v>32</v>
      </c>
      <c r="G391" s="21" t="s">
        <v>1963</v>
      </c>
      <c r="H391" s="7" t="s">
        <v>1964</v>
      </c>
      <c r="I391" s="8" t="s">
        <v>1992</v>
      </c>
      <c r="J391" s="9">
        <v>3089700</v>
      </c>
      <c r="K391" s="8"/>
      <c r="L391" s="8"/>
      <c r="M391" s="8"/>
      <c r="N391" s="42">
        <f t="shared" si="129"/>
        <v>3089700</v>
      </c>
      <c r="O391" s="42">
        <f>N391*1.5</f>
        <v>4634550</v>
      </c>
      <c r="P391" s="42"/>
      <c r="Q391" s="42">
        <f t="shared" si="132"/>
        <v>4634550</v>
      </c>
    </row>
    <row r="392" spans="1:18" ht="13.5" x14ac:dyDescent="0.2">
      <c r="A392" s="47" t="s">
        <v>23</v>
      </c>
      <c r="B392" s="47" t="s">
        <v>1108</v>
      </c>
      <c r="C392" s="21" t="s">
        <v>1893</v>
      </c>
      <c r="D392" s="47" t="s">
        <v>1962</v>
      </c>
      <c r="E392" s="21" t="s">
        <v>31</v>
      </c>
      <c r="F392" s="47" t="s">
        <v>32</v>
      </c>
      <c r="G392" s="21" t="s">
        <v>1963</v>
      </c>
      <c r="H392" s="7" t="s">
        <v>1964</v>
      </c>
      <c r="I392" s="8" t="s">
        <v>1986</v>
      </c>
      <c r="J392" s="9">
        <v>2898000</v>
      </c>
      <c r="K392" s="8"/>
      <c r="L392" s="8"/>
      <c r="M392" s="8"/>
      <c r="N392" s="42">
        <f t="shared" si="129"/>
        <v>2898000</v>
      </c>
      <c r="O392" s="42"/>
      <c r="P392" s="42">
        <f t="shared" ref="P392:P393" si="133">N392</f>
        <v>2898000</v>
      </c>
      <c r="Q392" s="42">
        <f t="shared" si="132"/>
        <v>2898000</v>
      </c>
      <c r="R392" s="5"/>
    </row>
    <row r="393" spans="1:18" ht="13.5" x14ac:dyDescent="0.2">
      <c r="A393" s="47" t="s">
        <v>23</v>
      </c>
      <c r="B393" s="47" t="s">
        <v>1108</v>
      </c>
      <c r="C393" s="21" t="s">
        <v>1893</v>
      </c>
      <c r="D393" s="47" t="s">
        <v>1962</v>
      </c>
      <c r="E393" s="21" t="s">
        <v>31</v>
      </c>
      <c r="F393" s="47" t="s">
        <v>32</v>
      </c>
      <c r="G393" s="21" t="s">
        <v>1963</v>
      </c>
      <c r="H393" s="7" t="s">
        <v>1964</v>
      </c>
      <c r="I393" s="8" t="s">
        <v>1967</v>
      </c>
      <c r="J393" s="9">
        <v>3026600</v>
      </c>
      <c r="K393" s="8"/>
      <c r="L393" s="8"/>
      <c r="M393" s="8"/>
      <c r="N393" s="42">
        <f t="shared" si="129"/>
        <v>3026600</v>
      </c>
      <c r="O393" s="42"/>
      <c r="P393" s="42">
        <f t="shared" si="133"/>
        <v>3026600</v>
      </c>
      <c r="Q393" s="42">
        <f t="shared" si="132"/>
        <v>3026600</v>
      </c>
      <c r="R393" s="5"/>
    </row>
    <row r="394" spans="1:18" ht="13.5" x14ac:dyDescent="0.2">
      <c r="A394" s="47" t="s">
        <v>23</v>
      </c>
      <c r="B394" s="47" t="s">
        <v>1108</v>
      </c>
      <c r="C394" s="21" t="s">
        <v>1893</v>
      </c>
      <c r="D394" s="47" t="s">
        <v>1962</v>
      </c>
      <c r="E394" s="21" t="s">
        <v>31</v>
      </c>
      <c r="F394" s="47" t="s">
        <v>32</v>
      </c>
      <c r="G394" s="21" t="s">
        <v>1998</v>
      </c>
      <c r="H394" s="7" t="s">
        <v>1999</v>
      </c>
      <c r="I394" s="8" t="s">
        <v>2014</v>
      </c>
      <c r="J394" s="9">
        <v>2543100</v>
      </c>
      <c r="K394" s="8"/>
      <c r="L394" s="8"/>
      <c r="M394" s="8"/>
      <c r="N394" s="42">
        <f t="shared" si="129"/>
        <v>2543100</v>
      </c>
      <c r="O394" s="42">
        <f t="shared" ref="O394:O396" si="134">N394*1.5</f>
        <v>3814650</v>
      </c>
      <c r="P394" s="42"/>
      <c r="Q394" s="42">
        <f t="shared" si="132"/>
        <v>3814650</v>
      </c>
    </row>
    <row r="395" spans="1:18" ht="13.5" x14ac:dyDescent="0.2">
      <c r="A395" s="47" t="s">
        <v>23</v>
      </c>
      <c r="B395" s="47" t="s">
        <v>1108</v>
      </c>
      <c r="C395" s="21" t="s">
        <v>1893</v>
      </c>
      <c r="D395" s="47" t="s">
        <v>1962</v>
      </c>
      <c r="E395" s="21" t="s">
        <v>31</v>
      </c>
      <c r="F395" s="47" t="s">
        <v>32</v>
      </c>
      <c r="G395" s="21" t="s">
        <v>2035</v>
      </c>
      <c r="H395" s="7" t="s">
        <v>2036</v>
      </c>
      <c r="I395" s="8" t="s">
        <v>2073</v>
      </c>
      <c r="J395" s="9">
        <v>858000</v>
      </c>
      <c r="K395" s="8"/>
      <c r="L395" s="8"/>
      <c r="M395" s="8"/>
      <c r="N395" s="42">
        <f t="shared" si="129"/>
        <v>858000</v>
      </c>
      <c r="O395" s="42">
        <f t="shared" si="134"/>
        <v>1287000</v>
      </c>
      <c r="P395" s="42"/>
      <c r="Q395" s="42">
        <f t="shared" si="132"/>
        <v>1287000</v>
      </c>
    </row>
    <row r="396" spans="1:18" ht="13.5" x14ac:dyDescent="0.2">
      <c r="A396" s="47" t="s">
        <v>23</v>
      </c>
      <c r="B396" s="47" t="s">
        <v>1108</v>
      </c>
      <c r="C396" s="21" t="s">
        <v>1893</v>
      </c>
      <c r="D396" s="47" t="s">
        <v>1962</v>
      </c>
      <c r="E396" s="21" t="s">
        <v>31</v>
      </c>
      <c r="F396" s="47" t="s">
        <v>32</v>
      </c>
      <c r="G396" s="21" t="s">
        <v>2035</v>
      </c>
      <c r="H396" s="7" t="s">
        <v>2036</v>
      </c>
      <c r="I396" s="8" t="s">
        <v>2077</v>
      </c>
      <c r="J396" s="9">
        <v>1599800</v>
      </c>
      <c r="K396" s="8"/>
      <c r="L396" s="8"/>
      <c r="M396" s="8"/>
      <c r="N396" s="42">
        <f t="shared" si="129"/>
        <v>1599800</v>
      </c>
      <c r="O396" s="42">
        <f t="shared" si="134"/>
        <v>2399700</v>
      </c>
      <c r="P396" s="42"/>
      <c r="Q396" s="42">
        <f t="shared" si="132"/>
        <v>2399700</v>
      </c>
    </row>
    <row r="397" spans="1:18" ht="13.5" x14ac:dyDescent="0.2">
      <c r="A397" s="47" t="s">
        <v>23</v>
      </c>
      <c r="B397" s="47" t="s">
        <v>1108</v>
      </c>
      <c r="C397" s="21" t="s">
        <v>1893</v>
      </c>
      <c r="D397" s="47" t="s">
        <v>1962</v>
      </c>
      <c r="E397" s="21" t="s">
        <v>31</v>
      </c>
      <c r="F397" s="47" t="s">
        <v>32</v>
      </c>
      <c r="G397" s="21" t="s">
        <v>2079</v>
      </c>
      <c r="H397" s="7" t="s">
        <v>2080</v>
      </c>
      <c r="I397" s="8" t="s">
        <v>2094</v>
      </c>
      <c r="J397" s="9">
        <v>798400</v>
      </c>
      <c r="K397" s="8"/>
      <c r="L397" s="8"/>
      <c r="M397" s="8"/>
      <c r="N397" s="42">
        <f t="shared" si="129"/>
        <v>798400</v>
      </c>
      <c r="O397" s="42"/>
      <c r="P397" s="42">
        <f t="shared" ref="P397:P404" si="135">N397</f>
        <v>798400</v>
      </c>
      <c r="Q397" s="42">
        <f t="shared" si="132"/>
        <v>798400</v>
      </c>
      <c r="R397" s="5"/>
    </row>
    <row r="398" spans="1:18" ht="13.5" x14ac:dyDescent="0.2">
      <c r="A398" s="47" t="s">
        <v>23</v>
      </c>
      <c r="B398" s="47" t="s">
        <v>1108</v>
      </c>
      <c r="C398" s="21" t="s">
        <v>1893</v>
      </c>
      <c r="D398" s="47" t="s">
        <v>1962</v>
      </c>
      <c r="E398" s="21" t="s">
        <v>31</v>
      </c>
      <c r="F398" s="47" t="s">
        <v>32</v>
      </c>
      <c r="G398" s="21" t="s">
        <v>2079</v>
      </c>
      <c r="H398" s="7" t="s">
        <v>2080</v>
      </c>
      <c r="I398" s="8" t="s">
        <v>2081</v>
      </c>
      <c r="J398" s="9">
        <v>4632400</v>
      </c>
      <c r="K398" s="8"/>
      <c r="L398" s="8"/>
      <c r="M398" s="8"/>
      <c r="N398" s="42">
        <f t="shared" si="129"/>
        <v>4632400</v>
      </c>
      <c r="O398" s="42"/>
      <c r="P398" s="42">
        <f t="shared" si="135"/>
        <v>4632400</v>
      </c>
      <c r="Q398" s="42">
        <f t="shared" si="132"/>
        <v>4632400</v>
      </c>
      <c r="R398" s="5"/>
    </row>
    <row r="399" spans="1:18" ht="13.5" x14ac:dyDescent="0.2">
      <c r="A399" s="47" t="s">
        <v>23</v>
      </c>
      <c r="B399" s="47" t="s">
        <v>1108</v>
      </c>
      <c r="C399" s="21" t="s">
        <v>1893</v>
      </c>
      <c r="D399" s="47" t="s">
        <v>1962</v>
      </c>
      <c r="E399" s="21" t="s">
        <v>31</v>
      </c>
      <c r="F399" s="47" t="s">
        <v>32</v>
      </c>
      <c r="G399" s="21" t="s">
        <v>2079</v>
      </c>
      <c r="H399" s="7" t="s">
        <v>2080</v>
      </c>
      <c r="I399" s="8" t="s">
        <v>2090</v>
      </c>
      <c r="J399" s="9">
        <v>3588200</v>
      </c>
      <c r="K399" s="8"/>
      <c r="L399" s="8"/>
      <c r="M399" s="8"/>
      <c r="N399" s="42">
        <f t="shared" si="129"/>
        <v>3588200</v>
      </c>
      <c r="O399" s="42"/>
      <c r="P399" s="42">
        <f t="shared" si="135"/>
        <v>3588200</v>
      </c>
      <c r="Q399" s="42">
        <f t="shared" si="132"/>
        <v>3588200</v>
      </c>
      <c r="R399" s="5"/>
    </row>
    <row r="400" spans="1:18" ht="13.5" x14ac:dyDescent="0.2">
      <c r="A400" s="47" t="s">
        <v>23</v>
      </c>
      <c r="B400" s="47" t="s">
        <v>1108</v>
      </c>
      <c r="C400" s="21" t="s">
        <v>1893</v>
      </c>
      <c r="D400" s="47" t="s">
        <v>1962</v>
      </c>
      <c r="E400" s="21" t="s">
        <v>41</v>
      </c>
      <c r="F400" s="47" t="s">
        <v>32</v>
      </c>
      <c r="G400" s="21" t="s">
        <v>1963</v>
      </c>
      <c r="H400" s="7" t="s">
        <v>1964</v>
      </c>
      <c r="I400" s="8" t="s">
        <v>1971</v>
      </c>
      <c r="J400" s="9">
        <v>17265600</v>
      </c>
      <c r="K400" s="8"/>
      <c r="L400" s="42">
        <f t="shared" ref="L400:L420" si="136">J400*1.5</f>
        <v>25898400</v>
      </c>
      <c r="M400" s="8"/>
      <c r="N400" s="42">
        <f t="shared" ref="N400:N451" si="137">SUM(K400:M400)</f>
        <v>25898400</v>
      </c>
      <c r="O400" s="42"/>
      <c r="P400" s="42">
        <f t="shared" si="135"/>
        <v>25898400</v>
      </c>
      <c r="Q400" s="42">
        <f t="shared" si="132"/>
        <v>25898400</v>
      </c>
      <c r="R400" s="5"/>
    </row>
    <row r="401" spans="1:18" ht="13.5" x14ac:dyDescent="0.2">
      <c r="A401" s="47" t="s">
        <v>23</v>
      </c>
      <c r="B401" s="47" t="s">
        <v>1108</v>
      </c>
      <c r="C401" s="21" t="s">
        <v>1893</v>
      </c>
      <c r="D401" s="47" t="s">
        <v>1962</v>
      </c>
      <c r="E401" s="21" t="s">
        <v>41</v>
      </c>
      <c r="F401" s="47" t="s">
        <v>32</v>
      </c>
      <c r="G401" s="21" t="s">
        <v>1963</v>
      </c>
      <c r="H401" s="7" t="s">
        <v>1964</v>
      </c>
      <c r="I401" s="8" t="s">
        <v>1983</v>
      </c>
      <c r="J401" s="9">
        <v>1806000</v>
      </c>
      <c r="K401" s="8"/>
      <c r="L401" s="42">
        <f t="shared" si="136"/>
        <v>2709000</v>
      </c>
      <c r="M401" s="8"/>
      <c r="N401" s="42">
        <f t="shared" si="137"/>
        <v>2709000</v>
      </c>
      <c r="O401" s="42"/>
      <c r="P401" s="42">
        <f t="shared" si="135"/>
        <v>2709000</v>
      </c>
      <c r="Q401" s="42">
        <f t="shared" si="132"/>
        <v>2709000</v>
      </c>
      <c r="R401" s="5"/>
    </row>
    <row r="402" spans="1:18" ht="13.5" x14ac:dyDescent="0.2">
      <c r="A402" s="47" t="s">
        <v>23</v>
      </c>
      <c r="B402" s="47" t="s">
        <v>1108</v>
      </c>
      <c r="C402" s="21" t="s">
        <v>1893</v>
      </c>
      <c r="D402" s="47" t="s">
        <v>1962</v>
      </c>
      <c r="E402" s="21" t="s">
        <v>41</v>
      </c>
      <c r="F402" s="47" t="s">
        <v>32</v>
      </c>
      <c r="G402" s="21" t="s">
        <v>1963</v>
      </c>
      <c r="H402" s="7" t="s">
        <v>1964</v>
      </c>
      <c r="I402" s="8" t="s">
        <v>1979</v>
      </c>
      <c r="J402" s="9">
        <v>10093200</v>
      </c>
      <c r="K402" s="8"/>
      <c r="L402" s="42">
        <f t="shared" si="136"/>
        <v>15139800</v>
      </c>
      <c r="M402" s="8"/>
      <c r="N402" s="42">
        <f t="shared" si="137"/>
        <v>15139800</v>
      </c>
      <c r="O402" s="42"/>
      <c r="P402" s="42">
        <f t="shared" si="135"/>
        <v>15139800</v>
      </c>
      <c r="Q402" s="42">
        <f t="shared" si="132"/>
        <v>15139800</v>
      </c>
      <c r="R402" s="5"/>
    </row>
    <row r="403" spans="1:18" ht="13.5" x14ac:dyDescent="0.2">
      <c r="A403" s="47" t="s">
        <v>23</v>
      </c>
      <c r="B403" s="47" t="s">
        <v>1108</v>
      </c>
      <c r="C403" s="21" t="s">
        <v>1893</v>
      </c>
      <c r="D403" s="47" t="s">
        <v>1962</v>
      </c>
      <c r="E403" s="21" t="s">
        <v>41</v>
      </c>
      <c r="F403" s="47" t="s">
        <v>32</v>
      </c>
      <c r="G403" s="21" t="s">
        <v>1963</v>
      </c>
      <c r="H403" s="7" t="s">
        <v>1964</v>
      </c>
      <c r="I403" s="8" t="s">
        <v>1996</v>
      </c>
      <c r="J403" s="9">
        <v>5076800</v>
      </c>
      <c r="K403" s="8"/>
      <c r="L403" s="42">
        <f t="shared" si="136"/>
        <v>7615200</v>
      </c>
      <c r="M403" s="8"/>
      <c r="N403" s="42">
        <f t="shared" si="137"/>
        <v>7615200</v>
      </c>
      <c r="O403" s="42"/>
      <c r="P403" s="42">
        <f t="shared" si="135"/>
        <v>7615200</v>
      </c>
      <c r="Q403" s="42">
        <f t="shared" si="132"/>
        <v>7615200</v>
      </c>
      <c r="R403" s="5"/>
    </row>
    <row r="404" spans="1:18" ht="13.5" x14ac:dyDescent="0.2">
      <c r="A404" s="47" t="s">
        <v>23</v>
      </c>
      <c r="B404" s="47" t="s">
        <v>1108</v>
      </c>
      <c r="C404" s="21" t="s">
        <v>1893</v>
      </c>
      <c r="D404" s="47" t="s">
        <v>1962</v>
      </c>
      <c r="E404" s="21" t="s">
        <v>41</v>
      </c>
      <c r="F404" s="47" t="s">
        <v>32</v>
      </c>
      <c r="G404" s="21" t="s">
        <v>1963</v>
      </c>
      <c r="H404" s="7" t="s">
        <v>1964</v>
      </c>
      <c r="I404" s="8" t="s">
        <v>1988</v>
      </c>
      <c r="J404" s="9">
        <v>5996000</v>
      </c>
      <c r="K404" s="8"/>
      <c r="L404" s="42">
        <f t="shared" si="136"/>
        <v>8994000</v>
      </c>
      <c r="M404" s="8"/>
      <c r="N404" s="42">
        <f t="shared" si="137"/>
        <v>8994000</v>
      </c>
      <c r="O404" s="42"/>
      <c r="P404" s="42">
        <f t="shared" si="135"/>
        <v>8994000</v>
      </c>
      <c r="Q404" s="42">
        <f t="shared" si="132"/>
        <v>8994000</v>
      </c>
      <c r="R404" s="5"/>
    </row>
    <row r="405" spans="1:18" ht="13.5" x14ac:dyDescent="0.2">
      <c r="A405" s="47" t="s">
        <v>23</v>
      </c>
      <c r="B405" s="47" t="s">
        <v>1108</v>
      </c>
      <c r="C405" s="21" t="s">
        <v>1893</v>
      </c>
      <c r="D405" s="47" t="s">
        <v>1962</v>
      </c>
      <c r="E405" s="21" t="s">
        <v>41</v>
      </c>
      <c r="F405" s="47" t="s">
        <v>32</v>
      </c>
      <c r="G405" s="21" t="s">
        <v>1963</v>
      </c>
      <c r="H405" s="7" t="s">
        <v>1964</v>
      </c>
      <c r="I405" s="8" t="s">
        <v>1994</v>
      </c>
      <c r="J405" s="9">
        <v>7196000</v>
      </c>
      <c r="K405" s="8"/>
      <c r="L405" s="42">
        <f t="shared" si="136"/>
        <v>10794000</v>
      </c>
      <c r="M405" s="8"/>
      <c r="N405" s="42">
        <f t="shared" si="137"/>
        <v>10794000</v>
      </c>
      <c r="O405" s="42">
        <f>N405*1.5</f>
        <v>16191000</v>
      </c>
      <c r="P405" s="42"/>
      <c r="Q405" s="42">
        <f t="shared" si="132"/>
        <v>16191000</v>
      </c>
    </row>
    <row r="406" spans="1:18" ht="13.5" x14ac:dyDescent="0.2">
      <c r="A406" s="47" t="s">
        <v>23</v>
      </c>
      <c r="B406" s="47" t="s">
        <v>1108</v>
      </c>
      <c r="C406" s="21" t="s">
        <v>1893</v>
      </c>
      <c r="D406" s="47" t="s">
        <v>1962</v>
      </c>
      <c r="E406" s="21" t="s">
        <v>41</v>
      </c>
      <c r="F406" s="47" t="s">
        <v>32</v>
      </c>
      <c r="G406" s="21" t="s">
        <v>1998</v>
      </c>
      <c r="H406" s="7" t="s">
        <v>1999</v>
      </c>
      <c r="I406" s="8" t="s">
        <v>2008</v>
      </c>
      <c r="J406" s="9">
        <v>2456600</v>
      </c>
      <c r="K406" s="8"/>
      <c r="L406" s="42">
        <f t="shared" si="136"/>
        <v>3684900</v>
      </c>
      <c r="M406" s="8"/>
      <c r="N406" s="42">
        <f t="shared" si="137"/>
        <v>3684900</v>
      </c>
      <c r="O406" s="42"/>
      <c r="P406" s="42">
        <f t="shared" ref="P406:P409" si="138">N406</f>
        <v>3684900</v>
      </c>
      <c r="Q406" s="42">
        <f t="shared" si="132"/>
        <v>3684900</v>
      </c>
      <c r="R406" s="5"/>
    </row>
    <row r="407" spans="1:18" ht="13.5" x14ac:dyDescent="0.2">
      <c r="A407" s="47" t="s">
        <v>23</v>
      </c>
      <c r="B407" s="47" t="s">
        <v>1108</v>
      </c>
      <c r="C407" s="21" t="s">
        <v>1893</v>
      </c>
      <c r="D407" s="47" t="s">
        <v>1962</v>
      </c>
      <c r="E407" s="21" t="s">
        <v>41</v>
      </c>
      <c r="F407" s="47" t="s">
        <v>32</v>
      </c>
      <c r="G407" s="21" t="s">
        <v>1998</v>
      </c>
      <c r="H407" s="7" t="s">
        <v>1999</v>
      </c>
      <c r="I407" s="8" t="s">
        <v>2006</v>
      </c>
      <c r="J407" s="9">
        <v>2780000</v>
      </c>
      <c r="K407" s="8"/>
      <c r="L407" s="42">
        <f t="shared" si="136"/>
        <v>4170000</v>
      </c>
      <c r="M407" s="8"/>
      <c r="N407" s="42">
        <f t="shared" si="137"/>
        <v>4170000</v>
      </c>
      <c r="O407" s="42"/>
      <c r="P407" s="42">
        <f t="shared" si="138"/>
        <v>4170000</v>
      </c>
      <c r="Q407" s="42">
        <f t="shared" si="132"/>
        <v>4170000</v>
      </c>
      <c r="R407" s="5"/>
    </row>
    <row r="408" spans="1:18" ht="13.5" x14ac:dyDescent="0.2">
      <c r="A408" s="47" t="s">
        <v>23</v>
      </c>
      <c r="B408" s="47" t="s">
        <v>1108</v>
      </c>
      <c r="C408" s="21" t="s">
        <v>1893</v>
      </c>
      <c r="D408" s="47" t="s">
        <v>1962</v>
      </c>
      <c r="E408" s="21" t="s">
        <v>41</v>
      </c>
      <c r="F408" s="47" t="s">
        <v>32</v>
      </c>
      <c r="G408" s="21" t="s">
        <v>2028</v>
      </c>
      <c r="H408" s="7" t="s">
        <v>2029</v>
      </c>
      <c r="I408" s="8" t="s">
        <v>2030</v>
      </c>
      <c r="J408" s="9">
        <v>3419800</v>
      </c>
      <c r="K408" s="8"/>
      <c r="L408" s="42">
        <f t="shared" si="136"/>
        <v>5129700</v>
      </c>
      <c r="M408" s="8"/>
      <c r="N408" s="42">
        <f t="shared" si="137"/>
        <v>5129700</v>
      </c>
      <c r="O408" s="42"/>
      <c r="P408" s="42">
        <f t="shared" si="138"/>
        <v>5129700</v>
      </c>
      <c r="Q408" s="42">
        <f t="shared" si="132"/>
        <v>5129700</v>
      </c>
      <c r="R408" s="5"/>
    </row>
    <row r="409" spans="1:18" ht="13.5" x14ac:dyDescent="0.2">
      <c r="A409" s="47" t="s">
        <v>23</v>
      </c>
      <c r="B409" s="47" t="s">
        <v>1108</v>
      </c>
      <c r="C409" s="21" t="s">
        <v>1893</v>
      </c>
      <c r="D409" s="47" t="s">
        <v>1962</v>
      </c>
      <c r="E409" s="21" t="s">
        <v>41</v>
      </c>
      <c r="F409" s="47" t="s">
        <v>32</v>
      </c>
      <c r="G409" s="21" t="s">
        <v>2028</v>
      </c>
      <c r="H409" s="7" t="s">
        <v>2029</v>
      </c>
      <c r="I409" s="8" t="s">
        <v>2033</v>
      </c>
      <c r="J409" s="9">
        <v>6226400</v>
      </c>
      <c r="K409" s="8"/>
      <c r="L409" s="42">
        <f t="shared" si="136"/>
        <v>9339600</v>
      </c>
      <c r="M409" s="8"/>
      <c r="N409" s="42">
        <f t="shared" si="137"/>
        <v>9339600</v>
      </c>
      <c r="O409" s="42"/>
      <c r="P409" s="42">
        <f t="shared" si="138"/>
        <v>9339600</v>
      </c>
      <c r="Q409" s="42">
        <f t="shared" si="132"/>
        <v>9339600</v>
      </c>
      <c r="R409" s="5"/>
    </row>
    <row r="410" spans="1:18" ht="13.5" x14ac:dyDescent="0.2">
      <c r="A410" s="47" t="s">
        <v>23</v>
      </c>
      <c r="B410" s="47" t="s">
        <v>1108</v>
      </c>
      <c r="C410" s="21" t="s">
        <v>1893</v>
      </c>
      <c r="D410" s="47" t="s">
        <v>1962</v>
      </c>
      <c r="E410" s="21" t="s">
        <v>41</v>
      </c>
      <c r="F410" s="47" t="s">
        <v>32</v>
      </c>
      <c r="G410" s="21" t="s">
        <v>2028</v>
      </c>
      <c r="H410" s="7" t="s">
        <v>2029</v>
      </c>
      <c r="I410" s="8" t="s">
        <v>1903</v>
      </c>
      <c r="J410" s="9">
        <v>1897700</v>
      </c>
      <c r="K410" s="8"/>
      <c r="L410" s="42">
        <f t="shared" si="136"/>
        <v>2846550</v>
      </c>
      <c r="M410" s="8"/>
      <c r="N410" s="42">
        <f t="shared" si="137"/>
        <v>2846550</v>
      </c>
      <c r="O410" s="42">
        <f t="shared" ref="O410:O411" si="139">N410*1.5</f>
        <v>4269825</v>
      </c>
      <c r="P410" s="42"/>
      <c r="Q410" s="42">
        <f t="shared" si="132"/>
        <v>4269825</v>
      </c>
    </row>
    <row r="411" spans="1:18" ht="13.5" x14ac:dyDescent="0.2">
      <c r="A411" s="47" t="s">
        <v>23</v>
      </c>
      <c r="B411" s="47" t="s">
        <v>1108</v>
      </c>
      <c r="C411" s="21" t="s">
        <v>1893</v>
      </c>
      <c r="D411" s="47" t="s">
        <v>1962</v>
      </c>
      <c r="E411" s="21" t="s">
        <v>41</v>
      </c>
      <c r="F411" s="47" t="s">
        <v>32</v>
      </c>
      <c r="G411" s="21" t="s">
        <v>2035</v>
      </c>
      <c r="H411" s="7" t="s">
        <v>2036</v>
      </c>
      <c r="I411" s="8" t="s">
        <v>2075</v>
      </c>
      <c r="J411" s="9">
        <v>1184000</v>
      </c>
      <c r="K411" s="8"/>
      <c r="L411" s="42">
        <f t="shared" si="136"/>
        <v>1776000</v>
      </c>
      <c r="M411" s="8"/>
      <c r="N411" s="42">
        <f t="shared" si="137"/>
        <v>1776000</v>
      </c>
      <c r="O411" s="42">
        <f t="shared" si="139"/>
        <v>2664000</v>
      </c>
      <c r="P411" s="42"/>
      <c r="Q411" s="42">
        <f t="shared" si="132"/>
        <v>2664000</v>
      </c>
    </row>
    <row r="412" spans="1:18" ht="13.5" x14ac:dyDescent="0.2">
      <c r="A412" s="47" t="s">
        <v>23</v>
      </c>
      <c r="B412" s="47" t="s">
        <v>1108</v>
      </c>
      <c r="C412" s="21" t="s">
        <v>1893</v>
      </c>
      <c r="D412" s="47" t="s">
        <v>1962</v>
      </c>
      <c r="E412" s="21" t="s">
        <v>41</v>
      </c>
      <c r="F412" s="47" t="s">
        <v>32</v>
      </c>
      <c r="G412" s="21" t="s">
        <v>2035</v>
      </c>
      <c r="H412" s="7" t="s">
        <v>2036</v>
      </c>
      <c r="I412" s="8" t="s">
        <v>2067</v>
      </c>
      <c r="J412" s="9">
        <v>4586400</v>
      </c>
      <c r="K412" s="8"/>
      <c r="L412" s="42">
        <f t="shared" si="136"/>
        <v>6879600</v>
      </c>
      <c r="M412" s="8"/>
      <c r="N412" s="42">
        <f t="shared" si="137"/>
        <v>6879600</v>
      </c>
      <c r="O412" s="42"/>
      <c r="P412" s="42">
        <f t="shared" ref="P412:P415" si="140">N412</f>
        <v>6879600</v>
      </c>
      <c r="Q412" s="42">
        <f t="shared" si="132"/>
        <v>6879600</v>
      </c>
      <c r="R412" s="5"/>
    </row>
    <row r="413" spans="1:18" ht="13.5" x14ac:dyDescent="0.2">
      <c r="A413" s="47" t="s">
        <v>23</v>
      </c>
      <c r="B413" s="47" t="s">
        <v>1108</v>
      </c>
      <c r="C413" s="21" t="s">
        <v>1893</v>
      </c>
      <c r="D413" s="47" t="s">
        <v>1962</v>
      </c>
      <c r="E413" s="21" t="s">
        <v>41</v>
      </c>
      <c r="F413" s="47" t="s">
        <v>32</v>
      </c>
      <c r="G413" s="21" t="s">
        <v>2035</v>
      </c>
      <c r="H413" s="7" t="s">
        <v>2036</v>
      </c>
      <c r="I413" s="8" t="s">
        <v>2060</v>
      </c>
      <c r="J413" s="9">
        <v>7349500</v>
      </c>
      <c r="K413" s="8"/>
      <c r="L413" s="42">
        <f t="shared" si="136"/>
        <v>11024250</v>
      </c>
      <c r="M413" s="8"/>
      <c r="N413" s="42">
        <f t="shared" si="137"/>
        <v>11024250</v>
      </c>
      <c r="O413" s="42"/>
      <c r="P413" s="42">
        <f t="shared" si="140"/>
        <v>11024250</v>
      </c>
      <c r="Q413" s="42">
        <f t="shared" si="132"/>
        <v>11024250</v>
      </c>
      <c r="R413" s="5"/>
    </row>
    <row r="414" spans="1:18" ht="13.5" x14ac:dyDescent="0.2">
      <c r="A414" s="47" t="s">
        <v>23</v>
      </c>
      <c r="B414" s="47" t="s">
        <v>1108</v>
      </c>
      <c r="C414" s="21" t="s">
        <v>1893</v>
      </c>
      <c r="D414" s="47" t="s">
        <v>1962</v>
      </c>
      <c r="E414" s="21" t="s">
        <v>41</v>
      </c>
      <c r="F414" s="47" t="s">
        <v>32</v>
      </c>
      <c r="G414" s="21" t="s">
        <v>2035</v>
      </c>
      <c r="H414" s="7" t="s">
        <v>2036</v>
      </c>
      <c r="I414" s="8" t="s">
        <v>2064</v>
      </c>
      <c r="J414" s="9">
        <v>4599000</v>
      </c>
      <c r="K414" s="8"/>
      <c r="L414" s="42">
        <f t="shared" si="136"/>
        <v>6898500</v>
      </c>
      <c r="M414" s="8"/>
      <c r="N414" s="42">
        <f t="shared" si="137"/>
        <v>6898500</v>
      </c>
      <c r="O414" s="42"/>
      <c r="P414" s="42">
        <f t="shared" si="140"/>
        <v>6898500</v>
      </c>
      <c r="Q414" s="42">
        <f t="shared" si="132"/>
        <v>6898500</v>
      </c>
      <c r="R414" s="5"/>
    </row>
    <row r="415" spans="1:18" ht="13.5" x14ac:dyDescent="0.2">
      <c r="A415" s="47" t="s">
        <v>23</v>
      </c>
      <c r="B415" s="47" t="s">
        <v>1108</v>
      </c>
      <c r="C415" s="21" t="s">
        <v>1893</v>
      </c>
      <c r="D415" s="47" t="s">
        <v>1962</v>
      </c>
      <c r="E415" s="21" t="s">
        <v>41</v>
      </c>
      <c r="F415" s="47" t="s">
        <v>32</v>
      </c>
      <c r="G415" s="21" t="s">
        <v>2035</v>
      </c>
      <c r="H415" s="7" t="s">
        <v>2036</v>
      </c>
      <c r="I415" s="8" t="s">
        <v>2039</v>
      </c>
      <c r="J415" s="9">
        <v>12798000</v>
      </c>
      <c r="K415" s="8"/>
      <c r="L415" s="42">
        <f t="shared" si="136"/>
        <v>19197000</v>
      </c>
      <c r="M415" s="8"/>
      <c r="N415" s="42">
        <f t="shared" si="137"/>
        <v>19197000</v>
      </c>
      <c r="O415" s="42"/>
      <c r="P415" s="42">
        <f t="shared" si="140"/>
        <v>19197000</v>
      </c>
      <c r="Q415" s="42">
        <f t="shared" si="132"/>
        <v>19197000</v>
      </c>
      <c r="R415" s="5"/>
    </row>
    <row r="416" spans="1:18" ht="13.5" x14ac:dyDescent="0.2">
      <c r="A416" s="47" t="s">
        <v>23</v>
      </c>
      <c r="B416" s="47" t="s">
        <v>1108</v>
      </c>
      <c r="C416" s="21" t="s">
        <v>1893</v>
      </c>
      <c r="D416" s="47" t="s">
        <v>1962</v>
      </c>
      <c r="E416" s="21" t="s">
        <v>41</v>
      </c>
      <c r="F416" s="47" t="s">
        <v>32</v>
      </c>
      <c r="G416" s="21" t="s">
        <v>2035</v>
      </c>
      <c r="H416" s="7" t="s">
        <v>2036</v>
      </c>
      <c r="I416" s="8" t="s">
        <v>1954</v>
      </c>
      <c r="J416" s="9">
        <v>2739800</v>
      </c>
      <c r="K416" s="8"/>
      <c r="L416" s="42">
        <f t="shared" si="136"/>
        <v>4109700</v>
      </c>
      <c r="M416" s="8"/>
      <c r="N416" s="42">
        <f t="shared" si="137"/>
        <v>4109700</v>
      </c>
      <c r="O416" s="42">
        <f>N416*1.5</f>
        <v>6164550</v>
      </c>
      <c r="P416" s="42"/>
      <c r="Q416" s="42">
        <f t="shared" si="132"/>
        <v>6164550</v>
      </c>
    </row>
    <row r="417" spans="1:18" ht="13.5" x14ac:dyDescent="0.2">
      <c r="A417" s="47" t="s">
        <v>23</v>
      </c>
      <c r="B417" s="47" t="s">
        <v>1108</v>
      </c>
      <c r="C417" s="21" t="s">
        <v>1893</v>
      </c>
      <c r="D417" s="47" t="s">
        <v>1962</v>
      </c>
      <c r="E417" s="21" t="s">
        <v>41</v>
      </c>
      <c r="F417" s="47" t="s">
        <v>32</v>
      </c>
      <c r="G417" s="21" t="s">
        <v>2035</v>
      </c>
      <c r="H417" s="7" t="s">
        <v>2036</v>
      </c>
      <c r="I417" s="8" t="s">
        <v>2062</v>
      </c>
      <c r="J417" s="9">
        <v>2998000</v>
      </c>
      <c r="K417" s="8"/>
      <c r="L417" s="42">
        <f t="shared" si="136"/>
        <v>4497000</v>
      </c>
      <c r="M417" s="8"/>
      <c r="N417" s="42">
        <f t="shared" si="137"/>
        <v>4497000</v>
      </c>
      <c r="O417" s="42"/>
      <c r="P417" s="42">
        <f t="shared" ref="P417:P420" si="141">N417</f>
        <v>4497000</v>
      </c>
      <c r="Q417" s="42">
        <f t="shared" si="132"/>
        <v>4497000</v>
      </c>
      <c r="R417" s="5"/>
    </row>
    <row r="418" spans="1:18" ht="13.5" x14ac:dyDescent="0.2">
      <c r="A418" s="47" t="s">
        <v>23</v>
      </c>
      <c r="B418" s="47" t="s">
        <v>1108</v>
      </c>
      <c r="C418" s="21" t="s">
        <v>1893</v>
      </c>
      <c r="D418" s="47" t="s">
        <v>1962</v>
      </c>
      <c r="E418" s="21" t="s">
        <v>41</v>
      </c>
      <c r="F418" s="47" t="s">
        <v>32</v>
      </c>
      <c r="G418" s="21" t="s">
        <v>2079</v>
      </c>
      <c r="H418" s="7" t="s">
        <v>2080</v>
      </c>
      <c r="I418" s="8" t="s">
        <v>2092</v>
      </c>
      <c r="J418" s="9">
        <v>11699400</v>
      </c>
      <c r="K418" s="8"/>
      <c r="L418" s="42">
        <f t="shared" si="136"/>
        <v>17549100</v>
      </c>
      <c r="M418" s="8"/>
      <c r="N418" s="42">
        <f t="shared" si="137"/>
        <v>17549100</v>
      </c>
      <c r="O418" s="42"/>
      <c r="P418" s="42">
        <f t="shared" si="141"/>
        <v>17549100</v>
      </c>
      <c r="Q418" s="42">
        <f t="shared" si="132"/>
        <v>17549100</v>
      </c>
      <c r="R418" s="5"/>
    </row>
    <row r="419" spans="1:18" ht="13.5" x14ac:dyDescent="0.2">
      <c r="A419" s="47" t="s">
        <v>23</v>
      </c>
      <c r="B419" s="47" t="s">
        <v>1108</v>
      </c>
      <c r="C419" s="21" t="s">
        <v>1893</v>
      </c>
      <c r="D419" s="47" t="s">
        <v>1962</v>
      </c>
      <c r="E419" s="21" t="s">
        <v>41</v>
      </c>
      <c r="F419" s="47" t="s">
        <v>32</v>
      </c>
      <c r="G419" s="21" t="s">
        <v>2079</v>
      </c>
      <c r="H419" s="7" t="s">
        <v>2080</v>
      </c>
      <c r="I419" s="8" t="s">
        <v>2088</v>
      </c>
      <c r="J419" s="9">
        <v>2316600</v>
      </c>
      <c r="K419" s="8"/>
      <c r="L419" s="42">
        <f t="shared" si="136"/>
        <v>3474900</v>
      </c>
      <c r="M419" s="8"/>
      <c r="N419" s="42">
        <f t="shared" si="137"/>
        <v>3474900</v>
      </c>
      <c r="O419" s="42"/>
      <c r="P419" s="42">
        <f t="shared" si="141"/>
        <v>3474900</v>
      </c>
      <c r="Q419" s="42">
        <f t="shared" si="132"/>
        <v>3474900</v>
      </c>
      <c r="R419" s="5"/>
    </row>
    <row r="420" spans="1:18" ht="13.5" x14ac:dyDescent="0.2">
      <c r="A420" s="47" t="s">
        <v>23</v>
      </c>
      <c r="B420" s="47" t="s">
        <v>1108</v>
      </c>
      <c r="C420" s="21" t="s">
        <v>1893</v>
      </c>
      <c r="D420" s="47" t="s">
        <v>1962</v>
      </c>
      <c r="E420" s="21" t="s">
        <v>41</v>
      </c>
      <c r="F420" s="47" t="s">
        <v>32</v>
      </c>
      <c r="G420" s="21" t="s">
        <v>2079</v>
      </c>
      <c r="H420" s="7" t="s">
        <v>2080</v>
      </c>
      <c r="I420" s="8" t="s">
        <v>2085</v>
      </c>
      <c r="J420" s="9">
        <v>3398000</v>
      </c>
      <c r="K420" s="8"/>
      <c r="L420" s="42">
        <f t="shared" si="136"/>
        <v>5097000</v>
      </c>
      <c r="M420" s="8"/>
      <c r="N420" s="42">
        <f t="shared" si="137"/>
        <v>5097000</v>
      </c>
      <c r="O420" s="42"/>
      <c r="P420" s="42">
        <f t="shared" si="141"/>
        <v>5097000</v>
      </c>
      <c r="Q420" s="42">
        <f t="shared" si="132"/>
        <v>5097000</v>
      </c>
      <c r="R420" s="5"/>
    </row>
    <row r="421" spans="1:18" ht="13.5" hidden="1" x14ac:dyDescent="0.2">
      <c r="A421" s="12" t="s">
        <v>23</v>
      </c>
      <c r="B421" s="12" t="s">
        <v>1108</v>
      </c>
      <c r="C421" s="13" t="s">
        <v>1893</v>
      </c>
      <c r="D421" s="12" t="s">
        <v>1962</v>
      </c>
      <c r="E421" s="13" t="s">
        <v>233</v>
      </c>
      <c r="F421" s="12" t="s">
        <v>181</v>
      </c>
      <c r="G421" s="13" t="s">
        <v>1998</v>
      </c>
      <c r="H421" s="12" t="s">
        <v>1999</v>
      </c>
      <c r="I421" s="13" t="s">
        <v>2026</v>
      </c>
      <c r="J421" s="14" t="s">
        <v>3946</v>
      </c>
      <c r="K421" s="18"/>
      <c r="L421" s="18"/>
      <c r="M421" s="18"/>
      <c r="N421" s="20" t="str">
        <f t="shared" ref="N421:N422" si="142">J421</f>
        <v>-</v>
      </c>
      <c r="O421"/>
      <c r="P421"/>
    </row>
    <row r="422" spans="1:18" ht="13.5" hidden="1" x14ac:dyDescent="0.2">
      <c r="A422" s="7" t="s">
        <v>23</v>
      </c>
      <c r="B422" s="7" t="s">
        <v>1108</v>
      </c>
      <c r="C422" s="8" t="s">
        <v>1893</v>
      </c>
      <c r="D422" s="7" t="s">
        <v>1962</v>
      </c>
      <c r="E422" s="8" t="s">
        <v>233</v>
      </c>
      <c r="F422" s="7" t="s">
        <v>181</v>
      </c>
      <c r="G422" s="8" t="s">
        <v>1998</v>
      </c>
      <c r="H422" s="7" t="s">
        <v>1999</v>
      </c>
      <c r="I422" s="8" t="s">
        <v>2022</v>
      </c>
      <c r="J422" s="9" t="s">
        <v>3946</v>
      </c>
      <c r="K422" s="15"/>
      <c r="L422" s="15"/>
      <c r="M422" s="15"/>
      <c r="N422" s="16" t="str">
        <f t="shared" si="142"/>
        <v>-</v>
      </c>
      <c r="O422"/>
      <c r="P422"/>
    </row>
    <row r="423" spans="1:18" ht="13.5" x14ac:dyDescent="0.2">
      <c r="A423" s="47" t="s">
        <v>23</v>
      </c>
      <c r="B423" s="47" t="s">
        <v>1108</v>
      </c>
      <c r="C423" s="21" t="s">
        <v>1893</v>
      </c>
      <c r="D423" s="47" t="s">
        <v>1962</v>
      </c>
      <c r="E423" s="21" t="s">
        <v>233</v>
      </c>
      <c r="F423" s="47" t="s">
        <v>234</v>
      </c>
      <c r="G423" s="21" t="s">
        <v>2035</v>
      </c>
      <c r="H423" s="7" t="s">
        <v>2036</v>
      </c>
      <c r="I423" s="8" t="s">
        <v>2050</v>
      </c>
      <c r="J423" s="9">
        <v>7518000</v>
      </c>
      <c r="K423" s="42">
        <f>J423*2</f>
        <v>15036000</v>
      </c>
      <c r="L423" s="42"/>
      <c r="M423" s="42"/>
      <c r="N423" s="42">
        <f t="shared" si="137"/>
        <v>15036000</v>
      </c>
      <c r="O423" s="42">
        <f>N423*1.5</f>
        <v>22554000</v>
      </c>
      <c r="P423" s="42"/>
      <c r="Q423" s="42">
        <f t="shared" ref="Q423:Q425" si="143">SUM(O423:P423)</f>
        <v>22554000</v>
      </c>
    </row>
    <row r="424" spans="1:18" ht="13.5" x14ac:dyDescent="0.2">
      <c r="A424" s="47" t="s">
        <v>23</v>
      </c>
      <c r="B424" s="47" t="s">
        <v>1108</v>
      </c>
      <c r="C424" s="21" t="s">
        <v>1893</v>
      </c>
      <c r="D424" s="47" t="s">
        <v>1962</v>
      </c>
      <c r="E424" s="21" t="s">
        <v>57</v>
      </c>
      <c r="F424" s="47" t="s">
        <v>32</v>
      </c>
      <c r="G424" s="21" t="s">
        <v>1998</v>
      </c>
      <c r="H424" s="7" t="s">
        <v>1999</v>
      </c>
      <c r="I424" s="8" t="s">
        <v>2004</v>
      </c>
      <c r="J424" s="9">
        <v>4198000</v>
      </c>
      <c r="K424" s="8"/>
      <c r="L424" s="42">
        <f t="shared" ref="L424" si="144">J424*1.5</f>
        <v>6297000</v>
      </c>
      <c r="M424" s="8"/>
      <c r="N424" s="42">
        <f t="shared" si="137"/>
        <v>6297000</v>
      </c>
      <c r="O424" s="42"/>
      <c r="P424" s="42">
        <f t="shared" ref="P424:P425" si="145">N424</f>
        <v>6297000</v>
      </c>
      <c r="Q424" s="42">
        <f t="shared" si="143"/>
        <v>6297000</v>
      </c>
      <c r="R424" s="5"/>
    </row>
    <row r="425" spans="1:18" ht="13.5" x14ac:dyDescent="0.2">
      <c r="A425" s="47" t="s">
        <v>23</v>
      </c>
      <c r="B425" s="47" t="s">
        <v>1108</v>
      </c>
      <c r="C425" s="21" t="s">
        <v>1109</v>
      </c>
      <c r="D425" s="47" t="s">
        <v>1110</v>
      </c>
      <c r="E425" s="21" t="s">
        <v>211</v>
      </c>
      <c r="F425" s="47" t="s">
        <v>212</v>
      </c>
      <c r="G425" s="21" t="s">
        <v>1111</v>
      </c>
      <c r="H425" s="7" t="s">
        <v>1112</v>
      </c>
      <c r="I425" s="8" t="s">
        <v>1115</v>
      </c>
      <c r="J425" s="9">
        <v>5919600</v>
      </c>
      <c r="K425" s="8"/>
      <c r="L425" s="8"/>
      <c r="M425" s="8"/>
      <c r="N425" s="42">
        <f t="shared" ref="N425:N449" si="146">J425</f>
        <v>5919600</v>
      </c>
      <c r="O425" s="42"/>
      <c r="P425" s="42">
        <f t="shared" si="145"/>
        <v>5919600</v>
      </c>
      <c r="Q425" s="42">
        <f t="shared" si="143"/>
        <v>5919600</v>
      </c>
      <c r="R425" s="5"/>
    </row>
    <row r="426" spans="1:18" ht="13.5" hidden="1" x14ac:dyDescent="0.2">
      <c r="A426" s="12" t="s">
        <v>23</v>
      </c>
      <c r="B426" s="12" t="s">
        <v>1108</v>
      </c>
      <c r="C426" s="13" t="s">
        <v>1109</v>
      </c>
      <c r="D426" s="12" t="s">
        <v>1110</v>
      </c>
      <c r="E426" s="13" t="s">
        <v>211</v>
      </c>
      <c r="F426" s="12" t="s">
        <v>181</v>
      </c>
      <c r="G426" s="13" t="s">
        <v>1131</v>
      </c>
      <c r="H426" s="12" t="s">
        <v>1132</v>
      </c>
      <c r="I426" s="13" t="s">
        <v>1155</v>
      </c>
      <c r="J426" s="14" t="s">
        <v>3946</v>
      </c>
      <c r="K426" s="18"/>
      <c r="L426" s="18"/>
      <c r="M426" s="18"/>
      <c r="N426" s="20" t="str">
        <f t="shared" si="146"/>
        <v>-</v>
      </c>
      <c r="O426"/>
      <c r="P426"/>
    </row>
    <row r="427" spans="1:18" ht="13.5" hidden="1" x14ac:dyDescent="0.2">
      <c r="A427" s="7" t="s">
        <v>23</v>
      </c>
      <c r="B427" s="7" t="s">
        <v>1108</v>
      </c>
      <c r="C427" s="8" t="s">
        <v>1109</v>
      </c>
      <c r="D427" s="7" t="s">
        <v>1110</v>
      </c>
      <c r="E427" s="8" t="s">
        <v>211</v>
      </c>
      <c r="F427" s="7" t="s">
        <v>181</v>
      </c>
      <c r="G427" s="8" t="s">
        <v>1131</v>
      </c>
      <c r="H427" s="7" t="s">
        <v>1132</v>
      </c>
      <c r="I427" s="8" t="s">
        <v>1157</v>
      </c>
      <c r="J427" s="9" t="s">
        <v>3946</v>
      </c>
      <c r="K427" s="15"/>
      <c r="L427" s="15"/>
      <c r="M427" s="15"/>
      <c r="N427" s="16" t="str">
        <f t="shared" si="146"/>
        <v>-</v>
      </c>
      <c r="O427"/>
      <c r="P427"/>
    </row>
    <row r="428" spans="1:18" ht="13.5" x14ac:dyDescent="0.2">
      <c r="A428" s="47" t="s">
        <v>23</v>
      </c>
      <c r="B428" s="47" t="s">
        <v>1108</v>
      </c>
      <c r="C428" s="21" t="s">
        <v>1109</v>
      </c>
      <c r="D428" s="47" t="s">
        <v>1110</v>
      </c>
      <c r="E428" s="21" t="s">
        <v>128</v>
      </c>
      <c r="F428" s="47" t="s">
        <v>135</v>
      </c>
      <c r="G428" s="21" t="s">
        <v>1131</v>
      </c>
      <c r="H428" s="7" t="s">
        <v>1132</v>
      </c>
      <c r="I428" s="8" t="s">
        <v>1160</v>
      </c>
      <c r="J428" s="9">
        <v>888000</v>
      </c>
      <c r="K428" s="8"/>
      <c r="L428" s="8"/>
      <c r="M428" s="8"/>
      <c r="N428" s="42">
        <f t="shared" si="146"/>
        <v>888000</v>
      </c>
      <c r="O428" s="42"/>
      <c r="P428" s="42">
        <f t="shared" ref="P428:P431" si="147">N428</f>
        <v>888000</v>
      </c>
      <c r="Q428" s="42">
        <f t="shared" ref="Q428:Q431" si="148">SUM(O428:P428)</f>
        <v>888000</v>
      </c>
      <c r="R428" s="5"/>
    </row>
    <row r="429" spans="1:18" ht="13.5" x14ac:dyDescent="0.2">
      <c r="A429" s="47" t="s">
        <v>23</v>
      </c>
      <c r="B429" s="47" t="s">
        <v>1108</v>
      </c>
      <c r="C429" s="21" t="s">
        <v>1109</v>
      </c>
      <c r="D429" s="47" t="s">
        <v>1110</v>
      </c>
      <c r="E429" s="21" t="s">
        <v>128</v>
      </c>
      <c r="F429" s="47" t="s">
        <v>135</v>
      </c>
      <c r="G429" s="21" t="s">
        <v>1131</v>
      </c>
      <c r="H429" s="7" t="s">
        <v>1132</v>
      </c>
      <c r="I429" s="8" t="s">
        <v>1166</v>
      </c>
      <c r="J429" s="9">
        <v>3408000</v>
      </c>
      <c r="K429" s="8"/>
      <c r="L429" s="8"/>
      <c r="M429" s="8"/>
      <c r="N429" s="42">
        <f t="shared" si="146"/>
        <v>3408000</v>
      </c>
      <c r="O429" s="42"/>
      <c r="P429" s="42">
        <f t="shared" si="147"/>
        <v>3408000</v>
      </c>
      <c r="Q429" s="42">
        <f t="shared" si="148"/>
        <v>3408000</v>
      </c>
      <c r="R429" s="5"/>
    </row>
    <row r="430" spans="1:18" ht="13.5" x14ac:dyDescent="0.2">
      <c r="A430" s="47" t="s">
        <v>23</v>
      </c>
      <c r="B430" s="47" t="s">
        <v>1108</v>
      </c>
      <c r="C430" s="21" t="s">
        <v>1109</v>
      </c>
      <c r="D430" s="47" t="s">
        <v>1110</v>
      </c>
      <c r="E430" s="21" t="s">
        <v>128</v>
      </c>
      <c r="F430" s="47" t="s">
        <v>135</v>
      </c>
      <c r="G430" s="21" t="s">
        <v>1131</v>
      </c>
      <c r="H430" s="7" t="s">
        <v>1132</v>
      </c>
      <c r="I430" s="8" t="s">
        <v>1178</v>
      </c>
      <c r="J430" s="9">
        <v>16449200</v>
      </c>
      <c r="K430" s="8"/>
      <c r="L430" s="8"/>
      <c r="M430" s="8"/>
      <c r="N430" s="42">
        <f t="shared" si="146"/>
        <v>16449200</v>
      </c>
      <c r="O430" s="42"/>
      <c r="P430" s="42">
        <f t="shared" si="147"/>
        <v>16449200</v>
      </c>
      <c r="Q430" s="42">
        <f t="shared" si="148"/>
        <v>16449200</v>
      </c>
      <c r="R430" s="5"/>
    </row>
    <row r="431" spans="1:18" ht="13.5" x14ac:dyDescent="0.2">
      <c r="A431" s="47" t="s">
        <v>23</v>
      </c>
      <c r="B431" s="47" t="s">
        <v>1108</v>
      </c>
      <c r="C431" s="21" t="s">
        <v>1109</v>
      </c>
      <c r="D431" s="47" t="s">
        <v>1110</v>
      </c>
      <c r="E431" s="21" t="s">
        <v>128</v>
      </c>
      <c r="F431" s="47" t="s">
        <v>135</v>
      </c>
      <c r="G431" s="21" t="s">
        <v>1131</v>
      </c>
      <c r="H431" s="7" t="s">
        <v>1132</v>
      </c>
      <c r="I431" s="8" t="s">
        <v>1168</v>
      </c>
      <c r="J431" s="9">
        <v>4750800</v>
      </c>
      <c r="K431" s="8"/>
      <c r="L431" s="8"/>
      <c r="M431" s="8"/>
      <c r="N431" s="42">
        <f t="shared" si="146"/>
        <v>4750800</v>
      </c>
      <c r="O431" s="42"/>
      <c r="P431" s="42">
        <f t="shared" si="147"/>
        <v>4750800</v>
      </c>
      <c r="Q431" s="42">
        <f t="shared" si="148"/>
        <v>4750800</v>
      </c>
      <c r="R431" s="5"/>
    </row>
    <row r="432" spans="1:18" ht="13.5" hidden="1" x14ac:dyDescent="0.2">
      <c r="A432" s="12" t="s">
        <v>23</v>
      </c>
      <c r="B432" s="12" t="s">
        <v>1108</v>
      </c>
      <c r="C432" s="13" t="s">
        <v>1109</v>
      </c>
      <c r="D432" s="12" t="s">
        <v>1110</v>
      </c>
      <c r="E432" s="13" t="s">
        <v>128</v>
      </c>
      <c r="F432" s="12" t="s">
        <v>181</v>
      </c>
      <c r="G432" s="13" t="s">
        <v>1131</v>
      </c>
      <c r="H432" s="12" t="s">
        <v>1132</v>
      </c>
      <c r="I432" s="13" t="s">
        <v>1180</v>
      </c>
      <c r="J432" s="14" t="s">
        <v>3946</v>
      </c>
      <c r="K432" s="18"/>
      <c r="L432" s="18"/>
      <c r="M432" s="18"/>
      <c r="N432" s="20" t="str">
        <f t="shared" si="146"/>
        <v>-</v>
      </c>
      <c r="O432"/>
      <c r="P432"/>
    </row>
    <row r="433" spans="1:18" ht="13.5" hidden="1" x14ac:dyDescent="0.2">
      <c r="A433" s="7" t="s">
        <v>23</v>
      </c>
      <c r="B433" s="7" t="s">
        <v>1108</v>
      </c>
      <c r="C433" s="8" t="s">
        <v>1109</v>
      </c>
      <c r="D433" s="7" t="s">
        <v>1110</v>
      </c>
      <c r="E433" s="8" t="s">
        <v>128</v>
      </c>
      <c r="F433" s="7" t="s">
        <v>181</v>
      </c>
      <c r="G433" s="8" t="s">
        <v>1131</v>
      </c>
      <c r="H433" s="7" t="s">
        <v>1132</v>
      </c>
      <c r="I433" s="8" t="s">
        <v>1133</v>
      </c>
      <c r="J433" s="9" t="s">
        <v>3946</v>
      </c>
      <c r="K433" s="15"/>
      <c r="L433" s="15"/>
      <c r="M433" s="15"/>
      <c r="N433" s="16" t="str">
        <f t="shared" si="146"/>
        <v>-</v>
      </c>
      <c r="O433"/>
      <c r="P433"/>
    </row>
    <row r="434" spans="1:18" ht="13.5" x14ac:dyDescent="0.2">
      <c r="A434" s="47" t="s">
        <v>23</v>
      </c>
      <c r="B434" s="47" t="s">
        <v>1108</v>
      </c>
      <c r="C434" s="21" t="s">
        <v>1109</v>
      </c>
      <c r="D434" s="47" t="s">
        <v>1110</v>
      </c>
      <c r="E434" s="21" t="s">
        <v>31</v>
      </c>
      <c r="F434" s="47" t="s">
        <v>32</v>
      </c>
      <c r="G434" s="21" t="s">
        <v>1111</v>
      </c>
      <c r="H434" s="7" t="s">
        <v>1112</v>
      </c>
      <c r="I434" s="8" t="s">
        <v>1127</v>
      </c>
      <c r="J434" s="9">
        <v>7462800</v>
      </c>
      <c r="K434" s="8"/>
      <c r="L434" s="8"/>
      <c r="M434" s="8"/>
      <c r="N434" s="42">
        <f t="shared" si="146"/>
        <v>7462800</v>
      </c>
      <c r="O434" s="42"/>
      <c r="P434" s="42">
        <f t="shared" ref="P434:P439" si="149">N434</f>
        <v>7462800</v>
      </c>
      <c r="Q434" s="42">
        <f t="shared" ref="Q434:Q466" si="150">SUM(O434:P434)</f>
        <v>7462800</v>
      </c>
      <c r="R434" s="5"/>
    </row>
    <row r="435" spans="1:18" ht="13.5" x14ac:dyDescent="0.2">
      <c r="A435" s="47" t="s">
        <v>23</v>
      </c>
      <c r="B435" s="47" t="s">
        <v>1108</v>
      </c>
      <c r="C435" s="21" t="s">
        <v>1109</v>
      </c>
      <c r="D435" s="47" t="s">
        <v>1110</v>
      </c>
      <c r="E435" s="21" t="s">
        <v>31</v>
      </c>
      <c r="F435" s="47" t="s">
        <v>32</v>
      </c>
      <c r="G435" s="21" t="s">
        <v>1111</v>
      </c>
      <c r="H435" s="7" t="s">
        <v>1112</v>
      </c>
      <c r="I435" s="8" t="s">
        <v>1121</v>
      </c>
      <c r="J435" s="9">
        <v>2067000</v>
      </c>
      <c r="K435" s="8"/>
      <c r="L435" s="8"/>
      <c r="M435" s="8"/>
      <c r="N435" s="42">
        <f t="shared" si="146"/>
        <v>2067000</v>
      </c>
      <c r="O435" s="42"/>
      <c r="P435" s="42">
        <f t="shared" si="149"/>
        <v>2067000</v>
      </c>
      <c r="Q435" s="42">
        <f t="shared" si="150"/>
        <v>2067000</v>
      </c>
      <c r="R435" s="5"/>
    </row>
    <row r="436" spans="1:18" ht="13.5" x14ac:dyDescent="0.2">
      <c r="A436" s="47" t="s">
        <v>23</v>
      </c>
      <c r="B436" s="47" t="s">
        <v>1108</v>
      </c>
      <c r="C436" s="21" t="s">
        <v>1109</v>
      </c>
      <c r="D436" s="47" t="s">
        <v>1110</v>
      </c>
      <c r="E436" s="21" t="s">
        <v>31</v>
      </c>
      <c r="F436" s="47" t="s">
        <v>32</v>
      </c>
      <c r="G436" s="21" t="s">
        <v>1111</v>
      </c>
      <c r="H436" s="7" t="s">
        <v>1112</v>
      </c>
      <c r="I436" s="8" t="s">
        <v>1113</v>
      </c>
      <c r="J436" s="9">
        <v>895600</v>
      </c>
      <c r="K436" s="8"/>
      <c r="L436" s="8"/>
      <c r="M436" s="8"/>
      <c r="N436" s="42">
        <f t="shared" si="146"/>
        <v>895600</v>
      </c>
      <c r="O436" s="42"/>
      <c r="P436" s="42">
        <f t="shared" si="149"/>
        <v>895600</v>
      </c>
      <c r="Q436" s="42">
        <f t="shared" si="150"/>
        <v>895600</v>
      </c>
      <c r="R436" s="5"/>
    </row>
    <row r="437" spans="1:18" ht="13.5" x14ac:dyDescent="0.2">
      <c r="A437" s="47" t="s">
        <v>23</v>
      </c>
      <c r="B437" s="47" t="s">
        <v>1108</v>
      </c>
      <c r="C437" s="21" t="s">
        <v>1109</v>
      </c>
      <c r="D437" s="47" t="s">
        <v>1110</v>
      </c>
      <c r="E437" s="21" t="s">
        <v>31</v>
      </c>
      <c r="F437" s="47" t="s">
        <v>32</v>
      </c>
      <c r="G437" s="21" t="s">
        <v>1131</v>
      </c>
      <c r="H437" s="7" t="s">
        <v>1132</v>
      </c>
      <c r="I437" s="8" t="s">
        <v>1140</v>
      </c>
      <c r="J437" s="9">
        <v>2205000</v>
      </c>
      <c r="K437" s="8"/>
      <c r="L437" s="8"/>
      <c r="M437" s="8"/>
      <c r="N437" s="42">
        <f t="shared" si="146"/>
        <v>2205000</v>
      </c>
      <c r="O437" s="42"/>
      <c r="P437" s="42">
        <f t="shared" si="149"/>
        <v>2205000</v>
      </c>
      <c r="Q437" s="42">
        <f t="shared" si="150"/>
        <v>2205000</v>
      </c>
      <c r="R437" s="5"/>
    </row>
    <row r="438" spans="1:18" ht="13.5" x14ac:dyDescent="0.2">
      <c r="A438" s="47" t="s">
        <v>23</v>
      </c>
      <c r="B438" s="47" t="s">
        <v>1108</v>
      </c>
      <c r="C438" s="21" t="s">
        <v>1109</v>
      </c>
      <c r="D438" s="47" t="s">
        <v>1110</v>
      </c>
      <c r="E438" s="21" t="s">
        <v>31</v>
      </c>
      <c r="F438" s="47" t="s">
        <v>32</v>
      </c>
      <c r="G438" s="21" t="s">
        <v>1131</v>
      </c>
      <c r="H438" s="7" t="s">
        <v>1132</v>
      </c>
      <c r="I438" s="8" t="s">
        <v>1136</v>
      </c>
      <c r="J438" s="9">
        <v>3590400</v>
      </c>
      <c r="K438" s="8"/>
      <c r="L438" s="8"/>
      <c r="M438" s="8"/>
      <c r="N438" s="42">
        <f t="shared" si="146"/>
        <v>3590400</v>
      </c>
      <c r="O438" s="42"/>
      <c r="P438" s="42">
        <f t="shared" si="149"/>
        <v>3590400</v>
      </c>
      <c r="Q438" s="42">
        <f t="shared" si="150"/>
        <v>3590400</v>
      </c>
      <c r="R438" s="5"/>
    </row>
    <row r="439" spans="1:18" ht="13.5" x14ac:dyDescent="0.2">
      <c r="A439" s="47" t="s">
        <v>23</v>
      </c>
      <c r="B439" s="47" t="s">
        <v>1108</v>
      </c>
      <c r="C439" s="21" t="s">
        <v>1109</v>
      </c>
      <c r="D439" s="47" t="s">
        <v>1110</v>
      </c>
      <c r="E439" s="21" t="s">
        <v>31</v>
      </c>
      <c r="F439" s="47" t="s">
        <v>32</v>
      </c>
      <c r="G439" s="21" t="s">
        <v>1131</v>
      </c>
      <c r="H439" s="7" t="s">
        <v>1132</v>
      </c>
      <c r="I439" s="8" t="s">
        <v>1162</v>
      </c>
      <c r="J439" s="9">
        <v>3417900</v>
      </c>
      <c r="K439" s="8"/>
      <c r="L439" s="8"/>
      <c r="M439" s="8"/>
      <c r="N439" s="42">
        <f t="shared" si="146"/>
        <v>3417900</v>
      </c>
      <c r="O439" s="42"/>
      <c r="P439" s="42">
        <f t="shared" si="149"/>
        <v>3417900</v>
      </c>
      <c r="Q439" s="42">
        <f t="shared" si="150"/>
        <v>3417900</v>
      </c>
      <c r="R439" s="5"/>
    </row>
    <row r="440" spans="1:18" ht="13.5" x14ac:dyDescent="0.2">
      <c r="A440" s="47" t="s">
        <v>23</v>
      </c>
      <c r="B440" s="47" t="s">
        <v>1108</v>
      </c>
      <c r="C440" s="21" t="s">
        <v>1109</v>
      </c>
      <c r="D440" s="47" t="s">
        <v>1110</v>
      </c>
      <c r="E440" s="21" t="s">
        <v>31</v>
      </c>
      <c r="F440" s="47" t="s">
        <v>32</v>
      </c>
      <c r="G440" s="21" t="s">
        <v>1131</v>
      </c>
      <c r="H440" s="7" t="s">
        <v>1132</v>
      </c>
      <c r="I440" s="8" t="s">
        <v>1186</v>
      </c>
      <c r="J440" s="9">
        <v>5468800</v>
      </c>
      <c r="K440" s="8"/>
      <c r="L440" s="8"/>
      <c r="M440" s="8"/>
      <c r="N440" s="42">
        <f t="shared" si="146"/>
        <v>5468800</v>
      </c>
      <c r="O440" s="42">
        <f>N440*1.5</f>
        <v>8203200</v>
      </c>
      <c r="P440" s="42"/>
      <c r="Q440" s="42">
        <f t="shared" si="150"/>
        <v>8203200</v>
      </c>
    </row>
    <row r="441" spans="1:18" ht="13.5" x14ac:dyDescent="0.2">
      <c r="A441" s="47" t="s">
        <v>23</v>
      </c>
      <c r="B441" s="47" t="s">
        <v>1108</v>
      </c>
      <c r="C441" s="21" t="s">
        <v>1109</v>
      </c>
      <c r="D441" s="47" t="s">
        <v>1110</v>
      </c>
      <c r="E441" s="21" t="s">
        <v>31</v>
      </c>
      <c r="F441" s="47" t="s">
        <v>32</v>
      </c>
      <c r="G441" s="21" t="s">
        <v>1131</v>
      </c>
      <c r="H441" s="7" t="s">
        <v>1132</v>
      </c>
      <c r="I441" s="8" t="s">
        <v>1188</v>
      </c>
      <c r="J441" s="9">
        <v>4401600</v>
      </c>
      <c r="K441" s="8"/>
      <c r="L441" s="8"/>
      <c r="M441" s="8"/>
      <c r="N441" s="42">
        <f t="shared" si="146"/>
        <v>4401600</v>
      </c>
      <c r="O441" s="42"/>
      <c r="P441" s="42">
        <f>N441</f>
        <v>4401600</v>
      </c>
      <c r="Q441" s="42">
        <f t="shared" si="150"/>
        <v>4401600</v>
      </c>
      <c r="R441" s="5"/>
    </row>
    <row r="442" spans="1:18" ht="13.5" x14ac:dyDescent="0.2">
      <c r="A442" s="47" t="s">
        <v>23</v>
      </c>
      <c r="B442" s="47" t="s">
        <v>1108</v>
      </c>
      <c r="C442" s="21" t="s">
        <v>1109</v>
      </c>
      <c r="D442" s="47" t="s">
        <v>1110</v>
      </c>
      <c r="E442" s="21" t="s">
        <v>31</v>
      </c>
      <c r="F442" s="47" t="s">
        <v>32</v>
      </c>
      <c r="G442" s="21" t="s">
        <v>1131</v>
      </c>
      <c r="H442" s="7" t="s">
        <v>1132</v>
      </c>
      <c r="I442" s="8" t="s">
        <v>1184</v>
      </c>
      <c r="J442" s="9">
        <v>5301600</v>
      </c>
      <c r="K442" s="8"/>
      <c r="L442" s="8"/>
      <c r="M442" s="8"/>
      <c r="N442" s="42">
        <f t="shared" si="146"/>
        <v>5301600</v>
      </c>
      <c r="O442" s="42">
        <f>N442*1.5</f>
        <v>7952400</v>
      </c>
      <c r="P442" s="42"/>
      <c r="Q442" s="42">
        <f t="shared" si="150"/>
        <v>7952400</v>
      </c>
    </row>
    <row r="443" spans="1:18" ht="13.5" x14ac:dyDescent="0.2">
      <c r="A443" s="47" t="s">
        <v>23</v>
      </c>
      <c r="B443" s="47" t="s">
        <v>1108</v>
      </c>
      <c r="C443" s="21" t="s">
        <v>1109</v>
      </c>
      <c r="D443" s="47" t="s">
        <v>1110</v>
      </c>
      <c r="E443" s="21" t="s">
        <v>31</v>
      </c>
      <c r="F443" s="47" t="s">
        <v>32</v>
      </c>
      <c r="G443" s="21" t="s">
        <v>1131</v>
      </c>
      <c r="H443" s="7" t="s">
        <v>1132</v>
      </c>
      <c r="I443" s="8" t="s">
        <v>1150</v>
      </c>
      <c r="J443" s="9">
        <v>2136000</v>
      </c>
      <c r="K443" s="8"/>
      <c r="L443" s="8"/>
      <c r="M443" s="8"/>
      <c r="N443" s="42">
        <f t="shared" si="146"/>
        <v>2136000</v>
      </c>
      <c r="O443" s="42"/>
      <c r="P443" s="42">
        <f>N443</f>
        <v>2136000</v>
      </c>
      <c r="Q443" s="42">
        <f t="shared" si="150"/>
        <v>2136000</v>
      </c>
      <c r="R443" s="5"/>
    </row>
    <row r="444" spans="1:18" ht="13.5" x14ac:dyDescent="0.2">
      <c r="A444" s="47" t="s">
        <v>23</v>
      </c>
      <c r="B444" s="47" t="s">
        <v>1108</v>
      </c>
      <c r="C444" s="21" t="s">
        <v>1109</v>
      </c>
      <c r="D444" s="47" t="s">
        <v>1110</v>
      </c>
      <c r="E444" s="21" t="s">
        <v>31</v>
      </c>
      <c r="F444" s="47" t="s">
        <v>32</v>
      </c>
      <c r="G444" s="21" t="s">
        <v>1192</v>
      </c>
      <c r="H444" s="7" t="s">
        <v>1193</v>
      </c>
      <c r="I444" s="8" t="s">
        <v>1194</v>
      </c>
      <c r="J444" s="9">
        <v>2636000</v>
      </c>
      <c r="K444" s="8"/>
      <c r="L444" s="8"/>
      <c r="M444" s="8"/>
      <c r="N444" s="42">
        <f t="shared" si="146"/>
        <v>2636000</v>
      </c>
      <c r="O444" s="42">
        <f>N444*1.5</f>
        <v>3954000</v>
      </c>
      <c r="P444" s="42"/>
      <c r="Q444" s="42">
        <f t="shared" si="150"/>
        <v>3954000</v>
      </c>
    </row>
    <row r="445" spans="1:18" ht="13.5" x14ac:dyDescent="0.2">
      <c r="A445" s="47" t="s">
        <v>23</v>
      </c>
      <c r="B445" s="47" t="s">
        <v>1108</v>
      </c>
      <c r="C445" s="21" t="s">
        <v>1109</v>
      </c>
      <c r="D445" s="47" t="s">
        <v>1110</v>
      </c>
      <c r="E445" s="21" t="s">
        <v>31</v>
      </c>
      <c r="F445" s="47" t="s">
        <v>32</v>
      </c>
      <c r="G445" s="21" t="s">
        <v>1198</v>
      </c>
      <c r="H445" s="7" t="s">
        <v>1199</v>
      </c>
      <c r="I445" s="8" t="s">
        <v>1214</v>
      </c>
      <c r="J445" s="9">
        <v>6749400</v>
      </c>
      <c r="K445" s="8"/>
      <c r="L445" s="8"/>
      <c r="M445" s="8"/>
      <c r="N445" s="42">
        <f t="shared" si="146"/>
        <v>6749400</v>
      </c>
      <c r="O445" s="42"/>
      <c r="P445" s="42">
        <f t="shared" ref="P445:P446" si="151">N445</f>
        <v>6749400</v>
      </c>
      <c r="Q445" s="42">
        <f t="shared" si="150"/>
        <v>6749400</v>
      </c>
      <c r="R445" s="5"/>
    </row>
    <row r="446" spans="1:18" ht="13.5" x14ac:dyDescent="0.2">
      <c r="A446" s="47" t="s">
        <v>23</v>
      </c>
      <c r="B446" s="47" t="s">
        <v>1108</v>
      </c>
      <c r="C446" s="21" t="s">
        <v>1109</v>
      </c>
      <c r="D446" s="47" t="s">
        <v>1110</v>
      </c>
      <c r="E446" s="21" t="s">
        <v>31</v>
      </c>
      <c r="F446" s="47" t="s">
        <v>32</v>
      </c>
      <c r="G446" s="21" t="s">
        <v>1198</v>
      </c>
      <c r="H446" s="7" t="s">
        <v>1199</v>
      </c>
      <c r="I446" s="8" t="s">
        <v>1204</v>
      </c>
      <c r="J446" s="9">
        <v>3898000</v>
      </c>
      <c r="K446" s="8"/>
      <c r="L446" s="8"/>
      <c r="M446" s="8"/>
      <c r="N446" s="42">
        <f t="shared" si="146"/>
        <v>3898000</v>
      </c>
      <c r="O446" s="42"/>
      <c r="P446" s="42">
        <f t="shared" si="151"/>
        <v>3898000</v>
      </c>
      <c r="Q446" s="42">
        <f t="shared" si="150"/>
        <v>3898000</v>
      </c>
      <c r="R446" s="5"/>
    </row>
    <row r="447" spans="1:18" ht="13.5" x14ac:dyDescent="0.2">
      <c r="A447" s="47" t="s">
        <v>23</v>
      </c>
      <c r="B447" s="47" t="s">
        <v>1108</v>
      </c>
      <c r="C447" s="21" t="s">
        <v>1109</v>
      </c>
      <c r="D447" s="47" t="s">
        <v>1110</v>
      </c>
      <c r="E447" s="21" t="s">
        <v>31</v>
      </c>
      <c r="F447" s="47" t="s">
        <v>32</v>
      </c>
      <c r="G447" s="21" t="s">
        <v>1198</v>
      </c>
      <c r="H447" s="7" t="s">
        <v>1199</v>
      </c>
      <c r="I447" s="8" t="s">
        <v>1200</v>
      </c>
      <c r="J447" s="9">
        <v>3539700</v>
      </c>
      <c r="K447" s="8"/>
      <c r="L447" s="8"/>
      <c r="M447" s="8"/>
      <c r="N447" s="42">
        <f t="shared" si="146"/>
        <v>3539700</v>
      </c>
      <c r="O447" s="42">
        <f>N447*1.5</f>
        <v>5309550</v>
      </c>
      <c r="P447" s="42"/>
      <c r="Q447" s="42">
        <f t="shared" si="150"/>
        <v>5309550</v>
      </c>
    </row>
    <row r="448" spans="1:18" ht="13.5" x14ac:dyDescent="0.2">
      <c r="A448" s="47" t="s">
        <v>23</v>
      </c>
      <c r="B448" s="47" t="s">
        <v>1108</v>
      </c>
      <c r="C448" s="21" t="s">
        <v>1109</v>
      </c>
      <c r="D448" s="47" t="s">
        <v>1110</v>
      </c>
      <c r="E448" s="21" t="s">
        <v>31</v>
      </c>
      <c r="F448" s="47" t="s">
        <v>32</v>
      </c>
      <c r="G448" s="21" t="s">
        <v>1198</v>
      </c>
      <c r="H448" s="7" t="s">
        <v>1199</v>
      </c>
      <c r="I448" s="8" t="s">
        <v>1212</v>
      </c>
      <c r="J448" s="9">
        <v>4401600</v>
      </c>
      <c r="K448" s="8"/>
      <c r="L448" s="8"/>
      <c r="M448" s="8"/>
      <c r="N448" s="42">
        <f t="shared" si="146"/>
        <v>4401600</v>
      </c>
      <c r="O448" s="42"/>
      <c r="P448" s="42">
        <f t="shared" ref="P448:P451" si="152">N448</f>
        <v>4401600</v>
      </c>
      <c r="Q448" s="42">
        <f t="shared" si="150"/>
        <v>4401600</v>
      </c>
      <c r="R448" s="5"/>
    </row>
    <row r="449" spans="1:18" ht="13.5" x14ac:dyDescent="0.2">
      <c r="A449" s="47" t="s">
        <v>23</v>
      </c>
      <c r="B449" s="47" t="s">
        <v>1108</v>
      </c>
      <c r="C449" s="21" t="s">
        <v>1109</v>
      </c>
      <c r="D449" s="47" t="s">
        <v>1110</v>
      </c>
      <c r="E449" s="21" t="s">
        <v>31</v>
      </c>
      <c r="F449" s="47" t="s">
        <v>32</v>
      </c>
      <c r="G449" s="21" t="s">
        <v>1198</v>
      </c>
      <c r="H449" s="7" t="s">
        <v>1199</v>
      </c>
      <c r="I449" s="8" t="s">
        <v>1228</v>
      </c>
      <c r="J449" s="9">
        <v>2796000</v>
      </c>
      <c r="K449" s="8"/>
      <c r="L449" s="8"/>
      <c r="M449" s="8"/>
      <c r="N449" s="42">
        <f t="shared" si="146"/>
        <v>2796000</v>
      </c>
      <c r="O449" s="42"/>
      <c r="P449" s="42">
        <f t="shared" si="152"/>
        <v>2796000</v>
      </c>
      <c r="Q449" s="42">
        <f t="shared" si="150"/>
        <v>2796000</v>
      </c>
      <c r="R449" s="5"/>
    </row>
    <row r="450" spans="1:18" ht="13.5" x14ac:dyDescent="0.2">
      <c r="A450" s="47" t="s">
        <v>23</v>
      </c>
      <c r="B450" s="47" t="s">
        <v>1108</v>
      </c>
      <c r="C450" s="21" t="s">
        <v>1109</v>
      </c>
      <c r="D450" s="47" t="s">
        <v>1110</v>
      </c>
      <c r="E450" s="21" t="s">
        <v>41</v>
      </c>
      <c r="F450" s="47" t="s">
        <v>32</v>
      </c>
      <c r="G450" s="21" t="s">
        <v>1111</v>
      </c>
      <c r="H450" s="7" t="s">
        <v>1112</v>
      </c>
      <c r="I450" s="8" t="s">
        <v>1129</v>
      </c>
      <c r="J450" s="9">
        <v>11331000</v>
      </c>
      <c r="K450" s="8"/>
      <c r="L450" s="42">
        <f t="shared" ref="L450:L466" si="153">J450*1.5</f>
        <v>16996500</v>
      </c>
      <c r="M450" s="8"/>
      <c r="N450" s="42">
        <f t="shared" si="137"/>
        <v>16996500</v>
      </c>
      <c r="O450" s="42"/>
      <c r="P450" s="42">
        <f t="shared" si="152"/>
        <v>16996500</v>
      </c>
      <c r="Q450" s="42">
        <f t="shared" si="150"/>
        <v>16996500</v>
      </c>
      <c r="R450" s="5"/>
    </row>
    <row r="451" spans="1:18" ht="13.5" x14ac:dyDescent="0.2">
      <c r="A451" s="47" t="s">
        <v>23</v>
      </c>
      <c r="B451" s="47" t="s">
        <v>1108</v>
      </c>
      <c r="C451" s="21" t="s">
        <v>1109</v>
      </c>
      <c r="D451" s="47" t="s">
        <v>1110</v>
      </c>
      <c r="E451" s="21" t="s">
        <v>41</v>
      </c>
      <c r="F451" s="47" t="s">
        <v>32</v>
      </c>
      <c r="G451" s="21" t="s">
        <v>1111</v>
      </c>
      <c r="H451" s="7" t="s">
        <v>1112</v>
      </c>
      <c r="I451" s="8" t="s">
        <v>1123</v>
      </c>
      <c r="J451" s="9">
        <v>17887800</v>
      </c>
      <c r="K451" s="8"/>
      <c r="L451" s="42">
        <f t="shared" si="153"/>
        <v>26831700</v>
      </c>
      <c r="M451" s="8"/>
      <c r="N451" s="42">
        <f t="shared" si="137"/>
        <v>26831700</v>
      </c>
      <c r="O451" s="42"/>
      <c r="P451" s="42">
        <f t="shared" si="152"/>
        <v>26831700</v>
      </c>
      <c r="Q451" s="42">
        <f t="shared" si="150"/>
        <v>26831700</v>
      </c>
      <c r="R451" s="5"/>
    </row>
    <row r="452" spans="1:18" ht="13.5" x14ac:dyDescent="0.2">
      <c r="A452" s="47" t="s">
        <v>23</v>
      </c>
      <c r="B452" s="47" t="s">
        <v>1108</v>
      </c>
      <c r="C452" s="21" t="s">
        <v>1109</v>
      </c>
      <c r="D452" s="47" t="s">
        <v>1110</v>
      </c>
      <c r="E452" s="21" t="s">
        <v>41</v>
      </c>
      <c r="F452" s="47" t="s">
        <v>32</v>
      </c>
      <c r="G452" s="21" t="s">
        <v>1111</v>
      </c>
      <c r="H452" s="7" t="s">
        <v>1112</v>
      </c>
      <c r="I452" s="8" t="s">
        <v>1119</v>
      </c>
      <c r="J452" s="9">
        <v>9351300</v>
      </c>
      <c r="K452" s="8"/>
      <c r="L452" s="42">
        <f t="shared" si="153"/>
        <v>14026950</v>
      </c>
      <c r="M452" s="8"/>
      <c r="N452" s="42">
        <f t="shared" ref="N452:N515" si="154">SUM(K452:M452)</f>
        <v>14026950</v>
      </c>
      <c r="O452" s="42">
        <f>N452*1.5</f>
        <v>21040425</v>
      </c>
      <c r="P452" s="42"/>
      <c r="Q452" s="42">
        <f t="shared" si="150"/>
        <v>21040425</v>
      </c>
    </row>
    <row r="453" spans="1:18" ht="13.5" x14ac:dyDescent="0.2">
      <c r="A453" s="47" t="s">
        <v>23</v>
      </c>
      <c r="B453" s="47" t="s">
        <v>1108</v>
      </c>
      <c r="C453" s="21" t="s">
        <v>1109</v>
      </c>
      <c r="D453" s="47" t="s">
        <v>1110</v>
      </c>
      <c r="E453" s="21" t="s">
        <v>41</v>
      </c>
      <c r="F453" s="47" t="s">
        <v>32</v>
      </c>
      <c r="G453" s="21" t="s">
        <v>1131</v>
      </c>
      <c r="H453" s="7" t="s">
        <v>1132</v>
      </c>
      <c r="I453" s="8" t="s">
        <v>1172</v>
      </c>
      <c r="J453" s="9">
        <v>5236400</v>
      </c>
      <c r="K453" s="8"/>
      <c r="L453" s="42">
        <f t="shared" si="153"/>
        <v>7854600</v>
      </c>
      <c r="M453" s="8"/>
      <c r="N453" s="42">
        <f t="shared" si="154"/>
        <v>7854600</v>
      </c>
      <c r="O453" s="42"/>
      <c r="P453" s="42">
        <f t="shared" ref="P453:P454" si="155">N453</f>
        <v>7854600</v>
      </c>
      <c r="Q453" s="42">
        <f t="shared" si="150"/>
        <v>7854600</v>
      </c>
      <c r="R453" s="5"/>
    </row>
    <row r="454" spans="1:18" ht="13.5" x14ac:dyDescent="0.2">
      <c r="A454" s="47" t="s">
        <v>23</v>
      </c>
      <c r="B454" s="47" t="s">
        <v>1108</v>
      </c>
      <c r="C454" s="21" t="s">
        <v>1109</v>
      </c>
      <c r="D454" s="47" t="s">
        <v>1110</v>
      </c>
      <c r="E454" s="21" t="s">
        <v>41</v>
      </c>
      <c r="F454" s="47" t="s">
        <v>32</v>
      </c>
      <c r="G454" s="21" t="s">
        <v>1131</v>
      </c>
      <c r="H454" s="7" t="s">
        <v>1132</v>
      </c>
      <c r="I454" s="8" t="s">
        <v>1138</v>
      </c>
      <c r="J454" s="9">
        <v>3372000</v>
      </c>
      <c r="K454" s="8"/>
      <c r="L454" s="42">
        <f t="shared" si="153"/>
        <v>5058000</v>
      </c>
      <c r="M454" s="8"/>
      <c r="N454" s="42">
        <f t="shared" si="154"/>
        <v>5058000</v>
      </c>
      <c r="O454" s="42"/>
      <c r="P454" s="42">
        <f t="shared" si="155"/>
        <v>5058000</v>
      </c>
      <c r="Q454" s="42">
        <f t="shared" si="150"/>
        <v>5058000</v>
      </c>
      <c r="R454" s="5"/>
    </row>
    <row r="455" spans="1:18" ht="13.5" x14ac:dyDescent="0.2">
      <c r="A455" s="47" t="s">
        <v>23</v>
      </c>
      <c r="B455" s="47" t="s">
        <v>1108</v>
      </c>
      <c r="C455" s="21" t="s">
        <v>1109</v>
      </c>
      <c r="D455" s="47" t="s">
        <v>1110</v>
      </c>
      <c r="E455" s="21" t="s">
        <v>41</v>
      </c>
      <c r="F455" s="47" t="s">
        <v>32</v>
      </c>
      <c r="G455" s="21" t="s">
        <v>1131</v>
      </c>
      <c r="H455" s="7" t="s">
        <v>1132</v>
      </c>
      <c r="I455" s="8" t="s">
        <v>1148</v>
      </c>
      <c r="J455" s="9">
        <v>3198000</v>
      </c>
      <c r="K455" s="8"/>
      <c r="L455" s="42">
        <f t="shared" si="153"/>
        <v>4797000</v>
      </c>
      <c r="M455" s="8"/>
      <c r="N455" s="42">
        <f t="shared" si="154"/>
        <v>4797000</v>
      </c>
      <c r="O455" s="42">
        <f>N455*1.5</f>
        <v>7195500</v>
      </c>
      <c r="P455" s="42"/>
      <c r="Q455" s="42">
        <f t="shared" si="150"/>
        <v>7195500</v>
      </c>
    </row>
    <row r="456" spans="1:18" ht="13.5" x14ac:dyDescent="0.2">
      <c r="A456" s="47" t="s">
        <v>23</v>
      </c>
      <c r="B456" s="47" t="s">
        <v>1108</v>
      </c>
      <c r="C456" s="21" t="s">
        <v>1109</v>
      </c>
      <c r="D456" s="47" t="s">
        <v>1110</v>
      </c>
      <c r="E456" s="21" t="s">
        <v>41</v>
      </c>
      <c r="F456" s="47" t="s">
        <v>32</v>
      </c>
      <c r="G456" s="21" t="s">
        <v>1131</v>
      </c>
      <c r="H456" s="7" t="s">
        <v>1132</v>
      </c>
      <c r="I456" s="8" t="s">
        <v>1170</v>
      </c>
      <c r="J456" s="9">
        <v>3867000</v>
      </c>
      <c r="K456" s="8"/>
      <c r="L456" s="42">
        <f t="shared" si="153"/>
        <v>5800500</v>
      </c>
      <c r="M456" s="8"/>
      <c r="N456" s="42">
        <f t="shared" si="154"/>
        <v>5800500</v>
      </c>
      <c r="O456" s="42"/>
      <c r="P456" s="42">
        <f t="shared" ref="P456:P460" si="156">N456</f>
        <v>5800500</v>
      </c>
      <c r="Q456" s="42">
        <f t="shared" si="150"/>
        <v>5800500</v>
      </c>
      <c r="R456" s="5"/>
    </row>
    <row r="457" spans="1:18" ht="13.5" x14ac:dyDescent="0.2">
      <c r="A457" s="47" t="s">
        <v>23</v>
      </c>
      <c r="B457" s="47" t="s">
        <v>1108</v>
      </c>
      <c r="C457" s="21" t="s">
        <v>1109</v>
      </c>
      <c r="D457" s="47" t="s">
        <v>1110</v>
      </c>
      <c r="E457" s="21" t="s">
        <v>41</v>
      </c>
      <c r="F457" s="47" t="s">
        <v>32</v>
      </c>
      <c r="G457" s="21" t="s">
        <v>1131</v>
      </c>
      <c r="H457" s="7" t="s">
        <v>1132</v>
      </c>
      <c r="I457" s="8" t="s">
        <v>1174</v>
      </c>
      <c r="J457" s="9">
        <v>1780000</v>
      </c>
      <c r="K457" s="8"/>
      <c r="L457" s="42">
        <f t="shared" si="153"/>
        <v>2670000</v>
      </c>
      <c r="M457" s="8"/>
      <c r="N457" s="42">
        <f t="shared" si="154"/>
        <v>2670000</v>
      </c>
      <c r="O457" s="42"/>
      <c r="P457" s="42">
        <f t="shared" si="156"/>
        <v>2670000</v>
      </c>
      <c r="Q457" s="42">
        <f t="shared" si="150"/>
        <v>2670000</v>
      </c>
      <c r="R457" s="5"/>
    </row>
    <row r="458" spans="1:18" ht="13.5" x14ac:dyDescent="0.2">
      <c r="A458" s="47" t="s">
        <v>23</v>
      </c>
      <c r="B458" s="47" t="s">
        <v>1108</v>
      </c>
      <c r="C458" s="21" t="s">
        <v>1109</v>
      </c>
      <c r="D458" s="47" t="s">
        <v>1110</v>
      </c>
      <c r="E458" s="21" t="s">
        <v>41</v>
      </c>
      <c r="F458" s="47" t="s">
        <v>32</v>
      </c>
      <c r="G458" s="21" t="s">
        <v>1198</v>
      </c>
      <c r="H458" s="7" t="s">
        <v>1199</v>
      </c>
      <c r="I458" s="8" t="s">
        <v>1210</v>
      </c>
      <c r="J458" s="9">
        <v>1698000</v>
      </c>
      <c r="K458" s="8"/>
      <c r="L458" s="42">
        <f t="shared" si="153"/>
        <v>2547000</v>
      </c>
      <c r="M458" s="8"/>
      <c r="N458" s="42">
        <f t="shared" si="154"/>
        <v>2547000</v>
      </c>
      <c r="O458" s="42"/>
      <c r="P458" s="42">
        <f t="shared" si="156"/>
        <v>2547000</v>
      </c>
      <c r="Q458" s="42">
        <f t="shared" si="150"/>
        <v>2547000</v>
      </c>
      <c r="R458" s="5"/>
    </row>
    <row r="459" spans="1:18" ht="13.5" x14ac:dyDescent="0.2">
      <c r="A459" s="47" t="s">
        <v>23</v>
      </c>
      <c r="B459" s="47" t="s">
        <v>1108</v>
      </c>
      <c r="C459" s="21" t="s">
        <v>1109</v>
      </c>
      <c r="D459" s="47" t="s">
        <v>1110</v>
      </c>
      <c r="E459" s="21" t="s">
        <v>41</v>
      </c>
      <c r="F459" s="47" t="s">
        <v>32</v>
      </c>
      <c r="G459" s="21" t="s">
        <v>1198</v>
      </c>
      <c r="H459" s="7" t="s">
        <v>1199</v>
      </c>
      <c r="I459" s="8" t="s">
        <v>1232</v>
      </c>
      <c r="J459" s="9">
        <v>11378100</v>
      </c>
      <c r="K459" s="8"/>
      <c r="L459" s="42">
        <f t="shared" si="153"/>
        <v>17067150</v>
      </c>
      <c r="M459" s="8"/>
      <c r="N459" s="42">
        <f t="shared" si="154"/>
        <v>17067150</v>
      </c>
      <c r="O459" s="42"/>
      <c r="P459" s="42">
        <f t="shared" si="156"/>
        <v>17067150</v>
      </c>
      <c r="Q459" s="42">
        <f t="shared" si="150"/>
        <v>17067150</v>
      </c>
      <c r="R459" s="5"/>
    </row>
    <row r="460" spans="1:18" ht="13.5" x14ac:dyDescent="0.2">
      <c r="A460" s="47" t="s">
        <v>23</v>
      </c>
      <c r="B460" s="47" t="s">
        <v>1108</v>
      </c>
      <c r="C460" s="21" t="s">
        <v>1109</v>
      </c>
      <c r="D460" s="47" t="s">
        <v>1110</v>
      </c>
      <c r="E460" s="21" t="s">
        <v>41</v>
      </c>
      <c r="F460" s="47" t="s">
        <v>32</v>
      </c>
      <c r="G460" s="21" t="s">
        <v>1198</v>
      </c>
      <c r="H460" s="7" t="s">
        <v>1199</v>
      </c>
      <c r="I460" s="8" t="s">
        <v>1216</v>
      </c>
      <c r="J460" s="9">
        <v>4472000</v>
      </c>
      <c r="K460" s="8"/>
      <c r="L460" s="42">
        <f t="shared" si="153"/>
        <v>6708000</v>
      </c>
      <c r="M460" s="8"/>
      <c r="N460" s="42">
        <f t="shared" si="154"/>
        <v>6708000</v>
      </c>
      <c r="O460" s="42"/>
      <c r="P460" s="42">
        <f t="shared" si="156"/>
        <v>6708000</v>
      </c>
      <c r="Q460" s="42">
        <f t="shared" si="150"/>
        <v>6708000</v>
      </c>
      <c r="R460" s="5"/>
    </row>
    <row r="461" spans="1:18" ht="13.5" x14ac:dyDescent="0.2">
      <c r="A461" s="47" t="s">
        <v>23</v>
      </c>
      <c r="B461" s="47" t="s">
        <v>1108</v>
      </c>
      <c r="C461" s="21" t="s">
        <v>1109</v>
      </c>
      <c r="D461" s="47" t="s">
        <v>1110</v>
      </c>
      <c r="E461" s="21" t="s">
        <v>41</v>
      </c>
      <c r="F461" s="47" t="s">
        <v>32</v>
      </c>
      <c r="G461" s="21" t="s">
        <v>1198</v>
      </c>
      <c r="H461" s="7" t="s">
        <v>1199</v>
      </c>
      <c r="I461" s="8" t="s">
        <v>1226</v>
      </c>
      <c r="J461" s="9">
        <v>5128000</v>
      </c>
      <c r="K461" s="8"/>
      <c r="L461" s="42">
        <f t="shared" si="153"/>
        <v>7692000</v>
      </c>
      <c r="M461" s="8"/>
      <c r="N461" s="42">
        <f t="shared" si="154"/>
        <v>7692000</v>
      </c>
      <c r="O461" s="42">
        <f>N461*1.5</f>
        <v>11538000</v>
      </c>
      <c r="P461" s="42"/>
      <c r="Q461" s="42">
        <f t="shared" si="150"/>
        <v>11538000</v>
      </c>
    </row>
    <row r="462" spans="1:18" ht="13.5" x14ac:dyDescent="0.2">
      <c r="A462" s="47" t="s">
        <v>23</v>
      </c>
      <c r="B462" s="47" t="s">
        <v>1108</v>
      </c>
      <c r="C462" s="21" t="s">
        <v>1109</v>
      </c>
      <c r="D462" s="47" t="s">
        <v>1110</v>
      </c>
      <c r="E462" s="21" t="s">
        <v>41</v>
      </c>
      <c r="F462" s="47" t="s">
        <v>32</v>
      </c>
      <c r="G462" s="21" t="s">
        <v>1198</v>
      </c>
      <c r="H462" s="7" t="s">
        <v>1199</v>
      </c>
      <c r="I462" s="8" t="s">
        <v>1206</v>
      </c>
      <c r="J462" s="9">
        <v>2819800</v>
      </c>
      <c r="K462" s="8"/>
      <c r="L462" s="42">
        <f t="shared" si="153"/>
        <v>4229700</v>
      </c>
      <c r="M462" s="8"/>
      <c r="N462" s="42">
        <f t="shared" si="154"/>
        <v>4229700</v>
      </c>
      <c r="O462" s="42"/>
      <c r="P462" s="42">
        <f t="shared" ref="P462:P463" si="157">N462</f>
        <v>4229700</v>
      </c>
      <c r="Q462" s="42">
        <f t="shared" si="150"/>
        <v>4229700</v>
      </c>
      <c r="R462" s="5"/>
    </row>
    <row r="463" spans="1:18" ht="13.5" x14ac:dyDescent="0.2">
      <c r="A463" s="47" t="s">
        <v>23</v>
      </c>
      <c r="B463" s="47" t="s">
        <v>1108</v>
      </c>
      <c r="C463" s="21" t="s">
        <v>1109</v>
      </c>
      <c r="D463" s="47" t="s">
        <v>1110</v>
      </c>
      <c r="E463" s="21" t="s">
        <v>41</v>
      </c>
      <c r="F463" s="47" t="s">
        <v>32</v>
      </c>
      <c r="G463" s="21" t="s">
        <v>1198</v>
      </c>
      <c r="H463" s="7" t="s">
        <v>1199</v>
      </c>
      <c r="I463" s="8" t="s">
        <v>1230</v>
      </c>
      <c r="J463" s="9">
        <v>10026600</v>
      </c>
      <c r="K463" s="8"/>
      <c r="L463" s="42">
        <f t="shared" si="153"/>
        <v>15039900</v>
      </c>
      <c r="M463" s="8"/>
      <c r="N463" s="42">
        <f t="shared" si="154"/>
        <v>15039900</v>
      </c>
      <c r="O463" s="42"/>
      <c r="P463" s="42">
        <f t="shared" si="157"/>
        <v>15039900</v>
      </c>
      <c r="Q463" s="42">
        <f t="shared" si="150"/>
        <v>15039900</v>
      </c>
      <c r="R463" s="5"/>
    </row>
    <row r="464" spans="1:18" ht="13.5" x14ac:dyDescent="0.2">
      <c r="A464" s="47" t="s">
        <v>23</v>
      </c>
      <c r="B464" s="47" t="s">
        <v>1108</v>
      </c>
      <c r="C464" s="21" t="s">
        <v>1109</v>
      </c>
      <c r="D464" s="47" t="s">
        <v>1110</v>
      </c>
      <c r="E464" s="21" t="s">
        <v>41</v>
      </c>
      <c r="F464" s="47" t="s">
        <v>32</v>
      </c>
      <c r="G464" s="21" t="s">
        <v>1198</v>
      </c>
      <c r="H464" s="7" t="s">
        <v>1199</v>
      </c>
      <c r="I464" s="8" t="s">
        <v>1224</v>
      </c>
      <c r="J464" s="9">
        <v>4469400</v>
      </c>
      <c r="K464" s="8"/>
      <c r="L464" s="42">
        <f t="shared" si="153"/>
        <v>6704100</v>
      </c>
      <c r="M464" s="8"/>
      <c r="N464" s="42">
        <f t="shared" si="154"/>
        <v>6704100</v>
      </c>
      <c r="O464" s="42">
        <f t="shared" ref="O464:O465" si="158">N464*1.5</f>
        <v>10056150</v>
      </c>
      <c r="P464" s="42"/>
      <c r="Q464" s="42">
        <f t="shared" si="150"/>
        <v>10056150</v>
      </c>
    </row>
    <row r="465" spans="1:18" ht="13.5" x14ac:dyDescent="0.2">
      <c r="A465" s="47" t="s">
        <v>23</v>
      </c>
      <c r="B465" s="47" t="s">
        <v>1108</v>
      </c>
      <c r="C465" s="21" t="s">
        <v>1109</v>
      </c>
      <c r="D465" s="47" t="s">
        <v>1110</v>
      </c>
      <c r="E465" s="21" t="s">
        <v>41</v>
      </c>
      <c r="F465" s="47" t="s">
        <v>32</v>
      </c>
      <c r="G465" s="21" t="s">
        <v>1198</v>
      </c>
      <c r="H465" s="7" t="s">
        <v>1199</v>
      </c>
      <c r="I465" s="8" t="s">
        <v>1222</v>
      </c>
      <c r="J465" s="9">
        <v>3598000</v>
      </c>
      <c r="K465" s="8"/>
      <c r="L465" s="42">
        <f t="shared" si="153"/>
        <v>5397000</v>
      </c>
      <c r="M465" s="8"/>
      <c r="N465" s="42">
        <f t="shared" si="154"/>
        <v>5397000</v>
      </c>
      <c r="O465" s="42">
        <f t="shared" si="158"/>
        <v>8095500</v>
      </c>
      <c r="P465" s="42"/>
      <c r="Q465" s="42">
        <f t="shared" si="150"/>
        <v>8095500</v>
      </c>
    </row>
    <row r="466" spans="1:18" ht="13.5" x14ac:dyDescent="0.2">
      <c r="A466" s="47" t="s">
        <v>23</v>
      </c>
      <c r="B466" s="47" t="s">
        <v>1108</v>
      </c>
      <c r="C466" s="21" t="s">
        <v>1109</v>
      </c>
      <c r="D466" s="47" t="s">
        <v>1110</v>
      </c>
      <c r="E466" s="21" t="s">
        <v>41</v>
      </c>
      <c r="F466" s="47" t="s">
        <v>32</v>
      </c>
      <c r="G466" s="21" t="s">
        <v>1198</v>
      </c>
      <c r="H466" s="7" t="s">
        <v>1199</v>
      </c>
      <c r="I466" s="8" t="s">
        <v>1218</v>
      </c>
      <c r="J466" s="9">
        <v>6759200</v>
      </c>
      <c r="K466" s="8"/>
      <c r="L466" s="42">
        <f t="shared" si="153"/>
        <v>10138800</v>
      </c>
      <c r="M466" s="8"/>
      <c r="N466" s="42">
        <f t="shared" si="154"/>
        <v>10138800</v>
      </c>
      <c r="O466" s="42"/>
      <c r="P466" s="42">
        <f>N466</f>
        <v>10138800</v>
      </c>
      <c r="Q466" s="42">
        <f t="shared" si="150"/>
        <v>10138800</v>
      </c>
      <c r="R466" s="5"/>
    </row>
    <row r="467" spans="1:18" ht="13.5" hidden="1" x14ac:dyDescent="0.2">
      <c r="A467" s="12" t="s">
        <v>23</v>
      </c>
      <c r="B467" s="12" t="s">
        <v>1108</v>
      </c>
      <c r="C467" s="13" t="s">
        <v>1109</v>
      </c>
      <c r="D467" s="12" t="s">
        <v>1110</v>
      </c>
      <c r="E467" s="13" t="s">
        <v>41</v>
      </c>
      <c r="F467" s="12" t="s">
        <v>181</v>
      </c>
      <c r="G467" s="13" t="s">
        <v>1131</v>
      </c>
      <c r="H467" s="12" t="s">
        <v>1132</v>
      </c>
      <c r="I467" s="13" t="s">
        <v>1164</v>
      </c>
      <c r="J467" s="14" t="s">
        <v>3946</v>
      </c>
      <c r="K467" s="18"/>
      <c r="L467" s="20"/>
      <c r="M467" s="18"/>
      <c r="N467" s="20" t="str">
        <f t="shared" ref="N467:N510" si="159">J467</f>
        <v>-</v>
      </c>
      <c r="O467"/>
      <c r="P467"/>
    </row>
    <row r="468" spans="1:18" ht="13.5" hidden="1" x14ac:dyDescent="0.2">
      <c r="A468" s="7" t="s">
        <v>23</v>
      </c>
      <c r="B468" s="7" t="s">
        <v>1108</v>
      </c>
      <c r="C468" s="8" t="s">
        <v>1109</v>
      </c>
      <c r="D468" s="7" t="s">
        <v>1110</v>
      </c>
      <c r="E468" s="8" t="s">
        <v>233</v>
      </c>
      <c r="F468" s="7" t="s">
        <v>181</v>
      </c>
      <c r="G468" s="8" t="s">
        <v>1131</v>
      </c>
      <c r="H468" s="7" t="s">
        <v>1132</v>
      </c>
      <c r="I468" s="8" t="s">
        <v>1190</v>
      </c>
      <c r="J468" s="9" t="s">
        <v>3946</v>
      </c>
      <c r="K468" s="15"/>
      <c r="L468" s="15"/>
      <c r="M468" s="15"/>
      <c r="N468" s="16" t="str">
        <f t="shared" si="159"/>
        <v>-</v>
      </c>
      <c r="O468"/>
      <c r="P468"/>
    </row>
    <row r="469" spans="1:18" ht="13.5" x14ac:dyDescent="0.2">
      <c r="A469" s="47" t="s">
        <v>23</v>
      </c>
      <c r="B469" s="47" t="s">
        <v>1108</v>
      </c>
      <c r="C469" s="21" t="s">
        <v>1109</v>
      </c>
      <c r="D469" s="47" t="s">
        <v>1110</v>
      </c>
      <c r="E469" s="21" t="s">
        <v>356</v>
      </c>
      <c r="F469" s="47" t="s">
        <v>357</v>
      </c>
      <c r="G469" s="21" t="s">
        <v>1192</v>
      </c>
      <c r="H469" s="7" t="s">
        <v>1193</v>
      </c>
      <c r="I469" s="8" t="s">
        <v>1196</v>
      </c>
      <c r="J469" s="9">
        <v>5914000</v>
      </c>
      <c r="K469" s="8"/>
      <c r="L469" s="8"/>
      <c r="M469" s="8"/>
      <c r="N469" s="42">
        <f t="shared" si="159"/>
        <v>5914000</v>
      </c>
      <c r="O469" s="42">
        <f>N469*1.5</f>
        <v>8871000</v>
      </c>
      <c r="P469" s="42"/>
      <c r="Q469" s="42">
        <f t="shared" ref="Q469:Q470" si="160">SUM(O469:P469)</f>
        <v>8871000</v>
      </c>
    </row>
    <row r="470" spans="1:18" ht="13.5" x14ac:dyDescent="0.2">
      <c r="A470" s="47" t="s">
        <v>23</v>
      </c>
      <c r="B470" s="47" t="s">
        <v>1108</v>
      </c>
      <c r="C470" s="21" t="s">
        <v>1109</v>
      </c>
      <c r="D470" s="47" t="s">
        <v>1234</v>
      </c>
      <c r="E470" s="21" t="s">
        <v>211</v>
      </c>
      <c r="F470" s="47" t="s">
        <v>212</v>
      </c>
      <c r="G470" s="21" t="s">
        <v>1279</v>
      </c>
      <c r="H470" s="7" t="s">
        <v>1280</v>
      </c>
      <c r="I470" s="8" t="s">
        <v>1281</v>
      </c>
      <c r="J470" s="9">
        <v>2454000</v>
      </c>
      <c r="K470" s="8"/>
      <c r="L470" s="8"/>
      <c r="M470" s="8"/>
      <c r="N470" s="42">
        <f t="shared" si="159"/>
        <v>2454000</v>
      </c>
      <c r="O470" s="42"/>
      <c r="P470" s="42">
        <f>N470</f>
        <v>2454000</v>
      </c>
      <c r="Q470" s="42">
        <f t="shared" si="160"/>
        <v>2454000</v>
      </c>
      <c r="R470" s="5"/>
    </row>
    <row r="471" spans="1:18" ht="13.5" hidden="1" x14ac:dyDescent="0.2">
      <c r="A471" s="12" t="s">
        <v>23</v>
      </c>
      <c r="B471" s="12" t="s">
        <v>1108</v>
      </c>
      <c r="C471" s="13" t="s">
        <v>1109</v>
      </c>
      <c r="D471" s="12" t="s">
        <v>1234</v>
      </c>
      <c r="E471" s="13" t="s">
        <v>211</v>
      </c>
      <c r="F471" s="12" t="s">
        <v>181</v>
      </c>
      <c r="G471" s="13" t="s">
        <v>1305</v>
      </c>
      <c r="H471" s="12" t="s">
        <v>1306</v>
      </c>
      <c r="I471" s="13" t="s">
        <v>1321</v>
      </c>
      <c r="J471" s="14" t="s">
        <v>3946</v>
      </c>
      <c r="K471" s="18"/>
      <c r="L471" s="18"/>
      <c r="M471" s="18"/>
      <c r="N471" s="20" t="str">
        <f t="shared" si="159"/>
        <v>-</v>
      </c>
      <c r="O471"/>
      <c r="P471"/>
    </row>
    <row r="472" spans="1:18" ht="13.5" hidden="1" x14ac:dyDescent="0.2">
      <c r="A472" s="7" t="s">
        <v>23</v>
      </c>
      <c r="B472" s="7" t="s">
        <v>1108</v>
      </c>
      <c r="C472" s="8" t="s">
        <v>1109</v>
      </c>
      <c r="D472" s="7" t="s">
        <v>1234</v>
      </c>
      <c r="E472" s="8" t="s">
        <v>211</v>
      </c>
      <c r="F472" s="7" t="s">
        <v>181</v>
      </c>
      <c r="G472" s="8" t="s">
        <v>1305</v>
      </c>
      <c r="H472" s="7" t="s">
        <v>1306</v>
      </c>
      <c r="I472" s="8" t="s">
        <v>1315</v>
      </c>
      <c r="J472" s="9" t="s">
        <v>3946</v>
      </c>
      <c r="K472" s="15"/>
      <c r="L472" s="15"/>
      <c r="M472" s="15"/>
      <c r="N472" s="16" t="str">
        <f t="shared" si="159"/>
        <v>-</v>
      </c>
      <c r="O472"/>
      <c r="P472"/>
    </row>
    <row r="473" spans="1:18" ht="13.5" hidden="1" x14ac:dyDescent="0.2">
      <c r="A473" s="7" t="s">
        <v>23</v>
      </c>
      <c r="B473" s="7" t="s">
        <v>1108</v>
      </c>
      <c r="C473" s="8" t="s">
        <v>1109</v>
      </c>
      <c r="D473" s="7" t="s">
        <v>1234</v>
      </c>
      <c r="E473" s="8" t="s">
        <v>211</v>
      </c>
      <c r="F473" s="7" t="s">
        <v>181</v>
      </c>
      <c r="G473" s="8" t="s">
        <v>1305</v>
      </c>
      <c r="H473" s="7" t="s">
        <v>1306</v>
      </c>
      <c r="I473" s="8" t="s">
        <v>1309</v>
      </c>
      <c r="J473" s="9" t="s">
        <v>3946</v>
      </c>
      <c r="K473" s="15"/>
      <c r="L473" s="15"/>
      <c r="M473" s="15"/>
      <c r="N473" s="16" t="str">
        <f t="shared" si="159"/>
        <v>-</v>
      </c>
      <c r="O473"/>
      <c r="P473"/>
    </row>
    <row r="474" spans="1:18" ht="13.5" x14ac:dyDescent="0.2">
      <c r="A474" s="47" t="s">
        <v>23</v>
      </c>
      <c r="B474" s="47" t="s">
        <v>1108</v>
      </c>
      <c r="C474" s="21" t="s">
        <v>1109</v>
      </c>
      <c r="D474" s="47" t="s">
        <v>1234</v>
      </c>
      <c r="E474" s="21" t="s">
        <v>128</v>
      </c>
      <c r="F474" s="47" t="s">
        <v>135</v>
      </c>
      <c r="G474" s="21" t="s">
        <v>1346</v>
      </c>
      <c r="H474" s="7" t="s">
        <v>1347</v>
      </c>
      <c r="I474" s="8" t="s">
        <v>1362</v>
      </c>
      <c r="J474" s="9">
        <v>871800</v>
      </c>
      <c r="K474" s="8"/>
      <c r="L474" s="8"/>
      <c r="M474" s="8"/>
      <c r="N474" s="42">
        <f t="shared" si="159"/>
        <v>871800</v>
      </c>
      <c r="O474" s="42"/>
      <c r="P474" s="42">
        <f>N474</f>
        <v>871800</v>
      </c>
      <c r="Q474" s="42">
        <f>SUM(O474:P474)</f>
        <v>871800</v>
      </c>
      <c r="R474" s="5"/>
    </row>
    <row r="475" spans="1:18" ht="13.5" hidden="1" x14ac:dyDescent="0.2">
      <c r="A475" s="12" t="s">
        <v>23</v>
      </c>
      <c r="B475" s="12" t="s">
        <v>1108</v>
      </c>
      <c r="C475" s="13" t="s">
        <v>1109</v>
      </c>
      <c r="D475" s="12" t="s">
        <v>1234</v>
      </c>
      <c r="E475" s="13" t="s">
        <v>128</v>
      </c>
      <c r="F475" s="12" t="s">
        <v>181</v>
      </c>
      <c r="G475" s="13" t="s">
        <v>1291</v>
      </c>
      <c r="H475" s="12" t="s">
        <v>1292</v>
      </c>
      <c r="I475" s="13" t="s">
        <v>1293</v>
      </c>
      <c r="J475" s="14" t="s">
        <v>3946</v>
      </c>
      <c r="K475" s="18"/>
      <c r="L475" s="18"/>
      <c r="M475" s="18"/>
      <c r="N475" s="20" t="str">
        <f t="shared" si="159"/>
        <v>-</v>
      </c>
      <c r="O475"/>
      <c r="P475"/>
    </row>
    <row r="476" spans="1:18" ht="13.5" hidden="1" x14ac:dyDescent="0.2">
      <c r="A476" s="7" t="s">
        <v>23</v>
      </c>
      <c r="B476" s="7" t="s">
        <v>1108</v>
      </c>
      <c r="C476" s="8" t="s">
        <v>1109</v>
      </c>
      <c r="D476" s="7" t="s">
        <v>1234</v>
      </c>
      <c r="E476" s="8" t="s">
        <v>128</v>
      </c>
      <c r="F476" s="7" t="s">
        <v>181</v>
      </c>
      <c r="G476" s="8" t="s">
        <v>1346</v>
      </c>
      <c r="H476" s="7" t="s">
        <v>1347</v>
      </c>
      <c r="I476" s="8" t="s">
        <v>1376</v>
      </c>
      <c r="J476" s="9" t="s">
        <v>3946</v>
      </c>
      <c r="K476" s="15"/>
      <c r="L476" s="15"/>
      <c r="M476" s="15"/>
      <c r="N476" s="16" t="str">
        <f t="shared" si="159"/>
        <v>-</v>
      </c>
      <c r="O476"/>
      <c r="P476"/>
    </row>
    <row r="477" spans="1:18" ht="13.5" hidden="1" x14ac:dyDescent="0.2">
      <c r="A477" s="7" t="s">
        <v>23</v>
      </c>
      <c r="B477" s="7" t="s">
        <v>1108</v>
      </c>
      <c r="C477" s="8" t="s">
        <v>1109</v>
      </c>
      <c r="D477" s="7" t="s">
        <v>1234</v>
      </c>
      <c r="E477" s="8" t="s">
        <v>128</v>
      </c>
      <c r="F477" s="7" t="s">
        <v>181</v>
      </c>
      <c r="G477" s="8" t="s">
        <v>1385</v>
      </c>
      <c r="H477" s="7" t="s">
        <v>1386</v>
      </c>
      <c r="I477" s="8" t="s">
        <v>1393</v>
      </c>
      <c r="J477" s="9" t="s">
        <v>3946</v>
      </c>
      <c r="K477" s="15"/>
      <c r="L477" s="15"/>
      <c r="M477" s="15"/>
      <c r="N477" s="16" t="str">
        <f t="shared" si="159"/>
        <v>-</v>
      </c>
      <c r="O477"/>
      <c r="P477"/>
    </row>
    <row r="478" spans="1:18" ht="13.5" x14ac:dyDescent="0.2">
      <c r="A478" s="47" t="s">
        <v>23</v>
      </c>
      <c r="B478" s="47" t="s">
        <v>1108</v>
      </c>
      <c r="C478" s="21" t="s">
        <v>1109</v>
      </c>
      <c r="D478" s="47" t="s">
        <v>1234</v>
      </c>
      <c r="E478" s="21" t="s">
        <v>31</v>
      </c>
      <c r="F478" s="47" t="s">
        <v>32</v>
      </c>
      <c r="G478" s="21" t="s">
        <v>1235</v>
      </c>
      <c r="H478" s="7" t="s">
        <v>1236</v>
      </c>
      <c r="I478" s="8" t="s">
        <v>1268</v>
      </c>
      <c r="J478" s="9">
        <v>404400</v>
      </c>
      <c r="K478" s="8"/>
      <c r="L478" s="8"/>
      <c r="M478" s="8"/>
      <c r="N478" s="42">
        <f t="shared" si="159"/>
        <v>404400</v>
      </c>
      <c r="O478" s="42"/>
      <c r="P478" s="42">
        <f>N478</f>
        <v>404400</v>
      </c>
      <c r="Q478" s="42">
        <f t="shared" ref="Q478:Q509" si="161">SUM(O478:P478)</f>
        <v>404400</v>
      </c>
      <c r="R478" s="5"/>
    </row>
    <row r="479" spans="1:18" ht="13.5" x14ac:dyDescent="0.2">
      <c r="A479" s="47" t="s">
        <v>23</v>
      </c>
      <c r="B479" s="47" t="s">
        <v>1108</v>
      </c>
      <c r="C479" s="21" t="s">
        <v>1109</v>
      </c>
      <c r="D479" s="47" t="s">
        <v>1234</v>
      </c>
      <c r="E479" s="21" t="s">
        <v>31</v>
      </c>
      <c r="F479" s="47" t="s">
        <v>32</v>
      </c>
      <c r="G479" s="21" t="s">
        <v>1235</v>
      </c>
      <c r="H479" s="7" t="s">
        <v>1236</v>
      </c>
      <c r="I479" s="8" t="s">
        <v>1266</v>
      </c>
      <c r="J479" s="9">
        <v>6900800</v>
      </c>
      <c r="K479" s="8"/>
      <c r="L479" s="8"/>
      <c r="M479" s="8"/>
      <c r="N479" s="42">
        <f t="shared" si="159"/>
        <v>6900800</v>
      </c>
      <c r="O479" s="42">
        <f>N479*1.5</f>
        <v>10351200</v>
      </c>
      <c r="P479" s="42"/>
      <c r="Q479" s="42">
        <f t="shared" si="161"/>
        <v>10351200</v>
      </c>
    </row>
    <row r="480" spans="1:18" ht="13.5" x14ac:dyDescent="0.2">
      <c r="A480" s="47" t="s">
        <v>23</v>
      </c>
      <c r="B480" s="47" t="s">
        <v>1108</v>
      </c>
      <c r="C480" s="21" t="s">
        <v>1109</v>
      </c>
      <c r="D480" s="47" t="s">
        <v>1234</v>
      </c>
      <c r="E480" s="21" t="s">
        <v>31</v>
      </c>
      <c r="F480" s="47" t="s">
        <v>32</v>
      </c>
      <c r="G480" s="21" t="s">
        <v>1235</v>
      </c>
      <c r="H480" s="7" t="s">
        <v>1236</v>
      </c>
      <c r="I480" s="8" t="s">
        <v>1256</v>
      </c>
      <c r="J480" s="9">
        <v>8098400</v>
      </c>
      <c r="K480" s="8"/>
      <c r="L480" s="8"/>
      <c r="M480" s="8"/>
      <c r="N480" s="42">
        <f t="shared" si="159"/>
        <v>8098400</v>
      </c>
      <c r="O480" s="42"/>
      <c r="P480" s="42">
        <f t="shared" ref="P480:P483" si="162">N480</f>
        <v>8098400</v>
      </c>
      <c r="Q480" s="42">
        <f t="shared" si="161"/>
        <v>8098400</v>
      </c>
      <c r="R480" s="5"/>
    </row>
    <row r="481" spans="1:18" ht="13.5" x14ac:dyDescent="0.2">
      <c r="A481" s="47" t="s">
        <v>23</v>
      </c>
      <c r="B481" s="47" t="s">
        <v>1108</v>
      </c>
      <c r="C481" s="21" t="s">
        <v>1109</v>
      </c>
      <c r="D481" s="47" t="s">
        <v>1234</v>
      </c>
      <c r="E481" s="21" t="s">
        <v>31</v>
      </c>
      <c r="F481" s="47" t="s">
        <v>32</v>
      </c>
      <c r="G481" s="21" t="s">
        <v>1235</v>
      </c>
      <c r="H481" s="7" t="s">
        <v>1236</v>
      </c>
      <c r="I481" s="8" t="s">
        <v>1272</v>
      </c>
      <c r="J481" s="9">
        <v>6017400</v>
      </c>
      <c r="K481" s="8"/>
      <c r="L481" s="8"/>
      <c r="M481" s="8"/>
      <c r="N481" s="42">
        <f t="shared" si="159"/>
        <v>6017400</v>
      </c>
      <c r="O481" s="42"/>
      <c r="P481" s="42">
        <f t="shared" si="162"/>
        <v>6017400</v>
      </c>
      <c r="Q481" s="42">
        <f t="shared" si="161"/>
        <v>6017400</v>
      </c>
      <c r="R481" s="5"/>
    </row>
    <row r="482" spans="1:18" ht="13.5" x14ac:dyDescent="0.2">
      <c r="A482" s="47" t="s">
        <v>23</v>
      </c>
      <c r="B482" s="47" t="s">
        <v>1108</v>
      </c>
      <c r="C482" s="21" t="s">
        <v>1109</v>
      </c>
      <c r="D482" s="47" t="s">
        <v>1234</v>
      </c>
      <c r="E482" s="21" t="s">
        <v>31</v>
      </c>
      <c r="F482" s="47" t="s">
        <v>32</v>
      </c>
      <c r="G482" s="21" t="s">
        <v>1235</v>
      </c>
      <c r="H482" s="7" t="s">
        <v>1236</v>
      </c>
      <c r="I482" s="8" t="s">
        <v>1270</v>
      </c>
      <c r="J482" s="9">
        <v>2393100</v>
      </c>
      <c r="K482" s="8"/>
      <c r="L482" s="8"/>
      <c r="M482" s="8"/>
      <c r="N482" s="42">
        <f t="shared" si="159"/>
        <v>2393100</v>
      </c>
      <c r="O482" s="42"/>
      <c r="P482" s="42">
        <f t="shared" si="162"/>
        <v>2393100</v>
      </c>
      <c r="Q482" s="42">
        <f t="shared" si="161"/>
        <v>2393100</v>
      </c>
      <c r="R482" s="5"/>
    </row>
    <row r="483" spans="1:18" ht="13.5" x14ac:dyDescent="0.2">
      <c r="A483" s="47" t="s">
        <v>23</v>
      </c>
      <c r="B483" s="47" t="s">
        <v>1108</v>
      </c>
      <c r="C483" s="21" t="s">
        <v>1109</v>
      </c>
      <c r="D483" s="47" t="s">
        <v>1234</v>
      </c>
      <c r="E483" s="21" t="s">
        <v>31</v>
      </c>
      <c r="F483" s="47" t="s">
        <v>32</v>
      </c>
      <c r="G483" s="21" t="s">
        <v>1235</v>
      </c>
      <c r="H483" s="7" t="s">
        <v>1236</v>
      </c>
      <c r="I483" s="8" t="s">
        <v>1262</v>
      </c>
      <c r="J483" s="9">
        <v>2499800</v>
      </c>
      <c r="K483" s="8"/>
      <c r="L483" s="8"/>
      <c r="M483" s="8"/>
      <c r="N483" s="42">
        <f t="shared" si="159"/>
        <v>2499800</v>
      </c>
      <c r="O483" s="42"/>
      <c r="P483" s="42">
        <f t="shared" si="162"/>
        <v>2499800</v>
      </c>
      <c r="Q483" s="42">
        <f t="shared" si="161"/>
        <v>2499800</v>
      </c>
      <c r="R483" s="5"/>
    </row>
    <row r="484" spans="1:18" ht="13.5" x14ac:dyDescent="0.2">
      <c r="A484" s="47" t="s">
        <v>23</v>
      </c>
      <c r="B484" s="47" t="s">
        <v>1108</v>
      </c>
      <c r="C484" s="21" t="s">
        <v>1109</v>
      </c>
      <c r="D484" s="47" t="s">
        <v>1234</v>
      </c>
      <c r="E484" s="21" t="s">
        <v>31</v>
      </c>
      <c r="F484" s="47" t="s">
        <v>32</v>
      </c>
      <c r="G484" s="21" t="s">
        <v>1235</v>
      </c>
      <c r="H484" s="7" t="s">
        <v>1236</v>
      </c>
      <c r="I484" s="8" t="s">
        <v>120</v>
      </c>
      <c r="J484" s="9">
        <v>2999700</v>
      </c>
      <c r="K484" s="8"/>
      <c r="L484" s="8"/>
      <c r="M484" s="8"/>
      <c r="N484" s="42">
        <f t="shared" si="159"/>
        <v>2999700</v>
      </c>
      <c r="O484" s="42">
        <f>N484*1.5</f>
        <v>4499550</v>
      </c>
      <c r="P484" s="42"/>
      <c r="Q484" s="42">
        <f t="shared" si="161"/>
        <v>4499550</v>
      </c>
    </row>
    <row r="485" spans="1:18" ht="13.5" x14ac:dyDescent="0.2">
      <c r="A485" s="47" t="s">
        <v>23</v>
      </c>
      <c r="B485" s="47" t="s">
        <v>1108</v>
      </c>
      <c r="C485" s="21" t="s">
        <v>1109</v>
      </c>
      <c r="D485" s="47" t="s">
        <v>1234</v>
      </c>
      <c r="E485" s="21" t="s">
        <v>31</v>
      </c>
      <c r="F485" s="47" t="s">
        <v>32</v>
      </c>
      <c r="G485" s="21" t="s">
        <v>1235</v>
      </c>
      <c r="H485" s="7" t="s">
        <v>1236</v>
      </c>
      <c r="I485" s="8" t="s">
        <v>1247</v>
      </c>
      <c r="J485" s="9">
        <v>1999800</v>
      </c>
      <c r="K485" s="8"/>
      <c r="L485" s="8"/>
      <c r="M485" s="8"/>
      <c r="N485" s="42">
        <f t="shared" si="159"/>
        <v>1999800</v>
      </c>
      <c r="O485" s="42"/>
      <c r="P485" s="42">
        <f>N485</f>
        <v>1999800</v>
      </c>
      <c r="Q485" s="42">
        <f t="shared" si="161"/>
        <v>1999800</v>
      </c>
      <c r="R485" s="5"/>
    </row>
    <row r="486" spans="1:18" ht="13.5" x14ac:dyDescent="0.2">
      <c r="A486" s="47" t="s">
        <v>23</v>
      </c>
      <c r="B486" s="47" t="s">
        <v>1108</v>
      </c>
      <c r="C486" s="21" t="s">
        <v>1109</v>
      </c>
      <c r="D486" s="47" t="s">
        <v>1234</v>
      </c>
      <c r="E486" s="21" t="s">
        <v>31</v>
      </c>
      <c r="F486" s="47" t="s">
        <v>32</v>
      </c>
      <c r="G486" s="21" t="s">
        <v>1235</v>
      </c>
      <c r="H486" s="7" t="s">
        <v>1236</v>
      </c>
      <c r="I486" s="8" t="s">
        <v>1249</v>
      </c>
      <c r="J486" s="9">
        <v>1679800</v>
      </c>
      <c r="K486" s="8"/>
      <c r="L486" s="8"/>
      <c r="M486" s="8"/>
      <c r="N486" s="42">
        <f t="shared" si="159"/>
        <v>1679800</v>
      </c>
      <c r="O486" s="42">
        <f t="shared" ref="O486:O487" si="163">N486*1.5</f>
        <v>2519700</v>
      </c>
      <c r="P486" s="42"/>
      <c r="Q486" s="42">
        <f t="shared" si="161"/>
        <v>2519700</v>
      </c>
    </row>
    <row r="487" spans="1:18" ht="13.5" x14ac:dyDescent="0.2">
      <c r="A487" s="47" t="s">
        <v>23</v>
      </c>
      <c r="B487" s="47" t="s">
        <v>1108</v>
      </c>
      <c r="C487" s="21" t="s">
        <v>1109</v>
      </c>
      <c r="D487" s="47" t="s">
        <v>1234</v>
      </c>
      <c r="E487" s="21" t="s">
        <v>31</v>
      </c>
      <c r="F487" s="47" t="s">
        <v>32</v>
      </c>
      <c r="G487" s="21" t="s">
        <v>1235</v>
      </c>
      <c r="H487" s="7" t="s">
        <v>1236</v>
      </c>
      <c r="I487" s="8" t="s">
        <v>1243</v>
      </c>
      <c r="J487" s="9">
        <v>2538400</v>
      </c>
      <c r="K487" s="8"/>
      <c r="L487" s="8"/>
      <c r="M487" s="8"/>
      <c r="N487" s="42">
        <f t="shared" si="159"/>
        <v>2538400</v>
      </c>
      <c r="O487" s="42">
        <f t="shared" si="163"/>
        <v>3807600</v>
      </c>
      <c r="P487" s="42"/>
      <c r="Q487" s="42">
        <f t="shared" si="161"/>
        <v>3807600</v>
      </c>
    </row>
    <row r="488" spans="1:18" ht="13.5" x14ac:dyDescent="0.2">
      <c r="A488" s="47" t="s">
        <v>23</v>
      </c>
      <c r="B488" s="47" t="s">
        <v>1108</v>
      </c>
      <c r="C488" s="21" t="s">
        <v>1109</v>
      </c>
      <c r="D488" s="47" t="s">
        <v>1234</v>
      </c>
      <c r="E488" s="21" t="s">
        <v>31</v>
      </c>
      <c r="F488" s="47" t="s">
        <v>32</v>
      </c>
      <c r="G488" s="21" t="s">
        <v>1235</v>
      </c>
      <c r="H488" s="7" t="s">
        <v>1236</v>
      </c>
      <c r="I488" s="8" t="s">
        <v>1245</v>
      </c>
      <c r="J488" s="9">
        <v>10881200</v>
      </c>
      <c r="K488" s="8"/>
      <c r="L488" s="8"/>
      <c r="M488" s="8"/>
      <c r="N488" s="42">
        <f t="shared" si="159"/>
        <v>10881200</v>
      </c>
      <c r="O488" s="42"/>
      <c r="P488" s="42">
        <f>N488</f>
        <v>10881200</v>
      </c>
      <c r="Q488" s="42">
        <f t="shared" si="161"/>
        <v>10881200</v>
      </c>
      <c r="R488" s="5"/>
    </row>
    <row r="489" spans="1:18" ht="13.5" x14ac:dyDescent="0.2">
      <c r="A489" s="47" t="s">
        <v>23</v>
      </c>
      <c r="B489" s="47" t="s">
        <v>1108</v>
      </c>
      <c r="C489" s="21" t="s">
        <v>1109</v>
      </c>
      <c r="D489" s="47" t="s">
        <v>1234</v>
      </c>
      <c r="E489" s="21" t="s">
        <v>31</v>
      </c>
      <c r="F489" s="47" t="s">
        <v>32</v>
      </c>
      <c r="G489" s="21" t="s">
        <v>1235</v>
      </c>
      <c r="H489" s="7" t="s">
        <v>1236</v>
      </c>
      <c r="I489" s="8" t="s">
        <v>1186</v>
      </c>
      <c r="J489" s="9">
        <v>4978400</v>
      </c>
      <c r="K489" s="8"/>
      <c r="L489" s="8"/>
      <c r="M489" s="8"/>
      <c r="N489" s="42">
        <f t="shared" si="159"/>
        <v>4978400</v>
      </c>
      <c r="O489" s="42">
        <f>N489*1.5</f>
        <v>7467600</v>
      </c>
      <c r="P489" s="42"/>
      <c r="Q489" s="42">
        <f t="shared" si="161"/>
        <v>7467600</v>
      </c>
    </row>
    <row r="490" spans="1:18" ht="13.5" x14ac:dyDescent="0.2">
      <c r="A490" s="47" t="s">
        <v>23</v>
      </c>
      <c r="B490" s="47" t="s">
        <v>1108</v>
      </c>
      <c r="C490" s="21" t="s">
        <v>1109</v>
      </c>
      <c r="D490" s="47" t="s">
        <v>1234</v>
      </c>
      <c r="E490" s="21" t="s">
        <v>31</v>
      </c>
      <c r="F490" s="47" t="s">
        <v>32</v>
      </c>
      <c r="G490" s="21" t="s">
        <v>1279</v>
      </c>
      <c r="H490" s="7" t="s">
        <v>1280</v>
      </c>
      <c r="I490" s="8" t="s">
        <v>1289</v>
      </c>
      <c r="J490" s="9">
        <v>4750000</v>
      </c>
      <c r="K490" s="8"/>
      <c r="L490" s="8"/>
      <c r="M490" s="8"/>
      <c r="N490" s="42">
        <f t="shared" si="159"/>
        <v>4750000</v>
      </c>
      <c r="O490" s="42"/>
      <c r="P490" s="42">
        <f t="shared" ref="P490:P496" si="164">N490</f>
        <v>4750000</v>
      </c>
      <c r="Q490" s="42">
        <f t="shared" si="161"/>
        <v>4750000</v>
      </c>
      <c r="R490" s="5"/>
    </row>
    <row r="491" spans="1:18" ht="13.5" x14ac:dyDescent="0.2">
      <c r="A491" s="47" t="s">
        <v>23</v>
      </c>
      <c r="B491" s="47" t="s">
        <v>1108</v>
      </c>
      <c r="C491" s="21" t="s">
        <v>1109</v>
      </c>
      <c r="D491" s="47" t="s">
        <v>1234</v>
      </c>
      <c r="E491" s="21" t="s">
        <v>31</v>
      </c>
      <c r="F491" s="47" t="s">
        <v>32</v>
      </c>
      <c r="G491" s="21" t="s">
        <v>1279</v>
      </c>
      <c r="H491" s="7" t="s">
        <v>1280</v>
      </c>
      <c r="I491" s="8" t="s">
        <v>1287</v>
      </c>
      <c r="J491" s="9">
        <v>2131200</v>
      </c>
      <c r="K491" s="8"/>
      <c r="L491" s="8"/>
      <c r="M491" s="8"/>
      <c r="N491" s="42">
        <f t="shared" si="159"/>
        <v>2131200</v>
      </c>
      <c r="O491" s="42"/>
      <c r="P491" s="42">
        <f t="shared" si="164"/>
        <v>2131200</v>
      </c>
      <c r="Q491" s="42">
        <f t="shared" si="161"/>
        <v>2131200</v>
      </c>
      <c r="R491" s="5"/>
    </row>
    <row r="492" spans="1:18" ht="13.5" x14ac:dyDescent="0.2">
      <c r="A492" s="47" t="s">
        <v>23</v>
      </c>
      <c r="B492" s="47" t="s">
        <v>1108</v>
      </c>
      <c r="C492" s="21" t="s">
        <v>1109</v>
      </c>
      <c r="D492" s="47" t="s">
        <v>1234</v>
      </c>
      <c r="E492" s="21" t="s">
        <v>31</v>
      </c>
      <c r="F492" s="47" t="s">
        <v>32</v>
      </c>
      <c r="G492" s="21" t="s">
        <v>1279</v>
      </c>
      <c r="H492" s="7" t="s">
        <v>1280</v>
      </c>
      <c r="I492" s="8" t="s">
        <v>1283</v>
      </c>
      <c r="J492" s="9">
        <v>7718700</v>
      </c>
      <c r="K492" s="8"/>
      <c r="L492" s="8"/>
      <c r="M492" s="8"/>
      <c r="N492" s="42">
        <f t="shared" si="159"/>
        <v>7718700</v>
      </c>
      <c r="O492" s="42"/>
      <c r="P492" s="42">
        <f t="shared" si="164"/>
        <v>7718700</v>
      </c>
      <c r="Q492" s="42">
        <f t="shared" si="161"/>
        <v>7718700</v>
      </c>
      <c r="R492" s="5"/>
    </row>
    <row r="493" spans="1:18" ht="13.5" x14ac:dyDescent="0.2">
      <c r="A493" s="47" t="s">
        <v>23</v>
      </c>
      <c r="B493" s="47" t="s">
        <v>1108</v>
      </c>
      <c r="C493" s="21" t="s">
        <v>1109</v>
      </c>
      <c r="D493" s="47" t="s">
        <v>1234</v>
      </c>
      <c r="E493" s="21" t="s">
        <v>31</v>
      </c>
      <c r="F493" s="47" t="s">
        <v>32</v>
      </c>
      <c r="G493" s="21" t="s">
        <v>1291</v>
      </c>
      <c r="H493" s="7" t="s">
        <v>1292</v>
      </c>
      <c r="I493" s="8" t="s">
        <v>1295</v>
      </c>
      <c r="J493" s="9">
        <v>2013000</v>
      </c>
      <c r="K493" s="8"/>
      <c r="L493" s="8"/>
      <c r="M493" s="8"/>
      <c r="N493" s="42">
        <f t="shared" si="159"/>
        <v>2013000</v>
      </c>
      <c r="O493" s="42"/>
      <c r="P493" s="42">
        <f t="shared" si="164"/>
        <v>2013000</v>
      </c>
      <c r="Q493" s="42">
        <f t="shared" si="161"/>
        <v>2013000</v>
      </c>
      <c r="R493" s="5"/>
    </row>
    <row r="494" spans="1:18" ht="13.5" x14ac:dyDescent="0.2">
      <c r="A494" s="47" t="s">
        <v>23</v>
      </c>
      <c r="B494" s="47" t="s">
        <v>1108</v>
      </c>
      <c r="C494" s="21" t="s">
        <v>1109</v>
      </c>
      <c r="D494" s="47" t="s">
        <v>1234</v>
      </c>
      <c r="E494" s="21" t="s">
        <v>31</v>
      </c>
      <c r="F494" s="47" t="s">
        <v>32</v>
      </c>
      <c r="G494" s="21" t="s">
        <v>1291</v>
      </c>
      <c r="H494" s="7" t="s">
        <v>1292</v>
      </c>
      <c r="I494" s="8" t="s">
        <v>1299</v>
      </c>
      <c r="J494" s="9">
        <v>4275600</v>
      </c>
      <c r="K494" s="8"/>
      <c r="L494" s="8"/>
      <c r="M494" s="8"/>
      <c r="N494" s="42">
        <f t="shared" si="159"/>
        <v>4275600</v>
      </c>
      <c r="O494" s="42"/>
      <c r="P494" s="42">
        <f t="shared" si="164"/>
        <v>4275600</v>
      </c>
      <c r="Q494" s="42">
        <f t="shared" si="161"/>
        <v>4275600</v>
      </c>
      <c r="R494" s="5"/>
    </row>
    <row r="495" spans="1:18" ht="13.5" x14ac:dyDescent="0.2">
      <c r="A495" s="47" t="s">
        <v>23</v>
      </c>
      <c r="B495" s="47" t="s">
        <v>1108</v>
      </c>
      <c r="C495" s="21" t="s">
        <v>1109</v>
      </c>
      <c r="D495" s="47" t="s">
        <v>1234</v>
      </c>
      <c r="E495" s="21" t="s">
        <v>31</v>
      </c>
      <c r="F495" s="47" t="s">
        <v>32</v>
      </c>
      <c r="G495" s="21" t="s">
        <v>1291</v>
      </c>
      <c r="H495" s="7" t="s">
        <v>1292</v>
      </c>
      <c r="I495" s="8" t="s">
        <v>1297</v>
      </c>
      <c r="J495" s="9">
        <v>3436000</v>
      </c>
      <c r="K495" s="8"/>
      <c r="L495" s="8"/>
      <c r="M495" s="8"/>
      <c r="N495" s="42">
        <f t="shared" si="159"/>
        <v>3436000</v>
      </c>
      <c r="O495" s="42"/>
      <c r="P495" s="42">
        <f t="shared" si="164"/>
        <v>3436000</v>
      </c>
      <c r="Q495" s="42">
        <f t="shared" si="161"/>
        <v>3436000</v>
      </c>
      <c r="R495" s="5"/>
    </row>
    <row r="496" spans="1:18" ht="13.5" x14ac:dyDescent="0.2">
      <c r="A496" s="47" t="s">
        <v>23</v>
      </c>
      <c r="B496" s="47" t="s">
        <v>1108</v>
      </c>
      <c r="C496" s="21" t="s">
        <v>1109</v>
      </c>
      <c r="D496" s="47" t="s">
        <v>1234</v>
      </c>
      <c r="E496" s="21" t="s">
        <v>31</v>
      </c>
      <c r="F496" s="47" t="s">
        <v>32</v>
      </c>
      <c r="G496" s="21" t="s">
        <v>1305</v>
      </c>
      <c r="H496" s="7" t="s">
        <v>1306</v>
      </c>
      <c r="I496" s="8" t="s">
        <v>1311</v>
      </c>
      <c r="J496" s="9">
        <v>10575000</v>
      </c>
      <c r="K496" s="8"/>
      <c r="L496" s="8"/>
      <c r="M496" s="8"/>
      <c r="N496" s="42">
        <f t="shared" si="159"/>
        <v>10575000</v>
      </c>
      <c r="O496" s="42"/>
      <c r="P496" s="42">
        <f t="shared" si="164"/>
        <v>10575000</v>
      </c>
      <c r="Q496" s="42">
        <f t="shared" si="161"/>
        <v>10575000</v>
      </c>
      <c r="R496" s="5"/>
    </row>
    <row r="497" spans="1:18" ht="13.5" x14ac:dyDescent="0.2">
      <c r="A497" s="47" t="s">
        <v>23</v>
      </c>
      <c r="B497" s="47" t="s">
        <v>1108</v>
      </c>
      <c r="C497" s="21" t="s">
        <v>1109</v>
      </c>
      <c r="D497" s="47" t="s">
        <v>1234</v>
      </c>
      <c r="E497" s="21" t="s">
        <v>31</v>
      </c>
      <c r="F497" s="47" t="s">
        <v>32</v>
      </c>
      <c r="G497" s="21" t="s">
        <v>1305</v>
      </c>
      <c r="H497" s="7" t="s">
        <v>1306</v>
      </c>
      <c r="I497" s="8" t="s">
        <v>1319</v>
      </c>
      <c r="J497" s="9">
        <v>3674400</v>
      </c>
      <c r="K497" s="8"/>
      <c r="L497" s="8"/>
      <c r="M497" s="8"/>
      <c r="N497" s="42">
        <f t="shared" si="159"/>
        <v>3674400</v>
      </c>
      <c r="O497" s="42">
        <f t="shared" ref="O497:O498" si="165">N497*1.5</f>
        <v>5511600</v>
      </c>
      <c r="P497" s="42"/>
      <c r="Q497" s="42">
        <f t="shared" si="161"/>
        <v>5511600</v>
      </c>
    </row>
    <row r="498" spans="1:18" ht="13.5" x14ac:dyDescent="0.2">
      <c r="A498" s="47" t="s">
        <v>23</v>
      </c>
      <c r="B498" s="47" t="s">
        <v>1108</v>
      </c>
      <c r="C498" s="21" t="s">
        <v>1109</v>
      </c>
      <c r="D498" s="47" t="s">
        <v>1234</v>
      </c>
      <c r="E498" s="21" t="s">
        <v>31</v>
      </c>
      <c r="F498" s="47" t="s">
        <v>32</v>
      </c>
      <c r="G498" s="21" t="s">
        <v>1305</v>
      </c>
      <c r="H498" s="7" t="s">
        <v>1306</v>
      </c>
      <c r="I498" s="8" t="s">
        <v>1317</v>
      </c>
      <c r="J498" s="9">
        <v>9920800</v>
      </c>
      <c r="K498" s="8"/>
      <c r="L498" s="8"/>
      <c r="M498" s="8"/>
      <c r="N498" s="42">
        <f t="shared" si="159"/>
        <v>9920800</v>
      </c>
      <c r="O498" s="42">
        <f t="shared" si="165"/>
        <v>14881200</v>
      </c>
      <c r="P498" s="42"/>
      <c r="Q498" s="42">
        <f t="shared" si="161"/>
        <v>14881200</v>
      </c>
    </row>
    <row r="499" spans="1:18" ht="13.5" x14ac:dyDescent="0.2">
      <c r="A499" s="47" t="s">
        <v>23</v>
      </c>
      <c r="B499" s="47" t="s">
        <v>1108</v>
      </c>
      <c r="C499" s="21" t="s">
        <v>1109</v>
      </c>
      <c r="D499" s="47" t="s">
        <v>1234</v>
      </c>
      <c r="E499" s="21" t="s">
        <v>31</v>
      </c>
      <c r="F499" s="47" t="s">
        <v>32</v>
      </c>
      <c r="G499" s="21" t="s">
        <v>1327</v>
      </c>
      <c r="H499" s="7" t="s">
        <v>1328</v>
      </c>
      <c r="I499" s="8" t="s">
        <v>1332</v>
      </c>
      <c r="J499" s="9">
        <v>5484000</v>
      </c>
      <c r="K499" s="8"/>
      <c r="L499" s="8"/>
      <c r="M499" s="8"/>
      <c r="N499" s="42">
        <f t="shared" si="159"/>
        <v>5484000</v>
      </c>
      <c r="O499" s="42"/>
      <c r="P499" s="42">
        <f>N499</f>
        <v>5484000</v>
      </c>
      <c r="Q499" s="42">
        <f t="shared" si="161"/>
        <v>5484000</v>
      </c>
      <c r="R499" s="5"/>
    </row>
    <row r="500" spans="1:18" ht="13.5" x14ac:dyDescent="0.2">
      <c r="A500" s="47" t="s">
        <v>23</v>
      </c>
      <c r="B500" s="47" t="s">
        <v>1108</v>
      </c>
      <c r="C500" s="21" t="s">
        <v>1109</v>
      </c>
      <c r="D500" s="47" t="s">
        <v>1234</v>
      </c>
      <c r="E500" s="21" t="s">
        <v>31</v>
      </c>
      <c r="F500" s="47" t="s">
        <v>32</v>
      </c>
      <c r="G500" s="21" t="s">
        <v>1327</v>
      </c>
      <c r="H500" s="7" t="s">
        <v>1328</v>
      </c>
      <c r="I500" s="8" t="s">
        <v>586</v>
      </c>
      <c r="J500" s="9">
        <v>4277400</v>
      </c>
      <c r="K500" s="8"/>
      <c r="L500" s="8"/>
      <c r="M500" s="8"/>
      <c r="N500" s="42">
        <f t="shared" si="159"/>
        <v>4277400</v>
      </c>
      <c r="O500" s="42">
        <f t="shared" ref="O500:O502" si="166">N500*1.5</f>
        <v>6416100</v>
      </c>
      <c r="P500" s="42"/>
      <c r="Q500" s="42">
        <f t="shared" si="161"/>
        <v>6416100</v>
      </c>
    </row>
    <row r="501" spans="1:18" ht="13.5" x14ac:dyDescent="0.2">
      <c r="A501" s="47" t="s">
        <v>23</v>
      </c>
      <c r="B501" s="47" t="s">
        <v>1108</v>
      </c>
      <c r="C501" s="21" t="s">
        <v>1109</v>
      </c>
      <c r="D501" s="47" t="s">
        <v>1234</v>
      </c>
      <c r="E501" s="21" t="s">
        <v>31</v>
      </c>
      <c r="F501" s="47" t="s">
        <v>32</v>
      </c>
      <c r="G501" s="21" t="s">
        <v>1327</v>
      </c>
      <c r="H501" s="7" t="s">
        <v>1328</v>
      </c>
      <c r="I501" s="8" t="s">
        <v>1338</v>
      </c>
      <c r="J501" s="9">
        <v>889500</v>
      </c>
      <c r="K501" s="8"/>
      <c r="L501" s="8"/>
      <c r="M501" s="8"/>
      <c r="N501" s="42">
        <f t="shared" si="159"/>
        <v>889500</v>
      </c>
      <c r="O501" s="42">
        <f t="shared" si="166"/>
        <v>1334250</v>
      </c>
      <c r="P501" s="42"/>
      <c r="Q501" s="42">
        <f t="shared" si="161"/>
        <v>1334250</v>
      </c>
    </row>
    <row r="502" spans="1:18" ht="13.5" x14ac:dyDescent="0.2">
      <c r="A502" s="47" t="s">
        <v>23</v>
      </c>
      <c r="B502" s="47" t="s">
        <v>1108</v>
      </c>
      <c r="C502" s="21" t="s">
        <v>1109</v>
      </c>
      <c r="D502" s="47" t="s">
        <v>1234</v>
      </c>
      <c r="E502" s="21" t="s">
        <v>31</v>
      </c>
      <c r="F502" s="47" t="s">
        <v>32</v>
      </c>
      <c r="G502" s="21" t="s">
        <v>1327</v>
      </c>
      <c r="H502" s="7" t="s">
        <v>1328</v>
      </c>
      <c r="I502" s="8" t="s">
        <v>1344</v>
      </c>
      <c r="J502" s="9">
        <v>2118600</v>
      </c>
      <c r="K502" s="8"/>
      <c r="L502" s="8"/>
      <c r="M502" s="8"/>
      <c r="N502" s="42">
        <f t="shared" si="159"/>
        <v>2118600</v>
      </c>
      <c r="O502" s="42">
        <f t="shared" si="166"/>
        <v>3177900</v>
      </c>
      <c r="P502" s="42"/>
      <c r="Q502" s="42">
        <f t="shared" si="161"/>
        <v>3177900</v>
      </c>
    </row>
    <row r="503" spans="1:18" ht="13.5" x14ac:dyDescent="0.2">
      <c r="A503" s="47" t="s">
        <v>23</v>
      </c>
      <c r="B503" s="47" t="s">
        <v>1108</v>
      </c>
      <c r="C503" s="21" t="s">
        <v>1109</v>
      </c>
      <c r="D503" s="47" t="s">
        <v>1234</v>
      </c>
      <c r="E503" s="21" t="s">
        <v>31</v>
      </c>
      <c r="F503" s="47" t="s">
        <v>32</v>
      </c>
      <c r="G503" s="21" t="s">
        <v>1327</v>
      </c>
      <c r="H503" s="7" t="s">
        <v>1328</v>
      </c>
      <c r="I503" s="8" t="s">
        <v>1329</v>
      </c>
      <c r="J503" s="9">
        <v>4922500</v>
      </c>
      <c r="K503" s="8"/>
      <c r="L503" s="8"/>
      <c r="M503" s="8"/>
      <c r="N503" s="42">
        <f t="shared" si="159"/>
        <v>4922500</v>
      </c>
      <c r="O503" s="42"/>
      <c r="P503" s="42">
        <f>N503</f>
        <v>4922500</v>
      </c>
      <c r="Q503" s="42">
        <f t="shared" si="161"/>
        <v>4922500</v>
      </c>
      <c r="R503" s="5"/>
    </row>
    <row r="504" spans="1:18" ht="13.5" x14ac:dyDescent="0.2">
      <c r="A504" s="47" t="s">
        <v>23</v>
      </c>
      <c r="B504" s="47" t="s">
        <v>1108</v>
      </c>
      <c r="C504" s="21" t="s">
        <v>1109</v>
      </c>
      <c r="D504" s="47" t="s">
        <v>1234</v>
      </c>
      <c r="E504" s="21" t="s">
        <v>31</v>
      </c>
      <c r="F504" s="47" t="s">
        <v>32</v>
      </c>
      <c r="G504" s="21" t="s">
        <v>1327</v>
      </c>
      <c r="H504" s="7" t="s">
        <v>1328</v>
      </c>
      <c r="I504" s="8" t="s">
        <v>719</v>
      </c>
      <c r="J504" s="9">
        <v>4276800</v>
      </c>
      <c r="K504" s="8"/>
      <c r="L504" s="8"/>
      <c r="M504" s="8"/>
      <c r="N504" s="42">
        <f t="shared" si="159"/>
        <v>4276800</v>
      </c>
      <c r="O504" s="42">
        <f t="shared" ref="O504:O505" si="167">N504*1.5</f>
        <v>6415200</v>
      </c>
      <c r="P504" s="42"/>
      <c r="Q504" s="42">
        <f t="shared" si="161"/>
        <v>6415200</v>
      </c>
    </row>
    <row r="505" spans="1:18" ht="13.5" x14ac:dyDescent="0.2">
      <c r="A505" s="47" t="s">
        <v>23</v>
      </c>
      <c r="B505" s="47" t="s">
        <v>1108</v>
      </c>
      <c r="C505" s="21" t="s">
        <v>1109</v>
      </c>
      <c r="D505" s="47" t="s">
        <v>1234</v>
      </c>
      <c r="E505" s="21" t="s">
        <v>31</v>
      </c>
      <c r="F505" s="47" t="s">
        <v>32</v>
      </c>
      <c r="G505" s="21" t="s">
        <v>1346</v>
      </c>
      <c r="H505" s="7" t="s">
        <v>1347</v>
      </c>
      <c r="I505" s="8" t="s">
        <v>1344</v>
      </c>
      <c r="J505" s="9">
        <v>2058600</v>
      </c>
      <c r="K505" s="8"/>
      <c r="L505" s="8"/>
      <c r="M505" s="8"/>
      <c r="N505" s="42">
        <f t="shared" si="159"/>
        <v>2058600</v>
      </c>
      <c r="O505" s="42">
        <f t="shared" si="167"/>
        <v>3087900</v>
      </c>
      <c r="P505" s="42"/>
      <c r="Q505" s="42">
        <f t="shared" si="161"/>
        <v>3087900</v>
      </c>
    </row>
    <row r="506" spans="1:18" ht="13.5" x14ac:dyDescent="0.2">
      <c r="A506" s="47" t="s">
        <v>23</v>
      </c>
      <c r="B506" s="47" t="s">
        <v>1108</v>
      </c>
      <c r="C506" s="21" t="s">
        <v>1109</v>
      </c>
      <c r="D506" s="47" t="s">
        <v>1234</v>
      </c>
      <c r="E506" s="21" t="s">
        <v>31</v>
      </c>
      <c r="F506" s="47" t="s">
        <v>32</v>
      </c>
      <c r="G506" s="21" t="s">
        <v>1346</v>
      </c>
      <c r="H506" s="7" t="s">
        <v>1347</v>
      </c>
      <c r="I506" s="8" t="s">
        <v>1368</v>
      </c>
      <c r="J506" s="9">
        <v>3879600</v>
      </c>
      <c r="K506" s="8"/>
      <c r="L506" s="8"/>
      <c r="M506" s="8"/>
      <c r="N506" s="42">
        <f t="shared" si="159"/>
        <v>3879600</v>
      </c>
      <c r="O506" s="42"/>
      <c r="P506" s="42">
        <f t="shared" ref="P506:P507" si="168">N506</f>
        <v>3879600</v>
      </c>
      <c r="Q506" s="42">
        <f t="shared" si="161"/>
        <v>3879600</v>
      </c>
      <c r="R506" s="5"/>
    </row>
    <row r="507" spans="1:18" ht="13.5" x14ac:dyDescent="0.2">
      <c r="A507" s="47" t="s">
        <v>23</v>
      </c>
      <c r="B507" s="47" t="s">
        <v>1108</v>
      </c>
      <c r="C507" s="21" t="s">
        <v>1109</v>
      </c>
      <c r="D507" s="47" t="s">
        <v>1234</v>
      </c>
      <c r="E507" s="21" t="s">
        <v>31</v>
      </c>
      <c r="F507" s="47" t="s">
        <v>32</v>
      </c>
      <c r="G507" s="21" t="s">
        <v>1346</v>
      </c>
      <c r="H507" s="7" t="s">
        <v>1347</v>
      </c>
      <c r="I507" s="8" t="s">
        <v>1370</v>
      </c>
      <c r="J507" s="9">
        <v>1738400</v>
      </c>
      <c r="K507" s="8"/>
      <c r="L507" s="8"/>
      <c r="M507" s="8"/>
      <c r="N507" s="42">
        <f t="shared" si="159"/>
        <v>1738400</v>
      </c>
      <c r="O507" s="42"/>
      <c r="P507" s="42">
        <f t="shared" si="168"/>
        <v>1738400</v>
      </c>
      <c r="Q507" s="42">
        <f t="shared" si="161"/>
        <v>1738400</v>
      </c>
      <c r="R507" s="5"/>
    </row>
    <row r="508" spans="1:18" ht="13.5" x14ac:dyDescent="0.2">
      <c r="A508" s="47" t="s">
        <v>23</v>
      </c>
      <c r="B508" s="47" t="s">
        <v>1108</v>
      </c>
      <c r="C508" s="21" t="s">
        <v>1109</v>
      </c>
      <c r="D508" s="47" t="s">
        <v>1234</v>
      </c>
      <c r="E508" s="21" t="s">
        <v>31</v>
      </c>
      <c r="F508" s="47" t="s">
        <v>32</v>
      </c>
      <c r="G508" s="21" t="s">
        <v>1385</v>
      </c>
      <c r="H508" s="7" t="s">
        <v>1386</v>
      </c>
      <c r="I508" s="8" t="s">
        <v>1395</v>
      </c>
      <c r="J508" s="9">
        <v>1216000</v>
      </c>
      <c r="K508" s="8"/>
      <c r="L508" s="8"/>
      <c r="M508" s="8"/>
      <c r="N508" s="42">
        <f t="shared" si="159"/>
        <v>1216000</v>
      </c>
      <c r="O508" s="42">
        <f>N508*1.5</f>
        <v>1824000</v>
      </c>
      <c r="P508" s="42"/>
      <c r="Q508" s="42">
        <f t="shared" si="161"/>
        <v>1824000</v>
      </c>
    </row>
    <row r="509" spans="1:18" ht="13.5" x14ac:dyDescent="0.2">
      <c r="A509" s="47" t="s">
        <v>23</v>
      </c>
      <c r="B509" s="47" t="s">
        <v>1108</v>
      </c>
      <c r="C509" s="21" t="s">
        <v>1109</v>
      </c>
      <c r="D509" s="47" t="s">
        <v>1234</v>
      </c>
      <c r="E509" s="21" t="s">
        <v>31</v>
      </c>
      <c r="F509" s="47" t="s">
        <v>32</v>
      </c>
      <c r="G509" s="21" t="s">
        <v>1385</v>
      </c>
      <c r="H509" s="7" t="s">
        <v>1386</v>
      </c>
      <c r="I509" s="8" t="s">
        <v>1387</v>
      </c>
      <c r="J509" s="9">
        <v>500400</v>
      </c>
      <c r="K509" s="8"/>
      <c r="L509" s="8"/>
      <c r="M509" s="8"/>
      <c r="N509" s="42">
        <f t="shared" si="159"/>
        <v>500400</v>
      </c>
      <c r="O509" s="42"/>
      <c r="P509" s="42">
        <f>N509</f>
        <v>500400</v>
      </c>
      <c r="Q509" s="42">
        <f t="shared" si="161"/>
        <v>500400</v>
      </c>
      <c r="R509" s="5"/>
    </row>
    <row r="510" spans="1:18" ht="13.5" hidden="1" x14ac:dyDescent="0.2">
      <c r="A510" s="12" t="s">
        <v>23</v>
      </c>
      <c r="B510" s="12" t="s">
        <v>1108</v>
      </c>
      <c r="C510" s="13" t="s">
        <v>1109</v>
      </c>
      <c r="D510" s="12" t="s">
        <v>1234</v>
      </c>
      <c r="E510" s="13" t="s">
        <v>31</v>
      </c>
      <c r="F510" s="12" t="s">
        <v>181</v>
      </c>
      <c r="G510" s="13" t="s">
        <v>1235</v>
      </c>
      <c r="H510" s="12" t="s">
        <v>1236</v>
      </c>
      <c r="I510" s="13" t="s">
        <v>1251</v>
      </c>
      <c r="J510" s="14" t="s">
        <v>3946</v>
      </c>
      <c r="K510" s="18"/>
      <c r="L510" s="18"/>
      <c r="M510" s="18"/>
      <c r="N510" s="20" t="str">
        <f t="shared" si="159"/>
        <v>-</v>
      </c>
      <c r="O510"/>
      <c r="P510"/>
    </row>
    <row r="511" spans="1:18" ht="13.5" x14ac:dyDescent="0.2">
      <c r="A511" s="47" t="s">
        <v>23</v>
      </c>
      <c r="B511" s="47" t="s">
        <v>1108</v>
      </c>
      <c r="C511" s="21" t="s">
        <v>1109</v>
      </c>
      <c r="D511" s="47" t="s">
        <v>1234</v>
      </c>
      <c r="E511" s="21" t="s">
        <v>41</v>
      </c>
      <c r="F511" s="47" t="s">
        <v>32</v>
      </c>
      <c r="G511" s="21" t="s">
        <v>1235</v>
      </c>
      <c r="H511" s="7" t="s">
        <v>1236</v>
      </c>
      <c r="I511" s="8" t="s">
        <v>1258</v>
      </c>
      <c r="J511" s="9">
        <v>5929500</v>
      </c>
      <c r="K511" s="8"/>
      <c r="L511" s="42">
        <f t="shared" ref="L511:L529" si="169">J511*1.5</f>
        <v>8894250</v>
      </c>
      <c r="M511" s="8"/>
      <c r="N511" s="42">
        <f t="shared" si="154"/>
        <v>8894250</v>
      </c>
      <c r="O511" s="42"/>
      <c r="P511" s="42">
        <f t="shared" ref="P511:P517" si="170">N511</f>
        <v>8894250</v>
      </c>
      <c r="Q511" s="42">
        <f t="shared" ref="Q511:Q529" si="171">SUM(O511:P511)</f>
        <v>8894250</v>
      </c>
      <c r="R511" s="5"/>
    </row>
    <row r="512" spans="1:18" ht="13.5" x14ac:dyDescent="0.2">
      <c r="A512" s="47" t="s">
        <v>23</v>
      </c>
      <c r="B512" s="47" t="s">
        <v>1108</v>
      </c>
      <c r="C512" s="21" t="s">
        <v>1109</v>
      </c>
      <c r="D512" s="47" t="s">
        <v>1234</v>
      </c>
      <c r="E512" s="21" t="s">
        <v>41</v>
      </c>
      <c r="F512" s="47" t="s">
        <v>32</v>
      </c>
      <c r="G512" s="21" t="s">
        <v>1235</v>
      </c>
      <c r="H512" s="7" t="s">
        <v>1236</v>
      </c>
      <c r="I512" s="8" t="s">
        <v>1260</v>
      </c>
      <c r="J512" s="9">
        <v>4060000</v>
      </c>
      <c r="K512" s="8"/>
      <c r="L512" s="42">
        <f t="shared" si="169"/>
        <v>6090000</v>
      </c>
      <c r="M512" s="8"/>
      <c r="N512" s="42">
        <f t="shared" si="154"/>
        <v>6090000</v>
      </c>
      <c r="O512" s="42"/>
      <c r="P512" s="42">
        <f t="shared" si="170"/>
        <v>6090000</v>
      </c>
      <c r="Q512" s="42">
        <f t="shared" si="171"/>
        <v>6090000</v>
      </c>
      <c r="R512" s="5"/>
    </row>
    <row r="513" spans="1:18" ht="13.5" x14ac:dyDescent="0.2">
      <c r="A513" s="47" t="s">
        <v>23</v>
      </c>
      <c r="B513" s="47" t="s">
        <v>1108</v>
      </c>
      <c r="C513" s="21" t="s">
        <v>1109</v>
      </c>
      <c r="D513" s="47" t="s">
        <v>1234</v>
      </c>
      <c r="E513" s="21" t="s">
        <v>41</v>
      </c>
      <c r="F513" s="47" t="s">
        <v>32</v>
      </c>
      <c r="G513" s="21" t="s">
        <v>1235</v>
      </c>
      <c r="H513" s="7" t="s">
        <v>1236</v>
      </c>
      <c r="I513" s="8" t="s">
        <v>1240</v>
      </c>
      <c r="J513" s="9">
        <v>6479100</v>
      </c>
      <c r="K513" s="8"/>
      <c r="L513" s="42">
        <f t="shared" si="169"/>
        <v>9718650</v>
      </c>
      <c r="M513" s="8"/>
      <c r="N513" s="42">
        <f t="shared" si="154"/>
        <v>9718650</v>
      </c>
      <c r="O513" s="42"/>
      <c r="P513" s="42">
        <f t="shared" si="170"/>
        <v>9718650</v>
      </c>
      <c r="Q513" s="42">
        <f t="shared" si="171"/>
        <v>9718650</v>
      </c>
      <c r="R513" s="5"/>
    </row>
    <row r="514" spans="1:18" ht="13.5" x14ac:dyDescent="0.2">
      <c r="A514" s="47" t="s">
        <v>23</v>
      </c>
      <c r="B514" s="47" t="s">
        <v>1108</v>
      </c>
      <c r="C514" s="21" t="s">
        <v>1109</v>
      </c>
      <c r="D514" s="47" t="s">
        <v>1234</v>
      </c>
      <c r="E514" s="21" t="s">
        <v>41</v>
      </c>
      <c r="F514" s="47" t="s">
        <v>32</v>
      </c>
      <c r="G514" s="21" t="s">
        <v>1235</v>
      </c>
      <c r="H514" s="7" t="s">
        <v>1236</v>
      </c>
      <c r="I514" s="8" t="s">
        <v>1275</v>
      </c>
      <c r="J514" s="9">
        <v>9861840</v>
      </c>
      <c r="K514" s="8"/>
      <c r="L514" s="42">
        <f t="shared" si="169"/>
        <v>14792760</v>
      </c>
      <c r="M514" s="8"/>
      <c r="N514" s="42">
        <f t="shared" si="154"/>
        <v>14792760</v>
      </c>
      <c r="O514" s="42"/>
      <c r="P514" s="42">
        <f t="shared" si="170"/>
        <v>14792760</v>
      </c>
      <c r="Q514" s="42">
        <f t="shared" si="171"/>
        <v>14792760</v>
      </c>
      <c r="R514" s="5"/>
    </row>
    <row r="515" spans="1:18" ht="13.5" x14ac:dyDescent="0.2">
      <c r="A515" s="47" t="s">
        <v>23</v>
      </c>
      <c r="B515" s="47" t="s">
        <v>1108</v>
      </c>
      <c r="C515" s="21" t="s">
        <v>1109</v>
      </c>
      <c r="D515" s="47" t="s">
        <v>1234</v>
      </c>
      <c r="E515" s="21" t="s">
        <v>41</v>
      </c>
      <c r="F515" s="47" t="s">
        <v>32</v>
      </c>
      <c r="G515" s="21" t="s">
        <v>1235</v>
      </c>
      <c r="H515" s="7" t="s">
        <v>1236</v>
      </c>
      <c r="I515" s="8" t="s">
        <v>1264</v>
      </c>
      <c r="J515" s="9">
        <v>4669800</v>
      </c>
      <c r="K515" s="8"/>
      <c r="L515" s="42">
        <f t="shared" si="169"/>
        <v>7004700</v>
      </c>
      <c r="M515" s="8"/>
      <c r="N515" s="42">
        <f t="shared" si="154"/>
        <v>7004700</v>
      </c>
      <c r="O515" s="42"/>
      <c r="P515" s="42">
        <f t="shared" si="170"/>
        <v>7004700</v>
      </c>
      <c r="Q515" s="42">
        <f t="shared" si="171"/>
        <v>7004700</v>
      </c>
      <c r="R515" s="5"/>
    </row>
    <row r="516" spans="1:18" ht="13.5" x14ac:dyDescent="0.2">
      <c r="A516" s="47" t="s">
        <v>23</v>
      </c>
      <c r="B516" s="47" t="s">
        <v>1108</v>
      </c>
      <c r="C516" s="21" t="s">
        <v>1109</v>
      </c>
      <c r="D516" s="47" t="s">
        <v>1234</v>
      </c>
      <c r="E516" s="21" t="s">
        <v>41</v>
      </c>
      <c r="F516" s="47" t="s">
        <v>32</v>
      </c>
      <c r="G516" s="21" t="s">
        <v>1235</v>
      </c>
      <c r="H516" s="7" t="s">
        <v>1236</v>
      </c>
      <c r="I516" s="8" t="s">
        <v>1277</v>
      </c>
      <c r="J516" s="9">
        <v>4396800</v>
      </c>
      <c r="K516" s="8"/>
      <c r="L516" s="42">
        <f t="shared" si="169"/>
        <v>6595200</v>
      </c>
      <c r="M516" s="8"/>
      <c r="N516" s="42">
        <f t="shared" ref="N516:N569" si="172">SUM(K516:M516)</f>
        <v>6595200</v>
      </c>
      <c r="O516" s="42"/>
      <c r="P516" s="42">
        <f t="shared" si="170"/>
        <v>6595200</v>
      </c>
      <c r="Q516" s="42">
        <f t="shared" si="171"/>
        <v>6595200</v>
      </c>
      <c r="R516" s="5"/>
    </row>
    <row r="517" spans="1:18" ht="13.5" x14ac:dyDescent="0.2">
      <c r="A517" s="47" t="s">
        <v>23</v>
      </c>
      <c r="B517" s="47" t="s">
        <v>1108</v>
      </c>
      <c r="C517" s="21" t="s">
        <v>1109</v>
      </c>
      <c r="D517" s="47" t="s">
        <v>1234</v>
      </c>
      <c r="E517" s="21" t="s">
        <v>41</v>
      </c>
      <c r="F517" s="47" t="s">
        <v>32</v>
      </c>
      <c r="G517" s="21" t="s">
        <v>1235</v>
      </c>
      <c r="H517" s="7" t="s">
        <v>1236</v>
      </c>
      <c r="I517" s="8" t="s">
        <v>1254</v>
      </c>
      <c r="J517" s="9">
        <v>2640200</v>
      </c>
      <c r="K517" s="8"/>
      <c r="L517" s="42">
        <f t="shared" si="169"/>
        <v>3960300</v>
      </c>
      <c r="M517" s="8"/>
      <c r="N517" s="42">
        <f t="shared" si="172"/>
        <v>3960300</v>
      </c>
      <c r="O517" s="42"/>
      <c r="P517" s="42">
        <f t="shared" si="170"/>
        <v>3960300</v>
      </c>
      <c r="Q517" s="42">
        <f t="shared" si="171"/>
        <v>3960300</v>
      </c>
      <c r="R517" s="5"/>
    </row>
    <row r="518" spans="1:18" ht="13.5" x14ac:dyDescent="0.2">
      <c r="A518" s="47" t="s">
        <v>23</v>
      </c>
      <c r="B518" s="47" t="s">
        <v>1108</v>
      </c>
      <c r="C518" s="21" t="s">
        <v>1109</v>
      </c>
      <c r="D518" s="47" t="s">
        <v>1234</v>
      </c>
      <c r="E518" s="21" t="s">
        <v>41</v>
      </c>
      <c r="F518" s="47" t="s">
        <v>32</v>
      </c>
      <c r="G518" s="21" t="s">
        <v>1279</v>
      </c>
      <c r="H518" s="7" t="s">
        <v>1280</v>
      </c>
      <c r="I518" s="8" t="s">
        <v>1285</v>
      </c>
      <c r="J518" s="9">
        <v>2058400</v>
      </c>
      <c r="K518" s="8"/>
      <c r="L518" s="42">
        <f t="shared" si="169"/>
        <v>3087600</v>
      </c>
      <c r="M518" s="8"/>
      <c r="N518" s="42">
        <f t="shared" si="172"/>
        <v>3087600</v>
      </c>
      <c r="O518" s="42">
        <f>N518*1.5</f>
        <v>4631400</v>
      </c>
      <c r="P518" s="42"/>
      <c r="Q518" s="42">
        <f t="shared" si="171"/>
        <v>4631400</v>
      </c>
    </row>
    <row r="519" spans="1:18" ht="13.5" x14ac:dyDescent="0.2">
      <c r="A519" s="47" t="s">
        <v>23</v>
      </c>
      <c r="B519" s="47" t="s">
        <v>1108</v>
      </c>
      <c r="C519" s="21" t="s">
        <v>1109</v>
      </c>
      <c r="D519" s="47" t="s">
        <v>1234</v>
      </c>
      <c r="E519" s="21" t="s">
        <v>41</v>
      </c>
      <c r="F519" s="47" t="s">
        <v>32</v>
      </c>
      <c r="G519" s="21" t="s">
        <v>1291</v>
      </c>
      <c r="H519" s="7" t="s">
        <v>1292</v>
      </c>
      <c r="I519" s="8" t="s">
        <v>1303</v>
      </c>
      <c r="J519" s="9">
        <v>2669700</v>
      </c>
      <c r="K519" s="8"/>
      <c r="L519" s="42">
        <f t="shared" si="169"/>
        <v>4004550</v>
      </c>
      <c r="M519" s="8"/>
      <c r="N519" s="42">
        <f t="shared" si="172"/>
        <v>4004550</v>
      </c>
      <c r="O519" s="42"/>
      <c r="P519" s="42">
        <f t="shared" ref="P519:P529" si="173">N519</f>
        <v>4004550</v>
      </c>
      <c r="Q519" s="42">
        <f t="shared" si="171"/>
        <v>4004550</v>
      </c>
      <c r="R519" s="5"/>
    </row>
    <row r="520" spans="1:18" ht="13.5" x14ac:dyDescent="0.2">
      <c r="A520" s="47" t="s">
        <v>23</v>
      </c>
      <c r="B520" s="47" t="s">
        <v>1108</v>
      </c>
      <c r="C520" s="21" t="s">
        <v>1109</v>
      </c>
      <c r="D520" s="47" t="s">
        <v>1234</v>
      </c>
      <c r="E520" s="21" t="s">
        <v>41</v>
      </c>
      <c r="F520" s="47" t="s">
        <v>32</v>
      </c>
      <c r="G520" s="21" t="s">
        <v>1305</v>
      </c>
      <c r="H520" s="7" t="s">
        <v>1306</v>
      </c>
      <c r="I520" s="8" t="s">
        <v>1307</v>
      </c>
      <c r="J520" s="9">
        <v>2895000</v>
      </c>
      <c r="K520" s="8"/>
      <c r="L520" s="42">
        <f t="shared" si="169"/>
        <v>4342500</v>
      </c>
      <c r="M520" s="8"/>
      <c r="N520" s="42">
        <f t="shared" si="172"/>
        <v>4342500</v>
      </c>
      <c r="O520" s="42"/>
      <c r="P520" s="42">
        <f t="shared" si="173"/>
        <v>4342500</v>
      </c>
      <c r="Q520" s="42">
        <f t="shared" si="171"/>
        <v>4342500</v>
      </c>
      <c r="R520" s="5"/>
    </row>
    <row r="521" spans="1:18" ht="13.5" x14ac:dyDescent="0.2">
      <c r="A521" s="47" t="s">
        <v>23</v>
      </c>
      <c r="B521" s="47" t="s">
        <v>1108</v>
      </c>
      <c r="C521" s="21" t="s">
        <v>1109</v>
      </c>
      <c r="D521" s="47" t="s">
        <v>1234</v>
      </c>
      <c r="E521" s="21" t="s">
        <v>41</v>
      </c>
      <c r="F521" s="47" t="s">
        <v>32</v>
      </c>
      <c r="G521" s="21" t="s">
        <v>1327</v>
      </c>
      <c r="H521" s="7" t="s">
        <v>1328</v>
      </c>
      <c r="I521" s="8" t="s">
        <v>1336</v>
      </c>
      <c r="J521" s="9">
        <v>1137900</v>
      </c>
      <c r="K521" s="8"/>
      <c r="L521" s="42">
        <f t="shared" si="169"/>
        <v>1706850</v>
      </c>
      <c r="M521" s="8"/>
      <c r="N521" s="42">
        <f t="shared" si="172"/>
        <v>1706850</v>
      </c>
      <c r="O521" s="42"/>
      <c r="P521" s="42">
        <f t="shared" si="173"/>
        <v>1706850</v>
      </c>
      <c r="Q521" s="42">
        <f t="shared" si="171"/>
        <v>1706850</v>
      </c>
      <c r="R521" s="5"/>
    </row>
    <row r="522" spans="1:18" ht="13.5" x14ac:dyDescent="0.2">
      <c r="A522" s="47" t="s">
        <v>23</v>
      </c>
      <c r="B522" s="47" t="s">
        <v>1108</v>
      </c>
      <c r="C522" s="21" t="s">
        <v>1109</v>
      </c>
      <c r="D522" s="47" t="s">
        <v>1234</v>
      </c>
      <c r="E522" s="21" t="s">
        <v>41</v>
      </c>
      <c r="F522" s="47" t="s">
        <v>32</v>
      </c>
      <c r="G522" s="21" t="s">
        <v>1327</v>
      </c>
      <c r="H522" s="7" t="s">
        <v>1328</v>
      </c>
      <c r="I522" s="8" t="s">
        <v>1334</v>
      </c>
      <c r="J522" s="9">
        <v>1147700</v>
      </c>
      <c r="K522" s="8"/>
      <c r="L522" s="42">
        <f t="shared" si="169"/>
        <v>1721550</v>
      </c>
      <c r="M522" s="8"/>
      <c r="N522" s="42">
        <f t="shared" si="172"/>
        <v>1721550</v>
      </c>
      <c r="O522" s="42"/>
      <c r="P522" s="42">
        <f t="shared" si="173"/>
        <v>1721550</v>
      </c>
      <c r="Q522" s="42">
        <f t="shared" si="171"/>
        <v>1721550</v>
      </c>
      <c r="R522" s="5"/>
    </row>
    <row r="523" spans="1:18" ht="13.5" x14ac:dyDescent="0.2">
      <c r="A523" s="47" t="s">
        <v>23</v>
      </c>
      <c r="B523" s="47" t="s">
        <v>1108</v>
      </c>
      <c r="C523" s="21" t="s">
        <v>1109</v>
      </c>
      <c r="D523" s="47" t="s">
        <v>1234</v>
      </c>
      <c r="E523" s="21" t="s">
        <v>41</v>
      </c>
      <c r="F523" s="47" t="s">
        <v>32</v>
      </c>
      <c r="G523" s="21" t="s">
        <v>1346</v>
      </c>
      <c r="H523" s="7" t="s">
        <v>1347</v>
      </c>
      <c r="I523" s="8" t="s">
        <v>1351</v>
      </c>
      <c r="J523" s="9">
        <v>4936800</v>
      </c>
      <c r="K523" s="8"/>
      <c r="L523" s="42">
        <f t="shared" si="169"/>
        <v>7405200</v>
      </c>
      <c r="M523" s="8"/>
      <c r="N523" s="42">
        <f t="shared" si="172"/>
        <v>7405200</v>
      </c>
      <c r="O523" s="42"/>
      <c r="P523" s="42">
        <f t="shared" si="173"/>
        <v>7405200</v>
      </c>
      <c r="Q523" s="42">
        <f t="shared" si="171"/>
        <v>7405200</v>
      </c>
      <c r="R523" s="5"/>
    </row>
    <row r="524" spans="1:18" ht="13.5" x14ac:dyDescent="0.2">
      <c r="A524" s="47" t="s">
        <v>23</v>
      </c>
      <c r="B524" s="47" t="s">
        <v>1108</v>
      </c>
      <c r="C524" s="21" t="s">
        <v>1109</v>
      </c>
      <c r="D524" s="47" t="s">
        <v>1234</v>
      </c>
      <c r="E524" s="21" t="s">
        <v>41</v>
      </c>
      <c r="F524" s="47" t="s">
        <v>32</v>
      </c>
      <c r="G524" s="21" t="s">
        <v>1346</v>
      </c>
      <c r="H524" s="7" t="s">
        <v>1347</v>
      </c>
      <c r="I524" s="8" t="s">
        <v>1383</v>
      </c>
      <c r="J524" s="9">
        <v>1840000</v>
      </c>
      <c r="K524" s="8"/>
      <c r="L524" s="42">
        <f t="shared" si="169"/>
        <v>2760000</v>
      </c>
      <c r="M524" s="8"/>
      <c r="N524" s="42">
        <f t="shared" si="172"/>
        <v>2760000</v>
      </c>
      <c r="O524" s="42"/>
      <c r="P524" s="42">
        <f t="shared" si="173"/>
        <v>2760000</v>
      </c>
      <c r="Q524" s="42">
        <f t="shared" si="171"/>
        <v>2760000</v>
      </c>
      <c r="R524" s="5"/>
    </row>
    <row r="525" spans="1:18" ht="13.5" x14ac:dyDescent="0.2">
      <c r="A525" s="47" t="s">
        <v>23</v>
      </c>
      <c r="B525" s="47" t="s">
        <v>1108</v>
      </c>
      <c r="C525" s="21" t="s">
        <v>1109</v>
      </c>
      <c r="D525" s="47" t="s">
        <v>1234</v>
      </c>
      <c r="E525" s="21" t="s">
        <v>41</v>
      </c>
      <c r="F525" s="47" t="s">
        <v>32</v>
      </c>
      <c r="G525" s="21" t="s">
        <v>1346</v>
      </c>
      <c r="H525" s="7" t="s">
        <v>1347</v>
      </c>
      <c r="I525" s="8" t="s">
        <v>1366</v>
      </c>
      <c r="J525" s="9">
        <v>4155200</v>
      </c>
      <c r="K525" s="8"/>
      <c r="L525" s="42">
        <f t="shared" si="169"/>
        <v>6232800</v>
      </c>
      <c r="M525" s="8"/>
      <c r="N525" s="42">
        <f t="shared" si="172"/>
        <v>6232800</v>
      </c>
      <c r="O525" s="42"/>
      <c r="P525" s="42">
        <f t="shared" si="173"/>
        <v>6232800</v>
      </c>
      <c r="Q525" s="42">
        <f t="shared" si="171"/>
        <v>6232800</v>
      </c>
      <c r="R525" s="5"/>
    </row>
    <row r="526" spans="1:18" ht="13.5" x14ac:dyDescent="0.2">
      <c r="A526" s="47" t="s">
        <v>23</v>
      </c>
      <c r="B526" s="47" t="s">
        <v>1108</v>
      </c>
      <c r="C526" s="21" t="s">
        <v>1109</v>
      </c>
      <c r="D526" s="47" t="s">
        <v>1234</v>
      </c>
      <c r="E526" s="21" t="s">
        <v>41</v>
      </c>
      <c r="F526" s="47" t="s">
        <v>32</v>
      </c>
      <c r="G526" s="21" t="s">
        <v>1346</v>
      </c>
      <c r="H526" s="7" t="s">
        <v>1347</v>
      </c>
      <c r="I526" s="8" t="s">
        <v>1349</v>
      </c>
      <c r="J526" s="9">
        <v>5355000</v>
      </c>
      <c r="K526" s="8"/>
      <c r="L526" s="42">
        <f t="shared" si="169"/>
        <v>8032500</v>
      </c>
      <c r="M526" s="8"/>
      <c r="N526" s="42">
        <f t="shared" si="172"/>
        <v>8032500</v>
      </c>
      <c r="O526" s="42"/>
      <c r="P526" s="42">
        <f t="shared" si="173"/>
        <v>8032500</v>
      </c>
      <c r="Q526" s="42">
        <f t="shared" si="171"/>
        <v>8032500</v>
      </c>
      <c r="R526" s="5"/>
    </row>
    <row r="527" spans="1:18" ht="13.5" x14ac:dyDescent="0.2">
      <c r="A527" s="47" t="s">
        <v>23</v>
      </c>
      <c r="B527" s="47" t="s">
        <v>1108</v>
      </c>
      <c r="C527" s="21" t="s">
        <v>1109</v>
      </c>
      <c r="D527" s="47" t="s">
        <v>1234</v>
      </c>
      <c r="E527" s="21" t="s">
        <v>41</v>
      </c>
      <c r="F527" s="47" t="s">
        <v>32</v>
      </c>
      <c r="G527" s="21" t="s">
        <v>1346</v>
      </c>
      <c r="H527" s="7" t="s">
        <v>1347</v>
      </c>
      <c r="I527" s="8" t="s">
        <v>1353</v>
      </c>
      <c r="J527" s="9">
        <v>6831600</v>
      </c>
      <c r="K527" s="8"/>
      <c r="L527" s="42">
        <f t="shared" si="169"/>
        <v>10247400</v>
      </c>
      <c r="M527" s="8"/>
      <c r="N527" s="42">
        <f t="shared" si="172"/>
        <v>10247400</v>
      </c>
      <c r="O527" s="42"/>
      <c r="P527" s="42">
        <f t="shared" si="173"/>
        <v>10247400</v>
      </c>
      <c r="Q527" s="42">
        <f t="shared" si="171"/>
        <v>10247400</v>
      </c>
      <c r="R527" s="5"/>
    </row>
    <row r="528" spans="1:18" ht="13.5" x14ac:dyDescent="0.2">
      <c r="A528" s="47" t="s">
        <v>23</v>
      </c>
      <c r="B528" s="47" t="s">
        <v>1108</v>
      </c>
      <c r="C528" s="21" t="s">
        <v>1109</v>
      </c>
      <c r="D528" s="47" t="s">
        <v>1234</v>
      </c>
      <c r="E528" s="21" t="s">
        <v>41</v>
      </c>
      <c r="F528" s="47" t="s">
        <v>32</v>
      </c>
      <c r="G528" s="21" t="s">
        <v>1346</v>
      </c>
      <c r="H528" s="7" t="s">
        <v>1347</v>
      </c>
      <c r="I528" s="8" t="s">
        <v>1360</v>
      </c>
      <c r="J528" s="9">
        <v>4332600</v>
      </c>
      <c r="K528" s="8"/>
      <c r="L528" s="42">
        <f t="shared" si="169"/>
        <v>6498900</v>
      </c>
      <c r="M528" s="8"/>
      <c r="N528" s="42">
        <f t="shared" si="172"/>
        <v>6498900</v>
      </c>
      <c r="O528" s="42"/>
      <c r="P528" s="42">
        <f t="shared" si="173"/>
        <v>6498900</v>
      </c>
      <c r="Q528" s="42">
        <f t="shared" si="171"/>
        <v>6498900</v>
      </c>
      <c r="R528" s="5"/>
    </row>
    <row r="529" spans="1:18" ht="13.5" x14ac:dyDescent="0.2">
      <c r="A529" s="47" t="s">
        <v>23</v>
      </c>
      <c r="B529" s="47" t="s">
        <v>1108</v>
      </c>
      <c r="C529" s="21" t="s">
        <v>1109</v>
      </c>
      <c r="D529" s="47" t="s">
        <v>1234</v>
      </c>
      <c r="E529" s="21" t="s">
        <v>41</v>
      </c>
      <c r="F529" s="47" t="s">
        <v>32</v>
      </c>
      <c r="G529" s="21" t="s">
        <v>1385</v>
      </c>
      <c r="H529" s="7" t="s">
        <v>1386</v>
      </c>
      <c r="I529" s="8" t="s">
        <v>1391</v>
      </c>
      <c r="J529" s="9">
        <v>5993200</v>
      </c>
      <c r="K529" s="8"/>
      <c r="L529" s="42">
        <f t="shared" si="169"/>
        <v>8989800</v>
      </c>
      <c r="M529" s="8"/>
      <c r="N529" s="42">
        <f t="shared" si="172"/>
        <v>8989800</v>
      </c>
      <c r="O529" s="42"/>
      <c r="P529" s="42">
        <f t="shared" si="173"/>
        <v>8989800</v>
      </c>
      <c r="Q529" s="42">
        <f t="shared" si="171"/>
        <v>8989800</v>
      </c>
      <c r="R529" s="5"/>
    </row>
    <row r="530" spans="1:18" ht="13.5" hidden="1" x14ac:dyDescent="0.2">
      <c r="A530" s="12" t="s">
        <v>23</v>
      </c>
      <c r="B530" s="12" t="s">
        <v>1108</v>
      </c>
      <c r="C530" s="13" t="s">
        <v>1109</v>
      </c>
      <c r="D530" s="12" t="s">
        <v>1234</v>
      </c>
      <c r="E530" s="13" t="s">
        <v>233</v>
      </c>
      <c r="F530" s="12" t="s">
        <v>181</v>
      </c>
      <c r="G530" s="13" t="s">
        <v>1305</v>
      </c>
      <c r="H530" s="12" t="s">
        <v>1306</v>
      </c>
      <c r="I530" s="13" t="s">
        <v>1325</v>
      </c>
      <c r="J530" s="14" t="s">
        <v>3946</v>
      </c>
      <c r="K530" s="18"/>
      <c r="L530" s="18"/>
      <c r="M530" s="18"/>
      <c r="N530" s="20" t="str">
        <f t="shared" ref="N530:N545" si="174">J530</f>
        <v>-</v>
      </c>
      <c r="O530"/>
      <c r="P530"/>
    </row>
    <row r="531" spans="1:18" ht="13.5" x14ac:dyDescent="0.2">
      <c r="A531" s="47" t="s">
        <v>23</v>
      </c>
      <c r="B531" s="47" t="s">
        <v>1108</v>
      </c>
      <c r="C531" s="21" t="s">
        <v>1109</v>
      </c>
      <c r="D531" s="47" t="s">
        <v>1234</v>
      </c>
      <c r="E531" s="21" t="s">
        <v>356</v>
      </c>
      <c r="F531" s="47" t="s">
        <v>357</v>
      </c>
      <c r="G531" s="21" t="s">
        <v>1385</v>
      </c>
      <c r="H531" s="7" t="s">
        <v>1386</v>
      </c>
      <c r="I531" s="8" t="s">
        <v>1389</v>
      </c>
      <c r="J531" s="9">
        <v>4188400</v>
      </c>
      <c r="K531" s="8"/>
      <c r="L531" s="8"/>
      <c r="M531" s="8"/>
      <c r="N531" s="42">
        <f t="shared" si="174"/>
        <v>4188400</v>
      </c>
      <c r="O531" s="42">
        <f>N531*1.5</f>
        <v>6282600</v>
      </c>
      <c r="P531" s="42"/>
      <c r="Q531" s="42">
        <f t="shared" ref="Q531:Q572" si="175">SUM(O531:P531)</f>
        <v>6282600</v>
      </c>
    </row>
    <row r="532" spans="1:18" ht="13.5" x14ac:dyDescent="0.2">
      <c r="A532" s="47" t="s">
        <v>23</v>
      </c>
      <c r="B532" s="47" t="s">
        <v>1108</v>
      </c>
      <c r="C532" s="21" t="s">
        <v>1109</v>
      </c>
      <c r="D532" s="47" t="s">
        <v>1234</v>
      </c>
      <c r="E532" s="21" t="s">
        <v>610</v>
      </c>
      <c r="F532" s="47" t="s">
        <v>611</v>
      </c>
      <c r="G532" s="21" t="s">
        <v>1346</v>
      </c>
      <c r="H532" s="7" t="s">
        <v>1347</v>
      </c>
      <c r="I532" s="8" t="s">
        <v>1356</v>
      </c>
      <c r="J532" s="9">
        <v>222000</v>
      </c>
      <c r="K532" s="8"/>
      <c r="L532" s="8"/>
      <c r="M532" s="8"/>
      <c r="N532" s="42">
        <f t="shared" si="174"/>
        <v>222000</v>
      </c>
      <c r="O532" s="42"/>
      <c r="P532" s="42">
        <f t="shared" ref="P532:P533" si="176">N532</f>
        <v>222000</v>
      </c>
      <c r="Q532" s="42">
        <f t="shared" si="175"/>
        <v>222000</v>
      </c>
      <c r="R532" s="5"/>
    </row>
    <row r="533" spans="1:18" ht="13.5" x14ac:dyDescent="0.2">
      <c r="A533" s="47" t="s">
        <v>23</v>
      </c>
      <c r="B533" s="47" t="s">
        <v>1108</v>
      </c>
      <c r="C533" s="21" t="s">
        <v>1109</v>
      </c>
      <c r="D533" s="47" t="s">
        <v>1397</v>
      </c>
      <c r="E533" s="21" t="s">
        <v>107</v>
      </c>
      <c r="F533" s="47" t="s">
        <v>32</v>
      </c>
      <c r="G533" s="21" t="s">
        <v>1398</v>
      </c>
      <c r="H533" s="7" t="s">
        <v>1399</v>
      </c>
      <c r="I533" s="8" t="s">
        <v>1412</v>
      </c>
      <c r="J533" s="9">
        <v>1520000</v>
      </c>
      <c r="K533" s="8"/>
      <c r="L533" s="8"/>
      <c r="M533" s="8"/>
      <c r="N533" s="42">
        <f t="shared" si="174"/>
        <v>1520000</v>
      </c>
      <c r="O533" s="42"/>
      <c r="P533" s="42">
        <f t="shared" si="176"/>
        <v>1520000</v>
      </c>
      <c r="Q533" s="42">
        <f t="shared" si="175"/>
        <v>1520000</v>
      </c>
      <c r="R533" s="5"/>
    </row>
    <row r="534" spans="1:18" ht="13.5" x14ac:dyDescent="0.2">
      <c r="A534" s="47" t="s">
        <v>23</v>
      </c>
      <c r="B534" s="47" t="s">
        <v>1108</v>
      </c>
      <c r="C534" s="21" t="s">
        <v>1109</v>
      </c>
      <c r="D534" s="47" t="s">
        <v>1397</v>
      </c>
      <c r="E534" s="21" t="s">
        <v>107</v>
      </c>
      <c r="F534" s="47" t="s">
        <v>32</v>
      </c>
      <c r="G534" s="21" t="s">
        <v>1454</v>
      </c>
      <c r="H534" s="7" t="s">
        <v>1455</v>
      </c>
      <c r="I534" s="8" t="s">
        <v>1466</v>
      </c>
      <c r="J534" s="9">
        <v>1560000</v>
      </c>
      <c r="K534" s="8"/>
      <c r="L534" s="8"/>
      <c r="M534" s="8"/>
      <c r="N534" s="42">
        <f t="shared" si="174"/>
        <v>1560000</v>
      </c>
      <c r="O534" s="42">
        <f t="shared" ref="O534:O535" si="177">N534*1.5</f>
        <v>2340000</v>
      </c>
      <c r="P534" s="42"/>
      <c r="Q534" s="42">
        <f t="shared" si="175"/>
        <v>2340000</v>
      </c>
    </row>
    <row r="535" spans="1:18" ht="13.5" x14ac:dyDescent="0.2">
      <c r="A535" s="47" t="s">
        <v>23</v>
      </c>
      <c r="B535" s="47" t="s">
        <v>1108</v>
      </c>
      <c r="C535" s="21" t="s">
        <v>1109</v>
      </c>
      <c r="D535" s="47" t="s">
        <v>1397</v>
      </c>
      <c r="E535" s="21" t="s">
        <v>128</v>
      </c>
      <c r="F535" s="47" t="s">
        <v>32</v>
      </c>
      <c r="G535" s="21" t="s">
        <v>1470</v>
      </c>
      <c r="H535" s="7" t="s">
        <v>1471</v>
      </c>
      <c r="I535" s="8" t="s">
        <v>1472</v>
      </c>
      <c r="J535" s="9">
        <v>864000</v>
      </c>
      <c r="K535" s="8"/>
      <c r="L535" s="8"/>
      <c r="M535" s="8"/>
      <c r="N535" s="42">
        <f t="shared" si="174"/>
        <v>864000</v>
      </c>
      <c r="O535" s="42">
        <f t="shared" si="177"/>
        <v>1296000</v>
      </c>
      <c r="P535" s="42"/>
      <c r="Q535" s="42">
        <f t="shared" si="175"/>
        <v>1296000</v>
      </c>
    </row>
    <row r="536" spans="1:18" ht="13.5" x14ac:dyDescent="0.2">
      <c r="A536" s="47" t="s">
        <v>23</v>
      </c>
      <c r="B536" s="47" t="s">
        <v>1108</v>
      </c>
      <c r="C536" s="21" t="s">
        <v>1109</v>
      </c>
      <c r="D536" s="47" t="s">
        <v>1397</v>
      </c>
      <c r="E536" s="21" t="s">
        <v>31</v>
      </c>
      <c r="F536" s="47" t="s">
        <v>32</v>
      </c>
      <c r="G536" s="21" t="s">
        <v>1398</v>
      </c>
      <c r="H536" s="7" t="s">
        <v>1399</v>
      </c>
      <c r="I536" s="8" t="s">
        <v>1407</v>
      </c>
      <c r="J536" s="9">
        <v>5299500</v>
      </c>
      <c r="K536" s="8"/>
      <c r="L536" s="8"/>
      <c r="M536" s="8"/>
      <c r="N536" s="42">
        <f t="shared" si="174"/>
        <v>5299500</v>
      </c>
      <c r="O536" s="42"/>
      <c r="P536" s="42">
        <f>N536</f>
        <v>5299500</v>
      </c>
      <c r="Q536" s="42">
        <f t="shared" si="175"/>
        <v>5299500</v>
      </c>
      <c r="R536" s="5"/>
    </row>
    <row r="537" spans="1:18" ht="13.5" x14ac:dyDescent="0.2">
      <c r="A537" s="47" t="s">
        <v>23</v>
      </c>
      <c r="B537" s="47" t="s">
        <v>1108</v>
      </c>
      <c r="C537" s="21" t="s">
        <v>1109</v>
      </c>
      <c r="D537" s="47" t="s">
        <v>1397</v>
      </c>
      <c r="E537" s="21" t="s">
        <v>31</v>
      </c>
      <c r="F537" s="47" t="s">
        <v>32</v>
      </c>
      <c r="G537" s="21" t="s">
        <v>1398</v>
      </c>
      <c r="H537" s="7" t="s">
        <v>1399</v>
      </c>
      <c r="I537" s="8" t="s">
        <v>1410</v>
      </c>
      <c r="J537" s="9">
        <v>1340200</v>
      </c>
      <c r="K537" s="8"/>
      <c r="L537" s="8"/>
      <c r="M537" s="8"/>
      <c r="N537" s="42">
        <f t="shared" si="174"/>
        <v>1340200</v>
      </c>
      <c r="O537" s="42">
        <f t="shared" ref="O537:O540" si="178">N537*1.5</f>
        <v>2010300</v>
      </c>
      <c r="P537" s="42"/>
      <c r="Q537" s="42">
        <f t="shared" si="175"/>
        <v>2010300</v>
      </c>
    </row>
    <row r="538" spans="1:18" ht="13.5" x14ac:dyDescent="0.2">
      <c r="A538" s="47" t="s">
        <v>23</v>
      </c>
      <c r="B538" s="47" t="s">
        <v>1108</v>
      </c>
      <c r="C538" s="21" t="s">
        <v>1109</v>
      </c>
      <c r="D538" s="47" t="s">
        <v>1397</v>
      </c>
      <c r="E538" s="21" t="s">
        <v>31</v>
      </c>
      <c r="F538" s="47" t="s">
        <v>32</v>
      </c>
      <c r="G538" s="21" t="s">
        <v>1417</v>
      </c>
      <c r="H538" s="7" t="s">
        <v>1418</v>
      </c>
      <c r="I538" s="8" t="s">
        <v>1427</v>
      </c>
      <c r="J538" s="9">
        <v>8281570</v>
      </c>
      <c r="K538" s="8"/>
      <c r="L538" s="8"/>
      <c r="M538" s="8"/>
      <c r="N538" s="42">
        <f t="shared" si="174"/>
        <v>8281570</v>
      </c>
      <c r="O538" s="42">
        <f t="shared" si="178"/>
        <v>12422355</v>
      </c>
      <c r="P538" s="42"/>
      <c r="Q538" s="42">
        <f t="shared" si="175"/>
        <v>12422355</v>
      </c>
    </row>
    <row r="539" spans="1:18" ht="13.5" x14ac:dyDescent="0.2">
      <c r="A539" s="47" t="s">
        <v>23</v>
      </c>
      <c r="B539" s="47" t="s">
        <v>1108</v>
      </c>
      <c r="C539" s="21" t="s">
        <v>1109</v>
      </c>
      <c r="D539" s="47" t="s">
        <v>1397</v>
      </c>
      <c r="E539" s="21" t="s">
        <v>31</v>
      </c>
      <c r="F539" s="47" t="s">
        <v>32</v>
      </c>
      <c r="G539" s="21" t="s">
        <v>1454</v>
      </c>
      <c r="H539" s="7" t="s">
        <v>1455</v>
      </c>
      <c r="I539" s="8" t="s">
        <v>1456</v>
      </c>
      <c r="J539" s="9">
        <v>334000</v>
      </c>
      <c r="K539" s="8"/>
      <c r="L539" s="8"/>
      <c r="M539" s="8"/>
      <c r="N539" s="42">
        <f t="shared" si="174"/>
        <v>334000</v>
      </c>
      <c r="O539" s="42">
        <f t="shared" si="178"/>
        <v>501000</v>
      </c>
      <c r="P539" s="42"/>
      <c r="Q539" s="42">
        <f t="shared" si="175"/>
        <v>501000</v>
      </c>
    </row>
    <row r="540" spans="1:18" ht="13.5" x14ac:dyDescent="0.2">
      <c r="A540" s="47" t="s">
        <v>23</v>
      </c>
      <c r="B540" s="47" t="s">
        <v>1108</v>
      </c>
      <c r="C540" s="21" t="s">
        <v>1109</v>
      </c>
      <c r="D540" s="47" t="s">
        <v>1397</v>
      </c>
      <c r="E540" s="21" t="s">
        <v>31</v>
      </c>
      <c r="F540" s="47" t="s">
        <v>32</v>
      </c>
      <c r="G540" s="21" t="s">
        <v>1454</v>
      </c>
      <c r="H540" s="7" t="s">
        <v>1455</v>
      </c>
      <c r="I540" s="8" t="s">
        <v>1468</v>
      </c>
      <c r="J540" s="9">
        <v>4706400</v>
      </c>
      <c r="K540" s="8"/>
      <c r="L540" s="8"/>
      <c r="M540" s="8"/>
      <c r="N540" s="42">
        <f t="shared" si="174"/>
        <v>4706400</v>
      </c>
      <c r="O540" s="42">
        <f t="shared" si="178"/>
        <v>7059600</v>
      </c>
      <c r="P540" s="42"/>
      <c r="Q540" s="42">
        <f t="shared" si="175"/>
        <v>7059600</v>
      </c>
    </row>
    <row r="541" spans="1:18" ht="13.5" x14ac:dyDescent="0.2">
      <c r="A541" s="47" t="s">
        <v>23</v>
      </c>
      <c r="B541" s="47" t="s">
        <v>1108</v>
      </c>
      <c r="C541" s="21" t="s">
        <v>1109</v>
      </c>
      <c r="D541" s="47" t="s">
        <v>1397</v>
      </c>
      <c r="E541" s="21" t="s">
        <v>31</v>
      </c>
      <c r="F541" s="47" t="s">
        <v>32</v>
      </c>
      <c r="G541" s="21" t="s">
        <v>1454</v>
      </c>
      <c r="H541" s="7" t="s">
        <v>1455</v>
      </c>
      <c r="I541" s="8" t="s">
        <v>1460</v>
      </c>
      <c r="J541" s="9">
        <v>917400</v>
      </c>
      <c r="K541" s="8"/>
      <c r="L541" s="8"/>
      <c r="M541" s="8"/>
      <c r="N541" s="42">
        <f t="shared" si="174"/>
        <v>917400</v>
      </c>
      <c r="O541" s="42"/>
      <c r="P541" s="42">
        <f>N541</f>
        <v>917400</v>
      </c>
      <c r="Q541" s="42">
        <f t="shared" si="175"/>
        <v>917400</v>
      </c>
      <c r="R541" s="5"/>
    </row>
    <row r="542" spans="1:18" ht="13.5" x14ac:dyDescent="0.2">
      <c r="A542" s="47" t="s">
        <v>23</v>
      </c>
      <c r="B542" s="47" t="s">
        <v>1108</v>
      </c>
      <c r="C542" s="21" t="s">
        <v>1109</v>
      </c>
      <c r="D542" s="47" t="s">
        <v>1397</v>
      </c>
      <c r="E542" s="21" t="s">
        <v>31</v>
      </c>
      <c r="F542" s="47" t="s">
        <v>32</v>
      </c>
      <c r="G542" s="21" t="s">
        <v>1470</v>
      </c>
      <c r="H542" s="7" t="s">
        <v>1471</v>
      </c>
      <c r="I542" s="8" t="s">
        <v>1474</v>
      </c>
      <c r="J542" s="9">
        <v>383200</v>
      </c>
      <c r="K542" s="8"/>
      <c r="L542" s="8"/>
      <c r="M542" s="8"/>
      <c r="N542" s="42">
        <f t="shared" si="174"/>
        <v>383200</v>
      </c>
      <c r="O542" s="42">
        <f t="shared" ref="O542:O544" si="179">N542*1.5</f>
        <v>574800</v>
      </c>
      <c r="P542" s="42"/>
      <c r="Q542" s="42">
        <f t="shared" si="175"/>
        <v>574800</v>
      </c>
    </row>
    <row r="543" spans="1:18" ht="13.5" x14ac:dyDescent="0.2">
      <c r="A543" s="47" t="s">
        <v>23</v>
      </c>
      <c r="B543" s="47" t="s">
        <v>1108</v>
      </c>
      <c r="C543" s="21" t="s">
        <v>1109</v>
      </c>
      <c r="D543" s="47" t="s">
        <v>1397</v>
      </c>
      <c r="E543" s="21" t="s">
        <v>31</v>
      </c>
      <c r="F543" s="47" t="s">
        <v>32</v>
      </c>
      <c r="G543" s="21" t="s">
        <v>1470</v>
      </c>
      <c r="H543" s="7" t="s">
        <v>1471</v>
      </c>
      <c r="I543" s="8" t="s">
        <v>1489</v>
      </c>
      <c r="J543" s="9">
        <v>908000</v>
      </c>
      <c r="K543" s="8"/>
      <c r="L543" s="8"/>
      <c r="M543" s="8"/>
      <c r="N543" s="42">
        <f t="shared" si="174"/>
        <v>908000</v>
      </c>
      <c r="O543" s="42">
        <f t="shared" si="179"/>
        <v>1362000</v>
      </c>
      <c r="P543" s="42"/>
      <c r="Q543" s="42">
        <f t="shared" si="175"/>
        <v>1362000</v>
      </c>
    </row>
    <row r="544" spans="1:18" ht="13.5" x14ac:dyDescent="0.2">
      <c r="A544" s="47" t="s">
        <v>23</v>
      </c>
      <c r="B544" s="47" t="s">
        <v>1108</v>
      </c>
      <c r="C544" s="21" t="s">
        <v>1109</v>
      </c>
      <c r="D544" s="47" t="s">
        <v>1397</v>
      </c>
      <c r="E544" s="21" t="s">
        <v>31</v>
      </c>
      <c r="F544" s="47" t="s">
        <v>32</v>
      </c>
      <c r="G544" s="21" t="s">
        <v>1470</v>
      </c>
      <c r="H544" s="7" t="s">
        <v>1471</v>
      </c>
      <c r="I544" s="8" t="s">
        <v>1491</v>
      </c>
      <c r="J544" s="9">
        <v>2856000</v>
      </c>
      <c r="K544" s="8"/>
      <c r="L544" s="8"/>
      <c r="M544" s="8"/>
      <c r="N544" s="42">
        <f t="shared" si="174"/>
        <v>2856000</v>
      </c>
      <c r="O544" s="42">
        <f t="shared" si="179"/>
        <v>4284000</v>
      </c>
      <c r="P544" s="42"/>
      <c r="Q544" s="42">
        <f t="shared" si="175"/>
        <v>4284000</v>
      </c>
    </row>
    <row r="545" spans="1:18" ht="13.5" x14ac:dyDescent="0.2">
      <c r="A545" s="47" t="s">
        <v>23</v>
      </c>
      <c r="B545" s="47" t="s">
        <v>1108</v>
      </c>
      <c r="C545" s="21" t="s">
        <v>1109</v>
      </c>
      <c r="D545" s="47" t="s">
        <v>1397</v>
      </c>
      <c r="E545" s="21" t="s">
        <v>31</v>
      </c>
      <c r="F545" s="47" t="s">
        <v>32</v>
      </c>
      <c r="G545" s="21" t="s">
        <v>1470</v>
      </c>
      <c r="H545" s="7" t="s">
        <v>1471</v>
      </c>
      <c r="I545" s="8" t="s">
        <v>1482</v>
      </c>
      <c r="J545" s="9">
        <v>1437200</v>
      </c>
      <c r="K545" s="8"/>
      <c r="L545" s="8"/>
      <c r="M545" s="8"/>
      <c r="N545" s="42">
        <f t="shared" si="174"/>
        <v>1437200</v>
      </c>
      <c r="O545" s="42"/>
      <c r="P545" s="42">
        <f>N545</f>
        <v>1437200</v>
      </c>
      <c r="Q545" s="42">
        <f t="shared" si="175"/>
        <v>1437200</v>
      </c>
      <c r="R545" s="5"/>
    </row>
    <row r="546" spans="1:18" ht="13.5" x14ac:dyDescent="0.2">
      <c r="A546" s="47" t="s">
        <v>23</v>
      </c>
      <c r="B546" s="47" t="s">
        <v>1108</v>
      </c>
      <c r="C546" s="21" t="s">
        <v>1109</v>
      </c>
      <c r="D546" s="47" t="s">
        <v>1397</v>
      </c>
      <c r="E546" s="21" t="s">
        <v>41</v>
      </c>
      <c r="F546" s="47" t="s">
        <v>32</v>
      </c>
      <c r="G546" s="21" t="s">
        <v>1398</v>
      </c>
      <c r="H546" s="7" t="s">
        <v>1399</v>
      </c>
      <c r="I546" s="8" t="s">
        <v>1285</v>
      </c>
      <c r="J546" s="9">
        <v>2058400</v>
      </c>
      <c r="K546" s="8"/>
      <c r="L546" s="42">
        <f t="shared" ref="L546:L569" si="180">J546*1.5</f>
        <v>3087600</v>
      </c>
      <c r="M546" s="8"/>
      <c r="N546" s="42">
        <f t="shared" si="172"/>
        <v>3087600</v>
      </c>
      <c r="O546" s="42">
        <f>N546*1.5</f>
        <v>4631400</v>
      </c>
      <c r="P546" s="42"/>
      <c r="Q546" s="42">
        <f t="shared" si="175"/>
        <v>4631400</v>
      </c>
    </row>
    <row r="547" spans="1:18" ht="13.5" x14ac:dyDescent="0.2">
      <c r="A547" s="47" t="s">
        <v>23</v>
      </c>
      <c r="B547" s="47" t="s">
        <v>1108</v>
      </c>
      <c r="C547" s="21" t="s">
        <v>1109</v>
      </c>
      <c r="D547" s="47" t="s">
        <v>1397</v>
      </c>
      <c r="E547" s="21" t="s">
        <v>41</v>
      </c>
      <c r="F547" s="47" t="s">
        <v>32</v>
      </c>
      <c r="G547" s="21" t="s">
        <v>1398</v>
      </c>
      <c r="H547" s="7" t="s">
        <v>1399</v>
      </c>
      <c r="I547" s="8" t="s">
        <v>1405</v>
      </c>
      <c r="J547" s="9">
        <v>2986800</v>
      </c>
      <c r="K547" s="8"/>
      <c r="L547" s="42">
        <f t="shared" si="180"/>
        <v>4480200</v>
      </c>
      <c r="M547" s="8"/>
      <c r="N547" s="42">
        <f t="shared" si="172"/>
        <v>4480200</v>
      </c>
      <c r="O547" s="42"/>
      <c r="P547" s="42">
        <f t="shared" ref="P547:P557" si="181">N547</f>
        <v>4480200</v>
      </c>
      <c r="Q547" s="42">
        <f t="shared" si="175"/>
        <v>4480200</v>
      </c>
      <c r="R547" s="5"/>
    </row>
    <row r="548" spans="1:18" ht="13.5" x14ac:dyDescent="0.2">
      <c r="A548" s="47" t="s">
        <v>23</v>
      </c>
      <c r="B548" s="47" t="s">
        <v>1108</v>
      </c>
      <c r="C548" s="21" t="s">
        <v>1109</v>
      </c>
      <c r="D548" s="47" t="s">
        <v>1397</v>
      </c>
      <c r="E548" s="21" t="s">
        <v>41</v>
      </c>
      <c r="F548" s="47" t="s">
        <v>32</v>
      </c>
      <c r="G548" s="21" t="s">
        <v>1398</v>
      </c>
      <c r="H548" s="7" t="s">
        <v>1399</v>
      </c>
      <c r="I548" s="8" t="s">
        <v>104</v>
      </c>
      <c r="J548" s="9">
        <v>7910000</v>
      </c>
      <c r="K548" s="8"/>
      <c r="L548" s="42">
        <f t="shared" si="180"/>
        <v>11865000</v>
      </c>
      <c r="M548" s="8"/>
      <c r="N548" s="42">
        <f t="shared" si="172"/>
        <v>11865000</v>
      </c>
      <c r="O548" s="42"/>
      <c r="P548" s="42">
        <f t="shared" si="181"/>
        <v>11865000</v>
      </c>
      <c r="Q548" s="42">
        <f t="shared" si="175"/>
        <v>11865000</v>
      </c>
      <c r="R548" s="5"/>
    </row>
    <row r="549" spans="1:18" ht="13.5" x14ac:dyDescent="0.2">
      <c r="A549" s="47" t="s">
        <v>23</v>
      </c>
      <c r="B549" s="47" t="s">
        <v>1108</v>
      </c>
      <c r="C549" s="21" t="s">
        <v>1109</v>
      </c>
      <c r="D549" s="47" t="s">
        <v>1397</v>
      </c>
      <c r="E549" s="21" t="s">
        <v>41</v>
      </c>
      <c r="F549" s="47" t="s">
        <v>32</v>
      </c>
      <c r="G549" s="21" t="s">
        <v>1398</v>
      </c>
      <c r="H549" s="7" t="s">
        <v>1399</v>
      </c>
      <c r="I549" s="8" t="s">
        <v>1401</v>
      </c>
      <c r="J549" s="9">
        <v>4284000</v>
      </c>
      <c r="K549" s="8"/>
      <c r="L549" s="42">
        <f t="shared" si="180"/>
        <v>6426000</v>
      </c>
      <c r="M549" s="8"/>
      <c r="N549" s="42">
        <f t="shared" si="172"/>
        <v>6426000</v>
      </c>
      <c r="O549" s="42"/>
      <c r="P549" s="42">
        <f t="shared" si="181"/>
        <v>6426000</v>
      </c>
      <c r="Q549" s="42">
        <f t="shared" si="175"/>
        <v>6426000</v>
      </c>
      <c r="R549" s="5"/>
    </row>
    <row r="550" spans="1:18" ht="13.5" x14ac:dyDescent="0.2">
      <c r="A550" s="47" t="s">
        <v>23</v>
      </c>
      <c r="B550" s="47" t="s">
        <v>1108</v>
      </c>
      <c r="C550" s="21" t="s">
        <v>1109</v>
      </c>
      <c r="D550" s="47" t="s">
        <v>1397</v>
      </c>
      <c r="E550" s="21" t="s">
        <v>41</v>
      </c>
      <c r="F550" s="47" t="s">
        <v>32</v>
      </c>
      <c r="G550" s="21" t="s">
        <v>1398</v>
      </c>
      <c r="H550" s="7" t="s">
        <v>1399</v>
      </c>
      <c r="I550" s="8" t="s">
        <v>1403</v>
      </c>
      <c r="J550" s="9">
        <v>2364800</v>
      </c>
      <c r="K550" s="8"/>
      <c r="L550" s="42">
        <f t="shared" si="180"/>
        <v>3547200</v>
      </c>
      <c r="M550" s="8"/>
      <c r="N550" s="42">
        <f t="shared" si="172"/>
        <v>3547200</v>
      </c>
      <c r="O550" s="42"/>
      <c r="P550" s="42">
        <f t="shared" si="181"/>
        <v>3547200</v>
      </c>
      <c r="Q550" s="42">
        <f t="shared" si="175"/>
        <v>3547200</v>
      </c>
      <c r="R550" s="5"/>
    </row>
    <row r="551" spans="1:18" ht="13.5" x14ac:dyDescent="0.2">
      <c r="A551" s="47" t="s">
        <v>23</v>
      </c>
      <c r="B551" s="47" t="s">
        <v>1108</v>
      </c>
      <c r="C551" s="21" t="s">
        <v>1109</v>
      </c>
      <c r="D551" s="47" t="s">
        <v>1397</v>
      </c>
      <c r="E551" s="21" t="s">
        <v>41</v>
      </c>
      <c r="F551" s="47" t="s">
        <v>32</v>
      </c>
      <c r="G551" s="21" t="s">
        <v>1417</v>
      </c>
      <c r="H551" s="7" t="s">
        <v>1418</v>
      </c>
      <c r="I551" s="8" t="s">
        <v>1423</v>
      </c>
      <c r="J551" s="9">
        <v>14422100</v>
      </c>
      <c r="K551" s="8"/>
      <c r="L551" s="42">
        <f t="shared" si="180"/>
        <v>21633150</v>
      </c>
      <c r="M551" s="8"/>
      <c r="N551" s="42">
        <f t="shared" si="172"/>
        <v>21633150</v>
      </c>
      <c r="O551" s="42"/>
      <c r="P551" s="42">
        <f t="shared" si="181"/>
        <v>21633150</v>
      </c>
      <c r="Q551" s="42">
        <f t="shared" si="175"/>
        <v>21633150</v>
      </c>
      <c r="R551" s="5"/>
    </row>
    <row r="552" spans="1:18" ht="13.5" x14ac:dyDescent="0.2">
      <c r="A552" s="47" t="s">
        <v>23</v>
      </c>
      <c r="B552" s="47" t="s">
        <v>1108</v>
      </c>
      <c r="C552" s="21" t="s">
        <v>1109</v>
      </c>
      <c r="D552" s="47" t="s">
        <v>1397</v>
      </c>
      <c r="E552" s="21" t="s">
        <v>41</v>
      </c>
      <c r="F552" s="47" t="s">
        <v>32</v>
      </c>
      <c r="G552" s="21" t="s">
        <v>1417</v>
      </c>
      <c r="H552" s="7" t="s">
        <v>1418</v>
      </c>
      <c r="I552" s="8" t="s">
        <v>1445</v>
      </c>
      <c r="J552" s="9">
        <v>1099000</v>
      </c>
      <c r="K552" s="8"/>
      <c r="L552" s="42">
        <f t="shared" si="180"/>
        <v>1648500</v>
      </c>
      <c r="M552" s="8"/>
      <c r="N552" s="42">
        <f t="shared" si="172"/>
        <v>1648500</v>
      </c>
      <c r="O552" s="42"/>
      <c r="P552" s="42">
        <f t="shared" si="181"/>
        <v>1648500</v>
      </c>
      <c r="Q552" s="42">
        <f t="shared" si="175"/>
        <v>1648500</v>
      </c>
      <c r="R552" s="5"/>
    </row>
    <row r="553" spans="1:18" ht="13.5" x14ac:dyDescent="0.2">
      <c r="A553" s="47" t="s">
        <v>23</v>
      </c>
      <c r="B553" s="47" t="s">
        <v>1108</v>
      </c>
      <c r="C553" s="21" t="s">
        <v>1109</v>
      </c>
      <c r="D553" s="47" t="s">
        <v>1397</v>
      </c>
      <c r="E553" s="21" t="s">
        <v>41</v>
      </c>
      <c r="F553" s="47" t="s">
        <v>32</v>
      </c>
      <c r="G553" s="21" t="s">
        <v>1417</v>
      </c>
      <c r="H553" s="7" t="s">
        <v>1418</v>
      </c>
      <c r="I553" s="8" t="s">
        <v>1447</v>
      </c>
      <c r="J553" s="9">
        <v>3510600</v>
      </c>
      <c r="K553" s="8"/>
      <c r="L553" s="42">
        <f t="shared" si="180"/>
        <v>5265900</v>
      </c>
      <c r="M553" s="8"/>
      <c r="N553" s="42">
        <f t="shared" si="172"/>
        <v>5265900</v>
      </c>
      <c r="O553" s="42"/>
      <c r="P553" s="42">
        <f t="shared" si="181"/>
        <v>5265900</v>
      </c>
      <c r="Q553" s="42">
        <f t="shared" si="175"/>
        <v>5265900</v>
      </c>
      <c r="R553" s="5"/>
    </row>
    <row r="554" spans="1:18" ht="13.5" x14ac:dyDescent="0.2">
      <c r="A554" s="47" t="s">
        <v>23</v>
      </c>
      <c r="B554" s="47" t="s">
        <v>1108</v>
      </c>
      <c r="C554" s="21" t="s">
        <v>1109</v>
      </c>
      <c r="D554" s="47" t="s">
        <v>1397</v>
      </c>
      <c r="E554" s="21" t="s">
        <v>41</v>
      </c>
      <c r="F554" s="47" t="s">
        <v>32</v>
      </c>
      <c r="G554" s="21" t="s">
        <v>1417</v>
      </c>
      <c r="H554" s="7" t="s">
        <v>1418</v>
      </c>
      <c r="I554" s="8" t="s">
        <v>1439</v>
      </c>
      <c r="J554" s="9">
        <v>5069600</v>
      </c>
      <c r="K554" s="8"/>
      <c r="L554" s="42">
        <f t="shared" si="180"/>
        <v>7604400</v>
      </c>
      <c r="M554" s="8"/>
      <c r="N554" s="42">
        <f t="shared" si="172"/>
        <v>7604400</v>
      </c>
      <c r="O554" s="42"/>
      <c r="P554" s="42">
        <f t="shared" si="181"/>
        <v>7604400</v>
      </c>
      <c r="Q554" s="42">
        <f t="shared" si="175"/>
        <v>7604400</v>
      </c>
      <c r="R554" s="5"/>
    </row>
    <row r="555" spans="1:18" ht="13.5" x14ac:dyDescent="0.2">
      <c r="A555" s="47" t="s">
        <v>23</v>
      </c>
      <c r="B555" s="47" t="s">
        <v>1108</v>
      </c>
      <c r="C555" s="21" t="s">
        <v>1109</v>
      </c>
      <c r="D555" s="47" t="s">
        <v>1397</v>
      </c>
      <c r="E555" s="21" t="s">
        <v>41</v>
      </c>
      <c r="F555" s="47" t="s">
        <v>32</v>
      </c>
      <c r="G555" s="21" t="s">
        <v>1417</v>
      </c>
      <c r="H555" s="7" t="s">
        <v>1418</v>
      </c>
      <c r="I555" s="8" t="s">
        <v>1437</v>
      </c>
      <c r="J555" s="9">
        <v>5269600</v>
      </c>
      <c r="K555" s="8"/>
      <c r="L555" s="42">
        <f t="shared" si="180"/>
        <v>7904400</v>
      </c>
      <c r="M555" s="8"/>
      <c r="N555" s="42">
        <f t="shared" si="172"/>
        <v>7904400</v>
      </c>
      <c r="O555" s="42"/>
      <c r="P555" s="42">
        <f t="shared" si="181"/>
        <v>7904400</v>
      </c>
      <c r="Q555" s="42">
        <f t="shared" si="175"/>
        <v>7904400</v>
      </c>
      <c r="R555" s="5"/>
    </row>
    <row r="556" spans="1:18" ht="13.5" x14ac:dyDescent="0.2">
      <c r="A556" s="47" t="s">
        <v>23</v>
      </c>
      <c r="B556" s="47" t="s">
        <v>1108</v>
      </c>
      <c r="C556" s="21" t="s">
        <v>1109</v>
      </c>
      <c r="D556" s="47" t="s">
        <v>1397</v>
      </c>
      <c r="E556" s="21" t="s">
        <v>41</v>
      </c>
      <c r="F556" s="47" t="s">
        <v>32</v>
      </c>
      <c r="G556" s="21" t="s">
        <v>1417</v>
      </c>
      <c r="H556" s="7" t="s">
        <v>1418</v>
      </c>
      <c r="I556" s="8" t="s">
        <v>1419</v>
      </c>
      <c r="J556" s="9">
        <v>2298000</v>
      </c>
      <c r="K556" s="8"/>
      <c r="L556" s="42">
        <f t="shared" si="180"/>
        <v>3447000</v>
      </c>
      <c r="M556" s="8"/>
      <c r="N556" s="42">
        <f t="shared" si="172"/>
        <v>3447000</v>
      </c>
      <c r="O556" s="42"/>
      <c r="P556" s="42">
        <f t="shared" si="181"/>
        <v>3447000</v>
      </c>
      <c r="Q556" s="42">
        <f t="shared" si="175"/>
        <v>3447000</v>
      </c>
      <c r="R556" s="5"/>
    </row>
    <row r="557" spans="1:18" ht="13.5" x14ac:dyDescent="0.2">
      <c r="A557" s="47" t="s">
        <v>23</v>
      </c>
      <c r="B557" s="47" t="s">
        <v>1108</v>
      </c>
      <c r="C557" s="21" t="s">
        <v>1109</v>
      </c>
      <c r="D557" s="47" t="s">
        <v>1397</v>
      </c>
      <c r="E557" s="21" t="s">
        <v>41</v>
      </c>
      <c r="F557" s="47" t="s">
        <v>32</v>
      </c>
      <c r="G557" s="21" t="s">
        <v>1417</v>
      </c>
      <c r="H557" s="7" t="s">
        <v>1418</v>
      </c>
      <c r="I557" s="8" t="s">
        <v>1449</v>
      </c>
      <c r="J557" s="9">
        <v>2138000</v>
      </c>
      <c r="K557" s="8"/>
      <c r="L557" s="42">
        <f t="shared" si="180"/>
        <v>3207000</v>
      </c>
      <c r="M557" s="8"/>
      <c r="N557" s="42">
        <f t="shared" si="172"/>
        <v>3207000</v>
      </c>
      <c r="O557" s="42"/>
      <c r="P557" s="42">
        <f t="shared" si="181"/>
        <v>3207000</v>
      </c>
      <c r="Q557" s="42">
        <f t="shared" si="175"/>
        <v>3207000</v>
      </c>
      <c r="R557" s="5"/>
    </row>
    <row r="558" spans="1:18" ht="13.5" x14ac:dyDescent="0.2">
      <c r="A558" s="47" t="s">
        <v>23</v>
      </c>
      <c r="B558" s="47" t="s">
        <v>1108</v>
      </c>
      <c r="C558" s="21" t="s">
        <v>1109</v>
      </c>
      <c r="D558" s="47" t="s">
        <v>1397</v>
      </c>
      <c r="E558" s="21" t="s">
        <v>41</v>
      </c>
      <c r="F558" s="47" t="s">
        <v>32</v>
      </c>
      <c r="G558" s="21" t="s">
        <v>1417</v>
      </c>
      <c r="H558" s="7" t="s">
        <v>1418</v>
      </c>
      <c r="I558" s="8" t="s">
        <v>1433</v>
      </c>
      <c r="J558" s="9">
        <v>10910000</v>
      </c>
      <c r="K558" s="8"/>
      <c r="L558" s="42">
        <f t="shared" si="180"/>
        <v>16365000</v>
      </c>
      <c r="M558" s="8"/>
      <c r="N558" s="42">
        <f t="shared" si="172"/>
        <v>16365000</v>
      </c>
      <c r="O558" s="42">
        <f t="shared" ref="O558:O559" si="182">N558*1.5</f>
        <v>24547500</v>
      </c>
      <c r="P558" s="42"/>
      <c r="Q558" s="42">
        <f t="shared" si="175"/>
        <v>24547500</v>
      </c>
    </row>
    <row r="559" spans="1:18" ht="13.5" x14ac:dyDescent="0.2">
      <c r="A559" s="47" t="s">
        <v>23</v>
      </c>
      <c r="B559" s="47" t="s">
        <v>1108</v>
      </c>
      <c r="C559" s="21" t="s">
        <v>1109</v>
      </c>
      <c r="D559" s="47" t="s">
        <v>1397</v>
      </c>
      <c r="E559" s="21" t="s">
        <v>41</v>
      </c>
      <c r="F559" s="47" t="s">
        <v>32</v>
      </c>
      <c r="G559" s="21" t="s">
        <v>1417</v>
      </c>
      <c r="H559" s="7" t="s">
        <v>1418</v>
      </c>
      <c r="I559" s="8" t="s">
        <v>1429</v>
      </c>
      <c r="J559" s="9">
        <v>4898800</v>
      </c>
      <c r="K559" s="8"/>
      <c r="L559" s="42">
        <f t="shared" si="180"/>
        <v>7348200</v>
      </c>
      <c r="M559" s="8"/>
      <c r="N559" s="42">
        <f t="shared" si="172"/>
        <v>7348200</v>
      </c>
      <c r="O559" s="42">
        <f t="shared" si="182"/>
        <v>11022300</v>
      </c>
      <c r="P559" s="42"/>
      <c r="Q559" s="42">
        <f t="shared" si="175"/>
        <v>11022300</v>
      </c>
    </row>
    <row r="560" spans="1:18" ht="13.5" x14ac:dyDescent="0.2">
      <c r="A560" s="47" t="s">
        <v>23</v>
      </c>
      <c r="B560" s="47" t="s">
        <v>1108</v>
      </c>
      <c r="C560" s="21" t="s">
        <v>1109</v>
      </c>
      <c r="D560" s="47" t="s">
        <v>1397</v>
      </c>
      <c r="E560" s="21" t="s">
        <v>41</v>
      </c>
      <c r="F560" s="47" t="s">
        <v>32</v>
      </c>
      <c r="G560" s="21" t="s">
        <v>1417</v>
      </c>
      <c r="H560" s="7" t="s">
        <v>1418</v>
      </c>
      <c r="I560" s="8" t="s">
        <v>569</v>
      </c>
      <c r="J560" s="9">
        <v>2299800</v>
      </c>
      <c r="K560" s="8"/>
      <c r="L560" s="42">
        <f t="shared" si="180"/>
        <v>3449700</v>
      </c>
      <c r="M560" s="8"/>
      <c r="N560" s="42">
        <f t="shared" si="172"/>
        <v>3449700</v>
      </c>
      <c r="O560" s="42"/>
      <c r="P560" s="42">
        <f>N560</f>
        <v>3449700</v>
      </c>
      <c r="Q560" s="42">
        <f t="shared" si="175"/>
        <v>3449700</v>
      </c>
      <c r="R560" s="5"/>
    </row>
    <row r="561" spans="1:18" ht="13.5" x14ac:dyDescent="0.2">
      <c r="A561" s="47" t="s">
        <v>23</v>
      </c>
      <c r="B561" s="47" t="s">
        <v>1108</v>
      </c>
      <c r="C561" s="21" t="s">
        <v>1109</v>
      </c>
      <c r="D561" s="47" t="s">
        <v>1397</v>
      </c>
      <c r="E561" s="21" t="s">
        <v>41</v>
      </c>
      <c r="F561" s="47" t="s">
        <v>32</v>
      </c>
      <c r="G561" s="21" t="s">
        <v>1454</v>
      </c>
      <c r="H561" s="7" t="s">
        <v>1455</v>
      </c>
      <c r="I561" s="8" t="s">
        <v>1458</v>
      </c>
      <c r="J561" s="9">
        <v>12165000</v>
      </c>
      <c r="K561" s="8"/>
      <c r="L561" s="42">
        <f t="shared" si="180"/>
        <v>18247500</v>
      </c>
      <c r="M561" s="8"/>
      <c r="N561" s="42">
        <f t="shared" si="172"/>
        <v>18247500</v>
      </c>
      <c r="O561" s="42">
        <f>N561*1.5</f>
        <v>27371250</v>
      </c>
      <c r="P561" s="42"/>
      <c r="Q561" s="42">
        <f t="shared" si="175"/>
        <v>27371250</v>
      </c>
    </row>
    <row r="562" spans="1:18" ht="13.5" x14ac:dyDescent="0.2">
      <c r="A562" s="47" t="s">
        <v>23</v>
      </c>
      <c r="B562" s="47" t="s">
        <v>1108</v>
      </c>
      <c r="C562" s="21" t="s">
        <v>1109</v>
      </c>
      <c r="D562" s="47" t="s">
        <v>1397</v>
      </c>
      <c r="E562" s="21" t="s">
        <v>41</v>
      </c>
      <c r="F562" s="47" t="s">
        <v>32</v>
      </c>
      <c r="G562" s="21" t="s">
        <v>1454</v>
      </c>
      <c r="H562" s="7" t="s">
        <v>1455</v>
      </c>
      <c r="I562" s="8" t="s">
        <v>1462</v>
      </c>
      <c r="J562" s="9">
        <v>4998000</v>
      </c>
      <c r="K562" s="8"/>
      <c r="L562" s="42">
        <f t="shared" si="180"/>
        <v>7497000</v>
      </c>
      <c r="M562" s="8"/>
      <c r="N562" s="42">
        <f t="shared" si="172"/>
        <v>7497000</v>
      </c>
      <c r="O562" s="42"/>
      <c r="P562" s="42">
        <f>N562</f>
        <v>7497000</v>
      </c>
      <c r="Q562" s="42">
        <f t="shared" si="175"/>
        <v>7497000</v>
      </c>
      <c r="R562" s="5"/>
    </row>
    <row r="563" spans="1:18" ht="13.5" x14ac:dyDescent="0.2">
      <c r="A563" s="47" t="s">
        <v>23</v>
      </c>
      <c r="B563" s="47" t="s">
        <v>1108</v>
      </c>
      <c r="C563" s="21" t="s">
        <v>1109</v>
      </c>
      <c r="D563" s="47" t="s">
        <v>1397</v>
      </c>
      <c r="E563" s="21" t="s">
        <v>41</v>
      </c>
      <c r="F563" s="47" t="s">
        <v>32</v>
      </c>
      <c r="G563" s="21" t="s">
        <v>1470</v>
      </c>
      <c r="H563" s="7" t="s">
        <v>1471</v>
      </c>
      <c r="I563" s="8" t="s">
        <v>1478</v>
      </c>
      <c r="J563" s="9">
        <v>4178000</v>
      </c>
      <c r="K563" s="8"/>
      <c r="L563" s="42">
        <f t="shared" si="180"/>
        <v>6267000</v>
      </c>
      <c r="M563" s="8"/>
      <c r="N563" s="42">
        <f t="shared" si="172"/>
        <v>6267000</v>
      </c>
      <c r="O563" s="42">
        <f t="shared" ref="O563:O564" si="183">N563*1.5</f>
        <v>9400500</v>
      </c>
      <c r="P563" s="42"/>
      <c r="Q563" s="42">
        <f t="shared" si="175"/>
        <v>9400500</v>
      </c>
    </row>
    <row r="564" spans="1:18" ht="13.5" x14ac:dyDescent="0.2">
      <c r="A564" s="47" t="s">
        <v>23</v>
      </c>
      <c r="B564" s="47" t="s">
        <v>1108</v>
      </c>
      <c r="C564" s="21" t="s">
        <v>1109</v>
      </c>
      <c r="D564" s="47" t="s">
        <v>1397</v>
      </c>
      <c r="E564" s="21" t="s">
        <v>41</v>
      </c>
      <c r="F564" s="47" t="s">
        <v>32</v>
      </c>
      <c r="G564" s="21" t="s">
        <v>1470</v>
      </c>
      <c r="H564" s="7" t="s">
        <v>1471</v>
      </c>
      <c r="I564" s="8" t="s">
        <v>1476</v>
      </c>
      <c r="J564" s="9">
        <v>3199800</v>
      </c>
      <c r="K564" s="8"/>
      <c r="L564" s="42">
        <f t="shared" si="180"/>
        <v>4799700</v>
      </c>
      <c r="M564" s="8"/>
      <c r="N564" s="42">
        <f t="shared" si="172"/>
        <v>4799700</v>
      </c>
      <c r="O564" s="42">
        <f t="shared" si="183"/>
        <v>7199550</v>
      </c>
      <c r="P564" s="42"/>
      <c r="Q564" s="42">
        <f t="shared" si="175"/>
        <v>7199550</v>
      </c>
    </row>
    <row r="565" spans="1:18" ht="13.5" x14ac:dyDescent="0.2">
      <c r="A565" s="47" t="s">
        <v>23</v>
      </c>
      <c r="B565" s="47" t="s">
        <v>1108</v>
      </c>
      <c r="C565" s="21" t="s">
        <v>1109</v>
      </c>
      <c r="D565" s="47" t="s">
        <v>1397</v>
      </c>
      <c r="E565" s="21" t="s">
        <v>41</v>
      </c>
      <c r="F565" s="47" t="s">
        <v>32</v>
      </c>
      <c r="G565" s="21" t="s">
        <v>1470</v>
      </c>
      <c r="H565" s="7" t="s">
        <v>1471</v>
      </c>
      <c r="I565" s="8" t="s">
        <v>851</v>
      </c>
      <c r="J565" s="9">
        <v>2313200</v>
      </c>
      <c r="K565" s="8"/>
      <c r="L565" s="42">
        <f t="shared" si="180"/>
        <v>3469800</v>
      </c>
      <c r="M565" s="8"/>
      <c r="N565" s="42">
        <f t="shared" si="172"/>
        <v>3469800</v>
      </c>
      <c r="O565" s="42"/>
      <c r="P565" s="42">
        <f>N565</f>
        <v>3469800</v>
      </c>
      <c r="Q565" s="42">
        <f t="shared" si="175"/>
        <v>3469800</v>
      </c>
      <c r="R565" s="5"/>
    </row>
    <row r="566" spans="1:18" ht="13.5" x14ac:dyDescent="0.2">
      <c r="A566" s="47" t="s">
        <v>23</v>
      </c>
      <c r="B566" s="47" t="s">
        <v>1108</v>
      </c>
      <c r="C566" s="21" t="s">
        <v>1109</v>
      </c>
      <c r="D566" s="47" t="s">
        <v>1397</v>
      </c>
      <c r="E566" s="21" t="s">
        <v>41</v>
      </c>
      <c r="F566" s="47" t="s">
        <v>32</v>
      </c>
      <c r="G566" s="21" t="s">
        <v>1470</v>
      </c>
      <c r="H566" s="7" t="s">
        <v>1471</v>
      </c>
      <c r="I566" s="8" t="s">
        <v>1493</v>
      </c>
      <c r="J566" s="9">
        <v>13739000</v>
      </c>
      <c r="K566" s="8"/>
      <c r="L566" s="42">
        <f t="shared" si="180"/>
        <v>20608500</v>
      </c>
      <c r="M566" s="8"/>
      <c r="N566" s="42">
        <f t="shared" si="172"/>
        <v>20608500</v>
      </c>
      <c r="O566" s="42">
        <f t="shared" ref="O566:O567" si="184">N566*1.5</f>
        <v>30912750</v>
      </c>
      <c r="P566" s="42"/>
      <c r="Q566" s="42">
        <f t="shared" si="175"/>
        <v>30912750</v>
      </c>
    </row>
    <row r="567" spans="1:18" ht="13.5" x14ac:dyDescent="0.2">
      <c r="A567" s="47" t="s">
        <v>23</v>
      </c>
      <c r="B567" s="47" t="s">
        <v>1108</v>
      </c>
      <c r="C567" s="21" t="s">
        <v>1109</v>
      </c>
      <c r="D567" s="47" t="s">
        <v>1397</v>
      </c>
      <c r="E567" s="21" t="s">
        <v>57</v>
      </c>
      <c r="F567" s="47" t="s">
        <v>32</v>
      </c>
      <c r="G567" s="21" t="s">
        <v>1417</v>
      </c>
      <c r="H567" s="7" t="s">
        <v>1418</v>
      </c>
      <c r="I567" s="8" t="s">
        <v>1451</v>
      </c>
      <c r="J567" s="9">
        <v>6950000</v>
      </c>
      <c r="K567" s="8"/>
      <c r="L567" s="42">
        <f t="shared" si="180"/>
        <v>10425000</v>
      </c>
      <c r="M567" s="8"/>
      <c r="N567" s="42">
        <f t="shared" si="172"/>
        <v>10425000</v>
      </c>
      <c r="O567" s="42">
        <f t="shared" si="184"/>
        <v>15637500</v>
      </c>
      <c r="P567" s="42"/>
      <c r="Q567" s="42">
        <f t="shared" si="175"/>
        <v>15637500</v>
      </c>
    </row>
    <row r="568" spans="1:18" ht="13.5" x14ac:dyDescent="0.2">
      <c r="A568" s="47" t="s">
        <v>23</v>
      </c>
      <c r="B568" s="47" t="s">
        <v>1108</v>
      </c>
      <c r="C568" s="21" t="s">
        <v>1109</v>
      </c>
      <c r="D568" s="47" t="s">
        <v>1397</v>
      </c>
      <c r="E568" s="21" t="s">
        <v>57</v>
      </c>
      <c r="F568" s="47" t="s">
        <v>32</v>
      </c>
      <c r="G568" s="21" t="s">
        <v>1417</v>
      </c>
      <c r="H568" s="7" t="s">
        <v>1418</v>
      </c>
      <c r="I568" s="8" t="s">
        <v>1425</v>
      </c>
      <c r="J568" s="9">
        <v>14998000</v>
      </c>
      <c r="K568" s="8"/>
      <c r="L568" s="42">
        <f t="shared" si="180"/>
        <v>22497000</v>
      </c>
      <c r="M568" s="8"/>
      <c r="N568" s="42">
        <f t="shared" si="172"/>
        <v>22497000</v>
      </c>
      <c r="O568" s="42"/>
      <c r="P568" s="42">
        <f t="shared" ref="P568:P569" si="185">N568</f>
        <v>22497000</v>
      </c>
      <c r="Q568" s="42">
        <f t="shared" si="175"/>
        <v>22497000</v>
      </c>
      <c r="R568" s="5"/>
    </row>
    <row r="569" spans="1:18" ht="13.5" x14ac:dyDescent="0.2">
      <c r="A569" s="47" t="s">
        <v>23</v>
      </c>
      <c r="B569" s="47" t="s">
        <v>1108</v>
      </c>
      <c r="C569" s="21" t="s">
        <v>1109</v>
      </c>
      <c r="D569" s="47" t="s">
        <v>1397</v>
      </c>
      <c r="E569" s="21" t="s">
        <v>57</v>
      </c>
      <c r="F569" s="47" t="s">
        <v>32</v>
      </c>
      <c r="G569" s="21" t="s">
        <v>1417</v>
      </c>
      <c r="H569" s="7" t="s">
        <v>1418</v>
      </c>
      <c r="I569" s="8" t="s">
        <v>1435</v>
      </c>
      <c r="J569" s="9">
        <v>15198000</v>
      </c>
      <c r="K569" s="8"/>
      <c r="L569" s="42">
        <f t="shared" si="180"/>
        <v>22797000</v>
      </c>
      <c r="M569" s="8"/>
      <c r="N569" s="42">
        <f t="shared" si="172"/>
        <v>22797000</v>
      </c>
      <c r="O569" s="42"/>
      <c r="P569" s="42">
        <f t="shared" si="185"/>
        <v>22797000</v>
      </c>
      <c r="Q569" s="42">
        <f t="shared" si="175"/>
        <v>22797000</v>
      </c>
      <c r="R569" s="5"/>
    </row>
    <row r="570" spans="1:18" ht="13.5" x14ac:dyDescent="0.2">
      <c r="A570" s="47" t="s">
        <v>23</v>
      </c>
      <c r="B570" s="47" t="s">
        <v>1108</v>
      </c>
      <c r="C570" s="21" t="s">
        <v>1495</v>
      </c>
      <c r="D570" s="47" t="s">
        <v>1496</v>
      </c>
      <c r="E570" s="21" t="s">
        <v>128</v>
      </c>
      <c r="F570" s="47" t="s">
        <v>135</v>
      </c>
      <c r="G570" s="21" t="s">
        <v>1522</v>
      </c>
      <c r="H570" s="7" t="s">
        <v>1523</v>
      </c>
      <c r="I570" s="8" t="s">
        <v>1599</v>
      </c>
      <c r="J570" s="9">
        <v>614000</v>
      </c>
      <c r="K570" s="8"/>
      <c r="L570" s="8"/>
      <c r="M570" s="8"/>
      <c r="N570" s="42">
        <f t="shared" ref="N570:N586" si="186">J570</f>
        <v>614000</v>
      </c>
      <c r="O570" s="42">
        <f>N570*1.5</f>
        <v>921000</v>
      </c>
      <c r="P570" s="42"/>
      <c r="Q570" s="42">
        <f t="shared" si="175"/>
        <v>921000</v>
      </c>
    </row>
    <row r="571" spans="1:18" ht="13.5" x14ac:dyDescent="0.2">
      <c r="A571" s="47" t="s">
        <v>23</v>
      </c>
      <c r="B571" s="47" t="s">
        <v>1108</v>
      </c>
      <c r="C571" s="21" t="s">
        <v>1495</v>
      </c>
      <c r="D571" s="47" t="s">
        <v>1496</v>
      </c>
      <c r="E571" s="21" t="s">
        <v>128</v>
      </c>
      <c r="F571" s="47" t="s">
        <v>135</v>
      </c>
      <c r="G571" s="21" t="s">
        <v>1522</v>
      </c>
      <c r="H571" s="7" t="s">
        <v>1523</v>
      </c>
      <c r="I571" s="8" t="s">
        <v>1579</v>
      </c>
      <c r="J571" s="9">
        <v>1891600</v>
      </c>
      <c r="K571" s="8"/>
      <c r="L571" s="8"/>
      <c r="M571" s="8"/>
      <c r="N571" s="42">
        <f t="shared" si="186"/>
        <v>1891600</v>
      </c>
      <c r="O571" s="42"/>
      <c r="P571" s="42">
        <f t="shared" ref="P571:P572" si="187">N571</f>
        <v>1891600</v>
      </c>
      <c r="Q571" s="42">
        <f t="shared" si="175"/>
        <v>1891600</v>
      </c>
      <c r="R571" s="5"/>
    </row>
    <row r="572" spans="1:18" ht="13.5" x14ac:dyDescent="0.2">
      <c r="A572" s="47" t="s">
        <v>23</v>
      </c>
      <c r="B572" s="47" t="s">
        <v>1108</v>
      </c>
      <c r="C572" s="21" t="s">
        <v>1495</v>
      </c>
      <c r="D572" s="47" t="s">
        <v>1496</v>
      </c>
      <c r="E572" s="21" t="s">
        <v>128</v>
      </c>
      <c r="F572" s="47" t="s">
        <v>32</v>
      </c>
      <c r="G572" s="21" t="s">
        <v>1522</v>
      </c>
      <c r="H572" s="7" t="s">
        <v>1523</v>
      </c>
      <c r="I572" s="8" t="s">
        <v>1581</v>
      </c>
      <c r="J572" s="9">
        <v>469900</v>
      </c>
      <c r="K572" s="8"/>
      <c r="L572" s="8"/>
      <c r="M572" s="8"/>
      <c r="N572" s="42">
        <f t="shared" si="186"/>
        <v>469900</v>
      </c>
      <c r="O572" s="42"/>
      <c r="P572" s="42">
        <f t="shared" si="187"/>
        <v>469900</v>
      </c>
      <c r="Q572" s="42">
        <f t="shared" si="175"/>
        <v>469900</v>
      </c>
      <c r="R572" s="5"/>
    </row>
    <row r="573" spans="1:18" ht="13.5" hidden="1" x14ac:dyDescent="0.2">
      <c r="A573" s="12" t="s">
        <v>23</v>
      </c>
      <c r="B573" s="12" t="s">
        <v>1108</v>
      </c>
      <c r="C573" s="13" t="s">
        <v>1495</v>
      </c>
      <c r="D573" s="12" t="s">
        <v>1496</v>
      </c>
      <c r="E573" s="13" t="s">
        <v>128</v>
      </c>
      <c r="F573" s="12" t="s">
        <v>181</v>
      </c>
      <c r="G573" s="13" t="s">
        <v>1522</v>
      </c>
      <c r="H573" s="12" t="s">
        <v>1523</v>
      </c>
      <c r="I573" s="13" t="s">
        <v>1537</v>
      </c>
      <c r="J573" s="14" t="s">
        <v>3946</v>
      </c>
      <c r="K573" s="18"/>
      <c r="L573" s="18"/>
      <c r="M573" s="18"/>
      <c r="N573" s="20" t="str">
        <f t="shared" si="186"/>
        <v>-</v>
      </c>
      <c r="O573"/>
      <c r="P573"/>
    </row>
    <row r="574" spans="1:18" ht="13.5" hidden="1" x14ac:dyDescent="0.2">
      <c r="A574" s="7" t="s">
        <v>23</v>
      </c>
      <c r="B574" s="7" t="s">
        <v>1108</v>
      </c>
      <c r="C574" s="8" t="s">
        <v>1495</v>
      </c>
      <c r="D574" s="7" t="s">
        <v>1496</v>
      </c>
      <c r="E574" s="8" t="s">
        <v>128</v>
      </c>
      <c r="F574" s="7" t="s">
        <v>181</v>
      </c>
      <c r="G574" s="8" t="s">
        <v>1522</v>
      </c>
      <c r="H574" s="7" t="s">
        <v>1523</v>
      </c>
      <c r="I574" s="8" t="s">
        <v>1539</v>
      </c>
      <c r="J574" s="9" t="s">
        <v>3946</v>
      </c>
      <c r="K574" s="15"/>
      <c r="L574" s="15"/>
      <c r="M574" s="15"/>
      <c r="N574" s="16" t="str">
        <f t="shared" si="186"/>
        <v>-</v>
      </c>
      <c r="O574"/>
      <c r="P574"/>
    </row>
    <row r="575" spans="1:18" ht="13.5" x14ac:dyDescent="0.2">
      <c r="A575" s="47" t="s">
        <v>23</v>
      </c>
      <c r="B575" s="47" t="s">
        <v>1108</v>
      </c>
      <c r="C575" s="21" t="s">
        <v>1495</v>
      </c>
      <c r="D575" s="47" t="s">
        <v>1496</v>
      </c>
      <c r="E575" s="21" t="s">
        <v>31</v>
      </c>
      <c r="F575" s="47" t="s">
        <v>32</v>
      </c>
      <c r="G575" s="21" t="s">
        <v>1522</v>
      </c>
      <c r="H575" s="7" t="s">
        <v>1523</v>
      </c>
      <c r="I575" s="8" t="s">
        <v>1620</v>
      </c>
      <c r="J575" s="9">
        <v>238000</v>
      </c>
      <c r="K575" s="8"/>
      <c r="L575" s="8"/>
      <c r="M575" s="8"/>
      <c r="N575" s="42">
        <f t="shared" si="186"/>
        <v>238000</v>
      </c>
      <c r="O575" s="42"/>
      <c r="P575" s="42">
        <f>N575</f>
        <v>238000</v>
      </c>
      <c r="Q575" s="42">
        <f t="shared" ref="Q575:Q608" si="188">SUM(O575:P575)</f>
        <v>238000</v>
      </c>
      <c r="R575" s="5"/>
    </row>
    <row r="576" spans="1:18" ht="13.5" x14ac:dyDescent="0.2">
      <c r="A576" s="47" t="s">
        <v>23</v>
      </c>
      <c r="B576" s="47" t="s">
        <v>1108</v>
      </c>
      <c r="C576" s="21" t="s">
        <v>1495</v>
      </c>
      <c r="D576" s="47" t="s">
        <v>1496</v>
      </c>
      <c r="E576" s="21" t="s">
        <v>31</v>
      </c>
      <c r="F576" s="47" t="s">
        <v>32</v>
      </c>
      <c r="G576" s="21" t="s">
        <v>1522</v>
      </c>
      <c r="H576" s="7" t="s">
        <v>1523</v>
      </c>
      <c r="I576" s="8" t="s">
        <v>1603</v>
      </c>
      <c r="J576" s="9">
        <v>2793000</v>
      </c>
      <c r="K576" s="8"/>
      <c r="L576" s="8"/>
      <c r="M576" s="8"/>
      <c r="N576" s="42">
        <f t="shared" si="186"/>
        <v>2793000</v>
      </c>
      <c r="O576" s="42">
        <f t="shared" ref="O576:O580" si="189">N576*1.5</f>
        <v>4189500</v>
      </c>
      <c r="P576" s="42"/>
      <c r="Q576" s="42">
        <f t="shared" si="188"/>
        <v>4189500</v>
      </c>
    </row>
    <row r="577" spans="1:18" ht="13.5" x14ac:dyDescent="0.2">
      <c r="A577" s="47" t="s">
        <v>23</v>
      </c>
      <c r="B577" s="47" t="s">
        <v>1108</v>
      </c>
      <c r="C577" s="21" t="s">
        <v>1495</v>
      </c>
      <c r="D577" s="47" t="s">
        <v>1496</v>
      </c>
      <c r="E577" s="21" t="s">
        <v>31</v>
      </c>
      <c r="F577" s="47" t="s">
        <v>32</v>
      </c>
      <c r="G577" s="21" t="s">
        <v>1522</v>
      </c>
      <c r="H577" s="7" t="s">
        <v>1523</v>
      </c>
      <c r="I577" s="8" t="s">
        <v>1555</v>
      </c>
      <c r="J577" s="9">
        <v>740400</v>
      </c>
      <c r="K577" s="8"/>
      <c r="L577" s="8"/>
      <c r="M577" s="8"/>
      <c r="N577" s="42">
        <f t="shared" si="186"/>
        <v>740400</v>
      </c>
      <c r="O577" s="42">
        <f t="shared" si="189"/>
        <v>1110600</v>
      </c>
      <c r="P577" s="42"/>
      <c r="Q577" s="42">
        <f t="shared" si="188"/>
        <v>1110600</v>
      </c>
    </row>
    <row r="578" spans="1:18" ht="13.5" x14ac:dyDescent="0.2">
      <c r="A578" s="47" t="s">
        <v>23</v>
      </c>
      <c r="B578" s="47" t="s">
        <v>1108</v>
      </c>
      <c r="C578" s="21" t="s">
        <v>1495</v>
      </c>
      <c r="D578" s="47" t="s">
        <v>1496</v>
      </c>
      <c r="E578" s="21" t="s">
        <v>31</v>
      </c>
      <c r="F578" s="47" t="s">
        <v>32</v>
      </c>
      <c r="G578" s="21" t="s">
        <v>1522</v>
      </c>
      <c r="H578" s="7" t="s">
        <v>1523</v>
      </c>
      <c r="I578" s="8" t="s">
        <v>1609</v>
      </c>
      <c r="J578" s="9">
        <v>10392000</v>
      </c>
      <c r="K578" s="8"/>
      <c r="L578" s="8"/>
      <c r="M578" s="8"/>
      <c r="N578" s="42">
        <f t="shared" si="186"/>
        <v>10392000</v>
      </c>
      <c r="O578" s="42">
        <f t="shared" si="189"/>
        <v>15588000</v>
      </c>
      <c r="P578" s="42"/>
      <c r="Q578" s="42">
        <f t="shared" si="188"/>
        <v>15588000</v>
      </c>
    </row>
    <row r="579" spans="1:18" ht="13.5" x14ac:dyDescent="0.2">
      <c r="A579" s="47" t="s">
        <v>23</v>
      </c>
      <c r="B579" s="47" t="s">
        <v>1108</v>
      </c>
      <c r="C579" s="21" t="s">
        <v>1495</v>
      </c>
      <c r="D579" s="47" t="s">
        <v>1496</v>
      </c>
      <c r="E579" s="21" t="s">
        <v>31</v>
      </c>
      <c r="F579" s="47" t="s">
        <v>32</v>
      </c>
      <c r="G579" s="21" t="s">
        <v>1522</v>
      </c>
      <c r="H579" s="7" t="s">
        <v>1523</v>
      </c>
      <c r="I579" s="8" t="s">
        <v>1605</v>
      </c>
      <c r="J579" s="9">
        <v>9592000</v>
      </c>
      <c r="K579" s="8"/>
      <c r="L579" s="8"/>
      <c r="M579" s="8"/>
      <c r="N579" s="42">
        <f t="shared" si="186"/>
        <v>9592000</v>
      </c>
      <c r="O579" s="42">
        <f t="shared" si="189"/>
        <v>14388000</v>
      </c>
      <c r="P579" s="42"/>
      <c r="Q579" s="42">
        <f t="shared" si="188"/>
        <v>14388000</v>
      </c>
    </row>
    <row r="580" spans="1:18" ht="13.5" x14ac:dyDescent="0.2">
      <c r="A580" s="47" t="s">
        <v>23</v>
      </c>
      <c r="B580" s="47" t="s">
        <v>1108</v>
      </c>
      <c r="C580" s="21" t="s">
        <v>1495</v>
      </c>
      <c r="D580" s="47" t="s">
        <v>1496</v>
      </c>
      <c r="E580" s="21" t="s">
        <v>31</v>
      </c>
      <c r="F580" s="47" t="s">
        <v>32</v>
      </c>
      <c r="G580" s="21" t="s">
        <v>1522</v>
      </c>
      <c r="H580" s="7" t="s">
        <v>1523</v>
      </c>
      <c r="I580" s="8" t="s">
        <v>1611</v>
      </c>
      <c r="J580" s="9">
        <v>7420000</v>
      </c>
      <c r="K580" s="8"/>
      <c r="L580" s="8"/>
      <c r="M580" s="8"/>
      <c r="N580" s="42">
        <f t="shared" si="186"/>
        <v>7420000</v>
      </c>
      <c r="O580" s="42">
        <f t="shared" si="189"/>
        <v>11130000</v>
      </c>
      <c r="P580" s="42"/>
      <c r="Q580" s="42">
        <f t="shared" si="188"/>
        <v>11130000</v>
      </c>
    </row>
    <row r="581" spans="1:18" ht="13.5" x14ac:dyDescent="0.2">
      <c r="A581" s="47" t="s">
        <v>23</v>
      </c>
      <c r="B581" s="47" t="s">
        <v>1108</v>
      </c>
      <c r="C581" s="21" t="s">
        <v>1495</v>
      </c>
      <c r="D581" s="47" t="s">
        <v>1496</v>
      </c>
      <c r="E581" s="21" t="s">
        <v>31</v>
      </c>
      <c r="F581" s="47" t="s">
        <v>32</v>
      </c>
      <c r="G581" s="21" t="s">
        <v>1522</v>
      </c>
      <c r="H581" s="7" t="s">
        <v>1523</v>
      </c>
      <c r="I581" s="8" t="s">
        <v>1524</v>
      </c>
      <c r="J581" s="9">
        <v>2075400</v>
      </c>
      <c r="K581" s="8"/>
      <c r="L581" s="8"/>
      <c r="M581" s="8"/>
      <c r="N581" s="42">
        <f t="shared" si="186"/>
        <v>2075400</v>
      </c>
      <c r="O581" s="42"/>
      <c r="P581" s="42">
        <f>N581</f>
        <v>2075400</v>
      </c>
      <c r="Q581" s="42">
        <f t="shared" si="188"/>
        <v>2075400</v>
      </c>
      <c r="R581" s="5"/>
    </row>
    <row r="582" spans="1:18" ht="13.5" x14ac:dyDescent="0.2">
      <c r="A582" s="47" t="s">
        <v>23</v>
      </c>
      <c r="B582" s="47" t="s">
        <v>1108</v>
      </c>
      <c r="C582" s="21" t="s">
        <v>1495</v>
      </c>
      <c r="D582" s="47" t="s">
        <v>1496</v>
      </c>
      <c r="E582" s="21" t="s">
        <v>31</v>
      </c>
      <c r="F582" s="47" t="s">
        <v>32</v>
      </c>
      <c r="G582" s="21" t="s">
        <v>1522</v>
      </c>
      <c r="H582" s="7" t="s">
        <v>1523</v>
      </c>
      <c r="I582" s="8" t="s">
        <v>1607</v>
      </c>
      <c r="J582" s="9">
        <v>7407200</v>
      </c>
      <c r="K582" s="8"/>
      <c r="L582" s="8"/>
      <c r="M582" s="8"/>
      <c r="N582" s="42">
        <f t="shared" si="186"/>
        <v>7407200</v>
      </c>
      <c r="O582" s="42">
        <f t="shared" ref="O582:O584" si="190">N582*1.5</f>
        <v>11110800</v>
      </c>
      <c r="P582" s="42"/>
      <c r="Q582" s="42">
        <f t="shared" si="188"/>
        <v>11110800</v>
      </c>
    </row>
    <row r="583" spans="1:18" ht="13.5" x14ac:dyDescent="0.2">
      <c r="A583" s="47" t="s">
        <v>23</v>
      </c>
      <c r="B583" s="47" t="s">
        <v>1108</v>
      </c>
      <c r="C583" s="21" t="s">
        <v>1495</v>
      </c>
      <c r="D583" s="47" t="s">
        <v>1496</v>
      </c>
      <c r="E583" s="21" t="s">
        <v>31</v>
      </c>
      <c r="F583" s="47" t="s">
        <v>32</v>
      </c>
      <c r="G583" s="21" t="s">
        <v>1522</v>
      </c>
      <c r="H583" s="7" t="s">
        <v>1523</v>
      </c>
      <c r="I583" s="8" t="s">
        <v>1601</v>
      </c>
      <c r="J583" s="9">
        <v>2340200</v>
      </c>
      <c r="K583" s="8"/>
      <c r="L583" s="8"/>
      <c r="M583" s="8"/>
      <c r="N583" s="42">
        <f t="shared" si="186"/>
        <v>2340200</v>
      </c>
      <c r="O583" s="42">
        <f t="shared" si="190"/>
        <v>3510300</v>
      </c>
      <c r="P583" s="42"/>
      <c r="Q583" s="42">
        <f t="shared" si="188"/>
        <v>3510300</v>
      </c>
    </row>
    <row r="584" spans="1:18" ht="13.5" x14ac:dyDescent="0.2">
      <c r="A584" s="47" t="s">
        <v>23</v>
      </c>
      <c r="B584" s="47" t="s">
        <v>1108</v>
      </c>
      <c r="C584" s="21" t="s">
        <v>1495</v>
      </c>
      <c r="D584" s="47" t="s">
        <v>1496</v>
      </c>
      <c r="E584" s="21" t="s">
        <v>31</v>
      </c>
      <c r="F584" s="47" t="s">
        <v>32</v>
      </c>
      <c r="G584" s="21" t="s">
        <v>1522</v>
      </c>
      <c r="H584" s="7" t="s">
        <v>1523</v>
      </c>
      <c r="I584" s="8" t="s">
        <v>438</v>
      </c>
      <c r="J584" s="9">
        <v>2349200</v>
      </c>
      <c r="K584" s="8"/>
      <c r="L584" s="8"/>
      <c r="M584" s="8"/>
      <c r="N584" s="42">
        <f t="shared" si="186"/>
        <v>2349200</v>
      </c>
      <c r="O584" s="42">
        <f t="shared" si="190"/>
        <v>3523800</v>
      </c>
      <c r="P584" s="42"/>
      <c r="Q584" s="42">
        <f t="shared" si="188"/>
        <v>3523800</v>
      </c>
    </row>
    <row r="585" spans="1:18" ht="13.5" x14ac:dyDescent="0.2">
      <c r="A585" s="47" t="s">
        <v>23</v>
      </c>
      <c r="B585" s="47" t="s">
        <v>1108</v>
      </c>
      <c r="C585" s="21" t="s">
        <v>1495</v>
      </c>
      <c r="D585" s="47" t="s">
        <v>1496</v>
      </c>
      <c r="E585" s="21" t="s">
        <v>31</v>
      </c>
      <c r="F585" s="47" t="s">
        <v>32</v>
      </c>
      <c r="G585" s="21" t="s">
        <v>1522</v>
      </c>
      <c r="H585" s="7" t="s">
        <v>1523</v>
      </c>
      <c r="I585" s="8" t="s">
        <v>1573</v>
      </c>
      <c r="J585" s="9">
        <v>8194800</v>
      </c>
      <c r="K585" s="8"/>
      <c r="L585" s="8"/>
      <c r="M585" s="8"/>
      <c r="N585" s="42">
        <f t="shared" si="186"/>
        <v>8194800</v>
      </c>
      <c r="O585" s="42"/>
      <c r="P585" s="42">
        <f>N585</f>
        <v>8194800</v>
      </c>
      <c r="Q585" s="42">
        <f t="shared" si="188"/>
        <v>8194800</v>
      </c>
      <c r="R585" s="5"/>
    </row>
    <row r="586" spans="1:18" ht="13.5" x14ac:dyDescent="0.2">
      <c r="A586" s="47" t="s">
        <v>23</v>
      </c>
      <c r="B586" s="47" t="s">
        <v>1108</v>
      </c>
      <c r="C586" s="21" t="s">
        <v>1495</v>
      </c>
      <c r="D586" s="47" t="s">
        <v>1496</v>
      </c>
      <c r="E586" s="21" t="s">
        <v>31</v>
      </c>
      <c r="F586" s="47" t="s">
        <v>32</v>
      </c>
      <c r="G586" s="21" t="s">
        <v>1522</v>
      </c>
      <c r="H586" s="7" t="s">
        <v>1523</v>
      </c>
      <c r="I586" s="8" t="s">
        <v>1585</v>
      </c>
      <c r="J586" s="9">
        <v>3298000</v>
      </c>
      <c r="K586" s="8"/>
      <c r="L586" s="8"/>
      <c r="M586" s="8"/>
      <c r="N586" s="42">
        <f t="shared" si="186"/>
        <v>3298000</v>
      </c>
      <c r="O586" s="42">
        <f>N586*1.5</f>
        <v>4947000</v>
      </c>
      <c r="P586" s="42"/>
      <c r="Q586" s="42">
        <f t="shared" si="188"/>
        <v>4947000</v>
      </c>
    </row>
    <row r="587" spans="1:18" ht="13.5" x14ac:dyDescent="0.2">
      <c r="A587" s="47" t="s">
        <v>23</v>
      </c>
      <c r="B587" s="47" t="s">
        <v>1108</v>
      </c>
      <c r="C587" s="21" t="s">
        <v>1495</v>
      </c>
      <c r="D587" s="47" t="s">
        <v>1496</v>
      </c>
      <c r="E587" s="21" t="s">
        <v>41</v>
      </c>
      <c r="F587" s="47" t="s">
        <v>32</v>
      </c>
      <c r="G587" s="21" t="s">
        <v>1497</v>
      </c>
      <c r="H587" s="7" t="s">
        <v>1498</v>
      </c>
      <c r="I587" s="8" t="s">
        <v>1516</v>
      </c>
      <c r="J587" s="9">
        <v>1158400</v>
      </c>
      <c r="K587" s="8"/>
      <c r="L587" s="42">
        <f t="shared" ref="L587:L606" si="191">J587*1.5</f>
        <v>1737600</v>
      </c>
      <c r="M587" s="8"/>
      <c r="N587" s="42">
        <f t="shared" ref="N587:N633" si="192">SUM(K587:M587)</f>
        <v>1737600</v>
      </c>
      <c r="O587" s="42"/>
      <c r="P587" s="42">
        <f>N587</f>
        <v>1737600</v>
      </c>
      <c r="Q587" s="42">
        <f t="shared" si="188"/>
        <v>1737600</v>
      </c>
      <c r="R587" s="5"/>
    </row>
    <row r="588" spans="1:18" ht="13.5" x14ac:dyDescent="0.2">
      <c r="A588" s="47" t="s">
        <v>23</v>
      </c>
      <c r="B588" s="47" t="s">
        <v>1108</v>
      </c>
      <c r="C588" s="21" t="s">
        <v>1495</v>
      </c>
      <c r="D588" s="47" t="s">
        <v>1496</v>
      </c>
      <c r="E588" s="21" t="s">
        <v>41</v>
      </c>
      <c r="F588" s="47" t="s">
        <v>32</v>
      </c>
      <c r="G588" s="21" t="s">
        <v>1497</v>
      </c>
      <c r="H588" s="7" t="s">
        <v>1498</v>
      </c>
      <c r="I588" s="8" t="s">
        <v>1520</v>
      </c>
      <c r="J588" s="9">
        <v>4890500</v>
      </c>
      <c r="K588" s="8"/>
      <c r="L588" s="42">
        <f t="shared" si="191"/>
        <v>7335750</v>
      </c>
      <c r="M588" s="8"/>
      <c r="N588" s="42">
        <f t="shared" si="192"/>
        <v>7335750</v>
      </c>
      <c r="O588" s="42">
        <f t="shared" ref="O588:O589" si="193">N588*1.5</f>
        <v>11003625</v>
      </c>
      <c r="P588" s="42"/>
      <c r="Q588" s="42">
        <f t="shared" si="188"/>
        <v>11003625</v>
      </c>
    </row>
    <row r="589" spans="1:18" ht="13.5" x14ac:dyDescent="0.2">
      <c r="A589" s="47" t="s">
        <v>23</v>
      </c>
      <c r="B589" s="47" t="s">
        <v>1108</v>
      </c>
      <c r="C589" s="21" t="s">
        <v>1495</v>
      </c>
      <c r="D589" s="47" t="s">
        <v>1496</v>
      </c>
      <c r="E589" s="21" t="s">
        <v>41</v>
      </c>
      <c r="F589" s="47" t="s">
        <v>32</v>
      </c>
      <c r="G589" s="21" t="s">
        <v>1497</v>
      </c>
      <c r="H589" s="7" t="s">
        <v>1498</v>
      </c>
      <c r="I589" s="8" t="s">
        <v>1506</v>
      </c>
      <c r="J589" s="9">
        <v>4481100</v>
      </c>
      <c r="K589" s="8"/>
      <c r="L589" s="42">
        <f t="shared" si="191"/>
        <v>6721650</v>
      </c>
      <c r="M589" s="8"/>
      <c r="N589" s="42">
        <f t="shared" si="192"/>
        <v>6721650</v>
      </c>
      <c r="O589" s="42">
        <f t="shared" si="193"/>
        <v>10082475</v>
      </c>
      <c r="P589" s="42"/>
      <c r="Q589" s="42">
        <f t="shared" si="188"/>
        <v>10082475</v>
      </c>
    </row>
    <row r="590" spans="1:18" ht="13.5" x14ac:dyDescent="0.2">
      <c r="A590" s="47" t="s">
        <v>23</v>
      </c>
      <c r="B590" s="47" t="s">
        <v>1108</v>
      </c>
      <c r="C590" s="21" t="s">
        <v>1495</v>
      </c>
      <c r="D590" s="47" t="s">
        <v>1496</v>
      </c>
      <c r="E590" s="21" t="s">
        <v>41</v>
      </c>
      <c r="F590" s="47" t="s">
        <v>32</v>
      </c>
      <c r="G590" s="21" t="s">
        <v>1497</v>
      </c>
      <c r="H590" s="7" t="s">
        <v>1498</v>
      </c>
      <c r="I590" s="8" t="s">
        <v>1499</v>
      </c>
      <c r="J590" s="9">
        <v>5725000</v>
      </c>
      <c r="K590" s="8"/>
      <c r="L590" s="42">
        <f t="shared" si="191"/>
        <v>8587500</v>
      </c>
      <c r="M590" s="8"/>
      <c r="N590" s="42">
        <f t="shared" si="192"/>
        <v>8587500</v>
      </c>
      <c r="O590" s="42"/>
      <c r="P590" s="42">
        <f t="shared" ref="P590:P591" si="194">N590</f>
        <v>8587500</v>
      </c>
      <c r="Q590" s="42">
        <f t="shared" si="188"/>
        <v>8587500</v>
      </c>
      <c r="R590" s="5"/>
    </row>
    <row r="591" spans="1:18" ht="13.5" x14ac:dyDescent="0.2">
      <c r="A591" s="47" t="s">
        <v>23</v>
      </c>
      <c r="B591" s="47" t="s">
        <v>1108</v>
      </c>
      <c r="C591" s="21" t="s">
        <v>1495</v>
      </c>
      <c r="D591" s="47" t="s">
        <v>1496</v>
      </c>
      <c r="E591" s="21" t="s">
        <v>41</v>
      </c>
      <c r="F591" s="47" t="s">
        <v>32</v>
      </c>
      <c r="G591" s="21" t="s">
        <v>1497</v>
      </c>
      <c r="H591" s="7" t="s">
        <v>1498</v>
      </c>
      <c r="I591" s="8" t="s">
        <v>1512</v>
      </c>
      <c r="J591" s="9">
        <v>2038000</v>
      </c>
      <c r="K591" s="8"/>
      <c r="L591" s="42">
        <f t="shared" si="191"/>
        <v>3057000</v>
      </c>
      <c r="M591" s="8"/>
      <c r="N591" s="42">
        <f t="shared" si="192"/>
        <v>3057000</v>
      </c>
      <c r="O591" s="42"/>
      <c r="P591" s="42">
        <f t="shared" si="194"/>
        <v>3057000</v>
      </c>
      <c r="Q591" s="42">
        <f t="shared" si="188"/>
        <v>3057000</v>
      </c>
      <c r="R591" s="5"/>
    </row>
    <row r="592" spans="1:18" ht="13.5" x14ac:dyDescent="0.2">
      <c r="A592" s="47" t="s">
        <v>23</v>
      </c>
      <c r="B592" s="47" t="s">
        <v>1108</v>
      </c>
      <c r="C592" s="21" t="s">
        <v>1495</v>
      </c>
      <c r="D592" s="47" t="s">
        <v>1496</v>
      </c>
      <c r="E592" s="21" t="s">
        <v>41</v>
      </c>
      <c r="F592" s="47" t="s">
        <v>32</v>
      </c>
      <c r="G592" s="21" t="s">
        <v>1497</v>
      </c>
      <c r="H592" s="7" t="s">
        <v>1498</v>
      </c>
      <c r="I592" s="8" t="s">
        <v>506</v>
      </c>
      <c r="J592" s="9">
        <v>5547000</v>
      </c>
      <c r="K592" s="8"/>
      <c r="L592" s="42">
        <f t="shared" si="191"/>
        <v>8320500</v>
      </c>
      <c r="M592" s="8"/>
      <c r="N592" s="42">
        <f t="shared" si="192"/>
        <v>8320500</v>
      </c>
      <c r="O592" s="42">
        <f>N592*1.5</f>
        <v>12480750</v>
      </c>
      <c r="P592" s="42"/>
      <c r="Q592" s="42">
        <f t="shared" si="188"/>
        <v>12480750</v>
      </c>
    </row>
    <row r="593" spans="1:18" ht="13.5" x14ac:dyDescent="0.2">
      <c r="A593" s="47" t="s">
        <v>23</v>
      </c>
      <c r="B593" s="47" t="s">
        <v>1108</v>
      </c>
      <c r="C593" s="21" t="s">
        <v>1495</v>
      </c>
      <c r="D593" s="47" t="s">
        <v>1496</v>
      </c>
      <c r="E593" s="21" t="s">
        <v>41</v>
      </c>
      <c r="F593" s="47" t="s">
        <v>32</v>
      </c>
      <c r="G593" s="21" t="s">
        <v>1497</v>
      </c>
      <c r="H593" s="7" t="s">
        <v>1498</v>
      </c>
      <c r="I593" s="8" t="s">
        <v>1508</v>
      </c>
      <c r="J593" s="9">
        <v>3349000</v>
      </c>
      <c r="K593" s="8"/>
      <c r="L593" s="42">
        <f t="shared" si="191"/>
        <v>5023500</v>
      </c>
      <c r="M593" s="8"/>
      <c r="N593" s="42">
        <f t="shared" si="192"/>
        <v>5023500</v>
      </c>
      <c r="O593" s="42"/>
      <c r="P593" s="42">
        <f>N593</f>
        <v>5023500</v>
      </c>
      <c r="Q593" s="42">
        <f t="shared" si="188"/>
        <v>5023500</v>
      </c>
      <c r="R593" s="5"/>
    </row>
    <row r="594" spans="1:18" ht="13.5" x14ac:dyDescent="0.2">
      <c r="A594" s="47" t="s">
        <v>23</v>
      </c>
      <c r="B594" s="47" t="s">
        <v>1108</v>
      </c>
      <c r="C594" s="21" t="s">
        <v>1495</v>
      </c>
      <c r="D594" s="47" t="s">
        <v>1496</v>
      </c>
      <c r="E594" s="21" t="s">
        <v>41</v>
      </c>
      <c r="F594" s="47" t="s">
        <v>32</v>
      </c>
      <c r="G594" s="21" t="s">
        <v>1522</v>
      </c>
      <c r="H594" s="7" t="s">
        <v>1523</v>
      </c>
      <c r="I594" s="8" t="s">
        <v>1559</v>
      </c>
      <c r="J594" s="9">
        <v>4996000</v>
      </c>
      <c r="K594" s="8"/>
      <c r="L594" s="42">
        <f t="shared" si="191"/>
        <v>7494000</v>
      </c>
      <c r="M594" s="8"/>
      <c r="N594" s="42">
        <f t="shared" si="192"/>
        <v>7494000</v>
      </c>
      <c r="O594" s="42">
        <f t="shared" ref="O594:O595" si="195">N594*1.5</f>
        <v>11241000</v>
      </c>
      <c r="P594" s="42"/>
      <c r="Q594" s="42">
        <f t="shared" si="188"/>
        <v>11241000</v>
      </c>
    </row>
    <row r="595" spans="1:18" ht="13.5" x14ac:dyDescent="0.2">
      <c r="A595" s="47" t="s">
        <v>23</v>
      </c>
      <c r="B595" s="47" t="s">
        <v>1108</v>
      </c>
      <c r="C595" s="21" t="s">
        <v>1495</v>
      </c>
      <c r="D595" s="47" t="s">
        <v>1496</v>
      </c>
      <c r="E595" s="21" t="s">
        <v>41</v>
      </c>
      <c r="F595" s="47" t="s">
        <v>32</v>
      </c>
      <c r="G595" s="21" t="s">
        <v>1522</v>
      </c>
      <c r="H595" s="7" t="s">
        <v>1523</v>
      </c>
      <c r="I595" s="8" t="s">
        <v>982</v>
      </c>
      <c r="J595" s="9">
        <v>4089200</v>
      </c>
      <c r="K595" s="8"/>
      <c r="L595" s="42">
        <f t="shared" si="191"/>
        <v>6133800</v>
      </c>
      <c r="M595" s="8"/>
      <c r="N595" s="42">
        <f t="shared" si="192"/>
        <v>6133800</v>
      </c>
      <c r="O595" s="42">
        <f t="shared" si="195"/>
        <v>9200700</v>
      </c>
      <c r="P595" s="42"/>
      <c r="Q595" s="42">
        <f t="shared" si="188"/>
        <v>9200700</v>
      </c>
    </row>
    <row r="596" spans="1:18" ht="13.5" x14ac:dyDescent="0.2">
      <c r="A596" s="47" t="s">
        <v>23</v>
      </c>
      <c r="B596" s="47" t="s">
        <v>1108</v>
      </c>
      <c r="C596" s="21" t="s">
        <v>1495</v>
      </c>
      <c r="D596" s="47" t="s">
        <v>1496</v>
      </c>
      <c r="E596" s="21" t="s">
        <v>41</v>
      </c>
      <c r="F596" s="47" t="s">
        <v>32</v>
      </c>
      <c r="G596" s="21" t="s">
        <v>1522</v>
      </c>
      <c r="H596" s="7" t="s">
        <v>1523</v>
      </c>
      <c r="I596" s="8" t="s">
        <v>1624</v>
      </c>
      <c r="J596" s="9">
        <v>6090500</v>
      </c>
      <c r="K596" s="8"/>
      <c r="L596" s="42">
        <f t="shared" si="191"/>
        <v>9135750</v>
      </c>
      <c r="M596" s="8"/>
      <c r="N596" s="42">
        <f t="shared" si="192"/>
        <v>9135750</v>
      </c>
      <c r="O596" s="42"/>
      <c r="P596" s="42">
        <f>N596</f>
        <v>9135750</v>
      </c>
      <c r="Q596" s="42">
        <f t="shared" si="188"/>
        <v>9135750</v>
      </c>
      <c r="R596" s="5"/>
    </row>
    <row r="597" spans="1:18" ht="13.5" x14ac:dyDescent="0.2">
      <c r="A597" s="47" t="s">
        <v>23</v>
      </c>
      <c r="B597" s="47" t="s">
        <v>1108</v>
      </c>
      <c r="C597" s="21" t="s">
        <v>1495</v>
      </c>
      <c r="D597" s="47" t="s">
        <v>1496</v>
      </c>
      <c r="E597" s="21" t="s">
        <v>41</v>
      </c>
      <c r="F597" s="47" t="s">
        <v>32</v>
      </c>
      <c r="G597" s="21" t="s">
        <v>1522</v>
      </c>
      <c r="H597" s="7" t="s">
        <v>1523</v>
      </c>
      <c r="I597" s="8" t="s">
        <v>1616</v>
      </c>
      <c r="J597" s="9">
        <v>5796000</v>
      </c>
      <c r="K597" s="8"/>
      <c r="L597" s="42">
        <f t="shared" si="191"/>
        <v>8694000</v>
      </c>
      <c r="M597" s="8"/>
      <c r="N597" s="42">
        <f t="shared" si="192"/>
        <v>8694000</v>
      </c>
      <c r="O597" s="42">
        <f>N597*1.5</f>
        <v>13041000</v>
      </c>
      <c r="P597" s="42"/>
      <c r="Q597" s="42">
        <f t="shared" si="188"/>
        <v>13041000</v>
      </c>
    </row>
    <row r="598" spans="1:18" ht="13.5" x14ac:dyDescent="0.2">
      <c r="A598" s="47" t="s">
        <v>23</v>
      </c>
      <c r="B598" s="47" t="s">
        <v>1108</v>
      </c>
      <c r="C598" s="21" t="s">
        <v>1495</v>
      </c>
      <c r="D598" s="47" t="s">
        <v>1496</v>
      </c>
      <c r="E598" s="21" t="s">
        <v>41</v>
      </c>
      <c r="F598" s="47" t="s">
        <v>32</v>
      </c>
      <c r="G598" s="21" t="s">
        <v>1522</v>
      </c>
      <c r="H598" s="7" t="s">
        <v>1523</v>
      </c>
      <c r="I598" s="8" t="s">
        <v>1622</v>
      </c>
      <c r="J598" s="9">
        <v>2612000</v>
      </c>
      <c r="K598" s="8"/>
      <c r="L598" s="42">
        <f t="shared" si="191"/>
        <v>3918000</v>
      </c>
      <c r="M598" s="8"/>
      <c r="N598" s="42">
        <f t="shared" si="192"/>
        <v>3918000</v>
      </c>
      <c r="O598" s="42"/>
      <c r="P598" s="42">
        <f>N598</f>
        <v>3918000</v>
      </c>
      <c r="Q598" s="42">
        <f t="shared" si="188"/>
        <v>3918000</v>
      </c>
      <c r="R598" s="5"/>
    </row>
    <row r="599" spans="1:18" ht="13.5" x14ac:dyDescent="0.2">
      <c r="A599" s="47" t="s">
        <v>23</v>
      </c>
      <c r="B599" s="47" t="s">
        <v>1108</v>
      </c>
      <c r="C599" s="21" t="s">
        <v>1495</v>
      </c>
      <c r="D599" s="47" t="s">
        <v>1496</v>
      </c>
      <c r="E599" s="21" t="s">
        <v>41</v>
      </c>
      <c r="F599" s="47" t="s">
        <v>32</v>
      </c>
      <c r="G599" s="21" t="s">
        <v>1522</v>
      </c>
      <c r="H599" s="7" t="s">
        <v>1523</v>
      </c>
      <c r="I599" s="8" t="s">
        <v>1591</v>
      </c>
      <c r="J599" s="9">
        <v>1434800</v>
      </c>
      <c r="K599" s="8"/>
      <c r="L599" s="42">
        <f t="shared" si="191"/>
        <v>2152200</v>
      </c>
      <c r="M599" s="8"/>
      <c r="N599" s="42">
        <f t="shared" si="192"/>
        <v>2152200</v>
      </c>
      <c r="O599" s="42">
        <f t="shared" ref="O599:O600" si="196">N599*1.5</f>
        <v>3228300</v>
      </c>
      <c r="P599" s="42"/>
      <c r="Q599" s="42">
        <f t="shared" si="188"/>
        <v>3228300</v>
      </c>
    </row>
    <row r="600" spans="1:18" ht="13.5" x14ac:dyDescent="0.2">
      <c r="A600" s="47" t="s">
        <v>23</v>
      </c>
      <c r="B600" s="47" t="s">
        <v>1108</v>
      </c>
      <c r="C600" s="21" t="s">
        <v>1495</v>
      </c>
      <c r="D600" s="47" t="s">
        <v>1496</v>
      </c>
      <c r="E600" s="21" t="s">
        <v>41</v>
      </c>
      <c r="F600" s="47" t="s">
        <v>32</v>
      </c>
      <c r="G600" s="21" t="s">
        <v>1522</v>
      </c>
      <c r="H600" s="7" t="s">
        <v>1523</v>
      </c>
      <c r="I600" s="8" t="s">
        <v>1596</v>
      </c>
      <c r="J600" s="9">
        <v>13186400</v>
      </c>
      <c r="K600" s="8"/>
      <c r="L600" s="42">
        <f t="shared" si="191"/>
        <v>19779600</v>
      </c>
      <c r="M600" s="8"/>
      <c r="N600" s="42">
        <f t="shared" si="192"/>
        <v>19779600</v>
      </c>
      <c r="O600" s="42">
        <f t="shared" si="196"/>
        <v>29669400</v>
      </c>
      <c r="P600" s="42"/>
      <c r="Q600" s="42">
        <f t="shared" si="188"/>
        <v>29669400</v>
      </c>
    </row>
    <row r="601" spans="1:18" ht="13.5" x14ac:dyDescent="0.2">
      <c r="A601" s="47" t="s">
        <v>23</v>
      </c>
      <c r="B601" s="47" t="s">
        <v>1108</v>
      </c>
      <c r="C601" s="21" t="s">
        <v>1495</v>
      </c>
      <c r="D601" s="47" t="s">
        <v>1496</v>
      </c>
      <c r="E601" s="21" t="s">
        <v>41</v>
      </c>
      <c r="F601" s="47" t="s">
        <v>32</v>
      </c>
      <c r="G601" s="21" t="s">
        <v>1522</v>
      </c>
      <c r="H601" s="7" t="s">
        <v>1523</v>
      </c>
      <c r="I601" s="8" t="s">
        <v>1550</v>
      </c>
      <c r="J601" s="9">
        <v>8998000</v>
      </c>
      <c r="K601" s="8"/>
      <c r="L601" s="42">
        <f t="shared" si="191"/>
        <v>13497000</v>
      </c>
      <c r="M601" s="8"/>
      <c r="N601" s="42">
        <f t="shared" si="192"/>
        <v>13497000</v>
      </c>
      <c r="O601" s="42"/>
      <c r="P601" s="42">
        <f t="shared" ref="P601:P608" si="197">N601</f>
        <v>13497000</v>
      </c>
      <c r="Q601" s="42">
        <f t="shared" si="188"/>
        <v>13497000</v>
      </c>
      <c r="R601" s="5"/>
    </row>
    <row r="602" spans="1:18" ht="13.5" x14ac:dyDescent="0.2">
      <c r="A602" s="47" t="s">
        <v>23</v>
      </c>
      <c r="B602" s="47" t="s">
        <v>1108</v>
      </c>
      <c r="C602" s="21" t="s">
        <v>1495</v>
      </c>
      <c r="D602" s="47" t="s">
        <v>1496</v>
      </c>
      <c r="E602" s="21" t="s">
        <v>41</v>
      </c>
      <c r="F602" s="47" t="s">
        <v>32</v>
      </c>
      <c r="G602" s="21" t="s">
        <v>1522</v>
      </c>
      <c r="H602" s="7" t="s">
        <v>1523</v>
      </c>
      <c r="I602" s="8" t="s">
        <v>1552</v>
      </c>
      <c r="J602" s="9">
        <v>11598000</v>
      </c>
      <c r="K602" s="8"/>
      <c r="L602" s="42">
        <f t="shared" si="191"/>
        <v>17397000</v>
      </c>
      <c r="M602" s="8"/>
      <c r="N602" s="42">
        <f t="shared" si="192"/>
        <v>17397000</v>
      </c>
      <c r="O602" s="42"/>
      <c r="P602" s="42">
        <f t="shared" si="197"/>
        <v>17397000</v>
      </c>
      <c r="Q602" s="42">
        <f t="shared" si="188"/>
        <v>17397000</v>
      </c>
      <c r="R602" s="5"/>
    </row>
    <row r="603" spans="1:18" ht="13.5" x14ac:dyDescent="0.2">
      <c r="A603" s="47" t="s">
        <v>23</v>
      </c>
      <c r="B603" s="47" t="s">
        <v>1108</v>
      </c>
      <c r="C603" s="21" t="s">
        <v>1495</v>
      </c>
      <c r="D603" s="47" t="s">
        <v>1496</v>
      </c>
      <c r="E603" s="21" t="s">
        <v>41</v>
      </c>
      <c r="F603" s="47" t="s">
        <v>32</v>
      </c>
      <c r="G603" s="21" t="s">
        <v>1522</v>
      </c>
      <c r="H603" s="7" t="s">
        <v>1523</v>
      </c>
      <c r="I603" s="8" t="s">
        <v>1569</v>
      </c>
      <c r="J603" s="9">
        <v>6396000</v>
      </c>
      <c r="K603" s="8"/>
      <c r="L603" s="42">
        <f t="shared" si="191"/>
        <v>9594000</v>
      </c>
      <c r="M603" s="8"/>
      <c r="N603" s="42">
        <f t="shared" si="192"/>
        <v>9594000</v>
      </c>
      <c r="O603" s="42"/>
      <c r="P603" s="42">
        <f t="shared" si="197"/>
        <v>9594000</v>
      </c>
      <c r="Q603" s="42">
        <f t="shared" si="188"/>
        <v>9594000</v>
      </c>
      <c r="R603" s="5"/>
    </row>
    <row r="604" spans="1:18" ht="13.5" x14ac:dyDescent="0.2">
      <c r="A604" s="47" t="s">
        <v>23</v>
      </c>
      <c r="B604" s="47" t="s">
        <v>1108</v>
      </c>
      <c r="C604" s="21" t="s">
        <v>1495</v>
      </c>
      <c r="D604" s="47" t="s">
        <v>1496</v>
      </c>
      <c r="E604" s="21" t="s">
        <v>57</v>
      </c>
      <c r="F604" s="47" t="s">
        <v>32</v>
      </c>
      <c r="G604" s="21" t="s">
        <v>1497</v>
      </c>
      <c r="H604" s="7" t="s">
        <v>1498</v>
      </c>
      <c r="I604" s="8" t="s">
        <v>1518</v>
      </c>
      <c r="J604" s="9">
        <v>6390000</v>
      </c>
      <c r="K604" s="8"/>
      <c r="L604" s="42">
        <f t="shared" si="191"/>
        <v>9585000</v>
      </c>
      <c r="M604" s="8"/>
      <c r="N604" s="42">
        <f t="shared" si="192"/>
        <v>9585000</v>
      </c>
      <c r="O604" s="42"/>
      <c r="P604" s="42">
        <f t="shared" si="197"/>
        <v>9585000</v>
      </c>
      <c r="Q604" s="42">
        <f t="shared" si="188"/>
        <v>9585000</v>
      </c>
      <c r="R604" s="5"/>
    </row>
    <row r="605" spans="1:18" ht="13.5" x14ac:dyDescent="0.2">
      <c r="A605" s="47" t="s">
        <v>23</v>
      </c>
      <c r="B605" s="47" t="s">
        <v>1108</v>
      </c>
      <c r="C605" s="21" t="s">
        <v>1495</v>
      </c>
      <c r="D605" s="47" t="s">
        <v>1496</v>
      </c>
      <c r="E605" s="21" t="s">
        <v>57</v>
      </c>
      <c r="F605" s="47" t="s">
        <v>32</v>
      </c>
      <c r="G605" s="21" t="s">
        <v>1497</v>
      </c>
      <c r="H605" s="7" t="s">
        <v>1498</v>
      </c>
      <c r="I605" s="8" t="s">
        <v>1504</v>
      </c>
      <c r="J605" s="9">
        <v>6032000</v>
      </c>
      <c r="K605" s="8"/>
      <c r="L605" s="42">
        <f t="shared" si="191"/>
        <v>9048000</v>
      </c>
      <c r="M605" s="8"/>
      <c r="N605" s="42">
        <f t="shared" si="192"/>
        <v>9048000</v>
      </c>
      <c r="O605" s="42"/>
      <c r="P605" s="42">
        <f t="shared" si="197"/>
        <v>9048000</v>
      </c>
      <c r="Q605" s="42">
        <f t="shared" si="188"/>
        <v>9048000</v>
      </c>
      <c r="R605" s="5"/>
    </row>
    <row r="606" spans="1:18" ht="13.5" x14ac:dyDescent="0.2">
      <c r="A606" s="47" t="s">
        <v>23</v>
      </c>
      <c r="B606" s="47" t="s">
        <v>1108</v>
      </c>
      <c r="C606" s="21" t="s">
        <v>1495</v>
      </c>
      <c r="D606" s="47" t="s">
        <v>1496</v>
      </c>
      <c r="E606" s="21" t="s">
        <v>57</v>
      </c>
      <c r="F606" s="47" t="s">
        <v>32</v>
      </c>
      <c r="G606" s="21" t="s">
        <v>1497</v>
      </c>
      <c r="H606" s="7" t="s">
        <v>1498</v>
      </c>
      <c r="I606" s="8" t="s">
        <v>1510</v>
      </c>
      <c r="J606" s="9">
        <v>7045000</v>
      </c>
      <c r="K606" s="8"/>
      <c r="L606" s="42">
        <f t="shared" si="191"/>
        <v>10567500</v>
      </c>
      <c r="M606" s="8"/>
      <c r="N606" s="42">
        <f t="shared" si="192"/>
        <v>10567500</v>
      </c>
      <c r="O606" s="42"/>
      <c r="P606" s="42">
        <f t="shared" si="197"/>
        <v>10567500</v>
      </c>
      <c r="Q606" s="42">
        <f t="shared" si="188"/>
        <v>10567500</v>
      </c>
      <c r="R606" s="5"/>
    </row>
    <row r="607" spans="1:18" ht="13.5" x14ac:dyDescent="0.2">
      <c r="A607" s="47" t="s">
        <v>23</v>
      </c>
      <c r="B607" s="47" t="s">
        <v>1108</v>
      </c>
      <c r="C607" s="21" t="s">
        <v>1495</v>
      </c>
      <c r="D607" s="47" t="s">
        <v>1496</v>
      </c>
      <c r="E607" s="21" t="s">
        <v>610</v>
      </c>
      <c r="F607" s="47" t="s">
        <v>611</v>
      </c>
      <c r="G607" s="21" t="s">
        <v>1522</v>
      </c>
      <c r="H607" s="7" t="s">
        <v>1523</v>
      </c>
      <c r="I607" s="8" t="s">
        <v>1630</v>
      </c>
      <c r="J607" s="9">
        <v>198000</v>
      </c>
      <c r="K607" s="8"/>
      <c r="L607" s="8"/>
      <c r="M607" s="8"/>
      <c r="N607" s="42">
        <f t="shared" ref="N607:N614" si="198">J607</f>
        <v>198000</v>
      </c>
      <c r="O607" s="42"/>
      <c r="P607" s="42">
        <f t="shared" si="197"/>
        <v>198000</v>
      </c>
      <c r="Q607" s="42">
        <f t="shared" si="188"/>
        <v>198000</v>
      </c>
      <c r="R607" s="5"/>
    </row>
    <row r="608" spans="1:18" ht="13.5" x14ac:dyDescent="0.2">
      <c r="A608" s="47" t="s">
        <v>23</v>
      </c>
      <c r="B608" s="47" t="s">
        <v>1108</v>
      </c>
      <c r="C608" s="21" t="s">
        <v>1495</v>
      </c>
      <c r="D608" s="47" t="s">
        <v>1637</v>
      </c>
      <c r="E608" s="21" t="s">
        <v>128</v>
      </c>
      <c r="F608" s="47" t="s">
        <v>32</v>
      </c>
      <c r="G608" s="21" t="s">
        <v>1655</v>
      </c>
      <c r="H608" s="7" t="s">
        <v>1656</v>
      </c>
      <c r="I608" s="8" t="s">
        <v>1663</v>
      </c>
      <c r="J608" s="9">
        <v>150000</v>
      </c>
      <c r="K608" s="8"/>
      <c r="L608" s="8"/>
      <c r="M608" s="8"/>
      <c r="N608" s="42">
        <f t="shared" si="198"/>
        <v>150000</v>
      </c>
      <c r="O608" s="42"/>
      <c r="P608" s="42">
        <f t="shared" si="197"/>
        <v>150000</v>
      </c>
      <c r="Q608" s="42">
        <f t="shared" si="188"/>
        <v>150000</v>
      </c>
      <c r="R608" s="5"/>
    </row>
    <row r="609" spans="1:18" ht="13.5" hidden="1" x14ac:dyDescent="0.2">
      <c r="A609" s="12" t="s">
        <v>23</v>
      </c>
      <c r="B609" s="12" t="s">
        <v>1108</v>
      </c>
      <c r="C609" s="13" t="s">
        <v>1495</v>
      </c>
      <c r="D609" s="12" t="s">
        <v>1637</v>
      </c>
      <c r="E609" s="13" t="s">
        <v>128</v>
      </c>
      <c r="F609" s="12" t="s">
        <v>181</v>
      </c>
      <c r="G609" s="13" t="s">
        <v>1638</v>
      </c>
      <c r="H609" s="12" t="s">
        <v>1639</v>
      </c>
      <c r="I609" s="13" t="s">
        <v>1653</v>
      </c>
      <c r="J609" s="14" t="s">
        <v>3946</v>
      </c>
      <c r="K609" s="18"/>
      <c r="L609" s="18"/>
      <c r="M609" s="18"/>
      <c r="N609" s="20" t="str">
        <f t="shared" si="198"/>
        <v>-</v>
      </c>
      <c r="O609"/>
      <c r="P609"/>
    </row>
    <row r="610" spans="1:18" ht="13.5" hidden="1" x14ac:dyDescent="0.2">
      <c r="A610" s="7" t="s">
        <v>23</v>
      </c>
      <c r="B610" s="7" t="s">
        <v>1108</v>
      </c>
      <c r="C610" s="8" t="s">
        <v>1495</v>
      </c>
      <c r="D610" s="7" t="s">
        <v>1637</v>
      </c>
      <c r="E610" s="8" t="s">
        <v>128</v>
      </c>
      <c r="F610" s="7" t="s">
        <v>181</v>
      </c>
      <c r="G610" s="8" t="s">
        <v>1655</v>
      </c>
      <c r="H610" s="7" t="s">
        <v>1656</v>
      </c>
      <c r="I610" s="8" t="s">
        <v>1661</v>
      </c>
      <c r="J610" s="9" t="s">
        <v>3946</v>
      </c>
      <c r="K610" s="15"/>
      <c r="L610" s="15"/>
      <c r="M610" s="15"/>
      <c r="N610" s="16" t="str">
        <f t="shared" si="198"/>
        <v>-</v>
      </c>
      <c r="O610"/>
      <c r="P610"/>
    </row>
    <row r="611" spans="1:18" ht="13.5" hidden="1" x14ac:dyDescent="0.2">
      <c r="A611" s="7" t="s">
        <v>23</v>
      </c>
      <c r="B611" s="7" t="s">
        <v>1108</v>
      </c>
      <c r="C611" s="8" t="s">
        <v>1495</v>
      </c>
      <c r="D611" s="7" t="s">
        <v>1637</v>
      </c>
      <c r="E611" s="8" t="s">
        <v>128</v>
      </c>
      <c r="F611" s="7" t="s">
        <v>181</v>
      </c>
      <c r="G611" s="8" t="s">
        <v>1655</v>
      </c>
      <c r="H611" s="7" t="s">
        <v>1656</v>
      </c>
      <c r="I611" s="8" t="s">
        <v>1659</v>
      </c>
      <c r="J611" s="9" t="s">
        <v>3946</v>
      </c>
      <c r="K611" s="15"/>
      <c r="L611" s="15"/>
      <c r="M611" s="15"/>
      <c r="N611" s="16" t="str">
        <f t="shared" si="198"/>
        <v>-</v>
      </c>
      <c r="O611"/>
      <c r="P611"/>
    </row>
    <row r="612" spans="1:18" ht="13.5" x14ac:dyDescent="0.2">
      <c r="A612" s="47" t="s">
        <v>23</v>
      </c>
      <c r="B612" s="47" t="s">
        <v>1108</v>
      </c>
      <c r="C612" s="21" t="s">
        <v>1495</v>
      </c>
      <c r="D612" s="47" t="s">
        <v>1637</v>
      </c>
      <c r="E612" s="21" t="s">
        <v>31</v>
      </c>
      <c r="F612" s="47" t="s">
        <v>32</v>
      </c>
      <c r="G612" s="21" t="s">
        <v>1638</v>
      </c>
      <c r="H612" s="7" t="s">
        <v>1639</v>
      </c>
      <c r="I612" s="8" t="s">
        <v>1640</v>
      </c>
      <c r="J612" s="9">
        <v>916200</v>
      </c>
      <c r="K612" s="8"/>
      <c r="L612" s="8"/>
      <c r="M612" s="8"/>
      <c r="N612" s="42">
        <f t="shared" si="198"/>
        <v>916200</v>
      </c>
      <c r="O612" s="42"/>
      <c r="P612" s="42">
        <f t="shared" ref="P612:P614" si="199">N612</f>
        <v>916200</v>
      </c>
      <c r="Q612" s="42">
        <f t="shared" ref="Q612:Q639" si="200">SUM(O612:P612)</f>
        <v>916200</v>
      </c>
      <c r="R612" s="5"/>
    </row>
    <row r="613" spans="1:18" ht="13.5" x14ac:dyDescent="0.2">
      <c r="A613" s="47" t="s">
        <v>23</v>
      </c>
      <c r="B613" s="47" t="s">
        <v>1108</v>
      </c>
      <c r="C613" s="21" t="s">
        <v>1495</v>
      </c>
      <c r="D613" s="47" t="s">
        <v>1637</v>
      </c>
      <c r="E613" s="21" t="s">
        <v>31</v>
      </c>
      <c r="F613" s="47" t="s">
        <v>32</v>
      </c>
      <c r="G613" s="21" t="s">
        <v>1638</v>
      </c>
      <c r="H613" s="7" t="s">
        <v>1639</v>
      </c>
      <c r="I613" s="8" t="s">
        <v>1647</v>
      </c>
      <c r="J613" s="9">
        <v>3820400</v>
      </c>
      <c r="K613" s="8"/>
      <c r="L613" s="8"/>
      <c r="M613" s="8"/>
      <c r="N613" s="42">
        <f t="shared" si="198"/>
        <v>3820400</v>
      </c>
      <c r="O613" s="42"/>
      <c r="P613" s="42">
        <f t="shared" si="199"/>
        <v>3820400</v>
      </c>
      <c r="Q613" s="42">
        <f t="shared" si="200"/>
        <v>3820400</v>
      </c>
      <c r="R613" s="5"/>
    </row>
    <row r="614" spans="1:18" ht="13.5" x14ac:dyDescent="0.2">
      <c r="A614" s="47" t="s">
        <v>23</v>
      </c>
      <c r="B614" s="47" t="s">
        <v>1108</v>
      </c>
      <c r="C614" s="21" t="s">
        <v>1495</v>
      </c>
      <c r="D614" s="47" t="s">
        <v>1637</v>
      </c>
      <c r="E614" s="21" t="s">
        <v>31</v>
      </c>
      <c r="F614" s="47" t="s">
        <v>32</v>
      </c>
      <c r="G614" s="21" t="s">
        <v>1655</v>
      </c>
      <c r="H614" s="7" t="s">
        <v>1656</v>
      </c>
      <c r="I614" s="8" t="s">
        <v>1665</v>
      </c>
      <c r="J614" s="9">
        <v>1536000</v>
      </c>
      <c r="K614" s="8"/>
      <c r="L614" s="8"/>
      <c r="M614" s="8"/>
      <c r="N614" s="42">
        <f t="shared" si="198"/>
        <v>1536000</v>
      </c>
      <c r="O614" s="42"/>
      <c r="P614" s="42">
        <f t="shared" si="199"/>
        <v>1536000</v>
      </c>
      <c r="Q614" s="42">
        <f t="shared" si="200"/>
        <v>1536000</v>
      </c>
      <c r="R614" s="5"/>
    </row>
    <row r="615" spans="1:18" ht="13.5" x14ac:dyDescent="0.2">
      <c r="A615" s="47" t="s">
        <v>23</v>
      </c>
      <c r="B615" s="47" t="s">
        <v>1108</v>
      </c>
      <c r="C615" s="21" t="s">
        <v>1495</v>
      </c>
      <c r="D615" s="47" t="s">
        <v>1637</v>
      </c>
      <c r="E615" s="21" t="s">
        <v>41</v>
      </c>
      <c r="F615" s="47" t="s">
        <v>32</v>
      </c>
      <c r="G615" s="21" t="s">
        <v>1638</v>
      </c>
      <c r="H615" s="7" t="s">
        <v>1639</v>
      </c>
      <c r="I615" s="8" t="s">
        <v>1649</v>
      </c>
      <c r="J615" s="9">
        <v>3285000</v>
      </c>
      <c r="K615" s="8"/>
      <c r="L615" s="42">
        <f t="shared" ref="L615:L619" si="201">J615*1.5</f>
        <v>4927500</v>
      </c>
      <c r="M615" s="8"/>
      <c r="N615" s="42">
        <f t="shared" si="192"/>
        <v>4927500</v>
      </c>
      <c r="O615" s="42">
        <f>N615*1.5</f>
        <v>7391250</v>
      </c>
      <c r="P615" s="42"/>
      <c r="Q615" s="42">
        <f t="shared" si="200"/>
        <v>7391250</v>
      </c>
    </row>
    <row r="616" spans="1:18" ht="13.5" x14ac:dyDescent="0.2">
      <c r="A616" s="47" t="s">
        <v>23</v>
      </c>
      <c r="B616" s="47" t="s">
        <v>1108</v>
      </c>
      <c r="C616" s="21" t="s">
        <v>1495</v>
      </c>
      <c r="D616" s="47" t="s">
        <v>1637</v>
      </c>
      <c r="E616" s="21" t="s">
        <v>41</v>
      </c>
      <c r="F616" s="47" t="s">
        <v>32</v>
      </c>
      <c r="G616" s="21" t="s">
        <v>1638</v>
      </c>
      <c r="H616" s="7" t="s">
        <v>1639</v>
      </c>
      <c r="I616" s="8" t="s">
        <v>1643</v>
      </c>
      <c r="J616" s="9">
        <v>3980000</v>
      </c>
      <c r="K616" s="8"/>
      <c r="L616" s="42">
        <f t="shared" si="201"/>
        <v>5970000</v>
      </c>
      <c r="M616" s="8"/>
      <c r="N616" s="42">
        <f t="shared" si="192"/>
        <v>5970000</v>
      </c>
      <c r="O616" s="42"/>
      <c r="P616" s="42">
        <f t="shared" ref="P616:P624" si="202">N616</f>
        <v>5970000</v>
      </c>
      <c r="Q616" s="42">
        <f t="shared" si="200"/>
        <v>5970000</v>
      </c>
      <c r="R616" s="5"/>
    </row>
    <row r="617" spans="1:18" ht="13.5" x14ac:dyDescent="0.2">
      <c r="A617" s="47" t="s">
        <v>23</v>
      </c>
      <c r="B617" s="47" t="s">
        <v>1108</v>
      </c>
      <c r="C617" s="21" t="s">
        <v>1495</v>
      </c>
      <c r="D617" s="47" t="s">
        <v>1637</v>
      </c>
      <c r="E617" s="21" t="s">
        <v>57</v>
      </c>
      <c r="F617" s="47" t="s">
        <v>32</v>
      </c>
      <c r="G617" s="21" t="s">
        <v>1638</v>
      </c>
      <c r="H617" s="7" t="s">
        <v>1639</v>
      </c>
      <c r="I617" s="8" t="s">
        <v>1651</v>
      </c>
      <c r="J617" s="9">
        <v>8332800</v>
      </c>
      <c r="K617" s="8"/>
      <c r="L617" s="42">
        <f t="shared" si="201"/>
        <v>12499200</v>
      </c>
      <c r="M617" s="8"/>
      <c r="N617" s="42">
        <f t="shared" si="192"/>
        <v>12499200</v>
      </c>
      <c r="O617" s="42"/>
      <c r="P617" s="42">
        <f t="shared" si="202"/>
        <v>12499200</v>
      </c>
      <c r="Q617" s="42">
        <f t="shared" si="200"/>
        <v>12499200</v>
      </c>
      <c r="R617" s="5"/>
    </row>
    <row r="618" spans="1:18" ht="13.5" x14ac:dyDescent="0.2">
      <c r="A618" s="47" t="s">
        <v>23</v>
      </c>
      <c r="B618" s="47" t="s">
        <v>1108</v>
      </c>
      <c r="C618" s="21" t="s">
        <v>1495</v>
      </c>
      <c r="D618" s="47" t="s">
        <v>1637</v>
      </c>
      <c r="E618" s="21" t="s">
        <v>57</v>
      </c>
      <c r="F618" s="47" t="s">
        <v>32</v>
      </c>
      <c r="G618" s="21" t="s">
        <v>1638</v>
      </c>
      <c r="H618" s="7" t="s">
        <v>1639</v>
      </c>
      <c r="I618" s="8" t="s">
        <v>1645</v>
      </c>
      <c r="J618" s="9">
        <v>10081400</v>
      </c>
      <c r="K618" s="8"/>
      <c r="L618" s="42">
        <f t="shared" si="201"/>
        <v>15122100</v>
      </c>
      <c r="M618" s="8"/>
      <c r="N618" s="42">
        <f t="shared" si="192"/>
        <v>15122100</v>
      </c>
      <c r="O618" s="42"/>
      <c r="P618" s="42">
        <f t="shared" si="202"/>
        <v>15122100</v>
      </c>
      <c r="Q618" s="42">
        <f t="shared" si="200"/>
        <v>15122100</v>
      </c>
      <c r="R618" s="5"/>
    </row>
    <row r="619" spans="1:18" ht="13.5" x14ac:dyDescent="0.2">
      <c r="A619" s="47" t="s">
        <v>23</v>
      </c>
      <c r="B619" s="47" t="s">
        <v>1108</v>
      </c>
      <c r="C619" s="21" t="s">
        <v>1495</v>
      </c>
      <c r="D619" s="47" t="s">
        <v>1637</v>
      </c>
      <c r="E619" s="21" t="s">
        <v>57</v>
      </c>
      <c r="F619" s="47" t="s">
        <v>32</v>
      </c>
      <c r="G619" s="21" t="s">
        <v>1655</v>
      </c>
      <c r="H619" s="7" t="s">
        <v>1656</v>
      </c>
      <c r="I619" s="8" t="s">
        <v>1657</v>
      </c>
      <c r="J619" s="9">
        <v>23259400</v>
      </c>
      <c r="K619" s="8"/>
      <c r="L619" s="42">
        <f t="shared" si="201"/>
        <v>34889100</v>
      </c>
      <c r="M619" s="8"/>
      <c r="N619" s="42">
        <f t="shared" si="192"/>
        <v>34889100</v>
      </c>
      <c r="O619" s="42"/>
      <c r="P619" s="42">
        <f t="shared" si="202"/>
        <v>34889100</v>
      </c>
      <c r="Q619" s="42">
        <f t="shared" si="200"/>
        <v>34889100</v>
      </c>
      <c r="R619" s="5"/>
    </row>
    <row r="620" spans="1:18" ht="13.5" x14ac:dyDescent="0.2">
      <c r="A620" s="47" t="s">
        <v>23</v>
      </c>
      <c r="B620" s="47" t="s">
        <v>1108</v>
      </c>
      <c r="C620" s="21" t="s">
        <v>1495</v>
      </c>
      <c r="D620" s="47" t="s">
        <v>1667</v>
      </c>
      <c r="E620" s="21" t="s">
        <v>107</v>
      </c>
      <c r="F620" s="47" t="s">
        <v>32</v>
      </c>
      <c r="G620" s="21" t="s">
        <v>1672</v>
      </c>
      <c r="H620" s="7" t="s">
        <v>1673</v>
      </c>
      <c r="I620" s="8" t="s">
        <v>1674</v>
      </c>
      <c r="J620" s="9">
        <v>6420000</v>
      </c>
      <c r="K620" s="8"/>
      <c r="L620" s="8"/>
      <c r="M620" s="8"/>
      <c r="N620" s="42">
        <f t="shared" ref="N620:N626" si="203">J620</f>
        <v>6420000</v>
      </c>
      <c r="O620" s="42"/>
      <c r="P620" s="42">
        <f t="shared" si="202"/>
        <v>6420000</v>
      </c>
      <c r="Q620" s="42">
        <f t="shared" si="200"/>
        <v>6420000</v>
      </c>
      <c r="R620" s="5"/>
    </row>
    <row r="621" spans="1:18" ht="13.5" x14ac:dyDescent="0.2">
      <c r="A621" s="47" t="s">
        <v>23</v>
      </c>
      <c r="B621" s="47" t="s">
        <v>1108</v>
      </c>
      <c r="C621" s="21" t="s">
        <v>1495</v>
      </c>
      <c r="D621" s="47" t="s">
        <v>1667</v>
      </c>
      <c r="E621" s="21" t="s">
        <v>128</v>
      </c>
      <c r="F621" s="47" t="s">
        <v>135</v>
      </c>
      <c r="G621" s="21" t="s">
        <v>1672</v>
      </c>
      <c r="H621" s="7" t="s">
        <v>1673</v>
      </c>
      <c r="I621" s="8" t="s">
        <v>1676</v>
      </c>
      <c r="J621" s="9">
        <v>16377600</v>
      </c>
      <c r="K621" s="8"/>
      <c r="L621" s="8"/>
      <c r="M621" s="8"/>
      <c r="N621" s="42">
        <f t="shared" si="203"/>
        <v>16377600</v>
      </c>
      <c r="O621" s="42"/>
      <c r="P621" s="42">
        <f t="shared" si="202"/>
        <v>16377600</v>
      </c>
      <c r="Q621" s="42">
        <f t="shared" si="200"/>
        <v>16377600</v>
      </c>
      <c r="R621" s="5"/>
    </row>
    <row r="622" spans="1:18" ht="13.5" x14ac:dyDescent="0.2">
      <c r="A622" s="47" t="s">
        <v>23</v>
      </c>
      <c r="B622" s="47" t="s">
        <v>1108</v>
      </c>
      <c r="C622" s="21" t="s">
        <v>1495</v>
      </c>
      <c r="D622" s="47" t="s">
        <v>1667</v>
      </c>
      <c r="E622" s="21" t="s">
        <v>128</v>
      </c>
      <c r="F622" s="47" t="s">
        <v>135</v>
      </c>
      <c r="G622" s="21" t="s">
        <v>1672</v>
      </c>
      <c r="H622" s="7" t="s">
        <v>1673</v>
      </c>
      <c r="I622" s="8" t="s">
        <v>1698</v>
      </c>
      <c r="J622" s="9">
        <v>1180800</v>
      </c>
      <c r="K622" s="8"/>
      <c r="L622" s="8"/>
      <c r="M622" s="8"/>
      <c r="N622" s="42">
        <f t="shared" si="203"/>
        <v>1180800</v>
      </c>
      <c r="O622" s="42"/>
      <c r="P622" s="42">
        <f t="shared" si="202"/>
        <v>1180800</v>
      </c>
      <c r="Q622" s="42">
        <f t="shared" si="200"/>
        <v>1180800</v>
      </c>
      <c r="R622" s="5"/>
    </row>
    <row r="623" spans="1:18" ht="13.5" x14ac:dyDescent="0.2">
      <c r="A623" s="47" t="s">
        <v>23</v>
      </c>
      <c r="B623" s="47" t="s">
        <v>1108</v>
      </c>
      <c r="C623" s="21" t="s">
        <v>1495</v>
      </c>
      <c r="D623" s="47" t="s">
        <v>1667</v>
      </c>
      <c r="E623" s="21" t="s">
        <v>128</v>
      </c>
      <c r="F623" s="47" t="s">
        <v>32</v>
      </c>
      <c r="G623" s="21" t="s">
        <v>1702</v>
      </c>
      <c r="H623" s="7" t="s">
        <v>1703</v>
      </c>
      <c r="I623" s="8" t="s">
        <v>1708</v>
      </c>
      <c r="J623" s="9">
        <v>696000</v>
      </c>
      <c r="K623" s="8"/>
      <c r="L623" s="8"/>
      <c r="M623" s="8"/>
      <c r="N623" s="42">
        <f t="shared" si="203"/>
        <v>696000</v>
      </c>
      <c r="O623" s="42"/>
      <c r="P623" s="42">
        <f t="shared" si="202"/>
        <v>696000</v>
      </c>
      <c r="Q623" s="42">
        <f t="shared" si="200"/>
        <v>696000</v>
      </c>
      <c r="R623" s="5"/>
    </row>
    <row r="624" spans="1:18" ht="13.5" x14ac:dyDescent="0.2">
      <c r="A624" s="47" t="s">
        <v>23</v>
      </c>
      <c r="B624" s="47" t="s">
        <v>1108</v>
      </c>
      <c r="C624" s="21" t="s">
        <v>1495</v>
      </c>
      <c r="D624" s="47" t="s">
        <v>1667</v>
      </c>
      <c r="E624" s="21" t="s">
        <v>128</v>
      </c>
      <c r="F624" s="47" t="s">
        <v>32</v>
      </c>
      <c r="G624" s="21" t="s">
        <v>1702</v>
      </c>
      <c r="H624" s="7" t="s">
        <v>1703</v>
      </c>
      <c r="I624" s="8" t="s">
        <v>1710</v>
      </c>
      <c r="J624" s="9">
        <v>2045000</v>
      </c>
      <c r="K624" s="8"/>
      <c r="L624" s="8"/>
      <c r="M624" s="8"/>
      <c r="N624" s="42">
        <f t="shared" si="203"/>
        <v>2045000</v>
      </c>
      <c r="O624" s="42"/>
      <c r="P624" s="42">
        <f t="shared" si="202"/>
        <v>2045000</v>
      </c>
      <c r="Q624" s="42">
        <f t="shared" si="200"/>
        <v>2045000</v>
      </c>
      <c r="R624" s="5"/>
    </row>
    <row r="625" spans="1:18" ht="13.5" x14ac:dyDescent="0.2">
      <c r="A625" s="47" t="s">
        <v>23</v>
      </c>
      <c r="B625" s="47" t="s">
        <v>1108</v>
      </c>
      <c r="C625" s="21" t="s">
        <v>1495</v>
      </c>
      <c r="D625" s="47" t="s">
        <v>1667</v>
      </c>
      <c r="E625" s="21" t="s">
        <v>31</v>
      </c>
      <c r="F625" s="47" t="s">
        <v>32</v>
      </c>
      <c r="G625" s="21" t="s">
        <v>1672</v>
      </c>
      <c r="H625" s="7" t="s">
        <v>1673</v>
      </c>
      <c r="I625" s="8" t="s">
        <v>1678</v>
      </c>
      <c r="J625" s="9">
        <v>3023100</v>
      </c>
      <c r="K625" s="8"/>
      <c r="L625" s="8"/>
      <c r="M625" s="8"/>
      <c r="N625" s="42">
        <f t="shared" si="203"/>
        <v>3023100</v>
      </c>
      <c r="O625" s="42">
        <f>N625*1.5</f>
        <v>4534650</v>
      </c>
      <c r="P625" s="42"/>
      <c r="Q625" s="42">
        <f t="shared" si="200"/>
        <v>4534650</v>
      </c>
    </row>
    <row r="626" spans="1:18" ht="13.5" x14ac:dyDescent="0.2">
      <c r="A626" s="47" t="s">
        <v>23</v>
      </c>
      <c r="B626" s="47" t="s">
        <v>1108</v>
      </c>
      <c r="C626" s="21" t="s">
        <v>1495</v>
      </c>
      <c r="D626" s="47" t="s">
        <v>1667</v>
      </c>
      <c r="E626" s="21" t="s">
        <v>31</v>
      </c>
      <c r="F626" s="47" t="s">
        <v>32</v>
      </c>
      <c r="G626" s="21" t="s">
        <v>1702</v>
      </c>
      <c r="H626" s="7" t="s">
        <v>1703</v>
      </c>
      <c r="I626" s="8" t="s">
        <v>1712</v>
      </c>
      <c r="J626" s="9">
        <v>2993100</v>
      </c>
      <c r="K626" s="8"/>
      <c r="L626" s="8"/>
      <c r="M626" s="8"/>
      <c r="N626" s="42">
        <f t="shared" si="203"/>
        <v>2993100</v>
      </c>
      <c r="O626" s="42"/>
      <c r="P626" s="42">
        <f t="shared" ref="P626:P629" si="204">N626</f>
        <v>2993100</v>
      </c>
      <c r="Q626" s="42">
        <f t="shared" si="200"/>
        <v>2993100</v>
      </c>
      <c r="R626" s="5"/>
    </row>
    <row r="627" spans="1:18" ht="13.5" x14ac:dyDescent="0.2">
      <c r="A627" s="47" t="s">
        <v>23</v>
      </c>
      <c r="B627" s="47" t="s">
        <v>1108</v>
      </c>
      <c r="C627" s="21" t="s">
        <v>1495</v>
      </c>
      <c r="D627" s="47" t="s">
        <v>1667</v>
      </c>
      <c r="E627" s="21" t="s">
        <v>41</v>
      </c>
      <c r="F627" s="47" t="s">
        <v>32</v>
      </c>
      <c r="G627" s="21" t="s">
        <v>1668</v>
      </c>
      <c r="H627" s="7" t="s">
        <v>1669</v>
      </c>
      <c r="I627" s="8" t="s">
        <v>1670</v>
      </c>
      <c r="J627" s="9">
        <v>5116000</v>
      </c>
      <c r="K627" s="8"/>
      <c r="L627" s="42">
        <f t="shared" ref="L627:L633" si="205">J627*1.5</f>
        <v>7674000</v>
      </c>
      <c r="M627" s="8"/>
      <c r="N627" s="42">
        <f t="shared" si="192"/>
        <v>7674000</v>
      </c>
      <c r="O627" s="42"/>
      <c r="P627" s="42">
        <f t="shared" si="204"/>
        <v>7674000</v>
      </c>
      <c r="Q627" s="42">
        <f t="shared" si="200"/>
        <v>7674000</v>
      </c>
      <c r="R627" s="5"/>
    </row>
    <row r="628" spans="1:18" ht="13.5" x14ac:dyDescent="0.2">
      <c r="A628" s="47" t="s">
        <v>23</v>
      </c>
      <c r="B628" s="47" t="s">
        <v>1108</v>
      </c>
      <c r="C628" s="21" t="s">
        <v>1495</v>
      </c>
      <c r="D628" s="47" t="s">
        <v>1667</v>
      </c>
      <c r="E628" s="21" t="s">
        <v>41</v>
      </c>
      <c r="F628" s="47" t="s">
        <v>32</v>
      </c>
      <c r="G628" s="21" t="s">
        <v>1672</v>
      </c>
      <c r="H628" s="7" t="s">
        <v>1673</v>
      </c>
      <c r="I628" s="8" t="s">
        <v>1692</v>
      </c>
      <c r="J628" s="9">
        <v>2262200</v>
      </c>
      <c r="K628" s="8"/>
      <c r="L628" s="42">
        <f t="shared" si="205"/>
        <v>3393300</v>
      </c>
      <c r="M628" s="8"/>
      <c r="N628" s="42">
        <f t="shared" si="192"/>
        <v>3393300</v>
      </c>
      <c r="O628" s="42"/>
      <c r="P628" s="42">
        <f t="shared" si="204"/>
        <v>3393300</v>
      </c>
      <c r="Q628" s="42">
        <f t="shared" si="200"/>
        <v>3393300</v>
      </c>
      <c r="R628" s="5"/>
    </row>
    <row r="629" spans="1:18" ht="13.5" x14ac:dyDescent="0.2">
      <c r="A629" s="47" t="s">
        <v>23</v>
      </c>
      <c r="B629" s="47" t="s">
        <v>1108</v>
      </c>
      <c r="C629" s="21" t="s">
        <v>1495</v>
      </c>
      <c r="D629" s="47" t="s">
        <v>1667</v>
      </c>
      <c r="E629" s="21" t="s">
        <v>41</v>
      </c>
      <c r="F629" s="47" t="s">
        <v>32</v>
      </c>
      <c r="G629" s="21" t="s">
        <v>1672</v>
      </c>
      <c r="H629" s="7" t="s">
        <v>1673</v>
      </c>
      <c r="I629" s="8" t="s">
        <v>1686</v>
      </c>
      <c r="J629" s="9">
        <v>2498400</v>
      </c>
      <c r="K629" s="8"/>
      <c r="L629" s="42">
        <f t="shared" si="205"/>
        <v>3747600</v>
      </c>
      <c r="M629" s="8"/>
      <c r="N629" s="42">
        <f t="shared" si="192"/>
        <v>3747600</v>
      </c>
      <c r="O629" s="42"/>
      <c r="P629" s="42">
        <f t="shared" si="204"/>
        <v>3747600</v>
      </c>
      <c r="Q629" s="42">
        <f t="shared" si="200"/>
        <v>3747600</v>
      </c>
      <c r="R629" s="5"/>
    </row>
    <row r="630" spans="1:18" ht="13.5" x14ac:dyDescent="0.2">
      <c r="A630" s="47" t="s">
        <v>23</v>
      </c>
      <c r="B630" s="47" t="s">
        <v>1108</v>
      </c>
      <c r="C630" s="21" t="s">
        <v>1495</v>
      </c>
      <c r="D630" s="47" t="s">
        <v>1667</v>
      </c>
      <c r="E630" s="21" t="s">
        <v>41</v>
      </c>
      <c r="F630" s="47" t="s">
        <v>32</v>
      </c>
      <c r="G630" s="21" t="s">
        <v>1672</v>
      </c>
      <c r="H630" s="7" t="s">
        <v>1673</v>
      </c>
      <c r="I630" s="8" t="s">
        <v>1684</v>
      </c>
      <c r="J630" s="9">
        <v>2038000</v>
      </c>
      <c r="K630" s="8"/>
      <c r="L630" s="42">
        <f t="shared" si="205"/>
        <v>3057000</v>
      </c>
      <c r="M630" s="8"/>
      <c r="N630" s="42">
        <f t="shared" si="192"/>
        <v>3057000</v>
      </c>
      <c r="O630" s="42">
        <f>N630*1.5</f>
        <v>4585500</v>
      </c>
      <c r="P630" s="42"/>
      <c r="Q630" s="42">
        <f t="shared" si="200"/>
        <v>4585500</v>
      </c>
    </row>
    <row r="631" spans="1:18" ht="13.5" x14ac:dyDescent="0.2">
      <c r="A631" s="47" t="s">
        <v>23</v>
      </c>
      <c r="B631" s="47" t="s">
        <v>1108</v>
      </c>
      <c r="C631" s="21" t="s">
        <v>1495</v>
      </c>
      <c r="D631" s="47" t="s">
        <v>1667</v>
      </c>
      <c r="E631" s="21" t="s">
        <v>41</v>
      </c>
      <c r="F631" s="47" t="s">
        <v>32</v>
      </c>
      <c r="G631" s="21" t="s">
        <v>1672</v>
      </c>
      <c r="H631" s="7" t="s">
        <v>1673</v>
      </c>
      <c r="I631" s="8" t="s">
        <v>1682</v>
      </c>
      <c r="J631" s="9">
        <v>4780000</v>
      </c>
      <c r="K631" s="8"/>
      <c r="L631" s="42">
        <f t="shared" si="205"/>
        <v>7170000</v>
      </c>
      <c r="M631" s="8"/>
      <c r="N631" s="42">
        <f t="shared" si="192"/>
        <v>7170000</v>
      </c>
      <c r="O631" s="42"/>
      <c r="P631" s="42">
        <f t="shared" ref="P631:P633" si="206">N631</f>
        <v>7170000</v>
      </c>
      <c r="Q631" s="42">
        <f t="shared" si="200"/>
        <v>7170000</v>
      </c>
      <c r="R631" s="5"/>
    </row>
    <row r="632" spans="1:18" ht="13.5" x14ac:dyDescent="0.2">
      <c r="A632" s="47" t="s">
        <v>23</v>
      </c>
      <c r="B632" s="47" t="s">
        <v>1108</v>
      </c>
      <c r="C632" s="21" t="s">
        <v>1495</v>
      </c>
      <c r="D632" s="47" t="s">
        <v>1667</v>
      </c>
      <c r="E632" s="21" t="s">
        <v>41</v>
      </c>
      <c r="F632" s="47" t="s">
        <v>32</v>
      </c>
      <c r="G632" s="21" t="s">
        <v>1702</v>
      </c>
      <c r="H632" s="7" t="s">
        <v>1703</v>
      </c>
      <c r="I632" s="8" t="s">
        <v>1706</v>
      </c>
      <c r="J632" s="9">
        <v>5365200</v>
      </c>
      <c r="K632" s="8"/>
      <c r="L632" s="42">
        <f t="shared" si="205"/>
        <v>8047800</v>
      </c>
      <c r="M632" s="8"/>
      <c r="N632" s="42">
        <f t="shared" si="192"/>
        <v>8047800</v>
      </c>
      <c r="O632" s="42"/>
      <c r="P632" s="42">
        <f t="shared" si="206"/>
        <v>8047800</v>
      </c>
      <c r="Q632" s="42">
        <f t="shared" si="200"/>
        <v>8047800</v>
      </c>
      <c r="R632" s="5"/>
    </row>
    <row r="633" spans="1:18" ht="13.5" x14ac:dyDescent="0.2">
      <c r="A633" s="47" t="s">
        <v>23</v>
      </c>
      <c r="B633" s="47" t="s">
        <v>1108</v>
      </c>
      <c r="C633" s="21" t="s">
        <v>1495</v>
      </c>
      <c r="D633" s="47" t="s">
        <v>1667</v>
      </c>
      <c r="E633" s="21" t="s">
        <v>57</v>
      </c>
      <c r="F633" s="47" t="s">
        <v>32</v>
      </c>
      <c r="G633" s="21" t="s">
        <v>1672</v>
      </c>
      <c r="H633" s="7" t="s">
        <v>1673</v>
      </c>
      <c r="I633" s="8" t="s">
        <v>1688</v>
      </c>
      <c r="J633" s="9">
        <v>2838000</v>
      </c>
      <c r="K633" s="8"/>
      <c r="L633" s="42">
        <f t="shared" si="205"/>
        <v>4257000</v>
      </c>
      <c r="M633" s="8"/>
      <c r="N633" s="42">
        <f t="shared" si="192"/>
        <v>4257000</v>
      </c>
      <c r="O633" s="42"/>
      <c r="P633" s="42">
        <f t="shared" si="206"/>
        <v>4257000</v>
      </c>
      <c r="Q633" s="42">
        <f t="shared" si="200"/>
        <v>4257000</v>
      </c>
      <c r="R633" s="5"/>
    </row>
    <row r="634" spans="1:18" ht="13.5" x14ac:dyDescent="0.2">
      <c r="A634" s="47" t="s">
        <v>23</v>
      </c>
      <c r="B634" s="47" t="s">
        <v>1108</v>
      </c>
      <c r="C634" s="21" t="s">
        <v>1495</v>
      </c>
      <c r="D634" s="47" t="s">
        <v>1714</v>
      </c>
      <c r="E634" s="21" t="s">
        <v>1719</v>
      </c>
      <c r="F634" s="47" t="s">
        <v>1720</v>
      </c>
      <c r="G634" s="21" t="s">
        <v>1715</v>
      </c>
      <c r="H634" s="7" t="s">
        <v>1716</v>
      </c>
      <c r="I634" s="8" t="s">
        <v>1721</v>
      </c>
      <c r="J634" s="9">
        <v>5224000</v>
      </c>
      <c r="K634" s="8"/>
      <c r="L634" s="8"/>
      <c r="M634" s="8"/>
      <c r="N634" s="42">
        <f t="shared" ref="N634:N668" si="207">J634</f>
        <v>5224000</v>
      </c>
      <c r="O634" s="42">
        <f t="shared" ref="O634:O635" si="208">N634*1.5</f>
        <v>7836000</v>
      </c>
      <c r="P634" s="42"/>
      <c r="Q634" s="42">
        <f t="shared" si="200"/>
        <v>7836000</v>
      </c>
    </row>
    <row r="635" spans="1:18" ht="13.5" x14ac:dyDescent="0.2">
      <c r="A635" s="47" t="s">
        <v>23</v>
      </c>
      <c r="B635" s="47" t="s">
        <v>1108</v>
      </c>
      <c r="C635" s="21" t="s">
        <v>1495</v>
      </c>
      <c r="D635" s="47" t="s">
        <v>1714</v>
      </c>
      <c r="E635" s="21" t="s">
        <v>31</v>
      </c>
      <c r="F635" s="47" t="s">
        <v>32</v>
      </c>
      <c r="G635" s="21" t="s">
        <v>1715</v>
      </c>
      <c r="H635" s="7" t="s">
        <v>1716</v>
      </c>
      <c r="I635" s="8" t="s">
        <v>1717</v>
      </c>
      <c r="J635" s="9">
        <v>9360800</v>
      </c>
      <c r="K635" s="8"/>
      <c r="L635" s="8"/>
      <c r="M635" s="8"/>
      <c r="N635" s="42">
        <f t="shared" si="207"/>
        <v>9360800</v>
      </c>
      <c r="O635" s="42">
        <f t="shared" si="208"/>
        <v>14041200</v>
      </c>
      <c r="P635" s="42"/>
      <c r="Q635" s="42">
        <f t="shared" si="200"/>
        <v>14041200</v>
      </c>
    </row>
    <row r="636" spans="1:18" ht="13.5" x14ac:dyDescent="0.2">
      <c r="A636" s="47" t="s">
        <v>2096</v>
      </c>
      <c r="B636" s="47" t="s">
        <v>2097</v>
      </c>
      <c r="C636" s="21" t="s">
        <v>2718</v>
      </c>
      <c r="D636" s="47" t="s">
        <v>2719</v>
      </c>
      <c r="E636" s="21" t="s">
        <v>31</v>
      </c>
      <c r="F636" s="47" t="s">
        <v>32</v>
      </c>
      <c r="G636" s="21" t="s">
        <v>2720</v>
      </c>
      <c r="H636" s="7" t="s">
        <v>2721</v>
      </c>
      <c r="I636" s="8" t="s">
        <v>2722</v>
      </c>
      <c r="J636" s="9">
        <v>313600</v>
      </c>
      <c r="K636" s="8"/>
      <c r="L636" s="8"/>
      <c r="M636" s="8"/>
      <c r="N636" s="42">
        <f t="shared" si="207"/>
        <v>313600</v>
      </c>
      <c r="O636" s="42"/>
      <c r="P636" s="42">
        <f t="shared" ref="P636:P638" si="209">N636</f>
        <v>313600</v>
      </c>
      <c r="Q636" s="42">
        <f t="shared" si="200"/>
        <v>313600</v>
      </c>
      <c r="R636" s="5"/>
    </row>
    <row r="637" spans="1:18" ht="13.5" x14ac:dyDescent="0.2">
      <c r="A637" s="47" t="s">
        <v>2096</v>
      </c>
      <c r="B637" s="47" t="s">
        <v>2097</v>
      </c>
      <c r="C637" s="21" t="s">
        <v>2718</v>
      </c>
      <c r="D637" s="47" t="s">
        <v>2719</v>
      </c>
      <c r="E637" s="21" t="s">
        <v>31</v>
      </c>
      <c r="F637" s="47" t="s">
        <v>32</v>
      </c>
      <c r="G637" s="21" t="s">
        <v>2720</v>
      </c>
      <c r="H637" s="7" t="s">
        <v>2721</v>
      </c>
      <c r="I637" s="8" t="s">
        <v>2724</v>
      </c>
      <c r="J637" s="9">
        <v>139800</v>
      </c>
      <c r="K637" s="8"/>
      <c r="L637" s="8"/>
      <c r="M637" s="8"/>
      <c r="N637" s="42">
        <f t="shared" si="207"/>
        <v>139800</v>
      </c>
      <c r="O637" s="42"/>
      <c r="P637" s="42">
        <f t="shared" si="209"/>
        <v>139800</v>
      </c>
      <c r="Q637" s="42">
        <f t="shared" si="200"/>
        <v>139800</v>
      </c>
      <c r="R637" s="5"/>
    </row>
    <row r="638" spans="1:18" ht="13.5" x14ac:dyDescent="0.2">
      <c r="A638" s="47" t="s">
        <v>2096</v>
      </c>
      <c r="B638" s="47" t="s">
        <v>2097</v>
      </c>
      <c r="C638" s="21" t="s">
        <v>2718</v>
      </c>
      <c r="D638" s="47" t="s">
        <v>2719</v>
      </c>
      <c r="E638" s="21" t="s">
        <v>31</v>
      </c>
      <c r="F638" s="47" t="s">
        <v>32</v>
      </c>
      <c r="G638" s="21" t="s">
        <v>2720</v>
      </c>
      <c r="H638" s="7" t="s">
        <v>2721</v>
      </c>
      <c r="I638" s="8" t="s">
        <v>2726</v>
      </c>
      <c r="J638" s="9">
        <v>389700</v>
      </c>
      <c r="K638" s="8"/>
      <c r="L638" s="8"/>
      <c r="M638" s="8"/>
      <c r="N638" s="42">
        <f t="shared" si="207"/>
        <v>389700</v>
      </c>
      <c r="O638" s="42"/>
      <c r="P638" s="42">
        <f t="shared" si="209"/>
        <v>389700</v>
      </c>
      <c r="Q638" s="42">
        <f t="shared" si="200"/>
        <v>389700</v>
      </c>
      <c r="R638" s="5"/>
    </row>
    <row r="639" spans="1:18" ht="13.5" x14ac:dyDescent="0.2">
      <c r="A639" s="47" t="s">
        <v>2096</v>
      </c>
      <c r="B639" s="47" t="s">
        <v>2097</v>
      </c>
      <c r="C639" s="21" t="s">
        <v>2718</v>
      </c>
      <c r="D639" s="47" t="s">
        <v>2719</v>
      </c>
      <c r="E639" s="21" t="s">
        <v>31</v>
      </c>
      <c r="F639" s="47" t="s">
        <v>32</v>
      </c>
      <c r="G639" s="21" t="s">
        <v>2720</v>
      </c>
      <c r="H639" s="7" t="s">
        <v>2721</v>
      </c>
      <c r="I639" s="8" t="s">
        <v>2728</v>
      </c>
      <c r="J639" s="9">
        <v>2841200</v>
      </c>
      <c r="K639" s="8"/>
      <c r="L639" s="8"/>
      <c r="M639" s="8"/>
      <c r="N639" s="42">
        <f t="shared" si="207"/>
        <v>2841200</v>
      </c>
      <c r="O639" s="42">
        <f>N639*1.5</f>
        <v>4261800</v>
      </c>
      <c r="P639" s="42"/>
      <c r="Q639" s="42">
        <f t="shared" si="200"/>
        <v>4261800</v>
      </c>
    </row>
    <row r="640" spans="1:18" ht="13.5" hidden="1" x14ac:dyDescent="0.2">
      <c r="A640" s="12" t="s">
        <v>2096</v>
      </c>
      <c r="B640" s="12" t="s">
        <v>2097</v>
      </c>
      <c r="C640" s="13" t="s">
        <v>2718</v>
      </c>
      <c r="D640" s="12" t="s">
        <v>2730</v>
      </c>
      <c r="E640" s="13" t="s">
        <v>211</v>
      </c>
      <c r="F640" s="12" t="s">
        <v>181</v>
      </c>
      <c r="G640" s="13" t="s">
        <v>2731</v>
      </c>
      <c r="H640" s="12" t="s">
        <v>2732</v>
      </c>
      <c r="I640" s="13" t="s">
        <v>2804</v>
      </c>
      <c r="J640" s="14" t="s">
        <v>3946</v>
      </c>
      <c r="K640" s="18"/>
      <c r="L640" s="18"/>
      <c r="M640" s="18"/>
      <c r="N640" s="20" t="str">
        <f t="shared" si="207"/>
        <v>-</v>
      </c>
      <c r="O640"/>
      <c r="P640"/>
    </row>
    <row r="641" spans="1:18" ht="13.5" x14ac:dyDescent="0.2">
      <c r="A641" s="47" t="s">
        <v>2096</v>
      </c>
      <c r="B641" s="47" t="s">
        <v>2097</v>
      </c>
      <c r="C641" s="21" t="s">
        <v>2718</v>
      </c>
      <c r="D641" s="47" t="s">
        <v>2730</v>
      </c>
      <c r="E641" s="21" t="s">
        <v>128</v>
      </c>
      <c r="F641" s="47" t="s">
        <v>135</v>
      </c>
      <c r="G641" s="21" t="s">
        <v>2731</v>
      </c>
      <c r="H641" s="7" t="s">
        <v>2732</v>
      </c>
      <c r="I641" s="8" t="s">
        <v>2733</v>
      </c>
      <c r="J641" s="9">
        <v>6130000</v>
      </c>
      <c r="K641" s="8"/>
      <c r="L641" s="8"/>
      <c r="M641" s="8"/>
      <c r="N641" s="42">
        <f t="shared" si="207"/>
        <v>6130000</v>
      </c>
      <c r="O641" s="42"/>
      <c r="P641" s="42">
        <f t="shared" ref="P641:P643" si="210">N641</f>
        <v>6130000</v>
      </c>
      <c r="Q641" s="42">
        <f t="shared" ref="Q641:Q643" si="211">SUM(O641:P641)</f>
        <v>6130000</v>
      </c>
      <c r="R641" s="5"/>
    </row>
    <row r="642" spans="1:18" ht="13.5" x14ac:dyDescent="0.2">
      <c r="A642" s="47" t="s">
        <v>2096</v>
      </c>
      <c r="B642" s="47" t="s">
        <v>2097</v>
      </c>
      <c r="C642" s="21" t="s">
        <v>2718</v>
      </c>
      <c r="D642" s="47" t="s">
        <v>2730</v>
      </c>
      <c r="E642" s="21" t="s">
        <v>128</v>
      </c>
      <c r="F642" s="47" t="s">
        <v>135</v>
      </c>
      <c r="G642" s="21" t="s">
        <v>2818</v>
      </c>
      <c r="H642" s="7" t="s">
        <v>2819</v>
      </c>
      <c r="I642" s="8" t="s">
        <v>2853</v>
      </c>
      <c r="J642" s="9">
        <v>7413000</v>
      </c>
      <c r="K642" s="8"/>
      <c r="L642" s="8"/>
      <c r="M642" s="8"/>
      <c r="N642" s="42">
        <f t="shared" si="207"/>
        <v>7413000</v>
      </c>
      <c r="O642" s="42"/>
      <c r="P642" s="42">
        <f t="shared" si="210"/>
        <v>7413000</v>
      </c>
      <c r="Q642" s="42">
        <f t="shared" si="211"/>
        <v>7413000</v>
      </c>
      <c r="R642" s="5"/>
    </row>
    <row r="643" spans="1:18" ht="13.5" x14ac:dyDescent="0.2">
      <c r="A643" s="47" t="s">
        <v>2096</v>
      </c>
      <c r="B643" s="47" t="s">
        <v>2097</v>
      </c>
      <c r="C643" s="21" t="s">
        <v>2718</v>
      </c>
      <c r="D643" s="47" t="s">
        <v>2730</v>
      </c>
      <c r="E643" s="21" t="s">
        <v>128</v>
      </c>
      <c r="F643" s="47" t="s">
        <v>32</v>
      </c>
      <c r="G643" s="21" t="s">
        <v>2818</v>
      </c>
      <c r="H643" s="7" t="s">
        <v>2819</v>
      </c>
      <c r="I643" s="8" t="s">
        <v>2867</v>
      </c>
      <c r="J643" s="9">
        <v>537000</v>
      </c>
      <c r="K643" s="8"/>
      <c r="L643" s="8"/>
      <c r="M643" s="8"/>
      <c r="N643" s="42">
        <f t="shared" si="207"/>
        <v>537000</v>
      </c>
      <c r="O643" s="42"/>
      <c r="P643" s="42">
        <f t="shared" si="210"/>
        <v>537000</v>
      </c>
      <c r="Q643" s="42">
        <f t="shared" si="211"/>
        <v>537000</v>
      </c>
      <c r="R643" s="5"/>
    </row>
    <row r="644" spans="1:18" ht="13.5" hidden="1" x14ac:dyDescent="0.2">
      <c r="A644" s="12" t="s">
        <v>2096</v>
      </c>
      <c r="B644" s="12" t="s">
        <v>2097</v>
      </c>
      <c r="C644" s="13" t="s">
        <v>2718</v>
      </c>
      <c r="D644" s="12" t="s">
        <v>2730</v>
      </c>
      <c r="E644" s="13" t="s">
        <v>128</v>
      </c>
      <c r="F644" s="12" t="s">
        <v>181</v>
      </c>
      <c r="G644" s="13" t="s">
        <v>2731</v>
      </c>
      <c r="H644" s="12" t="s">
        <v>2732</v>
      </c>
      <c r="I644" s="13" t="s">
        <v>2780</v>
      </c>
      <c r="J644" s="14" t="s">
        <v>3946</v>
      </c>
      <c r="K644" s="18"/>
      <c r="L644" s="18"/>
      <c r="M644" s="18"/>
      <c r="N644" s="20" t="str">
        <f t="shared" si="207"/>
        <v>-</v>
      </c>
      <c r="O644"/>
      <c r="P644"/>
    </row>
    <row r="645" spans="1:18" ht="13.5" hidden="1" x14ac:dyDescent="0.2">
      <c r="A645" s="7" t="s">
        <v>2096</v>
      </c>
      <c r="B645" s="7" t="s">
        <v>2097</v>
      </c>
      <c r="C645" s="8" t="s">
        <v>2718</v>
      </c>
      <c r="D645" s="7" t="s">
        <v>2730</v>
      </c>
      <c r="E645" s="8" t="s">
        <v>128</v>
      </c>
      <c r="F645" s="7" t="s">
        <v>181</v>
      </c>
      <c r="G645" s="8" t="s">
        <v>2731</v>
      </c>
      <c r="H645" s="7" t="s">
        <v>2732</v>
      </c>
      <c r="I645" s="8" t="s">
        <v>2789</v>
      </c>
      <c r="J645" s="9" t="s">
        <v>3946</v>
      </c>
      <c r="K645" s="15"/>
      <c r="L645" s="15"/>
      <c r="M645" s="15"/>
      <c r="N645" s="16" t="str">
        <f t="shared" si="207"/>
        <v>-</v>
      </c>
      <c r="O645"/>
      <c r="P645"/>
    </row>
    <row r="646" spans="1:18" ht="13.5" hidden="1" x14ac:dyDescent="0.2">
      <c r="A646" s="7" t="s">
        <v>2096</v>
      </c>
      <c r="B646" s="7" t="s">
        <v>2097</v>
      </c>
      <c r="C646" s="8" t="s">
        <v>2718</v>
      </c>
      <c r="D646" s="7" t="s">
        <v>2730</v>
      </c>
      <c r="E646" s="8" t="s">
        <v>128</v>
      </c>
      <c r="F646" s="7" t="s">
        <v>181</v>
      </c>
      <c r="G646" s="8" t="s">
        <v>2818</v>
      </c>
      <c r="H646" s="7" t="s">
        <v>2819</v>
      </c>
      <c r="I646" s="8" t="s">
        <v>2848</v>
      </c>
      <c r="J646" s="9" t="s">
        <v>3946</v>
      </c>
      <c r="K646" s="15"/>
      <c r="L646" s="15"/>
      <c r="M646" s="15"/>
      <c r="N646" s="16" t="str">
        <f t="shared" si="207"/>
        <v>-</v>
      </c>
      <c r="O646"/>
      <c r="P646"/>
    </row>
    <row r="647" spans="1:18" ht="13.5" hidden="1" x14ac:dyDescent="0.2">
      <c r="A647" s="7" t="s">
        <v>2096</v>
      </c>
      <c r="B647" s="7" t="s">
        <v>2097</v>
      </c>
      <c r="C647" s="8" t="s">
        <v>2718</v>
      </c>
      <c r="D647" s="7" t="s">
        <v>2730</v>
      </c>
      <c r="E647" s="8" t="s">
        <v>128</v>
      </c>
      <c r="F647" s="7" t="s">
        <v>181</v>
      </c>
      <c r="G647" s="8" t="s">
        <v>2818</v>
      </c>
      <c r="H647" s="7" t="s">
        <v>2819</v>
      </c>
      <c r="I647" s="8" t="s">
        <v>2822</v>
      </c>
      <c r="J647" s="9" t="s">
        <v>3946</v>
      </c>
      <c r="K647" s="15"/>
      <c r="L647" s="15"/>
      <c r="M647" s="15"/>
      <c r="N647" s="16" t="str">
        <f t="shared" si="207"/>
        <v>-</v>
      </c>
      <c r="O647"/>
      <c r="P647"/>
    </row>
    <row r="648" spans="1:18" ht="13.5" hidden="1" x14ac:dyDescent="0.2">
      <c r="A648" s="7" t="s">
        <v>2096</v>
      </c>
      <c r="B648" s="7" t="s">
        <v>2097</v>
      </c>
      <c r="C648" s="8" t="s">
        <v>2718</v>
      </c>
      <c r="D648" s="7" t="s">
        <v>2730</v>
      </c>
      <c r="E648" s="8" t="s">
        <v>128</v>
      </c>
      <c r="F648" s="7" t="s">
        <v>181</v>
      </c>
      <c r="G648" s="8" t="s">
        <v>2818</v>
      </c>
      <c r="H648" s="7" t="s">
        <v>2819</v>
      </c>
      <c r="I648" s="8" t="s">
        <v>2824</v>
      </c>
      <c r="J648" s="9" t="s">
        <v>3946</v>
      </c>
      <c r="K648" s="15"/>
      <c r="L648" s="15"/>
      <c r="M648" s="15"/>
      <c r="N648" s="16" t="str">
        <f t="shared" si="207"/>
        <v>-</v>
      </c>
      <c r="O648"/>
      <c r="P648"/>
    </row>
    <row r="649" spans="1:18" ht="13.5" x14ac:dyDescent="0.2">
      <c r="A649" s="47" t="s">
        <v>2096</v>
      </c>
      <c r="B649" s="47" t="s">
        <v>2097</v>
      </c>
      <c r="C649" s="21" t="s">
        <v>2718</v>
      </c>
      <c r="D649" s="47" t="s">
        <v>2730</v>
      </c>
      <c r="E649" s="21" t="s">
        <v>31</v>
      </c>
      <c r="F649" s="47" t="s">
        <v>32</v>
      </c>
      <c r="G649" s="21" t="s">
        <v>2731</v>
      </c>
      <c r="H649" s="7" t="s">
        <v>2732</v>
      </c>
      <c r="I649" s="8" t="s">
        <v>2782</v>
      </c>
      <c r="J649" s="9">
        <v>1330000</v>
      </c>
      <c r="K649" s="8"/>
      <c r="L649" s="8"/>
      <c r="M649" s="8"/>
      <c r="N649" s="42">
        <f t="shared" si="207"/>
        <v>1330000</v>
      </c>
      <c r="O649" s="42"/>
      <c r="P649" s="42">
        <f t="shared" ref="P649:P658" si="212">N649</f>
        <v>1330000</v>
      </c>
      <c r="Q649" s="42">
        <f t="shared" ref="Q649:Q667" si="213">SUM(O649:P649)</f>
        <v>1330000</v>
      </c>
      <c r="R649" s="5"/>
    </row>
    <row r="650" spans="1:18" ht="13.5" x14ac:dyDescent="0.2">
      <c r="A650" s="47" t="s">
        <v>2096</v>
      </c>
      <c r="B650" s="47" t="s">
        <v>2097</v>
      </c>
      <c r="C650" s="21" t="s">
        <v>2718</v>
      </c>
      <c r="D650" s="47" t="s">
        <v>2730</v>
      </c>
      <c r="E650" s="21" t="s">
        <v>31</v>
      </c>
      <c r="F650" s="47" t="s">
        <v>32</v>
      </c>
      <c r="G650" s="21" t="s">
        <v>2731</v>
      </c>
      <c r="H650" s="7" t="s">
        <v>2732</v>
      </c>
      <c r="I650" s="8" t="s">
        <v>2791</v>
      </c>
      <c r="J650" s="9">
        <v>2010000</v>
      </c>
      <c r="K650" s="8"/>
      <c r="L650" s="8"/>
      <c r="M650" s="8"/>
      <c r="N650" s="42">
        <f t="shared" si="207"/>
        <v>2010000</v>
      </c>
      <c r="O650" s="42"/>
      <c r="P650" s="42">
        <f t="shared" si="212"/>
        <v>2010000</v>
      </c>
      <c r="Q650" s="42">
        <f t="shared" si="213"/>
        <v>2010000</v>
      </c>
      <c r="R650" s="5"/>
    </row>
    <row r="651" spans="1:18" ht="13.5" x14ac:dyDescent="0.2">
      <c r="A651" s="47" t="s">
        <v>2096</v>
      </c>
      <c r="B651" s="47" t="s">
        <v>2097</v>
      </c>
      <c r="C651" s="21" t="s">
        <v>2718</v>
      </c>
      <c r="D651" s="47" t="s">
        <v>2730</v>
      </c>
      <c r="E651" s="21" t="s">
        <v>31</v>
      </c>
      <c r="F651" s="47" t="s">
        <v>32</v>
      </c>
      <c r="G651" s="21" t="s">
        <v>2731</v>
      </c>
      <c r="H651" s="7" t="s">
        <v>2732</v>
      </c>
      <c r="I651" s="8" t="s">
        <v>2808</v>
      </c>
      <c r="J651" s="9">
        <v>7192000</v>
      </c>
      <c r="K651" s="8"/>
      <c r="L651" s="8"/>
      <c r="M651" s="8"/>
      <c r="N651" s="42">
        <f t="shared" si="207"/>
        <v>7192000</v>
      </c>
      <c r="O651" s="42"/>
      <c r="P651" s="42">
        <f t="shared" si="212"/>
        <v>7192000</v>
      </c>
      <c r="Q651" s="42">
        <f t="shared" si="213"/>
        <v>7192000</v>
      </c>
      <c r="R651" s="5"/>
    </row>
    <row r="652" spans="1:18" ht="13.5" x14ac:dyDescent="0.2">
      <c r="A652" s="47" t="s">
        <v>2096</v>
      </c>
      <c r="B652" s="47" t="s">
        <v>2097</v>
      </c>
      <c r="C652" s="21" t="s">
        <v>2718</v>
      </c>
      <c r="D652" s="47" t="s">
        <v>2730</v>
      </c>
      <c r="E652" s="21" t="s">
        <v>31</v>
      </c>
      <c r="F652" s="47" t="s">
        <v>32</v>
      </c>
      <c r="G652" s="21" t="s">
        <v>2731</v>
      </c>
      <c r="H652" s="7" t="s">
        <v>2732</v>
      </c>
      <c r="I652" s="8" t="s">
        <v>2739</v>
      </c>
      <c r="J652" s="9">
        <v>1399800</v>
      </c>
      <c r="K652" s="8"/>
      <c r="L652" s="8"/>
      <c r="M652" s="8"/>
      <c r="N652" s="42">
        <f t="shared" si="207"/>
        <v>1399800</v>
      </c>
      <c r="O652" s="42"/>
      <c r="P652" s="42">
        <f t="shared" si="212"/>
        <v>1399800</v>
      </c>
      <c r="Q652" s="42">
        <f t="shared" si="213"/>
        <v>1399800</v>
      </c>
      <c r="R652" s="5"/>
    </row>
    <row r="653" spans="1:18" ht="13.5" x14ac:dyDescent="0.2">
      <c r="A653" s="47" t="s">
        <v>2096</v>
      </c>
      <c r="B653" s="47" t="s">
        <v>2097</v>
      </c>
      <c r="C653" s="21" t="s">
        <v>2718</v>
      </c>
      <c r="D653" s="47" t="s">
        <v>2730</v>
      </c>
      <c r="E653" s="21" t="s">
        <v>31</v>
      </c>
      <c r="F653" s="47" t="s">
        <v>32</v>
      </c>
      <c r="G653" s="21" t="s">
        <v>2731</v>
      </c>
      <c r="H653" s="7" t="s">
        <v>2732</v>
      </c>
      <c r="I653" s="8" t="s">
        <v>2806</v>
      </c>
      <c r="J653" s="9">
        <v>2950200</v>
      </c>
      <c r="K653" s="8"/>
      <c r="L653" s="8"/>
      <c r="M653" s="8"/>
      <c r="N653" s="42">
        <f t="shared" si="207"/>
        <v>2950200</v>
      </c>
      <c r="O653" s="42"/>
      <c r="P653" s="42">
        <f t="shared" si="212"/>
        <v>2950200</v>
      </c>
      <c r="Q653" s="42">
        <f t="shared" si="213"/>
        <v>2950200</v>
      </c>
      <c r="R653" s="5"/>
    </row>
    <row r="654" spans="1:18" ht="13.5" x14ac:dyDescent="0.2">
      <c r="A654" s="47" t="s">
        <v>2096</v>
      </c>
      <c r="B654" s="47" t="s">
        <v>2097</v>
      </c>
      <c r="C654" s="21" t="s">
        <v>2718</v>
      </c>
      <c r="D654" s="47" t="s">
        <v>2730</v>
      </c>
      <c r="E654" s="21" t="s">
        <v>31</v>
      </c>
      <c r="F654" s="47" t="s">
        <v>32</v>
      </c>
      <c r="G654" s="21" t="s">
        <v>2731</v>
      </c>
      <c r="H654" s="7" t="s">
        <v>2732</v>
      </c>
      <c r="I654" s="8" t="s">
        <v>2735</v>
      </c>
      <c r="J654" s="9">
        <v>239600</v>
      </c>
      <c r="K654" s="8"/>
      <c r="L654" s="8"/>
      <c r="M654" s="8"/>
      <c r="N654" s="42">
        <f t="shared" si="207"/>
        <v>239600</v>
      </c>
      <c r="O654" s="42"/>
      <c r="P654" s="42">
        <f t="shared" si="212"/>
        <v>239600</v>
      </c>
      <c r="Q654" s="42">
        <f t="shared" si="213"/>
        <v>239600</v>
      </c>
      <c r="R654" s="5"/>
    </row>
    <row r="655" spans="1:18" ht="13.5" x14ac:dyDescent="0.2">
      <c r="A655" s="47" t="s">
        <v>2096</v>
      </c>
      <c r="B655" s="47" t="s">
        <v>2097</v>
      </c>
      <c r="C655" s="21" t="s">
        <v>2718</v>
      </c>
      <c r="D655" s="47" t="s">
        <v>2730</v>
      </c>
      <c r="E655" s="21" t="s">
        <v>31</v>
      </c>
      <c r="F655" s="47" t="s">
        <v>32</v>
      </c>
      <c r="G655" s="21" t="s">
        <v>2731</v>
      </c>
      <c r="H655" s="7" t="s">
        <v>2732</v>
      </c>
      <c r="I655" s="8" t="s">
        <v>2758</v>
      </c>
      <c r="J655" s="9">
        <v>333800</v>
      </c>
      <c r="K655" s="8"/>
      <c r="L655" s="8"/>
      <c r="M655" s="8"/>
      <c r="N655" s="42">
        <f t="shared" si="207"/>
        <v>333800</v>
      </c>
      <c r="O655" s="42"/>
      <c r="P655" s="42">
        <f t="shared" si="212"/>
        <v>333800</v>
      </c>
      <c r="Q655" s="42">
        <f t="shared" si="213"/>
        <v>333800</v>
      </c>
      <c r="R655" s="5"/>
    </row>
    <row r="656" spans="1:18" ht="13.5" x14ac:dyDescent="0.2">
      <c r="A656" s="47" t="s">
        <v>2096</v>
      </c>
      <c r="B656" s="47" t="s">
        <v>2097</v>
      </c>
      <c r="C656" s="21" t="s">
        <v>2718</v>
      </c>
      <c r="D656" s="47" t="s">
        <v>2730</v>
      </c>
      <c r="E656" s="21" t="s">
        <v>31</v>
      </c>
      <c r="F656" s="47" t="s">
        <v>32</v>
      </c>
      <c r="G656" s="21" t="s">
        <v>2731</v>
      </c>
      <c r="H656" s="7" t="s">
        <v>2732</v>
      </c>
      <c r="I656" s="8" t="s">
        <v>2772</v>
      </c>
      <c r="J656" s="9">
        <v>1499800</v>
      </c>
      <c r="K656" s="8"/>
      <c r="L656" s="8"/>
      <c r="M656" s="8"/>
      <c r="N656" s="42">
        <f t="shared" si="207"/>
        <v>1499800</v>
      </c>
      <c r="O656" s="42"/>
      <c r="P656" s="42">
        <f t="shared" si="212"/>
        <v>1499800</v>
      </c>
      <c r="Q656" s="42">
        <f t="shared" si="213"/>
        <v>1499800</v>
      </c>
      <c r="R656" s="5"/>
    </row>
    <row r="657" spans="1:18" ht="13.5" x14ac:dyDescent="0.2">
      <c r="A657" s="47" t="s">
        <v>2096</v>
      </c>
      <c r="B657" s="47" t="s">
        <v>2097</v>
      </c>
      <c r="C657" s="21" t="s">
        <v>2718</v>
      </c>
      <c r="D657" s="47" t="s">
        <v>2730</v>
      </c>
      <c r="E657" s="21" t="s">
        <v>31</v>
      </c>
      <c r="F657" s="47" t="s">
        <v>32</v>
      </c>
      <c r="G657" s="21" t="s">
        <v>2731</v>
      </c>
      <c r="H657" s="7" t="s">
        <v>2732</v>
      </c>
      <c r="I657" s="8" t="s">
        <v>2741</v>
      </c>
      <c r="J657" s="9">
        <v>3797400</v>
      </c>
      <c r="K657" s="8"/>
      <c r="L657" s="8"/>
      <c r="M657" s="8"/>
      <c r="N657" s="42">
        <f t="shared" si="207"/>
        <v>3797400</v>
      </c>
      <c r="O657" s="42"/>
      <c r="P657" s="42">
        <f t="shared" si="212"/>
        <v>3797400</v>
      </c>
      <c r="Q657" s="42">
        <f t="shared" si="213"/>
        <v>3797400</v>
      </c>
      <c r="R657" s="5"/>
    </row>
    <row r="658" spans="1:18" ht="13.5" x14ac:dyDescent="0.2">
      <c r="A658" s="47" t="s">
        <v>2096</v>
      </c>
      <c r="B658" s="47" t="s">
        <v>2097</v>
      </c>
      <c r="C658" s="21" t="s">
        <v>2718</v>
      </c>
      <c r="D658" s="47" t="s">
        <v>2730</v>
      </c>
      <c r="E658" s="21" t="s">
        <v>31</v>
      </c>
      <c r="F658" s="47" t="s">
        <v>32</v>
      </c>
      <c r="G658" s="21" t="s">
        <v>2731</v>
      </c>
      <c r="H658" s="7" t="s">
        <v>2732</v>
      </c>
      <c r="I658" s="8" t="s">
        <v>2784</v>
      </c>
      <c r="J658" s="9">
        <v>16484000</v>
      </c>
      <c r="K658" s="8"/>
      <c r="L658" s="8"/>
      <c r="M658" s="8"/>
      <c r="N658" s="42">
        <f t="shared" si="207"/>
        <v>16484000</v>
      </c>
      <c r="O658" s="42"/>
      <c r="P658" s="42">
        <f t="shared" si="212"/>
        <v>16484000</v>
      </c>
      <c r="Q658" s="42">
        <f t="shared" si="213"/>
        <v>16484000</v>
      </c>
      <c r="R658" s="5"/>
    </row>
    <row r="659" spans="1:18" ht="13.5" x14ac:dyDescent="0.2">
      <c r="A659" s="47" t="s">
        <v>2096</v>
      </c>
      <c r="B659" s="47" t="s">
        <v>2097</v>
      </c>
      <c r="C659" s="21" t="s">
        <v>2718</v>
      </c>
      <c r="D659" s="47" t="s">
        <v>2730</v>
      </c>
      <c r="E659" s="21" t="s">
        <v>31</v>
      </c>
      <c r="F659" s="47" t="s">
        <v>32</v>
      </c>
      <c r="G659" s="21" t="s">
        <v>2731</v>
      </c>
      <c r="H659" s="7" t="s">
        <v>2732</v>
      </c>
      <c r="I659" s="8" t="s">
        <v>2799</v>
      </c>
      <c r="J659" s="9">
        <v>2553800</v>
      </c>
      <c r="K659" s="8"/>
      <c r="L659" s="8"/>
      <c r="M659" s="8"/>
      <c r="N659" s="42">
        <f t="shared" si="207"/>
        <v>2553800</v>
      </c>
      <c r="O659" s="42">
        <f t="shared" ref="O659:O660" si="214">N659*1.5</f>
        <v>3830700</v>
      </c>
      <c r="P659" s="42"/>
      <c r="Q659" s="42">
        <f t="shared" si="213"/>
        <v>3830700</v>
      </c>
    </row>
    <row r="660" spans="1:18" ht="13.5" x14ac:dyDescent="0.2">
      <c r="A660" s="47" t="s">
        <v>2096</v>
      </c>
      <c r="B660" s="47" t="s">
        <v>2097</v>
      </c>
      <c r="C660" s="21" t="s">
        <v>2718</v>
      </c>
      <c r="D660" s="47" t="s">
        <v>2730</v>
      </c>
      <c r="E660" s="21" t="s">
        <v>31</v>
      </c>
      <c r="F660" s="47" t="s">
        <v>32</v>
      </c>
      <c r="G660" s="21" t="s">
        <v>2818</v>
      </c>
      <c r="H660" s="7" t="s">
        <v>2819</v>
      </c>
      <c r="I660" s="8" t="s">
        <v>111</v>
      </c>
      <c r="J660" s="9">
        <v>187900</v>
      </c>
      <c r="K660" s="8"/>
      <c r="L660" s="8"/>
      <c r="M660" s="8"/>
      <c r="N660" s="42">
        <f t="shared" si="207"/>
        <v>187900</v>
      </c>
      <c r="O660" s="42">
        <f t="shared" si="214"/>
        <v>281850</v>
      </c>
      <c r="P660" s="42"/>
      <c r="Q660" s="42">
        <f t="shared" si="213"/>
        <v>281850</v>
      </c>
    </row>
    <row r="661" spans="1:18" ht="13.5" x14ac:dyDescent="0.2">
      <c r="A661" s="47" t="s">
        <v>2096</v>
      </c>
      <c r="B661" s="47" t="s">
        <v>2097</v>
      </c>
      <c r="C661" s="21" t="s">
        <v>2718</v>
      </c>
      <c r="D661" s="47" t="s">
        <v>2730</v>
      </c>
      <c r="E661" s="21" t="s">
        <v>31</v>
      </c>
      <c r="F661" s="47" t="s">
        <v>32</v>
      </c>
      <c r="G661" s="21" t="s">
        <v>2818</v>
      </c>
      <c r="H661" s="7" t="s">
        <v>2819</v>
      </c>
      <c r="I661" s="8" t="s">
        <v>2857</v>
      </c>
      <c r="J661" s="9">
        <v>1100000</v>
      </c>
      <c r="K661" s="8"/>
      <c r="L661" s="8"/>
      <c r="M661" s="8"/>
      <c r="N661" s="42">
        <f t="shared" si="207"/>
        <v>1100000</v>
      </c>
      <c r="O661" s="42"/>
      <c r="P661" s="42">
        <f t="shared" ref="P661:P667" si="215">N661</f>
        <v>1100000</v>
      </c>
      <c r="Q661" s="42">
        <f t="shared" si="213"/>
        <v>1100000</v>
      </c>
      <c r="R661" s="5"/>
    </row>
    <row r="662" spans="1:18" ht="13.5" x14ac:dyDescent="0.2">
      <c r="A662" s="47" t="s">
        <v>2096</v>
      </c>
      <c r="B662" s="47" t="s">
        <v>2097</v>
      </c>
      <c r="C662" s="21" t="s">
        <v>2718</v>
      </c>
      <c r="D662" s="47" t="s">
        <v>2730</v>
      </c>
      <c r="E662" s="21" t="s">
        <v>31</v>
      </c>
      <c r="F662" s="47" t="s">
        <v>32</v>
      </c>
      <c r="G662" s="21" t="s">
        <v>2818</v>
      </c>
      <c r="H662" s="7" t="s">
        <v>2819</v>
      </c>
      <c r="I662" s="8" t="s">
        <v>2855</v>
      </c>
      <c r="J662" s="9">
        <v>2225800</v>
      </c>
      <c r="K662" s="8"/>
      <c r="L662" s="8"/>
      <c r="M662" s="8"/>
      <c r="N662" s="42">
        <f t="shared" si="207"/>
        <v>2225800</v>
      </c>
      <c r="O662" s="42"/>
      <c r="P662" s="42">
        <f t="shared" si="215"/>
        <v>2225800</v>
      </c>
      <c r="Q662" s="42">
        <f t="shared" si="213"/>
        <v>2225800</v>
      </c>
      <c r="R662" s="5"/>
    </row>
    <row r="663" spans="1:18" ht="13.5" x14ac:dyDescent="0.2">
      <c r="A663" s="47" t="s">
        <v>2096</v>
      </c>
      <c r="B663" s="47" t="s">
        <v>2097</v>
      </c>
      <c r="C663" s="21" t="s">
        <v>2718</v>
      </c>
      <c r="D663" s="47" t="s">
        <v>2730</v>
      </c>
      <c r="E663" s="21" t="s">
        <v>31</v>
      </c>
      <c r="F663" s="47" t="s">
        <v>32</v>
      </c>
      <c r="G663" s="21" t="s">
        <v>2818</v>
      </c>
      <c r="H663" s="7" t="s">
        <v>2819</v>
      </c>
      <c r="I663" s="8" t="s">
        <v>2872</v>
      </c>
      <c r="J663" s="9">
        <v>3199600</v>
      </c>
      <c r="K663" s="8"/>
      <c r="L663" s="8"/>
      <c r="M663" s="8"/>
      <c r="N663" s="42">
        <f t="shared" si="207"/>
        <v>3199600</v>
      </c>
      <c r="O663" s="42"/>
      <c r="P663" s="42">
        <f t="shared" si="215"/>
        <v>3199600</v>
      </c>
      <c r="Q663" s="42">
        <f t="shared" si="213"/>
        <v>3199600</v>
      </c>
      <c r="R663" s="5"/>
    </row>
    <row r="664" spans="1:18" ht="13.5" x14ac:dyDescent="0.2">
      <c r="A664" s="47" t="s">
        <v>2096</v>
      </c>
      <c r="B664" s="47" t="s">
        <v>2097</v>
      </c>
      <c r="C664" s="21" t="s">
        <v>2718</v>
      </c>
      <c r="D664" s="47" t="s">
        <v>2730</v>
      </c>
      <c r="E664" s="21" t="s">
        <v>31</v>
      </c>
      <c r="F664" s="47" t="s">
        <v>32</v>
      </c>
      <c r="G664" s="21" t="s">
        <v>2818</v>
      </c>
      <c r="H664" s="7" t="s">
        <v>2819</v>
      </c>
      <c r="I664" s="8" t="s">
        <v>2826</v>
      </c>
      <c r="J664" s="9">
        <v>1553800</v>
      </c>
      <c r="K664" s="8"/>
      <c r="L664" s="8"/>
      <c r="M664" s="8"/>
      <c r="N664" s="42">
        <f t="shared" si="207"/>
        <v>1553800</v>
      </c>
      <c r="O664" s="42"/>
      <c r="P664" s="42">
        <f t="shared" si="215"/>
        <v>1553800</v>
      </c>
      <c r="Q664" s="42">
        <f t="shared" si="213"/>
        <v>1553800</v>
      </c>
      <c r="R664" s="5"/>
    </row>
    <row r="665" spans="1:18" ht="13.5" x14ac:dyDescent="0.2">
      <c r="A665" s="47" t="s">
        <v>2096</v>
      </c>
      <c r="B665" s="47" t="s">
        <v>2097</v>
      </c>
      <c r="C665" s="21" t="s">
        <v>2718</v>
      </c>
      <c r="D665" s="47" t="s">
        <v>2730</v>
      </c>
      <c r="E665" s="21" t="s">
        <v>31</v>
      </c>
      <c r="F665" s="47" t="s">
        <v>32</v>
      </c>
      <c r="G665" s="21" t="s">
        <v>2818</v>
      </c>
      <c r="H665" s="7" t="s">
        <v>2819</v>
      </c>
      <c r="I665" s="8" t="s">
        <v>2837</v>
      </c>
      <c r="J665" s="9">
        <v>2439800</v>
      </c>
      <c r="K665" s="8"/>
      <c r="L665" s="8"/>
      <c r="M665" s="8"/>
      <c r="N665" s="42">
        <f t="shared" si="207"/>
        <v>2439800</v>
      </c>
      <c r="O665" s="42"/>
      <c r="P665" s="42">
        <f t="shared" si="215"/>
        <v>2439800</v>
      </c>
      <c r="Q665" s="42">
        <f t="shared" si="213"/>
        <v>2439800</v>
      </c>
      <c r="R665" s="5"/>
    </row>
    <row r="666" spans="1:18" ht="13.5" x14ac:dyDescent="0.2">
      <c r="A666" s="47" t="s">
        <v>2096</v>
      </c>
      <c r="B666" s="47" t="s">
        <v>2097</v>
      </c>
      <c r="C666" s="21" t="s">
        <v>2718</v>
      </c>
      <c r="D666" s="47" t="s">
        <v>2730</v>
      </c>
      <c r="E666" s="21" t="s">
        <v>31</v>
      </c>
      <c r="F666" s="47" t="s">
        <v>32</v>
      </c>
      <c r="G666" s="21" t="s">
        <v>2818</v>
      </c>
      <c r="H666" s="7" t="s">
        <v>2819</v>
      </c>
      <c r="I666" s="8" t="s">
        <v>2841</v>
      </c>
      <c r="J666" s="9">
        <v>5479600</v>
      </c>
      <c r="K666" s="8"/>
      <c r="L666" s="8"/>
      <c r="M666" s="8"/>
      <c r="N666" s="42">
        <f t="shared" si="207"/>
        <v>5479600</v>
      </c>
      <c r="O666" s="42"/>
      <c r="P666" s="42">
        <f t="shared" si="215"/>
        <v>5479600</v>
      </c>
      <c r="Q666" s="42">
        <f t="shared" si="213"/>
        <v>5479600</v>
      </c>
      <c r="R666" s="5"/>
    </row>
    <row r="667" spans="1:18" ht="13.5" x14ac:dyDescent="0.2">
      <c r="A667" s="47" t="s">
        <v>2096</v>
      </c>
      <c r="B667" s="47" t="s">
        <v>2097</v>
      </c>
      <c r="C667" s="21" t="s">
        <v>2718</v>
      </c>
      <c r="D667" s="47" t="s">
        <v>2730</v>
      </c>
      <c r="E667" s="21" t="s">
        <v>31</v>
      </c>
      <c r="F667" s="47" t="s">
        <v>32</v>
      </c>
      <c r="G667" s="21" t="s">
        <v>2818</v>
      </c>
      <c r="H667" s="7" t="s">
        <v>2819</v>
      </c>
      <c r="I667" s="8" t="s">
        <v>2875</v>
      </c>
      <c r="J667" s="9">
        <v>2779800</v>
      </c>
      <c r="K667" s="8"/>
      <c r="L667" s="8"/>
      <c r="M667" s="8"/>
      <c r="N667" s="42">
        <f t="shared" si="207"/>
        <v>2779800</v>
      </c>
      <c r="O667" s="42"/>
      <c r="P667" s="42">
        <f t="shared" si="215"/>
        <v>2779800</v>
      </c>
      <c r="Q667" s="42">
        <f t="shared" si="213"/>
        <v>2779800</v>
      </c>
      <c r="R667" s="5"/>
    </row>
    <row r="668" spans="1:18" ht="13.5" hidden="1" x14ac:dyDescent="0.2">
      <c r="A668" s="12" t="s">
        <v>2096</v>
      </c>
      <c r="B668" s="12" t="s">
        <v>2097</v>
      </c>
      <c r="C668" s="13" t="s">
        <v>2718</v>
      </c>
      <c r="D668" s="12" t="s">
        <v>2730</v>
      </c>
      <c r="E668" s="13" t="s">
        <v>31</v>
      </c>
      <c r="F668" s="12" t="s">
        <v>181</v>
      </c>
      <c r="G668" s="13" t="s">
        <v>2818</v>
      </c>
      <c r="H668" s="12" t="s">
        <v>2819</v>
      </c>
      <c r="I668" s="13" t="s">
        <v>2859</v>
      </c>
      <c r="J668" s="14" t="s">
        <v>3946</v>
      </c>
      <c r="K668" s="18"/>
      <c r="L668" s="18"/>
      <c r="M668" s="18"/>
      <c r="N668" s="20" t="str">
        <f t="shared" si="207"/>
        <v>-</v>
      </c>
      <c r="O668"/>
      <c r="P668"/>
    </row>
    <row r="669" spans="1:18" ht="13.5" x14ac:dyDescent="0.2">
      <c r="A669" s="47" t="s">
        <v>2096</v>
      </c>
      <c r="B669" s="47" t="s">
        <v>2097</v>
      </c>
      <c r="C669" s="21" t="s">
        <v>2718</v>
      </c>
      <c r="D669" s="47" t="s">
        <v>2730</v>
      </c>
      <c r="E669" s="21" t="s">
        <v>41</v>
      </c>
      <c r="F669" s="47" t="s">
        <v>32</v>
      </c>
      <c r="G669" s="21" t="s">
        <v>2731</v>
      </c>
      <c r="H669" s="7" t="s">
        <v>2732</v>
      </c>
      <c r="I669" s="8" t="s">
        <v>2814</v>
      </c>
      <c r="J669" s="9">
        <v>1583800</v>
      </c>
      <c r="K669" s="8"/>
      <c r="L669" s="42">
        <f t="shared" ref="L669:L675" si="216">J669*1.5</f>
        <v>2375700</v>
      </c>
      <c r="M669" s="8"/>
      <c r="N669" s="42">
        <f t="shared" ref="N669:N695" si="217">SUM(K669:M669)</f>
        <v>2375700</v>
      </c>
      <c r="O669" s="42"/>
      <c r="P669" s="42">
        <f>N669</f>
        <v>2375700</v>
      </c>
      <c r="Q669" s="42">
        <f t="shared" ref="Q669:Q695" si="218">SUM(O669:P669)</f>
        <v>2375700</v>
      </c>
      <c r="R669" s="5"/>
    </row>
    <row r="670" spans="1:18" ht="13.5" x14ac:dyDescent="0.2">
      <c r="A670" s="47" t="s">
        <v>2096</v>
      </c>
      <c r="B670" s="47" t="s">
        <v>2097</v>
      </c>
      <c r="C670" s="21" t="s">
        <v>2718</v>
      </c>
      <c r="D670" s="47" t="s">
        <v>2730</v>
      </c>
      <c r="E670" s="21" t="s">
        <v>41</v>
      </c>
      <c r="F670" s="47" t="s">
        <v>32</v>
      </c>
      <c r="G670" s="21" t="s">
        <v>2731</v>
      </c>
      <c r="H670" s="7" t="s">
        <v>2732</v>
      </c>
      <c r="I670" s="8" t="s">
        <v>1839</v>
      </c>
      <c r="J670" s="9">
        <v>4197000</v>
      </c>
      <c r="K670" s="8"/>
      <c r="L670" s="42">
        <f t="shared" si="216"/>
        <v>6295500</v>
      </c>
      <c r="M670" s="8"/>
      <c r="N670" s="42">
        <f t="shared" si="217"/>
        <v>6295500</v>
      </c>
      <c r="O670" s="42">
        <f>N670*1.5</f>
        <v>9443250</v>
      </c>
      <c r="P670" s="42"/>
      <c r="Q670" s="42">
        <f t="shared" si="218"/>
        <v>9443250</v>
      </c>
    </row>
    <row r="671" spans="1:18" ht="13.5" x14ac:dyDescent="0.2">
      <c r="A671" s="47" t="s">
        <v>2096</v>
      </c>
      <c r="B671" s="47" t="s">
        <v>2097</v>
      </c>
      <c r="C671" s="21" t="s">
        <v>2718</v>
      </c>
      <c r="D671" s="47" t="s">
        <v>2730</v>
      </c>
      <c r="E671" s="21" t="s">
        <v>41</v>
      </c>
      <c r="F671" s="47" t="s">
        <v>32</v>
      </c>
      <c r="G671" s="21" t="s">
        <v>2731</v>
      </c>
      <c r="H671" s="7" t="s">
        <v>2732</v>
      </c>
      <c r="I671" s="8" t="s">
        <v>2810</v>
      </c>
      <c r="J671" s="9">
        <v>2910800</v>
      </c>
      <c r="K671" s="8"/>
      <c r="L671" s="42">
        <f t="shared" si="216"/>
        <v>4366200</v>
      </c>
      <c r="M671" s="8"/>
      <c r="N671" s="42">
        <f t="shared" si="217"/>
        <v>4366200</v>
      </c>
      <c r="O671" s="42"/>
      <c r="P671" s="42">
        <f>N671</f>
        <v>4366200</v>
      </c>
      <c r="Q671" s="42">
        <f t="shared" si="218"/>
        <v>4366200</v>
      </c>
      <c r="R671" s="5"/>
    </row>
    <row r="672" spans="1:18" ht="13.5" x14ac:dyDescent="0.2">
      <c r="A672" s="47" t="s">
        <v>2096</v>
      </c>
      <c r="B672" s="47" t="s">
        <v>2097</v>
      </c>
      <c r="C672" s="21" t="s">
        <v>2718</v>
      </c>
      <c r="D672" s="47" t="s">
        <v>2730</v>
      </c>
      <c r="E672" s="21" t="s">
        <v>41</v>
      </c>
      <c r="F672" s="47" t="s">
        <v>32</v>
      </c>
      <c r="G672" s="21" t="s">
        <v>2731</v>
      </c>
      <c r="H672" s="7" t="s">
        <v>2732</v>
      </c>
      <c r="I672" s="8" t="s">
        <v>2161</v>
      </c>
      <c r="J672" s="9">
        <v>4279600</v>
      </c>
      <c r="K672" s="8"/>
      <c r="L672" s="42">
        <f t="shared" si="216"/>
        <v>6419400</v>
      </c>
      <c r="M672" s="8"/>
      <c r="N672" s="42">
        <f t="shared" si="217"/>
        <v>6419400</v>
      </c>
      <c r="O672" s="42">
        <f>N672*1.5</f>
        <v>9629100</v>
      </c>
      <c r="P672" s="42"/>
      <c r="Q672" s="42">
        <f t="shared" si="218"/>
        <v>9629100</v>
      </c>
    </row>
    <row r="673" spans="1:18" ht="13.5" x14ac:dyDescent="0.2">
      <c r="A673" s="47" t="s">
        <v>2096</v>
      </c>
      <c r="B673" s="47" t="s">
        <v>2097</v>
      </c>
      <c r="C673" s="21" t="s">
        <v>2718</v>
      </c>
      <c r="D673" s="47" t="s">
        <v>2730</v>
      </c>
      <c r="E673" s="21" t="s">
        <v>41</v>
      </c>
      <c r="F673" s="47" t="s">
        <v>32</v>
      </c>
      <c r="G673" s="21" t="s">
        <v>2731</v>
      </c>
      <c r="H673" s="7" t="s">
        <v>2732</v>
      </c>
      <c r="I673" s="8" t="s">
        <v>2760</v>
      </c>
      <c r="J673" s="9">
        <v>4876800</v>
      </c>
      <c r="K673" s="8"/>
      <c r="L673" s="42">
        <f t="shared" si="216"/>
        <v>7315200</v>
      </c>
      <c r="M673" s="8"/>
      <c r="N673" s="42">
        <f t="shared" si="217"/>
        <v>7315200</v>
      </c>
      <c r="O673" s="42"/>
      <c r="P673" s="42">
        <f>N673</f>
        <v>7315200</v>
      </c>
      <c r="Q673" s="42">
        <f t="shared" si="218"/>
        <v>7315200</v>
      </c>
      <c r="R673" s="5"/>
    </row>
    <row r="674" spans="1:18" ht="13.5" x14ac:dyDescent="0.2">
      <c r="A674" s="47" t="s">
        <v>2096</v>
      </c>
      <c r="B674" s="47" t="s">
        <v>2097</v>
      </c>
      <c r="C674" s="21" t="s">
        <v>2718</v>
      </c>
      <c r="D674" s="47" t="s">
        <v>2730</v>
      </c>
      <c r="E674" s="21" t="s">
        <v>41</v>
      </c>
      <c r="F674" s="47" t="s">
        <v>32</v>
      </c>
      <c r="G674" s="21" t="s">
        <v>2818</v>
      </c>
      <c r="H674" s="7" t="s">
        <v>2819</v>
      </c>
      <c r="I674" s="8" t="s">
        <v>2830</v>
      </c>
      <c r="J674" s="9">
        <v>2256000</v>
      </c>
      <c r="K674" s="8"/>
      <c r="L674" s="42">
        <f t="shared" si="216"/>
        <v>3384000</v>
      </c>
      <c r="M674" s="8"/>
      <c r="N674" s="42">
        <f t="shared" si="217"/>
        <v>3384000</v>
      </c>
      <c r="O674" s="42">
        <f>N674*1.5</f>
        <v>5076000</v>
      </c>
      <c r="P674" s="42"/>
      <c r="Q674" s="42">
        <f t="shared" si="218"/>
        <v>5076000</v>
      </c>
    </row>
    <row r="675" spans="1:18" ht="13.5" x14ac:dyDescent="0.2">
      <c r="A675" s="47" t="s">
        <v>2096</v>
      </c>
      <c r="B675" s="47" t="s">
        <v>2097</v>
      </c>
      <c r="C675" s="21" t="s">
        <v>2718</v>
      </c>
      <c r="D675" s="47" t="s">
        <v>2730</v>
      </c>
      <c r="E675" s="21" t="s">
        <v>41</v>
      </c>
      <c r="F675" s="47" t="s">
        <v>32</v>
      </c>
      <c r="G675" s="21" t="s">
        <v>2818</v>
      </c>
      <c r="H675" s="7" t="s">
        <v>2819</v>
      </c>
      <c r="I675" s="8" t="s">
        <v>2879</v>
      </c>
      <c r="J675" s="9">
        <v>1841800</v>
      </c>
      <c r="K675" s="8"/>
      <c r="L675" s="42">
        <f t="shared" si="216"/>
        <v>2762700</v>
      </c>
      <c r="M675" s="8"/>
      <c r="N675" s="42">
        <f t="shared" si="217"/>
        <v>2762700</v>
      </c>
      <c r="O675" s="42"/>
      <c r="P675" s="42">
        <f t="shared" ref="P675:P678" si="219">N675</f>
        <v>2762700</v>
      </c>
      <c r="Q675" s="42">
        <f t="shared" si="218"/>
        <v>2762700</v>
      </c>
      <c r="R675" s="5"/>
    </row>
    <row r="676" spans="1:18" ht="13.5" x14ac:dyDescent="0.2">
      <c r="A676" s="47" t="s">
        <v>2096</v>
      </c>
      <c r="B676" s="47" t="s">
        <v>2097</v>
      </c>
      <c r="C676" s="21" t="s">
        <v>2718</v>
      </c>
      <c r="D676" s="47" t="s">
        <v>2730</v>
      </c>
      <c r="E676" s="21" t="s">
        <v>233</v>
      </c>
      <c r="F676" s="47" t="s">
        <v>234</v>
      </c>
      <c r="G676" s="21" t="s">
        <v>2818</v>
      </c>
      <c r="H676" s="7" t="s">
        <v>2819</v>
      </c>
      <c r="I676" s="8" t="s">
        <v>2844</v>
      </c>
      <c r="J676" s="9">
        <v>7480800</v>
      </c>
      <c r="K676" s="42">
        <f>J676*2</f>
        <v>14961600</v>
      </c>
      <c r="L676" s="42"/>
      <c r="M676" s="42"/>
      <c r="N676" s="42">
        <f t="shared" si="217"/>
        <v>14961600</v>
      </c>
      <c r="O676" s="42"/>
      <c r="P676" s="42">
        <f t="shared" si="219"/>
        <v>14961600</v>
      </c>
      <c r="Q676" s="42">
        <f t="shared" si="218"/>
        <v>14961600</v>
      </c>
      <c r="R676" s="5"/>
    </row>
    <row r="677" spans="1:18" ht="13.5" x14ac:dyDescent="0.2">
      <c r="A677" s="47" t="s">
        <v>2096</v>
      </c>
      <c r="B677" s="47" t="s">
        <v>2097</v>
      </c>
      <c r="C677" s="21" t="s">
        <v>2718</v>
      </c>
      <c r="D677" s="47" t="s">
        <v>2730</v>
      </c>
      <c r="E677" s="21" t="s">
        <v>855</v>
      </c>
      <c r="F677" s="47" t="s">
        <v>856</v>
      </c>
      <c r="G677" s="21" t="s">
        <v>2818</v>
      </c>
      <c r="H677" s="7" t="s">
        <v>2819</v>
      </c>
      <c r="I677" s="8" t="s">
        <v>2851</v>
      </c>
      <c r="J677" s="9">
        <v>3780000</v>
      </c>
      <c r="K677" s="8"/>
      <c r="L677" s="8"/>
      <c r="M677" s="8"/>
      <c r="N677" s="42">
        <f>J677</f>
        <v>3780000</v>
      </c>
      <c r="O677" s="42"/>
      <c r="P677" s="42">
        <f t="shared" si="219"/>
        <v>3780000</v>
      </c>
      <c r="Q677" s="42">
        <f t="shared" si="218"/>
        <v>3780000</v>
      </c>
      <c r="R677" s="5"/>
    </row>
    <row r="678" spans="1:18" ht="13.5" x14ac:dyDescent="0.2">
      <c r="A678" s="47" t="s">
        <v>2096</v>
      </c>
      <c r="B678" s="47" t="s">
        <v>2097</v>
      </c>
      <c r="C678" s="21" t="s">
        <v>2718</v>
      </c>
      <c r="D678" s="47" t="s">
        <v>2730</v>
      </c>
      <c r="E678" s="21" t="s">
        <v>57</v>
      </c>
      <c r="F678" s="47" t="s">
        <v>32</v>
      </c>
      <c r="G678" s="21" t="s">
        <v>2731</v>
      </c>
      <c r="H678" s="7" t="s">
        <v>2732</v>
      </c>
      <c r="I678" s="8" t="s">
        <v>2748</v>
      </c>
      <c r="J678" s="9">
        <v>10203200</v>
      </c>
      <c r="K678" s="8"/>
      <c r="L678" s="42">
        <f t="shared" ref="L678:L679" si="220">J678*1.5</f>
        <v>15304800</v>
      </c>
      <c r="M678" s="8"/>
      <c r="N678" s="42">
        <f t="shared" si="217"/>
        <v>15304800</v>
      </c>
      <c r="O678" s="42"/>
      <c r="P678" s="42">
        <f t="shared" si="219"/>
        <v>15304800</v>
      </c>
      <c r="Q678" s="42">
        <f t="shared" si="218"/>
        <v>15304800</v>
      </c>
      <c r="R678" s="5"/>
    </row>
    <row r="679" spans="1:18" ht="13.5" x14ac:dyDescent="0.2">
      <c r="A679" s="47" t="s">
        <v>2096</v>
      </c>
      <c r="B679" s="47" t="s">
        <v>2097</v>
      </c>
      <c r="C679" s="21" t="s">
        <v>2718</v>
      </c>
      <c r="D679" s="47" t="s">
        <v>2730</v>
      </c>
      <c r="E679" s="21" t="s">
        <v>57</v>
      </c>
      <c r="F679" s="47" t="s">
        <v>32</v>
      </c>
      <c r="G679" s="21" t="s">
        <v>2731</v>
      </c>
      <c r="H679" s="7" t="s">
        <v>2732</v>
      </c>
      <c r="I679" s="8" t="s">
        <v>2756</v>
      </c>
      <c r="J679" s="9">
        <v>2759900</v>
      </c>
      <c r="K679" s="8"/>
      <c r="L679" s="42">
        <f t="shared" si="220"/>
        <v>4139850</v>
      </c>
      <c r="M679" s="8"/>
      <c r="N679" s="42">
        <f t="shared" si="217"/>
        <v>4139850</v>
      </c>
      <c r="O679" s="42">
        <f>N679*1.5</f>
        <v>6209775</v>
      </c>
      <c r="P679" s="42"/>
      <c r="Q679" s="42">
        <f t="shared" si="218"/>
        <v>6209775</v>
      </c>
    </row>
    <row r="680" spans="1:18" ht="13.5" x14ac:dyDescent="0.2">
      <c r="A680" s="47" t="s">
        <v>2096</v>
      </c>
      <c r="B680" s="47" t="s">
        <v>2097</v>
      </c>
      <c r="C680" s="21" t="s">
        <v>2718</v>
      </c>
      <c r="D680" s="47" t="s">
        <v>2730</v>
      </c>
      <c r="E680" s="21" t="s">
        <v>610</v>
      </c>
      <c r="F680" s="47" t="s">
        <v>611</v>
      </c>
      <c r="G680" s="21" t="s">
        <v>2818</v>
      </c>
      <c r="H680" s="7" t="s">
        <v>2819</v>
      </c>
      <c r="I680" s="8" t="s">
        <v>2828</v>
      </c>
      <c r="J680" s="9">
        <v>0</v>
      </c>
      <c r="K680" s="8"/>
      <c r="L680" s="8"/>
      <c r="M680" s="8"/>
      <c r="N680" s="42">
        <f t="shared" ref="N680:N687" si="221">J680</f>
        <v>0</v>
      </c>
      <c r="O680" s="42"/>
      <c r="P680" s="42">
        <f>N680</f>
        <v>0</v>
      </c>
      <c r="Q680" s="42">
        <f t="shared" si="218"/>
        <v>0</v>
      </c>
      <c r="R680" s="5"/>
    </row>
    <row r="681" spans="1:18" ht="13.5" x14ac:dyDescent="0.2">
      <c r="A681" s="47" t="s">
        <v>2096</v>
      </c>
      <c r="B681" s="47" t="s">
        <v>2097</v>
      </c>
      <c r="C681" s="21" t="s">
        <v>2718</v>
      </c>
      <c r="D681" s="47" t="s">
        <v>2883</v>
      </c>
      <c r="E681" s="21" t="s">
        <v>31</v>
      </c>
      <c r="F681" s="47" t="s">
        <v>32</v>
      </c>
      <c r="G681" s="21" t="s">
        <v>2884</v>
      </c>
      <c r="H681" s="7" t="s">
        <v>2885</v>
      </c>
      <c r="I681" s="8" t="s">
        <v>111</v>
      </c>
      <c r="J681" s="9">
        <v>2479000</v>
      </c>
      <c r="K681" s="8"/>
      <c r="L681" s="8"/>
      <c r="M681" s="8"/>
      <c r="N681" s="42">
        <f t="shared" si="221"/>
        <v>2479000</v>
      </c>
      <c r="O681" s="42">
        <f t="shared" ref="O681:O682" si="222">N681*1.5</f>
        <v>3718500</v>
      </c>
      <c r="P681" s="42"/>
      <c r="Q681" s="42">
        <f t="shared" si="218"/>
        <v>3718500</v>
      </c>
    </row>
    <row r="682" spans="1:18" ht="13.5" x14ac:dyDescent="0.2">
      <c r="A682" s="47" t="s">
        <v>2096</v>
      </c>
      <c r="B682" s="47" t="s">
        <v>2097</v>
      </c>
      <c r="C682" s="21" t="s">
        <v>2718</v>
      </c>
      <c r="D682" s="47" t="s">
        <v>2883</v>
      </c>
      <c r="E682" s="21" t="s">
        <v>31</v>
      </c>
      <c r="F682" s="47" t="s">
        <v>32</v>
      </c>
      <c r="G682" s="21" t="s">
        <v>2884</v>
      </c>
      <c r="H682" s="7" t="s">
        <v>2885</v>
      </c>
      <c r="I682" s="8" t="s">
        <v>2935</v>
      </c>
      <c r="J682" s="9">
        <v>2559800</v>
      </c>
      <c r="K682" s="8"/>
      <c r="L682" s="8"/>
      <c r="M682" s="8"/>
      <c r="N682" s="42">
        <f t="shared" si="221"/>
        <v>2559800</v>
      </c>
      <c r="O682" s="42">
        <f t="shared" si="222"/>
        <v>3839700</v>
      </c>
      <c r="P682" s="42"/>
      <c r="Q682" s="42">
        <f t="shared" si="218"/>
        <v>3839700</v>
      </c>
    </row>
    <row r="683" spans="1:18" ht="13.5" x14ac:dyDescent="0.2">
      <c r="A683" s="47" t="s">
        <v>2096</v>
      </c>
      <c r="B683" s="47" t="s">
        <v>2097</v>
      </c>
      <c r="C683" s="21" t="s">
        <v>2718</v>
      </c>
      <c r="D683" s="47" t="s">
        <v>2883</v>
      </c>
      <c r="E683" s="21" t="s">
        <v>31</v>
      </c>
      <c r="F683" s="47" t="s">
        <v>32</v>
      </c>
      <c r="G683" s="21" t="s">
        <v>2884</v>
      </c>
      <c r="H683" s="7" t="s">
        <v>2885</v>
      </c>
      <c r="I683" s="8" t="s">
        <v>2887</v>
      </c>
      <c r="J683" s="9">
        <v>749900</v>
      </c>
      <c r="K683" s="8"/>
      <c r="L683" s="8"/>
      <c r="M683" s="8"/>
      <c r="N683" s="42">
        <f t="shared" si="221"/>
        <v>749900</v>
      </c>
      <c r="O683" s="42"/>
      <c r="P683" s="42">
        <f>N683</f>
        <v>749900</v>
      </c>
      <c r="Q683" s="42">
        <f t="shared" si="218"/>
        <v>749900</v>
      </c>
      <c r="R683" s="5"/>
    </row>
    <row r="684" spans="1:18" ht="13.5" x14ac:dyDescent="0.2">
      <c r="A684" s="47" t="s">
        <v>2096</v>
      </c>
      <c r="B684" s="47" t="s">
        <v>2097</v>
      </c>
      <c r="C684" s="21" t="s">
        <v>2718</v>
      </c>
      <c r="D684" s="47" t="s">
        <v>2883</v>
      </c>
      <c r="E684" s="21" t="s">
        <v>31</v>
      </c>
      <c r="F684" s="47" t="s">
        <v>32</v>
      </c>
      <c r="G684" s="21" t="s">
        <v>2884</v>
      </c>
      <c r="H684" s="7" t="s">
        <v>2885</v>
      </c>
      <c r="I684" s="8" t="s">
        <v>2933</v>
      </c>
      <c r="J684" s="9">
        <v>3500000</v>
      </c>
      <c r="K684" s="8"/>
      <c r="L684" s="8"/>
      <c r="M684" s="8"/>
      <c r="N684" s="42">
        <f t="shared" si="221"/>
        <v>3500000</v>
      </c>
      <c r="O684" s="42">
        <f>N684*1.5</f>
        <v>5250000</v>
      </c>
      <c r="P684" s="42"/>
      <c r="Q684" s="42">
        <f t="shared" si="218"/>
        <v>5250000</v>
      </c>
    </row>
    <row r="685" spans="1:18" ht="13.5" x14ac:dyDescent="0.2">
      <c r="A685" s="47" t="s">
        <v>2096</v>
      </c>
      <c r="B685" s="47" t="s">
        <v>2097</v>
      </c>
      <c r="C685" s="21" t="s">
        <v>2718</v>
      </c>
      <c r="D685" s="47" t="s">
        <v>2883</v>
      </c>
      <c r="E685" s="21" t="s">
        <v>31</v>
      </c>
      <c r="F685" s="47" t="s">
        <v>32</v>
      </c>
      <c r="G685" s="21" t="s">
        <v>2884</v>
      </c>
      <c r="H685" s="7" t="s">
        <v>2885</v>
      </c>
      <c r="I685" s="8" t="s">
        <v>2900</v>
      </c>
      <c r="J685" s="9">
        <v>2739800</v>
      </c>
      <c r="K685" s="8"/>
      <c r="L685" s="8"/>
      <c r="M685" s="8"/>
      <c r="N685" s="42">
        <f t="shared" si="221"/>
        <v>2739800</v>
      </c>
      <c r="O685" s="42"/>
      <c r="P685" s="42">
        <f>N685</f>
        <v>2739800</v>
      </c>
      <c r="Q685" s="42">
        <f t="shared" si="218"/>
        <v>2739800</v>
      </c>
      <c r="R685" s="5"/>
    </row>
    <row r="686" spans="1:18" ht="13.5" x14ac:dyDescent="0.2">
      <c r="A686" s="47" t="s">
        <v>2096</v>
      </c>
      <c r="B686" s="47" t="s">
        <v>2097</v>
      </c>
      <c r="C686" s="21" t="s">
        <v>2718</v>
      </c>
      <c r="D686" s="47" t="s">
        <v>2883</v>
      </c>
      <c r="E686" s="21" t="s">
        <v>31</v>
      </c>
      <c r="F686" s="47" t="s">
        <v>32</v>
      </c>
      <c r="G686" s="21" t="s">
        <v>2884</v>
      </c>
      <c r="H686" s="7" t="s">
        <v>2885</v>
      </c>
      <c r="I686" s="8" t="s">
        <v>2943</v>
      </c>
      <c r="J686" s="9">
        <v>13599000</v>
      </c>
      <c r="K686" s="8"/>
      <c r="L686" s="8"/>
      <c r="M686" s="8"/>
      <c r="N686" s="42">
        <f t="shared" si="221"/>
        <v>13599000</v>
      </c>
      <c r="O686" s="42">
        <f t="shared" ref="O686:O688" si="223">N686*1.5</f>
        <v>20398500</v>
      </c>
      <c r="P686" s="42"/>
      <c r="Q686" s="42">
        <f t="shared" si="218"/>
        <v>20398500</v>
      </c>
    </row>
    <row r="687" spans="1:18" ht="13.5" x14ac:dyDescent="0.2">
      <c r="A687" s="47" t="s">
        <v>2096</v>
      </c>
      <c r="B687" s="47" t="s">
        <v>2097</v>
      </c>
      <c r="C687" s="21" t="s">
        <v>2718</v>
      </c>
      <c r="D687" s="47" t="s">
        <v>2883</v>
      </c>
      <c r="E687" s="21" t="s">
        <v>31</v>
      </c>
      <c r="F687" s="47" t="s">
        <v>32</v>
      </c>
      <c r="G687" s="21" t="s">
        <v>2884</v>
      </c>
      <c r="H687" s="7" t="s">
        <v>2885</v>
      </c>
      <c r="I687" s="8" t="s">
        <v>2480</v>
      </c>
      <c r="J687" s="9">
        <v>1155900</v>
      </c>
      <c r="K687" s="8"/>
      <c r="L687" s="8"/>
      <c r="M687" s="8"/>
      <c r="N687" s="42">
        <f t="shared" si="221"/>
        <v>1155900</v>
      </c>
      <c r="O687" s="42">
        <f t="shared" si="223"/>
        <v>1733850</v>
      </c>
      <c r="P687" s="42"/>
      <c r="Q687" s="42">
        <f t="shared" si="218"/>
        <v>1733850</v>
      </c>
    </row>
    <row r="688" spans="1:18" ht="13.5" x14ac:dyDescent="0.2">
      <c r="A688" s="47" t="s">
        <v>2096</v>
      </c>
      <c r="B688" s="47" t="s">
        <v>2097</v>
      </c>
      <c r="C688" s="21" t="s">
        <v>2718</v>
      </c>
      <c r="D688" s="47" t="s">
        <v>2883</v>
      </c>
      <c r="E688" s="21" t="s">
        <v>41</v>
      </c>
      <c r="F688" s="47" t="s">
        <v>32</v>
      </c>
      <c r="G688" s="21" t="s">
        <v>2884</v>
      </c>
      <c r="H688" s="7" t="s">
        <v>2885</v>
      </c>
      <c r="I688" s="8" t="s">
        <v>2945</v>
      </c>
      <c r="J688" s="9">
        <v>2518000</v>
      </c>
      <c r="K688" s="8"/>
      <c r="L688" s="42">
        <f t="shared" ref="L688:L690" si="224">J688*1.5</f>
        <v>3777000</v>
      </c>
      <c r="M688" s="8"/>
      <c r="N688" s="42">
        <f t="shared" si="217"/>
        <v>3777000</v>
      </c>
      <c r="O688" s="42">
        <f t="shared" si="223"/>
        <v>5665500</v>
      </c>
      <c r="P688" s="42"/>
      <c r="Q688" s="42">
        <f t="shared" si="218"/>
        <v>5665500</v>
      </c>
    </row>
    <row r="689" spans="1:18" ht="13.5" x14ac:dyDescent="0.2">
      <c r="A689" s="47" t="s">
        <v>2096</v>
      </c>
      <c r="B689" s="47" t="s">
        <v>2097</v>
      </c>
      <c r="C689" s="21" t="s">
        <v>2718</v>
      </c>
      <c r="D689" s="47" t="s">
        <v>2883</v>
      </c>
      <c r="E689" s="21" t="s">
        <v>41</v>
      </c>
      <c r="F689" s="47" t="s">
        <v>32</v>
      </c>
      <c r="G689" s="21" t="s">
        <v>2884</v>
      </c>
      <c r="H689" s="7" t="s">
        <v>2885</v>
      </c>
      <c r="I689" s="8" t="s">
        <v>2917</v>
      </c>
      <c r="J689" s="9">
        <v>8319600</v>
      </c>
      <c r="K689" s="8"/>
      <c r="L689" s="42">
        <f t="shared" si="224"/>
        <v>12479400</v>
      </c>
      <c r="M689" s="8"/>
      <c r="N689" s="42">
        <f t="shared" si="217"/>
        <v>12479400</v>
      </c>
      <c r="O689" s="42"/>
      <c r="P689" s="42">
        <f t="shared" ref="P689:P692" si="225">N689</f>
        <v>12479400</v>
      </c>
      <c r="Q689" s="42">
        <f t="shared" si="218"/>
        <v>12479400</v>
      </c>
      <c r="R689" s="5"/>
    </row>
    <row r="690" spans="1:18" ht="13.5" x14ac:dyDescent="0.2">
      <c r="A690" s="47" t="s">
        <v>2096</v>
      </c>
      <c r="B690" s="47" t="s">
        <v>2097</v>
      </c>
      <c r="C690" s="21" t="s">
        <v>2718</v>
      </c>
      <c r="D690" s="47" t="s">
        <v>2883</v>
      </c>
      <c r="E690" s="21" t="s">
        <v>41</v>
      </c>
      <c r="F690" s="47" t="s">
        <v>32</v>
      </c>
      <c r="G690" s="21" t="s">
        <v>2884</v>
      </c>
      <c r="H690" s="7" t="s">
        <v>2885</v>
      </c>
      <c r="I690" s="8" t="s">
        <v>2903</v>
      </c>
      <c r="J690" s="9">
        <v>2039800</v>
      </c>
      <c r="K690" s="8"/>
      <c r="L690" s="42">
        <f t="shared" si="224"/>
        <v>3059700</v>
      </c>
      <c r="M690" s="8"/>
      <c r="N690" s="42">
        <f t="shared" si="217"/>
        <v>3059700</v>
      </c>
      <c r="O690" s="42"/>
      <c r="P690" s="42">
        <f t="shared" si="225"/>
        <v>3059700</v>
      </c>
      <c r="Q690" s="42">
        <f t="shared" si="218"/>
        <v>3059700</v>
      </c>
      <c r="R690" s="5"/>
    </row>
    <row r="691" spans="1:18" ht="13.5" x14ac:dyDescent="0.2">
      <c r="A691" s="47" t="s">
        <v>2096</v>
      </c>
      <c r="B691" s="47" t="s">
        <v>2097</v>
      </c>
      <c r="C691" s="21" t="s">
        <v>2718</v>
      </c>
      <c r="D691" s="47" t="s">
        <v>2953</v>
      </c>
      <c r="E691" s="21" t="s">
        <v>31</v>
      </c>
      <c r="F691" s="47" t="s">
        <v>32</v>
      </c>
      <c r="G691" s="21" t="s">
        <v>2954</v>
      </c>
      <c r="H691" s="7" t="s">
        <v>2955</v>
      </c>
      <c r="I691" s="8" t="s">
        <v>2965</v>
      </c>
      <c r="J691" s="9">
        <v>2099700</v>
      </c>
      <c r="K691" s="8"/>
      <c r="L691" s="8"/>
      <c r="M691" s="8"/>
      <c r="N691" s="42">
        <f t="shared" ref="N691:N694" si="226">J691</f>
        <v>2099700</v>
      </c>
      <c r="O691" s="42"/>
      <c r="P691" s="42">
        <f t="shared" si="225"/>
        <v>2099700</v>
      </c>
      <c r="Q691" s="42">
        <f t="shared" si="218"/>
        <v>2099700</v>
      </c>
      <c r="R691" s="5"/>
    </row>
    <row r="692" spans="1:18" ht="13.5" x14ac:dyDescent="0.2">
      <c r="A692" s="47" t="s">
        <v>2096</v>
      </c>
      <c r="B692" s="47" t="s">
        <v>2097</v>
      </c>
      <c r="C692" s="21" t="s">
        <v>2718</v>
      </c>
      <c r="D692" s="47" t="s">
        <v>2953</v>
      </c>
      <c r="E692" s="21" t="s">
        <v>31</v>
      </c>
      <c r="F692" s="47" t="s">
        <v>32</v>
      </c>
      <c r="G692" s="21" t="s">
        <v>2954</v>
      </c>
      <c r="H692" s="7" t="s">
        <v>2955</v>
      </c>
      <c r="I692" s="8" t="s">
        <v>2956</v>
      </c>
      <c r="J692" s="9">
        <v>119800</v>
      </c>
      <c r="K692" s="8"/>
      <c r="L692" s="8"/>
      <c r="M692" s="8"/>
      <c r="N692" s="42">
        <f t="shared" si="226"/>
        <v>119800</v>
      </c>
      <c r="O692" s="42"/>
      <c r="P692" s="42">
        <f t="shared" si="225"/>
        <v>119800</v>
      </c>
      <c r="Q692" s="42">
        <f t="shared" si="218"/>
        <v>119800</v>
      </c>
      <c r="R692" s="5"/>
    </row>
    <row r="693" spans="1:18" ht="13.5" x14ac:dyDescent="0.2">
      <c r="A693" s="47" t="s">
        <v>2096</v>
      </c>
      <c r="B693" s="47" t="s">
        <v>2097</v>
      </c>
      <c r="C693" s="21" t="s">
        <v>2718</v>
      </c>
      <c r="D693" s="47" t="s">
        <v>2953</v>
      </c>
      <c r="E693" s="21" t="s">
        <v>31</v>
      </c>
      <c r="F693" s="47" t="s">
        <v>32</v>
      </c>
      <c r="G693" s="21" t="s">
        <v>2954</v>
      </c>
      <c r="H693" s="7" t="s">
        <v>2955</v>
      </c>
      <c r="I693" s="8" t="s">
        <v>2958</v>
      </c>
      <c r="J693" s="9">
        <v>335800</v>
      </c>
      <c r="K693" s="8"/>
      <c r="L693" s="8"/>
      <c r="M693" s="8"/>
      <c r="N693" s="42">
        <f t="shared" si="226"/>
        <v>335800</v>
      </c>
      <c r="O693" s="42">
        <f t="shared" ref="O693:O694" si="227">N693*1.5</f>
        <v>503700</v>
      </c>
      <c r="P693" s="42"/>
      <c r="Q693" s="42">
        <f t="shared" si="218"/>
        <v>503700</v>
      </c>
    </row>
    <row r="694" spans="1:18" ht="13.5" x14ac:dyDescent="0.2">
      <c r="A694" s="47" t="s">
        <v>2096</v>
      </c>
      <c r="B694" s="47" t="s">
        <v>2097</v>
      </c>
      <c r="C694" s="21" t="s">
        <v>2718</v>
      </c>
      <c r="D694" s="47" t="s">
        <v>2953</v>
      </c>
      <c r="E694" s="21" t="s">
        <v>31</v>
      </c>
      <c r="F694" s="47" t="s">
        <v>32</v>
      </c>
      <c r="G694" s="21" t="s">
        <v>2954</v>
      </c>
      <c r="H694" s="7" t="s">
        <v>2955</v>
      </c>
      <c r="I694" s="8" t="s">
        <v>2963</v>
      </c>
      <c r="J694" s="9">
        <v>1653800</v>
      </c>
      <c r="K694" s="8"/>
      <c r="L694" s="8"/>
      <c r="M694" s="8"/>
      <c r="N694" s="42">
        <f t="shared" si="226"/>
        <v>1653800</v>
      </c>
      <c r="O694" s="42">
        <f t="shared" si="227"/>
        <v>2480700</v>
      </c>
      <c r="P694" s="42"/>
      <c r="Q694" s="42">
        <f t="shared" si="218"/>
        <v>2480700</v>
      </c>
    </row>
    <row r="695" spans="1:18" ht="13.5" x14ac:dyDescent="0.2">
      <c r="A695" s="47" t="s">
        <v>2096</v>
      </c>
      <c r="B695" s="47" t="s">
        <v>2097</v>
      </c>
      <c r="C695" s="21" t="s">
        <v>2718</v>
      </c>
      <c r="D695" s="47" t="s">
        <v>2953</v>
      </c>
      <c r="E695" s="21" t="s">
        <v>41</v>
      </c>
      <c r="F695" s="47" t="s">
        <v>32</v>
      </c>
      <c r="G695" s="21" t="s">
        <v>2954</v>
      </c>
      <c r="H695" s="7" t="s">
        <v>2955</v>
      </c>
      <c r="I695" s="8" t="s">
        <v>2967</v>
      </c>
      <c r="J695" s="9">
        <v>9793200</v>
      </c>
      <c r="K695" s="8"/>
      <c r="L695" s="42">
        <f t="shared" ref="L695" si="228">J695*1.5</f>
        <v>14689800</v>
      </c>
      <c r="M695" s="8"/>
      <c r="N695" s="42">
        <f t="shared" si="217"/>
        <v>14689800</v>
      </c>
      <c r="O695" s="42"/>
      <c r="P695" s="42">
        <f>N695</f>
        <v>14689800</v>
      </c>
      <c r="Q695" s="42">
        <f t="shared" si="218"/>
        <v>14689800</v>
      </c>
      <c r="R695" s="5"/>
    </row>
    <row r="696" spans="1:18" ht="13.5" hidden="1" x14ac:dyDescent="0.2">
      <c r="A696" s="12" t="s">
        <v>2096</v>
      </c>
      <c r="B696" s="12" t="s">
        <v>2097</v>
      </c>
      <c r="C696" s="13" t="s">
        <v>2971</v>
      </c>
      <c r="D696" s="12" t="s">
        <v>2972</v>
      </c>
      <c r="E696" s="13" t="s">
        <v>128</v>
      </c>
      <c r="F696" s="12" t="s">
        <v>181</v>
      </c>
      <c r="G696" s="13" t="s">
        <v>3045</v>
      </c>
      <c r="H696" s="12" t="s">
        <v>3046</v>
      </c>
      <c r="I696" s="13" t="s">
        <v>3062</v>
      </c>
      <c r="J696" s="14" t="s">
        <v>3946</v>
      </c>
      <c r="K696" s="18"/>
      <c r="L696" s="18"/>
      <c r="M696" s="18"/>
      <c r="N696" s="20" t="str">
        <f t="shared" ref="N696:N716" si="229">J696</f>
        <v>-</v>
      </c>
      <c r="O696"/>
      <c r="P696"/>
    </row>
    <row r="697" spans="1:18" ht="13.5" x14ac:dyDescent="0.2">
      <c r="A697" s="47" t="s">
        <v>2096</v>
      </c>
      <c r="B697" s="47" t="s">
        <v>2097</v>
      </c>
      <c r="C697" s="21" t="s">
        <v>2971</v>
      </c>
      <c r="D697" s="47" t="s">
        <v>2972</v>
      </c>
      <c r="E697" s="21" t="s">
        <v>31</v>
      </c>
      <c r="F697" s="47" t="s">
        <v>32</v>
      </c>
      <c r="G697" s="21" t="s">
        <v>2973</v>
      </c>
      <c r="H697" s="7" t="s">
        <v>2974</v>
      </c>
      <c r="I697" s="8" t="s">
        <v>3012</v>
      </c>
      <c r="J697" s="9">
        <v>776000</v>
      </c>
      <c r="K697" s="8"/>
      <c r="L697" s="8"/>
      <c r="M697" s="8"/>
      <c r="N697" s="42">
        <f t="shared" si="229"/>
        <v>776000</v>
      </c>
      <c r="O697" s="42"/>
      <c r="P697" s="42">
        <f t="shared" ref="P697:P698" si="230">N697</f>
        <v>776000</v>
      </c>
      <c r="Q697" s="42">
        <f t="shared" ref="Q697:Q731" si="231">SUM(O697:P697)</f>
        <v>776000</v>
      </c>
      <c r="R697" s="5"/>
    </row>
    <row r="698" spans="1:18" ht="13.5" x14ac:dyDescent="0.2">
      <c r="A698" s="47" t="s">
        <v>2096</v>
      </c>
      <c r="B698" s="47" t="s">
        <v>2097</v>
      </c>
      <c r="C698" s="21" t="s">
        <v>2971</v>
      </c>
      <c r="D698" s="47" t="s">
        <v>2972</v>
      </c>
      <c r="E698" s="21" t="s">
        <v>31</v>
      </c>
      <c r="F698" s="47" t="s">
        <v>32</v>
      </c>
      <c r="G698" s="21" t="s">
        <v>2973</v>
      </c>
      <c r="H698" s="7" t="s">
        <v>2974</v>
      </c>
      <c r="I698" s="8" t="s">
        <v>3006</v>
      </c>
      <c r="J698" s="9">
        <v>1003800</v>
      </c>
      <c r="K698" s="8"/>
      <c r="L698" s="8"/>
      <c r="M698" s="8"/>
      <c r="N698" s="42">
        <f t="shared" si="229"/>
        <v>1003800</v>
      </c>
      <c r="O698" s="42"/>
      <c r="P698" s="42">
        <f t="shared" si="230"/>
        <v>1003800</v>
      </c>
      <c r="Q698" s="42">
        <f t="shared" si="231"/>
        <v>1003800</v>
      </c>
      <c r="R698" s="5"/>
    </row>
    <row r="699" spans="1:18" ht="13.5" x14ac:dyDescent="0.2">
      <c r="A699" s="47" t="s">
        <v>2096</v>
      </c>
      <c r="B699" s="47" t="s">
        <v>2097</v>
      </c>
      <c r="C699" s="21" t="s">
        <v>2971</v>
      </c>
      <c r="D699" s="47" t="s">
        <v>2972</v>
      </c>
      <c r="E699" s="21" t="s">
        <v>31</v>
      </c>
      <c r="F699" s="47" t="s">
        <v>32</v>
      </c>
      <c r="G699" s="21" t="s">
        <v>2973</v>
      </c>
      <c r="H699" s="7" t="s">
        <v>2974</v>
      </c>
      <c r="I699" s="8" t="s">
        <v>3027</v>
      </c>
      <c r="J699" s="9">
        <v>5119600</v>
      </c>
      <c r="K699" s="8"/>
      <c r="L699" s="8"/>
      <c r="M699" s="8"/>
      <c r="N699" s="42">
        <f t="shared" si="229"/>
        <v>5119600</v>
      </c>
      <c r="O699" s="42">
        <f t="shared" ref="O699:O700" si="232">N699*1.5</f>
        <v>7679400</v>
      </c>
      <c r="P699" s="42"/>
      <c r="Q699" s="42">
        <f t="shared" si="231"/>
        <v>7679400</v>
      </c>
    </row>
    <row r="700" spans="1:18" ht="13.5" x14ac:dyDescent="0.2">
      <c r="A700" s="47" t="s">
        <v>2096</v>
      </c>
      <c r="B700" s="47" t="s">
        <v>2097</v>
      </c>
      <c r="C700" s="21" t="s">
        <v>2971</v>
      </c>
      <c r="D700" s="47" t="s">
        <v>2972</v>
      </c>
      <c r="E700" s="21" t="s">
        <v>31</v>
      </c>
      <c r="F700" s="47" t="s">
        <v>32</v>
      </c>
      <c r="G700" s="21" t="s">
        <v>2973</v>
      </c>
      <c r="H700" s="7" t="s">
        <v>2974</v>
      </c>
      <c r="I700" s="8" t="s">
        <v>3033</v>
      </c>
      <c r="J700" s="9">
        <v>7019400</v>
      </c>
      <c r="K700" s="8"/>
      <c r="L700" s="8"/>
      <c r="M700" s="8"/>
      <c r="N700" s="42">
        <f t="shared" si="229"/>
        <v>7019400</v>
      </c>
      <c r="O700" s="42">
        <f t="shared" si="232"/>
        <v>10529100</v>
      </c>
      <c r="P700" s="42"/>
      <c r="Q700" s="42">
        <f t="shared" si="231"/>
        <v>10529100</v>
      </c>
    </row>
    <row r="701" spans="1:18" ht="13.5" x14ac:dyDescent="0.2">
      <c r="A701" s="47" t="s">
        <v>2096</v>
      </c>
      <c r="B701" s="47" t="s">
        <v>2097</v>
      </c>
      <c r="C701" s="21" t="s">
        <v>2971</v>
      </c>
      <c r="D701" s="47" t="s">
        <v>2972</v>
      </c>
      <c r="E701" s="21" t="s">
        <v>31</v>
      </c>
      <c r="F701" s="47" t="s">
        <v>32</v>
      </c>
      <c r="G701" s="21" t="s">
        <v>2973</v>
      </c>
      <c r="H701" s="7" t="s">
        <v>2974</v>
      </c>
      <c r="I701" s="8" t="s">
        <v>2977</v>
      </c>
      <c r="J701" s="9">
        <v>719900</v>
      </c>
      <c r="K701" s="8"/>
      <c r="L701" s="8"/>
      <c r="M701" s="8"/>
      <c r="N701" s="42">
        <f t="shared" si="229"/>
        <v>719900</v>
      </c>
      <c r="O701" s="42"/>
      <c r="P701" s="42">
        <f t="shared" ref="P701:P702" si="233">N701</f>
        <v>719900</v>
      </c>
      <c r="Q701" s="42">
        <f t="shared" si="231"/>
        <v>719900</v>
      </c>
      <c r="R701" s="5"/>
    </row>
    <row r="702" spans="1:18" ht="13.5" x14ac:dyDescent="0.2">
      <c r="A702" s="47" t="s">
        <v>2096</v>
      </c>
      <c r="B702" s="47" t="s">
        <v>2097</v>
      </c>
      <c r="C702" s="21" t="s">
        <v>2971</v>
      </c>
      <c r="D702" s="47" t="s">
        <v>2972</v>
      </c>
      <c r="E702" s="21" t="s">
        <v>31</v>
      </c>
      <c r="F702" s="47" t="s">
        <v>32</v>
      </c>
      <c r="G702" s="21" t="s">
        <v>2973</v>
      </c>
      <c r="H702" s="7" t="s">
        <v>2974</v>
      </c>
      <c r="I702" s="8" t="s">
        <v>3010</v>
      </c>
      <c r="J702" s="9">
        <v>3993200</v>
      </c>
      <c r="K702" s="8"/>
      <c r="L702" s="8"/>
      <c r="M702" s="8"/>
      <c r="N702" s="42">
        <f t="shared" si="229"/>
        <v>3993200</v>
      </c>
      <c r="O702" s="42"/>
      <c r="P702" s="42">
        <f t="shared" si="233"/>
        <v>3993200</v>
      </c>
      <c r="Q702" s="42">
        <f t="shared" si="231"/>
        <v>3993200</v>
      </c>
      <c r="R702" s="5"/>
    </row>
    <row r="703" spans="1:18" ht="13.5" x14ac:dyDescent="0.2">
      <c r="A703" s="47" t="s">
        <v>2096</v>
      </c>
      <c r="B703" s="47" t="s">
        <v>2097</v>
      </c>
      <c r="C703" s="21" t="s">
        <v>2971</v>
      </c>
      <c r="D703" s="47" t="s">
        <v>2972</v>
      </c>
      <c r="E703" s="21" t="s">
        <v>31</v>
      </c>
      <c r="F703" s="47" t="s">
        <v>32</v>
      </c>
      <c r="G703" s="21" t="s">
        <v>2973</v>
      </c>
      <c r="H703" s="7" t="s">
        <v>2974</v>
      </c>
      <c r="I703" s="8" t="s">
        <v>2933</v>
      </c>
      <c r="J703" s="9">
        <v>3000000</v>
      </c>
      <c r="K703" s="8"/>
      <c r="L703" s="8"/>
      <c r="M703" s="8"/>
      <c r="N703" s="42">
        <f t="shared" si="229"/>
        <v>3000000</v>
      </c>
      <c r="O703" s="42">
        <f>N703*1.5</f>
        <v>4500000</v>
      </c>
      <c r="P703" s="42"/>
      <c r="Q703" s="42">
        <f t="shared" si="231"/>
        <v>4500000</v>
      </c>
    </row>
    <row r="704" spans="1:18" ht="13.5" x14ac:dyDescent="0.2">
      <c r="A704" s="47" t="s">
        <v>2096</v>
      </c>
      <c r="B704" s="47" t="s">
        <v>2097</v>
      </c>
      <c r="C704" s="21" t="s">
        <v>2971</v>
      </c>
      <c r="D704" s="47" t="s">
        <v>2972</v>
      </c>
      <c r="E704" s="21" t="s">
        <v>31</v>
      </c>
      <c r="F704" s="47" t="s">
        <v>32</v>
      </c>
      <c r="G704" s="21" t="s">
        <v>2973</v>
      </c>
      <c r="H704" s="7" t="s">
        <v>2974</v>
      </c>
      <c r="I704" s="8" t="s">
        <v>2979</v>
      </c>
      <c r="J704" s="9">
        <v>6215200</v>
      </c>
      <c r="K704" s="8"/>
      <c r="L704" s="8"/>
      <c r="M704" s="8"/>
      <c r="N704" s="42">
        <f t="shared" si="229"/>
        <v>6215200</v>
      </c>
      <c r="O704" s="42"/>
      <c r="P704" s="42">
        <f>N704</f>
        <v>6215200</v>
      </c>
      <c r="Q704" s="42">
        <f t="shared" si="231"/>
        <v>6215200</v>
      </c>
      <c r="R704" s="5"/>
    </row>
    <row r="705" spans="1:18" ht="13.5" x14ac:dyDescent="0.2">
      <c r="A705" s="47" t="s">
        <v>2096</v>
      </c>
      <c r="B705" s="47" t="s">
        <v>2097</v>
      </c>
      <c r="C705" s="21" t="s">
        <v>2971</v>
      </c>
      <c r="D705" s="47" t="s">
        <v>2972</v>
      </c>
      <c r="E705" s="21" t="s">
        <v>31</v>
      </c>
      <c r="F705" s="47" t="s">
        <v>32</v>
      </c>
      <c r="G705" s="21" t="s">
        <v>2973</v>
      </c>
      <c r="H705" s="7" t="s">
        <v>2974</v>
      </c>
      <c r="I705" s="8" t="s">
        <v>2963</v>
      </c>
      <c r="J705" s="9">
        <v>3307600</v>
      </c>
      <c r="K705" s="8"/>
      <c r="L705" s="8"/>
      <c r="M705" s="8"/>
      <c r="N705" s="42">
        <f t="shared" si="229"/>
        <v>3307600</v>
      </c>
      <c r="O705" s="42">
        <f t="shared" ref="O705:O706" si="234">N705*1.5</f>
        <v>4961400</v>
      </c>
      <c r="P705" s="42"/>
      <c r="Q705" s="42">
        <f t="shared" si="231"/>
        <v>4961400</v>
      </c>
    </row>
    <row r="706" spans="1:18" ht="13.5" x14ac:dyDescent="0.2">
      <c r="A706" s="47" t="s">
        <v>2096</v>
      </c>
      <c r="B706" s="47" t="s">
        <v>2097</v>
      </c>
      <c r="C706" s="21" t="s">
        <v>2971</v>
      </c>
      <c r="D706" s="47" t="s">
        <v>2972</v>
      </c>
      <c r="E706" s="21" t="s">
        <v>31</v>
      </c>
      <c r="F706" s="47" t="s">
        <v>32</v>
      </c>
      <c r="G706" s="21" t="s">
        <v>2973</v>
      </c>
      <c r="H706" s="7" t="s">
        <v>2974</v>
      </c>
      <c r="I706" s="8" t="s">
        <v>3029</v>
      </c>
      <c r="J706" s="9">
        <v>5479600</v>
      </c>
      <c r="K706" s="8"/>
      <c r="L706" s="8"/>
      <c r="M706" s="8"/>
      <c r="N706" s="42">
        <f t="shared" si="229"/>
        <v>5479600</v>
      </c>
      <c r="O706" s="42">
        <f t="shared" si="234"/>
        <v>8219400</v>
      </c>
      <c r="P706" s="42"/>
      <c r="Q706" s="42">
        <f t="shared" si="231"/>
        <v>8219400</v>
      </c>
    </row>
    <row r="707" spans="1:18" ht="13.5" x14ac:dyDescent="0.2">
      <c r="A707" s="47" t="s">
        <v>2096</v>
      </c>
      <c r="B707" s="47" t="s">
        <v>2097</v>
      </c>
      <c r="C707" s="21" t="s">
        <v>2971</v>
      </c>
      <c r="D707" s="47" t="s">
        <v>2972</v>
      </c>
      <c r="E707" s="21" t="s">
        <v>31</v>
      </c>
      <c r="F707" s="47" t="s">
        <v>32</v>
      </c>
      <c r="G707" s="21" t="s">
        <v>3038</v>
      </c>
      <c r="H707" s="7" t="s">
        <v>3039</v>
      </c>
      <c r="I707" s="8" t="s">
        <v>3043</v>
      </c>
      <c r="J707" s="9">
        <v>1081800</v>
      </c>
      <c r="K707" s="8"/>
      <c r="L707" s="8"/>
      <c r="M707" s="8"/>
      <c r="N707" s="42">
        <f t="shared" si="229"/>
        <v>1081800</v>
      </c>
      <c r="O707" s="42"/>
      <c r="P707" s="42">
        <f t="shared" ref="P707:P710" si="235">N707</f>
        <v>1081800</v>
      </c>
      <c r="Q707" s="42">
        <f t="shared" si="231"/>
        <v>1081800</v>
      </c>
      <c r="R707" s="5"/>
    </row>
    <row r="708" spans="1:18" ht="13.5" x14ac:dyDescent="0.2">
      <c r="A708" s="47" t="s">
        <v>2096</v>
      </c>
      <c r="B708" s="47" t="s">
        <v>2097</v>
      </c>
      <c r="C708" s="21" t="s">
        <v>2971</v>
      </c>
      <c r="D708" s="47" t="s">
        <v>2972</v>
      </c>
      <c r="E708" s="21" t="s">
        <v>31</v>
      </c>
      <c r="F708" s="47" t="s">
        <v>32</v>
      </c>
      <c r="G708" s="21" t="s">
        <v>3038</v>
      </c>
      <c r="H708" s="7" t="s">
        <v>3039</v>
      </c>
      <c r="I708" s="8" t="s">
        <v>2770</v>
      </c>
      <c r="J708" s="9">
        <v>3011600</v>
      </c>
      <c r="K708" s="8"/>
      <c r="L708" s="8"/>
      <c r="M708" s="8"/>
      <c r="N708" s="42">
        <f t="shared" si="229"/>
        <v>3011600</v>
      </c>
      <c r="O708" s="42"/>
      <c r="P708" s="42">
        <f t="shared" si="235"/>
        <v>3011600</v>
      </c>
      <c r="Q708" s="42">
        <f t="shared" si="231"/>
        <v>3011600</v>
      </c>
      <c r="R708" s="5"/>
    </row>
    <row r="709" spans="1:18" ht="13.5" x14ac:dyDescent="0.2">
      <c r="A709" s="47" t="s">
        <v>2096</v>
      </c>
      <c r="B709" s="47" t="s">
        <v>2097</v>
      </c>
      <c r="C709" s="21" t="s">
        <v>2971</v>
      </c>
      <c r="D709" s="47" t="s">
        <v>2972</v>
      </c>
      <c r="E709" s="21" t="s">
        <v>31</v>
      </c>
      <c r="F709" s="47" t="s">
        <v>32</v>
      </c>
      <c r="G709" s="21" t="s">
        <v>3038</v>
      </c>
      <c r="H709" s="7" t="s">
        <v>3039</v>
      </c>
      <c r="I709" s="8" t="s">
        <v>3041</v>
      </c>
      <c r="J709" s="9">
        <v>2620700</v>
      </c>
      <c r="K709" s="8"/>
      <c r="L709" s="8"/>
      <c r="M709" s="8"/>
      <c r="N709" s="42">
        <f t="shared" si="229"/>
        <v>2620700</v>
      </c>
      <c r="O709" s="42"/>
      <c r="P709" s="42">
        <f t="shared" si="235"/>
        <v>2620700</v>
      </c>
      <c r="Q709" s="42">
        <f t="shared" si="231"/>
        <v>2620700</v>
      </c>
      <c r="R709" s="5"/>
    </row>
    <row r="710" spans="1:18" ht="13.5" x14ac:dyDescent="0.2">
      <c r="A710" s="47" t="s">
        <v>2096</v>
      </c>
      <c r="B710" s="47" t="s">
        <v>2097</v>
      </c>
      <c r="C710" s="21" t="s">
        <v>2971</v>
      </c>
      <c r="D710" s="47" t="s">
        <v>2972</v>
      </c>
      <c r="E710" s="21" t="s">
        <v>31</v>
      </c>
      <c r="F710" s="47" t="s">
        <v>32</v>
      </c>
      <c r="G710" s="21" t="s">
        <v>3045</v>
      </c>
      <c r="H710" s="7" t="s">
        <v>3046</v>
      </c>
      <c r="I710" s="8" t="s">
        <v>3048</v>
      </c>
      <c r="J710" s="9">
        <v>1399800</v>
      </c>
      <c r="K710" s="8"/>
      <c r="L710" s="8"/>
      <c r="M710" s="8"/>
      <c r="N710" s="42">
        <f t="shared" si="229"/>
        <v>1399800</v>
      </c>
      <c r="O710" s="42"/>
      <c r="P710" s="42">
        <f t="shared" si="235"/>
        <v>1399800</v>
      </c>
      <c r="Q710" s="42">
        <f t="shared" si="231"/>
        <v>1399800</v>
      </c>
      <c r="R710" s="5"/>
    </row>
    <row r="711" spans="1:18" ht="13.5" x14ac:dyDescent="0.2">
      <c r="A711" s="47" t="s">
        <v>2096</v>
      </c>
      <c r="B711" s="47" t="s">
        <v>2097</v>
      </c>
      <c r="C711" s="21" t="s">
        <v>2971</v>
      </c>
      <c r="D711" s="47" t="s">
        <v>2972</v>
      </c>
      <c r="E711" s="21" t="s">
        <v>31</v>
      </c>
      <c r="F711" s="47" t="s">
        <v>32</v>
      </c>
      <c r="G711" s="21" t="s">
        <v>3045</v>
      </c>
      <c r="H711" s="7" t="s">
        <v>3046</v>
      </c>
      <c r="I711" s="8" t="s">
        <v>3069</v>
      </c>
      <c r="J711" s="9">
        <v>1299800</v>
      </c>
      <c r="K711" s="8"/>
      <c r="L711" s="8"/>
      <c r="M711" s="8"/>
      <c r="N711" s="42">
        <f t="shared" si="229"/>
        <v>1299800</v>
      </c>
      <c r="O711" s="42">
        <f>N711*1.5</f>
        <v>1949700</v>
      </c>
      <c r="P711" s="42"/>
      <c r="Q711" s="42">
        <f t="shared" si="231"/>
        <v>1949700</v>
      </c>
    </row>
    <row r="712" spans="1:18" ht="13.5" x14ac:dyDescent="0.2">
      <c r="A712" s="47" t="s">
        <v>2096</v>
      </c>
      <c r="B712" s="47" t="s">
        <v>2097</v>
      </c>
      <c r="C712" s="21" t="s">
        <v>2971</v>
      </c>
      <c r="D712" s="47" t="s">
        <v>2972</v>
      </c>
      <c r="E712" s="21" t="s">
        <v>31</v>
      </c>
      <c r="F712" s="47" t="s">
        <v>32</v>
      </c>
      <c r="G712" s="21" t="s">
        <v>3045</v>
      </c>
      <c r="H712" s="7" t="s">
        <v>3046</v>
      </c>
      <c r="I712" s="8" t="s">
        <v>3054</v>
      </c>
      <c r="J712" s="9">
        <v>2579400</v>
      </c>
      <c r="K712" s="8"/>
      <c r="L712" s="8"/>
      <c r="M712" s="8"/>
      <c r="N712" s="42">
        <f t="shared" si="229"/>
        <v>2579400</v>
      </c>
      <c r="O712" s="42"/>
      <c r="P712" s="42">
        <f t="shared" ref="P712:P713" si="236">N712</f>
        <v>2579400</v>
      </c>
      <c r="Q712" s="42">
        <f t="shared" si="231"/>
        <v>2579400</v>
      </c>
      <c r="R712" s="5"/>
    </row>
    <row r="713" spans="1:18" ht="13.5" x14ac:dyDescent="0.2">
      <c r="A713" s="47" t="s">
        <v>2096</v>
      </c>
      <c r="B713" s="47" t="s">
        <v>2097</v>
      </c>
      <c r="C713" s="21" t="s">
        <v>2971</v>
      </c>
      <c r="D713" s="47" t="s">
        <v>2972</v>
      </c>
      <c r="E713" s="21" t="s">
        <v>31</v>
      </c>
      <c r="F713" s="47" t="s">
        <v>32</v>
      </c>
      <c r="G713" s="21" t="s">
        <v>3045</v>
      </c>
      <c r="H713" s="7" t="s">
        <v>3046</v>
      </c>
      <c r="I713" s="8" t="s">
        <v>3065</v>
      </c>
      <c r="J713" s="9">
        <v>2831400</v>
      </c>
      <c r="K713" s="8"/>
      <c r="L713" s="8"/>
      <c r="M713" s="8"/>
      <c r="N713" s="42">
        <f t="shared" si="229"/>
        <v>2831400</v>
      </c>
      <c r="O713" s="42"/>
      <c r="P713" s="42">
        <f t="shared" si="236"/>
        <v>2831400</v>
      </c>
      <c r="Q713" s="42">
        <f t="shared" si="231"/>
        <v>2831400</v>
      </c>
      <c r="R713" s="5"/>
    </row>
    <row r="714" spans="1:18" ht="13.5" x14ac:dyDescent="0.2">
      <c r="A714" s="47" t="s">
        <v>2096</v>
      </c>
      <c r="B714" s="47" t="s">
        <v>2097</v>
      </c>
      <c r="C714" s="21" t="s">
        <v>2971</v>
      </c>
      <c r="D714" s="47" t="s">
        <v>2972</v>
      </c>
      <c r="E714" s="21" t="s">
        <v>31</v>
      </c>
      <c r="F714" s="47" t="s">
        <v>32</v>
      </c>
      <c r="G714" s="21" t="s">
        <v>3045</v>
      </c>
      <c r="H714" s="7" t="s">
        <v>3046</v>
      </c>
      <c r="I714" s="8" t="s">
        <v>3052</v>
      </c>
      <c r="J714" s="9">
        <v>3199600</v>
      </c>
      <c r="K714" s="8"/>
      <c r="L714" s="8"/>
      <c r="M714" s="8"/>
      <c r="N714" s="42">
        <f t="shared" si="229"/>
        <v>3199600</v>
      </c>
      <c r="O714" s="42">
        <f t="shared" ref="O714:O715" si="237">N714*1.5</f>
        <v>4799400</v>
      </c>
      <c r="P714" s="42"/>
      <c r="Q714" s="42">
        <f t="shared" si="231"/>
        <v>4799400</v>
      </c>
    </row>
    <row r="715" spans="1:18" ht="13.5" x14ac:dyDescent="0.2">
      <c r="A715" s="47" t="s">
        <v>2096</v>
      </c>
      <c r="B715" s="47" t="s">
        <v>2097</v>
      </c>
      <c r="C715" s="21" t="s">
        <v>2971</v>
      </c>
      <c r="D715" s="47" t="s">
        <v>2972</v>
      </c>
      <c r="E715" s="21" t="s">
        <v>31</v>
      </c>
      <c r="F715" s="47" t="s">
        <v>32</v>
      </c>
      <c r="G715" s="21" t="s">
        <v>3045</v>
      </c>
      <c r="H715" s="7" t="s">
        <v>3046</v>
      </c>
      <c r="I715" s="8" t="s">
        <v>3067</v>
      </c>
      <c r="J715" s="9">
        <v>2039600</v>
      </c>
      <c r="K715" s="8"/>
      <c r="L715" s="8"/>
      <c r="M715" s="8"/>
      <c r="N715" s="42">
        <f t="shared" si="229"/>
        <v>2039600</v>
      </c>
      <c r="O715" s="42">
        <f t="shared" si="237"/>
        <v>3059400</v>
      </c>
      <c r="P715" s="42"/>
      <c r="Q715" s="42">
        <f t="shared" si="231"/>
        <v>3059400</v>
      </c>
    </row>
    <row r="716" spans="1:18" ht="13.5" x14ac:dyDescent="0.2">
      <c r="A716" s="47" t="s">
        <v>2096</v>
      </c>
      <c r="B716" s="47" t="s">
        <v>2097</v>
      </c>
      <c r="C716" s="21" t="s">
        <v>2971</v>
      </c>
      <c r="D716" s="47" t="s">
        <v>2972</v>
      </c>
      <c r="E716" s="21" t="s">
        <v>31</v>
      </c>
      <c r="F716" s="47" t="s">
        <v>32</v>
      </c>
      <c r="G716" s="21" t="s">
        <v>3045</v>
      </c>
      <c r="H716" s="7" t="s">
        <v>3046</v>
      </c>
      <c r="I716" s="8" t="s">
        <v>3050</v>
      </c>
      <c r="J716" s="9">
        <v>2429700</v>
      </c>
      <c r="K716" s="8"/>
      <c r="L716" s="8"/>
      <c r="M716" s="8"/>
      <c r="N716" s="42">
        <f t="shared" si="229"/>
        <v>2429700</v>
      </c>
      <c r="O716" s="42"/>
      <c r="P716" s="42">
        <f>N716</f>
        <v>2429700</v>
      </c>
      <c r="Q716" s="42">
        <f t="shared" si="231"/>
        <v>2429700</v>
      </c>
      <c r="R716" s="5"/>
    </row>
    <row r="717" spans="1:18" ht="13.5" x14ac:dyDescent="0.2">
      <c r="A717" s="47" t="s">
        <v>2096</v>
      </c>
      <c r="B717" s="47" t="s">
        <v>2097</v>
      </c>
      <c r="C717" s="21" t="s">
        <v>2971</v>
      </c>
      <c r="D717" s="47" t="s">
        <v>2972</v>
      </c>
      <c r="E717" s="21" t="s">
        <v>41</v>
      </c>
      <c r="F717" s="47" t="s">
        <v>32</v>
      </c>
      <c r="G717" s="21" t="s">
        <v>2973</v>
      </c>
      <c r="H717" s="7" t="s">
        <v>2974</v>
      </c>
      <c r="I717" s="8" t="s">
        <v>3021</v>
      </c>
      <c r="J717" s="9">
        <v>9458120</v>
      </c>
      <c r="K717" s="8"/>
      <c r="L717" s="42">
        <f t="shared" ref="L717:L723" si="238">J717*1.5</f>
        <v>14187180</v>
      </c>
      <c r="M717" s="8"/>
      <c r="N717" s="42">
        <f t="shared" ref="N717:N765" si="239">SUM(K717:M717)</f>
        <v>14187180</v>
      </c>
      <c r="O717" s="42">
        <f>N717*1.5</f>
        <v>21280770</v>
      </c>
      <c r="P717" s="42"/>
      <c r="Q717" s="42">
        <f t="shared" si="231"/>
        <v>21280770</v>
      </c>
    </row>
    <row r="718" spans="1:18" ht="13.5" x14ac:dyDescent="0.2">
      <c r="A718" s="47" t="s">
        <v>2096</v>
      </c>
      <c r="B718" s="47" t="s">
        <v>2097</v>
      </c>
      <c r="C718" s="21" t="s">
        <v>2971</v>
      </c>
      <c r="D718" s="47" t="s">
        <v>2972</v>
      </c>
      <c r="E718" s="21" t="s">
        <v>41</v>
      </c>
      <c r="F718" s="47" t="s">
        <v>32</v>
      </c>
      <c r="G718" s="21" t="s">
        <v>2973</v>
      </c>
      <c r="H718" s="7" t="s">
        <v>2974</v>
      </c>
      <c r="I718" s="8" t="s">
        <v>2994</v>
      </c>
      <c r="J718" s="9">
        <v>1999800</v>
      </c>
      <c r="K718" s="8"/>
      <c r="L718" s="42">
        <f t="shared" si="238"/>
        <v>2999700</v>
      </c>
      <c r="M718" s="8"/>
      <c r="N718" s="42">
        <f t="shared" si="239"/>
        <v>2999700</v>
      </c>
      <c r="O718" s="42"/>
      <c r="P718" s="42">
        <f t="shared" ref="P718:P719" si="240">N718</f>
        <v>2999700</v>
      </c>
      <c r="Q718" s="42">
        <f t="shared" si="231"/>
        <v>2999700</v>
      </c>
      <c r="R718" s="5"/>
    </row>
    <row r="719" spans="1:18" ht="13.5" x14ac:dyDescent="0.2">
      <c r="A719" s="47" t="s">
        <v>2096</v>
      </c>
      <c r="B719" s="47" t="s">
        <v>2097</v>
      </c>
      <c r="C719" s="21" t="s">
        <v>2971</v>
      </c>
      <c r="D719" s="47" t="s">
        <v>2972</v>
      </c>
      <c r="E719" s="21" t="s">
        <v>41</v>
      </c>
      <c r="F719" s="47" t="s">
        <v>32</v>
      </c>
      <c r="G719" s="21" t="s">
        <v>2973</v>
      </c>
      <c r="H719" s="7" t="s">
        <v>2974</v>
      </c>
      <c r="I719" s="8" t="s">
        <v>2996</v>
      </c>
      <c r="J719" s="9">
        <v>2419800</v>
      </c>
      <c r="K719" s="8"/>
      <c r="L719" s="42">
        <f t="shared" si="238"/>
        <v>3629700</v>
      </c>
      <c r="M719" s="8"/>
      <c r="N719" s="42">
        <f t="shared" si="239"/>
        <v>3629700</v>
      </c>
      <c r="O719" s="42"/>
      <c r="P719" s="42">
        <f t="shared" si="240"/>
        <v>3629700</v>
      </c>
      <c r="Q719" s="42">
        <f t="shared" si="231"/>
        <v>3629700</v>
      </c>
      <c r="R719" s="5"/>
    </row>
    <row r="720" spans="1:18" ht="13.5" x14ac:dyDescent="0.2">
      <c r="A720" s="47" t="s">
        <v>2096</v>
      </c>
      <c r="B720" s="47" t="s">
        <v>2097</v>
      </c>
      <c r="C720" s="21" t="s">
        <v>2971</v>
      </c>
      <c r="D720" s="47" t="s">
        <v>2972</v>
      </c>
      <c r="E720" s="21" t="s">
        <v>41</v>
      </c>
      <c r="F720" s="47" t="s">
        <v>32</v>
      </c>
      <c r="G720" s="21" t="s">
        <v>3045</v>
      </c>
      <c r="H720" s="7" t="s">
        <v>3046</v>
      </c>
      <c r="I720" s="8" t="s">
        <v>3071</v>
      </c>
      <c r="J720" s="9">
        <v>6110000</v>
      </c>
      <c r="K720" s="8"/>
      <c r="L720" s="42">
        <f t="shared" si="238"/>
        <v>9165000</v>
      </c>
      <c r="M720" s="8"/>
      <c r="N720" s="42">
        <f t="shared" si="239"/>
        <v>9165000</v>
      </c>
      <c r="O720" s="42">
        <f t="shared" ref="O720:O721" si="241">N720*1.5</f>
        <v>13747500</v>
      </c>
      <c r="P720" s="42"/>
      <c r="Q720" s="42">
        <f t="shared" si="231"/>
        <v>13747500</v>
      </c>
    </row>
    <row r="721" spans="1:18" ht="13.5" x14ac:dyDescent="0.2">
      <c r="A721" s="47" t="s">
        <v>2096</v>
      </c>
      <c r="B721" s="47" t="s">
        <v>2097</v>
      </c>
      <c r="C721" s="21" t="s">
        <v>2971</v>
      </c>
      <c r="D721" s="47" t="s">
        <v>2972</v>
      </c>
      <c r="E721" s="21" t="s">
        <v>41</v>
      </c>
      <c r="F721" s="47" t="s">
        <v>32</v>
      </c>
      <c r="G721" s="21" t="s">
        <v>3045</v>
      </c>
      <c r="H721" s="7" t="s">
        <v>3046</v>
      </c>
      <c r="I721" s="8" t="s">
        <v>333</v>
      </c>
      <c r="J721" s="9">
        <v>13381600</v>
      </c>
      <c r="K721" s="8"/>
      <c r="L721" s="42">
        <f t="shared" si="238"/>
        <v>20072400</v>
      </c>
      <c r="M721" s="8"/>
      <c r="N721" s="42">
        <f t="shared" si="239"/>
        <v>20072400</v>
      </c>
      <c r="O721" s="42">
        <f t="shared" si="241"/>
        <v>30108600</v>
      </c>
      <c r="P721" s="42"/>
      <c r="Q721" s="42">
        <f t="shared" si="231"/>
        <v>30108600</v>
      </c>
    </row>
    <row r="722" spans="1:18" ht="13.5" x14ac:dyDescent="0.2">
      <c r="A722" s="47" t="s">
        <v>2096</v>
      </c>
      <c r="B722" s="47" t="s">
        <v>2097</v>
      </c>
      <c r="C722" s="21" t="s">
        <v>2971</v>
      </c>
      <c r="D722" s="47" t="s">
        <v>2972</v>
      </c>
      <c r="E722" s="21" t="s">
        <v>41</v>
      </c>
      <c r="F722" s="47" t="s">
        <v>32</v>
      </c>
      <c r="G722" s="21" t="s">
        <v>3045</v>
      </c>
      <c r="H722" s="7" t="s">
        <v>3046</v>
      </c>
      <c r="I722" s="8" t="s">
        <v>3058</v>
      </c>
      <c r="J722" s="9">
        <v>6590800</v>
      </c>
      <c r="K722" s="8"/>
      <c r="L722" s="42">
        <f t="shared" si="238"/>
        <v>9886200</v>
      </c>
      <c r="M722" s="8"/>
      <c r="N722" s="42">
        <f t="shared" si="239"/>
        <v>9886200</v>
      </c>
      <c r="O722" s="42"/>
      <c r="P722" s="42">
        <f t="shared" ref="P722:P727" si="242">N722</f>
        <v>9886200</v>
      </c>
      <c r="Q722" s="42">
        <f t="shared" si="231"/>
        <v>9886200</v>
      </c>
      <c r="R722" s="5"/>
    </row>
    <row r="723" spans="1:18" ht="13.5" x14ac:dyDescent="0.2">
      <c r="A723" s="47" t="s">
        <v>2096</v>
      </c>
      <c r="B723" s="47" t="s">
        <v>2097</v>
      </c>
      <c r="C723" s="21" t="s">
        <v>2971</v>
      </c>
      <c r="D723" s="47" t="s">
        <v>2972</v>
      </c>
      <c r="E723" s="21" t="s">
        <v>57</v>
      </c>
      <c r="F723" s="47" t="s">
        <v>32</v>
      </c>
      <c r="G723" s="21" t="s">
        <v>2973</v>
      </c>
      <c r="H723" s="7" t="s">
        <v>2974</v>
      </c>
      <c r="I723" s="8" t="s">
        <v>3002</v>
      </c>
      <c r="J723" s="9">
        <v>5249700</v>
      </c>
      <c r="K723" s="8"/>
      <c r="L723" s="42">
        <f t="shared" si="238"/>
        <v>7874550</v>
      </c>
      <c r="M723" s="8"/>
      <c r="N723" s="42">
        <f t="shared" si="239"/>
        <v>7874550</v>
      </c>
      <c r="O723" s="42"/>
      <c r="P723" s="42">
        <f t="shared" si="242"/>
        <v>7874550</v>
      </c>
      <c r="Q723" s="42">
        <f t="shared" si="231"/>
        <v>7874550</v>
      </c>
      <c r="R723" s="5"/>
    </row>
    <row r="724" spans="1:18" ht="13.5" x14ac:dyDescent="0.2">
      <c r="A724" s="47" t="s">
        <v>2096</v>
      </c>
      <c r="B724" s="47" t="s">
        <v>2097</v>
      </c>
      <c r="C724" s="21" t="s">
        <v>2971</v>
      </c>
      <c r="D724" s="47" t="s">
        <v>3073</v>
      </c>
      <c r="E724" s="21" t="s">
        <v>31</v>
      </c>
      <c r="F724" s="47" t="s">
        <v>32</v>
      </c>
      <c r="G724" s="21" t="s">
        <v>3074</v>
      </c>
      <c r="H724" s="7" t="s">
        <v>3075</v>
      </c>
      <c r="I724" s="8" t="s">
        <v>3078</v>
      </c>
      <c r="J724" s="9">
        <v>1399800</v>
      </c>
      <c r="K724" s="8"/>
      <c r="L724" s="8"/>
      <c r="M724" s="8"/>
      <c r="N724" s="42">
        <f t="shared" ref="N724:N726" si="243">J724</f>
        <v>1399800</v>
      </c>
      <c r="O724" s="42"/>
      <c r="P724" s="42">
        <f t="shared" si="242"/>
        <v>1399800</v>
      </c>
      <c r="Q724" s="42">
        <f t="shared" si="231"/>
        <v>1399800</v>
      </c>
      <c r="R724" s="5"/>
    </row>
    <row r="725" spans="1:18" ht="13.5" x14ac:dyDescent="0.2">
      <c r="A725" s="47" t="s">
        <v>2096</v>
      </c>
      <c r="B725" s="47" t="s">
        <v>2097</v>
      </c>
      <c r="C725" s="21" t="s">
        <v>2971</v>
      </c>
      <c r="D725" s="47" t="s">
        <v>3073</v>
      </c>
      <c r="E725" s="21" t="s">
        <v>31</v>
      </c>
      <c r="F725" s="47" t="s">
        <v>32</v>
      </c>
      <c r="G725" s="21" t="s">
        <v>3074</v>
      </c>
      <c r="H725" s="7" t="s">
        <v>3075</v>
      </c>
      <c r="I725" s="8" t="s">
        <v>3090</v>
      </c>
      <c r="J725" s="9">
        <v>2659800</v>
      </c>
      <c r="K725" s="8"/>
      <c r="L725" s="8"/>
      <c r="M725" s="8"/>
      <c r="N725" s="42">
        <f t="shared" si="243"/>
        <v>2659800</v>
      </c>
      <c r="O725" s="42"/>
      <c r="P725" s="42">
        <f t="shared" si="242"/>
        <v>2659800</v>
      </c>
      <c r="Q725" s="42">
        <f t="shared" si="231"/>
        <v>2659800</v>
      </c>
      <c r="R725" s="5"/>
    </row>
    <row r="726" spans="1:18" ht="13.5" x14ac:dyDescent="0.2">
      <c r="A726" s="47" t="s">
        <v>2096</v>
      </c>
      <c r="B726" s="47" t="s">
        <v>2097</v>
      </c>
      <c r="C726" s="21" t="s">
        <v>2971</v>
      </c>
      <c r="D726" s="47" t="s">
        <v>3073</v>
      </c>
      <c r="E726" s="21" t="s">
        <v>31</v>
      </c>
      <c r="F726" s="47" t="s">
        <v>32</v>
      </c>
      <c r="G726" s="21" t="s">
        <v>3074</v>
      </c>
      <c r="H726" s="7" t="s">
        <v>3075</v>
      </c>
      <c r="I726" s="8" t="s">
        <v>3076</v>
      </c>
      <c r="J726" s="9">
        <v>2799800</v>
      </c>
      <c r="K726" s="8"/>
      <c r="L726" s="8"/>
      <c r="M726" s="8"/>
      <c r="N726" s="42">
        <f t="shared" si="243"/>
        <v>2799800</v>
      </c>
      <c r="O726" s="42"/>
      <c r="P726" s="42">
        <f t="shared" si="242"/>
        <v>2799800</v>
      </c>
      <c r="Q726" s="42">
        <f t="shared" si="231"/>
        <v>2799800</v>
      </c>
      <c r="R726" s="5"/>
    </row>
    <row r="727" spans="1:18" ht="13.5" x14ac:dyDescent="0.2">
      <c r="A727" s="47" t="s">
        <v>2096</v>
      </c>
      <c r="B727" s="47" t="s">
        <v>2097</v>
      </c>
      <c r="C727" s="21" t="s">
        <v>2971</v>
      </c>
      <c r="D727" s="47" t="s">
        <v>3073</v>
      </c>
      <c r="E727" s="21" t="s">
        <v>41</v>
      </c>
      <c r="F727" s="47" t="s">
        <v>32</v>
      </c>
      <c r="G727" s="21" t="s">
        <v>3074</v>
      </c>
      <c r="H727" s="7" t="s">
        <v>3075</v>
      </c>
      <c r="I727" s="8" t="s">
        <v>3080</v>
      </c>
      <c r="J727" s="9">
        <v>2882700</v>
      </c>
      <c r="K727" s="8"/>
      <c r="L727" s="42">
        <f t="shared" ref="L727:L731" si="244">J727*1.5</f>
        <v>4324050</v>
      </c>
      <c r="M727" s="8"/>
      <c r="N727" s="42">
        <f t="shared" si="239"/>
        <v>4324050</v>
      </c>
      <c r="O727" s="42"/>
      <c r="P727" s="42">
        <f t="shared" si="242"/>
        <v>4324050</v>
      </c>
      <c r="Q727" s="42">
        <f t="shared" si="231"/>
        <v>4324050</v>
      </c>
      <c r="R727" s="5"/>
    </row>
    <row r="728" spans="1:18" ht="13.5" x14ac:dyDescent="0.2">
      <c r="A728" s="47" t="s">
        <v>2096</v>
      </c>
      <c r="B728" s="47" t="s">
        <v>2097</v>
      </c>
      <c r="C728" s="21" t="s">
        <v>2971</v>
      </c>
      <c r="D728" s="47" t="s">
        <v>3073</v>
      </c>
      <c r="E728" s="21" t="s">
        <v>41</v>
      </c>
      <c r="F728" s="47" t="s">
        <v>32</v>
      </c>
      <c r="G728" s="21" t="s">
        <v>3074</v>
      </c>
      <c r="H728" s="7" t="s">
        <v>3075</v>
      </c>
      <c r="I728" s="8" t="s">
        <v>3086</v>
      </c>
      <c r="J728" s="9">
        <v>2299800</v>
      </c>
      <c r="K728" s="8"/>
      <c r="L728" s="42">
        <f t="shared" si="244"/>
        <v>3449700</v>
      </c>
      <c r="M728" s="8"/>
      <c r="N728" s="42">
        <f t="shared" si="239"/>
        <v>3449700</v>
      </c>
      <c r="O728" s="42">
        <f>N728*1.5</f>
        <v>5174550</v>
      </c>
      <c r="P728" s="42"/>
      <c r="Q728" s="42">
        <f t="shared" si="231"/>
        <v>5174550</v>
      </c>
    </row>
    <row r="729" spans="1:18" ht="13.5" x14ac:dyDescent="0.2">
      <c r="A729" s="47" t="s">
        <v>2096</v>
      </c>
      <c r="B729" s="47" t="s">
        <v>2097</v>
      </c>
      <c r="C729" s="21" t="s">
        <v>2971</v>
      </c>
      <c r="D729" s="47" t="s">
        <v>3073</v>
      </c>
      <c r="E729" s="21" t="s">
        <v>41</v>
      </c>
      <c r="F729" s="47" t="s">
        <v>32</v>
      </c>
      <c r="G729" s="21" t="s">
        <v>3074</v>
      </c>
      <c r="H729" s="7" t="s">
        <v>3075</v>
      </c>
      <c r="I729" s="8" t="s">
        <v>400</v>
      </c>
      <c r="J729" s="9">
        <v>2659800</v>
      </c>
      <c r="K729" s="8"/>
      <c r="L729" s="42">
        <f t="shared" si="244"/>
        <v>3989700</v>
      </c>
      <c r="M729" s="8"/>
      <c r="N729" s="42">
        <f t="shared" si="239"/>
        <v>3989700</v>
      </c>
      <c r="O729" s="42"/>
      <c r="P729" s="42">
        <f>N729</f>
        <v>3989700</v>
      </c>
      <c r="Q729" s="42">
        <f t="shared" si="231"/>
        <v>3989700</v>
      </c>
      <c r="R729" s="5"/>
    </row>
    <row r="730" spans="1:18" ht="13.5" x14ac:dyDescent="0.2">
      <c r="A730" s="47" t="s">
        <v>2096</v>
      </c>
      <c r="B730" s="47" t="s">
        <v>2097</v>
      </c>
      <c r="C730" s="21" t="s">
        <v>2971</v>
      </c>
      <c r="D730" s="47" t="s">
        <v>3073</v>
      </c>
      <c r="E730" s="21" t="s">
        <v>41</v>
      </c>
      <c r="F730" s="47" t="s">
        <v>32</v>
      </c>
      <c r="G730" s="21" t="s">
        <v>3074</v>
      </c>
      <c r="H730" s="7" t="s">
        <v>3075</v>
      </c>
      <c r="I730" s="8" t="s">
        <v>3088</v>
      </c>
      <c r="J730" s="9">
        <v>2619800</v>
      </c>
      <c r="K730" s="8"/>
      <c r="L730" s="42">
        <f t="shared" si="244"/>
        <v>3929700</v>
      </c>
      <c r="M730" s="8"/>
      <c r="N730" s="42">
        <f t="shared" si="239"/>
        <v>3929700</v>
      </c>
      <c r="O730" s="42">
        <f>N730*1.5</f>
        <v>5894550</v>
      </c>
      <c r="P730" s="42"/>
      <c r="Q730" s="42">
        <f t="shared" si="231"/>
        <v>5894550</v>
      </c>
    </row>
    <row r="731" spans="1:18" ht="13.5" x14ac:dyDescent="0.2">
      <c r="A731" s="47" t="s">
        <v>2096</v>
      </c>
      <c r="B731" s="47" t="s">
        <v>2097</v>
      </c>
      <c r="C731" s="21" t="s">
        <v>2971</v>
      </c>
      <c r="D731" s="47" t="s">
        <v>3073</v>
      </c>
      <c r="E731" s="21" t="s">
        <v>57</v>
      </c>
      <c r="F731" s="47" t="s">
        <v>32</v>
      </c>
      <c r="G731" s="21" t="s">
        <v>3074</v>
      </c>
      <c r="H731" s="7" t="s">
        <v>3075</v>
      </c>
      <c r="I731" s="8" t="s">
        <v>3082</v>
      </c>
      <c r="J731" s="9">
        <v>3499800</v>
      </c>
      <c r="K731" s="8"/>
      <c r="L731" s="42">
        <f t="shared" si="244"/>
        <v>5249700</v>
      </c>
      <c r="M731" s="8"/>
      <c r="N731" s="42">
        <f t="shared" si="239"/>
        <v>5249700</v>
      </c>
      <c r="O731" s="42"/>
      <c r="P731" s="42">
        <f>N731</f>
        <v>5249700</v>
      </c>
      <c r="Q731" s="42">
        <f t="shared" si="231"/>
        <v>5249700</v>
      </c>
      <c r="R731" s="5"/>
    </row>
    <row r="732" spans="1:18" ht="13.5" hidden="1" x14ac:dyDescent="0.2">
      <c r="A732" s="12" t="s">
        <v>2096</v>
      </c>
      <c r="B732" s="12" t="s">
        <v>2097</v>
      </c>
      <c r="C732" s="13" t="s">
        <v>2971</v>
      </c>
      <c r="D732" s="12" t="s">
        <v>3093</v>
      </c>
      <c r="E732" s="13" t="s">
        <v>128</v>
      </c>
      <c r="F732" s="12" t="s">
        <v>181</v>
      </c>
      <c r="G732" s="13" t="s">
        <v>3094</v>
      </c>
      <c r="H732" s="12" t="s">
        <v>3095</v>
      </c>
      <c r="I732" s="13" t="s">
        <v>3117</v>
      </c>
      <c r="J732" s="14" t="s">
        <v>3946</v>
      </c>
      <c r="K732" s="18"/>
      <c r="L732" s="18"/>
      <c r="M732" s="18"/>
      <c r="N732" s="20" t="str">
        <f t="shared" ref="N732:N739" si="245">J732</f>
        <v>-</v>
      </c>
      <c r="O732"/>
      <c r="P732"/>
    </row>
    <row r="733" spans="1:18" ht="13.5" x14ac:dyDescent="0.2">
      <c r="A733" s="47" t="s">
        <v>2096</v>
      </c>
      <c r="B733" s="47" t="s">
        <v>2097</v>
      </c>
      <c r="C733" s="21" t="s">
        <v>2971</v>
      </c>
      <c r="D733" s="47" t="s">
        <v>3093</v>
      </c>
      <c r="E733" s="21" t="s">
        <v>31</v>
      </c>
      <c r="F733" s="47" t="s">
        <v>32</v>
      </c>
      <c r="G733" s="21" t="s">
        <v>3094</v>
      </c>
      <c r="H733" s="7" t="s">
        <v>3095</v>
      </c>
      <c r="I733" s="8" t="s">
        <v>3139</v>
      </c>
      <c r="J733" s="9">
        <v>995200</v>
      </c>
      <c r="K733" s="8"/>
      <c r="L733" s="8"/>
      <c r="M733" s="8"/>
      <c r="N733" s="42">
        <f t="shared" si="245"/>
        <v>995200</v>
      </c>
      <c r="O733" s="42">
        <f>N733*1.5</f>
        <v>1492800</v>
      </c>
      <c r="P733" s="42"/>
      <c r="Q733" s="42">
        <f t="shared" ref="Q733:Q743" si="246">SUM(O733:P733)</f>
        <v>1492800</v>
      </c>
    </row>
    <row r="734" spans="1:18" ht="13.5" x14ac:dyDescent="0.2">
      <c r="A734" s="47" t="s">
        <v>2096</v>
      </c>
      <c r="B734" s="47" t="s">
        <v>2097</v>
      </c>
      <c r="C734" s="21" t="s">
        <v>2971</v>
      </c>
      <c r="D734" s="47" t="s">
        <v>3093</v>
      </c>
      <c r="E734" s="21" t="s">
        <v>31</v>
      </c>
      <c r="F734" s="47" t="s">
        <v>32</v>
      </c>
      <c r="G734" s="21" t="s">
        <v>3094</v>
      </c>
      <c r="H734" s="7" t="s">
        <v>3095</v>
      </c>
      <c r="I734" s="8" t="s">
        <v>3151</v>
      </c>
      <c r="J734" s="9">
        <v>2763600</v>
      </c>
      <c r="K734" s="8"/>
      <c r="L734" s="8"/>
      <c r="M734" s="8"/>
      <c r="N734" s="42">
        <f t="shared" si="245"/>
        <v>2763600</v>
      </c>
      <c r="O734" s="42"/>
      <c r="P734" s="42">
        <f t="shared" ref="P734:P736" si="247">N734</f>
        <v>2763600</v>
      </c>
      <c r="Q734" s="42">
        <f t="shared" si="246"/>
        <v>2763600</v>
      </c>
      <c r="R734" s="5"/>
    </row>
    <row r="735" spans="1:18" ht="13.5" x14ac:dyDescent="0.2">
      <c r="A735" s="47" t="s">
        <v>2096</v>
      </c>
      <c r="B735" s="47" t="s">
        <v>2097</v>
      </c>
      <c r="C735" s="21" t="s">
        <v>2971</v>
      </c>
      <c r="D735" s="47" t="s">
        <v>3093</v>
      </c>
      <c r="E735" s="21" t="s">
        <v>31</v>
      </c>
      <c r="F735" s="47" t="s">
        <v>32</v>
      </c>
      <c r="G735" s="21" t="s">
        <v>3094</v>
      </c>
      <c r="H735" s="7" t="s">
        <v>3095</v>
      </c>
      <c r="I735" s="8" t="s">
        <v>3104</v>
      </c>
      <c r="J735" s="9">
        <v>3719400</v>
      </c>
      <c r="K735" s="8"/>
      <c r="L735" s="8"/>
      <c r="M735" s="8"/>
      <c r="N735" s="42">
        <f t="shared" si="245"/>
        <v>3719400</v>
      </c>
      <c r="O735" s="42"/>
      <c r="P735" s="42">
        <f t="shared" si="247"/>
        <v>3719400</v>
      </c>
      <c r="Q735" s="42">
        <f t="shared" si="246"/>
        <v>3719400</v>
      </c>
      <c r="R735" s="5"/>
    </row>
    <row r="736" spans="1:18" ht="13.5" x14ac:dyDescent="0.2">
      <c r="A736" s="47" t="s">
        <v>2096</v>
      </c>
      <c r="B736" s="47" t="s">
        <v>2097</v>
      </c>
      <c r="C736" s="21" t="s">
        <v>2971</v>
      </c>
      <c r="D736" s="47" t="s">
        <v>3093</v>
      </c>
      <c r="E736" s="21" t="s">
        <v>31</v>
      </c>
      <c r="F736" s="47" t="s">
        <v>32</v>
      </c>
      <c r="G736" s="21" t="s">
        <v>3094</v>
      </c>
      <c r="H736" s="7" t="s">
        <v>3095</v>
      </c>
      <c r="I736" s="8" t="s">
        <v>3123</v>
      </c>
      <c r="J736" s="9">
        <v>802900</v>
      </c>
      <c r="K736" s="8"/>
      <c r="L736" s="8"/>
      <c r="M736" s="8"/>
      <c r="N736" s="42">
        <f t="shared" si="245"/>
        <v>802900</v>
      </c>
      <c r="O736" s="42"/>
      <c r="P736" s="42">
        <f t="shared" si="247"/>
        <v>802900</v>
      </c>
      <c r="Q736" s="42">
        <f t="shared" si="246"/>
        <v>802900</v>
      </c>
      <c r="R736" s="5"/>
    </row>
    <row r="737" spans="1:18" ht="13.5" x14ac:dyDescent="0.2">
      <c r="A737" s="47" t="s">
        <v>2096</v>
      </c>
      <c r="B737" s="47" t="s">
        <v>2097</v>
      </c>
      <c r="C737" s="21" t="s">
        <v>2971</v>
      </c>
      <c r="D737" s="47" t="s">
        <v>3093</v>
      </c>
      <c r="E737" s="21" t="s">
        <v>31</v>
      </c>
      <c r="F737" s="47" t="s">
        <v>32</v>
      </c>
      <c r="G737" s="21" t="s">
        <v>3094</v>
      </c>
      <c r="H737" s="7" t="s">
        <v>3095</v>
      </c>
      <c r="I737" s="8" t="s">
        <v>3141</v>
      </c>
      <c r="J737" s="9">
        <v>2099700</v>
      </c>
      <c r="K737" s="8"/>
      <c r="L737" s="8"/>
      <c r="M737" s="8"/>
      <c r="N737" s="42">
        <f t="shared" si="245"/>
        <v>2099700</v>
      </c>
      <c r="O737" s="42">
        <f t="shared" ref="O737:O740" si="248">N737*1.5</f>
        <v>3149550</v>
      </c>
      <c r="P737" s="42"/>
      <c r="Q737" s="42">
        <f t="shared" si="246"/>
        <v>3149550</v>
      </c>
    </row>
    <row r="738" spans="1:18" ht="13.5" x14ac:dyDescent="0.2">
      <c r="A738" s="47" t="s">
        <v>2096</v>
      </c>
      <c r="B738" s="47" t="s">
        <v>2097</v>
      </c>
      <c r="C738" s="21" t="s">
        <v>2971</v>
      </c>
      <c r="D738" s="47" t="s">
        <v>3093</v>
      </c>
      <c r="E738" s="21" t="s">
        <v>31</v>
      </c>
      <c r="F738" s="47" t="s">
        <v>32</v>
      </c>
      <c r="G738" s="21" t="s">
        <v>3094</v>
      </c>
      <c r="H738" s="7" t="s">
        <v>3095</v>
      </c>
      <c r="I738" s="8" t="s">
        <v>3113</v>
      </c>
      <c r="J738" s="9">
        <v>2219800</v>
      </c>
      <c r="K738" s="8"/>
      <c r="L738" s="8"/>
      <c r="M738" s="8"/>
      <c r="N738" s="42">
        <f t="shared" si="245"/>
        <v>2219800</v>
      </c>
      <c r="O738" s="42">
        <f t="shared" si="248"/>
        <v>3329700</v>
      </c>
      <c r="P738" s="42"/>
      <c r="Q738" s="42">
        <f t="shared" si="246"/>
        <v>3329700</v>
      </c>
    </row>
    <row r="739" spans="1:18" ht="13.5" x14ac:dyDescent="0.2">
      <c r="A739" s="47" t="s">
        <v>2096</v>
      </c>
      <c r="B739" s="47" t="s">
        <v>2097</v>
      </c>
      <c r="C739" s="21" t="s">
        <v>2971</v>
      </c>
      <c r="D739" s="47" t="s">
        <v>3093</v>
      </c>
      <c r="E739" s="21" t="s">
        <v>31</v>
      </c>
      <c r="F739" s="47" t="s">
        <v>32</v>
      </c>
      <c r="G739" s="21" t="s">
        <v>3094</v>
      </c>
      <c r="H739" s="7" t="s">
        <v>3095</v>
      </c>
      <c r="I739" s="8" t="s">
        <v>2480</v>
      </c>
      <c r="J739" s="9">
        <v>2411800</v>
      </c>
      <c r="K739" s="8"/>
      <c r="L739" s="8"/>
      <c r="M739" s="8"/>
      <c r="N739" s="42">
        <f t="shared" si="245"/>
        <v>2411800</v>
      </c>
      <c r="O739" s="42">
        <f t="shared" si="248"/>
        <v>3617700</v>
      </c>
      <c r="P739" s="42"/>
      <c r="Q739" s="42">
        <f t="shared" si="246"/>
        <v>3617700</v>
      </c>
    </row>
    <row r="740" spans="1:18" ht="13.5" x14ac:dyDescent="0.2">
      <c r="A740" s="47" t="s">
        <v>2096</v>
      </c>
      <c r="B740" s="47" t="s">
        <v>2097</v>
      </c>
      <c r="C740" s="21" t="s">
        <v>2971</v>
      </c>
      <c r="D740" s="47" t="s">
        <v>3093</v>
      </c>
      <c r="E740" s="21" t="s">
        <v>41</v>
      </c>
      <c r="F740" s="47" t="s">
        <v>32</v>
      </c>
      <c r="G740" s="21" t="s">
        <v>3094</v>
      </c>
      <c r="H740" s="7" t="s">
        <v>3095</v>
      </c>
      <c r="I740" s="8" t="s">
        <v>3109</v>
      </c>
      <c r="J740" s="9">
        <v>5199600</v>
      </c>
      <c r="K740" s="8"/>
      <c r="L740" s="42">
        <f t="shared" ref="L740:L743" si="249">J740*1.5</f>
        <v>7799400</v>
      </c>
      <c r="M740" s="8"/>
      <c r="N740" s="42">
        <f t="shared" si="239"/>
        <v>7799400</v>
      </c>
      <c r="O740" s="42">
        <f t="shared" si="248"/>
        <v>11699100</v>
      </c>
      <c r="P740" s="42"/>
      <c r="Q740" s="42">
        <f t="shared" si="246"/>
        <v>11699100</v>
      </c>
    </row>
    <row r="741" spans="1:18" ht="13.5" x14ac:dyDescent="0.2">
      <c r="A741" s="47" t="s">
        <v>2096</v>
      </c>
      <c r="B741" s="47" t="s">
        <v>2097</v>
      </c>
      <c r="C741" s="21" t="s">
        <v>2971</v>
      </c>
      <c r="D741" s="47" t="s">
        <v>3093</v>
      </c>
      <c r="E741" s="21" t="s">
        <v>41</v>
      </c>
      <c r="F741" s="47" t="s">
        <v>32</v>
      </c>
      <c r="G741" s="21" t="s">
        <v>3094</v>
      </c>
      <c r="H741" s="7" t="s">
        <v>3095</v>
      </c>
      <c r="I741" s="8" t="s">
        <v>3098</v>
      </c>
      <c r="J741" s="9">
        <v>5719600</v>
      </c>
      <c r="K741" s="8"/>
      <c r="L741" s="42">
        <f t="shared" si="249"/>
        <v>8579400</v>
      </c>
      <c r="M741" s="8"/>
      <c r="N741" s="42">
        <f t="shared" si="239"/>
        <v>8579400</v>
      </c>
      <c r="O741" s="42"/>
      <c r="P741" s="42">
        <f t="shared" ref="P741:P742" si="250">N741</f>
        <v>8579400</v>
      </c>
      <c r="Q741" s="42">
        <f t="shared" si="246"/>
        <v>8579400</v>
      </c>
      <c r="R741" s="5"/>
    </row>
    <row r="742" spans="1:18" ht="13.5" x14ac:dyDescent="0.2">
      <c r="A742" s="47" t="s">
        <v>2096</v>
      </c>
      <c r="B742" s="47" t="s">
        <v>2097</v>
      </c>
      <c r="C742" s="21" t="s">
        <v>2971</v>
      </c>
      <c r="D742" s="47" t="s">
        <v>3093</v>
      </c>
      <c r="E742" s="21" t="s">
        <v>41</v>
      </c>
      <c r="F742" s="47" t="s">
        <v>32</v>
      </c>
      <c r="G742" s="21" t="s">
        <v>3094</v>
      </c>
      <c r="H742" s="7" t="s">
        <v>3095</v>
      </c>
      <c r="I742" s="8" t="s">
        <v>3131</v>
      </c>
      <c r="J742" s="9">
        <v>4049700</v>
      </c>
      <c r="K742" s="8"/>
      <c r="L742" s="42">
        <f t="shared" si="249"/>
        <v>6074550</v>
      </c>
      <c r="M742" s="8"/>
      <c r="N742" s="42">
        <f t="shared" si="239"/>
        <v>6074550</v>
      </c>
      <c r="O742" s="42"/>
      <c r="P742" s="42">
        <f t="shared" si="250"/>
        <v>6074550</v>
      </c>
      <c r="Q742" s="42">
        <f t="shared" si="246"/>
        <v>6074550</v>
      </c>
      <c r="R742" s="5"/>
    </row>
    <row r="743" spans="1:18" ht="13.5" x14ac:dyDescent="0.2">
      <c r="A743" s="47" t="s">
        <v>2096</v>
      </c>
      <c r="B743" s="47" t="s">
        <v>2097</v>
      </c>
      <c r="C743" s="21" t="s">
        <v>2971</v>
      </c>
      <c r="D743" s="47" t="s">
        <v>3093</v>
      </c>
      <c r="E743" s="21" t="s">
        <v>57</v>
      </c>
      <c r="F743" s="47" t="s">
        <v>32</v>
      </c>
      <c r="G743" s="21" t="s">
        <v>3094</v>
      </c>
      <c r="H743" s="7" t="s">
        <v>3095</v>
      </c>
      <c r="I743" s="8" t="s">
        <v>3111</v>
      </c>
      <c r="J743" s="9">
        <v>4767600</v>
      </c>
      <c r="K743" s="8"/>
      <c r="L743" s="42">
        <f t="shared" si="249"/>
        <v>7151400</v>
      </c>
      <c r="M743" s="8"/>
      <c r="N743" s="42">
        <f t="shared" si="239"/>
        <v>7151400</v>
      </c>
      <c r="O743" s="42">
        <f>N743*1.5</f>
        <v>10727100</v>
      </c>
      <c r="P743" s="42"/>
      <c r="Q743" s="42">
        <f t="shared" si="246"/>
        <v>10727100</v>
      </c>
    </row>
    <row r="744" spans="1:18" ht="13.5" hidden="1" x14ac:dyDescent="0.2">
      <c r="A744" s="12" t="s">
        <v>2096</v>
      </c>
      <c r="B744" s="12" t="s">
        <v>2097</v>
      </c>
      <c r="C744" s="13" t="s">
        <v>2971</v>
      </c>
      <c r="D744" s="12" t="s">
        <v>3153</v>
      </c>
      <c r="E744" s="13" t="s">
        <v>128</v>
      </c>
      <c r="F744" s="12" t="s">
        <v>181</v>
      </c>
      <c r="G744" s="13" t="s">
        <v>3154</v>
      </c>
      <c r="H744" s="12" t="s">
        <v>3155</v>
      </c>
      <c r="I744" s="13" t="s">
        <v>3166</v>
      </c>
      <c r="J744" s="14" t="s">
        <v>3946</v>
      </c>
      <c r="K744" s="18"/>
      <c r="L744" s="18"/>
      <c r="M744" s="18"/>
      <c r="N744" s="20" t="str">
        <f t="shared" ref="N744:N746" si="251">J744</f>
        <v>-</v>
      </c>
      <c r="O744"/>
      <c r="P744"/>
    </row>
    <row r="745" spans="1:18" ht="13.5" x14ac:dyDescent="0.2">
      <c r="A745" s="47" t="s">
        <v>2096</v>
      </c>
      <c r="B745" s="47" t="s">
        <v>2097</v>
      </c>
      <c r="C745" s="21" t="s">
        <v>2971</v>
      </c>
      <c r="D745" s="47" t="s">
        <v>3153</v>
      </c>
      <c r="E745" s="21" t="s">
        <v>31</v>
      </c>
      <c r="F745" s="47" t="s">
        <v>32</v>
      </c>
      <c r="G745" s="21" t="s">
        <v>3154</v>
      </c>
      <c r="H745" s="7" t="s">
        <v>3155</v>
      </c>
      <c r="I745" s="8" t="s">
        <v>3156</v>
      </c>
      <c r="J745" s="9">
        <v>2766000</v>
      </c>
      <c r="K745" s="8"/>
      <c r="L745" s="8"/>
      <c r="M745" s="8"/>
      <c r="N745" s="42">
        <f t="shared" si="251"/>
        <v>2766000</v>
      </c>
      <c r="O745" s="42"/>
      <c r="P745" s="42">
        <f t="shared" ref="P745:P751" si="252">N745</f>
        <v>2766000</v>
      </c>
      <c r="Q745" s="42">
        <f t="shared" ref="Q745:Q765" si="253">SUM(O745:P745)</f>
        <v>2766000</v>
      </c>
      <c r="R745" s="5"/>
    </row>
    <row r="746" spans="1:18" ht="13.5" x14ac:dyDescent="0.2">
      <c r="A746" s="47" t="s">
        <v>2096</v>
      </c>
      <c r="B746" s="47" t="s">
        <v>2097</v>
      </c>
      <c r="C746" s="21" t="s">
        <v>2971</v>
      </c>
      <c r="D746" s="47" t="s">
        <v>3153</v>
      </c>
      <c r="E746" s="21" t="s">
        <v>31</v>
      </c>
      <c r="F746" s="47" t="s">
        <v>32</v>
      </c>
      <c r="G746" s="21" t="s">
        <v>3154</v>
      </c>
      <c r="H746" s="7" t="s">
        <v>3155</v>
      </c>
      <c r="I746" s="8" t="s">
        <v>3158</v>
      </c>
      <c r="J746" s="9">
        <v>2455000</v>
      </c>
      <c r="K746" s="8"/>
      <c r="L746" s="8"/>
      <c r="M746" s="8"/>
      <c r="N746" s="42">
        <f t="shared" si="251"/>
        <v>2455000</v>
      </c>
      <c r="O746" s="42"/>
      <c r="P746" s="42">
        <f t="shared" si="252"/>
        <v>2455000</v>
      </c>
      <c r="Q746" s="42">
        <f t="shared" si="253"/>
        <v>2455000</v>
      </c>
      <c r="R746" s="5"/>
    </row>
    <row r="747" spans="1:18" ht="13.5" x14ac:dyDescent="0.2">
      <c r="A747" s="47" t="s">
        <v>2096</v>
      </c>
      <c r="B747" s="47" t="s">
        <v>2097</v>
      </c>
      <c r="C747" s="21" t="s">
        <v>2971</v>
      </c>
      <c r="D747" s="47" t="s">
        <v>3153</v>
      </c>
      <c r="E747" s="21" t="s">
        <v>41</v>
      </c>
      <c r="F747" s="47" t="s">
        <v>32</v>
      </c>
      <c r="G747" s="21" t="s">
        <v>3154</v>
      </c>
      <c r="H747" s="7" t="s">
        <v>3155</v>
      </c>
      <c r="I747" s="8" t="s">
        <v>3188</v>
      </c>
      <c r="J747" s="9">
        <v>4736700</v>
      </c>
      <c r="K747" s="8"/>
      <c r="L747" s="42">
        <f t="shared" ref="L747:L749" si="254">J747*1.5</f>
        <v>7105050</v>
      </c>
      <c r="M747" s="8"/>
      <c r="N747" s="42">
        <f t="shared" si="239"/>
        <v>7105050</v>
      </c>
      <c r="O747" s="42"/>
      <c r="P747" s="42">
        <f t="shared" si="252"/>
        <v>7105050</v>
      </c>
      <c r="Q747" s="42">
        <f t="shared" si="253"/>
        <v>7105050</v>
      </c>
      <c r="R747" s="5"/>
    </row>
    <row r="748" spans="1:18" ht="13.5" x14ac:dyDescent="0.2">
      <c r="A748" s="47" t="s">
        <v>2096</v>
      </c>
      <c r="B748" s="47" t="s">
        <v>2097</v>
      </c>
      <c r="C748" s="21" t="s">
        <v>2971</v>
      </c>
      <c r="D748" s="47" t="s">
        <v>3153</v>
      </c>
      <c r="E748" s="21" t="s">
        <v>41</v>
      </c>
      <c r="F748" s="47" t="s">
        <v>32</v>
      </c>
      <c r="G748" s="21" t="s">
        <v>3154</v>
      </c>
      <c r="H748" s="7" t="s">
        <v>3155</v>
      </c>
      <c r="I748" s="8" t="s">
        <v>3162</v>
      </c>
      <c r="J748" s="9">
        <v>2536000</v>
      </c>
      <c r="K748" s="8"/>
      <c r="L748" s="42">
        <f t="shared" si="254"/>
        <v>3804000</v>
      </c>
      <c r="M748" s="8"/>
      <c r="N748" s="42">
        <f t="shared" si="239"/>
        <v>3804000</v>
      </c>
      <c r="O748" s="42"/>
      <c r="P748" s="42">
        <f t="shared" si="252"/>
        <v>3804000</v>
      </c>
      <c r="Q748" s="42">
        <f t="shared" si="253"/>
        <v>3804000</v>
      </c>
      <c r="R748" s="5"/>
    </row>
    <row r="749" spans="1:18" ht="13.5" x14ac:dyDescent="0.2">
      <c r="A749" s="47" t="s">
        <v>2096</v>
      </c>
      <c r="B749" s="47" t="s">
        <v>2097</v>
      </c>
      <c r="C749" s="21" t="s">
        <v>2971</v>
      </c>
      <c r="D749" s="47" t="s">
        <v>3153</v>
      </c>
      <c r="E749" s="21" t="s">
        <v>41</v>
      </c>
      <c r="F749" s="47" t="s">
        <v>32</v>
      </c>
      <c r="G749" s="21" t="s">
        <v>3154</v>
      </c>
      <c r="H749" s="7" t="s">
        <v>3155</v>
      </c>
      <c r="I749" s="8" t="s">
        <v>3164</v>
      </c>
      <c r="J749" s="9">
        <v>5805000</v>
      </c>
      <c r="K749" s="8"/>
      <c r="L749" s="42">
        <f t="shared" si="254"/>
        <v>8707500</v>
      </c>
      <c r="M749" s="8"/>
      <c r="N749" s="42">
        <f t="shared" si="239"/>
        <v>8707500</v>
      </c>
      <c r="O749" s="42"/>
      <c r="P749" s="42">
        <f t="shared" si="252"/>
        <v>8707500</v>
      </c>
      <c r="Q749" s="42">
        <f t="shared" si="253"/>
        <v>8707500</v>
      </c>
      <c r="R749" s="5"/>
    </row>
    <row r="750" spans="1:18" ht="13.5" x14ac:dyDescent="0.2">
      <c r="A750" s="47" t="s">
        <v>2096</v>
      </c>
      <c r="B750" s="47" t="s">
        <v>2097</v>
      </c>
      <c r="C750" s="21" t="s">
        <v>3190</v>
      </c>
      <c r="D750" s="47" t="s">
        <v>3191</v>
      </c>
      <c r="E750" s="21" t="s">
        <v>31</v>
      </c>
      <c r="F750" s="47" t="s">
        <v>32</v>
      </c>
      <c r="G750" s="21" t="s">
        <v>3192</v>
      </c>
      <c r="H750" s="7" t="s">
        <v>3193</v>
      </c>
      <c r="I750" s="8" t="s">
        <v>3202</v>
      </c>
      <c r="J750" s="9">
        <v>6379600</v>
      </c>
      <c r="K750" s="8"/>
      <c r="L750" s="8"/>
      <c r="M750" s="8"/>
      <c r="N750" s="42">
        <f t="shared" ref="N750:N761" si="255">J750</f>
        <v>6379600</v>
      </c>
      <c r="O750" s="42"/>
      <c r="P750" s="42">
        <f t="shared" si="252"/>
        <v>6379600</v>
      </c>
      <c r="Q750" s="42">
        <f t="shared" si="253"/>
        <v>6379600</v>
      </c>
      <c r="R750" s="5"/>
    </row>
    <row r="751" spans="1:18" ht="13.5" x14ac:dyDescent="0.2">
      <c r="A751" s="47" t="s">
        <v>2096</v>
      </c>
      <c r="B751" s="47" t="s">
        <v>2097</v>
      </c>
      <c r="C751" s="21" t="s">
        <v>3190</v>
      </c>
      <c r="D751" s="47" t="s">
        <v>3191</v>
      </c>
      <c r="E751" s="21" t="s">
        <v>31</v>
      </c>
      <c r="F751" s="47" t="s">
        <v>32</v>
      </c>
      <c r="G751" s="21" t="s">
        <v>3192</v>
      </c>
      <c r="H751" s="7" t="s">
        <v>3193</v>
      </c>
      <c r="I751" s="8" t="s">
        <v>3198</v>
      </c>
      <c r="J751" s="9">
        <v>2798000</v>
      </c>
      <c r="K751" s="8"/>
      <c r="L751" s="8"/>
      <c r="M751" s="8"/>
      <c r="N751" s="42">
        <f t="shared" si="255"/>
        <v>2798000</v>
      </c>
      <c r="O751" s="42"/>
      <c r="P751" s="42">
        <f t="shared" si="252"/>
        <v>2798000</v>
      </c>
      <c r="Q751" s="42">
        <f t="shared" si="253"/>
        <v>2798000</v>
      </c>
      <c r="R751" s="5"/>
    </row>
    <row r="752" spans="1:18" ht="13.5" x14ac:dyDescent="0.2">
      <c r="A752" s="47" t="s">
        <v>2096</v>
      </c>
      <c r="B752" s="47" t="s">
        <v>2097</v>
      </c>
      <c r="C752" s="21" t="s">
        <v>3190</v>
      </c>
      <c r="D752" s="47" t="s">
        <v>3204</v>
      </c>
      <c r="E752" s="21" t="s">
        <v>31</v>
      </c>
      <c r="F752" s="47" t="s">
        <v>32</v>
      </c>
      <c r="G752" s="21" t="s">
        <v>3205</v>
      </c>
      <c r="H752" s="7" t="s">
        <v>3206</v>
      </c>
      <c r="I752" s="8" t="s">
        <v>3229</v>
      </c>
      <c r="J752" s="9">
        <v>2159800</v>
      </c>
      <c r="K752" s="8"/>
      <c r="L752" s="8"/>
      <c r="M752" s="8"/>
      <c r="N752" s="42">
        <f t="shared" si="255"/>
        <v>2159800</v>
      </c>
      <c r="O752" s="42">
        <f>N752*1.5</f>
        <v>3239700</v>
      </c>
      <c r="P752" s="42"/>
      <c r="Q752" s="42">
        <f t="shared" si="253"/>
        <v>3239700</v>
      </c>
    </row>
    <row r="753" spans="1:18" ht="13.5" x14ac:dyDescent="0.2">
      <c r="A753" s="47" t="s">
        <v>2096</v>
      </c>
      <c r="B753" s="47" t="s">
        <v>2097</v>
      </c>
      <c r="C753" s="21" t="s">
        <v>3190</v>
      </c>
      <c r="D753" s="47" t="s">
        <v>3204</v>
      </c>
      <c r="E753" s="21" t="s">
        <v>31</v>
      </c>
      <c r="F753" s="47" t="s">
        <v>32</v>
      </c>
      <c r="G753" s="21" t="s">
        <v>3205</v>
      </c>
      <c r="H753" s="7" t="s">
        <v>3206</v>
      </c>
      <c r="I753" s="8" t="s">
        <v>3207</v>
      </c>
      <c r="J753" s="9">
        <v>519800</v>
      </c>
      <c r="K753" s="8"/>
      <c r="L753" s="8"/>
      <c r="M753" s="8"/>
      <c r="N753" s="42">
        <f t="shared" si="255"/>
        <v>519800</v>
      </c>
      <c r="O753" s="42"/>
      <c r="P753" s="42">
        <f t="shared" ref="P753:P754" si="256">N753</f>
        <v>519800</v>
      </c>
      <c r="Q753" s="42">
        <f t="shared" si="253"/>
        <v>519800</v>
      </c>
      <c r="R753" s="5"/>
    </row>
    <row r="754" spans="1:18" ht="13.5" x14ac:dyDescent="0.2">
      <c r="A754" s="47" t="s">
        <v>2096</v>
      </c>
      <c r="B754" s="47" t="s">
        <v>2097</v>
      </c>
      <c r="C754" s="21" t="s">
        <v>3190</v>
      </c>
      <c r="D754" s="47" t="s">
        <v>3204</v>
      </c>
      <c r="E754" s="21" t="s">
        <v>31</v>
      </c>
      <c r="F754" s="47" t="s">
        <v>32</v>
      </c>
      <c r="G754" s="21" t="s">
        <v>3205</v>
      </c>
      <c r="H754" s="7" t="s">
        <v>3206</v>
      </c>
      <c r="I754" s="8" t="s">
        <v>3244</v>
      </c>
      <c r="J754" s="9">
        <v>1153800</v>
      </c>
      <c r="K754" s="8"/>
      <c r="L754" s="8"/>
      <c r="M754" s="8"/>
      <c r="N754" s="42">
        <f t="shared" si="255"/>
        <v>1153800</v>
      </c>
      <c r="O754" s="42"/>
      <c r="P754" s="42">
        <f t="shared" si="256"/>
        <v>1153800</v>
      </c>
      <c r="Q754" s="42">
        <f t="shared" si="253"/>
        <v>1153800</v>
      </c>
      <c r="R754" s="5"/>
    </row>
    <row r="755" spans="1:18" ht="13.5" x14ac:dyDescent="0.2">
      <c r="A755" s="47" t="s">
        <v>2096</v>
      </c>
      <c r="B755" s="47" t="s">
        <v>2097</v>
      </c>
      <c r="C755" s="21" t="s">
        <v>3190</v>
      </c>
      <c r="D755" s="47" t="s">
        <v>3204</v>
      </c>
      <c r="E755" s="21" t="s">
        <v>31</v>
      </c>
      <c r="F755" s="47" t="s">
        <v>32</v>
      </c>
      <c r="G755" s="21" t="s">
        <v>3205</v>
      </c>
      <c r="H755" s="7" t="s">
        <v>3206</v>
      </c>
      <c r="I755" s="8" t="s">
        <v>3217</v>
      </c>
      <c r="J755" s="9">
        <v>949000</v>
      </c>
      <c r="K755" s="8"/>
      <c r="L755" s="8"/>
      <c r="M755" s="8"/>
      <c r="N755" s="42">
        <f t="shared" si="255"/>
        <v>949000</v>
      </c>
      <c r="O755" s="42">
        <f>N755*1.5</f>
        <v>1423500</v>
      </c>
      <c r="P755" s="42"/>
      <c r="Q755" s="42">
        <f t="shared" si="253"/>
        <v>1423500</v>
      </c>
    </row>
    <row r="756" spans="1:18" ht="13.5" x14ac:dyDescent="0.2">
      <c r="A756" s="47" t="s">
        <v>2096</v>
      </c>
      <c r="B756" s="47" t="s">
        <v>2097</v>
      </c>
      <c r="C756" s="21" t="s">
        <v>3190</v>
      </c>
      <c r="D756" s="47" t="s">
        <v>3204</v>
      </c>
      <c r="E756" s="21" t="s">
        <v>31</v>
      </c>
      <c r="F756" s="47" t="s">
        <v>32</v>
      </c>
      <c r="G756" s="21" t="s">
        <v>3249</v>
      </c>
      <c r="H756" s="7" t="s">
        <v>3250</v>
      </c>
      <c r="I756" s="8" t="s">
        <v>3269</v>
      </c>
      <c r="J756" s="9">
        <v>2821800</v>
      </c>
      <c r="K756" s="8"/>
      <c r="L756" s="8"/>
      <c r="M756" s="8"/>
      <c r="N756" s="42">
        <f t="shared" si="255"/>
        <v>2821800</v>
      </c>
      <c r="O756" s="42"/>
      <c r="P756" s="42">
        <f>N756</f>
        <v>2821800</v>
      </c>
      <c r="Q756" s="42">
        <f t="shared" si="253"/>
        <v>2821800</v>
      </c>
      <c r="R756" s="5"/>
    </row>
    <row r="757" spans="1:18" ht="13.5" x14ac:dyDescent="0.2">
      <c r="A757" s="47" t="s">
        <v>2096</v>
      </c>
      <c r="B757" s="47" t="s">
        <v>2097</v>
      </c>
      <c r="C757" s="21" t="s">
        <v>3190</v>
      </c>
      <c r="D757" s="47" t="s">
        <v>3204</v>
      </c>
      <c r="E757" s="21" t="s">
        <v>31</v>
      </c>
      <c r="F757" s="47" t="s">
        <v>32</v>
      </c>
      <c r="G757" s="21" t="s">
        <v>3249</v>
      </c>
      <c r="H757" s="7" t="s">
        <v>3250</v>
      </c>
      <c r="I757" s="8" t="s">
        <v>3266</v>
      </c>
      <c r="J757" s="9">
        <v>2043600</v>
      </c>
      <c r="K757" s="8"/>
      <c r="L757" s="8"/>
      <c r="M757" s="8"/>
      <c r="N757" s="42">
        <f t="shared" si="255"/>
        <v>2043600</v>
      </c>
      <c r="O757" s="42">
        <f>N757*1.5</f>
        <v>3065400</v>
      </c>
      <c r="P757" s="42"/>
      <c r="Q757" s="42">
        <f t="shared" si="253"/>
        <v>3065400</v>
      </c>
    </row>
    <row r="758" spans="1:18" ht="13.5" x14ac:dyDescent="0.2">
      <c r="A758" s="47" t="s">
        <v>2096</v>
      </c>
      <c r="B758" s="47" t="s">
        <v>2097</v>
      </c>
      <c r="C758" s="21" t="s">
        <v>3190</v>
      </c>
      <c r="D758" s="47" t="s">
        <v>3204</v>
      </c>
      <c r="E758" s="21" t="s">
        <v>31</v>
      </c>
      <c r="F758" s="47" t="s">
        <v>32</v>
      </c>
      <c r="G758" s="21" t="s">
        <v>3249</v>
      </c>
      <c r="H758" s="7" t="s">
        <v>3250</v>
      </c>
      <c r="I758" s="8" t="s">
        <v>3251</v>
      </c>
      <c r="J758" s="9">
        <v>4651600</v>
      </c>
      <c r="K758" s="8"/>
      <c r="L758" s="8"/>
      <c r="M758" s="8"/>
      <c r="N758" s="42">
        <f t="shared" si="255"/>
        <v>4651600</v>
      </c>
      <c r="O758" s="42"/>
      <c r="P758" s="42">
        <f t="shared" ref="P758:P761" si="257">N758</f>
        <v>4651600</v>
      </c>
      <c r="Q758" s="42">
        <f t="shared" si="253"/>
        <v>4651600</v>
      </c>
      <c r="R758" s="5"/>
    </row>
    <row r="759" spans="1:18" ht="13.5" x14ac:dyDescent="0.2">
      <c r="A759" s="47" t="s">
        <v>2096</v>
      </c>
      <c r="B759" s="47" t="s">
        <v>2097</v>
      </c>
      <c r="C759" s="21" t="s">
        <v>3190</v>
      </c>
      <c r="D759" s="47" t="s">
        <v>3204</v>
      </c>
      <c r="E759" s="21" t="s">
        <v>31</v>
      </c>
      <c r="F759" s="47" t="s">
        <v>32</v>
      </c>
      <c r="G759" s="21" t="s">
        <v>3249</v>
      </c>
      <c r="H759" s="7" t="s">
        <v>3250</v>
      </c>
      <c r="I759" s="8" t="s">
        <v>3253</v>
      </c>
      <c r="J759" s="9">
        <v>4749500</v>
      </c>
      <c r="K759" s="8"/>
      <c r="L759" s="8"/>
      <c r="M759" s="8"/>
      <c r="N759" s="42">
        <f t="shared" si="255"/>
        <v>4749500</v>
      </c>
      <c r="O759" s="42"/>
      <c r="P759" s="42">
        <f t="shared" si="257"/>
        <v>4749500</v>
      </c>
      <c r="Q759" s="42">
        <f t="shared" si="253"/>
        <v>4749500</v>
      </c>
      <c r="R759" s="5"/>
    </row>
    <row r="760" spans="1:18" ht="13.5" x14ac:dyDescent="0.2">
      <c r="A760" s="47" t="s">
        <v>2096</v>
      </c>
      <c r="B760" s="47" t="s">
        <v>2097</v>
      </c>
      <c r="C760" s="21" t="s">
        <v>3190</v>
      </c>
      <c r="D760" s="47" t="s">
        <v>3204</v>
      </c>
      <c r="E760" s="21" t="s">
        <v>31</v>
      </c>
      <c r="F760" s="47" t="s">
        <v>32</v>
      </c>
      <c r="G760" s="21" t="s">
        <v>3249</v>
      </c>
      <c r="H760" s="7" t="s">
        <v>3250</v>
      </c>
      <c r="I760" s="8" t="s">
        <v>3255</v>
      </c>
      <c r="J760" s="9">
        <v>2429700</v>
      </c>
      <c r="K760" s="8"/>
      <c r="L760" s="8"/>
      <c r="M760" s="8"/>
      <c r="N760" s="42">
        <f t="shared" si="255"/>
        <v>2429700</v>
      </c>
      <c r="O760" s="42"/>
      <c r="P760" s="42">
        <f t="shared" si="257"/>
        <v>2429700</v>
      </c>
      <c r="Q760" s="42">
        <f t="shared" si="253"/>
        <v>2429700</v>
      </c>
      <c r="R760" s="5"/>
    </row>
    <row r="761" spans="1:18" ht="13.5" x14ac:dyDescent="0.2">
      <c r="A761" s="47" t="s">
        <v>2096</v>
      </c>
      <c r="B761" s="47" t="s">
        <v>2097</v>
      </c>
      <c r="C761" s="21" t="s">
        <v>3190</v>
      </c>
      <c r="D761" s="47" t="s">
        <v>3204</v>
      </c>
      <c r="E761" s="21" t="s">
        <v>31</v>
      </c>
      <c r="F761" s="47" t="s">
        <v>32</v>
      </c>
      <c r="G761" s="21" t="s">
        <v>3249</v>
      </c>
      <c r="H761" s="7" t="s">
        <v>3250</v>
      </c>
      <c r="I761" s="8" t="s">
        <v>3262</v>
      </c>
      <c r="J761" s="9">
        <v>15899000</v>
      </c>
      <c r="K761" s="8"/>
      <c r="L761" s="8"/>
      <c r="M761" s="8"/>
      <c r="N761" s="42">
        <f t="shared" si="255"/>
        <v>15899000</v>
      </c>
      <c r="O761" s="42"/>
      <c r="P761" s="42">
        <f t="shared" si="257"/>
        <v>15899000</v>
      </c>
      <c r="Q761" s="42">
        <f t="shared" si="253"/>
        <v>15899000</v>
      </c>
      <c r="R761" s="5"/>
    </row>
    <row r="762" spans="1:18" ht="13.5" x14ac:dyDescent="0.2">
      <c r="A762" s="47" t="s">
        <v>2096</v>
      </c>
      <c r="B762" s="47" t="s">
        <v>2097</v>
      </c>
      <c r="C762" s="21" t="s">
        <v>3190</v>
      </c>
      <c r="D762" s="47" t="s">
        <v>3204</v>
      </c>
      <c r="E762" s="21" t="s">
        <v>41</v>
      </c>
      <c r="F762" s="47" t="s">
        <v>32</v>
      </c>
      <c r="G762" s="21" t="s">
        <v>3205</v>
      </c>
      <c r="H762" s="7" t="s">
        <v>3206</v>
      </c>
      <c r="I762" s="8" t="s">
        <v>3219</v>
      </c>
      <c r="J762" s="9">
        <v>5199600</v>
      </c>
      <c r="K762" s="8"/>
      <c r="L762" s="42">
        <f t="shared" ref="L762:L765" si="258">J762*1.5</f>
        <v>7799400</v>
      </c>
      <c r="M762" s="8"/>
      <c r="N762" s="42">
        <f t="shared" si="239"/>
        <v>7799400</v>
      </c>
      <c r="O762" s="42">
        <f>N762*1.5</f>
        <v>11699100</v>
      </c>
      <c r="P762" s="42"/>
      <c r="Q762" s="42">
        <f t="shared" si="253"/>
        <v>11699100</v>
      </c>
    </row>
    <row r="763" spans="1:18" ht="13.5" x14ac:dyDescent="0.2">
      <c r="A763" s="47" t="s">
        <v>2096</v>
      </c>
      <c r="B763" s="47" t="s">
        <v>2097</v>
      </c>
      <c r="C763" s="21" t="s">
        <v>3190</v>
      </c>
      <c r="D763" s="47" t="s">
        <v>3204</v>
      </c>
      <c r="E763" s="21" t="s">
        <v>41</v>
      </c>
      <c r="F763" s="47" t="s">
        <v>32</v>
      </c>
      <c r="G763" s="21" t="s">
        <v>3249</v>
      </c>
      <c r="H763" s="7" t="s">
        <v>3250</v>
      </c>
      <c r="I763" s="8" t="s">
        <v>3257</v>
      </c>
      <c r="J763" s="9">
        <v>3799800</v>
      </c>
      <c r="K763" s="8"/>
      <c r="L763" s="42">
        <f t="shared" si="258"/>
        <v>5699700</v>
      </c>
      <c r="M763" s="8"/>
      <c r="N763" s="42">
        <f t="shared" si="239"/>
        <v>5699700</v>
      </c>
      <c r="O763" s="42"/>
      <c r="P763" s="42">
        <f>N763</f>
        <v>5699700</v>
      </c>
      <c r="Q763" s="42">
        <f t="shared" si="253"/>
        <v>5699700</v>
      </c>
      <c r="R763" s="5"/>
    </row>
    <row r="764" spans="1:18" ht="13.5" x14ac:dyDescent="0.2">
      <c r="A764" s="47" t="s">
        <v>2096</v>
      </c>
      <c r="B764" s="47" t="s">
        <v>2097</v>
      </c>
      <c r="C764" s="21" t="s">
        <v>3190</v>
      </c>
      <c r="D764" s="47" t="s">
        <v>3204</v>
      </c>
      <c r="E764" s="21" t="s">
        <v>41</v>
      </c>
      <c r="F764" s="47" t="s">
        <v>32</v>
      </c>
      <c r="G764" s="21" t="s">
        <v>3249</v>
      </c>
      <c r="H764" s="7" t="s">
        <v>3250</v>
      </c>
      <c r="I764" s="8" t="s">
        <v>3259</v>
      </c>
      <c r="J764" s="9">
        <v>5020000</v>
      </c>
      <c r="K764" s="8"/>
      <c r="L764" s="42">
        <f t="shared" si="258"/>
        <v>7530000</v>
      </c>
      <c r="M764" s="8"/>
      <c r="N764" s="42">
        <f t="shared" si="239"/>
        <v>7530000</v>
      </c>
      <c r="O764" s="42">
        <f>N764*1.5</f>
        <v>11295000</v>
      </c>
      <c r="P764" s="42"/>
      <c r="Q764" s="42">
        <f t="shared" si="253"/>
        <v>11295000</v>
      </c>
    </row>
    <row r="765" spans="1:18" ht="13.5" x14ac:dyDescent="0.2">
      <c r="A765" s="47" t="s">
        <v>2096</v>
      </c>
      <c r="B765" s="47" t="s">
        <v>2097</v>
      </c>
      <c r="C765" s="21" t="s">
        <v>3190</v>
      </c>
      <c r="D765" s="47" t="s">
        <v>3204</v>
      </c>
      <c r="E765" s="21" t="s">
        <v>57</v>
      </c>
      <c r="F765" s="47" t="s">
        <v>32</v>
      </c>
      <c r="G765" s="21" t="s">
        <v>3205</v>
      </c>
      <c r="H765" s="7" t="s">
        <v>3206</v>
      </c>
      <c r="I765" s="8" t="s">
        <v>3247</v>
      </c>
      <c r="J765" s="9">
        <v>2319600</v>
      </c>
      <c r="K765" s="8"/>
      <c r="L765" s="42">
        <f t="shared" si="258"/>
        <v>3479400</v>
      </c>
      <c r="M765" s="8"/>
      <c r="N765" s="42">
        <f t="shared" si="239"/>
        <v>3479400</v>
      </c>
      <c r="O765" s="42"/>
      <c r="P765" s="42">
        <f>N765</f>
        <v>3479400</v>
      </c>
      <c r="Q765" s="42">
        <f t="shared" si="253"/>
        <v>3479400</v>
      </c>
      <c r="R765" s="5"/>
    </row>
    <row r="766" spans="1:18" ht="13.5" hidden="1" x14ac:dyDescent="0.2">
      <c r="A766" s="12" t="s">
        <v>2096</v>
      </c>
      <c r="B766" s="12" t="s">
        <v>2097</v>
      </c>
      <c r="C766" s="13" t="s">
        <v>3190</v>
      </c>
      <c r="D766" s="12" t="s">
        <v>3204</v>
      </c>
      <c r="E766" s="13" t="s">
        <v>356</v>
      </c>
      <c r="F766" s="12" t="s">
        <v>181</v>
      </c>
      <c r="G766" s="13" t="s">
        <v>3249</v>
      </c>
      <c r="H766" s="12" t="s">
        <v>3250</v>
      </c>
      <c r="I766" s="13" t="s">
        <v>3264</v>
      </c>
      <c r="J766" s="14" t="s">
        <v>3946</v>
      </c>
      <c r="K766" s="18"/>
      <c r="L766" s="18"/>
      <c r="M766" s="18"/>
      <c r="N766" s="20" t="str">
        <f t="shared" ref="N766:N775" si="259">J766</f>
        <v>-</v>
      </c>
      <c r="O766"/>
      <c r="P766"/>
    </row>
    <row r="767" spans="1:18" ht="13.5" x14ac:dyDescent="0.2">
      <c r="A767" s="47" t="s">
        <v>2096</v>
      </c>
      <c r="B767" s="47" t="s">
        <v>2097</v>
      </c>
      <c r="C767" s="21" t="s">
        <v>3190</v>
      </c>
      <c r="D767" s="47" t="s">
        <v>3271</v>
      </c>
      <c r="E767" s="21" t="s">
        <v>31</v>
      </c>
      <c r="F767" s="47" t="s">
        <v>32</v>
      </c>
      <c r="G767" s="21" t="s">
        <v>3272</v>
      </c>
      <c r="H767" s="7" t="s">
        <v>3273</v>
      </c>
      <c r="I767" s="8" t="s">
        <v>3300</v>
      </c>
      <c r="J767" s="9">
        <v>2463000</v>
      </c>
      <c r="K767" s="8"/>
      <c r="L767" s="8"/>
      <c r="M767" s="8"/>
      <c r="N767" s="42">
        <f t="shared" si="259"/>
        <v>2463000</v>
      </c>
      <c r="O767" s="42"/>
      <c r="P767" s="42">
        <f t="shared" ref="P767:P768" si="260">N767</f>
        <v>2463000</v>
      </c>
      <c r="Q767" s="42">
        <f t="shared" ref="Q767:Q822" si="261">SUM(O767:P767)</f>
        <v>2463000</v>
      </c>
      <c r="R767" s="5"/>
    </row>
    <row r="768" spans="1:18" ht="13.5" x14ac:dyDescent="0.2">
      <c r="A768" s="47" t="s">
        <v>2096</v>
      </c>
      <c r="B768" s="47" t="s">
        <v>2097</v>
      </c>
      <c r="C768" s="21" t="s">
        <v>3190</v>
      </c>
      <c r="D768" s="47" t="s">
        <v>3271</v>
      </c>
      <c r="E768" s="21" t="s">
        <v>31</v>
      </c>
      <c r="F768" s="47" t="s">
        <v>32</v>
      </c>
      <c r="G768" s="21" t="s">
        <v>3272</v>
      </c>
      <c r="H768" s="7" t="s">
        <v>3273</v>
      </c>
      <c r="I768" s="8" t="s">
        <v>3291</v>
      </c>
      <c r="J768" s="9">
        <v>5045400</v>
      </c>
      <c r="K768" s="8"/>
      <c r="L768" s="8"/>
      <c r="M768" s="8"/>
      <c r="N768" s="42">
        <f t="shared" si="259"/>
        <v>5045400</v>
      </c>
      <c r="O768" s="42"/>
      <c r="P768" s="42">
        <f t="shared" si="260"/>
        <v>5045400</v>
      </c>
      <c r="Q768" s="42">
        <f t="shared" si="261"/>
        <v>5045400</v>
      </c>
      <c r="R768" s="5"/>
    </row>
    <row r="769" spans="1:18" ht="13.5" x14ac:dyDescent="0.2">
      <c r="A769" s="47" t="s">
        <v>2096</v>
      </c>
      <c r="B769" s="47" t="s">
        <v>2097</v>
      </c>
      <c r="C769" s="21" t="s">
        <v>3190</v>
      </c>
      <c r="D769" s="47" t="s">
        <v>3271</v>
      </c>
      <c r="E769" s="21" t="s">
        <v>31</v>
      </c>
      <c r="F769" s="47" t="s">
        <v>32</v>
      </c>
      <c r="G769" s="21" t="s">
        <v>3272</v>
      </c>
      <c r="H769" s="7" t="s">
        <v>3273</v>
      </c>
      <c r="I769" s="8" t="s">
        <v>410</v>
      </c>
      <c r="J769" s="9">
        <v>4499600</v>
      </c>
      <c r="K769" s="8"/>
      <c r="L769" s="8"/>
      <c r="M769" s="8"/>
      <c r="N769" s="42">
        <f t="shared" si="259"/>
        <v>4499600</v>
      </c>
      <c r="O769" s="42">
        <f t="shared" ref="O769:O770" si="262">N769*1.5</f>
        <v>6749400</v>
      </c>
      <c r="P769" s="42"/>
      <c r="Q769" s="42">
        <f t="shared" si="261"/>
        <v>6749400</v>
      </c>
    </row>
    <row r="770" spans="1:18" ht="13.5" x14ac:dyDescent="0.2">
      <c r="A770" s="47" t="s">
        <v>2096</v>
      </c>
      <c r="B770" s="47" t="s">
        <v>2097</v>
      </c>
      <c r="C770" s="21" t="s">
        <v>3190</v>
      </c>
      <c r="D770" s="47" t="s">
        <v>3271</v>
      </c>
      <c r="E770" s="21" t="s">
        <v>31</v>
      </c>
      <c r="F770" s="47" t="s">
        <v>32</v>
      </c>
      <c r="G770" s="21" t="s">
        <v>3272</v>
      </c>
      <c r="H770" s="7" t="s">
        <v>3273</v>
      </c>
      <c r="I770" s="8" t="s">
        <v>3229</v>
      </c>
      <c r="J770" s="9">
        <v>3359700</v>
      </c>
      <c r="K770" s="8"/>
      <c r="L770" s="8"/>
      <c r="M770" s="8"/>
      <c r="N770" s="42">
        <f t="shared" si="259"/>
        <v>3359700</v>
      </c>
      <c r="O770" s="42">
        <f t="shared" si="262"/>
        <v>5039550</v>
      </c>
      <c r="P770" s="42"/>
      <c r="Q770" s="42">
        <f t="shared" si="261"/>
        <v>5039550</v>
      </c>
    </row>
    <row r="771" spans="1:18" ht="13.5" x14ac:dyDescent="0.2">
      <c r="A771" s="47" t="s">
        <v>2096</v>
      </c>
      <c r="B771" s="47" t="s">
        <v>2097</v>
      </c>
      <c r="C771" s="21" t="s">
        <v>3190</v>
      </c>
      <c r="D771" s="47" t="s">
        <v>3271</v>
      </c>
      <c r="E771" s="21" t="s">
        <v>31</v>
      </c>
      <c r="F771" s="47" t="s">
        <v>32</v>
      </c>
      <c r="G771" s="21" t="s">
        <v>3272</v>
      </c>
      <c r="H771" s="7" t="s">
        <v>3273</v>
      </c>
      <c r="I771" s="8" t="s">
        <v>3277</v>
      </c>
      <c r="J771" s="9">
        <v>1649700</v>
      </c>
      <c r="K771" s="8"/>
      <c r="L771" s="8"/>
      <c r="M771" s="8"/>
      <c r="N771" s="42">
        <f t="shared" si="259"/>
        <v>1649700</v>
      </c>
      <c r="O771" s="42"/>
      <c r="P771" s="42">
        <f t="shared" ref="P771:P772" si="263">N771</f>
        <v>1649700</v>
      </c>
      <c r="Q771" s="42">
        <f t="shared" si="261"/>
        <v>1649700</v>
      </c>
      <c r="R771" s="5"/>
    </row>
    <row r="772" spans="1:18" ht="13.5" x14ac:dyDescent="0.2">
      <c r="A772" s="47" t="s">
        <v>2096</v>
      </c>
      <c r="B772" s="47" t="s">
        <v>2097</v>
      </c>
      <c r="C772" s="21" t="s">
        <v>3190</v>
      </c>
      <c r="D772" s="47" t="s">
        <v>3271</v>
      </c>
      <c r="E772" s="21" t="s">
        <v>31</v>
      </c>
      <c r="F772" s="47" t="s">
        <v>32</v>
      </c>
      <c r="G772" s="21" t="s">
        <v>3272</v>
      </c>
      <c r="H772" s="7" t="s">
        <v>3273</v>
      </c>
      <c r="I772" s="8" t="s">
        <v>3293</v>
      </c>
      <c r="J772" s="9">
        <v>2417400</v>
      </c>
      <c r="K772" s="8"/>
      <c r="L772" s="8"/>
      <c r="M772" s="8"/>
      <c r="N772" s="42">
        <f t="shared" si="259"/>
        <v>2417400</v>
      </c>
      <c r="O772" s="42"/>
      <c r="P772" s="42">
        <f t="shared" si="263"/>
        <v>2417400</v>
      </c>
      <c r="Q772" s="42">
        <f t="shared" si="261"/>
        <v>2417400</v>
      </c>
      <c r="R772" s="5"/>
    </row>
    <row r="773" spans="1:18" ht="13.5" x14ac:dyDescent="0.2">
      <c r="A773" s="47" t="s">
        <v>2096</v>
      </c>
      <c r="B773" s="47" t="s">
        <v>2097</v>
      </c>
      <c r="C773" s="21" t="s">
        <v>3190</v>
      </c>
      <c r="D773" s="47" t="s">
        <v>3271</v>
      </c>
      <c r="E773" s="21" t="s">
        <v>31</v>
      </c>
      <c r="F773" s="47" t="s">
        <v>32</v>
      </c>
      <c r="G773" s="21" t="s">
        <v>3272</v>
      </c>
      <c r="H773" s="7" t="s">
        <v>3273</v>
      </c>
      <c r="I773" s="8" t="s">
        <v>3321</v>
      </c>
      <c r="J773" s="9">
        <v>16098600</v>
      </c>
      <c r="K773" s="8"/>
      <c r="L773" s="8"/>
      <c r="M773" s="8"/>
      <c r="N773" s="42">
        <f t="shared" si="259"/>
        <v>16098600</v>
      </c>
      <c r="O773" s="42">
        <f t="shared" ref="O773:O774" si="264">N773*1.5</f>
        <v>24147900</v>
      </c>
      <c r="P773" s="42"/>
      <c r="Q773" s="42">
        <f t="shared" si="261"/>
        <v>24147900</v>
      </c>
    </row>
    <row r="774" spans="1:18" ht="13.5" x14ac:dyDescent="0.2">
      <c r="A774" s="47" t="s">
        <v>2096</v>
      </c>
      <c r="B774" s="47" t="s">
        <v>2097</v>
      </c>
      <c r="C774" s="21" t="s">
        <v>3190</v>
      </c>
      <c r="D774" s="47" t="s">
        <v>3271</v>
      </c>
      <c r="E774" s="21" t="s">
        <v>31</v>
      </c>
      <c r="F774" s="47" t="s">
        <v>32</v>
      </c>
      <c r="G774" s="21" t="s">
        <v>3272</v>
      </c>
      <c r="H774" s="7" t="s">
        <v>3273</v>
      </c>
      <c r="I774" s="8" t="s">
        <v>3318</v>
      </c>
      <c r="J774" s="9">
        <v>1179900</v>
      </c>
      <c r="K774" s="8"/>
      <c r="L774" s="8"/>
      <c r="M774" s="8"/>
      <c r="N774" s="42">
        <f t="shared" si="259"/>
        <v>1179900</v>
      </c>
      <c r="O774" s="42">
        <f t="shared" si="264"/>
        <v>1769850</v>
      </c>
      <c r="P774" s="42"/>
      <c r="Q774" s="42">
        <f t="shared" si="261"/>
        <v>1769850</v>
      </c>
    </row>
    <row r="775" spans="1:18" ht="13.5" x14ac:dyDescent="0.2">
      <c r="A775" s="47" t="s">
        <v>2096</v>
      </c>
      <c r="B775" s="47" t="s">
        <v>2097</v>
      </c>
      <c r="C775" s="21" t="s">
        <v>3190</v>
      </c>
      <c r="D775" s="47" t="s">
        <v>3271</v>
      </c>
      <c r="E775" s="21" t="s">
        <v>31</v>
      </c>
      <c r="F775" s="47" t="s">
        <v>32</v>
      </c>
      <c r="G775" s="21" t="s">
        <v>3272</v>
      </c>
      <c r="H775" s="7" t="s">
        <v>3273</v>
      </c>
      <c r="I775" s="8" t="s">
        <v>3279</v>
      </c>
      <c r="J775" s="9">
        <v>2179800</v>
      </c>
      <c r="K775" s="8"/>
      <c r="L775" s="8"/>
      <c r="M775" s="8"/>
      <c r="N775" s="42">
        <f t="shared" si="259"/>
        <v>2179800</v>
      </c>
      <c r="O775" s="42"/>
      <c r="P775" s="42">
        <f>N775</f>
        <v>2179800</v>
      </c>
      <c r="Q775" s="42">
        <f t="shared" si="261"/>
        <v>2179800</v>
      </c>
      <c r="R775" s="5"/>
    </row>
    <row r="776" spans="1:18" ht="13.5" x14ac:dyDescent="0.2">
      <c r="A776" s="47" t="s">
        <v>2096</v>
      </c>
      <c r="B776" s="47" t="s">
        <v>2097</v>
      </c>
      <c r="C776" s="21" t="s">
        <v>3190</v>
      </c>
      <c r="D776" s="47" t="s">
        <v>3271</v>
      </c>
      <c r="E776" s="21" t="s">
        <v>41</v>
      </c>
      <c r="F776" s="47" t="s">
        <v>32</v>
      </c>
      <c r="G776" s="21" t="s">
        <v>3272</v>
      </c>
      <c r="H776" s="7" t="s">
        <v>3273</v>
      </c>
      <c r="I776" s="8" t="s">
        <v>3323</v>
      </c>
      <c r="J776" s="9">
        <v>3161800</v>
      </c>
      <c r="K776" s="8"/>
      <c r="L776" s="42">
        <f t="shared" ref="L776:L778" si="265">J776*1.5</f>
        <v>4742700</v>
      </c>
      <c r="M776" s="8"/>
      <c r="N776" s="42">
        <f t="shared" ref="N776:N822" si="266">SUM(K776:M776)</f>
        <v>4742700</v>
      </c>
      <c r="O776" s="42">
        <f>N776*1.5</f>
        <v>7114050</v>
      </c>
      <c r="P776" s="42"/>
      <c r="Q776" s="42">
        <f t="shared" si="261"/>
        <v>7114050</v>
      </c>
    </row>
    <row r="777" spans="1:18" ht="13.5" x14ac:dyDescent="0.2">
      <c r="A777" s="47" t="s">
        <v>2096</v>
      </c>
      <c r="B777" s="47" t="s">
        <v>2097</v>
      </c>
      <c r="C777" s="21" t="s">
        <v>3190</v>
      </c>
      <c r="D777" s="47" t="s">
        <v>3271</v>
      </c>
      <c r="E777" s="21" t="s">
        <v>41</v>
      </c>
      <c r="F777" s="47" t="s">
        <v>32</v>
      </c>
      <c r="G777" s="21" t="s">
        <v>3272</v>
      </c>
      <c r="H777" s="7" t="s">
        <v>3273</v>
      </c>
      <c r="I777" s="8" t="s">
        <v>3331</v>
      </c>
      <c r="J777" s="9">
        <v>2613000</v>
      </c>
      <c r="K777" s="8"/>
      <c r="L777" s="42">
        <f t="shared" si="265"/>
        <v>3919500</v>
      </c>
      <c r="M777" s="8"/>
      <c r="N777" s="42">
        <f t="shared" si="266"/>
        <v>3919500</v>
      </c>
      <c r="O777" s="42"/>
      <c r="P777" s="42">
        <f t="shared" ref="P777:P782" si="267">N777</f>
        <v>3919500</v>
      </c>
      <c r="Q777" s="42">
        <f t="shared" si="261"/>
        <v>3919500</v>
      </c>
      <c r="R777" s="5"/>
    </row>
    <row r="778" spans="1:18" ht="13.5" x14ac:dyDescent="0.2">
      <c r="A778" s="47" t="s">
        <v>2096</v>
      </c>
      <c r="B778" s="47" t="s">
        <v>2097</v>
      </c>
      <c r="C778" s="21" t="s">
        <v>3190</v>
      </c>
      <c r="D778" s="47" t="s">
        <v>3271</v>
      </c>
      <c r="E778" s="21" t="s">
        <v>57</v>
      </c>
      <c r="F778" s="47" t="s">
        <v>32</v>
      </c>
      <c r="G778" s="21" t="s">
        <v>3272</v>
      </c>
      <c r="H778" s="7" t="s">
        <v>3273</v>
      </c>
      <c r="I778" s="8" t="s">
        <v>3312</v>
      </c>
      <c r="J778" s="9">
        <v>15317100</v>
      </c>
      <c r="K778" s="8"/>
      <c r="L778" s="42">
        <f t="shared" si="265"/>
        <v>22975650</v>
      </c>
      <c r="M778" s="8"/>
      <c r="N778" s="42">
        <f t="shared" si="266"/>
        <v>22975650</v>
      </c>
      <c r="O778" s="42"/>
      <c r="P778" s="42">
        <f t="shared" si="267"/>
        <v>22975650</v>
      </c>
      <c r="Q778" s="42">
        <f t="shared" si="261"/>
        <v>22975650</v>
      </c>
      <c r="R778" s="5"/>
    </row>
    <row r="779" spans="1:18" ht="13.5" x14ac:dyDescent="0.2">
      <c r="A779" s="47" t="s">
        <v>2096</v>
      </c>
      <c r="B779" s="47" t="s">
        <v>2097</v>
      </c>
      <c r="C779" s="21" t="s">
        <v>2233</v>
      </c>
      <c r="D779" s="47" t="s">
        <v>2234</v>
      </c>
      <c r="E779" s="21" t="s">
        <v>31</v>
      </c>
      <c r="F779" s="47" t="s">
        <v>32</v>
      </c>
      <c r="G779" s="21" t="s">
        <v>2235</v>
      </c>
      <c r="H779" s="7" t="s">
        <v>2236</v>
      </c>
      <c r="I779" s="8" t="s">
        <v>2239</v>
      </c>
      <c r="J779" s="9">
        <v>2239500</v>
      </c>
      <c r="K779" s="8"/>
      <c r="L779" s="8"/>
      <c r="M779" s="8"/>
      <c r="N779" s="42">
        <f t="shared" ref="N779:N802" si="268">J779</f>
        <v>2239500</v>
      </c>
      <c r="O779" s="42"/>
      <c r="P779" s="42">
        <f t="shared" si="267"/>
        <v>2239500</v>
      </c>
      <c r="Q779" s="42">
        <f t="shared" si="261"/>
        <v>2239500</v>
      </c>
      <c r="R779" s="5"/>
    </row>
    <row r="780" spans="1:18" ht="13.5" x14ac:dyDescent="0.2">
      <c r="A780" s="47" t="s">
        <v>2096</v>
      </c>
      <c r="B780" s="47" t="s">
        <v>2097</v>
      </c>
      <c r="C780" s="21" t="s">
        <v>2233</v>
      </c>
      <c r="D780" s="47" t="s">
        <v>2234</v>
      </c>
      <c r="E780" s="21" t="s">
        <v>31</v>
      </c>
      <c r="F780" s="47" t="s">
        <v>32</v>
      </c>
      <c r="G780" s="21" t="s">
        <v>2235</v>
      </c>
      <c r="H780" s="7" t="s">
        <v>2236</v>
      </c>
      <c r="I780" s="8" t="s">
        <v>2249</v>
      </c>
      <c r="J780" s="9">
        <v>1963600</v>
      </c>
      <c r="K780" s="8"/>
      <c r="L780" s="8"/>
      <c r="M780" s="8"/>
      <c r="N780" s="42">
        <f t="shared" si="268"/>
        <v>1963600</v>
      </c>
      <c r="O780" s="42"/>
      <c r="P780" s="42">
        <f t="shared" si="267"/>
        <v>1963600</v>
      </c>
      <c r="Q780" s="42">
        <f t="shared" si="261"/>
        <v>1963600</v>
      </c>
      <c r="R780" s="5"/>
    </row>
    <row r="781" spans="1:18" ht="13.5" x14ac:dyDescent="0.2">
      <c r="A781" s="47" t="s">
        <v>2096</v>
      </c>
      <c r="B781" s="47" t="s">
        <v>2097</v>
      </c>
      <c r="C781" s="21" t="s">
        <v>2233</v>
      </c>
      <c r="D781" s="47" t="s">
        <v>2234</v>
      </c>
      <c r="E781" s="21" t="s">
        <v>31</v>
      </c>
      <c r="F781" s="47" t="s">
        <v>32</v>
      </c>
      <c r="G781" s="21" t="s">
        <v>2235</v>
      </c>
      <c r="H781" s="7" t="s">
        <v>2236</v>
      </c>
      <c r="I781" s="8" t="s">
        <v>2245</v>
      </c>
      <c r="J781" s="9">
        <v>2763600</v>
      </c>
      <c r="K781" s="8"/>
      <c r="L781" s="8"/>
      <c r="M781" s="8"/>
      <c r="N781" s="42">
        <f t="shared" si="268"/>
        <v>2763600</v>
      </c>
      <c r="O781" s="42"/>
      <c r="P781" s="42">
        <f t="shared" si="267"/>
        <v>2763600</v>
      </c>
      <c r="Q781" s="42">
        <f t="shared" si="261"/>
        <v>2763600</v>
      </c>
      <c r="R781" s="5"/>
    </row>
    <row r="782" spans="1:18" ht="13.5" x14ac:dyDescent="0.2">
      <c r="A782" s="47" t="s">
        <v>2096</v>
      </c>
      <c r="B782" s="47" t="s">
        <v>2097</v>
      </c>
      <c r="C782" s="21" t="s">
        <v>2233</v>
      </c>
      <c r="D782" s="47" t="s">
        <v>2234</v>
      </c>
      <c r="E782" s="21" t="s">
        <v>31</v>
      </c>
      <c r="F782" s="47" t="s">
        <v>32</v>
      </c>
      <c r="G782" s="21" t="s">
        <v>2235</v>
      </c>
      <c r="H782" s="7" t="s">
        <v>2236</v>
      </c>
      <c r="I782" s="8" t="s">
        <v>2251</v>
      </c>
      <c r="J782" s="9">
        <v>2957400</v>
      </c>
      <c r="K782" s="8"/>
      <c r="L782" s="8"/>
      <c r="M782" s="8"/>
      <c r="N782" s="42">
        <f t="shared" si="268"/>
        <v>2957400</v>
      </c>
      <c r="O782" s="42"/>
      <c r="P782" s="42">
        <f t="shared" si="267"/>
        <v>2957400</v>
      </c>
      <c r="Q782" s="42">
        <f t="shared" si="261"/>
        <v>2957400</v>
      </c>
      <c r="R782" s="5"/>
    </row>
    <row r="783" spans="1:18" ht="13.5" x14ac:dyDescent="0.2">
      <c r="A783" s="47" t="s">
        <v>2096</v>
      </c>
      <c r="B783" s="47" t="s">
        <v>2097</v>
      </c>
      <c r="C783" s="21" t="s">
        <v>2233</v>
      </c>
      <c r="D783" s="47" t="s">
        <v>2234</v>
      </c>
      <c r="E783" s="21" t="s">
        <v>31</v>
      </c>
      <c r="F783" s="47" t="s">
        <v>32</v>
      </c>
      <c r="G783" s="21" t="s">
        <v>2235</v>
      </c>
      <c r="H783" s="7" t="s">
        <v>2236</v>
      </c>
      <c r="I783" s="8" t="s">
        <v>2241</v>
      </c>
      <c r="J783" s="9">
        <v>599900</v>
      </c>
      <c r="K783" s="8"/>
      <c r="L783" s="8"/>
      <c r="M783" s="8"/>
      <c r="N783" s="42">
        <f t="shared" si="268"/>
        <v>599900</v>
      </c>
      <c r="O783" s="42">
        <f>N783*1.5</f>
        <v>899850</v>
      </c>
      <c r="P783" s="42"/>
      <c r="Q783" s="42">
        <f t="shared" si="261"/>
        <v>899850</v>
      </c>
    </row>
    <row r="784" spans="1:18" ht="13.5" x14ac:dyDescent="0.2">
      <c r="A784" s="47" t="s">
        <v>2096</v>
      </c>
      <c r="B784" s="47" t="s">
        <v>2097</v>
      </c>
      <c r="C784" s="21" t="s">
        <v>2233</v>
      </c>
      <c r="D784" s="47" t="s">
        <v>2234</v>
      </c>
      <c r="E784" s="21" t="s">
        <v>31</v>
      </c>
      <c r="F784" s="47" t="s">
        <v>32</v>
      </c>
      <c r="G784" s="21" t="s">
        <v>2235</v>
      </c>
      <c r="H784" s="7" t="s">
        <v>2236</v>
      </c>
      <c r="I784" s="8" t="s">
        <v>2253</v>
      </c>
      <c r="J784" s="9">
        <v>8454110</v>
      </c>
      <c r="K784" s="8"/>
      <c r="L784" s="8"/>
      <c r="M784" s="8"/>
      <c r="N784" s="42">
        <f t="shared" si="268"/>
        <v>8454110</v>
      </c>
      <c r="O784" s="42"/>
      <c r="P784" s="42">
        <f t="shared" ref="P784:P786" si="269">N784</f>
        <v>8454110</v>
      </c>
      <c r="Q784" s="42">
        <f t="shared" si="261"/>
        <v>8454110</v>
      </c>
      <c r="R784" s="5"/>
    </row>
    <row r="785" spans="1:18" ht="13.5" x14ac:dyDescent="0.2">
      <c r="A785" s="47" t="s">
        <v>2096</v>
      </c>
      <c r="B785" s="47" t="s">
        <v>2097</v>
      </c>
      <c r="C785" s="21" t="s">
        <v>2233</v>
      </c>
      <c r="D785" s="47" t="s">
        <v>2234</v>
      </c>
      <c r="E785" s="21" t="s">
        <v>31</v>
      </c>
      <c r="F785" s="47" t="s">
        <v>32</v>
      </c>
      <c r="G785" s="21" t="s">
        <v>2235</v>
      </c>
      <c r="H785" s="7" t="s">
        <v>2236</v>
      </c>
      <c r="I785" s="8" t="s">
        <v>2255</v>
      </c>
      <c r="J785" s="9">
        <v>4023600</v>
      </c>
      <c r="K785" s="8"/>
      <c r="L785" s="8"/>
      <c r="M785" s="8"/>
      <c r="N785" s="42">
        <f t="shared" si="268"/>
        <v>4023600</v>
      </c>
      <c r="O785" s="42"/>
      <c r="P785" s="42">
        <f t="shared" si="269"/>
        <v>4023600</v>
      </c>
      <c r="Q785" s="42">
        <f t="shared" si="261"/>
        <v>4023600</v>
      </c>
      <c r="R785" s="5"/>
    </row>
    <row r="786" spans="1:18" ht="13.5" x14ac:dyDescent="0.2">
      <c r="A786" s="47" t="s">
        <v>2096</v>
      </c>
      <c r="B786" s="47" t="s">
        <v>2097</v>
      </c>
      <c r="C786" s="21" t="s">
        <v>2233</v>
      </c>
      <c r="D786" s="47" t="s">
        <v>2234</v>
      </c>
      <c r="E786" s="21" t="s">
        <v>31</v>
      </c>
      <c r="F786" s="47" t="s">
        <v>32</v>
      </c>
      <c r="G786" s="21" t="s">
        <v>2235</v>
      </c>
      <c r="H786" s="7" t="s">
        <v>2236</v>
      </c>
      <c r="I786" s="8" t="s">
        <v>2257</v>
      </c>
      <c r="J786" s="9">
        <v>2599800</v>
      </c>
      <c r="K786" s="8"/>
      <c r="L786" s="8"/>
      <c r="M786" s="8"/>
      <c r="N786" s="42">
        <f t="shared" si="268"/>
        <v>2599800</v>
      </c>
      <c r="O786" s="42"/>
      <c r="P786" s="42">
        <f t="shared" si="269"/>
        <v>2599800</v>
      </c>
      <c r="Q786" s="42">
        <f t="shared" si="261"/>
        <v>2599800</v>
      </c>
      <c r="R786" s="5"/>
    </row>
    <row r="787" spans="1:18" ht="13.5" x14ac:dyDescent="0.2">
      <c r="A787" s="47" t="s">
        <v>2096</v>
      </c>
      <c r="B787" s="47" t="s">
        <v>2097</v>
      </c>
      <c r="C787" s="21" t="s">
        <v>2233</v>
      </c>
      <c r="D787" s="47" t="s">
        <v>2234</v>
      </c>
      <c r="E787" s="21" t="s">
        <v>31</v>
      </c>
      <c r="F787" s="47" t="s">
        <v>32</v>
      </c>
      <c r="G787" s="21" t="s">
        <v>2259</v>
      </c>
      <c r="H787" s="7" t="s">
        <v>2260</v>
      </c>
      <c r="I787" s="8" t="s">
        <v>2320</v>
      </c>
      <c r="J787" s="9">
        <v>2315600</v>
      </c>
      <c r="K787" s="8"/>
      <c r="L787" s="8"/>
      <c r="M787" s="8"/>
      <c r="N787" s="42">
        <f t="shared" si="268"/>
        <v>2315600</v>
      </c>
      <c r="O787" s="42">
        <f t="shared" ref="O787:O788" si="270">N787*1.5</f>
        <v>3473400</v>
      </c>
      <c r="P787" s="42"/>
      <c r="Q787" s="42">
        <f t="shared" si="261"/>
        <v>3473400</v>
      </c>
    </row>
    <row r="788" spans="1:18" ht="13.5" x14ac:dyDescent="0.2">
      <c r="A788" s="47" t="s">
        <v>2096</v>
      </c>
      <c r="B788" s="47" t="s">
        <v>2097</v>
      </c>
      <c r="C788" s="21" t="s">
        <v>2233</v>
      </c>
      <c r="D788" s="47" t="s">
        <v>2234</v>
      </c>
      <c r="E788" s="21" t="s">
        <v>31</v>
      </c>
      <c r="F788" s="47" t="s">
        <v>32</v>
      </c>
      <c r="G788" s="21" t="s">
        <v>2259</v>
      </c>
      <c r="H788" s="7" t="s">
        <v>2260</v>
      </c>
      <c r="I788" s="8" t="s">
        <v>2281</v>
      </c>
      <c r="J788" s="9">
        <v>2334300</v>
      </c>
      <c r="K788" s="8"/>
      <c r="L788" s="8"/>
      <c r="M788" s="8"/>
      <c r="N788" s="42">
        <f t="shared" si="268"/>
        <v>2334300</v>
      </c>
      <c r="O788" s="42">
        <f t="shared" si="270"/>
        <v>3501450</v>
      </c>
      <c r="P788" s="42"/>
      <c r="Q788" s="42">
        <f t="shared" si="261"/>
        <v>3501450</v>
      </c>
    </row>
    <row r="789" spans="1:18" ht="13.5" x14ac:dyDescent="0.2">
      <c r="A789" s="47" t="s">
        <v>2096</v>
      </c>
      <c r="B789" s="47" t="s">
        <v>2097</v>
      </c>
      <c r="C789" s="21" t="s">
        <v>2233</v>
      </c>
      <c r="D789" s="47" t="s">
        <v>2234</v>
      </c>
      <c r="E789" s="21" t="s">
        <v>31</v>
      </c>
      <c r="F789" s="47" t="s">
        <v>32</v>
      </c>
      <c r="G789" s="21" t="s">
        <v>2259</v>
      </c>
      <c r="H789" s="7" t="s">
        <v>2260</v>
      </c>
      <c r="I789" s="8" t="s">
        <v>2285</v>
      </c>
      <c r="J789" s="9">
        <v>4799400</v>
      </c>
      <c r="K789" s="8"/>
      <c r="L789" s="8"/>
      <c r="M789" s="8"/>
      <c r="N789" s="42">
        <f t="shared" si="268"/>
        <v>4799400</v>
      </c>
      <c r="O789" s="42"/>
      <c r="P789" s="42">
        <f>N789</f>
        <v>4799400</v>
      </c>
      <c r="Q789" s="42">
        <f t="shared" si="261"/>
        <v>4799400</v>
      </c>
      <c r="R789" s="5"/>
    </row>
    <row r="790" spans="1:18" ht="13.5" x14ac:dyDescent="0.2">
      <c r="A790" s="47" t="s">
        <v>2096</v>
      </c>
      <c r="B790" s="47" t="s">
        <v>2097</v>
      </c>
      <c r="C790" s="21" t="s">
        <v>2233</v>
      </c>
      <c r="D790" s="47" t="s">
        <v>2234</v>
      </c>
      <c r="E790" s="21" t="s">
        <v>31</v>
      </c>
      <c r="F790" s="47" t="s">
        <v>32</v>
      </c>
      <c r="G790" s="21" t="s">
        <v>2259</v>
      </c>
      <c r="H790" s="7" t="s">
        <v>2260</v>
      </c>
      <c r="I790" s="8" t="s">
        <v>2322</v>
      </c>
      <c r="J790" s="9">
        <v>3004500</v>
      </c>
      <c r="K790" s="8"/>
      <c r="L790" s="8"/>
      <c r="M790" s="8"/>
      <c r="N790" s="42">
        <f t="shared" si="268"/>
        <v>3004500</v>
      </c>
      <c r="O790" s="42">
        <f>N790*1.5</f>
        <v>4506750</v>
      </c>
      <c r="P790" s="42"/>
      <c r="Q790" s="42">
        <f t="shared" si="261"/>
        <v>4506750</v>
      </c>
    </row>
    <row r="791" spans="1:18" ht="13.5" x14ac:dyDescent="0.2">
      <c r="A791" s="47" t="s">
        <v>2096</v>
      </c>
      <c r="B791" s="47" t="s">
        <v>2097</v>
      </c>
      <c r="C791" s="21" t="s">
        <v>2233</v>
      </c>
      <c r="D791" s="47" t="s">
        <v>2234</v>
      </c>
      <c r="E791" s="21" t="s">
        <v>31</v>
      </c>
      <c r="F791" s="47" t="s">
        <v>32</v>
      </c>
      <c r="G791" s="21" t="s">
        <v>2259</v>
      </c>
      <c r="H791" s="7" t="s">
        <v>2260</v>
      </c>
      <c r="I791" s="8" t="s">
        <v>2287</v>
      </c>
      <c r="J791" s="9">
        <v>2281800</v>
      </c>
      <c r="K791" s="8"/>
      <c r="L791" s="8"/>
      <c r="M791" s="8"/>
      <c r="N791" s="42">
        <f t="shared" si="268"/>
        <v>2281800</v>
      </c>
      <c r="O791" s="42"/>
      <c r="P791" s="42">
        <f>N791</f>
        <v>2281800</v>
      </c>
      <c r="Q791" s="42">
        <f t="shared" si="261"/>
        <v>2281800</v>
      </c>
      <c r="R791" s="5"/>
    </row>
    <row r="792" spans="1:18" ht="13.5" x14ac:dyDescent="0.2">
      <c r="A792" s="47" t="s">
        <v>2096</v>
      </c>
      <c r="B792" s="47" t="s">
        <v>2097</v>
      </c>
      <c r="C792" s="21" t="s">
        <v>2233</v>
      </c>
      <c r="D792" s="47" t="s">
        <v>2234</v>
      </c>
      <c r="E792" s="21" t="s">
        <v>31</v>
      </c>
      <c r="F792" s="47" t="s">
        <v>32</v>
      </c>
      <c r="G792" s="21" t="s">
        <v>2259</v>
      </c>
      <c r="H792" s="7" t="s">
        <v>2260</v>
      </c>
      <c r="I792" s="8" t="s">
        <v>2271</v>
      </c>
      <c r="J792" s="9">
        <v>1281800</v>
      </c>
      <c r="K792" s="8"/>
      <c r="L792" s="8"/>
      <c r="M792" s="8"/>
      <c r="N792" s="42">
        <f t="shared" si="268"/>
        <v>1281800</v>
      </c>
      <c r="O792" s="42">
        <f>N792*1.5</f>
        <v>1922700</v>
      </c>
      <c r="P792" s="42"/>
      <c r="Q792" s="42">
        <f t="shared" si="261"/>
        <v>1922700</v>
      </c>
    </row>
    <row r="793" spans="1:18" ht="13.5" x14ac:dyDescent="0.2">
      <c r="A793" s="47" t="s">
        <v>2096</v>
      </c>
      <c r="B793" s="47" t="s">
        <v>2097</v>
      </c>
      <c r="C793" s="21" t="s">
        <v>2233</v>
      </c>
      <c r="D793" s="47" t="s">
        <v>2234</v>
      </c>
      <c r="E793" s="21" t="s">
        <v>31</v>
      </c>
      <c r="F793" s="47" t="s">
        <v>32</v>
      </c>
      <c r="G793" s="21" t="s">
        <v>2259</v>
      </c>
      <c r="H793" s="7" t="s">
        <v>2260</v>
      </c>
      <c r="I793" s="8" t="s">
        <v>2289</v>
      </c>
      <c r="J793" s="9">
        <v>10778900</v>
      </c>
      <c r="K793" s="8"/>
      <c r="L793" s="8"/>
      <c r="M793" s="8"/>
      <c r="N793" s="42">
        <f t="shared" si="268"/>
        <v>10778900</v>
      </c>
      <c r="O793" s="42"/>
      <c r="P793" s="42">
        <f>N793</f>
        <v>10778900</v>
      </c>
      <c r="Q793" s="42">
        <f t="shared" si="261"/>
        <v>10778900</v>
      </c>
      <c r="R793" s="5"/>
    </row>
    <row r="794" spans="1:18" ht="13.5" x14ac:dyDescent="0.2">
      <c r="A794" s="47" t="s">
        <v>2096</v>
      </c>
      <c r="B794" s="47" t="s">
        <v>2097</v>
      </c>
      <c r="C794" s="21" t="s">
        <v>2233</v>
      </c>
      <c r="D794" s="47" t="s">
        <v>2234</v>
      </c>
      <c r="E794" s="21" t="s">
        <v>31</v>
      </c>
      <c r="F794" s="47" t="s">
        <v>32</v>
      </c>
      <c r="G794" s="21" t="s">
        <v>2259</v>
      </c>
      <c r="H794" s="7" t="s">
        <v>2260</v>
      </c>
      <c r="I794" s="8" t="s">
        <v>2326</v>
      </c>
      <c r="J794" s="9">
        <v>4593200</v>
      </c>
      <c r="K794" s="8"/>
      <c r="L794" s="8"/>
      <c r="M794" s="8"/>
      <c r="N794" s="42">
        <f t="shared" si="268"/>
        <v>4593200</v>
      </c>
      <c r="O794" s="42">
        <f>N794*1.5</f>
        <v>6889800</v>
      </c>
      <c r="P794" s="42"/>
      <c r="Q794" s="42">
        <f t="shared" si="261"/>
        <v>6889800</v>
      </c>
    </row>
    <row r="795" spans="1:18" ht="13.5" x14ac:dyDescent="0.2">
      <c r="A795" s="47" t="s">
        <v>2096</v>
      </c>
      <c r="B795" s="47" t="s">
        <v>2097</v>
      </c>
      <c r="C795" s="21" t="s">
        <v>2233</v>
      </c>
      <c r="D795" s="47" t="s">
        <v>2234</v>
      </c>
      <c r="E795" s="21" t="s">
        <v>31</v>
      </c>
      <c r="F795" s="47" t="s">
        <v>32</v>
      </c>
      <c r="G795" s="21" t="s">
        <v>2259</v>
      </c>
      <c r="H795" s="7" t="s">
        <v>2260</v>
      </c>
      <c r="I795" s="8" t="s">
        <v>2336</v>
      </c>
      <c r="J795" s="9">
        <v>1419500</v>
      </c>
      <c r="K795" s="8"/>
      <c r="L795" s="8"/>
      <c r="M795" s="8"/>
      <c r="N795" s="42">
        <f t="shared" si="268"/>
        <v>1419500</v>
      </c>
      <c r="O795" s="42"/>
      <c r="P795" s="42">
        <f>N795</f>
        <v>1419500</v>
      </c>
      <c r="Q795" s="42">
        <f t="shared" si="261"/>
        <v>1419500</v>
      </c>
      <c r="R795" s="5"/>
    </row>
    <row r="796" spans="1:18" ht="13.5" x14ac:dyDescent="0.2">
      <c r="A796" s="47" t="s">
        <v>2096</v>
      </c>
      <c r="B796" s="47" t="s">
        <v>2097</v>
      </c>
      <c r="C796" s="21" t="s">
        <v>2233</v>
      </c>
      <c r="D796" s="47" t="s">
        <v>2234</v>
      </c>
      <c r="E796" s="21" t="s">
        <v>31</v>
      </c>
      <c r="F796" s="47" t="s">
        <v>32</v>
      </c>
      <c r="G796" s="21" t="s">
        <v>2259</v>
      </c>
      <c r="H796" s="7" t="s">
        <v>2260</v>
      </c>
      <c r="I796" s="8" t="s">
        <v>2318</v>
      </c>
      <c r="J796" s="9">
        <v>1549500</v>
      </c>
      <c r="K796" s="8"/>
      <c r="L796" s="8"/>
      <c r="M796" s="8"/>
      <c r="N796" s="42">
        <f t="shared" si="268"/>
        <v>1549500</v>
      </c>
      <c r="O796" s="42">
        <f>N796*1.5</f>
        <v>2324250</v>
      </c>
      <c r="P796" s="42"/>
      <c r="Q796" s="42">
        <f t="shared" si="261"/>
        <v>2324250</v>
      </c>
    </row>
    <row r="797" spans="1:18" ht="13.5" x14ac:dyDescent="0.2">
      <c r="A797" s="47" t="s">
        <v>2096</v>
      </c>
      <c r="B797" s="47" t="s">
        <v>2097</v>
      </c>
      <c r="C797" s="21" t="s">
        <v>2233</v>
      </c>
      <c r="D797" s="47" t="s">
        <v>2234</v>
      </c>
      <c r="E797" s="21" t="s">
        <v>31</v>
      </c>
      <c r="F797" s="47" t="s">
        <v>32</v>
      </c>
      <c r="G797" s="21" t="s">
        <v>2259</v>
      </c>
      <c r="H797" s="7" t="s">
        <v>2260</v>
      </c>
      <c r="I797" s="8" t="s">
        <v>2305</v>
      </c>
      <c r="J797" s="9">
        <v>1053800</v>
      </c>
      <c r="K797" s="8"/>
      <c r="L797" s="8"/>
      <c r="M797" s="8"/>
      <c r="N797" s="42">
        <f t="shared" si="268"/>
        <v>1053800</v>
      </c>
      <c r="O797" s="42"/>
      <c r="P797" s="42">
        <f>N797</f>
        <v>1053800</v>
      </c>
      <c r="Q797" s="42">
        <f t="shared" si="261"/>
        <v>1053800</v>
      </c>
      <c r="R797" s="5"/>
    </row>
    <row r="798" spans="1:18" ht="13.5" x14ac:dyDescent="0.2">
      <c r="A798" s="47" t="s">
        <v>2096</v>
      </c>
      <c r="B798" s="47" t="s">
        <v>2097</v>
      </c>
      <c r="C798" s="21" t="s">
        <v>2233</v>
      </c>
      <c r="D798" s="47" t="s">
        <v>2234</v>
      </c>
      <c r="E798" s="21" t="s">
        <v>31</v>
      </c>
      <c r="F798" s="47" t="s">
        <v>32</v>
      </c>
      <c r="G798" s="21" t="s">
        <v>2259</v>
      </c>
      <c r="H798" s="7" t="s">
        <v>2260</v>
      </c>
      <c r="I798" s="8" t="s">
        <v>2307</v>
      </c>
      <c r="J798" s="9">
        <v>1053800</v>
      </c>
      <c r="K798" s="8"/>
      <c r="L798" s="8"/>
      <c r="M798" s="8"/>
      <c r="N798" s="42">
        <f t="shared" si="268"/>
        <v>1053800</v>
      </c>
      <c r="O798" s="42">
        <f>N798*1.5</f>
        <v>1580700</v>
      </c>
      <c r="P798" s="42"/>
      <c r="Q798" s="42">
        <f t="shared" si="261"/>
        <v>1580700</v>
      </c>
    </row>
    <row r="799" spans="1:18" ht="13.5" x14ac:dyDescent="0.2">
      <c r="A799" s="47" t="s">
        <v>2096</v>
      </c>
      <c r="B799" s="47" t="s">
        <v>2097</v>
      </c>
      <c r="C799" s="21" t="s">
        <v>2233</v>
      </c>
      <c r="D799" s="47" t="s">
        <v>2234</v>
      </c>
      <c r="E799" s="21" t="s">
        <v>31</v>
      </c>
      <c r="F799" s="47" t="s">
        <v>32</v>
      </c>
      <c r="G799" s="21" t="s">
        <v>2259</v>
      </c>
      <c r="H799" s="7" t="s">
        <v>2260</v>
      </c>
      <c r="I799" s="8" t="s">
        <v>2293</v>
      </c>
      <c r="J799" s="9">
        <v>2055800</v>
      </c>
      <c r="K799" s="8"/>
      <c r="L799" s="8"/>
      <c r="M799" s="8"/>
      <c r="N799" s="42">
        <f t="shared" si="268"/>
        <v>2055800</v>
      </c>
      <c r="O799" s="42"/>
      <c r="P799" s="42">
        <f>N799</f>
        <v>2055800</v>
      </c>
      <c r="Q799" s="42">
        <f t="shared" si="261"/>
        <v>2055800</v>
      </c>
      <c r="R799" s="5"/>
    </row>
    <row r="800" spans="1:18" ht="13.5" x14ac:dyDescent="0.2">
      <c r="A800" s="47" t="s">
        <v>2096</v>
      </c>
      <c r="B800" s="47" t="s">
        <v>2097</v>
      </c>
      <c r="C800" s="21" t="s">
        <v>2233</v>
      </c>
      <c r="D800" s="47" t="s">
        <v>2234</v>
      </c>
      <c r="E800" s="21" t="s">
        <v>31</v>
      </c>
      <c r="F800" s="47" t="s">
        <v>32</v>
      </c>
      <c r="G800" s="21" t="s">
        <v>2259</v>
      </c>
      <c r="H800" s="7" t="s">
        <v>2260</v>
      </c>
      <c r="I800" s="8" t="s">
        <v>2324</v>
      </c>
      <c r="J800" s="9">
        <v>3551600</v>
      </c>
      <c r="K800" s="8"/>
      <c r="L800" s="8"/>
      <c r="M800" s="8"/>
      <c r="N800" s="42">
        <f t="shared" si="268"/>
        <v>3551600</v>
      </c>
      <c r="O800" s="42">
        <f>N800*1.5</f>
        <v>5327400</v>
      </c>
      <c r="P800" s="42"/>
      <c r="Q800" s="42">
        <f t="shared" si="261"/>
        <v>5327400</v>
      </c>
    </row>
    <row r="801" spans="1:18" ht="13.5" x14ac:dyDescent="0.2">
      <c r="A801" s="47" t="s">
        <v>2096</v>
      </c>
      <c r="B801" s="47" t="s">
        <v>2097</v>
      </c>
      <c r="C801" s="21" t="s">
        <v>2233</v>
      </c>
      <c r="D801" s="47" t="s">
        <v>2234</v>
      </c>
      <c r="E801" s="21" t="s">
        <v>31</v>
      </c>
      <c r="F801" s="47" t="s">
        <v>32</v>
      </c>
      <c r="G801" s="21" t="s">
        <v>2259</v>
      </c>
      <c r="H801" s="7" t="s">
        <v>2260</v>
      </c>
      <c r="I801" s="8" t="s">
        <v>2312</v>
      </c>
      <c r="J801" s="9">
        <v>1655800</v>
      </c>
      <c r="K801" s="8"/>
      <c r="L801" s="8"/>
      <c r="M801" s="8"/>
      <c r="N801" s="42">
        <f t="shared" si="268"/>
        <v>1655800</v>
      </c>
      <c r="O801" s="42"/>
      <c r="P801" s="42">
        <f t="shared" ref="P801:P803" si="271">N801</f>
        <v>1655800</v>
      </c>
      <c r="Q801" s="42">
        <f t="shared" si="261"/>
        <v>1655800</v>
      </c>
      <c r="R801" s="5"/>
    </row>
    <row r="802" spans="1:18" ht="13.5" x14ac:dyDescent="0.2">
      <c r="A802" s="47" t="s">
        <v>2096</v>
      </c>
      <c r="B802" s="47" t="s">
        <v>2097</v>
      </c>
      <c r="C802" s="21" t="s">
        <v>2233</v>
      </c>
      <c r="D802" s="47" t="s">
        <v>2234</v>
      </c>
      <c r="E802" s="21" t="s">
        <v>31</v>
      </c>
      <c r="F802" s="47" t="s">
        <v>32</v>
      </c>
      <c r="G802" s="21" t="s">
        <v>2259</v>
      </c>
      <c r="H802" s="7" t="s">
        <v>2260</v>
      </c>
      <c r="I802" s="8" t="s">
        <v>2314</v>
      </c>
      <c r="J802" s="9">
        <v>8239500</v>
      </c>
      <c r="K802" s="8"/>
      <c r="L802" s="8"/>
      <c r="M802" s="8"/>
      <c r="N802" s="42">
        <f t="shared" si="268"/>
        <v>8239500</v>
      </c>
      <c r="O802" s="42"/>
      <c r="P802" s="42">
        <f t="shared" si="271"/>
        <v>8239500</v>
      </c>
      <c r="Q802" s="42">
        <f t="shared" si="261"/>
        <v>8239500</v>
      </c>
      <c r="R802" s="5"/>
    </row>
    <row r="803" spans="1:18" ht="13.5" x14ac:dyDescent="0.2">
      <c r="A803" s="47" t="s">
        <v>2096</v>
      </c>
      <c r="B803" s="47" t="s">
        <v>2097</v>
      </c>
      <c r="C803" s="21" t="s">
        <v>2233</v>
      </c>
      <c r="D803" s="47" t="s">
        <v>2234</v>
      </c>
      <c r="E803" s="21" t="s">
        <v>41</v>
      </c>
      <c r="F803" s="47" t="s">
        <v>32</v>
      </c>
      <c r="G803" s="21" t="s">
        <v>2235</v>
      </c>
      <c r="H803" s="7" t="s">
        <v>2236</v>
      </c>
      <c r="I803" s="8" t="s">
        <v>2237</v>
      </c>
      <c r="J803" s="9">
        <v>2256200</v>
      </c>
      <c r="K803" s="8"/>
      <c r="L803" s="42">
        <f t="shared" ref="L803:L814" si="272">J803*1.5</f>
        <v>3384300</v>
      </c>
      <c r="M803" s="8"/>
      <c r="N803" s="42">
        <f t="shared" si="266"/>
        <v>3384300</v>
      </c>
      <c r="O803" s="42"/>
      <c r="P803" s="42">
        <f t="shared" si="271"/>
        <v>3384300</v>
      </c>
      <c r="Q803" s="42">
        <f t="shared" si="261"/>
        <v>3384300</v>
      </c>
      <c r="R803" s="5"/>
    </row>
    <row r="804" spans="1:18" ht="13.5" x14ac:dyDescent="0.2">
      <c r="A804" s="47" t="s">
        <v>2096</v>
      </c>
      <c r="B804" s="47" t="s">
        <v>2097</v>
      </c>
      <c r="C804" s="21" t="s">
        <v>2233</v>
      </c>
      <c r="D804" s="47" t="s">
        <v>2234</v>
      </c>
      <c r="E804" s="21" t="s">
        <v>41</v>
      </c>
      <c r="F804" s="47" t="s">
        <v>32</v>
      </c>
      <c r="G804" s="21" t="s">
        <v>2235</v>
      </c>
      <c r="H804" s="7" t="s">
        <v>2236</v>
      </c>
      <c r="I804" s="8" t="s">
        <v>2243</v>
      </c>
      <c r="J804" s="9">
        <v>2043800</v>
      </c>
      <c r="K804" s="8"/>
      <c r="L804" s="42">
        <f t="shared" si="272"/>
        <v>3065700</v>
      </c>
      <c r="M804" s="8"/>
      <c r="N804" s="42">
        <f t="shared" si="266"/>
        <v>3065700</v>
      </c>
      <c r="O804" s="42">
        <f t="shared" ref="O804:O805" si="273">N804*1.5</f>
        <v>4598550</v>
      </c>
      <c r="P804" s="42"/>
      <c r="Q804" s="42">
        <f t="shared" si="261"/>
        <v>4598550</v>
      </c>
    </row>
    <row r="805" spans="1:18" ht="13.5" x14ac:dyDescent="0.2">
      <c r="A805" s="47" t="s">
        <v>2096</v>
      </c>
      <c r="B805" s="47" t="s">
        <v>2097</v>
      </c>
      <c r="C805" s="21" t="s">
        <v>2233</v>
      </c>
      <c r="D805" s="47" t="s">
        <v>2234</v>
      </c>
      <c r="E805" s="21" t="s">
        <v>41</v>
      </c>
      <c r="F805" s="47" t="s">
        <v>32</v>
      </c>
      <c r="G805" s="21" t="s">
        <v>2259</v>
      </c>
      <c r="H805" s="7" t="s">
        <v>2260</v>
      </c>
      <c r="I805" s="8" t="s">
        <v>2342</v>
      </c>
      <c r="J805" s="9">
        <v>1881800</v>
      </c>
      <c r="K805" s="8"/>
      <c r="L805" s="42">
        <f t="shared" si="272"/>
        <v>2822700</v>
      </c>
      <c r="M805" s="8"/>
      <c r="N805" s="42">
        <f t="shared" si="266"/>
        <v>2822700</v>
      </c>
      <c r="O805" s="42">
        <f t="shared" si="273"/>
        <v>4234050</v>
      </c>
      <c r="P805" s="42"/>
      <c r="Q805" s="42">
        <f t="shared" si="261"/>
        <v>4234050</v>
      </c>
    </row>
    <row r="806" spans="1:18" ht="13.5" x14ac:dyDescent="0.2">
      <c r="A806" s="47" t="s">
        <v>2096</v>
      </c>
      <c r="B806" s="47" t="s">
        <v>2097</v>
      </c>
      <c r="C806" s="21" t="s">
        <v>2233</v>
      </c>
      <c r="D806" s="47" t="s">
        <v>2234</v>
      </c>
      <c r="E806" s="21" t="s">
        <v>41</v>
      </c>
      <c r="F806" s="47" t="s">
        <v>32</v>
      </c>
      <c r="G806" s="21" t="s">
        <v>2259</v>
      </c>
      <c r="H806" s="7" t="s">
        <v>2260</v>
      </c>
      <c r="I806" s="8" t="s">
        <v>2265</v>
      </c>
      <c r="J806" s="9">
        <v>4031600</v>
      </c>
      <c r="K806" s="8"/>
      <c r="L806" s="42">
        <f t="shared" si="272"/>
        <v>6047400</v>
      </c>
      <c r="M806" s="8"/>
      <c r="N806" s="42">
        <f t="shared" si="266"/>
        <v>6047400</v>
      </c>
      <c r="O806" s="42"/>
      <c r="P806" s="42">
        <f t="shared" ref="P806:P808" si="274">N806</f>
        <v>6047400</v>
      </c>
      <c r="Q806" s="42">
        <f t="shared" si="261"/>
        <v>6047400</v>
      </c>
      <c r="R806" s="5"/>
    </row>
    <row r="807" spans="1:18" ht="13.5" x14ac:dyDescent="0.2">
      <c r="A807" s="47" t="s">
        <v>2096</v>
      </c>
      <c r="B807" s="47" t="s">
        <v>2097</v>
      </c>
      <c r="C807" s="21" t="s">
        <v>2233</v>
      </c>
      <c r="D807" s="47" t="s">
        <v>2234</v>
      </c>
      <c r="E807" s="21" t="s">
        <v>41</v>
      </c>
      <c r="F807" s="47" t="s">
        <v>32</v>
      </c>
      <c r="G807" s="21" t="s">
        <v>2259</v>
      </c>
      <c r="H807" s="7" t="s">
        <v>2260</v>
      </c>
      <c r="I807" s="8" t="s">
        <v>2267</v>
      </c>
      <c r="J807" s="9">
        <v>4512400</v>
      </c>
      <c r="K807" s="8"/>
      <c r="L807" s="42">
        <f t="shared" si="272"/>
        <v>6768600</v>
      </c>
      <c r="M807" s="8"/>
      <c r="N807" s="42">
        <f t="shared" si="266"/>
        <v>6768600</v>
      </c>
      <c r="O807" s="42"/>
      <c r="P807" s="42">
        <f t="shared" si="274"/>
        <v>6768600</v>
      </c>
      <c r="Q807" s="42">
        <f t="shared" si="261"/>
        <v>6768600</v>
      </c>
      <c r="R807" s="5"/>
    </row>
    <row r="808" spans="1:18" ht="13.5" x14ac:dyDescent="0.2">
      <c r="A808" s="47" t="s">
        <v>2096</v>
      </c>
      <c r="B808" s="47" t="s">
        <v>2097</v>
      </c>
      <c r="C808" s="21" t="s">
        <v>2233</v>
      </c>
      <c r="D808" s="47" t="s">
        <v>2234</v>
      </c>
      <c r="E808" s="21" t="s">
        <v>41</v>
      </c>
      <c r="F808" s="47" t="s">
        <v>32</v>
      </c>
      <c r="G808" s="21" t="s">
        <v>2259</v>
      </c>
      <c r="H808" s="7" t="s">
        <v>2260</v>
      </c>
      <c r="I808" s="8" t="s">
        <v>2297</v>
      </c>
      <c r="J808" s="9">
        <v>4399000</v>
      </c>
      <c r="K808" s="8"/>
      <c r="L808" s="42">
        <f t="shared" si="272"/>
        <v>6598500</v>
      </c>
      <c r="M808" s="8"/>
      <c r="N808" s="42">
        <f t="shared" si="266"/>
        <v>6598500</v>
      </c>
      <c r="O808" s="42"/>
      <c r="P808" s="42">
        <f t="shared" si="274"/>
        <v>6598500</v>
      </c>
      <c r="Q808" s="42">
        <f t="shared" si="261"/>
        <v>6598500</v>
      </c>
      <c r="R808" s="5"/>
    </row>
    <row r="809" spans="1:18" ht="13.5" x14ac:dyDescent="0.2">
      <c r="A809" s="47" t="s">
        <v>2096</v>
      </c>
      <c r="B809" s="47" t="s">
        <v>2097</v>
      </c>
      <c r="C809" s="21" t="s">
        <v>2233</v>
      </c>
      <c r="D809" s="47" t="s">
        <v>2234</v>
      </c>
      <c r="E809" s="21" t="s">
        <v>41</v>
      </c>
      <c r="F809" s="47" t="s">
        <v>32</v>
      </c>
      <c r="G809" s="21" t="s">
        <v>2259</v>
      </c>
      <c r="H809" s="7" t="s">
        <v>2260</v>
      </c>
      <c r="I809" s="8" t="s">
        <v>1433</v>
      </c>
      <c r="J809" s="9">
        <v>10910000</v>
      </c>
      <c r="K809" s="8"/>
      <c r="L809" s="42">
        <f t="shared" si="272"/>
        <v>16365000</v>
      </c>
      <c r="M809" s="8"/>
      <c r="N809" s="42">
        <f t="shared" si="266"/>
        <v>16365000</v>
      </c>
      <c r="O809" s="42">
        <f>N809*1.5</f>
        <v>24547500</v>
      </c>
      <c r="P809" s="42"/>
      <c r="Q809" s="42">
        <f t="shared" si="261"/>
        <v>24547500</v>
      </c>
    </row>
    <row r="810" spans="1:18" ht="13.5" x14ac:dyDescent="0.2">
      <c r="A810" s="47" t="s">
        <v>2096</v>
      </c>
      <c r="B810" s="47" t="s">
        <v>2097</v>
      </c>
      <c r="C810" s="21" t="s">
        <v>2233</v>
      </c>
      <c r="D810" s="47" t="s">
        <v>2234</v>
      </c>
      <c r="E810" s="21" t="s">
        <v>57</v>
      </c>
      <c r="F810" s="47" t="s">
        <v>32</v>
      </c>
      <c r="G810" s="21" t="s">
        <v>2235</v>
      </c>
      <c r="H810" s="7" t="s">
        <v>2236</v>
      </c>
      <c r="I810" s="8" t="s">
        <v>2247</v>
      </c>
      <c r="J810" s="9">
        <v>7399800</v>
      </c>
      <c r="K810" s="8"/>
      <c r="L810" s="42">
        <f t="shared" si="272"/>
        <v>11099700</v>
      </c>
      <c r="M810" s="8"/>
      <c r="N810" s="42">
        <f t="shared" si="266"/>
        <v>11099700</v>
      </c>
      <c r="O810" s="42"/>
      <c r="P810" s="42">
        <f t="shared" ref="P810:P811" si="275">N810</f>
        <v>11099700</v>
      </c>
      <c r="Q810" s="42">
        <f t="shared" si="261"/>
        <v>11099700</v>
      </c>
      <c r="R810" s="5"/>
    </row>
    <row r="811" spans="1:18" ht="13.5" x14ac:dyDescent="0.2">
      <c r="A811" s="47" t="s">
        <v>2096</v>
      </c>
      <c r="B811" s="47" t="s">
        <v>2097</v>
      </c>
      <c r="C811" s="21" t="s">
        <v>2233</v>
      </c>
      <c r="D811" s="47" t="s">
        <v>2234</v>
      </c>
      <c r="E811" s="21" t="s">
        <v>57</v>
      </c>
      <c r="F811" s="47" t="s">
        <v>32</v>
      </c>
      <c r="G811" s="21" t="s">
        <v>2259</v>
      </c>
      <c r="H811" s="7" t="s">
        <v>2260</v>
      </c>
      <c r="I811" s="8" t="s">
        <v>2269</v>
      </c>
      <c r="J811" s="9">
        <v>4497000</v>
      </c>
      <c r="K811" s="8"/>
      <c r="L811" s="42">
        <f t="shared" si="272"/>
        <v>6745500</v>
      </c>
      <c r="M811" s="8"/>
      <c r="N811" s="42">
        <f t="shared" si="266"/>
        <v>6745500</v>
      </c>
      <c r="O811" s="42"/>
      <c r="P811" s="42">
        <f t="shared" si="275"/>
        <v>6745500</v>
      </c>
      <c r="Q811" s="42">
        <f t="shared" si="261"/>
        <v>6745500</v>
      </c>
      <c r="R811" s="5"/>
    </row>
    <row r="812" spans="1:18" ht="13.5" x14ac:dyDescent="0.2">
      <c r="A812" s="47" t="s">
        <v>2096</v>
      </c>
      <c r="B812" s="47" t="s">
        <v>2097</v>
      </c>
      <c r="C812" s="21" t="s">
        <v>2233</v>
      </c>
      <c r="D812" s="47" t="s">
        <v>2234</v>
      </c>
      <c r="E812" s="21" t="s">
        <v>57</v>
      </c>
      <c r="F812" s="47" t="s">
        <v>32</v>
      </c>
      <c r="G812" s="21" t="s">
        <v>2259</v>
      </c>
      <c r="H812" s="7" t="s">
        <v>2260</v>
      </c>
      <c r="I812" s="8" t="s">
        <v>2334</v>
      </c>
      <c r="J812" s="9">
        <v>4367600</v>
      </c>
      <c r="K812" s="8"/>
      <c r="L812" s="42">
        <f t="shared" si="272"/>
        <v>6551400</v>
      </c>
      <c r="M812" s="8"/>
      <c r="N812" s="42">
        <f t="shared" si="266"/>
        <v>6551400</v>
      </c>
      <c r="O812" s="42">
        <f t="shared" ref="O812:O815" si="276">N812*1.5</f>
        <v>9827100</v>
      </c>
      <c r="P812" s="42"/>
      <c r="Q812" s="42">
        <f t="shared" si="261"/>
        <v>9827100</v>
      </c>
    </row>
    <row r="813" spans="1:18" ht="13.5" x14ac:dyDescent="0.2">
      <c r="A813" s="47" t="s">
        <v>2096</v>
      </c>
      <c r="B813" s="47" t="s">
        <v>2097</v>
      </c>
      <c r="C813" s="21" t="s">
        <v>2233</v>
      </c>
      <c r="D813" s="47" t="s">
        <v>2234</v>
      </c>
      <c r="E813" s="21" t="s">
        <v>57</v>
      </c>
      <c r="F813" s="47" t="s">
        <v>32</v>
      </c>
      <c r="G813" s="21" t="s">
        <v>2259</v>
      </c>
      <c r="H813" s="7" t="s">
        <v>2260</v>
      </c>
      <c r="I813" s="8" t="s">
        <v>2278</v>
      </c>
      <c r="J813" s="9">
        <v>3799800</v>
      </c>
      <c r="K813" s="8"/>
      <c r="L813" s="42">
        <f t="shared" si="272"/>
        <v>5699700</v>
      </c>
      <c r="M813" s="8"/>
      <c r="N813" s="42">
        <f t="shared" si="266"/>
        <v>5699700</v>
      </c>
      <c r="O813" s="42">
        <f t="shared" si="276"/>
        <v>8549550</v>
      </c>
      <c r="P813" s="42"/>
      <c r="Q813" s="42">
        <f t="shared" si="261"/>
        <v>8549550</v>
      </c>
    </row>
    <row r="814" spans="1:18" ht="13.5" x14ac:dyDescent="0.2">
      <c r="A814" s="47" t="s">
        <v>2096</v>
      </c>
      <c r="B814" s="47" t="s">
        <v>2097</v>
      </c>
      <c r="C814" s="21" t="s">
        <v>2233</v>
      </c>
      <c r="D814" s="47" t="s">
        <v>2234</v>
      </c>
      <c r="E814" s="21" t="s">
        <v>57</v>
      </c>
      <c r="F814" s="47" t="s">
        <v>32</v>
      </c>
      <c r="G814" s="21" t="s">
        <v>2259</v>
      </c>
      <c r="H814" s="7" t="s">
        <v>2260</v>
      </c>
      <c r="I814" s="8" t="s">
        <v>2332</v>
      </c>
      <c r="J814" s="9">
        <v>4403700</v>
      </c>
      <c r="K814" s="8"/>
      <c r="L814" s="42">
        <f t="shared" si="272"/>
        <v>6605550</v>
      </c>
      <c r="M814" s="8"/>
      <c r="N814" s="42">
        <f t="shared" si="266"/>
        <v>6605550</v>
      </c>
      <c r="O814" s="42">
        <f t="shared" si="276"/>
        <v>9908325</v>
      </c>
      <c r="P814" s="42"/>
      <c r="Q814" s="42">
        <f t="shared" si="261"/>
        <v>9908325</v>
      </c>
    </row>
    <row r="815" spans="1:18" ht="13.5" x14ac:dyDescent="0.2">
      <c r="A815" s="47" t="s">
        <v>2096</v>
      </c>
      <c r="B815" s="47" t="s">
        <v>2097</v>
      </c>
      <c r="C815" s="21" t="s">
        <v>2233</v>
      </c>
      <c r="D815" s="47" t="s">
        <v>2344</v>
      </c>
      <c r="E815" s="21" t="s">
        <v>31</v>
      </c>
      <c r="F815" s="47" t="s">
        <v>32</v>
      </c>
      <c r="G815" s="21" t="s">
        <v>2345</v>
      </c>
      <c r="H815" s="7" t="s">
        <v>2346</v>
      </c>
      <c r="I815" s="8" t="s">
        <v>2077</v>
      </c>
      <c r="J815" s="9">
        <v>1599800</v>
      </c>
      <c r="K815" s="8"/>
      <c r="L815" s="8"/>
      <c r="M815" s="8"/>
      <c r="N815" s="42">
        <f t="shared" ref="N815:N819" si="277">J815</f>
        <v>1599800</v>
      </c>
      <c r="O815" s="42">
        <f t="shared" si="276"/>
        <v>2399700</v>
      </c>
      <c r="P815" s="42"/>
      <c r="Q815" s="42">
        <f t="shared" si="261"/>
        <v>2399700</v>
      </c>
    </row>
    <row r="816" spans="1:18" ht="13.5" x14ac:dyDescent="0.2">
      <c r="A816" s="47" t="s">
        <v>2096</v>
      </c>
      <c r="B816" s="47" t="s">
        <v>2097</v>
      </c>
      <c r="C816" s="21" t="s">
        <v>2233</v>
      </c>
      <c r="D816" s="47" t="s">
        <v>2344</v>
      </c>
      <c r="E816" s="21" t="s">
        <v>31</v>
      </c>
      <c r="F816" s="47" t="s">
        <v>32</v>
      </c>
      <c r="G816" s="21" t="s">
        <v>2345</v>
      </c>
      <c r="H816" s="7" t="s">
        <v>2346</v>
      </c>
      <c r="I816" s="8" t="s">
        <v>2350</v>
      </c>
      <c r="J816" s="9">
        <v>4134500</v>
      </c>
      <c r="K816" s="8"/>
      <c r="L816" s="8"/>
      <c r="M816" s="8"/>
      <c r="N816" s="42">
        <f t="shared" si="277"/>
        <v>4134500</v>
      </c>
      <c r="O816" s="42"/>
      <c r="P816" s="42">
        <f>N816</f>
        <v>4134500</v>
      </c>
      <c r="Q816" s="42">
        <f t="shared" si="261"/>
        <v>4134500</v>
      </c>
      <c r="R816" s="5"/>
    </row>
    <row r="817" spans="1:18" ht="13.5" x14ac:dyDescent="0.2">
      <c r="A817" s="47" t="s">
        <v>2096</v>
      </c>
      <c r="B817" s="47" t="s">
        <v>2097</v>
      </c>
      <c r="C817" s="21" t="s">
        <v>2233</v>
      </c>
      <c r="D817" s="47" t="s">
        <v>2344</v>
      </c>
      <c r="E817" s="21" t="s">
        <v>31</v>
      </c>
      <c r="F817" s="47" t="s">
        <v>32</v>
      </c>
      <c r="G817" s="21" t="s">
        <v>2345</v>
      </c>
      <c r="H817" s="7" t="s">
        <v>2346</v>
      </c>
      <c r="I817" s="8" t="s">
        <v>2352</v>
      </c>
      <c r="J817" s="9">
        <v>1406000</v>
      </c>
      <c r="K817" s="8"/>
      <c r="L817" s="8"/>
      <c r="M817" s="8"/>
      <c r="N817" s="42">
        <f t="shared" si="277"/>
        <v>1406000</v>
      </c>
      <c r="O817" s="42">
        <f>N817*1.5</f>
        <v>2109000</v>
      </c>
      <c r="P817" s="42"/>
      <c r="Q817" s="42">
        <f t="shared" si="261"/>
        <v>2109000</v>
      </c>
    </row>
    <row r="818" spans="1:18" ht="13.5" x14ac:dyDescent="0.2">
      <c r="A818" s="47" t="s">
        <v>2096</v>
      </c>
      <c r="B818" s="47" t="s">
        <v>2097</v>
      </c>
      <c r="C818" s="21" t="s">
        <v>2233</v>
      </c>
      <c r="D818" s="47" t="s">
        <v>2344</v>
      </c>
      <c r="E818" s="21" t="s">
        <v>31</v>
      </c>
      <c r="F818" s="47" t="s">
        <v>32</v>
      </c>
      <c r="G818" s="21" t="s">
        <v>2345</v>
      </c>
      <c r="H818" s="7" t="s">
        <v>2346</v>
      </c>
      <c r="I818" s="8" t="s">
        <v>2348</v>
      </c>
      <c r="J818" s="9">
        <v>4231600</v>
      </c>
      <c r="K818" s="8"/>
      <c r="L818" s="8"/>
      <c r="M818" s="8"/>
      <c r="N818" s="42">
        <f t="shared" si="277"/>
        <v>4231600</v>
      </c>
      <c r="O818" s="42"/>
      <c r="P818" s="42">
        <f>N818</f>
        <v>4231600</v>
      </c>
      <c r="Q818" s="42">
        <f t="shared" si="261"/>
        <v>4231600</v>
      </c>
      <c r="R818" s="5"/>
    </row>
    <row r="819" spans="1:18" ht="13.5" x14ac:dyDescent="0.2">
      <c r="A819" s="47" t="s">
        <v>2096</v>
      </c>
      <c r="B819" s="47" t="s">
        <v>2097</v>
      </c>
      <c r="C819" s="21" t="s">
        <v>2233</v>
      </c>
      <c r="D819" s="47" t="s">
        <v>2344</v>
      </c>
      <c r="E819" s="21" t="s">
        <v>31</v>
      </c>
      <c r="F819" s="47" t="s">
        <v>32</v>
      </c>
      <c r="G819" s="21" t="s">
        <v>2345</v>
      </c>
      <c r="H819" s="7" t="s">
        <v>2346</v>
      </c>
      <c r="I819" s="8" t="s">
        <v>2362</v>
      </c>
      <c r="J819" s="9">
        <v>2835800</v>
      </c>
      <c r="K819" s="8"/>
      <c r="L819" s="8"/>
      <c r="M819" s="8"/>
      <c r="N819" s="42">
        <f t="shared" si="277"/>
        <v>2835800</v>
      </c>
      <c r="O819" s="42">
        <f t="shared" ref="O819:O821" si="278">N819*1.5</f>
        <v>4253700</v>
      </c>
      <c r="P819" s="42"/>
      <c r="Q819" s="42">
        <f t="shared" si="261"/>
        <v>4253700</v>
      </c>
    </row>
    <row r="820" spans="1:18" ht="13.5" x14ac:dyDescent="0.2">
      <c r="A820" s="47" t="s">
        <v>2096</v>
      </c>
      <c r="B820" s="47" t="s">
        <v>2097</v>
      </c>
      <c r="C820" s="21" t="s">
        <v>2233</v>
      </c>
      <c r="D820" s="47" t="s">
        <v>2344</v>
      </c>
      <c r="E820" s="21" t="s">
        <v>41</v>
      </c>
      <c r="F820" s="47" t="s">
        <v>32</v>
      </c>
      <c r="G820" s="21" t="s">
        <v>2345</v>
      </c>
      <c r="H820" s="7" t="s">
        <v>2346</v>
      </c>
      <c r="I820" s="8" t="s">
        <v>2357</v>
      </c>
      <c r="J820" s="9">
        <v>1803800</v>
      </c>
      <c r="K820" s="8"/>
      <c r="L820" s="42">
        <f t="shared" ref="L820:L822" si="279">J820*1.5</f>
        <v>2705700</v>
      </c>
      <c r="M820" s="8"/>
      <c r="N820" s="42">
        <f t="shared" si="266"/>
        <v>2705700</v>
      </c>
      <c r="O820" s="42">
        <f t="shared" si="278"/>
        <v>4058550</v>
      </c>
      <c r="P820" s="42"/>
      <c r="Q820" s="42">
        <f t="shared" si="261"/>
        <v>4058550</v>
      </c>
    </row>
    <row r="821" spans="1:18" ht="13.5" x14ac:dyDescent="0.2">
      <c r="A821" s="47" t="s">
        <v>2096</v>
      </c>
      <c r="B821" s="47" t="s">
        <v>2097</v>
      </c>
      <c r="C821" s="21" t="s">
        <v>2233</v>
      </c>
      <c r="D821" s="47" t="s">
        <v>2344</v>
      </c>
      <c r="E821" s="21" t="s">
        <v>41</v>
      </c>
      <c r="F821" s="47" t="s">
        <v>32</v>
      </c>
      <c r="G821" s="21" t="s">
        <v>2345</v>
      </c>
      <c r="H821" s="7" t="s">
        <v>2346</v>
      </c>
      <c r="I821" s="8" t="s">
        <v>2365</v>
      </c>
      <c r="J821" s="9">
        <v>5990400</v>
      </c>
      <c r="K821" s="8"/>
      <c r="L821" s="42">
        <f t="shared" si="279"/>
        <v>8985600</v>
      </c>
      <c r="M821" s="8"/>
      <c r="N821" s="42">
        <f t="shared" si="266"/>
        <v>8985600</v>
      </c>
      <c r="O821" s="42">
        <f t="shared" si="278"/>
        <v>13478400</v>
      </c>
      <c r="P821" s="42"/>
      <c r="Q821" s="42">
        <f t="shared" si="261"/>
        <v>13478400</v>
      </c>
    </row>
    <row r="822" spans="1:18" ht="13.5" x14ac:dyDescent="0.2">
      <c r="A822" s="47" t="s">
        <v>2096</v>
      </c>
      <c r="B822" s="47" t="s">
        <v>2097</v>
      </c>
      <c r="C822" s="21" t="s">
        <v>2233</v>
      </c>
      <c r="D822" s="47" t="s">
        <v>2344</v>
      </c>
      <c r="E822" s="21" t="s">
        <v>57</v>
      </c>
      <c r="F822" s="47" t="s">
        <v>32</v>
      </c>
      <c r="G822" s="21" t="s">
        <v>2345</v>
      </c>
      <c r="H822" s="7" t="s">
        <v>2346</v>
      </c>
      <c r="I822" s="8" t="s">
        <v>2354</v>
      </c>
      <c r="J822" s="9">
        <v>2685800</v>
      </c>
      <c r="K822" s="8"/>
      <c r="L822" s="42">
        <f t="shared" si="279"/>
        <v>4028700</v>
      </c>
      <c r="M822" s="8"/>
      <c r="N822" s="42">
        <f t="shared" si="266"/>
        <v>4028700</v>
      </c>
      <c r="O822" s="42"/>
      <c r="P822" s="42">
        <f>N822</f>
        <v>4028700</v>
      </c>
      <c r="Q822" s="42">
        <f t="shared" si="261"/>
        <v>4028700</v>
      </c>
      <c r="R822" s="5"/>
    </row>
    <row r="823" spans="1:18" ht="13.5" hidden="1" x14ac:dyDescent="0.2">
      <c r="A823" s="12" t="s">
        <v>2096</v>
      </c>
      <c r="B823" s="12" t="s">
        <v>2097</v>
      </c>
      <c r="C823" s="13" t="s">
        <v>2233</v>
      </c>
      <c r="D823" s="12" t="s">
        <v>2367</v>
      </c>
      <c r="E823" s="13" t="s">
        <v>128</v>
      </c>
      <c r="F823" s="12" t="s">
        <v>181</v>
      </c>
      <c r="G823" s="13" t="s">
        <v>2368</v>
      </c>
      <c r="H823" s="12" t="s">
        <v>2369</v>
      </c>
      <c r="I823" s="13" t="s">
        <v>2392</v>
      </c>
      <c r="J823" s="14" t="s">
        <v>3946</v>
      </c>
      <c r="K823" s="18"/>
      <c r="L823" s="18"/>
      <c r="M823" s="18"/>
      <c r="N823" s="20" t="str">
        <f t="shared" ref="N823:N836" si="280">J823</f>
        <v>-</v>
      </c>
      <c r="O823"/>
      <c r="P823"/>
    </row>
    <row r="824" spans="1:18" ht="13.5" x14ac:dyDescent="0.2">
      <c r="A824" s="47" t="s">
        <v>2096</v>
      </c>
      <c r="B824" s="47" t="s">
        <v>2097</v>
      </c>
      <c r="C824" s="21" t="s">
        <v>2233</v>
      </c>
      <c r="D824" s="47" t="s">
        <v>2367</v>
      </c>
      <c r="E824" s="21" t="s">
        <v>31</v>
      </c>
      <c r="F824" s="47" t="s">
        <v>32</v>
      </c>
      <c r="G824" s="21" t="s">
        <v>2368</v>
      </c>
      <c r="H824" s="7" t="s">
        <v>2369</v>
      </c>
      <c r="I824" s="8" t="s">
        <v>2422</v>
      </c>
      <c r="J824" s="9">
        <v>3632700</v>
      </c>
      <c r="K824" s="8"/>
      <c r="L824" s="8"/>
      <c r="M824" s="8"/>
      <c r="N824" s="42">
        <f t="shared" si="280"/>
        <v>3632700</v>
      </c>
      <c r="O824" s="42"/>
      <c r="P824" s="42">
        <f t="shared" ref="P824:P827" si="281">N824</f>
        <v>3632700</v>
      </c>
      <c r="Q824" s="42">
        <f t="shared" ref="Q824:Q844" si="282">SUM(O824:P824)</f>
        <v>3632700</v>
      </c>
      <c r="R824" s="5"/>
    </row>
    <row r="825" spans="1:18" ht="13.5" x14ac:dyDescent="0.2">
      <c r="A825" s="47" t="s">
        <v>2096</v>
      </c>
      <c r="B825" s="47" t="s">
        <v>2097</v>
      </c>
      <c r="C825" s="21" t="s">
        <v>2233</v>
      </c>
      <c r="D825" s="47" t="s">
        <v>2367</v>
      </c>
      <c r="E825" s="21" t="s">
        <v>31</v>
      </c>
      <c r="F825" s="47" t="s">
        <v>32</v>
      </c>
      <c r="G825" s="21" t="s">
        <v>2368</v>
      </c>
      <c r="H825" s="7" t="s">
        <v>2369</v>
      </c>
      <c r="I825" s="8" t="s">
        <v>2424</v>
      </c>
      <c r="J825" s="9">
        <v>1476000</v>
      </c>
      <c r="K825" s="8"/>
      <c r="L825" s="8"/>
      <c r="M825" s="8"/>
      <c r="N825" s="42">
        <f t="shared" si="280"/>
        <v>1476000</v>
      </c>
      <c r="O825" s="42"/>
      <c r="P825" s="42">
        <f t="shared" si="281"/>
        <v>1476000</v>
      </c>
      <c r="Q825" s="42">
        <f t="shared" si="282"/>
        <v>1476000</v>
      </c>
      <c r="R825" s="5"/>
    </row>
    <row r="826" spans="1:18" ht="13.5" x14ac:dyDescent="0.2">
      <c r="A826" s="47" t="s">
        <v>2096</v>
      </c>
      <c r="B826" s="47" t="s">
        <v>2097</v>
      </c>
      <c r="C826" s="21" t="s">
        <v>2233</v>
      </c>
      <c r="D826" s="47" t="s">
        <v>2367</v>
      </c>
      <c r="E826" s="21" t="s">
        <v>31</v>
      </c>
      <c r="F826" s="47" t="s">
        <v>32</v>
      </c>
      <c r="G826" s="21" t="s">
        <v>2368</v>
      </c>
      <c r="H826" s="7" t="s">
        <v>2369</v>
      </c>
      <c r="I826" s="8" t="s">
        <v>2374</v>
      </c>
      <c r="J826" s="9">
        <v>10140000</v>
      </c>
      <c r="K826" s="8"/>
      <c r="L826" s="8"/>
      <c r="M826" s="8"/>
      <c r="N826" s="42">
        <f t="shared" si="280"/>
        <v>10140000</v>
      </c>
      <c r="O826" s="42"/>
      <c r="P826" s="42">
        <f t="shared" si="281"/>
        <v>10140000</v>
      </c>
      <c r="Q826" s="42">
        <f t="shared" si="282"/>
        <v>10140000</v>
      </c>
      <c r="R826" s="5"/>
    </row>
    <row r="827" spans="1:18" ht="13.5" x14ac:dyDescent="0.2">
      <c r="A827" s="47" t="s">
        <v>2096</v>
      </c>
      <c r="B827" s="47" t="s">
        <v>2097</v>
      </c>
      <c r="C827" s="21" t="s">
        <v>2233</v>
      </c>
      <c r="D827" s="47" t="s">
        <v>2367</v>
      </c>
      <c r="E827" s="21" t="s">
        <v>31</v>
      </c>
      <c r="F827" s="47" t="s">
        <v>32</v>
      </c>
      <c r="G827" s="21" t="s">
        <v>2368</v>
      </c>
      <c r="H827" s="7" t="s">
        <v>2369</v>
      </c>
      <c r="I827" s="8" t="s">
        <v>2407</v>
      </c>
      <c r="J827" s="9">
        <v>1974000</v>
      </c>
      <c r="K827" s="8"/>
      <c r="L827" s="8"/>
      <c r="M827" s="8"/>
      <c r="N827" s="42">
        <f t="shared" si="280"/>
        <v>1974000</v>
      </c>
      <c r="O827" s="42"/>
      <c r="P827" s="42">
        <f t="shared" si="281"/>
        <v>1974000</v>
      </c>
      <c r="Q827" s="42">
        <f t="shared" si="282"/>
        <v>1974000</v>
      </c>
      <c r="R827" s="5"/>
    </row>
    <row r="828" spans="1:18" ht="13.5" x14ac:dyDescent="0.2">
      <c r="A828" s="47" t="s">
        <v>2096</v>
      </c>
      <c r="B828" s="47" t="s">
        <v>2097</v>
      </c>
      <c r="C828" s="21" t="s">
        <v>2233</v>
      </c>
      <c r="D828" s="47" t="s">
        <v>2367</v>
      </c>
      <c r="E828" s="21" t="s">
        <v>31</v>
      </c>
      <c r="F828" s="47" t="s">
        <v>32</v>
      </c>
      <c r="G828" s="21" t="s">
        <v>2368</v>
      </c>
      <c r="H828" s="7" t="s">
        <v>2369</v>
      </c>
      <c r="I828" s="8" t="s">
        <v>2416</v>
      </c>
      <c r="J828" s="9">
        <v>2671600</v>
      </c>
      <c r="K828" s="8"/>
      <c r="L828" s="8"/>
      <c r="M828" s="8"/>
      <c r="N828" s="42">
        <f t="shared" si="280"/>
        <v>2671600</v>
      </c>
      <c r="O828" s="42">
        <f>N828*1.5</f>
        <v>4007400</v>
      </c>
      <c r="P828" s="42"/>
      <c r="Q828" s="42">
        <f t="shared" si="282"/>
        <v>4007400</v>
      </c>
    </row>
    <row r="829" spans="1:18" ht="13.5" x14ac:dyDescent="0.2">
      <c r="A829" s="47" t="s">
        <v>2096</v>
      </c>
      <c r="B829" s="47" t="s">
        <v>2097</v>
      </c>
      <c r="C829" s="21" t="s">
        <v>2233</v>
      </c>
      <c r="D829" s="47" t="s">
        <v>2367</v>
      </c>
      <c r="E829" s="21" t="s">
        <v>31</v>
      </c>
      <c r="F829" s="47" t="s">
        <v>32</v>
      </c>
      <c r="G829" s="21" t="s">
        <v>2368</v>
      </c>
      <c r="H829" s="7" t="s">
        <v>2369</v>
      </c>
      <c r="I829" s="8" t="s">
        <v>2396</v>
      </c>
      <c r="J829" s="9">
        <v>747800</v>
      </c>
      <c r="K829" s="8"/>
      <c r="L829" s="8"/>
      <c r="M829" s="8"/>
      <c r="N829" s="42">
        <f t="shared" si="280"/>
        <v>747800</v>
      </c>
      <c r="O829" s="42"/>
      <c r="P829" s="42">
        <f>N829</f>
        <v>747800</v>
      </c>
      <c r="Q829" s="42">
        <f t="shared" si="282"/>
        <v>747800</v>
      </c>
      <c r="R829" s="5"/>
    </row>
    <row r="830" spans="1:18" ht="13.5" x14ac:dyDescent="0.2">
      <c r="A830" s="47" t="s">
        <v>2096</v>
      </c>
      <c r="B830" s="47" t="s">
        <v>2097</v>
      </c>
      <c r="C830" s="21" t="s">
        <v>2233</v>
      </c>
      <c r="D830" s="47" t="s">
        <v>2367</v>
      </c>
      <c r="E830" s="21" t="s">
        <v>31</v>
      </c>
      <c r="F830" s="47" t="s">
        <v>32</v>
      </c>
      <c r="G830" s="21" t="s">
        <v>2368</v>
      </c>
      <c r="H830" s="7" t="s">
        <v>2369</v>
      </c>
      <c r="I830" s="8" t="s">
        <v>2380</v>
      </c>
      <c r="J830" s="9">
        <v>503700</v>
      </c>
      <c r="K830" s="8"/>
      <c r="L830" s="8"/>
      <c r="M830" s="8"/>
      <c r="N830" s="42">
        <f t="shared" si="280"/>
        <v>503700</v>
      </c>
      <c r="O830" s="42">
        <f t="shared" ref="O830:O832" si="283">N830*1.5</f>
        <v>755550</v>
      </c>
      <c r="P830" s="42"/>
      <c r="Q830" s="42">
        <f t="shared" si="282"/>
        <v>755550</v>
      </c>
    </row>
    <row r="831" spans="1:18" ht="13.5" x14ac:dyDescent="0.2">
      <c r="A831" s="47" t="s">
        <v>2096</v>
      </c>
      <c r="B831" s="47" t="s">
        <v>2097</v>
      </c>
      <c r="C831" s="21" t="s">
        <v>2233</v>
      </c>
      <c r="D831" s="47" t="s">
        <v>2367</v>
      </c>
      <c r="E831" s="21" t="s">
        <v>31</v>
      </c>
      <c r="F831" s="47" t="s">
        <v>32</v>
      </c>
      <c r="G831" s="21" t="s">
        <v>2368</v>
      </c>
      <c r="H831" s="7" t="s">
        <v>2369</v>
      </c>
      <c r="I831" s="8" t="s">
        <v>2413</v>
      </c>
      <c r="J831" s="9">
        <v>3415200</v>
      </c>
      <c r="K831" s="8"/>
      <c r="L831" s="8"/>
      <c r="M831" s="8"/>
      <c r="N831" s="42">
        <f t="shared" si="280"/>
        <v>3415200</v>
      </c>
      <c r="O831" s="42">
        <f t="shared" si="283"/>
        <v>5122800</v>
      </c>
      <c r="P831" s="42"/>
      <c r="Q831" s="42">
        <f t="shared" si="282"/>
        <v>5122800</v>
      </c>
    </row>
    <row r="832" spans="1:18" ht="13.5" x14ac:dyDescent="0.2">
      <c r="A832" s="47" t="s">
        <v>2096</v>
      </c>
      <c r="B832" s="47" t="s">
        <v>2097</v>
      </c>
      <c r="C832" s="21" t="s">
        <v>2233</v>
      </c>
      <c r="D832" s="47" t="s">
        <v>2367</v>
      </c>
      <c r="E832" s="21" t="s">
        <v>31</v>
      </c>
      <c r="F832" s="47" t="s">
        <v>32</v>
      </c>
      <c r="G832" s="21" t="s">
        <v>2368</v>
      </c>
      <c r="H832" s="7" t="s">
        <v>2369</v>
      </c>
      <c r="I832" s="8" t="s">
        <v>2382</v>
      </c>
      <c r="J832" s="9">
        <v>3903600</v>
      </c>
      <c r="K832" s="8"/>
      <c r="L832" s="8"/>
      <c r="M832" s="8"/>
      <c r="N832" s="42">
        <f t="shared" si="280"/>
        <v>3903600</v>
      </c>
      <c r="O832" s="42">
        <f t="shared" si="283"/>
        <v>5855400</v>
      </c>
      <c r="P832" s="42"/>
      <c r="Q832" s="42">
        <f t="shared" si="282"/>
        <v>5855400</v>
      </c>
    </row>
    <row r="833" spans="1:18" ht="13.5" x14ac:dyDescent="0.2">
      <c r="A833" s="47" t="s">
        <v>2096</v>
      </c>
      <c r="B833" s="47" t="s">
        <v>2097</v>
      </c>
      <c r="C833" s="21" t="s">
        <v>2233</v>
      </c>
      <c r="D833" s="47" t="s">
        <v>2367</v>
      </c>
      <c r="E833" s="21" t="s">
        <v>31</v>
      </c>
      <c r="F833" s="47" t="s">
        <v>32</v>
      </c>
      <c r="G833" s="21" t="s">
        <v>2368</v>
      </c>
      <c r="H833" s="7" t="s">
        <v>2369</v>
      </c>
      <c r="I833" s="8" t="s">
        <v>2405</v>
      </c>
      <c r="J833" s="9">
        <v>6311600</v>
      </c>
      <c r="K833" s="8"/>
      <c r="L833" s="8"/>
      <c r="M833" s="8"/>
      <c r="N833" s="42">
        <f t="shared" si="280"/>
        <v>6311600</v>
      </c>
      <c r="O833" s="42"/>
      <c r="P833" s="42">
        <f t="shared" ref="P833:P840" si="284">N833</f>
        <v>6311600</v>
      </c>
      <c r="Q833" s="42">
        <f t="shared" si="282"/>
        <v>6311600</v>
      </c>
      <c r="R833" s="5"/>
    </row>
    <row r="834" spans="1:18" ht="13.5" x14ac:dyDescent="0.2">
      <c r="A834" s="47" t="s">
        <v>2096</v>
      </c>
      <c r="B834" s="47" t="s">
        <v>2097</v>
      </c>
      <c r="C834" s="21" t="s">
        <v>2233</v>
      </c>
      <c r="D834" s="47" t="s">
        <v>2367</v>
      </c>
      <c r="E834" s="21" t="s">
        <v>31</v>
      </c>
      <c r="F834" s="47" t="s">
        <v>32</v>
      </c>
      <c r="G834" s="21" t="s">
        <v>2368</v>
      </c>
      <c r="H834" s="7" t="s">
        <v>2369</v>
      </c>
      <c r="I834" s="8" t="s">
        <v>2409</v>
      </c>
      <c r="J834" s="9">
        <v>3079600</v>
      </c>
      <c r="K834" s="8"/>
      <c r="L834" s="8"/>
      <c r="M834" s="8"/>
      <c r="N834" s="42">
        <f t="shared" si="280"/>
        <v>3079600</v>
      </c>
      <c r="O834" s="42"/>
      <c r="P834" s="42">
        <f t="shared" si="284"/>
        <v>3079600</v>
      </c>
      <c r="Q834" s="42">
        <f t="shared" si="282"/>
        <v>3079600</v>
      </c>
      <c r="R834" s="5"/>
    </row>
    <row r="835" spans="1:18" ht="13.5" x14ac:dyDescent="0.2">
      <c r="A835" s="47" t="s">
        <v>2096</v>
      </c>
      <c r="B835" s="47" t="s">
        <v>2097</v>
      </c>
      <c r="C835" s="21" t="s">
        <v>2233</v>
      </c>
      <c r="D835" s="47" t="s">
        <v>2367</v>
      </c>
      <c r="E835" s="21" t="s">
        <v>31</v>
      </c>
      <c r="F835" s="47" t="s">
        <v>32</v>
      </c>
      <c r="G835" s="21" t="s">
        <v>2368</v>
      </c>
      <c r="H835" s="7" t="s">
        <v>2369</v>
      </c>
      <c r="I835" s="8" t="s">
        <v>2390</v>
      </c>
      <c r="J835" s="9">
        <v>11549300</v>
      </c>
      <c r="K835" s="8"/>
      <c r="L835" s="8"/>
      <c r="M835" s="8"/>
      <c r="N835" s="42">
        <f t="shared" si="280"/>
        <v>11549300</v>
      </c>
      <c r="O835" s="42"/>
      <c r="P835" s="42">
        <f t="shared" si="284"/>
        <v>11549300</v>
      </c>
      <c r="Q835" s="42">
        <f t="shared" si="282"/>
        <v>11549300</v>
      </c>
      <c r="R835" s="5"/>
    </row>
    <row r="836" spans="1:18" ht="13.5" x14ac:dyDescent="0.2">
      <c r="A836" s="47" t="s">
        <v>2096</v>
      </c>
      <c r="B836" s="47" t="s">
        <v>2097</v>
      </c>
      <c r="C836" s="21" t="s">
        <v>2233</v>
      </c>
      <c r="D836" s="47" t="s">
        <v>2367</v>
      </c>
      <c r="E836" s="21" t="s">
        <v>31</v>
      </c>
      <c r="F836" s="47" t="s">
        <v>32</v>
      </c>
      <c r="G836" s="21" t="s">
        <v>2368</v>
      </c>
      <c r="H836" s="7" t="s">
        <v>2369</v>
      </c>
      <c r="I836" s="8" t="s">
        <v>2376</v>
      </c>
      <c r="J836" s="9">
        <v>4797000</v>
      </c>
      <c r="K836" s="8"/>
      <c r="L836" s="8"/>
      <c r="M836" s="8"/>
      <c r="N836" s="42">
        <f t="shared" si="280"/>
        <v>4797000</v>
      </c>
      <c r="O836" s="42"/>
      <c r="P836" s="42">
        <f t="shared" si="284"/>
        <v>4797000</v>
      </c>
      <c r="Q836" s="42">
        <f t="shared" si="282"/>
        <v>4797000</v>
      </c>
      <c r="R836" s="5"/>
    </row>
    <row r="837" spans="1:18" ht="13.5" x14ac:dyDescent="0.2">
      <c r="A837" s="47" t="s">
        <v>2096</v>
      </c>
      <c r="B837" s="47" t="s">
        <v>2097</v>
      </c>
      <c r="C837" s="21" t="s">
        <v>2233</v>
      </c>
      <c r="D837" s="47" t="s">
        <v>2367</v>
      </c>
      <c r="E837" s="21" t="s">
        <v>41</v>
      </c>
      <c r="F837" s="47" t="s">
        <v>32</v>
      </c>
      <c r="G837" s="21" t="s">
        <v>2368</v>
      </c>
      <c r="H837" s="7" t="s">
        <v>2369</v>
      </c>
      <c r="I837" s="8" t="s">
        <v>2399</v>
      </c>
      <c r="J837" s="9">
        <v>2439600</v>
      </c>
      <c r="K837" s="8"/>
      <c r="L837" s="42">
        <f t="shared" ref="L837:L838" si="285">J837*1.5</f>
        <v>3659400</v>
      </c>
      <c r="M837" s="8"/>
      <c r="N837" s="42">
        <f t="shared" ref="N837:N876" si="286">SUM(K837:M837)</f>
        <v>3659400</v>
      </c>
      <c r="O837" s="42"/>
      <c r="P837" s="42">
        <f t="shared" si="284"/>
        <v>3659400</v>
      </c>
      <c r="Q837" s="42">
        <f t="shared" si="282"/>
        <v>3659400</v>
      </c>
      <c r="R837" s="5"/>
    </row>
    <row r="838" spans="1:18" ht="13.5" x14ac:dyDescent="0.2">
      <c r="A838" s="47" t="s">
        <v>2096</v>
      </c>
      <c r="B838" s="47" t="s">
        <v>2097</v>
      </c>
      <c r="C838" s="21" t="s">
        <v>2233</v>
      </c>
      <c r="D838" s="47" t="s">
        <v>2367</v>
      </c>
      <c r="E838" s="21" t="s">
        <v>57</v>
      </c>
      <c r="F838" s="47" t="s">
        <v>32</v>
      </c>
      <c r="G838" s="21" t="s">
        <v>2368</v>
      </c>
      <c r="H838" s="7" t="s">
        <v>2369</v>
      </c>
      <c r="I838" s="8" t="s">
        <v>2403</v>
      </c>
      <c r="J838" s="9">
        <v>4423200</v>
      </c>
      <c r="K838" s="8"/>
      <c r="L838" s="42">
        <f t="shared" si="285"/>
        <v>6634800</v>
      </c>
      <c r="M838" s="8"/>
      <c r="N838" s="42">
        <f t="shared" si="286"/>
        <v>6634800</v>
      </c>
      <c r="O838" s="42"/>
      <c r="P838" s="42">
        <f t="shared" si="284"/>
        <v>6634800</v>
      </c>
      <c r="Q838" s="42">
        <f t="shared" si="282"/>
        <v>6634800</v>
      </c>
      <c r="R838" s="5"/>
    </row>
    <row r="839" spans="1:18" ht="13.5" x14ac:dyDescent="0.2">
      <c r="A839" s="47" t="s">
        <v>2096</v>
      </c>
      <c r="B839" s="47" t="s">
        <v>2097</v>
      </c>
      <c r="C839" s="21" t="s">
        <v>2233</v>
      </c>
      <c r="D839" s="47" t="s">
        <v>2427</v>
      </c>
      <c r="E839" s="21" t="s">
        <v>31</v>
      </c>
      <c r="F839" s="47" t="s">
        <v>32</v>
      </c>
      <c r="G839" s="21" t="s">
        <v>2428</v>
      </c>
      <c r="H839" s="7" t="s">
        <v>2429</v>
      </c>
      <c r="I839" s="8" t="s">
        <v>2445</v>
      </c>
      <c r="J839" s="9">
        <v>3399800</v>
      </c>
      <c r="K839" s="8"/>
      <c r="L839" s="8"/>
      <c r="M839" s="8"/>
      <c r="N839" s="42">
        <f t="shared" ref="N839:N841" si="287">J839</f>
        <v>3399800</v>
      </c>
      <c r="O839" s="42"/>
      <c r="P839" s="42">
        <f t="shared" si="284"/>
        <v>3399800</v>
      </c>
      <c r="Q839" s="42">
        <f t="shared" si="282"/>
        <v>3399800</v>
      </c>
      <c r="R839" s="5"/>
    </row>
    <row r="840" spans="1:18" ht="13.5" x14ac:dyDescent="0.2">
      <c r="A840" s="47" t="s">
        <v>2096</v>
      </c>
      <c r="B840" s="47" t="s">
        <v>2097</v>
      </c>
      <c r="C840" s="21" t="s">
        <v>2233</v>
      </c>
      <c r="D840" s="47" t="s">
        <v>2427</v>
      </c>
      <c r="E840" s="21" t="s">
        <v>31</v>
      </c>
      <c r="F840" s="47" t="s">
        <v>32</v>
      </c>
      <c r="G840" s="21" t="s">
        <v>2428</v>
      </c>
      <c r="H840" s="7" t="s">
        <v>2429</v>
      </c>
      <c r="I840" s="8" t="s">
        <v>2451</v>
      </c>
      <c r="J840" s="9">
        <v>2903700</v>
      </c>
      <c r="K840" s="8"/>
      <c r="L840" s="8"/>
      <c r="M840" s="8"/>
      <c r="N840" s="42">
        <f t="shared" si="287"/>
        <v>2903700</v>
      </c>
      <c r="O840" s="42"/>
      <c r="P840" s="42">
        <f t="shared" si="284"/>
        <v>2903700</v>
      </c>
      <c r="Q840" s="42">
        <f t="shared" si="282"/>
        <v>2903700</v>
      </c>
      <c r="R840" s="5"/>
    </row>
    <row r="841" spans="1:18" ht="13.5" x14ac:dyDescent="0.2">
      <c r="A841" s="47" t="s">
        <v>2096</v>
      </c>
      <c r="B841" s="47" t="s">
        <v>2097</v>
      </c>
      <c r="C841" s="21" t="s">
        <v>2233</v>
      </c>
      <c r="D841" s="47" t="s">
        <v>2427</v>
      </c>
      <c r="E841" s="21" t="s">
        <v>31</v>
      </c>
      <c r="F841" s="47" t="s">
        <v>32</v>
      </c>
      <c r="G841" s="21" t="s">
        <v>2428</v>
      </c>
      <c r="H841" s="7" t="s">
        <v>2429</v>
      </c>
      <c r="I841" s="8" t="s">
        <v>2459</v>
      </c>
      <c r="J841" s="9">
        <v>5500140</v>
      </c>
      <c r="K841" s="8"/>
      <c r="L841" s="8"/>
      <c r="M841" s="8"/>
      <c r="N841" s="42">
        <f t="shared" si="287"/>
        <v>5500140</v>
      </c>
      <c r="O841" s="42">
        <f t="shared" ref="O841:O843" si="288">N841*1.5</f>
        <v>8250210</v>
      </c>
      <c r="P841" s="42"/>
      <c r="Q841" s="42">
        <f t="shared" si="282"/>
        <v>8250210</v>
      </c>
    </row>
    <row r="842" spans="1:18" ht="13.5" x14ac:dyDescent="0.2">
      <c r="A842" s="47" t="s">
        <v>2096</v>
      </c>
      <c r="B842" s="47" t="s">
        <v>2097</v>
      </c>
      <c r="C842" s="21" t="s">
        <v>2233</v>
      </c>
      <c r="D842" s="47" t="s">
        <v>2427</v>
      </c>
      <c r="E842" s="21" t="s">
        <v>41</v>
      </c>
      <c r="F842" s="47" t="s">
        <v>32</v>
      </c>
      <c r="G842" s="21" t="s">
        <v>2428</v>
      </c>
      <c r="H842" s="7" t="s">
        <v>2429</v>
      </c>
      <c r="I842" s="8" t="s">
        <v>2464</v>
      </c>
      <c r="J842" s="9">
        <v>2999800</v>
      </c>
      <c r="K842" s="8"/>
      <c r="L842" s="42">
        <f t="shared" ref="L842:L844" si="289">J842*1.5</f>
        <v>4499700</v>
      </c>
      <c r="M842" s="8"/>
      <c r="N842" s="42">
        <f t="shared" si="286"/>
        <v>4499700</v>
      </c>
      <c r="O842" s="42">
        <f t="shared" si="288"/>
        <v>6749550</v>
      </c>
      <c r="P842" s="42"/>
      <c r="Q842" s="42">
        <f t="shared" si="282"/>
        <v>6749550</v>
      </c>
    </row>
    <row r="843" spans="1:18" ht="13.5" x14ac:dyDescent="0.2">
      <c r="A843" s="47" t="s">
        <v>2096</v>
      </c>
      <c r="B843" s="47" t="s">
        <v>2097</v>
      </c>
      <c r="C843" s="21" t="s">
        <v>2233</v>
      </c>
      <c r="D843" s="47" t="s">
        <v>2427</v>
      </c>
      <c r="E843" s="21" t="s">
        <v>41</v>
      </c>
      <c r="F843" s="47" t="s">
        <v>32</v>
      </c>
      <c r="G843" s="21" t="s">
        <v>2428</v>
      </c>
      <c r="H843" s="7" t="s">
        <v>2429</v>
      </c>
      <c r="I843" s="8" t="s">
        <v>2461</v>
      </c>
      <c r="J843" s="9">
        <v>3459800</v>
      </c>
      <c r="K843" s="8"/>
      <c r="L843" s="42">
        <f t="shared" si="289"/>
        <v>5189700</v>
      </c>
      <c r="M843" s="8"/>
      <c r="N843" s="42">
        <f t="shared" si="286"/>
        <v>5189700</v>
      </c>
      <c r="O843" s="42">
        <f t="shared" si="288"/>
        <v>7784550</v>
      </c>
      <c r="P843" s="42"/>
      <c r="Q843" s="42">
        <f t="shared" si="282"/>
        <v>7784550</v>
      </c>
    </row>
    <row r="844" spans="1:18" ht="13.5" x14ac:dyDescent="0.2">
      <c r="A844" s="47" t="s">
        <v>2096</v>
      </c>
      <c r="B844" s="47" t="s">
        <v>2097</v>
      </c>
      <c r="C844" s="21" t="s">
        <v>2233</v>
      </c>
      <c r="D844" s="47" t="s">
        <v>2427</v>
      </c>
      <c r="E844" s="21" t="s">
        <v>41</v>
      </c>
      <c r="F844" s="47" t="s">
        <v>32</v>
      </c>
      <c r="G844" s="21" t="s">
        <v>2428</v>
      </c>
      <c r="H844" s="7" t="s">
        <v>2429</v>
      </c>
      <c r="I844" s="8" t="s">
        <v>2457</v>
      </c>
      <c r="J844" s="9">
        <v>3299800</v>
      </c>
      <c r="K844" s="8"/>
      <c r="L844" s="42">
        <f t="shared" si="289"/>
        <v>4949700</v>
      </c>
      <c r="M844" s="8"/>
      <c r="N844" s="42">
        <f t="shared" si="286"/>
        <v>4949700</v>
      </c>
      <c r="O844" s="42"/>
      <c r="P844" s="42">
        <f>N844</f>
        <v>4949700</v>
      </c>
      <c r="Q844" s="42">
        <f t="shared" si="282"/>
        <v>4949700</v>
      </c>
      <c r="R844" s="5"/>
    </row>
    <row r="845" spans="1:18" ht="13.5" hidden="1" x14ac:dyDescent="0.2">
      <c r="A845" s="12" t="s">
        <v>2096</v>
      </c>
      <c r="B845" s="12" t="s">
        <v>2097</v>
      </c>
      <c r="C845" s="13" t="s">
        <v>2233</v>
      </c>
      <c r="D845" s="12" t="s">
        <v>2427</v>
      </c>
      <c r="E845" s="13" t="s">
        <v>233</v>
      </c>
      <c r="F845" s="12" t="s">
        <v>181</v>
      </c>
      <c r="G845" s="13" t="s">
        <v>2428</v>
      </c>
      <c r="H845" s="12" t="s">
        <v>2429</v>
      </c>
      <c r="I845" s="13" t="s">
        <v>2443</v>
      </c>
      <c r="J845" s="14" t="s">
        <v>3946</v>
      </c>
      <c r="K845" s="18"/>
      <c r="L845" s="18"/>
      <c r="M845" s="18"/>
      <c r="N845" s="20" t="str">
        <f>J845</f>
        <v>-</v>
      </c>
      <c r="O845"/>
      <c r="P845"/>
    </row>
    <row r="846" spans="1:18" ht="13.5" x14ac:dyDescent="0.2">
      <c r="A846" s="47" t="s">
        <v>2096</v>
      </c>
      <c r="B846" s="47" t="s">
        <v>2097</v>
      </c>
      <c r="C846" s="21" t="s">
        <v>2233</v>
      </c>
      <c r="D846" s="47" t="s">
        <v>2427</v>
      </c>
      <c r="E846" s="21" t="s">
        <v>57</v>
      </c>
      <c r="F846" s="47" t="s">
        <v>32</v>
      </c>
      <c r="G846" s="21" t="s">
        <v>2428</v>
      </c>
      <c r="H846" s="7" t="s">
        <v>2429</v>
      </c>
      <c r="I846" s="8" t="s">
        <v>2430</v>
      </c>
      <c r="J846" s="9">
        <v>4290600</v>
      </c>
      <c r="K846" s="8"/>
      <c r="L846" s="42">
        <f t="shared" ref="L846" si="290">J846*1.5</f>
        <v>6435900</v>
      </c>
      <c r="M846" s="8"/>
      <c r="N846" s="42">
        <f t="shared" si="286"/>
        <v>6435900</v>
      </c>
      <c r="O846" s="42"/>
      <c r="P846" s="42">
        <f t="shared" ref="P846:P847" si="291">N846</f>
        <v>6435900</v>
      </c>
      <c r="Q846" s="42">
        <f t="shared" ref="Q846:Q847" si="292">SUM(O846:P846)</f>
        <v>6435900</v>
      </c>
      <c r="R846" s="5"/>
    </row>
    <row r="847" spans="1:18" ht="13.5" x14ac:dyDescent="0.2">
      <c r="A847" s="47" t="s">
        <v>2096</v>
      </c>
      <c r="B847" s="47" t="s">
        <v>2097</v>
      </c>
      <c r="C847" s="21" t="s">
        <v>2466</v>
      </c>
      <c r="D847" s="47" t="s">
        <v>2467</v>
      </c>
      <c r="E847" s="21" t="s">
        <v>128</v>
      </c>
      <c r="F847" s="47" t="s">
        <v>135</v>
      </c>
      <c r="G847" s="21" t="s">
        <v>2468</v>
      </c>
      <c r="H847" s="7" t="s">
        <v>2469</v>
      </c>
      <c r="I847" s="8" t="s">
        <v>2478</v>
      </c>
      <c r="J847" s="9">
        <v>1428000</v>
      </c>
      <c r="K847" s="8"/>
      <c r="L847" s="8"/>
      <c r="M847" s="8"/>
      <c r="N847" s="42">
        <f t="shared" ref="N847:N855" si="293">J847</f>
        <v>1428000</v>
      </c>
      <c r="O847" s="42"/>
      <c r="P847" s="42">
        <f t="shared" si="291"/>
        <v>1428000</v>
      </c>
      <c r="Q847" s="42">
        <f t="shared" si="292"/>
        <v>1428000</v>
      </c>
      <c r="R847" s="5"/>
    </row>
    <row r="848" spans="1:18" ht="13.5" hidden="1" x14ac:dyDescent="0.2">
      <c r="A848" s="12" t="s">
        <v>2096</v>
      </c>
      <c r="B848" s="12" t="s">
        <v>2097</v>
      </c>
      <c r="C848" s="13" t="s">
        <v>2466</v>
      </c>
      <c r="D848" s="12" t="s">
        <v>2467</v>
      </c>
      <c r="E848" s="13" t="s">
        <v>128</v>
      </c>
      <c r="F848" s="12" t="s">
        <v>181</v>
      </c>
      <c r="G848" s="13" t="s">
        <v>2497</v>
      </c>
      <c r="H848" s="12" t="s">
        <v>2498</v>
      </c>
      <c r="I848" s="13" t="s">
        <v>2511</v>
      </c>
      <c r="J848" s="14" t="s">
        <v>3946</v>
      </c>
      <c r="K848" s="18"/>
      <c r="L848" s="18"/>
      <c r="M848" s="18"/>
      <c r="N848" s="20" t="str">
        <f t="shared" si="293"/>
        <v>-</v>
      </c>
      <c r="O848"/>
      <c r="P848"/>
    </row>
    <row r="849" spans="1:18" ht="13.5" x14ac:dyDescent="0.2">
      <c r="A849" s="47" t="s">
        <v>2096</v>
      </c>
      <c r="B849" s="47" t="s">
        <v>2097</v>
      </c>
      <c r="C849" s="21" t="s">
        <v>2466</v>
      </c>
      <c r="D849" s="47" t="s">
        <v>2467</v>
      </c>
      <c r="E849" s="21" t="s">
        <v>31</v>
      </c>
      <c r="F849" s="47" t="s">
        <v>32</v>
      </c>
      <c r="G849" s="21" t="s">
        <v>2468</v>
      </c>
      <c r="H849" s="7" t="s">
        <v>2469</v>
      </c>
      <c r="I849" s="8" t="s">
        <v>2487</v>
      </c>
      <c r="J849" s="9">
        <v>799900</v>
      </c>
      <c r="K849" s="8"/>
      <c r="L849" s="8"/>
      <c r="M849" s="8"/>
      <c r="N849" s="42">
        <f t="shared" si="293"/>
        <v>799900</v>
      </c>
      <c r="O849" s="42"/>
      <c r="P849" s="42">
        <f t="shared" ref="P849:P850" si="294">N849</f>
        <v>799900</v>
      </c>
      <c r="Q849" s="42">
        <f t="shared" ref="Q849:Q877" si="295">SUM(O849:P849)</f>
        <v>799900</v>
      </c>
      <c r="R849" s="5"/>
    </row>
    <row r="850" spans="1:18" ht="13.5" x14ac:dyDescent="0.2">
      <c r="A850" s="47" t="s">
        <v>2096</v>
      </c>
      <c r="B850" s="47" t="s">
        <v>2097</v>
      </c>
      <c r="C850" s="21" t="s">
        <v>2466</v>
      </c>
      <c r="D850" s="47" t="s">
        <v>2467</v>
      </c>
      <c r="E850" s="21" t="s">
        <v>31</v>
      </c>
      <c r="F850" s="47" t="s">
        <v>32</v>
      </c>
      <c r="G850" s="21" t="s">
        <v>2468</v>
      </c>
      <c r="H850" s="7" t="s">
        <v>2469</v>
      </c>
      <c r="I850" s="8" t="s">
        <v>2491</v>
      </c>
      <c r="J850" s="9">
        <v>1405800</v>
      </c>
      <c r="K850" s="8"/>
      <c r="L850" s="8"/>
      <c r="M850" s="8"/>
      <c r="N850" s="42">
        <f t="shared" si="293"/>
        <v>1405800</v>
      </c>
      <c r="O850" s="42"/>
      <c r="P850" s="42">
        <f t="shared" si="294"/>
        <v>1405800</v>
      </c>
      <c r="Q850" s="42">
        <f t="shared" si="295"/>
        <v>1405800</v>
      </c>
      <c r="R850" s="5"/>
    </row>
    <row r="851" spans="1:18" ht="13.5" x14ac:dyDescent="0.2">
      <c r="A851" s="47" t="s">
        <v>2096</v>
      </c>
      <c r="B851" s="47" t="s">
        <v>2097</v>
      </c>
      <c r="C851" s="21" t="s">
        <v>2466</v>
      </c>
      <c r="D851" s="47" t="s">
        <v>2467</v>
      </c>
      <c r="E851" s="21" t="s">
        <v>31</v>
      </c>
      <c r="F851" s="47" t="s">
        <v>32</v>
      </c>
      <c r="G851" s="21" t="s">
        <v>2468</v>
      </c>
      <c r="H851" s="7" t="s">
        <v>2469</v>
      </c>
      <c r="I851" s="8" t="s">
        <v>2474</v>
      </c>
      <c r="J851" s="9">
        <v>10109300</v>
      </c>
      <c r="K851" s="8"/>
      <c r="L851" s="8"/>
      <c r="M851" s="8"/>
      <c r="N851" s="42">
        <f t="shared" si="293"/>
        <v>10109300</v>
      </c>
      <c r="O851" s="42">
        <f t="shared" ref="O851:O852" si="296">N851*1.5</f>
        <v>15163950</v>
      </c>
      <c r="P851" s="42"/>
      <c r="Q851" s="42">
        <f t="shared" si="295"/>
        <v>15163950</v>
      </c>
    </row>
    <row r="852" spans="1:18" ht="13.5" x14ac:dyDescent="0.2">
      <c r="A852" s="47" t="s">
        <v>2096</v>
      </c>
      <c r="B852" s="47" t="s">
        <v>2097</v>
      </c>
      <c r="C852" s="21" t="s">
        <v>2466</v>
      </c>
      <c r="D852" s="47" t="s">
        <v>2467</v>
      </c>
      <c r="E852" s="21" t="s">
        <v>31</v>
      </c>
      <c r="F852" s="47" t="s">
        <v>32</v>
      </c>
      <c r="G852" s="21" t="s">
        <v>2468</v>
      </c>
      <c r="H852" s="7" t="s">
        <v>2469</v>
      </c>
      <c r="I852" s="8" t="s">
        <v>2480</v>
      </c>
      <c r="J852" s="9">
        <v>2311800</v>
      </c>
      <c r="K852" s="8"/>
      <c r="L852" s="8"/>
      <c r="M852" s="8"/>
      <c r="N852" s="42">
        <f t="shared" si="293"/>
        <v>2311800</v>
      </c>
      <c r="O852" s="42">
        <f t="shared" si="296"/>
        <v>3467700</v>
      </c>
      <c r="P852" s="42"/>
      <c r="Q852" s="42">
        <f t="shared" si="295"/>
        <v>3467700</v>
      </c>
    </row>
    <row r="853" spans="1:18" ht="13.5" x14ac:dyDescent="0.2">
      <c r="A853" s="47" t="s">
        <v>2096</v>
      </c>
      <c r="B853" s="47" t="s">
        <v>2097</v>
      </c>
      <c r="C853" s="21" t="s">
        <v>2466</v>
      </c>
      <c r="D853" s="47" t="s">
        <v>2467</v>
      </c>
      <c r="E853" s="21" t="s">
        <v>31</v>
      </c>
      <c r="F853" s="47" t="s">
        <v>32</v>
      </c>
      <c r="G853" s="21" t="s">
        <v>2468</v>
      </c>
      <c r="H853" s="7" t="s">
        <v>2469</v>
      </c>
      <c r="I853" s="8" t="s">
        <v>2493</v>
      </c>
      <c r="J853" s="9">
        <v>7759200</v>
      </c>
      <c r="K853" s="8"/>
      <c r="L853" s="8"/>
      <c r="M853" s="8"/>
      <c r="N853" s="42">
        <f t="shared" si="293"/>
        <v>7759200</v>
      </c>
      <c r="O853" s="42"/>
      <c r="P853" s="42">
        <f t="shared" ref="P853:P861" si="297">N853</f>
        <v>7759200</v>
      </c>
      <c r="Q853" s="42">
        <f t="shared" si="295"/>
        <v>7759200</v>
      </c>
      <c r="R853" s="5"/>
    </row>
    <row r="854" spans="1:18" ht="13.5" x14ac:dyDescent="0.2">
      <c r="A854" s="47" t="s">
        <v>2096</v>
      </c>
      <c r="B854" s="47" t="s">
        <v>2097</v>
      </c>
      <c r="C854" s="21" t="s">
        <v>2466</v>
      </c>
      <c r="D854" s="47" t="s">
        <v>2467</v>
      </c>
      <c r="E854" s="21" t="s">
        <v>31</v>
      </c>
      <c r="F854" s="47" t="s">
        <v>32</v>
      </c>
      <c r="G854" s="21" t="s">
        <v>2497</v>
      </c>
      <c r="H854" s="7" t="s">
        <v>2498</v>
      </c>
      <c r="I854" s="8" t="s">
        <v>2509</v>
      </c>
      <c r="J854" s="9">
        <v>3239600</v>
      </c>
      <c r="K854" s="8"/>
      <c r="L854" s="8"/>
      <c r="M854" s="8"/>
      <c r="N854" s="42">
        <f t="shared" si="293"/>
        <v>3239600</v>
      </c>
      <c r="O854" s="42"/>
      <c r="P854" s="42">
        <f t="shared" si="297"/>
        <v>3239600</v>
      </c>
      <c r="Q854" s="42">
        <f t="shared" si="295"/>
        <v>3239600</v>
      </c>
      <c r="R854" s="5"/>
    </row>
    <row r="855" spans="1:18" ht="13.5" x14ac:dyDescent="0.2">
      <c r="A855" s="47" t="s">
        <v>2096</v>
      </c>
      <c r="B855" s="47" t="s">
        <v>2097</v>
      </c>
      <c r="C855" s="21" t="s">
        <v>2466</v>
      </c>
      <c r="D855" s="47" t="s">
        <v>2467</v>
      </c>
      <c r="E855" s="21" t="s">
        <v>31</v>
      </c>
      <c r="F855" s="47" t="s">
        <v>32</v>
      </c>
      <c r="G855" s="21" t="s">
        <v>2497</v>
      </c>
      <c r="H855" s="7" t="s">
        <v>2498</v>
      </c>
      <c r="I855" s="8" t="s">
        <v>2499</v>
      </c>
      <c r="J855" s="9">
        <v>3599400</v>
      </c>
      <c r="K855" s="8"/>
      <c r="L855" s="8"/>
      <c r="M855" s="8"/>
      <c r="N855" s="42">
        <f t="shared" si="293"/>
        <v>3599400</v>
      </c>
      <c r="O855" s="42"/>
      <c r="P855" s="42">
        <f t="shared" si="297"/>
        <v>3599400</v>
      </c>
      <c r="Q855" s="42">
        <f t="shared" si="295"/>
        <v>3599400</v>
      </c>
      <c r="R855" s="5"/>
    </row>
    <row r="856" spans="1:18" ht="13.5" x14ac:dyDescent="0.2">
      <c r="A856" s="47" t="s">
        <v>2096</v>
      </c>
      <c r="B856" s="47" t="s">
        <v>2097</v>
      </c>
      <c r="C856" s="21" t="s">
        <v>2466</v>
      </c>
      <c r="D856" s="47" t="s">
        <v>2467</v>
      </c>
      <c r="E856" s="21" t="s">
        <v>41</v>
      </c>
      <c r="F856" s="47" t="s">
        <v>32</v>
      </c>
      <c r="G856" s="21" t="s">
        <v>2468</v>
      </c>
      <c r="H856" s="7" t="s">
        <v>2469</v>
      </c>
      <c r="I856" s="8" t="s">
        <v>2470</v>
      </c>
      <c r="J856" s="9">
        <v>9279200</v>
      </c>
      <c r="K856" s="8"/>
      <c r="L856" s="42">
        <f t="shared" ref="L856:L860" si="298">J856*1.5</f>
        <v>13918800</v>
      </c>
      <c r="M856" s="8"/>
      <c r="N856" s="42">
        <f t="shared" si="286"/>
        <v>13918800</v>
      </c>
      <c r="O856" s="42"/>
      <c r="P856" s="42">
        <f t="shared" si="297"/>
        <v>13918800</v>
      </c>
      <c r="Q856" s="42">
        <f t="shared" si="295"/>
        <v>13918800</v>
      </c>
      <c r="R856" s="5"/>
    </row>
    <row r="857" spans="1:18" ht="13.5" x14ac:dyDescent="0.2">
      <c r="A857" s="47" t="s">
        <v>2096</v>
      </c>
      <c r="B857" s="47" t="s">
        <v>2097</v>
      </c>
      <c r="C857" s="21" t="s">
        <v>2466</v>
      </c>
      <c r="D857" s="47" t="s">
        <v>2467</v>
      </c>
      <c r="E857" s="21" t="s">
        <v>41</v>
      </c>
      <c r="F857" s="47" t="s">
        <v>32</v>
      </c>
      <c r="G857" s="21" t="s">
        <v>2468</v>
      </c>
      <c r="H857" s="7" t="s">
        <v>2469</v>
      </c>
      <c r="I857" s="8" t="s">
        <v>2495</v>
      </c>
      <c r="J857" s="9">
        <v>2799800</v>
      </c>
      <c r="K857" s="8"/>
      <c r="L857" s="42">
        <f t="shared" si="298"/>
        <v>4199700</v>
      </c>
      <c r="M857" s="8"/>
      <c r="N857" s="42">
        <f t="shared" si="286"/>
        <v>4199700</v>
      </c>
      <c r="O857" s="42"/>
      <c r="P857" s="42">
        <f t="shared" si="297"/>
        <v>4199700</v>
      </c>
      <c r="Q857" s="42">
        <f t="shared" si="295"/>
        <v>4199700</v>
      </c>
      <c r="R857" s="5"/>
    </row>
    <row r="858" spans="1:18" ht="13.5" x14ac:dyDescent="0.2">
      <c r="A858" s="47" t="s">
        <v>2096</v>
      </c>
      <c r="B858" s="47" t="s">
        <v>2097</v>
      </c>
      <c r="C858" s="21" t="s">
        <v>2466</v>
      </c>
      <c r="D858" s="47" t="s">
        <v>2467</v>
      </c>
      <c r="E858" s="21" t="s">
        <v>41</v>
      </c>
      <c r="F858" s="47" t="s">
        <v>32</v>
      </c>
      <c r="G858" s="21" t="s">
        <v>2497</v>
      </c>
      <c r="H858" s="7" t="s">
        <v>2498</v>
      </c>
      <c r="I858" s="8" t="s">
        <v>2501</v>
      </c>
      <c r="J858" s="9">
        <v>5160800</v>
      </c>
      <c r="K858" s="8"/>
      <c r="L858" s="42">
        <f t="shared" si="298"/>
        <v>7741200</v>
      </c>
      <c r="M858" s="8"/>
      <c r="N858" s="42">
        <f t="shared" si="286"/>
        <v>7741200</v>
      </c>
      <c r="O858" s="42"/>
      <c r="P858" s="42">
        <f t="shared" si="297"/>
        <v>7741200</v>
      </c>
      <c r="Q858" s="42">
        <f t="shared" si="295"/>
        <v>7741200</v>
      </c>
      <c r="R858" s="5"/>
    </row>
    <row r="859" spans="1:18" ht="13.5" x14ac:dyDescent="0.2">
      <c r="A859" s="47" t="s">
        <v>2096</v>
      </c>
      <c r="B859" s="47" t="s">
        <v>2097</v>
      </c>
      <c r="C859" s="21" t="s">
        <v>2466</v>
      </c>
      <c r="D859" s="47" t="s">
        <v>2467</v>
      </c>
      <c r="E859" s="21" t="s">
        <v>41</v>
      </c>
      <c r="F859" s="47" t="s">
        <v>32</v>
      </c>
      <c r="G859" s="21" t="s">
        <v>2497</v>
      </c>
      <c r="H859" s="7" t="s">
        <v>2498</v>
      </c>
      <c r="I859" s="8" t="s">
        <v>2505</v>
      </c>
      <c r="J859" s="9">
        <v>2199800</v>
      </c>
      <c r="K859" s="8"/>
      <c r="L859" s="42">
        <f t="shared" si="298"/>
        <v>3299700</v>
      </c>
      <c r="M859" s="8"/>
      <c r="N859" s="42">
        <f t="shared" si="286"/>
        <v>3299700</v>
      </c>
      <c r="O859" s="42"/>
      <c r="P859" s="42">
        <f t="shared" si="297"/>
        <v>3299700</v>
      </c>
      <c r="Q859" s="42">
        <f t="shared" si="295"/>
        <v>3299700</v>
      </c>
      <c r="R859" s="5"/>
    </row>
    <row r="860" spans="1:18" ht="13.5" x14ac:dyDescent="0.2">
      <c r="A860" s="47" t="s">
        <v>2096</v>
      </c>
      <c r="B860" s="47" t="s">
        <v>2097</v>
      </c>
      <c r="C860" s="21" t="s">
        <v>2466</v>
      </c>
      <c r="D860" s="47" t="s">
        <v>2467</v>
      </c>
      <c r="E860" s="21" t="s">
        <v>41</v>
      </c>
      <c r="F860" s="47" t="s">
        <v>32</v>
      </c>
      <c r="G860" s="21" t="s">
        <v>2497</v>
      </c>
      <c r="H860" s="7" t="s">
        <v>2498</v>
      </c>
      <c r="I860" s="8" t="s">
        <v>2503</v>
      </c>
      <c r="J860" s="9">
        <v>12996000</v>
      </c>
      <c r="K860" s="8"/>
      <c r="L860" s="42">
        <f t="shared" si="298"/>
        <v>19494000</v>
      </c>
      <c r="M860" s="8"/>
      <c r="N860" s="42">
        <f t="shared" si="286"/>
        <v>19494000</v>
      </c>
      <c r="O860" s="42"/>
      <c r="P860" s="42">
        <f t="shared" si="297"/>
        <v>19494000</v>
      </c>
      <c r="Q860" s="42">
        <f t="shared" si="295"/>
        <v>19494000</v>
      </c>
      <c r="R860" s="5"/>
    </row>
    <row r="861" spans="1:18" ht="13.5" x14ac:dyDescent="0.2">
      <c r="A861" s="47" t="s">
        <v>2096</v>
      </c>
      <c r="B861" s="47" t="s">
        <v>2097</v>
      </c>
      <c r="C861" s="21" t="s">
        <v>2466</v>
      </c>
      <c r="D861" s="47" t="s">
        <v>2467</v>
      </c>
      <c r="E861" s="21" t="s">
        <v>855</v>
      </c>
      <c r="F861" s="47" t="s">
        <v>856</v>
      </c>
      <c r="G861" s="21" t="s">
        <v>2468</v>
      </c>
      <c r="H861" s="7" t="s">
        <v>2469</v>
      </c>
      <c r="I861" s="8" t="s">
        <v>2485</v>
      </c>
      <c r="J861" s="9">
        <v>948000</v>
      </c>
      <c r="K861" s="8"/>
      <c r="L861" s="8"/>
      <c r="M861" s="8"/>
      <c r="N861" s="42">
        <f>J861</f>
        <v>948000</v>
      </c>
      <c r="O861" s="42"/>
      <c r="P861" s="42">
        <f t="shared" si="297"/>
        <v>948000</v>
      </c>
      <c r="Q861" s="42">
        <f t="shared" si="295"/>
        <v>948000</v>
      </c>
      <c r="R861" s="5"/>
    </row>
    <row r="862" spans="1:18" ht="13.5" x14ac:dyDescent="0.2">
      <c r="A862" s="47" t="s">
        <v>2096</v>
      </c>
      <c r="B862" s="47" t="s">
        <v>2097</v>
      </c>
      <c r="C862" s="21" t="s">
        <v>2466</v>
      </c>
      <c r="D862" s="47" t="s">
        <v>2467</v>
      </c>
      <c r="E862" s="21" t="s">
        <v>57</v>
      </c>
      <c r="F862" s="47" t="s">
        <v>32</v>
      </c>
      <c r="G862" s="21" t="s">
        <v>2468</v>
      </c>
      <c r="H862" s="7" t="s">
        <v>2469</v>
      </c>
      <c r="I862" s="8" t="s">
        <v>2489</v>
      </c>
      <c r="J862" s="9">
        <v>3599800</v>
      </c>
      <c r="K862" s="8"/>
      <c r="L862" s="42">
        <f t="shared" ref="L862" si="299">J862*1.5</f>
        <v>5399700</v>
      </c>
      <c r="M862" s="8"/>
      <c r="N862" s="42">
        <f t="shared" si="286"/>
        <v>5399700</v>
      </c>
      <c r="O862" s="42">
        <f>N862*1.5</f>
        <v>8099550</v>
      </c>
      <c r="P862" s="42"/>
      <c r="Q862" s="42">
        <f t="shared" si="295"/>
        <v>8099550</v>
      </c>
    </row>
    <row r="863" spans="1:18" ht="13.5" x14ac:dyDescent="0.2">
      <c r="A863" s="47" t="s">
        <v>2096</v>
      </c>
      <c r="B863" s="47" t="s">
        <v>2097</v>
      </c>
      <c r="C863" s="21" t="s">
        <v>2466</v>
      </c>
      <c r="D863" s="47" t="s">
        <v>2513</v>
      </c>
      <c r="E863" s="21" t="s">
        <v>31</v>
      </c>
      <c r="F863" s="47" t="s">
        <v>32</v>
      </c>
      <c r="G863" s="21" t="s">
        <v>2514</v>
      </c>
      <c r="H863" s="7" t="s">
        <v>2515</v>
      </c>
      <c r="I863" s="8" t="s">
        <v>2541</v>
      </c>
      <c r="J863" s="9">
        <v>4723600</v>
      </c>
      <c r="K863" s="8"/>
      <c r="L863" s="8"/>
      <c r="M863" s="8"/>
      <c r="N863" s="42">
        <f t="shared" ref="N863:N872" si="300">J863</f>
        <v>4723600</v>
      </c>
      <c r="O863" s="42"/>
      <c r="P863" s="42">
        <f>N863</f>
        <v>4723600</v>
      </c>
      <c r="Q863" s="42">
        <f t="shared" si="295"/>
        <v>4723600</v>
      </c>
      <c r="R863" s="5"/>
    </row>
    <row r="864" spans="1:18" ht="13.5" x14ac:dyDescent="0.2">
      <c r="A864" s="47" t="s">
        <v>2096</v>
      </c>
      <c r="B864" s="47" t="s">
        <v>2097</v>
      </c>
      <c r="C864" s="21" t="s">
        <v>2466</v>
      </c>
      <c r="D864" s="47" t="s">
        <v>2513</v>
      </c>
      <c r="E864" s="21" t="s">
        <v>31</v>
      </c>
      <c r="F864" s="47" t="s">
        <v>32</v>
      </c>
      <c r="G864" s="21" t="s">
        <v>2514</v>
      </c>
      <c r="H864" s="7" t="s">
        <v>2515</v>
      </c>
      <c r="I864" s="8" t="s">
        <v>2527</v>
      </c>
      <c r="J864" s="9">
        <v>560900</v>
      </c>
      <c r="K864" s="8"/>
      <c r="L864" s="8"/>
      <c r="M864" s="8"/>
      <c r="N864" s="42">
        <f t="shared" si="300"/>
        <v>560900</v>
      </c>
      <c r="O864" s="42">
        <f t="shared" ref="O864:O865" si="301">N864*1.5</f>
        <v>841350</v>
      </c>
      <c r="P864" s="42"/>
      <c r="Q864" s="42">
        <f t="shared" si="295"/>
        <v>841350</v>
      </c>
    </row>
    <row r="865" spans="1:18" ht="13.5" x14ac:dyDescent="0.2">
      <c r="A865" s="47" t="s">
        <v>2096</v>
      </c>
      <c r="B865" s="47" t="s">
        <v>2097</v>
      </c>
      <c r="C865" s="21" t="s">
        <v>2466</v>
      </c>
      <c r="D865" s="47" t="s">
        <v>2513</v>
      </c>
      <c r="E865" s="21" t="s">
        <v>31</v>
      </c>
      <c r="F865" s="47" t="s">
        <v>32</v>
      </c>
      <c r="G865" s="21" t="s">
        <v>2514</v>
      </c>
      <c r="H865" s="7" t="s">
        <v>2515</v>
      </c>
      <c r="I865" s="8" t="s">
        <v>2525</v>
      </c>
      <c r="J865" s="9">
        <v>1219800</v>
      </c>
      <c r="K865" s="8"/>
      <c r="L865" s="8"/>
      <c r="M865" s="8"/>
      <c r="N865" s="42">
        <f t="shared" si="300"/>
        <v>1219800</v>
      </c>
      <c r="O865" s="42">
        <f t="shared" si="301"/>
        <v>1829700</v>
      </c>
      <c r="P865" s="42"/>
      <c r="Q865" s="42">
        <f t="shared" si="295"/>
        <v>1829700</v>
      </c>
    </row>
    <row r="866" spans="1:18" ht="13.5" x14ac:dyDescent="0.2">
      <c r="A866" s="47" t="s">
        <v>2096</v>
      </c>
      <c r="B866" s="47" t="s">
        <v>2097</v>
      </c>
      <c r="C866" s="21" t="s">
        <v>2466</v>
      </c>
      <c r="D866" s="47" t="s">
        <v>2513</v>
      </c>
      <c r="E866" s="21" t="s">
        <v>31</v>
      </c>
      <c r="F866" s="47" t="s">
        <v>32</v>
      </c>
      <c r="G866" s="21" t="s">
        <v>2514</v>
      </c>
      <c r="H866" s="7" t="s">
        <v>2515</v>
      </c>
      <c r="I866" s="8" t="s">
        <v>2518</v>
      </c>
      <c r="J866" s="9">
        <v>799600</v>
      </c>
      <c r="K866" s="8"/>
      <c r="L866" s="8"/>
      <c r="M866" s="8"/>
      <c r="N866" s="42">
        <f t="shared" si="300"/>
        <v>799600</v>
      </c>
      <c r="O866" s="42"/>
      <c r="P866" s="42">
        <f>N866</f>
        <v>799600</v>
      </c>
      <c r="Q866" s="42">
        <f t="shared" si="295"/>
        <v>799600</v>
      </c>
      <c r="R866" s="5"/>
    </row>
    <row r="867" spans="1:18" ht="13.5" x14ac:dyDescent="0.2">
      <c r="A867" s="47" t="s">
        <v>2096</v>
      </c>
      <c r="B867" s="47" t="s">
        <v>2097</v>
      </c>
      <c r="C867" s="21" t="s">
        <v>2466</v>
      </c>
      <c r="D867" s="47" t="s">
        <v>2513</v>
      </c>
      <c r="E867" s="21" t="s">
        <v>31</v>
      </c>
      <c r="F867" s="47" t="s">
        <v>32</v>
      </c>
      <c r="G867" s="21" t="s">
        <v>2514</v>
      </c>
      <c r="H867" s="7" t="s">
        <v>2515</v>
      </c>
      <c r="I867" s="8" t="s">
        <v>2529</v>
      </c>
      <c r="J867" s="9">
        <v>4661400</v>
      </c>
      <c r="K867" s="8"/>
      <c r="L867" s="8"/>
      <c r="M867" s="8"/>
      <c r="N867" s="42">
        <f t="shared" si="300"/>
        <v>4661400</v>
      </c>
      <c r="O867" s="42">
        <f>N867*1.5</f>
        <v>6992100</v>
      </c>
      <c r="P867" s="42"/>
      <c r="Q867" s="42">
        <f t="shared" si="295"/>
        <v>6992100</v>
      </c>
    </row>
    <row r="868" spans="1:18" ht="13.5" x14ac:dyDescent="0.2">
      <c r="A868" s="47" t="s">
        <v>2096</v>
      </c>
      <c r="B868" s="47" t="s">
        <v>2097</v>
      </c>
      <c r="C868" s="21" t="s">
        <v>2466</v>
      </c>
      <c r="D868" s="47" t="s">
        <v>2513</v>
      </c>
      <c r="E868" s="21" t="s">
        <v>31</v>
      </c>
      <c r="F868" s="47" t="s">
        <v>32</v>
      </c>
      <c r="G868" s="21" t="s">
        <v>2514</v>
      </c>
      <c r="H868" s="7" t="s">
        <v>2515</v>
      </c>
      <c r="I868" s="8" t="s">
        <v>2483</v>
      </c>
      <c r="J868" s="9">
        <v>7999500</v>
      </c>
      <c r="K868" s="8"/>
      <c r="L868" s="8"/>
      <c r="M868" s="8"/>
      <c r="N868" s="42">
        <f t="shared" si="300"/>
        <v>7999500</v>
      </c>
      <c r="O868" s="42"/>
      <c r="P868" s="42">
        <f t="shared" ref="P868:P871" si="302">N868</f>
        <v>7999500</v>
      </c>
      <c r="Q868" s="42">
        <f t="shared" si="295"/>
        <v>7999500</v>
      </c>
      <c r="R868" s="5"/>
    </row>
    <row r="869" spans="1:18" ht="13.5" x14ac:dyDescent="0.2">
      <c r="A869" s="47" t="s">
        <v>2096</v>
      </c>
      <c r="B869" s="47" t="s">
        <v>2097</v>
      </c>
      <c r="C869" s="21" t="s">
        <v>2466</v>
      </c>
      <c r="D869" s="47" t="s">
        <v>2513</v>
      </c>
      <c r="E869" s="21" t="s">
        <v>31</v>
      </c>
      <c r="F869" s="47" t="s">
        <v>32</v>
      </c>
      <c r="G869" s="21" t="s">
        <v>2514</v>
      </c>
      <c r="H869" s="7" t="s">
        <v>2515</v>
      </c>
      <c r="I869" s="8" t="s">
        <v>2548</v>
      </c>
      <c r="J869" s="9">
        <v>8249500</v>
      </c>
      <c r="K869" s="8"/>
      <c r="L869" s="8"/>
      <c r="M869" s="8"/>
      <c r="N869" s="42">
        <f t="shared" si="300"/>
        <v>8249500</v>
      </c>
      <c r="O869" s="42"/>
      <c r="P869" s="42">
        <f t="shared" si="302"/>
        <v>8249500</v>
      </c>
      <c r="Q869" s="42">
        <f t="shared" si="295"/>
        <v>8249500</v>
      </c>
      <c r="R869" s="5"/>
    </row>
    <row r="870" spans="1:18" ht="13.5" x14ac:dyDescent="0.2">
      <c r="A870" s="47" t="s">
        <v>2096</v>
      </c>
      <c r="B870" s="47" t="s">
        <v>2097</v>
      </c>
      <c r="C870" s="21" t="s">
        <v>2466</v>
      </c>
      <c r="D870" s="47" t="s">
        <v>2513</v>
      </c>
      <c r="E870" s="21" t="s">
        <v>31</v>
      </c>
      <c r="F870" s="47" t="s">
        <v>32</v>
      </c>
      <c r="G870" s="21" t="s">
        <v>2563</v>
      </c>
      <c r="H870" s="7" t="s">
        <v>2564</v>
      </c>
      <c r="I870" s="8" t="s">
        <v>2571</v>
      </c>
      <c r="J870" s="9">
        <v>10372600</v>
      </c>
      <c r="K870" s="8"/>
      <c r="L870" s="8"/>
      <c r="M870" s="8"/>
      <c r="N870" s="42">
        <f t="shared" si="300"/>
        <v>10372600</v>
      </c>
      <c r="O870" s="42"/>
      <c r="P870" s="42">
        <f t="shared" si="302"/>
        <v>10372600</v>
      </c>
      <c r="Q870" s="42">
        <f t="shared" si="295"/>
        <v>10372600</v>
      </c>
      <c r="R870" s="5"/>
    </row>
    <row r="871" spans="1:18" ht="13.5" x14ac:dyDescent="0.2">
      <c r="A871" s="47" t="s">
        <v>2096</v>
      </c>
      <c r="B871" s="47" t="s">
        <v>2097</v>
      </c>
      <c r="C871" s="21" t="s">
        <v>2466</v>
      </c>
      <c r="D871" s="47" t="s">
        <v>2513</v>
      </c>
      <c r="E871" s="21" t="s">
        <v>31</v>
      </c>
      <c r="F871" s="47" t="s">
        <v>32</v>
      </c>
      <c r="G871" s="21" t="s">
        <v>2563</v>
      </c>
      <c r="H871" s="7" t="s">
        <v>2564</v>
      </c>
      <c r="I871" s="8" t="s">
        <v>2565</v>
      </c>
      <c r="J871" s="9">
        <v>3107600</v>
      </c>
      <c r="K871" s="8"/>
      <c r="L871" s="8"/>
      <c r="M871" s="8"/>
      <c r="N871" s="42">
        <f t="shared" si="300"/>
        <v>3107600</v>
      </c>
      <c r="O871" s="42"/>
      <c r="P871" s="42">
        <f t="shared" si="302"/>
        <v>3107600</v>
      </c>
      <c r="Q871" s="42">
        <f t="shared" si="295"/>
        <v>3107600</v>
      </c>
      <c r="R871" s="5"/>
    </row>
    <row r="872" spans="1:18" ht="13.5" x14ac:dyDescent="0.2">
      <c r="A872" s="47" t="s">
        <v>2096</v>
      </c>
      <c r="B872" s="47" t="s">
        <v>2097</v>
      </c>
      <c r="C872" s="21" t="s">
        <v>2466</v>
      </c>
      <c r="D872" s="47" t="s">
        <v>2513</v>
      </c>
      <c r="E872" s="21" t="s">
        <v>31</v>
      </c>
      <c r="F872" s="47" t="s">
        <v>32</v>
      </c>
      <c r="G872" s="21" t="s">
        <v>2563</v>
      </c>
      <c r="H872" s="7" t="s">
        <v>2564</v>
      </c>
      <c r="I872" s="8" t="s">
        <v>2569</v>
      </c>
      <c r="J872" s="9">
        <v>2561400</v>
      </c>
      <c r="K872" s="8"/>
      <c r="L872" s="8"/>
      <c r="M872" s="8"/>
      <c r="N872" s="42">
        <f t="shared" si="300"/>
        <v>2561400</v>
      </c>
      <c r="O872" s="42">
        <f>N872*1.5</f>
        <v>3842100</v>
      </c>
      <c r="P872" s="42"/>
      <c r="Q872" s="42">
        <f t="shared" si="295"/>
        <v>3842100</v>
      </c>
    </row>
    <row r="873" spans="1:18" ht="13.5" x14ac:dyDescent="0.2">
      <c r="A873" s="47" t="s">
        <v>2096</v>
      </c>
      <c r="B873" s="47" t="s">
        <v>2097</v>
      </c>
      <c r="C873" s="21" t="s">
        <v>2466</v>
      </c>
      <c r="D873" s="47" t="s">
        <v>2513</v>
      </c>
      <c r="E873" s="21" t="s">
        <v>41</v>
      </c>
      <c r="F873" s="47" t="s">
        <v>32</v>
      </c>
      <c r="G873" s="21" t="s">
        <v>2514</v>
      </c>
      <c r="H873" s="7" t="s">
        <v>2515</v>
      </c>
      <c r="I873" s="8" t="s">
        <v>2553</v>
      </c>
      <c r="J873" s="9">
        <v>4851800</v>
      </c>
      <c r="K873" s="8"/>
      <c r="L873" s="42">
        <f t="shared" ref="L873:L876" si="303">J873*1.5</f>
        <v>7277700</v>
      </c>
      <c r="M873" s="8"/>
      <c r="N873" s="42">
        <f t="shared" si="286"/>
        <v>7277700</v>
      </c>
      <c r="O873" s="42"/>
      <c r="P873" s="42">
        <f t="shared" ref="P873:P877" si="304">N873</f>
        <v>7277700</v>
      </c>
      <c r="Q873" s="42">
        <f t="shared" si="295"/>
        <v>7277700</v>
      </c>
      <c r="R873" s="5"/>
    </row>
    <row r="874" spans="1:18" ht="13.5" x14ac:dyDescent="0.2">
      <c r="A874" s="47" t="s">
        <v>2096</v>
      </c>
      <c r="B874" s="47" t="s">
        <v>2097</v>
      </c>
      <c r="C874" s="21" t="s">
        <v>2466</v>
      </c>
      <c r="D874" s="47" t="s">
        <v>2513</v>
      </c>
      <c r="E874" s="21" t="s">
        <v>41</v>
      </c>
      <c r="F874" s="47" t="s">
        <v>32</v>
      </c>
      <c r="G874" s="21" t="s">
        <v>2514</v>
      </c>
      <c r="H874" s="7" t="s">
        <v>2515</v>
      </c>
      <c r="I874" s="8" t="s">
        <v>2543</v>
      </c>
      <c r="J874" s="9">
        <v>10172000</v>
      </c>
      <c r="K874" s="8"/>
      <c r="L874" s="42">
        <f t="shared" si="303"/>
        <v>15258000</v>
      </c>
      <c r="M874" s="8"/>
      <c r="N874" s="42">
        <f t="shared" si="286"/>
        <v>15258000</v>
      </c>
      <c r="O874" s="42"/>
      <c r="P874" s="42">
        <f t="shared" si="304"/>
        <v>15258000</v>
      </c>
      <c r="Q874" s="42">
        <f t="shared" si="295"/>
        <v>15258000</v>
      </c>
      <c r="R874" s="5"/>
    </row>
    <row r="875" spans="1:18" ht="13.5" x14ac:dyDescent="0.2">
      <c r="A875" s="47" t="s">
        <v>2096</v>
      </c>
      <c r="B875" s="47" t="s">
        <v>2097</v>
      </c>
      <c r="C875" s="21" t="s">
        <v>2466</v>
      </c>
      <c r="D875" s="47" t="s">
        <v>2513</v>
      </c>
      <c r="E875" s="21" t="s">
        <v>41</v>
      </c>
      <c r="F875" s="47" t="s">
        <v>32</v>
      </c>
      <c r="G875" s="21" t="s">
        <v>2514</v>
      </c>
      <c r="H875" s="7" t="s">
        <v>2515</v>
      </c>
      <c r="I875" s="8" t="s">
        <v>2520</v>
      </c>
      <c r="J875" s="9">
        <v>11310000</v>
      </c>
      <c r="K875" s="8"/>
      <c r="L875" s="42">
        <f t="shared" si="303"/>
        <v>16965000</v>
      </c>
      <c r="M875" s="8"/>
      <c r="N875" s="42">
        <f t="shared" si="286"/>
        <v>16965000</v>
      </c>
      <c r="O875" s="42"/>
      <c r="P875" s="42">
        <f t="shared" si="304"/>
        <v>16965000</v>
      </c>
      <c r="Q875" s="42">
        <f t="shared" si="295"/>
        <v>16965000</v>
      </c>
      <c r="R875" s="5"/>
    </row>
    <row r="876" spans="1:18" ht="13.5" x14ac:dyDescent="0.2">
      <c r="A876" s="47" t="s">
        <v>2096</v>
      </c>
      <c r="B876" s="47" t="s">
        <v>2097</v>
      </c>
      <c r="C876" s="21" t="s">
        <v>2466</v>
      </c>
      <c r="D876" s="47" t="s">
        <v>2513</v>
      </c>
      <c r="E876" s="21" t="s">
        <v>41</v>
      </c>
      <c r="F876" s="47" t="s">
        <v>32</v>
      </c>
      <c r="G876" s="21" t="s">
        <v>2563</v>
      </c>
      <c r="H876" s="7" t="s">
        <v>2564</v>
      </c>
      <c r="I876" s="8" t="s">
        <v>2567</v>
      </c>
      <c r="J876" s="9">
        <v>7497000</v>
      </c>
      <c r="K876" s="8"/>
      <c r="L876" s="42">
        <f t="shared" si="303"/>
        <v>11245500</v>
      </c>
      <c r="M876" s="8"/>
      <c r="N876" s="42">
        <f t="shared" si="286"/>
        <v>11245500</v>
      </c>
      <c r="O876" s="42"/>
      <c r="P876" s="42">
        <f t="shared" si="304"/>
        <v>11245500</v>
      </c>
      <c r="Q876" s="42">
        <f t="shared" si="295"/>
        <v>11245500</v>
      </c>
      <c r="R876" s="5"/>
    </row>
    <row r="877" spans="1:18" ht="13.5" x14ac:dyDescent="0.2">
      <c r="A877" s="47" t="s">
        <v>2096</v>
      </c>
      <c r="B877" s="47" t="s">
        <v>2097</v>
      </c>
      <c r="C877" s="21" t="s">
        <v>2466</v>
      </c>
      <c r="D877" s="47" t="s">
        <v>2573</v>
      </c>
      <c r="E877" s="21" t="s">
        <v>211</v>
      </c>
      <c r="F877" s="47" t="s">
        <v>212</v>
      </c>
      <c r="G877" s="21" t="s">
        <v>2574</v>
      </c>
      <c r="H877" s="7" t="s">
        <v>2575</v>
      </c>
      <c r="I877" s="8" t="s">
        <v>2627</v>
      </c>
      <c r="J877" s="9">
        <v>5036000</v>
      </c>
      <c r="K877" s="8"/>
      <c r="L877" s="8"/>
      <c r="M877" s="8"/>
      <c r="N877" s="42">
        <f t="shared" ref="N877:N901" si="305">J877</f>
        <v>5036000</v>
      </c>
      <c r="O877" s="42"/>
      <c r="P877" s="42">
        <f t="shared" si="304"/>
        <v>5036000</v>
      </c>
      <c r="Q877" s="42">
        <f t="shared" si="295"/>
        <v>5036000</v>
      </c>
      <c r="R877" s="5"/>
    </row>
    <row r="878" spans="1:18" ht="13.5" hidden="1" x14ac:dyDescent="0.2">
      <c r="A878" s="12" t="s">
        <v>2096</v>
      </c>
      <c r="B878" s="12" t="s">
        <v>2097</v>
      </c>
      <c r="C878" s="13" t="s">
        <v>2466</v>
      </c>
      <c r="D878" s="12" t="s">
        <v>2573</v>
      </c>
      <c r="E878" s="13" t="s">
        <v>128</v>
      </c>
      <c r="F878" s="12" t="s">
        <v>181</v>
      </c>
      <c r="G878" s="13" t="s">
        <v>2684</v>
      </c>
      <c r="H878" s="12" t="s">
        <v>2685</v>
      </c>
      <c r="I878" s="13" t="s">
        <v>2703</v>
      </c>
      <c r="J878" s="14" t="s">
        <v>3946</v>
      </c>
      <c r="K878" s="18"/>
      <c r="L878" s="18"/>
      <c r="M878" s="18"/>
      <c r="N878" s="20" t="str">
        <f t="shared" si="305"/>
        <v>-</v>
      </c>
      <c r="O878"/>
      <c r="P878"/>
    </row>
    <row r="879" spans="1:18" ht="13.5" hidden="1" x14ac:dyDescent="0.2">
      <c r="A879" s="7" t="s">
        <v>2096</v>
      </c>
      <c r="B879" s="7" t="s">
        <v>2097</v>
      </c>
      <c r="C879" s="8" t="s">
        <v>2466</v>
      </c>
      <c r="D879" s="7" t="s">
        <v>2573</v>
      </c>
      <c r="E879" s="8" t="s">
        <v>128</v>
      </c>
      <c r="F879" s="7" t="s">
        <v>181</v>
      </c>
      <c r="G879" s="8" t="s">
        <v>2684</v>
      </c>
      <c r="H879" s="7" t="s">
        <v>2685</v>
      </c>
      <c r="I879" s="8" t="s">
        <v>2686</v>
      </c>
      <c r="J879" s="9" t="s">
        <v>3946</v>
      </c>
      <c r="K879" s="15"/>
      <c r="L879" s="15"/>
      <c r="M879" s="15"/>
      <c r="N879" s="16" t="str">
        <f t="shared" si="305"/>
        <v>-</v>
      </c>
      <c r="O879"/>
      <c r="P879"/>
    </row>
    <row r="880" spans="1:18" ht="13.5" hidden="1" x14ac:dyDescent="0.2">
      <c r="A880" s="7" t="s">
        <v>2096</v>
      </c>
      <c r="B880" s="7" t="s">
        <v>2097</v>
      </c>
      <c r="C880" s="8" t="s">
        <v>2466</v>
      </c>
      <c r="D880" s="7" t="s">
        <v>2573</v>
      </c>
      <c r="E880" s="8" t="s">
        <v>128</v>
      </c>
      <c r="F880" s="7" t="s">
        <v>181</v>
      </c>
      <c r="G880" s="8" t="s">
        <v>2684</v>
      </c>
      <c r="H880" s="7" t="s">
        <v>2685</v>
      </c>
      <c r="I880" s="8" t="s">
        <v>2699</v>
      </c>
      <c r="J880" s="9" t="s">
        <v>3946</v>
      </c>
      <c r="K880" s="15"/>
      <c r="L880" s="15"/>
      <c r="M880" s="15"/>
      <c r="N880" s="16" t="str">
        <f t="shared" si="305"/>
        <v>-</v>
      </c>
      <c r="O880"/>
      <c r="P880"/>
    </row>
    <row r="881" spans="1:18" ht="13.5" x14ac:dyDescent="0.2">
      <c r="A881" s="47" t="s">
        <v>2096</v>
      </c>
      <c r="B881" s="47" t="s">
        <v>2097</v>
      </c>
      <c r="C881" s="21" t="s">
        <v>2466</v>
      </c>
      <c r="D881" s="47" t="s">
        <v>2573</v>
      </c>
      <c r="E881" s="21" t="s">
        <v>31</v>
      </c>
      <c r="F881" s="47" t="s">
        <v>32</v>
      </c>
      <c r="G881" s="21" t="s">
        <v>2574</v>
      </c>
      <c r="H881" s="7" t="s">
        <v>2575</v>
      </c>
      <c r="I881" s="8" t="s">
        <v>2654</v>
      </c>
      <c r="J881" s="9">
        <v>2896800</v>
      </c>
      <c r="K881" s="8"/>
      <c r="L881" s="8"/>
      <c r="M881" s="8"/>
      <c r="N881" s="42">
        <f t="shared" si="305"/>
        <v>2896800</v>
      </c>
      <c r="O881" s="42">
        <f t="shared" ref="O881:O882" si="306">N881*1.5</f>
        <v>4345200</v>
      </c>
      <c r="P881" s="42"/>
      <c r="Q881" s="42">
        <f t="shared" ref="Q881:Q918" si="307">SUM(O881:P881)</f>
        <v>4345200</v>
      </c>
    </row>
    <row r="882" spans="1:18" ht="13.5" x14ac:dyDescent="0.2">
      <c r="A882" s="47" t="s">
        <v>2096</v>
      </c>
      <c r="B882" s="47" t="s">
        <v>2097</v>
      </c>
      <c r="C882" s="21" t="s">
        <v>2466</v>
      </c>
      <c r="D882" s="47" t="s">
        <v>2573</v>
      </c>
      <c r="E882" s="21" t="s">
        <v>31</v>
      </c>
      <c r="F882" s="47" t="s">
        <v>32</v>
      </c>
      <c r="G882" s="21" t="s">
        <v>2574</v>
      </c>
      <c r="H882" s="7" t="s">
        <v>2575</v>
      </c>
      <c r="I882" s="8" t="s">
        <v>2662</v>
      </c>
      <c r="J882" s="9">
        <v>1799800</v>
      </c>
      <c r="K882" s="8"/>
      <c r="L882" s="8"/>
      <c r="M882" s="8"/>
      <c r="N882" s="42">
        <f t="shared" si="305"/>
        <v>1799800</v>
      </c>
      <c r="O882" s="42">
        <f t="shared" si="306"/>
        <v>2699700</v>
      </c>
      <c r="P882" s="42"/>
      <c r="Q882" s="42">
        <f t="shared" si="307"/>
        <v>2699700</v>
      </c>
    </row>
    <row r="883" spans="1:18" ht="13.5" x14ac:dyDescent="0.2">
      <c r="A883" s="47" t="s">
        <v>2096</v>
      </c>
      <c r="B883" s="47" t="s">
        <v>2097</v>
      </c>
      <c r="C883" s="21" t="s">
        <v>2466</v>
      </c>
      <c r="D883" s="47" t="s">
        <v>2573</v>
      </c>
      <c r="E883" s="21" t="s">
        <v>31</v>
      </c>
      <c r="F883" s="47" t="s">
        <v>32</v>
      </c>
      <c r="G883" s="21" t="s">
        <v>2574</v>
      </c>
      <c r="H883" s="7" t="s">
        <v>2575</v>
      </c>
      <c r="I883" s="8" t="s">
        <v>1779</v>
      </c>
      <c r="J883" s="9">
        <v>1165800</v>
      </c>
      <c r="K883" s="8"/>
      <c r="L883" s="8"/>
      <c r="M883" s="8"/>
      <c r="N883" s="42">
        <f t="shared" si="305"/>
        <v>1165800</v>
      </c>
      <c r="O883" s="42"/>
      <c r="P883" s="42">
        <f t="shared" ref="P883:P888" si="308">N883</f>
        <v>1165800</v>
      </c>
      <c r="Q883" s="42">
        <f t="shared" si="307"/>
        <v>1165800</v>
      </c>
      <c r="R883" s="5"/>
    </row>
    <row r="884" spans="1:18" ht="13.5" x14ac:dyDescent="0.2">
      <c r="A884" s="47" t="s">
        <v>2096</v>
      </c>
      <c r="B884" s="47" t="s">
        <v>2097</v>
      </c>
      <c r="C884" s="21" t="s">
        <v>2466</v>
      </c>
      <c r="D884" s="47" t="s">
        <v>2573</v>
      </c>
      <c r="E884" s="21" t="s">
        <v>31</v>
      </c>
      <c r="F884" s="47" t="s">
        <v>32</v>
      </c>
      <c r="G884" s="21" t="s">
        <v>2574</v>
      </c>
      <c r="H884" s="7" t="s">
        <v>2575</v>
      </c>
      <c r="I884" s="8" t="s">
        <v>2616</v>
      </c>
      <c r="J884" s="9">
        <v>2457000</v>
      </c>
      <c r="K884" s="8"/>
      <c r="L884" s="8"/>
      <c r="M884" s="8"/>
      <c r="N884" s="42">
        <f t="shared" si="305"/>
        <v>2457000</v>
      </c>
      <c r="O884" s="42"/>
      <c r="P884" s="42">
        <f t="shared" si="308"/>
        <v>2457000</v>
      </c>
      <c r="Q884" s="42">
        <f t="shared" si="307"/>
        <v>2457000</v>
      </c>
      <c r="R884" s="5"/>
    </row>
    <row r="885" spans="1:18" ht="13.5" x14ac:dyDescent="0.2">
      <c r="A885" s="47" t="s">
        <v>2096</v>
      </c>
      <c r="B885" s="47" t="s">
        <v>2097</v>
      </c>
      <c r="C885" s="21" t="s">
        <v>2466</v>
      </c>
      <c r="D885" s="47" t="s">
        <v>2573</v>
      </c>
      <c r="E885" s="21" t="s">
        <v>31</v>
      </c>
      <c r="F885" s="47" t="s">
        <v>32</v>
      </c>
      <c r="G885" s="21" t="s">
        <v>2574</v>
      </c>
      <c r="H885" s="7" t="s">
        <v>2575</v>
      </c>
      <c r="I885" s="8" t="s">
        <v>2641</v>
      </c>
      <c r="J885" s="9">
        <v>3919600</v>
      </c>
      <c r="K885" s="8"/>
      <c r="L885" s="8"/>
      <c r="M885" s="8"/>
      <c r="N885" s="42">
        <f t="shared" si="305"/>
        <v>3919600</v>
      </c>
      <c r="O885" s="42"/>
      <c r="P885" s="42">
        <f t="shared" si="308"/>
        <v>3919600</v>
      </c>
      <c r="Q885" s="42">
        <f t="shared" si="307"/>
        <v>3919600</v>
      </c>
      <c r="R885" s="5"/>
    </row>
    <row r="886" spans="1:18" ht="13.5" x14ac:dyDescent="0.2">
      <c r="A886" s="47" t="s">
        <v>2096</v>
      </c>
      <c r="B886" s="47" t="s">
        <v>2097</v>
      </c>
      <c r="C886" s="21" t="s">
        <v>2466</v>
      </c>
      <c r="D886" s="47" t="s">
        <v>2573</v>
      </c>
      <c r="E886" s="21" t="s">
        <v>31</v>
      </c>
      <c r="F886" s="47" t="s">
        <v>32</v>
      </c>
      <c r="G886" s="21" t="s">
        <v>2574</v>
      </c>
      <c r="H886" s="7" t="s">
        <v>2575</v>
      </c>
      <c r="I886" s="8" t="s">
        <v>2631</v>
      </c>
      <c r="J886" s="9">
        <v>2999700</v>
      </c>
      <c r="K886" s="8"/>
      <c r="L886" s="8"/>
      <c r="M886" s="8"/>
      <c r="N886" s="42">
        <f t="shared" si="305"/>
        <v>2999700</v>
      </c>
      <c r="O886" s="42"/>
      <c r="P886" s="42">
        <f t="shared" si="308"/>
        <v>2999700</v>
      </c>
      <c r="Q886" s="42">
        <f t="shared" si="307"/>
        <v>2999700</v>
      </c>
      <c r="R886" s="5"/>
    </row>
    <row r="887" spans="1:18" ht="13.5" x14ac:dyDescent="0.2">
      <c r="A887" s="47" t="s">
        <v>2096</v>
      </c>
      <c r="B887" s="47" t="s">
        <v>2097</v>
      </c>
      <c r="C887" s="21" t="s">
        <v>2466</v>
      </c>
      <c r="D887" s="47" t="s">
        <v>2573</v>
      </c>
      <c r="E887" s="21" t="s">
        <v>31</v>
      </c>
      <c r="F887" s="47" t="s">
        <v>32</v>
      </c>
      <c r="G887" s="21" t="s">
        <v>2574</v>
      </c>
      <c r="H887" s="7" t="s">
        <v>2575</v>
      </c>
      <c r="I887" s="8" t="s">
        <v>2643</v>
      </c>
      <c r="J887" s="9">
        <v>4199400</v>
      </c>
      <c r="K887" s="8"/>
      <c r="L887" s="8"/>
      <c r="M887" s="8"/>
      <c r="N887" s="42">
        <f t="shared" si="305"/>
        <v>4199400</v>
      </c>
      <c r="O887" s="42"/>
      <c r="P887" s="42">
        <f t="shared" si="308"/>
        <v>4199400</v>
      </c>
      <c r="Q887" s="42">
        <f t="shared" si="307"/>
        <v>4199400</v>
      </c>
      <c r="R887" s="5"/>
    </row>
    <row r="888" spans="1:18" ht="13.5" x14ac:dyDescent="0.2">
      <c r="A888" s="47" t="s">
        <v>2096</v>
      </c>
      <c r="B888" s="47" t="s">
        <v>2097</v>
      </c>
      <c r="C888" s="21" t="s">
        <v>2466</v>
      </c>
      <c r="D888" s="47" t="s">
        <v>2573</v>
      </c>
      <c r="E888" s="21" t="s">
        <v>31</v>
      </c>
      <c r="F888" s="47" t="s">
        <v>32</v>
      </c>
      <c r="G888" s="21" t="s">
        <v>2574</v>
      </c>
      <c r="H888" s="7" t="s">
        <v>2575</v>
      </c>
      <c r="I888" s="8" t="s">
        <v>2589</v>
      </c>
      <c r="J888" s="9">
        <v>3299800</v>
      </c>
      <c r="K888" s="8"/>
      <c r="L888" s="8"/>
      <c r="M888" s="8"/>
      <c r="N888" s="42">
        <f t="shared" si="305"/>
        <v>3299800</v>
      </c>
      <c r="O888" s="42"/>
      <c r="P888" s="42">
        <f t="shared" si="308"/>
        <v>3299800</v>
      </c>
      <c r="Q888" s="42">
        <f t="shared" si="307"/>
        <v>3299800</v>
      </c>
      <c r="R888" s="5"/>
    </row>
    <row r="889" spans="1:18" ht="13.5" x14ac:dyDescent="0.2">
      <c r="A889" s="47" t="s">
        <v>2096</v>
      </c>
      <c r="B889" s="47" t="s">
        <v>2097</v>
      </c>
      <c r="C889" s="21" t="s">
        <v>2466</v>
      </c>
      <c r="D889" s="47" t="s">
        <v>2573</v>
      </c>
      <c r="E889" s="21" t="s">
        <v>31</v>
      </c>
      <c r="F889" s="47" t="s">
        <v>32</v>
      </c>
      <c r="G889" s="21" t="s">
        <v>2574</v>
      </c>
      <c r="H889" s="7" t="s">
        <v>2575</v>
      </c>
      <c r="I889" s="8" t="s">
        <v>2597</v>
      </c>
      <c r="J889" s="9">
        <v>4129500</v>
      </c>
      <c r="K889" s="8"/>
      <c r="L889" s="8"/>
      <c r="M889" s="8"/>
      <c r="N889" s="42">
        <f t="shared" si="305"/>
        <v>4129500</v>
      </c>
      <c r="O889" s="42">
        <f t="shared" ref="O889:O896" si="309">N889*1.5</f>
        <v>6194250</v>
      </c>
      <c r="P889" s="42"/>
      <c r="Q889" s="42">
        <f t="shared" si="307"/>
        <v>6194250</v>
      </c>
    </row>
    <row r="890" spans="1:18" ht="13.5" x14ac:dyDescent="0.2">
      <c r="A890" s="47" t="s">
        <v>2096</v>
      </c>
      <c r="B890" s="47" t="s">
        <v>2097</v>
      </c>
      <c r="C890" s="21" t="s">
        <v>2466</v>
      </c>
      <c r="D890" s="47" t="s">
        <v>2573</v>
      </c>
      <c r="E890" s="21" t="s">
        <v>31</v>
      </c>
      <c r="F890" s="47" t="s">
        <v>32</v>
      </c>
      <c r="G890" s="21" t="s">
        <v>2574</v>
      </c>
      <c r="H890" s="7" t="s">
        <v>2575</v>
      </c>
      <c r="I890" s="8" t="s">
        <v>2601</v>
      </c>
      <c r="J890" s="9">
        <v>3473700</v>
      </c>
      <c r="K890" s="8"/>
      <c r="L890" s="8"/>
      <c r="M890" s="8"/>
      <c r="N890" s="42">
        <f t="shared" si="305"/>
        <v>3473700</v>
      </c>
      <c r="O890" s="42">
        <f t="shared" si="309"/>
        <v>5210550</v>
      </c>
      <c r="P890" s="42"/>
      <c r="Q890" s="42">
        <f t="shared" si="307"/>
        <v>5210550</v>
      </c>
    </row>
    <row r="891" spans="1:18" ht="13.5" x14ac:dyDescent="0.2">
      <c r="A891" s="47" t="s">
        <v>2096</v>
      </c>
      <c r="B891" s="47" t="s">
        <v>2097</v>
      </c>
      <c r="C891" s="21" t="s">
        <v>2466</v>
      </c>
      <c r="D891" s="47" t="s">
        <v>2573</v>
      </c>
      <c r="E891" s="21" t="s">
        <v>31</v>
      </c>
      <c r="F891" s="47" t="s">
        <v>32</v>
      </c>
      <c r="G891" s="21" t="s">
        <v>2574</v>
      </c>
      <c r="H891" s="7" t="s">
        <v>2575</v>
      </c>
      <c r="I891" s="8" t="s">
        <v>2666</v>
      </c>
      <c r="J891" s="9">
        <v>3449700</v>
      </c>
      <c r="K891" s="8"/>
      <c r="L891" s="8"/>
      <c r="M891" s="8"/>
      <c r="N891" s="42">
        <f t="shared" si="305"/>
        <v>3449700</v>
      </c>
      <c r="O891" s="42">
        <f t="shared" si="309"/>
        <v>5174550</v>
      </c>
      <c r="P891" s="42"/>
      <c r="Q891" s="42">
        <f t="shared" si="307"/>
        <v>5174550</v>
      </c>
    </row>
    <row r="892" spans="1:18" ht="13.5" x14ac:dyDescent="0.2">
      <c r="A892" s="47" t="s">
        <v>2096</v>
      </c>
      <c r="B892" s="47" t="s">
        <v>2097</v>
      </c>
      <c r="C892" s="21" t="s">
        <v>2466</v>
      </c>
      <c r="D892" s="47" t="s">
        <v>2573</v>
      </c>
      <c r="E892" s="21" t="s">
        <v>31</v>
      </c>
      <c r="F892" s="47" t="s">
        <v>32</v>
      </c>
      <c r="G892" s="21" t="s">
        <v>2574</v>
      </c>
      <c r="H892" s="7" t="s">
        <v>2575</v>
      </c>
      <c r="I892" s="8" t="s">
        <v>2603</v>
      </c>
      <c r="J892" s="9">
        <v>11199200</v>
      </c>
      <c r="K892" s="8"/>
      <c r="L892" s="8"/>
      <c r="M892" s="8"/>
      <c r="N892" s="42">
        <f t="shared" si="305"/>
        <v>11199200</v>
      </c>
      <c r="O892" s="42">
        <f t="shared" si="309"/>
        <v>16798800</v>
      </c>
      <c r="P892" s="42"/>
      <c r="Q892" s="42">
        <f t="shared" si="307"/>
        <v>16798800</v>
      </c>
    </row>
    <row r="893" spans="1:18" ht="13.5" x14ac:dyDescent="0.2">
      <c r="A893" s="47" t="s">
        <v>2096</v>
      </c>
      <c r="B893" s="47" t="s">
        <v>2097</v>
      </c>
      <c r="C893" s="21" t="s">
        <v>2466</v>
      </c>
      <c r="D893" s="47" t="s">
        <v>2573</v>
      </c>
      <c r="E893" s="21" t="s">
        <v>31</v>
      </c>
      <c r="F893" s="47" t="s">
        <v>32</v>
      </c>
      <c r="G893" s="21" t="s">
        <v>2574</v>
      </c>
      <c r="H893" s="7" t="s">
        <v>2575</v>
      </c>
      <c r="I893" s="8" t="s">
        <v>2614</v>
      </c>
      <c r="J893" s="9">
        <v>2551800</v>
      </c>
      <c r="K893" s="8"/>
      <c r="L893" s="8"/>
      <c r="M893" s="8"/>
      <c r="N893" s="42">
        <f t="shared" si="305"/>
        <v>2551800</v>
      </c>
      <c r="O893" s="42">
        <f t="shared" si="309"/>
        <v>3827700</v>
      </c>
      <c r="P893" s="42"/>
      <c r="Q893" s="42">
        <f t="shared" si="307"/>
        <v>3827700</v>
      </c>
    </row>
    <row r="894" spans="1:18" ht="13.5" x14ac:dyDescent="0.2">
      <c r="A894" s="47" t="s">
        <v>2096</v>
      </c>
      <c r="B894" s="47" t="s">
        <v>2097</v>
      </c>
      <c r="C894" s="21" t="s">
        <v>2466</v>
      </c>
      <c r="D894" s="47" t="s">
        <v>2573</v>
      </c>
      <c r="E894" s="21" t="s">
        <v>31</v>
      </c>
      <c r="F894" s="47" t="s">
        <v>32</v>
      </c>
      <c r="G894" s="21" t="s">
        <v>2574</v>
      </c>
      <c r="H894" s="7" t="s">
        <v>2575</v>
      </c>
      <c r="I894" s="8" t="s">
        <v>2291</v>
      </c>
      <c r="J894" s="9">
        <v>4671600</v>
      </c>
      <c r="K894" s="8"/>
      <c r="L894" s="8"/>
      <c r="M894" s="8"/>
      <c r="N894" s="42">
        <f t="shared" si="305"/>
        <v>4671600</v>
      </c>
      <c r="O894" s="42">
        <f t="shared" si="309"/>
        <v>7007400</v>
      </c>
      <c r="P894" s="42"/>
      <c r="Q894" s="42">
        <f t="shared" si="307"/>
        <v>7007400</v>
      </c>
    </row>
    <row r="895" spans="1:18" ht="13.5" x14ac:dyDescent="0.2">
      <c r="A895" s="47" t="s">
        <v>2096</v>
      </c>
      <c r="B895" s="47" t="s">
        <v>2097</v>
      </c>
      <c r="C895" s="21" t="s">
        <v>2466</v>
      </c>
      <c r="D895" s="47" t="s">
        <v>2573</v>
      </c>
      <c r="E895" s="21" t="s">
        <v>31</v>
      </c>
      <c r="F895" s="47" t="s">
        <v>32</v>
      </c>
      <c r="G895" s="21" t="s">
        <v>2684</v>
      </c>
      <c r="H895" s="7" t="s">
        <v>2685</v>
      </c>
      <c r="I895" s="8" t="s">
        <v>2716</v>
      </c>
      <c r="J895" s="9">
        <v>375800</v>
      </c>
      <c r="K895" s="8"/>
      <c r="L895" s="8"/>
      <c r="M895" s="8"/>
      <c r="N895" s="42">
        <f t="shared" si="305"/>
        <v>375800</v>
      </c>
      <c r="O895" s="42">
        <f t="shared" si="309"/>
        <v>563700</v>
      </c>
      <c r="P895" s="42"/>
      <c r="Q895" s="42">
        <f t="shared" si="307"/>
        <v>563700</v>
      </c>
    </row>
    <row r="896" spans="1:18" ht="13.5" x14ac:dyDescent="0.2">
      <c r="A896" s="47" t="s">
        <v>2096</v>
      </c>
      <c r="B896" s="47" t="s">
        <v>2097</v>
      </c>
      <c r="C896" s="21" t="s">
        <v>2466</v>
      </c>
      <c r="D896" s="47" t="s">
        <v>2573</v>
      </c>
      <c r="E896" s="21" t="s">
        <v>31</v>
      </c>
      <c r="F896" s="47" t="s">
        <v>32</v>
      </c>
      <c r="G896" s="21" t="s">
        <v>2684</v>
      </c>
      <c r="H896" s="7" t="s">
        <v>2685</v>
      </c>
      <c r="I896" s="8" t="s">
        <v>2525</v>
      </c>
      <c r="J896" s="9">
        <v>3539400</v>
      </c>
      <c r="K896" s="8"/>
      <c r="L896" s="8"/>
      <c r="M896" s="8"/>
      <c r="N896" s="42">
        <f t="shared" si="305"/>
        <v>3539400</v>
      </c>
      <c r="O896" s="42">
        <f t="shared" si="309"/>
        <v>5309100</v>
      </c>
      <c r="P896" s="42"/>
      <c r="Q896" s="42">
        <f t="shared" si="307"/>
        <v>5309100</v>
      </c>
    </row>
    <row r="897" spans="1:18" ht="13.5" x14ac:dyDescent="0.2">
      <c r="A897" s="47" t="s">
        <v>2096</v>
      </c>
      <c r="B897" s="47" t="s">
        <v>2097</v>
      </c>
      <c r="C897" s="21" t="s">
        <v>2466</v>
      </c>
      <c r="D897" s="47" t="s">
        <v>2573</v>
      </c>
      <c r="E897" s="21" t="s">
        <v>31</v>
      </c>
      <c r="F897" s="47" t="s">
        <v>32</v>
      </c>
      <c r="G897" s="21" t="s">
        <v>2684</v>
      </c>
      <c r="H897" s="7" t="s">
        <v>2685</v>
      </c>
      <c r="I897" s="8" t="s">
        <v>2689</v>
      </c>
      <c r="J897" s="9">
        <v>2907600</v>
      </c>
      <c r="K897" s="8"/>
      <c r="L897" s="8"/>
      <c r="M897" s="8"/>
      <c r="N897" s="42">
        <f t="shared" si="305"/>
        <v>2907600</v>
      </c>
      <c r="O897" s="42"/>
      <c r="P897" s="42">
        <f>N897</f>
        <v>2907600</v>
      </c>
      <c r="Q897" s="42">
        <f t="shared" si="307"/>
        <v>2907600</v>
      </c>
      <c r="R897" s="5"/>
    </row>
    <row r="898" spans="1:18" ht="13.5" x14ac:dyDescent="0.2">
      <c r="A898" s="47" t="s">
        <v>2096</v>
      </c>
      <c r="B898" s="47" t="s">
        <v>2097</v>
      </c>
      <c r="C898" s="21" t="s">
        <v>2466</v>
      </c>
      <c r="D898" s="47" t="s">
        <v>2573</v>
      </c>
      <c r="E898" s="21" t="s">
        <v>31</v>
      </c>
      <c r="F898" s="47" t="s">
        <v>32</v>
      </c>
      <c r="G898" s="21" t="s">
        <v>2684</v>
      </c>
      <c r="H898" s="7" t="s">
        <v>2685</v>
      </c>
      <c r="I898" s="8" t="s">
        <v>2307</v>
      </c>
      <c r="J898" s="9">
        <v>853800</v>
      </c>
      <c r="K898" s="8"/>
      <c r="L898" s="8"/>
      <c r="M898" s="8"/>
      <c r="N898" s="42">
        <f t="shared" si="305"/>
        <v>853800</v>
      </c>
      <c r="O898" s="42">
        <f>N898*1.5</f>
        <v>1280700</v>
      </c>
      <c r="P898" s="42"/>
      <c r="Q898" s="42">
        <f t="shared" si="307"/>
        <v>1280700</v>
      </c>
    </row>
    <row r="899" spans="1:18" ht="13.5" x14ac:dyDescent="0.2">
      <c r="A899" s="47" t="s">
        <v>2096</v>
      </c>
      <c r="B899" s="47" t="s">
        <v>2097</v>
      </c>
      <c r="C899" s="21" t="s">
        <v>2466</v>
      </c>
      <c r="D899" s="47" t="s">
        <v>2573</v>
      </c>
      <c r="E899" s="21" t="s">
        <v>31</v>
      </c>
      <c r="F899" s="47" t="s">
        <v>32</v>
      </c>
      <c r="G899" s="21" t="s">
        <v>2684</v>
      </c>
      <c r="H899" s="7" t="s">
        <v>2685</v>
      </c>
      <c r="I899" s="8" t="s">
        <v>2705</v>
      </c>
      <c r="J899" s="9">
        <v>2511600</v>
      </c>
      <c r="K899" s="8"/>
      <c r="L899" s="8"/>
      <c r="M899" s="8"/>
      <c r="N899" s="42">
        <f t="shared" si="305"/>
        <v>2511600</v>
      </c>
      <c r="O899" s="42"/>
      <c r="P899" s="42">
        <f>N899</f>
        <v>2511600</v>
      </c>
      <c r="Q899" s="42">
        <f t="shared" si="307"/>
        <v>2511600</v>
      </c>
      <c r="R899" s="5"/>
    </row>
    <row r="900" spans="1:18" ht="13.5" x14ac:dyDescent="0.2">
      <c r="A900" s="47" t="s">
        <v>2096</v>
      </c>
      <c r="B900" s="47" t="s">
        <v>2097</v>
      </c>
      <c r="C900" s="21" t="s">
        <v>2466</v>
      </c>
      <c r="D900" s="47" t="s">
        <v>2573</v>
      </c>
      <c r="E900" s="21" t="s">
        <v>31</v>
      </c>
      <c r="F900" s="47" t="s">
        <v>32</v>
      </c>
      <c r="G900" s="21" t="s">
        <v>2684</v>
      </c>
      <c r="H900" s="7" t="s">
        <v>2685</v>
      </c>
      <c r="I900" s="8" t="s">
        <v>2710</v>
      </c>
      <c r="J900" s="9">
        <v>4111600</v>
      </c>
      <c r="K900" s="8"/>
      <c r="L900" s="8"/>
      <c r="M900" s="8"/>
      <c r="N900" s="42">
        <f t="shared" si="305"/>
        <v>4111600</v>
      </c>
      <c r="O900" s="42">
        <f>N900*1.5</f>
        <v>6167400</v>
      </c>
      <c r="P900" s="42"/>
      <c r="Q900" s="42">
        <f t="shared" si="307"/>
        <v>6167400</v>
      </c>
    </row>
    <row r="901" spans="1:18" ht="13.5" x14ac:dyDescent="0.2">
      <c r="A901" s="47" t="s">
        <v>2096</v>
      </c>
      <c r="B901" s="47" t="s">
        <v>2097</v>
      </c>
      <c r="C901" s="21" t="s">
        <v>2466</v>
      </c>
      <c r="D901" s="47" t="s">
        <v>2573</v>
      </c>
      <c r="E901" s="21" t="s">
        <v>31</v>
      </c>
      <c r="F901" s="47" t="s">
        <v>32</v>
      </c>
      <c r="G901" s="21" t="s">
        <v>2684</v>
      </c>
      <c r="H901" s="7" t="s">
        <v>2685</v>
      </c>
      <c r="I901" s="8" t="s">
        <v>2701</v>
      </c>
      <c r="J901" s="9">
        <v>1995800</v>
      </c>
      <c r="K901" s="8"/>
      <c r="L901" s="8"/>
      <c r="M901" s="8"/>
      <c r="N901" s="42">
        <f t="shared" si="305"/>
        <v>1995800</v>
      </c>
      <c r="O901" s="42"/>
      <c r="P901" s="42">
        <f>N901</f>
        <v>1995800</v>
      </c>
      <c r="Q901" s="42">
        <f t="shared" si="307"/>
        <v>1995800</v>
      </c>
      <c r="R901" s="5"/>
    </row>
    <row r="902" spans="1:18" ht="13.5" x14ac:dyDescent="0.2">
      <c r="A902" s="47" t="s">
        <v>2096</v>
      </c>
      <c r="B902" s="47" t="s">
        <v>2097</v>
      </c>
      <c r="C902" s="21" t="s">
        <v>2466</v>
      </c>
      <c r="D902" s="47" t="s">
        <v>2573</v>
      </c>
      <c r="E902" s="21" t="s">
        <v>41</v>
      </c>
      <c r="F902" s="47" t="s">
        <v>32</v>
      </c>
      <c r="G902" s="21" t="s">
        <v>2574</v>
      </c>
      <c r="H902" s="7" t="s">
        <v>2575</v>
      </c>
      <c r="I902" s="8" t="s">
        <v>2342</v>
      </c>
      <c r="J902" s="9">
        <v>3575420</v>
      </c>
      <c r="K902" s="8"/>
      <c r="L902" s="42">
        <f t="shared" ref="L902:L918" si="310">J902*1.5</f>
        <v>5363130</v>
      </c>
      <c r="M902" s="8"/>
      <c r="N902" s="42">
        <f t="shared" ref="N902:N963" si="311">SUM(K902:M902)</f>
        <v>5363130</v>
      </c>
      <c r="O902" s="42">
        <f t="shared" ref="O902:O904" si="312">N902*1.5</f>
        <v>8044695</v>
      </c>
      <c r="P902" s="42"/>
      <c r="Q902" s="42">
        <f t="shared" si="307"/>
        <v>8044695</v>
      </c>
    </row>
    <row r="903" spans="1:18" ht="13.5" x14ac:dyDescent="0.2">
      <c r="A903" s="47" t="s">
        <v>2096</v>
      </c>
      <c r="B903" s="47" t="s">
        <v>2097</v>
      </c>
      <c r="C903" s="21" t="s">
        <v>2466</v>
      </c>
      <c r="D903" s="47" t="s">
        <v>2573</v>
      </c>
      <c r="E903" s="21" t="s">
        <v>41</v>
      </c>
      <c r="F903" s="47" t="s">
        <v>32</v>
      </c>
      <c r="G903" s="21" t="s">
        <v>2574</v>
      </c>
      <c r="H903" s="7" t="s">
        <v>2575</v>
      </c>
      <c r="I903" s="8" t="s">
        <v>2316</v>
      </c>
      <c r="J903" s="9">
        <v>3723600</v>
      </c>
      <c r="K903" s="8"/>
      <c r="L903" s="42">
        <f t="shared" si="310"/>
        <v>5585400</v>
      </c>
      <c r="M903" s="8"/>
      <c r="N903" s="42">
        <f t="shared" si="311"/>
        <v>5585400</v>
      </c>
      <c r="O903" s="42">
        <f t="shared" si="312"/>
        <v>8378100</v>
      </c>
      <c r="P903" s="42"/>
      <c r="Q903" s="42">
        <f t="shared" si="307"/>
        <v>8378100</v>
      </c>
    </row>
    <row r="904" spans="1:18" ht="13.5" x14ac:dyDescent="0.2">
      <c r="A904" s="47" t="s">
        <v>2096</v>
      </c>
      <c r="B904" s="47" t="s">
        <v>2097</v>
      </c>
      <c r="C904" s="21" t="s">
        <v>2466</v>
      </c>
      <c r="D904" s="47" t="s">
        <v>2573</v>
      </c>
      <c r="E904" s="21" t="s">
        <v>41</v>
      </c>
      <c r="F904" s="47" t="s">
        <v>32</v>
      </c>
      <c r="G904" s="21" t="s">
        <v>2574</v>
      </c>
      <c r="H904" s="7" t="s">
        <v>2575</v>
      </c>
      <c r="I904" s="8" t="s">
        <v>2618</v>
      </c>
      <c r="J904" s="9">
        <v>8040000</v>
      </c>
      <c r="K904" s="8"/>
      <c r="L904" s="42">
        <f t="shared" si="310"/>
        <v>12060000</v>
      </c>
      <c r="M904" s="8"/>
      <c r="N904" s="42">
        <f t="shared" si="311"/>
        <v>12060000</v>
      </c>
      <c r="O904" s="42">
        <f t="shared" si="312"/>
        <v>18090000</v>
      </c>
      <c r="P904" s="42"/>
      <c r="Q904" s="42">
        <f t="shared" si="307"/>
        <v>18090000</v>
      </c>
    </row>
    <row r="905" spans="1:18" ht="13.5" x14ac:dyDescent="0.2">
      <c r="A905" s="47" t="s">
        <v>2096</v>
      </c>
      <c r="B905" s="47" t="s">
        <v>2097</v>
      </c>
      <c r="C905" s="21" t="s">
        <v>2466</v>
      </c>
      <c r="D905" s="47" t="s">
        <v>2573</v>
      </c>
      <c r="E905" s="21" t="s">
        <v>41</v>
      </c>
      <c r="F905" s="47" t="s">
        <v>32</v>
      </c>
      <c r="G905" s="21" t="s">
        <v>2574</v>
      </c>
      <c r="H905" s="7" t="s">
        <v>2575</v>
      </c>
      <c r="I905" s="8" t="s">
        <v>2578</v>
      </c>
      <c r="J905" s="9">
        <v>8885400</v>
      </c>
      <c r="K905" s="8"/>
      <c r="L905" s="42">
        <f t="shared" si="310"/>
        <v>13328100</v>
      </c>
      <c r="M905" s="8"/>
      <c r="N905" s="42">
        <f t="shared" si="311"/>
        <v>13328100</v>
      </c>
      <c r="O905" s="42"/>
      <c r="P905" s="42">
        <f>N905</f>
        <v>13328100</v>
      </c>
      <c r="Q905" s="42">
        <f t="shared" si="307"/>
        <v>13328100</v>
      </c>
      <c r="R905" s="5"/>
    </row>
    <row r="906" spans="1:18" ht="13.5" x14ac:dyDescent="0.2">
      <c r="A906" s="47" t="s">
        <v>2096</v>
      </c>
      <c r="B906" s="47" t="s">
        <v>2097</v>
      </c>
      <c r="C906" s="21" t="s">
        <v>2466</v>
      </c>
      <c r="D906" s="47" t="s">
        <v>2573</v>
      </c>
      <c r="E906" s="21" t="s">
        <v>41</v>
      </c>
      <c r="F906" s="47" t="s">
        <v>32</v>
      </c>
      <c r="G906" s="21" t="s">
        <v>2574</v>
      </c>
      <c r="H906" s="7" t="s">
        <v>2575</v>
      </c>
      <c r="I906" s="8" t="s">
        <v>2660</v>
      </c>
      <c r="J906" s="9">
        <v>2961800</v>
      </c>
      <c r="K906" s="8"/>
      <c r="L906" s="42">
        <f t="shared" si="310"/>
        <v>4442700</v>
      </c>
      <c r="M906" s="8"/>
      <c r="N906" s="42">
        <f t="shared" si="311"/>
        <v>4442700</v>
      </c>
      <c r="O906" s="42">
        <f t="shared" ref="O906:O909" si="313">N906*1.5</f>
        <v>6664050</v>
      </c>
      <c r="P906" s="42"/>
      <c r="Q906" s="42">
        <f t="shared" si="307"/>
        <v>6664050</v>
      </c>
    </row>
    <row r="907" spans="1:18" ht="13.5" x14ac:dyDescent="0.2">
      <c r="A907" s="47" t="s">
        <v>2096</v>
      </c>
      <c r="B907" s="47" t="s">
        <v>2097</v>
      </c>
      <c r="C907" s="21" t="s">
        <v>2466</v>
      </c>
      <c r="D907" s="47" t="s">
        <v>2573</v>
      </c>
      <c r="E907" s="21" t="s">
        <v>41</v>
      </c>
      <c r="F907" s="47" t="s">
        <v>32</v>
      </c>
      <c r="G907" s="21" t="s">
        <v>2574</v>
      </c>
      <c r="H907" s="7" t="s">
        <v>2575</v>
      </c>
      <c r="I907" s="8" t="s">
        <v>2595</v>
      </c>
      <c r="J907" s="9">
        <v>2056000</v>
      </c>
      <c r="K907" s="8"/>
      <c r="L907" s="42">
        <f t="shared" si="310"/>
        <v>3084000</v>
      </c>
      <c r="M907" s="8"/>
      <c r="N907" s="42">
        <f t="shared" si="311"/>
        <v>3084000</v>
      </c>
      <c r="O907" s="42">
        <f t="shared" si="313"/>
        <v>4626000</v>
      </c>
      <c r="P907" s="42"/>
      <c r="Q907" s="42">
        <f t="shared" si="307"/>
        <v>4626000</v>
      </c>
    </row>
    <row r="908" spans="1:18" ht="13.5" x14ac:dyDescent="0.2">
      <c r="A908" s="47" t="s">
        <v>2096</v>
      </c>
      <c r="B908" s="47" t="s">
        <v>2097</v>
      </c>
      <c r="C908" s="21" t="s">
        <v>2466</v>
      </c>
      <c r="D908" s="47" t="s">
        <v>2573</v>
      </c>
      <c r="E908" s="21" t="s">
        <v>41</v>
      </c>
      <c r="F908" s="47" t="s">
        <v>32</v>
      </c>
      <c r="G908" s="21" t="s">
        <v>2574</v>
      </c>
      <c r="H908" s="7" t="s">
        <v>2575</v>
      </c>
      <c r="I908" s="8" t="s">
        <v>2657</v>
      </c>
      <c r="J908" s="9">
        <v>2381800</v>
      </c>
      <c r="K908" s="8"/>
      <c r="L908" s="42">
        <f t="shared" si="310"/>
        <v>3572700</v>
      </c>
      <c r="M908" s="8"/>
      <c r="N908" s="42">
        <f t="shared" si="311"/>
        <v>3572700</v>
      </c>
      <c r="O908" s="42">
        <f t="shared" si="313"/>
        <v>5359050</v>
      </c>
      <c r="P908" s="42"/>
      <c r="Q908" s="42">
        <f t="shared" si="307"/>
        <v>5359050</v>
      </c>
    </row>
    <row r="909" spans="1:18" ht="13.5" x14ac:dyDescent="0.2">
      <c r="A909" s="47" t="s">
        <v>2096</v>
      </c>
      <c r="B909" s="47" t="s">
        <v>2097</v>
      </c>
      <c r="C909" s="21" t="s">
        <v>2466</v>
      </c>
      <c r="D909" s="47" t="s">
        <v>2573</v>
      </c>
      <c r="E909" s="21" t="s">
        <v>41</v>
      </c>
      <c r="F909" s="47" t="s">
        <v>32</v>
      </c>
      <c r="G909" s="21" t="s">
        <v>2574</v>
      </c>
      <c r="H909" s="7" t="s">
        <v>2575</v>
      </c>
      <c r="I909" s="8" t="s">
        <v>2670</v>
      </c>
      <c r="J909" s="9">
        <v>2799800</v>
      </c>
      <c r="K909" s="8"/>
      <c r="L909" s="42">
        <f t="shared" si="310"/>
        <v>4199700</v>
      </c>
      <c r="M909" s="8"/>
      <c r="N909" s="42">
        <f t="shared" si="311"/>
        <v>4199700</v>
      </c>
      <c r="O909" s="42">
        <f t="shared" si="313"/>
        <v>6299550</v>
      </c>
      <c r="P909" s="42"/>
      <c r="Q909" s="42">
        <f t="shared" si="307"/>
        <v>6299550</v>
      </c>
    </row>
    <row r="910" spans="1:18" ht="13.5" x14ac:dyDescent="0.2">
      <c r="A910" s="47" t="s">
        <v>2096</v>
      </c>
      <c r="B910" s="47" t="s">
        <v>2097</v>
      </c>
      <c r="C910" s="21" t="s">
        <v>2466</v>
      </c>
      <c r="D910" s="47" t="s">
        <v>2573</v>
      </c>
      <c r="E910" s="21" t="s">
        <v>41</v>
      </c>
      <c r="F910" s="47" t="s">
        <v>32</v>
      </c>
      <c r="G910" s="21" t="s">
        <v>2574</v>
      </c>
      <c r="H910" s="7" t="s">
        <v>2575</v>
      </c>
      <c r="I910" s="8" t="s">
        <v>2625</v>
      </c>
      <c r="J910" s="9">
        <v>10983000</v>
      </c>
      <c r="K910" s="8"/>
      <c r="L910" s="42">
        <f t="shared" si="310"/>
        <v>16474500</v>
      </c>
      <c r="M910" s="8"/>
      <c r="N910" s="42">
        <f t="shared" si="311"/>
        <v>16474500</v>
      </c>
      <c r="O910" s="42"/>
      <c r="P910" s="42">
        <f>N910</f>
        <v>16474500</v>
      </c>
      <c r="Q910" s="42">
        <f t="shared" si="307"/>
        <v>16474500</v>
      </c>
      <c r="R910" s="5"/>
    </row>
    <row r="911" spans="1:18" ht="13.5" x14ac:dyDescent="0.2">
      <c r="A911" s="47" t="s">
        <v>2096</v>
      </c>
      <c r="B911" s="47" t="s">
        <v>2097</v>
      </c>
      <c r="C911" s="21" t="s">
        <v>2466</v>
      </c>
      <c r="D911" s="47" t="s">
        <v>2573</v>
      </c>
      <c r="E911" s="21" t="s">
        <v>41</v>
      </c>
      <c r="F911" s="47" t="s">
        <v>32</v>
      </c>
      <c r="G911" s="21" t="s">
        <v>2574</v>
      </c>
      <c r="H911" s="7" t="s">
        <v>2575</v>
      </c>
      <c r="I911" s="8" t="s">
        <v>2605</v>
      </c>
      <c r="J911" s="9">
        <v>9031400</v>
      </c>
      <c r="K911" s="8"/>
      <c r="L911" s="42">
        <f t="shared" si="310"/>
        <v>13547100</v>
      </c>
      <c r="M911" s="8"/>
      <c r="N911" s="42">
        <f t="shared" si="311"/>
        <v>13547100</v>
      </c>
      <c r="O911" s="42">
        <f>N911*1.5</f>
        <v>20320650</v>
      </c>
      <c r="P911" s="42"/>
      <c r="Q911" s="42">
        <f t="shared" si="307"/>
        <v>20320650</v>
      </c>
    </row>
    <row r="912" spans="1:18" ht="13.5" x14ac:dyDescent="0.2">
      <c r="A912" s="47" t="s">
        <v>2096</v>
      </c>
      <c r="B912" s="47" t="s">
        <v>2097</v>
      </c>
      <c r="C912" s="21" t="s">
        <v>2466</v>
      </c>
      <c r="D912" s="47" t="s">
        <v>2573</v>
      </c>
      <c r="E912" s="21" t="s">
        <v>41</v>
      </c>
      <c r="F912" s="47" t="s">
        <v>32</v>
      </c>
      <c r="G912" s="21" t="s">
        <v>2574</v>
      </c>
      <c r="H912" s="7" t="s">
        <v>2575</v>
      </c>
      <c r="I912" s="8" t="s">
        <v>2623</v>
      </c>
      <c r="J912" s="9">
        <v>5999600</v>
      </c>
      <c r="K912" s="8"/>
      <c r="L912" s="42">
        <f t="shared" si="310"/>
        <v>8999400</v>
      </c>
      <c r="M912" s="8"/>
      <c r="N912" s="42">
        <f t="shared" si="311"/>
        <v>8999400</v>
      </c>
      <c r="O912" s="42"/>
      <c r="P912" s="42">
        <f>N912</f>
        <v>8999400</v>
      </c>
      <c r="Q912" s="42">
        <f t="shared" si="307"/>
        <v>8999400</v>
      </c>
      <c r="R912" s="5"/>
    </row>
    <row r="913" spans="1:18" ht="13.5" x14ac:dyDescent="0.2">
      <c r="A913" s="47" t="s">
        <v>2096</v>
      </c>
      <c r="B913" s="47" t="s">
        <v>2097</v>
      </c>
      <c r="C913" s="21" t="s">
        <v>2466</v>
      </c>
      <c r="D913" s="47" t="s">
        <v>2573</v>
      </c>
      <c r="E913" s="21" t="s">
        <v>41</v>
      </c>
      <c r="F913" s="47" t="s">
        <v>32</v>
      </c>
      <c r="G913" s="21" t="s">
        <v>2574</v>
      </c>
      <c r="H913" s="7" t="s">
        <v>2575</v>
      </c>
      <c r="I913" s="8" t="s">
        <v>2620</v>
      </c>
      <c r="J913" s="9">
        <v>7710000</v>
      </c>
      <c r="K913" s="8"/>
      <c r="L913" s="42">
        <f t="shared" si="310"/>
        <v>11565000</v>
      </c>
      <c r="M913" s="8"/>
      <c r="N913" s="42">
        <f t="shared" si="311"/>
        <v>11565000</v>
      </c>
      <c r="O913" s="42">
        <f>N913*1.5</f>
        <v>17347500</v>
      </c>
      <c r="P913" s="42"/>
      <c r="Q913" s="42">
        <f t="shared" si="307"/>
        <v>17347500</v>
      </c>
    </row>
    <row r="914" spans="1:18" ht="13.5" x14ac:dyDescent="0.2">
      <c r="A914" s="47" t="s">
        <v>2096</v>
      </c>
      <c r="B914" s="47" t="s">
        <v>2097</v>
      </c>
      <c r="C914" s="21" t="s">
        <v>2466</v>
      </c>
      <c r="D914" s="47" t="s">
        <v>2573</v>
      </c>
      <c r="E914" s="21" t="s">
        <v>41</v>
      </c>
      <c r="F914" s="47" t="s">
        <v>32</v>
      </c>
      <c r="G914" s="21" t="s">
        <v>2684</v>
      </c>
      <c r="H914" s="7" t="s">
        <v>2685</v>
      </c>
      <c r="I914" s="8" t="s">
        <v>2708</v>
      </c>
      <c r="J914" s="9">
        <v>2421800</v>
      </c>
      <c r="K914" s="8"/>
      <c r="L914" s="42">
        <f t="shared" si="310"/>
        <v>3632700</v>
      </c>
      <c r="M914" s="8"/>
      <c r="N914" s="42">
        <f t="shared" si="311"/>
        <v>3632700</v>
      </c>
      <c r="O914" s="42"/>
      <c r="P914" s="42">
        <f>N914</f>
        <v>3632700</v>
      </c>
      <c r="Q914" s="42">
        <f t="shared" si="307"/>
        <v>3632700</v>
      </c>
      <c r="R914" s="5"/>
    </row>
    <row r="915" spans="1:18" ht="13.5" x14ac:dyDescent="0.2">
      <c r="A915" s="47" t="s">
        <v>2096</v>
      </c>
      <c r="B915" s="47" t="s">
        <v>2097</v>
      </c>
      <c r="C915" s="21" t="s">
        <v>2466</v>
      </c>
      <c r="D915" s="47" t="s">
        <v>2573</v>
      </c>
      <c r="E915" s="21" t="s">
        <v>41</v>
      </c>
      <c r="F915" s="47" t="s">
        <v>32</v>
      </c>
      <c r="G915" s="21" t="s">
        <v>2684</v>
      </c>
      <c r="H915" s="7" t="s">
        <v>2685</v>
      </c>
      <c r="I915" s="8" t="s">
        <v>2714</v>
      </c>
      <c r="J915" s="9">
        <v>6468600</v>
      </c>
      <c r="K915" s="8"/>
      <c r="L915" s="42">
        <f t="shared" si="310"/>
        <v>9702900</v>
      </c>
      <c r="M915" s="8"/>
      <c r="N915" s="42">
        <f t="shared" si="311"/>
        <v>9702900</v>
      </c>
      <c r="O915" s="42">
        <f>N915*1.5</f>
        <v>14554350</v>
      </c>
      <c r="P915" s="42"/>
      <c r="Q915" s="42">
        <f t="shared" si="307"/>
        <v>14554350</v>
      </c>
    </row>
    <row r="916" spans="1:18" ht="13.5" x14ac:dyDescent="0.2">
      <c r="A916" s="47" t="s">
        <v>2096</v>
      </c>
      <c r="B916" s="47" t="s">
        <v>2097</v>
      </c>
      <c r="C916" s="21" t="s">
        <v>2466</v>
      </c>
      <c r="D916" s="47" t="s">
        <v>2573</v>
      </c>
      <c r="E916" s="21" t="s">
        <v>41</v>
      </c>
      <c r="F916" s="47" t="s">
        <v>32</v>
      </c>
      <c r="G916" s="21" t="s">
        <v>2684</v>
      </c>
      <c r="H916" s="7" t="s">
        <v>2685</v>
      </c>
      <c r="I916" s="8" t="s">
        <v>2696</v>
      </c>
      <c r="J916" s="9">
        <v>3160000</v>
      </c>
      <c r="K916" s="8"/>
      <c r="L916" s="42">
        <f t="shared" si="310"/>
        <v>4740000</v>
      </c>
      <c r="M916" s="8"/>
      <c r="N916" s="42">
        <f t="shared" si="311"/>
        <v>4740000</v>
      </c>
      <c r="O916" s="42"/>
      <c r="P916" s="42">
        <f t="shared" ref="P916:P918" si="314">N916</f>
        <v>4740000</v>
      </c>
      <c r="Q916" s="42">
        <f t="shared" si="307"/>
        <v>4740000</v>
      </c>
      <c r="R916" s="5"/>
    </row>
    <row r="917" spans="1:18" ht="13.5" x14ac:dyDescent="0.2">
      <c r="A917" s="47" t="s">
        <v>2096</v>
      </c>
      <c r="B917" s="47" t="s">
        <v>2097</v>
      </c>
      <c r="C917" s="21" t="s">
        <v>2466</v>
      </c>
      <c r="D917" s="47" t="s">
        <v>2573</v>
      </c>
      <c r="E917" s="21" t="s">
        <v>57</v>
      </c>
      <c r="F917" s="47" t="s">
        <v>32</v>
      </c>
      <c r="G917" s="21" t="s">
        <v>2574</v>
      </c>
      <c r="H917" s="7" t="s">
        <v>2575</v>
      </c>
      <c r="I917" s="8" t="s">
        <v>2582</v>
      </c>
      <c r="J917" s="9">
        <v>3060000</v>
      </c>
      <c r="K917" s="8"/>
      <c r="L917" s="42">
        <f t="shared" si="310"/>
        <v>4590000</v>
      </c>
      <c r="M917" s="8"/>
      <c r="N917" s="42">
        <f t="shared" si="311"/>
        <v>4590000</v>
      </c>
      <c r="O917" s="42"/>
      <c r="P917" s="42">
        <f t="shared" si="314"/>
        <v>4590000</v>
      </c>
      <c r="Q917" s="42">
        <f t="shared" si="307"/>
        <v>4590000</v>
      </c>
      <c r="R917" s="5"/>
    </row>
    <row r="918" spans="1:18" ht="13.5" x14ac:dyDescent="0.2">
      <c r="A918" s="47" t="s">
        <v>2096</v>
      </c>
      <c r="B918" s="47" t="s">
        <v>2097</v>
      </c>
      <c r="C918" s="21" t="s">
        <v>2466</v>
      </c>
      <c r="D918" s="47" t="s">
        <v>2573</v>
      </c>
      <c r="E918" s="21" t="s">
        <v>57</v>
      </c>
      <c r="F918" s="47" t="s">
        <v>32</v>
      </c>
      <c r="G918" s="21" t="s">
        <v>2574</v>
      </c>
      <c r="H918" s="7" t="s">
        <v>2575</v>
      </c>
      <c r="I918" s="8" t="s">
        <v>2580</v>
      </c>
      <c r="J918" s="9">
        <v>6671600</v>
      </c>
      <c r="K918" s="8"/>
      <c r="L918" s="42">
        <f t="shared" si="310"/>
        <v>10007400</v>
      </c>
      <c r="M918" s="8"/>
      <c r="N918" s="42">
        <f t="shared" si="311"/>
        <v>10007400</v>
      </c>
      <c r="O918" s="42"/>
      <c r="P918" s="42">
        <f t="shared" si="314"/>
        <v>10007400</v>
      </c>
      <c r="Q918" s="42">
        <f t="shared" si="307"/>
        <v>10007400</v>
      </c>
      <c r="R918" s="5"/>
    </row>
    <row r="919" spans="1:18" ht="13.5" hidden="1" x14ac:dyDescent="0.2">
      <c r="A919" s="12" t="s">
        <v>2096</v>
      </c>
      <c r="B919" s="12" t="s">
        <v>2097</v>
      </c>
      <c r="C919" s="13" t="s">
        <v>2098</v>
      </c>
      <c r="D919" s="12" t="s">
        <v>2099</v>
      </c>
      <c r="E919" s="13" t="s">
        <v>128</v>
      </c>
      <c r="F919" s="12" t="s">
        <v>181</v>
      </c>
      <c r="G919" s="13" t="s">
        <v>2100</v>
      </c>
      <c r="H919" s="12" t="s">
        <v>2101</v>
      </c>
      <c r="I919" s="13" t="s">
        <v>2102</v>
      </c>
      <c r="J919" s="14" t="s">
        <v>3946</v>
      </c>
      <c r="K919" s="18"/>
      <c r="L919" s="18"/>
      <c r="M919" s="18"/>
      <c r="N919" s="20" t="str">
        <f t="shared" ref="N919:N925" si="315">J919</f>
        <v>-</v>
      </c>
      <c r="O919"/>
      <c r="P919"/>
    </row>
    <row r="920" spans="1:18" ht="13.5" x14ac:dyDescent="0.2">
      <c r="A920" s="47" t="s">
        <v>2096</v>
      </c>
      <c r="B920" s="47" t="s">
        <v>2097</v>
      </c>
      <c r="C920" s="21" t="s">
        <v>2098</v>
      </c>
      <c r="D920" s="47" t="s">
        <v>2108</v>
      </c>
      <c r="E920" s="21" t="s">
        <v>31</v>
      </c>
      <c r="F920" s="47" t="s">
        <v>32</v>
      </c>
      <c r="G920" s="21" t="s">
        <v>2109</v>
      </c>
      <c r="H920" s="7" t="s">
        <v>2110</v>
      </c>
      <c r="I920" s="8" t="s">
        <v>2116</v>
      </c>
      <c r="J920" s="9">
        <v>1229900</v>
      </c>
      <c r="K920" s="8"/>
      <c r="L920" s="8"/>
      <c r="M920" s="8"/>
      <c r="N920" s="42">
        <f t="shared" si="315"/>
        <v>1229900</v>
      </c>
      <c r="O920" s="42"/>
      <c r="P920" s="42">
        <f t="shared" ref="P920:P927" si="316">N920</f>
        <v>1229900</v>
      </c>
      <c r="Q920" s="42">
        <f t="shared" ref="Q920:Q930" si="317">SUM(O920:P920)</f>
        <v>1229900</v>
      </c>
      <c r="R920" s="5"/>
    </row>
    <row r="921" spans="1:18" ht="13.5" x14ac:dyDescent="0.2">
      <c r="A921" s="47" t="s">
        <v>2096</v>
      </c>
      <c r="B921" s="47" t="s">
        <v>2097</v>
      </c>
      <c r="C921" s="21" t="s">
        <v>2098</v>
      </c>
      <c r="D921" s="47" t="s">
        <v>2108</v>
      </c>
      <c r="E921" s="21" t="s">
        <v>31</v>
      </c>
      <c r="F921" s="47" t="s">
        <v>32</v>
      </c>
      <c r="G921" s="21" t="s">
        <v>2109</v>
      </c>
      <c r="H921" s="7" t="s">
        <v>2110</v>
      </c>
      <c r="I921" s="8" t="s">
        <v>2153</v>
      </c>
      <c r="J921" s="9">
        <v>2039800</v>
      </c>
      <c r="K921" s="8"/>
      <c r="L921" s="8"/>
      <c r="M921" s="8"/>
      <c r="N921" s="42">
        <f t="shared" si="315"/>
        <v>2039800</v>
      </c>
      <c r="O921" s="42"/>
      <c r="P921" s="42">
        <f t="shared" si="316"/>
        <v>2039800</v>
      </c>
      <c r="Q921" s="42">
        <f t="shared" si="317"/>
        <v>2039800</v>
      </c>
      <c r="R921" s="5"/>
    </row>
    <row r="922" spans="1:18" ht="13.5" x14ac:dyDescent="0.2">
      <c r="A922" s="47" t="s">
        <v>2096</v>
      </c>
      <c r="B922" s="47" t="s">
        <v>2097</v>
      </c>
      <c r="C922" s="21" t="s">
        <v>2098</v>
      </c>
      <c r="D922" s="47" t="s">
        <v>2108</v>
      </c>
      <c r="E922" s="21" t="s">
        <v>31</v>
      </c>
      <c r="F922" s="47" t="s">
        <v>32</v>
      </c>
      <c r="G922" s="21" t="s">
        <v>2109</v>
      </c>
      <c r="H922" s="7" t="s">
        <v>2110</v>
      </c>
      <c r="I922" s="8" t="s">
        <v>2149</v>
      </c>
      <c r="J922" s="9">
        <v>404700</v>
      </c>
      <c r="K922" s="8"/>
      <c r="L922" s="8"/>
      <c r="M922" s="8"/>
      <c r="N922" s="42">
        <f t="shared" si="315"/>
        <v>404700</v>
      </c>
      <c r="O922" s="42"/>
      <c r="P922" s="42">
        <f t="shared" si="316"/>
        <v>404700</v>
      </c>
      <c r="Q922" s="42">
        <f t="shared" si="317"/>
        <v>404700</v>
      </c>
      <c r="R922" s="5"/>
    </row>
    <row r="923" spans="1:18" ht="13.5" x14ac:dyDescent="0.2">
      <c r="A923" s="47" t="s">
        <v>2096</v>
      </c>
      <c r="B923" s="47" t="s">
        <v>2097</v>
      </c>
      <c r="C923" s="21" t="s">
        <v>2098</v>
      </c>
      <c r="D923" s="47" t="s">
        <v>2108</v>
      </c>
      <c r="E923" s="21" t="s">
        <v>31</v>
      </c>
      <c r="F923" s="47" t="s">
        <v>32</v>
      </c>
      <c r="G923" s="21" t="s">
        <v>2109</v>
      </c>
      <c r="H923" s="7" t="s">
        <v>2110</v>
      </c>
      <c r="I923" s="8" t="s">
        <v>2151</v>
      </c>
      <c r="J923" s="9">
        <v>8499000</v>
      </c>
      <c r="K923" s="8"/>
      <c r="L923" s="8"/>
      <c r="M923" s="8"/>
      <c r="N923" s="42">
        <f t="shared" si="315"/>
        <v>8499000</v>
      </c>
      <c r="O923" s="42"/>
      <c r="P923" s="42">
        <f t="shared" si="316"/>
        <v>8499000</v>
      </c>
      <c r="Q923" s="42">
        <f t="shared" si="317"/>
        <v>8499000</v>
      </c>
      <c r="R923" s="5"/>
    </row>
    <row r="924" spans="1:18" ht="13.5" x14ac:dyDescent="0.2">
      <c r="A924" s="47" t="s">
        <v>2096</v>
      </c>
      <c r="B924" s="47" t="s">
        <v>2097</v>
      </c>
      <c r="C924" s="21" t="s">
        <v>2098</v>
      </c>
      <c r="D924" s="47" t="s">
        <v>2108</v>
      </c>
      <c r="E924" s="21" t="s">
        <v>31</v>
      </c>
      <c r="F924" s="47" t="s">
        <v>32</v>
      </c>
      <c r="G924" s="21" t="s">
        <v>2109</v>
      </c>
      <c r="H924" s="7" t="s">
        <v>2110</v>
      </c>
      <c r="I924" s="8" t="s">
        <v>2125</v>
      </c>
      <c r="J924" s="9">
        <v>12257700</v>
      </c>
      <c r="K924" s="8"/>
      <c r="L924" s="8"/>
      <c r="M924" s="8"/>
      <c r="N924" s="42">
        <f t="shared" si="315"/>
        <v>12257700</v>
      </c>
      <c r="O924" s="42"/>
      <c r="P924" s="42">
        <f t="shared" si="316"/>
        <v>12257700</v>
      </c>
      <c r="Q924" s="42">
        <f t="shared" si="317"/>
        <v>12257700</v>
      </c>
      <c r="R924" s="5"/>
    </row>
    <row r="925" spans="1:18" ht="13.5" x14ac:dyDescent="0.2">
      <c r="A925" s="47" t="s">
        <v>2096</v>
      </c>
      <c r="B925" s="47" t="s">
        <v>2097</v>
      </c>
      <c r="C925" s="21" t="s">
        <v>2098</v>
      </c>
      <c r="D925" s="47" t="s">
        <v>2108</v>
      </c>
      <c r="E925" s="21" t="s">
        <v>31</v>
      </c>
      <c r="F925" s="47" t="s">
        <v>32</v>
      </c>
      <c r="G925" s="21" t="s">
        <v>2109</v>
      </c>
      <c r="H925" s="7" t="s">
        <v>2110</v>
      </c>
      <c r="I925" s="8" t="s">
        <v>2127</v>
      </c>
      <c r="J925" s="9">
        <v>2839600</v>
      </c>
      <c r="K925" s="8"/>
      <c r="L925" s="8"/>
      <c r="M925" s="8"/>
      <c r="N925" s="42">
        <f t="shared" si="315"/>
        <v>2839600</v>
      </c>
      <c r="O925" s="42"/>
      <c r="P925" s="42">
        <f t="shared" si="316"/>
        <v>2839600</v>
      </c>
      <c r="Q925" s="42">
        <f t="shared" si="317"/>
        <v>2839600</v>
      </c>
      <c r="R925" s="5"/>
    </row>
    <row r="926" spans="1:18" ht="13.5" x14ac:dyDescent="0.2">
      <c r="A926" s="47" t="s">
        <v>2096</v>
      </c>
      <c r="B926" s="47" t="s">
        <v>2097</v>
      </c>
      <c r="C926" s="21" t="s">
        <v>2098</v>
      </c>
      <c r="D926" s="47" t="s">
        <v>2108</v>
      </c>
      <c r="E926" s="21" t="s">
        <v>41</v>
      </c>
      <c r="F926" s="47" t="s">
        <v>32</v>
      </c>
      <c r="G926" s="21" t="s">
        <v>2109</v>
      </c>
      <c r="H926" s="7" t="s">
        <v>2110</v>
      </c>
      <c r="I926" s="8" t="s">
        <v>2129</v>
      </c>
      <c r="J926" s="9">
        <v>5505600</v>
      </c>
      <c r="K926" s="8"/>
      <c r="L926" s="42">
        <f t="shared" ref="L926:L929" si="318">J926*1.5</f>
        <v>8258400</v>
      </c>
      <c r="M926" s="8"/>
      <c r="N926" s="42">
        <f t="shared" si="311"/>
        <v>8258400</v>
      </c>
      <c r="O926" s="42"/>
      <c r="P926" s="42">
        <f t="shared" si="316"/>
        <v>8258400</v>
      </c>
      <c r="Q926" s="42">
        <f t="shared" si="317"/>
        <v>8258400</v>
      </c>
      <c r="R926" s="5"/>
    </row>
    <row r="927" spans="1:18" ht="13.5" x14ac:dyDescent="0.2">
      <c r="A927" s="47" t="s">
        <v>2096</v>
      </c>
      <c r="B927" s="47" t="s">
        <v>2097</v>
      </c>
      <c r="C927" s="21" t="s">
        <v>2098</v>
      </c>
      <c r="D927" s="47" t="s">
        <v>2108</v>
      </c>
      <c r="E927" s="21" t="s">
        <v>41</v>
      </c>
      <c r="F927" s="47" t="s">
        <v>32</v>
      </c>
      <c r="G927" s="21" t="s">
        <v>2109</v>
      </c>
      <c r="H927" s="7" t="s">
        <v>2110</v>
      </c>
      <c r="I927" s="8" t="s">
        <v>2159</v>
      </c>
      <c r="J927" s="9">
        <v>5840000</v>
      </c>
      <c r="K927" s="8"/>
      <c r="L927" s="42">
        <f t="shared" si="318"/>
        <v>8760000</v>
      </c>
      <c r="M927" s="8"/>
      <c r="N927" s="42">
        <f t="shared" si="311"/>
        <v>8760000</v>
      </c>
      <c r="O927" s="42"/>
      <c r="P927" s="42">
        <f t="shared" si="316"/>
        <v>8760000</v>
      </c>
      <c r="Q927" s="42">
        <f t="shared" si="317"/>
        <v>8760000</v>
      </c>
      <c r="R927" s="5"/>
    </row>
    <row r="928" spans="1:18" ht="13.5" x14ac:dyDescent="0.2">
      <c r="A928" s="47" t="s">
        <v>2096</v>
      </c>
      <c r="B928" s="47" t="s">
        <v>2097</v>
      </c>
      <c r="C928" s="21" t="s">
        <v>2098</v>
      </c>
      <c r="D928" s="47" t="s">
        <v>2108</v>
      </c>
      <c r="E928" s="21" t="s">
        <v>41</v>
      </c>
      <c r="F928" s="47" t="s">
        <v>32</v>
      </c>
      <c r="G928" s="21" t="s">
        <v>2109</v>
      </c>
      <c r="H928" s="7" t="s">
        <v>2110</v>
      </c>
      <c r="I928" s="8" t="s">
        <v>2161</v>
      </c>
      <c r="J928" s="9">
        <v>6419400</v>
      </c>
      <c r="K928" s="8"/>
      <c r="L928" s="42">
        <f t="shared" si="318"/>
        <v>9629100</v>
      </c>
      <c r="M928" s="8"/>
      <c r="N928" s="42">
        <f t="shared" si="311"/>
        <v>9629100</v>
      </c>
      <c r="O928" s="42">
        <f>N928*1.5</f>
        <v>14443650</v>
      </c>
      <c r="P928" s="42"/>
      <c r="Q928" s="42">
        <f t="shared" si="317"/>
        <v>14443650</v>
      </c>
    </row>
    <row r="929" spans="1:18" ht="13.5" x14ac:dyDescent="0.2">
      <c r="A929" s="47" t="s">
        <v>2096</v>
      </c>
      <c r="B929" s="47" t="s">
        <v>2097</v>
      </c>
      <c r="C929" s="21" t="s">
        <v>2098</v>
      </c>
      <c r="D929" s="47" t="s">
        <v>2108</v>
      </c>
      <c r="E929" s="21" t="s">
        <v>41</v>
      </c>
      <c r="F929" s="47" t="s">
        <v>32</v>
      </c>
      <c r="G929" s="21" t="s">
        <v>2109</v>
      </c>
      <c r="H929" s="7" t="s">
        <v>2110</v>
      </c>
      <c r="I929" s="8" t="s">
        <v>2140</v>
      </c>
      <c r="J929" s="9">
        <v>14620000</v>
      </c>
      <c r="K929" s="8"/>
      <c r="L929" s="42">
        <f t="shared" si="318"/>
        <v>21930000</v>
      </c>
      <c r="M929" s="8"/>
      <c r="N929" s="42">
        <f t="shared" si="311"/>
        <v>21930000</v>
      </c>
      <c r="O929" s="42"/>
      <c r="P929" s="42">
        <f>N929</f>
        <v>21930000</v>
      </c>
      <c r="Q929" s="42">
        <f t="shared" si="317"/>
        <v>21930000</v>
      </c>
      <c r="R929" s="5"/>
    </row>
    <row r="930" spans="1:18" ht="13.5" x14ac:dyDescent="0.2">
      <c r="A930" s="47" t="s">
        <v>2096</v>
      </c>
      <c r="B930" s="47" t="s">
        <v>2097</v>
      </c>
      <c r="C930" s="21" t="s">
        <v>2098</v>
      </c>
      <c r="D930" s="47" t="s">
        <v>2182</v>
      </c>
      <c r="E930" s="21" t="s">
        <v>128</v>
      </c>
      <c r="F930" s="47" t="s">
        <v>135</v>
      </c>
      <c r="G930" s="21" t="s">
        <v>2183</v>
      </c>
      <c r="H930" s="7" t="s">
        <v>2184</v>
      </c>
      <c r="I930" s="8" t="s">
        <v>2218</v>
      </c>
      <c r="J930" s="9">
        <v>770000</v>
      </c>
      <c r="K930" s="8"/>
      <c r="L930" s="8"/>
      <c r="M930" s="8"/>
      <c r="N930" s="42">
        <f t="shared" ref="N930:N934" si="319">J930</f>
        <v>770000</v>
      </c>
      <c r="O930" s="42">
        <f>N930*1.5</f>
        <v>1155000</v>
      </c>
      <c r="P930" s="42"/>
      <c r="Q930" s="42">
        <f t="shared" si="317"/>
        <v>1155000</v>
      </c>
    </row>
    <row r="931" spans="1:18" ht="13.5" hidden="1" x14ac:dyDescent="0.2">
      <c r="A931" s="12" t="s">
        <v>2096</v>
      </c>
      <c r="B931" s="12" t="s">
        <v>2097</v>
      </c>
      <c r="C931" s="13" t="s">
        <v>2098</v>
      </c>
      <c r="D931" s="12" t="s">
        <v>2182</v>
      </c>
      <c r="E931" s="13" t="s">
        <v>128</v>
      </c>
      <c r="F931" s="12" t="s">
        <v>181</v>
      </c>
      <c r="G931" s="13" t="s">
        <v>2183</v>
      </c>
      <c r="H931" s="12" t="s">
        <v>2184</v>
      </c>
      <c r="I931" s="13" t="s">
        <v>2208</v>
      </c>
      <c r="J931" s="14" t="s">
        <v>3946</v>
      </c>
      <c r="K931" s="18"/>
      <c r="L931" s="18"/>
      <c r="M931" s="18"/>
      <c r="N931" s="20" t="str">
        <f t="shared" si="319"/>
        <v>-</v>
      </c>
      <c r="O931"/>
      <c r="P931"/>
    </row>
    <row r="932" spans="1:18" ht="13.5" x14ac:dyDescent="0.2">
      <c r="A932" s="47" t="s">
        <v>2096</v>
      </c>
      <c r="B932" s="47" t="s">
        <v>2097</v>
      </c>
      <c r="C932" s="21" t="s">
        <v>2098</v>
      </c>
      <c r="D932" s="47" t="s">
        <v>2182</v>
      </c>
      <c r="E932" s="21" t="s">
        <v>31</v>
      </c>
      <c r="F932" s="47" t="s">
        <v>32</v>
      </c>
      <c r="G932" s="21" t="s">
        <v>2183</v>
      </c>
      <c r="H932" s="7" t="s">
        <v>2184</v>
      </c>
      <c r="I932" s="8" t="s">
        <v>2227</v>
      </c>
      <c r="J932" s="9">
        <v>175800</v>
      </c>
      <c r="K932" s="8"/>
      <c r="L932" s="8"/>
      <c r="M932" s="8"/>
      <c r="N932" s="42">
        <f t="shared" si="319"/>
        <v>175800</v>
      </c>
      <c r="O932" s="42"/>
      <c r="P932" s="42">
        <f>N932</f>
        <v>175800</v>
      </c>
      <c r="Q932" s="42">
        <f t="shared" ref="Q932:Q980" si="320">SUM(O932:P932)</f>
        <v>175800</v>
      </c>
      <c r="R932" s="5"/>
    </row>
    <row r="933" spans="1:18" ht="13.5" x14ac:dyDescent="0.2">
      <c r="A933" s="47" t="s">
        <v>2096</v>
      </c>
      <c r="B933" s="47" t="s">
        <v>2097</v>
      </c>
      <c r="C933" s="21" t="s">
        <v>2098</v>
      </c>
      <c r="D933" s="47" t="s">
        <v>2182</v>
      </c>
      <c r="E933" s="21" t="s">
        <v>31</v>
      </c>
      <c r="F933" s="47" t="s">
        <v>32</v>
      </c>
      <c r="G933" s="21" t="s">
        <v>2183</v>
      </c>
      <c r="H933" s="7" t="s">
        <v>2184</v>
      </c>
      <c r="I933" s="8" t="s">
        <v>2190</v>
      </c>
      <c r="J933" s="9">
        <v>3709500</v>
      </c>
      <c r="K933" s="8"/>
      <c r="L933" s="8"/>
      <c r="M933" s="8"/>
      <c r="N933" s="42">
        <f t="shared" si="319"/>
        <v>3709500</v>
      </c>
      <c r="O933" s="42">
        <f>N933*1.5</f>
        <v>5564250</v>
      </c>
      <c r="P933" s="42"/>
      <c r="Q933" s="42">
        <f t="shared" si="320"/>
        <v>5564250</v>
      </c>
    </row>
    <row r="934" spans="1:18" ht="13.5" x14ac:dyDescent="0.2">
      <c r="A934" s="47" t="s">
        <v>2096</v>
      </c>
      <c r="B934" s="47" t="s">
        <v>2097</v>
      </c>
      <c r="C934" s="21" t="s">
        <v>2098</v>
      </c>
      <c r="D934" s="47" t="s">
        <v>2182</v>
      </c>
      <c r="E934" s="21" t="s">
        <v>31</v>
      </c>
      <c r="F934" s="47" t="s">
        <v>32</v>
      </c>
      <c r="G934" s="21" t="s">
        <v>2183</v>
      </c>
      <c r="H934" s="7" t="s">
        <v>2184</v>
      </c>
      <c r="I934" s="8" t="s">
        <v>2229</v>
      </c>
      <c r="J934" s="9">
        <v>721800</v>
      </c>
      <c r="K934" s="8"/>
      <c r="L934" s="8"/>
      <c r="M934" s="8"/>
      <c r="N934" s="42">
        <f t="shared" si="319"/>
        <v>721800</v>
      </c>
      <c r="O934" s="42"/>
      <c r="P934" s="42">
        <f t="shared" ref="P934:P936" si="321">N934</f>
        <v>721800</v>
      </c>
      <c r="Q934" s="42">
        <f t="shared" si="320"/>
        <v>721800</v>
      </c>
      <c r="R934" s="5"/>
    </row>
    <row r="935" spans="1:18" ht="13.5" x14ac:dyDescent="0.2">
      <c r="A935" s="47" t="s">
        <v>2096</v>
      </c>
      <c r="B935" s="47" t="s">
        <v>2097</v>
      </c>
      <c r="C935" s="21" t="s">
        <v>2098</v>
      </c>
      <c r="D935" s="47" t="s">
        <v>2182</v>
      </c>
      <c r="E935" s="21" t="s">
        <v>41</v>
      </c>
      <c r="F935" s="47" t="s">
        <v>32</v>
      </c>
      <c r="G935" s="21" t="s">
        <v>2183</v>
      </c>
      <c r="H935" s="7" t="s">
        <v>2184</v>
      </c>
      <c r="I935" s="8" t="s">
        <v>2204</v>
      </c>
      <c r="J935" s="9">
        <v>1581800</v>
      </c>
      <c r="K935" s="8"/>
      <c r="L935" s="42">
        <f t="shared" ref="L935:L936" si="322">J935*1.5</f>
        <v>2372700</v>
      </c>
      <c r="M935" s="8"/>
      <c r="N935" s="42">
        <f t="shared" si="311"/>
        <v>2372700</v>
      </c>
      <c r="O935" s="42"/>
      <c r="P935" s="42">
        <f t="shared" si="321"/>
        <v>2372700</v>
      </c>
      <c r="Q935" s="42">
        <f t="shared" si="320"/>
        <v>2372700</v>
      </c>
      <c r="R935" s="5"/>
    </row>
    <row r="936" spans="1:18" ht="13.5" x14ac:dyDescent="0.2">
      <c r="A936" s="47" t="s">
        <v>2096</v>
      </c>
      <c r="B936" s="47" t="s">
        <v>2097</v>
      </c>
      <c r="C936" s="21" t="s">
        <v>2098</v>
      </c>
      <c r="D936" s="47" t="s">
        <v>2182</v>
      </c>
      <c r="E936" s="21" t="s">
        <v>57</v>
      </c>
      <c r="F936" s="47" t="s">
        <v>32</v>
      </c>
      <c r="G936" s="21" t="s">
        <v>2183</v>
      </c>
      <c r="H936" s="7" t="s">
        <v>2184</v>
      </c>
      <c r="I936" s="8" t="s">
        <v>2213</v>
      </c>
      <c r="J936" s="9">
        <v>2659800</v>
      </c>
      <c r="K936" s="8"/>
      <c r="L936" s="42">
        <f t="shared" si="322"/>
        <v>3989700</v>
      </c>
      <c r="M936" s="8"/>
      <c r="N936" s="42">
        <f t="shared" si="311"/>
        <v>3989700</v>
      </c>
      <c r="O936" s="42"/>
      <c r="P936" s="42">
        <f t="shared" si="321"/>
        <v>3989700</v>
      </c>
      <c r="Q936" s="42">
        <f t="shared" si="320"/>
        <v>3989700</v>
      </c>
      <c r="R936" s="5"/>
    </row>
    <row r="937" spans="1:18" ht="13.5" x14ac:dyDescent="0.2">
      <c r="A937" s="47" t="s">
        <v>2096</v>
      </c>
      <c r="B937" s="47" t="s">
        <v>3333</v>
      </c>
      <c r="C937" s="21" t="s">
        <v>3442</v>
      </c>
      <c r="D937" s="47" t="s">
        <v>3443</v>
      </c>
      <c r="E937" s="21" t="s">
        <v>31</v>
      </c>
      <c r="F937" s="47" t="s">
        <v>32</v>
      </c>
      <c r="G937" s="21" t="s">
        <v>3444</v>
      </c>
      <c r="H937" s="7" t="s">
        <v>3445</v>
      </c>
      <c r="I937" s="8" t="s">
        <v>3446</v>
      </c>
      <c r="J937" s="9">
        <v>526900</v>
      </c>
      <c r="K937" s="8"/>
      <c r="L937" s="8"/>
      <c r="M937" s="8"/>
      <c r="N937" s="42">
        <f t="shared" ref="N937:N938" si="323">J937</f>
        <v>526900</v>
      </c>
      <c r="O937" s="42">
        <f>N937*1.5</f>
        <v>790350</v>
      </c>
      <c r="P937" s="42"/>
      <c r="Q937" s="42">
        <f t="shared" si="320"/>
        <v>790350</v>
      </c>
    </row>
    <row r="938" spans="1:18" ht="13.5" x14ac:dyDescent="0.2">
      <c r="A938" s="47" t="s">
        <v>2096</v>
      </c>
      <c r="B938" s="47" t="s">
        <v>3333</v>
      </c>
      <c r="C938" s="21" t="s">
        <v>3442</v>
      </c>
      <c r="D938" s="47" t="s">
        <v>3443</v>
      </c>
      <c r="E938" s="21" t="s">
        <v>31</v>
      </c>
      <c r="F938" s="47" t="s">
        <v>32</v>
      </c>
      <c r="G938" s="21" t="s">
        <v>3461</v>
      </c>
      <c r="H938" s="7" t="s">
        <v>3462</v>
      </c>
      <c r="I938" s="8" t="s">
        <v>3463</v>
      </c>
      <c r="J938" s="9">
        <v>5321400</v>
      </c>
      <c r="K938" s="8"/>
      <c r="L938" s="8"/>
      <c r="M938" s="8"/>
      <c r="N938" s="42">
        <f t="shared" si="323"/>
        <v>5321400</v>
      </c>
      <c r="O938" s="42"/>
      <c r="P938" s="42">
        <f t="shared" ref="P938:P939" si="324">N938</f>
        <v>5321400</v>
      </c>
      <c r="Q938" s="42">
        <f t="shared" si="320"/>
        <v>5321400</v>
      </c>
      <c r="R938" s="5"/>
    </row>
    <row r="939" spans="1:18" ht="13.5" x14ac:dyDescent="0.2">
      <c r="A939" s="47" t="s">
        <v>2096</v>
      </c>
      <c r="B939" s="47" t="s">
        <v>3333</v>
      </c>
      <c r="C939" s="21" t="s">
        <v>3442</v>
      </c>
      <c r="D939" s="47" t="s">
        <v>3443</v>
      </c>
      <c r="E939" s="21" t="s">
        <v>41</v>
      </c>
      <c r="F939" s="47" t="s">
        <v>32</v>
      </c>
      <c r="G939" s="21" t="s">
        <v>3444</v>
      </c>
      <c r="H939" s="7" t="s">
        <v>3445</v>
      </c>
      <c r="I939" s="8" t="s">
        <v>3451</v>
      </c>
      <c r="J939" s="9">
        <v>9093000</v>
      </c>
      <c r="K939" s="8"/>
      <c r="L939" s="42">
        <f t="shared" ref="L939:L942" si="325">J939*1.5</f>
        <v>13639500</v>
      </c>
      <c r="M939" s="8"/>
      <c r="N939" s="42">
        <f t="shared" si="311"/>
        <v>13639500</v>
      </c>
      <c r="O939" s="42"/>
      <c r="P939" s="42">
        <f t="shared" si="324"/>
        <v>13639500</v>
      </c>
      <c r="Q939" s="42">
        <f t="shared" si="320"/>
        <v>13639500</v>
      </c>
      <c r="R939" s="5"/>
    </row>
    <row r="940" spans="1:18" ht="13.5" x14ac:dyDescent="0.2">
      <c r="A940" s="47" t="s">
        <v>2096</v>
      </c>
      <c r="B940" s="47" t="s">
        <v>3333</v>
      </c>
      <c r="C940" s="21" t="s">
        <v>3442</v>
      </c>
      <c r="D940" s="47" t="s">
        <v>3443</v>
      </c>
      <c r="E940" s="21" t="s">
        <v>41</v>
      </c>
      <c r="F940" s="47" t="s">
        <v>32</v>
      </c>
      <c r="G940" s="21" t="s">
        <v>3444</v>
      </c>
      <c r="H940" s="7" t="s">
        <v>3445</v>
      </c>
      <c r="I940" s="8" t="s">
        <v>1052</v>
      </c>
      <c r="J940" s="9">
        <v>9202300</v>
      </c>
      <c r="K940" s="8"/>
      <c r="L940" s="42">
        <f t="shared" si="325"/>
        <v>13803450</v>
      </c>
      <c r="M940" s="8"/>
      <c r="N940" s="42">
        <f t="shared" si="311"/>
        <v>13803450</v>
      </c>
      <c r="O940" s="42">
        <f>N940*1.5</f>
        <v>20705175</v>
      </c>
      <c r="P940" s="42"/>
      <c r="Q940" s="42">
        <f t="shared" si="320"/>
        <v>20705175</v>
      </c>
    </row>
    <row r="941" spans="1:18" ht="13.5" x14ac:dyDescent="0.2">
      <c r="A941" s="47" t="s">
        <v>2096</v>
      </c>
      <c r="B941" s="47" t="s">
        <v>3333</v>
      </c>
      <c r="C941" s="21" t="s">
        <v>3442</v>
      </c>
      <c r="D941" s="47" t="s">
        <v>3443</v>
      </c>
      <c r="E941" s="21" t="s">
        <v>41</v>
      </c>
      <c r="F941" s="47" t="s">
        <v>32</v>
      </c>
      <c r="G941" s="21" t="s">
        <v>3453</v>
      </c>
      <c r="H941" s="7" t="s">
        <v>3454</v>
      </c>
      <c r="I941" s="8" t="s">
        <v>3457</v>
      </c>
      <c r="J941" s="9">
        <v>6396000</v>
      </c>
      <c r="K941" s="8"/>
      <c r="L941" s="42">
        <f t="shared" si="325"/>
        <v>9594000</v>
      </c>
      <c r="M941" s="8"/>
      <c r="N941" s="42">
        <f t="shared" si="311"/>
        <v>9594000</v>
      </c>
      <c r="O941" s="42"/>
      <c r="P941" s="42">
        <f t="shared" ref="P941:P944" si="326">N941</f>
        <v>9594000</v>
      </c>
      <c r="Q941" s="42">
        <f t="shared" si="320"/>
        <v>9594000</v>
      </c>
      <c r="R941" s="5"/>
    </row>
    <row r="942" spans="1:18" ht="13.5" x14ac:dyDescent="0.2">
      <c r="A942" s="47" t="s">
        <v>2096</v>
      </c>
      <c r="B942" s="47" t="s">
        <v>3333</v>
      </c>
      <c r="C942" s="21" t="s">
        <v>3442</v>
      </c>
      <c r="D942" s="47" t="s">
        <v>3443</v>
      </c>
      <c r="E942" s="21" t="s">
        <v>41</v>
      </c>
      <c r="F942" s="47" t="s">
        <v>32</v>
      </c>
      <c r="G942" s="21" t="s">
        <v>3453</v>
      </c>
      <c r="H942" s="7" t="s">
        <v>3454</v>
      </c>
      <c r="I942" s="8" t="s">
        <v>3455</v>
      </c>
      <c r="J942" s="9">
        <v>4598000</v>
      </c>
      <c r="K942" s="8"/>
      <c r="L942" s="42">
        <f t="shared" si="325"/>
        <v>6897000</v>
      </c>
      <c r="M942" s="8"/>
      <c r="N942" s="42">
        <f t="shared" si="311"/>
        <v>6897000</v>
      </c>
      <c r="O942" s="42"/>
      <c r="P942" s="42">
        <f t="shared" si="326"/>
        <v>6897000</v>
      </c>
      <c r="Q942" s="42">
        <f t="shared" si="320"/>
        <v>6897000</v>
      </c>
      <c r="R942" s="5"/>
    </row>
    <row r="943" spans="1:18" ht="13.5" x14ac:dyDescent="0.2">
      <c r="A943" s="47" t="s">
        <v>2096</v>
      </c>
      <c r="B943" s="47" t="s">
        <v>3333</v>
      </c>
      <c r="C943" s="21" t="s">
        <v>3442</v>
      </c>
      <c r="D943" s="47" t="s">
        <v>3466</v>
      </c>
      <c r="E943" s="21" t="s">
        <v>128</v>
      </c>
      <c r="F943" s="47" t="s">
        <v>135</v>
      </c>
      <c r="G943" s="21" t="s">
        <v>3467</v>
      </c>
      <c r="H943" s="7" t="s">
        <v>3468</v>
      </c>
      <c r="I943" s="8" t="s">
        <v>3482</v>
      </c>
      <c r="J943" s="9">
        <v>1065400</v>
      </c>
      <c r="K943" s="8"/>
      <c r="L943" s="8"/>
      <c r="M943" s="8"/>
      <c r="N943" s="42">
        <f t="shared" ref="N943:N959" si="327">J943</f>
        <v>1065400</v>
      </c>
      <c r="O943" s="42"/>
      <c r="P943" s="42">
        <f t="shared" si="326"/>
        <v>1065400</v>
      </c>
      <c r="Q943" s="42">
        <f t="shared" si="320"/>
        <v>1065400</v>
      </c>
      <c r="R943" s="5"/>
    </row>
    <row r="944" spans="1:18" ht="13.5" x14ac:dyDescent="0.2">
      <c r="A944" s="47" t="s">
        <v>2096</v>
      </c>
      <c r="B944" s="47" t="s">
        <v>3333</v>
      </c>
      <c r="C944" s="21" t="s">
        <v>3442</v>
      </c>
      <c r="D944" s="47" t="s">
        <v>3466</v>
      </c>
      <c r="E944" s="21" t="s">
        <v>31</v>
      </c>
      <c r="F944" s="47" t="s">
        <v>32</v>
      </c>
      <c r="G944" s="21" t="s">
        <v>3467</v>
      </c>
      <c r="H944" s="7" t="s">
        <v>3468</v>
      </c>
      <c r="I944" s="8" t="s">
        <v>3518</v>
      </c>
      <c r="J944" s="9">
        <v>428000</v>
      </c>
      <c r="K944" s="8"/>
      <c r="L944" s="8"/>
      <c r="M944" s="8"/>
      <c r="N944" s="42">
        <f t="shared" si="327"/>
        <v>428000</v>
      </c>
      <c r="O944" s="42"/>
      <c r="P944" s="42">
        <f t="shared" si="326"/>
        <v>428000</v>
      </c>
      <c r="Q944" s="42">
        <f t="shared" si="320"/>
        <v>428000</v>
      </c>
      <c r="R944" s="5"/>
    </row>
    <row r="945" spans="1:18" ht="13.5" x14ac:dyDescent="0.2">
      <c r="A945" s="47" t="s">
        <v>2096</v>
      </c>
      <c r="B945" s="47" t="s">
        <v>3333</v>
      </c>
      <c r="C945" s="21" t="s">
        <v>3442</v>
      </c>
      <c r="D945" s="47" t="s">
        <v>3466</v>
      </c>
      <c r="E945" s="21" t="s">
        <v>31</v>
      </c>
      <c r="F945" s="47" t="s">
        <v>32</v>
      </c>
      <c r="G945" s="21" t="s">
        <v>3467</v>
      </c>
      <c r="H945" s="7" t="s">
        <v>3468</v>
      </c>
      <c r="I945" s="8" t="s">
        <v>1338</v>
      </c>
      <c r="J945" s="9">
        <v>711600</v>
      </c>
      <c r="K945" s="8"/>
      <c r="L945" s="8"/>
      <c r="M945" s="8"/>
      <c r="N945" s="42">
        <f t="shared" si="327"/>
        <v>711600</v>
      </c>
      <c r="O945" s="42">
        <f>N945*1.5</f>
        <v>1067400</v>
      </c>
      <c r="P945" s="42"/>
      <c r="Q945" s="42">
        <f t="shared" si="320"/>
        <v>1067400</v>
      </c>
    </row>
    <row r="946" spans="1:18" ht="13.5" x14ac:dyDescent="0.2">
      <c r="A946" s="47" t="s">
        <v>2096</v>
      </c>
      <c r="B946" s="47" t="s">
        <v>3333</v>
      </c>
      <c r="C946" s="21" t="s">
        <v>3442</v>
      </c>
      <c r="D946" s="47" t="s">
        <v>3466</v>
      </c>
      <c r="E946" s="21" t="s">
        <v>31</v>
      </c>
      <c r="F946" s="47" t="s">
        <v>32</v>
      </c>
      <c r="G946" s="21" t="s">
        <v>3467</v>
      </c>
      <c r="H946" s="7" t="s">
        <v>3468</v>
      </c>
      <c r="I946" s="8" t="s">
        <v>3520</v>
      </c>
      <c r="J946" s="9">
        <v>9863100</v>
      </c>
      <c r="K946" s="8"/>
      <c r="L946" s="8"/>
      <c r="M946" s="8"/>
      <c r="N946" s="42">
        <f t="shared" si="327"/>
        <v>9863100</v>
      </c>
      <c r="O946" s="42"/>
      <c r="P946" s="42">
        <f t="shared" ref="P946:P947" si="328">N946</f>
        <v>9863100</v>
      </c>
      <c r="Q946" s="42">
        <f t="shared" si="320"/>
        <v>9863100</v>
      </c>
      <c r="R946" s="5"/>
    </row>
    <row r="947" spans="1:18" ht="13.5" x14ac:dyDescent="0.2">
      <c r="A947" s="47" t="s">
        <v>2096</v>
      </c>
      <c r="B947" s="47" t="s">
        <v>3333</v>
      </c>
      <c r="C947" s="21" t="s">
        <v>3442</v>
      </c>
      <c r="D947" s="47" t="s">
        <v>3466</v>
      </c>
      <c r="E947" s="21" t="s">
        <v>31</v>
      </c>
      <c r="F947" s="47" t="s">
        <v>32</v>
      </c>
      <c r="G947" s="21" t="s">
        <v>3467</v>
      </c>
      <c r="H947" s="7" t="s">
        <v>3468</v>
      </c>
      <c r="I947" s="8" t="s">
        <v>3522</v>
      </c>
      <c r="J947" s="9">
        <v>4999600</v>
      </c>
      <c r="K947" s="8"/>
      <c r="L947" s="8"/>
      <c r="M947" s="8"/>
      <c r="N947" s="42">
        <f t="shared" si="327"/>
        <v>4999600</v>
      </c>
      <c r="O947" s="42"/>
      <c r="P947" s="42">
        <f t="shared" si="328"/>
        <v>4999600</v>
      </c>
      <c r="Q947" s="42">
        <f t="shared" si="320"/>
        <v>4999600</v>
      </c>
      <c r="R947" s="5"/>
    </row>
    <row r="948" spans="1:18" ht="13.5" x14ac:dyDescent="0.2">
      <c r="A948" s="47" t="s">
        <v>2096</v>
      </c>
      <c r="B948" s="47" t="s">
        <v>3333</v>
      </c>
      <c r="C948" s="21" t="s">
        <v>3442</v>
      </c>
      <c r="D948" s="47" t="s">
        <v>3466</v>
      </c>
      <c r="E948" s="21" t="s">
        <v>31</v>
      </c>
      <c r="F948" s="47" t="s">
        <v>32</v>
      </c>
      <c r="G948" s="21" t="s">
        <v>3467</v>
      </c>
      <c r="H948" s="7" t="s">
        <v>3468</v>
      </c>
      <c r="I948" s="8" t="s">
        <v>3514</v>
      </c>
      <c r="J948" s="9">
        <v>2375000</v>
      </c>
      <c r="K948" s="8"/>
      <c r="L948" s="8"/>
      <c r="M948" s="8"/>
      <c r="N948" s="42">
        <f t="shared" si="327"/>
        <v>2375000</v>
      </c>
      <c r="O948" s="42">
        <f>N948*1.5</f>
        <v>3562500</v>
      </c>
      <c r="P948" s="42"/>
      <c r="Q948" s="42">
        <f t="shared" si="320"/>
        <v>3562500</v>
      </c>
    </row>
    <row r="949" spans="1:18" ht="13.5" x14ac:dyDescent="0.2">
      <c r="A949" s="47" t="s">
        <v>2096</v>
      </c>
      <c r="B949" s="47" t="s">
        <v>3333</v>
      </c>
      <c r="C949" s="21" t="s">
        <v>3442</v>
      </c>
      <c r="D949" s="47" t="s">
        <v>3466</v>
      </c>
      <c r="E949" s="21" t="s">
        <v>31</v>
      </c>
      <c r="F949" s="47" t="s">
        <v>32</v>
      </c>
      <c r="G949" s="21" t="s">
        <v>3467</v>
      </c>
      <c r="H949" s="7" t="s">
        <v>3468</v>
      </c>
      <c r="I949" s="8" t="s">
        <v>3496</v>
      </c>
      <c r="J949" s="9">
        <v>1934400</v>
      </c>
      <c r="K949" s="8"/>
      <c r="L949" s="8"/>
      <c r="M949" s="8"/>
      <c r="N949" s="42">
        <f t="shared" si="327"/>
        <v>1934400</v>
      </c>
      <c r="O949" s="42"/>
      <c r="P949" s="42">
        <f>N949</f>
        <v>1934400</v>
      </c>
      <c r="Q949" s="42">
        <f t="shared" si="320"/>
        <v>1934400</v>
      </c>
      <c r="R949" s="5"/>
    </row>
    <row r="950" spans="1:18" ht="13.5" x14ac:dyDescent="0.2">
      <c r="A950" s="47" t="s">
        <v>2096</v>
      </c>
      <c r="B950" s="47" t="s">
        <v>3333</v>
      </c>
      <c r="C950" s="21" t="s">
        <v>3442</v>
      </c>
      <c r="D950" s="47" t="s">
        <v>3466</v>
      </c>
      <c r="E950" s="21" t="s">
        <v>31</v>
      </c>
      <c r="F950" s="47" t="s">
        <v>32</v>
      </c>
      <c r="G950" s="21" t="s">
        <v>3526</v>
      </c>
      <c r="H950" s="7" t="s">
        <v>3527</v>
      </c>
      <c r="I950" s="8" t="s">
        <v>1200</v>
      </c>
      <c r="J950" s="9">
        <v>4799600</v>
      </c>
      <c r="K950" s="8"/>
      <c r="L950" s="8"/>
      <c r="M950" s="8"/>
      <c r="N950" s="42">
        <f t="shared" si="327"/>
        <v>4799600</v>
      </c>
      <c r="O950" s="42">
        <f>N950*1.5</f>
        <v>7199400</v>
      </c>
      <c r="P950" s="42"/>
      <c r="Q950" s="42">
        <f t="shared" si="320"/>
        <v>7199400</v>
      </c>
    </row>
    <row r="951" spans="1:18" ht="13.5" x14ac:dyDescent="0.2">
      <c r="A951" s="47" t="s">
        <v>2096</v>
      </c>
      <c r="B951" s="47" t="s">
        <v>3333</v>
      </c>
      <c r="C951" s="21" t="s">
        <v>3442</v>
      </c>
      <c r="D951" s="47" t="s">
        <v>3466</v>
      </c>
      <c r="E951" s="21" t="s">
        <v>31</v>
      </c>
      <c r="F951" s="47" t="s">
        <v>32</v>
      </c>
      <c r="G951" s="21" t="s">
        <v>3526</v>
      </c>
      <c r="H951" s="7" t="s">
        <v>3527</v>
      </c>
      <c r="I951" s="8" t="s">
        <v>3542</v>
      </c>
      <c r="J951" s="9">
        <v>3719600</v>
      </c>
      <c r="K951" s="8"/>
      <c r="L951" s="8"/>
      <c r="M951" s="8"/>
      <c r="N951" s="42">
        <f t="shared" si="327"/>
        <v>3719600</v>
      </c>
      <c r="O951" s="42"/>
      <c r="P951" s="42">
        <f t="shared" ref="P951:P957" si="329">N951</f>
        <v>3719600</v>
      </c>
      <c r="Q951" s="42">
        <f t="shared" si="320"/>
        <v>3719600</v>
      </c>
      <c r="R951" s="5"/>
    </row>
    <row r="952" spans="1:18" ht="13.5" x14ac:dyDescent="0.2">
      <c r="A952" s="47" t="s">
        <v>2096</v>
      </c>
      <c r="B952" s="47" t="s">
        <v>3333</v>
      </c>
      <c r="C952" s="21" t="s">
        <v>3442</v>
      </c>
      <c r="D952" s="47" t="s">
        <v>3466</v>
      </c>
      <c r="E952" s="21" t="s">
        <v>31</v>
      </c>
      <c r="F952" s="47" t="s">
        <v>32</v>
      </c>
      <c r="G952" s="21" t="s">
        <v>3526</v>
      </c>
      <c r="H952" s="7" t="s">
        <v>3527</v>
      </c>
      <c r="I952" s="8" t="s">
        <v>3562</v>
      </c>
      <c r="J952" s="9">
        <v>6846000</v>
      </c>
      <c r="K952" s="8"/>
      <c r="L952" s="8"/>
      <c r="M952" s="8"/>
      <c r="N952" s="42">
        <f t="shared" si="327"/>
        <v>6846000</v>
      </c>
      <c r="O952" s="42"/>
      <c r="P952" s="42">
        <f t="shared" si="329"/>
        <v>6846000</v>
      </c>
      <c r="Q952" s="42">
        <f t="shared" si="320"/>
        <v>6846000</v>
      </c>
      <c r="R952" s="5"/>
    </row>
    <row r="953" spans="1:18" ht="13.5" x14ac:dyDescent="0.2">
      <c r="A953" s="47" t="s">
        <v>2096</v>
      </c>
      <c r="B953" s="47" t="s">
        <v>3333</v>
      </c>
      <c r="C953" s="21" t="s">
        <v>3442</v>
      </c>
      <c r="D953" s="47" t="s">
        <v>3466</v>
      </c>
      <c r="E953" s="21" t="s">
        <v>31</v>
      </c>
      <c r="F953" s="47" t="s">
        <v>32</v>
      </c>
      <c r="G953" s="21" t="s">
        <v>3564</v>
      </c>
      <c r="H953" s="7" t="s">
        <v>3565</v>
      </c>
      <c r="I953" s="8" t="s">
        <v>3566</v>
      </c>
      <c r="J953" s="9">
        <v>3436000</v>
      </c>
      <c r="K953" s="8"/>
      <c r="L953" s="8"/>
      <c r="M953" s="8"/>
      <c r="N953" s="42">
        <f t="shared" si="327"/>
        <v>3436000</v>
      </c>
      <c r="O953" s="42"/>
      <c r="P953" s="42">
        <f t="shared" si="329"/>
        <v>3436000</v>
      </c>
      <c r="Q953" s="42">
        <f t="shared" si="320"/>
        <v>3436000</v>
      </c>
      <c r="R953" s="5"/>
    </row>
    <row r="954" spans="1:18" ht="13.5" x14ac:dyDescent="0.2">
      <c r="A954" s="47" t="s">
        <v>2096</v>
      </c>
      <c r="B954" s="47" t="s">
        <v>3333</v>
      </c>
      <c r="C954" s="21" t="s">
        <v>3442</v>
      </c>
      <c r="D954" s="47" t="s">
        <v>3466</v>
      </c>
      <c r="E954" s="21" t="s">
        <v>31</v>
      </c>
      <c r="F954" s="47" t="s">
        <v>32</v>
      </c>
      <c r="G954" s="21" t="s">
        <v>3564</v>
      </c>
      <c r="H954" s="7" t="s">
        <v>3565</v>
      </c>
      <c r="I954" s="8" t="s">
        <v>3568</v>
      </c>
      <c r="J954" s="9">
        <v>2098000</v>
      </c>
      <c r="K954" s="8"/>
      <c r="L954" s="8"/>
      <c r="M954" s="8"/>
      <c r="N954" s="42">
        <f t="shared" si="327"/>
        <v>2098000</v>
      </c>
      <c r="O954" s="42"/>
      <c r="P954" s="42">
        <f t="shared" si="329"/>
        <v>2098000</v>
      </c>
      <c r="Q954" s="42">
        <f t="shared" si="320"/>
        <v>2098000</v>
      </c>
      <c r="R954" s="5"/>
    </row>
    <row r="955" spans="1:18" ht="13.5" x14ac:dyDescent="0.2">
      <c r="A955" s="47" t="s">
        <v>2096</v>
      </c>
      <c r="B955" s="47" t="s">
        <v>3333</v>
      </c>
      <c r="C955" s="21" t="s">
        <v>3442</v>
      </c>
      <c r="D955" s="47" t="s">
        <v>3466</v>
      </c>
      <c r="E955" s="21" t="s">
        <v>31</v>
      </c>
      <c r="F955" s="47" t="s">
        <v>32</v>
      </c>
      <c r="G955" s="21" t="s">
        <v>3564</v>
      </c>
      <c r="H955" s="7" t="s">
        <v>3565</v>
      </c>
      <c r="I955" s="8" t="s">
        <v>3570</v>
      </c>
      <c r="J955" s="9">
        <v>2555000</v>
      </c>
      <c r="K955" s="8"/>
      <c r="L955" s="8"/>
      <c r="M955" s="8"/>
      <c r="N955" s="42">
        <f t="shared" si="327"/>
        <v>2555000</v>
      </c>
      <c r="O955" s="42"/>
      <c r="P955" s="42">
        <f t="shared" si="329"/>
        <v>2555000</v>
      </c>
      <c r="Q955" s="42">
        <f t="shared" si="320"/>
        <v>2555000</v>
      </c>
      <c r="R955" s="5"/>
    </row>
    <row r="956" spans="1:18" ht="13.5" x14ac:dyDescent="0.2">
      <c r="A956" s="47" t="s">
        <v>2096</v>
      </c>
      <c r="B956" s="47" t="s">
        <v>3333</v>
      </c>
      <c r="C956" s="21" t="s">
        <v>3442</v>
      </c>
      <c r="D956" s="47" t="s">
        <v>3466</v>
      </c>
      <c r="E956" s="21" t="s">
        <v>31</v>
      </c>
      <c r="F956" s="47" t="s">
        <v>32</v>
      </c>
      <c r="G956" s="21" t="s">
        <v>3564</v>
      </c>
      <c r="H956" s="7" t="s">
        <v>3565</v>
      </c>
      <c r="I956" s="8" t="s">
        <v>3575</v>
      </c>
      <c r="J956" s="9">
        <v>10446400</v>
      </c>
      <c r="K956" s="8"/>
      <c r="L956" s="8"/>
      <c r="M956" s="8"/>
      <c r="N956" s="42">
        <f t="shared" si="327"/>
        <v>10446400</v>
      </c>
      <c r="O956" s="42"/>
      <c r="P956" s="42">
        <f t="shared" si="329"/>
        <v>10446400</v>
      </c>
      <c r="Q956" s="42">
        <f t="shared" si="320"/>
        <v>10446400</v>
      </c>
      <c r="R956" s="5"/>
    </row>
    <row r="957" spans="1:18" ht="13.5" x14ac:dyDescent="0.2">
      <c r="A957" s="47" t="s">
        <v>2096</v>
      </c>
      <c r="B957" s="47" t="s">
        <v>3333</v>
      </c>
      <c r="C957" s="21" t="s">
        <v>3442</v>
      </c>
      <c r="D957" s="47" t="s">
        <v>3466</v>
      </c>
      <c r="E957" s="21" t="s">
        <v>31</v>
      </c>
      <c r="F957" s="47" t="s">
        <v>32</v>
      </c>
      <c r="G957" s="21" t="s">
        <v>3577</v>
      </c>
      <c r="H957" s="7" t="s">
        <v>3578</v>
      </c>
      <c r="I957" s="8" t="s">
        <v>3600</v>
      </c>
      <c r="J957" s="9">
        <v>2835000</v>
      </c>
      <c r="K957" s="8"/>
      <c r="L957" s="8"/>
      <c r="M957" s="8"/>
      <c r="N957" s="42">
        <f t="shared" si="327"/>
        <v>2835000</v>
      </c>
      <c r="O957" s="42"/>
      <c r="P957" s="42">
        <f t="shared" si="329"/>
        <v>2835000</v>
      </c>
      <c r="Q957" s="42">
        <f t="shared" si="320"/>
        <v>2835000</v>
      </c>
      <c r="R957" s="5"/>
    </row>
    <row r="958" spans="1:18" ht="13.5" x14ac:dyDescent="0.2">
      <c r="A958" s="47" t="s">
        <v>2096</v>
      </c>
      <c r="B958" s="47" t="s">
        <v>3333</v>
      </c>
      <c r="C958" s="21" t="s">
        <v>3442</v>
      </c>
      <c r="D958" s="47" t="s">
        <v>3466</v>
      </c>
      <c r="E958" s="21" t="s">
        <v>31</v>
      </c>
      <c r="F958" s="47" t="s">
        <v>32</v>
      </c>
      <c r="G958" s="21" t="s">
        <v>3577</v>
      </c>
      <c r="H958" s="7" t="s">
        <v>3578</v>
      </c>
      <c r="I958" s="8" t="s">
        <v>1117</v>
      </c>
      <c r="J958" s="9">
        <v>1278000</v>
      </c>
      <c r="K958" s="8"/>
      <c r="L958" s="8"/>
      <c r="M958" s="8"/>
      <c r="N958" s="42">
        <f t="shared" si="327"/>
        <v>1278000</v>
      </c>
      <c r="O958" s="42">
        <f>N958*1.5</f>
        <v>1917000</v>
      </c>
      <c r="P958" s="42"/>
      <c r="Q958" s="42">
        <f t="shared" si="320"/>
        <v>1917000</v>
      </c>
    </row>
    <row r="959" spans="1:18" ht="13.5" x14ac:dyDescent="0.2">
      <c r="A959" s="47" t="s">
        <v>2096</v>
      </c>
      <c r="B959" s="47" t="s">
        <v>3333</v>
      </c>
      <c r="C959" s="21" t="s">
        <v>3442</v>
      </c>
      <c r="D959" s="47" t="s">
        <v>3466</v>
      </c>
      <c r="E959" s="21" t="s">
        <v>31</v>
      </c>
      <c r="F959" s="47" t="s">
        <v>32</v>
      </c>
      <c r="G959" s="21" t="s">
        <v>3577</v>
      </c>
      <c r="H959" s="7" t="s">
        <v>3578</v>
      </c>
      <c r="I959" s="8" t="s">
        <v>3604</v>
      </c>
      <c r="J959" s="9">
        <v>4515000</v>
      </c>
      <c r="K959" s="8"/>
      <c r="L959" s="8"/>
      <c r="M959" s="8"/>
      <c r="N959" s="42">
        <f t="shared" si="327"/>
        <v>4515000</v>
      </c>
      <c r="O959" s="42"/>
      <c r="P959" s="42">
        <f t="shared" ref="P959:P960" si="330">N959</f>
        <v>4515000</v>
      </c>
      <c r="Q959" s="42">
        <f t="shared" si="320"/>
        <v>4515000</v>
      </c>
      <c r="R959" s="5"/>
    </row>
    <row r="960" spans="1:18" ht="13.5" x14ac:dyDescent="0.2">
      <c r="A960" s="47" t="s">
        <v>2096</v>
      </c>
      <c r="B960" s="47" t="s">
        <v>3333</v>
      </c>
      <c r="C960" s="21" t="s">
        <v>3442</v>
      </c>
      <c r="D960" s="47" t="s">
        <v>3466</v>
      </c>
      <c r="E960" s="21" t="s">
        <v>41</v>
      </c>
      <c r="F960" s="47" t="s">
        <v>32</v>
      </c>
      <c r="G960" s="21" t="s">
        <v>3467</v>
      </c>
      <c r="H960" s="7" t="s">
        <v>3468</v>
      </c>
      <c r="I960" s="8" t="s">
        <v>3488</v>
      </c>
      <c r="J960" s="9">
        <v>7220400</v>
      </c>
      <c r="K960" s="8"/>
      <c r="L960" s="42">
        <f t="shared" ref="L960:L984" si="331">J960*1.5</f>
        <v>10830600</v>
      </c>
      <c r="M960" s="8"/>
      <c r="N960" s="42">
        <f t="shared" si="311"/>
        <v>10830600</v>
      </c>
      <c r="O960" s="42"/>
      <c r="P960" s="42">
        <f t="shared" si="330"/>
        <v>10830600</v>
      </c>
      <c r="Q960" s="42">
        <f t="shared" si="320"/>
        <v>10830600</v>
      </c>
      <c r="R960" s="5"/>
    </row>
    <row r="961" spans="1:18" ht="13.5" x14ac:dyDescent="0.2">
      <c r="A961" s="47" t="s">
        <v>2096</v>
      </c>
      <c r="B961" s="47" t="s">
        <v>3333</v>
      </c>
      <c r="C961" s="21" t="s">
        <v>3442</v>
      </c>
      <c r="D961" s="47" t="s">
        <v>3466</v>
      </c>
      <c r="E961" s="21" t="s">
        <v>41</v>
      </c>
      <c r="F961" s="47" t="s">
        <v>32</v>
      </c>
      <c r="G961" s="21" t="s">
        <v>3467</v>
      </c>
      <c r="H961" s="7" t="s">
        <v>3468</v>
      </c>
      <c r="I961" s="8" t="s">
        <v>3511</v>
      </c>
      <c r="J961" s="9">
        <v>2210000</v>
      </c>
      <c r="K961" s="8"/>
      <c r="L961" s="42">
        <f t="shared" si="331"/>
        <v>3315000</v>
      </c>
      <c r="M961" s="8"/>
      <c r="N961" s="42">
        <f t="shared" si="311"/>
        <v>3315000</v>
      </c>
      <c r="O961" s="42">
        <f t="shared" ref="O961:O962" si="332">N961*1.5</f>
        <v>4972500</v>
      </c>
      <c r="P961" s="42"/>
      <c r="Q961" s="42">
        <f t="shared" si="320"/>
        <v>4972500</v>
      </c>
    </row>
    <row r="962" spans="1:18" ht="13.5" x14ac:dyDescent="0.2">
      <c r="A962" s="47" t="s">
        <v>2096</v>
      </c>
      <c r="B962" s="47" t="s">
        <v>3333</v>
      </c>
      <c r="C962" s="21" t="s">
        <v>3442</v>
      </c>
      <c r="D962" s="47" t="s">
        <v>3466</v>
      </c>
      <c r="E962" s="21" t="s">
        <v>41</v>
      </c>
      <c r="F962" s="47" t="s">
        <v>32</v>
      </c>
      <c r="G962" s="21" t="s">
        <v>3467</v>
      </c>
      <c r="H962" s="7" t="s">
        <v>3468</v>
      </c>
      <c r="I962" s="8" t="s">
        <v>3516</v>
      </c>
      <c r="J962" s="9">
        <v>6714400</v>
      </c>
      <c r="K962" s="8"/>
      <c r="L962" s="42">
        <f t="shared" si="331"/>
        <v>10071600</v>
      </c>
      <c r="M962" s="8"/>
      <c r="N962" s="42">
        <f t="shared" si="311"/>
        <v>10071600</v>
      </c>
      <c r="O962" s="42">
        <f t="shared" si="332"/>
        <v>15107400</v>
      </c>
      <c r="P962" s="42"/>
      <c r="Q962" s="42">
        <f t="shared" si="320"/>
        <v>15107400</v>
      </c>
    </row>
    <row r="963" spans="1:18" ht="13.5" x14ac:dyDescent="0.2">
      <c r="A963" s="47" t="s">
        <v>2096</v>
      </c>
      <c r="B963" s="47" t="s">
        <v>3333</v>
      </c>
      <c r="C963" s="21" t="s">
        <v>3442</v>
      </c>
      <c r="D963" s="47" t="s">
        <v>3466</v>
      </c>
      <c r="E963" s="21" t="s">
        <v>41</v>
      </c>
      <c r="F963" s="47" t="s">
        <v>32</v>
      </c>
      <c r="G963" s="21" t="s">
        <v>3467</v>
      </c>
      <c r="H963" s="7" t="s">
        <v>3468</v>
      </c>
      <c r="I963" s="8" t="s">
        <v>3469</v>
      </c>
      <c r="J963" s="9">
        <v>2238000</v>
      </c>
      <c r="K963" s="8"/>
      <c r="L963" s="42">
        <f t="shared" si="331"/>
        <v>3357000</v>
      </c>
      <c r="M963" s="8"/>
      <c r="N963" s="42">
        <f t="shared" si="311"/>
        <v>3357000</v>
      </c>
      <c r="O963" s="42"/>
      <c r="P963" s="42">
        <f t="shared" ref="P963:P966" si="333">N963</f>
        <v>3357000</v>
      </c>
      <c r="Q963" s="42">
        <f t="shared" si="320"/>
        <v>3357000</v>
      </c>
      <c r="R963" s="5"/>
    </row>
    <row r="964" spans="1:18" ht="13.5" x14ac:dyDescent="0.2">
      <c r="A964" s="47" t="s">
        <v>2096</v>
      </c>
      <c r="B964" s="47" t="s">
        <v>3333</v>
      </c>
      <c r="C964" s="21" t="s">
        <v>3442</v>
      </c>
      <c r="D964" s="47" t="s">
        <v>3466</v>
      </c>
      <c r="E964" s="21" t="s">
        <v>41</v>
      </c>
      <c r="F964" s="47" t="s">
        <v>32</v>
      </c>
      <c r="G964" s="21" t="s">
        <v>3467</v>
      </c>
      <c r="H964" s="7" t="s">
        <v>3468</v>
      </c>
      <c r="I964" s="8" t="s">
        <v>3474</v>
      </c>
      <c r="J964" s="9">
        <v>2639700</v>
      </c>
      <c r="K964" s="8"/>
      <c r="L964" s="42">
        <f t="shared" si="331"/>
        <v>3959550</v>
      </c>
      <c r="M964" s="8"/>
      <c r="N964" s="42">
        <f t="shared" ref="N964:N1022" si="334">SUM(K964:M964)</f>
        <v>3959550</v>
      </c>
      <c r="O964" s="42"/>
      <c r="P964" s="42">
        <f t="shared" si="333"/>
        <v>3959550</v>
      </c>
      <c r="Q964" s="42">
        <f t="shared" si="320"/>
        <v>3959550</v>
      </c>
      <c r="R964" s="5"/>
    </row>
    <row r="965" spans="1:18" ht="13.5" x14ac:dyDescent="0.2">
      <c r="A965" s="47" t="s">
        <v>2096</v>
      </c>
      <c r="B965" s="47" t="s">
        <v>3333</v>
      </c>
      <c r="C965" s="21" t="s">
        <v>3442</v>
      </c>
      <c r="D965" s="47" t="s">
        <v>3466</v>
      </c>
      <c r="E965" s="21" t="s">
        <v>41</v>
      </c>
      <c r="F965" s="47" t="s">
        <v>32</v>
      </c>
      <c r="G965" s="21" t="s">
        <v>3467</v>
      </c>
      <c r="H965" s="7" t="s">
        <v>3468</v>
      </c>
      <c r="I965" s="8" t="s">
        <v>3506</v>
      </c>
      <c r="J965" s="9">
        <v>2546000</v>
      </c>
      <c r="K965" s="8"/>
      <c r="L965" s="42">
        <f t="shared" si="331"/>
        <v>3819000</v>
      </c>
      <c r="M965" s="8"/>
      <c r="N965" s="42">
        <f t="shared" si="334"/>
        <v>3819000</v>
      </c>
      <c r="O965" s="42"/>
      <c r="P965" s="42">
        <f t="shared" si="333"/>
        <v>3819000</v>
      </c>
      <c r="Q965" s="42">
        <f t="shared" si="320"/>
        <v>3819000</v>
      </c>
      <c r="R965" s="5"/>
    </row>
    <row r="966" spans="1:18" ht="13.5" x14ac:dyDescent="0.2">
      <c r="A966" s="47" t="s">
        <v>2096</v>
      </c>
      <c r="B966" s="47" t="s">
        <v>3333</v>
      </c>
      <c r="C966" s="21" t="s">
        <v>3442</v>
      </c>
      <c r="D966" s="47" t="s">
        <v>3466</v>
      </c>
      <c r="E966" s="21" t="s">
        <v>41</v>
      </c>
      <c r="F966" s="47" t="s">
        <v>32</v>
      </c>
      <c r="G966" s="21" t="s">
        <v>3467</v>
      </c>
      <c r="H966" s="7" t="s">
        <v>3468</v>
      </c>
      <c r="I966" s="8" t="s">
        <v>3504</v>
      </c>
      <c r="J966" s="9">
        <v>16365000</v>
      </c>
      <c r="K966" s="8"/>
      <c r="L966" s="42">
        <f t="shared" si="331"/>
        <v>24547500</v>
      </c>
      <c r="M966" s="8"/>
      <c r="N966" s="42">
        <f t="shared" si="334"/>
        <v>24547500</v>
      </c>
      <c r="O966" s="42"/>
      <c r="P966" s="42">
        <f t="shared" si="333"/>
        <v>24547500</v>
      </c>
      <c r="Q966" s="42">
        <f t="shared" si="320"/>
        <v>24547500</v>
      </c>
      <c r="R966" s="5"/>
    </row>
    <row r="967" spans="1:18" ht="13.5" x14ac:dyDescent="0.2">
      <c r="A967" s="47" t="s">
        <v>2096</v>
      </c>
      <c r="B967" s="47" t="s">
        <v>3333</v>
      </c>
      <c r="C967" s="21" t="s">
        <v>3442</v>
      </c>
      <c r="D967" s="47" t="s">
        <v>3466</v>
      </c>
      <c r="E967" s="21" t="s">
        <v>41</v>
      </c>
      <c r="F967" s="47" t="s">
        <v>32</v>
      </c>
      <c r="G967" s="21" t="s">
        <v>3467</v>
      </c>
      <c r="H967" s="7" t="s">
        <v>3468</v>
      </c>
      <c r="I967" s="8" t="s">
        <v>3508</v>
      </c>
      <c r="J967" s="9">
        <v>8630800</v>
      </c>
      <c r="K967" s="8"/>
      <c r="L967" s="42">
        <f t="shared" si="331"/>
        <v>12946200</v>
      </c>
      <c r="M967" s="8"/>
      <c r="N967" s="42">
        <f t="shared" si="334"/>
        <v>12946200</v>
      </c>
      <c r="O967" s="42">
        <f>N967*1.5</f>
        <v>19419300</v>
      </c>
      <c r="P967" s="42"/>
      <c r="Q967" s="42">
        <f t="shared" si="320"/>
        <v>19419300</v>
      </c>
    </row>
    <row r="968" spans="1:18" ht="13.5" x14ac:dyDescent="0.2">
      <c r="A968" s="47" t="s">
        <v>2096</v>
      </c>
      <c r="B968" s="47" t="s">
        <v>3333</v>
      </c>
      <c r="C968" s="21" t="s">
        <v>3442</v>
      </c>
      <c r="D968" s="47" t="s">
        <v>3466</v>
      </c>
      <c r="E968" s="21" t="s">
        <v>41</v>
      </c>
      <c r="F968" s="47" t="s">
        <v>32</v>
      </c>
      <c r="G968" s="21" t="s">
        <v>3467</v>
      </c>
      <c r="H968" s="7" t="s">
        <v>3468</v>
      </c>
      <c r="I968" s="8" t="s">
        <v>3500</v>
      </c>
      <c r="J968" s="9">
        <v>3347600</v>
      </c>
      <c r="K968" s="8"/>
      <c r="L968" s="42">
        <f t="shared" si="331"/>
        <v>5021400</v>
      </c>
      <c r="M968" s="8"/>
      <c r="N968" s="42">
        <f t="shared" si="334"/>
        <v>5021400</v>
      </c>
      <c r="O968" s="42"/>
      <c r="P968" s="42">
        <f t="shared" ref="P968:P970" si="335">N968</f>
        <v>5021400</v>
      </c>
      <c r="Q968" s="42">
        <f t="shared" si="320"/>
        <v>5021400</v>
      </c>
      <c r="R968" s="5"/>
    </row>
    <row r="969" spans="1:18" ht="13.5" x14ac:dyDescent="0.2">
      <c r="A969" s="47" t="s">
        <v>2096</v>
      </c>
      <c r="B969" s="47" t="s">
        <v>3333</v>
      </c>
      <c r="C969" s="21" t="s">
        <v>3442</v>
      </c>
      <c r="D969" s="47" t="s">
        <v>3466</v>
      </c>
      <c r="E969" s="21" t="s">
        <v>41</v>
      </c>
      <c r="F969" s="47" t="s">
        <v>32</v>
      </c>
      <c r="G969" s="21" t="s">
        <v>3526</v>
      </c>
      <c r="H969" s="7" t="s">
        <v>3527</v>
      </c>
      <c r="I969" s="8" t="s">
        <v>3554</v>
      </c>
      <c r="J969" s="9">
        <v>6020000</v>
      </c>
      <c r="K969" s="8"/>
      <c r="L969" s="42">
        <f t="shared" si="331"/>
        <v>9030000</v>
      </c>
      <c r="M969" s="8"/>
      <c r="N969" s="42">
        <f t="shared" si="334"/>
        <v>9030000</v>
      </c>
      <c r="O969" s="42"/>
      <c r="P969" s="42">
        <f t="shared" si="335"/>
        <v>9030000</v>
      </c>
      <c r="Q969" s="42">
        <f t="shared" si="320"/>
        <v>9030000</v>
      </c>
      <c r="R969" s="5"/>
    </row>
    <row r="970" spans="1:18" ht="13.5" x14ac:dyDescent="0.2">
      <c r="A970" s="47" t="s">
        <v>2096</v>
      </c>
      <c r="B970" s="47" t="s">
        <v>3333</v>
      </c>
      <c r="C970" s="21" t="s">
        <v>3442</v>
      </c>
      <c r="D970" s="47" t="s">
        <v>3466</v>
      </c>
      <c r="E970" s="21" t="s">
        <v>41</v>
      </c>
      <c r="F970" s="47" t="s">
        <v>32</v>
      </c>
      <c r="G970" s="21" t="s">
        <v>3526</v>
      </c>
      <c r="H970" s="7" t="s">
        <v>3527</v>
      </c>
      <c r="I970" s="8" t="s">
        <v>3546</v>
      </c>
      <c r="J970" s="9">
        <v>11210000</v>
      </c>
      <c r="K970" s="8"/>
      <c r="L970" s="42">
        <f t="shared" si="331"/>
        <v>16815000</v>
      </c>
      <c r="M970" s="8"/>
      <c r="N970" s="42">
        <f t="shared" si="334"/>
        <v>16815000</v>
      </c>
      <c r="O970" s="42"/>
      <c r="P970" s="42">
        <f t="shared" si="335"/>
        <v>16815000</v>
      </c>
      <c r="Q970" s="42">
        <f t="shared" si="320"/>
        <v>16815000</v>
      </c>
      <c r="R970" s="5"/>
    </row>
    <row r="971" spans="1:18" ht="13.5" x14ac:dyDescent="0.2">
      <c r="A971" s="47" t="s">
        <v>2096</v>
      </c>
      <c r="B971" s="47" t="s">
        <v>3333</v>
      </c>
      <c r="C971" s="21" t="s">
        <v>3442</v>
      </c>
      <c r="D971" s="47" t="s">
        <v>3466</v>
      </c>
      <c r="E971" s="21" t="s">
        <v>41</v>
      </c>
      <c r="F971" s="47" t="s">
        <v>32</v>
      </c>
      <c r="G971" s="21" t="s">
        <v>3526</v>
      </c>
      <c r="H971" s="7" t="s">
        <v>3527</v>
      </c>
      <c r="I971" s="8" t="s">
        <v>625</v>
      </c>
      <c r="J971" s="9">
        <v>10410000</v>
      </c>
      <c r="K971" s="8"/>
      <c r="L971" s="42">
        <f t="shared" si="331"/>
        <v>15615000</v>
      </c>
      <c r="M971" s="8"/>
      <c r="N971" s="42">
        <f t="shared" si="334"/>
        <v>15615000</v>
      </c>
      <c r="O971" s="42">
        <f t="shared" ref="O971:O973" si="336">N971*1.5</f>
        <v>23422500</v>
      </c>
      <c r="P971" s="42"/>
      <c r="Q971" s="42">
        <f t="shared" si="320"/>
        <v>23422500</v>
      </c>
    </row>
    <row r="972" spans="1:18" ht="13.5" x14ac:dyDescent="0.2">
      <c r="A972" s="47" t="s">
        <v>2096</v>
      </c>
      <c r="B972" s="47" t="s">
        <v>3333</v>
      </c>
      <c r="C972" s="21" t="s">
        <v>3442</v>
      </c>
      <c r="D972" s="47" t="s">
        <v>3466</v>
      </c>
      <c r="E972" s="21" t="s">
        <v>41</v>
      </c>
      <c r="F972" s="47" t="s">
        <v>32</v>
      </c>
      <c r="G972" s="21" t="s">
        <v>3564</v>
      </c>
      <c r="H972" s="7" t="s">
        <v>3565</v>
      </c>
      <c r="I972" s="8" t="s">
        <v>733</v>
      </c>
      <c r="J972" s="9">
        <v>2136000</v>
      </c>
      <c r="K972" s="8"/>
      <c r="L972" s="42">
        <f t="shared" si="331"/>
        <v>3204000</v>
      </c>
      <c r="M972" s="8"/>
      <c r="N972" s="42">
        <f t="shared" si="334"/>
        <v>3204000</v>
      </c>
      <c r="O972" s="42">
        <f t="shared" si="336"/>
        <v>4806000</v>
      </c>
      <c r="P972" s="42"/>
      <c r="Q972" s="42">
        <f t="shared" si="320"/>
        <v>4806000</v>
      </c>
    </row>
    <row r="973" spans="1:18" ht="13.5" x14ac:dyDescent="0.2">
      <c r="A973" s="47" t="s">
        <v>2096</v>
      </c>
      <c r="B973" s="47" t="s">
        <v>3333</v>
      </c>
      <c r="C973" s="21" t="s">
        <v>3442</v>
      </c>
      <c r="D973" s="47" t="s">
        <v>3466</v>
      </c>
      <c r="E973" s="21" t="s">
        <v>41</v>
      </c>
      <c r="F973" s="47" t="s">
        <v>32</v>
      </c>
      <c r="G973" s="21" t="s">
        <v>3577</v>
      </c>
      <c r="H973" s="7" t="s">
        <v>3578</v>
      </c>
      <c r="I973" s="8" t="s">
        <v>604</v>
      </c>
      <c r="J973" s="9">
        <v>4164400</v>
      </c>
      <c r="K973" s="8"/>
      <c r="L973" s="42">
        <f t="shared" si="331"/>
        <v>6246600</v>
      </c>
      <c r="M973" s="8"/>
      <c r="N973" s="42">
        <f t="shared" si="334"/>
        <v>6246600</v>
      </c>
      <c r="O973" s="42">
        <f t="shared" si="336"/>
        <v>9369900</v>
      </c>
      <c r="P973" s="42"/>
      <c r="Q973" s="42">
        <f t="shared" si="320"/>
        <v>9369900</v>
      </c>
    </row>
    <row r="974" spans="1:18" ht="13.5" x14ac:dyDescent="0.2">
      <c r="A974" s="47" t="s">
        <v>2096</v>
      </c>
      <c r="B974" s="47" t="s">
        <v>3333</v>
      </c>
      <c r="C974" s="21" t="s">
        <v>3442</v>
      </c>
      <c r="D974" s="47" t="s">
        <v>3466</v>
      </c>
      <c r="E974" s="21" t="s">
        <v>41</v>
      </c>
      <c r="F974" s="47" t="s">
        <v>32</v>
      </c>
      <c r="G974" s="21" t="s">
        <v>3577</v>
      </c>
      <c r="H974" s="7" t="s">
        <v>3578</v>
      </c>
      <c r="I974" s="8" t="s">
        <v>3591</v>
      </c>
      <c r="J974" s="9">
        <v>3329800</v>
      </c>
      <c r="K974" s="8"/>
      <c r="L974" s="42">
        <f t="shared" si="331"/>
        <v>4994700</v>
      </c>
      <c r="M974" s="8"/>
      <c r="N974" s="42">
        <f t="shared" si="334"/>
        <v>4994700</v>
      </c>
      <c r="O974" s="42"/>
      <c r="P974" s="42">
        <f>N974</f>
        <v>4994700</v>
      </c>
      <c r="Q974" s="42">
        <f t="shared" si="320"/>
        <v>4994700</v>
      </c>
      <c r="R974" s="5"/>
    </row>
    <row r="975" spans="1:18" ht="13.5" x14ac:dyDescent="0.2">
      <c r="A975" s="47" t="s">
        <v>2096</v>
      </c>
      <c r="B975" s="47" t="s">
        <v>3333</v>
      </c>
      <c r="C975" s="21" t="s">
        <v>3442</v>
      </c>
      <c r="D975" s="47" t="s">
        <v>3466</v>
      </c>
      <c r="E975" s="21" t="s">
        <v>41</v>
      </c>
      <c r="F975" s="47" t="s">
        <v>32</v>
      </c>
      <c r="G975" s="21" t="s">
        <v>3577</v>
      </c>
      <c r="H975" s="7" t="s">
        <v>3578</v>
      </c>
      <c r="I975" s="8" t="s">
        <v>3606</v>
      </c>
      <c r="J975" s="9">
        <v>3210600</v>
      </c>
      <c r="K975" s="8"/>
      <c r="L975" s="42">
        <f t="shared" si="331"/>
        <v>4815900</v>
      </c>
      <c r="M975" s="8"/>
      <c r="N975" s="42">
        <f t="shared" si="334"/>
        <v>4815900</v>
      </c>
      <c r="O975" s="42">
        <f t="shared" ref="O975:O976" si="337">N975*1.5</f>
        <v>7223850</v>
      </c>
      <c r="P975" s="42"/>
      <c r="Q975" s="42">
        <f t="shared" si="320"/>
        <v>7223850</v>
      </c>
    </row>
    <row r="976" spans="1:18" ht="13.5" x14ac:dyDescent="0.2">
      <c r="A976" s="47" t="s">
        <v>2096</v>
      </c>
      <c r="B976" s="47" t="s">
        <v>3333</v>
      </c>
      <c r="C976" s="21" t="s">
        <v>3442</v>
      </c>
      <c r="D976" s="47" t="s">
        <v>3466</v>
      </c>
      <c r="E976" s="21" t="s">
        <v>41</v>
      </c>
      <c r="F976" s="47" t="s">
        <v>32</v>
      </c>
      <c r="G976" s="21" t="s">
        <v>3577</v>
      </c>
      <c r="H976" s="7" t="s">
        <v>3578</v>
      </c>
      <c r="I976" s="8" t="s">
        <v>1684</v>
      </c>
      <c r="J976" s="9">
        <v>2038000</v>
      </c>
      <c r="K976" s="8"/>
      <c r="L976" s="42">
        <f t="shared" si="331"/>
        <v>3057000</v>
      </c>
      <c r="M976" s="8"/>
      <c r="N976" s="42">
        <f t="shared" si="334"/>
        <v>3057000</v>
      </c>
      <c r="O976" s="42">
        <f t="shared" si="337"/>
        <v>4585500</v>
      </c>
      <c r="P976" s="42"/>
      <c r="Q976" s="42">
        <f t="shared" si="320"/>
        <v>4585500</v>
      </c>
    </row>
    <row r="977" spans="1:18" ht="13.5" x14ac:dyDescent="0.2">
      <c r="A977" s="47" t="s">
        <v>2096</v>
      </c>
      <c r="B977" s="47" t="s">
        <v>3333</v>
      </c>
      <c r="C977" s="21" t="s">
        <v>3442</v>
      </c>
      <c r="D977" s="47" t="s">
        <v>3466</v>
      </c>
      <c r="E977" s="21" t="s">
        <v>41</v>
      </c>
      <c r="F977" s="47" t="s">
        <v>32</v>
      </c>
      <c r="G977" s="21" t="s">
        <v>3577</v>
      </c>
      <c r="H977" s="7" t="s">
        <v>3578</v>
      </c>
      <c r="I977" s="8" t="s">
        <v>3596</v>
      </c>
      <c r="J977" s="9">
        <v>3858000</v>
      </c>
      <c r="K977" s="8"/>
      <c r="L977" s="42">
        <f t="shared" si="331"/>
        <v>5787000</v>
      </c>
      <c r="M977" s="8"/>
      <c r="N977" s="42">
        <f t="shared" si="334"/>
        <v>5787000</v>
      </c>
      <c r="O977" s="42"/>
      <c r="P977" s="42">
        <f t="shared" ref="P977:P979" si="338">N977</f>
        <v>5787000</v>
      </c>
      <c r="Q977" s="42">
        <f t="shared" si="320"/>
        <v>5787000</v>
      </c>
      <c r="R977" s="5"/>
    </row>
    <row r="978" spans="1:18" ht="13.5" x14ac:dyDescent="0.2">
      <c r="A978" s="47" t="s">
        <v>2096</v>
      </c>
      <c r="B978" s="47" t="s">
        <v>3333</v>
      </c>
      <c r="C978" s="21" t="s">
        <v>3442</v>
      </c>
      <c r="D978" s="47" t="s">
        <v>3466</v>
      </c>
      <c r="E978" s="21" t="s">
        <v>41</v>
      </c>
      <c r="F978" s="47" t="s">
        <v>32</v>
      </c>
      <c r="G978" s="21" t="s">
        <v>3577</v>
      </c>
      <c r="H978" s="7" t="s">
        <v>3578</v>
      </c>
      <c r="I978" s="8" t="s">
        <v>3622</v>
      </c>
      <c r="J978" s="9">
        <v>4572000</v>
      </c>
      <c r="K978" s="8"/>
      <c r="L978" s="42">
        <f t="shared" si="331"/>
        <v>6858000</v>
      </c>
      <c r="M978" s="8"/>
      <c r="N978" s="42">
        <f t="shared" si="334"/>
        <v>6858000</v>
      </c>
      <c r="O978" s="42"/>
      <c r="P978" s="42">
        <f t="shared" si="338"/>
        <v>6858000</v>
      </c>
      <c r="Q978" s="42">
        <f t="shared" si="320"/>
        <v>6858000</v>
      </c>
      <c r="R978" s="5"/>
    </row>
    <row r="979" spans="1:18" ht="13.5" x14ac:dyDescent="0.2">
      <c r="A979" s="47" t="s">
        <v>2096</v>
      </c>
      <c r="B979" s="47" t="s">
        <v>3333</v>
      </c>
      <c r="C979" s="21" t="s">
        <v>3442</v>
      </c>
      <c r="D979" s="47" t="s">
        <v>3466</v>
      </c>
      <c r="E979" s="21" t="s">
        <v>41</v>
      </c>
      <c r="F979" s="47" t="s">
        <v>32</v>
      </c>
      <c r="G979" s="21" t="s">
        <v>3577</v>
      </c>
      <c r="H979" s="7" t="s">
        <v>3578</v>
      </c>
      <c r="I979" s="8" t="s">
        <v>3582</v>
      </c>
      <c r="J979" s="9">
        <v>11886400</v>
      </c>
      <c r="K979" s="8"/>
      <c r="L979" s="42">
        <f t="shared" si="331"/>
        <v>17829600</v>
      </c>
      <c r="M979" s="8"/>
      <c r="N979" s="42">
        <f t="shared" si="334"/>
        <v>17829600</v>
      </c>
      <c r="O979" s="42"/>
      <c r="P979" s="42">
        <f t="shared" si="338"/>
        <v>17829600</v>
      </c>
      <c r="Q979" s="42">
        <f t="shared" si="320"/>
        <v>17829600</v>
      </c>
      <c r="R979" s="5"/>
    </row>
    <row r="980" spans="1:18" ht="13.5" x14ac:dyDescent="0.2">
      <c r="A980" s="47" t="s">
        <v>2096</v>
      </c>
      <c r="B980" s="47" t="s">
        <v>3333</v>
      </c>
      <c r="C980" s="21" t="s">
        <v>3442</v>
      </c>
      <c r="D980" s="47" t="s">
        <v>3466</v>
      </c>
      <c r="E980" s="21" t="s">
        <v>41</v>
      </c>
      <c r="F980" s="47" t="s">
        <v>32</v>
      </c>
      <c r="G980" s="21" t="s">
        <v>3577</v>
      </c>
      <c r="H980" s="7" t="s">
        <v>3578</v>
      </c>
      <c r="I980" s="8" t="s">
        <v>3614</v>
      </c>
      <c r="J980" s="9">
        <v>17616000</v>
      </c>
      <c r="K980" s="8"/>
      <c r="L980" s="42">
        <f t="shared" si="331"/>
        <v>26424000</v>
      </c>
      <c r="M980" s="8"/>
      <c r="N980" s="42">
        <f t="shared" si="334"/>
        <v>26424000</v>
      </c>
      <c r="O980" s="42">
        <f>N980*1.5</f>
        <v>39636000</v>
      </c>
      <c r="P980" s="42"/>
      <c r="Q980" s="42">
        <f t="shared" si="320"/>
        <v>39636000</v>
      </c>
    </row>
    <row r="981" spans="1:18" ht="13.5" hidden="1" x14ac:dyDescent="0.2">
      <c r="A981" s="12" t="s">
        <v>2096</v>
      </c>
      <c r="B981" s="12" t="s">
        <v>3333</v>
      </c>
      <c r="C981" s="13" t="s">
        <v>3442</v>
      </c>
      <c r="D981" s="12" t="s">
        <v>3466</v>
      </c>
      <c r="E981" s="13" t="s">
        <v>41</v>
      </c>
      <c r="F981" s="12" t="s">
        <v>181</v>
      </c>
      <c r="G981" s="13" t="s">
        <v>3577</v>
      </c>
      <c r="H981" s="12" t="s">
        <v>3578</v>
      </c>
      <c r="I981" s="13" t="s">
        <v>3624</v>
      </c>
      <c r="J981" s="14" t="s">
        <v>3946</v>
      </c>
      <c r="K981" s="18"/>
      <c r="L981" s="20"/>
      <c r="M981" s="18"/>
      <c r="N981" s="20" t="str">
        <f>J981</f>
        <v>-</v>
      </c>
      <c r="O981"/>
      <c r="P981"/>
    </row>
    <row r="982" spans="1:18" ht="13.5" x14ac:dyDescent="0.2">
      <c r="A982" s="47" t="s">
        <v>2096</v>
      </c>
      <c r="B982" s="47" t="s">
        <v>3333</v>
      </c>
      <c r="C982" s="21" t="s">
        <v>3442</v>
      </c>
      <c r="D982" s="47" t="s">
        <v>3466</v>
      </c>
      <c r="E982" s="21" t="s">
        <v>57</v>
      </c>
      <c r="F982" s="47" t="s">
        <v>32</v>
      </c>
      <c r="G982" s="21" t="s">
        <v>3467</v>
      </c>
      <c r="H982" s="7" t="s">
        <v>3468</v>
      </c>
      <c r="I982" s="8" t="s">
        <v>3492</v>
      </c>
      <c r="J982" s="9">
        <v>12254400</v>
      </c>
      <c r="K982" s="8"/>
      <c r="L982" s="42">
        <f t="shared" si="331"/>
        <v>18381600</v>
      </c>
      <c r="M982" s="8"/>
      <c r="N982" s="42">
        <f t="shared" si="334"/>
        <v>18381600</v>
      </c>
      <c r="O982" s="42"/>
      <c r="P982" s="42">
        <f t="shared" ref="P982:P986" si="339">N982</f>
        <v>18381600</v>
      </c>
      <c r="Q982" s="42">
        <f t="shared" ref="Q982:Q989" si="340">SUM(O982:P982)</f>
        <v>18381600</v>
      </c>
      <c r="R982" s="5"/>
    </row>
    <row r="983" spans="1:18" ht="13.5" x14ac:dyDescent="0.2">
      <c r="A983" s="47" t="s">
        <v>2096</v>
      </c>
      <c r="B983" s="47" t="s">
        <v>3333</v>
      </c>
      <c r="C983" s="21" t="s">
        <v>3442</v>
      </c>
      <c r="D983" s="47" t="s">
        <v>3466</v>
      </c>
      <c r="E983" s="21" t="s">
        <v>57</v>
      </c>
      <c r="F983" s="47" t="s">
        <v>32</v>
      </c>
      <c r="G983" s="21" t="s">
        <v>3467</v>
      </c>
      <c r="H983" s="7" t="s">
        <v>3468</v>
      </c>
      <c r="I983" s="8" t="s">
        <v>3471</v>
      </c>
      <c r="J983" s="9">
        <v>4699800</v>
      </c>
      <c r="K983" s="8"/>
      <c r="L983" s="42">
        <f t="shared" si="331"/>
        <v>7049700</v>
      </c>
      <c r="M983" s="8"/>
      <c r="N983" s="42">
        <f t="shared" si="334"/>
        <v>7049700</v>
      </c>
      <c r="O983" s="42"/>
      <c r="P983" s="42">
        <f t="shared" si="339"/>
        <v>7049700</v>
      </c>
      <c r="Q983" s="42">
        <f t="shared" si="340"/>
        <v>7049700</v>
      </c>
      <c r="R983" s="5"/>
    </row>
    <row r="984" spans="1:18" ht="13.5" x14ac:dyDescent="0.2">
      <c r="A984" s="47" t="s">
        <v>2096</v>
      </c>
      <c r="B984" s="47" t="s">
        <v>3333</v>
      </c>
      <c r="C984" s="21" t="s">
        <v>3442</v>
      </c>
      <c r="D984" s="47" t="s">
        <v>3466</v>
      </c>
      <c r="E984" s="21" t="s">
        <v>57</v>
      </c>
      <c r="F984" s="47" t="s">
        <v>32</v>
      </c>
      <c r="G984" s="21" t="s">
        <v>3564</v>
      </c>
      <c r="H984" s="7" t="s">
        <v>3565</v>
      </c>
      <c r="I984" s="8" t="s">
        <v>3572</v>
      </c>
      <c r="J984" s="9">
        <v>11773000</v>
      </c>
      <c r="K984" s="8"/>
      <c r="L984" s="42">
        <f t="shared" si="331"/>
        <v>17659500</v>
      </c>
      <c r="M984" s="8"/>
      <c r="N984" s="42">
        <f t="shared" si="334"/>
        <v>17659500</v>
      </c>
      <c r="O984" s="42"/>
      <c r="P984" s="42">
        <f t="shared" si="339"/>
        <v>17659500</v>
      </c>
      <c r="Q984" s="42">
        <f t="shared" si="340"/>
        <v>17659500</v>
      </c>
      <c r="R984" s="5"/>
    </row>
    <row r="985" spans="1:18" ht="13.5" x14ac:dyDescent="0.2">
      <c r="A985" s="47" t="s">
        <v>2096</v>
      </c>
      <c r="B985" s="47" t="s">
        <v>3333</v>
      </c>
      <c r="C985" s="21" t="s">
        <v>3442</v>
      </c>
      <c r="D985" s="47" t="s">
        <v>3626</v>
      </c>
      <c r="E985" s="21" t="s">
        <v>211</v>
      </c>
      <c r="F985" s="47" t="s">
        <v>212</v>
      </c>
      <c r="G985" s="21" t="s">
        <v>3688</v>
      </c>
      <c r="H985" s="7" t="s">
        <v>3689</v>
      </c>
      <c r="I985" s="8" t="s">
        <v>3718</v>
      </c>
      <c r="J985" s="9">
        <v>776000</v>
      </c>
      <c r="K985" s="8"/>
      <c r="L985" s="8"/>
      <c r="M985" s="8"/>
      <c r="N985" s="42">
        <f t="shared" ref="N985:N1005" si="341">J985</f>
        <v>776000</v>
      </c>
      <c r="O985" s="42"/>
      <c r="P985" s="42">
        <f t="shared" si="339"/>
        <v>776000</v>
      </c>
      <c r="Q985" s="42">
        <f t="shared" si="340"/>
        <v>776000</v>
      </c>
      <c r="R985" s="5"/>
    </row>
    <row r="986" spans="1:18" ht="13.5" x14ac:dyDescent="0.2">
      <c r="A986" s="47" t="s">
        <v>2096</v>
      </c>
      <c r="B986" s="47" t="s">
        <v>3333</v>
      </c>
      <c r="C986" s="21" t="s">
        <v>3442</v>
      </c>
      <c r="D986" s="47" t="s">
        <v>3626</v>
      </c>
      <c r="E986" s="21" t="s">
        <v>211</v>
      </c>
      <c r="F986" s="47" t="s">
        <v>212</v>
      </c>
      <c r="G986" s="21" t="s">
        <v>3688</v>
      </c>
      <c r="H986" s="7" t="s">
        <v>3689</v>
      </c>
      <c r="I986" s="8" t="s">
        <v>3726</v>
      </c>
      <c r="J986" s="9">
        <v>7199600</v>
      </c>
      <c r="K986" s="8"/>
      <c r="L986" s="8"/>
      <c r="M986" s="8"/>
      <c r="N986" s="42">
        <f t="shared" si="341"/>
        <v>7199600</v>
      </c>
      <c r="O986" s="42"/>
      <c r="P986" s="42">
        <f t="shared" si="339"/>
        <v>7199600</v>
      </c>
      <c r="Q986" s="42">
        <f t="shared" si="340"/>
        <v>7199600</v>
      </c>
      <c r="R986" s="5"/>
    </row>
    <row r="987" spans="1:18" ht="13.5" x14ac:dyDescent="0.2">
      <c r="A987" s="47" t="s">
        <v>2096</v>
      </c>
      <c r="B987" s="47" t="s">
        <v>3333</v>
      </c>
      <c r="C987" s="21" t="s">
        <v>3442</v>
      </c>
      <c r="D987" s="47" t="s">
        <v>3626</v>
      </c>
      <c r="E987" s="21" t="s">
        <v>211</v>
      </c>
      <c r="F987" s="47" t="s">
        <v>212</v>
      </c>
      <c r="G987" s="21" t="s">
        <v>3688</v>
      </c>
      <c r="H987" s="7" t="s">
        <v>3689</v>
      </c>
      <c r="I987" s="8" t="s">
        <v>3702</v>
      </c>
      <c r="J987" s="9">
        <v>10259400</v>
      </c>
      <c r="K987" s="8"/>
      <c r="L987" s="8"/>
      <c r="M987" s="8"/>
      <c r="N987" s="42">
        <f t="shared" si="341"/>
        <v>10259400</v>
      </c>
      <c r="O987" s="42">
        <f>N987*1.5</f>
        <v>15389100</v>
      </c>
      <c r="P987" s="42"/>
      <c r="Q987" s="42">
        <f t="shared" si="340"/>
        <v>15389100</v>
      </c>
    </row>
    <row r="988" spans="1:18" ht="13.5" x14ac:dyDescent="0.2">
      <c r="A988" s="47" t="s">
        <v>2096</v>
      </c>
      <c r="B988" s="47" t="s">
        <v>3333</v>
      </c>
      <c r="C988" s="21" t="s">
        <v>3442</v>
      </c>
      <c r="D988" s="47" t="s">
        <v>3626</v>
      </c>
      <c r="E988" s="21" t="s">
        <v>128</v>
      </c>
      <c r="F988" s="47" t="s">
        <v>135</v>
      </c>
      <c r="G988" s="21" t="s">
        <v>3688</v>
      </c>
      <c r="H988" s="7" t="s">
        <v>3689</v>
      </c>
      <c r="I988" s="8" t="s">
        <v>3704</v>
      </c>
      <c r="J988" s="9">
        <v>1546000</v>
      </c>
      <c r="K988" s="8"/>
      <c r="L988" s="8"/>
      <c r="M988" s="8"/>
      <c r="N988" s="42">
        <f t="shared" si="341"/>
        <v>1546000</v>
      </c>
      <c r="O988" s="42"/>
      <c r="P988" s="42">
        <f t="shared" ref="P988:P989" si="342">N988</f>
        <v>1546000</v>
      </c>
      <c r="Q988" s="42">
        <f t="shared" si="340"/>
        <v>1546000</v>
      </c>
      <c r="R988" s="5"/>
    </row>
    <row r="989" spans="1:18" ht="13.5" x14ac:dyDescent="0.2">
      <c r="A989" s="47" t="s">
        <v>2096</v>
      </c>
      <c r="B989" s="47" t="s">
        <v>3333</v>
      </c>
      <c r="C989" s="21" t="s">
        <v>3442</v>
      </c>
      <c r="D989" s="47" t="s">
        <v>3626</v>
      </c>
      <c r="E989" s="21" t="s">
        <v>128</v>
      </c>
      <c r="F989" s="47" t="s">
        <v>32</v>
      </c>
      <c r="G989" s="21" t="s">
        <v>3627</v>
      </c>
      <c r="H989" s="7" t="s">
        <v>3628</v>
      </c>
      <c r="I989" s="8" t="s">
        <v>3665</v>
      </c>
      <c r="J989" s="9">
        <v>948000</v>
      </c>
      <c r="K989" s="8"/>
      <c r="L989" s="8"/>
      <c r="M989" s="8"/>
      <c r="N989" s="42">
        <f t="shared" si="341"/>
        <v>948000</v>
      </c>
      <c r="O989" s="42"/>
      <c r="P989" s="42">
        <f t="shared" si="342"/>
        <v>948000</v>
      </c>
      <c r="Q989" s="42">
        <f t="shared" si="340"/>
        <v>948000</v>
      </c>
      <c r="R989" s="5"/>
    </row>
    <row r="990" spans="1:18" ht="13.5" hidden="1" x14ac:dyDescent="0.2">
      <c r="A990" s="12" t="s">
        <v>2096</v>
      </c>
      <c r="B990" s="12" t="s">
        <v>3333</v>
      </c>
      <c r="C990" s="13" t="s">
        <v>3442</v>
      </c>
      <c r="D990" s="12" t="s">
        <v>3626</v>
      </c>
      <c r="E990" s="13" t="s">
        <v>128</v>
      </c>
      <c r="F990" s="12" t="s">
        <v>181</v>
      </c>
      <c r="G990" s="13" t="s">
        <v>3627</v>
      </c>
      <c r="H990" s="12" t="s">
        <v>3628</v>
      </c>
      <c r="I990" s="13" t="s">
        <v>3682</v>
      </c>
      <c r="J990" s="14" t="s">
        <v>3946</v>
      </c>
      <c r="K990" s="18"/>
      <c r="L990" s="18"/>
      <c r="M990" s="18"/>
      <c r="N990" s="20" t="str">
        <f t="shared" si="341"/>
        <v>-</v>
      </c>
      <c r="O990"/>
      <c r="P990"/>
    </row>
    <row r="991" spans="1:18" ht="13.5" hidden="1" x14ac:dyDescent="0.2">
      <c r="A991" s="7" t="s">
        <v>2096</v>
      </c>
      <c r="B991" s="7" t="s">
        <v>3333</v>
      </c>
      <c r="C991" s="8" t="s">
        <v>3442</v>
      </c>
      <c r="D991" s="7" t="s">
        <v>3626</v>
      </c>
      <c r="E991" s="8" t="s">
        <v>128</v>
      </c>
      <c r="F991" s="7" t="s">
        <v>181</v>
      </c>
      <c r="G991" s="8" t="s">
        <v>3731</v>
      </c>
      <c r="H991" s="7" t="s">
        <v>3732</v>
      </c>
      <c r="I991" s="8" t="s">
        <v>3733</v>
      </c>
      <c r="J991" s="9" t="s">
        <v>3946</v>
      </c>
      <c r="K991" s="15"/>
      <c r="L991" s="15"/>
      <c r="M991" s="15"/>
      <c r="N991" s="16" t="str">
        <f t="shared" si="341"/>
        <v>-</v>
      </c>
      <c r="O991"/>
      <c r="P991"/>
    </row>
    <row r="992" spans="1:18" ht="13.5" x14ac:dyDescent="0.2">
      <c r="A992" s="47" t="s">
        <v>2096</v>
      </c>
      <c r="B992" s="47" t="s">
        <v>3333</v>
      </c>
      <c r="C992" s="21" t="s">
        <v>3442</v>
      </c>
      <c r="D992" s="47" t="s">
        <v>3626</v>
      </c>
      <c r="E992" s="21" t="s">
        <v>31</v>
      </c>
      <c r="F992" s="47" t="s">
        <v>32</v>
      </c>
      <c r="G992" s="21" t="s">
        <v>3627</v>
      </c>
      <c r="H992" s="7" t="s">
        <v>3628</v>
      </c>
      <c r="I992" s="8" t="s">
        <v>3630</v>
      </c>
      <c r="J992" s="9">
        <v>5490000</v>
      </c>
      <c r="K992" s="8"/>
      <c r="L992" s="8"/>
      <c r="M992" s="8"/>
      <c r="N992" s="42">
        <f t="shared" si="341"/>
        <v>5490000</v>
      </c>
      <c r="O992" s="42"/>
      <c r="P992" s="42">
        <f>N992</f>
        <v>5490000</v>
      </c>
      <c r="Q992" s="42">
        <f t="shared" ref="Q992:Q1015" si="343">SUM(O992:P992)</f>
        <v>5490000</v>
      </c>
      <c r="R992" s="5"/>
    </row>
    <row r="993" spans="1:18" ht="13.5" x14ac:dyDescent="0.2">
      <c r="A993" s="47" t="s">
        <v>2096</v>
      </c>
      <c r="B993" s="47" t="s">
        <v>3333</v>
      </c>
      <c r="C993" s="21" t="s">
        <v>3442</v>
      </c>
      <c r="D993" s="47" t="s">
        <v>3626</v>
      </c>
      <c r="E993" s="21" t="s">
        <v>31</v>
      </c>
      <c r="F993" s="47" t="s">
        <v>32</v>
      </c>
      <c r="G993" s="21" t="s">
        <v>3627</v>
      </c>
      <c r="H993" s="7" t="s">
        <v>3628</v>
      </c>
      <c r="I993" s="8" t="s">
        <v>3680</v>
      </c>
      <c r="J993" s="9">
        <v>1677000</v>
      </c>
      <c r="K993" s="8"/>
      <c r="L993" s="8"/>
      <c r="M993" s="8"/>
      <c r="N993" s="42">
        <f t="shared" si="341"/>
        <v>1677000</v>
      </c>
      <c r="O993" s="42">
        <f t="shared" ref="O993:O994" si="344">N993*1.5</f>
        <v>2515500</v>
      </c>
      <c r="P993" s="42"/>
      <c r="Q993" s="42">
        <f t="shared" si="343"/>
        <v>2515500</v>
      </c>
    </row>
    <row r="994" spans="1:18" ht="13.5" x14ac:dyDescent="0.2">
      <c r="A994" s="47" t="s">
        <v>2096</v>
      </c>
      <c r="B994" s="47" t="s">
        <v>3333</v>
      </c>
      <c r="C994" s="21" t="s">
        <v>3442</v>
      </c>
      <c r="D994" s="47" t="s">
        <v>3626</v>
      </c>
      <c r="E994" s="21" t="s">
        <v>31</v>
      </c>
      <c r="F994" s="47" t="s">
        <v>32</v>
      </c>
      <c r="G994" s="21" t="s">
        <v>3627</v>
      </c>
      <c r="H994" s="7" t="s">
        <v>3628</v>
      </c>
      <c r="I994" s="8" t="s">
        <v>3643</v>
      </c>
      <c r="J994" s="9">
        <v>1250700</v>
      </c>
      <c r="K994" s="8"/>
      <c r="L994" s="8"/>
      <c r="M994" s="8"/>
      <c r="N994" s="42">
        <f t="shared" si="341"/>
        <v>1250700</v>
      </c>
      <c r="O994" s="42">
        <f t="shared" si="344"/>
        <v>1876050</v>
      </c>
      <c r="P994" s="42"/>
      <c r="Q994" s="42">
        <f t="shared" si="343"/>
        <v>1876050</v>
      </c>
    </row>
    <row r="995" spans="1:18" ht="13.5" x14ac:dyDescent="0.2">
      <c r="A995" s="47" t="s">
        <v>2096</v>
      </c>
      <c r="B995" s="47" t="s">
        <v>3333</v>
      </c>
      <c r="C995" s="21" t="s">
        <v>3442</v>
      </c>
      <c r="D995" s="47" t="s">
        <v>3626</v>
      </c>
      <c r="E995" s="21" t="s">
        <v>31</v>
      </c>
      <c r="F995" s="47" t="s">
        <v>32</v>
      </c>
      <c r="G995" s="21" t="s">
        <v>3627</v>
      </c>
      <c r="H995" s="7" t="s">
        <v>3628</v>
      </c>
      <c r="I995" s="8" t="s">
        <v>163</v>
      </c>
      <c r="J995" s="9">
        <v>2971600</v>
      </c>
      <c r="K995" s="8"/>
      <c r="L995" s="8"/>
      <c r="M995" s="8"/>
      <c r="N995" s="42">
        <f t="shared" si="341"/>
        <v>2971600</v>
      </c>
      <c r="O995" s="42"/>
      <c r="P995" s="42">
        <f>N995</f>
        <v>2971600</v>
      </c>
      <c r="Q995" s="42">
        <f t="shared" si="343"/>
        <v>2971600</v>
      </c>
      <c r="R995" s="5"/>
    </row>
    <row r="996" spans="1:18" ht="13.5" x14ac:dyDescent="0.2">
      <c r="A996" s="47" t="s">
        <v>2096</v>
      </c>
      <c r="B996" s="47" t="s">
        <v>3333</v>
      </c>
      <c r="C996" s="21" t="s">
        <v>3442</v>
      </c>
      <c r="D996" s="47" t="s">
        <v>3626</v>
      </c>
      <c r="E996" s="21" t="s">
        <v>31</v>
      </c>
      <c r="F996" s="47" t="s">
        <v>32</v>
      </c>
      <c r="G996" s="21" t="s">
        <v>3627</v>
      </c>
      <c r="H996" s="7" t="s">
        <v>3628</v>
      </c>
      <c r="I996" s="8" t="s">
        <v>3645</v>
      </c>
      <c r="J996" s="9">
        <v>3206700</v>
      </c>
      <c r="K996" s="8"/>
      <c r="L996" s="8"/>
      <c r="M996" s="8"/>
      <c r="N996" s="42">
        <f t="shared" si="341"/>
        <v>3206700</v>
      </c>
      <c r="O996" s="42">
        <f>N996*1.5</f>
        <v>4810050</v>
      </c>
      <c r="P996" s="42"/>
      <c r="Q996" s="42">
        <f t="shared" si="343"/>
        <v>4810050</v>
      </c>
    </row>
    <row r="997" spans="1:18" ht="13.5" x14ac:dyDescent="0.2">
      <c r="A997" s="47" t="s">
        <v>2096</v>
      </c>
      <c r="B997" s="47" t="s">
        <v>3333</v>
      </c>
      <c r="C997" s="21" t="s">
        <v>3442</v>
      </c>
      <c r="D997" s="47" t="s">
        <v>3626</v>
      </c>
      <c r="E997" s="21" t="s">
        <v>31</v>
      </c>
      <c r="F997" s="47" t="s">
        <v>32</v>
      </c>
      <c r="G997" s="21" t="s">
        <v>3627</v>
      </c>
      <c r="H997" s="7" t="s">
        <v>3628</v>
      </c>
      <c r="I997" s="8" t="s">
        <v>3667</v>
      </c>
      <c r="J997" s="9">
        <v>2455800</v>
      </c>
      <c r="K997" s="8"/>
      <c r="L997" s="8"/>
      <c r="M997" s="8"/>
      <c r="N997" s="42">
        <f t="shared" si="341"/>
        <v>2455800</v>
      </c>
      <c r="O997" s="42"/>
      <c r="P997" s="42">
        <f>N997</f>
        <v>2455800</v>
      </c>
      <c r="Q997" s="42">
        <f t="shared" si="343"/>
        <v>2455800</v>
      </c>
      <c r="R997" s="5"/>
    </row>
    <row r="998" spans="1:18" ht="13.5" x14ac:dyDescent="0.2">
      <c r="A998" s="47" t="s">
        <v>2096</v>
      </c>
      <c r="B998" s="47" t="s">
        <v>3333</v>
      </c>
      <c r="C998" s="21" t="s">
        <v>3442</v>
      </c>
      <c r="D998" s="47" t="s">
        <v>3626</v>
      </c>
      <c r="E998" s="21" t="s">
        <v>31</v>
      </c>
      <c r="F998" s="47" t="s">
        <v>32</v>
      </c>
      <c r="G998" s="21" t="s">
        <v>3627</v>
      </c>
      <c r="H998" s="7" t="s">
        <v>3628</v>
      </c>
      <c r="I998" s="8" t="s">
        <v>3678</v>
      </c>
      <c r="J998" s="9">
        <v>7450400</v>
      </c>
      <c r="K998" s="8"/>
      <c r="L998" s="8"/>
      <c r="M998" s="8"/>
      <c r="N998" s="42">
        <f t="shared" si="341"/>
        <v>7450400</v>
      </c>
      <c r="O998" s="42">
        <f>N998*1.5</f>
        <v>11175600</v>
      </c>
      <c r="P998" s="42"/>
      <c r="Q998" s="42">
        <f t="shared" si="343"/>
        <v>11175600</v>
      </c>
    </row>
    <row r="999" spans="1:18" ht="13.5" x14ac:dyDescent="0.2">
      <c r="A999" s="47" t="s">
        <v>2096</v>
      </c>
      <c r="B999" s="47" t="s">
        <v>3333</v>
      </c>
      <c r="C999" s="21" t="s">
        <v>3442</v>
      </c>
      <c r="D999" s="47" t="s">
        <v>3626</v>
      </c>
      <c r="E999" s="21" t="s">
        <v>31</v>
      </c>
      <c r="F999" s="47" t="s">
        <v>32</v>
      </c>
      <c r="G999" s="21" t="s">
        <v>3688</v>
      </c>
      <c r="H999" s="7" t="s">
        <v>3689</v>
      </c>
      <c r="I999" s="8" t="s">
        <v>3714</v>
      </c>
      <c r="J999" s="9">
        <v>2338000</v>
      </c>
      <c r="K999" s="8"/>
      <c r="L999" s="8"/>
      <c r="M999" s="8"/>
      <c r="N999" s="42">
        <f t="shared" si="341"/>
        <v>2338000</v>
      </c>
      <c r="O999" s="42"/>
      <c r="P999" s="42">
        <f t="shared" ref="P999:P1001" si="345">N999</f>
        <v>2338000</v>
      </c>
      <c r="Q999" s="42">
        <f t="shared" si="343"/>
        <v>2338000</v>
      </c>
      <c r="R999" s="5"/>
    </row>
    <row r="1000" spans="1:18" ht="13.5" x14ac:dyDescent="0.2">
      <c r="A1000" s="47" t="s">
        <v>2096</v>
      </c>
      <c r="B1000" s="47" t="s">
        <v>3333</v>
      </c>
      <c r="C1000" s="21" t="s">
        <v>3442</v>
      </c>
      <c r="D1000" s="47" t="s">
        <v>3626</v>
      </c>
      <c r="E1000" s="21" t="s">
        <v>31</v>
      </c>
      <c r="F1000" s="47" t="s">
        <v>32</v>
      </c>
      <c r="G1000" s="21" t="s">
        <v>3688</v>
      </c>
      <c r="H1000" s="7" t="s">
        <v>3689</v>
      </c>
      <c r="I1000" s="8" t="s">
        <v>3728</v>
      </c>
      <c r="J1000" s="9">
        <v>5135600</v>
      </c>
      <c r="K1000" s="8"/>
      <c r="L1000" s="8"/>
      <c r="M1000" s="8"/>
      <c r="N1000" s="42">
        <f t="shared" si="341"/>
        <v>5135600</v>
      </c>
      <c r="O1000" s="42"/>
      <c r="P1000" s="42">
        <f t="shared" si="345"/>
        <v>5135600</v>
      </c>
      <c r="Q1000" s="42">
        <f t="shared" si="343"/>
        <v>5135600</v>
      </c>
      <c r="R1000" s="5"/>
    </row>
    <row r="1001" spans="1:18" ht="13.5" x14ac:dyDescent="0.2">
      <c r="A1001" s="47" t="s">
        <v>2096</v>
      </c>
      <c r="B1001" s="47" t="s">
        <v>3333</v>
      </c>
      <c r="C1001" s="21" t="s">
        <v>3442</v>
      </c>
      <c r="D1001" s="47" t="s">
        <v>3626</v>
      </c>
      <c r="E1001" s="21" t="s">
        <v>31</v>
      </c>
      <c r="F1001" s="47" t="s">
        <v>32</v>
      </c>
      <c r="G1001" s="21" t="s">
        <v>3688</v>
      </c>
      <c r="H1001" s="7" t="s">
        <v>3689</v>
      </c>
      <c r="I1001" s="8" t="s">
        <v>3697</v>
      </c>
      <c r="J1001" s="9">
        <v>7412300</v>
      </c>
      <c r="K1001" s="8"/>
      <c r="L1001" s="8"/>
      <c r="M1001" s="8"/>
      <c r="N1001" s="42">
        <f t="shared" si="341"/>
        <v>7412300</v>
      </c>
      <c r="O1001" s="42"/>
      <c r="P1001" s="42">
        <f t="shared" si="345"/>
        <v>7412300</v>
      </c>
      <c r="Q1001" s="42">
        <f t="shared" si="343"/>
        <v>7412300</v>
      </c>
      <c r="R1001" s="5"/>
    </row>
    <row r="1002" spans="1:18" ht="13.5" x14ac:dyDescent="0.2">
      <c r="A1002" s="47" t="s">
        <v>2096</v>
      </c>
      <c r="B1002" s="47" t="s">
        <v>3333</v>
      </c>
      <c r="C1002" s="21" t="s">
        <v>3442</v>
      </c>
      <c r="D1002" s="47" t="s">
        <v>3626</v>
      </c>
      <c r="E1002" s="21" t="s">
        <v>31</v>
      </c>
      <c r="F1002" s="47" t="s">
        <v>32</v>
      </c>
      <c r="G1002" s="21" t="s">
        <v>3688</v>
      </c>
      <c r="H1002" s="7" t="s">
        <v>3689</v>
      </c>
      <c r="I1002" s="8" t="s">
        <v>1249</v>
      </c>
      <c r="J1002" s="9">
        <v>839900</v>
      </c>
      <c r="K1002" s="8"/>
      <c r="L1002" s="8"/>
      <c r="M1002" s="8"/>
      <c r="N1002" s="42">
        <f t="shared" si="341"/>
        <v>839900</v>
      </c>
      <c r="O1002" s="42">
        <f>N1002*1.5</f>
        <v>1259850</v>
      </c>
      <c r="P1002" s="42"/>
      <c r="Q1002" s="42">
        <f t="shared" si="343"/>
        <v>1259850</v>
      </c>
    </row>
    <row r="1003" spans="1:18" ht="13.5" x14ac:dyDescent="0.2">
      <c r="A1003" s="47" t="s">
        <v>2096</v>
      </c>
      <c r="B1003" s="47" t="s">
        <v>3333</v>
      </c>
      <c r="C1003" s="21" t="s">
        <v>3442</v>
      </c>
      <c r="D1003" s="47" t="s">
        <v>3626</v>
      </c>
      <c r="E1003" s="21" t="s">
        <v>31</v>
      </c>
      <c r="F1003" s="47" t="s">
        <v>32</v>
      </c>
      <c r="G1003" s="21" t="s">
        <v>3688</v>
      </c>
      <c r="H1003" s="7" t="s">
        <v>3689</v>
      </c>
      <c r="I1003" s="8" t="s">
        <v>3690</v>
      </c>
      <c r="J1003" s="9">
        <v>2711600</v>
      </c>
      <c r="K1003" s="8"/>
      <c r="L1003" s="8"/>
      <c r="M1003" s="8"/>
      <c r="N1003" s="42">
        <f t="shared" si="341"/>
        <v>2711600</v>
      </c>
      <c r="O1003" s="42"/>
      <c r="P1003" s="42">
        <f t="shared" ref="P1003:P1007" si="346">N1003</f>
        <v>2711600</v>
      </c>
      <c r="Q1003" s="42">
        <f t="shared" si="343"/>
        <v>2711600</v>
      </c>
      <c r="R1003" s="5"/>
    </row>
    <row r="1004" spans="1:18" ht="13.5" x14ac:dyDescent="0.2">
      <c r="A1004" s="47" t="s">
        <v>2096</v>
      </c>
      <c r="B1004" s="47" t="s">
        <v>3333</v>
      </c>
      <c r="C1004" s="21" t="s">
        <v>3442</v>
      </c>
      <c r="D1004" s="47" t="s">
        <v>3626</v>
      </c>
      <c r="E1004" s="21" t="s">
        <v>31</v>
      </c>
      <c r="F1004" s="47" t="s">
        <v>32</v>
      </c>
      <c r="G1004" s="21" t="s">
        <v>3731</v>
      </c>
      <c r="H1004" s="7" t="s">
        <v>3732</v>
      </c>
      <c r="I1004" s="8" t="s">
        <v>3735</v>
      </c>
      <c r="J1004" s="9">
        <v>6102900</v>
      </c>
      <c r="K1004" s="8"/>
      <c r="L1004" s="8"/>
      <c r="M1004" s="8"/>
      <c r="N1004" s="42">
        <f t="shared" si="341"/>
        <v>6102900</v>
      </c>
      <c r="O1004" s="42"/>
      <c r="P1004" s="42">
        <f t="shared" si="346"/>
        <v>6102900</v>
      </c>
      <c r="Q1004" s="42">
        <f t="shared" si="343"/>
        <v>6102900</v>
      </c>
      <c r="R1004" s="5"/>
    </row>
    <row r="1005" spans="1:18" ht="13.5" x14ac:dyDescent="0.2">
      <c r="A1005" s="47" t="s">
        <v>2096</v>
      </c>
      <c r="B1005" s="47" t="s">
        <v>3333</v>
      </c>
      <c r="C1005" s="21" t="s">
        <v>3442</v>
      </c>
      <c r="D1005" s="47" t="s">
        <v>3626</v>
      </c>
      <c r="E1005" s="21" t="s">
        <v>31</v>
      </c>
      <c r="F1005" s="47" t="s">
        <v>32</v>
      </c>
      <c r="G1005" s="21" t="s">
        <v>3731</v>
      </c>
      <c r="H1005" s="7" t="s">
        <v>3732</v>
      </c>
      <c r="I1005" s="8" t="s">
        <v>3737</v>
      </c>
      <c r="J1005" s="9">
        <v>1740200</v>
      </c>
      <c r="K1005" s="8"/>
      <c r="L1005" s="8"/>
      <c r="M1005" s="8"/>
      <c r="N1005" s="42">
        <f t="shared" si="341"/>
        <v>1740200</v>
      </c>
      <c r="O1005" s="42"/>
      <c r="P1005" s="42">
        <f t="shared" si="346"/>
        <v>1740200</v>
      </c>
      <c r="Q1005" s="42">
        <f t="shared" si="343"/>
        <v>1740200</v>
      </c>
      <c r="R1005" s="5"/>
    </row>
    <row r="1006" spans="1:18" ht="13.5" x14ac:dyDescent="0.2">
      <c r="A1006" s="47" t="s">
        <v>2096</v>
      </c>
      <c r="B1006" s="47" t="s">
        <v>3333</v>
      </c>
      <c r="C1006" s="21" t="s">
        <v>3442</v>
      </c>
      <c r="D1006" s="47" t="s">
        <v>3626</v>
      </c>
      <c r="E1006" s="21" t="s">
        <v>41</v>
      </c>
      <c r="F1006" s="47" t="s">
        <v>32</v>
      </c>
      <c r="G1006" s="21" t="s">
        <v>3627</v>
      </c>
      <c r="H1006" s="7" t="s">
        <v>3628</v>
      </c>
      <c r="I1006" s="8" t="s">
        <v>3686</v>
      </c>
      <c r="J1006" s="9">
        <v>4632400</v>
      </c>
      <c r="K1006" s="8"/>
      <c r="L1006" s="42">
        <f t="shared" ref="L1006:L1015" si="347">J1006*1.5</f>
        <v>6948600</v>
      </c>
      <c r="M1006" s="8"/>
      <c r="N1006" s="42">
        <f t="shared" si="334"/>
        <v>6948600</v>
      </c>
      <c r="O1006" s="42"/>
      <c r="P1006" s="42">
        <f t="shared" si="346"/>
        <v>6948600</v>
      </c>
      <c r="Q1006" s="42">
        <f t="shared" si="343"/>
        <v>6948600</v>
      </c>
      <c r="R1006" s="5"/>
    </row>
    <row r="1007" spans="1:18" ht="13.5" x14ac:dyDescent="0.2">
      <c r="A1007" s="47" t="s">
        <v>2096</v>
      </c>
      <c r="B1007" s="47" t="s">
        <v>3333</v>
      </c>
      <c r="C1007" s="21" t="s">
        <v>3442</v>
      </c>
      <c r="D1007" s="47" t="s">
        <v>3626</v>
      </c>
      <c r="E1007" s="21" t="s">
        <v>41</v>
      </c>
      <c r="F1007" s="47" t="s">
        <v>32</v>
      </c>
      <c r="G1007" s="21" t="s">
        <v>3627</v>
      </c>
      <c r="H1007" s="7" t="s">
        <v>3628</v>
      </c>
      <c r="I1007" s="8" t="s">
        <v>3669</v>
      </c>
      <c r="J1007" s="9">
        <v>5996000</v>
      </c>
      <c r="K1007" s="8"/>
      <c r="L1007" s="42">
        <f t="shared" si="347"/>
        <v>8994000</v>
      </c>
      <c r="M1007" s="8"/>
      <c r="N1007" s="42">
        <f t="shared" si="334"/>
        <v>8994000</v>
      </c>
      <c r="O1007" s="42"/>
      <c r="P1007" s="42">
        <f t="shared" si="346"/>
        <v>8994000</v>
      </c>
      <c r="Q1007" s="42">
        <f t="shared" si="343"/>
        <v>8994000</v>
      </c>
      <c r="R1007" s="5"/>
    </row>
    <row r="1008" spans="1:18" ht="13.5" x14ac:dyDescent="0.2">
      <c r="A1008" s="47" t="s">
        <v>2096</v>
      </c>
      <c r="B1008" s="47" t="s">
        <v>3333</v>
      </c>
      <c r="C1008" s="21" t="s">
        <v>3442</v>
      </c>
      <c r="D1008" s="47" t="s">
        <v>3626</v>
      </c>
      <c r="E1008" s="21" t="s">
        <v>41</v>
      </c>
      <c r="F1008" s="47" t="s">
        <v>32</v>
      </c>
      <c r="G1008" s="21" t="s">
        <v>3627</v>
      </c>
      <c r="H1008" s="7" t="s">
        <v>3628</v>
      </c>
      <c r="I1008" s="8" t="s">
        <v>3657</v>
      </c>
      <c r="J1008" s="9">
        <v>13249000</v>
      </c>
      <c r="K1008" s="8"/>
      <c r="L1008" s="42">
        <f t="shared" si="347"/>
        <v>19873500</v>
      </c>
      <c r="M1008" s="8"/>
      <c r="N1008" s="42">
        <f t="shared" si="334"/>
        <v>19873500</v>
      </c>
      <c r="O1008" s="42">
        <f t="shared" ref="O1008:O1010" si="348">N1008*1.5</f>
        <v>29810250</v>
      </c>
      <c r="P1008" s="42"/>
      <c r="Q1008" s="42">
        <f t="shared" si="343"/>
        <v>29810250</v>
      </c>
    </row>
    <row r="1009" spans="1:18" ht="13.5" x14ac:dyDescent="0.2">
      <c r="A1009" s="47" t="s">
        <v>2096</v>
      </c>
      <c r="B1009" s="47" t="s">
        <v>3333</v>
      </c>
      <c r="C1009" s="21" t="s">
        <v>3442</v>
      </c>
      <c r="D1009" s="47" t="s">
        <v>3626</v>
      </c>
      <c r="E1009" s="21" t="s">
        <v>41</v>
      </c>
      <c r="F1009" s="47" t="s">
        <v>32</v>
      </c>
      <c r="G1009" s="21" t="s">
        <v>3627</v>
      </c>
      <c r="H1009" s="7" t="s">
        <v>3628</v>
      </c>
      <c r="I1009" s="8" t="s">
        <v>3672</v>
      </c>
      <c r="J1009" s="9">
        <v>13579300</v>
      </c>
      <c r="K1009" s="8"/>
      <c r="L1009" s="42">
        <f t="shared" si="347"/>
        <v>20368950</v>
      </c>
      <c r="M1009" s="8"/>
      <c r="N1009" s="42">
        <f t="shared" si="334"/>
        <v>20368950</v>
      </c>
      <c r="O1009" s="42">
        <f t="shared" si="348"/>
        <v>30553425</v>
      </c>
      <c r="P1009" s="42"/>
      <c r="Q1009" s="42">
        <f t="shared" si="343"/>
        <v>30553425</v>
      </c>
    </row>
    <row r="1010" spans="1:18" ht="13.5" x14ac:dyDescent="0.2">
      <c r="A1010" s="47" t="s">
        <v>2096</v>
      </c>
      <c r="B1010" s="47" t="s">
        <v>3333</v>
      </c>
      <c r="C1010" s="21" t="s">
        <v>3442</v>
      </c>
      <c r="D1010" s="47" t="s">
        <v>3626</v>
      </c>
      <c r="E1010" s="21" t="s">
        <v>41</v>
      </c>
      <c r="F1010" s="47" t="s">
        <v>32</v>
      </c>
      <c r="G1010" s="21" t="s">
        <v>3688</v>
      </c>
      <c r="H1010" s="7" t="s">
        <v>3689</v>
      </c>
      <c r="I1010" s="8" t="s">
        <v>3722</v>
      </c>
      <c r="J1010" s="9">
        <v>2496000</v>
      </c>
      <c r="K1010" s="8"/>
      <c r="L1010" s="42">
        <f t="shared" si="347"/>
        <v>3744000</v>
      </c>
      <c r="M1010" s="8"/>
      <c r="N1010" s="42">
        <f t="shared" si="334"/>
        <v>3744000</v>
      </c>
      <c r="O1010" s="42">
        <f t="shared" si="348"/>
        <v>5616000</v>
      </c>
      <c r="P1010" s="42"/>
      <c r="Q1010" s="42">
        <f t="shared" si="343"/>
        <v>5616000</v>
      </c>
    </row>
    <row r="1011" spans="1:18" ht="13.5" x14ac:dyDescent="0.2">
      <c r="A1011" s="47" t="s">
        <v>2096</v>
      </c>
      <c r="B1011" s="47" t="s">
        <v>3333</v>
      </c>
      <c r="C1011" s="21" t="s">
        <v>3442</v>
      </c>
      <c r="D1011" s="47" t="s">
        <v>3626</v>
      </c>
      <c r="E1011" s="21" t="s">
        <v>41</v>
      </c>
      <c r="F1011" s="47" t="s">
        <v>32</v>
      </c>
      <c r="G1011" s="21" t="s">
        <v>3688</v>
      </c>
      <c r="H1011" s="7" t="s">
        <v>3689</v>
      </c>
      <c r="I1011" s="8" t="s">
        <v>3708</v>
      </c>
      <c r="J1011" s="9">
        <v>2474800</v>
      </c>
      <c r="K1011" s="8"/>
      <c r="L1011" s="42">
        <f t="shared" si="347"/>
        <v>3712200</v>
      </c>
      <c r="M1011" s="8"/>
      <c r="N1011" s="42">
        <f t="shared" si="334"/>
        <v>3712200</v>
      </c>
      <c r="O1011" s="42"/>
      <c r="P1011" s="42">
        <f t="shared" ref="P1011:P1013" si="349">N1011</f>
        <v>3712200</v>
      </c>
      <c r="Q1011" s="42">
        <f t="shared" si="343"/>
        <v>3712200</v>
      </c>
      <c r="R1011" s="5"/>
    </row>
    <row r="1012" spans="1:18" ht="13.5" x14ac:dyDescent="0.2">
      <c r="A1012" s="47" t="s">
        <v>2096</v>
      </c>
      <c r="B1012" s="47" t="s">
        <v>3333</v>
      </c>
      <c r="C1012" s="21" t="s">
        <v>3442</v>
      </c>
      <c r="D1012" s="47" t="s">
        <v>3626</v>
      </c>
      <c r="E1012" s="21" t="s">
        <v>41</v>
      </c>
      <c r="F1012" s="47" t="s">
        <v>32</v>
      </c>
      <c r="G1012" s="21" t="s">
        <v>3688</v>
      </c>
      <c r="H1012" s="7" t="s">
        <v>3689</v>
      </c>
      <c r="I1012" s="8" t="s">
        <v>3706</v>
      </c>
      <c r="J1012" s="9">
        <v>3358000</v>
      </c>
      <c r="K1012" s="8"/>
      <c r="L1012" s="42">
        <f t="shared" si="347"/>
        <v>5037000</v>
      </c>
      <c r="M1012" s="8"/>
      <c r="N1012" s="42">
        <f t="shared" si="334"/>
        <v>5037000</v>
      </c>
      <c r="O1012" s="42"/>
      <c r="P1012" s="42">
        <f t="shared" si="349"/>
        <v>5037000</v>
      </c>
      <c r="Q1012" s="42">
        <f t="shared" si="343"/>
        <v>5037000</v>
      </c>
      <c r="R1012" s="5"/>
    </row>
    <row r="1013" spans="1:18" ht="13.5" x14ac:dyDescent="0.2">
      <c r="A1013" s="47" t="s">
        <v>2096</v>
      </c>
      <c r="B1013" s="47" t="s">
        <v>3333</v>
      </c>
      <c r="C1013" s="21" t="s">
        <v>3442</v>
      </c>
      <c r="D1013" s="47" t="s">
        <v>3626</v>
      </c>
      <c r="E1013" s="21" t="s">
        <v>41</v>
      </c>
      <c r="F1013" s="47" t="s">
        <v>32</v>
      </c>
      <c r="G1013" s="21" t="s">
        <v>3688</v>
      </c>
      <c r="H1013" s="7" t="s">
        <v>3689</v>
      </c>
      <c r="I1013" s="8" t="s">
        <v>3700</v>
      </c>
      <c r="J1013" s="9">
        <v>2726000</v>
      </c>
      <c r="K1013" s="8"/>
      <c r="L1013" s="42">
        <f t="shared" si="347"/>
        <v>4089000</v>
      </c>
      <c r="M1013" s="8"/>
      <c r="N1013" s="42">
        <f t="shared" si="334"/>
        <v>4089000</v>
      </c>
      <c r="O1013" s="42"/>
      <c r="P1013" s="42">
        <f t="shared" si="349"/>
        <v>4089000</v>
      </c>
      <c r="Q1013" s="42">
        <f t="shared" si="343"/>
        <v>4089000</v>
      </c>
      <c r="R1013" s="5"/>
    </row>
    <row r="1014" spans="1:18" ht="13.5" x14ac:dyDescent="0.2">
      <c r="A1014" s="47" t="s">
        <v>2096</v>
      </c>
      <c r="B1014" s="47" t="s">
        <v>3333</v>
      </c>
      <c r="C1014" s="21" t="s">
        <v>3442</v>
      </c>
      <c r="D1014" s="47" t="s">
        <v>3626</v>
      </c>
      <c r="E1014" s="21" t="s">
        <v>41</v>
      </c>
      <c r="F1014" s="47" t="s">
        <v>32</v>
      </c>
      <c r="G1014" s="21" t="s">
        <v>3688</v>
      </c>
      <c r="H1014" s="7" t="s">
        <v>3689</v>
      </c>
      <c r="I1014" s="8" t="s">
        <v>3724</v>
      </c>
      <c r="J1014" s="9">
        <v>6710000</v>
      </c>
      <c r="K1014" s="8"/>
      <c r="L1014" s="42">
        <f t="shared" si="347"/>
        <v>10065000</v>
      </c>
      <c r="M1014" s="8"/>
      <c r="N1014" s="42">
        <f t="shared" si="334"/>
        <v>10065000</v>
      </c>
      <c r="O1014" s="42">
        <f>N1014*1.5</f>
        <v>15097500</v>
      </c>
      <c r="P1014" s="42"/>
      <c r="Q1014" s="42">
        <f t="shared" si="343"/>
        <v>15097500</v>
      </c>
    </row>
    <row r="1015" spans="1:18" ht="13.5" x14ac:dyDescent="0.2">
      <c r="A1015" s="47" t="s">
        <v>2096</v>
      </c>
      <c r="B1015" s="47" t="s">
        <v>3333</v>
      </c>
      <c r="C1015" s="21" t="s">
        <v>3442</v>
      </c>
      <c r="D1015" s="47" t="s">
        <v>3626</v>
      </c>
      <c r="E1015" s="21" t="s">
        <v>41</v>
      </c>
      <c r="F1015" s="47" t="s">
        <v>32</v>
      </c>
      <c r="G1015" s="21" t="s">
        <v>3688</v>
      </c>
      <c r="H1015" s="7" t="s">
        <v>3689</v>
      </c>
      <c r="I1015" s="8" t="s">
        <v>3692</v>
      </c>
      <c r="J1015" s="9">
        <v>5598000</v>
      </c>
      <c r="K1015" s="8"/>
      <c r="L1015" s="42">
        <f t="shared" si="347"/>
        <v>8397000</v>
      </c>
      <c r="M1015" s="8"/>
      <c r="N1015" s="42">
        <f t="shared" si="334"/>
        <v>8397000</v>
      </c>
      <c r="O1015" s="42"/>
      <c r="P1015" s="42">
        <f>N1015</f>
        <v>8397000</v>
      </c>
      <c r="Q1015" s="42">
        <f t="shared" si="343"/>
        <v>8397000</v>
      </c>
      <c r="R1015" s="5"/>
    </row>
    <row r="1016" spans="1:18" ht="13.5" hidden="1" x14ac:dyDescent="0.2">
      <c r="A1016" s="12" t="s">
        <v>2096</v>
      </c>
      <c r="B1016" s="12" t="s">
        <v>3333</v>
      </c>
      <c r="C1016" s="13" t="s">
        <v>3442</v>
      </c>
      <c r="D1016" s="12" t="s">
        <v>3626</v>
      </c>
      <c r="E1016" s="13" t="s">
        <v>356</v>
      </c>
      <c r="F1016" s="12" t="s">
        <v>181</v>
      </c>
      <c r="G1016" s="13" t="s">
        <v>3627</v>
      </c>
      <c r="H1016" s="12" t="s">
        <v>3628</v>
      </c>
      <c r="I1016" s="13" t="s">
        <v>3651</v>
      </c>
      <c r="J1016" s="14" t="s">
        <v>3946</v>
      </c>
      <c r="K1016" s="18"/>
      <c r="L1016" s="18"/>
      <c r="M1016" s="18"/>
      <c r="N1016" s="20" t="str">
        <f t="shared" ref="N1016:N1019" si="350">J1016</f>
        <v>-</v>
      </c>
      <c r="O1016"/>
      <c r="P1016"/>
    </row>
    <row r="1017" spans="1:18" ht="13.5" hidden="1" x14ac:dyDescent="0.2">
      <c r="A1017" s="7" t="s">
        <v>2096</v>
      </c>
      <c r="B1017" s="7" t="s">
        <v>3333</v>
      </c>
      <c r="C1017" s="8" t="s">
        <v>3442</v>
      </c>
      <c r="D1017" s="7" t="s">
        <v>3626</v>
      </c>
      <c r="E1017" s="8" t="s">
        <v>356</v>
      </c>
      <c r="F1017" s="7" t="s">
        <v>181</v>
      </c>
      <c r="G1017" s="8" t="s">
        <v>3627</v>
      </c>
      <c r="H1017" s="7" t="s">
        <v>3628</v>
      </c>
      <c r="I1017" s="8" t="s">
        <v>3636</v>
      </c>
      <c r="J1017" s="9" t="s">
        <v>3946</v>
      </c>
      <c r="K1017" s="15"/>
      <c r="L1017" s="15"/>
      <c r="M1017" s="15"/>
      <c r="N1017" s="16" t="str">
        <f t="shared" si="350"/>
        <v>-</v>
      </c>
      <c r="O1017"/>
      <c r="P1017"/>
    </row>
    <row r="1018" spans="1:18" ht="13.5" x14ac:dyDescent="0.2">
      <c r="A1018" s="47" t="s">
        <v>2096</v>
      </c>
      <c r="B1018" s="47" t="s">
        <v>3333</v>
      </c>
      <c r="C1018" s="21" t="s">
        <v>3442</v>
      </c>
      <c r="D1018" s="47" t="s">
        <v>3626</v>
      </c>
      <c r="E1018" s="21" t="s">
        <v>610</v>
      </c>
      <c r="F1018" s="47" t="s">
        <v>611</v>
      </c>
      <c r="G1018" s="21" t="s">
        <v>3688</v>
      </c>
      <c r="H1018" s="7" t="s">
        <v>3689</v>
      </c>
      <c r="I1018" s="8" t="s">
        <v>3710</v>
      </c>
      <c r="J1018" s="9">
        <v>218000</v>
      </c>
      <c r="K1018" s="8"/>
      <c r="L1018" s="8"/>
      <c r="M1018" s="8"/>
      <c r="N1018" s="42">
        <f t="shared" si="350"/>
        <v>218000</v>
      </c>
      <c r="O1018" s="42"/>
      <c r="P1018" s="42">
        <f t="shared" ref="P1018:P1023" si="351">N1018</f>
        <v>218000</v>
      </c>
      <c r="Q1018" s="42">
        <f t="shared" ref="Q1018:Q1026" si="352">SUM(O1018:P1018)</f>
        <v>218000</v>
      </c>
      <c r="R1018" s="5"/>
    </row>
    <row r="1019" spans="1:18" ht="13.5" x14ac:dyDescent="0.2">
      <c r="A1019" s="47" t="s">
        <v>2096</v>
      </c>
      <c r="B1019" s="47" t="s">
        <v>3333</v>
      </c>
      <c r="C1019" s="21" t="s">
        <v>3739</v>
      </c>
      <c r="D1019" s="47" t="s">
        <v>3740</v>
      </c>
      <c r="E1019" s="21" t="s">
        <v>31</v>
      </c>
      <c r="F1019" s="47" t="s">
        <v>32</v>
      </c>
      <c r="G1019" s="21" t="s">
        <v>3741</v>
      </c>
      <c r="H1019" s="7" t="s">
        <v>3742</v>
      </c>
      <c r="I1019" s="8" t="s">
        <v>3743</v>
      </c>
      <c r="J1019" s="9">
        <v>11375000</v>
      </c>
      <c r="K1019" s="8"/>
      <c r="L1019" s="8"/>
      <c r="M1019" s="8"/>
      <c r="N1019" s="42">
        <f t="shared" si="350"/>
        <v>11375000</v>
      </c>
      <c r="O1019" s="42"/>
      <c r="P1019" s="42">
        <f t="shared" si="351"/>
        <v>11375000</v>
      </c>
      <c r="Q1019" s="42">
        <f t="shared" si="352"/>
        <v>11375000</v>
      </c>
      <c r="R1019" s="5"/>
    </row>
    <row r="1020" spans="1:18" ht="13.5" x14ac:dyDescent="0.2">
      <c r="A1020" s="47" t="s">
        <v>2096</v>
      </c>
      <c r="B1020" s="47" t="s">
        <v>3333</v>
      </c>
      <c r="C1020" s="21" t="s">
        <v>3739</v>
      </c>
      <c r="D1020" s="47" t="s">
        <v>3740</v>
      </c>
      <c r="E1020" s="21" t="s">
        <v>41</v>
      </c>
      <c r="F1020" s="47" t="s">
        <v>32</v>
      </c>
      <c r="G1020" s="21" t="s">
        <v>3741</v>
      </c>
      <c r="H1020" s="7" t="s">
        <v>3742</v>
      </c>
      <c r="I1020" s="8" t="s">
        <v>3746</v>
      </c>
      <c r="J1020" s="9">
        <v>1088000</v>
      </c>
      <c r="K1020" s="8"/>
      <c r="L1020" s="42">
        <f t="shared" ref="L1020:L1022" si="353">J1020*1.5</f>
        <v>1632000</v>
      </c>
      <c r="M1020" s="8"/>
      <c r="N1020" s="42">
        <f t="shared" si="334"/>
        <v>1632000</v>
      </c>
      <c r="O1020" s="42"/>
      <c r="P1020" s="42">
        <f t="shared" si="351"/>
        <v>1632000</v>
      </c>
      <c r="Q1020" s="42">
        <f t="shared" si="352"/>
        <v>1632000</v>
      </c>
      <c r="R1020" s="5"/>
    </row>
    <row r="1021" spans="1:18" ht="13.5" x14ac:dyDescent="0.2">
      <c r="A1021" s="47" t="s">
        <v>2096</v>
      </c>
      <c r="B1021" s="47" t="s">
        <v>3333</v>
      </c>
      <c r="C1021" s="21" t="s">
        <v>3739</v>
      </c>
      <c r="D1021" s="47" t="s">
        <v>3740</v>
      </c>
      <c r="E1021" s="21" t="s">
        <v>41</v>
      </c>
      <c r="F1021" s="47" t="s">
        <v>32</v>
      </c>
      <c r="G1021" s="21" t="s">
        <v>3741</v>
      </c>
      <c r="H1021" s="7" t="s">
        <v>3742</v>
      </c>
      <c r="I1021" s="8" t="s">
        <v>3748</v>
      </c>
      <c r="J1021" s="9">
        <v>1108000</v>
      </c>
      <c r="K1021" s="8"/>
      <c r="L1021" s="42">
        <f t="shared" si="353"/>
        <v>1662000</v>
      </c>
      <c r="M1021" s="8"/>
      <c r="N1021" s="42">
        <f t="shared" si="334"/>
        <v>1662000</v>
      </c>
      <c r="O1021" s="42"/>
      <c r="P1021" s="42">
        <f t="shared" si="351"/>
        <v>1662000</v>
      </c>
      <c r="Q1021" s="42">
        <f t="shared" si="352"/>
        <v>1662000</v>
      </c>
      <c r="R1021" s="5"/>
    </row>
    <row r="1022" spans="1:18" ht="13.5" x14ac:dyDescent="0.2">
      <c r="A1022" s="47" t="s">
        <v>2096</v>
      </c>
      <c r="B1022" s="47" t="s">
        <v>3333</v>
      </c>
      <c r="C1022" s="21" t="s">
        <v>3739</v>
      </c>
      <c r="D1022" s="47" t="s">
        <v>3740</v>
      </c>
      <c r="E1022" s="21" t="s">
        <v>41</v>
      </c>
      <c r="F1022" s="47" t="s">
        <v>32</v>
      </c>
      <c r="G1022" s="21" t="s">
        <v>3741</v>
      </c>
      <c r="H1022" s="7" t="s">
        <v>3742</v>
      </c>
      <c r="I1022" s="8" t="s">
        <v>3750</v>
      </c>
      <c r="J1022" s="9">
        <v>3511600</v>
      </c>
      <c r="K1022" s="8"/>
      <c r="L1022" s="42">
        <f t="shared" si="353"/>
        <v>5267400</v>
      </c>
      <c r="M1022" s="8"/>
      <c r="N1022" s="42">
        <f t="shared" si="334"/>
        <v>5267400</v>
      </c>
      <c r="O1022" s="42"/>
      <c r="P1022" s="42">
        <f t="shared" si="351"/>
        <v>5267400</v>
      </c>
      <c r="Q1022" s="42">
        <f t="shared" si="352"/>
        <v>5267400</v>
      </c>
      <c r="R1022" s="5"/>
    </row>
    <row r="1023" spans="1:18" ht="13.5" x14ac:dyDescent="0.2">
      <c r="A1023" s="47" t="s">
        <v>2096</v>
      </c>
      <c r="B1023" s="47" t="s">
        <v>3333</v>
      </c>
      <c r="C1023" s="21" t="s">
        <v>3739</v>
      </c>
      <c r="D1023" s="47" t="s">
        <v>3752</v>
      </c>
      <c r="E1023" s="21" t="s">
        <v>211</v>
      </c>
      <c r="F1023" s="47" t="s">
        <v>212</v>
      </c>
      <c r="G1023" s="21" t="s">
        <v>3753</v>
      </c>
      <c r="H1023" s="7" t="s">
        <v>3754</v>
      </c>
      <c r="I1023" s="8" t="s">
        <v>3801</v>
      </c>
      <c r="J1023" s="9">
        <v>11999600</v>
      </c>
      <c r="K1023" s="8"/>
      <c r="L1023" s="8"/>
      <c r="M1023" s="8"/>
      <c r="N1023" s="42">
        <f t="shared" ref="N1023:N1047" si="354">J1023</f>
        <v>11999600</v>
      </c>
      <c r="O1023" s="42"/>
      <c r="P1023" s="42">
        <f t="shared" si="351"/>
        <v>11999600</v>
      </c>
      <c r="Q1023" s="42">
        <f t="shared" si="352"/>
        <v>11999600</v>
      </c>
      <c r="R1023" s="5"/>
    </row>
    <row r="1024" spans="1:18" ht="13.5" x14ac:dyDescent="0.2">
      <c r="A1024" s="47" t="s">
        <v>2096</v>
      </c>
      <c r="B1024" s="47" t="s">
        <v>3333</v>
      </c>
      <c r="C1024" s="21" t="s">
        <v>3739</v>
      </c>
      <c r="D1024" s="47" t="s">
        <v>3752</v>
      </c>
      <c r="E1024" s="21" t="s">
        <v>211</v>
      </c>
      <c r="F1024" s="47" t="s">
        <v>212</v>
      </c>
      <c r="G1024" s="21" t="s">
        <v>3836</v>
      </c>
      <c r="H1024" s="7" t="s">
        <v>3837</v>
      </c>
      <c r="I1024" s="8" t="s">
        <v>3872</v>
      </c>
      <c r="J1024" s="9">
        <v>3559800</v>
      </c>
      <c r="K1024" s="8"/>
      <c r="L1024" s="8"/>
      <c r="M1024" s="8"/>
      <c r="N1024" s="42">
        <f t="shared" si="354"/>
        <v>3559800</v>
      </c>
      <c r="O1024" s="42">
        <f t="shared" ref="O1024:O1025" si="355">N1024*1.5</f>
        <v>5339700</v>
      </c>
      <c r="P1024" s="42"/>
      <c r="Q1024" s="42">
        <f t="shared" si="352"/>
        <v>5339700</v>
      </c>
    </row>
    <row r="1025" spans="1:18" ht="13.5" x14ac:dyDescent="0.2">
      <c r="A1025" s="47" t="s">
        <v>2096</v>
      </c>
      <c r="B1025" s="47" t="s">
        <v>3333</v>
      </c>
      <c r="C1025" s="21" t="s">
        <v>3739</v>
      </c>
      <c r="D1025" s="47" t="s">
        <v>3752</v>
      </c>
      <c r="E1025" s="21" t="s">
        <v>128</v>
      </c>
      <c r="F1025" s="47" t="s">
        <v>135</v>
      </c>
      <c r="G1025" s="21" t="s">
        <v>3753</v>
      </c>
      <c r="H1025" s="7" t="s">
        <v>3754</v>
      </c>
      <c r="I1025" s="8" t="s">
        <v>3769</v>
      </c>
      <c r="J1025" s="9">
        <v>1987600</v>
      </c>
      <c r="K1025" s="8"/>
      <c r="L1025" s="8"/>
      <c r="M1025" s="8"/>
      <c r="N1025" s="42">
        <f t="shared" si="354"/>
        <v>1987600</v>
      </c>
      <c r="O1025" s="42">
        <f t="shared" si="355"/>
        <v>2981400</v>
      </c>
      <c r="P1025" s="42"/>
      <c r="Q1025" s="42">
        <f t="shared" si="352"/>
        <v>2981400</v>
      </c>
    </row>
    <row r="1026" spans="1:18" ht="13.5" x14ac:dyDescent="0.2">
      <c r="A1026" s="47" t="s">
        <v>2096</v>
      </c>
      <c r="B1026" s="47" t="s">
        <v>3333</v>
      </c>
      <c r="C1026" s="21" t="s">
        <v>3739</v>
      </c>
      <c r="D1026" s="47" t="s">
        <v>3752</v>
      </c>
      <c r="E1026" s="21" t="s">
        <v>128</v>
      </c>
      <c r="F1026" s="47" t="s">
        <v>135</v>
      </c>
      <c r="G1026" s="21" t="s">
        <v>3836</v>
      </c>
      <c r="H1026" s="7" t="s">
        <v>3837</v>
      </c>
      <c r="I1026" s="8" t="s">
        <v>3851</v>
      </c>
      <c r="J1026" s="9">
        <v>8142200</v>
      </c>
      <c r="K1026" s="8"/>
      <c r="L1026" s="8"/>
      <c r="M1026" s="8"/>
      <c r="N1026" s="42">
        <f t="shared" si="354"/>
        <v>8142200</v>
      </c>
      <c r="O1026" s="42"/>
      <c r="P1026" s="42">
        <f>N1026</f>
        <v>8142200</v>
      </c>
      <c r="Q1026" s="42">
        <f t="shared" si="352"/>
        <v>8142200</v>
      </c>
      <c r="R1026" s="5"/>
    </row>
    <row r="1027" spans="1:18" ht="13.5" hidden="1" x14ac:dyDescent="0.2">
      <c r="A1027" s="12" t="s">
        <v>2096</v>
      </c>
      <c r="B1027" s="12" t="s">
        <v>3333</v>
      </c>
      <c r="C1027" s="13" t="s">
        <v>3739</v>
      </c>
      <c r="D1027" s="12" t="s">
        <v>3752</v>
      </c>
      <c r="E1027" s="13" t="s">
        <v>128</v>
      </c>
      <c r="F1027" s="12" t="s">
        <v>181</v>
      </c>
      <c r="G1027" s="13" t="s">
        <v>3836</v>
      </c>
      <c r="H1027" s="12" t="s">
        <v>3837</v>
      </c>
      <c r="I1027" s="13" t="s">
        <v>3841</v>
      </c>
      <c r="J1027" s="14" t="s">
        <v>3946</v>
      </c>
      <c r="K1027" s="18"/>
      <c r="L1027" s="18"/>
      <c r="M1027" s="18"/>
      <c r="N1027" s="20" t="str">
        <f t="shared" si="354"/>
        <v>-</v>
      </c>
      <c r="O1027"/>
      <c r="P1027"/>
    </row>
    <row r="1028" spans="1:18" ht="13.5" hidden="1" x14ac:dyDescent="0.2">
      <c r="A1028" s="7" t="s">
        <v>2096</v>
      </c>
      <c r="B1028" s="7" t="s">
        <v>3333</v>
      </c>
      <c r="C1028" s="8" t="s">
        <v>3739</v>
      </c>
      <c r="D1028" s="7" t="s">
        <v>3752</v>
      </c>
      <c r="E1028" s="8" t="s">
        <v>128</v>
      </c>
      <c r="F1028" s="7" t="s">
        <v>181</v>
      </c>
      <c r="G1028" s="8" t="s">
        <v>3892</v>
      </c>
      <c r="H1028" s="7" t="s">
        <v>3893</v>
      </c>
      <c r="I1028" s="8" t="s">
        <v>3894</v>
      </c>
      <c r="J1028" s="9" t="s">
        <v>3946</v>
      </c>
      <c r="K1028" s="15"/>
      <c r="L1028" s="15"/>
      <c r="M1028" s="15"/>
      <c r="N1028" s="16" t="str">
        <f t="shared" si="354"/>
        <v>-</v>
      </c>
      <c r="O1028"/>
      <c r="P1028"/>
    </row>
    <row r="1029" spans="1:18" ht="13.5" x14ac:dyDescent="0.2">
      <c r="A1029" s="47" t="s">
        <v>2096</v>
      </c>
      <c r="B1029" s="47" t="s">
        <v>3333</v>
      </c>
      <c r="C1029" s="21" t="s">
        <v>3739</v>
      </c>
      <c r="D1029" s="47" t="s">
        <v>3752</v>
      </c>
      <c r="E1029" s="21" t="s">
        <v>31</v>
      </c>
      <c r="F1029" s="47" t="s">
        <v>32</v>
      </c>
      <c r="G1029" s="21" t="s">
        <v>3753</v>
      </c>
      <c r="H1029" s="7" t="s">
        <v>3754</v>
      </c>
      <c r="I1029" s="8" t="s">
        <v>3809</v>
      </c>
      <c r="J1029" s="9">
        <v>8169000</v>
      </c>
      <c r="K1029" s="8"/>
      <c r="L1029" s="8"/>
      <c r="M1029" s="8"/>
      <c r="N1029" s="42">
        <f t="shared" si="354"/>
        <v>8169000</v>
      </c>
      <c r="O1029" s="42">
        <f>N1029*1.5</f>
        <v>12253500</v>
      </c>
      <c r="P1029" s="42"/>
      <c r="Q1029" s="42">
        <f t="shared" ref="Q1029:Q1063" si="356">SUM(O1029:P1029)</f>
        <v>12253500</v>
      </c>
    </row>
    <row r="1030" spans="1:18" ht="13.5" x14ac:dyDescent="0.2">
      <c r="A1030" s="47" t="s">
        <v>2096</v>
      </c>
      <c r="B1030" s="47" t="s">
        <v>3333</v>
      </c>
      <c r="C1030" s="21" t="s">
        <v>3739</v>
      </c>
      <c r="D1030" s="47" t="s">
        <v>3752</v>
      </c>
      <c r="E1030" s="21" t="s">
        <v>31</v>
      </c>
      <c r="F1030" s="47" t="s">
        <v>32</v>
      </c>
      <c r="G1030" s="21" t="s">
        <v>3753</v>
      </c>
      <c r="H1030" s="7" t="s">
        <v>3754</v>
      </c>
      <c r="I1030" s="8" t="s">
        <v>3781</v>
      </c>
      <c r="J1030" s="9">
        <v>4605600</v>
      </c>
      <c r="K1030" s="8"/>
      <c r="L1030" s="8"/>
      <c r="M1030" s="8"/>
      <c r="N1030" s="42">
        <f t="shared" si="354"/>
        <v>4605600</v>
      </c>
      <c r="O1030" s="42"/>
      <c r="P1030" s="42">
        <f>N1030</f>
        <v>4605600</v>
      </c>
      <c r="Q1030" s="42">
        <f t="shared" si="356"/>
        <v>4605600</v>
      </c>
      <c r="R1030" s="5"/>
    </row>
    <row r="1031" spans="1:18" ht="13.5" x14ac:dyDescent="0.2">
      <c r="A1031" s="47" t="s">
        <v>2096</v>
      </c>
      <c r="B1031" s="47" t="s">
        <v>3333</v>
      </c>
      <c r="C1031" s="21" t="s">
        <v>3739</v>
      </c>
      <c r="D1031" s="47" t="s">
        <v>3752</v>
      </c>
      <c r="E1031" s="21" t="s">
        <v>31</v>
      </c>
      <c r="F1031" s="47" t="s">
        <v>32</v>
      </c>
      <c r="G1031" s="21" t="s">
        <v>3753</v>
      </c>
      <c r="H1031" s="7" t="s">
        <v>3754</v>
      </c>
      <c r="I1031" s="8" t="s">
        <v>3814</v>
      </c>
      <c r="J1031" s="9">
        <v>3470400</v>
      </c>
      <c r="K1031" s="8"/>
      <c r="L1031" s="8"/>
      <c r="M1031" s="8"/>
      <c r="N1031" s="42">
        <f t="shared" si="354"/>
        <v>3470400</v>
      </c>
      <c r="O1031" s="42">
        <f t="shared" ref="O1031:O1033" si="357">N1031*1.5</f>
        <v>5205600</v>
      </c>
      <c r="P1031" s="42"/>
      <c r="Q1031" s="42">
        <f t="shared" si="356"/>
        <v>5205600</v>
      </c>
    </row>
    <row r="1032" spans="1:18" ht="13.5" x14ac:dyDescent="0.2">
      <c r="A1032" s="47" t="s">
        <v>2096</v>
      </c>
      <c r="B1032" s="47" t="s">
        <v>3333</v>
      </c>
      <c r="C1032" s="21" t="s">
        <v>3739</v>
      </c>
      <c r="D1032" s="47" t="s">
        <v>3752</v>
      </c>
      <c r="E1032" s="21" t="s">
        <v>31</v>
      </c>
      <c r="F1032" s="47" t="s">
        <v>32</v>
      </c>
      <c r="G1032" s="21" t="s">
        <v>3753</v>
      </c>
      <c r="H1032" s="7" t="s">
        <v>3754</v>
      </c>
      <c r="I1032" s="8" t="s">
        <v>3820</v>
      </c>
      <c r="J1032" s="9">
        <v>1416000</v>
      </c>
      <c r="K1032" s="8"/>
      <c r="L1032" s="8"/>
      <c r="M1032" s="8"/>
      <c r="N1032" s="42">
        <f t="shared" si="354"/>
        <v>1416000</v>
      </c>
      <c r="O1032" s="42">
        <f t="shared" si="357"/>
        <v>2124000</v>
      </c>
      <c r="P1032" s="42"/>
      <c r="Q1032" s="42">
        <f t="shared" si="356"/>
        <v>2124000</v>
      </c>
    </row>
    <row r="1033" spans="1:18" ht="13.5" x14ac:dyDescent="0.2">
      <c r="A1033" s="47" t="s">
        <v>2096</v>
      </c>
      <c r="B1033" s="47" t="s">
        <v>3333</v>
      </c>
      <c r="C1033" s="21" t="s">
        <v>3739</v>
      </c>
      <c r="D1033" s="47" t="s">
        <v>3752</v>
      </c>
      <c r="E1033" s="21" t="s">
        <v>31</v>
      </c>
      <c r="F1033" s="47" t="s">
        <v>32</v>
      </c>
      <c r="G1033" s="21" t="s">
        <v>3753</v>
      </c>
      <c r="H1033" s="7" t="s">
        <v>3754</v>
      </c>
      <c r="I1033" s="8" t="s">
        <v>3816</v>
      </c>
      <c r="J1033" s="9">
        <v>3737600</v>
      </c>
      <c r="K1033" s="8"/>
      <c r="L1033" s="8"/>
      <c r="M1033" s="8"/>
      <c r="N1033" s="42">
        <f t="shared" si="354"/>
        <v>3737600</v>
      </c>
      <c r="O1033" s="42">
        <f t="shared" si="357"/>
        <v>5606400</v>
      </c>
      <c r="P1033" s="42"/>
      <c r="Q1033" s="42">
        <f t="shared" si="356"/>
        <v>5606400</v>
      </c>
    </row>
    <row r="1034" spans="1:18" ht="13.5" x14ac:dyDescent="0.2">
      <c r="A1034" s="47" t="s">
        <v>2096</v>
      </c>
      <c r="B1034" s="47" t="s">
        <v>3333</v>
      </c>
      <c r="C1034" s="21" t="s">
        <v>3739</v>
      </c>
      <c r="D1034" s="47" t="s">
        <v>3752</v>
      </c>
      <c r="E1034" s="21" t="s">
        <v>31</v>
      </c>
      <c r="F1034" s="47" t="s">
        <v>32</v>
      </c>
      <c r="G1034" s="21" t="s">
        <v>3753</v>
      </c>
      <c r="H1034" s="7" t="s">
        <v>3754</v>
      </c>
      <c r="I1034" s="8" t="s">
        <v>3791</v>
      </c>
      <c r="J1034" s="9">
        <v>4199400</v>
      </c>
      <c r="K1034" s="8"/>
      <c r="L1034" s="8"/>
      <c r="M1034" s="8"/>
      <c r="N1034" s="42">
        <f t="shared" si="354"/>
        <v>4199400</v>
      </c>
      <c r="O1034" s="42"/>
      <c r="P1034" s="42">
        <f t="shared" ref="P1034:P1036" si="358">N1034</f>
        <v>4199400</v>
      </c>
      <c r="Q1034" s="42">
        <f t="shared" si="356"/>
        <v>4199400</v>
      </c>
      <c r="R1034" s="5"/>
    </row>
    <row r="1035" spans="1:18" ht="13.5" x14ac:dyDescent="0.2">
      <c r="A1035" s="47" t="s">
        <v>2096</v>
      </c>
      <c r="B1035" s="47" t="s">
        <v>3333</v>
      </c>
      <c r="C1035" s="21" t="s">
        <v>3739</v>
      </c>
      <c r="D1035" s="47" t="s">
        <v>3752</v>
      </c>
      <c r="E1035" s="21" t="s">
        <v>31</v>
      </c>
      <c r="F1035" s="47" t="s">
        <v>32</v>
      </c>
      <c r="G1035" s="21" t="s">
        <v>3753</v>
      </c>
      <c r="H1035" s="7" t="s">
        <v>3754</v>
      </c>
      <c r="I1035" s="8" t="s">
        <v>3602</v>
      </c>
      <c r="J1035" s="9">
        <v>2455000</v>
      </c>
      <c r="K1035" s="8"/>
      <c r="L1035" s="8"/>
      <c r="M1035" s="8"/>
      <c r="N1035" s="42">
        <f t="shared" si="354"/>
        <v>2455000</v>
      </c>
      <c r="O1035" s="42"/>
      <c r="P1035" s="42">
        <f t="shared" si="358"/>
        <v>2455000</v>
      </c>
      <c r="Q1035" s="42">
        <f t="shared" si="356"/>
        <v>2455000</v>
      </c>
      <c r="R1035" s="5"/>
    </row>
    <row r="1036" spans="1:18" ht="13.5" x14ac:dyDescent="0.2">
      <c r="A1036" s="47" t="s">
        <v>2096</v>
      </c>
      <c r="B1036" s="47" t="s">
        <v>3333</v>
      </c>
      <c r="C1036" s="21" t="s">
        <v>3739</v>
      </c>
      <c r="D1036" s="47" t="s">
        <v>3752</v>
      </c>
      <c r="E1036" s="21" t="s">
        <v>31</v>
      </c>
      <c r="F1036" s="47" t="s">
        <v>32</v>
      </c>
      <c r="G1036" s="21" t="s">
        <v>3753</v>
      </c>
      <c r="H1036" s="7" t="s">
        <v>3754</v>
      </c>
      <c r="I1036" s="8" t="s">
        <v>3783</v>
      </c>
      <c r="J1036" s="9">
        <v>3832500</v>
      </c>
      <c r="K1036" s="8"/>
      <c r="L1036" s="8"/>
      <c r="M1036" s="8"/>
      <c r="N1036" s="42">
        <f t="shared" si="354"/>
        <v>3832500</v>
      </c>
      <c r="O1036" s="42"/>
      <c r="P1036" s="42">
        <f t="shared" si="358"/>
        <v>3832500</v>
      </c>
      <c r="Q1036" s="42">
        <f t="shared" si="356"/>
        <v>3832500</v>
      </c>
      <c r="R1036" s="5"/>
    </row>
    <row r="1037" spans="1:18" ht="13.5" x14ac:dyDescent="0.2">
      <c r="A1037" s="47" t="s">
        <v>2096</v>
      </c>
      <c r="B1037" s="47" t="s">
        <v>3333</v>
      </c>
      <c r="C1037" s="21" t="s">
        <v>3739</v>
      </c>
      <c r="D1037" s="47" t="s">
        <v>3752</v>
      </c>
      <c r="E1037" s="21" t="s">
        <v>31</v>
      </c>
      <c r="F1037" s="47" t="s">
        <v>32</v>
      </c>
      <c r="G1037" s="21" t="s">
        <v>3753</v>
      </c>
      <c r="H1037" s="7" t="s">
        <v>3754</v>
      </c>
      <c r="I1037" s="8" t="s">
        <v>3818</v>
      </c>
      <c r="J1037" s="9">
        <v>5190000</v>
      </c>
      <c r="K1037" s="8"/>
      <c r="L1037" s="8"/>
      <c r="M1037" s="8"/>
      <c r="N1037" s="42">
        <f t="shared" si="354"/>
        <v>5190000</v>
      </c>
      <c r="O1037" s="42">
        <f>N1037*1.5</f>
        <v>7785000</v>
      </c>
      <c r="P1037" s="42"/>
      <c r="Q1037" s="42">
        <f t="shared" si="356"/>
        <v>7785000</v>
      </c>
    </row>
    <row r="1038" spans="1:18" ht="13.5" x14ac:dyDescent="0.2">
      <c r="A1038" s="47" t="s">
        <v>2096</v>
      </c>
      <c r="B1038" s="47" t="s">
        <v>3333</v>
      </c>
      <c r="C1038" s="21" t="s">
        <v>3739</v>
      </c>
      <c r="D1038" s="47" t="s">
        <v>3752</v>
      </c>
      <c r="E1038" s="21" t="s">
        <v>31</v>
      </c>
      <c r="F1038" s="47" t="s">
        <v>32</v>
      </c>
      <c r="G1038" s="21" t="s">
        <v>3753</v>
      </c>
      <c r="H1038" s="7" t="s">
        <v>3754</v>
      </c>
      <c r="I1038" s="8" t="s">
        <v>3828</v>
      </c>
      <c r="J1038" s="9">
        <v>10119200</v>
      </c>
      <c r="K1038" s="8"/>
      <c r="L1038" s="8"/>
      <c r="M1038" s="8"/>
      <c r="N1038" s="42">
        <f t="shared" si="354"/>
        <v>10119200</v>
      </c>
      <c r="O1038" s="42"/>
      <c r="P1038" s="42">
        <f t="shared" ref="P1038:P1047" si="359">N1038</f>
        <v>10119200</v>
      </c>
      <c r="Q1038" s="42">
        <f t="shared" si="356"/>
        <v>10119200</v>
      </c>
      <c r="R1038" s="5"/>
    </row>
    <row r="1039" spans="1:18" ht="13.5" x14ac:dyDescent="0.2">
      <c r="A1039" s="47" t="s">
        <v>2096</v>
      </c>
      <c r="B1039" s="47" t="s">
        <v>3333</v>
      </c>
      <c r="C1039" s="21" t="s">
        <v>3739</v>
      </c>
      <c r="D1039" s="47" t="s">
        <v>3752</v>
      </c>
      <c r="E1039" s="21" t="s">
        <v>31</v>
      </c>
      <c r="F1039" s="47" t="s">
        <v>32</v>
      </c>
      <c r="G1039" s="21" t="s">
        <v>3753</v>
      </c>
      <c r="H1039" s="7" t="s">
        <v>3754</v>
      </c>
      <c r="I1039" s="8" t="s">
        <v>3793</v>
      </c>
      <c r="J1039" s="9">
        <v>4430000</v>
      </c>
      <c r="K1039" s="8"/>
      <c r="L1039" s="8"/>
      <c r="M1039" s="8"/>
      <c r="N1039" s="42">
        <f t="shared" si="354"/>
        <v>4430000</v>
      </c>
      <c r="O1039" s="42"/>
      <c r="P1039" s="42">
        <f t="shared" si="359"/>
        <v>4430000</v>
      </c>
      <c r="Q1039" s="42">
        <f t="shared" si="356"/>
        <v>4430000</v>
      </c>
      <c r="R1039" s="5"/>
    </row>
    <row r="1040" spans="1:18" ht="13.5" x14ac:dyDescent="0.2">
      <c r="A1040" s="47" t="s">
        <v>2096</v>
      </c>
      <c r="B1040" s="47" t="s">
        <v>3333</v>
      </c>
      <c r="C1040" s="21" t="s">
        <v>3739</v>
      </c>
      <c r="D1040" s="47" t="s">
        <v>3752</v>
      </c>
      <c r="E1040" s="21" t="s">
        <v>31</v>
      </c>
      <c r="F1040" s="47" t="s">
        <v>32</v>
      </c>
      <c r="G1040" s="21" t="s">
        <v>3753</v>
      </c>
      <c r="H1040" s="7" t="s">
        <v>3754</v>
      </c>
      <c r="I1040" s="8" t="s">
        <v>3830</v>
      </c>
      <c r="J1040" s="9">
        <v>2058000</v>
      </c>
      <c r="K1040" s="8"/>
      <c r="L1040" s="8"/>
      <c r="M1040" s="8"/>
      <c r="N1040" s="42">
        <f t="shared" si="354"/>
        <v>2058000</v>
      </c>
      <c r="O1040" s="42"/>
      <c r="P1040" s="42">
        <f t="shared" si="359"/>
        <v>2058000</v>
      </c>
      <c r="Q1040" s="42">
        <f t="shared" si="356"/>
        <v>2058000</v>
      </c>
      <c r="R1040" s="5"/>
    </row>
    <row r="1041" spans="1:18" ht="13.5" x14ac:dyDescent="0.2">
      <c r="A1041" s="47" t="s">
        <v>2096</v>
      </c>
      <c r="B1041" s="47" t="s">
        <v>3333</v>
      </c>
      <c r="C1041" s="21" t="s">
        <v>3739</v>
      </c>
      <c r="D1041" s="47" t="s">
        <v>3752</v>
      </c>
      <c r="E1041" s="21" t="s">
        <v>31</v>
      </c>
      <c r="F1041" s="47" t="s">
        <v>32</v>
      </c>
      <c r="G1041" s="21" t="s">
        <v>3753</v>
      </c>
      <c r="H1041" s="7" t="s">
        <v>3754</v>
      </c>
      <c r="I1041" s="8" t="s">
        <v>3795</v>
      </c>
      <c r="J1041" s="9">
        <v>4127400</v>
      </c>
      <c r="K1041" s="8"/>
      <c r="L1041" s="8"/>
      <c r="M1041" s="8"/>
      <c r="N1041" s="42">
        <f t="shared" si="354"/>
        <v>4127400</v>
      </c>
      <c r="O1041" s="42"/>
      <c r="P1041" s="42">
        <f t="shared" si="359"/>
        <v>4127400</v>
      </c>
      <c r="Q1041" s="42">
        <f t="shared" si="356"/>
        <v>4127400</v>
      </c>
      <c r="R1041" s="5"/>
    </row>
    <row r="1042" spans="1:18" ht="13.5" x14ac:dyDescent="0.2">
      <c r="A1042" s="47" t="s">
        <v>2096</v>
      </c>
      <c r="B1042" s="47" t="s">
        <v>3333</v>
      </c>
      <c r="C1042" s="21" t="s">
        <v>3739</v>
      </c>
      <c r="D1042" s="47" t="s">
        <v>3752</v>
      </c>
      <c r="E1042" s="21" t="s">
        <v>31</v>
      </c>
      <c r="F1042" s="47" t="s">
        <v>32</v>
      </c>
      <c r="G1042" s="21" t="s">
        <v>3753</v>
      </c>
      <c r="H1042" s="7" t="s">
        <v>3754</v>
      </c>
      <c r="I1042" s="8" t="s">
        <v>3777</v>
      </c>
      <c r="J1042" s="9">
        <v>2271600</v>
      </c>
      <c r="K1042" s="8"/>
      <c r="L1042" s="8"/>
      <c r="M1042" s="8"/>
      <c r="N1042" s="42">
        <f t="shared" si="354"/>
        <v>2271600</v>
      </c>
      <c r="O1042" s="42"/>
      <c r="P1042" s="42">
        <f t="shared" si="359"/>
        <v>2271600</v>
      </c>
      <c r="Q1042" s="42">
        <f t="shared" si="356"/>
        <v>2271600</v>
      </c>
      <c r="R1042" s="5"/>
    </row>
    <row r="1043" spans="1:18" ht="13.5" x14ac:dyDescent="0.2">
      <c r="A1043" s="47" t="s">
        <v>2096</v>
      </c>
      <c r="B1043" s="47" t="s">
        <v>3333</v>
      </c>
      <c r="C1043" s="21" t="s">
        <v>3739</v>
      </c>
      <c r="D1043" s="47" t="s">
        <v>3752</v>
      </c>
      <c r="E1043" s="21" t="s">
        <v>31</v>
      </c>
      <c r="F1043" s="47" t="s">
        <v>32</v>
      </c>
      <c r="G1043" s="21" t="s">
        <v>3753</v>
      </c>
      <c r="H1043" s="7" t="s">
        <v>3754</v>
      </c>
      <c r="I1043" s="8" t="s">
        <v>3832</v>
      </c>
      <c r="J1043" s="9">
        <v>5503200</v>
      </c>
      <c r="K1043" s="8"/>
      <c r="L1043" s="8"/>
      <c r="M1043" s="8"/>
      <c r="N1043" s="42">
        <f t="shared" si="354"/>
        <v>5503200</v>
      </c>
      <c r="O1043" s="42"/>
      <c r="P1043" s="42">
        <f t="shared" si="359"/>
        <v>5503200</v>
      </c>
      <c r="Q1043" s="42">
        <f t="shared" si="356"/>
        <v>5503200</v>
      </c>
      <c r="R1043" s="5"/>
    </row>
    <row r="1044" spans="1:18" ht="13.5" x14ac:dyDescent="0.2">
      <c r="A1044" s="47" t="s">
        <v>2096</v>
      </c>
      <c r="B1044" s="47" t="s">
        <v>3333</v>
      </c>
      <c r="C1044" s="21" t="s">
        <v>3739</v>
      </c>
      <c r="D1044" s="47" t="s">
        <v>3752</v>
      </c>
      <c r="E1044" s="21" t="s">
        <v>31</v>
      </c>
      <c r="F1044" s="47" t="s">
        <v>32</v>
      </c>
      <c r="G1044" s="21" t="s">
        <v>3836</v>
      </c>
      <c r="H1044" s="7" t="s">
        <v>3837</v>
      </c>
      <c r="I1044" s="8" t="s">
        <v>3839</v>
      </c>
      <c r="J1044" s="9">
        <v>8910880</v>
      </c>
      <c r="K1044" s="8"/>
      <c r="L1044" s="8"/>
      <c r="M1044" s="8"/>
      <c r="N1044" s="42">
        <f t="shared" si="354"/>
        <v>8910880</v>
      </c>
      <c r="O1044" s="42"/>
      <c r="P1044" s="42">
        <f t="shared" si="359"/>
        <v>8910880</v>
      </c>
      <c r="Q1044" s="42">
        <f t="shared" si="356"/>
        <v>8910880</v>
      </c>
      <c r="R1044" s="5"/>
    </row>
    <row r="1045" spans="1:18" ht="13.5" x14ac:dyDescent="0.2">
      <c r="A1045" s="47" t="s">
        <v>2096</v>
      </c>
      <c r="B1045" s="47" t="s">
        <v>3333</v>
      </c>
      <c r="C1045" s="21" t="s">
        <v>3739</v>
      </c>
      <c r="D1045" s="47" t="s">
        <v>3752</v>
      </c>
      <c r="E1045" s="21" t="s">
        <v>31</v>
      </c>
      <c r="F1045" s="47" t="s">
        <v>32</v>
      </c>
      <c r="G1045" s="21" t="s">
        <v>3836</v>
      </c>
      <c r="H1045" s="7" t="s">
        <v>3837</v>
      </c>
      <c r="I1045" s="8" t="s">
        <v>3888</v>
      </c>
      <c r="J1045" s="9">
        <v>2649800</v>
      </c>
      <c r="K1045" s="8"/>
      <c r="L1045" s="8"/>
      <c r="M1045" s="8"/>
      <c r="N1045" s="42">
        <f t="shared" si="354"/>
        <v>2649800</v>
      </c>
      <c r="O1045" s="42"/>
      <c r="P1045" s="42">
        <f t="shared" si="359"/>
        <v>2649800</v>
      </c>
      <c r="Q1045" s="42">
        <f t="shared" si="356"/>
        <v>2649800</v>
      </c>
      <c r="R1045" s="5"/>
    </row>
    <row r="1046" spans="1:18" ht="13.5" x14ac:dyDescent="0.2">
      <c r="A1046" s="47" t="s">
        <v>2096</v>
      </c>
      <c r="B1046" s="47" t="s">
        <v>3333</v>
      </c>
      <c r="C1046" s="21" t="s">
        <v>3739</v>
      </c>
      <c r="D1046" s="47" t="s">
        <v>3752</v>
      </c>
      <c r="E1046" s="21" t="s">
        <v>31</v>
      </c>
      <c r="F1046" s="47" t="s">
        <v>32</v>
      </c>
      <c r="G1046" s="21" t="s">
        <v>3892</v>
      </c>
      <c r="H1046" s="7" t="s">
        <v>3893</v>
      </c>
      <c r="I1046" s="8" t="s">
        <v>3898</v>
      </c>
      <c r="J1046" s="9">
        <v>3298000</v>
      </c>
      <c r="K1046" s="8"/>
      <c r="L1046" s="8"/>
      <c r="M1046" s="8"/>
      <c r="N1046" s="42">
        <f t="shared" si="354"/>
        <v>3298000</v>
      </c>
      <c r="O1046" s="42"/>
      <c r="P1046" s="42">
        <f t="shared" si="359"/>
        <v>3298000</v>
      </c>
      <c r="Q1046" s="42">
        <f t="shared" si="356"/>
        <v>3298000</v>
      </c>
      <c r="R1046" s="5"/>
    </row>
    <row r="1047" spans="1:18" ht="13.5" x14ac:dyDescent="0.2">
      <c r="A1047" s="47" t="s">
        <v>2096</v>
      </c>
      <c r="B1047" s="47" t="s">
        <v>3333</v>
      </c>
      <c r="C1047" s="21" t="s">
        <v>3739</v>
      </c>
      <c r="D1047" s="47" t="s">
        <v>3752</v>
      </c>
      <c r="E1047" s="21" t="s">
        <v>31</v>
      </c>
      <c r="F1047" s="47" t="s">
        <v>32</v>
      </c>
      <c r="G1047" s="21" t="s">
        <v>3892</v>
      </c>
      <c r="H1047" s="7" t="s">
        <v>3893</v>
      </c>
      <c r="I1047" s="8" t="s">
        <v>3896</v>
      </c>
      <c r="J1047" s="9">
        <v>7650000</v>
      </c>
      <c r="K1047" s="8"/>
      <c r="L1047" s="8"/>
      <c r="M1047" s="8"/>
      <c r="N1047" s="42">
        <f t="shared" si="354"/>
        <v>7650000</v>
      </c>
      <c r="O1047" s="42"/>
      <c r="P1047" s="42">
        <f t="shared" si="359"/>
        <v>7650000</v>
      </c>
      <c r="Q1047" s="42">
        <f t="shared" si="356"/>
        <v>7650000</v>
      </c>
      <c r="R1047" s="5"/>
    </row>
    <row r="1048" spans="1:18" ht="13.5" x14ac:dyDescent="0.2">
      <c r="A1048" s="47" t="s">
        <v>2096</v>
      </c>
      <c r="B1048" s="47" t="s">
        <v>3333</v>
      </c>
      <c r="C1048" s="21" t="s">
        <v>3739</v>
      </c>
      <c r="D1048" s="47" t="s">
        <v>3752</v>
      </c>
      <c r="E1048" s="21" t="s">
        <v>41</v>
      </c>
      <c r="F1048" s="47" t="s">
        <v>32</v>
      </c>
      <c r="G1048" s="21" t="s">
        <v>3753</v>
      </c>
      <c r="H1048" s="7" t="s">
        <v>3754</v>
      </c>
      <c r="I1048" s="8" t="s">
        <v>3812</v>
      </c>
      <c r="J1048" s="9">
        <v>3474000</v>
      </c>
      <c r="K1048" s="8"/>
      <c r="L1048" s="42">
        <f t="shared" ref="L1048:L1063" si="360">J1048*1.5</f>
        <v>5211000</v>
      </c>
      <c r="M1048" s="8"/>
      <c r="N1048" s="42">
        <f t="shared" ref="N1048:N1080" si="361">SUM(K1048:M1048)</f>
        <v>5211000</v>
      </c>
      <c r="O1048" s="42">
        <f>N1048*1.5</f>
        <v>7816500</v>
      </c>
      <c r="P1048" s="42"/>
      <c r="Q1048" s="42">
        <f t="shared" si="356"/>
        <v>7816500</v>
      </c>
    </row>
    <row r="1049" spans="1:18" ht="13.5" x14ac:dyDescent="0.2">
      <c r="A1049" s="47" t="s">
        <v>2096</v>
      </c>
      <c r="B1049" s="47" t="s">
        <v>3333</v>
      </c>
      <c r="C1049" s="21" t="s">
        <v>3739</v>
      </c>
      <c r="D1049" s="47" t="s">
        <v>3752</v>
      </c>
      <c r="E1049" s="21" t="s">
        <v>41</v>
      </c>
      <c r="F1049" s="47" t="s">
        <v>32</v>
      </c>
      <c r="G1049" s="21" t="s">
        <v>3753</v>
      </c>
      <c r="H1049" s="7" t="s">
        <v>3754</v>
      </c>
      <c r="I1049" s="8" t="s">
        <v>3787</v>
      </c>
      <c r="J1049" s="9">
        <v>9832000</v>
      </c>
      <c r="K1049" s="8"/>
      <c r="L1049" s="42">
        <f t="shared" si="360"/>
        <v>14748000</v>
      </c>
      <c r="M1049" s="8"/>
      <c r="N1049" s="42">
        <f t="shared" si="361"/>
        <v>14748000</v>
      </c>
      <c r="O1049" s="42"/>
      <c r="P1049" s="42">
        <f>N1049</f>
        <v>14748000</v>
      </c>
      <c r="Q1049" s="42">
        <f t="shared" si="356"/>
        <v>14748000</v>
      </c>
      <c r="R1049" s="5"/>
    </row>
    <row r="1050" spans="1:18" ht="13.5" x14ac:dyDescent="0.2">
      <c r="A1050" s="47" t="s">
        <v>2096</v>
      </c>
      <c r="B1050" s="47" t="s">
        <v>3333</v>
      </c>
      <c r="C1050" s="21" t="s">
        <v>3739</v>
      </c>
      <c r="D1050" s="47" t="s">
        <v>3752</v>
      </c>
      <c r="E1050" s="21" t="s">
        <v>41</v>
      </c>
      <c r="F1050" s="47" t="s">
        <v>32</v>
      </c>
      <c r="G1050" s="21" t="s">
        <v>3753</v>
      </c>
      <c r="H1050" s="7" t="s">
        <v>3754</v>
      </c>
      <c r="I1050" s="8" t="s">
        <v>3826</v>
      </c>
      <c r="J1050" s="9">
        <v>2538000</v>
      </c>
      <c r="K1050" s="8"/>
      <c r="L1050" s="42">
        <f t="shared" si="360"/>
        <v>3807000</v>
      </c>
      <c r="M1050" s="8"/>
      <c r="N1050" s="42">
        <f t="shared" si="361"/>
        <v>3807000</v>
      </c>
      <c r="O1050" s="42">
        <f>N1050*1.5</f>
        <v>5710500</v>
      </c>
      <c r="P1050" s="42"/>
      <c r="Q1050" s="42">
        <f t="shared" si="356"/>
        <v>5710500</v>
      </c>
    </row>
    <row r="1051" spans="1:18" ht="13.5" x14ac:dyDescent="0.2">
      <c r="A1051" s="47" t="s">
        <v>2096</v>
      </c>
      <c r="B1051" s="47" t="s">
        <v>3333</v>
      </c>
      <c r="C1051" s="21" t="s">
        <v>3739</v>
      </c>
      <c r="D1051" s="47" t="s">
        <v>3752</v>
      </c>
      <c r="E1051" s="21" t="s">
        <v>41</v>
      </c>
      <c r="F1051" s="47" t="s">
        <v>32</v>
      </c>
      <c r="G1051" s="21" t="s">
        <v>3753</v>
      </c>
      <c r="H1051" s="7" t="s">
        <v>3754</v>
      </c>
      <c r="I1051" s="8" t="s">
        <v>3797</v>
      </c>
      <c r="J1051" s="9">
        <v>2038000</v>
      </c>
      <c r="K1051" s="8"/>
      <c r="L1051" s="42">
        <f t="shared" si="360"/>
        <v>3057000</v>
      </c>
      <c r="M1051" s="8"/>
      <c r="N1051" s="42">
        <f t="shared" si="361"/>
        <v>3057000</v>
      </c>
      <c r="O1051" s="42"/>
      <c r="P1051" s="42">
        <f t="shared" ref="P1051:P1055" si="362">N1051</f>
        <v>3057000</v>
      </c>
      <c r="Q1051" s="42">
        <f t="shared" si="356"/>
        <v>3057000</v>
      </c>
      <c r="R1051" s="5"/>
    </row>
    <row r="1052" spans="1:18" ht="13.5" x14ac:dyDescent="0.2">
      <c r="A1052" s="47" t="s">
        <v>2096</v>
      </c>
      <c r="B1052" s="47" t="s">
        <v>3333</v>
      </c>
      <c r="C1052" s="21" t="s">
        <v>3739</v>
      </c>
      <c r="D1052" s="47" t="s">
        <v>3752</v>
      </c>
      <c r="E1052" s="21" t="s">
        <v>41</v>
      </c>
      <c r="F1052" s="47" t="s">
        <v>32</v>
      </c>
      <c r="G1052" s="21" t="s">
        <v>3753</v>
      </c>
      <c r="H1052" s="7" t="s">
        <v>3754</v>
      </c>
      <c r="I1052" s="8" t="s">
        <v>3757</v>
      </c>
      <c r="J1052" s="9">
        <v>6438000</v>
      </c>
      <c r="K1052" s="8"/>
      <c r="L1052" s="42">
        <f t="shared" si="360"/>
        <v>9657000</v>
      </c>
      <c r="M1052" s="8"/>
      <c r="N1052" s="42">
        <f t="shared" si="361"/>
        <v>9657000</v>
      </c>
      <c r="O1052" s="42"/>
      <c r="P1052" s="42">
        <f t="shared" si="362"/>
        <v>9657000</v>
      </c>
      <c r="Q1052" s="42">
        <f t="shared" si="356"/>
        <v>9657000</v>
      </c>
      <c r="R1052" s="5"/>
    </row>
    <row r="1053" spans="1:18" ht="13.5" x14ac:dyDescent="0.2">
      <c r="A1053" s="47" t="s">
        <v>2096</v>
      </c>
      <c r="B1053" s="47" t="s">
        <v>3333</v>
      </c>
      <c r="C1053" s="21" t="s">
        <v>3739</v>
      </c>
      <c r="D1053" s="47" t="s">
        <v>3752</v>
      </c>
      <c r="E1053" s="21" t="s">
        <v>41</v>
      </c>
      <c r="F1053" s="47" t="s">
        <v>32</v>
      </c>
      <c r="G1053" s="21" t="s">
        <v>3753</v>
      </c>
      <c r="H1053" s="7" t="s">
        <v>3754</v>
      </c>
      <c r="I1053" s="8" t="s">
        <v>3765</v>
      </c>
      <c r="J1053" s="9">
        <v>2905800</v>
      </c>
      <c r="K1053" s="8"/>
      <c r="L1053" s="42">
        <f t="shared" si="360"/>
        <v>4358700</v>
      </c>
      <c r="M1053" s="8"/>
      <c r="N1053" s="42">
        <f t="shared" si="361"/>
        <v>4358700</v>
      </c>
      <c r="O1053" s="42"/>
      <c r="P1053" s="42">
        <f t="shared" si="362"/>
        <v>4358700</v>
      </c>
      <c r="Q1053" s="42">
        <f t="shared" si="356"/>
        <v>4358700</v>
      </c>
      <c r="R1053" s="5"/>
    </row>
    <row r="1054" spans="1:18" ht="13.5" x14ac:dyDescent="0.2">
      <c r="A1054" s="47" t="s">
        <v>2096</v>
      </c>
      <c r="B1054" s="47" t="s">
        <v>3333</v>
      </c>
      <c r="C1054" s="21" t="s">
        <v>3739</v>
      </c>
      <c r="D1054" s="47" t="s">
        <v>3752</v>
      </c>
      <c r="E1054" s="21" t="s">
        <v>41</v>
      </c>
      <c r="F1054" s="47" t="s">
        <v>32</v>
      </c>
      <c r="G1054" s="21" t="s">
        <v>3753</v>
      </c>
      <c r="H1054" s="7" t="s">
        <v>3754</v>
      </c>
      <c r="I1054" s="8" t="s">
        <v>3834</v>
      </c>
      <c r="J1054" s="9">
        <v>4199700</v>
      </c>
      <c r="K1054" s="8"/>
      <c r="L1054" s="42">
        <f t="shared" si="360"/>
        <v>6299550</v>
      </c>
      <c r="M1054" s="8"/>
      <c r="N1054" s="42">
        <f t="shared" si="361"/>
        <v>6299550</v>
      </c>
      <c r="O1054" s="42"/>
      <c r="P1054" s="42">
        <f t="shared" si="362"/>
        <v>6299550</v>
      </c>
      <c r="Q1054" s="42">
        <f t="shared" si="356"/>
        <v>6299550</v>
      </c>
      <c r="R1054" s="5"/>
    </row>
    <row r="1055" spans="1:18" ht="13.5" x14ac:dyDescent="0.2">
      <c r="A1055" s="47" t="s">
        <v>2096</v>
      </c>
      <c r="B1055" s="47" t="s">
        <v>3333</v>
      </c>
      <c r="C1055" s="21" t="s">
        <v>3739</v>
      </c>
      <c r="D1055" s="47" t="s">
        <v>3752</v>
      </c>
      <c r="E1055" s="21" t="s">
        <v>41</v>
      </c>
      <c r="F1055" s="47" t="s">
        <v>32</v>
      </c>
      <c r="G1055" s="21" t="s">
        <v>3753</v>
      </c>
      <c r="H1055" s="7" t="s">
        <v>3754</v>
      </c>
      <c r="I1055" s="8" t="s">
        <v>3789</v>
      </c>
      <c r="J1055" s="9">
        <v>5188400</v>
      </c>
      <c r="K1055" s="8"/>
      <c r="L1055" s="42">
        <f t="shared" si="360"/>
        <v>7782600</v>
      </c>
      <c r="M1055" s="8"/>
      <c r="N1055" s="42">
        <f t="shared" si="361"/>
        <v>7782600</v>
      </c>
      <c r="O1055" s="42"/>
      <c r="P1055" s="42">
        <f t="shared" si="362"/>
        <v>7782600</v>
      </c>
      <c r="Q1055" s="42">
        <f t="shared" si="356"/>
        <v>7782600</v>
      </c>
      <c r="R1055" s="5"/>
    </row>
    <row r="1056" spans="1:18" ht="13.5" x14ac:dyDescent="0.2">
      <c r="A1056" s="47" t="s">
        <v>2096</v>
      </c>
      <c r="B1056" s="47" t="s">
        <v>3333</v>
      </c>
      <c r="C1056" s="21" t="s">
        <v>3739</v>
      </c>
      <c r="D1056" s="47" t="s">
        <v>3752</v>
      </c>
      <c r="E1056" s="21" t="s">
        <v>41</v>
      </c>
      <c r="F1056" s="47" t="s">
        <v>32</v>
      </c>
      <c r="G1056" s="21" t="s">
        <v>3753</v>
      </c>
      <c r="H1056" s="7" t="s">
        <v>3754</v>
      </c>
      <c r="I1056" s="8" t="s">
        <v>3771</v>
      </c>
      <c r="J1056" s="9">
        <v>2174200</v>
      </c>
      <c r="K1056" s="8"/>
      <c r="L1056" s="42">
        <f t="shared" si="360"/>
        <v>3261300</v>
      </c>
      <c r="M1056" s="8"/>
      <c r="N1056" s="42">
        <f t="shared" si="361"/>
        <v>3261300</v>
      </c>
      <c r="O1056" s="42">
        <f t="shared" ref="O1056:O1058" si="363">N1056*1.5</f>
        <v>4891950</v>
      </c>
      <c r="P1056" s="42"/>
      <c r="Q1056" s="42">
        <f t="shared" si="356"/>
        <v>4891950</v>
      </c>
    </row>
    <row r="1057" spans="1:18" ht="13.5" x14ac:dyDescent="0.2">
      <c r="A1057" s="47" t="s">
        <v>2096</v>
      </c>
      <c r="B1057" s="47" t="s">
        <v>3333</v>
      </c>
      <c r="C1057" s="21" t="s">
        <v>3739</v>
      </c>
      <c r="D1057" s="47" t="s">
        <v>3752</v>
      </c>
      <c r="E1057" s="21" t="s">
        <v>41</v>
      </c>
      <c r="F1057" s="47" t="s">
        <v>32</v>
      </c>
      <c r="G1057" s="21" t="s">
        <v>3753</v>
      </c>
      <c r="H1057" s="7" t="s">
        <v>3754</v>
      </c>
      <c r="I1057" s="8" t="s">
        <v>3657</v>
      </c>
      <c r="J1057" s="9">
        <v>5499600</v>
      </c>
      <c r="K1057" s="8"/>
      <c r="L1057" s="42">
        <f t="shared" si="360"/>
        <v>8249400</v>
      </c>
      <c r="M1057" s="8"/>
      <c r="N1057" s="42">
        <f t="shared" si="361"/>
        <v>8249400</v>
      </c>
      <c r="O1057" s="42">
        <f t="shared" si="363"/>
        <v>12374100</v>
      </c>
      <c r="P1057" s="42"/>
      <c r="Q1057" s="42">
        <f t="shared" si="356"/>
        <v>12374100</v>
      </c>
    </row>
    <row r="1058" spans="1:18" ht="13.5" x14ac:dyDescent="0.2">
      <c r="A1058" s="47" t="s">
        <v>2096</v>
      </c>
      <c r="B1058" s="47" t="s">
        <v>3333</v>
      </c>
      <c r="C1058" s="21" t="s">
        <v>3739</v>
      </c>
      <c r="D1058" s="47" t="s">
        <v>3752</v>
      </c>
      <c r="E1058" s="21" t="s">
        <v>41</v>
      </c>
      <c r="F1058" s="47" t="s">
        <v>32</v>
      </c>
      <c r="G1058" s="21" t="s">
        <v>3836</v>
      </c>
      <c r="H1058" s="7" t="s">
        <v>3837</v>
      </c>
      <c r="I1058" s="8" t="s">
        <v>3879</v>
      </c>
      <c r="J1058" s="9">
        <v>14661900</v>
      </c>
      <c r="K1058" s="8"/>
      <c r="L1058" s="42">
        <f t="shared" si="360"/>
        <v>21992850</v>
      </c>
      <c r="M1058" s="8"/>
      <c r="N1058" s="42">
        <f t="shared" si="361"/>
        <v>21992850</v>
      </c>
      <c r="O1058" s="42">
        <f t="shared" si="363"/>
        <v>32989275</v>
      </c>
      <c r="P1058" s="42"/>
      <c r="Q1058" s="42">
        <f t="shared" si="356"/>
        <v>32989275</v>
      </c>
    </row>
    <row r="1059" spans="1:18" ht="13.5" x14ac:dyDescent="0.2">
      <c r="A1059" s="47" t="s">
        <v>2096</v>
      </c>
      <c r="B1059" s="47" t="s">
        <v>3333</v>
      </c>
      <c r="C1059" s="21" t="s">
        <v>3739</v>
      </c>
      <c r="D1059" s="47" t="s">
        <v>3752</v>
      </c>
      <c r="E1059" s="21" t="s">
        <v>41</v>
      </c>
      <c r="F1059" s="47" t="s">
        <v>32</v>
      </c>
      <c r="G1059" s="21" t="s">
        <v>3836</v>
      </c>
      <c r="H1059" s="7" t="s">
        <v>3837</v>
      </c>
      <c r="I1059" s="8" t="s">
        <v>3858</v>
      </c>
      <c r="J1059" s="9">
        <v>14849100</v>
      </c>
      <c r="K1059" s="8"/>
      <c r="L1059" s="42">
        <f t="shared" si="360"/>
        <v>22273650</v>
      </c>
      <c r="M1059" s="8"/>
      <c r="N1059" s="42">
        <f t="shared" si="361"/>
        <v>22273650</v>
      </c>
      <c r="O1059" s="42"/>
      <c r="P1059" s="42">
        <f t="shared" ref="P1059:P1063" si="364">N1059</f>
        <v>22273650</v>
      </c>
      <c r="Q1059" s="42">
        <f t="shared" si="356"/>
        <v>22273650</v>
      </c>
      <c r="R1059" s="5"/>
    </row>
    <row r="1060" spans="1:18" ht="13.5" x14ac:dyDescent="0.2">
      <c r="A1060" s="47" t="s">
        <v>2096</v>
      </c>
      <c r="B1060" s="47" t="s">
        <v>3333</v>
      </c>
      <c r="C1060" s="21" t="s">
        <v>3739</v>
      </c>
      <c r="D1060" s="47" t="s">
        <v>3752</v>
      </c>
      <c r="E1060" s="21" t="s">
        <v>41</v>
      </c>
      <c r="F1060" s="47" t="s">
        <v>32</v>
      </c>
      <c r="G1060" s="21" t="s">
        <v>3836</v>
      </c>
      <c r="H1060" s="7" t="s">
        <v>3837</v>
      </c>
      <c r="I1060" s="8" t="s">
        <v>3845</v>
      </c>
      <c r="J1060" s="9">
        <v>2115800</v>
      </c>
      <c r="K1060" s="8"/>
      <c r="L1060" s="42">
        <f t="shared" si="360"/>
        <v>3173700</v>
      </c>
      <c r="M1060" s="8"/>
      <c r="N1060" s="42">
        <f t="shared" si="361"/>
        <v>3173700</v>
      </c>
      <c r="O1060" s="42"/>
      <c r="P1060" s="42">
        <f t="shared" si="364"/>
        <v>3173700</v>
      </c>
      <c r="Q1060" s="42">
        <f t="shared" si="356"/>
        <v>3173700</v>
      </c>
      <c r="R1060" s="5"/>
    </row>
    <row r="1061" spans="1:18" ht="13.5" x14ac:dyDescent="0.2">
      <c r="A1061" s="47" t="s">
        <v>2096</v>
      </c>
      <c r="B1061" s="47" t="s">
        <v>3333</v>
      </c>
      <c r="C1061" s="21" t="s">
        <v>3739</v>
      </c>
      <c r="D1061" s="47" t="s">
        <v>3752</v>
      </c>
      <c r="E1061" s="21" t="s">
        <v>41</v>
      </c>
      <c r="F1061" s="47" t="s">
        <v>32</v>
      </c>
      <c r="G1061" s="21" t="s">
        <v>3836</v>
      </c>
      <c r="H1061" s="7" t="s">
        <v>3837</v>
      </c>
      <c r="I1061" s="8" t="s">
        <v>3861</v>
      </c>
      <c r="J1061" s="9">
        <v>3698000</v>
      </c>
      <c r="K1061" s="8"/>
      <c r="L1061" s="42">
        <f t="shared" si="360"/>
        <v>5547000</v>
      </c>
      <c r="M1061" s="8"/>
      <c r="N1061" s="42">
        <f t="shared" si="361"/>
        <v>5547000</v>
      </c>
      <c r="O1061" s="42"/>
      <c r="P1061" s="42">
        <f t="shared" si="364"/>
        <v>5547000</v>
      </c>
      <c r="Q1061" s="42">
        <f t="shared" si="356"/>
        <v>5547000</v>
      </c>
      <c r="R1061" s="5"/>
    </row>
    <row r="1062" spans="1:18" ht="13.5" x14ac:dyDescent="0.2">
      <c r="A1062" s="47" t="s">
        <v>2096</v>
      </c>
      <c r="B1062" s="47" t="s">
        <v>3333</v>
      </c>
      <c r="C1062" s="21" t="s">
        <v>3739</v>
      </c>
      <c r="D1062" s="47" t="s">
        <v>3752</v>
      </c>
      <c r="E1062" s="21" t="s">
        <v>41</v>
      </c>
      <c r="F1062" s="47" t="s">
        <v>32</v>
      </c>
      <c r="G1062" s="21" t="s">
        <v>3836</v>
      </c>
      <c r="H1062" s="7" t="s">
        <v>3837</v>
      </c>
      <c r="I1062" s="8" t="s">
        <v>3868</v>
      </c>
      <c r="J1062" s="9">
        <v>32780000</v>
      </c>
      <c r="K1062" s="8"/>
      <c r="L1062" s="42">
        <f t="shared" si="360"/>
        <v>49170000</v>
      </c>
      <c r="M1062" s="8"/>
      <c r="N1062" s="42">
        <f t="shared" si="361"/>
        <v>49170000</v>
      </c>
      <c r="O1062" s="42"/>
      <c r="P1062" s="42">
        <f t="shared" si="364"/>
        <v>49170000</v>
      </c>
      <c r="Q1062" s="42">
        <f t="shared" si="356"/>
        <v>49170000</v>
      </c>
      <c r="R1062" s="5"/>
    </row>
    <row r="1063" spans="1:18" ht="13.5" x14ac:dyDescent="0.2">
      <c r="A1063" s="47" t="s">
        <v>2096</v>
      </c>
      <c r="B1063" s="47" t="s">
        <v>3333</v>
      </c>
      <c r="C1063" s="21" t="s">
        <v>3739</v>
      </c>
      <c r="D1063" s="47" t="s">
        <v>3752</v>
      </c>
      <c r="E1063" s="21" t="s">
        <v>41</v>
      </c>
      <c r="F1063" s="47" t="s">
        <v>32</v>
      </c>
      <c r="G1063" s="21" t="s">
        <v>3892</v>
      </c>
      <c r="H1063" s="7" t="s">
        <v>3893</v>
      </c>
      <c r="I1063" s="8" t="s">
        <v>3900</v>
      </c>
      <c r="J1063" s="9">
        <v>1859000</v>
      </c>
      <c r="K1063" s="8"/>
      <c r="L1063" s="42">
        <f t="shared" si="360"/>
        <v>2788500</v>
      </c>
      <c r="M1063" s="8"/>
      <c r="N1063" s="42">
        <f t="shared" si="361"/>
        <v>2788500</v>
      </c>
      <c r="O1063" s="42"/>
      <c r="P1063" s="42">
        <f t="shared" si="364"/>
        <v>2788500</v>
      </c>
      <c r="Q1063" s="42">
        <f t="shared" si="356"/>
        <v>2788500</v>
      </c>
      <c r="R1063" s="5"/>
    </row>
    <row r="1064" spans="1:18" ht="13.5" hidden="1" x14ac:dyDescent="0.2">
      <c r="A1064" s="12" t="s">
        <v>2096</v>
      </c>
      <c r="B1064" s="12" t="s">
        <v>3333</v>
      </c>
      <c r="C1064" s="13" t="s">
        <v>3739</v>
      </c>
      <c r="D1064" s="12" t="s">
        <v>3752</v>
      </c>
      <c r="E1064" s="13" t="s">
        <v>233</v>
      </c>
      <c r="F1064" s="12" t="s">
        <v>181</v>
      </c>
      <c r="G1064" s="13" t="s">
        <v>3753</v>
      </c>
      <c r="H1064" s="12" t="s">
        <v>3754</v>
      </c>
      <c r="I1064" s="13" t="s">
        <v>3759</v>
      </c>
      <c r="J1064" s="14" t="s">
        <v>3946</v>
      </c>
      <c r="K1064" s="18"/>
      <c r="L1064" s="18"/>
      <c r="M1064" s="18"/>
      <c r="N1064" s="20" t="str">
        <f t="shared" ref="N1064:N1065" si="365">J1064</f>
        <v>-</v>
      </c>
      <c r="O1064"/>
      <c r="P1064"/>
    </row>
    <row r="1065" spans="1:18" ht="13.5" hidden="1" x14ac:dyDescent="0.2">
      <c r="A1065" s="7" t="s">
        <v>2096</v>
      </c>
      <c r="B1065" s="7" t="s">
        <v>3333</v>
      </c>
      <c r="C1065" s="8" t="s">
        <v>3739</v>
      </c>
      <c r="D1065" s="7" t="s">
        <v>3752</v>
      </c>
      <c r="E1065" s="8" t="s">
        <v>233</v>
      </c>
      <c r="F1065" s="7" t="s">
        <v>181</v>
      </c>
      <c r="G1065" s="8" t="s">
        <v>3836</v>
      </c>
      <c r="H1065" s="7" t="s">
        <v>3837</v>
      </c>
      <c r="I1065" s="8" t="s">
        <v>3890</v>
      </c>
      <c r="J1065" s="9" t="s">
        <v>3946</v>
      </c>
      <c r="K1065" s="15"/>
      <c r="L1065" s="15"/>
      <c r="M1065" s="15"/>
      <c r="N1065" s="16" t="str">
        <f t="shared" si="365"/>
        <v>-</v>
      </c>
      <c r="O1065"/>
      <c r="P1065"/>
    </row>
    <row r="1066" spans="1:18" ht="13.5" x14ac:dyDescent="0.2">
      <c r="A1066" s="47" t="s">
        <v>2096</v>
      </c>
      <c r="B1066" s="47" t="s">
        <v>3333</v>
      </c>
      <c r="C1066" s="21" t="s">
        <v>3739</v>
      </c>
      <c r="D1066" s="47" t="s">
        <v>3752</v>
      </c>
      <c r="E1066" s="21" t="s">
        <v>57</v>
      </c>
      <c r="F1066" s="47" t="s">
        <v>32</v>
      </c>
      <c r="G1066" s="21" t="s">
        <v>3753</v>
      </c>
      <c r="H1066" s="7" t="s">
        <v>3754</v>
      </c>
      <c r="I1066" s="8" t="s">
        <v>3773</v>
      </c>
      <c r="J1066" s="9">
        <v>9612000</v>
      </c>
      <c r="K1066" s="8"/>
      <c r="L1066" s="42">
        <f t="shared" ref="L1066:L1069" si="366">J1066*1.5</f>
        <v>14418000</v>
      </c>
      <c r="M1066" s="8"/>
      <c r="N1066" s="42">
        <f t="shared" si="361"/>
        <v>14418000</v>
      </c>
      <c r="O1066" s="42">
        <f>N1066*1.5</f>
        <v>21627000</v>
      </c>
      <c r="P1066" s="42"/>
      <c r="Q1066" s="42">
        <f t="shared" ref="Q1066:Q1072" si="367">SUM(O1066:P1066)</f>
        <v>21627000</v>
      </c>
    </row>
    <row r="1067" spans="1:18" ht="13.5" x14ac:dyDescent="0.2">
      <c r="A1067" s="47" t="s">
        <v>2096</v>
      </c>
      <c r="B1067" s="47" t="s">
        <v>3333</v>
      </c>
      <c r="C1067" s="21" t="s">
        <v>3739</v>
      </c>
      <c r="D1067" s="47" t="s">
        <v>3752</v>
      </c>
      <c r="E1067" s="21" t="s">
        <v>57</v>
      </c>
      <c r="F1067" s="47" t="s">
        <v>32</v>
      </c>
      <c r="G1067" s="21" t="s">
        <v>3753</v>
      </c>
      <c r="H1067" s="7" t="s">
        <v>3754</v>
      </c>
      <c r="I1067" s="8" t="s">
        <v>3799</v>
      </c>
      <c r="J1067" s="9">
        <v>3598000</v>
      </c>
      <c r="K1067" s="8"/>
      <c r="L1067" s="42">
        <f t="shared" si="366"/>
        <v>5397000</v>
      </c>
      <c r="M1067" s="8"/>
      <c r="N1067" s="42">
        <f t="shared" si="361"/>
        <v>5397000</v>
      </c>
      <c r="O1067" s="42"/>
      <c r="P1067" s="42">
        <f t="shared" ref="P1067:P1072" si="368">N1067</f>
        <v>5397000</v>
      </c>
      <c r="Q1067" s="42">
        <f t="shared" si="367"/>
        <v>5397000</v>
      </c>
      <c r="R1067" s="5"/>
    </row>
    <row r="1068" spans="1:18" ht="13.5" x14ac:dyDescent="0.2">
      <c r="A1068" s="47" t="s">
        <v>2096</v>
      </c>
      <c r="B1068" s="47" t="s">
        <v>3333</v>
      </c>
      <c r="C1068" s="21" t="s">
        <v>3739</v>
      </c>
      <c r="D1068" s="47" t="s">
        <v>3752</v>
      </c>
      <c r="E1068" s="21" t="s">
        <v>57</v>
      </c>
      <c r="F1068" s="47" t="s">
        <v>32</v>
      </c>
      <c r="G1068" s="21" t="s">
        <v>3753</v>
      </c>
      <c r="H1068" s="7" t="s">
        <v>3754</v>
      </c>
      <c r="I1068" s="8" t="s">
        <v>3761</v>
      </c>
      <c r="J1068" s="9">
        <v>4269000</v>
      </c>
      <c r="K1068" s="8"/>
      <c r="L1068" s="42">
        <f t="shared" si="366"/>
        <v>6403500</v>
      </c>
      <c r="M1068" s="8"/>
      <c r="N1068" s="42">
        <f t="shared" si="361"/>
        <v>6403500</v>
      </c>
      <c r="O1068" s="42"/>
      <c r="P1068" s="42">
        <f t="shared" si="368"/>
        <v>6403500</v>
      </c>
      <c r="Q1068" s="42">
        <f t="shared" si="367"/>
        <v>6403500</v>
      </c>
      <c r="R1068" s="5"/>
    </row>
    <row r="1069" spans="1:18" ht="13.5" x14ac:dyDescent="0.2">
      <c r="A1069" s="47" t="s">
        <v>2096</v>
      </c>
      <c r="B1069" s="47" t="s">
        <v>3333</v>
      </c>
      <c r="C1069" s="21" t="s">
        <v>3739</v>
      </c>
      <c r="D1069" s="47" t="s">
        <v>3752</v>
      </c>
      <c r="E1069" s="21" t="s">
        <v>57</v>
      </c>
      <c r="F1069" s="47" t="s">
        <v>32</v>
      </c>
      <c r="G1069" s="21" t="s">
        <v>3836</v>
      </c>
      <c r="H1069" s="7" t="s">
        <v>3837</v>
      </c>
      <c r="I1069" s="8" t="s">
        <v>3864</v>
      </c>
      <c r="J1069" s="9">
        <v>4533200</v>
      </c>
      <c r="K1069" s="8"/>
      <c r="L1069" s="42">
        <f t="shared" si="366"/>
        <v>6799800</v>
      </c>
      <c r="M1069" s="8"/>
      <c r="N1069" s="42">
        <f t="shared" si="361"/>
        <v>6799800</v>
      </c>
      <c r="O1069" s="42"/>
      <c r="P1069" s="42">
        <f t="shared" si="368"/>
        <v>6799800</v>
      </c>
      <c r="Q1069" s="42">
        <f t="shared" si="367"/>
        <v>6799800</v>
      </c>
      <c r="R1069" s="5"/>
    </row>
    <row r="1070" spans="1:18" ht="13.5" x14ac:dyDescent="0.2">
      <c r="A1070" s="47" t="s">
        <v>2096</v>
      </c>
      <c r="B1070" s="47" t="s">
        <v>3333</v>
      </c>
      <c r="C1070" s="21" t="s">
        <v>3902</v>
      </c>
      <c r="D1070" s="47" t="s">
        <v>3903</v>
      </c>
      <c r="E1070" s="21" t="s">
        <v>31</v>
      </c>
      <c r="F1070" s="47" t="s">
        <v>32</v>
      </c>
      <c r="G1070" s="21" t="s">
        <v>3904</v>
      </c>
      <c r="H1070" s="7" t="s">
        <v>3905</v>
      </c>
      <c r="I1070" s="8" t="s">
        <v>3914</v>
      </c>
      <c r="J1070" s="9">
        <v>1979800</v>
      </c>
      <c r="K1070" s="8"/>
      <c r="L1070" s="8"/>
      <c r="M1070" s="8"/>
      <c r="N1070" s="42">
        <f>J1070</f>
        <v>1979800</v>
      </c>
      <c r="O1070" s="42"/>
      <c r="P1070" s="42">
        <f t="shared" si="368"/>
        <v>1979800</v>
      </c>
      <c r="Q1070" s="42">
        <f t="shared" si="367"/>
        <v>1979800</v>
      </c>
      <c r="R1070" s="5"/>
    </row>
    <row r="1071" spans="1:18" ht="13.5" x14ac:dyDescent="0.2">
      <c r="A1071" s="47" t="s">
        <v>2096</v>
      </c>
      <c r="B1071" s="47" t="s">
        <v>3333</v>
      </c>
      <c r="C1071" s="21" t="s">
        <v>3902</v>
      </c>
      <c r="D1071" s="47" t="s">
        <v>3903</v>
      </c>
      <c r="E1071" s="21" t="s">
        <v>41</v>
      </c>
      <c r="F1071" s="47" t="s">
        <v>32</v>
      </c>
      <c r="G1071" s="21" t="s">
        <v>3904</v>
      </c>
      <c r="H1071" s="7" t="s">
        <v>3905</v>
      </c>
      <c r="I1071" s="8" t="s">
        <v>3916</v>
      </c>
      <c r="J1071" s="9">
        <v>9493200</v>
      </c>
      <c r="K1071" s="8"/>
      <c r="L1071" s="42">
        <f t="shared" ref="L1071:L1072" si="369">J1071*1.5</f>
        <v>14239800</v>
      </c>
      <c r="M1071" s="8"/>
      <c r="N1071" s="42">
        <f t="shared" si="361"/>
        <v>14239800</v>
      </c>
      <c r="O1071" s="42"/>
      <c r="P1071" s="42">
        <f t="shared" si="368"/>
        <v>14239800</v>
      </c>
      <c r="Q1071" s="42">
        <f t="shared" si="367"/>
        <v>14239800</v>
      </c>
      <c r="R1071" s="5"/>
    </row>
    <row r="1072" spans="1:18" ht="13.5" x14ac:dyDescent="0.2">
      <c r="A1072" s="47" t="s">
        <v>2096</v>
      </c>
      <c r="B1072" s="47" t="s">
        <v>3333</v>
      </c>
      <c r="C1072" s="21" t="s">
        <v>3902</v>
      </c>
      <c r="D1072" s="47" t="s">
        <v>3903</v>
      </c>
      <c r="E1072" s="21" t="s">
        <v>41</v>
      </c>
      <c r="F1072" s="47" t="s">
        <v>32</v>
      </c>
      <c r="G1072" s="21" t="s">
        <v>3904</v>
      </c>
      <c r="H1072" s="7" t="s">
        <v>3905</v>
      </c>
      <c r="I1072" s="8" t="s">
        <v>3906</v>
      </c>
      <c r="J1072" s="9">
        <v>6040400</v>
      </c>
      <c r="K1072" s="8"/>
      <c r="L1072" s="42">
        <f t="shared" si="369"/>
        <v>9060600</v>
      </c>
      <c r="M1072" s="8"/>
      <c r="N1072" s="42">
        <f t="shared" si="361"/>
        <v>9060600</v>
      </c>
      <c r="O1072" s="42"/>
      <c r="P1072" s="42">
        <f t="shared" si="368"/>
        <v>9060600</v>
      </c>
      <c r="Q1072" s="42">
        <f t="shared" si="367"/>
        <v>9060600</v>
      </c>
      <c r="R1072" s="5"/>
    </row>
    <row r="1073" spans="1:18" ht="13.5" hidden="1" x14ac:dyDescent="0.2">
      <c r="A1073" s="12" t="s">
        <v>2096</v>
      </c>
      <c r="B1073" s="12" t="s">
        <v>3333</v>
      </c>
      <c r="C1073" s="13" t="s">
        <v>3902</v>
      </c>
      <c r="D1073" s="12" t="s">
        <v>3903</v>
      </c>
      <c r="E1073" s="13" t="s">
        <v>41</v>
      </c>
      <c r="F1073" s="12" t="s">
        <v>181</v>
      </c>
      <c r="G1073" s="13" t="s">
        <v>3904</v>
      </c>
      <c r="H1073" s="12" t="s">
        <v>3905</v>
      </c>
      <c r="I1073" s="13" t="s">
        <v>3918</v>
      </c>
      <c r="J1073" s="14" t="s">
        <v>3946</v>
      </c>
      <c r="K1073" s="18"/>
      <c r="L1073" s="20"/>
      <c r="M1073" s="18"/>
      <c r="N1073" s="20" t="str">
        <f t="shared" ref="N1073:N1074" si="370">J1073</f>
        <v>-</v>
      </c>
      <c r="O1073"/>
      <c r="P1073"/>
    </row>
    <row r="1074" spans="1:18" ht="13.5" hidden="1" x14ac:dyDescent="0.2">
      <c r="A1074" s="7" t="s">
        <v>2096</v>
      </c>
      <c r="B1074" s="7" t="s">
        <v>3333</v>
      </c>
      <c r="C1074" s="8" t="s">
        <v>3902</v>
      </c>
      <c r="D1074" s="7" t="s">
        <v>3920</v>
      </c>
      <c r="E1074" s="8" t="s">
        <v>128</v>
      </c>
      <c r="F1074" s="7" t="s">
        <v>181</v>
      </c>
      <c r="G1074" s="8" t="s">
        <v>3921</v>
      </c>
      <c r="H1074" s="7" t="s">
        <v>3922</v>
      </c>
      <c r="I1074" s="8" t="s">
        <v>3924</v>
      </c>
      <c r="J1074" s="9" t="s">
        <v>3946</v>
      </c>
      <c r="K1074" s="15"/>
      <c r="L1074" s="15"/>
      <c r="M1074" s="15"/>
      <c r="N1074" s="16" t="str">
        <f t="shared" si="370"/>
        <v>-</v>
      </c>
      <c r="O1074"/>
      <c r="P1074"/>
    </row>
    <row r="1075" spans="1:18" ht="13.5" x14ac:dyDescent="0.2">
      <c r="A1075" s="47" t="s">
        <v>2096</v>
      </c>
      <c r="B1075" s="47" t="s">
        <v>3333</v>
      </c>
      <c r="C1075" s="21" t="s">
        <v>3902</v>
      </c>
      <c r="D1075" s="47" t="s">
        <v>3920</v>
      </c>
      <c r="E1075" s="21" t="s">
        <v>41</v>
      </c>
      <c r="F1075" s="47" t="s">
        <v>32</v>
      </c>
      <c r="G1075" s="21" t="s">
        <v>3921</v>
      </c>
      <c r="H1075" s="7" t="s">
        <v>3922</v>
      </c>
      <c r="I1075" s="8" t="s">
        <v>3926</v>
      </c>
      <c r="J1075" s="9">
        <v>8934000</v>
      </c>
      <c r="K1075" s="8"/>
      <c r="L1075" s="42">
        <f t="shared" ref="L1075:L1080" si="371">J1075*1.5</f>
        <v>13401000</v>
      </c>
      <c r="M1075" s="8"/>
      <c r="N1075" s="42">
        <f t="shared" si="361"/>
        <v>13401000</v>
      </c>
      <c r="O1075" s="42">
        <f>N1075*1.5</f>
        <v>20101500</v>
      </c>
      <c r="P1075" s="42"/>
      <c r="Q1075" s="42">
        <f t="shared" ref="Q1075:Q1080" si="372">SUM(O1075:P1075)</f>
        <v>20101500</v>
      </c>
    </row>
    <row r="1076" spans="1:18" ht="13.5" x14ac:dyDescent="0.2">
      <c r="A1076" s="47" t="s">
        <v>2096</v>
      </c>
      <c r="B1076" s="47" t="s">
        <v>3333</v>
      </c>
      <c r="C1076" s="21" t="s">
        <v>3902</v>
      </c>
      <c r="D1076" s="47" t="s">
        <v>3920</v>
      </c>
      <c r="E1076" s="21" t="s">
        <v>41</v>
      </c>
      <c r="F1076" s="47" t="s">
        <v>32</v>
      </c>
      <c r="G1076" s="21" t="s">
        <v>3921</v>
      </c>
      <c r="H1076" s="7" t="s">
        <v>3922</v>
      </c>
      <c r="I1076" s="8" t="s">
        <v>3931</v>
      </c>
      <c r="J1076" s="9">
        <v>10619400</v>
      </c>
      <c r="K1076" s="8"/>
      <c r="L1076" s="42">
        <f t="shared" si="371"/>
        <v>15929100</v>
      </c>
      <c r="M1076" s="8"/>
      <c r="N1076" s="42">
        <f t="shared" si="361"/>
        <v>15929100</v>
      </c>
      <c r="O1076" s="42"/>
      <c r="P1076" s="42">
        <f>N1076</f>
        <v>15929100</v>
      </c>
      <c r="Q1076" s="42">
        <f t="shared" si="372"/>
        <v>15929100</v>
      </c>
      <c r="R1076" s="5"/>
    </row>
    <row r="1077" spans="1:18" ht="13.5" x14ac:dyDescent="0.2">
      <c r="A1077" s="47" t="s">
        <v>2096</v>
      </c>
      <c r="B1077" s="47" t="s">
        <v>3333</v>
      </c>
      <c r="C1077" s="21" t="s">
        <v>3902</v>
      </c>
      <c r="D1077" s="47" t="s">
        <v>3920</v>
      </c>
      <c r="E1077" s="21" t="s">
        <v>41</v>
      </c>
      <c r="F1077" s="47" t="s">
        <v>32</v>
      </c>
      <c r="G1077" s="21" t="s">
        <v>3921</v>
      </c>
      <c r="H1077" s="7" t="s">
        <v>3922</v>
      </c>
      <c r="I1077" s="8" t="s">
        <v>1649</v>
      </c>
      <c r="J1077" s="9">
        <v>4380000</v>
      </c>
      <c r="K1077" s="8"/>
      <c r="L1077" s="42">
        <f t="shared" si="371"/>
        <v>6570000</v>
      </c>
      <c r="M1077" s="8"/>
      <c r="N1077" s="42">
        <f t="shared" si="361"/>
        <v>6570000</v>
      </c>
      <c r="O1077" s="42">
        <f>N1077*1.5</f>
        <v>9855000</v>
      </c>
      <c r="P1077" s="42"/>
      <c r="Q1077" s="42">
        <f t="shared" si="372"/>
        <v>9855000</v>
      </c>
    </row>
    <row r="1078" spans="1:18" ht="13.5" x14ac:dyDescent="0.2">
      <c r="A1078" s="47" t="s">
        <v>2096</v>
      </c>
      <c r="B1078" s="47" t="s">
        <v>3333</v>
      </c>
      <c r="C1078" s="21" t="s">
        <v>3902</v>
      </c>
      <c r="D1078" s="47" t="s">
        <v>3920</v>
      </c>
      <c r="E1078" s="21" t="s">
        <v>41</v>
      </c>
      <c r="F1078" s="47" t="s">
        <v>32</v>
      </c>
      <c r="G1078" s="21" t="s">
        <v>3921</v>
      </c>
      <c r="H1078" s="7" t="s">
        <v>3922</v>
      </c>
      <c r="I1078" s="8" t="s">
        <v>3933</v>
      </c>
      <c r="J1078" s="9">
        <v>4876000</v>
      </c>
      <c r="K1078" s="8"/>
      <c r="L1078" s="42">
        <f t="shared" si="371"/>
        <v>7314000</v>
      </c>
      <c r="M1078" s="8"/>
      <c r="N1078" s="42">
        <f t="shared" si="361"/>
        <v>7314000</v>
      </c>
      <c r="O1078" s="42"/>
      <c r="P1078" s="42">
        <f t="shared" ref="P1078:P1079" si="373">N1078</f>
        <v>7314000</v>
      </c>
      <c r="Q1078" s="42">
        <f t="shared" si="372"/>
        <v>7314000</v>
      </c>
      <c r="R1078" s="5"/>
    </row>
    <row r="1079" spans="1:18" ht="13.5" x14ac:dyDescent="0.2">
      <c r="A1079" s="47" t="s">
        <v>2096</v>
      </c>
      <c r="B1079" s="47" t="s">
        <v>3333</v>
      </c>
      <c r="C1079" s="21" t="s">
        <v>3902</v>
      </c>
      <c r="D1079" s="47" t="s">
        <v>3920</v>
      </c>
      <c r="E1079" s="21" t="s">
        <v>41</v>
      </c>
      <c r="F1079" s="47" t="s">
        <v>32</v>
      </c>
      <c r="G1079" s="21" t="s">
        <v>3921</v>
      </c>
      <c r="H1079" s="7" t="s">
        <v>3922</v>
      </c>
      <c r="I1079" s="8" t="s">
        <v>3928</v>
      </c>
      <c r="J1079" s="9">
        <v>3035700</v>
      </c>
      <c r="K1079" s="8"/>
      <c r="L1079" s="42">
        <f t="shared" si="371"/>
        <v>4553550</v>
      </c>
      <c r="M1079" s="8"/>
      <c r="N1079" s="42">
        <f t="shared" si="361"/>
        <v>4553550</v>
      </c>
      <c r="O1079" s="42"/>
      <c r="P1079" s="42">
        <f t="shared" si="373"/>
        <v>4553550</v>
      </c>
      <c r="Q1079" s="42">
        <f t="shared" si="372"/>
        <v>4553550</v>
      </c>
      <c r="R1079" s="5"/>
    </row>
    <row r="1080" spans="1:18" ht="13.5" x14ac:dyDescent="0.2">
      <c r="A1080" s="47" t="s">
        <v>2096</v>
      </c>
      <c r="B1080" s="47" t="s">
        <v>3333</v>
      </c>
      <c r="C1080" s="21" t="s">
        <v>3902</v>
      </c>
      <c r="D1080" s="47" t="s">
        <v>3920</v>
      </c>
      <c r="E1080" s="21" t="s">
        <v>41</v>
      </c>
      <c r="F1080" s="47" t="s">
        <v>32</v>
      </c>
      <c r="G1080" s="21" t="s">
        <v>3921</v>
      </c>
      <c r="H1080" s="7" t="s">
        <v>3922</v>
      </c>
      <c r="I1080" s="8" t="s">
        <v>3606</v>
      </c>
      <c r="J1080" s="9">
        <v>4560800</v>
      </c>
      <c r="K1080" s="8"/>
      <c r="L1080" s="42">
        <f t="shared" si="371"/>
        <v>6841200</v>
      </c>
      <c r="M1080" s="8"/>
      <c r="N1080" s="42">
        <f t="shared" si="361"/>
        <v>6841200</v>
      </c>
      <c r="O1080" s="42">
        <f>N1080*1.5</f>
        <v>10261800</v>
      </c>
      <c r="P1080" s="42"/>
      <c r="Q1080" s="42">
        <f t="shared" si="372"/>
        <v>10261800</v>
      </c>
    </row>
    <row r="1081" spans="1:18" ht="13.5" hidden="1" x14ac:dyDescent="0.2">
      <c r="A1081" s="12" t="s">
        <v>2096</v>
      </c>
      <c r="B1081" s="12" t="s">
        <v>3333</v>
      </c>
      <c r="C1081" s="13" t="s">
        <v>3334</v>
      </c>
      <c r="D1081" s="12" t="s">
        <v>3335</v>
      </c>
      <c r="E1081" s="13" t="s">
        <v>128</v>
      </c>
      <c r="F1081" s="12" t="s">
        <v>181</v>
      </c>
      <c r="G1081" s="13" t="s">
        <v>3369</v>
      </c>
      <c r="H1081" s="12" t="s">
        <v>3370</v>
      </c>
      <c r="I1081" s="13" t="s">
        <v>3379</v>
      </c>
      <c r="J1081" s="14" t="s">
        <v>3946</v>
      </c>
      <c r="K1081" s="18"/>
      <c r="L1081" s="18"/>
      <c r="M1081" s="18"/>
      <c r="N1081" s="20" t="str">
        <f t="shared" ref="N1081:N1098" si="374">J1081</f>
        <v>-</v>
      </c>
      <c r="O1081"/>
      <c r="P1081"/>
    </row>
    <row r="1082" spans="1:18" ht="13.5" x14ac:dyDescent="0.2">
      <c r="A1082" s="47" t="s">
        <v>2096</v>
      </c>
      <c r="B1082" s="47" t="s">
        <v>3333</v>
      </c>
      <c r="C1082" s="21" t="s">
        <v>3334</v>
      </c>
      <c r="D1082" s="47" t="s">
        <v>3335</v>
      </c>
      <c r="E1082" s="21" t="s">
        <v>31</v>
      </c>
      <c r="F1082" s="47" t="s">
        <v>32</v>
      </c>
      <c r="G1082" s="21" t="s">
        <v>3336</v>
      </c>
      <c r="H1082" s="7" t="s">
        <v>3337</v>
      </c>
      <c r="I1082" s="8" t="s">
        <v>3347</v>
      </c>
      <c r="J1082" s="9">
        <v>3164000</v>
      </c>
      <c r="K1082" s="8"/>
      <c r="L1082" s="8"/>
      <c r="M1082" s="8"/>
      <c r="N1082" s="42">
        <f t="shared" si="374"/>
        <v>3164000</v>
      </c>
      <c r="O1082" s="42"/>
      <c r="P1082" s="42">
        <f t="shared" ref="P1082:P1087" si="375">N1082</f>
        <v>3164000</v>
      </c>
      <c r="Q1082" s="42">
        <f t="shared" ref="Q1082:Q1102" si="376">SUM(O1082:P1082)</f>
        <v>3164000</v>
      </c>
      <c r="R1082" s="5"/>
    </row>
    <row r="1083" spans="1:18" ht="13.5" x14ac:dyDescent="0.2">
      <c r="A1083" s="47" t="s">
        <v>2096</v>
      </c>
      <c r="B1083" s="47" t="s">
        <v>3333</v>
      </c>
      <c r="C1083" s="21" t="s">
        <v>3334</v>
      </c>
      <c r="D1083" s="47" t="s">
        <v>3335</v>
      </c>
      <c r="E1083" s="21" t="s">
        <v>31</v>
      </c>
      <c r="F1083" s="47" t="s">
        <v>32</v>
      </c>
      <c r="G1083" s="21" t="s">
        <v>3336</v>
      </c>
      <c r="H1083" s="7" t="s">
        <v>3337</v>
      </c>
      <c r="I1083" s="8" t="s">
        <v>3355</v>
      </c>
      <c r="J1083" s="9">
        <v>698000</v>
      </c>
      <c r="K1083" s="8"/>
      <c r="L1083" s="8"/>
      <c r="M1083" s="8"/>
      <c r="N1083" s="42">
        <f t="shared" si="374"/>
        <v>698000</v>
      </c>
      <c r="O1083" s="42"/>
      <c r="P1083" s="42">
        <f t="shared" si="375"/>
        <v>698000</v>
      </c>
      <c r="Q1083" s="42">
        <f t="shared" si="376"/>
        <v>698000</v>
      </c>
      <c r="R1083" s="5"/>
    </row>
    <row r="1084" spans="1:18" ht="13.5" x14ac:dyDescent="0.2">
      <c r="A1084" s="47" t="s">
        <v>2096</v>
      </c>
      <c r="B1084" s="47" t="s">
        <v>3333</v>
      </c>
      <c r="C1084" s="21" t="s">
        <v>3334</v>
      </c>
      <c r="D1084" s="47" t="s">
        <v>3335</v>
      </c>
      <c r="E1084" s="21" t="s">
        <v>31</v>
      </c>
      <c r="F1084" s="47" t="s">
        <v>32</v>
      </c>
      <c r="G1084" s="21" t="s">
        <v>3336</v>
      </c>
      <c r="H1084" s="7" t="s">
        <v>3337</v>
      </c>
      <c r="I1084" s="8" t="s">
        <v>3343</v>
      </c>
      <c r="J1084" s="9">
        <v>1046610</v>
      </c>
      <c r="K1084" s="8"/>
      <c r="L1084" s="8"/>
      <c r="M1084" s="8"/>
      <c r="N1084" s="42">
        <f t="shared" si="374"/>
        <v>1046610</v>
      </c>
      <c r="O1084" s="42"/>
      <c r="P1084" s="42">
        <f t="shared" si="375"/>
        <v>1046610</v>
      </c>
      <c r="Q1084" s="42">
        <f t="shared" si="376"/>
        <v>1046610</v>
      </c>
      <c r="R1084" s="5"/>
    </row>
    <row r="1085" spans="1:18" ht="13.5" x14ac:dyDescent="0.2">
      <c r="A1085" s="47" t="s">
        <v>2096</v>
      </c>
      <c r="B1085" s="47" t="s">
        <v>3333</v>
      </c>
      <c r="C1085" s="21" t="s">
        <v>3334</v>
      </c>
      <c r="D1085" s="47" t="s">
        <v>3335</v>
      </c>
      <c r="E1085" s="21" t="s">
        <v>31</v>
      </c>
      <c r="F1085" s="47" t="s">
        <v>32</v>
      </c>
      <c r="G1085" s="21" t="s">
        <v>3336</v>
      </c>
      <c r="H1085" s="7" t="s">
        <v>3337</v>
      </c>
      <c r="I1085" s="8" t="s">
        <v>3349</v>
      </c>
      <c r="J1085" s="9">
        <v>3258000</v>
      </c>
      <c r="K1085" s="8"/>
      <c r="L1085" s="8"/>
      <c r="M1085" s="8"/>
      <c r="N1085" s="42">
        <f t="shared" si="374"/>
        <v>3258000</v>
      </c>
      <c r="O1085" s="42"/>
      <c r="P1085" s="42">
        <f t="shared" si="375"/>
        <v>3258000</v>
      </c>
      <c r="Q1085" s="42">
        <f t="shared" si="376"/>
        <v>3258000</v>
      </c>
      <c r="R1085" s="5"/>
    </row>
    <row r="1086" spans="1:18" ht="13.5" x14ac:dyDescent="0.2">
      <c r="A1086" s="47" t="s">
        <v>2096</v>
      </c>
      <c r="B1086" s="47" t="s">
        <v>3333</v>
      </c>
      <c r="C1086" s="21" t="s">
        <v>3334</v>
      </c>
      <c r="D1086" s="47" t="s">
        <v>3335</v>
      </c>
      <c r="E1086" s="21" t="s">
        <v>31</v>
      </c>
      <c r="F1086" s="47" t="s">
        <v>32</v>
      </c>
      <c r="G1086" s="21" t="s">
        <v>3336</v>
      </c>
      <c r="H1086" s="7" t="s">
        <v>3337</v>
      </c>
      <c r="I1086" s="8" t="s">
        <v>3338</v>
      </c>
      <c r="J1086" s="9">
        <v>1668800</v>
      </c>
      <c r="K1086" s="8"/>
      <c r="L1086" s="8"/>
      <c r="M1086" s="8"/>
      <c r="N1086" s="42">
        <f t="shared" si="374"/>
        <v>1668800</v>
      </c>
      <c r="O1086" s="42"/>
      <c r="P1086" s="42">
        <f t="shared" si="375"/>
        <v>1668800</v>
      </c>
      <c r="Q1086" s="42">
        <f t="shared" si="376"/>
        <v>1668800</v>
      </c>
      <c r="R1086" s="5"/>
    </row>
    <row r="1087" spans="1:18" ht="13.5" x14ac:dyDescent="0.2">
      <c r="A1087" s="47" t="s">
        <v>2096</v>
      </c>
      <c r="B1087" s="47" t="s">
        <v>3333</v>
      </c>
      <c r="C1087" s="21" t="s">
        <v>3334</v>
      </c>
      <c r="D1087" s="47" t="s">
        <v>3335</v>
      </c>
      <c r="E1087" s="21" t="s">
        <v>31</v>
      </c>
      <c r="F1087" s="47" t="s">
        <v>32</v>
      </c>
      <c r="G1087" s="21" t="s">
        <v>3336</v>
      </c>
      <c r="H1087" s="7" t="s">
        <v>3337</v>
      </c>
      <c r="I1087" s="8" t="s">
        <v>3359</v>
      </c>
      <c r="J1087" s="9">
        <v>1349900</v>
      </c>
      <c r="K1087" s="8"/>
      <c r="L1087" s="8"/>
      <c r="M1087" s="8"/>
      <c r="N1087" s="42">
        <f t="shared" si="374"/>
        <v>1349900</v>
      </c>
      <c r="O1087" s="42"/>
      <c r="P1087" s="42">
        <f t="shared" si="375"/>
        <v>1349900</v>
      </c>
      <c r="Q1087" s="42">
        <f t="shared" si="376"/>
        <v>1349900</v>
      </c>
      <c r="R1087" s="5"/>
    </row>
    <row r="1088" spans="1:18" ht="13.5" x14ac:dyDescent="0.2">
      <c r="A1088" s="47" t="s">
        <v>2096</v>
      </c>
      <c r="B1088" s="47" t="s">
        <v>3333</v>
      </c>
      <c r="C1088" s="21" t="s">
        <v>3334</v>
      </c>
      <c r="D1088" s="47" t="s">
        <v>3335</v>
      </c>
      <c r="E1088" s="21" t="s">
        <v>31</v>
      </c>
      <c r="F1088" s="47" t="s">
        <v>32</v>
      </c>
      <c r="G1088" s="21" t="s">
        <v>3336</v>
      </c>
      <c r="H1088" s="7" t="s">
        <v>3337</v>
      </c>
      <c r="I1088" s="8" t="s">
        <v>3351</v>
      </c>
      <c r="J1088" s="9">
        <v>886000</v>
      </c>
      <c r="K1088" s="8"/>
      <c r="L1088" s="8"/>
      <c r="M1088" s="8"/>
      <c r="N1088" s="42">
        <f t="shared" si="374"/>
        <v>886000</v>
      </c>
      <c r="O1088" s="42">
        <f>N1088*1.5</f>
        <v>1329000</v>
      </c>
      <c r="P1088" s="42"/>
      <c r="Q1088" s="42">
        <f t="shared" si="376"/>
        <v>1329000</v>
      </c>
    </row>
    <row r="1089" spans="1:18" ht="13.5" x14ac:dyDescent="0.2">
      <c r="A1089" s="47" t="s">
        <v>2096</v>
      </c>
      <c r="B1089" s="47" t="s">
        <v>3333</v>
      </c>
      <c r="C1089" s="21" t="s">
        <v>3334</v>
      </c>
      <c r="D1089" s="47" t="s">
        <v>3335</v>
      </c>
      <c r="E1089" s="21" t="s">
        <v>31</v>
      </c>
      <c r="F1089" s="47" t="s">
        <v>32</v>
      </c>
      <c r="G1089" s="21" t="s">
        <v>3336</v>
      </c>
      <c r="H1089" s="7" t="s">
        <v>3337</v>
      </c>
      <c r="I1089" s="8" t="s">
        <v>3353</v>
      </c>
      <c r="J1089" s="9">
        <v>2872800</v>
      </c>
      <c r="K1089" s="8"/>
      <c r="L1089" s="8"/>
      <c r="M1089" s="8"/>
      <c r="N1089" s="42">
        <f t="shared" si="374"/>
        <v>2872800</v>
      </c>
      <c r="O1089" s="42"/>
      <c r="P1089" s="42">
        <f t="shared" ref="P1089:P1090" si="377">N1089</f>
        <v>2872800</v>
      </c>
      <c r="Q1089" s="42">
        <f t="shared" si="376"/>
        <v>2872800</v>
      </c>
      <c r="R1089" s="5"/>
    </row>
    <row r="1090" spans="1:18" ht="13.5" x14ac:dyDescent="0.2">
      <c r="A1090" s="47" t="s">
        <v>2096</v>
      </c>
      <c r="B1090" s="47" t="s">
        <v>3333</v>
      </c>
      <c r="C1090" s="21" t="s">
        <v>3334</v>
      </c>
      <c r="D1090" s="47" t="s">
        <v>3335</v>
      </c>
      <c r="E1090" s="21" t="s">
        <v>31</v>
      </c>
      <c r="F1090" s="47" t="s">
        <v>32</v>
      </c>
      <c r="G1090" s="21" t="s">
        <v>3336</v>
      </c>
      <c r="H1090" s="7" t="s">
        <v>3337</v>
      </c>
      <c r="I1090" s="8" t="s">
        <v>3357</v>
      </c>
      <c r="J1090" s="9">
        <v>2598000</v>
      </c>
      <c r="K1090" s="8"/>
      <c r="L1090" s="8"/>
      <c r="M1090" s="8"/>
      <c r="N1090" s="42">
        <f t="shared" si="374"/>
        <v>2598000</v>
      </c>
      <c r="O1090" s="42"/>
      <c r="P1090" s="42">
        <f t="shared" si="377"/>
        <v>2598000</v>
      </c>
      <c r="Q1090" s="42">
        <f t="shared" si="376"/>
        <v>2598000</v>
      </c>
      <c r="R1090" s="5"/>
    </row>
    <row r="1091" spans="1:18" ht="13.5" x14ac:dyDescent="0.2">
      <c r="A1091" s="47" t="s">
        <v>2096</v>
      </c>
      <c r="B1091" s="47" t="s">
        <v>3333</v>
      </c>
      <c r="C1091" s="21" t="s">
        <v>3334</v>
      </c>
      <c r="D1091" s="47" t="s">
        <v>3335</v>
      </c>
      <c r="E1091" s="21" t="s">
        <v>31</v>
      </c>
      <c r="F1091" s="47" t="s">
        <v>32</v>
      </c>
      <c r="G1091" s="21" t="s">
        <v>3361</v>
      </c>
      <c r="H1091" s="7" t="s">
        <v>3362</v>
      </c>
      <c r="I1091" s="8" t="s">
        <v>3367</v>
      </c>
      <c r="J1091" s="9">
        <v>3018610</v>
      </c>
      <c r="K1091" s="8"/>
      <c r="L1091" s="8"/>
      <c r="M1091" s="8"/>
      <c r="N1091" s="42">
        <f t="shared" si="374"/>
        <v>3018610</v>
      </c>
      <c r="O1091" s="42">
        <f>N1091*1.5</f>
        <v>4527915</v>
      </c>
      <c r="P1091" s="42"/>
      <c r="Q1091" s="42">
        <f t="shared" si="376"/>
        <v>4527915</v>
      </c>
    </row>
    <row r="1092" spans="1:18" ht="13.5" x14ac:dyDescent="0.2">
      <c r="A1092" s="47" t="s">
        <v>2096</v>
      </c>
      <c r="B1092" s="47" t="s">
        <v>3333</v>
      </c>
      <c r="C1092" s="21" t="s">
        <v>3334</v>
      </c>
      <c r="D1092" s="47" t="s">
        <v>3335</v>
      </c>
      <c r="E1092" s="21" t="s">
        <v>31</v>
      </c>
      <c r="F1092" s="47" t="s">
        <v>32</v>
      </c>
      <c r="G1092" s="21" t="s">
        <v>3369</v>
      </c>
      <c r="H1092" s="7" t="s">
        <v>3370</v>
      </c>
      <c r="I1092" s="8" t="s">
        <v>3377</v>
      </c>
      <c r="J1092" s="9">
        <v>3639600</v>
      </c>
      <c r="K1092" s="8"/>
      <c r="L1092" s="8"/>
      <c r="M1092" s="8"/>
      <c r="N1092" s="42">
        <f t="shared" si="374"/>
        <v>3639600</v>
      </c>
      <c r="O1092" s="42"/>
      <c r="P1092" s="42">
        <f>N1092</f>
        <v>3639600</v>
      </c>
      <c r="Q1092" s="42">
        <f t="shared" si="376"/>
        <v>3639600</v>
      </c>
      <c r="R1092" s="5"/>
    </row>
    <row r="1093" spans="1:18" ht="13.5" x14ac:dyDescent="0.2">
      <c r="A1093" s="47" t="s">
        <v>2096</v>
      </c>
      <c r="B1093" s="47" t="s">
        <v>3333</v>
      </c>
      <c r="C1093" s="21" t="s">
        <v>3334</v>
      </c>
      <c r="D1093" s="47" t="s">
        <v>3335</v>
      </c>
      <c r="E1093" s="21" t="s">
        <v>31</v>
      </c>
      <c r="F1093" s="47" t="s">
        <v>32</v>
      </c>
      <c r="G1093" s="21" t="s">
        <v>3369</v>
      </c>
      <c r="H1093" s="7" t="s">
        <v>3370</v>
      </c>
      <c r="I1093" s="8" t="s">
        <v>3371</v>
      </c>
      <c r="J1093" s="9">
        <v>6779400</v>
      </c>
      <c r="K1093" s="8"/>
      <c r="L1093" s="8"/>
      <c r="M1093" s="8"/>
      <c r="N1093" s="42">
        <f t="shared" si="374"/>
        <v>6779400</v>
      </c>
      <c r="O1093" s="42">
        <f>N1093*1.5</f>
        <v>10169100</v>
      </c>
      <c r="P1093" s="42"/>
      <c r="Q1093" s="42">
        <f t="shared" si="376"/>
        <v>10169100</v>
      </c>
    </row>
    <row r="1094" spans="1:18" ht="13.5" x14ac:dyDescent="0.2">
      <c r="A1094" s="47" t="s">
        <v>2096</v>
      </c>
      <c r="B1094" s="47" t="s">
        <v>3333</v>
      </c>
      <c r="C1094" s="21" t="s">
        <v>3334</v>
      </c>
      <c r="D1094" s="47" t="s">
        <v>3335</v>
      </c>
      <c r="E1094" s="21" t="s">
        <v>31</v>
      </c>
      <c r="F1094" s="47" t="s">
        <v>32</v>
      </c>
      <c r="G1094" s="21" t="s">
        <v>3369</v>
      </c>
      <c r="H1094" s="7" t="s">
        <v>3370</v>
      </c>
      <c r="I1094" s="8" t="s">
        <v>3373</v>
      </c>
      <c r="J1094" s="9">
        <v>359800</v>
      </c>
      <c r="K1094" s="8"/>
      <c r="L1094" s="8"/>
      <c r="M1094" s="8"/>
      <c r="N1094" s="42">
        <f t="shared" si="374"/>
        <v>359800</v>
      </c>
      <c r="O1094" s="42"/>
      <c r="P1094" s="42">
        <f t="shared" ref="P1094:P1101" si="378">N1094</f>
        <v>359800</v>
      </c>
      <c r="Q1094" s="42">
        <f t="shared" si="376"/>
        <v>359800</v>
      </c>
      <c r="R1094" s="5"/>
    </row>
    <row r="1095" spans="1:18" ht="13.5" x14ac:dyDescent="0.2">
      <c r="A1095" s="47" t="s">
        <v>2096</v>
      </c>
      <c r="B1095" s="47" t="s">
        <v>3333</v>
      </c>
      <c r="C1095" s="21" t="s">
        <v>3334</v>
      </c>
      <c r="D1095" s="47" t="s">
        <v>3335</v>
      </c>
      <c r="E1095" s="21" t="s">
        <v>31</v>
      </c>
      <c r="F1095" s="47" t="s">
        <v>32</v>
      </c>
      <c r="G1095" s="21" t="s">
        <v>3383</v>
      </c>
      <c r="H1095" s="7" t="s">
        <v>3384</v>
      </c>
      <c r="I1095" s="8" t="s">
        <v>3389</v>
      </c>
      <c r="J1095" s="9">
        <v>3040000</v>
      </c>
      <c r="K1095" s="8"/>
      <c r="L1095" s="8"/>
      <c r="M1095" s="8"/>
      <c r="N1095" s="42">
        <f t="shared" si="374"/>
        <v>3040000</v>
      </c>
      <c r="O1095" s="42"/>
      <c r="P1095" s="42">
        <f t="shared" si="378"/>
        <v>3040000</v>
      </c>
      <c r="Q1095" s="42">
        <f t="shared" si="376"/>
        <v>3040000</v>
      </c>
      <c r="R1095" s="5"/>
    </row>
    <row r="1096" spans="1:18" ht="13.5" x14ac:dyDescent="0.2">
      <c r="A1096" s="47" t="s">
        <v>2096</v>
      </c>
      <c r="B1096" s="47" t="s">
        <v>3333</v>
      </c>
      <c r="C1096" s="21" t="s">
        <v>3334</v>
      </c>
      <c r="D1096" s="47" t="s">
        <v>3335</v>
      </c>
      <c r="E1096" s="21" t="s">
        <v>31</v>
      </c>
      <c r="F1096" s="47" t="s">
        <v>32</v>
      </c>
      <c r="G1096" s="21" t="s">
        <v>3383</v>
      </c>
      <c r="H1096" s="7" t="s">
        <v>3384</v>
      </c>
      <c r="I1096" s="8" t="s">
        <v>3391</v>
      </c>
      <c r="J1096" s="9">
        <v>1668000</v>
      </c>
      <c r="K1096" s="8"/>
      <c r="L1096" s="8"/>
      <c r="M1096" s="8"/>
      <c r="N1096" s="42">
        <f t="shared" si="374"/>
        <v>1668000</v>
      </c>
      <c r="O1096" s="42"/>
      <c r="P1096" s="42">
        <f t="shared" si="378"/>
        <v>1668000</v>
      </c>
      <c r="Q1096" s="42">
        <f t="shared" si="376"/>
        <v>1668000</v>
      </c>
      <c r="R1096" s="5"/>
    </row>
    <row r="1097" spans="1:18" ht="13.5" x14ac:dyDescent="0.2">
      <c r="A1097" s="47" t="s">
        <v>2096</v>
      </c>
      <c r="B1097" s="47" t="s">
        <v>3333</v>
      </c>
      <c r="C1097" s="21" t="s">
        <v>3334</v>
      </c>
      <c r="D1097" s="47" t="s">
        <v>3335</v>
      </c>
      <c r="E1097" s="21" t="s">
        <v>31</v>
      </c>
      <c r="F1097" s="47" t="s">
        <v>32</v>
      </c>
      <c r="G1097" s="21" t="s">
        <v>3393</v>
      </c>
      <c r="H1097" s="7" t="s">
        <v>3394</v>
      </c>
      <c r="I1097" s="8" t="s">
        <v>3397</v>
      </c>
      <c r="J1097" s="9">
        <v>2596000</v>
      </c>
      <c r="K1097" s="8"/>
      <c r="L1097" s="8"/>
      <c r="M1097" s="8"/>
      <c r="N1097" s="42">
        <f t="shared" si="374"/>
        <v>2596000</v>
      </c>
      <c r="O1097" s="42"/>
      <c r="P1097" s="42">
        <f t="shared" si="378"/>
        <v>2596000</v>
      </c>
      <c r="Q1097" s="42">
        <f t="shared" si="376"/>
        <v>2596000</v>
      </c>
      <c r="R1097" s="5"/>
    </row>
    <row r="1098" spans="1:18" ht="13.5" x14ac:dyDescent="0.2">
      <c r="A1098" s="47" t="s">
        <v>2096</v>
      </c>
      <c r="B1098" s="47" t="s">
        <v>3333</v>
      </c>
      <c r="C1098" s="21" t="s">
        <v>3334</v>
      </c>
      <c r="D1098" s="47" t="s">
        <v>3335</v>
      </c>
      <c r="E1098" s="21" t="s">
        <v>31</v>
      </c>
      <c r="F1098" s="47" t="s">
        <v>32</v>
      </c>
      <c r="G1098" s="21" t="s">
        <v>3393</v>
      </c>
      <c r="H1098" s="7" t="s">
        <v>3394</v>
      </c>
      <c r="I1098" s="8" t="s">
        <v>3395</v>
      </c>
      <c r="J1098" s="9">
        <v>600000</v>
      </c>
      <c r="K1098" s="8"/>
      <c r="L1098" s="8"/>
      <c r="M1098" s="8"/>
      <c r="N1098" s="42">
        <f t="shared" si="374"/>
        <v>600000</v>
      </c>
      <c r="O1098" s="42"/>
      <c r="P1098" s="42">
        <f t="shared" si="378"/>
        <v>600000</v>
      </c>
      <c r="Q1098" s="42">
        <f t="shared" si="376"/>
        <v>600000</v>
      </c>
      <c r="R1098" s="5"/>
    </row>
    <row r="1099" spans="1:18" ht="13.5" x14ac:dyDescent="0.2">
      <c r="A1099" s="47" t="s">
        <v>2096</v>
      </c>
      <c r="B1099" s="47" t="s">
        <v>3333</v>
      </c>
      <c r="C1099" s="21" t="s">
        <v>3334</v>
      </c>
      <c r="D1099" s="47" t="s">
        <v>3335</v>
      </c>
      <c r="E1099" s="21" t="s">
        <v>41</v>
      </c>
      <c r="F1099" s="47" t="s">
        <v>32</v>
      </c>
      <c r="G1099" s="21" t="s">
        <v>3336</v>
      </c>
      <c r="H1099" s="7" t="s">
        <v>3337</v>
      </c>
      <c r="I1099" s="8" t="s">
        <v>3345</v>
      </c>
      <c r="J1099" s="9">
        <v>4596000</v>
      </c>
      <c r="K1099" s="8"/>
      <c r="L1099" s="42">
        <f t="shared" ref="L1099:L1102" si="379">J1099*1.5</f>
        <v>6894000</v>
      </c>
      <c r="M1099" s="8"/>
      <c r="N1099" s="42">
        <f t="shared" ref="N1099:N1120" si="380">SUM(K1099:M1099)</f>
        <v>6894000</v>
      </c>
      <c r="O1099" s="42"/>
      <c r="P1099" s="42">
        <f t="shared" si="378"/>
        <v>6894000</v>
      </c>
      <c r="Q1099" s="42">
        <f t="shared" si="376"/>
        <v>6894000</v>
      </c>
      <c r="R1099" s="5"/>
    </row>
    <row r="1100" spans="1:18" ht="13.5" x14ac:dyDescent="0.2">
      <c r="A1100" s="47" t="s">
        <v>2096</v>
      </c>
      <c r="B1100" s="47" t="s">
        <v>3333</v>
      </c>
      <c r="C1100" s="21" t="s">
        <v>3334</v>
      </c>
      <c r="D1100" s="47" t="s">
        <v>3335</v>
      </c>
      <c r="E1100" s="21" t="s">
        <v>41</v>
      </c>
      <c r="F1100" s="47" t="s">
        <v>32</v>
      </c>
      <c r="G1100" s="21" t="s">
        <v>3361</v>
      </c>
      <c r="H1100" s="7" t="s">
        <v>3362</v>
      </c>
      <c r="I1100" s="8" t="s">
        <v>3363</v>
      </c>
      <c r="J1100" s="9">
        <v>4239600</v>
      </c>
      <c r="K1100" s="8"/>
      <c r="L1100" s="42">
        <f t="shared" si="379"/>
        <v>6359400</v>
      </c>
      <c r="M1100" s="8"/>
      <c r="N1100" s="42">
        <f t="shared" si="380"/>
        <v>6359400</v>
      </c>
      <c r="O1100" s="42"/>
      <c r="P1100" s="42">
        <f t="shared" si="378"/>
        <v>6359400</v>
      </c>
      <c r="Q1100" s="42">
        <f t="shared" si="376"/>
        <v>6359400</v>
      </c>
      <c r="R1100" s="5"/>
    </row>
    <row r="1101" spans="1:18" ht="13.5" x14ac:dyDescent="0.2">
      <c r="A1101" s="47" t="s">
        <v>2096</v>
      </c>
      <c r="B1101" s="47" t="s">
        <v>3333</v>
      </c>
      <c r="C1101" s="21" t="s">
        <v>3334</v>
      </c>
      <c r="D1101" s="47" t="s">
        <v>3335</v>
      </c>
      <c r="E1101" s="21" t="s">
        <v>41</v>
      </c>
      <c r="F1101" s="47" t="s">
        <v>32</v>
      </c>
      <c r="G1101" s="21" t="s">
        <v>3369</v>
      </c>
      <c r="H1101" s="7" t="s">
        <v>3370</v>
      </c>
      <c r="I1101" s="8" t="s">
        <v>3381</v>
      </c>
      <c r="J1101" s="9">
        <v>9495000</v>
      </c>
      <c r="K1101" s="8"/>
      <c r="L1101" s="42">
        <f t="shared" si="379"/>
        <v>14242500</v>
      </c>
      <c r="M1101" s="8"/>
      <c r="N1101" s="42">
        <f t="shared" si="380"/>
        <v>14242500</v>
      </c>
      <c r="O1101" s="42"/>
      <c r="P1101" s="42">
        <f t="shared" si="378"/>
        <v>14242500</v>
      </c>
      <c r="Q1101" s="42">
        <f t="shared" si="376"/>
        <v>14242500</v>
      </c>
      <c r="R1101" s="5"/>
    </row>
    <row r="1102" spans="1:18" ht="13.5" x14ac:dyDescent="0.2">
      <c r="A1102" s="47" t="s">
        <v>2096</v>
      </c>
      <c r="B1102" s="47" t="s">
        <v>3333</v>
      </c>
      <c r="C1102" s="21" t="s">
        <v>3334</v>
      </c>
      <c r="D1102" s="47" t="s">
        <v>3335</v>
      </c>
      <c r="E1102" s="21" t="s">
        <v>41</v>
      </c>
      <c r="F1102" s="47" t="s">
        <v>32</v>
      </c>
      <c r="G1102" s="21" t="s">
        <v>3383</v>
      </c>
      <c r="H1102" s="7" t="s">
        <v>3384</v>
      </c>
      <c r="I1102" s="8" t="s">
        <v>3387</v>
      </c>
      <c r="J1102" s="9">
        <v>12463200</v>
      </c>
      <c r="K1102" s="8"/>
      <c r="L1102" s="42">
        <f t="shared" si="379"/>
        <v>18694800</v>
      </c>
      <c r="M1102" s="8"/>
      <c r="N1102" s="42">
        <f t="shared" si="380"/>
        <v>18694800</v>
      </c>
      <c r="O1102" s="42">
        <f>N1102*1.5</f>
        <v>28042200</v>
      </c>
      <c r="P1102" s="42"/>
      <c r="Q1102" s="42">
        <f t="shared" si="376"/>
        <v>28042200</v>
      </c>
    </row>
    <row r="1103" spans="1:18" ht="13.5" hidden="1" x14ac:dyDescent="0.2">
      <c r="A1103" s="12" t="s">
        <v>2096</v>
      </c>
      <c r="B1103" s="12" t="s">
        <v>3333</v>
      </c>
      <c r="C1103" s="13" t="s">
        <v>3334</v>
      </c>
      <c r="D1103" s="12" t="s">
        <v>3335</v>
      </c>
      <c r="E1103" s="13" t="s">
        <v>233</v>
      </c>
      <c r="F1103" s="12" t="s">
        <v>181</v>
      </c>
      <c r="G1103" s="13" t="s">
        <v>3336</v>
      </c>
      <c r="H1103" s="12" t="s">
        <v>3337</v>
      </c>
      <c r="I1103" s="13" t="s">
        <v>3341</v>
      </c>
      <c r="J1103" s="14" t="s">
        <v>3946</v>
      </c>
      <c r="K1103" s="18"/>
      <c r="L1103" s="18"/>
      <c r="M1103" s="18"/>
      <c r="N1103" s="20" t="str">
        <f>J1103</f>
        <v>-</v>
      </c>
      <c r="O1103"/>
      <c r="P1103"/>
    </row>
    <row r="1104" spans="1:18" ht="13.5" x14ac:dyDescent="0.2">
      <c r="A1104" s="47" t="s">
        <v>2096</v>
      </c>
      <c r="B1104" s="47" t="s">
        <v>3333</v>
      </c>
      <c r="C1104" s="21" t="s">
        <v>3334</v>
      </c>
      <c r="D1104" s="47" t="s">
        <v>3335</v>
      </c>
      <c r="E1104" s="21" t="s">
        <v>57</v>
      </c>
      <c r="F1104" s="47" t="s">
        <v>32</v>
      </c>
      <c r="G1104" s="21" t="s">
        <v>3361</v>
      </c>
      <c r="H1104" s="7" t="s">
        <v>3362</v>
      </c>
      <c r="I1104" s="8" t="s">
        <v>3365</v>
      </c>
      <c r="J1104" s="9">
        <v>5286000</v>
      </c>
      <c r="K1104" s="8"/>
      <c r="L1104" s="42">
        <f t="shared" ref="L1104:L1105" si="381">J1104*1.5</f>
        <v>7929000</v>
      </c>
      <c r="M1104" s="8"/>
      <c r="N1104" s="42">
        <f t="shared" si="380"/>
        <v>7929000</v>
      </c>
      <c r="O1104" s="42">
        <f>N1104*1.5</f>
        <v>11893500</v>
      </c>
      <c r="P1104" s="42"/>
      <c r="Q1104" s="42">
        <f t="shared" ref="Q1104:Q1120" si="382">SUM(O1104:P1104)</f>
        <v>11893500</v>
      </c>
    </row>
    <row r="1105" spans="1:18" ht="13.5" x14ac:dyDescent="0.2">
      <c r="A1105" s="47" t="s">
        <v>2096</v>
      </c>
      <c r="B1105" s="47" t="s">
        <v>3333</v>
      </c>
      <c r="C1105" s="21" t="s">
        <v>3334</v>
      </c>
      <c r="D1105" s="47" t="s">
        <v>3335</v>
      </c>
      <c r="E1105" s="21" t="s">
        <v>57</v>
      </c>
      <c r="F1105" s="47" t="s">
        <v>32</v>
      </c>
      <c r="G1105" s="21" t="s">
        <v>3383</v>
      </c>
      <c r="H1105" s="7" t="s">
        <v>3384</v>
      </c>
      <c r="I1105" s="8" t="s">
        <v>3385</v>
      </c>
      <c r="J1105" s="9">
        <v>5339700</v>
      </c>
      <c r="K1105" s="8"/>
      <c r="L1105" s="42">
        <f t="shared" si="381"/>
        <v>8009550</v>
      </c>
      <c r="M1105" s="8"/>
      <c r="N1105" s="42">
        <f t="shared" si="380"/>
        <v>8009550</v>
      </c>
      <c r="O1105" s="42"/>
      <c r="P1105" s="42">
        <f t="shared" ref="P1105:P1106" si="383">N1105</f>
        <v>8009550</v>
      </c>
      <c r="Q1105" s="42">
        <f t="shared" si="382"/>
        <v>8009550</v>
      </c>
      <c r="R1105" s="5"/>
    </row>
    <row r="1106" spans="1:18" ht="13.5" x14ac:dyDescent="0.2">
      <c r="A1106" s="47" t="s">
        <v>2096</v>
      </c>
      <c r="B1106" s="47" t="s">
        <v>3333</v>
      </c>
      <c r="C1106" s="21" t="s">
        <v>3334</v>
      </c>
      <c r="D1106" s="47" t="s">
        <v>3399</v>
      </c>
      <c r="E1106" s="21" t="s">
        <v>128</v>
      </c>
      <c r="F1106" s="47" t="s">
        <v>135</v>
      </c>
      <c r="G1106" s="21" t="s">
        <v>3400</v>
      </c>
      <c r="H1106" s="7" t="s">
        <v>3401</v>
      </c>
      <c r="I1106" s="8" t="s">
        <v>3407</v>
      </c>
      <c r="J1106" s="9">
        <v>2069700</v>
      </c>
      <c r="K1106" s="8"/>
      <c r="L1106" s="8"/>
      <c r="M1106" s="8"/>
      <c r="N1106" s="42">
        <f>J1106</f>
        <v>2069700</v>
      </c>
      <c r="O1106" s="42"/>
      <c r="P1106" s="42">
        <f t="shared" si="383"/>
        <v>2069700</v>
      </c>
      <c r="Q1106" s="42">
        <f t="shared" si="382"/>
        <v>2069700</v>
      </c>
      <c r="R1106" s="5"/>
    </row>
    <row r="1107" spans="1:18" ht="13.5" x14ac:dyDescent="0.2">
      <c r="A1107" s="47" t="s">
        <v>2096</v>
      </c>
      <c r="B1107" s="47" t="s">
        <v>3333</v>
      </c>
      <c r="C1107" s="21" t="s">
        <v>3334</v>
      </c>
      <c r="D1107" s="47" t="s">
        <v>3399</v>
      </c>
      <c r="E1107" s="21" t="s">
        <v>41</v>
      </c>
      <c r="F1107" s="47" t="s">
        <v>32</v>
      </c>
      <c r="G1107" s="21" t="s">
        <v>3400</v>
      </c>
      <c r="H1107" s="7" t="s">
        <v>3401</v>
      </c>
      <c r="I1107" s="8" t="s">
        <v>1060</v>
      </c>
      <c r="J1107" s="9">
        <v>6199600</v>
      </c>
      <c r="K1107" s="8"/>
      <c r="L1107" s="42">
        <f t="shared" ref="L1107:L1108" si="384">J1107*1.5</f>
        <v>9299400</v>
      </c>
      <c r="M1107" s="8"/>
      <c r="N1107" s="42">
        <f t="shared" si="380"/>
        <v>9299400</v>
      </c>
      <c r="O1107" s="42">
        <f t="shared" ref="O1107:O1108" si="385">N1107*1.5</f>
        <v>13949100</v>
      </c>
      <c r="P1107" s="42"/>
      <c r="Q1107" s="42">
        <f t="shared" si="382"/>
        <v>13949100</v>
      </c>
    </row>
    <row r="1108" spans="1:18" ht="13.5" x14ac:dyDescent="0.2">
      <c r="A1108" s="47" t="s">
        <v>2096</v>
      </c>
      <c r="B1108" s="47" t="s">
        <v>3333</v>
      </c>
      <c r="C1108" s="21" t="s">
        <v>3334</v>
      </c>
      <c r="D1108" s="47" t="s">
        <v>3399</v>
      </c>
      <c r="E1108" s="21" t="s">
        <v>41</v>
      </c>
      <c r="F1108" s="47" t="s">
        <v>32</v>
      </c>
      <c r="G1108" s="21" t="s">
        <v>3400</v>
      </c>
      <c r="H1108" s="7" t="s">
        <v>3401</v>
      </c>
      <c r="I1108" s="8" t="s">
        <v>3403</v>
      </c>
      <c r="J1108" s="9">
        <v>5004500</v>
      </c>
      <c r="K1108" s="8"/>
      <c r="L1108" s="42">
        <f t="shared" si="384"/>
        <v>7506750</v>
      </c>
      <c r="M1108" s="8"/>
      <c r="N1108" s="42">
        <f t="shared" si="380"/>
        <v>7506750</v>
      </c>
      <c r="O1108" s="42">
        <f t="shared" si="385"/>
        <v>11260125</v>
      </c>
      <c r="P1108" s="42"/>
      <c r="Q1108" s="42">
        <f t="shared" si="382"/>
        <v>11260125</v>
      </c>
    </row>
    <row r="1109" spans="1:18" ht="13.5" x14ac:dyDescent="0.2">
      <c r="A1109" s="47" t="s">
        <v>2096</v>
      </c>
      <c r="B1109" s="47" t="s">
        <v>3333</v>
      </c>
      <c r="C1109" s="21" t="s">
        <v>3334</v>
      </c>
      <c r="D1109" s="47" t="s">
        <v>3409</v>
      </c>
      <c r="E1109" s="21" t="s">
        <v>128</v>
      </c>
      <c r="F1109" s="47" t="s">
        <v>135</v>
      </c>
      <c r="G1109" s="21" t="s">
        <v>3410</v>
      </c>
      <c r="H1109" s="7" t="s">
        <v>3411</v>
      </c>
      <c r="I1109" s="8" t="s">
        <v>3434</v>
      </c>
      <c r="J1109" s="9">
        <v>5363100</v>
      </c>
      <c r="K1109" s="8"/>
      <c r="L1109" s="8"/>
      <c r="M1109" s="8"/>
      <c r="N1109" s="42">
        <f t="shared" ref="N1109:N1110" si="386">J1109</f>
        <v>5363100</v>
      </c>
      <c r="O1109" s="42"/>
      <c r="P1109" s="42">
        <f t="shared" ref="P1109:P1120" si="387">N1109</f>
        <v>5363100</v>
      </c>
      <c r="Q1109" s="42">
        <f t="shared" si="382"/>
        <v>5363100</v>
      </c>
      <c r="R1109" s="5"/>
    </row>
    <row r="1110" spans="1:18" ht="13.5" x14ac:dyDescent="0.2">
      <c r="A1110" s="47" t="s">
        <v>2096</v>
      </c>
      <c r="B1110" s="47" t="s">
        <v>3333</v>
      </c>
      <c r="C1110" s="21" t="s">
        <v>3334</v>
      </c>
      <c r="D1110" s="47" t="s">
        <v>3409</v>
      </c>
      <c r="E1110" s="21" t="s">
        <v>31</v>
      </c>
      <c r="F1110" s="47" t="s">
        <v>32</v>
      </c>
      <c r="G1110" s="21" t="s">
        <v>3410</v>
      </c>
      <c r="H1110" s="7" t="s">
        <v>3411</v>
      </c>
      <c r="I1110" s="8" t="s">
        <v>3420</v>
      </c>
      <c r="J1110" s="9">
        <v>6300400</v>
      </c>
      <c r="K1110" s="8"/>
      <c r="L1110" s="8"/>
      <c r="M1110" s="8"/>
      <c r="N1110" s="42">
        <f t="shared" si="386"/>
        <v>6300400</v>
      </c>
      <c r="O1110" s="42"/>
      <c r="P1110" s="42">
        <f t="shared" si="387"/>
        <v>6300400</v>
      </c>
      <c r="Q1110" s="42">
        <f t="shared" si="382"/>
        <v>6300400</v>
      </c>
      <c r="R1110" s="5"/>
    </row>
    <row r="1111" spans="1:18" ht="13.5" x14ac:dyDescent="0.2">
      <c r="A1111" s="47" t="s">
        <v>2096</v>
      </c>
      <c r="B1111" s="47" t="s">
        <v>3333</v>
      </c>
      <c r="C1111" s="21" t="s">
        <v>3334</v>
      </c>
      <c r="D1111" s="47" t="s">
        <v>3409</v>
      </c>
      <c r="E1111" s="21" t="s">
        <v>41</v>
      </c>
      <c r="F1111" s="47" t="s">
        <v>32</v>
      </c>
      <c r="G1111" s="21" t="s">
        <v>3410</v>
      </c>
      <c r="H1111" s="7" t="s">
        <v>3411</v>
      </c>
      <c r="I1111" s="8" t="s">
        <v>3430</v>
      </c>
      <c r="J1111" s="9">
        <v>7939200</v>
      </c>
      <c r="K1111" s="8"/>
      <c r="L1111" s="42">
        <f t="shared" ref="L1111:L1120" si="388">J1111*1.5</f>
        <v>11908800</v>
      </c>
      <c r="M1111" s="8"/>
      <c r="N1111" s="42">
        <f t="shared" si="380"/>
        <v>11908800</v>
      </c>
      <c r="O1111" s="42"/>
      <c r="P1111" s="42">
        <f t="shared" si="387"/>
        <v>11908800</v>
      </c>
      <c r="Q1111" s="42">
        <f t="shared" si="382"/>
        <v>11908800</v>
      </c>
      <c r="R1111" s="5"/>
    </row>
    <row r="1112" spans="1:18" ht="13.5" x14ac:dyDescent="0.2">
      <c r="A1112" s="47" t="s">
        <v>2096</v>
      </c>
      <c r="B1112" s="47" t="s">
        <v>3333</v>
      </c>
      <c r="C1112" s="21" t="s">
        <v>3334</v>
      </c>
      <c r="D1112" s="47" t="s">
        <v>3409</v>
      </c>
      <c r="E1112" s="21" t="s">
        <v>41</v>
      </c>
      <c r="F1112" s="47" t="s">
        <v>32</v>
      </c>
      <c r="G1112" s="21" t="s">
        <v>3410</v>
      </c>
      <c r="H1112" s="7" t="s">
        <v>3411</v>
      </c>
      <c r="I1112" s="8" t="s">
        <v>3424</v>
      </c>
      <c r="J1112" s="9">
        <v>3225000</v>
      </c>
      <c r="K1112" s="8"/>
      <c r="L1112" s="42">
        <f t="shared" si="388"/>
        <v>4837500</v>
      </c>
      <c r="M1112" s="8"/>
      <c r="N1112" s="42">
        <f t="shared" si="380"/>
        <v>4837500</v>
      </c>
      <c r="O1112" s="42"/>
      <c r="P1112" s="42">
        <f t="shared" si="387"/>
        <v>4837500</v>
      </c>
      <c r="Q1112" s="42">
        <f t="shared" si="382"/>
        <v>4837500</v>
      </c>
      <c r="R1112" s="5"/>
    </row>
    <row r="1113" spans="1:18" ht="13.5" x14ac:dyDescent="0.2">
      <c r="A1113" s="47" t="s">
        <v>2096</v>
      </c>
      <c r="B1113" s="47" t="s">
        <v>3333</v>
      </c>
      <c r="C1113" s="21" t="s">
        <v>3334</v>
      </c>
      <c r="D1113" s="47" t="s">
        <v>3409</v>
      </c>
      <c r="E1113" s="21" t="s">
        <v>41</v>
      </c>
      <c r="F1113" s="47" t="s">
        <v>32</v>
      </c>
      <c r="G1113" s="21" t="s">
        <v>3410</v>
      </c>
      <c r="H1113" s="7" t="s">
        <v>3411</v>
      </c>
      <c r="I1113" s="8" t="s">
        <v>3422</v>
      </c>
      <c r="J1113" s="9">
        <v>5574000</v>
      </c>
      <c r="K1113" s="8"/>
      <c r="L1113" s="42">
        <f t="shared" si="388"/>
        <v>8361000</v>
      </c>
      <c r="M1113" s="8"/>
      <c r="N1113" s="42">
        <f t="shared" si="380"/>
        <v>8361000</v>
      </c>
      <c r="O1113" s="42"/>
      <c r="P1113" s="42">
        <f t="shared" si="387"/>
        <v>8361000</v>
      </c>
      <c r="Q1113" s="42">
        <f t="shared" si="382"/>
        <v>8361000</v>
      </c>
      <c r="R1113" s="5"/>
    </row>
    <row r="1114" spans="1:18" ht="13.5" x14ac:dyDescent="0.2">
      <c r="A1114" s="47" t="s">
        <v>2096</v>
      </c>
      <c r="B1114" s="47" t="s">
        <v>3333</v>
      </c>
      <c r="C1114" s="21" t="s">
        <v>3334</v>
      </c>
      <c r="D1114" s="47" t="s">
        <v>3409</v>
      </c>
      <c r="E1114" s="21" t="s">
        <v>41</v>
      </c>
      <c r="F1114" s="47" t="s">
        <v>32</v>
      </c>
      <c r="G1114" s="21" t="s">
        <v>3410</v>
      </c>
      <c r="H1114" s="7" t="s">
        <v>3411</v>
      </c>
      <c r="I1114" s="8" t="s">
        <v>3412</v>
      </c>
      <c r="J1114" s="9">
        <v>4500000</v>
      </c>
      <c r="K1114" s="8"/>
      <c r="L1114" s="42">
        <f t="shared" si="388"/>
        <v>6750000</v>
      </c>
      <c r="M1114" s="8"/>
      <c r="N1114" s="42">
        <f t="shared" si="380"/>
        <v>6750000</v>
      </c>
      <c r="O1114" s="42"/>
      <c r="P1114" s="42">
        <f t="shared" si="387"/>
        <v>6750000</v>
      </c>
      <c r="Q1114" s="42">
        <f t="shared" si="382"/>
        <v>6750000</v>
      </c>
      <c r="R1114" s="5"/>
    </row>
    <row r="1115" spans="1:18" ht="13.5" x14ac:dyDescent="0.2">
      <c r="A1115" s="47" t="s">
        <v>2096</v>
      </c>
      <c r="B1115" s="47" t="s">
        <v>3333</v>
      </c>
      <c r="C1115" s="21" t="s">
        <v>3334</v>
      </c>
      <c r="D1115" s="47" t="s">
        <v>3409</v>
      </c>
      <c r="E1115" s="21" t="s">
        <v>41</v>
      </c>
      <c r="F1115" s="47" t="s">
        <v>32</v>
      </c>
      <c r="G1115" s="21" t="s">
        <v>3410</v>
      </c>
      <c r="H1115" s="7" t="s">
        <v>3411</v>
      </c>
      <c r="I1115" s="8" t="s">
        <v>3414</v>
      </c>
      <c r="J1115" s="9">
        <v>8059600</v>
      </c>
      <c r="K1115" s="8"/>
      <c r="L1115" s="42">
        <f t="shared" si="388"/>
        <v>12089400</v>
      </c>
      <c r="M1115" s="8"/>
      <c r="N1115" s="42">
        <f t="shared" si="380"/>
        <v>12089400</v>
      </c>
      <c r="O1115" s="42"/>
      <c r="P1115" s="42">
        <f t="shared" si="387"/>
        <v>12089400</v>
      </c>
      <c r="Q1115" s="42">
        <f t="shared" si="382"/>
        <v>12089400</v>
      </c>
      <c r="R1115" s="5"/>
    </row>
    <row r="1116" spans="1:18" ht="13.5" x14ac:dyDescent="0.2">
      <c r="A1116" s="47" t="s">
        <v>2096</v>
      </c>
      <c r="B1116" s="47" t="s">
        <v>3333</v>
      </c>
      <c r="C1116" s="21" t="s">
        <v>3334</v>
      </c>
      <c r="D1116" s="47" t="s">
        <v>3409</v>
      </c>
      <c r="E1116" s="21" t="s">
        <v>41</v>
      </c>
      <c r="F1116" s="47" t="s">
        <v>32</v>
      </c>
      <c r="G1116" s="21" t="s">
        <v>3410</v>
      </c>
      <c r="H1116" s="7" t="s">
        <v>3411</v>
      </c>
      <c r="I1116" s="8" t="s">
        <v>3426</v>
      </c>
      <c r="J1116" s="9">
        <v>7919400</v>
      </c>
      <c r="K1116" s="8"/>
      <c r="L1116" s="42">
        <f t="shared" si="388"/>
        <v>11879100</v>
      </c>
      <c r="M1116" s="8"/>
      <c r="N1116" s="42">
        <f t="shared" si="380"/>
        <v>11879100</v>
      </c>
      <c r="O1116" s="42"/>
      <c r="P1116" s="42">
        <f t="shared" si="387"/>
        <v>11879100</v>
      </c>
      <c r="Q1116" s="42">
        <f t="shared" si="382"/>
        <v>11879100</v>
      </c>
      <c r="R1116" s="5"/>
    </row>
    <row r="1117" spans="1:18" ht="13.5" x14ac:dyDescent="0.2">
      <c r="A1117" s="47" t="s">
        <v>2096</v>
      </c>
      <c r="B1117" s="47" t="s">
        <v>3333</v>
      </c>
      <c r="C1117" s="21" t="s">
        <v>3334</v>
      </c>
      <c r="D1117" s="47" t="s">
        <v>3409</v>
      </c>
      <c r="E1117" s="21" t="s">
        <v>41</v>
      </c>
      <c r="F1117" s="47" t="s">
        <v>32</v>
      </c>
      <c r="G1117" s="21" t="s">
        <v>3410</v>
      </c>
      <c r="H1117" s="7" t="s">
        <v>3411</v>
      </c>
      <c r="I1117" s="8" t="s">
        <v>3432</v>
      </c>
      <c r="J1117" s="9">
        <v>7310000</v>
      </c>
      <c r="K1117" s="8"/>
      <c r="L1117" s="42">
        <f t="shared" si="388"/>
        <v>10965000</v>
      </c>
      <c r="M1117" s="8"/>
      <c r="N1117" s="42">
        <f t="shared" si="380"/>
        <v>10965000</v>
      </c>
      <c r="O1117" s="42"/>
      <c r="P1117" s="42">
        <f t="shared" si="387"/>
        <v>10965000</v>
      </c>
      <c r="Q1117" s="42">
        <f t="shared" si="382"/>
        <v>10965000</v>
      </c>
      <c r="R1117" s="5"/>
    </row>
    <row r="1118" spans="1:18" ht="13.5" x14ac:dyDescent="0.2">
      <c r="A1118" s="47" t="s">
        <v>2096</v>
      </c>
      <c r="B1118" s="47" t="s">
        <v>3333</v>
      </c>
      <c r="C1118" s="21" t="s">
        <v>3334</v>
      </c>
      <c r="D1118" s="47" t="s">
        <v>3409</v>
      </c>
      <c r="E1118" s="21" t="s">
        <v>41</v>
      </c>
      <c r="F1118" s="47" t="s">
        <v>32</v>
      </c>
      <c r="G1118" s="21" t="s">
        <v>3436</v>
      </c>
      <c r="H1118" s="7" t="s">
        <v>3437</v>
      </c>
      <c r="I1118" s="8" t="s">
        <v>3440</v>
      </c>
      <c r="J1118" s="9">
        <v>1642000</v>
      </c>
      <c r="K1118" s="8"/>
      <c r="L1118" s="42">
        <f t="shared" si="388"/>
        <v>2463000</v>
      </c>
      <c r="M1118" s="8"/>
      <c r="N1118" s="42">
        <f t="shared" si="380"/>
        <v>2463000</v>
      </c>
      <c r="O1118" s="42"/>
      <c r="P1118" s="42">
        <f t="shared" si="387"/>
        <v>2463000</v>
      </c>
      <c r="Q1118" s="42">
        <f t="shared" si="382"/>
        <v>2463000</v>
      </c>
      <c r="R1118" s="5"/>
    </row>
    <row r="1119" spans="1:18" ht="13.5" x14ac:dyDescent="0.2">
      <c r="A1119" s="47" t="s">
        <v>2096</v>
      </c>
      <c r="B1119" s="47" t="s">
        <v>3333</v>
      </c>
      <c r="C1119" s="21" t="s">
        <v>3334</v>
      </c>
      <c r="D1119" s="47" t="s">
        <v>3409</v>
      </c>
      <c r="E1119" s="21" t="s">
        <v>41</v>
      </c>
      <c r="F1119" s="47" t="s">
        <v>32</v>
      </c>
      <c r="G1119" s="21" t="s">
        <v>3436</v>
      </c>
      <c r="H1119" s="7" t="s">
        <v>3437</v>
      </c>
      <c r="I1119" s="8" t="s">
        <v>3438</v>
      </c>
      <c r="J1119" s="9">
        <v>8699400</v>
      </c>
      <c r="K1119" s="8"/>
      <c r="L1119" s="42">
        <f t="shared" si="388"/>
        <v>13049100</v>
      </c>
      <c r="M1119" s="8"/>
      <c r="N1119" s="42">
        <f t="shared" si="380"/>
        <v>13049100</v>
      </c>
      <c r="O1119" s="42"/>
      <c r="P1119" s="42">
        <f t="shared" si="387"/>
        <v>13049100</v>
      </c>
      <c r="Q1119" s="42">
        <f t="shared" si="382"/>
        <v>13049100</v>
      </c>
      <c r="R1119" s="5"/>
    </row>
    <row r="1120" spans="1:18" ht="13.5" x14ac:dyDescent="0.2">
      <c r="A1120" s="47" t="s">
        <v>2096</v>
      </c>
      <c r="B1120" s="47" t="s">
        <v>3333</v>
      </c>
      <c r="C1120" s="21" t="s">
        <v>3334</v>
      </c>
      <c r="D1120" s="47" t="s">
        <v>3409</v>
      </c>
      <c r="E1120" s="21" t="s">
        <v>57</v>
      </c>
      <c r="F1120" s="47" t="s">
        <v>32</v>
      </c>
      <c r="G1120" s="21" t="s">
        <v>3410</v>
      </c>
      <c r="H1120" s="7" t="s">
        <v>3411</v>
      </c>
      <c r="I1120" s="8" t="s">
        <v>3428</v>
      </c>
      <c r="J1120" s="9">
        <v>3946800</v>
      </c>
      <c r="K1120" s="8"/>
      <c r="L1120" s="42">
        <f t="shared" si="388"/>
        <v>5920200</v>
      </c>
      <c r="M1120" s="8"/>
      <c r="N1120" s="42">
        <f t="shared" si="380"/>
        <v>5920200</v>
      </c>
      <c r="O1120" s="42"/>
      <c r="P1120" s="42">
        <f t="shared" si="387"/>
        <v>5920200</v>
      </c>
      <c r="Q1120" s="42">
        <f t="shared" si="382"/>
        <v>5920200</v>
      </c>
      <c r="R1120" s="5"/>
    </row>
    <row r="1121" spans="1:17" ht="13.5" x14ac:dyDescent="0.2">
      <c r="A1121" s="52" t="s">
        <v>3937</v>
      </c>
      <c r="B1121" s="52"/>
      <c r="C1121" s="52"/>
      <c r="D1121" s="52"/>
      <c r="E1121" s="52"/>
      <c r="F1121" s="52"/>
      <c r="G1121" s="52"/>
      <c r="H1121" s="52"/>
      <c r="I1121" s="52"/>
      <c r="J1121" s="11">
        <v>5367928925</v>
      </c>
      <c r="K1121" s="8"/>
      <c r="L1121" s="8"/>
      <c r="M1121" s="8"/>
      <c r="N1121" s="42">
        <f>SUM(N3:N1120)</f>
        <v>6133541390</v>
      </c>
      <c r="O1121" s="42"/>
      <c r="P1121" s="42"/>
      <c r="Q1121" s="8"/>
    </row>
  </sheetData>
  <autoFilter ref="A2:N1121" xr:uid="{48873BF5-2D2F-482D-9F31-28940C6221E5}">
    <filterColumn colId="5">
      <filters blank="1">
        <filter val="B"/>
        <filter val="C"/>
        <filter val="G"/>
        <filter val="K"/>
        <filter val="P"/>
        <filter val="U"/>
        <filter val="W"/>
        <filter val="X"/>
      </filters>
    </filterColumn>
  </autoFilter>
  <mergeCells count="1">
    <mergeCell ref="A1121:I1121"/>
  </mergeCells>
  <phoneticPr fontId="2" type="noConversion"/>
  <pageMargins left="0.7" right="0.7" top="0.75" bottom="0.75" header="0.3" footer="0.3"/>
  <pageSetup paperSize="9" orientation="portrait" r:id="rId1"/>
  <ignoredErrors>
    <ignoredError sqref="N677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D69D8-2F68-4486-91D5-DE2933D59653}">
  <dimension ref="A3:G132"/>
  <sheetViews>
    <sheetView workbookViewId="0">
      <selection activeCell="F17" sqref="A3:G132"/>
    </sheetView>
  </sheetViews>
  <sheetFormatPr defaultRowHeight="12.75" x14ac:dyDescent="0.2"/>
  <cols>
    <col min="1" max="1" width="15.140625" bestFit="1" customWidth="1"/>
    <col min="2" max="3" width="14.28515625" bestFit="1" customWidth="1"/>
    <col min="4" max="5" width="13.42578125" bestFit="1" customWidth="1"/>
    <col min="6" max="6" width="38.140625" bestFit="1" customWidth="1"/>
    <col min="7" max="7" width="13.85546875" bestFit="1" customWidth="1"/>
  </cols>
  <sheetData>
    <row r="3" spans="1:7" x14ac:dyDescent="0.2">
      <c r="A3" s="3" t="s">
        <v>3936</v>
      </c>
      <c r="B3" s="3" t="s">
        <v>4028</v>
      </c>
      <c r="C3" s="3" t="s">
        <v>4029</v>
      </c>
      <c r="D3" s="3" t="s">
        <v>4030</v>
      </c>
      <c r="E3" s="3" t="s">
        <v>5</v>
      </c>
      <c r="F3" s="3" t="s">
        <v>6</v>
      </c>
      <c r="G3" t="s">
        <v>4032</v>
      </c>
    </row>
    <row r="4" spans="1:7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s="5">
        <v>154000900</v>
      </c>
    </row>
    <row r="5" spans="1:7" x14ac:dyDescent="0.2">
      <c r="E5" t="s">
        <v>146</v>
      </c>
      <c r="F5" t="s">
        <v>147</v>
      </c>
      <c r="G5" s="5">
        <v>13423800</v>
      </c>
    </row>
    <row r="6" spans="1:7" x14ac:dyDescent="0.2">
      <c r="E6" t="s">
        <v>154</v>
      </c>
      <c r="F6" t="s">
        <v>155</v>
      </c>
      <c r="G6" s="5">
        <v>82216000</v>
      </c>
    </row>
    <row r="7" spans="1:7" x14ac:dyDescent="0.2">
      <c r="D7" t="s">
        <v>208</v>
      </c>
      <c r="E7" t="s">
        <v>209</v>
      </c>
      <c r="F7" t="s">
        <v>210</v>
      </c>
      <c r="G7" s="5">
        <v>40163200</v>
      </c>
    </row>
    <row r="8" spans="1:7" x14ac:dyDescent="0.2">
      <c r="E8" t="s">
        <v>279</v>
      </c>
      <c r="F8" t="s">
        <v>280</v>
      </c>
      <c r="G8" s="5">
        <v>17767600</v>
      </c>
    </row>
    <row r="9" spans="1:7" x14ac:dyDescent="0.2">
      <c r="E9" t="s">
        <v>290</v>
      </c>
      <c r="F9" t="s">
        <v>291</v>
      </c>
      <c r="G9" s="5">
        <v>59919900</v>
      </c>
    </row>
    <row r="10" spans="1:7" x14ac:dyDescent="0.2">
      <c r="E10" t="s">
        <v>330</v>
      </c>
      <c r="F10" t="s">
        <v>331</v>
      </c>
      <c r="G10" s="5">
        <v>9660600</v>
      </c>
    </row>
    <row r="11" spans="1:7" x14ac:dyDescent="0.2">
      <c r="E11" t="s">
        <v>347</v>
      </c>
      <c r="F11" t="s">
        <v>348</v>
      </c>
      <c r="G11" s="5">
        <v>9005500</v>
      </c>
    </row>
    <row r="12" spans="1:7" x14ac:dyDescent="0.2">
      <c r="E12" t="s">
        <v>368</v>
      </c>
      <c r="F12" t="s">
        <v>369</v>
      </c>
      <c r="G12" s="5">
        <v>62444600</v>
      </c>
    </row>
    <row r="13" spans="1:7" x14ac:dyDescent="0.2">
      <c r="E13" t="s">
        <v>426</v>
      </c>
      <c r="F13" t="s">
        <v>427</v>
      </c>
      <c r="G13" s="5">
        <v>2605000</v>
      </c>
    </row>
    <row r="14" spans="1:7" x14ac:dyDescent="0.2">
      <c r="E14" t="s">
        <v>440</v>
      </c>
      <c r="F14" t="s">
        <v>441</v>
      </c>
      <c r="G14" s="5">
        <v>11979100</v>
      </c>
    </row>
    <row r="15" spans="1:7" x14ac:dyDescent="0.2">
      <c r="D15" t="s">
        <v>454</v>
      </c>
      <c r="E15" t="s">
        <v>455</v>
      </c>
      <c r="F15" t="s">
        <v>456</v>
      </c>
      <c r="G15" s="5">
        <v>40494800</v>
      </c>
    </row>
    <row r="16" spans="1:7" x14ac:dyDescent="0.2">
      <c r="E16" t="s">
        <v>481</v>
      </c>
      <c r="F16" t="s">
        <v>482</v>
      </c>
      <c r="G16" s="5">
        <v>29319300</v>
      </c>
    </row>
    <row r="17" spans="4:7" x14ac:dyDescent="0.2">
      <c r="E17" t="s">
        <v>508</v>
      </c>
      <c r="F17" t="s">
        <v>509</v>
      </c>
      <c r="G17" s="5">
        <v>71588130</v>
      </c>
    </row>
    <row r="18" spans="4:7" x14ac:dyDescent="0.2">
      <c r="D18" t="s">
        <v>581</v>
      </c>
      <c r="E18" t="s">
        <v>582</v>
      </c>
      <c r="F18" t="s">
        <v>583</v>
      </c>
      <c r="G18" s="5">
        <v>9168100</v>
      </c>
    </row>
    <row r="19" spans="4:7" x14ac:dyDescent="0.2">
      <c r="E19" t="s">
        <v>594</v>
      </c>
      <c r="F19" t="s">
        <v>595</v>
      </c>
      <c r="G19" s="5">
        <v>21559200</v>
      </c>
    </row>
    <row r="20" spans="4:7" x14ac:dyDescent="0.2">
      <c r="E20" t="s">
        <v>606</v>
      </c>
      <c r="F20" t="s">
        <v>607</v>
      </c>
      <c r="G20" s="5">
        <v>39632800</v>
      </c>
    </row>
    <row r="21" spans="4:7" x14ac:dyDescent="0.2">
      <c r="E21" t="s">
        <v>637</v>
      </c>
      <c r="F21" t="s">
        <v>638</v>
      </c>
      <c r="G21" s="5">
        <v>6634200</v>
      </c>
    </row>
    <row r="22" spans="4:7" x14ac:dyDescent="0.2">
      <c r="E22" t="s">
        <v>643</v>
      </c>
      <c r="F22" t="s">
        <v>644</v>
      </c>
      <c r="G22" s="5">
        <v>9889700</v>
      </c>
    </row>
    <row r="23" spans="4:7" x14ac:dyDescent="0.2">
      <c r="E23" t="s">
        <v>653</v>
      </c>
      <c r="F23" t="s">
        <v>654</v>
      </c>
      <c r="G23" s="5">
        <v>39535800</v>
      </c>
    </row>
    <row r="24" spans="4:7" x14ac:dyDescent="0.2">
      <c r="D24" t="s">
        <v>671</v>
      </c>
      <c r="E24" t="s">
        <v>672</v>
      </c>
      <c r="F24" t="s">
        <v>673</v>
      </c>
      <c r="G24" s="5">
        <v>29459300</v>
      </c>
    </row>
    <row r="25" spans="4:7" x14ac:dyDescent="0.2">
      <c r="E25" t="s">
        <v>707</v>
      </c>
      <c r="F25" t="s">
        <v>708</v>
      </c>
      <c r="G25" s="5">
        <v>5566000</v>
      </c>
    </row>
    <row r="26" spans="4:7" x14ac:dyDescent="0.2">
      <c r="E26" t="s">
        <v>721</v>
      </c>
      <c r="F26" t="s">
        <v>722</v>
      </c>
      <c r="G26" s="5">
        <v>11995800</v>
      </c>
    </row>
    <row r="27" spans="4:7" x14ac:dyDescent="0.2">
      <c r="E27" t="s">
        <v>735</v>
      </c>
      <c r="F27" t="s">
        <v>736</v>
      </c>
      <c r="G27" s="5">
        <v>53462000</v>
      </c>
    </row>
    <row r="28" spans="4:7" x14ac:dyDescent="0.2">
      <c r="E28" t="s">
        <v>749</v>
      </c>
      <c r="F28" t="s">
        <v>750</v>
      </c>
      <c r="G28" s="5">
        <v>38573200</v>
      </c>
    </row>
    <row r="29" spans="4:7" x14ac:dyDescent="0.2">
      <c r="E29" t="s">
        <v>786</v>
      </c>
      <c r="F29" t="s">
        <v>787</v>
      </c>
      <c r="G29" s="5">
        <v>9169000</v>
      </c>
    </row>
    <row r="30" spans="4:7" x14ac:dyDescent="0.2">
      <c r="D30" t="s">
        <v>797</v>
      </c>
      <c r="E30" t="s">
        <v>798</v>
      </c>
      <c r="F30" t="s">
        <v>799</v>
      </c>
      <c r="G30" s="5">
        <v>9243600</v>
      </c>
    </row>
    <row r="31" spans="4:7" x14ac:dyDescent="0.2">
      <c r="E31" t="s">
        <v>808</v>
      </c>
      <c r="F31" t="s">
        <v>809</v>
      </c>
      <c r="G31" s="5">
        <v>5601200</v>
      </c>
    </row>
    <row r="32" spans="4:7" x14ac:dyDescent="0.2">
      <c r="E32" t="s">
        <v>818</v>
      </c>
      <c r="F32" t="s">
        <v>819</v>
      </c>
      <c r="G32" s="5">
        <v>32735300</v>
      </c>
    </row>
    <row r="33" spans="2:7" x14ac:dyDescent="0.2">
      <c r="E33" t="s">
        <v>832</v>
      </c>
      <c r="F33" t="s">
        <v>833</v>
      </c>
      <c r="G33" s="5">
        <v>67965400</v>
      </c>
    </row>
    <row r="34" spans="2:7" x14ac:dyDescent="0.2">
      <c r="D34" t="s">
        <v>893</v>
      </c>
      <c r="E34" t="s">
        <v>894</v>
      </c>
      <c r="F34" t="s">
        <v>895</v>
      </c>
      <c r="G34" s="5">
        <v>103123900</v>
      </c>
    </row>
    <row r="35" spans="2:7" x14ac:dyDescent="0.2">
      <c r="C35" t="s">
        <v>978</v>
      </c>
      <c r="D35" t="s">
        <v>979</v>
      </c>
      <c r="E35" t="s">
        <v>980</v>
      </c>
      <c r="F35" t="s">
        <v>981</v>
      </c>
      <c r="G35" s="5">
        <v>25306400</v>
      </c>
    </row>
    <row r="36" spans="2:7" x14ac:dyDescent="0.2">
      <c r="D36" t="s">
        <v>996</v>
      </c>
      <c r="E36" t="s">
        <v>997</v>
      </c>
      <c r="F36" t="s">
        <v>998</v>
      </c>
      <c r="G36" s="5">
        <v>14130500</v>
      </c>
    </row>
    <row r="37" spans="2:7" x14ac:dyDescent="0.2">
      <c r="D37" t="s">
        <v>1006</v>
      </c>
      <c r="E37" t="s">
        <v>1007</v>
      </c>
      <c r="F37" t="s">
        <v>1008</v>
      </c>
      <c r="G37" s="5">
        <v>16386400</v>
      </c>
    </row>
    <row r="38" spans="2:7" x14ac:dyDescent="0.2">
      <c r="E38" t="s">
        <v>1015</v>
      </c>
      <c r="F38" t="s">
        <v>1016</v>
      </c>
      <c r="G38" s="5">
        <v>12362500</v>
      </c>
    </row>
    <row r="39" spans="2:7" x14ac:dyDescent="0.2">
      <c r="E39" t="s">
        <v>1035</v>
      </c>
      <c r="F39" t="s">
        <v>1036</v>
      </c>
      <c r="G39" s="5">
        <v>10520400</v>
      </c>
    </row>
    <row r="40" spans="2:7" x14ac:dyDescent="0.2">
      <c r="D40" t="s">
        <v>1041</v>
      </c>
      <c r="E40" t="s">
        <v>1042</v>
      </c>
      <c r="F40" t="s">
        <v>1043</v>
      </c>
      <c r="G40" s="5">
        <v>34286700</v>
      </c>
    </row>
    <row r="41" spans="2:7" x14ac:dyDescent="0.2">
      <c r="E41" t="s">
        <v>1084</v>
      </c>
      <c r="F41" t="s">
        <v>1085</v>
      </c>
      <c r="G41" s="5">
        <v>35721160</v>
      </c>
    </row>
    <row r="42" spans="2:7" x14ac:dyDescent="0.2">
      <c r="B42" t="s">
        <v>1108</v>
      </c>
      <c r="C42" t="s">
        <v>1725</v>
      </c>
      <c r="D42" t="s">
        <v>1726</v>
      </c>
      <c r="E42" t="s">
        <v>1727</v>
      </c>
      <c r="F42" t="s">
        <v>1728</v>
      </c>
      <c r="G42" s="5">
        <v>76380600</v>
      </c>
    </row>
    <row r="43" spans="2:7" x14ac:dyDescent="0.2">
      <c r="D43" t="s">
        <v>1759</v>
      </c>
      <c r="E43" t="s">
        <v>1760</v>
      </c>
      <c r="F43" t="s">
        <v>1761</v>
      </c>
      <c r="G43" s="5">
        <v>35691610</v>
      </c>
    </row>
    <row r="44" spans="2:7" x14ac:dyDescent="0.2">
      <c r="C44" t="s">
        <v>1808</v>
      </c>
      <c r="D44" t="s">
        <v>1809</v>
      </c>
      <c r="E44" t="s">
        <v>1810</v>
      </c>
      <c r="F44" t="s">
        <v>1811</v>
      </c>
      <c r="G44" s="5">
        <v>78882800</v>
      </c>
    </row>
    <row r="45" spans="2:7" x14ac:dyDescent="0.2">
      <c r="D45" t="s">
        <v>1832</v>
      </c>
      <c r="E45" t="s">
        <v>1833</v>
      </c>
      <c r="F45" t="s">
        <v>1834</v>
      </c>
      <c r="G45" s="5">
        <v>27036800</v>
      </c>
    </row>
    <row r="46" spans="2:7" x14ac:dyDescent="0.2">
      <c r="E46" t="s">
        <v>1848</v>
      </c>
      <c r="F46" t="s">
        <v>1849</v>
      </c>
      <c r="G46" s="5">
        <v>38859800</v>
      </c>
    </row>
    <row r="47" spans="2:7" x14ac:dyDescent="0.2">
      <c r="D47" t="s">
        <v>1872</v>
      </c>
      <c r="E47" t="s">
        <v>1873</v>
      </c>
      <c r="F47" t="s">
        <v>1874</v>
      </c>
      <c r="G47" s="5">
        <v>29444200</v>
      </c>
    </row>
    <row r="48" spans="2:7" x14ac:dyDescent="0.2">
      <c r="C48" t="s">
        <v>1893</v>
      </c>
      <c r="D48" t="s">
        <v>1894</v>
      </c>
      <c r="E48" t="s">
        <v>1895</v>
      </c>
      <c r="F48" t="s">
        <v>1896</v>
      </c>
      <c r="G48" s="5">
        <v>3090600</v>
      </c>
    </row>
    <row r="49" spans="3:7" x14ac:dyDescent="0.2">
      <c r="E49" t="s">
        <v>1899</v>
      </c>
      <c r="F49" t="s">
        <v>1900</v>
      </c>
      <c r="G49" s="5">
        <v>58677700</v>
      </c>
    </row>
    <row r="50" spans="3:7" x14ac:dyDescent="0.2">
      <c r="E50" t="s">
        <v>1936</v>
      </c>
      <c r="F50" t="s">
        <v>1937</v>
      </c>
      <c r="G50" s="5">
        <v>2582000</v>
      </c>
    </row>
    <row r="51" spans="3:7" x14ac:dyDescent="0.2">
      <c r="E51" t="s">
        <v>1940</v>
      </c>
      <c r="F51" t="s">
        <v>1941</v>
      </c>
      <c r="G51" s="5">
        <v>23541400</v>
      </c>
    </row>
    <row r="52" spans="3:7" x14ac:dyDescent="0.2">
      <c r="D52" t="s">
        <v>1962</v>
      </c>
      <c r="E52" t="s">
        <v>1963</v>
      </c>
      <c r="F52" t="s">
        <v>1964</v>
      </c>
      <c r="G52" s="5">
        <v>67491300</v>
      </c>
    </row>
    <row r="53" spans="3:7" x14ac:dyDescent="0.2">
      <c r="E53" t="s">
        <v>1998</v>
      </c>
      <c r="F53" t="s">
        <v>1999</v>
      </c>
      <c r="G53" s="5">
        <v>14202900</v>
      </c>
    </row>
    <row r="54" spans="3:7" x14ac:dyDescent="0.2">
      <c r="E54" t="s">
        <v>2028</v>
      </c>
      <c r="F54" t="s">
        <v>2029</v>
      </c>
      <c r="G54" s="5">
        <v>11543900</v>
      </c>
    </row>
    <row r="55" spans="3:7" x14ac:dyDescent="0.2">
      <c r="E55" t="s">
        <v>2035</v>
      </c>
      <c r="F55" t="s">
        <v>2036</v>
      </c>
      <c r="G55" s="5">
        <v>46230500</v>
      </c>
    </row>
    <row r="56" spans="3:7" x14ac:dyDescent="0.2">
      <c r="E56" t="s">
        <v>2079</v>
      </c>
      <c r="F56" t="s">
        <v>2080</v>
      </c>
      <c r="G56" s="5">
        <v>31143800</v>
      </c>
    </row>
    <row r="57" spans="3:7" x14ac:dyDescent="0.2">
      <c r="C57" t="s">
        <v>1109</v>
      </c>
      <c r="D57" t="s">
        <v>1110</v>
      </c>
      <c r="E57" t="s">
        <v>1111</v>
      </c>
      <c r="F57" t="s">
        <v>1112</v>
      </c>
      <c r="G57" s="5">
        <v>54915100</v>
      </c>
    </row>
    <row r="58" spans="3:7" x14ac:dyDescent="0.2">
      <c r="E58" t="s">
        <v>1131</v>
      </c>
      <c r="F58" t="s">
        <v>1132</v>
      </c>
      <c r="G58" s="5">
        <v>69470700</v>
      </c>
    </row>
    <row r="59" spans="3:7" x14ac:dyDescent="0.2">
      <c r="E59" t="s">
        <v>1192</v>
      </c>
      <c r="F59" t="s">
        <v>1193</v>
      </c>
      <c r="G59" s="5">
        <v>8550000</v>
      </c>
    </row>
    <row r="60" spans="3:7" x14ac:dyDescent="0.2">
      <c r="E60" t="s">
        <v>1198</v>
      </c>
      <c r="F60" t="s">
        <v>1199</v>
      </c>
      <c r="G60" s="5">
        <v>71733800</v>
      </c>
    </row>
    <row r="61" spans="3:7" x14ac:dyDescent="0.2">
      <c r="D61" t="s">
        <v>1234</v>
      </c>
      <c r="E61" t="s">
        <v>1235</v>
      </c>
      <c r="F61" t="s">
        <v>1236</v>
      </c>
      <c r="G61" s="5">
        <v>89428440</v>
      </c>
    </row>
    <row r="62" spans="3:7" x14ac:dyDescent="0.2">
      <c r="E62" t="s">
        <v>1279</v>
      </c>
      <c r="F62" t="s">
        <v>1280</v>
      </c>
      <c r="G62" s="5">
        <v>19112300</v>
      </c>
    </row>
    <row r="63" spans="3:7" x14ac:dyDescent="0.2">
      <c r="E63" t="s">
        <v>1291</v>
      </c>
      <c r="F63" t="s">
        <v>1292</v>
      </c>
      <c r="G63" s="5">
        <v>12394300</v>
      </c>
    </row>
    <row r="64" spans="3:7" x14ac:dyDescent="0.2">
      <c r="E64" t="s">
        <v>1305</v>
      </c>
      <c r="F64" t="s">
        <v>1306</v>
      </c>
      <c r="G64" s="5">
        <v>27065200</v>
      </c>
    </row>
    <row r="65" spans="1:7" x14ac:dyDescent="0.2">
      <c r="E65" t="s">
        <v>1327</v>
      </c>
      <c r="F65" t="s">
        <v>1328</v>
      </c>
      <c r="G65" s="5">
        <v>23106700</v>
      </c>
    </row>
    <row r="66" spans="1:7" x14ac:dyDescent="0.2">
      <c r="E66" t="s">
        <v>1346</v>
      </c>
      <c r="F66" t="s">
        <v>1347</v>
      </c>
      <c r="G66" s="5">
        <v>36221600</v>
      </c>
    </row>
    <row r="67" spans="1:7" x14ac:dyDescent="0.2">
      <c r="E67" t="s">
        <v>1385</v>
      </c>
      <c r="F67" t="s">
        <v>1386</v>
      </c>
      <c r="G67" s="5">
        <v>11898000</v>
      </c>
    </row>
    <row r="68" spans="1:7" x14ac:dyDescent="0.2">
      <c r="D68" t="s">
        <v>1397</v>
      </c>
      <c r="E68" t="s">
        <v>1398</v>
      </c>
      <c r="F68" t="s">
        <v>1399</v>
      </c>
      <c r="G68" s="5">
        <v>27763700</v>
      </c>
    </row>
    <row r="69" spans="1:7" x14ac:dyDescent="0.2">
      <c r="E69" t="s">
        <v>1417</v>
      </c>
      <c r="F69" t="s">
        <v>1418</v>
      </c>
      <c r="G69" s="5">
        <v>97343070</v>
      </c>
    </row>
    <row r="70" spans="1:7" x14ac:dyDescent="0.2">
      <c r="E70" t="s">
        <v>1454</v>
      </c>
      <c r="F70" t="s">
        <v>1455</v>
      </c>
      <c r="G70" s="5">
        <v>24680800</v>
      </c>
    </row>
    <row r="71" spans="1:7" x14ac:dyDescent="0.2">
      <c r="E71" t="s">
        <v>1470</v>
      </c>
      <c r="F71" t="s">
        <v>1471</v>
      </c>
      <c r="G71" s="5">
        <v>29878400</v>
      </c>
    </row>
    <row r="72" spans="1:7" x14ac:dyDescent="0.2">
      <c r="C72" t="s">
        <v>1495</v>
      </c>
      <c r="D72" t="s">
        <v>1496</v>
      </c>
      <c r="E72" t="s">
        <v>1497</v>
      </c>
      <c r="F72" t="s">
        <v>1498</v>
      </c>
      <c r="G72" s="5">
        <v>46656000</v>
      </c>
    </row>
    <row r="73" spans="1:7" x14ac:dyDescent="0.2">
      <c r="E73" t="s">
        <v>1522</v>
      </c>
      <c r="F73" t="s">
        <v>1523</v>
      </c>
      <c r="G73" s="5">
        <v>125210600</v>
      </c>
    </row>
    <row r="74" spans="1:7" x14ac:dyDescent="0.2">
      <c r="D74" t="s">
        <v>1637</v>
      </c>
      <c r="E74" t="s">
        <v>1638</v>
      </c>
      <c r="F74" t="s">
        <v>1639</v>
      </c>
      <c r="G74" s="5">
        <v>30415800</v>
      </c>
    </row>
    <row r="75" spans="1:7" x14ac:dyDescent="0.2">
      <c r="E75" t="s">
        <v>1655</v>
      </c>
      <c r="F75" t="s">
        <v>1656</v>
      </c>
      <c r="G75" s="5">
        <v>24945400</v>
      </c>
    </row>
    <row r="76" spans="1:7" x14ac:dyDescent="0.2">
      <c r="D76" t="s">
        <v>1667</v>
      </c>
      <c r="E76" t="s">
        <v>1668</v>
      </c>
      <c r="F76" t="s">
        <v>1669</v>
      </c>
      <c r="G76" s="5">
        <v>5116000</v>
      </c>
    </row>
    <row r="77" spans="1:7" x14ac:dyDescent="0.2">
      <c r="E77" t="s">
        <v>1672</v>
      </c>
      <c r="F77" t="s">
        <v>1673</v>
      </c>
      <c r="G77" s="5">
        <v>36638100</v>
      </c>
    </row>
    <row r="78" spans="1:7" x14ac:dyDescent="0.2">
      <c r="E78" t="s">
        <v>1702</v>
      </c>
      <c r="F78" t="s">
        <v>1703</v>
      </c>
      <c r="G78" s="5">
        <v>11099300</v>
      </c>
    </row>
    <row r="79" spans="1:7" x14ac:dyDescent="0.2">
      <c r="D79" t="s">
        <v>1714</v>
      </c>
      <c r="E79" t="s">
        <v>1715</v>
      </c>
      <c r="F79" t="s">
        <v>1716</v>
      </c>
      <c r="G79" s="5">
        <v>14584800</v>
      </c>
    </row>
    <row r="80" spans="1:7" x14ac:dyDescent="0.2">
      <c r="A80" t="s">
        <v>2096</v>
      </c>
      <c r="B80" t="s">
        <v>2097</v>
      </c>
      <c r="C80" t="s">
        <v>2718</v>
      </c>
      <c r="D80" t="s">
        <v>2719</v>
      </c>
      <c r="E80" t="s">
        <v>2720</v>
      </c>
      <c r="F80" t="s">
        <v>2721</v>
      </c>
      <c r="G80" s="5">
        <v>3684300</v>
      </c>
    </row>
    <row r="81" spans="3:7" x14ac:dyDescent="0.2">
      <c r="D81" t="s">
        <v>2730</v>
      </c>
      <c r="E81" t="s">
        <v>2731</v>
      </c>
      <c r="F81" t="s">
        <v>2732</v>
      </c>
      <c r="G81" s="5">
        <v>75751500</v>
      </c>
    </row>
    <row r="82" spans="3:7" x14ac:dyDescent="0.2">
      <c r="E82" t="s">
        <v>2818</v>
      </c>
      <c r="F82" t="s">
        <v>2819</v>
      </c>
      <c r="G82" s="5">
        <v>40071900</v>
      </c>
    </row>
    <row r="83" spans="3:7" x14ac:dyDescent="0.2">
      <c r="D83" t="s">
        <v>2883</v>
      </c>
      <c r="E83" t="s">
        <v>2884</v>
      </c>
      <c r="F83" t="s">
        <v>2885</v>
      </c>
      <c r="G83" s="5">
        <v>39660800</v>
      </c>
    </row>
    <row r="84" spans="3:7" x14ac:dyDescent="0.2">
      <c r="D84" t="s">
        <v>2953</v>
      </c>
      <c r="E84" t="s">
        <v>2954</v>
      </c>
      <c r="F84" t="s">
        <v>2955</v>
      </c>
      <c r="G84" s="5">
        <v>14002300</v>
      </c>
    </row>
    <row r="85" spans="3:7" x14ac:dyDescent="0.2">
      <c r="C85" t="s">
        <v>2971</v>
      </c>
      <c r="D85" t="s">
        <v>2972</v>
      </c>
      <c r="E85" t="s">
        <v>2973</v>
      </c>
      <c r="F85" t="s">
        <v>2974</v>
      </c>
      <c r="G85" s="5">
        <v>55761720</v>
      </c>
    </row>
    <row r="86" spans="3:7" x14ac:dyDescent="0.2">
      <c r="E86" t="s">
        <v>3038</v>
      </c>
      <c r="F86" t="s">
        <v>3039</v>
      </c>
      <c r="G86" s="5">
        <v>6714100</v>
      </c>
    </row>
    <row r="87" spans="3:7" x14ac:dyDescent="0.2">
      <c r="E87" t="s">
        <v>3045</v>
      </c>
      <c r="F87" t="s">
        <v>3046</v>
      </c>
      <c r="G87" s="5">
        <v>41861700</v>
      </c>
    </row>
    <row r="88" spans="3:7" x14ac:dyDescent="0.2">
      <c r="D88" t="s">
        <v>3073</v>
      </c>
      <c r="E88" t="s">
        <v>3074</v>
      </c>
      <c r="F88" t="s">
        <v>3075</v>
      </c>
      <c r="G88" s="5">
        <v>20821300</v>
      </c>
    </row>
    <row r="89" spans="3:7" x14ac:dyDescent="0.2">
      <c r="D89" t="s">
        <v>3093</v>
      </c>
      <c r="E89" t="s">
        <v>3094</v>
      </c>
      <c r="F89" t="s">
        <v>3095</v>
      </c>
      <c r="G89" s="5">
        <v>34748900</v>
      </c>
    </row>
    <row r="90" spans="3:7" x14ac:dyDescent="0.2">
      <c r="D90" t="s">
        <v>3153</v>
      </c>
      <c r="E90" t="s">
        <v>3154</v>
      </c>
      <c r="F90" t="s">
        <v>3155</v>
      </c>
      <c r="G90" s="5">
        <v>18298700</v>
      </c>
    </row>
    <row r="91" spans="3:7" x14ac:dyDescent="0.2">
      <c r="C91" t="s">
        <v>3190</v>
      </c>
      <c r="D91" t="s">
        <v>3191</v>
      </c>
      <c r="E91" t="s">
        <v>3192</v>
      </c>
      <c r="F91" t="s">
        <v>3193</v>
      </c>
      <c r="G91" s="5">
        <v>9177600</v>
      </c>
    </row>
    <row r="92" spans="3:7" x14ac:dyDescent="0.2">
      <c r="D92" t="s">
        <v>3204</v>
      </c>
      <c r="E92" t="s">
        <v>3205</v>
      </c>
      <c r="F92" t="s">
        <v>3206</v>
      </c>
      <c r="G92" s="5">
        <v>12301600</v>
      </c>
    </row>
    <row r="93" spans="3:7" x14ac:dyDescent="0.2">
      <c r="E93" t="s">
        <v>3249</v>
      </c>
      <c r="F93" t="s">
        <v>3250</v>
      </c>
      <c r="G93" s="5">
        <v>41415000</v>
      </c>
    </row>
    <row r="94" spans="3:7" x14ac:dyDescent="0.2">
      <c r="D94" t="s">
        <v>3271</v>
      </c>
      <c r="E94" t="s">
        <v>3272</v>
      </c>
      <c r="F94" t="s">
        <v>3273</v>
      </c>
      <c r="G94" s="5">
        <v>59985000</v>
      </c>
    </row>
    <row r="95" spans="3:7" x14ac:dyDescent="0.2">
      <c r="C95" t="s">
        <v>2233</v>
      </c>
      <c r="D95" t="s">
        <v>2234</v>
      </c>
      <c r="E95" t="s">
        <v>2235</v>
      </c>
      <c r="F95" t="s">
        <v>2236</v>
      </c>
      <c r="G95" s="5">
        <v>37301310</v>
      </c>
    </row>
    <row r="96" spans="3:7" x14ac:dyDescent="0.2">
      <c r="E96" t="s">
        <v>2259</v>
      </c>
      <c r="F96" t="s">
        <v>2260</v>
      </c>
      <c r="G96" s="5">
        <v>94771700</v>
      </c>
    </row>
    <row r="97" spans="2:7" x14ac:dyDescent="0.2">
      <c r="D97" t="s">
        <v>2344</v>
      </c>
      <c r="E97" t="s">
        <v>2345</v>
      </c>
      <c r="F97" t="s">
        <v>2346</v>
      </c>
      <c r="G97" s="5">
        <v>24687700</v>
      </c>
    </row>
    <row r="98" spans="2:7" x14ac:dyDescent="0.2">
      <c r="D98" t="s">
        <v>2367</v>
      </c>
      <c r="E98" t="s">
        <v>2368</v>
      </c>
      <c r="F98" t="s">
        <v>2369</v>
      </c>
      <c r="G98" s="5">
        <v>61064900</v>
      </c>
    </row>
    <row r="99" spans="2:7" x14ac:dyDescent="0.2">
      <c r="D99" t="s">
        <v>2427</v>
      </c>
      <c r="E99" t="s">
        <v>2428</v>
      </c>
      <c r="F99" t="s">
        <v>2429</v>
      </c>
      <c r="G99" s="5">
        <v>25853640</v>
      </c>
    </row>
    <row r="100" spans="2:7" x14ac:dyDescent="0.2">
      <c r="C100" t="s">
        <v>2466</v>
      </c>
      <c r="D100" t="s">
        <v>2467</v>
      </c>
      <c r="E100" t="s">
        <v>2468</v>
      </c>
      <c r="F100" t="s">
        <v>2469</v>
      </c>
      <c r="G100" s="5">
        <v>40440800</v>
      </c>
    </row>
    <row r="101" spans="2:7" x14ac:dyDescent="0.2">
      <c r="E101" t="s">
        <v>2497</v>
      </c>
      <c r="F101" t="s">
        <v>2498</v>
      </c>
      <c r="G101" s="5">
        <v>27195600</v>
      </c>
    </row>
    <row r="102" spans="2:7" x14ac:dyDescent="0.2">
      <c r="D102" t="s">
        <v>2513</v>
      </c>
      <c r="E102" t="s">
        <v>2514</v>
      </c>
      <c r="F102" t="s">
        <v>2515</v>
      </c>
      <c r="G102" s="5">
        <v>53278100</v>
      </c>
    </row>
    <row r="103" spans="2:7" x14ac:dyDescent="0.2">
      <c r="E103" t="s">
        <v>2563</v>
      </c>
      <c r="F103" t="s">
        <v>2564</v>
      </c>
      <c r="G103" s="5">
        <v>23538600</v>
      </c>
    </row>
    <row r="104" spans="2:7" x14ac:dyDescent="0.2">
      <c r="D104" t="s">
        <v>2573</v>
      </c>
      <c r="E104" t="s">
        <v>2574</v>
      </c>
      <c r="F104" t="s">
        <v>2575</v>
      </c>
      <c r="G104" s="5">
        <v>134248820</v>
      </c>
    </row>
    <row r="105" spans="2:7" x14ac:dyDescent="0.2">
      <c r="E105" t="s">
        <v>2684</v>
      </c>
      <c r="F105" t="s">
        <v>2685</v>
      </c>
      <c r="G105" s="5">
        <v>28346000</v>
      </c>
    </row>
    <row r="106" spans="2:7" x14ac:dyDescent="0.2">
      <c r="C106" t="s">
        <v>2098</v>
      </c>
      <c r="D106" t="s">
        <v>2108</v>
      </c>
      <c r="E106" t="s">
        <v>2109</v>
      </c>
      <c r="F106" t="s">
        <v>2110</v>
      </c>
      <c r="G106" s="5">
        <v>59655700</v>
      </c>
    </row>
    <row r="107" spans="2:7" x14ac:dyDescent="0.2">
      <c r="D107" t="s">
        <v>2182</v>
      </c>
      <c r="E107" t="s">
        <v>2183</v>
      </c>
      <c r="F107" t="s">
        <v>2184</v>
      </c>
      <c r="G107" s="5">
        <v>9618700</v>
      </c>
    </row>
    <row r="108" spans="2:7" x14ac:dyDescent="0.2">
      <c r="B108" t="s">
        <v>3333</v>
      </c>
      <c r="C108" t="s">
        <v>3442</v>
      </c>
      <c r="D108" t="s">
        <v>3443</v>
      </c>
      <c r="E108" t="s">
        <v>3444</v>
      </c>
      <c r="F108" t="s">
        <v>3445</v>
      </c>
      <c r="G108" s="5">
        <v>18822200</v>
      </c>
    </row>
    <row r="109" spans="2:7" x14ac:dyDescent="0.2">
      <c r="E109" t="s">
        <v>3453</v>
      </c>
      <c r="F109" t="s">
        <v>3454</v>
      </c>
      <c r="G109" s="5">
        <v>10994000</v>
      </c>
    </row>
    <row r="110" spans="2:7" x14ac:dyDescent="0.2">
      <c r="E110" t="s">
        <v>3461</v>
      </c>
      <c r="F110" t="s">
        <v>3462</v>
      </c>
      <c r="G110" s="5">
        <v>5321400</v>
      </c>
    </row>
    <row r="111" spans="2:7" x14ac:dyDescent="0.2">
      <c r="D111" t="s">
        <v>3466</v>
      </c>
      <c r="E111" t="s">
        <v>3467</v>
      </c>
      <c r="F111" t="s">
        <v>3468</v>
      </c>
      <c r="G111" s="5">
        <v>90243200</v>
      </c>
    </row>
    <row r="112" spans="2:7" x14ac:dyDescent="0.2">
      <c r="E112" t="s">
        <v>3526</v>
      </c>
      <c r="F112" t="s">
        <v>3527</v>
      </c>
      <c r="G112" s="5">
        <v>43005200</v>
      </c>
    </row>
    <row r="113" spans="3:7" x14ac:dyDescent="0.2">
      <c r="E113" t="s">
        <v>3564</v>
      </c>
      <c r="F113" t="s">
        <v>3565</v>
      </c>
      <c r="G113" s="5">
        <v>32444400</v>
      </c>
    </row>
    <row r="114" spans="3:7" x14ac:dyDescent="0.2">
      <c r="E114" t="s">
        <v>3577</v>
      </c>
      <c r="F114" t="s">
        <v>3578</v>
      </c>
      <c r="G114" s="5">
        <v>59303200</v>
      </c>
    </row>
    <row r="115" spans="3:7" x14ac:dyDescent="0.2">
      <c r="D115" t="s">
        <v>3626</v>
      </c>
      <c r="E115" t="s">
        <v>3627</v>
      </c>
      <c r="F115" t="s">
        <v>3628</v>
      </c>
      <c r="G115" s="5">
        <v>62906900</v>
      </c>
    </row>
    <row r="116" spans="3:7" x14ac:dyDescent="0.2">
      <c r="E116" t="s">
        <v>3688</v>
      </c>
      <c r="F116" t="s">
        <v>3689</v>
      </c>
      <c r="G116" s="5">
        <v>61799200</v>
      </c>
    </row>
    <row r="117" spans="3:7" x14ac:dyDescent="0.2">
      <c r="E117" t="s">
        <v>3731</v>
      </c>
      <c r="F117" t="s">
        <v>3732</v>
      </c>
      <c r="G117" s="5">
        <v>7843100</v>
      </c>
    </row>
    <row r="118" spans="3:7" x14ac:dyDescent="0.2">
      <c r="C118" t="s">
        <v>3739</v>
      </c>
      <c r="D118" t="s">
        <v>3740</v>
      </c>
      <c r="E118" t="s">
        <v>3741</v>
      </c>
      <c r="F118" t="s">
        <v>3742</v>
      </c>
      <c r="G118" s="5">
        <v>17082600</v>
      </c>
    </row>
    <row r="119" spans="3:7" x14ac:dyDescent="0.2">
      <c r="D119" t="s">
        <v>3752</v>
      </c>
      <c r="E119" t="s">
        <v>3753</v>
      </c>
      <c r="F119" t="s">
        <v>3754</v>
      </c>
      <c r="G119" s="5">
        <v>141338800</v>
      </c>
    </row>
    <row r="120" spans="3:7" x14ac:dyDescent="0.2">
      <c r="E120" t="s">
        <v>3836</v>
      </c>
      <c r="F120" t="s">
        <v>3837</v>
      </c>
      <c r="G120" s="5">
        <v>95900680</v>
      </c>
    </row>
    <row r="121" spans="3:7" x14ac:dyDescent="0.2">
      <c r="E121" t="s">
        <v>3892</v>
      </c>
      <c r="F121" t="s">
        <v>3893</v>
      </c>
      <c r="G121" s="5">
        <v>12807000</v>
      </c>
    </row>
    <row r="122" spans="3:7" x14ac:dyDescent="0.2">
      <c r="C122" t="s">
        <v>3902</v>
      </c>
      <c r="D122" t="s">
        <v>3903</v>
      </c>
      <c r="E122" t="s">
        <v>3904</v>
      </c>
      <c r="F122" t="s">
        <v>3905</v>
      </c>
      <c r="G122" s="5">
        <v>15533600</v>
      </c>
    </row>
    <row r="123" spans="3:7" x14ac:dyDescent="0.2">
      <c r="D123" t="s">
        <v>3920</v>
      </c>
      <c r="E123" t="s">
        <v>3921</v>
      </c>
      <c r="F123" t="s">
        <v>3922</v>
      </c>
      <c r="G123" s="5">
        <v>36405900</v>
      </c>
    </row>
    <row r="124" spans="3:7" x14ac:dyDescent="0.2">
      <c r="C124" t="s">
        <v>3334</v>
      </c>
      <c r="D124" t="s">
        <v>3335</v>
      </c>
      <c r="E124" t="s">
        <v>3336</v>
      </c>
      <c r="F124" t="s">
        <v>3337</v>
      </c>
      <c r="G124" s="5">
        <v>22138110</v>
      </c>
    </row>
    <row r="125" spans="3:7" x14ac:dyDescent="0.2">
      <c r="E125" t="s">
        <v>3361</v>
      </c>
      <c r="F125" t="s">
        <v>3362</v>
      </c>
      <c r="G125" s="5">
        <v>12544210</v>
      </c>
    </row>
    <row r="126" spans="3:7" x14ac:dyDescent="0.2">
      <c r="E126" t="s">
        <v>3369</v>
      </c>
      <c r="F126" t="s">
        <v>3370</v>
      </c>
      <c r="G126" s="5">
        <v>20273800</v>
      </c>
    </row>
    <row r="127" spans="3:7" x14ac:dyDescent="0.2">
      <c r="E127" t="s">
        <v>3383</v>
      </c>
      <c r="F127" t="s">
        <v>3384</v>
      </c>
      <c r="G127" s="5">
        <v>22510900</v>
      </c>
    </row>
    <row r="128" spans="3:7" x14ac:dyDescent="0.2">
      <c r="E128" t="s">
        <v>3393</v>
      </c>
      <c r="F128" t="s">
        <v>3394</v>
      </c>
      <c r="G128" s="5">
        <v>2596000</v>
      </c>
    </row>
    <row r="129" spans="1:7" x14ac:dyDescent="0.2">
      <c r="D129" t="s">
        <v>3399</v>
      </c>
      <c r="E129" t="s">
        <v>3400</v>
      </c>
      <c r="F129" t="s">
        <v>3401</v>
      </c>
      <c r="G129" s="5">
        <v>13273800</v>
      </c>
    </row>
    <row r="130" spans="1:7" x14ac:dyDescent="0.2">
      <c r="D130" t="s">
        <v>3409</v>
      </c>
      <c r="E130" t="s">
        <v>3410</v>
      </c>
      <c r="F130" t="s">
        <v>3411</v>
      </c>
      <c r="G130" s="5">
        <v>60137500</v>
      </c>
    </row>
    <row r="131" spans="1:7" x14ac:dyDescent="0.2">
      <c r="E131" t="s">
        <v>3436</v>
      </c>
      <c r="F131" t="s">
        <v>3437</v>
      </c>
      <c r="G131" s="5">
        <v>10341400</v>
      </c>
    </row>
    <row r="132" spans="1:7" x14ac:dyDescent="0.2">
      <c r="A132" t="s">
        <v>3937</v>
      </c>
      <c r="G132" s="5">
        <v>4659470100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ECA42-1849-45C1-8611-314589FC7529}">
  <sheetPr>
    <tabColor rgb="FFFFFF00"/>
  </sheetPr>
  <dimension ref="A2:H130"/>
  <sheetViews>
    <sheetView tabSelected="1" workbookViewId="0">
      <selection activeCell="A2" sqref="A2"/>
    </sheetView>
  </sheetViews>
  <sheetFormatPr defaultRowHeight="12.75" x14ac:dyDescent="0.2"/>
  <cols>
    <col min="1" max="1" width="13.140625" bestFit="1" customWidth="1"/>
    <col min="2" max="3" width="12.28515625" bestFit="1" customWidth="1"/>
    <col min="4" max="5" width="11.140625" bestFit="1" customWidth="1"/>
    <col min="6" max="6" width="38.28515625" bestFit="1" customWidth="1"/>
    <col min="7" max="7" width="11.7109375" style="45" bestFit="1" customWidth="1"/>
  </cols>
  <sheetData>
    <row r="2" spans="1:8" ht="13.5" x14ac:dyDescent="0.2">
      <c r="A2" s="24" t="s">
        <v>4034</v>
      </c>
      <c r="B2" s="24" t="s">
        <v>4028</v>
      </c>
      <c r="C2" s="24" t="s">
        <v>4029</v>
      </c>
      <c r="D2" s="24" t="s">
        <v>4030</v>
      </c>
      <c r="E2" s="24" t="s">
        <v>5</v>
      </c>
      <c r="F2" s="24" t="s">
        <v>6</v>
      </c>
      <c r="G2" s="24" t="s">
        <v>4033</v>
      </c>
      <c r="H2" s="24" t="s">
        <v>4036</v>
      </c>
    </row>
    <row r="3" spans="1:8" ht="13.5" x14ac:dyDescent="0.2">
      <c r="A3" s="43" t="s">
        <v>23</v>
      </c>
      <c r="B3" s="43" t="s">
        <v>24</v>
      </c>
      <c r="C3" s="43" t="s">
        <v>25</v>
      </c>
      <c r="D3" s="43" t="s">
        <v>26</v>
      </c>
      <c r="E3" s="43" t="s">
        <v>27</v>
      </c>
      <c r="F3" s="43" t="s">
        <v>28</v>
      </c>
      <c r="G3" s="22">
        <v>154000900</v>
      </c>
      <c r="H3" s="54">
        <v>62</v>
      </c>
    </row>
    <row r="4" spans="1:8" ht="13.5" x14ac:dyDescent="0.2">
      <c r="A4" s="43" t="s">
        <v>23</v>
      </c>
      <c r="B4" s="43" t="s">
        <v>24</v>
      </c>
      <c r="C4" s="43" t="s">
        <v>25</v>
      </c>
      <c r="D4" s="43" t="s">
        <v>26</v>
      </c>
      <c r="E4" s="43" t="s">
        <v>146</v>
      </c>
      <c r="F4" s="43" t="s">
        <v>147</v>
      </c>
      <c r="G4" s="22">
        <v>13423800</v>
      </c>
      <c r="H4" s="54">
        <v>5</v>
      </c>
    </row>
    <row r="5" spans="1:8" ht="13.5" x14ac:dyDescent="0.2">
      <c r="A5" s="43" t="s">
        <v>23</v>
      </c>
      <c r="B5" s="43" t="s">
        <v>24</v>
      </c>
      <c r="C5" s="43" t="s">
        <v>25</v>
      </c>
      <c r="D5" s="43" t="s">
        <v>26</v>
      </c>
      <c r="E5" s="43" t="s">
        <v>154</v>
      </c>
      <c r="F5" s="43" t="s">
        <v>155</v>
      </c>
      <c r="G5" s="22">
        <v>82216000</v>
      </c>
      <c r="H5" s="54">
        <v>44</v>
      </c>
    </row>
    <row r="6" spans="1:8" ht="13.5" x14ac:dyDescent="0.2">
      <c r="A6" s="43" t="s">
        <v>23</v>
      </c>
      <c r="B6" s="43" t="s">
        <v>24</v>
      </c>
      <c r="C6" s="43" t="s">
        <v>25</v>
      </c>
      <c r="D6" s="43" t="s">
        <v>208</v>
      </c>
      <c r="E6" s="43" t="s">
        <v>209</v>
      </c>
      <c r="F6" s="43" t="s">
        <v>210</v>
      </c>
      <c r="G6" s="22">
        <v>40163200</v>
      </c>
      <c r="H6" s="54">
        <v>28</v>
      </c>
    </row>
    <row r="7" spans="1:8" ht="13.5" x14ac:dyDescent="0.2">
      <c r="A7" s="43" t="s">
        <v>23</v>
      </c>
      <c r="B7" s="43" t="s">
        <v>24</v>
      </c>
      <c r="C7" s="43" t="s">
        <v>25</v>
      </c>
      <c r="D7" s="43" t="s">
        <v>208</v>
      </c>
      <c r="E7" s="43" t="s">
        <v>279</v>
      </c>
      <c r="F7" s="43" t="s">
        <v>280</v>
      </c>
      <c r="G7" s="22">
        <v>17767600</v>
      </c>
      <c r="H7" s="54">
        <v>14</v>
      </c>
    </row>
    <row r="8" spans="1:8" ht="13.5" x14ac:dyDescent="0.2">
      <c r="A8" s="43" t="s">
        <v>23</v>
      </c>
      <c r="B8" s="43" t="s">
        <v>24</v>
      </c>
      <c r="C8" s="43" t="s">
        <v>25</v>
      </c>
      <c r="D8" s="43" t="s">
        <v>208</v>
      </c>
      <c r="E8" s="43" t="s">
        <v>290</v>
      </c>
      <c r="F8" s="43" t="s">
        <v>291</v>
      </c>
      <c r="G8" s="22">
        <v>59919900</v>
      </c>
      <c r="H8" s="54">
        <v>44</v>
      </c>
    </row>
    <row r="9" spans="1:8" ht="13.5" x14ac:dyDescent="0.2">
      <c r="A9" s="43" t="s">
        <v>23</v>
      </c>
      <c r="B9" s="43" t="s">
        <v>24</v>
      </c>
      <c r="C9" s="43" t="s">
        <v>25</v>
      </c>
      <c r="D9" s="43" t="s">
        <v>208</v>
      </c>
      <c r="E9" s="43" t="s">
        <v>330</v>
      </c>
      <c r="F9" s="43" t="s">
        <v>331</v>
      </c>
      <c r="G9" s="22">
        <v>9660600</v>
      </c>
      <c r="H9" s="54">
        <v>16</v>
      </c>
    </row>
    <row r="10" spans="1:8" ht="13.5" x14ac:dyDescent="0.2">
      <c r="A10" s="43" t="s">
        <v>23</v>
      </c>
      <c r="B10" s="43" t="s">
        <v>24</v>
      </c>
      <c r="C10" s="43" t="s">
        <v>25</v>
      </c>
      <c r="D10" s="43" t="s">
        <v>208</v>
      </c>
      <c r="E10" s="43" t="s">
        <v>347</v>
      </c>
      <c r="F10" s="43" t="s">
        <v>348</v>
      </c>
      <c r="G10" s="22">
        <v>9005500</v>
      </c>
      <c r="H10" s="54">
        <v>7</v>
      </c>
    </row>
    <row r="11" spans="1:8" ht="13.5" x14ac:dyDescent="0.2">
      <c r="A11" s="43" t="s">
        <v>23</v>
      </c>
      <c r="B11" s="43" t="s">
        <v>24</v>
      </c>
      <c r="C11" s="43" t="s">
        <v>25</v>
      </c>
      <c r="D11" s="43" t="s">
        <v>208</v>
      </c>
      <c r="E11" s="43" t="s">
        <v>368</v>
      </c>
      <c r="F11" s="43" t="s">
        <v>369</v>
      </c>
      <c r="G11" s="22">
        <v>62444600</v>
      </c>
      <c r="H11" s="54">
        <v>64</v>
      </c>
    </row>
    <row r="12" spans="1:8" ht="13.5" x14ac:dyDescent="0.2">
      <c r="A12" s="43" t="s">
        <v>23</v>
      </c>
      <c r="B12" s="43" t="s">
        <v>24</v>
      </c>
      <c r="C12" s="43" t="s">
        <v>25</v>
      </c>
      <c r="D12" s="43" t="s">
        <v>208</v>
      </c>
      <c r="E12" s="43" t="s">
        <v>426</v>
      </c>
      <c r="F12" s="43" t="s">
        <v>427</v>
      </c>
      <c r="G12" s="22">
        <v>2605000</v>
      </c>
      <c r="H12" s="54">
        <v>5</v>
      </c>
    </row>
    <row r="13" spans="1:8" ht="13.5" x14ac:dyDescent="0.2">
      <c r="A13" s="43" t="s">
        <v>23</v>
      </c>
      <c r="B13" s="43" t="s">
        <v>24</v>
      </c>
      <c r="C13" s="43" t="s">
        <v>25</v>
      </c>
      <c r="D13" s="43" t="s">
        <v>208</v>
      </c>
      <c r="E13" s="43" t="s">
        <v>440</v>
      </c>
      <c r="F13" s="43" t="s">
        <v>441</v>
      </c>
      <c r="G13" s="22">
        <v>11979100</v>
      </c>
      <c r="H13" s="54">
        <v>10</v>
      </c>
    </row>
    <row r="14" spans="1:8" ht="13.5" x14ac:dyDescent="0.2">
      <c r="A14" s="43" t="s">
        <v>23</v>
      </c>
      <c r="B14" s="43" t="s">
        <v>24</v>
      </c>
      <c r="C14" s="43" t="s">
        <v>25</v>
      </c>
      <c r="D14" s="43" t="s">
        <v>454</v>
      </c>
      <c r="E14" s="43" t="s">
        <v>455</v>
      </c>
      <c r="F14" s="43" t="s">
        <v>456</v>
      </c>
      <c r="G14" s="22">
        <v>40494800</v>
      </c>
      <c r="H14" s="54">
        <v>32</v>
      </c>
    </row>
    <row r="15" spans="1:8" ht="13.5" x14ac:dyDescent="0.2">
      <c r="A15" s="43" t="s">
        <v>23</v>
      </c>
      <c r="B15" s="43" t="s">
        <v>24</v>
      </c>
      <c r="C15" s="43" t="s">
        <v>25</v>
      </c>
      <c r="D15" s="43" t="s">
        <v>454</v>
      </c>
      <c r="E15" s="43" t="s">
        <v>481</v>
      </c>
      <c r="F15" s="43" t="s">
        <v>482</v>
      </c>
      <c r="G15" s="22">
        <v>29319300</v>
      </c>
      <c r="H15" s="54">
        <v>16</v>
      </c>
    </row>
    <row r="16" spans="1:8" ht="13.5" x14ac:dyDescent="0.2">
      <c r="A16" s="43" t="s">
        <v>23</v>
      </c>
      <c r="B16" s="43" t="s">
        <v>24</v>
      </c>
      <c r="C16" s="43" t="s">
        <v>25</v>
      </c>
      <c r="D16" s="43" t="s">
        <v>454</v>
      </c>
      <c r="E16" s="43" t="s">
        <v>508</v>
      </c>
      <c r="F16" s="43" t="s">
        <v>509</v>
      </c>
      <c r="G16" s="22">
        <v>71588130</v>
      </c>
      <c r="H16" s="54">
        <v>57</v>
      </c>
    </row>
    <row r="17" spans="1:8" ht="13.5" x14ac:dyDescent="0.2">
      <c r="A17" s="43" t="s">
        <v>23</v>
      </c>
      <c r="B17" s="43" t="s">
        <v>24</v>
      </c>
      <c r="C17" s="43" t="s">
        <v>25</v>
      </c>
      <c r="D17" s="43" t="s">
        <v>581</v>
      </c>
      <c r="E17" s="43" t="s">
        <v>582</v>
      </c>
      <c r="F17" s="43" t="s">
        <v>583</v>
      </c>
      <c r="G17" s="22">
        <v>9168100</v>
      </c>
      <c r="H17" s="54">
        <v>11</v>
      </c>
    </row>
    <row r="18" spans="1:8" ht="13.5" x14ac:dyDescent="0.2">
      <c r="A18" s="43" t="s">
        <v>23</v>
      </c>
      <c r="B18" s="43" t="s">
        <v>24</v>
      </c>
      <c r="C18" s="43" t="s">
        <v>25</v>
      </c>
      <c r="D18" s="43" t="s">
        <v>581</v>
      </c>
      <c r="E18" s="43" t="s">
        <v>594</v>
      </c>
      <c r="F18" s="43" t="s">
        <v>595</v>
      </c>
      <c r="G18" s="22">
        <v>21559200</v>
      </c>
      <c r="H18" s="54">
        <v>17</v>
      </c>
    </row>
    <row r="19" spans="1:8" ht="13.5" x14ac:dyDescent="0.2">
      <c r="A19" s="43" t="s">
        <v>23</v>
      </c>
      <c r="B19" s="43" t="s">
        <v>24</v>
      </c>
      <c r="C19" s="43" t="s">
        <v>25</v>
      </c>
      <c r="D19" s="43" t="s">
        <v>581</v>
      </c>
      <c r="E19" s="43" t="s">
        <v>606</v>
      </c>
      <c r="F19" s="43" t="s">
        <v>607</v>
      </c>
      <c r="G19" s="22">
        <v>39632800</v>
      </c>
      <c r="H19" s="54">
        <v>26</v>
      </c>
    </row>
    <row r="20" spans="1:8" ht="13.5" x14ac:dyDescent="0.2">
      <c r="A20" s="43" t="s">
        <v>23</v>
      </c>
      <c r="B20" s="43" t="s">
        <v>24</v>
      </c>
      <c r="C20" s="43" t="s">
        <v>25</v>
      </c>
      <c r="D20" s="43" t="s">
        <v>581</v>
      </c>
      <c r="E20" s="43" t="s">
        <v>637</v>
      </c>
      <c r="F20" s="43" t="s">
        <v>638</v>
      </c>
      <c r="G20" s="22">
        <v>6634200</v>
      </c>
      <c r="H20" s="54">
        <v>6</v>
      </c>
    </row>
    <row r="21" spans="1:8" ht="13.5" x14ac:dyDescent="0.2">
      <c r="A21" s="43" t="s">
        <v>23</v>
      </c>
      <c r="B21" s="43" t="s">
        <v>24</v>
      </c>
      <c r="C21" s="43" t="s">
        <v>25</v>
      </c>
      <c r="D21" s="43" t="s">
        <v>581</v>
      </c>
      <c r="E21" s="43" t="s">
        <v>643</v>
      </c>
      <c r="F21" s="43" t="s">
        <v>644</v>
      </c>
      <c r="G21" s="22">
        <v>9889700</v>
      </c>
      <c r="H21" s="54">
        <v>10</v>
      </c>
    </row>
    <row r="22" spans="1:8" ht="13.5" x14ac:dyDescent="0.2">
      <c r="A22" s="43" t="s">
        <v>23</v>
      </c>
      <c r="B22" s="43" t="s">
        <v>24</v>
      </c>
      <c r="C22" s="43" t="s">
        <v>25</v>
      </c>
      <c r="D22" s="43" t="s">
        <v>581</v>
      </c>
      <c r="E22" s="43" t="s">
        <v>653</v>
      </c>
      <c r="F22" s="43" t="s">
        <v>654</v>
      </c>
      <c r="G22" s="22">
        <v>39535800</v>
      </c>
      <c r="H22" s="54">
        <v>30</v>
      </c>
    </row>
    <row r="23" spans="1:8" ht="13.5" x14ac:dyDescent="0.2">
      <c r="A23" s="43" t="s">
        <v>23</v>
      </c>
      <c r="B23" s="43" t="s">
        <v>24</v>
      </c>
      <c r="C23" s="43" t="s">
        <v>25</v>
      </c>
      <c r="D23" s="43" t="s">
        <v>671</v>
      </c>
      <c r="E23" s="43" t="s">
        <v>672</v>
      </c>
      <c r="F23" s="43" t="s">
        <v>673</v>
      </c>
      <c r="G23" s="22">
        <v>29459300</v>
      </c>
      <c r="H23" s="54">
        <v>27</v>
      </c>
    </row>
    <row r="24" spans="1:8" ht="13.5" x14ac:dyDescent="0.2">
      <c r="A24" s="43" t="s">
        <v>23</v>
      </c>
      <c r="B24" s="43" t="s">
        <v>24</v>
      </c>
      <c r="C24" s="43" t="s">
        <v>25</v>
      </c>
      <c r="D24" s="43" t="s">
        <v>671</v>
      </c>
      <c r="E24" s="43" t="s">
        <v>707</v>
      </c>
      <c r="F24" s="43" t="s">
        <v>708</v>
      </c>
      <c r="G24" s="22">
        <v>5566000</v>
      </c>
      <c r="H24" s="54">
        <v>7</v>
      </c>
    </row>
    <row r="25" spans="1:8" ht="13.5" x14ac:dyDescent="0.2">
      <c r="A25" s="43" t="s">
        <v>23</v>
      </c>
      <c r="B25" s="43" t="s">
        <v>24</v>
      </c>
      <c r="C25" s="43" t="s">
        <v>25</v>
      </c>
      <c r="D25" s="43" t="s">
        <v>671</v>
      </c>
      <c r="E25" s="43" t="s">
        <v>721</v>
      </c>
      <c r="F25" s="43" t="s">
        <v>722</v>
      </c>
      <c r="G25" s="22">
        <v>11995800</v>
      </c>
      <c r="H25" s="54">
        <v>10</v>
      </c>
    </row>
    <row r="26" spans="1:8" ht="13.5" x14ac:dyDescent="0.2">
      <c r="A26" s="43" t="s">
        <v>23</v>
      </c>
      <c r="B26" s="43" t="s">
        <v>24</v>
      </c>
      <c r="C26" s="43" t="s">
        <v>25</v>
      </c>
      <c r="D26" s="43" t="s">
        <v>671</v>
      </c>
      <c r="E26" s="43" t="s">
        <v>735</v>
      </c>
      <c r="F26" s="43" t="s">
        <v>736</v>
      </c>
      <c r="G26" s="22">
        <v>53462000</v>
      </c>
      <c r="H26" s="54">
        <v>13</v>
      </c>
    </row>
    <row r="27" spans="1:8" ht="13.5" x14ac:dyDescent="0.2">
      <c r="A27" s="43" t="s">
        <v>23</v>
      </c>
      <c r="B27" s="43" t="s">
        <v>24</v>
      </c>
      <c r="C27" s="43" t="s">
        <v>25</v>
      </c>
      <c r="D27" s="43" t="s">
        <v>671</v>
      </c>
      <c r="E27" s="43" t="s">
        <v>749</v>
      </c>
      <c r="F27" s="43" t="s">
        <v>750</v>
      </c>
      <c r="G27" s="22">
        <v>38573200</v>
      </c>
      <c r="H27" s="54">
        <v>27</v>
      </c>
    </row>
    <row r="28" spans="1:8" ht="13.5" x14ac:dyDescent="0.2">
      <c r="A28" s="43" t="s">
        <v>23</v>
      </c>
      <c r="B28" s="43" t="s">
        <v>24</v>
      </c>
      <c r="C28" s="43" t="s">
        <v>25</v>
      </c>
      <c r="D28" s="43" t="s">
        <v>671</v>
      </c>
      <c r="E28" s="43" t="s">
        <v>786</v>
      </c>
      <c r="F28" s="43" t="s">
        <v>787</v>
      </c>
      <c r="G28" s="22">
        <v>9169000</v>
      </c>
      <c r="H28" s="54">
        <v>11</v>
      </c>
    </row>
    <row r="29" spans="1:8" ht="13.5" x14ac:dyDescent="0.2">
      <c r="A29" s="43" t="s">
        <v>23</v>
      </c>
      <c r="B29" s="43" t="s">
        <v>24</v>
      </c>
      <c r="C29" s="43" t="s">
        <v>25</v>
      </c>
      <c r="D29" s="43" t="s">
        <v>797</v>
      </c>
      <c r="E29" s="43" t="s">
        <v>798</v>
      </c>
      <c r="F29" s="43" t="s">
        <v>799</v>
      </c>
      <c r="G29" s="22">
        <v>9243600</v>
      </c>
      <c r="H29" s="54">
        <v>8</v>
      </c>
    </row>
    <row r="30" spans="1:8" ht="13.5" x14ac:dyDescent="0.2">
      <c r="A30" s="43" t="s">
        <v>23</v>
      </c>
      <c r="B30" s="43" t="s">
        <v>24</v>
      </c>
      <c r="C30" s="43" t="s">
        <v>25</v>
      </c>
      <c r="D30" s="43" t="s">
        <v>797</v>
      </c>
      <c r="E30" s="43" t="s">
        <v>808</v>
      </c>
      <c r="F30" s="43" t="s">
        <v>809</v>
      </c>
      <c r="G30" s="22">
        <v>5601200</v>
      </c>
      <c r="H30" s="54">
        <v>6</v>
      </c>
    </row>
    <row r="31" spans="1:8" ht="13.5" x14ac:dyDescent="0.2">
      <c r="A31" s="43" t="s">
        <v>23</v>
      </c>
      <c r="B31" s="43" t="s">
        <v>24</v>
      </c>
      <c r="C31" s="43" t="s">
        <v>25</v>
      </c>
      <c r="D31" s="43" t="s">
        <v>797</v>
      </c>
      <c r="E31" s="43" t="s">
        <v>818</v>
      </c>
      <c r="F31" s="43" t="s">
        <v>819</v>
      </c>
      <c r="G31" s="22">
        <v>32735300</v>
      </c>
      <c r="H31" s="54">
        <v>22</v>
      </c>
    </row>
    <row r="32" spans="1:8" ht="13.5" x14ac:dyDescent="0.2">
      <c r="A32" s="43" t="s">
        <v>23</v>
      </c>
      <c r="B32" s="43" t="s">
        <v>24</v>
      </c>
      <c r="C32" s="43" t="s">
        <v>25</v>
      </c>
      <c r="D32" s="43" t="s">
        <v>797</v>
      </c>
      <c r="E32" s="43" t="s">
        <v>832</v>
      </c>
      <c r="F32" s="43" t="s">
        <v>833</v>
      </c>
      <c r="G32" s="22">
        <v>67965400</v>
      </c>
      <c r="H32" s="54">
        <v>53</v>
      </c>
    </row>
    <row r="33" spans="1:8" ht="13.5" x14ac:dyDescent="0.2">
      <c r="A33" s="43" t="s">
        <v>23</v>
      </c>
      <c r="B33" s="43" t="s">
        <v>24</v>
      </c>
      <c r="C33" s="43" t="s">
        <v>25</v>
      </c>
      <c r="D33" s="43" t="s">
        <v>893</v>
      </c>
      <c r="E33" s="43" t="s">
        <v>894</v>
      </c>
      <c r="F33" s="43" t="s">
        <v>895</v>
      </c>
      <c r="G33" s="22">
        <v>103123900</v>
      </c>
      <c r="H33" s="54">
        <v>95</v>
      </c>
    </row>
    <row r="34" spans="1:8" ht="13.5" x14ac:dyDescent="0.2">
      <c r="A34" s="43" t="s">
        <v>23</v>
      </c>
      <c r="B34" s="43" t="s">
        <v>24</v>
      </c>
      <c r="C34" s="43" t="s">
        <v>978</v>
      </c>
      <c r="D34" s="43" t="s">
        <v>979</v>
      </c>
      <c r="E34" s="43" t="s">
        <v>980</v>
      </c>
      <c r="F34" s="43" t="s">
        <v>981</v>
      </c>
      <c r="G34" s="22">
        <v>25306400</v>
      </c>
      <c r="H34" s="54">
        <v>26</v>
      </c>
    </row>
    <row r="35" spans="1:8" ht="13.5" x14ac:dyDescent="0.2">
      <c r="A35" s="43" t="s">
        <v>23</v>
      </c>
      <c r="B35" s="43" t="s">
        <v>24</v>
      </c>
      <c r="C35" s="43" t="s">
        <v>978</v>
      </c>
      <c r="D35" s="43" t="s">
        <v>996</v>
      </c>
      <c r="E35" s="43" t="s">
        <v>997</v>
      </c>
      <c r="F35" s="43" t="s">
        <v>998</v>
      </c>
      <c r="G35" s="22">
        <v>14130500</v>
      </c>
      <c r="H35" s="54">
        <v>10</v>
      </c>
    </row>
    <row r="36" spans="1:8" ht="13.5" x14ac:dyDescent="0.2">
      <c r="A36" s="43" t="s">
        <v>23</v>
      </c>
      <c r="B36" s="43" t="s">
        <v>24</v>
      </c>
      <c r="C36" s="43" t="s">
        <v>978</v>
      </c>
      <c r="D36" s="43" t="s">
        <v>1006</v>
      </c>
      <c r="E36" s="43" t="s">
        <v>1007</v>
      </c>
      <c r="F36" s="43" t="s">
        <v>1008</v>
      </c>
      <c r="G36" s="22">
        <v>16386400</v>
      </c>
      <c r="H36" s="54">
        <v>14</v>
      </c>
    </row>
    <row r="37" spans="1:8" ht="13.5" x14ac:dyDescent="0.2">
      <c r="A37" s="43" t="s">
        <v>23</v>
      </c>
      <c r="B37" s="43" t="s">
        <v>24</v>
      </c>
      <c r="C37" s="43" t="s">
        <v>978</v>
      </c>
      <c r="D37" s="43" t="s">
        <v>1006</v>
      </c>
      <c r="E37" s="43" t="s">
        <v>1015</v>
      </c>
      <c r="F37" s="43" t="s">
        <v>1016</v>
      </c>
      <c r="G37" s="22">
        <v>12362500</v>
      </c>
      <c r="H37" s="54">
        <v>10</v>
      </c>
    </row>
    <row r="38" spans="1:8" ht="13.5" x14ac:dyDescent="0.2">
      <c r="A38" s="43" t="s">
        <v>23</v>
      </c>
      <c r="B38" s="43" t="s">
        <v>24</v>
      </c>
      <c r="C38" s="43" t="s">
        <v>978</v>
      </c>
      <c r="D38" s="43" t="s">
        <v>1006</v>
      </c>
      <c r="E38" s="43" t="s">
        <v>1035</v>
      </c>
      <c r="F38" s="43" t="s">
        <v>1036</v>
      </c>
      <c r="G38" s="22">
        <v>10520400</v>
      </c>
      <c r="H38" s="54">
        <v>10</v>
      </c>
    </row>
    <row r="39" spans="1:8" ht="13.5" x14ac:dyDescent="0.2">
      <c r="A39" s="43" t="s">
        <v>23</v>
      </c>
      <c r="B39" s="43" t="s">
        <v>24</v>
      </c>
      <c r="C39" s="43" t="s">
        <v>978</v>
      </c>
      <c r="D39" s="43" t="s">
        <v>1041</v>
      </c>
      <c r="E39" s="43" t="s">
        <v>1042</v>
      </c>
      <c r="F39" s="43" t="s">
        <v>1043</v>
      </c>
      <c r="G39" s="22">
        <v>34286700</v>
      </c>
      <c r="H39" s="54">
        <v>21</v>
      </c>
    </row>
    <row r="40" spans="1:8" ht="13.5" x14ac:dyDescent="0.2">
      <c r="A40" s="43" t="s">
        <v>23</v>
      </c>
      <c r="B40" s="43" t="s">
        <v>24</v>
      </c>
      <c r="C40" s="43" t="s">
        <v>978</v>
      </c>
      <c r="D40" s="43" t="s">
        <v>1041</v>
      </c>
      <c r="E40" s="43" t="s">
        <v>1084</v>
      </c>
      <c r="F40" s="43" t="s">
        <v>1085</v>
      </c>
      <c r="G40" s="22">
        <v>35721160</v>
      </c>
      <c r="H40" s="54">
        <v>28</v>
      </c>
    </row>
    <row r="41" spans="1:8" ht="13.5" x14ac:dyDescent="0.2">
      <c r="A41" s="43" t="s">
        <v>23</v>
      </c>
      <c r="B41" s="43" t="s">
        <v>1108</v>
      </c>
      <c r="C41" s="43" t="s">
        <v>1725</v>
      </c>
      <c r="D41" s="43" t="s">
        <v>1726</v>
      </c>
      <c r="E41" s="43" t="s">
        <v>1727</v>
      </c>
      <c r="F41" s="43" t="s">
        <v>1728</v>
      </c>
      <c r="G41" s="22">
        <v>76380600</v>
      </c>
      <c r="H41" s="54">
        <v>43</v>
      </c>
    </row>
    <row r="42" spans="1:8" ht="13.5" x14ac:dyDescent="0.2">
      <c r="A42" s="43" t="s">
        <v>23</v>
      </c>
      <c r="B42" s="43" t="s">
        <v>1108</v>
      </c>
      <c r="C42" s="43" t="s">
        <v>1725</v>
      </c>
      <c r="D42" s="43" t="s">
        <v>1759</v>
      </c>
      <c r="E42" s="43" t="s">
        <v>1760</v>
      </c>
      <c r="F42" s="43" t="s">
        <v>1761</v>
      </c>
      <c r="G42" s="22">
        <v>35691610</v>
      </c>
      <c r="H42" s="54">
        <v>24</v>
      </c>
    </row>
    <row r="43" spans="1:8" ht="13.5" x14ac:dyDescent="0.2">
      <c r="A43" s="43" t="s">
        <v>23</v>
      </c>
      <c r="B43" s="43" t="s">
        <v>1108</v>
      </c>
      <c r="C43" s="43" t="s">
        <v>1808</v>
      </c>
      <c r="D43" s="43" t="s">
        <v>1809</v>
      </c>
      <c r="E43" s="43" t="s">
        <v>1810</v>
      </c>
      <c r="F43" s="43" t="s">
        <v>1811</v>
      </c>
      <c r="G43" s="22">
        <v>78882800</v>
      </c>
      <c r="H43" s="54">
        <v>65</v>
      </c>
    </row>
    <row r="44" spans="1:8" ht="13.5" x14ac:dyDescent="0.2">
      <c r="A44" s="43" t="s">
        <v>23</v>
      </c>
      <c r="B44" s="43" t="s">
        <v>1108</v>
      </c>
      <c r="C44" s="43" t="s">
        <v>1808</v>
      </c>
      <c r="D44" s="43" t="s">
        <v>1832</v>
      </c>
      <c r="E44" s="43" t="s">
        <v>1833</v>
      </c>
      <c r="F44" s="43" t="s">
        <v>1834</v>
      </c>
      <c r="G44" s="22">
        <v>27036800</v>
      </c>
      <c r="H44" s="54">
        <v>18</v>
      </c>
    </row>
    <row r="45" spans="1:8" ht="13.5" x14ac:dyDescent="0.2">
      <c r="A45" s="43" t="s">
        <v>23</v>
      </c>
      <c r="B45" s="43" t="s">
        <v>1108</v>
      </c>
      <c r="C45" s="43" t="s">
        <v>1808</v>
      </c>
      <c r="D45" s="43" t="s">
        <v>1832</v>
      </c>
      <c r="E45" s="43" t="s">
        <v>1848</v>
      </c>
      <c r="F45" s="43" t="s">
        <v>1849</v>
      </c>
      <c r="G45" s="22">
        <v>38859800</v>
      </c>
      <c r="H45" s="54">
        <v>34</v>
      </c>
    </row>
    <row r="46" spans="1:8" ht="13.5" x14ac:dyDescent="0.2">
      <c r="A46" s="43" t="s">
        <v>23</v>
      </c>
      <c r="B46" s="43" t="s">
        <v>1108</v>
      </c>
      <c r="C46" s="43" t="s">
        <v>1808</v>
      </c>
      <c r="D46" s="43" t="s">
        <v>1872</v>
      </c>
      <c r="E46" s="43" t="s">
        <v>1873</v>
      </c>
      <c r="F46" s="43" t="s">
        <v>1874</v>
      </c>
      <c r="G46" s="22">
        <v>29444200</v>
      </c>
      <c r="H46" s="54">
        <v>31</v>
      </c>
    </row>
    <row r="47" spans="1:8" ht="13.5" x14ac:dyDescent="0.2">
      <c r="A47" s="43" t="s">
        <v>23</v>
      </c>
      <c r="B47" s="43" t="s">
        <v>1108</v>
      </c>
      <c r="C47" s="43" t="s">
        <v>1893</v>
      </c>
      <c r="D47" s="43" t="s">
        <v>1894</v>
      </c>
      <c r="E47" s="43" t="s">
        <v>1895</v>
      </c>
      <c r="F47" s="43" t="s">
        <v>1896</v>
      </c>
      <c r="G47" s="22">
        <v>3090600</v>
      </c>
      <c r="H47" s="54">
        <v>3</v>
      </c>
    </row>
    <row r="48" spans="1:8" ht="13.5" x14ac:dyDescent="0.2">
      <c r="A48" s="43" t="s">
        <v>23</v>
      </c>
      <c r="B48" s="43" t="s">
        <v>1108</v>
      </c>
      <c r="C48" s="43" t="s">
        <v>1893</v>
      </c>
      <c r="D48" s="43" t="s">
        <v>1894</v>
      </c>
      <c r="E48" s="43" t="s">
        <v>1899</v>
      </c>
      <c r="F48" s="43" t="s">
        <v>1900</v>
      </c>
      <c r="G48" s="22">
        <v>58677700</v>
      </c>
      <c r="H48" s="54">
        <v>34</v>
      </c>
    </row>
    <row r="49" spans="1:8" ht="13.5" x14ac:dyDescent="0.2">
      <c r="A49" s="43" t="s">
        <v>23</v>
      </c>
      <c r="B49" s="43" t="s">
        <v>1108</v>
      </c>
      <c r="C49" s="43" t="s">
        <v>1893</v>
      </c>
      <c r="D49" s="43" t="s">
        <v>1894</v>
      </c>
      <c r="E49" s="43" t="s">
        <v>1936</v>
      </c>
      <c r="F49" s="43" t="s">
        <v>1937</v>
      </c>
      <c r="G49" s="22">
        <v>2582000</v>
      </c>
      <c r="H49" s="54">
        <v>2</v>
      </c>
    </row>
    <row r="50" spans="1:8" ht="13.5" x14ac:dyDescent="0.2">
      <c r="A50" s="43" t="s">
        <v>23</v>
      </c>
      <c r="B50" s="43" t="s">
        <v>1108</v>
      </c>
      <c r="C50" s="43" t="s">
        <v>1893</v>
      </c>
      <c r="D50" s="43" t="s">
        <v>1894</v>
      </c>
      <c r="E50" s="43" t="s">
        <v>1940</v>
      </c>
      <c r="F50" s="43" t="s">
        <v>1941</v>
      </c>
      <c r="G50" s="22">
        <v>23541400</v>
      </c>
      <c r="H50" s="54">
        <v>23</v>
      </c>
    </row>
    <row r="51" spans="1:8" ht="13.5" x14ac:dyDescent="0.2">
      <c r="A51" s="43" t="s">
        <v>23</v>
      </c>
      <c r="B51" s="43" t="s">
        <v>1108</v>
      </c>
      <c r="C51" s="43" t="s">
        <v>1893</v>
      </c>
      <c r="D51" s="43" t="s">
        <v>1962</v>
      </c>
      <c r="E51" s="43" t="s">
        <v>1963</v>
      </c>
      <c r="F51" s="43" t="s">
        <v>1964</v>
      </c>
      <c r="G51" s="22">
        <v>67491300</v>
      </c>
      <c r="H51" s="54">
        <v>55</v>
      </c>
    </row>
    <row r="52" spans="1:8" ht="13.5" x14ac:dyDescent="0.2">
      <c r="A52" s="43" t="s">
        <v>23</v>
      </c>
      <c r="B52" s="43" t="s">
        <v>1108</v>
      </c>
      <c r="C52" s="43" t="s">
        <v>1893</v>
      </c>
      <c r="D52" s="43" t="s">
        <v>1962</v>
      </c>
      <c r="E52" s="43" t="s">
        <v>1998</v>
      </c>
      <c r="F52" s="43" t="s">
        <v>1999</v>
      </c>
      <c r="G52" s="22">
        <v>14202900</v>
      </c>
      <c r="H52" s="54">
        <v>13</v>
      </c>
    </row>
    <row r="53" spans="1:8" ht="13.5" x14ac:dyDescent="0.2">
      <c r="A53" s="43" t="s">
        <v>23</v>
      </c>
      <c r="B53" s="43" t="s">
        <v>1108</v>
      </c>
      <c r="C53" s="43" t="s">
        <v>1893</v>
      </c>
      <c r="D53" s="43" t="s">
        <v>1962</v>
      </c>
      <c r="E53" s="43" t="s">
        <v>2028</v>
      </c>
      <c r="F53" s="43" t="s">
        <v>2029</v>
      </c>
      <c r="G53" s="22">
        <v>11543900</v>
      </c>
      <c r="H53" s="54">
        <v>7</v>
      </c>
    </row>
    <row r="54" spans="1:8" ht="13.5" x14ac:dyDescent="0.2">
      <c r="A54" s="43" t="s">
        <v>23</v>
      </c>
      <c r="B54" s="43" t="s">
        <v>1108</v>
      </c>
      <c r="C54" s="43" t="s">
        <v>1893</v>
      </c>
      <c r="D54" s="43" t="s">
        <v>1962</v>
      </c>
      <c r="E54" s="43" t="s">
        <v>2035</v>
      </c>
      <c r="F54" s="43" t="s">
        <v>2036</v>
      </c>
      <c r="G54" s="22">
        <v>46230500</v>
      </c>
      <c r="H54" s="54">
        <v>28</v>
      </c>
    </row>
    <row r="55" spans="1:8" ht="13.5" x14ac:dyDescent="0.2">
      <c r="A55" s="43" t="s">
        <v>23</v>
      </c>
      <c r="B55" s="43" t="s">
        <v>1108</v>
      </c>
      <c r="C55" s="43" t="s">
        <v>1893</v>
      </c>
      <c r="D55" s="43" t="s">
        <v>1962</v>
      </c>
      <c r="E55" s="43" t="s">
        <v>2079</v>
      </c>
      <c r="F55" s="43" t="s">
        <v>2080</v>
      </c>
      <c r="G55" s="22">
        <v>31143800</v>
      </c>
      <c r="H55" s="54">
        <v>25</v>
      </c>
    </row>
    <row r="56" spans="1:8" ht="13.5" x14ac:dyDescent="0.2">
      <c r="A56" s="43" t="s">
        <v>23</v>
      </c>
      <c r="B56" s="43" t="s">
        <v>1108</v>
      </c>
      <c r="C56" s="43" t="s">
        <v>1109</v>
      </c>
      <c r="D56" s="43" t="s">
        <v>1110</v>
      </c>
      <c r="E56" s="43" t="s">
        <v>1111</v>
      </c>
      <c r="F56" s="43" t="s">
        <v>1112</v>
      </c>
      <c r="G56" s="22">
        <v>54915100</v>
      </c>
      <c r="H56" s="54">
        <v>51</v>
      </c>
    </row>
    <row r="57" spans="1:8" ht="13.5" x14ac:dyDescent="0.2">
      <c r="A57" s="43" t="s">
        <v>23</v>
      </c>
      <c r="B57" s="43" t="s">
        <v>1108</v>
      </c>
      <c r="C57" s="43" t="s">
        <v>1109</v>
      </c>
      <c r="D57" s="43" t="s">
        <v>1110</v>
      </c>
      <c r="E57" s="43" t="s">
        <v>1131</v>
      </c>
      <c r="F57" s="43" t="s">
        <v>1132</v>
      </c>
      <c r="G57" s="22">
        <v>69470700</v>
      </c>
      <c r="H57" s="54">
        <v>61</v>
      </c>
    </row>
    <row r="58" spans="1:8" ht="13.5" x14ac:dyDescent="0.2">
      <c r="A58" s="43" t="s">
        <v>23</v>
      </c>
      <c r="B58" s="43" t="s">
        <v>1108</v>
      </c>
      <c r="C58" s="43" t="s">
        <v>1109</v>
      </c>
      <c r="D58" s="43" t="s">
        <v>1110</v>
      </c>
      <c r="E58" s="43" t="s">
        <v>1192</v>
      </c>
      <c r="F58" s="43" t="s">
        <v>1193</v>
      </c>
      <c r="G58" s="22">
        <v>8550000</v>
      </c>
      <c r="H58" s="54">
        <v>6</v>
      </c>
    </row>
    <row r="59" spans="1:8" ht="13.5" x14ac:dyDescent="0.2">
      <c r="A59" s="43" t="s">
        <v>23</v>
      </c>
      <c r="B59" s="43" t="s">
        <v>1108</v>
      </c>
      <c r="C59" s="43" t="s">
        <v>1109</v>
      </c>
      <c r="D59" s="43" t="s">
        <v>1110</v>
      </c>
      <c r="E59" s="43" t="s">
        <v>1198</v>
      </c>
      <c r="F59" s="43" t="s">
        <v>1199</v>
      </c>
      <c r="G59" s="22">
        <v>71733800</v>
      </c>
      <c r="H59" s="54">
        <v>56</v>
      </c>
    </row>
    <row r="60" spans="1:8" ht="13.5" x14ac:dyDescent="0.2">
      <c r="A60" s="43" t="s">
        <v>23</v>
      </c>
      <c r="B60" s="43" t="s">
        <v>1108</v>
      </c>
      <c r="C60" s="43" t="s">
        <v>1109</v>
      </c>
      <c r="D60" s="43" t="s">
        <v>1234</v>
      </c>
      <c r="E60" s="43" t="s">
        <v>1235</v>
      </c>
      <c r="F60" s="43" t="s">
        <v>1236</v>
      </c>
      <c r="G60" s="22">
        <v>89428440</v>
      </c>
      <c r="H60" s="54">
        <v>85</v>
      </c>
    </row>
    <row r="61" spans="1:8" ht="13.5" x14ac:dyDescent="0.2">
      <c r="A61" s="43" t="s">
        <v>23</v>
      </c>
      <c r="B61" s="43" t="s">
        <v>1108</v>
      </c>
      <c r="C61" s="43" t="s">
        <v>1109</v>
      </c>
      <c r="D61" s="43" t="s">
        <v>1234</v>
      </c>
      <c r="E61" s="43" t="s">
        <v>1279</v>
      </c>
      <c r="F61" s="43" t="s">
        <v>1280</v>
      </c>
      <c r="G61" s="22">
        <v>19112300</v>
      </c>
      <c r="H61" s="54">
        <v>25</v>
      </c>
    </row>
    <row r="62" spans="1:8" ht="13.5" x14ac:dyDescent="0.2">
      <c r="A62" s="43" t="s">
        <v>23</v>
      </c>
      <c r="B62" s="43" t="s">
        <v>1108</v>
      </c>
      <c r="C62" s="43" t="s">
        <v>1109</v>
      </c>
      <c r="D62" s="43" t="s">
        <v>1234</v>
      </c>
      <c r="E62" s="43" t="s">
        <v>1291</v>
      </c>
      <c r="F62" s="43" t="s">
        <v>1292</v>
      </c>
      <c r="G62" s="22">
        <v>12394300</v>
      </c>
      <c r="H62" s="54">
        <v>11</v>
      </c>
    </row>
    <row r="63" spans="1:8" ht="13.5" x14ac:dyDescent="0.2">
      <c r="A63" s="43" t="s">
        <v>23</v>
      </c>
      <c r="B63" s="43" t="s">
        <v>1108</v>
      </c>
      <c r="C63" s="43" t="s">
        <v>1109</v>
      </c>
      <c r="D63" s="43" t="s">
        <v>1234</v>
      </c>
      <c r="E63" s="43" t="s">
        <v>1305</v>
      </c>
      <c r="F63" s="43" t="s">
        <v>1306</v>
      </c>
      <c r="G63" s="22">
        <v>27065200</v>
      </c>
      <c r="H63" s="54">
        <v>29</v>
      </c>
    </row>
    <row r="64" spans="1:8" ht="13.5" x14ac:dyDescent="0.2">
      <c r="A64" s="43" t="s">
        <v>23</v>
      </c>
      <c r="B64" s="43" t="s">
        <v>1108</v>
      </c>
      <c r="C64" s="43" t="s">
        <v>1109</v>
      </c>
      <c r="D64" s="43" t="s">
        <v>1234</v>
      </c>
      <c r="E64" s="43" t="s">
        <v>1327</v>
      </c>
      <c r="F64" s="43" t="s">
        <v>1328</v>
      </c>
      <c r="G64" s="22">
        <v>23106700</v>
      </c>
      <c r="H64" s="54">
        <v>32</v>
      </c>
    </row>
    <row r="65" spans="1:8" ht="13.5" x14ac:dyDescent="0.2">
      <c r="A65" s="43" t="s">
        <v>23</v>
      </c>
      <c r="B65" s="43" t="s">
        <v>1108</v>
      </c>
      <c r="C65" s="43" t="s">
        <v>1109</v>
      </c>
      <c r="D65" s="43" t="s">
        <v>1234</v>
      </c>
      <c r="E65" s="43" t="s">
        <v>1346</v>
      </c>
      <c r="F65" s="43" t="s">
        <v>1347</v>
      </c>
      <c r="G65" s="22">
        <v>36221600</v>
      </c>
      <c r="H65" s="54">
        <v>28</v>
      </c>
    </row>
    <row r="66" spans="1:8" ht="13.5" x14ac:dyDescent="0.2">
      <c r="A66" s="43" t="s">
        <v>23</v>
      </c>
      <c r="B66" s="43" t="s">
        <v>1108</v>
      </c>
      <c r="C66" s="43" t="s">
        <v>1109</v>
      </c>
      <c r="D66" s="43" t="s">
        <v>1234</v>
      </c>
      <c r="E66" s="43" t="s">
        <v>1385</v>
      </c>
      <c r="F66" s="43" t="s">
        <v>1386</v>
      </c>
      <c r="G66" s="22">
        <v>11898000</v>
      </c>
      <c r="H66" s="54">
        <v>9</v>
      </c>
    </row>
    <row r="67" spans="1:8" ht="13.5" x14ac:dyDescent="0.2">
      <c r="A67" s="43" t="s">
        <v>23</v>
      </c>
      <c r="B67" s="43" t="s">
        <v>1108</v>
      </c>
      <c r="C67" s="43" t="s">
        <v>1109</v>
      </c>
      <c r="D67" s="43" t="s">
        <v>1397</v>
      </c>
      <c r="E67" s="43" t="s">
        <v>1398</v>
      </c>
      <c r="F67" s="43" t="s">
        <v>1399</v>
      </c>
      <c r="G67" s="22">
        <v>27763700</v>
      </c>
      <c r="H67" s="54">
        <v>20</v>
      </c>
    </row>
    <row r="68" spans="1:8" ht="13.5" x14ac:dyDescent="0.2">
      <c r="A68" s="43" t="s">
        <v>23</v>
      </c>
      <c r="B68" s="43" t="s">
        <v>1108</v>
      </c>
      <c r="C68" s="43" t="s">
        <v>1109</v>
      </c>
      <c r="D68" s="43" t="s">
        <v>1397</v>
      </c>
      <c r="E68" s="43" t="s">
        <v>1417</v>
      </c>
      <c r="F68" s="43" t="s">
        <v>1418</v>
      </c>
      <c r="G68" s="22">
        <v>97343070</v>
      </c>
      <c r="H68" s="54">
        <v>45</v>
      </c>
    </row>
    <row r="69" spans="1:8" ht="13.5" x14ac:dyDescent="0.2">
      <c r="A69" s="43" t="s">
        <v>23</v>
      </c>
      <c r="B69" s="43" t="s">
        <v>1108</v>
      </c>
      <c r="C69" s="43" t="s">
        <v>1109</v>
      </c>
      <c r="D69" s="43" t="s">
        <v>1397</v>
      </c>
      <c r="E69" s="43" t="s">
        <v>1454</v>
      </c>
      <c r="F69" s="43" t="s">
        <v>1455</v>
      </c>
      <c r="G69" s="22">
        <v>24680800</v>
      </c>
      <c r="H69" s="54">
        <v>16</v>
      </c>
    </row>
    <row r="70" spans="1:8" ht="13.5" x14ac:dyDescent="0.2">
      <c r="A70" s="43" t="s">
        <v>23</v>
      </c>
      <c r="B70" s="43" t="s">
        <v>1108</v>
      </c>
      <c r="C70" s="43" t="s">
        <v>1109</v>
      </c>
      <c r="D70" s="43" t="s">
        <v>1397</v>
      </c>
      <c r="E70" s="43" t="s">
        <v>1470</v>
      </c>
      <c r="F70" s="43" t="s">
        <v>1471</v>
      </c>
      <c r="G70" s="22">
        <v>29878400</v>
      </c>
      <c r="H70" s="54">
        <v>32</v>
      </c>
    </row>
    <row r="71" spans="1:8" ht="13.5" x14ac:dyDescent="0.2">
      <c r="A71" s="43" t="s">
        <v>23</v>
      </c>
      <c r="B71" s="43" t="s">
        <v>1108</v>
      </c>
      <c r="C71" s="43" t="s">
        <v>1495</v>
      </c>
      <c r="D71" s="43" t="s">
        <v>1496</v>
      </c>
      <c r="E71" s="43" t="s">
        <v>1497</v>
      </c>
      <c r="F71" s="43" t="s">
        <v>1498</v>
      </c>
      <c r="G71" s="22">
        <v>46656000</v>
      </c>
      <c r="H71" s="54">
        <v>36</v>
      </c>
    </row>
    <row r="72" spans="1:8" ht="13.5" x14ac:dyDescent="0.2">
      <c r="A72" s="43" t="s">
        <v>23</v>
      </c>
      <c r="B72" s="43" t="s">
        <v>1108</v>
      </c>
      <c r="C72" s="43" t="s">
        <v>1495</v>
      </c>
      <c r="D72" s="43" t="s">
        <v>1496</v>
      </c>
      <c r="E72" s="43" t="s">
        <v>1522</v>
      </c>
      <c r="F72" s="43" t="s">
        <v>1523</v>
      </c>
      <c r="G72" s="22">
        <v>125210600</v>
      </c>
      <c r="H72" s="54">
        <v>98</v>
      </c>
    </row>
    <row r="73" spans="1:8" ht="13.5" x14ac:dyDescent="0.2">
      <c r="A73" s="43" t="s">
        <v>23</v>
      </c>
      <c r="B73" s="43" t="s">
        <v>1108</v>
      </c>
      <c r="C73" s="43" t="s">
        <v>1495</v>
      </c>
      <c r="D73" s="43" t="s">
        <v>1637</v>
      </c>
      <c r="E73" s="43" t="s">
        <v>1638</v>
      </c>
      <c r="F73" s="43" t="s">
        <v>1639</v>
      </c>
      <c r="G73" s="22">
        <v>30415800</v>
      </c>
      <c r="H73" s="54">
        <v>21</v>
      </c>
    </row>
    <row r="74" spans="1:8" ht="13.5" x14ac:dyDescent="0.2">
      <c r="A74" s="43" t="s">
        <v>23</v>
      </c>
      <c r="B74" s="43" t="s">
        <v>1108</v>
      </c>
      <c r="C74" s="43" t="s">
        <v>1495</v>
      </c>
      <c r="D74" s="43" t="s">
        <v>1637</v>
      </c>
      <c r="E74" s="43" t="s">
        <v>1655</v>
      </c>
      <c r="F74" s="43" t="s">
        <v>1656</v>
      </c>
      <c r="G74" s="22">
        <v>24945400</v>
      </c>
      <c r="H74" s="54">
        <v>11</v>
      </c>
    </row>
    <row r="75" spans="1:8" ht="13.5" x14ac:dyDescent="0.2">
      <c r="A75" s="43" t="s">
        <v>23</v>
      </c>
      <c r="B75" s="43" t="s">
        <v>1108</v>
      </c>
      <c r="C75" s="43" t="s">
        <v>1495</v>
      </c>
      <c r="D75" s="43" t="s">
        <v>1667</v>
      </c>
      <c r="E75" s="43" t="s">
        <v>1668</v>
      </c>
      <c r="F75" s="43" t="s">
        <v>1669</v>
      </c>
      <c r="G75" s="22">
        <v>5116000</v>
      </c>
      <c r="H75" s="54">
        <v>4</v>
      </c>
    </row>
    <row r="76" spans="1:8" ht="13.5" x14ac:dyDescent="0.2">
      <c r="A76" s="43" t="s">
        <v>23</v>
      </c>
      <c r="B76" s="43" t="s">
        <v>1108</v>
      </c>
      <c r="C76" s="43" t="s">
        <v>1495</v>
      </c>
      <c r="D76" s="43" t="s">
        <v>1667</v>
      </c>
      <c r="E76" s="43" t="s">
        <v>1672</v>
      </c>
      <c r="F76" s="43" t="s">
        <v>1673</v>
      </c>
      <c r="G76" s="22">
        <v>36638100</v>
      </c>
      <c r="H76" s="54">
        <v>28</v>
      </c>
    </row>
    <row r="77" spans="1:8" ht="13.5" x14ac:dyDescent="0.2">
      <c r="A77" s="43" t="s">
        <v>23</v>
      </c>
      <c r="B77" s="43" t="s">
        <v>1108</v>
      </c>
      <c r="C77" s="43" t="s">
        <v>1495</v>
      </c>
      <c r="D77" s="43" t="s">
        <v>1667</v>
      </c>
      <c r="E77" s="43" t="s">
        <v>1702</v>
      </c>
      <c r="F77" s="43" t="s">
        <v>1703</v>
      </c>
      <c r="G77" s="22">
        <v>11099300</v>
      </c>
      <c r="H77" s="54">
        <v>18</v>
      </c>
    </row>
    <row r="78" spans="1:8" ht="13.5" x14ac:dyDescent="0.2">
      <c r="A78" s="43" t="s">
        <v>23</v>
      </c>
      <c r="B78" s="43" t="s">
        <v>1108</v>
      </c>
      <c r="C78" s="43" t="s">
        <v>1495</v>
      </c>
      <c r="D78" s="43" t="s">
        <v>1714</v>
      </c>
      <c r="E78" s="43" t="s">
        <v>1715</v>
      </c>
      <c r="F78" s="43" t="s">
        <v>1716</v>
      </c>
      <c r="G78" s="22">
        <v>14584800</v>
      </c>
      <c r="H78" s="54">
        <v>12</v>
      </c>
    </row>
    <row r="79" spans="1:8" ht="13.5" x14ac:dyDescent="0.2">
      <c r="A79" s="43" t="s">
        <v>2096</v>
      </c>
      <c r="B79" s="43" t="s">
        <v>2097</v>
      </c>
      <c r="C79" s="43" t="s">
        <v>2718</v>
      </c>
      <c r="D79" s="43" t="s">
        <v>2719</v>
      </c>
      <c r="E79" s="43" t="s">
        <v>2720</v>
      </c>
      <c r="F79" s="43" t="s">
        <v>2721</v>
      </c>
      <c r="G79" s="22">
        <v>3684300</v>
      </c>
      <c r="H79" s="54">
        <v>11</v>
      </c>
    </row>
    <row r="80" spans="1:8" ht="13.5" x14ac:dyDescent="0.2">
      <c r="A80" s="43" t="s">
        <v>2096</v>
      </c>
      <c r="B80" s="43" t="s">
        <v>2097</v>
      </c>
      <c r="C80" s="43" t="s">
        <v>2718</v>
      </c>
      <c r="D80" s="43" t="s">
        <v>2730</v>
      </c>
      <c r="E80" s="43" t="s">
        <v>2731</v>
      </c>
      <c r="F80" s="43" t="s">
        <v>2732</v>
      </c>
      <c r="G80" s="22">
        <v>75751500</v>
      </c>
      <c r="H80" s="54">
        <v>72</v>
      </c>
    </row>
    <row r="81" spans="1:8" ht="13.5" x14ac:dyDescent="0.2">
      <c r="A81" s="43" t="s">
        <v>2096</v>
      </c>
      <c r="B81" s="43" t="s">
        <v>2097</v>
      </c>
      <c r="C81" s="43" t="s">
        <v>2718</v>
      </c>
      <c r="D81" s="43" t="s">
        <v>2730</v>
      </c>
      <c r="E81" s="43" t="s">
        <v>2818</v>
      </c>
      <c r="F81" s="43" t="s">
        <v>2819</v>
      </c>
      <c r="G81" s="22">
        <v>40071900</v>
      </c>
      <c r="H81" s="54">
        <v>45</v>
      </c>
    </row>
    <row r="82" spans="1:8" ht="13.5" x14ac:dyDescent="0.2">
      <c r="A82" s="43" t="s">
        <v>2096</v>
      </c>
      <c r="B82" s="43" t="s">
        <v>2097</v>
      </c>
      <c r="C82" s="43" t="s">
        <v>2718</v>
      </c>
      <c r="D82" s="43" t="s">
        <v>2883</v>
      </c>
      <c r="E82" s="43" t="s">
        <v>2884</v>
      </c>
      <c r="F82" s="43" t="s">
        <v>2885</v>
      </c>
      <c r="G82" s="22">
        <v>39660800</v>
      </c>
      <c r="H82" s="54">
        <v>41</v>
      </c>
    </row>
    <row r="83" spans="1:8" ht="13.5" x14ac:dyDescent="0.2">
      <c r="A83" s="43" t="s">
        <v>2096</v>
      </c>
      <c r="B83" s="43" t="s">
        <v>2097</v>
      </c>
      <c r="C83" s="43" t="s">
        <v>2718</v>
      </c>
      <c r="D83" s="43" t="s">
        <v>2953</v>
      </c>
      <c r="E83" s="43" t="s">
        <v>2954</v>
      </c>
      <c r="F83" s="43" t="s">
        <v>2955</v>
      </c>
      <c r="G83" s="22">
        <v>14002300</v>
      </c>
      <c r="H83" s="54">
        <v>11</v>
      </c>
    </row>
    <row r="84" spans="1:8" ht="13.5" x14ac:dyDescent="0.2">
      <c r="A84" s="43" t="s">
        <v>2096</v>
      </c>
      <c r="B84" s="43" t="s">
        <v>2097</v>
      </c>
      <c r="C84" s="43" t="s">
        <v>2971</v>
      </c>
      <c r="D84" s="43" t="s">
        <v>2972</v>
      </c>
      <c r="E84" s="43" t="s">
        <v>2973</v>
      </c>
      <c r="F84" s="43" t="s">
        <v>2974</v>
      </c>
      <c r="G84" s="22">
        <v>55761720</v>
      </c>
      <c r="H84" s="54">
        <v>53</v>
      </c>
    </row>
    <row r="85" spans="1:8" ht="13.5" x14ac:dyDescent="0.2">
      <c r="A85" s="43" t="s">
        <v>2096</v>
      </c>
      <c r="B85" s="43" t="s">
        <v>2097</v>
      </c>
      <c r="C85" s="43" t="s">
        <v>2971</v>
      </c>
      <c r="D85" s="43" t="s">
        <v>2972</v>
      </c>
      <c r="E85" s="43" t="s">
        <v>3038</v>
      </c>
      <c r="F85" s="43" t="s">
        <v>3039</v>
      </c>
      <c r="G85" s="22">
        <v>6714100</v>
      </c>
      <c r="H85" s="54">
        <v>9</v>
      </c>
    </row>
    <row r="86" spans="1:8" ht="13.5" x14ac:dyDescent="0.2">
      <c r="A86" s="43" t="s">
        <v>2096</v>
      </c>
      <c r="B86" s="43" t="s">
        <v>2097</v>
      </c>
      <c r="C86" s="43" t="s">
        <v>2971</v>
      </c>
      <c r="D86" s="43" t="s">
        <v>2972</v>
      </c>
      <c r="E86" s="43" t="s">
        <v>3045</v>
      </c>
      <c r="F86" s="43" t="s">
        <v>3046</v>
      </c>
      <c r="G86" s="22">
        <v>41861700</v>
      </c>
      <c r="H86" s="54">
        <v>35</v>
      </c>
    </row>
    <row r="87" spans="1:8" ht="13.5" x14ac:dyDescent="0.2">
      <c r="A87" s="43" t="s">
        <v>2096</v>
      </c>
      <c r="B87" s="43" t="s">
        <v>2097</v>
      </c>
      <c r="C87" s="43" t="s">
        <v>2971</v>
      </c>
      <c r="D87" s="43" t="s">
        <v>3073</v>
      </c>
      <c r="E87" s="43" t="s">
        <v>3074</v>
      </c>
      <c r="F87" s="43" t="s">
        <v>3075</v>
      </c>
      <c r="G87" s="22">
        <v>20821300</v>
      </c>
      <c r="H87" s="54">
        <v>17</v>
      </c>
    </row>
    <row r="88" spans="1:8" ht="13.5" x14ac:dyDescent="0.2">
      <c r="A88" s="43" t="s">
        <v>2096</v>
      </c>
      <c r="B88" s="43" t="s">
        <v>2097</v>
      </c>
      <c r="C88" s="43" t="s">
        <v>2971</v>
      </c>
      <c r="D88" s="43" t="s">
        <v>3093</v>
      </c>
      <c r="E88" s="43" t="s">
        <v>3094</v>
      </c>
      <c r="F88" s="43" t="s">
        <v>3095</v>
      </c>
      <c r="G88" s="22">
        <v>34748900</v>
      </c>
      <c r="H88" s="54">
        <v>35</v>
      </c>
    </row>
    <row r="89" spans="1:8" ht="13.5" x14ac:dyDescent="0.2">
      <c r="A89" s="43" t="s">
        <v>2096</v>
      </c>
      <c r="B89" s="43" t="s">
        <v>2097</v>
      </c>
      <c r="C89" s="43" t="s">
        <v>2971</v>
      </c>
      <c r="D89" s="43" t="s">
        <v>3153</v>
      </c>
      <c r="E89" s="43" t="s">
        <v>3154</v>
      </c>
      <c r="F89" s="43" t="s">
        <v>3155</v>
      </c>
      <c r="G89" s="22">
        <v>18298700</v>
      </c>
      <c r="H89" s="54">
        <v>21</v>
      </c>
    </row>
    <row r="90" spans="1:8" ht="13.5" x14ac:dyDescent="0.2">
      <c r="A90" s="43" t="s">
        <v>2096</v>
      </c>
      <c r="B90" s="43" t="s">
        <v>2097</v>
      </c>
      <c r="C90" s="43" t="s">
        <v>3190</v>
      </c>
      <c r="D90" s="43" t="s">
        <v>3191</v>
      </c>
      <c r="E90" s="43" t="s">
        <v>3192</v>
      </c>
      <c r="F90" s="43" t="s">
        <v>3193</v>
      </c>
      <c r="G90" s="22">
        <v>9177600</v>
      </c>
      <c r="H90" s="54">
        <v>6</v>
      </c>
    </row>
    <row r="91" spans="1:8" ht="13.5" x14ac:dyDescent="0.2">
      <c r="A91" s="43" t="s">
        <v>2096</v>
      </c>
      <c r="B91" s="43" t="s">
        <v>2097</v>
      </c>
      <c r="C91" s="43" t="s">
        <v>3190</v>
      </c>
      <c r="D91" s="43" t="s">
        <v>3204</v>
      </c>
      <c r="E91" s="43" t="s">
        <v>3205</v>
      </c>
      <c r="F91" s="43" t="s">
        <v>3206</v>
      </c>
      <c r="G91" s="22">
        <v>12301600</v>
      </c>
      <c r="H91" s="54">
        <v>15</v>
      </c>
    </row>
    <row r="92" spans="1:8" ht="13.5" x14ac:dyDescent="0.2">
      <c r="A92" s="43" t="s">
        <v>2096</v>
      </c>
      <c r="B92" s="43" t="s">
        <v>2097</v>
      </c>
      <c r="C92" s="43" t="s">
        <v>3190</v>
      </c>
      <c r="D92" s="43" t="s">
        <v>3204</v>
      </c>
      <c r="E92" s="43" t="s">
        <v>3249</v>
      </c>
      <c r="F92" s="43" t="s">
        <v>3250</v>
      </c>
      <c r="G92" s="22">
        <v>41415000</v>
      </c>
      <c r="H92" s="54">
        <v>35</v>
      </c>
    </row>
    <row r="93" spans="1:8" ht="13.5" x14ac:dyDescent="0.2">
      <c r="A93" s="43" t="s">
        <v>2096</v>
      </c>
      <c r="B93" s="43" t="s">
        <v>2097</v>
      </c>
      <c r="C93" s="43" t="s">
        <v>3190</v>
      </c>
      <c r="D93" s="43" t="s">
        <v>3271</v>
      </c>
      <c r="E93" s="43" t="s">
        <v>3272</v>
      </c>
      <c r="F93" s="43" t="s">
        <v>3273</v>
      </c>
      <c r="G93" s="22">
        <v>59985000</v>
      </c>
      <c r="H93" s="54">
        <v>56</v>
      </c>
    </row>
    <row r="94" spans="1:8" ht="13.5" x14ac:dyDescent="0.2">
      <c r="A94" s="43" t="s">
        <v>2096</v>
      </c>
      <c r="B94" s="43" t="s">
        <v>2097</v>
      </c>
      <c r="C94" s="43" t="s">
        <v>2233</v>
      </c>
      <c r="D94" s="43" t="s">
        <v>2234</v>
      </c>
      <c r="E94" s="43" t="s">
        <v>2235</v>
      </c>
      <c r="F94" s="43" t="s">
        <v>2236</v>
      </c>
      <c r="G94" s="22">
        <v>37301310</v>
      </c>
      <c r="H94" s="54">
        <v>41</v>
      </c>
    </row>
    <row r="95" spans="1:8" ht="13.5" x14ac:dyDescent="0.2">
      <c r="A95" s="43" t="s">
        <v>2096</v>
      </c>
      <c r="B95" s="43" t="s">
        <v>2097</v>
      </c>
      <c r="C95" s="43" t="s">
        <v>2233</v>
      </c>
      <c r="D95" s="43" t="s">
        <v>2234</v>
      </c>
      <c r="E95" s="43" t="s">
        <v>2259</v>
      </c>
      <c r="F95" s="43" t="s">
        <v>2260</v>
      </c>
      <c r="G95" s="22">
        <v>94771700</v>
      </c>
      <c r="H95" s="54">
        <v>87</v>
      </c>
    </row>
    <row r="96" spans="1:8" ht="13.5" x14ac:dyDescent="0.2">
      <c r="A96" s="43" t="s">
        <v>2096</v>
      </c>
      <c r="B96" s="43" t="s">
        <v>2097</v>
      </c>
      <c r="C96" s="43" t="s">
        <v>2233</v>
      </c>
      <c r="D96" s="43" t="s">
        <v>2344</v>
      </c>
      <c r="E96" s="43" t="s">
        <v>2345</v>
      </c>
      <c r="F96" s="43" t="s">
        <v>2346</v>
      </c>
      <c r="G96" s="22">
        <v>24687700</v>
      </c>
      <c r="H96" s="54">
        <v>21</v>
      </c>
    </row>
    <row r="97" spans="1:8" ht="13.5" x14ac:dyDescent="0.2">
      <c r="A97" s="43" t="s">
        <v>2096</v>
      </c>
      <c r="B97" s="43" t="s">
        <v>2097</v>
      </c>
      <c r="C97" s="43" t="s">
        <v>2233</v>
      </c>
      <c r="D97" s="43" t="s">
        <v>2367</v>
      </c>
      <c r="E97" s="43" t="s">
        <v>2368</v>
      </c>
      <c r="F97" s="43" t="s">
        <v>2369</v>
      </c>
      <c r="G97" s="22">
        <v>61064900</v>
      </c>
      <c r="H97" s="54">
        <v>66</v>
      </c>
    </row>
    <row r="98" spans="1:8" ht="13.5" x14ac:dyDescent="0.2">
      <c r="A98" s="43" t="s">
        <v>2096</v>
      </c>
      <c r="B98" s="43" t="s">
        <v>2097</v>
      </c>
      <c r="C98" s="43" t="s">
        <v>2233</v>
      </c>
      <c r="D98" s="43" t="s">
        <v>2427</v>
      </c>
      <c r="E98" s="43" t="s">
        <v>2428</v>
      </c>
      <c r="F98" s="43" t="s">
        <v>2429</v>
      </c>
      <c r="G98" s="22">
        <v>25853640</v>
      </c>
      <c r="H98" s="54">
        <v>17</v>
      </c>
    </row>
    <row r="99" spans="1:8" ht="13.5" x14ac:dyDescent="0.2">
      <c r="A99" s="43" t="s">
        <v>2096</v>
      </c>
      <c r="B99" s="43" t="s">
        <v>2097</v>
      </c>
      <c r="C99" s="43" t="s">
        <v>2466</v>
      </c>
      <c r="D99" s="43" t="s">
        <v>2467</v>
      </c>
      <c r="E99" s="43" t="s">
        <v>2468</v>
      </c>
      <c r="F99" s="43" t="s">
        <v>2469</v>
      </c>
      <c r="G99" s="22">
        <v>40440800</v>
      </c>
      <c r="H99" s="54">
        <v>36</v>
      </c>
    </row>
    <row r="100" spans="1:8" ht="13.5" x14ac:dyDescent="0.2">
      <c r="A100" s="43" t="s">
        <v>2096</v>
      </c>
      <c r="B100" s="43" t="s">
        <v>2097</v>
      </c>
      <c r="C100" s="43" t="s">
        <v>2466</v>
      </c>
      <c r="D100" s="43" t="s">
        <v>2467</v>
      </c>
      <c r="E100" s="43" t="s">
        <v>2497</v>
      </c>
      <c r="F100" s="43" t="s">
        <v>2498</v>
      </c>
      <c r="G100" s="22">
        <v>27195600</v>
      </c>
      <c r="H100" s="54">
        <v>20</v>
      </c>
    </row>
    <row r="101" spans="1:8" ht="13.5" x14ac:dyDescent="0.2">
      <c r="A101" s="43" t="s">
        <v>2096</v>
      </c>
      <c r="B101" s="43" t="s">
        <v>2097</v>
      </c>
      <c r="C101" s="43" t="s">
        <v>2466</v>
      </c>
      <c r="D101" s="43" t="s">
        <v>2513</v>
      </c>
      <c r="E101" s="43" t="s">
        <v>2514</v>
      </c>
      <c r="F101" s="43" t="s">
        <v>2515</v>
      </c>
      <c r="G101" s="22">
        <v>53278100</v>
      </c>
      <c r="H101" s="54">
        <v>33</v>
      </c>
    </row>
    <row r="102" spans="1:8" ht="13.5" x14ac:dyDescent="0.2">
      <c r="A102" s="43" t="s">
        <v>2096</v>
      </c>
      <c r="B102" s="43" t="s">
        <v>2097</v>
      </c>
      <c r="C102" s="43" t="s">
        <v>2466</v>
      </c>
      <c r="D102" s="43" t="s">
        <v>2513</v>
      </c>
      <c r="E102" s="43" t="s">
        <v>2563</v>
      </c>
      <c r="F102" s="43" t="s">
        <v>2564</v>
      </c>
      <c r="G102" s="22">
        <v>23538600</v>
      </c>
      <c r="H102" s="54">
        <v>31</v>
      </c>
    </row>
    <row r="103" spans="1:8" ht="13.5" x14ac:dyDescent="0.2">
      <c r="A103" s="43" t="s">
        <v>2096</v>
      </c>
      <c r="B103" s="43" t="s">
        <v>2097</v>
      </c>
      <c r="C103" s="43" t="s">
        <v>2466</v>
      </c>
      <c r="D103" s="43" t="s">
        <v>2573</v>
      </c>
      <c r="E103" s="43" t="s">
        <v>2574</v>
      </c>
      <c r="F103" s="43" t="s">
        <v>2575</v>
      </c>
      <c r="G103" s="22">
        <v>134248820</v>
      </c>
      <c r="H103" s="54">
        <v>111</v>
      </c>
    </row>
    <row r="104" spans="1:8" ht="13.5" x14ac:dyDescent="0.2">
      <c r="A104" s="43" t="s">
        <v>2096</v>
      </c>
      <c r="B104" s="43" t="s">
        <v>2097</v>
      </c>
      <c r="C104" s="43" t="s">
        <v>2466</v>
      </c>
      <c r="D104" s="43" t="s">
        <v>2573</v>
      </c>
      <c r="E104" s="43" t="s">
        <v>2684</v>
      </c>
      <c r="F104" s="43" t="s">
        <v>2685</v>
      </c>
      <c r="G104" s="22">
        <v>28346000</v>
      </c>
      <c r="H104" s="54">
        <v>36</v>
      </c>
    </row>
    <row r="105" spans="1:8" ht="13.5" x14ac:dyDescent="0.2">
      <c r="A105" s="43" t="s">
        <v>2096</v>
      </c>
      <c r="B105" s="43" t="s">
        <v>2097</v>
      </c>
      <c r="C105" s="43" t="s">
        <v>2098</v>
      </c>
      <c r="D105" s="43" t="s">
        <v>2108</v>
      </c>
      <c r="E105" s="43" t="s">
        <v>2109</v>
      </c>
      <c r="F105" s="43" t="s">
        <v>2110</v>
      </c>
      <c r="G105" s="22">
        <v>59655700</v>
      </c>
      <c r="H105" s="54">
        <v>54</v>
      </c>
    </row>
    <row r="106" spans="1:8" ht="13.5" x14ac:dyDescent="0.2">
      <c r="A106" s="43" t="s">
        <v>2096</v>
      </c>
      <c r="B106" s="43" t="s">
        <v>2097</v>
      </c>
      <c r="C106" s="43" t="s">
        <v>2098</v>
      </c>
      <c r="D106" s="43" t="s">
        <v>2182</v>
      </c>
      <c r="E106" s="43" t="s">
        <v>2183</v>
      </c>
      <c r="F106" s="43" t="s">
        <v>2184</v>
      </c>
      <c r="G106" s="22">
        <v>9618700</v>
      </c>
      <c r="H106" s="54">
        <v>15</v>
      </c>
    </row>
    <row r="107" spans="1:8" ht="13.5" x14ac:dyDescent="0.2">
      <c r="A107" s="43" t="s">
        <v>2096</v>
      </c>
      <c r="B107" s="43" t="s">
        <v>3333</v>
      </c>
      <c r="C107" s="43" t="s">
        <v>3442</v>
      </c>
      <c r="D107" s="43" t="s">
        <v>3443</v>
      </c>
      <c r="E107" s="43" t="s">
        <v>3444</v>
      </c>
      <c r="F107" s="43" t="s">
        <v>3445</v>
      </c>
      <c r="G107" s="22">
        <v>18822200</v>
      </c>
      <c r="H107" s="54">
        <v>15</v>
      </c>
    </row>
    <row r="108" spans="1:8" ht="13.5" x14ac:dyDescent="0.2">
      <c r="A108" s="43" t="s">
        <v>2096</v>
      </c>
      <c r="B108" s="43" t="s">
        <v>3333</v>
      </c>
      <c r="C108" s="43" t="s">
        <v>3442</v>
      </c>
      <c r="D108" s="43" t="s">
        <v>3443</v>
      </c>
      <c r="E108" s="43" t="s">
        <v>3453</v>
      </c>
      <c r="F108" s="43" t="s">
        <v>3454</v>
      </c>
      <c r="G108" s="22">
        <v>10994000</v>
      </c>
      <c r="H108" s="54">
        <v>6</v>
      </c>
    </row>
    <row r="109" spans="1:8" ht="13.5" x14ac:dyDescent="0.2">
      <c r="A109" s="43" t="s">
        <v>2096</v>
      </c>
      <c r="B109" s="43" t="s">
        <v>3333</v>
      </c>
      <c r="C109" s="43" t="s">
        <v>3442</v>
      </c>
      <c r="D109" s="43" t="s">
        <v>3443</v>
      </c>
      <c r="E109" s="43" t="s">
        <v>3461</v>
      </c>
      <c r="F109" s="43" t="s">
        <v>3462</v>
      </c>
      <c r="G109" s="22">
        <v>5321400</v>
      </c>
      <c r="H109" s="54">
        <v>6</v>
      </c>
    </row>
    <row r="110" spans="1:8" ht="13.5" x14ac:dyDescent="0.2">
      <c r="A110" s="43" t="s">
        <v>2096</v>
      </c>
      <c r="B110" s="43" t="s">
        <v>3333</v>
      </c>
      <c r="C110" s="43" t="s">
        <v>3442</v>
      </c>
      <c r="D110" s="43" t="s">
        <v>3466</v>
      </c>
      <c r="E110" s="43" t="s">
        <v>3467</v>
      </c>
      <c r="F110" s="43" t="s">
        <v>3468</v>
      </c>
      <c r="G110" s="22">
        <v>90243200</v>
      </c>
      <c r="H110" s="54">
        <v>62</v>
      </c>
    </row>
    <row r="111" spans="1:8" ht="13.5" x14ac:dyDescent="0.2">
      <c r="A111" s="43" t="s">
        <v>2096</v>
      </c>
      <c r="B111" s="43" t="s">
        <v>3333</v>
      </c>
      <c r="C111" s="43" t="s">
        <v>3442</v>
      </c>
      <c r="D111" s="43" t="s">
        <v>3466</v>
      </c>
      <c r="E111" s="43" t="s">
        <v>3526</v>
      </c>
      <c r="F111" s="43" t="s">
        <v>3527</v>
      </c>
      <c r="G111" s="22">
        <v>43005200</v>
      </c>
      <c r="H111" s="54">
        <v>27</v>
      </c>
    </row>
    <row r="112" spans="1:8" ht="13.5" x14ac:dyDescent="0.2">
      <c r="A112" s="43" t="s">
        <v>2096</v>
      </c>
      <c r="B112" s="43" t="s">
        <v>3333</v>
      </c>
      <c r="C112" s="43" t="s">
        <v>3442</v>
      </c>
      <c r="D112" s="43" t="s">
        <v>3466</v>
      </c>
      <c r="E112" s="43" t="s">
        <v>3564</v>
      </c>
      <c r="F112" s="43" t="s">
        <v>3565</v>
      </c>
      <c r="G112" s="22">
        <v>32444400</v>
      </c>
      <c r="H112" s="54">
        <v>25</v>
      </c>
    </row>
    <row r="113" spans="1:8" ht="13.5" x14ac:dyDescent="0.2">
      <c r="A113" s="43" t="s">
        <v>2096</v>
      </c>
      <c r="B113" s="43" t="s">
        <v>3333</v>
      </c>
      <c r="C113" s="43" t="s">
        <v>3442</v>
      </c>
      <c r="D113" s="43" t="s">
        <v>3466</v>
      </c>
      <c r="E113" s="43" t="s">
        <v>3577</v>
      </c>
      <c r="F113" s="43" t="s">
        <v>3578</v>
      </c>
      <c r="G113" s="22">
        <v>59303200</v>
      </c>
      <c r="H113" s="54">
        <v>47</v>
      </c>
    </row>
    <row r="114" spans="1:8" ht="13.5" x14ac:dyDescent="0.2">
      <c r="A114" s="43" t="s">
        <v>2096</v>
      </c>
      <c r="B114" s="43" t="s">
        <v>3333</v>
      </c>
      <c r="C114" s="43" t="s">
        <v>3442</v>
      </c>
      <c r="D114" s="43" t="s">
        <v>3626</v>
      </c>
      <c r="E114" s="43" t="s">
        <v>3627</v>
      </c>
      <c r="F114" s="43" t="s">
        <v>3628</v>
      </c>
      <c r="G114" s="22">
        <v>62906900</v>
      </c>
      <c r="H114" s="54">
        <v>47</v>
      </c>
    </row>
    <row r="115" spans="1:8" ht="13.5" x14ac:dyDescent="0.2">
      <c r="A115" s="43" t="s">
        <v>2096</v>
      </c>
      <c r="B115" s="43" t="s">
        <v>3333</v>
      </c>
      <c r="C115" s="43" t="s">
        <v>3442</v>
      </c>
      <c r="D115" s="43" t="s">
        <v>3626</v>
      </c>
      <c r="E115" s="43" t="s">
        <v>3688</v>
      </c>
      <c r="F115" s="43" t="s">
        <v>3689</v>
      </c>
      <c r="G115" s="22">
        <v>61799200</v>
      </c>
      <c r="H115" s="54">
        <v>46</v>
      </c>
    </row>
    <row r="116" spans="1:8" ht="13.5" x14ac:dyDescent="0.2">
      <c r="A116" s="43" t="s">
        <v>2096</v>
      </c>
      <c r="B116" s="43" t="s">
        <v>3333</v>
      </c>
      <c r="C116" s="43" t="s">
        <v>3442</v>
      </c>
      <c r="D116" s="43" t="s">
        <v>3626</v>
      </c>
      <c r="E116" s="43" t="s">
        <v>3731</v>
      </c>
      <c r="F116" s="43" t="s">
        <v>3732</v>
      </c>
      <c r="G116" s="22">
        <v>7843100</v>
      </c>
      <c r="H116" s="54">
        <v>11</v>
      </c>
    </row>
    <row r="117" spans="1:8" ht="13.5" x14ac:dyDescent="0.2">
      <c r="A117" s="43" t="s">
        <v>2096</v>
      </c>
      <c r="B117" s="43" t="s">
        <v>3333</v>
      </c>
      <c r="C117" s="43" t="s">
        <v>3739</v>
      </c>
      <c r="D117" s="43" t="s">
        <v>3740</v>
      </c>
      <c r="E117" s="43" t="s">
        <v>3741</v>
      </c>
      <c r="F117" s="43" t="s">
        <v>3742</v>
      </c>
      <c r="G117" s="22">
        <v>17082600</v>
      </c>
      <c r="H117" s="54">
        <v>14</v>
      </c>
    </row>
    <row r="118" spans="1:8" ht="13.5" x14ac:dyDescent="0.2">
      <c r="A118" s="43" t="s">
        <v>2096</v>
      </c>
      <c r="B118" s="43" t="s">
        <v>3333</v>
      </c>
      <c r="C118" s="43" t="s">
        <v>3739</v>
      </c>
      <c r="D118" s="43" t="s">
        <v>3752</v>
      </c>
      <c r="E118" s="43" t="s">
        <v>3753</v>
      </c>
      <c r="F118" s="43" t="s">
        <v>3754</v>
      </c>
      <c r="G118" s="22">
        <v>141338800</v>
      </c>
      <c r="H118" s="54">
        <v>120</v>
      </c>
    </row>
    <row r="119" spans="1:8" ht="13.5" x14ac:dyDescent="0.2">
      <c r="A119" s="43" t="s">
        <v>2096</v>
      </c>
      <c r="B119" s="43" t="s">
        <v>3333</v>
      </c>
      <c r="C119" s="43" t="s">
        <v>3739</v>
      </c>
      <c r="D119" s="43" t="s">
        <v>3752</v>
      </c>
      <c r="E119" s="43" t="s">
        <v>3836</v>
      </c>
      <c r="F119" s="43" t="s">
        <v>3837</v>
      </c>
      <c r="G119" s="22">
        <v>95900680</v>
      </c>
      <c r="H119" s="54">
        <v>45</v>
      </c>
    </row>
    <row r="120" spans="1:8" ht="13.5" x14ac:dyDescent="0.2">
      <c r="A120" s="43" t="s">
        <v>2096</v>
      </c>
      <c r="B120" s="43" t="s">
        <v>3333</v>
      </c>
      <c r="C120" s="43" t="s">
        <v>3739</v>
      </c>
      <c r="D120" s="43" t="s">
        <v>3752</v>
      </c>
      <c r="E120" s="43" t="s">
        <v>3892</v>
      </c>
      <c r="F120" s="43" t="s">
        <v>3893</v>
      </c>
      <c r="G120" s="22">
        <v>12807000</v>
      </c>
      <c r="H120" s="54">
        <v>6</v>
      </c>
    </row>
    <row r="121" spans="1:8" ht="13.5" x14ac:dyDescent="0.2">
      <c r="A121" s="43" t="s">
        <v>2096</v>
      </c>
      <c r="B121" s="43" t="s">
        <v>3333</v>
      </c>
      <c r="C121" s="43" t="s">
        <v>3902</v>
      </c>
      <c r="D121" s="43" t="s">
        <v>3903</v>
      </c>
      <c r="E121" s="43" t="s">
        <v>3904</v>
      </c>
      <c r="F121" s="43" t="s">
        <v>3905</v>
      </c>
      <c r="G121" s="22">
        <v>15533600</v>
      </c>
      <c r="H121" s="54">
        <v>6</v>
      </c>
    </row>
    <row r="122" spans="1:8" ht="13.5" x14ac:dyDescent="0.2">
      <c r="A122" s="43" t="s">
        <v>2096</v>
      </c>
      <c r="B122" s="43" t="s">
        <v>3333</v>
      </c>
      <c r="C122" s="43" t="s">
        <v>3902</v>
      </c>
      <c r="D122" s="43" t="s">
        <v>3920</v>
      </c>
      <c r="E122" s="43" t="s">
        <v>3921</v>
      </c>
      <c r="F122" s="43" t="s">
        <v>3922</v>
      </c>
      <c r="G122" s="22">
        <v>36405900</v>
      </c>
      <c r="H122" s="54">
        <v>27</v>
      </c>
    </row>
    <row r="123" spans="1:8" ht="13.5" x14ac:dyDescent="0.2">
      <c r="A123" s="43" t="s">
        <v>2096</v>
      </c>
      <c r="B123" s="43" t="s">
        <v>3333</v>
      </c>
      <c r="C123" s="43" t="s">
        <v>3334</v>
      </c>
      <c r="D123" s="43" t="s">
        <v>3335</v>
      </c>
      <c r="E123" s="43" t="s">
        <v>3336</v>
      </c>
      <c r="F123" s="43" t="s">
        <v>3337</v>
      </c>
      <c r="G123" s="22">
        <v>22138110</v>
      </c>
      <c r="H123" s="54">
        <v>28</v>
      </c>
    </row>
    <row r="124" spans="1:8" ht="13.5" x14ac:dyDescent="0.2">
      <c r="A124" s="43" t="s">
        <v>2096</v>
      </c>
      <c r="B124" s="43" t="s">
        <v>3333</v>
      </c>
      <c r="C124" s="43" t="s">
        <v>3334</v>
      </c>
      <c r="D124" s="43" t="s">
        <v>3335</v>
      </c>
      <c r="E124" s="43" t="s">
        <v>3361</v>
      </c>
      <c r="F124" s="43" t="s">
        <v>3362</v>
      </c>
      <c r="G124" s="22">
        <v>12544210</v>
      </c>
      <c r="H124" s="54">
        <v>11</v>
      </c>
    </row>
    <row r="125" spans="1:8" ht="13.5" x14ac:dyDescent="0.2">
      <c r="A125" s="43" t="s">
        <v>2096</v>
      </c>
      <c r="B125" s="43" t="s">
        <v>3333</v>
      </c>
      <c r="C125" s="43" t="s">
        <v>3334</v>
      </c>
      <c r="D125" s="43" t="s">
        <v>3335</v>
      </c>
      <c r="E125" s="43" t="s">
        <v>3369</v>
      </c>
      <c r="F125" s="43" t="s">
        <v>3370</v>
      </c>
      <c r="G125" s="22">
        <v>20273800</v>
      </c>
      <c r="H125" s="54">
        <v>17</v>
      </c>
    </row>
    <row r="126" spans="1:8" ht="13.5" x14ac:dyDescent="0.2">
      <c r="A126" s="43" t="s">
        <v>2096</v>
      </c>
      <c r="B126" s="43" t="s">
        <v>3333</v>
      </c>
      <c r="C126" s="43" t="s">
        <v>3334</v>
      </c>
      <c r="D126" s="43" t="s">
        <v>3335</v>
      </c>
      <c r="E126" s="43" t="s">
        <v>3383</v>
      </c>
      <c r="F126" s="43" t="s">
        <v>3384</v>
      </c>
      <c r="G126" s="22">
        <v>22510900</v>
      </c>
      <c r="H126" s="54">
        <v>15</v>
      </c>
    </row>
    <row r="127" spans="1:8" ht="13.5" x14ac:dyDescent="0.2">
      <c r="A127" s="43" t="s">
        <v>2096</v>
      </c>
      <c r="B127" s="43" t="s">
        <v>3333</v>
      </c>
      <c r="C127" s="43" t="s">
        <v>3334</v>
      </c>
      <c r="D127" s="43" t="s">
        <v>3335</v>
      </c>
      <c r="E127" s="43" t="s">
        <v>3393</v>
      </c>
      <c r="F127" s="43" t="s">
        <v>3394</v>
      </c>
      <c r="G127" s="22">
        <v>2596000</v>
      </c>
      <c r="H127" s="54">
        <v>4</v>
      </c>
    </row>
    <row r="128" spans="1:8" ht="13.5" x14ac:dyDescent="0.2">
      <c r="A128" s="43" t="s">
        <v>2096</v>
      </c>
      <c r="B128" s="43" t="s">
        <v>3333</v>
      </c>
      <c r="C128" s="43" t="s">
        <v>3334</v>
      </c>
      <c r="D128" s="43" t="s">
        <v>3399</v>
      </c>
      <c r="E128" s="43" t="s">
        <v>3400</v>
      </c>
      <c r="F128" s="43" t="s">
        <v>3401</v>
      </c>
      <c r="G128" s="22">
        <v>13273800</v>
      </c>
      <c r="H128" s="54">
        <v>12</v>
      </c>
    </row>
    <row r="129" spans="1:8" ht="13.5" x14ac:dyDescent="0.2">
      <c r="A129" s="43" t="s">
        <v>2096</v>
      </c>
      <c r="B129" s="43" t="s">
        <v>3333</v>
      </c>
      <c r="C129" s="43" t="s">
        <v>3334</v>
      </c>
      <c r="D129" s="43" t="s">
        <v>3409</v>
      </c>
      <c r="E129" s="43" t="s">
        <v>3410</v>
      </c>
      <c r="F129" s="43" t="s">
        <v>3411</v>
      </c>
      <c r="G129" s="22">
        <v>60137500</v>
      </c>
      <c r="H129" s="54">
        <v>51</v>
      </c>
    </row>
    <row r="130" spans="1:8" ht="13.5" x14ac:dyDescent="0.2">
      <c r="A130" s="43" t="s">
        <v>2096</v>
      </c>
      <c r="B130" s="43" t="s">
        <v>3333</v>
      </c>
      <c r="C130" s="43" t="s">
        <v>3334</v>
      </c>
      <c r="D130" s="43" t="s">
        <v>3409</v>
      </c>
      <c r="E130" s="43" t="s">
        <v>3436</v>
      </c>
      <c r="F130" s="43" t="s">
        <v>3437</v>
      </c>
      <c r="G130" s="22">
        <v>10341400</v>
      </c>
      <c r="H130" s="54">
        <v>8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0DEA0-51C5-49BD-8753-3925DCA7392D}">
  <dimension ref="B2:H99"/>
  <sheetViews>
    <sheetView topLeftCell="A9" workbookViewId="0">
      <selection activeCell="G14" sqref="G14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6" width="11.140625" bestFit="1" customWidth="1"/>
    <col min="7" max="7" width="38.140625" bestFit="1" customWidth="1"/>
    <col min="8" max="8" width="11.5703125" bestFit="1" customWidth="1"/>
  </cols>
  <sheetData>
    <row r="2" spans="2:8" ht="13.5" x14ac:dyDescent="0.2">
      <c r="B2" s="10" t="s">
        <v>3958</v>
      </c>
      <c r="C2" s="10" t="s">
        <v>3952</v>
      </c>
      <c r="D2" s="10" t="s">
        <v>3960</v>
      </c>
      <c r="E2" s="10" t="s">
        <v>3954</v>
      </c>
      <c r="F2" s="10" t="s">
        <v>5</v>
      </c>
      <c r="G2" s="10" t="s">
        <v>6</v>
      </c>
      <c r="H2" s="10" t="s">
        <v>4031</v>
      </c>
    </row>
    <row r="3" spans="2:8" ht="13.5" x14ac:dyDescent="0.2">
      <c r="B3" s="47" t="s">
        <v>23</v>
      </c>
      <c r="C3" s="47" t="s">
        <v>24</v>
      </c>
      <c r="D3" s="21" t="s">
        <v>25</v>
      </c>
      <c r="E3" s="47" t="s">
        <v>26</v>
      </c>
      <c r="F3" s="21" t="s">
        <v>27</v>
      </c>
      <c r="G3" s="21" t="s">
        <v>28</v>
      </c>
      <c r="H3" s="48">
        <v>8027400</v>
      </c>
    </row>
    <row r="4" spans="2:8" ht="13.5" x14ac:dyDescent="0.2">
      <c r="B4" s="47" t="s">
        <v>23</v>
      </c>
      <c r="C4" s="47" t="s">
        <v>24</v>
      </c>
      <c r="D4" s="21" t="s">
        <v>25</v>
      </c>
      <c r="E4" s="47" t="s">
        <v>26</v>
      </c>
      <c r="F4" s="21" t="s">
        <v>146</v>
      </c>
      <c r="G4" s="21" t="s">
        <v>147</v>
      </c>
      <c r="H4" s="48">
        <v>9630600</v>
      </c>
    </row>
    <row r="5" spans="2:8" ht="13.5" x14ac:dyDescent="0.2">
      <c r="B5" s="47" t="s">
        <v>23</v>
      </c>
      <c r="C5" s="47" t="s">
        <v>24</v>
      </c>
      <c r="D5" s="21" t="s">
        <v>25</v>
      </c>
      <c r="E5" s="47" t="s">
        <v>26</v>
      </c>
      <c r="F5" s="21" t="s">
        <v>154</v>
      </c>
      <c r="G5" s="21" t="s">
        <v>155</v>
      </c>
      <c r="H5" s="48">
        <v>14335000</v>
      </c>
    </row>
    <row r="6" spans="2:8" ht="13.5" x14ac:dyDescent="0.2">
      <c r="B6" s="47" t="s">
        <v>23</v>
      </c>
      <c r="C6" s="47" t="s">
        <v>24</v>
      </c>
      <c r="D6" s="21" t="s">
        <v>25</v>
      </c>
      <c r="E6" s="47" t="s">
        <v>208</v>
      </c>
      <c r="F6" s="21" t="s">
        <v>209</v>
      </c>
      <c r="G6" s="21" t="s">
        <v>210</v>
      </c>
      <c r="H6" s="48">
        <v>11376000</v>
      </c>
    </row>
    <row r="7" spans="2:8" ht="13.5" x14ac:dyDescent="0.2">
      <c r="B7" s="47" t="s">
        <v>23</v>
      </c>
      <c r="C7" s="47" t="s">
        <v>24</v>
      </c>
      <c r="D7" s="21" t="s">
        <v>25</v>
      </c>
      <c r="E7" s="47" t="s">
        <v>208</v>
      </c>
      <c r="F7" s="21" t="s">
        <v>290</v>
      </c>
      <c r="G7" s="21" t="s">
        <v>291</v>
      </c>
      <c r="H7" s="48">
        <v>16275400</v>
      </c>
    </row>
    <row r="8" spans="2:8" ht="13.5" x14ac:dyDescent="0.2">
      <c r="B8" s="47" t="s">
        <v>23</v>
      </c>
      <c r="C8" s="47" t="s">
        <v>24</v>
      </c>
      <c r="D8" s="21" t="s">
        <v>25</v>
      </c>
      <c r="E8" s="47" t="s">
        <v>208</v>
      </c>
      <c r="F8" s="21" t="s">
        <v>330</v>
      </c>
      <c r="G8" s="21" t="s">
        <v>331</v>
      </c>
      <c r="H8" s="48">
        <v>1532000</v>
      </c>
    </row>
    <row r="9" spans="2:8" ht="13.5" x14ac:dyDescent="0.2">
      <c r="B9" s="47" t="s">
        <v>23</v>
      </c>
      <c r="C9" s="47" t="s">
        <v>24</v>
      </c>
      <c r="D9" s="21" t="s">
        <v>25</v>
      </c>
      <c r="E9" s="47" t="s">
        <v>208</v>
      </c>
      <c r="F9" s="21" t="s">
        <v>347</v>
      </c>
      <c r="G9" s="21" t="s">
        <v>348</v>
      </c>
      <c r="H9" s="48">
        <v>9005500</v>
      </c>
    </row>
    <row r="10" spans="2:8" ht="13.5" x14ac:dyDescent="0.2">
      <c r="B10" s="47" t="s">
        <v>23</v>
      </c>
      <c r="C10" s="47" t="s">
        <v>24</v>
      </c>
      <c r="D10" s="21" t="s">
        <v>25</v>
      </c>
      <c r="E10" s="47" t="s">
        <v>208</v>
      </c>
      <c r="F10" s="21" t="s">
        <v>368</v>
      </c>
      <c r="G10" s="21" t="s">
        <v>369</v>
      </c>
      <c r="H10" s="48">
        <v>954300</v>
      </c>
    </row>
    <row r="11" spans="2:8" ht="13.5" x14ac:dyDescent="0.2">
      <c r="B11" s="47" t="s">
        <v>23</v>
      </c>
      <c r="C11" s="47" t="s">
        <v>24</v>
      </c>
      <c r="D11" s="21" t="s">
        <v>25</v>
      </c>
      <c r="E11" s="47" t="s">
        <v>208</v>
      </c>
      <c r="F11" s="21" t="s">
        <v>426</v>
      </c>
      <c r="G11" s="21" t="s">
        <v>427</v>
      </c>
      <c r="H11" s="48">
        <v>1167200</v>
      </c>
    </row>
    <row r="12" spans="2:8" ht="13.5" x14ac:dyDescent="0.2">
      <c r="B12" s="47" t="s">
        <v>23</v>
      </c>
      <c r="C12" s="47" t="s">
        <v>24</v>
      </c>
      <c r="D12" s="21" t="s">
        <v>25</v>
      </c>
      <c r="E12" s="47" t="s">
        <v>208</v>
      </c>
      <c r="F12" s="21" t="s">
        <v>440</v>
      </c>
      <c r="G12" s="21" t="s">
        <v>441</v>
      </c>
      <c r="H12" s="48">
        <v>4954500</v>
      </c>
    </row>
    <row r="13" spans="2:8" ht="13.5" x14ac:dyDescent="0.2">
      <c r="B13" s="47" t="s">
        <v>23</v>
      </c>
      <c r="C13" s="47" t="s">
        <v>24</v>
      </c>
      <c r="D13" s="21" t="s">
        <v>25</v>
      </c>
      <c r="E13" s="47" t="s">
        <v>454</v>
      </c>
      <c r="F13" s="21" t="s">
        <v>455</v>
      </c>
      <c r="G13" s="21" t="s">
        <v>456</v>
      </c>
      <c r="H13" s="48">
        <v>6648200</v>
      </c>
    </row>
    <row r="14" spans="2:8" ht="13.5" x14ac:dyDescent="0.2">
      <c r="B14" s="47" t="s">
        <v>23</v>
      </c>
      <c r="C14" s="47" t="s">
        <v>24</v>
      </c>
      <c r="D14" s="21" t="s">
        <v>25</v>
      </c>
      <c r="E14" s="47" t="s">
        <v>454</v>
      </c>
      <c r="F14" s="21" t="s">
        <v>508</v>
      </c>
      <c r="G14" s="21" t="s">
        <v>509</v>
      </c>
      <c r="H14" s="48">
        <v>13904700</v>
      </c>
    </row>
    <row r="15" spans="2:8" ht="13.5" x14ac:dyDescent="0.2">
      <c r="B15" s="47" t="s">
        <v>23</v>
      </c>
      <c r="C15" s="47" t="s">
        <v>24</v>
      </c>
      <c r="D15" s="21" t="s">
        <v>25</v>
      </c>
      <c r="E15" s="47" t="s">
        <v>581</v>
      </c>
      <c r="F15" s="21" t="s">
        <v>606</v>
      </c>
      <c r="G15" s="21" t="s">
        <v>607</v>
      </c>
      <c r="H15" s="48">
        <v>25278000</v>
      </c>
    </row>
    <row r="16" spans="2:8" ht="13.5" x14ac:dyDescent="0.2">
      <c r="B16" s="47" t="s">
        <v>23</v>
      </c>
      <c r="C16" s="47" t="s">
        <v>24</v>
      </c>
      <c r="D16" s="21" t="s">
        <v>25</v>
      </c>
      <c r="E16" s="47" t="s">
        <v>581</v>
      </c>
      <c r="F16" s="21" t="s">
        <v>643</v>
      </c>
      <c r="G16" s="21" t="s">
        <v>644</v>
      </c>
      <c r="H16" s="48">
        <v>2038000</v>
      </c>
    </row>
    <row r="17" spans="2:8" ht="13.5" x14ac:dyDescent="0.2">
      <c r="B17" s="47" t="s">
        <v>23</v>
      </c>
      <c r="C17" s="47" t="s">
        <v>24</v>
      </c>
      <c r="D17" s="21" t="s">
        <v>25</v>
      </c>
      <c r="E17" s="47" t="s">
        <v>581</v>
      </c>
      <c r="F17" s="21" t="s">
        <v>653</v>
      </c>
      <c r="G17" s="21" t="s">
        <v>654</v>
      </c>
      <c r="H17" s="48">
        <v>1506000</v>
      </c>
    </row>
    <row r="18" spans="2:8" ht="13.5" x14ac:dyDescent="0.2">
      <c r="B18" s="47" t="s">
        <v>23</v>
      </c>
      <c r="C18" s="47" t="s">
        <v>24</v>
      </c>
      <c r="D18" s="21" t="s">
        <v>25</v>
      </c>
      <c r="E18" s="47" t="s">
        <v>671</v>
      </c>
      <c r="F18" s="21" t="s">
        <v>707</v>
      </c>
      <c r="G18" s="21" t="s">
        <v>708</v>
      </c>
      <c r="H18" s="48">
        <v>3591000</v>
      </c>
    </row>
    <row r="19" spans="2:8" ht="13.5" x14ac:dyDescent="0.2">
      <c r="B19" s="47" t="s">
        <v>23</v>
      </c>
      <c r="C19" s="47" t="s">
        <v>24</v>
      </c>
      <c r="D19" s="21" t="s">
        <v>25</v>
      </c>
      <c r="E19" s="47" t="s">
        <v>671</v>
      </c>
      <c r="F19" s="21" t="s">
        <v>721</v>
      </c>
      <c r="G19" s="21" t="s">
        <v>722</v>
      </c>
      <c r="H19" s="48">
        <v>4272000</v>
      </c>
    </row>
    <row r="20" spans="2:8" ht="13.5" x14ac:dyDescent="0.2">
      <c r="B20" s="47" t="s">
        <v>23</v>
      </c>
      <c r="C20" s="47" t="s">
        <v>24</v>
      </c>
      <c r="D20" s="21" t="s">
        <v>25</v>
      </c>
      <c r="E20" s="47" t="s">
        <v>671</v>
      </c>
      <c r="F20" s="21" t="s">
        <v>735</v>
      </c>
      <c r="G20" s="21" t="s">
        <v>736</v>
      </c>
      <c r="H20" s="48">
        <v>42454000</v>
      </c>
    </row>
    <row r="21" spans="2:8" ht="13.5" x14ac:dyDescent="0.2">
      <c r="B21" s="47" t="s">
        <v>23</v>
      </c>
      <c r="C21" s="47" t="s">
        <v>24</v>
      </c>
      <c r="D21" s="21" t="s">
        <v>25</v>
      </c>
      <c r="E21" s="47" t="s">
        <v>671</v>
      </c>
      <c r="F21" s="21" t="s">
        <v>749</v>
      </c>
      <c r="G21" s="21" t="s">
        <v>750</v>
      </c>
      <c r="H21" s="48">
        <v>14386200</v>
      </c>
    </row>
    <row r="22" spans="2:8" ht="13.5" x14ac:dyDescent="0.2">
      <c r="B22" s="47" t="s">
        <v>23</v>
      </c>
      <c r="C22" s="47" t="s">
        <v>24</v>
      </c>
      <c r="D22" s="21" t="s">
        <v>25</v>
      </c>
      <c r="E22" s="47" t="s">
        <v>671</v>
      </c>
      <c r="F22" s="21" t="s">
        <v>786</v>
      </c>
      <c r="G22" s="21" t="s">
        <v>787</v>
      </c>
      <c r="H22" s="48">
        <v>4374000</v>
      </c>
    </row>
    <row r="23" spans="2:8" ht="13.5" x14ac:dyDescent="0.2">
      <c r="B23" s="47" t="s">
        <v>23</v>
      </c>
      <c r="C23" s="47" t="s">
        <v>24</v>
      </c>
      <c r="D23" s="21" t="s">
        <v>25</v>
      </c>
      <c r="E23" s="47" t="s">
        <v>797</v>
      </c>
      <c r="F23" s="21" t="s">
        <v>798</v>
      </c>
      <c r="G23" s="21" t="s">
        <v>799</v>
      </c>
      <c r="H23" s="48">
        <v>6903600</v>
      </c>
    </row>
    <row r="24" spans="2:8" ht="13.5" x14ac:dyDescent="0.2">
      <c r="B24" s="47" t="s">
        <v>23</v>
      </c>
      <c r="C24" s="47" t="s">
        <v>24</v>
      </c>
      <c r="D24" s="21" t="s">
        <v>25</v>
      </c>
      <c r="E24" s="47" t="s">
        <v>797</v>
      </c>
      <c r="F24" s="21" t="s">
        <v>832</v>
      </c>
      <c r="G24" s="21" t="s">
        <v>833</v>
      </c>
      <c r="H24" s="48">
        <v>6246600</v>
      </c>
    </row>
    <row r="25" spans="2:8" ht="13.5" x14ac:dyDescent="0.2">
      <c r="B25" s="47" t="s">
        <v>23</v>
      </c>
      <c r="C25" s="47" t="s">
        <v>24</v>
      </c>
      <c r="D25" s="21" t="s">
        <v>25</v>
      </c>
      <c r="E25" s="47" t="s">
        <v>893</v>
      </c>
      <c r="F25" s="21" t="s">
        <v>894</v>
      </c>
      <c r="G25" s="21" t="s">
        <v>895</v>
      </c>
      <c r="H25" s="48">
        <v>44273300</v>
      </c>
    </row>
    <row r="26" spans="2:8" ht="13.5" x14ac:dyDescent="0.2">
      <c r="B26" s="47" t="s">
        <v>23</v>
      </c>
      <c r="C26" s="47" t="s">
        <v>24</v>
      </c>
      <c r="D26" s="21" t="s">
        <v>978</v>
      </c>
      <c r="E26" s="47" t="s">
        <v>979</v>
      </c>
      <c r="F26" s="21" t="s">
        <v>980</v>
      </c>
      <c r="G26" s="21" t="s">
        <v>981</v>
      </c>
      <c r="H26" s="48">
        <v>18305200</v>
      </c>
    </row>
    <row r="27" spans="2:8" ht="13.5" x14ac:dyDescent="0.2">
      <c r="B27" s="47" t="s">
        <v>23</v>
      </c>
      <c r="C27" s="47" t="s">
        <v>24</v>
      </c>
      <c r="D27" s="21" t="s">
        <v>978</v>
      </c>
      <c r="E27" s="47" t="s">
        <v>1006</v>
      </c>
      <c r="F27" s="21" t="s">
        <v>1007</v>
      </c>
      <c r="G27" s="21" t="s">
        <v>1008</v>
      </c>
      <c r="H27" s="48">
        <v>2730300</v>
      </c>
    </row>
    <row r="28" spans="2:8" ht="13.5" x14ac:dyDescent="0.2">
      <c r="B28" s="47" t="s">
        <v>23</v>
      </c>
      <c r="C28" s="47" t="s">
        <v>24</v>
      </c>
      <c r="D28" s="21" t="s">
        <v>978</v>
      </c>
      <c r="E28" s="47" t="s">
        <v>1006</v>
      </c>
      <c r="F28" s="21" t="s">
        <v>1015</v>
      </c>
      <c r="G28" s="21" t="s">
        <v>1016</v>
      </c>
      <c r="H28" s="48">
        <v>1827600</v>
      </c>
    </row>
    <row r="29" spans="2:8" ht="13.5" x14ac:dyDescent="0.2">
      <c r="B29" s="47" t="s">
        <v>23</v>
      </c>
      <c r="C29" s="47" t="s">
        <v>24</v>
      </c>
      <c r="D29" s="21" t="s">
        <v>978</v>
      </c>
      <c r="E29" s="47" t="s">
        <v>1006</v>
      </c>
      <c r="F29" s="21" t="s">
        <v>1035</v>
      </c>
      <c r="G29" s="21" t="s">
        <v>1036</v>
      </c>
      <c r="H29" s="48">
        <v>6630000</v>
      </c>
    </row>
    <row r="30" spans="2:8" ht="13.5" x14ac:dyDescent="0.2">
      <c r="B30" s="47" t="s">
        <v>23</v>
      </c>
      <c r="C30" s="47" t="s">
        <v>24</v>
      </c>
      <c r="D30" s="21" t="s">
        <v>978</v>
      </c>
      <c r="E30" s="47" t="s">
        <v>1041</v>
      </c>
      <c r="F30" s="21" t="s">
        <v>1042</v>
      </c>
      <c r="G30" s="21" t="s">
        <v>1043</v>
      </c>
      <c r="H30" s="48">
        <v>4470700</v>
      </c>
    </row>
    <row r="31" spans="2:8" ht="13.5" x14ac:dyDescent="0.2">
      <c r="B31" s="47" t="s">
        <v>23</v>
      </c>
      <c r="C31" s="47" t="s">
        <v>24</v>
      </c>
      <c r="D31" s="21" t="s">
        <v>978</v>
      </c>
      <c r="E31" s="47" t="s">
        <v>1041</v>
      </c>
      <c r="F31" s="21" t="s">
        <v>1084</v>
      </c>
      <c r="G31" s="21" t="s">
        <v>1085</v>
      </c>
      <c r="H31" s="48">
        <v>5107400</v>
      </c>
    </row>
    <row r="32" spans="2:8" ht="13.5" x14ac:dyDescent="0.2">
      <c r="B32" s="47" t="s">
        <v>23</v>
      </c>
      <c r="C32" s="47" t="s">
        <v>1108</v>
      </c>
      <c r="D32" s="21" t="s">
        <v>1725</v>
      </c>
      <c r="E32" s="47" t="s">
        <v>1726</v>
      </c>
      <c r="F32" s="21" t="s">
        <v>1727</v>
      </c>
      <c r="G32" s="21" t="s">
        <v>1728</v>
      </c>
      <c r="H32" s="48">
        <v>33825500</v>
      </c>
    </row>
    <row r="33" spans="2:8" ht="13.5" x14ac:dyDescent="0.2">
      <c r="B33" s="47" t="s">
        <v>23</v>
      </c>
      <c r="C33" s="47" t="s">
        <v>1108</v>
      </c>
      <c r="D33" s="21" t="s">
        <v>1725</v>
      </c>
      <c r="E33" s="47" t="s">
        <v>1759</v>
      </c>
      <c r="F33" s="21" t="s">
        <v>1760</v>
      </c>
      <c r="G33" s="21" t="s">
        <v>1761</v>
      </c>
      <c r="H33" s="48">
        <v>8291400</v>
      </c>
    </row>
    <row r="34" spans="2:8" ht="13.5" x14ac:dyDescent="0.2">
      <c r="B34" s="47" t="s">
        <v>23</v>
      </c>
      <c r="C34" s="47" t="s">
        <v>1108</v>
      </c>
      <c r="D34" s="21" t="s">
        <v>1808</v>
      </c>
      <c r="E34" s="47" t="s">
        <v>1809</v>
      </c>
      <c r="F34" s="21" t="s">
        <v>1810</v>
      </c>
      <c r="G34" s="21" t="s">
        <v>1811</v>
      </c>
      <c r="H34" s="48">
        <v>1823200</v>
      </c>
    </row>
    <row r="35" spans="2:8" ht="13.5" x14ac:dyDescent="0.2">
      <c r="B35" s="47" t="s">
        <v>23</v>
      </c>
      <c r="C35" s="47" t="s">
        <v>1108</v>
      </c>
      <c r="D35" s="21" t="s">
        <v>1808</v>
      </c>
      <c r="E35" s="47" t="s">
        <v>1832</v>
      </c>
      <c r="F35" s="21" t="s">
        <v>1833</v>
      </c>
      <c r="G35" s="21" t="s">
        <v>1834</v>
      </c>
      <c r="H35" s="48">
        <v>5596000</v>
      </c>
    </row>
    <row r="36" spans="2:8" ht="13.5" x14ac:dyDescent="0.2">
      <c r="B36" s="47" t="s">
        <v>23</v>
      </c>
      <c r="C36" s="47" t="s">
        <v>1108</v>
      </c>
      <c r="D36" s="21" t="s">
        <v>1808</v>
      </c>
      <c r="E36" s="47" t="s">
        <v>1832</v>
      </c>
      <c r="F36" s="21" t="s">
        <v>1848</v>
      </c>
      <c r="G36" s="21" t="s">
        <v>1849</v>
      </c>
      <c r="H36" s="48">
        <v>4315000</v>
      </c>
    </row>
    <row r="37" spans="2:8" ht="13.5" x14ac:dyDescent="0.2">
      <c r="B37" s="47" t="s">
        <v>23</v>
      </c>
      <c r="C37" s="47" t="s">
        <v>1108</v>
      </c>
      <c r="D37" s="21" t="s">
        <v>1808</v>
      </c>
      <c r="E37" s="47" t="s">
        <v>1872</v>
      </c>
      <c r="F37" s="21" t="s">
        <v>1873</v>
      </c>
      <c r="G37" s="21" t="s">
        <v>1874</v>
      </c>
      <c r="H37" s="48">
        <v>3074800</v>
      </c>
    </row>
    <row r="38" spans="2:8" ht="13.5" x14ac:dyDescent="0.2">
      <c r="B38" s="47" t="s">
        <v>23</v>
      </c>
      <c r="C38" s="47" t="s">
        <v>1108</v>
      </c>
      <c r="D38" s="21" t="s">
        <v>1893</v>
      </c>
      <c r="E38" s="47" t="s">
        <v>1894</v>
      </c>
      <c r="F38" s="21" t="s">
        <v>1899</v>
      </c>
      <c r="G38" s="21" t="s">
        <v>1900</v>
      </c>
      <c r="H38" s="48">
        <v>23891200</v>
      </c>
    </row>
    <row r="39" spans="2:8" ht="13.5" x14ac:dyDescent="0.2">
      <c r="B39" s="47" t="s">
        <v>23</v>
      </c>
      <c r="C39" s="47" t="s">
        <v>1108</v>
      </c>
      <c r="D39" s="21" t="s">
        <v>1893</v>
      </c>
      <c r="E39" s="47" t="s">
        <v>1894</v>
      </c>
      <c r="F39" s="21" t="s">
        <v>1940</v>
      </c>
      <c r="G39" s="21" t="s">
        <v>1941</v>
      </c>
      <c r="H39" s="48">
        <v>4329000</v>
      </c>
    </row>
    <row r="40" spans="2:8" ht="13.5" x14ac:dyDescent="0.2">
      <c r="B40" s="47" t="s">
        <v>23</v>
      </c>
      <c r="C40" s="47" t="s">
        <v>1108</v>
      </c>
      <c r="D40" s="21" t="s">
        <v>1893</v>
      </c>
      <c r="E40" s="47" t="s">
        <v>1962</v>
      </c>
      <c r="F40" s="21" t="s">
        <v>1963</v>
      </c>
      <c r="G40" s="21" t="s">
        <v>1964</v>
      </c>
      <c r="H40" s="48">
        <v>12267700</v>
      </c>
    </row>
    <row r="41" spans="2:8" ht="13.5" x14ac:dyDescent="0.2">
      <c r="B41" s="47" t="s">
        <v>23</v>
      </c>
      <c r="C41" s="47" t="s">
        <v>1108</v>
      </c>
      <c r="D41" s="21" t="s">
        <v>1893</v>
      </c>
      <c r="E41" s="47" t="s">
        <v>1962</v>
      </c>
      <c r="F41" s="21" t="s">
        <v>1998</v>
      </c>
      <c r="G41" s="21" t="s">
        <v>1999</v>
      </c>
      <c r="H41" s="48">
        <v>5359900</v>
      </c>
    </row>
    <row r="42" spans="2:8" ht="13.5" x14ac:dyDescent="0.2">
      <c r="B42" s="47" t="s">
        <v>23</v>
      </c>
      <c r="C42" s="47" t="s">
        <v>1108</v>
      </c>
      <c r="D42" s="21" t="s">
        <v>1893</v>
      </c>
      <c r="E42" s="47" t="s">
        <v>1962</v>
      </c>
      <c r="F42" s="21" t="s">
        <v>2035</v>
      </c>
      <c r="G42" s="21" t="s">
        <v>2036</v>
      </c>
      <c r="H42" s="48">
        <v>9560000</v>
      </c>
    </row>
    <row r="43" spans="2:8" ht="13.5" x14ac:dyDescent="0.2">
      <c r="B43" s="47" t="s">
        <v>23</v>
      </c>
      <c r="C43" s="47" t="s">
        <v>1108</v>
      </c>
      <c r="D43" s="21" t="s">
        <v>1893</v>
      </c>
      <c r="E43" s="47" t="s">
        <v>1962</v>
      </c>
      <c r="F43" s="21" t="s">
        <v>2079</v>
      </c>
      <c r="G43" s="21" t="s">
        <v>2080</v>
      </c>
      <c r="H43" s="48">
        <v>8108800</v>
      </c>
    </row>
    <row r="44" spans="2:8" ht="13.5" x14ac:dyDescent="0.2">
      <c r="B44" s="47" t="s">
        <v>23</v>
      </c>
      <c r="C44" s="47" t="s">
        <v>1108</v>
      </c>
      <c r="D44" s="21" t="s">
        <v>1109</v>
      </c>
      <c r="E44" s="47" t="s">
        <v>1110</v>
      </c>
      <c r="F44" s="21" t="s">
        <v>1111</v>
      </c>
      <c r="G44" s="21" t="s">
        <v>1112</v>
      </c>
      <c r="H44" s="48">
        <v>9351300</v>
      </c>
    </row>
    <row r="45" spans="2:8" ht="13.5" x14ac:dyDescent="0.2">
      <c r="B45" s="47" t="s">
        <v>23</v>
      </c>
      <c r="C45" s="47" t="s">
        <v>1108</v>
      </c>
      <c r="D45" s="21" t="s">
        <v>1109</v>
      </c>
      <c r="E45" s="47" t="s">
        <v>1110</v>
      </c>
      <c r="F45" s="21" t="s">
        <v>1131</v>
      </c>
      <c r="G45" s="21" t="s">
        <v>1132</v>
      </c>
      <c r="H45" s="48">
        <v>15575000</v>
      </c>
    </row>
    <row r="46" spans="2:8" ht="13.5" x14ac:dyDescent="0.2">
      <c r="B46" s="47" t="s">
        <v>23</v>
      </c>
      <c r="C46" s="47" t="s">
        <v>1108</v>
      </c>
      <c r="D46" s="21" t="s">
        <v>1109</v>
      </c>
      <c r="E46" s="47" t="s">
        <v>1110</v>
      </c>
      <c r="F46" s="21" t="s">
        <v>1192</v>
      </c>
      <c r="G46" s="21" t="s">
        <v>1193</v>
      </c>
      <c r="H46" s="48">
        <v>8550000</v>
      </c>
    </row>
    <row r="47" spans="2:8" ht="13.5" x14ac:dyDescent="0.2">
      <c r="B47" s="47" t="s">
        <v>23</v>
      </c>
      <c r="C47" s="47" t="s">
        <v>1108</v>
      </c>
      <c r="D47" s="21" t="s">
        <v>1109</v>
      </c>
      <c r="E47" s="47" t="s">
        <v>1110</v>
      </c>
      <c r="F47" s="21" t="s">
        <v>1198</v>
      </c>
      <c r="G47" s="21" t="s">
        <v>1199</v>
      </c>
      <c r="H47" s="48">
        <v>13195400</v>
      </c>
    </row>
    <row r="48" spans="2:8" ht="13.5" x14ac:dyDescent="0.2">
      <c r="B48" s="47" t="s">
        <v>23</v>
      </c>
      <c r="C48" s="47" t="s">
        <v>1108</v>
      </c>
      <c r="D48" s="21" t="s">
        <v>1109</v>
      </c>
      <c r="E48" s="47" t="s">
        <v>1234</v>
      </c>
      <c r="F48" s="21" t="s">
        <v>1235</v>
      </c>
      <c r="G48" s="21" t="s">
        <v>1236</v>
      </c>
      <c r="H48" s="48">
        <v>23320100</v>
      </c>
    </row>
    <row r="49" spans="2:8" ht="13.5" x14ac:dyDescent="0.2">
      <c r="B49" s="47" t="s">
        <v>23</v>
      </c>
      <c r="C49" s="47" t="s">
        <v>1108</v>
      </c>
      <c r="D49" s="21" t="s">
        <v>1109</v>
      </c>
      <c r="E49" s="47" t="s">
        <v>1234</v>
      </c>
      <c r="F49" s="21" t="s">
        <v>1305</v>
      </c>
      <c r="G49" s="21" t="s">
        <v>1306</v>
      </c>
      <c r="H49" s="48">
        <v>13595200</v>
      </c>
    </row>
    <row r="50" spans="2:8" ht="13.5" x14ac:dyDescent="0.2">
      <c r="B50" s="47" t="s">
        <v>23</v>
      </c>
      <c r="C50" s="47" t="s">
        <v>1108</v>
      </c>
      <c r="D50" s="21" t="s">
        <v>1109</v>
      </c>
      <c r="E50" s="47" t="s">
        <v>1234</v>
      </c>
      <c r="F50" s="21" t="s">
        <v>1327</v>
      </c>
      <c r="G50" s="21" t="s">
        <v>1328</v>
      </c>
      <c r="H50" s="48">
        <v>19850200</v>
      </c>
    </row>
    <row r="51" spans="2:8" ht="13.5" x14ac:dyDescent="0.2">
      <c r="B51" s="47" t="s">
        <v>23</v>
      </c>
      <c r="C51" s="47" t="s">
        <v>1108</v>
      </c>
      <c r="D51" s="21" t="s">
        <v>1109</v>
      </c>
      <c r="E51" s="47" t="s">
        <v>1234</v>
      </c>
      <c r="F51" s="21" t="s">
        <v>1346</v>
      </c>
      <c r="G51" s="21" t="s">
        <v>1347</v>
      </c>
      <c r="H51" s="48">
        <v>4332600</v>
      </c>
    </row>
    <row r="52" spans="2:8" ht="13.5" x14ac:dyDescent="0.2">
      <c r="B52" s="47" t="s">
        <v>23</v>
      </c>
      <c r="C52" s="47" t="s">
        <v>1108</v>
      </c>
      <c r="D52" s="21" t="s">
        <v>1109</v>
      </c>
      <c r="E52" s="47" t="s">
        <v>1234</v>
      </c>
      <c r="F52" s="21" t="s">
        <v>1385</v>
      </c>
      <c r="G52" s="21" t="s">
        <v>1386</v>
      </c>
      <c r="H52" s="48">
        <v>11397600</v>
      </c>
    </row>
    <row r="53" spans="2:8" ht="13.5" x14ac:dyDescent="0.2">
      <c r="B53" s="47" t="s">
        <v>23</v>
      </c>
      <c r="C53" s="47" t="s">
        <v>1108</v>
      </c>
      <c r="D53" s="21" t="s">
        <v>1109</v>
      </c>
      <c r="E53" s="47" t="s">
        <v>1397</v>
      </c>
      <c r="F53" s="21" t="s">
        <v>1398</v>
      </c>
      <c r="G53" s="21" t="s">
        <v>1399</v>
      </c>
      <c r="H53" s="48">
        <v>6691800</v>
      </c>
    </row>
    <row r="54" spans="2:8" ht="13.5" x14ac:dyDescent="0.2">
      <c r="B54" s="47" t="s">
        <v>23</v>
      </c>
      <c r="C54" s="47" t="s">
        <v>1108</v>
      </c>
      <c r="D54" s="21" t="s">
        <v>1109</v>
      </c>
      <c r="E54" s="47" t="s">
        <v>1397</v>
      </c>
      <c r="F54" s="21" t="s">
        <v>1417</v>
      </c>
      <c r="G54" s="21" t="s">
        <v>1418</v>
      </c>
      <c r="H54" s="48">
        <v>20130370</v>
      </c>
    </row>
    <row r="55" spans="2:8" ht="13.5" x14ac:dyDescent="0.2">
      <c r="B55" s="47" t="s">
        <v>23</v>
      </c>
      <c r="C55" s="47" t="s">
        <v>1108</v>
      </c>
      <c r="D55" s="21" t="s">
        <v>1109</v>
      </c>
      <c r="E55" s="47" t="s">
        <v>1397</v>
      </c>
      <c r="F55" s="21" t="s">
        <v>1454</v>
      </c>
      <c r="G55" s="21" t="s">
        <v>1455</v>
      </c>
      <c r="H55" s="48">
        <v>24680800</v>
      </c>
    </row>
    <row r="56" spans="2:8" ht="13.5" x14ac:dyDescent="0.2">
      <c r="B56" s="47" t="s">
        <v>23</v>
      </c>
      <c r="C56" s="47" t="s">
        <v>1108</v>
      </c>
      <c r="D56" s="21" t="s">
        <v>1109</v>
      </c>
      <c r="E56" s="47" t="s">
        <v>1397</v>
      </c>
      <c r="F56" s="21" t="s">
        <v>1470</v>
      </c>
      <c r="G56" s="21" t="s">
        <v>1471</v>
      </c>
      <c r="H56" s="48">
        <v>24730000</v>
      </c>
    </row>
    <row r="57" spans="2:8" ht="13.5" x14ac:dyDescent="0.2">
      <c r="B57" s="47" t="s">
        <v>23</v>
      </c>
      <c r="C57" s="47" t="s">
        <v>1108</v>
      </c>
      <c r="D57" s="21" t="s">
        <v>1495</v>
      </c>
      <c r="E57" s="47" t="s">
        <v>1496</v>
      </c>
      <c r="F57" s="21" t="s">
        <v>1497</v>
      </c>
      <c r="G57" s="21" t="s">
        <v>1498</v>
      </c>
      <c r="H57" s="48">
        <v>9371600</v>
      </c>
    </row>
    <row r="58" spans="2:8" ht="13.5" x14ac:dyDescent="0.2">
      <c r="B58" s="47" t="s">
        <v>23</v>
      </c>
      <c r="C58" s="47" t="s">
        <v>1108</v>
      </c>
      <c r="D58" s="21" t="s">
        <v>1495</v>
      </c>
      <c r="E58" s="47" t="s">
        <v>1496</v>
      </c>
      <c r="F58" s="21" t="s">
        <v>1522</v>
      </c>
      <c r="G58" s="21" t="s">
        <v>1523</v>
      </c>
      <c r="H58" s="48">
        <v>71321500</v>
      </c>
    </row>
    <row r="59" spans="2:8" ht="13.5" x14ac:dyDescent="0.2">
      <c r="B59" s="47" t="s">
        <v>23</v>
      </c>
      <c r="C59" s="47" t="s">
        <v>1108</v>
      </c>
      <c r="D59" s="21" t="s">
        <v>1495</v>
      </c>
      <c r="E59" s="47" t="s">
        <v>1667</v>
      </c>
      <c r="F59" s="21" t="s">
        <v>1672</v>
      </c>
      <c r="G59" s="21" t="s">
        <v>1673</v>
      </c>
      <c r="H59" s="48">
        <v>3023100</v>
      </c>
    </row>
    <row r="60" spans="2:8" ht="13.5" x14ac:dyDescent="0.2">
      <c r="B60" s="47" t="s">
        <v>23</v>
      </c>
      <c r="C60" s="47" t="s">
        <v>1108</v>
      </c>
      <c r="D60" s="21" t="s">
        <v>1495</v>
      </c>
      <c r="E60" s="47" t="s">
        <v>1714</v>
      </c>
      <c r="F60" s="21" t="s">
        <v>1715</v>
      </c>
      <c r="G60" s="21" t="s">
        <v>1716</v>
      </c>
      <c r="H60" s="48">
        <v>14584800</v>
      </c>
    </row>
    <row r="61" spans="2:8" ht="13.5" x14ac:dyDescent="0.2">
      <c r="B61" s="47" t="s">
        <v>2096</v>
      </c>
      <c r="C61" s="47" t="s">
        <v>2097</v>
      </c>
      <c r="D61" s="21" t="s">
        <v>2718</v>
      </c>
      <c r="E61" s="47" t="s">
        <v>2719</v>
      </c>
      <c r="F61" s="21" t="s">
        <v>2720</v>
      </c>
      <c r="G61" s="21" t="s">
        <v>2721</v>
      </c>
      <c r="H61" s="48">
        <v>2841200</v>
      </c>
    </row>
    <row r="62" spans="2:8" ht="13.5" x14ac:dyDescent="0.2">
      <c r="B62" s="47" t="s">
        <v>2096</v>
      </c>
      <c r="C62" s="47" t="s">
        <v>2097</v>
      </c>
      <c r="D62" s="21" t="s">
        <v>2718</v>
      </c>
      <c r="E62" s="47" t="s">
        <v>2730</v>
      </c>
      <c r="F62" s="21" t="s">
        <v>2731</v>
      </c>
      <c r="G62" s="21" t="s">
        <v>2732</v>
      </c>
      <c r="H62" s="48">
        <v>13741300</v>
      </c>
    </row>
    <row r="63" spans="2:8" ht="13.5" x14ac:dyDescent="0.2">
      <c r="B63" s="47" t="s">
        <v>2096</v>
      </c>
      <c r="C63" s="47" t="s">
        <v>2097</v>
      </c>
      <c r="D63" s="21" t="s">
        <v>2718</v>
      </c>
      <c r="E63" s="47" t="s">
        <v>2730</v>
      </c>
      <c r="F63" s="21" t="s">
        <v>2818</v>
      </c>
      <c r="G63" s="21" t="s">
        <v>2819</v>
      </c>
      <c r="H63" s="48">
        <v>4883700</v>
      </c>
    </row>
    <row r="64" spans="2:8" ht="13.5" x14ac:dyDescent="0.2">
      <c r="B64" s="47" t="s">
        <v>2096</v>
      </c>
      <c r="C64" s="47" t="s">
        <v>2097</v>
      </c>
      <c r="D64" s="21" t="s">
        <v>2718</v>
      </c>
      <c r="E64" s="47" t="s">
        <v>2883</v>
      </c>
      <c r="F64" s="21" t="s">
        <v>2884</v>
      </c>
      <c r="G64" s="21" t="s">
        <v>2885</v>
      </c>
      <c r="H64" s="48">
        <v>26996400</v>
      </c>
    </row>
    <row r="65" spans="2:8" ht="13.5" x14ac:dyDescent="0.2">
      <c r="B65" s="47" t="s">
        <v>2096</v>
      </c>
      <c r="C65" s="47" t="s">
        <v>2097</v>
      </c>
      <c r="D65" s="21" t="s">
        <v>2718</v>
      </c>
      <c r="E65" s="47" t="s">
        <v>2953</v>
      </c>
      <c r="F65" s="21" t="s">
        <v>2954</v>
      </c>
      <c r="G65" s="21" t="s">
        <v>2955</v>
      </c>
      <c r="H65" s="48">
        <v>335800</v>
      </c>
    </row>
    <row r="66" spans="2:8" ht="13.5" x14ac:dyDescent="0.2">
      <c r="B66" s="47" t="s">
        <v>2096</v>
      </c>
      <c r="C66" s="47" t="s">
        <v>2097</v>
      </c>
      <c r="D66" s="21" t="s">
        <v>2971</v>
      </c>
      <c r="E66" s="47" t="s">
        <v>2972</v>
      </c>
      <c r="F66" s="21" t="s">
        <v>2973</v>
      </c>
      <c r="G66" s="21" t="s">
        <v>2974</v>
      </c>
      <c r="H66" s="48">
        <v>34803920</v>
      </c>
    </row>
    <row r="67" spans="2:8" ht="13.5" x14ac:dyDescent="0.2">
      <c r="B67" s="47" t="s">
        <v>2096</v>
      </c>
      <c r="C67" s="47" t="s">
        <v>2097</v>
      </c>
      <c r="D67" s="21" t="s">
        <v>2971</v>
      </c>
      <c r="E67" s="47" t="s">
        <v>2972</v>
      </c>
      <c r="F67" s="21" t="s">
        <v>3045</v>
      </c>
      <c r="G67" s="21" t="s">
        <v>3046</v>
      </c>
      <c r="H67" s="48">
        <v>15228400</v>
      </c>
    </row>
    <row r="68" spans="2:8" ht="13.5" x14ac:dyDescent="0.2">
      <c r="B68" s="47" t="s">
        <v>2096</v>
      </c>
      <c r="C68" s="47" t="s">
        <v>2097</v>
      </c>
      <c r="D68" s="21" t="s">
        <v>2971</v>
      </c>
      <c r="E68" s="47" t="s">
        <v>3073</v>
      </c>
      <c r="F68" s="21" t="s">
        <v>3074</v>
      </c>
      <c r="G68" s="21" t="s">
        <v>3075</v>
      </c>
      <c r="H68" s="48">
        <v>4919600</v>
      </c>
    </row>
    <row r="69" spans="2:8" ht="13.5" x14ac:dyDescent="0.2">
      <c r="B69" s="47" t="s">
        <v>2096</v>
      </c>
      <c r="C69" s="47" t="s">
        <v>2097</v>
      </c>
      <c r="D69" s="21" t="s">
        <v>2971</v>
      </c>
      <c r="E69" s="47" t="s">
        <v>3093</v>
      </c>
      <c r="F69" s="21" t="s">
        <v>3094</v>
      </c>
      <c r="G69" s="21" t="s">
        <v>3095</v>
      </c>
      <c r="H69" s="48">
        <v>17693700</v>
      </c>
    </row>
    <row r="70" spans="2:8" ht="13.5" x14ac:dyDescent="0.2">
      <c r="B70" s="47" t="s">
        <v>2096</v>
      </c>
      <c r="C70" s="47" t="s">
        <v>2097</v>
      </c>
      <c r="D70" s="21" t="s">
        <v>3190</v>
      </c>
      <c r="E70" s="47" t="s">
        <v>3204</v>
      </c>
      <c r="F70" s="21" t="s">
        <v>3205</v>
      </c>
      <c r="G70" s="21" t="s">
        <v>3206</v>
      </c>
      <c r="H70" s="48">
        <v>6148600</v>
      </c>
    </row>
    <row r="71" spans="2:8" ht="13.5" x14ac:dyDescent="0.2">
      <c r="B71" s="47" t="s">
        <v>2096</v>
      </c>
      <c r="C71" s="47" t="s">
        <v>2097</v>
      </c>
      <c r="D71" s="21" t="s">
        <v>3190</v>
      </c>
      <c r="E71" s="47" t="s">
        <v>3204</v>
      </c>
      <c r="F71" s="21" t="s">
        <v>3249</v>
      </c>
      <c r="G71" s="21" t="s">
        <v>3250</v>
      </c>
      <c r="H71" s="48">
        <v>7063600</v>
      </c>
    </row>
    <row r="72" spans="2:8" ht="13.5" x14ac:dyDescent="0.2">
      <c r="B72" s="47" t="s">
        <v>2096</v>
      </c>
      <c r="C72" s="47" t="s">
        <v>2097</v>
      </c>
      <c r="D72" s="21" t="s">
        <v>3190</v>
      </c>
      <c r="E72" s="47" t="s">
        <v>3271</v>
      </c>
      <c r="F72" s="21" t="s">
        <v>3272</v>
      </c>
      <c r="G72" s="21" t="s">
        <v>3273</v>
      </c>
      <c r="H72" s="48">
        <v>20440300</v>
      </c>
    </row>
    <row r="73" spans="2:8" ht="13.5" x14ac:dyDescent="0.2">
      <c r="B73" s="47" t="s">
        <v>2096</v>
      </c>
      <c r="C73" s="47" t="s">
        <v>2097</v>
      </c>
      <c r="D73" s="21" t="s">
        <v>2233</v>
      </c>
      <c r="E73" s="47" t="s">
        <v>2234</v>
      </c>
      <c r="F73" s="21" t="s">
        <v>2235</v>
      </c>
      <c r="G73" s="21" t="s">
        <v>2236</v>
      </c>
      <c r="H73" s="48">
        <v>2643700</v>
      </c>
    </row>
    <row r="74" spans="2:8" ht="13.5" x14ac:dyDescent="0.2">
      <c r="B74" s="47" t="s">
        <v>2096</v>
      </c>
      <c r="C74" s="47" t="s">
        <v>2097</v>
      </c>
      <c r="D74" s="21" t="s">
        <v>2233</v>
      </c>
      <c r="E74" s="47" t="s">
        <v>2234</v>
      </c>
      <c r="F74" s="21" t="s">
        <v>2259</v>
      </c>
      <c r="G74" s="21" t="s">
        <v>2260</v>
      </c>
      <c r="H74" s="48">
        <v>59971700</v>
      </c>
    </row>
    <row r="75" spans="2:8" ht="13.5" x14ac:dyDescent="0.2">
      <c r="B75" s="47" t="s">
        <v>2096</v>
      </c>
      <c r="C75" s="47" t="s">
        <v>2097</v>
      </c>
      <c r="D75" s="21" t="s">
        <v>2233</v>
      </c>
      <c r="E75" s="47" t="s">
        <v>2344</v>
      </c>
      <c r="F75" s="21" t="s">
        <v>2345</v>
      </c>
      <c r="G75" s="21" t="s">
        <v>2346</v>
      </c>
      <c r="H75" s="48">
        <v>13635800</v>
      </c>
    </row>
    <row r="76" spans="2:8" ht="13.5" x14ac:dyDescent="0.2">
      <c r="B76" s="47" t="s">
        <v>2096</v>
      </c>
      <c r="C76" s="47" t="s">
        <v>2097</v>
      </c>
      <c r="D76" s="21" t="s">
        <v>2233</v>
      </c>
      <c r="E76" s="47" t="s">
        <v>2367</v>
      </c>
      <c r="F76" s="21" t="s">
        <v>2368</v>
      </c>
      <c r="G76" s="21" t="s">
        <v>2369</v>
      </c>
      <c r="H76" s="48">
        <v>22043400</v>
      </c>
    </row>
    <row r="77" spans="2:8" ht="13.5" x14ac:dyDescent="0.2">
      <c r="B77" s="47" t="s">
        <v>2096</v>
      </c>
      <c r="C77" s="47" t="s">
        <v>2097</v>
      </c>
      <c r="D77" s="21" t="s">
        <v>2233</v>
      </c>
      <c r="E77" s="47" t="s">
        <v>2427</v>
      </c>
      <c r="F77" s="21" t="s">
        <v>2428</v>
      </c>
      <c r="G77" s="21" t="s">
        <v>2429</v>
      </c>
      <c r="H77" s="48">
        <v>15359540</v>
      </c>
    </row>
    <row r="78" spans="2:8" ht="13.5" x14ac:dyDescent="0.2">
      <c r="B78" s="47" t="s">
        <v>2096</v>
      </c>
      <c r="C78" s="47" t="s">
        <v>2097</v>
      </c>
      <c r="D78" s="21" t="s">
        <v>2466</v>
      </c>
      <c r="E78" s="47" t="s">
        <v>2467</v>
      </c>
      <c r="F78" s="21" t="s">
        <v>2468</v>
      </c>
      <c r="G78" s="21" t="s">
        <v>2469</v>
      </c>
      <c r="H78" s="48">
        <v>13709100</v>
      </c>
    </row>
    <row r="79" spans="2:8" ht="13.5" x14ac:dyDescent="0.2">
      <c r="B79" s="47" t="s">
        <v>2096</v>
      </c>
      <c r="C79" s="47" t="s">
        <v>2097</v>
      </c>
      <c r="D79" s="21" t="s">
        <v>2466</v>
      </c>
      <c r="E79" s="47" t="s">
        <v>2513</v>
      </c>
      <c r="F79" s="21" t="s">
        <v>2514</v>
      </c>
      <c r="G79" s="21" t="s">
        <v>2515</v>
      </c>
      <c r="H79" s="48">
        <v>6442100</v>
      </c>
    </row>
    <row r="80" spans="2:8" ht="13.5" x14ac:dyDescent="0.2">
      <c r="B80" s="47" t="s">
        <v>2096</v>
      </c>
      <c r="C80" s="47" t="s">
        <v>2097</v>
      </c>
      <c r="D80" s="21" t="s">
        <v>2466</v>
      </c>
      <c r="E80" s="47" t="s">
        <v>2513</v>
      </c>
      <c r="F80" s="21" t="s">
        <v>2563</v>
      </c>
      <c r="G80" s="21" t="s">
        <v>2564</v>
      </c>
      <c r="H80" s="48">
        <v>5669000</v>
      </c>
    </row>
    <row r="81" spans="2:8" ht="13.5" x14ac:dyDescent="0.2">
      <c r="B81" s="47" t="s">
        <v>2096</v>
      </c>
      <c r="C81" s="47" t="s">
        <v>2097</v>
      </c>
      <c r="D81" s="21" t="s">
        <v>2466</v>
      </c>
      <c r="E81" s="47" t="s">
        <v>2573</v>
      </c>
      <c r="F81" s="21" t="s">
        <v>2574</v>
      </c>
      <c r="G81" s="21" t="s">
        <v>2575</v>
      </c>
      <c r="H81" s="48">
        <v>92211720</v>
      </c>
    </row>
    <row r="82" spans="2:8" ht="13.5" x14ac:dyDescent="0.2">
      <c r="B82" s="47" t="s">
        <v>2096</v>
      </c>
      <c r="C82" s="47" t="s">
        <v>2097</v>
      </c>
      <c r="D82" s="21" t="s">
        <v>2466</v>
      </c>
      <c r="E82" s="47" t="s">
        <v>2573</v>
      </c>
      <c r="F82" s="21" t="s">
        <v>2684</v>
      </c>
      <c r="G82" s="21" t="s">
        <v>2685</v>
      </c>
      <c r="H82" s="48">
        <v>11809800</v>
      </c>
    </row>
    <row r="83" spans="2:8" ht="13.5" x14ac:dyDescent="0.2">
      <c r="B83" s="47" t="s">
        <v>2096</v>
      </c>
      <c r="C83" s="47" t="s">
        <v>2097</v>
      </c>
      <c r="D83" s="21" t="s">
        <v>2098</v>
      </c>
      <c r="E83" s="47" t="s">
        <v>2182</v>
      </c>
      <c r="F83" s="21" t="s">
        <v>2183</v>
      </c>
      <c r="G83" s="21" t="s">
        <v>2184</v>
      </c>
      <c r="H83" s="48">
        <v>4479500</v>
      </c>
    </row>
    <row r="84" spans="2:8" ht="13.5" x14ac:dyDescent="0.2">
      <c r="B84" s="47" t="s">
        <v>2096</v>
      </c>
      <c r="C84" s="47" t="s">
        <v>3333</v>
      </c>
      <c r="D84" s="21" t="s">
        <v>3442</v>
      </c>
      <c r="E84" s="47" t="s">
        <v>3443</v>
      </c>
      <c r="F84" s="21" t="s">
        <v>3444</v>
      </c>
      <c r="G84" s="21" t="s">
        <v>3445</v>
      </c>
      <c r="H84" s="48">
        <v>526900</v>
      </c>
    </row>
    <row r="85" spans="2:8" ht="13.5" x14ac:dyDescent="0.2">
      <c r="B85" s="47" t="s">
        <v>2096</v>
      </c>
      <c r="C85" s="47" t="s">
        <v>3333</v>
      </c>
      <c r="D85" s="21" t="s">
        <v>3442</v>
      </c>
      <c r="E85" s="47" t="s">
        <v>3443</v>
      </c>
      <c r="F85" s="21" t="s">
        <v>3453</v>
      </c>
      <c r="G85" s="21" t="s">
        <v>3454</v>
      </c>
      <c r="H85" s="48">
        <v>4598000</v>
      </c>
    </row>
    <row r="86" spans="2:8" ht="13.5" x14ac:dyDescent="0.2">
      <c r="B86" s="47" t="s">
        <v>2096</v>
      </c>
      <c r="C86" s="47" t="s">
        <v>3333</v>
      </c>
      <c r="D86" s="21" t="s">
        <v>3442</v>
      </c>
      <c r="E86" s="47" t="s">
        <v>3466</v>
      </c>
      <c r="F86" s="21" t="s">
        <v>3467</v>
      </c>
      <c r="G86" s="21" t="s">
        <v>3468</v>
      </c>
      <c r="H86" s="48">
        <v>19930200</v>
      </c>
    </row>
    <row r="87" spans="2:8" ht="13.5" x14ac:dyDescent="0.2">
      <c r="B87" s="47" t="s">
        <v>2096</v>
      </c>
      <c r="C87" s="47" t="s">
        <v>3333</v>
      </c>
      <c r="D87" s="21" t="s">
        <v>3442</v>
      </c>
      <c r="E87" s="47" t="s">
        <v>3466</v>
      </c>
      <c r="F87" s="21" t="s">
        <v>3526</v>
      </c>
      <c r="G87" s="21" t="s">
        <v>3527</v>
      </c>
      <c r="H87" s="48">
        <v>8519200</v>
      </c>
    </row>
    <row r="88" spans="2:8" ht="13.5" x14ac:dyDescent="0.2">
      <c r="B88" s="47" t="s">
        <v>2096</v>
      </c>
      <c r="C88" s="47" t="s">
        <v>3333</v>
      </c>
      <c r="D88" s="21" t="s">
        <v>3442</v>
      </c>
      <c r="E88" s="47" t="s">
        <v>3466</v>
      </c>
      <c r="F88" s="21" t="s">
        <v>3564</v>
      </c>
      <c r="G88" s="21" t="s">
        <v>3565</v>
      </c>
      <c r="H88" s="48">
        <v>2136000</v>
      </c>
    </row>
    <row r="89" spans="2:8" ht="13.5" x14ac:dyDescent="0.2">
      <c r="B89" s="47" t="s">
        <v>2096</v>
      </c>
      <c r="C89" s="47" t="s">
        <v>3333</v>
      </c>
      <c r="D89" s="21" t="s">
        <v>3442</v>
      </c>
      <c r="E89" s="47" t="s">
        <v>3466</v>
      </c>
      <c r="F89" s="21" t="s">
        <v>3577</v>
      </c>
      <c r="G89" s="21" t="s">
        <v>3578</v>
      </c>
      <c r="H89" s="48">
        <v>22223800</v>
      </c>
    </row>
    <row r="90" spans="2:8" ht="13.5" x14ac:dyDescent="0.2">
      <c r="B90" s="47" t="s">
        <v>2096</v>
      </c>
      <c r="C90" s="47" t="s">
        <v>3333</v>
      </c>
      <c r="D90" s="21" t="s">
        <v>3442</v>
      </c>
      <c r="E90" s="47" t="s">
        <v>3626</v>
      </c>
      <c r="F90" s="21" t="s">
        <v>3627</v>
      </c>
      <c r="G90" s="21" t="s">
        <v>3628</v>
      </c>
      <c r="H90" s="48">
        <v>27164100</v>
      </c>
    </row>
    <row r="91" spans="2:8" ht="13.5" x14ac:dyDescent="0.2">
      <c r="B91" s="47" t="s">
        <v>2096</v>
      </c>
      <c r="C91" s="47" t="s">
        <v>3333</v>
      </c>
      <c r="D91" s="21" t="s">
        <v>3442</v>
      </c>
      <c r="E91" s="47" t="s">
        <v>3626</v>
      </c>
      <c r="F91" s="21" t="s">
        <v>3688</v>
      </c>
      <c r="G91" s="21" t="s">
        <v>3689</v>
      </c>
      <c r="H91" s="48">
        <v>24369400</v>
      </c>
    </row>
    <row r="92" spans="2:8" ht="13.5" x14ac:dyDescent="0.2">
      <c r="B92" s="47" t="s">
        <v>2096</v>
      </c>
      <c r="C92" s="47" t="s">
        <v>3333</v>
      </c>
      <c r="D92" s="21" t="s">
        <v>3739</v>
      </c>
      <c r="E92" s="47" t="s">
        <v>3752</v>
      </c>
      <c r="F92" s="21" t="s">
        <v>3753</v>
      </c>
      <c r="G92" s="21" t="s">
        <v>3754</v>
      </c>
      <c r="H92" s="48">
        <v>60433100</v>
      </c>
    </row>
    <row r="93" spans="2:8" ht="13.5" x14ac:dyDescent="0.2">
      <c r="B93" s="47" t="s">
        <v>2096</v>
      </c>
      <c r="C93" s="47" t="s">
        <v>3333</v>
      </c>
      <c r="D93" s="21" t="s">
        <v>3739</v>
      </c>
      <c r="E93" s="47" t="s">
        <v>3752</v>
      </c>
      <c r="F93" s="21" t="s">
        <v>3836</v>
      </c>
      <c r="G93" s="21" t="s">
        <v>3837</v>
      </c>
      <c r="H93" s="48">
        <v>53585200</v>
      </c>
    </row>
    <row r="94" spans="2:8" ht="13.5" x14ac:dyDescent="0.2">
      <c r="B94" s="47" t="s">
        <v>2096</v>
      </c>
      <c r="C94" s="47" t="s">
        <v>3333</v>
      </c>
      <c r="D94" s="21" t="s">
        <v>3902</v>
      </c>
      <c r="E94" s="47" t="s">
        <v>3920</v>
      </c>
      <c r="F94" s="21" t="s">
        <v>3921</v>
      </c>
      <c r="G94" s="21" t="s">
        <v>3922</v>
      </c>
      <c r="H94" s="48">
        <v>8934000</v>
      </c>
    </row>
    <row r="95" spans="2:8" ht="13.5" x14ac:dyDescent="0.2">
      <c r="B95" s="47" t="s">
        <v>2096</v>
      </c>
      <c r="C95" s="47" t="s">
        <v>3333</v>
      </c>
      <c r="D95" s="21" t="s">
        <v>3334</v>
      </c>
      <c r="E95" s="47" t="s">
        <v>3335</v>
      </c>
      <c r="F95" s="21" t="s">
        <v>3336</v>
      </c>
      <c r="G95" s="21" t="s">
        <v>3337</v>
      </c>
      <c r="H95" s="48">
        <v>1932610</v>
      </c>
    </row>
    <row r="96" spans="2:8" ht="13.5" x14ac:dyDescent="0.2">
      <c r="B96" s="47" t="s">
        <v>2096</v>
      </c>
      <c r="C96" s="47" t="s">
        <v>3333</v>
      </c>
      <c r="D96" s="21" t="s">
        <v>3334</v>
      </c>
      <c r="E96" s="47" t="s">
        <v>3335</v>
      </c>
      <c r="F96" s="21" t="s">
        <v>3361</v>
      </c>
      <c r="G96" s="21" t="s">
        <v>3362</v>
      </c>
      <c r="H96" s="48">
        <v>12544210</v>
      </c>
    </row>
    <row r="97" spans="2:8" ht="13.5" x14ac:dyDescent="0.2">
      <c r="B97" s="47" t="s">
        <v>2096</v>
      </c>
      <c r="C97" s="47" t="s">
        <v>3333</v>
      </c>
      <c r="D97" s="21" t="s">
        <v>3334</v>
      </c>
      <c r="E97" s="47" t="s">
        <v>3335</v>
      </c>
      <c r="F97" s="21" t="s">
        <v>3369</v>
      </c>
      <c r="G97" s="21" t="s">
        <v>3370</v>
      </c>
      <c r="H97" s="48">
        <v>6779400</v>
      </c>
    </row>
    <row r="98" spans="2:8" ht="13.5" x14ac:dyDescent="0.2">
      <c r="B98" s="47" t="s">
        <v>2096</v>
      </c>
      <c r="C98" s="47" t="s">
        <v>3333</v>
      </c>
      <c r="D98" s="21" t="s">
        <v>3334</v>
      </c>
      <c r="E98" s="47" t="s">
        <v>3335</v>
      </c>
      <c r="F98" s="21" t="s">
        <v>3383</v>
      </c>
      <c r="G98" s="21" t="s">
        <v>3384</v>
      </c>
      <c r="H98" s="48">
        <v>12463200</v>
      </c>
    </row>
    <row r="99" spans="2:8" ht="13.5" x14ac:dyDescent="0.2">
      <c r="B99" s="47" t="s">
        <v>2096</v>
      </c>
      <c r="C99" s="47" t="s">
        <v>3333</v>
      </c>
      <c r="D99" s="21" t="s">
        <v>3334</v>
      </c>
      <c r="E99" s="47" t="s">
        <v>3399</v>
      </c>
      <c r="F99" s="21" t="s">
        <v>3400</v>
      </c>
      <c r="G99" s="21" t="s">
        <v>3401</v>
      </c>
      <c r="H99" s="48">
        <v>5004500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EBF-F297-4EB1-B371-C3DD9D2D2EF2}">
  <dimension ref="A2:G140"/>
  <sheetViews>
    <sheetView topLeftCell="A102" workbookViewId="0">
      <selection activeCell="F12" sqref="F12:G139"/>
    </sheetView>
  </sheetViews>
  <sheetFormatPr defaultRowHeight="12.75" x14ac:dyDescent="0.2"/>
  <cols>
    <col min="1" max="1" width="21.5703125" bestFit="1" customWidth="1"/>
    <col min="2" max="2" width="27" bestFit="1" customWidth="1"/>
    <col min="3" max="3" width="39.5703125" bestFit="1" customWidth="1"/>
    <col min="4" max="4" width="41.7109375" bestFit="1" customWidth="1"/>
    <col min="5" max="5" width="13.42578125" bestFit="1" customWidth="1"/>
    <col min="6" max="6" width="38.140625" bestFit="1" customWidth="1"/>
    <col min="7" max="7" width="10" bestFit="1" customWidth="1"/>
    <col min="8" max="10" width="14.42578125" bestFit="1" customWidth="1"/>
  </cols>
  <sheetData>
    <row r="2" spans="1:7" x14ac:dyDescent="0.2">
      <c r="A2" s="3" t="s">
        <v>7</v>
      </c>
      <c r="B2" t="s">
        <v>3938</v>
      </c>
    </row>
    <row r="3" spans="1:7" x14ac:dyDescent="0.2">
      <c r="A3" s="3" t="s">
        <v>12</v>
      </c>
      <c r="B3" t="s">
        <v>32</v>
      </c>
    </row>
    <row r="4" spans="1:7" x14ac:dyDescent="0.2">
      <c r="A4" s="3" t="s">
        <v>13</v>
      </c>
      <c r="B4" t="s">
        <v>3941</v>
      </c>
    </row>
    <row r="5" spans="1:7" x14ac:dyDescent="0.2">
      <c r="A5" s="3" t="s">
        <v>17</v>
      </c>
      <c r="B5" t="s">
        <v>35</v>
      </c>
    </row>
    <row r="6" spans="1:7" x14ac:dyDescent="0.2">
      <c r="A6" s="3" t="s">
        <v>18</v>
      </c>
      <c r="B6" t="s">
        <v>3938</v>
      </c>
    </row>
    <row r="7" spans="1:7" x14ac:dyDescent="0.2">
      <c r="A7" s="3" t="s">
        <v>19</v>
      </c>
      <c r="B7" t="s">
        <v>30</v>
      </c>
    </row>
    <row r="8" spans="1:7" x14ac:dyDescent="0.2">
      <c r="A8" s="3" t="s">
        <v>22</v>
      </c>
      <c r="B8" t="s">
        <v>39</v>
      </c>
    </row>
    <row r="9" spans="1:7" x14ac:dyDescent="0.2">
      <c r="A9" s="3" t="s">
        <v>11</v>
      </c>
      <c r="B9" t="s">
        <v>3941</v>
      </c>
    </row>
    <row r="11" spans="1:7" x14ac:dyDescent="0.2">
      <c r="A11" s="3" t="s">
        <v>3936</v>
      </c>
      <c r="B11" s="3" t="s">
        <v>2</v>
      </c>
      <c r="C11" s="3" t="s">
        <v>3</v>
      </c>
      <c r="D11" s="3" t="s">
        <v>4</v>
      </c>
      <c r="E11" s="3" t="s">
        <v>5</v>
      </c>
      <c r="F11" s="3" t="s">
        <v>6</v>
      </c>
      <c r="G11" t="s">
        <v>3940</v>
      </c>
    </row>
    <row r="12" spans="1:7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s="4">
        <v>62</v>
      </c>
    </row>
    <row r="13" spans="1:7" x14ac:dyDescent="0.2">
      <c r="E13" t="s">
        <v>146</v>
      </c>
      <c r="F13" t="s">
        <v>147</v>
      </c>
      <c r="G13" s="4">
        <v>5</v>
      </c>
    </row>
    <row r="14" spans="1:7" x14ac:dyDescent="0.2">
      <c r="E14" t="s">
        <v>154</v>
      </c>
      <c r="F14" t="s">
        <v>155</v>
      </c>
      <c r="G14" s="4">
        <v>44</v>
      </c>
    </row>
    <row r="15" spans="1:7" x14ac:dyDescent="0.2">
      <c r="D15" t="s">
        <v>208</v>
      </c>
      <c r="E15" t="s">
        <v>209</v>
      </c>
      <c r="F15" t="s">
        <v>210</v>
      </c>
      <c r="G15" s="4">
        <v>28</v>
      </c>
    </row>
    <row r="16" spans="1:7" x14ac:dyDescent="0.2">
      <c r="E16" t="s">
        <v>279</v>
      </c>
      <c r="F16" t="s">
        <v>280</v>
      </c>
      <c r="G16" s="4">
        <v>14</v>
      </c>
    </row>
    <row r="17" spans="4:7" x14ac:dyDescent="0.2">
      <c r="E17" t="s">
        <v>290</v>
      </c>
      <c r="F17" t="s">
        <v>291</v>
      </c>
      <c r="G17" s="4">
        <v>44</v>
      </c>
    </row>
    <row r="18" spans="4:7" x14ac:dyDescent="0.2">
      <c r="E18" t="s">
        <v>330</v>
      </c>
      <c r="F18" t="s">
        <v>331</v>
      </c>
      <c r="G18" s="4">
        <v>16</v>
      </c>
    </row>
    <row r="19" spans="4:7" x14ac:dyDescent="0.2">
      <c r="E19" t="s">
        <v>347</v>
      </c>
      <c r="F19" t="s">
        <v>348</v>
      </c>
      <c r="G19" s="4">
        <v>7</v>
      </c>
    </row>
    <row r="20" spans="4:7" x14ac:dyDescent="0.2">
      <c r="E20" t="s">
        <v>368</v>
      </c>
      <c r="F20" t="s">
        <v>369</v>
      </c>
      <c r="G20" s="4">
        <v>64</v>
      </c>
    </row>
    <row r="21" spans="4:7" x14ac:dyDescent="0.2">
      <c r="E21" t="s">
        <v>426</v>
      </c>
      <c r="F21" t="s">
        <v>427</v>
      </c>
      <c r="G21" s="4">
        <v>5</v>
      </c>
    </row>
    <row r="22" spans="4:7" x14ac:dyDescent="0.2">
      <c r="E22" t="s">
        <v>440</v>
      </c>
      <c r="F22" t="s">
        <v>441</v>
      </c>
      <c r="G22" s="4">
        <v>10</v>
      </c>
    </row>
    <row r="23" spans="4:7" x14ac:dyDescent="0.2">
      <c r="D23" t="s">
        <v>454</v>
      </c>
      <c r="E23" t="s">
        <v>455</v>
      </c>
      <c r="F23" t="s">
        <v>456</v>
      </c>
      <c r="G23" s="4">
        <v>32</v>
      </c>
    </row>
    <row r="24" spans="4:7" x14ac:dyDescent="0.2">
      <c r="E24" t="s">
        <v>481</v>
      </c>
      <c r="F24" t="s">
        <v>482</v>
      </c>
      <c r="G24" s="4">
        <v>16</v>
      </c>
    </row>
    <row r="25" spans="4:7" x14ac:dyDescent="0.2">
      <c r="E25" t="s">
        <v>508</v>
      </c>
      <c r="F25" t="s">
        <v>509</v>
      </c>
      <c r="G25" s="4">
        <v>57</v>
      </c>
    </row>
    <row r="26" spans="4:7" x14ac:dyDescent="0.2">
      <c r="D26" t="s">
        <v>581</v>
      </c>
      <c r="E26" t="s">
        <v>582</v>
      </c>
      <c r="F26" t="s">
        <v>583</v>
      </c>
      <c r="G26" s="4">
        <v>11</v>
      </c>
    </row>
    <row r="27" spans="4:7" x14ac:dyDescent="0.2">
      <c r="E27" t="s">
        <v>594</v>
      </c>
      <c r="F27" t="s">
        <v>595</v>
      </c>
      <c r="G27" s="4">
        <v>17</v>
      </c>
    </row>
    <row r="28" spans="4:7" x14ac:dyDescent="0.2">
      <c r="E28" t="s">
        <v>606</v>
      </c>
      <c r="F28" t="s">
        <v>607</v>
      </c>
      <c r="G28" s="4">
        <v>26</v>
      </c>
    </row>
    <row r="29" spans="4:7" x14ac:dyDescent="0.2">
      <c r="E29" t="s">
        <v>637</v>
      </c>
      <c r="F29" t="s">
        <v>638</v>
      </c>
      <c r="G29" s="4">
        <v>6</v>
      </c>
    </row>
    <row r="30" spans="4:7" x14ac:dyDescent="0.2">
      <c r="E30" t="s">
        <v>643</v>
      </c>
      <c r="F30" t="s">
        <v>644</v>
      </c>
      <c r="G30" s="4">
        <v>10</v>
      </c>
    </row>
    <row r="31" spans="4:7" x14ac:dyDescent="0.2">
      <c r="E31" t="s">
        <v>653</v>
      </c>
      <c r="F31" t="s">
        <v>654</v>
      </c>
      <c r="G31" s="4">
        <v>30</v>
      </c>
    </row>
    <row r="32" spans="4:7" x14ac:dyDescent="0.2">
      <c r="D32" t="s">
        <v>671</v>
      </c>
      <c r="E32" t="s">
        <v>672</v>
      </c>
      <c r="F32" t="s">
        <v>673</v>
      </c>
      <c r="G32" s="4">
        <v>27</v>
      </c>
    </row>
    <row r="33" spans="3:7" x14ac:dyDescent="0.2">
      <c r="E33" t="s">
        <v>707</v>
      </c>
      <c r="F33" t="s">
        <v>708</v>
      </c>
      <c r="G33" s="4">
        <v>7</v>
      </c>
    </row>
    <row r="34" spans="3:7" x14ac:dyDescent="0.2">
      <c r="E34" t="s">
        <v>721</v>
      </c>
      <c r="F34" t="s">
        <v>722</v>
      </c>
      <c r="G34" s="4">
        <v>10</v>
      </c>
    </row>
    <row r="35" spans="3:7" x14ac:dyDescent="0.2">
      <c r="E35" t="s">
        <v>735</v>
      </c>
      <c r="F35" t="s">
        <v>736</v>
      </c>
      <c r="G35" s="4">
        <v>13</v>
      </c>
    </row>
    <row r="36" spans="3:7" x14ac:dyDescent="0.2">
      <c r="E36" t="s">
        <v>749</v>
      </c>
      <c r="F36" t="s">
        <v>750</v>
      </c>
      <c r="G36" s="4">
        <v>27</v>
      </c>
    </row>
    <row r="37" spans="3:7" x14ac:dyDescent="0.2">
      <c r="E37" t="s">
        <v>786</v>
      </c>
      <c r="F37" t="s">
        <v>787</v>
      </c>
      <c r="G37" s="4">
        <v>11</v>
      </c>
    </row>
    <row r="38" spans="3:7" x14ac:dyDescent="0.2">
      <c r="D38" t="s">
        <v>797</v>
      </c>
      <c r="E38" t="s">
        <v>798</v>
      </c>
      <c r="F38" t="s">
        <v>799</v>
      </c>
      <c r="G38" s="4">
        <v>8</v>
      </c>
    </row>
    <row r="39" spans="3:7" x14ac:dyDescent="0.2">
      <c r="E39" t="s">
        <v>808</v>
      </c>
      <c r="F39" t="s">
        <v>809</v>
      </c>
      <c r="G39" s="4">
        <v>6</v>
      </c>
    </row>
    <row r="40" spans="3:7" x14ac:dyDescent="0.2">
      <c r="E40" t="s">
        <v>818</v>
      </c>
      <c r="F40" t="s">
        <v>819</v>
      </c>
      <c r="G40" s="4">
        <v>22</v>
      </c>
    </row>
    <row r="41" spans="3:7" x14ac:dyDescent="0.2">
      <c r="E41" t="s">
        <v>832</v>
      </c>
      <c r="F41" t="s">
        <v>833</v>
      </c>
      <c r="G41" s="4">
        <v>53</v>
      </c>
    </row>
    <row r="42" spans="3:7" x14ac:dyDescent="0.2">
      <c r="D42" t="s">
        <v>893</v>
      </c>
      <c r="E42" t="s">
        <v>894</v>
      </c>
      <c r="F42" t="s">
        <v>895</v>
      </c>
      <c r="G42" s="4">
        <v>95</v>
      </c>
    </row>
    <row r="43" spans="3:7" x14ac:dyDescent="0.2">
      <c r="C43" t="s">
        <v>978</v>
      </c>
      <c r="D43" t="s">
        <v>979</v>
      </c>
      <c r="E43" t="s">
        <v>980</v>
      </c>
      <c r="F43" t="s">
        <v>981</v>
      </c>
      <c r="G43" s="4">
        <v>26</v>
      </c>
    </row>
    <row r="44" spans="3:7" x14ac:dyDescent="0.2">
      <c r="D44" t="s">
        <v>996</v>
      </c>
      <c r="E44" t="s">
        <v>997</v>
      </c>
      <c r="F44" t="s">
        <v>998</v>
      </c>
      <c r="G44" s="4">
        <v>10</v>
      </c>
    </row>
    <row r="45" spans="3:7" x14ac:dyDescent="0.2">
      <c r="D45" t="s">
        <v>1006</v>
      </c>
      <c r="E45" t="s">
        <v>1007</v>
      </c>
      <c r="F45" t="s">
        <v>1008</v>
      </c>
      <c r="G45" s="4">
        <v>14</v>
      </c>
    </row>
    <row r="46" spans="3:7" x14ac:dyDescent="0.2">
      <c r="E46" t="s">
        <v>1015</v>
      </c>
      <c r="F46" t="s">
        <v>1016</v>
      </c>
      <c r="G46" s="4">
        <v>10</v>
      </c>
    </row>
    <row r="47" spans="3:7" x14ac:dyDescent="0.2">
      <c r="E47" t="s">
        <v>1035</v>
      </c>
      <c r="F47" t="s">
        <v>1036</v>
      </c>
      <c r="G47" s="4">
        <v>10</v>
      </c>
    </row>
    <row r="48" spans="3:7" x14ac:dyDescent="0.2">
      <c r="D48" t="s">
        <v>1041</v>
      </c>
      <c r="E48" t="s">
        <v>1042</v>
      </c>
      <c r="F48" t="s">
        <v>1043</v>
      </c>
      <c r="G48" s="4">
        <v>21</v>
      </c>
    </row>
    <row r="49" spans="2:7" x14ac:dyDescent="0.2">
      <c r="E49" t="s">
        <v>1084</v>
      </c>
      <c r="F49" t="s">
        <v>1085</v>
      </c>
      <c r="G49" s="4">
        <v>28</v>
      </c>
    </row>
    <row r="50" spans="2:7" x14ac:dyDescent="0.2">
      <c r="B50" t="s">
        <v>1108</v>
      </c>
      <c r="C50" t="s">
        <v>1725</v>
      </c>
      <c r="D50" t="s">
        <v>1726</v>
      </c>
      <c r="E50" t="s">
        <v>1727</v>
      </c>
      <c r="F50" t="s">
        <v>1728</v>
      </c>
      <c r="G50" s="4">
        <v>43</v>
      </c>
    </row>
    <row r="51" spans="2:7" x14ac:dyDescent="0.2">
      <c r="D51" t="s">
        <v>1759</v>
      </c>
      <c r="E51" t="s">
        <v>1760</v>
      </c>
      <c r="F51" t="s">
        <v>1761</v>
      </c>
      <c r="G51" s="4">
        <v>24</v>
      </c>
    </row>
    <row r="52" spans="2:7" x14ac:dyDescent="0.2">
      <c r="C52" t="s">
        <v>1808</v>
      </c>
      <c r="D52" t="s">
        <v>1809</v>
      </c>
      <c r="E52" t="s">
        <v>1810</v>
      </c>
      <c r="F52" t="s">
        <v>1811</v>
      </c>
      <c r="G52" s="4">
        <v>65</v>
      </c>
    </row>
    <row r="53" spans="2:7" x14ac:dyDescent="0.2">
      <c r="D53" t="s">
        <v>1832</v>
      </c>
      <c r="E53" t="s">
        <v>1833</v>
      </c>
      <c r="F53" t="s">
        <v>1834</v>
      </c>
      <c r="G53" s="4">
        <v>18</v>
      </c>
    </row>
    <row r="54" spans="2:7" x14ac:dyDescent="0.2">
      <c r="E54" t="s">
        <v>1848</v>
      </c>
      <c r="F54" t="s">
        <v>1849</v>
      </c>
      <c r="G54" s="4">
        <v>34</v>
      </c>
    </row>
    <row r="55" spans="2:7" x14ac:dyDescent="0.2">
      <c r="D55" t="s">
        <v>1872</v>
      </c>
      <c r="E55" t="s">
        <v>1873</v>
      </c>
      <c r="F55" t="s">
        <v>1874</v>
      </c>
      <c r="G55" s="4">
        <v>31</v>
      </c>
    </row>
    <row r="56" spans="2:7" x14ac:dyDescent="0.2">
      <c r="C56" t="s">
        <v>1893</v>
      </c>
      <c r="D56" t="s">
        <v>1894</v>
      </c>
      <c r="E56" t="s">
        <v>1895</v>
      </c>
      <c r="F56" t="s">
        <v>1896</v>
      </c>
      <c r="G56" s="4">
        <v>3</v>
      </c>
    </row>
    <row r="57" spans="2:7" x14ac:dyDescent="0.2">
      <c r="E57" t="s">
        <v>1899</v>
      </c>
      <c r="F57" t="s">
        <v>1900</v>
      </c>
      <c r="G57" s="4">
        <v>34</v>
      </c>
    </row>
    <row r="58" spans="2:7" x14ac:dyDescent="0.2">
      <c r="E58" t="s">
        <v>1936</v>
      </c>
      <c r="F58" t="s">
        <v>1937</v>
      </c>
      <c r="G58" s="4">
        <v>2</v>
      </c>
    </row>
    <row r="59" spans="2:7" x14ac:dyDescent="0.2">
      <c r="E59" t="s">
        <v>1940</v>
      </c>
      <c r="F59" t="s">
        <v>1941</v>
      </c>
      <c r="G59" s="4">
        <v>23</v>
      </c>
    </row>
    <row r="60" spans="2:7" x14ac:dyDescent="0.2">
      <c r="D60" t="s">
        <v>1962</v>
      </c>
      <c r="E60" t="s">
        <v>1963</v>
      </c>
      <c r="F60" t="s">
        <v>1964</v>
      </c>
      <c r="G60" s="4">
        <v>55</v>
      </c>
    </row>
    <row r="61" spans="2:7" x14ac:dyDescent="0.2">
      <c r="E61" t="s">
        <v>1998</v>
      </c>
      <c r="F61" t="s">
        <v>1999</v>
      </c>
      <c r="G61" s="4">
        <v>13</v>
      </c>
    </row>
    <row r="62" spans="2:7" x14ac:dyDescent="0.2">
      <c r="E62" t="s">
        <v>2028</v>
      </c>
      <c r="F62" t="s">
        <v>2029</v>
      </c>
      <c r="G62" s="4">
        <v>7</v>
      </c>
    </row>
    <row r="63" spans="2:7" x14ac:dyDescent="0.2">
      <c r="E63" t="s">
        <v>2035</v>
      </c>
      <c r="F63" t="s">
        <v>2036</v>
      </c>
      <c r="G63" s="4">
        <v>28</v>
      </c>
    </row>
    <row r="64" spans="2:7" x14ac:dyDescent="0.2">
      <c r="E64" t="s">
        <v>2079</v>
      </c>
      <c r="F64" t="s">
        <v>2080</v>
      </c>
      <c r="G64" s="4">
        <v>25</v>
      </c>
    </row>
    <row r="65" spans="3:7" x14ac:dyDescent="0.2">
      <c r="C65" t="s">
        <v>1109</v>
      </c>
      <c r="D65" t="s">
        <v>1110</v>
      </c>
      <c r="E65" t="s">
        <v>1111</v>
      </c>
      <c r="F65" t="s">
        <v>1112</v>
      </c>
      <c r="G65" s="4">
        <v>51</v>
      </c>
    </row>
    <row r="66" spans="3:7" x14ac:dyDescent="0.2">
      <c r="E66" t="s">
        <v>1131</v>
      </c>
      <c r="F66" t="s">
        <v>1132</v>
      </c>
      <c r="G66" s="4">
        <v>61</v>
      </c>
    </row>
    <row r="67" spans="3:7" x14ac:dyDescent="0.2">
      <c r="E67" t="s">
        <v>1192</v>
      </c>
      <c r="F67" t="s">
        <v>1193</v>
      </c>
      <c r="G67" s="4">
        <v>6</v>
      </c>
    </row>
    <row r="68" spans="3:7" x14ac:dyDescent="0.2">
      <c r="E68" t="s">
        <v>1198</v>
      </c>
      <c r="F68" t="s">
        <v>1199</v>
      </c>
      <c r="G68" s="4">
        <v>56</v>
      </c>
    </row>
    <row r="69" spans="3:7" x14ac:dyDescent="0.2">
      <c r="D69" t="s">
        <v>1234</v>
      </c>
      <c r="E69" t="s">
        <v>1235</v>
      </c>
      <c r="F69" t="s">
        <v>1236</v>
      </c>
      <c r="G69" s="4">
        <v>85</v>
      </c>
    </row>
    <row r="70" spans="3:7" x14ac:dyDescent="0.2">
      <c r="E70" t="s">
        <v>1279</v>
      </c>
      <c r="F70" t="s">
        <v>1280</v>
      </c>
      <c r="G70" s="4">
        <v>25</v>
      </c>
    </row>
    <row r="71" spans="3:7" x14ac:dyDescent="0.2">
      <c r="E71" t="s">
        <v>1291</v>
      </c>
      <c r="F71" t="s">
        <v>1292</v>
      </c>
      <c r="G71" s="4">
        <v>11</v>
      </c>
    </row>
    <row r="72" spans="3:7" x14ac:dyDescent="0.2">
      <c r="E72" t="s">
        <v>1305</v>
      </c>
      <c r="F72" t="s">
        <v>1306</v>
      </c>
      <c r="G72" s="4">
        <v>29</v>
      </c>
    </row>
    <row r="73" spans="3:7" x14ac:dyDescent="0.2">
      <c r="E73" t="s">
        <v>1327</v>
      </c>
      <c r="F73" t="s">
        <v>1328</v>
      </c>
      <c r="G73" s="4">
        <v>32</v>
      </c>
    </row>
    <row r="74" spans="3:7" x14ac:dyDescent="0.2">
      <c r="E74" t="s">
        <v>1346</v>
      </c>
      <c r="F74" t="s">
        <v>1347</v>
      </c>
      <c r="G74" s="4">
        <v>28</v>
      </c>
    </row>
    <row r="75" spans="3:7" x14ac:dyDescent="0.2">
      <c r="E75" t="s">
        <v>1385</v>
      </c>
      <c r="F75" t="s">
        <v>1386</v>
      </c>
      <c r="G75" s="4">
        <v>9</v>
      </c>
    </row>
    <row r="76" spans="3:7" x14ac:dyDescent="0.2">
      <c r="D76" t="s">
        <v>1397</v>
      </c>
      <c r="E76" t="s">
        <v>1398</v>
      </c>
      <c r="F76" t="s">
        <v>1399</v>
      </c>
      <c r="G76" s="4">
        <v>20</v>
      </c>
    </row>
    <row r="77" spans="3:7" x14ac:dyDescent="0.2">
      <c r="E77" t="s">
        <v>1417</v>
      </c>
      <c r="F77" t="s">
        <v>1418</v>
      </c>
      <c r="G77" s="4">
        <v>45</v>
      </c>
    </row>
    <row r="78" spans="3:7" x14ac:dyDescent="0.2">
      <c r="E78" t="s">
        <v>1454</v>
      </c>
      <c r="F78" t="s">
        <v>1455</v>
      </c>
      <c r="G78" s="4">
        <v>16</v>
      </c>
    </row>
    <row r="79" spans="3:7" x14ac:dyDescent="0.2">
      <c r="E79" t="s">
        <v>1470</v>
      </c>
      <c r="F79" t="s">
        <v>1471</v>
      </c>
      <c r="G79" s="4">
        <v>32</v>
      </c>
    </row>
    <row r="80" spans="3:7" x14ac:dyDescent="0.2">
      <c r="C80" t="s">
        <v>1495</v>
      </c>
      <c r="D80" t="s">
        <v>1496</v>
      </c>
      <c r="E80" t="s">
        <v>1497</v>
      </c>
      <c r="F80" t="s">
        <v>1498</v>
      </c>
      <c r="G80" s="4">
        <v>36</v>
      </c>
    </row>
    <row r="81" spans="1:7" x14ac:dyDescent="0.2">
      <c r="E81" t="s">
        <v>1522</v>
      </c>
      <c r="F81" t="s">
        <v>1523</v>
      </c>
      <c r="G81" s="4">
        <v>98</v>
      </c>
    </row>
    <row r="82" spans="1:7" x14ac:dyDescent="0.2">
      <c r="D82" t="s">
        <v>1637</v>
      </c>
      <c r="E82" t="s">
        <v>1638</v>
      </c>
      <c r="F82" t="s">
        <v>1639</v>
      </c>
      <c r="G82" s="4">
        <v>21</v>
      </c>
    </row>
    <row r="83" spans="1:7" x14ac:dyDescent="0.2">
      <c r="E83" t="s">
        <v>1655</v>
      </c>
      <c r="F83" t="s">
        <v>1656</v>
      </c>
      <c r="G83" s="4">
        <v>11</v>
      </c>
    </row>
    <row r="84" spans="1:7" x14ac:dyDescent="0.2">
      <c r="D84" t="s">
        <v>1667</v>
      </c>
      <c r="E84" t="s">
        <v>1668</v>
      </c>
      <c r="F84" t="s">
        <v>1669</v>
      </c>
      <c r="G84" s="4">
        <v>4</v>
      </c>
    </row>
    <row r="85" spans="1:7" x14ac:dyDescent="0.2">
      <c r="E85" t="s">
        <v>1672</v>
      </c>
      <c r="F85" t="s">
        <v>1673</v>
      </c>
      <c r="G85" s="4">
        <v>28</v>
      </c>
    </row>
    <row r="86" spans="1:7" x14ac:dyDescent="0.2">
      <c r="E86" t="s">
        <v>1702</v>
      </c>
      <c r="F86" t="s">
        <v>1703</v>
      </c>
      <c r="G86" s="4">
        <v>18</v>
      </c>
    </row>
    <row r="87" spans="1:7" x14ac:dyDescent="0.2">
      <c r="D87" t="s">
        <v>1714</v>
      </c>
      <c r="E87" t="s">
        <v>1715</v>
      </c>
      <c r="F87" t="s">
        <v>1716</v>
      </c>
      <c r="G87" s="4">
        <v>12</v>
      </c>
    </row>
    <row r="88" spans="1:7" x14ac:dyDescent="0.2">
      <c r="A88" t="s">
        <v>2096</v>
      </c>
      <c r="B88" t="s">
        <v>2097</v>
      </c>
      <c r="C88" t="s">
        <v>2718</v>
      </c>
      <c r="D88" t="s">
        <v>2719</v>
      </c>
      <c r="E88" t="s">
        <v>2720</v>
      </c>
      <c r="F88" t="s">
        <v>2721</v>
      </c>
      <c r="G88" s="4">
        <v>11</v>
      </c>
    </row>
    <row r="89" spans="1:7" x14ac:dyDescent="0.2">
      <c r="D89" t="s">
        <v>2730</v>
      </c>
      <c r="E89" t="s">
        <v>2731</v>
      </c>
      <c r="F89" t="s">
        <v>2732</v>
      </c>
      <c r="G89" s="4">
        <v>72</v>
      </c>
    </row>
    <row r="90" spans="1:7" x14ac:dyDescent="0.2">
      <c r="E90" t="s">
        <v>2818</v>
      </c>
      <c r="F90" t="s">
        <v>2819</v>
      </c>
      <c r="G90" s="4">
        <v>45</v>
      </c>
    </row>
    <row r="91" spans="1:7" x14ac:dyDescent="0.2">
      <c r="D91" t="s">
        <v>2883</v>
      </c>
      <c r="E91" t="s">
        <v>2884</v>
      </c>
      <c r="F91" t="s">
        <v>2885</v>
      </c>
      <c r="G91" s="4">
        <v>41</v>
      </c>
    </row>
    <row r="92" spans="1:7" x14ac:dyDescent="0.2">
      <c r="D92" t="s">
        <v>2953</v>
      </c>
      <c r="E92" t="s">
        <v>2954</v>
      </c>
      <c r="F92" t="s">
        <v>2955</v>
      </c>
      <c r="G92" s="4">
        <v>11</v>
      </c>
    </row>
    <row r="93" spans="1:7" x14ac:dyDescent="0.2">
      <c r="C93" t="s">
        <v>2971</v>
      </c>
      <c r="D93" t="s">
        <v>2972</v>
      </c>
      <c r="E93" t="s">
        <v>2973</v>
      </c>
      <c r="F93" t="s">
        <v>2974</v>
      </c>
      <c r="G93" s="4">
        <v>53</v>
      </c>
    </row>
    <row r="94" spans="1:7" x14ac:dyDescent="0.2">
      <c r="E94" t="s">
        <v>3038</v>
      </c>
      <c r="F94" t="s">
        <v>3039</v>
      </c>
      <c r="G94" s="4">
        <v>9</v>
      </c>
    </row>
    <row r="95" spans="1:7" x14ac:dyDescent="0.2">
      <c r="E95" t="s">
        <v>3045</v>
      </c>
      <c r="F95" t="s">
        <v>3046</v>
      </c>
      <c r="G95" s="4">
        <v>35</v>
      </c>
    </row>
    <row r="96" spans="1:7" x14ac:dyDescent="0.2">
      <c r="D96" t="s">
        <v>3073</v>
      </c>
      <c r="E96" t="s">
        <v>3074</v>
      </c>
      <c r="F96" t="s">
        <v>3075</v>
      </c>
      <c r="G96" s="4">
        <v>17</v>
      </c>
    </row>
    <row r="97" spans="3:7" x14ac:dyDescent="0.2">
      <c r="D97" t="s">
        <v>3093</v>
      </c>
      <c r="E97" t="s">
        <v>3094</v>
      </c>
      <c r="F97" t="s">
        <v>3095</v>
      </c>
      <c r="G97" s="4">
        <v>35</v>
      </c>
    </row>
    <row r="98" spans="3:7" x14ac:dyDescent="0.2">
      <c r="D98" t="s">
        <v>3153</v>
      </c>
      <c r="E98" t="s">
        <v>3154</v>
      </c>
      <c r="F98" t="s">
        <v>3155</v>
      </c>
      <c r="G98" s="4">
        <v>21</v>
      </c>
    </row>
    <row r="99" spans="3:7" x14ac:dyDescent="0.2">
      <c r="C99" t="s">
        <v>3190</v>
      </c>
      <c r="D99" t="s">
        <v>3191</v>
      </c>
      <c r="E99" t="s">
        <v>3192</v>
      </c>
      <c r="F99" t="s">
        <v>3193</v>
      </c>
      <c r="G99" s="4">
        <v>6</v>
      </c>
    </row>
    <row r="100" spans="3:7" x14ac:dyDescent="0.2">
      <c r="D100" t="s">
        <v>3204</v>
      </c>
      <c r="E100" t="s">
        <v>3205</v>
      </c>
      <c r="F100" t="s">
        <v>3206</v>
      </c>
      <c r="G100" s="4">
        <v>15</v>
      </c>
    </row>
    <row r="101" spans="3:7" x14ac:dyDescent="0.2">
      <c r="E101" t="s">
        <v>3249</v>
      </c>
      <c r="F101" t="s">
        <v>3250</v>
      </c>
      <c r="G101" s="4">
        <v>35</v>
      </c>
    </row>
    <row r="102" spans="3:7" x14ac:dyDescent="0.2">
      <c r="D102" t="s">
        <v>3271</v>
      </c>
      <c r="E102" t="s">
        <v>3272</v>
      </c>
      <c r="F102" t="s">
        <v>3273</v>
      </c>
      <c r="G102" s="4">
        <v>56</v>
      </c>
    </row>
    <row r="103" spans="3:7" x14ac:dyDescent="0.2">
      <c r="C103" t="s">
        <v>2233</v>
      </c>
      <c r="D103" t="s">
        <v>2234</v>
      </c>
      <c r="E103" t="s">
        <v>2235</v>
      </c>
      <c r="F103" t="s">
        <v>2236</v>
      </c>
      <c r="G103" s="4">
        <v>41</v>
      </c>
    </row>
    <row r="104" spans="3:7" x14ac:dyDescent="0.2">
      <c r="E104" t="s">
        <v>2259</v>
      </c>
      <c r="F104" t="s">
        <v>2260</v>
      </c>
      <c r="G104" s="4">
        <v>87</v>
      </c>
    </row>
    <row r="105" spans="3:7" x14ac:dyDescent="0.2">
      <c r="D105" t="s">
        <v>2344</v>
      </c>
      <c r="E105" t="s">
        <v>2345</v>
      </c>
      <c r="F105" t="s">
        <v>2346</v>
      </c>
      <c r="G105" s="4">
        <v>21</v>
      </c>
    </row>
    <row r="106" spans="3:7" x14ac:dyDescent="0.2">
      <c r="D106" t="s">
        <v>2367</v>
      </c>
      <c r="E106" t="s">
        <v>2368</v>
      </c>
      <c r="F106" t="s">
        <v>2369</v>
      </c>
      <c r="G106" s="4">
        <v>66</v>
      </c>
    </row>
    <row r="107" spans="3:7" x14ac:dyDescent="0.2">
      <c r="D107" t="s">
        <v>2427</v>
      </c>
      <c r="E107" t="s">
        <v>2428</v>
      </c>
      <c r="F107" t="s">
        <v>2429</v>
      </c>
      <c r="G107" s="4">
        <v>17</v>
      </c>
    </row>
    <row r="108" spans="3:7" x14ac:dyDescent="0.2">
      <c r="C108" t="s">
        <v>2466</v>
      </c>
      <c r="D108" t="s">
        <v>2467</v>
      </c>
      <c r="E108" t="s">
        <v>2468</v>
      </c>
      <c r="F108" t="s">
        <v>2469</v>
      </c>
      <c r="G108" s="4">
        <v>36</v>
      </c>
    </row>
    <row r="109" spans="3:7" x14ac:dyDescent="0.2">
      <c r="E109" t="s">
        <v>2497</v>
      </c>
      <c r="F109" t="s">
        <v>2498</v>
      </c>
      <c r="G109" s="4">
        <v>20</v>
      </c>
    </row>
    <row r="110" spans="3:7" x14ac:dyDescent="0.2">
      <c r="D110" t="s">
        <v>2513</v>
      </c>
      <c r="E110" t="s">
        <v>2514</v>
      </c>
      <c r="F110" t="s">
        <v>2515</v>
      </c>
      <c r="G110" s="4">
        <v>33</v>
      </c>
    </row>
    <row r="111" spans="3:7" x14ac:dyDescent="0.2">
      <c r="E111" t="s">
        <v>2563</v>
      </c>
      <c r="F111" t="s">
        <v>2564</v>
      </c>
      <c r="G111" s="4">
        <v>31</v>
      </c>
    </row>
    <row r="112" spans="3:7" x14ac:dyDescent="0.2">
      <c r="D112" t="s">
        <v>2573</v>
      </c>
      <c r="E112" t="s">
        <v>2574</v>
      </c>
      <c r="F112" t="s">
        <v>2575</v>
      </c>
      <c r="G112" s="4">
        <v>111</v>
      </c>
    </row>
    <row r="113" spans="2:7" x14ac:dyDescent="0.2">
      <c r="E113" t="s">
        <v>2684</v>
      </c>
      <c r="F113" t="s">
        <v>2685</v>
      </c>
      <c r="G113" s="4">
        <v>36</v>
      </c>
    </row>
    <row r="114" spans="2:7" x14ac:dyDescent="0.2">
      <c r="C114" t="s">
        <v>2098</v>
      </c>
      <c r="D114" t="s">
        <v>2108</v>
      </c>
      <c r="E114" t="s">
        <v>2109</v>
      </c>
      <c r="F114" t="s">
        <v>2110</v>
      </c>
      <c r="G114" s="4">
        <v>54</v>
      </c>
    </row>
    <row r="115" spans="2:7" x14ac:dyDescent="0.2">
      <c r="D115" t="s">
        <v>2182</v>
      </c>
      <c r="E115" t="s">
        <v>2183</v>
      </c>
      <c r="F115" t="s">
        <v>2184</v>
      </c>
      <c r="G115" s="4">
        <v>15</v>
      </c>
    </row>
    <row r="116" spans="2:7" x14ac:dyDescent="0.2">
      <c r="B116" t="s">
        <v>3333</v>
      </c>
      <c r="C116" t="s">
        <v>3442</v>
      </c>
      <c r="D116" t="s">
        <v>3443</v>
      </c>
      <c r="E116" t="s">
        <v>3444</v>
      </c>
      <c r="F116" t="s">
        <v>3445</v>
      </c>
      <c r="G116" s="4">
        <v>15</v>
      </c>
    </row>
    <row r="117" spans="2:7" x14ac:dyDescent="0.2">
      <c r="E117" t="s">
        <v>3453</v>
      </c>
      <c r="F117" t="s">
        <v>3454</v>
      </c>
      <c r="G117" s="4">
        <v>6</v>
      </c>
    </row>
    <row r="118" spans="2:7" x14ac:dyDescent="0.2">
      <c r="E118" t="s">
        <v>3461</v>
      </c>
      <c r="F118" t="s">
        <v>3462</v>
      </c>
      <c r="G118" s="4">
        <v>6</v>
      </c>
    </row>
    <row r="119" spans="2:7" x14ac:dyDescent="0.2">
      <c r="D119" t="s">
        <v>3466</v>
      </c>
      <c r="E119" t="s">
        <v>3467</v>
      </c>
      <c r="F119" t="s">
        <v>3468</v>
      </c>
      <c r="G119" s="4">
        <v>62</v>
      </c>
    </row>
    <row r="120" spans="2:7" x14ac:dyDescent="0.2">
      <c r="E120" t="s">
        <v>3526</v>
      </c>
      <c r="F120" t="s">
        <v>3527</v>
      </c>
      <c r="G120" s="4">
        <v>27</v>
      </c>
    </row>
    <row r="121" spans="2:7" x14ac:dyDescent="0.2">
      <c r="E121" t="s">
        <v>3564</v>
      </c>
      <c r="F121" t="s">
        <v>3565</v>
      </c>
      <c r="G121" s="4">
        <v>25</v>
      </c>
    </row>
    <row r="122" spans="2:7" x14ac:dyDescent="0.2">
      <c r="E122" t="s">
        <v>3577</v>
      </c>
      <c r="F122" t="s">
        <v>3578</v>
      </c>
      <c r="G122" s="4">
        <v>47</v>
      </c>
    </row>
    <row r="123" spans="2:7" x14ac:dyDescent="0.2">
      <c r="D123" t="s">
        <v>3626</v>
      </c>
      <c r="E123" t="s">
        <v>3627</v>
      </c>
      <c r="F123" t="s">
        <v>3628</v>
      </c>
      <c r="G123" s="4">
        <v>47</v>
      </c>
    </row>
    <row r="124" spans="2:7" x14ac:dyDescent="0.2">
      <c r="E124" t="s">
        <v>3688</v>
      </c>
      <c r="F124" t="s">
        <v>3689</v>
      </c>
      <c r="G124" s="4">
        <v>46</v>
      </c>
    </row>
    <row r="125" spans="2:7" x14ac:dyDescent="0.2">
      <c r="E125" t="s">
        <v>3731</v>
      </c>
      <c r="F125" t="s">
        <v>3732</v>
      </c>
      <c r="G125" s="4">
        <v>11</v>
      </c>
    </row>
    <row r="126" spans="2:7" x14ac:dyDescent="0.2">
      <c r="C126" t="s">
        <v>3739</v>
      </c>
      <c r="D126" t="s">
        <v>3740</v>
      </c>
      <c r="E126" t="s">
        <v>3741</v>
      </c>
      <c r="F126" t="s">
        <v>3742</v>
      </c>
      <c r="G126" s="4">
        <v>14</v>
      </c>
    </row>
    <row r="127" spans="2:7" x14ac:dyDescent="0.2">
      <c r="D127" t="s">
        <v>3752</v>
      </c>
      <c r="E127" t="s">
        <v>3753</v>
      </c>
      <c r="F127" t="s">
        <v>3754</v>
      </c>
      <c r="G127" s="4">
        <v>120</v>
      </c>
    </row>
    <row r="128" spans="2:7" x14ac:dyDescent="0.2">
      <c r="E128" t="s">
        <v>3836</v>
      </c>
      <c r="F128" t="s">
        <v>3837</v>
      </c>
      <c r="G128" s="4">
        <v>45</v>
      </c>
    </row>
    <row r="129" spans="1:7" x14ac:dyDescent="0.2">
      <c r="E129" t="s">
        <v>3892</v>
      </c>
      <c r="F129" t="s">
        <v>3893</v>
      </c>
      <c r="G129" s="4">
        <v>6</v>
      </c>
    </row>
    <row r="130" spans="1:7" x14ac:dyDescent="0.2">
      <c r="C130" t="s">
        <v>3902</v>
      </c>
      <c r="D130" t="s">
        <v>3903</v>
      </c>
      <c r="E130" t="s">
        <v>3904</v>
      </c>
      <c r="F130" t="s">
        <v>3905</v>
      </c>
      <c r="G130" s="4">
        <v>6</v>
      </c>
    </row>
    <row r="131" spans="1:7" x14ac:dyDescent="0.2">
      <c r="D131" t="s">
        <v>3920</v>
      </c>
      <c r="E131" t="s">
        <v>3921</v>
      </c>
      <c r="F131" t="s">
        <v>3922</v>
      </c>
      <c r="G131" s="4">
        <v>27</v>
      </c>
    </row>
    <row r="132" spans="1:7" x14ac:dyDescent="0.2">
      <c r="C132" t="s">
        <v>3334</v>
      </c>
      <c r="D132" t="s">
        <v>3335</v>
      </c>
      <c r="E132" t="s">
        <v>3336</v>
      </c>
      <c r="F132" t="s">
        <v>3337</v>
      </c>
      <c r="G132" s="4">
        <v>28</v>
      </c>
    </row>
    <row r="133" spans="1:7" x14ac:dyDescent="0.2">
      <c r="E133" t="s">
        <v>3361</v>
      </c>
      <c r="F133" t="s">
        <v>3362</v>
      </c>
      <c r="G133" s="4">
        <v>11</v>
      </c>
    </row>
    <row r="134" spans="1:7" x14ac:dyDescent="0.2">
      <c r="E134" t="s">
        <v>3369</v>
      </c>
      <c r="F134" t="s">
        <v>3370</v>
      </c>
      <c r="G134" s="4">
        <v>17</v>
      </c>
    </row>
    <row r="135" spans="1:7" x14ac:dyDescent="0.2">
      <c r="E135" t="s">
        <v>3383</v>
      </c>
      <c r="F135" t="s">
        <v>3384</v>
      </c>
      <c r="G135" s="4">
        <v>15</v>
      </c>
    </row>
    <row r="136" spans="1:7" x14ac:dyDescent="0.2">
      <c r="E136" t="s">
        <v>3393</v>
      </c>
      <c r="F136" t="s">
        <v>3394</v>
      </c>
      <c r="G136" s="4">
        <v>4</v>
      </c>
    </row>
    <row r="137" spans="1:7" x14ac:dyDescent="0.2">
      <c r="D137" t="s">
        <v>3399</v>
      </c>
      <c r="E137" t="s">
        <v>3400</v>
      </c>
      <c r="F137" t="s">
        <v>3401</v>
      </c>
      <c r="G137" s="4">
        <v>12</v>
      </c>
    </row>
    <row r="138" spans="1:7" x14ac:dyDescent="0.2">
      <c r="D138" t="s">
        <v>3409</v>
      </c>
      <c r="E138" t="s">
        <v>3410</v>
      </c>
      <c r="F138" t="s">
        <v>3411</v>
      </c>
      <c r="G138" s="4">
        <v>51</v>
      </c>
    </row>
    <row r="139" spans="1:7" x14ac:dyDescent="0.2">
      <c r="E139" t="s">
        <v>3436</v>
      </c>
      <c r="F139" t="s">
        <v>3437</v>
      </c>
      <c r="G139" s="4">
        <v>8</v>
      </c>
    </row>
    <row r="140" spans="1:7" x14ac:dyDescent="0.2">
      <c r="A140" t="s">
        <v>3937</v>
      </c>
      <c r="G140" s="4">
        <v>3727</v>
      </c>
    </row>
  </sheetData>
  <phoneticPr fontId="2" type="noConversion"/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4667"/>
  <sheetViews>
    <sheetView topLeftCell="A6" workbookViewId="0">
      <selection activeCell="F9" sqref="F9"/>
    </sheetView>
  </sheetViews>
  <sheetFormatPr defaultRowHeight="12.75" x14ac:dyDescent="0.2"/>
  <cols>
    <col min="23" max="23" width="19.5703125" bestFit="1" customWidth="1"/>
  </cols>
  <sheetData>
    <row r="1" spans="1:23" x14ac:dyDescent="0.2">
      <c r="A1" t="s">
        <v>0</v>
      </c>
    </row>
    <row r="3" spans="1:23" ht="13.5" x14ac:dyDescent="0.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s="2" t="s">
        <v>3935</v>
      </c>
    </row>
    <row r="4" spans="1:23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H4" t="s">
        <v>30</v>
      </c>
      <c r="I4" t="s">
        <v>30</v>
      </c>
      <c r="J4" t="s">
        <v>31</v>
      </c>
      <c r="K4" t="s">
        <v>32</v>
      </c>
      <c r="L4" t="s">
        <v>32</v>
      </c>
      <c r="M4" t="s">
        <v>33</v>
      </c>
      <c r="N4" t="s">
        <v>33</v>
      </c>
      <c r="O4" t="s">
        <v>33</v>
      </c>
      <c r="P4" t="s">
        <v>34</v>
      </c>
      <c r="Q4" t="s">
        <v>35</v>
      </c>
      <c r="R4" t="s">
        <v>36</v>
      </c>
      <c r="S4" t="s">
        <v>30</v>
      </c>
      <c r="T4" t="s">
        <v>37</v>
      </c>
      <c r="U4" t="s">
        <v>38</v>
      </c>
      <c r="V4" t="s">
        <v>39</v>
      </c>
      <c r="W4" s="1">
        <v>3</v>
      </c>
    </row>
    <row r="5" spans="1:23" x14ac:dyDescent="0.2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30</v>
      </c>
      <c r="J5" t="s">
        <v>31</v>
      </c>
      <c r="K5" t="s">
        <v>32</v>
      </c>
      <c r="L5" t="s">
        <v>32</v>
      </c>
      <c r="M5" t="s">
        <v>33</v>
      </c>
      <c r="N5" t="s">
        <v>33</v>
      </c>
      <c r="O5" t="s">
        <v>33</v>
      </c>
      <c r="P5" t="s">
        <v>34</v>
      </c>
      <c r="Q5" t="s">
        <v>35</v>
      </c>
      <c r="R5" t="s">
        <v>36</v>
      </c>
      <c r="S5" t="s">
        <v>30</v>
      </c>
      <c r="T5" t="s">
        <v>37</v>
      </c>
      <c r="U5" t="s">
        <v>38</v>
      </c>
      <c r="V5" t="s">
        <v>40</v>
      </c>
      <c r="W5" s="1">
        <v>2884800</v>
      </c>
    </row>
    <row r="6" spans="1:23" x14ac:dyDescent="0.2">
      <c r="A6" t="s">
        <v>23</v>
      </c>
      <c r="B6" t="s">
        <v>24</v>
      </c>
      <c r="C6" t="s">
        <v>25</v>
      </c>
      <c r="D6" t="s">
        <v>26</v>
      </c>
      <c r="E6" t="s">
        <v>27</v>
      </c>
      <c r="F6" t="s">
        <v>28</v>
      </c>
      <c r="G6" t="s">
        <v>29</v>
      </c>
      <c r="H6" t="s">
        <v>30</v>
      </c>
      <c r="I6" t="s">
        <v>30</v>
      </c>
      <c r="J6" t="s">
        <v>41</v>
      </c>
      <c r="K6" t="s">
        <v>32</v>
      </c>
      <c r="L6" t="s">
        <v>32</v>
      </c>
      <c r="M6" t="s">
        <v>33</v>
      </c>
      <c r="N6" t="s">
        <v>33</v>
      </c>
      <c r="O6" t="s">
        <v>33</v>
      </c>
      <c r="P6" t="s">
        <v>42</v>
      </c>
      <c r="Q6" t="s">
        <v>43</v>
      </c>
      <c r="R6" t="s">
        <v>44</v>
      </c>
      <c r="S6" t="s">
        <v>30</v>
      </c>
      <c r="T6" t="s">
        <v>45</v>
      </c>
      <c r="U6" t="s">
        <v>46</v>
      </c>
      <c r="V6" t="s">
        <v>39</v>
      </c>
      <c r="W6" s="1">
        <v>2</v>
      </c>
    </row>
    <row r="7" spans="1:23" x14ac:dyDescent="0.2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30</v>
      </c>
      <c r="J7" t="s">
        <v>41</v>
      </c>
      <c r="K7" t="s">
        <v>32</v>
      </c>
      <c r="L7" t="s">
        <v>32</v>
      </c>
      <c r="M7" t="s">
        <v>33</v>
      </c>
      <c r="N7" t="s">
        <v>33</v>
      </c>
      <c r="O7" t="s">
        <v>33</v>
      </c>
      <c r="P7" t="s">
        <v>42</v>
      </c>
      <c r="Q7" t="s">
        <v>43</v>
      </c>
      <c r="R7" t="s">
        <v>44</v>
      </c>
      <c r="S7" t="s">
        <v>30</v>
      </c>
      <c r="T7" t="s">
        <v>45</v>
      </c>
      <c r="U7" t="s">
        <v>46</v>
      </c>
      <c r="V7" t="s">
        <v>40</v>
      </c>
      <c r="W7" s="1">
        <v>2336000</v>
      </c>
    </row>
    <row r="8" spans="1:23" x14ac:dyDescent="0.2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30</v>
      </c>
      <c r="J8" t="s">
        <v>41</v>
      </c>
      <c r="K8" t="s">
        <v>32</v>
      </c>
      <c r="L8" t="s">
        <v>32</v>
      </c>
      <c r="M8" t="s">
        <v>33</v>
      </c>
      <c r="N8" t="s">
        <v>33</v>
      </c>
      <c r="O8" t="s">
        <v>33</v>
      </c>
      <c r="P8" t="s">
        <v>42</v>
      </c>
      <c r="Q8" t="s">
        <v>43</v>
      </c>
      <c r="S8" t="s">
        <v>30</v>
      </c>
      <c r="T8" t="s">
        <v>47</v>
      </c>
      <c r="U8" t="s">
        <v>48</v>
      </c>
      <c r="V8" t="s">
        <v>39</v>
      </c>
      <c r="W8" s="1">
        <v>4</v>
      </c>
    </row>
    <row r="9" spans="1:23" x14ac:dyDescent="0.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29</v>
      </c>
      <c r="H9" t="s">
        <v>30</v>
      </c>
      <c r="I9" t="s">
        <v>30</v>
      </c>
      <c r="J9" t="s">
        <v>41</v>
      </c>
      <c r="K9" t="s">
        <v>32</v>
      </c>
      <c r="L9" t="s">
        <v>32</v>
      </c>
      <c r="M9" t="s">
        <v>33</v>
      </c>
      <c r="N9" t="s">
        <v>33</v>
      </c>
      <c r="O9" t="s">
        <v>33</v>
      </c>
      <c r="P9" t="s">
        <v>42</v>
      </c>
      <c r="Q9" t="s">
        <v>43</v>
      </c>
      <c r="S9" t="s">
        <v>30</v>
      </c>
      <c r="T9" t="s">
        <v>47</v>
      </c>
      <c r="U9" t="s">
        <v>48</v>
      </c>
      <c r="V9" t="s">
        <v>40</v>
      </c>
      <c r="W9" s="1">
        <v>4031600</v>
      </c>
    </row>
    <row r="10" spans="1:23" x14ac:dyDescent="0.2">
      <c r="A10" t="s">
        <v>23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 t="s">
        <v>49</v>
      </c>
      <c r="H10" t="s">
        <v>30</v>
      </c>
      <c r="I10" t="s">
        <v>30</v>
      </c>
      <c r="J10" t="s">
        <v>31</v>
      </c>
      <c r="K10" t="s">
        <v>32</v>
      </c>
      <c r="L10" t="s">
        <v>32</v>
      </c>
      <c r="M10" t="s">
        <v>33</v>
      </c>
      <c r="N10" t="s">
        <v>33</v>
      </c>
      <c r="O10" t="s">
        <v>33</v>
      </c>
      <c r="P10" t="s">
        <v>42</v>
      </c>
      <c r="Q10" t="s">
        <v>43</v>
      </c>
      <c r="S10" t="s">
        <v>30</v>
      </c>
      <c r="T10" t="s">
        <v>50</v>
      </c>
      <c r="U10" t="s">
        <v>51</v>
      </c>
      <c r="V10" t="s">
        <v>39</v>
      </c>
      <c r="W10" s="1">
        <v>1</v>
      </c>
    </row>
    <row r="11" spans="1:23" x14ac:dyDescent="0.2">
      <c r="A11" t="s">
        <v>23</v>
      </c>
      <c r="B11" t="s">
        <v>24</v>
      </c>
      <c r="C11" t="s">
        <v>25</v>
      </c>
      <c r="D11" t="s">
        <v>26</v>
      </c>
      <c r="E11" t="s">
        <v>27</v>
      </c>
      <c r="F11" t="s">
        <v>28</v>
      </c>
      <c r="G11" t="s">
        <v>49</v>
      </c>
      <c r="H11" t="s">
        <v>30</v>
      </c>
      <c r="I11" t="s">
        <v>30</v>
      </c>
      <c r="J11" t="s">
        <v>31</v>
      </c>
      <c r="K11" t="s">
        <v>32</v>
      </c>
      <c r="L11" t="s">
        <v>32</v>
      </c>
      <c r="M11" t="s">
        <v>33</v>
      </c>
      <c r="N11" t="s">
        <v>33</v>
      </c>
      <c r="O11" t="s">
        <v>33</v>
      </c>
      <c r="P11" t="s">
        <v>42</v>
      </c>
      <c r="Q11" t="s">
        <v>43</v>
      </c>
      <c r="S11" t="s">
        <v>30</v>
      </c>
      <c r="T11" t="s">
        <v>50</v>
      </c>
      <c r="U11" t="s">
        <v>51</v>
      </c>
      <c r="V11" t="s">
        <v>40</v>
      </c>
      <c r="W11" s="1">
        <v>705000</v>
      </c>
    </row>
    <row r="12" spans="1:23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t="s">
        <v>49</v>
      </c>
      <c r="H12" t="s">
        <v>30</v>
      </c>
      <c r="I12" t="s">
        <v>30</v>
      </c>
      <c r="J12" t="s">
        <v>31</v>
      </c>
      <c r="K12" t="s">
        <v>32</v>
      </c>
      <c r="L12" t="s">
        <v>32</v>
      </c>
      <c r="M12" t="s">
        <v>33</v>
      </c>
      <c r="P12" t="s">
        <v>34</v>
      </c>
      <c r="Q12" t="s">
        <v>35</v>
      </c>
      <c r="S12" t="s">
        <v>52</v>
      </c>
      <c r="T12" t="s">
        <v>50</v>
      </c>
      <c r="U12" t="s">
        <v>53</v>
      </c>
      <c r="V12" t="s">
        <v>39</v>
      </c>
      <c r="W12" s="1">
        <v>0</v>
      </c>
    </row>
    <row r="13" spans="1:23" x14ac:dyDescent="0.2">
      <c r="A13" t="s">
        <v>23</v>
      </c>
      <c r="B13" t="s">
        <v>24</v>
      </c>
      <c r="C13" t="s">
        <v>25</v>
      </c>
      <c r="D13" t="s">
        <v>26</v>
      </c>
      <c r="E13" t="s">
        <v>27</v>
      </c>
      <c r="F13" t="s">
        <v>28</v>
      </c>
      <c r="G13" t="s">
        <v>49</v>
      </c>
      <c r="H13" t="s">
        <v>30</v>
      </c>
      <c r="I13" t="s">
        <v>30</v>
      </c>
      <c r="J13" t="s">
        <v>31</v>
      </c>
      <c r="K13" t="s">
        <v>32</v>
      </c>
      <c r="L13" t="s">
        <v>32</v>
      </c>
      <c r="M13" t="s">
        <v>33</v>
      </c>
      <c r="P13" t="s">
        <v>34</v>
      </c>
      <c r="Q13" t="s">
        <v>35</v>
      </c>
      <c r="S13" t="s">
        <v>52</v>
      </c>
      <c r="T13" t="s">
        <v>50</v>
      </c>
      <c r="U13" t="s">
        <v>53</v>
      </c>
      <c r="V13" t="s">
        <v>40</v>
      </c>
      <c r="W13" s="1">
        <v>705000</v>
      </c>
    </row>
    <row r="14" spans="1:23" x14ac:dyDescent="0.2">
      <c r="A14" t="s">
        <v>23</v>
      </c>
      <c r="B14" t="s">
        <v>24</v>
      </c>
      <c r="C14" t="s">
        <v>25</v>
      </c>
      <c r="D14" t="s">
        <v>26</v>
      </c>
      <c r="E14" t="s">
        <v>27</v>
      </c>
      <c r="F14" t="s">
        <v>28</v>
      </c>
      <c r="G14" t="s">
        <v>49</v>
      </c>
      <c r="H14" t="s">
        <v>30</v>
      </c>
      <c r="I14" t="s">
        <v>30</v>
      </c>
      <c r="J14" t="s">
        <v>41</v>
      </c>
      <c r="K14" t="s">
        <v>32</v>
      </c>
      <c r="L14" t="s">
        <v>32</v>
      </c>
      <c r="M14" t="s">
        <v>33</v>
      </c>
      <c r="P14" t="s">
        <v>34</v>
      </c>
      <c r="Q14" t="s">
        <v>35</v>
      </c>
      <c r="R14" t="s">
        <v>54</v>
      </c>
      <c r="S14" t="s">
        <v>30</v>
      </c>
      <c r="T14" t="s">
        <v>55</v>
      </c>
      <c r="U14" t="s">
        <v>56</v>
      </c>
      <c r="V14" t="s">
        <v>39</v>
      </c>
      <c r="W14" s="1">
        <v>2</v>
      </c>
    </row>
    <row r="15" spans="1:23" x14ac:dyDescent="0.2">
      <c r="A15" t="s">
        <v>23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 t="s">
        <v>49</v>
      </c>
      <c r="H15" t="s">
        <v>30</v>
      </c>
      <c r="I15" t="s">
        <v>30</v>
      </c>
      <c r="J15" t="s">
        <v>41</v>
      </c>
      <c r="K15" t="s">
        <v>32</v>
      </c>
      <c r="L15" t="s">
        <v>32</v>
      </c>
      <c r="M15" t="s">
        <v>33</v>
      </c>
      <c r="P15" t="s">
        <v>34</v>
      </c>
      <c r="Q15" t="s">
        <v>35</v>
      </c>
      <c r="R15" t="s">
        <v>54</v>
      </c>
      <c r="S15" t="s">
        <v>30</v>
      </c>
      <c r="T15" t="s">
        <v>55</v>
      </c>
      <c r="U15" t="s">
        <v>56</v>
      </c>
      <c r="V15" t="s">
        <v>40</v>
      </c>
      <c r="W15" s="1">
        <v>2840200</v>
      </c>
    </row>
    <row r="16" spans="1:23" x14ac:dyDescent="0.2">
      <c r="A16" t="s">
        <v>23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49</v>
      </c>
      <c r="H16" t="s">
        <v>30</v>
      </c>
      <c r="I16" t="s">
        <v>30</v>
      </c>
      <c r="J16" t="s">
        <v>57</v>
      </c>
      <c r="K16" t="s">
        <v>32</v>
      </c>
      <c r="L16" t="s">
        <v>32</v>
      </c>
      <c r="M16" t="s">
        <v>33</v>
      </c>
      <c r="N16" t="s">
        <v>33</v>
      </c>
      <c r="O16" t="s">
        <v>33</v>
      </c>
      <c r="P16" t="s">
        <v>34</v>
      </c>
      <c r="Q16" t="s">
        <v>35</v>
      </c>
      <c r="R16" t="s">
        <v>58</v>
      </c>
      <c r="S16" t="s">
        <v>30</v>
      </c>
      <c r="T16" t="s">
        <v>59</v>
      </c>
      <c r="U16" t="s">
        <v>60</v>
      </c>
      <c r="V16" t="s">
        <v>39</v>
      </c>
      <c r="W16" s="1">
        <v>3</v>
      </c>
    </row>
    <row r="17" spans="1:23" x14ac:dyDescent="0.2">
      <c r="A17" t="s">
        <v>23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 t="s">
        <v>49</v>
      </c>
      <c r="H17" t="s">
        <v>30</v>
      </c>
      <c r="I17" t="s">
        <v>30</v>
      </c>
      <c r="J17" t="s">
        <v>57</v>
      </c>
      <c r="K17" t="s">
        <v>32</v>
      </c>
      <c r="L17" t="s">
        <v>32</v>
      </c>
      <c r="M17" t="s">
        <v>33</v>
      </c>
      <c r="N17" t="s">
        <v>33</v>
      </c>
      <c r="O17" t="s">
        <v>33</v>
      </c>
      <c r="P17" t="s">
        <v>34</v>
      </c>
      <c r="Q17" t="s">
        <v>35</v>
      </c>
      <c r="R17" t="s">
        <v>58</v>
      </c>
      <c r="S17" t="s">
        <v>30</v>
      </c>
      <c r="T17" t="s">
        <v>59</v>
      </c>
      <c r="U17" t="s">
        <v>60</v>
      </c>
      <c r="V17" t="s">
        <v>40</v>
      </c>
      <c r="W17" s="1">
        <v>23397000</v>
      </c>
    </row>
    <row r="18" spans="1:23" x14ac:dyDescent="0.2">
      <c r="A18" t="s">
        <v>23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 t="s">
        <v>61</v>
      </c>
      <c r="H18" t="s">
        <v>52</v>
      </c>
      <c r="I18" t="s">
        <v>52</v>
      </c>
      <c r="J18" t="s">
        <v>41</v>
      </c>
      <c r="K18" t="s">
        <v>32</v>
      </c>
      <c r="L18" t="s">
        <v>32</v>
      </c>
      <c r="M18" t="s">
        <v>33</v>
      </c>
      <c r="N18" t="s">
        <v>33</v>
      </c>
      <c r="O18" t="s">
        <v>33</v>
      </c>
      <c r="P18" t="s">
        <v>42</v>
      </c>
      <c r="Q18" t="s">
        <v>43</v>
      </c>
      <c r="S18" t="s">
        <v>30</v>
      </c>
      <c r="T18" t="s">
        <v>62</v>
      </c>
      <c r="U18" t="s">
        <v>63</v>
      </c>
      <c r="V18" t="s">
        <v>39</v>
      </c>
      <c r="W18" s="1">
        <v>2</v>
      </c>
    </row>
    <row r="19" spans="1:23" x14ac:dyDescent="0.2">
      <c r="A19" t="s">
        <v>23</v>
      </c>
      <c r="B19" t="s">
        <v>24</v>
      </c>
      <c r="C19" t="s">
        <v>25</v>
      </c>
      <c r="D19" t="s">
        <v>26</v>
      </c>
      <c r="E19" t="s">
        <v>27</v>
      </c>
      <c r="F19" t="s">
        <v>28</v>
      </c>
      <c r="G19" t="s">
        <v>61</v>
      </c>
      <c r="H19" t="s">
        <v>52</v>
      </c>
      <c r="I19" t="s">
        <v>52</v>
      </c>
      <c r="J19" t="s">
        <v>41</v>
      </c>
      <c r="K19" t="s">
        <v>32</v>
      </c>
      <c r="L19" t="s">
        <v>32</v>
      </c>
      <c r="M19" t="s">
        <v>33</v>
      </c>
      <c r="N19" t="s">
        <v>33</v>
      </c>
      <c r="O19" t="s">
        <v>33</v>
      </c>
      <c r="P19" t="s">
        <v>42</v>
      </c>
      <c r="Q19" t="s">
        <v>43</v>
      </c>
      <c r="S19" t="s">
        <v>30</v>
      </c>
      <c r="T19" t="s">
        <v>62</v>
      </c>
      <c r="U19" t="s">
        <v>63</v>
      </c>
      <c r="V19" t="s">
        <v>40</v>
      </c>
      <c r="W19" s="1">
        <v>2455800</v>
      </c>
    </row>
    <row r="20" spans="1:23" x14ac:dyDescent="0.2">
      <c r="A20" t="s">
        <v>23</v>
      </c>
      <c r="B20" t="s">
        <v>24</v>
      </c>
      <c r="C20" t="s">
        <v>25</v>
      </c>
      <c r="D20" t="s">
        <v>26</v>
      </c>
      <c r="E20" t="s">
        <v>27</v>
      </c>
      <c r="F20" t="s">
        <v>28</v>
      </c>
      <c r="G20" t="s">
        <v>61</v>
      </c>
      <c r="H20" t="s">
        <v>52</v>
      </c>
      <c r="I20" t="s">
        <v>52</v>
      </c>
      <c r="J20" t="s">
        <v>41</v>
      </c>
      <c r="K20" t="s">
        <v>32</v>
      </c>
      <c r="L20" t="s">
        <v>32</v>
      </c>
      <c r="M20" t="s">
        <v>33</v>
      </c>
      <c r="P20" t="s">
        <v>42</v>
      </c>
      <c r="Q20" t="s">
        <v>43</v>
      </c>
      <c r="S20" t="s">
        <v>30</v>
      </c>
      <c r="T20" t="s">
        <v>62</v>
      </c>
      <c r="U20" t="s">
        <v>63</v>
      </c>
      <c r="V20" t="s">
        <v>39</v>
      </c>
      <c r="W20" s="1">
        <v>1</v>
      </c>
    </row>
    <row r="21" spans="1:23" x14ac:dyDescent="0.2">
      <c r="A21" t="s">
        <v>23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 t="s">
        <v>61</v>
      </c>
      <c r="H21" t="s">
        <v>52</v>
      </c>
      <c r="I21" t="s">
        <v>52</v>
      </c>
      <c r="J21" t="s">
        <v>41</v>
      </c>
      <c r="K21" t="s">
        <v>32</v>
      </c>
      <c r="L21" t="s">
        <v>32</v>
      </c>
      <c r="M21" t="s">
        <v>33</v>
      </c>
      <c r="P21" t="s">
        <v>42</v>
      </c>
      <c r="Q21" t="s">
        <v>43</v>
      </c>
      <c r="S21" t="s">
        <v>30</v>
      </c>
      <c r="T21" t="s">
        <v>62</v>
      </c>
      <c r="U21" t="s">
        <v>63</v>
      </c>
      <c r="V21" t="s">
        <v>40</v>
      </c>
      <c r="W21" s="1">
        <v>1227900</v>
      </c>
    </row>
    <row r="22" spans="1:23" x14ac:dyDescent="0.2">
      <c r="A22" t="s">
        <v>23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 t="s">
        <v>64</v>
      </c>
      <c r="H22" t="s">
        <v>30</v>
      </c>
      <c r="I22" t="s">
        <v>52</v>
      </c>
      <c r="J22" t="s">
        <v>31</v>
      </c>
      <c r="K22" t="s">
        <v>32</v>
      </c>
      <c r="L22" t="s">
        <v>32</v>
      </c>
      <c r="M22" t="s">
        <v>33</v>
      </c>
      <c r="P22" t="s">
        <v>42</v>
      </c>
      <c r="Q22" t="s">
        <v>43</v>
      </c>
      <c r="S22" t="s">
        <v>30</v>
      </c>
      <c r="T22" t="s">
        <v>65</v>
      </c>
      <c r="U22" t="s">
        <v>66</v>
      </c>
      <c r="V22" t="s">
        <v>39</v>
      </c>
      <c r="W22" s="1">
        <v>4</v>
      </c>
    </row>
    <row r="23" spans="1:23" x14ac:dyDescent="0.2">
      <c r="A23" t="s">
        <v>23</v>
      </c>
      <c r="B23" t="s">
        <v>24</v>
      </c>
      <c r="C23" t="s">
        <v>25</v>
      </c>
      <c r="D23" t="s">
        <v>26</v>
      </c>
      <c r="E23" t="s">
        <v>27</v>
      </c>
      <c r="F23" t="s">
        <v>28</v>
      </c>
      <c r="G23" t="s">
        <v>64</v>
      </c>
      <c r="H23" t="s">
        <v>30</v>
      </c>
      <c r="I23" t="s">
        <v>52</v>
      </c>
      <c r="J23" t="s">
        <v>31</v>
      </c>
      <c r="K23" t="s">
        <v>32</v>
      </c>
      <c r="L23" t="s">
        <v>32</v>
      </c>
      <c r="M23" t="s">
        <v>33</v>
      </c>
      <c r="P23" t="s">
        <v>42</v>
      </c>
      <c r="Q23" t="s">
        <v>43</v>
      </c>
      <c r="S23" t="s">
        <v>30</v>
      </c>
      <c r="T23" t="s">
        <v>65</v>
      </c>
      <c r="U23" t="s">
        <v>66</v>
      </c>
      <c r="V23" t="s">
        <v>40</v>
      </c>
      <c r="W23" s="1">
        <v>3767600</v>
      </c>
    </row>
    <row r="24" spans="1:23" x14ac:dyDescent="0.2">
      <c r="A24" t="s">
        <v>23</v>
      </c>
      <c r="B24" t="s">
        <v>24</v>
      </c>
      <c r="C24" t="s">
        <v>25</v>
      </c>
      <c r="D24" t="s">
        <v>26</v>
      </c>
      <c r="E24" t="s">
        <v>27</v>
      </c>
      <c r="F24" t="s">
        <v>28</v>
      </c>
      <c r="G24" t="s">
        <v>67</v>
      </c>
      <c r="H24" t="s">
        <v>30</v>
      </c>
      <c r="I24" t="s">
        <v>30</v>
      </c>
      <c r="J24" t="s">
        <v>41</v>
      </c>
      <c r="K24" t="s">
        <v>32</v>
      </c>
      <c r="L24" t="s">
        <v>32</v>
      </c>
      <c r="M24" t="s">
        <v>33</v>
      </c>
      <c r="N24" t="s">
        <v>33</v>
      </c>
      <c r="O24" t="s">
        <v>33</v>
      </c>
      <c r="P24" t="s">
        <v>34</v>
      </c>
      <c r="Q24" t="s">
        <v>35</v>
      </c>
      <c r="R24" t="s">
        <v>68</v>
      </c>
      <c r="S24" t="s">
        <v>30</v>
      </c>
      <c r="T24" t="s">
        <v>69</v>
      </c>
      <c r="U24" t="s">
        <v>70</v>
      </c>
      <c r="V24" t="s">
        <v>39</v>
      </c>
      <c r="W24" s="1">
        <v>2</v>
      </c>
    </row>
    <row r="25" spans="1:23" x14ac:dyDescent="0.2">
      <c r="A25" t="s">
        <v>23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 t="s">
        <v>67</v>
      </c>
      <c r="H25" t="s">
        <v>30</v>
      </c>
      <c r="I25" t="s">
        <v>30</v>
      </c>
      <c r="J25" t="s">
        <v>41</v>
      </c>
      <c r="K25" t="s">
        <v>32</v>
      </c>
      <c r="L25" t="s">
        <v>32</v>
      </c>
      <c r="M25" t="s">
        <v>33</v>
      </c>
      <c r="N25" t="s">
        <v>33</v>
      </c>
      <c r="O25" t="s">
        <v>33</v>
      </c>
      <c r="P25" t="s">
        <v>34</v>
      </c>
      <c r="Q25" t="s">
        <v>35</v>
      </c>
      <c r="R25" t="s">
        <v>68</v>
      </c>
      <c r="S25" t="s">
        <v>30</v>
      </c>
      <c r="T25" t="s">
        <v>69</v>
      </c>
      <c r="U25" t="s">
        <v>70</v>
      </c>
      <c r="V25" t="s">
        <v>40</v>
      </c>
      <c r="W25" s="1">
        <v>9310000</v>
      </c>
    </row>
    <row r="26" spans="1:23" x14ac:dyDescent="0.2">
      <c r="A26" t="s">
        <v>23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 t="s">
        <v>67</v>
      </c>
      <c r="H26" t="s">
        <v>30</v>
      </c>
      <c r="I26" t="s">
        <v>30</v>
      </c>
      <c r="J26" t="s">
        <v>41</v>
      </c>
      <c r="K26" t="s">
        <v>32</v>
      </c>
      <c r="L26" t="s">
        <v>32</v>
      </c>
      <c r="M26" t="s">
        <v>33</v>
      </c>
      <c r="N26" t="s">
        <v>33</v>
      </c>
      <c r="O26" t="s">
        <v>33</v>
      </c>
      <c r="P26" t="s">
        <v>34</v>
      </c>
      <c r="Q26" t="s">
        <v>35</v>
      </c>
      <c r="R26" t="s">
        <v>54</v>
      </c>
      <c r="S26" t="s">
        <v>30</v>
      </c>
      <c r="T26" t="s">
        <v>71</v>
      </c>
      <c r="U26" t="s">
        <v>72</v>
      </c>
      <c r="V26" t="s">
        <v>39</v>
      </c>
      <c r="W26" s="1">
        <v>4</v>
      </c>
    </row>
    <row r="27" spans="1:23" x14ac:dyDescent="0.2">
      <c r="A27" t="s">
        <v>23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 t="s">
        <v>67</v>
      </c>
      <c r="H27" t="s">
        <v>30</v>
      </c>
      <c r="I27" t="s">
        <v>30</v>
      </c>
      <c r="J27" t="s">
        <v>41</v>
      </c>
      <c r="K27" t="s">
        <v>32</v>
      </c>
      <c r="L27" t="s">
        <v>32</v>
      </c>
      <c r="M27" t="s">
        <v>33</v>
      </c>
      <c r="N27" t="s">
        <v>33</v>
      </c>
      <c r="O27" t="s">
        <v>33</v>
      </c>
      <c r="P27" t="s">
        <v>34</v>
      </c>
      <c r="Q27" t="s">
        <v>35</v>
      </c>
      <c r="R27" t="s">
        <v>54</v>
      </c>
      <c r="S27" t="s">
        <v>30</v>
      </c>
      <c r="T27" t="s">
        <v>71</v>
      </c>
      <c r="U27" t="s">
        <v>72</v>
      </c>
      <c r="V27" t="s">
        <v>40</v>
      </c>
      <c r="W27" s="1">
        <v>9140400</v>
      </c>
    </row>
    <row r="28" spans="1:23" x14ac:dyDescent="0.2">
      <c r="A28" t="s">
        <v>23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 t="s">
        <v>67</v>
      </c>
      <c r="H28" t="s">
        <v>30</v>
      </c>
      <c r="I28" t="s">
        <v>30</v>
      </c>
      <c r="J28" t="s">
        <v>41</v>
      </c>
      <c r="K28" t="s">
        <v>32</v>
      </c>
      <c r="L28" t="s">
        <v>32</v>
      </c>
      <c r="M28" t="s">
        <v>33</v>
      </c>
      <c r="N28" t="s">
        <v>33</v>
      </c>
      <c r="O28" t="s">
        <v>33</v>
      </c>
      <c r="P28" t="s">
        <v>34</v>
      </c>
      <c r="Q28" t="s">
        <v>35</v>
      </c>
      <c r="R28" t="s">
        <v>73</v>
      </c>
      <c r="S28" t="s">
        <v>30</v>
      </c>
      <c r="T28" t="s">
        <v>74</v>
      </c>
      <c r="U28" t="s">
        <v>75</v>
      </c>
      <c r="V28" t="s">
        <v>39</v>
      </c>
      <c r="W28" s="1">
        <v>2</v>
      </c>
    </row>
    <row r="29" spans="1:23" x14ac:dyDescent="0.2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28</v>
      </c>
      <c r="G29" t="s">
        <v>67</v>
      </c>
      <c r="H29" t="s">
        <v>30</v>
      </c>
      <c r="I29" t="s">
        <v>30</v>
      </c>
      <c r="J29" t="s">
        <v>41</v>
      </c>
      <c r="K29" t="s">
        <v>32</v>
      </c>
      <c r="L29" t="s">
        <v>32</v>
      </c>
      <c r="M29" t="s">
        <v>33</v>
      </c>
      <c r="N29" t="s">
        <v>33</v>
      </c>
      <c r="O29" t="s">
        <v>33</v>
      </c>
      <c r="P29" t="s">
        <v>34</v>
      </c>
      <c r="Q29" t="s">
        <v>35</v>
      </c>
      <c r="R29" t="s">
        <v>73</v>
      </c>
      <c r="S29" t="s">
        <v>30</v>
      </c>
      <c r="T29" t="s">
        <v>74</v>
      </c>
      <c r="U29" t="s">
        <v>75</v>
      </c>
      <c r="V29" t="s">
        <v>40</v>
      </c>
      <c r="W29" s="1">
        <v>10498000</v>
      </c>
    </row>
    <row r="30" spans="1:23" x14ac:dyDescent="0.2">
      <c r="A30" t="s">
        <v>23</v>
      </c>
      <c r="B30" t="s">
        <v>24</v>
      </c>
      <c r="C30" t="s">
        <v>25</v>
      </c>
      <c r="D30" t="s">
        <v>26</v>
      </c>
      <c r="E30" t="s">
        <v>27</v>
      </c>
      <c r="F30" t="s">
        <v>28</v>
      </c>
      <c r="G30" t="s">
        <v>67</v>
      </c>
      <c r="H30" t="s">
        <v>30</v>
      </c>
      <c r="I30" t="s">
        <v>30</v>
      </c>
      <c r="J30" t="s">
        <v>41</v>
      </c>
      <c r="K30" t="s">
        <v>32</v>
      </c>
      <c r="L30" t="s">
        <v>32</v>
      </c>
      <c r="M30" t="s">
        <v>33</v>
      </c>
      <c r="N30" t="s">
        <v>33</v>
      </c>
      <c r="O30" t="s">
        <v>33</v>
      </c>
      <c r="P30" t="s">
        <v>34</v>
      </c>
      <c r="Q30" t="s">
        <v>35</v>
      </c>
      <c r="S30" t="s">
        <v>30</v>
      </c>
      <c r="T30" t="s">
        <v>76</v>
      </c>
      <c r="U30" t="s">
        <v>77</v>
      </c>
      <c r="V30" t="s">
        <v>39</v>
      </c>
      <c r="W30" s="1">
        <v>2</v>
      </c>
    </row>
    <row r="31" spans="1:23" x14ac:dyDescent="0.2">
      <c r="A31" t="s">
        <v>23</v>
      </c>
      <c r="B31" t="s">
        <v>24</v>
      </c>
      <c r="C31" t="s">
        <v>25</v>
      </c>
      <c r="D31" t="s">
        <v>26</v>
      </c>
      <c r="E31" t="s">
        <v>27</v>
      </c>
      <c r="F31" t="s">
        <v>28</v>
      </c>
      <c r="G31" t="s">
        <v>67</v>
      </c>
      <c r="H31" t="s">
        <v>30</v>
      </c>
      <c r="I31" t="s">
        <v>30</v>
      </c>
      <c r="J31" t="s">
        <v>41</v>
      </c>
      <c r="K31" t="s">
        <v>32</v>
      </c>
      <c r="L31" t="s">
        <v>32</v>
      </c>
      <c r="M31" t="s">
        <v>33</v>
      </c>
      <c r="N31" t="s">
        <v>33</v>
      </c>
      <c r="O31" t="s">
        <v>33</v>
      </c>
      <c r="P31" t="s">
        <v>34</v>
      </c>
      <c r="Q31" t="s">
        <v>35</v>
      </c>
      <c r="S31" t="s">
        <v>30</v>
      </c>
      <c r="T31" t="s">
        <v>76</v>
      </c>
      <c r="U31" t="s">
        <v>77</v>
      </c>
      <c r="V31" t="s">
        <v>40</v>
      </c>
      <c r="W31" s="1">
        <v>2938000</v>
      </c>
    </row>
    <row r="32" spans="1:23" x14ac:dyDescent="0.2">
      <c r="A32" t="s">
        <v>23</v>
      </c>
      <c r="B32" t="s">
        <v>24</v>
      </c>
      <c r="C32" t="s">
        <v>25</v>
      </c>
      <c r="D32" t="s">
        <v>26</v>
      </c>
      <c r="E32" t="s">
        <v>27</v>
      </c>
      <c r="F32" t="s">
        <v>28</v>
      </c>
      <c r="G32" t="s">
        <v>67</v>
      </c>
      <c r="H32" t="s">
        <v>30</v>
      </c>
      <c r="I32" t="s">
        <v>30</v>
      </c>
      <c r="J32" t="s">
        <v>41</v>
      </c>
      <c r="K32" t="s">
        <v>32</v>
      </c>
      <c r="L32" t="s">
        <v>32</v>
      </c>
      <c r="M32" t="s">
        <v>33</v>
      </c>
      <c r="N32" t="s">
        <v>33</v>
      </c>
      <c r="O32" t="s">
        <v>33</v>
      </c>
      <c r="P32" t="s">
        <v>42</v>
      </c>
      <c r="Q32" t="s">
        <v>43</v>
      </c>
      <c r="R32" t="s">
        <v>58</v>
      </c>
      <c r="S32" t="s">
        <v>30</v>
      </c>
      <c r="T32" t="s">
        <v>78</v>
      </c>
      <c r="U32" t="s">
        <v>79</v>
      </c>
      <c r="V32" t="s">
        <v>39</v>
      </c>
      <c r="W32" s="1">
        <v>2</v>
      </c>
    </row>
    <row r="33" spans="1:23" x14ac:dyDescent="0.2">
      <c r="A33" t="s">
        <v>23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 t="s">
        <v>67</v>
      </c>
      <c r="H33" t="s">
        <v>30</v>
      </c>
      <c r="I33" t="s">
        <v>30</v>
      </c>
      <c r="J33" t="s">
        <v>41</v>
      </c>
      <c r="K33" t="s">
        <v>32</v>
      </c>
      <c r="L33" t="s">
        <v>32</v>
      </c>
      <c r="M33" t="s">
        <v>33</v>
      </c>
      <c r="N33" t="s">
        <v>33</v>
      </c>
      <c r="O33" t="s">
        <v>33</v>
      </c>
      <c r="P33" t="s">
        <v>42</v>
      </c>
      <c r="Q33" t="s">
        <v>43</v>
      </c>
      <c r="R33" t="s">
        <v>58</v>
      </c>
      <c r="S33" t="s">
        <v>30</v>
      </c>
      <c r="T33" t="s">
        <v>78</v>
      </c>
      <c r="U33" t="s">
        <v>79</v>
      </c>
      <c r="V33" t="s">
        <v>40</v>
      </c>
      <c r="W33" s="1">
        <v>2499800</v>
      </c>
    </row>
    <row r="34" spans="1:23" x14ac:dyDescent="0.2">
      <c r="A34" t="s">
        <v>23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 t="s">
        <v>67</v>
      </c>
      <c r="H34" t="s">
        <v>30</v>
      </c>
      <c r="I34" t="s">
        <v>30</v>
      </c>
      <c r="J34" t="s">
        <v>41</v>
      </c>
      <c r="K34" t="s">
        <v>32</v>
      </c>
      <c r="L34" t="s">
        <v>32</v>
      </c>
      <c r="M34" t="s">
        <v>33</v>
      </c>
      <c r="N34" t="s">
        <v>33</v>
      </c>
      <c r="O34" t="s">
        <v>33</v>
      </c>
      <c r="P34" t="s">
        <v>42</v>
      </c>
      <c r="Q34" t="s">
        <v>43</v>
      </c>
      <c r="S34" t="s">
        <v>30</v>
      </c>
      <c r="T34" t="s">
        <v>80</v>
      </c>
      <c r="U34" t="s">
        <v>81</v>
      </c>
      <c r="V34" t="s">
        <v>39</v>
      </c>
      <c r="W34" s="1">
        <v>2</v>
      </c>
    </row>
    <row r="35" spans="1:23" x14ac:dyDescent="0.2">
      <c r="A35" t="s">
        <v>23</v>
      </c>
      <c r="B35" t="s">
        <v>24</v>
      </c>
      <c r="C35" t="s">
        <v>25</v>
      </c>
      <c r="D35" t="s">
        <v>26</v>
      </c>
      <c r="E35" t="s">
        <v>27</v>
      </c>
      <c r="F35" t="s">
        <v>28</v>
      </c>
      <c r="G35" t="s">
        <v>67</v>
      </c>
      <c r="H35" t="s">
        <v>30</v>
      </c>
      <c r="I35" t="s">
        <v>30</v>
      </c>
      <c r="J35" t="s">
        <v>41</v>
      </c>
      <c r="K35" t="s">
        <v>32</v>
      </c>
      <c r="L35" t="s">
        <v>32</v>
      </c>
      <c r="M35" t="s">
        <v>33</v>
      </c>
      <c r="N35" t="s">
        <v>33</v>
      </c>
      <c r="O35" t="s">
        <v>33</v>
      </c>
      <c r="P35" t="s">
        <v>42</v>
      </c>
      <c r="Q35" t="s">
        <v>43</v>
      </c>
      <c r="S35" t="s">
        <v>30</v>
      </c>
      <c r="T35" t="s">
        <v>80</v>
      </c>
      <c r="U35" t="s">
        <v>81</v>
      </c>
      <c r="V35" t="s">
        <v>40</v>
      </c>
      <c r="W35" s="1">
        <v>8110000</v>
      </c>
    </row>
    <row r="36" spans="1:23" x14ac:dyDescent="0.2">
      <c r="A36" t="s">
        <v>23</v>
      </c>
      <c r="B36" t="s">
        <v>24</v>
      </c>
      <c r="C36" t="s">
        <v>25</v>
      </c>
      <c r="D36" t="s">
        <v>26</v>
      </c>
      <c r="E36" t="s">
        <v>27</v>
      </c>
      <c r="F36" t="s">
        <v>28</v>
      </c>
      <c r="G36" t="s">
        <v>67</v>
      </c>
      <c r="H36" t="s">
        <v>30</v>
      </c>
      <c r="I36" t="s">
        <v>30</v>
      </c>
      <c r="J36" t="s">
        <v>41</v>
      </c>
      <c r="K36" t="s">
        <v>32</v>
      </c>
      <c r="L36" t="s">
        <v>32</v>
      </c>
      <c r="M36" t="s">
        <v>33</v>
      </c>
      <c r="P36" t="s">
        <v>34</v>
      </c>
      <c r="Q36" t="s">
        <v>35</v>
      </c>
      <c r="R36" t="s">
        <v>58</v>
      </c>
      <c r="S36" t="s">
        <v>52</v>
      </c>
      <c r="T36" t="s">
        <v>78</v>
      </c>
      <c r="U36" t="s">
        <v>82</v>
      </c>
      <c r="V36" t="s">
        <v>39</v>
      </c>
      <c r="W36" s="1">
        <v>0</v>
      </c>
    </row>
    <row r="37" spans="1:23" x14ac:dyDescent="0.2">
      <c r="A37" t="s">
        <v>23</v>
      </c>
      <c r="B37" t="s">
        <v>24</v>
      </c>
      <c r="C37" t="s">
        <v>25</v>
      </c>
      <c r="D37" t="s">
        <v>26</v>
      </c>
      <c r="E37" t="s">
        <v>27</v>
      </c>
      <c r="F37" t="s">
        <v>28</v>
      </c>
      <c r="G37" t="s">
        <v>67</v>
      </c>
      <c r="H37" t="s">
        <v>30</v>
      </c>
      <c r="I37" t="s">
        <v>30</v>
      </c>
      <c r="J37" t="s">
        <v>41</v>
      </c>
      <c r="K37" t="s">
        <v>32</v>
      </c>
      <c r="L37" t="s">
        <v>32</v>
      </c>
      <c r="M37" t="s">
        <v>33</v>
      </c>
      <c r="P37" t="s">
        <v>34</v>
      </c>
      <c r="Q37" t="s">
        <v>35</v>
      </c>
      <c r="R37" t="s">
        <v>58</v>
      </c>
      <c r="S37" t="s">
        <v>52</v>
      </c>
      <c r="T37" t="s">
        <v>78</v>
      </c>
      <c r="U37" t="s">
        <v>82</v>
      </c>
      <c r="V37" t="s">
        <v>40</v>
      </c>
      <c r="W37" s="1">
        <v>2499800</v>
      </c>
    </row>
    <row r="38" spans="1:23" x14ac:dyDescent="0.2">
      <c r="A38" t="s">
        <v>23</v>
      </c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 t="s">
        <v>67</v>
      </c>
      <c r="H38" t="s">
        <v>30</v>
      </c>
      <c r="I38" t="s">
        <v>30</v>
      </c>
      <c r="J38" t="s">
        <v>41</v>
      </c>
      <c r="K38" t="s">
        <v>32</v>
      </c>
      <c r="L38" t="s">
        <v>32</v>
      </c>
      <c r="M38" t="s">
        <v>33</v>
      </c>
      <c r="P38" t="s">
        <v>34</v>
      </c>
      <c r="Q38" t="s">
        <v>35</v>
      </c>
      <c r="S38" t="s">
        <v>30</v>
      </c>
      <c r="T38" t="s">
        <v>83</v>
      </c>
      <c r="U38" t="s">
        <v>84</v>
      </c>
      <c r="V38" t="s">
        <v>39</v>
      </c>
      <c r="W38" s="1">
        <v>3</v>
      </c>
    </row>
    <row r="39" spans="1:23" x14ac:dyDescent="0.2">
      <c r="A39" t="s">
        <v>23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 t="s">
        <v>67</v>
      </c>
      <c r="H39" t="s">
        <v>30</v>
      </c>
      <c r="I39" t="s">
        <v>30</v>
      </c>
      <c r="J39" t="s">
        <v>41</v>
      </c>
      <c r="K39" t="s">
        <v>32</v>
      </c>
      <c r="L39" t="s">
        <v>32</v>
      </c>
      <c r="M39" t="s">
        <v>33</v>
      </c>
      <c r="P39" t="s">
        <v>34</v>
      </c>
      <c r="Q39" t="s">
        <v>35</v>
      </c>
      <c r="S39" t="s">
        <v>30</v>
      </c>
      <c r="T39" t="s">
        <v>83</v>
      </c>
      <c r="U39" t="s">
        <v>84</v>
      </c>
      <c r="V39" t="s">
        <v>40</v>
      </c>
      <c r="W39" s="1">
        <v>3054000</v>
      </c>
    </row>
    <row r="40" spans="1:23" x14ac:dyDescent="0.2">
      <c r="A40" t="s">
        <v>23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 t="s">
        <v>67</v>
      </c>
      <c r="H40" t="s">
        <v>30</v>
      </c>
      <c r="I40" t="s">
        <v>30</v>
      </c>
      <c r="J40" t="s">
        <v>41</v>
      </c>
      <c r="K40" t="s">
        <v>32</v>
      </c>
      <c r="L40" t="s">
        <v>32</v>
      </c>
      <c r="M40" t="s">
        <v>33</v>
      </c>
      <c r="P40" t="s">
        <v>34</v>
      </c>
      <c r="Q40" t="s">
        <v>35</v>
      </c>
      <c r="S40" t="s">
        <v>30</v>
      </c>
      <c r="T40" t="s">
        <v>85</v>
      </c>
      <c r="U40" t="s">
        <v>86</v>
      </c>
      <c r="V40" t="s">
        <v>39</v>
      </c>
      <c r="W40" s="1">
        <v>4</v>
      </c>
    </row>
    <row r="41" spans="1:23" x14ac:dyDescent="0.2">
      <c r="A41" t="s">
        <v>23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 t="s">
        <v>67</v>
      </c>
      <c r="H41" t="s">
        <v>30</v>
      </c>
      <c r="I41" t="s">
        <v>30</v>
      </c>
      <c r="J41" t="s">
        <v>41</v>
      </c>
      <c r="K41" t="s">
        <v>32</v>
      </c>
      <c r="L41" t="s">
        <v>32</v>
      </c>
      <c r="M41" t="s">
        <v>33</v>
      </c>
      <c r="P41" t="s">
        <v>34</v>
      </c>
      <c r="Q41" t="s">
        <v>35</v>
      </c>
      <c r="S41" t="s">
        <v>30</v>
      </c>
      <c r="T41" t="s">
        <v>85</v>
      </c>
      <c r="U41" t="s">
        <v>86</v>
      </c>
      <c r="V41" t="s">
        <v>40</v>
      </c>
      <c r="W41" s="1">
        <v>20396000</v>
      </c>
    </row>
    <row r="42" spans="1:23" x14ac:dyDescent="0.2">
      <c r="A42" t="s">
        <v>23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 t="s">
        <v>67</v>
      </c>
      <c r="H42" t="s">
        <v>30</v>
      </c>
      <c r="I42" t="s">
        <v>30</v>
      </c>
      <c r="J42" t="s">
        <v>41</v>
      </c>
      <c r="K42" t="s">
        <v>32</v>
      </c>
      <c r="L42" t="s">
        <v>32</v>
      </c>
      <c r="M42" t="s">
        <v>33</v>
      </c>
      <c r="P42" t="s">
        <v>34</v>
      </c>
      <c r="Q42" t="s">
        <v>35</v>
      </c>
      <c r="S42" t="s">
        <v>52</v>
      </c>
      <c r="T42" t="s">
        <v>87</v>
      </c>
      <c r="U42" t="s">
        <v>88</v>
      </c>
      <c r="V42" t="s">
        <v>39</v>
      </c>
      <c r="W42" s="1">
        <v>0</v>
      </c>
    </row>
    <row r="43" spans="1:23" x14ac:dyDescent="0.2">
      <c r="A43" t="s">
        <v>23</v>
      </c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 t="s">
        <v>67</v>
      </c>
      <c r="H43" t="s">
        <v>30</v>
      </c>
      <c r="I43" t="s">
        <v>30</v>
      </c>
      <c r="J43" t="s">
        <v>41</v>
      </c>
      <c r="K43" t="s">
        <v>32</v>
      </c>
      <c r="L43" t="s">
        <v>32</v>
      </c>
      <c r="M43" t="s">
        <v>33</v>
      </c>
      <c r="P43" t="s">
        <v>34</v>
      </c>
      <c r="Q43" t="s">
        <v>35</v>
      </c>
      <c r="S43" t="s">
        <v>52</v>
      </c>
      <c r="T43" t="s">
        <v>87</v>
      </c>
      <c r="U43" t="s">
        <v>88</v>
      </c>
      <c r="V43" t="s">
        <v>40</v>
      </c>
      <c r="W43" s="1">
        <v>8496000</v>
      </c>
    </row>
    <row r="44" spans="1:23" x14ac:dyDescent="0.2">
      <c r="A44" t="s">
        <v>23</v>
      </c>
      <c r="B44" t="s">
        <v>24</v>
      </c>
      <c r="C44" t="s">
        <v>25</v>
      </c>
      <c r="D44" t="s">
        <v>26</v>
      </c>
      <c r="E44" t="s">
        <v>27</v>
      </c>
      <c r="F44" t="s">
        <v>28</v>
      </c>
      <c r="G44" t="s">
        <v>67</v>
      </c>
      <c r="H44" t="s">
        <v>30</v>
      </c>
      <c r="I44" t="s">
        <v>30</v>
      </c>
      <c r="J44" t="s">
        <v>41</v>
      </c>
      <c r="K44" t="s">
        <v>32</v>
      </c>
      <c r="L44" t="s">
        <v>32</v>
      </c>
      <c r="M44" t="s">
        <v>33</v>
      </c>
      <c r="P44" t="s">
        <v>34</v>
      </c>
      <c r="Q44" t="s">
        <v>35</v>
      </c>
      <c r="S44" t="s">
        <v>52</v>
      </c>
      <c r="T44" t="s">
        <v>85</v>
      </c>
      <c r="U44" t="s">
        <v>86</v>
      </c>
      <c r="V44" t="s">
        <v>39</v>
      </c>
      <c r="W44" s="1">
        <v>0</v>
      </c>
    </row>
    <row r="45" spans="1:23" x14ac:dyDescent="0.2">
      <c r="A45" t="s">
        <v>23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 t="s">
        <v>67</v>
      </c>
      <c r="H45" t="s">
        <v>30</v>
      </c>
      <c r="I45" t="s">
        <v>30</v>
      </c>
      <c r="J45" t="s">
        <v>41</v>
      </c>
      <c r="K45" t="s">
        <v>32</v>
      </c>
      <c r="L45" t="s">
        <v>32</v>
      </c>
      <c r="M45" t="s">
        <v>33</v>
      </c>
      <c r="P45" t="s">
        <v>34</v>
      </c>
      <c r="Q45" t="s">
        <v>35</v>
      </c>
      <c r="S45" t="s">
        <v>52</v>
      </c>
      <c r="T45" t="s">
        <v>85</v>
      </c>
      <c r="U45" t="s">
        <v>86</v>
      </c>
      <c r="V45" t="s">
        <v>40</v>
      </c>
      <c r="W45" s="1">
        <v>5099000</v>
      </c>
    </row>
    <row r="46" spans="1:23" x14ac:dyDescent="0.2">
      <c r="A46" t="s">
        <v>23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 t="s">
        <v>89</v>
      </c>
      <c r="H46" t="s">
        <v>30</v>
      </c>
      <c r="I46" t="s">
        <v>30</v>
      </c>
      <c r="J46" t="s">
        <v>31</v>
      </c>
      <c r="K46" t="s">
        <v>32</v>
      </c>
      <c r="L46" t="s">
        <v>32</v>
      </c>
      <c r="M46" t="s">
        <v>33</v>
      </c>
      <c r="P46" t="s">
        <v>34</v>
      </c>
      <c r="Q46" t="s">
        <v>35</v>
      </c>
      <c r="S46" t="s">
        <v>30</v>
      </c>
      <c r="T46" t="s">
        <v>90</v>
      </c>
      <c r="U46" t="s">
        <v>91</v>
      </c>
      <c r="V46" t="s">
        <v>39</v>
      </c>
      <c r="W46" s="1">
        <v>1</v>
      </c>
    </row>
    <row r="47" spans="1:23" x14ac:dyDescent="0.2">
      <c r="A47" t="s">
        <v>23</v>
      </c>
      <c r="B47" t="s">
        <v>24</v>
      </c>
      <c r="C47" t="s">
        <v>25</v>
      </c>
      <c r="D47" t="s">
        <v>26</v>
      </c>
      <c r="E47" t="s">
        <v>27</v>
      </c>
      <c r="F47" t="s">
        <v>28</v>
      </c>
      <c r="G47" t="s">
        <v>89</v>
      </c>
      <c r="H47" t="s">
        <v>30</v>
      </c>
      <c r="I47" t="s">
        <v>30</v>
      </c>
      <c r="J47" t="s">
        <v>31</v>
      </c>
      <c r="K47" t="s">
        <v>32</v>
      </c>
      <c r="L47" t="s">
        <v>32</v>
      </c>
      <c r="M47" t="s">
        <v>33</v>
      </c>
      <c r="P47" t="s">
        <v>34</v>
      </c>
      <c r="Q47" t="s">
        <v>35</v>
      </c>
      <c r="S47" t="s">
        <v>30</v>
      </c>
      <c r="T47" t="s">
        <v>90</v>
      </c>
      <c r="U47" t="s">
        <v>91</v>
      </c>
      <c r="V47" t="s">
        <v>40</v>
      </c>
      <c r="W47" s="1">
        <v>152900</v>
      </c>
    </row>
    <row r="48" spans="1:23" x14ac:dyDescent="0.2">
      <c r="A48" t="s">
        <v>23</v>
      </c>
      <c r="B48" t="s">
        <v>24</v>
      </c>
      <c r="C48" t="s">
        <v>25</v>
      </c>
      <c r="D48" t="s">
        <v>26</v>
      </c>
      <c r="E48" t="s">
        <v>27</v>
      </c>
      <c r="F48" t="s">
        <v>28</v>
      </c>
      <c r="G48" t="s">
        <v>89</v>
      </c>
      <c r="H48" t="s">
        <v>30</v>
      </c>
      <c r="I48" t="s">
        <v>30</v>
      </c>
      <c r="J48" t="s">
        <v>41</v>
      </c>
      <c r="K48" t="s">
        <v>32</v>
      </c>
      <c r="L48" t="s">
        <v>32</v>
      </c>
      <c r="M48" t="s">
        <v>33</v>
      </c>
      <c r="N48" t="s">
        <v>33</v>
      </c>
      <c r="O48" t="s">
        <v>33</v>
      </c>
      <c r="P48" t="s">
        <v>34</v>
      </c>
      <c r="Q48" t="s">
        <v>35</v>
      </c>
      <c r="S48" t="s">
        <v>30</v>
      </c>
      <c r="T48" t="s">
        <v>92</v>
      </c>
      <c r="U48" t="s">
        <v>93</v>
      </c>
      <c r="V48" t="s">
        <v>39</v>
      </c>
      <c r="W48" s="1">
        <v>4</v>
      </c>
    </row>
    <row r="49" spans="1:23" x14ac:dyDescent="0.2">
      <c r="A49" t="s">
        <v>23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 t="s">
        <v>89</v>
      </c>
      <c r="H49" t="s">
        <v>30</v>
      </c>
      <c r="I49" t="s">
        <v>30</v>
      </c>
      <c r="J49" t="s">
        <v>41</v>
      </c>
      <c r="K49" t="s">
        <v>32</v>
      </c>
      <c r="L49" t="s">
        <v>32</v>
      </c>
      <c r="M49" t="s">
        <v>33</v>
      </c>
      <c r="N49" t="s">
        <v>33</v>
      </c>
      <c r="O49" t="s">
        <v>33</v>
      </c>
      <c r="P49" t="s">
        <v>34</v>
      </c>
      <c r="Q49" t="s">
        <v>35</v>
      </c>
      <c r="S49" t="s">
        <v>30</v>
      </c>
      <c r="T49" t="s">
        <v>92</v>
      </c>
      <c r="U49" t="s">
        <v>93</v>
      </c>
      <c r="V49" t="s">
        <v>40</v>
      </c>
      <c r="W49" s="1">
        <v>4556000</v>
      </c>
    </row>
    <row r="50" spans="1:23" x14ac:dyDescent="0.2">
      <c r="A50" t="s">
        <v>23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 t="s">
        <v>89</v>
      </c>
      <c r="H50" t="s">
        <v>30</v>
      </c>
      <c r="I50" t="s">
        <v>30</v>
      </c>
      <c r="J50" t="s">
        <v>41</v>
      </c>
      <c r="K50" t="s">
        <v>32</v>
      </c>
      <c r="L50" t="s">
        <v>32</v>
      </c>
      <c r="M50" t="s">
        <v>33</v>
      </c>
      <c r="N50" t="s">
        <v>33</v>
      </c>
      <c r="O50" t="s">
        <v>33</v>
      </c>
      <c r="P50" t="s">
        <v>34</v>
      </c>
      <c r="Q50" t="s">
        <v>35</v>
      </c>
      <c r="S50" t="s">
        <v>30</v>
      </c>
      <c r="T50" t="s">
        <v>94</v>
      </c>
      <c r="U50" t="s">
        <v>95</v>
      </c>
      <c r="V50" t="s">
        <v>39</v>
      </c>
      <c r="W50" s="1">
        <v>4</v>
      </c>
    </row>
    <row r="51" spans="1:23" x14ac:dyDescent="0.2">
      <c r="A51" t="s">
        <v>23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89</v>
      </c>
      <c r="H51" t="s">
        <v>30</v>
      </c>
      <c r="I51" t="s">
        <v>30</v>
      </c>
      <c r="J51" t="s">
        <v>41</v>
      </c>
      <c r="K51" t="s">
        <v>32</v>
      </c>
      <c r="L51" t="s">
        <v>32</v>
      </c>
      <c r="M51" t="s">
        <v>33</v>
      </c>
      <c r="N51" t="s">
        <v>33</v>
      </c>
      <c r="O51" t="s">
        <v>33</v>
      </c>
      <c r="P51" t="s">
        <v>34</v>
      </c>
      <c r="Q51" t="s">
        <v>35</v>
      </c>
      <c r="S51" t="s">
        <v>30</v>
      </c>
      <c r="T51" t="s">
        <v>94</v>
      </c>
      <c r="U51" t="s">
        <v>95</v>
      </c>
      <c r="V51" t="s">
        <v>40</v>
      </c>
      <c r="W51" s="1">
        <v>5596000</v>
      </c>
    </row>
    <row r="52" spans="1:23" x14ac:dyDescent="0.2">
      <c r="A52" t="s">
        <v>23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 t="s">
        <v>89</v>
      </c>
      <c r="H52" t="s">
        <v>30</v>
      </c>
      <c r="I52" t="s">
        <v>30</v>
      </c>
      <c r="J52" t="s">
        <v>41</v>
      </c>
      <c r="K52" t="s">
        <v>32</v>
      </c>
      <c r="L52" t="s">
        <v>32</v>
      </c>
      <c r="M52" t="s">
        <v>33</v>
      </c>
      <c r="P52" t="s">
        <v>34</v>
      </c>
      <c r="Q52" t="s">
        <v>35</v>
      </c>
      <c r="R52" t="s">
        <v>96</v>
      </c>
      <c r="S52" t="s">
        <v>30</v>
      </c>
      <c r="T52" t="s">
        <v>97</v>
      </c>
      <c r="U52" t="s">
        <v>98</v>
      </c>
      <c r="V52" t="s">
        <v>39</v>
      </c>
      <c r="W52" s="1">
        <v>3</v>
      </c>
    </row>
    <row r="53" spans="1:23" x14ac:dyDescent="0.2">
      <c r="A53" t="s">
        <v>23</v>
      </c>
      <c r="B53" t="s">
        <v>24</v>
      </c>
      <c r="C53" t="s">
        <v>25</v>
      </c>
      <c r="D53" t="s">
        <v>26</v>
      </c>
      <c r="E53" t="s">
        <v>27</v>
      </c>
      <c r="F53" t="s">
        <v>28</v>
      </c>
      <c r="G53" t="s">
        <v>89</v>
      </c>
      <c r="H53" t="s">
        <v>30</v>
      </c>
      <c r="I53" t="s">
        <v>30</v>
      </c>
      <c r="J53" t="s">
        <v>41</v>
      </c>
      <c r="K53" t="s">
        <v>32</v>
      </c>
      <c r="L53" t="s">
        <v>32</v>
      </c>
      <c r="M53" t="s">
        <v>33</v>
      </c>
      <c r="P53" t="s">
        <v>34</v>
      </c>
      <c r="Q53" t="s">
        <v>35</v>
      </c>
      <c r="R53" t="s">
        <v>96</v>
      </c>
      <c r="S53" t="s">
        <v>30</v>
      </c>
      <c r="T53" t="s">
        <v>97</v>
      </c>
      <c r="U53" t="s">
        <v>98</v>
      </c>
      <c r="V53" t="s">
        <v>40</v>
      </c>
      <c r="W53" s="1">
        <v>15589800</v>
      </c>
    </row>
    <row r="54" spans="1:23" x14ac:dyDescent="0.2">
      <c r="A54" t="s">
        <v>23</v>
      </c>
      <c r="B54" t="s">
        <v>24</v>
      </c>
      <c r="C54" t="s">
        <v>25</v>
      </c>
      <c r="D54" t="s">
        <v>26</v>
      </c>
      <c r="E54" t="s">
        <v>27</v>
      </c>
      <c r="F54" t="s">
        <v>28</v>
      </c>
      <c r="G54" t="s">
        <v>89</v>
      </c>
      <c r="H54" t="s">
        <v>30</v>
      </c>
      <c r="I54" t="s">
        <v>30</v>
      </c>
      <c r="J54" t="s">
        <v>41</v>
      </c>
      <c r="K54" t="s">
        <v>32</v>
      </c>
      <c r="L54" t="s">
        <v>32</v>
      </c>
      <c r="M54" t="s">
        <v>33</v>
      </c>
      <c r="P54" t="s">
        <v>34</v>
      </c>
      <c r="Q54" t="s">
        <v>35</v>
      </c>
      <c r="R54" t="s">
        <v>99</v>
      </c>
      <c r="S54" t="s">
        <v>30</v>
      </c>
      <c r="T54" t="s">
        <v>100</v>
      </c>
      <c r="U54" t="s">
        <v>101</v>
      </c>
      <c r="V54" t="s">
        <v>39</v>
      </c>
      <c r="W54" s="1">
        <v>2</v>
      </c>
    </row>
    <row r="55" spans="1:23" x14ac:dyDescent="0.2">
      <c r="A55" t="s">
        <v>23</v>
      </c>
      <c r="B55" t="s">
        <v>24</v>
      </c>
      <c r="C55" t="s">
        <v>25</v>
      </c>
      <c r="D55" t="s">
        <v>26</v>
      </c>
      <c r="E55" t="s">
        <v>27</v>
      </c>
      <c r="F55" t="s">
        <v>28</v>
      </c>
      <c r="G55" t="s">
        <v>89</v>
      </c>
      <c r="H55" t="s">
        <v>30</v>
      </c>
      <c r="I55" t="s">
        <v>30</v>
      </c>
      <c r="J55" t="s">
        <v>41</v>
      </c>
      <c r="K55" t="s">
        <v>32</v>
      </c>
      <c r="L55" t="s">
        <v>32</v>
      </c>
      <c r="M55" t="s">
        <v>33</v>
      </c>
      <c r="P55" t="s">
        <v>34</v>
      </c>
      <c r="Q55" t="s">
        <v>35</v>
      </c>
      <c r="R55" t="s">
        <v>99</v>
      </c>
      <c r="S55" t="s">
        <v>30</v>
      </c>
      <c r="T55" t="s">
        <v>100</v>
      </c>
      <c r="U55" t="s">
        <v>101</v>
      </c>
      <c r="V55" t="s">
        <v>40</v>
      </c>
      <c r="W55" s="1">
        <v>17598000</v>
      </c>
    </row>
    <row r="56" spans="1:23" x14ac:dyDescent="0.2">
      <c r="A56" t="s">
        <v>23</v>
      </c>
      <c r="B56" t="s">
        <v>24</v>
      </c>
      <c r="C56" t="s">
        <v>25</v>
      </c>
      <c r="D56" t="s">
        <v>26</v>
      </c>
      <c r="E56" t="s">
        <v>27</v>
      </c>
      <c r="F56" t="s">
        <v>28</v>
      </c>
      <c r="G56" t="s">
        <v>89</v>
      </c>
      <c r="H56" t="s">
        <v>30</v>
      </c>
      <c r="I56" t="s">
        <v>30</v>
      </c>
      <c r="J56" t="s">
        <v>41</v>
      </c>
      <c r="K56" t="s">
        <v>32</v>
      </c>
      <c r="L56" t="s">
        <v>32</v>
      </c>
      <c r="M56" t="s">
        <v>33</v>
      </c>
      <c r="P56" t="s">
        <v>34</v>
      </c>
      <c r="Q56" t="s">
        <v>35</v>
      </c>
      <c r="S56" t="s">
        <v>52</v>
      </c>
      <c r="T56" t="s">
        <v>102</v>
      </c>
      <c r="U56" t="s">
        <v>103</v>
      </c>
      <c r="V56" t="s">
        <v>39</v>
      </c>
      <c r="W56" s="1">
        <v>0</v>
      </c>
    </row>
    <row r="57" spans="1:23" x14ac:dyDescent="0.2">
      <c r="A57" t="s">
        <v>23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89</v>
      </c>
      <c r="H57" t="s">
        <v>30</v>
      </c>
      <c r="I57" t="s">
        <v>30</v>
      </c>
      <c r="J57" t="s">
        <v>41</v>
      </c>
      <c r="K57" t="s">
        <v>32</v>
      </c>
      <c r="L57" t="s">
        <v>32</v>
      </c>
      <c r="M57" t="s">
        <v>33</v>
      </c>
      <c r="P57" t="s">
        <v>34</v>
      </c>
      <c r="Q57" t="s">
        <v>35</v>
      </c>
      <c r="S57" t="s">
        <v>52</v>
      </c>
      <c r="T57" t="s">
        <v>102</v>
      </c>
      <c r="U57" t="s">
        <v>103</v>
      </c>
      <c r="V57" t="s">
        <v>40</v>
      </c>
      <c r="W57" s="1">
        <v>7710000</v>
      </c>
    </row>
    <row r="58" spans="1:23" x14ac:dyDescent="0.2">
      <c r="A58" t="s">
        <v>23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89</v>
      </c>
      <c r="H58" t="s">
        <v>30</v>
      </c>
      <c r="I58" t="s">
        <v>30</v>
      </c>
      <c r="J58" t="s">
        <v>41</v>
      </c>
      <c r="K58" t="s">
        <v>32</v>
      </c>
      <c r="L58" t="s">
        <v>32</v>
      </c>
      <c r="M58" t="s">
        <v>33</v>
      </c>
      <c r="P58" t="s">
        <v>34</v>
      </c>
      <c r="Q58" t="s">
        <v>35</v>
      </c>
      <c r="S58" t="s">
        <v>52</v>
      </c>
      <c r="T58" t="s">
        <v>104</v>
      </c>
      <c r="U58" t="s">
        <v>105</v>
      </c>
      <c r="V58" t="s">
        <v>39</v>
      </c>
      <c r="W58" s="1">
        <v>0</v>
      </c>
    </row>
    <row r="59" spans="1:23" x14ac:dyDescent="0.2">
      <c r="A59" t="s">
        <v>23</v>
      </c>
      <c r="B59" t="s">
        <v>24</v>
      </c>
      <c r="C59" t="s">
        <v>25</v>
      </c>
      <c r="D59" t="s">
        <v>26</v>
      </c>
      <c r="E59" t="s">
        <v>27</v>
      </c>
      <c r="F59" t="s">
        <v>28</v>
      </c>
      <c r="G59" t="s">
        <v>89</v>
      </c>
      <c r="H59" t="s">
        <v>30</v>
      </c>
      <c r="I59" t="s">
        <v>30</v>
      </c>
      <c r="J59" t="s">
        <v>41</v>
      </c>
      <c r="K59" t="s">
        <v>32</v>
      </c>
      <c r="L59" t="s">
        <v>32</v>
      </c>
      <c r="M59" t="s">
        <v>33</v>
      </c>
      <c r="P59" t="s">
        <v>34</v>
      </c>
      <c r="Q59" t="s">
        <v>35</v>
      </c>
      <c r="S59" t="s">
        <v>52</v>
      </c>
      <c r="T59" t="s">
        <v>104</v>
      </c>
      <c r="U59" t="s">
        <v>105</v>
      </c>
      <c r="V59" t="s">
        <v>40</v>
      </c>
      <c r="W59" s="1">
        <v>7910000</v>
      </c>
    </row>
    <row r="60" spans="1:23" x14ac:dyDescent="0.2">
      <c r="A60" t="s">
        <v>23</v>
      </c>
      <c r="B60" t="s">
        <v>24</v>
      </c>
      <c r="C60" t="s">
        <v>25</v>
      </c>
      <c r="D60" t="s">
        <v>26</v>
      </c>
      <c r="E60" t="s">
        <v>27</v>
      </c>
      <c r="F60" t="s">
        <v>28</v>
      </c>
      <c r="G60" t="s">
        <v>106</v>
      </c>
      <c r="H60" t="s">
        <v>30</v>
      </c>
      <c r="I60" t="s">
        <v>30</v>
      </c>
      <c r="J60" t="s">
        <v>107</v>
      </c>
      <c r="K60" t="s">
        <v>32</v>
      </c>
      <c r="L60" t="s">
        <v>32</v>
      </c>
      <c r="M60" t="s">
        <v>33</v>
      </c>
      <c r="P60" t="s">
        <v>42</v>
      </c>
      <c r="Q60" t="s">
        <v>43</v>
      </c>
      <c r="R60" t="s">
        <v>108</v>
      </c>
      <c r="S60" t="s">
        <v>30</v>
      </c>
      <c r="T60" t="s">
        <v>109</v>
      </c>
      <c r="U60" t="s">
        <v>110</v>
      </c>
      <c r="V60" t="s">
        <v>39</v>
      </c>
      <c r="W60" s="1">
        <v>4</v>
      </c>
    </row>
    <row r="61" spans="1:23" x14ac:dyDescent="0.2">
      <c r="A61" t="s">
        <v>23</v>
      </c>
      <c r="B61" t="s">
        <v>24</v>
      </c>
      <c r="C61" t="s">
        <v>25</v>
      </c>
      <c r="D61" t="s">
        <v>26</v>
      </c>
      <c r="E61" t="s">
        <v>27</v>
      </c>
      <c r="F61" t="s">
        <v>28</v>
      </c>
      <c r="G61" t="s">
        <v>106</v>
      </c>
      <c r="H61" t="s">
        <v>30</v>
      </c>
      <c r="I61" t="s">
        <v>30</v>
      </c>
      <c r="J61" t="s">
        <v>107</v>
      </c>
      <c r="K61" t="s">
        <v>32</v>
      </c>
      <c r="L61" t="s">
        <v>32</v>
      </c>
      <c r="M61" t="s">
        <v>33</v>
      </c>
      <c r="P61" t="s">
        <v>42</v>
      </c>
      <c r="Q61" t="s">
        <v>43</v>
      </c>
      <c r="R61" t="s">
        <v>108</v>
      </c>
      <c r="S61" t="s">
        <v>30</v>
      </c>
      <c r="T61" t="s">
        <v>109</v>
      </c>
      <c r="U61" t="s">
        <v>110</v>
      </c>
      <c r="V61" t="s">
        <v>40</v>
      </c>
      <c r="W61" s="1">
        <v>3120000</v>
      </c>
    </row>
    <row r="62" spans="1:23" x14ac:dyDescent="0.2">
      <c r="A62" t="s">
        <v>23</v>
      </c>
      <c r="B62" t="s">
        <v>24</v>
      </c>
      <c r="C62" t="s">
        <v>25</v>
      </c>
      <c r="D62" t="s">
        <v>26</v>
      </c>
      <c r="E62" t="s">
        <v>27</v>
      </c>
      <c r="F62" t="s">
        <v>28</v>
      </c>
      <c r="G62" t="s">
        <v>106</v>
      </c>
      <c r="H62" t="s">
        <v>30</v>
      </c>
      <c r="I62" t="s">
        <v>30</v>
      </c>
      <c r="J62" t="s">
        <v>31</v>
      </c>
      <c r="K62" t="s">
        <v>32</v>
      </c>
      <c r="L62" t="s">
        <v>32</v>
      </c>
      <c r="M62" t="s">
        <v>33</v>
      </c>
      <c r="N62" t="s">
        <v>33</v>
      </c>
      <c r="O62" t="s">
        <v>33</v>
      </c>
      <c r="P62" t="s">
        <v>42</v>
      </c>
      <c r="Q62" t="s">
        <v>43</v>
      </c>
      <c r="S62" t="s">
        <v>30</v>
      </c>
      <c r="T62" t="s">
        <v>111</v>
      </c>
      <c r="U62" t="s">
        <v>112</v>
      </c>
      <c r="V62" t="s">
        <v>39</v>
      </c>
      <c r="W62" s="1">
        <v>2</v>
      </c>
    </row>
    <row r="63" spans="1:23" x14ac:dyDescent="0.2">
      <c r="A63" t="s">
        <v>23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106</v>
      </c>
      <c r="H63" t="s">
        <v>30</v>
      </c>
      <c r="I63" t="s">
        <v>30</v>
      </c>
      <c r="J63" t="s">
        <v>31</v>
      </c>
      <c r="K63" t="s">
        <v>32</v>
      </c>
      <c r="L63" t="s">
        <v>32</v>
      </c>
      <c r="M63" t="s">
        <v>33</v>
      </c>
      <c r="N63" t="s">
        <v>33</v>
      </c>
      <c r="O63" t="s">
        <v>33</v>
      </c>
      <c r="P63" t="s">
        <v>42</v>
      </c>
      <c r="Q63" t="s">
        <v>43</v>
      </c>
      <c r="S63" t="s">
        <v>30</v>
      </c>
      <c r="T63" t="s">
        <v>111</v>
      </c>
      <c r="U63" t="s">
        <v>112</v>
      </c>
      <c r="V63" t="s">
        <v>40</v>
      </c>
      <c r="W63" s="1">
        <v>375800</v>
      </c>
    </row>
    <row r="64" spans="1:23" x14ac:dyDescent="0.2">
      <c r="A64" t="s">
        <v>23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106</v>
      </c>
      <c r="H64" t="s">
        <v>30</v>
      </c>
      <c r="I64" t="s">
        <v>30</v>
      </c>
      <c r="J64" t="s">
        <v>31</v>
      </c>
      <c r="K64" t="s">
        <v>32</v>
      </c>
      <c r="L64" t="s">
        <v>32</v>
      </c>
      <c r="M64" t="s">
        <v>33</v>
      </c>
      <c r="P64" t="s">
        <v>42</v>
      </c>
      <c r="Q64" t="s">
        <v>43</v>
      </c>
      <c r="S64" t="s">
        <v>30</v>
      </c>
      <c r="T64" t="s">
        <v>113</v>
      </c>
      <c r="U64" t="s">
        <v>114</v>
      </c>
      <c r="V64" t="s">
        <v>39</v>
      </c>
      <c r="W64" s="1">
        <v>2</v>
      </c>
    </row>
    <row r="65" spans="1:23" x14ac:dyDescent="0.2">
      <c r="A65" t="s">
        <v>23</v>
      </c>
      <c r="B65" t="s">
        <v>24</v>
      </c>
      <c r="C65" t="s">
        <v>25</v>
      </c>
      <c r="D65" t="s">
        <v>26</v>
      </c>
      <c r="E65" t="s">
        <v>27</v>
      </c>
      <c r="F65" t="s">
        <v>28</v>
      </c>
      <c r="G65" t="s">
        <v>106</v>
      </c>
      <c r="H65" t="s">
        <v>30</v>
      </c>
      <c r="I65" t="s">
        <v>30</v>
      </c>
      <c r="J65" t="s">
        <v>31</v>
      </c>
      <c r="K65" t="s">
        <v>32</v>
      </c>
      <c r="L65" t="s">
        <v>32</v>
      </c>
      <c r="M65" t="s">
        <v>33</v>
      </c>
      <c r="P65" t="s">
        <v>42</v>
      </c>
      <c r="Q65" t="s">
        <v>43</v>
      </c>
      <c r="S65" t="s">
        <v>30</v>
      </c>
      <c r="T65" t="s">
        <v>113</v>
      </c>
      <c r="U65" t="s">
        <v>114</v>
      </c>
      <c r="V65" t="s">
        <v>40</v>
      </c>
      <c r="W65" s="1">
        <v>1298000</v>
      </c>
    </row>
    <row r="66" spans="1:23" x14ac:dyDescent="0.2">
      <c r="A66" t="s">
        <v>23</v>
      </c>
      <c r="B66" t="s">
        <v>24</v>
      </c>
      <c r="C66" t="s">
        <v>25</v>
      </c>
      <c r="D66" t="s">
        <v>26</v>
      </c>
      <c r="E66" t="s">
        <v>27</v>
      </c>
      <c r="F66" t="s">
        <v>28</v>
      </c>
      <c r="G66" t="s">
        <v>106</v>
      </c>
      <c r="H66" t="s">
        <v>30</v>
      </c>
      <c r="I66" t="s">
        <v>30</v>
      </c>
      <c r="J66" t="s">
        <v>41</v>
      </c>
      <c r="K66" t="s">
        <v>32</v>
      </c>
      <c r="L66" t="s">
        <v>32</v>
      </c>
      <c r="M66" t="s">
        <v>33</v>
      </c>
      <c r="P66" t="s">
        <v>34</v>
      </c>
      <c r="Q66" t="s">
        <v>35</v>
      </c>
      <c r="R66" t="s">
        <v>54</v>
      </c>
      <c r="S66" t="s">
        <v>30</v>
      </c>
      <c r="T66" t="s">
        <v>115</v>
      </c>
      <c r="U66" t="s">
        <v>116</v>
      </c>
      <c r="V66" t="s">
        <v>39</v>
      </c>
      <c r="W66" s="1">
        <v>2</v>
      </c>
    </row>
    <row r="67" spans="1:23" x14ac:dyDescent="0.2">
      <c r="A67" t="s">
        <v>23</v>
      </c>
      <c r="B67" t="s">
        <v>24</v>
      </c>
      <c r="C67" t="s">
        <v>25</v>
      </c>
      <c r="D67" t="s">
        <v>26</v>
      </c>
      <c r="E67" t="s">
        <v>27</v>
      </c>
      <c r="F67" t="s">
        <v>28</v>
      </c>
      <c r="G67" t="s">
        <v>106</v>
      </c>
      <c r="H67" t="s">
        <v>30</v>
      </c>
      <c r="I67" t="s">
        <v>30</v>
      </c>
      <c r="J67" t="s">
        <v>41</v>
      </c>
      <c r="K67" t="s">
        <v>32</v>
      </c>
      <c r="L67" t="s">
        <v>32</v>
      </c>
      <c r="M67" t="s">
        <v>33</v>
      </c>
      <c r="P67" t="s">
        <v>34</v>
      </c>
      <c r="Q67" t="s">
        <v>35</v>
      </c>
      <c r="R67" t="s">
        <v>54</v>
      </c>
      <c r="S67" t="s">
        <v>30</v>
      </c>
      <c r="T67" t="s">
        <v>115</v>
      </c>
      <c r="U67" t="s">
        <v>116</v>
      </c>
      <c r="V67" t="s">
        <v>40</v>
      </c>
      <c r="W67" s="1">
        <v>1978000</v>
      </c>
    </row>
    <row r="68" spans="1:23" x14ac:dyDescent="0.2">
      <c r="A68" t="s">
        <v>23</v>
      </c>
      <c r="B68" t="s">
        <v>24</v>
      </c>
      <c r="C68" t="s">
        <v>25</v>
      </c>
      <c r="D68" t="s">
        <v>26</v>
      </c>
      <c r="E68" t="s">
        <v>27</v>
      </c>
      <c r="F68" t="s">
        <v>28</v>
      </c>
      <c r="G68" t="s">
        <v>106</v>
      </c>
      <c r="H68" t="s">
        <v>30</v>
      </c>
      <c r="I68" t="s">
        <v>30</v>
      </c>
      <c r="J68" t="s">
        <v>41</v>
      </c>
      <c r="K68" t="s">
        <v>32</v>
      </c>
      <c r="L68" t="s">
        <v>32</v>
      </c>
      <c r="M68" t="s">
        <v>33</v>
      </c>
      <c r="P68" t="s">
        <v>34</v>
      </c>
      <c r="Q68" t="s">
        <v>35</v>
      </c>
      <c r="R68" t="s">
        <v>54</v>
      </c>
      <c r="S68" t="s">
        <v>30</v>
      </c>
      <c r="T68" t="s">
        <v>117</v>
      </c>
      <c r="U68" t="s">
        <v>118</v>
      </c>
      <c r="V68" t="s">
        <v>39</v>
      </c>
      <c r="W68" s="1">
        <v>3</v>
      </c>
    </row>
    <row r="69" spans="1:23" x14ac:dyDescent="0.2">
      <c r="A69" t="s">
        <v>23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106</v>
      </c>
      <c r="H69" t="s">
        <v>30</v>
      </c>
      <c r="I69" t="s">
        <v>30</v>
      </c>
      <c r="J69" t="s">
        <v>41</v>
      </c>
      <c r="K69" t="s">
        <v>32</v>
      </c>
      <c r="L69" t="s">
        <v>32</v>
      </c>
      <c r="M69" t="s">
        <v>33</v>
      </c>
      <c r="P69" t="s">
        <v>34</v>
      </c>
      <c r="Q69" t="s">
        <v>35</v>
      </c>
      <c r="R69" t="s">
        <v>54</v>
      </c>
      <c r="S69" t="s">
        <v>30</v>
      </c>
      <c r="T69" t="s">
        <v>117</v>
      </c>
      <c r="U69" t="s">
        <v>118</v>
      </c>
      <c r="V69" t="s">
        <v>40</v>
      </c>
      <c r="W69" s="1">
        <v>4197000</v>
      </c>
    </row>
    <row r="70" spans="1:23" x14ac:dyDescent="0.2">
      <c r="A70" t="s">
        <v>23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119</v>
      </c>
      <c r="H70" t="s">
        <v>30</v>
      </c>
      <c r="I70" t="s">
        <v>52</v>
      </c>
      <c r="J70" t="s">
        <v>31</v>
      </c>
      <c r="K70" t="s">
        <v>32</v>
      </c>
      <c r="L70" t="s">
        <v>32</v>
      </c>
      <c r="M70" t="s">
        <v>33</v>
      </c>
      <c r="N70" t="s">
        <v>33</v>
      </c>
      <c r="O70" t="s">
        <v>33</v>
      </c>
      <c r="P70" t="s">
        <v>34</v>
      </c>
      <c r="Q70" t="s">
        <v>35</v>
      </c>
      <c r="S70" t="s">
        <v>30</v>
      </c>
      <c r="T70" t="s">
        <v>120</v>
      </c>
      <c r="U70" t="s">
        <v>121</v>
      </c>
      <c r="V70" t="s">
        <v>39</v>
      </c>
      <c r="W70" s="1">
        <v>2</v>
      </c>
    </row>
    <row r="71" spans="1:23" x14ac:dyDescent="0.2">
      <c r="A71" t="s">
        <v>23</v>
      </c>
      <c r="B71" t="s">
        <v>24</v>
      </c>
      <c r="C71" t="s">
        <v>25</v>
      </c>
      <c r="D71" t="s">
        <v>26</v>
      </c>
      <c r="E71" t="s">
        <v>27</v>
      </c>
      <c r="F71" t="s">
        <v>28</v>
      </c>
      <c r="G71" t="s">
        <v>119</v>
      </c>
      <c r="H71" t="s">
        <v>30</v>
      </c>
      <c r="I71" t="s">
        <v>52</v>
      </c>
      <c r="J71" t="s">
        <v>31</v>
      </c>
      <c r="K71" t="s">
        <v>32</v>
      </c>
      <c r="L71" t="s">
        <v>32</v>
      </c>
      <c r="M71" t="s">
        <v>33</v>
      </c>
      <c r="N71" t="s">
        <v>33</v>
      </c>
      <c r="O71" t="s">
        <v>33</v>
      </c>
      <c r="P71" t="s">
        <v>34</v>
      </c>
      <c r="Q71" t="s">
        <v>35</v>
      </c>
      <c r="S71" t="s">
        <v>30</v>
      </c>
      <c r="T71" t="s">
        <v>120</v>
      </c>
      <c r="U71" t="s">
        <v>121</v>
      </c>
      <c r="V71" t="s">
        <v>40</v>
      </c>
      <c r="W71" s="1">
        <v>1999800</v>
      </c>
    </row>
    <row r="72" spans="1:23" x14ac:dyDescent="0.2">
      <c r="A72" t="s">
        <v>23</v>
      </c>
      <c r="B72" t="s">
        <v>24</v>
      </c>
      <c r="C72" t="s">
        <v>25</v>
      </c>
      <c r="D72" t="s">
        <v>26</v>
      </c>
      <c r="E72" t="s">
        <v>27</v>
      </c>
      <c r="F72" t="s">
        <v>28</v>
      </c>
      <c r="G72" t="s">
        <v>119</v>
      </c>
      <c r="H72" t="s">
        <v>30</v>
      </c>
      <c r="I72" t="s">
        <v>52</v>
      </c>
      <c r="J72" t="s">
        <v>31</v>
      </c>
      <c r="K72" t="s">
        <v>32</v>
      </c>
      <c r="L72" t="s">
        <v>32</v>
      </c>
      <c r="M72" t="s">
        <v>33</v>
      </c>
      <c r="N72" t="s">
        <v>33</v>
      </c>
      <c r="O72" t="s">
        <v>33</v>
      </c>
      <c r="P72" t="s">
        <v>34</v>
      </c>
      <c r="Q72" t="s">
        <v>35</v>
      </c>
      <c r="S72" t="s">
        <v>30</v>
      </c>
      <c r="T72" t="s">
        <v>122</v>
      </c>
      <c r="U72" t="s">
        <v>123</v>
      </c>
      <c r="V72" t="s">
        <v>39</v>
      </c>
      <c r="W72" s="1">
        <v>2</v>
      </c>
    </row>
    <row r="73" spans="1:23" x14ac:dyDescent="0.2">
      <c r="A73" t="s">
        <v>23</v>
      </c>
      <c r="B73" t="s">
        <v>24</v>
      </c>
      <c r="C73" t="s">
        <v>25</v>
      </c>
      <c r="D73" t="s">
        <v>26</v>
      </c>
      <c r="E73" t="s">
        <v>27</v>
      </c>
      <c r="F73" t="s">
        <v>28</v>
      </c>
      <c r="G73" t="s">
        <v>119</v>
      </c>
      <c r="H73" t="s">
        <v>30</v>
      </c>
      <c r="I73" t="s">
        <v>52</v>
      </c>
      <c r="J73" t="s">
        <v>31</v>
      </c>
      <c r="K73" t="s">
        <v>32</v>
      </c>
      <c r="L73" t="s">
        <v>32</v>
      </c>
      <c r="M73" t="s">
        <v>33</v>
      </c>
      <c r="N73" t="s">
        <v>33</v>
      </c>
      <c r="O73" t="s">
        <v>33</v>
      </c>
      <c r="P73" t="s">
        <v>34</v>
      </c>
      <c r="Q73" t="s">
        <v>35</v>
      </c>
      <c r="S73" t="s">
        <v>30</v>
      </c>
      <c r="T73" t="s">
        <v>122</v>
      </c>
      <c r="U73" t="s">
        <v>123</v>
      </c>
      <c r="V73" t="s">
        <v>40</v>
      </c>
      <c r="W73" s="1">
        <v>1453800</v>
      </c>
    </row>
    <row r="74" spans="1:23" x14ac:dyDescent="0.2">
      <c r="A74" t="s">
        <v>23</v>
      </c>
      <c r="B74" t="s">
        <v>24</v>
      </c>
      <c r="C74" t="s">
        <v>25</v>
      </c>
      <c r="D74" t="s">
        <v>26</v>
      </c>
      <c r="E74" t="s">
        <v>27</v>
      </c>
      <c r="F74" t="s">
        <v>28</v>
      </c>
      <c r="G74" t="s">
        <v>119</v>
      </c>
      <c r="H74" t="s">
        <v>30</v>
      </c>
      <c r="I74" t="s">
        <v>52</v>
      </c>
      <c r="J74" t="s">
        <v>57</v>
      </c>
      <c r="K74" t="s">
        <v>32</v>
      </c>
      <c r="L74" t="s">
        <v>32</v>
      </c>
      <c r="M74" t="s">
        <v>33</v>
      </c>
      <c r="N74" t="s">
        <v>33</v>
      </c>
      <c r="O74" t="s">
        <v>33</v>
      </c>
      <c r="P74" t="s">
        <v>34</v>
      </c>
      <c r="Q74" t="s">
        <v>35</v>
      </c>
      <c r="R74" t="s">
        <v>124</v>
      </c>
      <c r="S74" t="s">
        <v>30</v>
      </c>
      <c r="T74" t="s">
        <v>125</v>
      </c>
      <c r="U74" t="s">
        <v>126</v>
      </c>
      <c r="V74" t="s">
        <v>39</v>
      </c>
      <c r="W74" s="1">
        <v>2</v>
      </c>
    </row>
    <row r="75" spans="1:23" x14ac:dyDescent="0.2">
      <c r="A75" t="s">
        <v>23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119</v>
      </c>
      <c r="H75" t="s">
        <v>30</v>
      </c>
      <c r="I75" t="s">
        <v>52</v>
      </c>
      <c r="J75" t="s">
        <v>57</v>
      </c>
      <c r="K75" t="s">
        <v>32</v>
      </c>
      <c r="L75" t="s">
        <v>32</v>
      </c>
      <c r="M75" t="s">
        <v>33</v>
      </c>
      <c r="N75" t="s">
        <v>33</v>
      </c>
      <c r="O75" t="s">
        <v>33</v>
      </c>
      <c r="P75" t="s">
        <v>34</v>
      </c>
      <c r="Q75" t="s">
        <v>35</v>
      </c>
      <c r="R75" t="s">
        <v>124</v>
      </c>
      <c r="S75" t="s">
        <v>30</v>
      </c>
      <c r="T75" t="s">
        <v>125</v>
      </c>
      <c r="U75" t="s">
        <v>126</v>
      </c>
      <c r="V75" t="s">
        <v>40</v>
      </c>
      <c r="W75" s="1">
        <v>3198000</v>
      </c>
    </row>
    <row r="76" spans="1:23" x14ac:dyDescent="0.2">
      <c r="A76" t="s">
        <v>23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127</v>
      </c>
      <c r="H76" t="s">
        <v>52</v>
      </c>
      <c r="I76" t="s">
        <v>30</v>
      </c>
      <c r="J76" t="s">
        <v>128</v>
      </c>
      <c r="K76" t="s">
        <v>32</v>
      </c>
      <c r="L76" t="s">
        <v>32</v>
      </c>
      <c r="M76" t="s">
        <v>33</v>
      </c>
      <c r="N76" t="s">
        <v>33</v>
      </c>
      <c r="O76" t="s">
        <v>33</v>
      </c>
      <c r="P76" t="s">
        <v>42</v>
      </c>
      <c r="Q76" t="s">
        <v>43</v>
      </c>
      <c r="R76" t="s">
        <v>129</v>
      </c>
      <c r="S76" t="s">
        <v>30</v>
      </c>
      <c r="T76" t="s">
        <v>130</v>
      </c>
      <c r="U76" t="s">
        <v>131</v>
      </c>
      <c r="V76" t="s">
        <v>39</v>
      </c>
      <c r="W76" s="1">
        <v>6</v>
      </c>
    </row>
    <row r="77" spans="1:23" x14ac:dyDescent="0.2">
      <c r="A77" t="s">
        <v>23</v>
      </c>
      <c r="B77" t="s">
        <v>24</v>
      </c>
      <c r="C77" t="s">
        <v>25</v>
      </c>
      <c r="D77" t="s">
        <v>26</v>
      </c>
      <c r="E77" t="s">
        <v>27</v>
      </c>
      <c r="F77" t="s">
        <v>28</v>
      </c>
      <c r="G77" t="s">
        <v>127</v>
      </c>
      <c r="H77" t="s">
        <v>52</v>
      </c>
      <c r="I77" t="s">
        <v>30</v>
      </c>
      <c r="J77" t="s">
        <v>128</v>
      </c>
      <c r="K77" t="s">
        <v>32</v>
      </c>
      <c r="L77" t="s">
        <v>32</v>
      </c>
      <c r="M77" t="s">
        <v>33</v>
      </c>
      <c r="N77" t="s">
        <v>33</v>
      </c>
      <c r="O77" t="s">
        <v>33</v>
      </c>
      <c r="P77" t="s">
        <v>42</v>
      </c>
      <c r="Q77" t="s">
        <v>43</v>
      </c>
      <c r="R77" t="s">
        <v>129</v>
      </c>
      <c r="S77" t="s">
        <v>30</v>
      </c>
      <c r="T77" t="s">
        <v>130</v>
      </c>
      <c r="U77" t="s">
        <v>131</v>
      </c>
      <c r="V77" t="s">
        <v>40</v>
      </c>
      <c r="W77" s="1">
        <v>2844000</v>
      </c>
    </row>
    <row r="78" spans="1:23" x14ac:dyDescent="0.2">
      <c r="A78" t="s">
        <v>23</v>
      </c>
      <c r="B78" t="s">
        <v>24</v>
      </c>
      <c r="C78" t="s">
        <v>25</v>
      </c>
      <c r="D78" t="s">
        <v>26</v>
      </c>
      <c r="E78" t="s">
        <v>27</v>
      </c>
      <c r="F78" t="s">
        <v>28</v>
      </c>
      <c r="G78" t="s">
        <v>127</v>
      </c>
      <c r="H78" t="s">
        <v>52</v>
      </c>
      <c r="I78" t="s">
        <v>30</v>
      </c>
      <c r="J78" t="s">
        <v>31</v>
      </c>
      <c r="K78" t="s">
        <v>32</v>
      </c>
      <c r="L78" t="s">
        <v>32</v>
      </c>
      <c r="M78" t="s">
        <v>33</v>
      </c>
      <c r="N78" t="s">
        <v>33</v>
      </c>
      <c r="O78" t="s">
        <v>33</v>
      </c>
      <c r="P78" t="s">
        <v>42</v>
      </c>
      <c r="Q78" t="s">
        <v>43</v>
      </c>
      <c r="S78" t="s">
        <v>30</v>
      </c>
      <c r="T78" t="s">
        <v>132</v>
      </c>
      <c r="U78" t="s">
        <v>133</v>
      </c>
      <c r="V78" t="s">
        <v>39</v>
      </c>
      <c r="W78" s="1">
        <v>2</v>
      </c>
    </row>
    <row r="79" spans="1:23" x14ac:dyDescent="0.2">
      <c r="A79" t="s">
        <v>23</v>
      </c>
      <c r="B79" t="s">
        <v>24</v>
      </c>
      <c r="C79" t="s">
        <v>25</v>
      </c>
      <c r="D79" t="s">
        <v>26</v>
      </c>
      <c r="E79" t="s">
        <v>27</v>
      </c>
      <c r="F79" t="s">
        <v>28</v>
      </c>
      <c r="G79" t="s">
        <v>127</v>
      </c>
      <c r="H79" t="s">
        <v>52</v>
      </c>
      <c r="I79" t="s">
        <v>30</v>
      </c>
      <c r="J79" t="s">
        <v>31</v>
      </c>
      <c r="K79" t="s">
        <v>32</v>
      </c>
      <c r="L79" t="s">
        <v>32</v>
      </c>
      <c r="M79" t="s">
        <v>33</v>
      </c>
      <c r="N79" t="s">
        <v>33</v>
      </c>
      <c r="O79" t="s">
        <v>33</v>
      </c>
      <c r="P79" t="s">
        <v>42</v>
      </c>
      <c r="Q79" t="s">
        <v>43</v>
      </c>
      <c r="S79" t="s">
        <v>30</v>
      </c>
      <c r="T79" t="s">
        <v>132</v>
      </c>
      <c r="U79" t="s">
        <v>133</v>
      </c>
      <c r="V79" t="s">
        <v>40</v>
      </c>
      <c r="W79" s="1">
        <v>2156200</v>
      </c>
    </row>
    <row r="80" spans="1:23" x14ac:dyDescent="0.2">
      <c r="A80" t="s">
        <v>23</v>
      </c>
      <c r="B80" t="s">
        <v>24</v>
      </c>
      <c r="C80" t="s">
        <v>25</v>
      </c>
      <c r="D80" t="s">
        <v>26</v>
      </c>
      <c r="E80" t="s">
        <v>27</v>
      </c>
      <c r="F80" t="s">
        <v>28</v>
      </c>
      <c r="G80" t="s">
        <v>134</v>
      </c>
      <c r="H80" t="s">
        <v>52</v>
      </c>
      <c r="I80" t="s">
        <v>30</v>
      </c>
      <c r="J80" t="s">
        <v>128</v>
      </c>
      <c r="K80" t="s">
        <v>135</v>
      </c>
      <c r="L80" t="s">
        <v>32</v>
      </c>
      <c r="M80" t="s">
        <v>33</v>
      </c>
      <c r="N80" t="s">
        <v>33</v>
      </c>
      <c r="O80" t="s">
        <v>33</v>
      </c>
      <c r="P80" t="s">
        <v>34</v>
      </c>
      <c r="Q80" t="s">
        <v>35</v>
      </c>
      <c r="R80" t="s">
        <v>136</v>
      </c>
      <c r="S80" t="s">
        <v>30</v>
      </c>
      <c r="T80" t="s">
        <v>137</v>
      </c>
      <c r="U80" t="s">
        <v>138</v>
      </c>
      <c r="V80" t="s">
        <v>39</v>
      </c>
      <c r="W80" s="1">
        <v>2</v>
      </c>
    </row>
    <row r="81" spans="1:23" x14ac:dyDescent="0.2">
      <c r="A81" t="s">
        <v>23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134</v>
      </c>
      <c r="H81" t="s">
        <v>52</v>
      </c>
      <c r="I81" t="s">
        <v>30</v>
      </c>
      <c r="J81" t="s">
        <v>128</v>
      </c>
      <c r="K81" t="s">
        <v>135</v>
      </c>
      <c r="L81" t="s">
        <v>32</v>
      </c>
      <c r="M81" t="s">
        <v>33</v>
      </c>
      <c r="N81" t="s">
        <v>33</v>
      </c>
      <c r="O81" t="s">
        <v>33</v>
      </c>
      <c r="P81" t="s">
        <v>34</v>
      </c>
      <c r="Q81" t="s">
        <v>35</v>
      </c>
      <c r="R81" t="s">
        <v>136</v>
      </c>
      <c r="S81" t="s">
        <v>30</v>
      </c>
      <c r="T81" t="s">
        <v>137</v>
      </c>
      <c r="U81" t="s">
        <v>138</v>
      </c>
      <c r="V81" t="s">
        <v>40</v>
      </c>
      <c r="W81" s="1">
        <v>1375800</v>
      </c>
    </row>
    <row r="82" spans="1:23" x14ac:dyDescent="0.2">
      <c r="A82" t="s">
        <v>23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139</v>
      </c>
      <c r="H82" t="s">
        <v>30</v>
      </c>
      <c r="I82" t="s">
        <v>30</v>
      </c>
      <c r="J82" t="s">
        <v>41</v>
      </c>
      <c r="K82" t="s">
        <v>32</v>
      </c>
      <c r="L82" t="s">
        <v>32</v>
      </c>
      <c r="M82" t="s">
        <v>33</v>
      </c>
      <c r="N82" t="s">
        <v>33</v>
      </c>
      <c r="O82" t="s">
        <v>33</v>
      </c>
      <c r="P82" t="s">
        <v>34</v>
      </c>
      <c r="Q82" t="s">
        <v>35</v>
      </c>
      <c r="R82" t="s">
        <v>54</v>
      </c>
      <c r="S82" t="s">
        <v>30</v>
      </c>
      <c r="T82" t="s">
        <v>140</v>
      </c>
      <c r="U82" t="s">
        <v>141</v>
      </c>
      <c r="V82" t="s">
        <v>39</v>
      </c>
      <c r="W82" s="1">
        <v>2</v>
      </c>
    </row>
    <row r="83" spans="1:23" x14ac:dyDescent="0.2">
      <c r="A83" t="s">
        <v>23</v>
      </c>
      <c r="B83" t="s">
        <v>24</v>
      </c>
      <c r="C83" t="s">
        <v>25</v>
      </c>
      <c r="D83" t="s">
        <v>26</v>
      </c>
      <c r="E83" t="s">
        <v>27</v>
      </c>
      <c r="F83" t="s">
        <v>28</v>
      </c>
      <c r="G83" t="s">
        <v>139</v>
      </c>
      <c r="H83" t="s">
        <v>30</v>
      </c>
      <c r="I83" t="s">
        <v>30</v>
      </c>
      <c r="J83" t="s">
        <v>41</v>
      </c>
      <c r="K83" t="s">
        <v>32</v>
      </c>
      <c r="L83" t="s">
        <v>32</v>
      </c>
      <c r="M83" t="s">
        <v>33</v>
      </c>
      <c r="N83" t="s">
        <v>33</v>
      </c>
      <c r="O83" t="s">
        <v>33</v>
      </c>
      <c r="P83" t="s">
        <v>34</v>
      </c>
      <c r="Q83" t="s">
        <v>35</v>
      </c>
      <c r="R83" t="s">
        <v>54</v>
      </c>
      <c r="S83" t="s">
        <v>30</v>
      </c>
      <c r="T83" t="s">
        <v>140</v>
      </c>
      <c r="U83" t="s">
        <v>141</v>
      </c>
      <c r="V83" t="s">
        <v>40</v>
      </c>
      <c r="W83" s="1">
        <v>2199800</v>
      </c>
    </row>
    <row r="84" spans="1:23" x14ac:dyDescent="0.2">
      <c r="A84" t="s">
        <v>23</v>
      </c>
      <c r="B84" t="s">
        <v>24</v>
      </c>
      <c r="C84" t="s">
        <v>25</v>
      </c>
      <c r="D84" t="s">
        <v>26</v>
      </c>
      <c r="E84" t="s">
        <v>27</v>
      </c>
      <c r="F84" t="s">
        <v>28</v>
      </c>
      <c r="G84" t="s">
        <v>139</v>
      </c>
      <c r="H84" t="s">
        <v>30</v>
      </c>
      <c r="I84" t="s">
        <v>30</v>
      </c>
      <c r="J84" t="s">
        <v>41</v>
      </c>
      <c r="K84" t="s">
        <v>32</v>
      </c>
      <c r="L84" t="s">
        <v>32</v>
      </c>
      <c r="M84" t="s">
        <v>33</v>
      </c>
      <c r="N84" t="s">
        <v>33</v>
      </c>
      <c r="O84" t="s">
        <v>33</v>
      </c>
      <c r="P84" t="s">
        <v>34</v>
      </c>
      <c r="Q84" t="s">
        <v>35</v>
      </c>
      <c r="S84" t="s">
        <v>30</v>
      </c>
      <c r="T84" t="s">
        <v>142</v>
      </c>
      <c r="U84" t="s">
        <v>143</v>
      </c>
      <c r="V84" t="s">
        <v>39</v>
      </c>
      <c r="W84" s="1">
        <v>2</v>
      </c>
    </row>
    <row r="85" spans="1:23" x14ac:dyDescent="0.2">
      <c r="A85" t="s">
        <v>23</v>
      </c>
      <c r="B85" t="s">
        <v>24</v>
      </c>
      <c r="C85" t="s">
        <v>25</v>
      </c>
      <c r="D85" t="s">
        <v>26</v>
      </c>
      <c r="E85" t="s">
        <v>27</v>
      </c>
      <c r="F85" t="s">
        <v>28</v>
      </c>
      <c r="G85" t="s">
        <v>139</v>
      </c>
      <c r="H85" t="s">
        <v>30</v>
      </c>
      <c r="I85" t="s">
        <v>30</v>
      </c>
      <c r="J85" t="s">
        <v>41</v>
      </c>
      <c r="K85" t="s">
        <v>32</v>
      </c>
      <c r="L85" t="s">
        <v>32</v>
      </c>
      <c r="M85" t="s">
        <v>33</v>
      </c>
      <c r="N85" t="s">
        <v>33</v>
      </c>
      <c r="O85" t="s">
        <v>33</v>
      </c>
      <c r="P85" t="s">
        <v>34</v>
      </c>
      <c r="Q85" t="s">
        <v>35</v>
      </c>
      <c r="S85" t="s">
        <v>30</v>
      </c>
      <c r="T85" t="s">
        <v>142</v>
      </c>
      <c r="U85" t="s">
        <v>143</v>
      </c>
      <c r="V85" t="s">
        <v>40</v>
      </c>
      <c r="W85" s="1">
        <v>2498000</v>
      </c>
    </row>
    <row r="86" spans="1:23" x14ac:dyDescent="0.2">
      <c r="A86" t="s">
        <v>23</v>
      </c>
      <c r="B86" t="s">
        <v>24</v>
      </c>
      <c r="C86" t="s">
        <v>25</v>
      </c>
      <c r="D86" t="s">
        <v>26</v>
      </c>
      <c r="E86" t="s">
        <v>27</v>
      </c>
      <c r="F86" t="s">
        <v>28</v>
      </c>
      <c r="G86" t="s">
        <v>139</v>
      </c>
      <c r="H86" t="s">
        <v>30</v>
      </c>
      <c r="I86" t="s">
        <v>30</v>
      </c>
      <c r="J86" t="s">
        <v>41</v>
      </c>
      <c r="K86" t="s">
        <v>32</v>
      </c>
      <c r="L86" t="s">
        <v>32</v>
      </c>
      <c r="M86" t="s">
        <v>33</v>
      </c>
      <c r="P86" t="s">
        <v>34</v>
      </c>
      <c r="Q86" t="s">
        <v>35</v>
      </c>
      <c r="S86" t="s">
        <v>30</v>
      </c>
      <c r="T86" t="s">
        <v>144</v>
      </c>
      <c r="U86" t="s">
        <v>145</v>
      </c>
      <c r="V86" t="s">
        <v>39</v>
      </c>
      <c r="W86" s="1">
        <v>6</v>
      </c>
    </row>
    <row r="87" spans="1:23" x14ac:dyDescent="0.2">
      <c r="A87" t="s">
        <v>23</v>
      </c>
      <c r="B87" t="s">
        <v>24</v>
      </c>
      <c r="C87" t="s">
        <v>25</v>
      </c>
      <c r="D87" t="s">
        <v>26</v>
      </c>
      <c r="E87" t="s">
        <v>27</v>
      </c>
      <c r="F87" t="s">
        <v>28</v>
      </c>
      <c r="G87" t="s">
        <v>139</v>
      </c>
      <c r="H87" t="s">
        <v>30</v>
      </c>
      <c r="I87" t="s">
        <v>30</v>
      </c>
      <c r="J87" t="s">
        <v>41</v>
      </c>
      <c r="K87" t="s">
        <v>32</v>
      </c>
      <c r="L87" t="s">
        <v>32</v>
      </c>
      <c r="M87" t="s">
        <v>33</v>
      </c>
      <c r="P87" t="s">
        <v>34</v>
      </c>
      <c r="Q87" t="s">
        <v>35</v>
      </c>
      <c r="S87" t="s">
        <v>30</v>
      </c>
      <c r="T87" t="s">
        <v>144</v>
      </c>
      <c r="U87" t="s">
        <v>145</v>
      </c>
      <c r="V87" t="s">
        <v>40</v>
      </c>
      <c r="W87" s="1">
        <v>7149600</v>
      </c>
    </row>
    <row r="88" spans="1:23" x14ac:dyDescent="0.2">
      <c r="A88" t="s">
        <v>23</v>
      </c>
      <c r="B88" t="s">
        <v>24</v>
      </c>
      <c r="C88" t="s">
        <v>25</v>
      </c>
      <c r="D88" t="s">
        <v>26</v>
      </c>
      <c r="E88" t="s">
        <v>146</v>
      </c>
      <c r="F88" t="s">
        <v>147</v>
      </c>
      <c r="G88" t="s">
        <v>49</v>
      </c>
      <c r="H88" t="s">
        <v>30</v>
      </c>
      <c r="I88" t="s">
        <v>30</v>
      </c>
      <c r="J88" t="s">
        <v>31</v>
      </c>
      <c r="K88" t="s">
        <v>32</v>
      </c>
      <c r="L88" t="s">
        <v>32</v>
      </c>
      <c r="M88" t="s">
        <v>33</v>
      </c>
      <c r="N88" t="s">
        <v>33</v>
      </c>
      <c r="O88" t="s">
        <v>33</v>
      </c>
      <c r="P88" t="s">
        <v>34</v>
      </c>
      <c r="Q88" t="s">
        <v>35</v>
      </c>
      <c r="R88" t="s">
        <v>148</v>
      </c>
      <c r="S88" t="s">
        <v>30</v>
      </c>
      <c r="T88" t="s">
        <v>149</v>
      </c>
      <c r="U88" t="s">
        <v>150</v>
      </c>
      <c r="V88" t="s">
        <v>39</v>
      </c>
      <c r="W88" s="1">
        <v>2</v>
      </c>
    </row>
    <row r="89" spans="1:23" x14ac:dyDescent="0.2">
      <c r="A89" t="s">
        <v>23</v>
      </c>
      <c r="B89" t="s">
        <v>24</v>
      </c>
      <c r="C89" t="s">
        <v>25</v>
      </c>
      <c r="D89" t="s">
        <v>26</v>
      </c>
      <c r="E89" t="s">
        <v>146</v>
      </c>
      <c r="F89" t="s">
        <v>147</v>
      </c>
      <c r="G89" t="s">
        <v>49</v>
      </c>
      <c r="H89" t="s">
        <v>30</v>
      </c>
      <c r="I89" t="s">
        <v>30</v>
      </c>
      <c r="J89" t="s">
        <v>31</v>
      </c>
      <c r="K89" t="s">
        <v>32</v>
      </c>
      <c r="L89" t="s">
        <v>32</v>
      </c>
      <c r="M89" t="s">
        <v>33</v>
      </c>
      <c r="N89" t="s">
        <v>33</v>
      </c>
      <c r="O89" t="s">
        <v>33</v>
      </c>
      <c r="P89" t="s">
        <v>34</v>
      </c>
      <c r="Q89" t="s">
        <v>35</v>
      </c>
      <c r="R89" t="s">
        <v>148</v>
      </c>
      <c r="S89" t="s">
        <v>30</v>
      </c>
      <c r="T89" t="s">
        <v>149</v>
      </c>
      <c r="U89" t="s">
        <v>150</v>
      </c>
      <c r="V89" t="s">
        <v>40</v>
      </c>
      <c r="W89" s="1">
        <v>3793200</v>
      </c>
    </row>
    <row r="90" spans="1:23" x14ac:dyDescent="0.2">
      <c r="A90" t="s">
        <v>23</v>
      </c>
      <c r="B90" t="s">
        <v>24</v>
      </c>
      <c r="C90" t="s">
        <v>25</v>
      </c>
      <c r="D90" t="s">
        <v>26</v>
      </c>
      <c r="E90" t="s">
        <v>146</v>
      </c>
      <c r="F90" t="s">
        <v>147</v>
      </c>
      <c r="G90" t="s">
        <v>61</v>
      </c>
      <c r="H90" t="s">
        <v>52</v>
      </c>
      <c r="I90" t="s">
        <v>52</v>
      </c>
      <c r="J90" t="s">
        <v>31</v>
      </c>
      <c r="K90" t="s">
        <v>32</v>
      </c>
      <c r="L90" t="s">
        <v>32</v>
      </c>
      <c r="M90" t="s">
        <v>33</v>
      </c>
      <c r="N90" t="s">
        <v>33</v>
      </c>
      <c r="O90" t="s">
        <v>33</v>
      </c>
      <c r="P90" t="s">
        <v>34</v>
      </c>
      <c r="Q90" t="s">
        <v>35</v>
      </c>
      <c r="R90" t="s">
        <v>151</v>
      </c>
      <c r="S90" t="s">
        <v>30</v>
      </c>
      <c r="T90" t="s">
        <v>152</v>
      </c>
      <c r="U90" t="s">
        <v>153</v>
      </c>
      <c r="V90" t="s">
        <v>39</v>
      </c>
      <c r="W90" s="1">
        <v>3</v>
      </c>
    </row>
    <row r="91" spans="1:23" x14ac:dyDescent="0.2">
      <c r="A91" t="s">
        <v>23</v>
      </c>
      <c r="B91" t="s">
        <v>24</v>
      </c>
      <c r="C91" t="s">
        <v>25</v>
      </c>
      <c r="D91" t="s">
        <v>26</v>
      </c>
      <c r="E91" t="s">
        <v>146</v>
      </c>
      <c r="F91" t="s">
        <v>147</v>
      </c>
      <c r="G91" t="s">
        <v>61</v>
      </c>
      <c r="H91" t="s">
        <v>52</v>
      </c>
      <c r="I91" t="s">
        <v>52</v>
      </c>
      <c r="J91" t="s">
        <v>31</v>
      </c>
      <c r="K91" t="s">
        <v>32</v>
      </c>
      <c r="L91" t="s">
        <v>32</v>
      </c>
      <c r="M91" t="s">
        <v>33</v>
      </c>
      <c r="N91" t="s">
        <v>33</v>
      </c>
      <c r="O91" t="s">
        <v>33</v>
      </c>
      <c r="P91" t="s">
        <v>34</v>
      </c>
      <c r="Q91" t="s">
        <v>35</v>
      </c>
      <c r="R91" t="s">
        <v>151</v>
      </c>
      <c r="S91" t="s">
        <v>30</v>
      </c>
      <c r="T91" t="s">
        <v>152</v>
      </c>
      <c r="U91" t="s">
        <v>153</v>
      </c>
      <c r="V91" t="s">
        <v>40</v>
      </c>
      <c r="W91" s="1">
        <v>9630600</v>
      </c>
    </row>
    <row r="92" spans="1:23" x14ac:dyDescent="0.2">
      <c r="A92" t="s">
        <v>23</v>
      </c>
      <c r="B92" t="s">
        <v>24</v>
      </c>
      <c r="C92" t="s">
        <v>25</v>
      </c>
      <c r="D92" t="s">
        <v>26</v>
      </c>
      <c r="E92" t="s">
        <v>154</v>
      </c>
      <c r="F92" t="s">
        <v>155</v>
      </c>
      <c r="G92" t="s">
        <v>29</v>
      </c>
      <c r="H92" t="s">
        <v>30</v>
      </c>
      <c r="I92" t="s">
        <v>30</v>
      </c>
      <c r="J92" t="s">
        <v>128</v>
      </c>
      <c r="K92" t="s">
        <v>135</v>
      </c>
      <c r="L92" t="s">
        <v>32</v>
      </c>
      <c r="M92" t="s">
        <v>33</v>
      </c>
      <c r="N92" t="s">
        <v>33</v>
      </c>
      <c r="O92" t="s">
        <v>33</v>
      </c>
      <c r="P92" t="s">
        <v>34</v>
      </c>
      <c r="Q92" t="s">
        <v>35</v>
      </c>
      <c r="R92" t="s">
        <v>136</v>
      </c>
      <c r="S92" t="s">
        <v>30</v>
      </c>
      <c r="T92" t="s">
        <v>156</v>
      </c>
      <c r="U92" t="s">
        <v>157</v>
      </c>
      <c r="V92" t="s">
        <v>39</v>
      </c>
      <c r="W92" s="1">
        <v>2</v>
      </c>
    </row>
    <row r="93" spans="1:23" x14ac:dyDescent="0.2">
      <c r="A93" t="s">
        <v>23</v>
      </c>
      <c r="B93" t="s">
        <v>24</v>
      </c>
      <c r="C93" t="s">
        <v>25</v>
      </c>
      <c r="D93" t="s">
        <v>26</v>
      </c>
      <c r="E93" t="s">
        <v>154</v>
      </c>
      <c r="F93" t="s">
        <v>155</v>
      </c>
      <c r="G93" t="s">
        <v>29</v>
      </c>
      <c r="H93" t="s">
        <v>30</v>
      </c>
      <c r="I93" t="s">
        <v>30</v>
      </c>
      <c r="J93" t="s">
        <v>128</v>
      </c>
      <c r="K93" t="s">
        <v>135</v>
      </c>
      <c r="L93" t="s">
        <v>32</v>
      </c>
      <c r="M93" t="s">
        <v>33</v>
      </c>
      <c r="N93" t="s">
        <v>33</v>
      </c>
      <c r="O93" t="s">
        <v>33</v>
      </c>
      <c r="P93" t="s">
        <v>34</v>
      </c>
      <c r="Q93" t="s">
        <v>35</v>
      </c>
      <c r="R93" t="s">
        <v>136</v>
      </c>
      <c r="S93" t="s">
        <v>30</v>
      </c>
      <c r="T93" t="s">
        <v>156</v>
      </c>
      <c r="U93" t="s">
        <v>157</v>
      </c>
      <c r="V93" t="s">
        <v>40</v>
      </c>
      <c r="W93" s="1">
        <v>2161800</v>
      </c>
    </row>
    <row r="94" spans="1:23" x14ac:dyDescent="0.2">
      <c r="A94" t="s">
        <v>23</v>
      </c>
      <c r="B94" t="s">
        <v>24</v>
      </c>
      <c r="C94" t="s">
        <v>25</v>
      </c>
      <c r="D94" t="s">
        <v>26</v>
      </c>
      <c r="E94" t="s">
        <v>154</v>
      </c>
      <c r="F94" t="s">
        <v>155</v>
      </c>
      <c r="G94" t="s">
        <v>29</v>
      </c>
      <c r="H94" t="s">
        <v>30</v>
      </c>
      <c r="I94" t="s">
        <v>30</v>
      </c>
      <c r="J94" t="s">
        <v>31</v>
      </c>
      <c r="K94" t="s">
        <v>32</v>
      </c>
      <c r="L94" t="s">
        <v>32</v>
      </c>
      <c r="M94" t="s">
        <v>33</v>
      </c>
      <c r="N94" t="s">
        <v>33</v>
      </c>
      <c r="O94" t="s">
        <v>33</v>
      </c>
      <c r="P94" t="s">
        <v>42</v>
      </c>
      <c r="Q94" t="s">
        <v>43</v>
      </c>
      <c r="S94" t="s">
        <v>30</v>
      </c>
      <c r="T94" t="s">
        <v>158</v>
      </c>
      <c r="U94" t="s">
        <v>159</v>
      </c>
      <c r="V94" t="s">
        <v>39</v>
      </c>
      <c r="W94" s="1">
        <v>3</v>
      </c>
    </row>
    <row r="95" spans="1:23" x14ac:dyDescent="0.2">
      <c r="A95" t="s">
        <v>23</v>
      </c>
      <c r="B95" t="s">
        <v>24</v>
      </c>
      <c r="C95" t="s">
        <v>25</v>
      </c>
      <c r="D95" t="s">
        <v>26</v>
      </c>
      <c r="E95" t="s">
        <v>154</v>
      </c>
      <c r="F95" t="s">
        <v>155</v>
      </c>
      <c r="G95" t="s">
        <v>29</v>
      </c>
      <c r="H95" t="s">
        <v>30</v>
      </c>
      <c r="I95" t="s">
        <v>30</v>
      </c>
      <c r="J95" t="s">
        <v>31</v>
      </c>
      <c r="K95" t="s">
        <v>32</v>
      </c>
      <c r="L95" t="s">
        <v>32</v>
      </c>
      <c r="M95" t="s">
        <v>33</v>
      </c>
      <c r="N95" t="s">
        <v>33</v>
      </c>
      <c r="O95" t="s">
        <v>33</v>
      </c>
      <c r="P95" t="s">
        <v>42</v>
      </c>
      <c r="Q95" t="s">
        <v>43</v>
      </c>
      <c r="S95" t="s">
        <v>30</v>
      </c>
      <c r="T95" t="s">
        <v>158</v>
      </c>
      <c r="U95" t="s">
        <v>159</v>
      </c>
      <c r="V95" t="s">
        <v>40</v>
      </c>
      <c r="W95" s="1">
        <v>2819700</v>
      </c>
    </row>
    <row r="96" spans="1:23" x14ac:dyDescent="0.2">
      <c r="A96" t="s">
        <v>23</v>
      </c>
      <c r="B96" t="s">
        <v>24</v>
      </c>
      <c r="C96" t="s">
        <v>25</v>
      </c>
      <c r="D96" t="s">
        <v>26</v>
      </c>
      <c r="E96" t="s">
        <v>154</v>
      </c>
      <c r="F96" t="s">
        <v>155</v>
      </c>
      <c r="G96" t="s">
        <v>29</v>
      </c>
      <c r="H96" t="s">
        <v>30</v>
      </c>
      <c r="I96" t="s">
        <v>30</v>
      </c>
      <c r="J96" t="s">
        <v>31</v>
      </c>
      <c r="K96" t="s">
        <v>32</v>
      </c>
      <c r="L96" t="s">
        <v>32</v>
      </c>
      <c r="M96" t="s">
        <v>33</v>
      </c>
      <c r="P96" t="s">
        <v>42</v>
      </c>
      <c r="Q96" t="s">
        <v>43</v>
      </c>
      <c r="S96" t="s">
        <v>52</v>
      </c>
      <c r="T96" t="s">
        <v>158</v>
      </c>
      <c r="U96" t="s">
        <v>159</v>
      </c>
      <c r="V96" t="s">
        <v>39</v>
      </c>
      <c r="W96" s="1">
        <v>0</v>
      </c>
    </row>
    <row r="97" spans="1:23" x14ac:dyDescent="0.2">
      <c r="A97" t="s">
        <v>23</v>
      </c>
      <c r="B97" t="s">
        <v>24</v>
      </c>
      <c r="C97" t="s">
        <v>25</v>
      </c>
      <c r="D97" t="s">
        <v>26</v>
      </c>
      <c r="E97" t="s">
        <v>154</v>
      </c>
      <c r="F97" t="s">
        <v>155</v>
      </c>
      <c r="G97" t="s">
        <v>29</v>
      </c>
      <c r="H97" t="s">
        <v>30</v>
      </c>
      <c r="I97" t="s">
        <v>30</v>
      </c>
      <c r="J97" t="s">
        <v>31</v>
      </c>
      <c r="K97" t="s">
        <v>32</v>
      </c>
      <c r="L97" t="s">
        <v>32</v>
      </c>
      <c r="M97" t="s">
        <v>33</v>
      </c>
      <c r="P97" t="s">
        <v>42</v>
      </c>
      <c r="Q97" t="s">
        <v>43</v>
      </c>
      <c r="S97" t="s">
        <v>52</v>
      </c>
      <c r="T97" t="s">
        <v>158</v>
      </c>
      <c r="U97" t="s">
        <v>159</v>
      </c>
      <c r="V97" t="s">
        <v>40</v>
      </c>
      <c r="W97" s="1">
        <v>829900</v>
      </c>
    </row>
    <row r="98" spans="1:23" x14ac:dyDescent="0.2">
      <c r="A98" t="s">
        <v>23</v>
      </c>
      <c r="B98" t="s">
        <v>24</v>
      </c>
      <c r="C98" t="s">
        <v>25</v>
      </c>
      <c r="D98" t="s">
        <v>26</v>
      </c>
      <c r="E98" t="s">
        <v>154</v>
      </c>
      <c r="F98" t="s">
        <v>155</v>
      </c>
      <c r="G98" t="s">
        <v>29</v>
      </c>
      <c r="H98" t="s">
        <v>30</v>
      </c>
      <c r="I98" t="s">
        <v>30</v>
      </c>
      <c r="J98" t="s">
        <v>41</v>
      </c>
      <c r="K98" t="s">
        <v>32</v>
      </c>
      <c r="L98" t="s">
        <v>32</v>
      </c>
      <c r="M98" t="s">
        <v>33</v>
      </c>
      <c r="P98" t="s">
        <v>34</v>
      </c>
      <c r="Q98" t="s">
        <v>35</v>
      </c>
      <c r="S98" t="s">
        <v>52</v>
      </c>
      <c r="T98" t="s">
        <v>160</v>
      </c>
      <c r="U98" t="s">
        <v>161</v>
      </c>
      <c r="V98" t="s">
        <v>39</v>
      </c>
      <c r="W98" s="1">
        <v>0</v>
      </c>
    </row>
    <row r="99" spans="1:23" x14ac:dyDescent="0.2">
      <c r="A99" t="s">
        <v>23</v>
      </c>
      <c r="B99" t="s">
        <v>24</v>
      </c>
      <c r="C99" t="s">
        <v>25</v>
      </c>
      <c r="D99" t="s">
        <v>26</v>
      </c>
      <c r="E99" t="s">
        <v>154</v>
      </c>
      <c r="F99" t="s">
        <v>155</v>
      </c>
      <c r="G99" t="s">
        <v>29</v>
      </c>
      <c r="H99" t="s">
        <v>30</v>
      </c>
      <c r="I99" t="s">
        <v>30</v>
      </c>
      <c r="J99" t="s">
        <v>41</v>
      </c>
      <c r="K99" t="s">
        <v>32</v>
      </c>
      <c r="L99" t="s">
        <v>32</v>
      </c>
      <c r="M99" t="s">
        <v>33</v>
      </c>
      <c r="P99" t="s">
        <v>34</v>
      </c>
      <c r="Q99" t="s">
        <v>35</v>
      </c>
      <c r="S99" t="s">
        <v>52</v>
      </c>
      <c r="T99" t="s">
        <v>160</v>
      </c>
      <c r="U99" t="s">
        <v>161</v>
      </c>
      <c r="V99" t="s">
        <v>40</v>
      </c>
      <c r="W99" s="1">
        <v>5796000</v>
      </c>
    </row>
    <row r="100" spans="1:23" x14ac:dyDescent="0.2">
      <c r="A100" t="s">
        <v>23</v>
      </c>
      <c r="B100" t="s">
        <v>24</v>
      </c>
      <c r="C100" t="s">
        <v>25</v>
      </c>
      <c r="D100" t="s">
        <v>26</v>
      </c>
      <c r="E100" t="s">
        <v>154</v>
      </c>
      <c r="F100" t="s">
        <v>155</v>
      </c>
      <c r="G100" t="s">
        <v>49</v>
      </c>
      <c r="H100" t="s">
        <v>30</v>
      </c>
      <c r="I100" t="s">
        <v>30</v>
      </c>
      <c r="J100" t="s">
        <v>31</v>
      </c>
      <c r="K100" t="s">
        <v>32</v>
      </c>
      <c r="L100" t="s">
        <v>32</v>
      </c>
      <c r="M100" t="s">
        <v>33</v>
      </c>
      <c r="N100" t="s">
        <v>33</v>
      </c>
      <c r="O100" t="s">
        <v>33</v>
      </c>
      <c r="P100" t="s">
        <v>42</v>
      </c>
      <c r="Q100" t="s">
        <v>43</v>
      </c>
      <c r="R100" t="s">
        <v>162</v>
      </c>
      <c r="S100" t="s">
        <v>30</v>
      </c>
      <c r="T100" t="s">
        <v>163</v>
      </c>
      <c r="U100" t="s">
        <v>164</v>
      </c>
      <c r="V100" t="s">
        <v>39</v>
      </c>
      <c r="W100" s="1">
        <v>2</v>
      </c>
    </row>
    <row r="101" spans="1:23" x14ac:dyDescent="0.2">
      <c r="A101" t="s">
        <v>23</v>
      </c>
      <c r="B101" t="s">
        <v>24</v>
      </c>
      <c r="C101" t="s">
        <v>25</v>
      </c>
      <c r="D101" t="s">
        <v>26</v>
      </c>
      <c r="E101" t="s">
        <v>154</v>
      </c>
      <c r="F101" t="s">
        <v>155</v>
      </c>
      <c r="G101" t="s">
        <v>49</v>
      </c>
      <c r="H101" t="s">
        <v>30</v>
      </c>
      <c r="I101" t="s">
        <v>30</v>
      </c>
      <c r="J101" t="s">
        <v>31</v>
      </c>
      <c r="K101" t="s">
        <v>32</v>
      </c>
      <c r="L101" t="s">
        <v>32</v>
      </c>
      <c r="M101" t="s">
        <v>33</v>
      </c>
      <c r="N101" t="s">
        <v>33</v>
      </c>
      <c r="O101" t="s">
        <v>33</v>
      </c>
      <c r="P101" t="s">
        <v>42</v>
      </c>
      <c r="Q101" t="s">
        <v>43</v>
      </c>
      <c r="R101" t="s">
        <v>162</v>
      </c>
      <c r="S101" t="s">
        <v>30</v>
      </c>
      <c r="T101" t="s">
        <v>163</v>
      </c>
      <c r="U101" t="s">
        <v>164</v>
      </c>
      <c r="V101" t="s">
        <v>40</v>
      </c>
      <c r="W101" s="1">
        <v>2971600</v>
      </c>
    </row>
    <row r="102" spans="1:23" x14ac:dyDescent="0.2">
      <c r="A102" t="s">
        <v>23</v>
      </c>
      <c r="B102" t="s">
        <v>24</v>
      </c>
      <c r="C102" t="s">
        <v>25</v>
      </c>
      <c r="D102" t="s">
        <v>26</v>
      </c>
      <c r="E102" t="s">
        <v>154</v>
      </c>
      <c r="F102" t="s">
        <v>155</v>
      </c>
      <c r="G102" t="s">
        <v>61</v>
      </c>
      <c r="H102" t="s">
        <v>52</v>
      </c>
      <c r="I102" t="s">
        <v>52</v>
      </c>
      <c r="J102" t="s">
        <v>31</v>
      </c>
      <c r="K102" t="s">
        <v>32</v>
      </c>
      <c r="L102" t="s">
        <v>32</v>
      </c>
      <c r="M102" t="s">
        <v>33</v>
      </c>
      <c r="N102" t="s">
        <v>33</v>
      </c>
      <c r="O102" t="s">
        <v>33</v>
      </c>
      <c r="P102" t="s">
        <v>34</v>
      </c>
      <c r="Q102" t="s">
        <v>35</v>
      </c>
      <c r="S102" t="s">
        <v>30</v>
      </c>
      <c r="T102" t="s">
        <v>165</v>
      </c>
      <c r="U102" t="s">
        <v>166</v>
      </c>
      <c r="V102" t="s">
        <v>39</v>
      </c>
      <c r="W102" s="1">
        <v>1</v>
      </c>
    </row>
    <row r="103" spans="1:23" x14ac:dyDescent="0.2">
      <c r="A103" t="s">
        <v>23</v>
      </c>
      <c r="B103" t="s">
        <v>24</v>
      </c>
      <c r="C103" t="s">
        <v>25</v>
      </c>
      <c r="D103" t="s">
        <v>26</v>
      </c>
      <c r="E103" t="s">
        <v>154</v>
      </c>
      <c r="F103" t="s">
        <v>155</v>
      </c>
      <c r="G103" t="s">
        <v>61</v>
      </c>
      <c r="H103" t="s">
        <v>52</v>
      </c>
      <c r="I103" t="s">
        <v>52</v>
      </c>
      <c r="J103" t="s">
        <v>31</v>
      </c>
      <c r="K103" t="s">
        <v>32</v>
      </c>
      <c r="L103" t="s">
        <v>32</v>
      </c>
      <c r="M103" t="s">
        <v>33</v>
      </c>
      <c r="N103" t="s">
        <v>33</v>
      </c>
      <c r="O103" t="s">
        <v>33</v>
      </c>
      <c r="P103" t="s">
        <v>34</v>
      </c>
      <c r="Q103" t="s">
        <v>35</v>
      </c>
      <c r="S103" t="s">
        <v>30</v>
      </c>
      <c r="T103" t="s">
        <v>165</v>
      </c>
      <c r="U103" t="s">
        <v>166</v>
      </c>
      <c r="V103" t="s">
        <v>40</v>
      </c>
      <c r="W103" s="1">
        <v>515000</v>
      </c>
    </row>
    <row r="104" spans="1:23" x14ac:dyDescent="0.2">
      <c r="A104" t="s">
        <v>23</v>
      </c>
      <c r="B104" t="s">
        <v>24</v>
      </c>
      <c r="C104" t="s">
        <v>25</v>
      </c>
      <c r="D104" t="s">
        <v>26</v>
      </c>
      <c r="E104" t="s">
        <v>154</v>
      </c>
      <c r="F104" t="s">
        <v>155</v>
      </c>
      <c r="G104" t="s">
        <v>61</v>
      </c>
      <c r="H104" t="s">
        <v>52</v>
      </c>
      <c r="I104" t="s">
        <v>52</v>
      </c>
      <c r="J104" t="s">
        <v>31</v>
      </c>
      <c r="K104" t="s">
        <v>32</v>
      </c>
      <c r="L104" t="s">
        <v>32</v>
      </c>
      <c r="M104" t="s">
        <v>33</v>
      </c>
      <c r="N104" t="s">
        <v>33</v>
      </c>
      <c r="O104" t="s">
        <v>33</v>
      </c>
      <c r="P104" t="s">
        <v>42</v>
      </c>
      <c r="Q104" t="s">
        <v>43</v>
      </c>
      <c r="S104" t="s">
        <v>30</v>
      </c>
      <c r="T104" t="s">
        <v>167</v>
      </c>
      <c r="U104" t="s">
        <v>168</v>
      </c>
      <c r="V104" t="s">
        <v>39</v>
      </c>
      <c r="W104" s="1">
        <v>1</v>
      </c>
    </row>
    <row r="105" spans="1:23" x14ac:dyDescent="0.2">
      <c r="A105" t="s">
        <v>23</v>
      </c>
      <c r="B105" t="s">
        <v>24</v>
      </c>
      <c r="C105" t="s">
        <v>25</v>
      </c>
      <c r="D105" t="s">
        <v>26</v>
      </c>
      <c r="E105" t="s">
        <v>154</v>
      </c>
      <c r="F105" t="s">
        <v>155</v>
      </c>
      <c r="G105" t="s">
        <v>61</v>
      </c>
      <c r="H105" t="s">
        <v>52</v>
      </c>
      <c r="I105" t="s">
        <v>52</v>
      </c>
      <c r="J105" t="s">
        <v>31</v>
      </c>
      <c r="K105" t="s">
        <v>32</v>
      </c>
      <c r="L105" t="s">
        <v>32</v>
      </c>
      <c r="M105" t="s">
        <v>33</v>
      </c>
      <c r="N105" t="s">
        <v>33</v>
      </c>
      <c r="O105" t="s">
        <v>33</v>
      </c>
      <c r="P105" t="s">
        <v>42</v>
      </c>
      <c r="Q105" t="s">
        <v>43</v>
      </c>
      <c r="S105" t="s">
        <v>30</v>
      </c>
      <c r="T105" t="s">
        <v>167</v>
      </c>
      <c r="U105" t="s">
        <v>168</v>
      </c>
      <c r="V105" t="s">
        <v>40</v>
      </c>
      <c r="W105" s="1">
        <v>418000</v>
      </c>
    </row>
    <row r="106" spans="1:23" x14ac:dyDescent="0.2">
      <c r="A106" t="s">
        <v>23</v>
      </c>
      <c r="B106" t="s">
        <v>24</v>
      </c>
      <c r="C106" t="s">
        <v>25</v>
      </c>
      <c r="D106" t="s">
        <v>26</v>
      </c>
      <c r="E106" t="s">
        <v>154</v>
      </c>
      <c r="F106" t="s">
        <v>155</v>
      </c>
      <c r="G106" t="s">
        <v>61</v>
      </c>
      <c r="H106" t="s">
        <v>52</v>
      </c>
      <c r="I106" t="s">
        <v>52</v>
      </c>
      <c r="J106" t="s">
        <v>31</v>
      </c>
      <c r="K106" t="s">
        <v>32</v>
      </c>
      <c r="L106" t="s">
        <v>32</v>
      </c>
      <c r="M106" t="s">
        <v>33</v>
      </c>
      <c r="N106" t="s">
        <v>169</v>
      </c>
      <c r="O106" t="s">
        <v>169</v>
      </c>
      <c r="P106" t="s">
        <v>42</v>
      </c>
      <c r="Q106" t="s">
        <v>43</v>
      </c>
      <c r="S106" t="s">
        <v>30</v>
      </c>
      <c r="T106" t="s">
        <v>167</v>
      </c>
      <c r="U106" t="s">
        <v>168</v>
      </c>
      <c r="V106" t="s">
        <v>39</v>
      </c>
      <c r="W106" s="1">
        <v>1</v>
      </c>
    </row>
    <row r="107" spans="1:23" x14ac:dyDescent="0.2">
      <c r="A107" t="s">
        <v>23</v>
      </c>
      <c r="B107" t="s">
        <v>24</v>
      </c>
      <c r="C107" t="s">
        <v>25</v>
      </c>
      <c r="D107" t="s">
        <v>26</v>
      </c>
      <c r="E107" t="s">
        <v>154</v>
      </c>
      <c r="F107" t="s">
        <v>155</v>
      </c>
      <c r="G107" t="s">
        <v>61</v>
      </c>
      <c r="H107" t="s">
        <v>52</v>
      </c>
      <c r="I107" t="s">
        <v>52</v>
      </c>
      <c r="J107" t="s">
        <v>31</v>
      </c>
      <c r="K107" t="s">
        <v>32</v>
      </c>
      <c r="L107" t="s">
        <v>32</v>
      </c>
      <c r="M107" t="s">
        <v>33</v>
      </c>
      <c r="N107" t="s">
        <v>169</v>
      </c>
      <c r="O107" t="s">
        <v>169</v>
      </c>
      <c r="P107" t="s">
        <v>42</v>
      </c>
      <c r="Q107" t="s">
        <v>43</v>
      </c>
      <c r="S107" t="s">
        <v>30</v>
      </c>
      <c r="T107" t="s">
        <v>167</v>
      </c>
      <c r="U107" t="s">
        <v>168</v>
      </c>
      <c r="V107" t="s">
        <v>40</v>
      </c>
      <c r="W107" s="1">
        <v>418000</v>
      </c>
    </row>
    <row r="108" spans="1:23" x14ac:dyDescent="0.2">
      <c r="A108" t="s">
        <v>23</v>
      </c>
      <c r="B108" t="s">
        <v>24</v>
      </c>
      <c r="C108" t="s">
        <v>25</v>
      </c>
      <c r="D108" t="s">
        <v>26</v>
      </c>
      <c r="E108" t="s">
        <v>154</v>
      </c>
      <c r="F108" t="s">
        <v>155</v>
      </c>
      <c r="G108" t="s">
        <v>170</v>
      </c>
      <c r="H108" t="s">
        <v>52</v>
      </c>
      <c r="I108" t="s">
        <v>30</v>
      </c>
      <c r="J108" t="s">
        <v>57</v>
      </c>
      <c r="K108" t="s">
        <v>32</v>
      </c>
      <c r="L108" t="s">
        <v>32</v>
      </c>
      <c r="M108" t="s">
        <v>33</v>
      </c>
      <c r="N108" t="s">
        <v>33</v>
      </c>
      <c r="O108" t="s">
        <v>33</v>
      </c>
      <c r="P108" t="s">
        <v>42</v>
      </c>
      <c r="Q108" t="s">
        <v>43</v>
      </c>
      <c r="S108" t="s">
        <v>30</v>
      </c>
      <c r="T108" t="s">
        <v>171</v>
      </c>
      <c r="U108" t="s">
        <v>172</v>
      </c>
      <c r="V108" t="s">
        <v>39</v>
      </c>
      <c r="W108" s="1">
        <v>2</v>
      </c>
    </row>
    <row r="109" spans="1:23" x14ac:dyDescent="0.2">
      <c r="A109" t="s">
        <v>23</v>
      </c>
      <c r="B109" t="s">
        <v>24</v>
      </c>
      <c r="C109" t="s">
        <v>25</v>
      </c>
      <c r="D109" t="s">
        <v>26</v>
      </c>
      <c r="E109" t="s">
        <v>154</v>
      </c>
      <c r="F109" t="s">
        <v>155</v>
      </c>
      <c r="G109" t="s">
        <v>170</v>
      </c>
      <c r="H109" t="s">
        <v>52</v>
      </c>
      <c r="I109" t="s">
        <v>30</v>
      </c>
      <c r="J109" t="s">
        <v>57</v>
      </c>
      <c r="K109" t="s">
        <v>32</v>
      </c>
      <c r="L109" t="s">
        <v>32</v>
      </c>
      <c r="M109" t="s">
        <v>33</v>
      </c>
      <c r="N109" t="s">
        <v>33</v>
      </c>
      <c r="O109" t="s">
        <v>33</v>
      </c>
      <c r="P109" t="s">
        <v>42</v>
      </c>
      <c r="Q109" t="s">
        <v>43</v>
      </c>
      <c r="S109" t="s">
        <v>30</v>
      </c>
      <c r="T109" t="s">
        <v>171</v>
      </c>
      <c r="U109" t="s">
        <v>172</v>
      </c>
      <c r="V109" t="s">
        <v>40</v>
      </c>
      <c r="W109" s="1">
        <v>3498000</v>
      </c>
    </row>
    <row r="110" spans="1:23" x14ac:dyDescent="0.2">
      <c r="A110" t="s">
        <v>23</v>
      </c>
      <c r="B110" t="s">
        <v>24</v>
      </c>
      <c r="C110" t="s">
        <v>25</v>
      </c>
      <c r="D110" t="s">
        <v>26</v>
      </c>
      <c r="E110" t="s">
        <v>154</v>
      </c>
      <c r="F110" t="s">
        <v>155</v>
      </c>
      <c r="G110" t="s">
        <v>64</v>
      </c>
      <c r="H110" t="s">
        <v>30</v>
      </c>
      <c r="I110" t="s">
        <v>52</v>
      </c>
      <c r="J110" t="s">
        <v>31</v>
      </c>
      <c r="K110" t="s">
        <v>32</v>
      </c>
      <c r="L110" t="s">
        <v>32</v>
      </c>
      <c r="M110" t="s">
        <v>33</v>
      </c>
      <c r="N110" t="s">
        <v>33</v>
      </c>
      <c r="O110" t="s">
        <v>33</v>
      </c>
      <c r="P110" t="s">
        <v>42</v>
      </c>
      <c r="Q110" t="s">
        <v>43</v>
      </c>
      <c r="R110" t="s">
        <v>173</v>
      </c>
      <c r="S110" t="s">
        <v>30</v>
      </c>
      <c r="T110" t="s">
        <v>174</v>
      </c>
      <c r="U110" t="s">
        <v>175</v>
      </c>
      <c r="V110" t="s">
        <v>39</v>
      </c>
      <c r="W110" s="1">
        <v>1</v>
      </c>
    </row>
    <row r="111" spans="1:23" x14ac:dyDescent="0.2">
      <c r="A111" t="s">
        <v>23</v>
      </c>
      <c r="B111" t="s">
        <v>24</v>
      </c>
      <c r="C111" t="s">
        <v>25</v>
      </c>
      <c r="D111" t="s">
        <v>26</v>
      </c>
      <c r="E111" t="s">
        <v>154</v>
      </c>
      <c r="F111" t="s">
        <v>155</v>
      </c>
      <c r="G111" t="s">
        <v>64</v>
      </c>
      <c r="H111" t="s">
        <v>30</v>
      </c>
      <c r="I111" t="s">
        <v>52</v>
      </c>
      <c r="J111" t="s">
        <v>31</v>
      </c>
      <c r="K111" t="s">
        <v>32</v>
      </c>
      <c r="L111" t="s">
        <v>32</v>
      </c>
      <c r="M111" t="s">
        <v>33</v>
      </c>
      <c r="N111" t="s">
        <v>33</v>
      </c>
      <c r="O111" t="s">
        <v>33</v>
      </c>
      <c r="P111" t="s">
        <v>42</v>
      </c>
      <c r="Q111" t="s">
        <v>43</v>
      </c>
      <c r="R111" t="s">
        <v>173</v>
      </c>
      <c r="S111" t="s">
        <v>30</v>
      </c>
      <c r="T111" t="s">
        <v>174</v>
      </c>
      <c r="U111" t="s">
        <v>175</v>
      </c>
      <c r="V111" t="s">
        <v>40</v>
      </c>
      <c r="W111" s="1">
        <v>949900</v>
      </c>
    </row>
    <row r="112" spans="1:23" x14ac:dyDescent="0.2">
      <c r="A112" t="s">
        <v>23</v>
      </c>
      <c r="B112" t="s">
        <v>24</v>
      </c>
      <c r="C112" t="s">
        <v>25</v>
      </c>
      <c r="D112" t="s">
        <v>26</v>
      </c>
      <c r="E112" t="s">
        <v>154</v>
      </c>
      <c r="F112" t="s">
        <v>155</v>
      </c>
      <c r="G112" t="s">
        <v>64</v>
      </c>
      <c r="H112" t="s">
        <v>30</v>
      </c>
      <c r="I112" t="s">
        <v>52</v>
      </c>
      <c r="J112" t="s">
        <v>31</v>
      </c>
      <c r="K112" t="s">
        <v>32</v>
      </c>
      <c r="L112" t="s">
        <v>32</v>
      </c>
      <c r="M112" t="s">
        <v>176</v>
      </c>
      <c r="N112" t="s">
        <v>176</v>
      </c>
      <c r="O112" t="s">
        <v>176</v>
      </c>
      <c r="P112" t="s">
        <v>42</v>
      </c>
      <c r="Q112" t="s">
        <v>43</v>
      </c>
      <c r="R112" t="s">
        <v>173</v>
      </c>
      <c r="S112" t="s">
        <v>30</v>
      </c>
      <c r="T112" t="s">
        <v>174</v>
      </c>
      <c r="U112" t="s">
        <v>175</v>
      </c>
      <c r="V112" t="s">
        <v>39</v>
      </c>
      <c r="W112" s="1">
        <v>1</v>
      </c>
    </row>
    <row r="113" spans="1:23" x14ac:dyDescent="0.2">
      <c r="A113" t="s">
        <v>23</v>
      </c>
      <c r="B113" t="s">
        <v>24</v>
      </c>
      <c r="C113" t="s">
        <v>25</v>
      </c>
      <c r="D113" t="s">
        <v>26</v>
      </c>
      <c r="E113" t="s">
        <v>154</v>
      </c>
      <c r="F113" t="s">
        <v>155</v>
      </c>
      <c r="G113" t="s">
        <v>64</v>
      </c>
      <c r="H113" t="s">
        <v>30</v>
      </c>
      <c r="I113" t="s">
        <v>52</v>
      </c>
      <c r="J113" t="s">
        <v>31</v>
      </c>
      <c r="K113" t="s">
        <v>32</v>
      </c>
      <c r="L113" t="s">
        <v>32</v>
      </c>
      <c r="M113" t="s">
        <v>176</v>
      </c>
      <c r="N113" t="s">
        <v>176</v>
      </c>
      <c r="O113" t="s">
        <v>176</v>
      </c>
      <c r="P113" t="s">
        <v>42</v>
      </c>
      <c r="Q113" t="s">
        <v>43</v>
      </c>
      <c r="R113" t="s">
        <v>173</v>
      </c>
      <c r="S113" t="s">
        <v>30</v>
      </c>
      <c r="T113" t="s">
        <v>174</v>
      </c>
      <c r="U113" t="s">
        <v>175</v>
      </c>
      <c r="V113" t="s">
        <v>40</v>
      </c>
      <c r="W113" s="1">
        <v>949900</v>
      </c>
    </row>
    <row r="114" spans="1:23" x14ac:dyDescent="0.2">
      <c r="A114" t="s">
        <v>23</v>
      </c>
      <c r="B114" t="s">
        <v>24</v>
      </c>
      <c r="C114" t="s">
        <v>25</v>
      </c>
      <c r="D114" t="s">
        <v>26</v>
      </c>
      <c r="E114" t="s">
        <v>154</v>
      </c>
      <c r="F114" t="s">
        <v>155</v>
      </c>
      <c r="G114" t="s">
        <v>67</v>
      </c>
      <c r="H114" t="s">
        <v>30</v>
      </c>
      <c r="I114" t="s">
        <v>30</v>
      </c>
      <c r="J114" t="s">
        <v>128</v>
      </c>
      <c r="K114" t="s">
        <v>135</v>
      </c>
      <c r="L114" t="s">
        <v>32</v>
      </c>
      <c r="M114" t="s">
        <v>33</v>
      </c>
      <c r="N114" t="s">
        <v>33</v>
      </c>
      <c r="O114" t="s">
        <v>33</v>
      </c>
      <c r="P114" t="s">
        <v>34</v>
      </c>
      <c r="Q114" t="s">
        <v>35</v>
      </c>
      <c r="R114" t="s">
        <v>136</v>
      </c>
      <c r="S114" t="s">
        <v>30</v>
      </c>
      <c r="T114" t="s">
        <v>177</v>
      </c>
      <c r="U114" t="s">
        <v>178</v>
      </c>
      <c r="V114" t="s">
        <v>39</v>
      </c>
      <c r="W114" s="1">
        <v>3</v>
      </c>
    </row>
    <row r="115" spans="1:23" x14ac:dyDescent="0.2">
      <c r="A115" t="s">
        <v>23</v>
      </c>
      <c r="B115" t="s">
        <v>24</v>
      </c>
      <c r="C115" t="s">
        <v>25</v>
      </c>
      <c r="D115" t="s">
        <v>26</v>
      </c>
      <c r="E115" t="s">
        <v>154</v>
      </c>
      <c r="F115" t="s">
        <v>155</v>
      </c>
      <c r="G115" t="s">
        <v>67</v>
      </c>
      <c r="H115" t="s">
        <v>30</v>
      </c>
      <c r="I115" t="s">
        <v>30</v>
      </c>
      <c r="J115" t="s">
        <v>128</v>
      </c>
      <c r="K115" t="s">
        <v>135</v>
      </c>
      <c r="L115" t="s">
        <v>32</v>
      </c>
      <c r="M115" t="s">
        <v>33</v>
      </c>
      <c r="N115" t="s">
        <v>33</v>
      </c>
      <c r="O115" t="s">
        <v>33</v>
      </c>
      <c r="P115" t="s">
        <v>34</v>
      </c>
      <c r="Q115" t="s">
        <v>35</v>
      </c>
      <c r="R115" t="s">
        <v>136</v>
      </c>
      <c r="S115" t="s">
        <v>30</v>
      </c>
      <c r="T115" t="s">
        <v>177</v>
      </c>
      <c r="U115" t="s">
        <v>178</v>
      </c>
      <c r="V115" t="s">
        <v>40</v>
      </c>
      <c r="W115" s="1">
        <v>2244000</v>
      </c>
    </row>
    <row r="116" spans="1:23" x14ac:dyDescent="0.2">
      <c r="A116" t="s">
        <v>23</v>
      </c>
      <c r="B116" t="s">
        <v>24</v>
      </c>
      <c r="C116" t="s">
        <v>25</v>
      </c>
      <c r="D116" t="s">
        <v>26</v>
      </c>
      <c r="E116" t="s">
        <v>154</v>
      </c>
      <c r="F116" t="s">
        <v>155</v>
      </c>
      <c r="G116" t="s">
        <v>67</v>
      </c>
      <c r="H116" t="s">
        <v>30</v>
      </c>
      <c r="I116" t="s">
        <v>30</v>
      </c>
      <c r="J116" t="s">
        <v>128</v>
      </c>
      <c r="K116" t="s">
        <v>135</v>
      </c>
      <c r="L116" t="s">
        <v>32</v>
      </c>
      <c r="M116" t="s">
        <v>33</v>
      </c>
      <c r="N116" t="s">
        <v>176</v>
      </c>
      <c r="O116" t="s">
        <v>176</v>
      </c>
      <c r="P116" t="s">
        <v>34</v>
      </c>
      <c r="Q116" t="s">
        <v>35</v>
      </c>
      <c r="R116" t="s">
        <v>136</v>
      </c>
      <c r="S116" t="s">
        <v>30</v>
      </c>
      <c r="T116" t="s">
        <v>177</v>
      </c>
      <c r="U116" t="s">
        <v>178</v>
      </c>
      <c r="V116" t="s">
        <v>39</v>
      </c>
      <c r="W116" s="1">
        <v>3</v>
      </c>
    </row>
    <row r="117" spans="1:23" x14ac:dyDescent="0.2">
      <c r="A117" t="s">
        <v>23</v>
      </c>
      <c r="B117" t="s">
        <v>24</v>
      </c>
      <c r="C117" t="s">
        <v>25</v>
      </c>
      <c r="D117" t="s">
        <v>26</v>
      </c>
      <c r="E117" t="s">
        <v>154</v>
      </c>
      <c r="F117" t="s">
        <v>155</v>
      </c>
      <c r="G117" t="s">
        <v>67</v>
      </c>
      <c r="H117" t="s">
        <v>30</v>
      </c>
      <c r="I117" t="s">
        <v>30</v>
      </c>
      <c r="J117" t="s">
        <v>128</v>
      </c>
      <c r="K117" t="s">
        <v>135</v>
      </c>
      <c r="L117" t="s">
        <v>32</v>
      </c>
      <c r="M117" t="s">
        <v>33</v>
      </c>
      <c r="N117" t="s">
        <v>176</v>
      </c>
      <c r="O117" t="s">
        <v>176</v>
      </c>
      <c r="P117" t="s">
        <v>34</v>
      </c>
      <c r="Q117" t="s">
        <v>35</v>
      </c>
      <c r="R117" t="s">
        <v>136</v>
      </c>
      <c r="S117" t="s">
        <v>30</v>
      </c>
      <c r="T117" t="s">
        <v>177</v>
      </c>
      <c r="U117" t="s">
        <v>178</v>
      </c>
      <c r="V117" t="s">
        <v>40</v>
      </c>
      <c r="W117" s="1">
        <v>2244000</v>
      </c>
    </row>
    <row r="118" spans="1:23" x14ac:dyDescent="0.2">
      <c r="A118" t="s">
        <v>23</v>
      </c>
      <c r="B118" t="s">
        <v>24</v>
      </c>
      <c r="C118" t="s">
        <v>25</v>
      </c>
      <c r="D118" t="s">
        <v>26</v>
      </c>
      <c r="E118" t="s">
        <v>154</v>
      </c>
      <c r="F118" t="s">
        <v>155</v>
      </c>
      <c r="G118" t="s">
        <v>67</v>
      </c>
      <c r="H118" t="s">
        <v>30</v>
      </c>
      <c r="I118" t="s">
        <v>30</v>
      </c>
      <c r="J118" t="s">
        <v>128</v>
      </c>
      <c r="K118" t="s">
        <v>135</v>
      </c>
      <c r="L118" t="s">
        <v>32</v>
      </c>
      <c r="M118" t="s">
        <v>176</v>
      </c>
      <c r="N118" t="s">
        <v>176</v>
      </c>
      <c r="O118" t="s">
        <v>176</v>
      </c>
      <c r="P118" t="s">
        <v>34</v>
      </c>
      <c r="Q118" t="s">
        <v>35</v>
      </c>
      <c r="R118" t="s">
        <v>136</v>
      </c>
      <c r="S118" t="s">
        <v>30</v>
      </c>
      <c r="T118" t="s">
        <v>177</v>
      </c>
      <c r="U118" t="s">
        <v>178</v>
      </c>
      <c r="V118" t="s">
        <v>39</v>
      </c>
      <c r="W118" s="1">
        <v>2</v>
      </c>
    </row>
    <row r="119" spans="1:23" x14ac:dyDescent="0.2">
      <c r="A119" t="s">
        <v>23</v>
      </c>
      <c r="B119" t="s">
        <v>24</v>
      </c>
      <c r="C119" t="s">
        <v>25</v>
      </c>
      <c r="D119" t="s">
        <v>26</v>
      </c>
      <c r="E119" t="s">
        <v>154</v>
      </c>
      <c r="F119" t="s">
        <v>155</v>
      </c>
      <c r="G119" t="s">
        <v>67</v>
      </c>
      <c r="H119" t="s">
        <v>30</v>
      </c>
      <c r="I119" t="s">
        <v>30</v>
      </c>
      <c r="J119" t="s">
        <v>128</v>
      </c>
      <c r="K119" t="s">
        <v>135</v>
      </c>
      <c r="L119" t="s">
        <v>32</v>
      </c>
      <c r="M119" t="s">
        <v>176</v>
      </c>
      <c r="N119" t="s">
        <v>176</v>
      </c>
      <c r="O119" t="s">
        <v>176</v>
      </c>
      <c r="P119" t="s">
        <v>34</v>
      </c>
      <c r="Q119" t="s">
        <v>35</v>
      </c>
      <c r="R119" t="s">
        <v>136</v>
      </c>
      <c r="S119" t="s">
        <v>30</v>
      </c>
      <c r="T119" t="s">
        <v>177</v>
      </c>
      <c r="U119" t="s">
        <v>178</v>
      </c>
      <c r="V119" t="s">
        <v>40</v>
      </c>
      <c r="W119" s="1">
        <v>716000</v>
      </c>
    </row>
    <row r="120" spans="1:23" x14ac:dyDescent="0.2">
      <c r="A120" t="s">
        <v>23</v>
      </c>
      <c r="B120" t="s">
        <v>24</v>
      </c>
      <c r="C120" t="s">
        <v>25</v>
      </c>
      <c r="D120" t="s">
        <v>26</v>
      </c>
      <c r="E120" t="s">
        <v>154</v>
      </c>
      <c r="F120" t="s">
        <v>155</v>
      </c>
      <c r="G120" t="s">
        <v>67</v>
      </c>
      <c r="H120" t="s">
        <v>30</v>
      </c>
      <c r="I120" t="s">
        <v>30</v>
      </c>
      <c r="J120" t="s">
        <v>41</v>
      </c>
      <c r="K120" t="s">
        <v>32</v>
      </c>
      <c r="L120" t="s">
        <v>32</v>
      </c>
      <c r="M120" t="s">
        <v>33</v>
      </c>
      <c r="N120" t="s">
        <v>33</v>
      </c>
      <c r="O120" t="s">
        <v>33</v>
      </c>
      <c r="P120" t="s">
        <v>42</v>
      </c>
      <c r="Q120" t="s">
        <v>43</v>
      </c>
      <c r="S120" t="s">
        <v>30</v>
      </c>
      <c r="T120" t="s">
        <v>179</v>
      </c>
      <c r="U120" t="s">
        <v>180</v>
      </c>
      <c r="V120" t="s">
        <v>39</v>
      </c>
      <c r="W120" s="1">
        <v>4</v>
      </c>
    </row>
    <row r="121" spans="1:23" x14ac:dyDescent="0.2">
      <c r="A121" t="s">
        <v>23</v>
      </c>
      <c r="B121" t="s">
        <v>24</v>
      </c>
      <c r="C121" t="s">
        <v>25</v>
      </c>
      <c r="D121" t="s">
        <v>26</v>
      </c>
      <c r="E121" t="s">
        <v>154</v>
      </c>
      <c r="F121" t="s">
        <v>155</v>
      </c>
      <c r="G121" t="s">
        <v>67</v>
      </c>
      <c r="H121" t="s">
        <v>30</v>
      </c>
      <c r="I121" t="s">
        <v>30</v>
      </c>
      <c r="J121" t="s">
        <v>41</v>
      </c>
      <c r="K121" t="s">
        <v>32</v>
      </c>
      <c r="L121" t="s">
        <v>32</v>
      </c>
      <c r="M121" t="s">
        <v>33</v>
      </c>
      <c r="N121" t="s">
        <v>33</v>
      </c>
      <c r="O121" t="s">
        <v>33</v>
      </c>
      <c r="P121" t="s">
        <v>42</v>
      </c>
      <c r="Q121" t="s">
        <v>43</v>
      </c>
      <c r="S121" t="s">
        <v>30</v>
      </c>
      <c r="T121" t="s">
        <v>179</v>
      </c>
      <c r="U121" t="s">
        <v>180</v>
      </c>
      <c r="V121" t="s">
        <v>40</v>
      </c>
      <c r="W121" s="1">
        <v>5439600</v>
      </c>
    </row>
    <row r="122" spans="1:23" x14ac:dyDescent="0.2">
      <c r="A122" t="s">
        <v>23</v>
      </c>
      <c r="B122" t="s">
        <v>24</v>
      </c>
      <c r="C122" t="s">
        <v>25</v>
      </c>
      <c r="D122" t="s">
        <v>26</v>
      </c>
      <c r="E122" t="s">
        <v>154</v>
      </c>
      <c r="F122" t="s">
        <v>155</v>
      </c>
      <c r="G122" t="s">
        <v>89</v>
      </c>
      <c r="H122" t="s">
        <v>30</v>
      </c>
      <c r="I122" t="s">
        <v>30</v>
      </c>
      <c r="J122" t="s">
        <v>128</v>
      </c>
      <c r="K122" t="s">
        <v>181</v>
      </c>
      <c r="L122" t="s">
        <v>32</v>
      </c>
      <c r="M122" t="s">
        <v>33</v>
      </c>
      <c r="P122" t="s">
        <v>34</v>
      </c>
      <c r="Q122" t="s">
        <v>35</v>
      </c>
      <c r="S122" t="s">
        <v>30</v>
      </c>
      <c r="T122" t="s">
        <v>182</v>
      </c>
      <c r="U122" t="s">
        <v>183</v>
      </c>
      <c r="V122" t="s">
        <v>39</v>
      </c>
      <c r="W122" s="1">
        <v>40</v>
      </c>
    </row>
    <row r="123" spans="1:23" x14ac:dyDescent="0.2">
      <c r="A123" t="s">
        <v>23</v>
      </c>
      <c r="B123" t="s">
        <v>24</v>
      </c>
      <c r="C123" t="s">
        <v>25</v>
      </c>
      <c r="D123" t="s">
        <v>26</v>
      </c>
      <c r="E123" t="s">
        <v>154</v>
      </c>
      <c r="F123" t="s">
        <v>155</v>
      </c>
      <c r="G123" t="s">
        <v>89</v>
      </c>
      <c r="H123" t="s">
        <v>30</v>
      </c>
      <c r="I123" t="s">
        <v>30</v>
      </c>
      <c r="J123" t="s">
        <v>128</v>
      </c>
      <c r="K123" t="s">
        <v>181</v>
      </c>
      <c r="L123" t="s">
        <v>32</v>
      </c>
      <c r="M123" t="s">
        <v>33</v>
      </c>
      <c r="P123" t="s">
        <v>34</v>
      </c>
      <c r="Q123" t="s">
        <v>35</v>
      </c>
      <c r="S123" t="s">
        <v>30</v>
      </c>
      <c r="T123" t="s">
        <v>182</v>
      </c>
      <c r="U123" t="s">
        <v>183</v>
      </c>
      <c r="V123" t="s">
        <v>40</v>
      </c>
      <c r="W123" s="1">
        <v>0</v>
      </c>
    </row>
    <row r="124" spans="1:23" x14ac:dyDescent="0.2">
      <c r="A124" t="s">
        <v>23</v>
      </c>
      <c r="B124" t="s">
        <v>24</v>
      </c>
      <c r="C124" t="s">
        <v>25</v>
      </c>
      <c r="D124" t="s">
        <v>26</v>
      </c>
      <c r="E124" t="s">
        <v>154</v>
      </c>
      <c r="F124" t="s">
        <v>155</v>
      </c>
      <c r="G124" t="s">
        <v>89</v>
      </c>
      <c r="H124" t="s">
        <v>30</v>
      </c>
      <c r="I124" t="s">
        <v>30</v>
      </c>
      <c r="J124" t="s">
        <v>31</v>
      </c>
      <c r="K124" t="s">
        <v>32</v>
      </c>
      <c r="L124" t="s">
        <v>32</v>
      </c>
      <c r="M124" t="s">
        <v>33</v>
      </c>
      <c r="N124" t="s">
        <v>33</v>
      </c>
      <c r="O124" t="s">
        <v>33</v>
      </c>
      <c r="P124" t="s">
        <v>34</v>
      </c>
      <c r="Q124" t="s">
        <v>35</v>
      </c>
      <c r="R124" t="s">
        <v>184</v>
      </c>
      <c r="S124" t="s">
        <v>30</v>
      </c>
      <c r="T124" t="s">
        <v>185</v>
      </c>
      <c r="U124" t="s">
        <v>186</v>
      </c>
      <c r="V124" t="s">
        <v>39</v>
      </c>
      <c r="W124" s="1">
        <v>2</v>
      </c>
    </row>
    <row r="125" spans="1:23" x14ac:dyDescent="0.2">
      <c r="A125" t="s">
        <v>23</v>
      </c>
      <c r="B125" t="s">
        <v>24</v>
      </c>
      <c r="C125" t="s">
        <v>25</v>
      </c>
      <c r="D125" t="s">
        <v>26</v>
      </c>
      <c r="E125" t="s">
        <v>154</v>
      </c>
      <c r="F125" t="s">
        <v>155</v>
      </c>
      <c r="G125" t="s">
        <v>89</v>
      </c>
      <c r="H125" t="s">
        <v>30</v>
      </c>
      <c r="I125" t="s">
        <v>30</v>
      </c>
      <c r="J125" t="s">
        <v>31</v>
      </c>
      <c r="K125" t="s">
        <v>32</v>
      </c>
      <c r="L125" t="s">
        <v>32</v>
      </c>
      <c r="M125" t="s">
        <v>33</v>
      </c>
      <c r="N125" t="s">
        <v>33</v>
      </c>
      <c r="O125" t="s">
        <v>33</v>
      </c>
      <c r="P125" t="s">
        <v>34</v>
      </c>
      <c r="Q125" t="s">
        <v>35</v>
      </c>
      <c r="R125" t="s">
        <v>184</v>
      </c>
      <c r="S125" t="s">
        <v>30</v>
      </c>
      <c r="T125" t="s">
        <v>185</v>
      </c>
      <c r="U125" t="s">
        <v>186</v>
      </c>
      <c r="V125" t="s">
        <v>40</v>
      </c>
      <c r="W125" s="1">
        <v>2051800</v>
      </c>
    </row>
    <row r="126" spans="1:23" x14ac:dyDescent="0.2">
      <c r="A126" t="s">
        <v>23</v>
      </c>
      <c r="B126" t="s">
        <v>24</v>
      </c>
      <c r="C126" t="s">
        <v>25</v>
      </c>
      <c r="D126" t="s">
        <v>26</v>
      </c>
      <c r="E126" t="s">
        <v>154</v>
      </c>
      <c r="F126" t="s">
        <v>155</v>
      </c>
      <c r="G126" t="s">
        <v>89</v>
      </c>
      <c r="H126" t="s">
        <v>30</v>
      </c>
      <c r="I126" t="s">
        <v>30</v>
      </c>
      <c r="J126" t="s">
        <v>31</v>
      </c>
      <c r="K126" t="s">
        <v>32</v>
      </c>
      <c r="L126" t="s">
        <v>32</v>
      </c>
      <c r="M126" t="s">
        <v>33</v>
      </c>
      <c r="P126" t="s">
        <v>34</v>
      </c>
      <c r="Q126" t="s">
        <v>35</v>
      </c>
      <c r="R126" t="s">
        <v>173</v>
      </c>
      <c r="S126" t="s">
        <v>52</v>
      </c>
      <c r="T126" t="s">
        <v>187</v>
      </c>
      <c r="U126" t="s">
        <v>188</v>
      </c>
      <c r="V126" t="s">
        <v>39</v>
      </c>
      <c r="W126" s="1">
        <v>0</v>
      </c>
    </row>
    <row r="127" spans="1:23" x14ac:dyDescent="0.2">
      <c r="A127" t="s">
        <v>23</v>
      </c>
      <c r="B127" t="s">
        <v>24</v>
      </c>
      <c r="C127" t="s">
        <v>25</v>
      </c>
      <c r="D127" t="s">
        <v>26</v>
      </c>
      <c r="E127" t="s">
        <v>154</v>
      </c>
      <c r="F127" t="s">
        <v>155</v>
      </c>
      <c r="G127" t="s">
        <v>89</v>
      </c>
      <c r="H127" t="s">
        <v>30</v>
      </c>
      <c r="I127" t="s">
        <v>30</v>
      </c>
      <c r="J127" t="s">
        <v>31</v>
      </c>
      <c r="K127" t="s">
        <v>32</v>
      </c>
      <c r="L127" t="s">
        <v>32</v>
      </c>
      <c r="M127" t="s">
        <v>33</v>
      </c>
      <c r="P127" t="s">
        <v>34</v>
      </c>
      <c r="Q127" t="s">
        <v>35</v>
      </c>
      <c r="R127" t="s">
        <v>173</v>
      </c>
      <c r="S127" t="s">
        <v>52</v>
      </c>
      <c r="T127" t="s">
        <v>187</v>
      </c>
      <c r="U127" t="s">
        <v>188</v>
      </c>
      <c r="V127" t="s">
        <v>40</v>
      </c>
      <c r="W127" s="1">
        <v>17047200</v>
      </c>
    </row>
    <row r="128" spans="1:23" x14ac:dyDescent="0.2">
      <c r="A128" t="s">
        <v>23</v>
      </c>
      <c r="B128" t="s">
        <v>24</v>
      </c>
      <c r="C128" t="s">
        <v>25</v>
      </c>
      <c r="D128" t="s">
        <v>26</v>
      </c>
      <c r="E128" t="s">
        <v>154</v>
      </c>
      <c r="F128" t="s">
        <v>155</v>
      </c>
      <c r="G128" t="s">
        <v>89</v>
      </c>
      <c r="H128" t="s">
        <v>30</v>
      </c>
      <c r="I128" t="s">
        <v>30</v>
      </c>
      <c r="J128" t="s">
        <v>31</v>
      </c>
      <c r="K128" t="s">
        <v>32</v>
      </c>
      <c r="L128" t="s">
        <v>32</v>
      </c>
      <c r="M128" t="s">
        <v>33</v>
      </c>
      <c r="P128" t="s">
        <v>34</v>
      </c>
      <c r="Q128" t="s">
        <v>35</v>
      </c>
      <c r="S128" t="s">
        <v>52</v>
      </c>
      <c r="T128" t="s">
        <v>189</v>
      </c>
      <c r="U128" t="s">
        <v>190</v>
      </c>
      <c r="V128" t="s">
        <v>39</v>
      </c>
      <c r="W128" s="1">
        <v>0</v>
      </c>
    </row>
    <row r="129" spans="1:23" x14ac:dyDescent="0.2">
      <c r="A129" t="s">
        <v>23</v>
      </c>
      <c r="B129" t="s">
        <v>24</v>
      </c>
      <c r="C129" t="s">
        <v>25</v>
      </c>
      <c r="D129" t="s">
        <v>26</v>
      </c>
      <c r="E129" t="s">
        <v>154</v>
      </c>
      <c r="F129" t="s">
        <v>155</v>
      </c>
      <c r="G129" t="s">
        <v>89</v>
      </c>
      <c r="H129" t="s">
        <v>30</v>
      </c>
      <c r="I129" t="s">
        <v>30</v>
      </c>
      <c r="J129" t="s">
        <v>31</v>
      </c>
      <c r="K129" t="s">
        <v>32</v>
      </c>
      <c r="L129" t="s">
        <v>32</v>
      </c>
      <c r="M129" t="s">
        <v>33</v>
      </c>
      <c r="P129" t="s">
        <v>34</v>
      </c>
      <c r="Q129" t="s">
        <v>35</v>
      </c>
      <c r="S129" t="s">
        <v>52</v>
      </c>
      <c r="T129" t="s">
        <v>189</v>
      </c>
      <c r="U129" t="s">
        <v>190</v>
      </c>
      <c r="V129" t="s">
        <v>40</v>
      </c>
      <c r="W129" s="1">
        <v>2002000</v>
      </c>
    </row>
    <row r="130" spans="1:23" x14ac:dyDescent="0.2">
      <c r="A130" t="s">
        <v>23</v>
      </c>
      <c r="B130" t="s">
        <v>24</v>
      </c>
      <c r="C130" t="s">
        <v>25</v>
      </c>
      <c r="D130" t="s">
        <v>26</v>
      </c>
      <c r="E130" t="s">
        <v>154</v>
      </c>
      <c r="F130" t="s">
        <v>155</v>
      </c>
      <c r="G130" t="s">
        <v>89</v>
      </c>
      <c r="H130" t="s">
        <v>30</v>
      </c>
      <c r="I130" t="s">
        <v>30</v>
      </c>
      <c r="J130" t="s">
        <v>41</v>
      </c>
      <c r="K130" t="s">
        <v>32</v>
      </c>
      <c r="L130" t="s">
        <v>32</v>
      </c>
      <c r="M130" t="s">
        <v>33</v>
      </c>
      <c r="N130" t="s">
        <v>33</v>
      </c>
      <c r="O130" t="s">
        <v>33</v>
      </c>
      <c r="P130" t="s">
        <v>34</v>
      </c>
      <c r="Q130" t="s">
        <v>35</v>
      </c>
      <c r="R130" t="s">
        <v>173</v>
      </c>
      <c r="S130" t="s">
        <v>30</v>
      </c>
      <c r="T130" t="s">
        <v>191</v>
      </c>
      <c r="U130" t="s">
        <v>192</v>
      </c>
      <c r="V130" t="s">
        <v>39</v>
      </c>
      <c r="W130" s="1">
        <v>3</v>
      </c>
    </row>
    <row r="131" spans="1:23" x14ac:dyDescent="0.2">
      <c r="A131" t="s">
        <v>23</v>
      </c>
      <c r="B131" t="s">
        <v>24</v>
      </c>
      <c r="C131" t="s">
        <v>25</v>
      </c>
      <c r="D131" t="s">
        <v>26</v>
      </c>
      <c r="E131" t="s">
        <v>154</v>
      </c>
      <c r="F131" t="s">
        <v>155</v>
      </c>
      <c r="G131" t="s">
        <v>89</v>
      </c>
      <c r="H131" t="s">
        <v>30</v>
      </c>
      <c r="I131" t="s">
        <v>30</v>
      </c>
      <c r="J131" t="s">
        <v>41</v>
      </c>
      <c r="K131" t="s">
        <v>32</v>
      </c>
      <c r="L131" t="s">
        <v>32</v>
      </c>
      <c r="M131" t="s">
        <v>33</v>
      </c>
      <c r="N131" t="s">
        <v>33</v>
      </c>
      <c r="O131" t="s">
        <v>33</v>
      </c>
      <c r="P131" t="s">
        <v>34</v>
      </c>
      <c r="Q131" t="s">
        <v>35</v>
      </c>
      <c r="R131" t="s">
        <v>173</v>
      </c>
      <c r="S131" t="s">
        <v>30</v>
      </c>
      <c r="T131" t="s">
        <v>191</v>
      </c>
      <c r="U131" t="s">
        <v>192</v>
      </c>
      <c r="V131" t="s">
        <v>40</v>
      </c>
      <c r="W131" s="1">
        <v>3253200</v>
      </c>
    </row>
    <row r="132" spans="1:23" x14ac:dyDescent="0.2">
      <c r="A132" t="s">
        <v>23</v>
      </c>
      <c r="B132" t="s">
        <v>24</v>
      </c>
      <c r="C132" t="s">
        <v>25</v>
      </c>
      <c r="D132" t="s">
        <v>26</v>
      </c>
      <c r="E132" t="s">
        <v>154</v>
      </c>
      <c r="F132" t="s">
        <v>155</v>
      </c>
      <c r="G132" t="s">
        <v>89</v>
      </c>
      <c r="H132" t="s">
        <v>30</v>
      </c>
      <c r="I132" t="s">
        <v>30</v>
      </c>
      <c r="J132" t="s">
        <v>41</v>
      </c>
      <c r="K132" t="s">
        <v>32</v>
      </c>
      <c r="L132" t="s">
        <v>32</v>
      </c>
      <c r="M132" t="s">
        <v>33</v>
      </c>
      <c r="N132" t="s">
        <v>169</v>
      </c>
      <c r="O132" t="s">
        <v>169</v>
      </c>
      <c r="P132" t="s">
        <v>34</v>
      </c>
      <c r="Q132" t="s">
        <v>35</v>
      </c>
      <c r="R132" t="s">
        <v>173</v>
      </c>
      <c r="S132" t="s">
        <v>30</v>
      </c>
      <c r="T132" t="s">
        <v>191</v>
      </c>
      <c r="U132" t="s">
        <v>192</v>
      </c>
      <c r="V132" t="s">
        <v>39</v>
      </c>
      <c r="W132" s="1">
        <v>1</v>
      </c>
    </row>
    <row r="133" spans="1:23" x14ac:dyDescent="0.2">
      <c r="A133" t="s">
        <v>23</v>
      </c>
      <c r="B133" t="s">
        <v>24</v>
      </c>
      <c r="C133" t="s">
        <v>25</v>
      </c>
      <c r="D133" t="s">
        <v>26</v>
      </c>
      <c r="E133" t="s">
        <v>154</v>
      </c>
      <c r="F133" t="s">
        <v>155</v>
      </c>
      <c r="G133" t="s">
        <v>89</v>
      </c>
      <c r="H133" t="s">
        <v>30</v>
      </c>
      <c r="I133" t="s">
        <v>30</v>
      </c>
      <c r="J133" t="s">
        <v>41</v>
      </c>
      <c r="K133" t="s">
        <v>32</v>
      </c>
      <c r="L133" t="s">
        <v>32</v>
      </c>
      <c r="M133" t="s">
        <v>33</v>
      </c>
      <c r="N133" t="s">
        <v>169</v>
      </c>
      <c r="O133" t="s">
        <v>169</v>
      </c>
      <c r="P133" t="s">
        <v>34</v>
      </c>
      <c r="Q133" t="s">
        <v>35</v>
      </c>
      <c r="R133" t="s">
        <v>173</v>
      </c>
      <c r="S133" t="s">
        <v>30</v>
      </c>
      <c r="T133" t="s">
        <v>191</v>
      </c>
      <c r="U133" t="s">
        <v>192</v>
      </c>
      <c r="V133" t="s">
        <v>40</v>
      </c>
      <c r="W133" s="1">
        <v>1084400</v>
      </c>
    </row>
    <row r="134" spans="1:23" x14ac:dyDescent="0.2">
      <c r="A134" t="s">
        <v>23</v>
      </c>
      <c r="B134" t="s">
        <v>24</v>
      </c>
      <c r="C134" t="s">
        <v>25</v>
      </c>
      <c r="D134" t="s">
        <v>26</v>
      </c>
      <c r="E134" t="s">
        <v>154</v>
      </c>
      <c r="F134" t="s">
        <v>155</v>
      </c>
      <c r="G134" t="s">
        <v>89</v>
      </c>
      <c r="H134" t="s">
        <v>30</v>
      </c>
      <c r="I134" t="s">
        <v>30</v>
      </c>
      <c r="J134" t="s">
        <v>41</v>
      </c>
      <c r="K134" t="s">
        <v>32</v>
      </c>
      <c r="L134" t="s">
        <v>32</v>
      </c>
      <c r="M134" t="s">
        <v>33</v>
      </c>
      <c r="P134" t="s">
        <v>34</v>
      </c>
      <c r="Q134" t="s">
        <v>35</v>
      </c>
      <c r="S134" t="s">
        <v>30</v>
      </c>
      <c r="T134" t="s">
        <v>193</v>
      </c>
      <c r="U134" t="s">
        <v>194</v>
      </c>
      <c r="V134" t="s">
        <v>39</v>
      </c>
      <c r="W134" s="1">
        <v>3</v>
      </c>
    </row>
    <row r="135" spans="1:23" x14ac:dyDescent="0.2">
      <c r="A135" t="s">
        <v>23</v>
      </c>
      <c r="B135" t="s">
        <v>24</v>
      </c>
      <c r="C135" t="s">
        <v>25</v>
      </c>
      <c r="D135" t="s">
        <v>26</v>
      </c>
      <c r="E135" t="s">
        <v>154</v>
      </c>
      <c r="F135" t="s">
        <v>155</v>
      </c>
      <c r="G135" t="s">
        <v>89</v>
      </c>
      <c r="H135" t="s">
        <v>30</v>
      </c>
      <c r="I135" t="s">
        <v>30</v>
      </c>
      <c r="J135" t="s">
        <v>41</v>
      </c>
      <c r="K135" t="s">
        <v>32</v>
      </c>
      <c r="L135" t="s">
        <v>32</v>
      </c>
      <c r="M135" t="s">
        <v>33</v>
      </c>
      <c r="P135" t="s">
        <v>34</v>
      </c>
      <c r="Q135" t="s">
        <v>35</v>
      </c>
      <c r="S135" t="s">
        <v>30</v>
      </c>
      <c r="T135" t="s">
        <v>193</v>
      </c>
      <c r="U135" t="s">
        <v>194</v>
      </c>
      <c r="V135" t="s">
        <v>40</v>
      </c>
      <c r="W135" s="1">
        <v>16639800</v>
      </c>
    </row>
    <row r="136" spans="1:23" x14ac:dyDescent="0.2">
      <c r="A136" t="s">
        <v>23</v>
      </c>
      <c r="B136" t="s">
        <v>24</v>
      </c>
      <c r="C136" t="s">
        <v>25</v>
      </c>
      <c r="D136" t="s">
        <v>26</v>
      </c>
      <c r="E136" t="s">
        <v>154</v>
      </c>
      <c r="F136" t="s">
        <v>155</v>
      </c>
      <c r="G136" t="s">
        <v>89</v>
      </c>
      <c r="H136" t="s">
        <v>30</v>
      </c>
      <c r="I136" t="s">
        <v>30</v>
      </c>
      <c r="J136" t="s">
        <v>41</v>
      </c>
      <c r="K136" t="s">
        <v>32</v>
      </c>
      <c r="L136" t="s">
        <v>32</v>
      </c>
      <c r="M136" t="s">
        <v>176</v>
      </c>
      <c r="N136" t="s">
        <v>176</v>
      </c>
      <c r="O136" t="s">
        <v>176</v>
      </c>
      <c r="P136" t="s">
        <v>34</v>
      </c>
      <c r="Q136" t="s">
        <v>35</v>
      </c>
      <c r="R136" t="s">
        <v>173</v>
      </c>
      <c r="S136" t="s">
        <v>30</v>
      </c>
      <c r="T136" t="s">
        <v>191</v>
      </c>
      <c r="U136" t="s">
        <v>192</v>
      </c>
      <c r="V136" t="s">
        <v>39</v>
      </c>
      <c r="W136" s="1">
        <v>4</v>
      </c>
    </row>
    <row r="137" spans="1:23" x14ac:dyDescent="0.2">
      <c r="A137" t="s">
        <v>23</v>
      </c>
      <c r="B137" t="s">
        <v>24</v>
      </c>
      <c r="C137" t="s">
        <v>25</v>
      </c>
      <c r="D137" t="s">
        <v>26</v>
      </c>
      <c r="E137" t="s">
        <v>154</v>
      </c>
      <c r="F137" t="s">
        <v>155</v>
      </c>
      <c r="G137" t="s">
        <v>89</v>
      </c>
      <c r="H137" t="s">
        <v>30</v>
      </c>
      <c r="I137" t="s">
        <v>30</v>
      </c>
      <c r="J137" t="s">
        <v>41</v>
      </c>
      <c r="K137" t="s">
        <v>32</v>
      </c>
      <c r="L137" t="s">
        <v>32</v>
      </c>
      <c r="M137" t="s">
        <v>176</v>
      </c>
      <c r="N137" t="s">
        <v>176</v>
      </c>
      <c r="O137" t="s">
        <v>176</v>
      </c>
      <c r="P137" t="s">
        <v>34</v>
      </c>
      <c r="Q137" t="s">
        <v>35</v>
      </c>
      <c r="R137" t="s">
        <v>173</v>
      </c>
      <c r="S137" t="s">
        <v>30</v>
      </c>
      <c r="T137" t="s">
        <v>191</v>
      </c>
      <c r="U137" t="s">
        <v>192</v>
      </c>
      <c r="V137" t="s">
        <v>40</v>
      </c>
      <c r="W137" s="1">
        <v>4337600</v>
      </c>
    </row>
    <row r="138" spans="1:23" x14ac:dyDescent="0.2">
      <c r="A138" t="s">
        <v>23</v>
      </c>
      <c r="B138" t="s">
        <v>24</v>
      </c>
      <c r="C138" t="s">
        <v>25</v>
      </c>
      <c r="D138" t="s">
        <v>26</v>
      </c>
      <c r="E138" t="s">
        <v>154</v>
      </c>
      <c r="F138" t="s">
        <v>155</v>
      </c>
      <c r="G138" t="s">
        <v>89</v>
      </c>
      <c r="H138" t="s">
        <v>30</v>
      </c>
      <c r="I138" t="s">
        <v>30</v>
      </c>
      <c r="J138" t="s">
        <v>41</v>
      </c>
      <c r="K138" t="s">
        <v>32</v>
      </c>
      <c r="L138" t="s">
        <v>32</v>
      </c>
      <c r="M138" t="s">
        <v>176</v>
      </c>
      <c r="N138" t="s">
        <v>195</v>
      </c>
      <c r="O138" t="s">
        <v>195</v>
      </c>
      <c r="P138" t="s">
        <v>34</v>
      </c>
      <c r="Q138" t="s">
        <v>35</v>
      </c>
      <c r="R138" t="s">
        <v>173</v>
      </c>
      <c r="S138" t="s">
        <v>30</v>
      </c>
      <c r="T138" t="s">
        <v>191</v>
      </c>
      <c r="U138" t="s">
        <v>192</v>
      </c>
      <c r="V138" t="s">
        <v>39</v>
      </c>
      <c r="W138" s="1">
        <v>2</v>
      </c>
    </row>
    <row r="139" spans="1:23" x14ac:dyDescent="0.2">
      <c r="A139" t="s">
        <v>23</v>
      </c>
      <c r="B139" t="s">
        <v>24</v>
      </c>
      <c r="C139" t="s">
        <v>25</v>
      </c>
      <c r="D139" t="s">
        <v>26</v>
      </c>
      <c r="E139" t="s">
        <v>154</v>
      </c>
      <c r="F139" t="s">
        <v>155</v>
      </c>
      <c r="G139" t="s">
        <v>89</v>
      </c>
      <c r="H139" t="s">
        <v>30</v>
      </c>
      <c r="I139" t="s">
        <v>30</v>
      </c>
      <c r="J139" t="s">
        <v>41</v>
      </c>
      <c r="K139" t="s">
        <v>32</v>
      </c>
      <c r="L139" t="s">
        <v>32</v>
      </c>
      <c r="M139" t="s">
        <v>176</v>
      </c>
      <c r="N139" t="s">
        <v>195</v>
      </c>
      <c r="O139" t="s">
        <v>195</v>
      </c>
      <c r="P139" t="s">
        <v>34</v>
      </c>
      <c r="Q139" t="s">
        <v>35</v>
      </c>
      <c r="R139" t="s">
        <v>173</v>
      </c>
      <c r="S139" t="s">
        <v>30</v>
      </c>
      <c r="T139" t="s">
        <v>191</v>
      </c>
      <c r="U139" t="s">
        <v>192</v>
      </c>
      <c r="V139" t="s">
        <v>40</v>
      </c>
      <c r="W139" s="1">
        <v>2168800</v>
      </c>
    </row>
    <row r="140" spans="1:23" x14ac:dyDescent="0.2">
      <c r="A140" t="s">
        <v>23</v>
      </c>
      <c r="B140" t="s">
        <v>24</v>
      </c>
      <c r="C140" t="s">
        <v>25</v>
      </c>
      <c r="D140" t="s">
        <v>26</v>
      </c>
      <c r="E140" t="s">
        <v>154</v>
      </c>
      <c r="F140" t="s">
        <v>155</v>
      </c>
      <c r="G140" t="s">
        <v>106</v>
      </c>
      <c r="H140" t="s">
        <v>30</v>
      </c>
      <c r="I140" t="s">
        <v>30</v>
      </c>
      <c r="J140" t="s">
        <v>41</v>
      </c>
      <c r="K140" t="s">
        <v>32</v>
      </c>
      <c r="L140" t="s">
        <v>32</v>
      </c>
      <c r="M140" t="s">
        <v>33</v>
      </c>
      <c r="N140" t="s">
        <v>33</v>
      </c>
      <c r="O140" t="s">
        <v>33</v>
      </c>
      <c r="P140" t="s">
        <v>34</v>
      </c>
      <c r="Q140" t="s">
        <v>35</v>
      </c>
      <c r="R140" t="s">
        <v>54</v>
      </c>
      <c r="S140" t="s">
        <v>30</v>
      </c>
      <c r="T140" t="s">
        <v>196</v>
      </c>
      <c r="U140" t="s">
        <v>197</v>
      </c>
      <c r="V140" t="s">
        <v>39</v>
      </c>
      <c r="W140" s="1">
        <v>2</v>
      </c>
    </row>
    <row r="141" spans="1:23" x14ac:dyDescent="0.2">
      <c r="A141" t="s">
        <v>23</v>
      </c>
      <c r="B141" t="s">
        <v>24</v>
      </c>
      <c r="C141" t="s">
        <v>25</v>
      </c>
      <c r="D141" t="s">
        <v>26</v>
      </c>
      <c r="E141" t="s">
        <v>154</v>
      </c>
      <c r="F141" t="s">
        <v>155</v>
      </c>
      <c r="G141" t="s">
        <v>106</v>
      </c>
      <c r="H141" t="s">
        <v>30</v>
      </c>
      <c r="I141" t="s">
        <v>30</v>
      </c>
      <c r="J141" t="s">
        <v>41</v>
      </c>
      <c r="K141" t="s">
        <v>32</v>
      </c>
      <c r="L141" t="s">
        <v>32</v>
      </c>
      <c r="M141" t="s">
        <v>33</v>
      </c>
      <c r="N141" t="s">
        <v>33</v>
      </c>
      <c r="O141" t="s">
        <v>33</v>
      </c>
      <c r="P141" t="s">
        <v>34</v>
      </c>
      <c r="Q141" t="s">
        <v>35</v>
      </c>
      <c r="R141" t="s">
        <v>54</v>
      </c>
      <c r="S141" t="s">
        <v>30</v>
      </c>
      <c r="T141" t="s">
        <v>196</v>
      </c>
      <c r="U141" t="s">
        <v>197</v>
      </c>
      <c r="V141" t="s">
        <v>40</v>
      </c>
      <c r="W141" s="1">
        <v>2238000</v>
      </c>
    </row>
    <row r="142" spans="1:23" x14ac:dyDescent="0.2">
      <c r="A142" t="s">
        <v>23</v>
      </c>
      <c r="B142" t="s">
        <v>24</v>
      </c>
      <c r="C142" t="s">
        <v>25</v>
      </c>
      <c r="D142" t="s">
        <v>26</v>
      </c>
      <c r="E142" t="s">
        <v>154</v>
      </c>
      <c r="F142" t="s">
        <v>155</v>
      </c>
      <c r="G142" t="s">
        <v>106</v>
      </c>
      <c r="H142" t="s">
        <v>30</v>
      </c>
      <c r="I142" t="s">
        <v>30</v>
      </c>
      <c r="J142" t="s">
        <v>41</v>
      </c>
      <c r="K142" t="s">
        <v>32</v>
      </c>
      <c r="L142" t="s">
        <v>32</v>
      </c>
      <c r="M142" t="s">
        <v>33</v>
      </c>
      <c r="P142" t="s">
        <v>34</v>
      </c>
      <c r="Q142" t="s">
        <v>35</v>
      </c>
      <c r="S142" t="s">
        <v>30</v>
      </c>
      <c r="T142" t="s">
        <v>198</v>
      </c>
      <c r="U142" t="s">
        <v>199</v>
      </c>
      <c r="V142" t="s">
        <v>39</v>
      </c>
      <c r="W142" s="1">
        <v>8</v>
      </c>
    </row>
    <row r="143" spans="1:23" x14ac:dyDescent="0.2">
      <c r="A143" t="s">
        <v>23</v>
      </c>
      <c r="B143" t="s">
        <v>24</v>
      </c>
      <c r="C143" t="s">
        <v>25</v>
      </c>
      <c r="D143" t="s">
        <v>26</v>
      </c>
      <c r="E143" t="s">
        <v>154</v>
      </c>
      <c r="F143" t="s">
        <v>155</v>
      </c>
      <c r="G143" t="s">
        <v>106</v>
      </c>
      <c r="H143" t="s">
        <v>30</v>
      </c>
      <c r="I143" t="s">
        <v>30</v>
      </c>
      <c r="J143" t="s">
        <v>41</v>
      </c>
      <c r="K143" t="s">
        <v>32</v>
      </c>
      <c r="L143" t="s">
        <v>32</v>
      </c>
      <c r="M143" t="s">
        <v>33</v>
      </c>
      <c r="P143" t="s">
        <v>34</v>
      </c>
      <c r="Q143" t="s">
        <v>35</v>
      </c>
      <c r="S143" t="s">
        <v>30</v>
      </c>
      <c r="T143" t="s">
        <v>198</v>
      </c>
      <c r="U143" t="s">
        <v>199</v>
      </c>
      <c r="V143" t="s">
        <v>40</v>
      </c>
      <c r="W143" s="1">
        <v>12799200</v>
      </c>
    </row>
    <row r="144" spans="1:23" x14ac:dyDescent="0.2">
      <c r="A144" t="s">
        <v>23</v>
      </c>
      <c r="B144" t="s">
        <v>24</v>
      </c>
      <c r="C144" t="s">
        <v>25</v>
      </c>
      <c r="D144" t="s">
        <v>26</v>
      </c>
      <c r="E144" t="s">
        <v>154</v>
      </c>
      <c r="F144" t="s">
        <v>155</v>
      </c>
      <c r="G144" t="s">
        <v>127</v>
      </c>
      <c r="H144" t="s">
        <v>52</v>
      </c>
      <c r="I144" t="s">
        <v>30</v>
      </c>
      <c r="J144" t="s">
        <v>31</v>
      </c>
      <c r="K144" t="s">
        <v>32</v>
      </c>
      <c r="L144" t="s">
        <v>32</v>
      </c>
      <c r="M144" t="s">
        <v>33</v>
      </c>
      <c r="N144" t="s">
        <v>33</v>
      </c>
      <c r="O144" t="s">
        <v>33</v>
      </c>
      <c r="P144" t="s">
        <v>42</v>
      </c>
      <c r="Q144" t="s">
        <v>43</v>
      </c>
      <c r="S144" t="s">
        <v>30</v>
      </c>
      <c r="T144" t="s">
        <v>200</v>
      </c>
      <c r="U144" t="s">
        <v>201</v>
      </c>
      <c r="V144" t="s">
        <v>39</v>
      </c>
      <c r="W144" s="1">
        <v>1</v>
      </c>
    </row>
    <row r="145" spans="1:23" x14ac:dyDescent="0.2">
      <c r="A145" t="s">
        <v>23</v>
      </c>
      <c r="B145" t="s">
        <v>24</v>
      </c>
      <c r="C145" t="s">
        <v>25</v>
      </c>
      <c r="D145" t="s">
        <v>26</v>
      </c>
      <c r="E145" t="s">
        <v>154</v>
      </c>
      <c r="F145" t="s">
        <v>155</v>
      </c>
      <c r="G145" t="s">
        <v>127</v>
      </c>
      <c r="H145" t="s">
        <v>52</v>
      </c>
      <c r="I145" t="s">
        <v>30</v>
      </c>
      <c r="J145" t="s">
        <v>31</v>
      </c>
      <c r="K145" t="s">
        <v>32</v>
      </c>
      <c r="L145" t="s">
        <v>32</v>
      </c>
      <c r="M145" t="s">
        <v>33</v>
      </c>
      <c r="N145" t="s">
        <v>33</v>
      </c>
      <c r="O145" t="s">
        <v>33</v>
      </c>
      <c r="P145" t="s">
        <v>42</v>
      </c>
      <c r="Q145" t="s">
        <v>43</v>
      </c>
      <c r="S145" t="s">
        <v>30</v>
      </c>
      <c r="T145" t="s">
        <v>200</v>
      </c>
      <c r="U145" t="s">
        <v>201</v>
      </c>
      <c r="V145" t="s">
        <v>40</v>
      </c>
      <c r="W145" s="1">
        <v>519000</v>
      </c>
    </row>
    <row r="146" spans="1:23" x14ac:dyDescent="0.2">
      <c r="A146" t="s">
        <v>23</v>
      </c>
      <c r="B146" t="s">
        <v>24</v>
      </c>
      <c r="C146" t="s">
        <v>25</v>
      </c>
      <c r="D146" t="s">
        <v>26</v>
      </c>
      <c r="E146" t="s">
        <v>154</v>
      </c>
      <c r="F146" t="s">
        <v>155</v>
      </c>
      <c r="G146" t="s">
        <v>127</v>
      </c>
      <c r="H146" t="s">
        <v>52</v>
      </c>
      <c r="I146" t="s">
        <v>30</v>
      </c>
      <c r="J146" t="s">
        <v>31</v>
      </c>
      <c r="K146" t="s">
        <v>32</v>
      </c>
      <c r="L146" t="s">
        <v>32</v>
      </c>
      <c r="M146" t="s">
        <v>33</v>
      </c>
      <c r="N146" t="s">
        <v>169</v>
      </c>
      <c r="O146" t="s">
        <v>169</v>
      </c>
      <c r="P146" t="s">
        <v>42</v>
      </c>
      <c r="Q146" t="s">
        <v>43</v>
      </c>
      <c r="S146" t="s">
        <v>30</v>
      </c>
      <c r="T146" t="s">
        <v>200</v>
      </c>
      <c r="U146" t="s">
        <v>201</v>
      </c>
      <c r="V146" t="s">
        <v>39</v>
      </c>
      <c r="W146" s="1">
        <v>1</v>
      </c>
    </row>
    <row r="147" spans="1:23" x14ac:dyDescent="0.2">
      <c r="A147" t="s">
        <v>23</v>
      </c>
      <c r="B147" t="s">
        <v>24</v>
      </c>
      <c r="C147" t="s">
        <v>25</v>
      </c>
      <c r="D147" t="s">
        <v>26</v>
      </c>
      <c r="E147" t="s">
        <v>154</v>
      </c>
      <c r="F147" t="s">
        <v>155</v>
      </c>
      <c r="G147" t="s">
        <v>127</v>
      </c>
      <c r="H147" t="s">
        <v>52</v>
      </c>
      <c r="I147" t="s">
        <v>30</v>
      </c>
      <c r="J147" t="s">
        <v>31</v>
      </c>
      <c r="K147" t="s">
        <v>32</v>
      </c>
      <c r="L147" t="s">
        <v>32</v>
      </c>
      <c r="M147" t="s">
        <v>33</v>
      </c>
      <c r="N147" t="s">
        <v>169</v>
      </c>
      <c r="O147" t="s">
        <v>169</v>
      </c>
      <c r="P147" t="s">
        <v>42</v>
      </c>
      <c r="Q147" t="s">
        <v>43</v>
      </c>
      <c r="S147" t="s">
        <v>30</v>
      </c>
      <c r="T147" t="s">
        <v>200</v>
      </c>
      <c r="U147" t="s">
        <v>201</v>
      </c>
      <c r="V147" t="s">
        <v>40</v>
      </c>
      <c r="W147" s="1">
        <v>519000</v>
      </c>
    </row>
    <row r="148" spans="1:23" x14ac:dyDescent="0.2">
      <c r="A148" t="s">
        <v>23</v>
      </c>
      <c r="B148" t="s">
        <v>24</v>
      </c>
      <c r="C148" t="s">
        <v>25</v>
      </c>
      <c r="D148" t="s">
        <v>26</v>
      </c>
      <c r="E148" t="s">
        <v>154</v>
      </c>
      <c r="F148" t="s">
        <v>155</v>
      </c>
      <c r="G148" t="s">
        <v>127</v>
      </c>
      <c r="H148" t="s">
        <v>52</v>
      </c>
      <c r="I148" t="s">
        <v>30</v>
      </c>
      <c r="J148" t="s">
        <v>31</v>
      </c>
      <c r="K148" t="s">
        <v>32</v>
      </c>
      <c r="L148" t="s">
        <v>32</v>
      </c>
      <c r="M148" t="s">
        <v>33</v>
      </c>
      <c r="P148" t="s">
        <v>42</v>
      </c>
      <c r="Q148" t="s">
        <v>43</v>
      </c>
      <c r="S148" t="s">
        <v>30</v>
      </c>
      <c r="T148" t="s">
        <v>202</v>
      </c>
      <c r="U148" t="s">
        <v>203</v>
      </c>
      <c r="V148" t="s">
        <v>39</v>
      </c>
      <c r="W148" s="1">
        <v>6</v>
      </c>
    </row>
    <row r="149" spans="1:23" x14ac:dyDescent="0.2">
      <c r="A149" t="s">
        <v>23</v>
      </c>
      <c r="B149" t="s">
        <v>24</v>
      </c>
      <c r="C149" t="s">
        <v>25</v>
      </c>
      <c r="D149" t="s">
        <v>26</v>
      </c>
      <c r="E149" t="s">
        <v>154</v>
      </c>
      <c r="F149" t="s">
        <v>155</v>
      </c>
      <c r="G149" t="s">
        <v>127</v>
      </c>
      <c r="H149" t="s">
        <v>52</v>
      </c>
      <c r="I149" t="s">
        <v>30</v>
      </c>
      <c r="J149" t="s">
        <v>31</v>
      </c>
      <c r="K149" t="s">
        <v>32</v>
      </c>
      <c r="L149" t="s">
        <v>32</v>
      </c>
      <c r="M149" t="s">
        <v>33</v>
      </c>
      <c r="P149" t="s">
        <v>42</v>
      </c>
      <c r="Q149" t="s">
        <v>43</v>
      </c>
      <c r="S149" t="s">
        <v>30</v>
      </c>
      <c r="T149" t="s">
        <v>202</v>
      </c>
      <c r="U149" t="s">
        <v>203</v>
      </c>
      <c r="V149" t="s">
        <v>40</v>
      </c>
      <c r="W149" s="1">
        <v>3545400</v>
      </c>
    </row>
    <row r="150" spans="1:23" x14ac:dyDescent="0.2">
      <c r="A150" t="s">
        <v>23</v>
      </c>
      <c r="B150" t="s">
        <v>24</v>
      </c>
      <c r="C150" t="s">
        <v>25</v>
      </c>
      <c r="D150" t="s">
        <v>26</v>
      </c>
      <c r="E150" t="s">
        <v>154</v>
      </c>
      <c r="F150" t="s">
        <v>155</v>
      </c>
      <c r="G150" t="s">
        <v>127</v>
      </c>
      <c r="H150" t="s">
        <v>52</v>
      </c>
      <c r="I150" t="s">
        <v>30</v>
      </c>
      <c r="J150" t="s">
        <v>41</v>
      </c>
      <c r="K150" t="s">
        <v>32</v>
      </c>
      <c r="L150" t="s">
        <v>32</v>
      </c>
      <c r="M150" t="s">
        <v>33</v>
      </c>
      <c r="N150" t="s">
        <v>33</v>
      </c>
      <c r="O150" t="s">
        <v>33</v>
      </c>
      <c r="P150" t="s">
        <v>34</v>
      </c>
      <c r="Q150" t="s">
        <v>35</v>
      </c>
      <c r="S150" t="s">
        <v>30</v>
      </c>
      <c r="T150" t="s">
        <v>204</v>
      </c>
      <c r="U150" t="s">
        <v>205</v>
      </c>
      <c r="V150" t="s">
        <v>39</v>
      </c>
      <c r="W150" s="1">
        <v>4</v>
      </c>
    </row>
    <row r="151" spans="1:23" x14ac:dyDescent="0.2">
      <c r="A151" t="s">
        <v>23</v>
      </c>
      <c r="B151" t="s">
        <v>24</v>
      </c>
      <c r="C151" t="s">
        <v>25</v>
      </c>
      <c r="D151" t="s">
        <v>26</v>
      </c>
      <c r="E151" t="s">
        <v>154</v>
      </c>
      <c r="F151" t="s">
        <v>155</v>
      </c>
      <c r="G151" t="s">
        <v>127</v>
      </c>
      <c r="H151" t="s">
        <v>52</v>
      </c>
      <c r="I151" t="s">
        <v>30</v>
      </c>
      <c r="J151" t="s">
        <v>41</v>
      </c>
      <c r="K151" t="s">
        <v>32</v>
      </c>
      <c r="L151" t="s">
        <v>32</v>
      </c>
      <c r="M151" t="s">
        <v>33</v>
      </c>
      <c r="N151" t="s">
        <v>33</v>
      </c>
      <c r="O151" t="s">
        <v>33</v>
      </c>
      <c r="P151" t="s">
        <v>34</v>
      </c>
      <c r="Q151" t="s">
        <v>35</v>
      </c>
      <c r="S151" t="s">
        <v>30</v>
      </c>
      <c r="T151" t="s">
        <v>204</v>
      </c>
      <c r="U151" t="s">
        <v>205</v>
      </c>
      <c r="V151" t="s">
        <v>40</v>
      </c>
      <c r="W151" s="1">
        <v>13820000</v>
      </c>
    </row>
    <row r="152" spans="1:23" x14ac:dyDescent="0.2">
      <c r="A152" t="s">
        <v>23</v>
      </c>
      <c r="B152" t="s">
        <v>24</v>
      </c>
      <c r="C152" t="s">
        <v>25</v>
      </c>
      <c r="D152" t="s">
        <v>26</v>
      </c>
      <c r="E152" t="s">
        <v>154</v>
      </c>
      <c r="F152" t="s">
        <v>155</v>
      </c>
      <c r="G152" t="s">
        <v>139</v>
      </c>
      <c r="H152" t="s">
        <v>30</v>
      </c>
      <c r="I152" t="s">
        <v>30</v>
      </c>
      <c r="J152" t="s">
        <v>41</v>
      </c>
      <c r="K152" t="s">
        <v>32</v>
      </c>
      <c r="L152" t="s">
        <v>32</v>
      </c>
      <c r="M152" t="s">
        <v>33</v>
      </c>
      <c r="P152" t="s">
        <v>34</v>
      </c>
      <c r="Q152" t="s">
        <v>35</v>
      </c>
      <c r="S152" t="s">
        <v>30</v>
      </c>
      <c r="T152" t="s">
        <v>206</v>
      </c>
      <c r="U152" t="s">
        <v>207</v>
      </c>
      <c r="V152" t="s">
        <v>39</v>
      </c>
      <c r="W152" s="1">
        <v>4</v>
      </c>
    </row>
    <row r="153" spans="1:23" x14ac:dyDescent="0.2">
      <c r="A153" t="s">
        <v>23</v>
      </c>
      <c r="B153" t="s">
        <v>24</v>
      </c>
      <c r="C153" t="s">
        <v>25</v>
      </c>
      <c r="D153" t="s">
        <v>26</v>
      </c>
      <c r="E153" t="s">
        <v>154</v>
      </c>
      <c r="F153" t="s">
        <v>155</v>
      </c>
      <c r="G153" t="s">
        <v>139</v>
      </c>
      <c r="H153" t="s">
        <v>30</v>
      </c>
      <c r="I153" t="s">
        <v>30</v>
      </c>
      <c r="J153" t="s">
        <v>41</v>
      </c>
      <c r="K153" t="s">
        <v>32</v>
      </c>
      <c r="L153" t="s">
        <v>32</v>
      </c>
      <c r="M153" t="s">
        <v>33</v>
      </c>
      <c r="P153" t="s">
        <v>34</v>
      </c>
      <c r="Q153" t="s">
        <v>35</v>
      </c>
      <c r="S153" t="s">
        <v>30</v>
      </c>
      <c r="T153" t="s">
        <v>206</v>
      </c>
      <c r="U153" t="s">
        <v>207</v>
      </c>
      <c r="V153" t="s">
        <v>40</v>
      </c>
      <c r="W153" s="1">
        <v>15942400</v>
      </c>
    </row>
    <row r="154" spans="1:23" x14ac:dyDescent="0.2">
      <c r="A154" t="s">
        <v>23</v>
      </c>
      <c r="B154" t="s">
        <v>24</v>
      </c>
      <c r="C154" t="s">
        <v>25</v>
      </c>
      <c r="D154" t="s">
        <v>208</v>
      </c>
      <c r="E154" t="s">
        <v>209</v>
      </c>
      <c r="F154" t="s">
        <v>210</v>
      </c>
      <c r="G154" t="s">
        <v>29</v>
      </c>
      <c r="H154" t="s">
        <v>30</v>
      </c>
      <c r="I154" t="s">
        <v>30</v>
      </c>
      <c r="J154" t="s">
        <v>211</v>
      </c>
      <c r="K154" t="s">
        <v>212</v>
      </c>
      <c r="L154" t="s">
        <v>32</v>
      </c>
      <c r="M154" t="s">
        <v>33</v>
      </c>
      <c r="N154" t="s">
        <v>33</v>
      </c>
      <c r="O154" t="s">
        <v>33</v>
      </c>
      <c r="P154" t="s">
        <v>213</v>
      </c>
      <c r="Q154" t="s">
        <v>214</v>
      </c>
      <c r="R154" t="s">
        <v>215</v>
      </c>
      <c r="S154" t="s">
        <v>30</v>
      </c>
      <c r="T154" t="s">
        <v>216</v>
      </c>
      <c r="U154" t="s">
        <v>217</v>
      </c>
      <c r="V154" t="s">
        <v>39</v>
      </c>
      <c r="W154" s="1">
        <v>2</v>
      </c>
    </row>
    <row r="155" spans="1:23" x14ac:dyDescent="0.2">
      <c r="A155" t="s">
        <v>23</v>
      </c>
      <c r="B155" t="s">
        <v>24</v>
      </c>
      <c r="C155" t="s">
        <v>25</v>
      </c>
      <c r="D155" t="s">
        <v>208</v>
      </c>
      <c r="E155" t="s">
        <v>209</v>
      </c>
      <c r="F155" t="s">
        <v>210</v>
      </c>
      <c r="G155" t="s">
        <v>29</v>
      </c>
      <c r="H155" t="s">
        <v>30</v>
      </c>
      <c r="I155" t="s">
        <v>30</v>
      </c>
      <c r="J155" t="s">
        <v>211</v>
      </c>
      <c r="K155" t="s">
        <v>212</v>
      </c>
      <c r="L155" t="s">
        <v>32</v>
      </c>
      <c r="M155" t="s">
        <v>33</v>
      </c>
      <c r="N155" t="s">
        <v>33</v>
      </c>
      <c r="O155" t="s">
        <v>33</v>
      </c>
      <c r="P155" t="s">
        <v>213</v>
      </c>
      <c r="Q155" t="s">
        <v>214</v>
      </c>
      <c r="R155" t="s">
        <v>215</v>
      </c>
      <c r="S155" t="s">
        <v>30</v>
      </c>
      <c r="T155" t="s">
        <v>216</v>
      </c>
      <c r="U155" t="s">
        <v>217</v>
      </c>
      <c r="V155" t="s">
        <v>40</v>
      </c>
      <c r="W155" s="1">
        <v>2038000</v>
      </c>
    </row>
    <row r="156" spans="1:23" x14ac:dyDescent="0.2">
      <c r="A156" t="s">
        <v>23</v>
      </c>
      <c r="B156" t="s">
        <v>24</v>
      </c>
      <c r="C156" t="s">
        <v>25</v>
      </c>
      <c r="D156" t="s">
        <v>208</v>
      </c>
      <c r="E156" t="s">
        <v>209</v>
      </c>
      <c r="F156" t="s">
        <v>210</v>
      </c>
      <c r="G156" t="s">
        <v>29</v>
      </c>
      <c r="H156" t="s">
        <v>30</v>
      </c>
      <c r="I156" t="s">
        <v>30</v>
      </c>
      <c r="J156" t="s">
        <v>31</v>
      </c>
      <c r="K156" t="s">
        <v>32</v>
      </c>
      <c r="L156" t="s">
        <v>32</v>
      </c>
      <c r="M156" t="s">
        <v>33</v>
      </c>
      <c r="P156" t="s">
        <v>213</v>
      </c>
      <c r="Q156" t="s">
        <v>214</v>
      </c>
      <c r="S156" t="s">
        <v>52</v>
      </c>
      <c r="T156" t="s">
        <v>218</v>
      </c>
      <c r="U156" t="s">
        <v>219</v>
      </c>
      <c r="V156" t="s">
        <v>39</v>
      </c>
      <c r="W156" s="1">
        <v>0</v>
      </c>
    </row>
    <row r="157" spans="1:23" x14ac:dyDescent="0.2">
      <c r="A157" t="s">
        <v>23</v>
      </c>
      <c r="B157" t="s">
        <v>24</v>
      </c>
      <c r="C157" t="s">
        <v>25</v>
      </c>
      <c r="D157" t="s">
        <v>208</v>
      </c>
      <c r="E157" t="s">
        <v>209</v>
      </c>
      <c r="F157" t="s">
        <v>210</v>
      </c>
      <c r="G157" t="s">
        <v>29</v>
      </c>
      <c r="H157" t="s">
        <v>30</v>
      </c>
      <c r="I157" t="s">
        <v>30</v>
      </c>
      <c r="J157" t="s">
        <v>31</v>
      </c>
      <c r="K157" t="s">
        <v>32</v>
      </c>
      <c r="L157" t="s">
        <v>32</v>
      </c>
      <c r="M157" t="s">
        <v>33</v>
      </c>
      <c r="P157" t="s">
        <v>213</v>
      </c>
      <c r="Q157" t="s">
        <v>214</v>
      </c>
      <c r="S157" t="s">
        <v>52</v>
      </c>
      <c r="T157" t="s">
        <v>218</v>
      </c>
      <c r="U157" t="s">
        <v>219</v>
      </c>
      <c r="V157" t="s">
        <v>40</v>
      </c>
      <c r="W157" s="1">
        <v>3449700</v>
      </c>
    </row>
    <row r="158" spans="1:23" x14ac:dyDescent="0.2">
      <c r="A158" t="s">
        <v>23</v>
      </c>
      <c r="B158" t="s">
        <v>24</v>
      </c>
      <c r="C158" t="s">
        <v>25</v>
      </c>
      <c r="D158" t="s">
        <v>208</v>
      </c>
      <c r="E158" t="s">
        <v>209</v>
      </c>
      <c r="F158" t="s">
        <v>210</v>
      </c>
      <c r="G158" t="s">
        <v>29</v>
      </c>
      <c r="H158" t="s">
        <v>30</v>
      </c>
      <c r="I158" t="s">
        <v>30</v>
      </c>
      <c r="J158" t="s">
        <v>31</v>
      </c>
      <c r="K158" t="s">
        <v>32</v>
      </c>
      <c r="L158" t="s">
        <v>32</v>
      </c>
      <c r="M158" t="s">
        <v>33</v>
      </c>
      <c r="P158" t="s">
        <v>34</v>
      </c>
      <c r="Q158" t="s">
        <v>35</v>
      </c>
      <c r="S158" t="s">
        <v>52</v>
      </c>
      <c r="T158" t="s">
        <v>220</v>
      </c>
      <c r="U158" t="s">
        <v>221</v>
      </c>
      <c r="V158" t="s">
        <v>39</v>
      </c>
      <c r="W158" s="1">
        <v>0</v>
      </c>
    </row>
    <row r="159" spans="1:23" x14ac:dyDescent="0.2">
      <c r="A159" t="s">
        <v>23</v>
      </c>
      <c r="B159" t="s">
        <v>24</v>
      </c>
      <c r="C159" t="s">
        <v>25</v>
      </c>
      <c r="D159" t="s">
        <v>208</v>
      </c>
      <c r="E159" t="s">
        <v>209</v>
      </c>
      <c r="F159" t="s">
        <v>210</v>
      </c>
      <c r="G159" t="s">
        <v>29</v>
      </c>
      <c r="H159" t="s">
        <v>30</v>
      </c>
      <c r="I159" t="s">
        <v>30</v>
      </c>
      <c r="J159" t="s">
        <v>31</v>
      </c>
      <c r="K159" t="s">
        <v>32</v>
      </c>
      <c r="L159" t="s">
        <v>32</v>
      </c>
      <c r="M159" t="s">
        <v>33</v>
      </c>
      <c r="P159" t="s">
        <v>34</v>
      </c>
      <c r="Q159" t="s">
        <v>35</v>
      </c>
      <c r="S159" t="s">
        <v>52</v>
      </c>
      <c r="T159" t="s">
        <v>220</v>
      </c>
      <c r="U159" t="s">
        <v>221</v>
      </c>
      <c r="V159" t="s">
        <v>40</v>
      </c>
      <c r="W159" s="1">
        <v>1048400</v>
      </c>
    </row>
    <row r="160" spans="1:23" x14ac:dyDescent="0.2">
      <c r="A160" t="s">
        <v>23</v>
      </c>
      <c r="B160" t="s">
        <v>24</v>
      </c>
      <c r="C160" t="s">
        <v>25</v>
      </c>
      <c r="D160" t="s">
        <v>208</v>
      </c>
      <c r="E160" t="s">
        <v>209</v>
      </c>
      <c r="F160" t="s">
        <v>210</v>
      </c>
      <c r="G160" t="s">
        <v>49</v>
      </c>
      <c r="H160" t="s">
        <v>30</v>
      </c>
      <c r="I160" t="s">
        <v>30</v>
      </c>
      <c r="J160" t="s">
        <v>211</v>
      </c>
      <c r="K160" t="s">
        <v>212</v>
      </c>
      <c r="L160" t="s">
        <v>32</v>
      </c>
      <c r="M160" t="s">
        <v>33</v>
      </c>
      <c r="N160" t="s">
        <v>33</v>
      </c>
      <c r="O160" t="s">
        <v>33</v>
      </c>
      <c r="P160" t="s">
        <v>213</v>
      </c>
      <c r="Q160" t="s">
        <v>214</v>
      </c>
      <c r="R160" t="s">
        <v>215</v>
      </c>
      <c r="S160" t="s">
        <v>30</v>
      </c>
      <c r="T160" t="s">
        <v>222</v>
      </c>
      <c r="U160" t="s">
        <v>223</v>
      </c>
      <c r="V160" t="s">
        <v>39</v>
      </c>
      <c r="W160" s="1">
        <v>4</v>
      </c>
    </row>
    <row r="161" spans="1:23" x14ac:dyDescent="0.2">
      <c r="A161" t="s">
        <v>23</v>
      </c>
      <c r="B161" t="s">
        <v>24</v>
      </c>
      <c r="C161" t="s">
        <v>25</v>
      </c>
      <c r="D161" t="s">
        <v>208</v>
      </c>
      <c r="E161" t="s">
        <v>209</v>
      </c>
      <c r="F161" t="s">
        <v>210</v>
      </c>
      <c r="G161" t="s">
        <v>49</v>
      </c>
      <c r="H161" t="s">
        <v>30</v>
      </c>
      <c r="I161" t="s">
        <v>30</v>
      </c>
      <c r="J161" t="s">
        <v>211</v>
      </c>
      <c r="K161" t="s">
        <v>212</v>
      </c>
      <c r="L161" t="s">
        <v>32</v>
      </c>
      <c r="M161" t="s">
        <v>33</v>
      </c>
      <c r="N161" t="s">
        <v>33</v>
      </c>
      <c r="O161" t="s">
        <v>33</v>
      </c>
      <c r="P161" t="s">
        <v>213</v>
      </c>
      <c r="Q161" t="s">
        <v>214</v>
      </c>
      <c r="R161" t="s">
        <v>215</v>
      </c>
      <c r="S161" t="s">
        <v>30</v>
      </c>
      <c r="T161" t="s">
        <v>222</v>
      </c>
      <c r="U161" t="s">
        <v>223</v>
      </c>
      <c r="V161" t="s">
        <v>40</v>
      </c>
      <c r="W161" s="1">
        <v>4839600</v>
      </c>
    </row>
    <row r="162" spans="1:23" x14ac:dyDescent="0.2">
      <c r="A162" t="s">
        <v>23</v>
      </c>
      <c r="B162" t="s">
        <v>24</v>
      </c>
      <c r="C162" t="s">
        <v>25</v>
      </c>
      <c r="D162" t="s">
        <v>208</v>
      </c>
      <c r="E162" t="s">
        <v>209</v>
      </c>
      <c r="F162" t="s">
        <v>210</v>
      </c>
      <c r="G162" t="s">
        <v>49</v>
      </c>
      <c r="H162" t="s">
        <v>30</v>
      </c>
      <c r="I162" t="s">
        <v>30</v>
      </c>
      <c r="J162" t="s">
        <v>211</v>
      </c>
      <c r="K162" t="s">
        <v>181</v>
      </c>
      <c r="L162" t="s">
        <v>32</v>
      </c>
      <c r="M162" t="s">
        <v>33</v>
      </c>
      <c r="N162" t="s">
        <v>33</v>
      </c>
      <c r="O162" t="s">
        <v>33</v>
      </c>
      <c r="P162" t="s">
        <v>34</v>
      </c>
      <c r="Q162" t="s">
        <v>35</v>
      </c>
      <c r="R162" t="s">
        <v>215</v>
      </c>
      <c r="S162" t="s">
        <v>30</v>
      </c>
      <c r="T162" t="s">
        <v>224</v>
      </c>
      <c r="U162" t="s">
        <v>225</v>
      </c>
      <c r="V162" t="s">
        <v>39</v>
      </c>
      <c r="W162" s="1">
        <v>1</v>
      </c>
    </row>
    <row r="163" spans="1:23" x14ac:dyDescent="0.2">
      <c r="A163" t="s">
        <v>23</v>
      </c>
      <c r="B163" t="s">
        <v>24</v>
      </c>
      <c r="C163" t="s">
        <v>25</v>
      </c>
      <c r="D163" t="s">
        <v>208</v>
      </c>
      <c r="E163" t="s">
        <v>209</v>
      </c>
      <c r="F163" t="s">
        <v>210</v>
      </c>
      <c r="G163" t="s">
        <v>49</v>
      </c>
      <c r="H163" t="s">
        <v>30</v>
      </c>
      <c r="I163" t="s">
        <v>30</v>
      </c>
      <c r="J163" t="s">
        <v>211</v>
      </c>
      <c r="K163" t="s">
        <v>181</v>
      </c>
      <c r="L163" t="s">
        <v>32</v>
      </c>
      <c r="M163" t="s">
        <v>33</v>
      </c>
      <c r="N163" t="s">
        <v>33</v>
      </c>
      <c r="O163" t="s">
        <v>33</v>
      </c>
      <c r="P163" t="s">
        <v>34</v>
      </c>
      <c r="Q163" t="s">
        <v>35</v>
      </c>
      <c r="R163" t="s">
        <v>215</v>
      </c>
      <c r="S163" t="s">
        <v>30</v>
      </c>
      <c r="T163" t="s">
        <v>224</v>
      </c>
      <c r="U163" t="s">
        <v>225</v>
      </c>
      <c r="V163" t="s">
        <v>40</v>
      </c>
      <c r="W163" s="1">
        <v>2341400</v>
      </c>
    </row>
    <row r="164" spans="1:23" x14ac:dyDescent="0.2">
      <c r="A164" t="s">
        <v>23</v>
      </c>
      <c r="B164" t="s">
        <v>24</v>
      </c>
      <c r="C164" t="s">
        <v>25</v>
      </c>
      <c r="D164" t="s">
        <v>208</v>
      </c>
      <c r="E164" t="s">
        <v>209</v>
      </c>
      <c r="F164" t="s">
        <v>210</v>
      </c>
      <c r="G164" t="s">
        <v>49</v>
      </c>
      <c r="H164" t="s">
        <v>30</v>
      </c>
      <c r="I164" t="s">
        <v>30</v>
      </c>
      <c r="J164" t="s">
        <v>211</v>
      </c>
      <c r="K164" t="s">
        <v>181</v>
      </c>
      <c r="L164" t="s">
        <v>32</v>
      </c>
      <c r="M164" t="s">
        <v>33</v>
      </c>
      <c r="P164" t="s">
        <v>34</v>
      </c>
      <c r="Q164" t="s">
        <v>35</v>
      </c>
      <c r="R164" t="s">
        <v>215</v>
      </c>
      <c r="S164" t="s">
        <v>52</v>
      </c>
      <c r="T164" t="s">
        <v>226</v>
      </c>
      <c r="U164" t="s">
        <v>227</v>
      </c>
      <c r="V164" t="s">
        <v>39</v>
      </c>
      <c r="W164" s="1">
        <v>0</v>
      </c>
    </row>
    <row r="165" spans="1:23" x14ac:dyDescent="0.2">
      <c r="A165" t="s">
        <v>23</v>
      </c>
      <c r="B165" t="s">
        <v>24</v>
      </c>
      <c r="C165" t="s">
        <v>25</v>
      </c>
      <c r="D165" t="s">
        <v>208</v>
      </c>
      <c r="E165" t="s">
        <v>209</v>
      </c>
      <c r="F165" t="s">
        <v>210</v>
      </c>
      <c r="G165" t="s">
        <v>49</v>
      </c>
      <c r="H165" t="s">
        <v>30</v>
      </c>
      <c r="I165" t="s">
        <v>30</v>
      </c>
      <c r="J165" t="s">
        <v>211</v>
      </c>
      <c r="K165" t="s">
        <v>181</v>
      </c>
      <c r="L165" t="s">
        <v>32</v>
      </c>
      <c r="M165" t="s">
        <v>33</v>
      </c>
      <c r="P165" t="s">
        <v>34</v>
      </c>
      <c r="Q165" t="s">
        <v>35</v>
      </c>
      <c r="R165" t="s">
        <v>215</v>
      </c>
      <c r="S165" t="s">
        <v>52</v>
      </c>
      <c r="T165" t="s">
        <v>226</v>
      </c>
      <c r="U165" t="s">
        <v>227</v>
      </c>
      <c r="V165" t="s">
        <v>40</v>
      </c>
      <c r="W165" s="1">
        <v>2335000</v>
      </c>
    </row>
    <row r="166" spans="1:23" x14ac:dyDescent="0.2">
      <c r="A166" t="s">
        <v>23</v>
      </c>
      <c r="B166" t="s">
        <v>24</v>
      </c>
      <c r="C166" t="s">
        <v>25</v>
      </c>
      <c r="D166" t="s">
        <v>208</v>
      </c>
      <c r="E166" t="s">
        <v>209</v>
      </c>
      <c r="F166" t="s">
        <v>210</v>
      </c>
      <c r="G166" t="s">
        <v>49</v>
      </c>
      <c r="H166" t="s">
        <v>30</v>
      </c>
      <c r="I166" t="s">
        <v>30</v>
      </c>
      <c r="J166" t="s">
        <v>31</v>
      </c>
      <c r="K166" t="s">
        <v>32</v>
      </c>
      <c r="L166" t="s">
        <v>32</v>
      </c>
      <c r="M166" t="s">
        <v>33</v>
      </c>
      <c r="N166" t="s">
        <v>33</v>
      </c>
      <c r="O166" t="s">
        <v>33</v>
      </c>
      <c r="P166" t="s">
        <v>213</v>
      </c>
      <c r="Q166" t="s">
        <v>214</v>
      </c>
      <c r="R166" t="s">
        <v>228</v>
      </c>
      <c r="S166" t="s">
        <v>30</v>
      </c>
      <c r="T166" t="s">
        <v>229</v>
      </c>
      <c r="U166" t="s">
        <v>230</v>
      </c>
      <c r="V166" t="s">
        <v>39</v>
      </c>
      <c r="W166" s="1">
        <v>3</v>
      </c>
    </row>
    <row r="167" spans="1:23" x14ac:dyDescent="0.2">
      <c r="A167" t="s">
        <v>23</v>
      </c>
      <c r="B167" t="s">
        <v>24</v>
      </c>
      <c r="C167" t="s">
        <v>25</v>
      </c>
      <c r="D167" t="s">
        <v>208</v>
      </c>
      <c r="E167" t="s">
        <v>209</v>
      </c>
      <c r="F167" t="s">
        <v>210</v>
      </c>
      <c r="G167" t="s">
        <v>49</v>
      </c>
      <c r="H167" t="s">
        <v>30</v>
      </c>
      <c r="I167" t="s">
        <v>30</v>
      </c>
      <c r="J167" t="s">
        <v>31</v>
      </c>
      <c r="K167" t="s">
        <v>32</v>
      </c>
      <c r="L167" t="s">
        <v>32</v>
      </c>
      <c r="M167" t="s">
        <v>33</v>
      </c>
      <c r="N167" t="s">
        <v>33</v>
      </c>
      <c r="O167" t="s">
        <v>33</v>
      </c>
      <c r="P167" t="s">
        <v>213</v>
      </c>
      <c r="Q167" t="s">
        <v>214</v>
      </c>
      <c r="R167" t="s">
        <v>228</v>
      </c>
      <c r="S167" t="s">
        <v>30</v>
      </c>
      <c r="T167" t="s">
        <v>229</v>
      </c>
      <c r="U167" t="s">
        <v>230</v>
      </c>
      <c r="V167" t="s">
        <v>40</v>
      </c>
      <c r="W167" s="1">
        <v>1827000</v>
      </c>
    </row>
    <row r="168" spans="1:23" x14ac:dyDescent="0.2">
      <c r="A168" t="s">
        <v>23</v>
      </c>
      <c r="B168" t="s">
        <v>24</v>
      </c>
      <c r="C168" t="s">
        <v>25</v>
      </c>
      <c r="D168" t="s">
        <v>208</v>
      </c>
      <c r="E168" t="s">
        <v>209</v>
      </c>
      <c r="F168" t="s">
        <v>210</v>
      </c>
      <c r="G168" t="s">
        <v>49</v>
      </c>
      <c r="H168" t="s">
        <v>30</v>
      </c>
      <c r="I168" t="s">
        <v>30</v>
      </c>
      <c r="J168" t="s">
        <v>31</v>
      </c>
      <c r="K168" t="s">
        <v>32</v>
      </c>
      <c r="L168" t="s">
        <v>32</v>
      </c>
      <c r="M168" t="s">
        <v>33</v>
      </c>
      <c r="N168" t="s">
        <v>33</v>
      </c>
      <c r="O168" t="s">
        <v>33</v>
      </c>
      <c r="P168" t="s">
        <v>213</v>
      </c>
      <c r="Q168" t="s">
        <v>214</v>
      </c>
      <c r="S168" t="s">
        <v>30</v>
      </c>
      <c r="T168" t="s">
        <v>231</v>
      </c>
      <c r="U168" t="s">
        <v>232</v>
      </c>
      <c r="V168" t="s">
        <v>39</v>
      </c>
      <c r="W168" s="1">
        <v>3</v>
      </c>
    </row>
    <row r="169" spans="1:23" x14ac:dyDescent="0.2">
      <c r="A169" t="s">
        <v>23</v>
      </c>
      <c r="B169" t="s">
        <v>24</v>
      </c>
      <c r="C169" t="s">
        <v>25</v>
      </c>
      <c r="D169" t="s">
        <v>208</v>
      </c>
      <c r="E169" t="s">
        <v>209</v>
      </c>
      <c r="F169" t="s">
        <v>210</v>
      </c>
      <c r="G169" t="s">
        <v>49</v>
      </c>
      <c r="H169" t="s">
        <v>30</v>
      </c>
      <c r="I169" t="s">
        <v>30</v>
      </c>
      <c r="J169" t="s">
        <v>31</v>
      </c>
      <c r="K169" t="s">
        <v>32</v>
      </c>
      <c r="L169" t="s">
        <v>32</v>
      </c>
      <c r="M169" t="s">
        <v>33</v>
      </c>
      <c r="N169" t="s">
        <v>33</v>
      </c>
      <c r="O169" t="s">
        <v>33</v>
      </c>
      <c r="P169" t="s">
        <v>213</v>
      </c>
      <c r="Q169" t="s">
        <v>214</v>
      </c>
      <c r="S169" t="s">
        <v>30</v>
      </c>
      <c r="T169" t="s">
        <v>231</v>
      </c>
      <c r="U169" t="s">
        <v>232</v>
      </c>
      <c r="V169" t="s">
        <v>40</v>
      </c>
      <c r="W169" s="1">
        <v>1121700</v>
      </c>
    </row>
    <row r="170" spans="1:23" x14ac:dyDescent="0.2">
      <c r="A170" t="s">
        <v>23</v>
      </c>
      <c r="B170" t="s">
        <v>24</v>
      </c>
      <c r="C170" t="s">
        <v>25</v>
      </c>
      <c r="D170" t="s">
        <v>208</v>
      </c>
      <c r="E170" t="s">
        <v>209</v>
      </c>
      <c r="F170" t="s">
        <v>210</v>
      </c>
      <c r="G170" t="s">
        <v>49</v>
      </c>
      <c r="H170" t="s">
        <v>30</v>
      </c>
      <c r="I170" t="s">
        <v>30</v>
      </c>
      <c r="J170" t="s">
        <v>233</v>
      </c>
      <c r="K170" t="s">
        <v>234</v>
      </c>
      <c r="L170" t="s">
        <v>32</v>
      </c>
      <c r="M170" t="s">
        <v>33</v>
      </c>
      <c r="P170" t="s">
        <v>34</v>
      </c>
      <c r="Q170" t="s">
        <v>35</v>
      </c>
      <c r="S170" t="s">
        <v>30</v>
      </c>
      <c r="T170" t="s">
        <v>235</v>
      </c>
      <c r="U170" t="s">
        <v>236</v>
      </c>
      <c r="V170" t="s">
        <v>39</v>
      </c>
      <c r="W170" s="1">
        <v>7</v>
      </c>
    </row>
    <row r="171" spans="1:23" x14ac:dyDescent="0.2">
      <c r="A171" t="s">
        <v>23</v>
      </c>
      <c r="B171" t="s">
        <v>24</v>
      </c>
      <c r="C171" t="s">
        <v>25</v>
      </c>
      <c r="D171" t="s">
        <v>208</v>
      </c>
      <c r="E171" t="s">
        <v>209</v>
      </c>
      <c r="F171" t="s">
        <v>210</v>
      </c>
      <c r="G171" t="s">
        <v>49</v>
      </c>
      <c r="H171" t="s">
        <v>30</v>
      </c>
      <c r="I171" t="s">
        <v>30</v>
      </c>
      <c r="J171" t="s">
        <v>233</v>
      </c>
      <c r="K171" t="s">
        <v>234</v>
      </c>
      <c r="L171" t="s">
        <v>32</v>
      </c>
      <c r="M171" t="s">
        <v>33</v>
      </c>
      <c r="P171" t="s">
        <v>34</v>
      </c>
      <c r="Q171" t="s">
        <v>35</v>
      </c>
      <c r="S171" t="s">
        <v>30</v>
      </c>
      <c r="T171" t="s">
        <v>235</v>
      </c>
      <c r="U171" t="s">
        <v>236</v>
      </c>
      <c r="V171" t="s">
        <v>40</v>
      </c>
      <c r="W171" s="1">
        <v>6930000</v>
      </c>
    </row>
    <row r="172" spans="1:23" x14ac:dyDescent="0.2">
      <c r="A172" t="s">
        <v>23</v>
      </c>
      <c r="B172" t="s">
        <v>24</v>
      </c>
      <c r="C172" t="s">
        <v>25</v>
      </c>
      <c r="D172" t="s">
        <v>208</v>
      </c>
      <c r="E172" t="s">
        <v>209</v>
      </c>
      <c r="F172" t="s">
        <v>210</v>
      </c>
      <c r="G172" t="s">
        <v>49</v>
      </c>
      <c r="H172" t="s">
        <v>30</v>
      </c>
      <c r="I172" t="s">
        <v>30</v>
      </c>
      <c r="J172" t="s">
        <v>233</v>
      </c>
      <c r="K172" t="s">
        <v>234</v>
      </c>
      <c r="L172" t="s">
        <v>32</v>
      </c>
      <c r="M172" t="s">
        <v>33</v>
      </c>
      <c r="P172" t="s">
        <v>34</v>
      </c>
      <c r="Q172" t="s">
        <v>35</v>
      </c>
      <c r="S172" t="s">
        <v>52</v>
      </c>
      <c r="T172" t="s">
        <v>235</v>
      </c>
      <c r="U172" t="s">
        <v>237</v>
      </c>
      <c r="V172" t="s">
        <v>39</v>
      </c>
      <c r="W172" s="1">
        <v>0</v>
      </c>
    </row>
    <row r="173" spans="1:23" x14ac:dyDescent="0.2">
      <c r="A173" t="s">
        <v>23</v>
      </c>
      <c r="B173" t="s">
        <v>24</v>
      </c>
      <c r="C173" t="s">
        <v>25</v>
      </c>
      <c r="D173" t="s">
        <v>208</v>
      </c>
      <c r="E173" t="s">
        <v>209</v>
      </c>
      <c r="F173" t="s">
        <v>210</v>
      </c>
      <c r="G173" t="s">
        <v>49</v>
      </c>
      <c r="H173" t="s">
        <v>30</v>
      </c>
      <c r="I173" t="s">
        <v>30</v>
      </c>
      <c r="J173" t="s">
        <v>233</v>
      </c>
      <c r="K173" t="s">
        <v>234</v>
      </c>
      <c r="L173" t="s">
        <v>32</v>
      </c>
      <c r="M173" t="s">
        <v>33</v>
      </c>
      <c r="P173" t="s">
        <v>34</v>
      </c>
      <c r="Q173" t="s">
        <v>35</v>
      </c>
      <c r="S173" t="s">
        <v>52</v>
      </c>
      <c r="T173" t="s">
        <v>235</v>
      </c>
      <c r="U173" t="s">
        <v>237</v>
      </c>
      <c r="V173" t="s">
        <v>40</v>
      </c>
      <c r="W173" s="1">
        <v>6930000</v>
      </c>
    </row>
    <row r="174" spans="1:23" x14ac:dyDescent="0.2">
      <c r="A174" t="s">
        <v>23</v>
      </c>
      <c r="B174" t="s">
        <v>24</v>
      </c>
      <c r="C174" t="s">
        <v>25</v>
      </c>
      <c r="D174" t="s">
        <v>208</v>
      </c>
      <c r="E174" t="s">
        <v>209</v>
      </c>
      <c r="F174" t="s">
        <v>210</v>
      </c>
      <c r="G174" t="s">
        <v>61</v>
      </c>
      <c r="H174" t="s">
        <v>52</v>
      </c>
      <c r="I174" t="s">
        <v>52</v>
      </c>
      <c r="J174" t="s">
        <v>31</v>
      </c>
      <c r="K174" t="s">
        <v>32</v>
      </c>
      <c r="L174" t="s">
        <v>32</v>
      </c>
      <c r="M174" t="s">
        <v>33</v>
      </c>
      <c r="N174" t="s">
        <v>33</v>
      </c>
      <c r="O174" t="s">
        <v>33</v>
      </c>
      <c r="P174" t="s">
        <v>213</v>
      </c>
      <c r="Q174" t="s">
        <v>214</v>
      </c>
      <c r="S174" t="s">
        <v>30</v>
      </c>
      <c r="T174" t="s">
        <v>238</v>
      </c>
      <c r="U174" t="s">
        <v>239</v>
      </c>
      <c r="V174" t="s">
        <v>39</v>
      </c>
      <c r="W174" s="1">
        <v>4</v>
      </c>
    </row>
    <row r="175" spans="1:23" x14ac:dyDescent="0.2">
      <c r="A175" t="s">
        <v>23</v>
      </c>
      <c r="B175" t="s">
        <v>24</v>
      </c>
      <c r="C175" t="s">
        <v>25</v>
      </c>
      <c r="D175" t="s">
        <v>208</v>
      </c>
      <c r="E175" t="s">
        <v>209</v>
      </c>
      <c r="F175" t="s">
        <v>210</v>
      </c>
      <c r="G175" t="s">
        <v>61</v>
      </c>
      <c r="H175" t="s">
        <v>52</v>
      </c>
      <c r="I175" t="s">
        <v>52</v>
      </c>
      <c r="J175" t="s">
        <v>31</v>
      </c>
      <c r="K175" t="s">
        <v>32</v>
      </c>
      <c r="L175" t="s">
        <v>32</v>
      </c>
      <c r="M175" t="s">
        <v>33</v>
      </c>
      <c r="N175" t="s">
        <v>33</v>
      </c>
      <c r="O175" t="s">
        <v>33</v>
      </c>
      <c r="P175" t="s">
        <v>213</v>
      </c>
      <c r="Q175" t="s">
        <v>214</v>
      </c>
      <c r="S175" t="s">
        <v>30</v>
      </c>
      <c r="T175" t="s">
        <v>238</v>
      </c>
      <c r="U175" t="s">
        <v>239</v>
      </c>
      <c r="V175" t="s">
        <v>40</v>
      </c>
      <c r="W175" s="1">
        <v>691600</v>
      </c>
    </row>
    <row r="176" spans="1:23" x14ac:dyDescent="0.2">
      <c r="A176" t="s">
        <v>23</v>
      </c>
      <c r="B176" t="s">
        <v>24</v>
      </c>
      <c r="C176" t="s">
        <v>25</v>
      </c>
      <c r="D176" t="s">
        <v>208</v>
      </c>
      <c r="E176" t="s">
        <v>209</v>
      </c>
      <c r="F176" t="s">
        <v>210</v>
      </c>
      <c r="G176" t="s">
        <v>170</v>
      </c>
      <c r="H176" t="s">
        <v>52</v>
      </c>
      <c r="I176" t="s">
        <v>30</v>
      </c>
      <c r="J176" t="s">
        <v>128</v>
      </c>
      <c r="K176" t="s">
        <v>32</v>
      </c>
      <c r="L176" t="s">
        <v>32</v>
      </c>
      <c r="M176" t="s">
        <v>33</v>
      </c>
      <c r="P176" t="s">
        <v>34</v>
      </c>
      <c r="Q176" t="s">
        <v>35</v>
      </c>
      <c r="R176" t="s">
        <v>129</v>
      </c>
      <c r="S176" t="s">
        <v>30</v>
      </c>
      <c r="T176" t="s">
        <v>240</v>
      </c>
      <c r="U176" t="s">
        <v>241</v>
      </c>
      <c r="V176" t="s">
        <v>39</v>
      </c>
      <c r="W176" s="1">
        <v>2</v>
      </c>
    </row>
    <row r="177" spans="1:23" x14ac:dyDescent="0.2">
      <c r="A177" t="s">
        <v>23</v>
      </c>
      <c r="B177" t="s">
        <v>24</v>
      </c>
      <c r="C177" t="s">
        <v>25</v>
      </c>
      <c r="D177" t="s">
        <v>208</v>
      </c>
      <c r="E177" t="s">
        <v>209</v>
      </c>
      <c r="F177" t="s">
        <v>210</v>
      </c>
      <c r="G177" t="s">
        <v>170</v>
      </c>
      <c r="H177" t="s">
        <v>52</v>
      </c>
      <c r="I177" t="s">
        <v>30</v>
      </c>
      <c r="J177" t="s">
        <v>128</v>
      </c>
      <c r="K177" t="s">
        <v>32</v>
      </c>
      <c r="L177" t="s">
        <v>32</v>
      </c>
      <c r="M177" t="s">
        <v>33</v>
      </c>
      <c r="P177" t="s">
        <v>34</v>
      </c>
      <c r="Q177" t="s">
        <v>35</v>
      </c>
      <c r="R177" t="s">
        <v>129</v>
      </c>
      <c r="S177" t="s">
        <v>30</v>
      </c>
      <c r="T177" t="s">
        <v>240</v>
      </c>
      <c r="U177" t="s">
        <v>241</v>
      </c>
      <c r="V177" t="s">
        <v>40</v>
      </c>
      <c r="W177" s="1">
        <v>678000</v>
      </c>
    </row>
    <row r="178" spans="1:23" x14ac:dyDescent="0.2">
      <c r="A178" t="s">
        <v>23</v>
      </c>
      <c r="B178" t="s">
        <v>24</v>
      </c>
      <c r="C178" t="s">
        <v>25</v>
      </c>
      <c r="D178" t="s">
        <v>208</v>
      </c>
      <c r="E178" t="s">
        <v>209</v>
      </c>
      <c r="F178" t="s">
        <v>210</v>
      </c>
      <c r="G178" t="s">
        <v>67</v>
      </c>
      <c r="H178" t="s">
        <v>30</v>
      </c>
      <c r="I178" t="s">
        <v>30</v>
      </c>
      <c r="J178" t="s">
        <v>211</v>
      </c>
      <c r="K178" t="s">
        <v>212</v>
      </c>
      <c r="L178" t="s">
        <v>32</v>
      </c>
      <c r="M178" t="s">
        <v>33</v>
      </c>
      <c r="N178" t="s">
        <v>33</v>
      </c>
      <c r="O178" t="s">
        <v>33</v>
      </c>
      <c r="P178" t="s">
        <v>34</v>
      </c>
      <c r="Q178" t="s">
        <v>35</v>
      </c>
      <c r="R178" t="s">
        <v>242</v>
      </c>
      <c r="S178" t="s">
        <v>30</v>
      </c>
      <c r="T178" t="s">
        <v>243</v>
      </c>
      <c r="U178" t="s">
        <v>244</v>
      </c>
      <c r="V178" t="s">
        <v>39</v>
      </c>
      <c r="W178" s="1">
        <v>4</v>
      </c>
    </row>
    <row r="179" spans="1:23" x14ac:dyDescent="0.2">
      <c r="A179" t="s">
        <v>23</v>
      </c>
      <c r="B179" t="s">
        <v>24</v>
      </c>
      <c r="C179" t="s">
        <v>25</v>
      </c>
      <c r="D179" t="s">
        <v>208</v>
      </c>
      <c r="E179" t="s">
        <v>209</v>
      </c>
      <c r="F179" t="s">
        <v>210</v>
      </c>
      <c r="G179" t="s">
        <v>67</v>
      </c>
      <c r="H179" t="s">
        <v>30</v>
      </c>
      <c r="I179" t="s">
        <v>30</v>
      </c>
      <c r="J179" t="s">
        <v>211</v>
      </c>
      <c r="K179" t="s">
        <v>212</v>
      </c>
      <c r="L179" t="s">
        <v>32</v>
      </c>
      <c r="M179" t="s">
        <v>33</v>
      </c>
      <c r="N179" t="s">
        <v>33</v>
      </c>
      <c r="O179" t="s">
        <v>33</v>
      </c>
      <c r="P179" t="s">
        <v>34</v>
      </c>
      <c r="Q179" t="s">
        <v>35</v>
      </c>
      <c r="R179" t="s">
        <v>242</v>
      </c>
      <c r="S179" t="s">
        <v>30</v>
      </c>
      <c r="T179" t="s">
        <v>243</v>
      </c>
      <c r="U179" t="s">
        <v>244</v>
      </c>
      <c r="V179" t="s">
        <v>40</v>
      </c>
      <c r="W179" s="1">
        <v>5119600</v>
      </c>
    </row>
    <row r="180" spans="1:23" x14ac:dyDescent="0.2">
      <c r="A180" t="s">
        <v>23</v>
      </c>
      <c r="B180" t="s">
        <v>24</v>
      </c>
      <c r="C180" t="s">
        <v>25</v>
      </c>
      <c r="D180" t="s">
        <v>208</v>
      </c>
      <c r="E180" t="s">
        <v>209</v>
      </c>
      <c r="F180" t="s">
        <v>210</v>
      </c>
      <c r="G180" t="s">
        <v>67</v>
      </c>
      <c r="H180" t="s">
        <v>30</v>
      </c>
      <c r="I180" t="s">
        <v>30</v>
      </c>
      <c r="J180" t="s">
        <v>128</v>
      </c>
      <c r="K180" t="s">
        <v>181</v>
      </c>
      <c r="L180" t="s">
        <v>32</v>
      </c>
      <c r="M180" t="s">
        <v>33</v>
      </c>
      <c r="N180" t="s">
        <v>33</v>
      </c>
      <c r="O180" t="s">
        <v>33</v>
      </c>
      <c r="P180" t="s">
        <v>34</v>
      </c>
      <c r="Q180" t="s">
        <v>35</v>
      </c>
      <c r="S180" t="s">
        <v>30</v>
      </c>
      <c r="T180" t="s">
        <v>245</v>
      </c>
      <c r="U180" t="s">
        <v>246</v>
      </c>
      <c r="V180" t="s">
        <v>39</v>
      </c>
      <c r="W180" s="1">
        <v>42</v>
      </c>
    </row>
    <row r="181" spans="1:23" x14ac:dyDescent="0.2">
      <c r="A181" t="s">
        <v>23</v>
      </c>
      <c r="B181" t="s">
        <v>24</v>
      </c>
      <c r="C181" t="s">
        <v>25</v>
      </c>
      <c r="D181" t="s">
        <v>208</v>
      </c>
      <c r="E181" t="s">
        <v>209</v>
      </c>
      <c r="F181" t="s">
        <v>210</v>
      </c>
      <c r="G181" t="s">
        <v>67</v>
      </c>
      <c r="H181" t="s">
        <v>30</v>
      </c>
      <c r="I181" t="s">
        <v>30</v>
      </c>
      <c r="J181" t="s">
        <v>128</v>
      </c>
      <c r="K181" t="s">
        <v>181</v>
      </c>
      <c r="L181" t="s">
        <v>32</v>
      </c>
      <c r="M181" t="s">
        <v>33</v>
      </c>
      <c r="N181" t="s">
        <v>33</v>
      </c>
      <c r="O181" t="s">
        <v>33</v>
      </c>
      <c r="P181" t="s">
        <v>34</v>
      </c>
      <c r="Q181" t="s">
        <v>35</v>
      </c>
      <c r="S181" t="s">
        <v>30</v>
      </c>
      <c r="T181" t="s">
        <v>245</v>
      </c>
      <c r="U181" t="s">
        <v>246</v>
      </c>
      <c r="V181" t="s">
        <v>40</v>
      </c>
      <c r="W181" s="1">
        <v>62580000</v>
      </c>
    </row>
    <row r="182" spans="1:23" x14ac:dyDescent="0.2">
      <c r="A182" t="s">
        <v>23</v>
      </c>
      <c r="B182" t="s">
        <v>24</v>
      </c>
      <c r="C182" t="s">
        <v>25</v>
      </c>
      <c r="D182" t="s">
        <v>208</v>
      </c>
      <c r="E182" t="s">
        <v>209</v>
      </c>
      <c r="F182" t="s">
        <v>210</v>
      </c>
      <c r="G182" t="s">
        <v>67</v>
      </c>
      <c r="H182" t="s">
        <v>30</v>
      </c>
      <c r="I182" t="s">
        <v>30</v>
      </c>
      <c r="J182" t="s">
        <v>31</v>
      </c>
      <c r="K182" t="s">
        <v>32</v>
      </c>
      <c r="L182" t="s">
        <v>32</v>
      </c>
      <c r="M182" t="s">
        <v>33</v>
      </c>
      <c r="N182" t="s">
        <v>33</v>
      </c>
      <c r="O182" t="s">
        <v>33</v>
      </c>
      <c r="P182" t="s">
        <v>213</v>
      </c>
      <c r="Q182" t="s">
        <v>214</v>
      </c>
      <c r="S182" t="s">
        <v>30</v>
      </c>
      <c r="T182" t="s">
        <v>247</v>
      </c>
      <c r="U182" t="s">
        <v>248</v>
      </c>
      <c r="V182" t="s">
        <v>39</v>
      </c>
      <c r="W182" s="1">
        <v>2</v>
      </c>
    </row>
    <row r="183" spans="1:23" x14ac:dyDescent="0.2">
      <c r="A183" t="s">
        <v>23</v>
      </c>
      <c r="B183" t="s">
        <v>24</v>
      </c>
      <c r="C183" t="s">
        <v>25</v>
      </c>
      <c r="D183" t="s">
        <v>208</v>
      </c>
      <c r="E183" t="s">
        <v>209</v>
      </c>
      <c r="F183" t="s">
        <v>210</v>
      </c>
      <c r="G183" t="s">
        <v>67</v>
      </c>
      <c r="H183" t="s">
        <v>30</v>
      </c>
      <c r="I183" t="s">
        <v>30</v>
      </c>
      <c r="J183" t="s">
        <v>31</v>
      </c>
      <c r="K183" t="s">
        <v>32</v>
      </c>
      <c r="L183" t="s">
        <v>32</v>
      </c>
      <c r="M183" t="s">
        <v>33</v>
      </c>
      <c r="N183" t="s">
        <v>33</v>
      </c>
      <c r="O183" t="s">
        <v>33</v>
      </c>
      <c r="P183" t="s">
        <v>213</v>
      </c>
      <c r="Q183" t="s">
        <v>214</v>
      </c>
      <c r="S183" t="s">
        <v>30</v>
      </c>
      <c r="T183" t="s">
        <v>247</v>
      </c>
      <c r="U183" t="s">
        <v>248</v>
      </c>
      <c r="V183" t="s">
        <v>40</v>
      </c>
      <c r="W183" s="1">
        <v>2315000</v>
      </c>
    </row>
    <row r="184" spans="1:23" x14ac:dyDescent="0.2">
      <c r="A184" t="s">
        <v>23</v>
      </c>
      <c r="B184" t="s">
        <v>24</v>
      </c>
      <c r="C184" t="s">
        <v>25</v>
      </c>
      <c r="D184" t="s">
        <v>208</v>
      </c>
      <c r="E184" t="s">
        <v>209</v>
      </c>
      <c r="F184" t="s">
        <v>210</v>
      </c>
      <c r="G184" t="s">
        <v>67</v>
      </c>
      <c r="H184" t="s">
        <v>30</v>
      </c>
      <c r="I184" t="s">
        <v>30</v>
      </c>
      <c r="J184" t="s">
        <v>31</v>
      </c>
      <c r="K184" t="s">
        <v>32</v>
      </c>
      <c r="L184" t="s">
        <v>32</v>
      </c>
      <c r="M184" t="s">
        <v>33</v>
      </c>
      <c r="N184" t="s">
        <v>176</v>
      </c>
      <c r="O184" t="s">
        <v>176</v>
      </c>
      <c r="P184" t="s">
        <v>213</v>
      </c>
      <c r="Q184" t="s">
        <v>214</v>
      </c>
      <c r="S184" t="s">
        <v>30</v>
      </c>
      <c r="T184" t="s">
        <v>247</v>
      </c>
      <c r="U184" t="s">
        <v>248</v>
      </c>
      <c r="V184" t="s">
        <v>39</v>
      </c>
      <c r="W184" s="1">
        <v>1</v>
      </c>
    </row>
    <row r="185" spans="1:23" x14ac:dyDescent="0.2">
      <c r="A185" t="s">
        <v>23</v>
      </c>
      <c r="B185" t="s">
        <v>24</v>
      </c>
      <c r="C185" t="s">
        <v>25</v>
      </c>
      <c r="D185" t="s">
        <v>208</v>
      </c>
      <c r="E185" t="s">
        <v>209</v>
      </c>
      <c r="F185" t="s">
        <v>210</v>
      </c>
      <c r="G185" t="s">
        <v>67</v>
      </c>
      <c r="H185" t="s">
        <v>30</v>
      </c>
      <c r="I185" t="s">
        <v>30</v>
      </c>
      <c r="J185" t="s">
        <v>31</v>
      </c>
      <c r="K185" t="s">
        <v>32</v>
      </c>
      <c r="L185" t="s">
        <v>32</v>
      </c>
      <c r="M185" t="s">
        <v>33</v>
      </c>
      <c r="N185" t="s">
        <v>176</v>
      </c>
      <c r="O185" t="s">
        <v>176</v>
      </c>
      <c r="P185" t="s">
        <v>213</v>
      </c>
      <c r="Q185" t="s">
        <v>214</v>
      </c>
      <c r="S185" t="s">
        <v>30</v>
      </c>
      <c r="T185" t="s">
        <v>247</v>
      </c>
      <c r="U185" t="s">
        <v>248</v>
      </c>
      <c r="V185" t="s">
        <v>40</v>
      </c>
      <c r="W185" s="1">
        <v>1157500</v>
      </c>
    </row>
    <row r="186" spans="1:23" x14ac:dyDescent="0.2">
      <c r="A186" t="s">
        <v>23</v>
      </c>
      <c r="B186" t="s">
        <v>24</v>
      </c>
      <c r="C186" t="s">
        <v>25</v>
      </c>
      <c r="D186" t="s">
        <v>208</v>
      </c>
      <c r="E186" t="s">
        <v>209</v>
      </c>
      <c r="F186" t="s">
        <v>210</v>
      </c>
      <c r="G186" t="s">
        <v>67</v>
      </c>
      <c r="H186" t="s">
        <v>30</v>
      </c>
      <c r="I186" t="s">
        <v>30</v>
      </c>
      <c r="J186" t="s">
        <v>31</v>
      </c>
      <c r="K186" t="s">
        <v>32</v>
      </c>
      <c r="L186" t="s">
        <v>32</v>
      </c>
      <c r="M186" t="s">
        <v>33</v>
      </c>
      <c r="N186" t="s">
        <v>169</v>
      </c>
      <c r="O186" t="s">
        <v>169</v>
      </c>
      <c r="P186" t="s">
        <v>213</v>
      </c>
      <c r="Q186" t="s">
        <v>214</v>
      </c>
      <c r="S186" t="s">
        <v>30</v>
      </c>
      <c r="T186" t="s">
        <v>247</v>
      </c>
      <c r="U186" t="s">
        <v>248</v>
      </c>
      <c r="V186" t="s">
        <v>39</v>
      </c>
      <c r="W186" s="1">
        <v>1</v>
      </c>
    </row>
    <row r="187" spans="1:23" x14ac:dyDescent="0.2">
      <c r="A187" t="s">
        <v>23</v>
      </c>
      <c r="B187" t="s">
        <v>24</v>
      </c>
      <c r="C187" t="s">
        <v>25</v>
      </c>
      <c r="D187" t="s">
        <v>208</v>
      </c>
      <c r="E187" t="s">
        <v>209</v>
      </c>
      <c r="F187" t="s">
        <v>210</v>
      </c>
      <c r="G187" t="s">
        <v>67</v>
      </c>
      <c r="H187" t="s">
        <v>30</v>
      </c>
      <c r="I187" t="s">
        <v>30</v>
      </c>
      <c r="J187" t="s">
        <v>31</v>
      </c>
      <c r="K187" t="s">
        <v>32</v>
      </c>
      <c r="L187" t="s">
        <v>32</v>
      </c>
      <c r="M187" t="s">
        <v>33</v>
      </c>
      <c r="N187" t="s">
        <v>169</v>
      </c>
      <c r="O187" t="s">
        <v>169</v>
      </c>
      <c r="P187" t="s">
        <v>213</v>
      </c>
      <c r="Q187" t="s">
        <v>214</v>
      </c>
      <c r="S187" t="s">
        <v>30</v>
      </c>
      <c r="T187" t="s">
        <v>247</v>
      </c>
      <c r="U187" t="s">
        <v>248</v>
      </c>
      <c r="V187" t="s">
        <v>40</v>
      </c>
      <c r="W187" s="1">
        <v>1157500</v>
      </c>
    </row>
    <row r="188" spans="1:23" x14ac:dyDescent="0.2">
      <c r="A188" t="s">
        <v>23</v>
      </c>
      <c r="B188" t="s">
        <v>24</v>
      </c>
      <c r="C188" t="s">
        <v>25</v>
      </c>
      <c r="D188" t="s">
        <v>208</v>
      </c>
      <c r="E188" t="s">
        <v>209</v>
      </c>
      <c r="F188" t="s">
        <v>210</v>
      </c>
      <c r="G188" t="s">
        <v>67</v>
      </c>
      <c r="H188" t="s">
        <v>30</v>
      </c>
      <c r="I188" t="s">
        <v>30</v>
      </c>
      <c r="J188" t="s">
        <v>31</v>
      </c>
      <c r="K188" t="s">
        <v>32</v>
      </c>
      <c r="L188" t="s">
        <v>32</v>
      </c>
      <c r="M188" t="s">
        <v>33</v>
      </c>
      <c r="P188" t="s">
        <v>34</v>
      </c>
      <c r="Q188" t="s">
        <v>35</v>
      </c>
      <c r="S188" t="s">
        <v>52</v>
      </c>
      <c r="T188" t="s">
        <v>247</v>
      </c>
      <c r="U188" t="s">
        <v>249</v>
      </c>
      <c r="V188" t="s">
        <v>39</v>
      </c>
      <c r="W188" s="1">
        <v>0</v>
      </c>
    </row>
    <row r="189" spans="1:23" x14ac:dyDescent="0.2">
      <c r="A189" t="s">
        <v>23</v>
      </c>
      <c r="B189" t="s">
        <v>24</v>
      </c>
      <c r="C189" t="s">
        <v>25</v>
      </c>
      <c r="D189" t="s">
        <v>208</v>
      </c>
      <c r="E189" t="s">
        <v>209</v>
      </c>
      <c r="F189" t="s">
        <v>210</v>
      </c>
      <c r="G189" t="s">
        <v>67</v>
      </c>
      <c r="H189" t="s">
        <v>30</v>
      </c>
      <c r="I189" t="s">
        <v>30</v>
      </c>
      <c r="J189" t="s">
        <v>31</v>
      </c>
      <c r="K189" t="s">
        <v>32</v>
      </c>
      <c r="L189" t="s">
        <v>32</v>
      </c>
      <c r="M189" t="s">
        <v>33</v>
      </c>
      <c r="P189" t="s">
        <v>34</v>
      </c>
      <c r="Q189" t="s">
        <v>35</v>
      </c>
      <c r="S189" t="s">
        <v>52</v>
      </c>
      <c r="T189" t="s">
        <v>247</v>
      </c>
      <c r="U189" t="s">
        <v>249</v>
      </c>
      <c r="V189" t="s">
        <v>40</v>
      </c>
      <c r="W189" s="1">
        <v>4670000</v>
      </c>
    </row>
    <row r="190" spans="1:23" x14ac:dyDescent="0.2">
      <c r="A190" t="s">
        <v>23</v>
      </c>
      <c r="B190" t="s">
        <v>24</v>
      </c>
      <c r="C190" t="s">
        <v>25</v>
      </c>
      <c r="D190" t="s">
        <v>208</v>
      </c>
      <c r="E190" t="s">
        <v>209</v>
      </c>
      <c r="F190" t="s">
        <v>210</v>
      </c>
      <c r="G190" t="s">
        <v>67</v>
      </c>
      <c r="H190" t="s">
        <v>30</v>
      </c>
      <c r="I190" t="s">
        <v>30</v>
      </c>
      <c r="J190" t="s">
        <v>41</v>
      </c>
      <c r="K190" t="s">
        <v>32</v>
      </c>
      <c r="L190" t="s">
        <v>32</v>
      </c>
      <c r="M190" t="s">
        <v>33</v>
      </c>
      <c r="N190" t="s">
        <v>33</v>
      </c>
      <c r="O190" t="s">
        <v>33</v>
      </c>
      <c r="P190" t="s">
        <v>213</v>
      </c>
      <c r="Q190" t="s">
        <v>214</v>
      </c>
      <c r="R190" t="s">
        <v>173</v>
      </c>
      <c r="S190" t="s">
        <v>30</v>
      </c>
      <c r="T190" t="s">
        <v>250</v>
      </c>
      <c r="U190" t="s">
        <v>251</v>
      </c>
      <c r="V190" t="s">
        <v>39</v>
      </c>
      <c r="W190" s="1">
        <v>3</v>
      </c>
    </row>
    <row r="191" spans="1:23" x14ac:dyDescent="0.2">
      <c r="A191" t="s">
        <v>23</v>
      </c>
      <c r="B191" t="s">
        <v>24</v>
      </c>
      <c r="C191" t="s">
        <v>25</v>
      </c>
      <c r="D191" t="s">
        <v>208</v>
      </c>
      <c r="E191" t="s">
        <v>209</v>
      </c>
      <c r="F191" t="s">
        <v>210</v>
      </c>
      <c r="G191" t="s">
        <v>67</v>
      </c>
      <c r="H191" t="s">
        <v>30</v>
      </c>
      <c r="I191" t="s">
        <v>30</v>
      </c>
      <c r="J191" t="s">
        <v>41</v>
      </c>
      <c r="K191" t="s">
        <v>32</v>
      </c>
      <c r="L191" t="s">
        <v>32</v>
      </c>
      <c r="M191" t="s">
        <v>33</v>
      </c>
      <c r="N191" t="s">
        <v>33</v>
      </c>
      <c r="O191" t="s">
        <v>33</v>
      </c>
      <c r="P191" t="s">
        <v>213</v>
      </c>
      <c r="Q191" t="s">
        <v>214</v>
      </c>
      <c r="R191" t="s">
        <v>173</v>
      </c>
      <c r="S191" t="s">
        <v>30</v>
      </c>
      <c r="T191" t="s">
        <v>250</v>
      </c>
      <c r="U191" t="s">
        <v>251</v>
      </c>
      <c r="V191" t="s">
        <v>40</v>
      </c>
      <c r="W191" s="1">
        <v>3103200</v>
      </c>
    </row>
    <row r="192" spans="1:23" x14ac:dyDescent="0.2">
      <c r="A192" t="s">
        <v>23</v>
      </c>
      <c r="B192" t="s">
        <v>24</v>
      </c>
      <c r="C192" t="s">
        <v>25</v>
      </c>
      <c r="D192" t="s">
        <v>208</v>
      </c>
      <c r="E192" t="s">
        <v>209</v>
      </c>
      <c r="F192" t="s">
        <v>210</v>
      </c>
      <c r="G192" t="s">
        <v>67</v>
      </c>
      <c r="H192" t="s">
        <v>30</v>
      </c>
      <c r="I192" t="s">
        <v>30</v>
      </c>
      <c r="J192" t="s">
        <v>41</v>
      </c>
      <c r="K192" t="s">
        <v>32</v>
      </c>
      <c r="L192" t="s">
        <v>32</v>
      </c>
      <c r="M192" t="s">
        <v>33</v>
      </c>
      <c r="P192" t="s">
        <v>34</v>
      </c>
      <c r="Q192" t="s">
        <v>35</v>
      </c>
      <c r="S192" t="s">
        <v>52</v>
      </c>
      <c r="T192" t="s">
        <v>252</v>
      </c>
      <c r="U192" t="s">
        <v>253</v>
      </c>
      <c r="V192" t="s">
        <v>39</v>
      </c>
      <c r="W192" s="1">
        <v>0</v>
      </c>
    </row>
    <row r="193" spans="1:23" x14ac:dyDescent="0.2">
      <c r="A193" t="s">
        <v>23</v>
      </c>
      <c r="B193" t="s">
        <v>24</v>
      </c>
      <c r="C193" t="s">
        <v>25</v>
      </c>
      <c r="D193" t="s">
        <v>208</v>
      </c>
      <c r="E193" t="s">
        <v>209</v>
      </c>
      <c r="F193" t="s">
        <v>210</v>
      </c>
      <c r="G193" t="s">
        <v>67</v>
      </c>
      <c r="H193" t="s">
        <v>30</v>
      </c>
      <c r="I193" t="s">
        <v>30</v>
      </c>
      <c r="J193" t="s">
        <v>41</v>
      </c>
      <c r="K193" t="s">
        <v>32</v>
      </c>
      <c r="L193" t="s">
        <v>32</v>
      </c>
      <c r="M193" t="s">
        <v>33</v>
      </c>
      <c r="P193" t="s">
        <v>34</v>
      </c>
      <c r="Q193" t="s">
        <v>35</v>
      </c>
      <c r="S193" t="s">
        <v>52</v>
      </c>
      <c r="T193" t="s">
        <v>252</v>
      </c>
      <c r="U193" t="s">
        <v>253</v>
      </c>
      <c r="V193" t="s">
        <v>40</v>
      </c>
      <c r="W193" s="1">
        <v>10398000</v>
      </c>
    </row>
    <row r="194" spans="1:23" x14ac:dyDescent="0.2">
      <c r="A194" t="s">
        <v>23</v>
      </c>
      <c r="B194" t="s">
        <v>24</v>
      </c>
      <c r="C194" t="s">
        <v>25</v>
      </c>
      <c r="D194" t="s">
        <v>208</v>
      </c>
      <c r="E194" t="s">
        <v>209</v>
      </c>
      <c r="F194" t="s">
        <v>210</v>
      </c>
      <c r="G194" t="s">
        <v>89</v>
      </c>
      <c r="H194" t="s">
        <v>30</v>
      </c>
      <c r="I194" t="s">
        <v>30</v>
      </c>
      <c r="J194" t="s">
        <v>211</v>
      </c>
      <c r="K194" t="s">
        <v>212</v>
      </c>
      <c r="L194" t="s">
        <v>32</v>
      </c>
      <c r="M194" t="s">
        <v>33</v>
      </c>
      <c r="N194" t="s">
        <v>33</v>
      </c>
      <c r="O194" t="s">
        <v>33</v>
      </c>
      <c r="P194" t="s">
        <v>213</v>
      </c>
      <c r="Q194" t="s">
        <v>214</v>
      </c>
      <c r="R194" t="s">
        <v>215</v>
      </c>
      <c r="S194" t="s">
        <v>30</v>
      </c>
      <c r="T194" t="s">
        <v>254</v>
      </c>
      <c r="U194" t="s">
        <v>255</v>
      </c>
      <c r="V194" t="s">
        <v>39</v>
      </c>
      <c r="W194" s="1">
        <v>1</v>
      </c>
    </row>
    <row r="195" spans="1:23" x14ac:dyDescent="0.2">
      <c r="A195" t="s">
        <v>23</v>
      </c>
      <c r="B195" t="s">
        <v>24</v>
      </c>
      <c r="C195" t="s">
        <v>25</v>
      </c>
      <c r="D195" t="s">
        <v>208</v>
      </c>
      <c r="E195" t="s">
        <v>209</v>
      </c>
      <c r="F195" t="s">
        <v>210</v>
      </c>
      <c r="G195" t="s">
        <v>89</v>
      </c>
      <c r="H195" t="s">
        <v>30</v>
      </c>
      <c r="I195" t="s">
        <v>30</v>
      </c>
      <c r="J195" t="s">
        <v>211</v>
      </c>
      <c r="K195" t="s">
        <v>212</v>
      </c>
      <c r="L195" t="s">
        <v>32</v>
      </c>
      <c r="M195" t="s">
        <v>33</v>
      </c>
      <c r="N195" t="s">
        <v>33</v>
      </c>
      <c r="O195" t="s">
        <v>33</v>
      </c>
      <c r="P195" t="s">
        <v>213</v>
      </c>
      <c r="Q195" t="s">
        <v>214</v>
      </c>
      <c r="R195" t="s">
        <v>215</v>
      </c>
      <c r="S195" t="s">
        <v>30</v>
      </c>
      <c r="T195" t="s">
        <v>254</v>
      </c>
      <c r="U195" t="s">
        <v>255</v>
      </c>
      <c r="V195" t="s">
        <v>40</v>
      </c>
      <c r="W195" s="1">
        <v>1149000</v>
      </c>
    </row>
    <row r="196" spans="1:23" x14ac:dyDescent="0.2">
      <c r="A196" t="s">
        <v>23</v>
      </c>
      <c r="B196" t="s">
        <v>24</v>
      </c>
      <c r="C196" t="s">
        <v>25</v>
      </c>
      <c r="D196" t="s">
        <v>208</v>
      </c>
      <c r="E196" t="s">
        <v>209</v>
      </c>
      <c r="F196" t="s">
        <v>210</v>
      </c>
      <c r="G196" t="s">
        <v>89</v>
      </c>
      <c r="H196" t="s">
        <v>30</v>
      </c>
      <c r="I196" t="s">
        <v>30</v>
      </c>
      <c r="J196" t="s">
        <v>211</v>
      </c>
      <c r="K196" t="s">
        <v>212</v>
      </c>
      <c r="L196" t="s">
        <v>32</v>
      </c>
      <c r="M196" t="s">
        <v>33</v>
      </c>
      <c r="N196" t="s">
        <v>33</v>
      </c>
      <c r="O196" t="s">
        <v>33</v>
      </c>
      <c r="P196" t="s">
        <v>34</v>
      </c>
      <c r="Q196" t="s">
        <v>35</v>
      </c>
      <c r="R196" t="s">
        <v>242</v>
      </c>
      <c r="S196" t="s">
        <v>30</v>
      </c>
      <c r="T196" t="s">
        <v>256</v>
      </c>
      <c r="U196" t="s">
        <v>257</v>
      </c>
      <c r="V196" t="s">
        <v>39</v>
      </c>
      <c r="W196" s="1">
        <v>4</v>
      </c>
    </row>
    <row r="197" spans="1:23" x14ac:dyDescent="0.2">
      <c r="A197" t="s">
        <v>23</v>
      </c>
      <c r="B197" t="s">
        <v>24</v>
      </c>
      <c r="C197" t="s">
        <v>25</v>
      </c>
      <c r="D197" t="s">
        <v>208</v>
      </c>
      <c r="E197" t="s">
        <v>209</v>
      </c>
      <c r="F197" t="s">
        <v>210</v>
      </c>
      <c r="G197" t="s">
        <v>89</v>
      </c>
      <c r="H197" t="s">
        <v>30</v>
      </c>
      <c r="I197" t="s">
        <v>30</v>
      </c>
      <c r="J197" t="s">
        <v>211</v>
      </c>
      <c r="K197" t="s">
        <v>212</v>
      </c>
      <c r="L197" t="s">
        <v>32</v>
      </c>
      <c r="M197" t="s">
        <v>33</v>
      </c>
      <c r="N197" t="s">
        <v>33</v>
      </c>
      <c r="O197" t="s">
        <v>33</v>
      </c>
      <c r="P197" t="s">
        <v>34</v>
      </c>
      <c r="Q197" t="s">
        <v>35</v>
      </c>
      <c r="R197" t="s">
        <v>242</v>
      </c>
      <c r="S197" t="s">
        <v>30</v>
      </c>
      <c r="T197" t="s">
        <v>256</v>
      </c>
      <c r="U197" t="s">
        <v>257</v>
      </c>
      <c r="V197" t="s">
        <v>40</v>
      </c>
      <c r="W197" s="1">
        <v>3676000</v>
      </c>
    </row>
    <row r="198" spans="1:23" x14ac:dyDescent="0.2">
      <c r="A198" t="s">
        <v>23</v>
      </c>
      <c r="B198" t="s">
        <v>24</v>
      </c>
      <c r="C198" t="s">
        <v>25</v>
      </c>
      <c r="D198" t="s">
        <v>208</v>
      </c>
      <c r="E198" t="s">
        <v>209</v>
      </c>
      <c r="F198" t="s">
        <v>210</v>
      </c>
      <c r="G198" t="s">
        <v>89</v>
      </c>
      <c r="H198" t="s">
        <v>30</v>
      </c>
      <c r="I198" t="s">
        <v>30</v>
      </c>
      <c r="J198" t="s">
        <v>211</v>
      </c>
      <c r="K198" t="s">
        <v>212</v>
      </c>
      <c r="L198" t="s">
        <v>32</v>
      </c>
      <c r="M198" t="s">
        <v>33</v>
      </c>
      <c r="P198" t="s">
        <v>213</v>
      </c>
      <c r="Q198" t="s">
        <v>214</v>
      </c>
      <c r="R198" t="s">
        <v>215</v>
      </c>
      <c r="S198" t="s">
        <v>30</v>
      </c>
      <c r="T198" t="s">
        <v>254</v>
      </c>
      <c r="U198" t="s">
        <v>255</v>
      </c>
      <c r="V198" t="s">
        <v>39</v>
      </c>
      <c r="W198" s="1">
        <v>3</v>
      </c>
    </row>
    <row r="199" spans="1:23" x14ac:dyDescent="0.2">
      <c r="A199" t="s">
        <v>23</v>
      </c>
      <c r="B199" t="s">
        <v>24</v>
      </c>
      <c r="C199" t="s">
        <v>25</v>
      </c>
      <c r="D199" t="s">
        <v>208</v>
      </c>
      <c r="E199" t="s">
        <v>209</v>
      </c>
      <c r="F199" t="s">
        <v>210</v>
      </c>
      <c r="G199" t="s">
        <v>89</v>
      </c>
      <c r="H199" t="s">
        <v>30</v>
      </c>
      <c r="I199" t="s">
        <v>30</v>
      </c>
      <c r="J199" t="s">
        <v>211</v>
      </c>
      <c r="K199" t="s">
        <v>212</v>
      </c>
      <c r="L199" t="s">
        <v>32</v>
      </c>
      <c r="M199" t="s">
        <v>33</v>
      </c>
      <c r="P199" t="s">
        <v>213</v>
      </c>
      <c r="Q199" t="s">
        <v>214</v>
      </c>
      <c r="R199" t="s">
        <v>215</v>
      </c>
      <c r="S199" t="s">
        <v>30</v>
      </c>
      <c r="T199" t="s">
        <v>254</v>
      </c>
      <c r="U199" t="s">
        <v>255</v>
      </c>
      <c r="V199" t="s">
        <v>40</v>
      </c>
      <c r="W199" s="1">
        <v>3447000</v>
      </c>
    </row>
    <row r="200" spans="1:23" x14ac:dyDescent="0.2">
      <c r="A200" t="s">
        <v>23</v>
      </c>
      <c r="B200" t="s">
        <v>24</v>
      </c>
      <c r="C200" t="s">
        <v>25</v>
      </c>
      <c r="D200" t="s">
        <v>208</v>
      </c>
      <c r="E200" t="s">
        <v>209</v>
      </c>
      <c r="F200" t="s">
        <v>210</v>
      </c>
      <c r="G200" t="s">
        <v>89</v>
      </c>
      <c r="H200" t="s">
        <v>30</v>
      </c>
      <c r="I200" t="s">
        <v>30</v>
      </c>
      <c r="J200" t="s">
        <v>41</v>
      </c>
      <c r="K200" t="s">
        <v>32</v>
      </c>
      <c r="L200" t="s">
        <v>32</v>
      </c>
      <c r="M200" t="s">
        <v>33</v>
      </c>
      <c r="N200" t="s">
        <v>33</v>
      </c>
      <c r="O200" t="s">
        <v>33</v>
      </c>
      <c r="P200" t="s">
        <v>34</v>
      </c>
      <c r="Q200" t="s">
        <v>35</v>
      </c>
      <c r="R200" t="s">
        <v>54</v>
      </c>
      <c r="S200" t="s">
        <v>30</v>
      </c>
      <c r="T200" t="s">
        <v>258</v>
      </c>
      <c r="U200" t="s">
        <v>259</v>
      </c>
      <c r="V200" t="s">
        <v>39</v>
      </c>
      <c r="W200" s="1">
        <v>2</v>
      </c>
    </row>
    <row r="201" spans="1:23" x14ac:dyDescent="0.2">
      <c r="A201" t="s">
        <v>23</v>
      </c>
      <c r="B201" t="s">
        <v>24</v>
      </c>
      <c r="C201" t="s">
        <v>25</v>
      </c>
      <c r="D201" t="s">
        <v>208</v>
      </c>
      <c r="E201" t="s">
        <v>209</v>
      </c>
      <c r="F201" t="s">
        <v>210</v>
      </c>
      <c r="G201" t="s">
        <v>89</v>
      </c>
      <c r="H201" t="s">
        <v>30</v>
      </c>
      <c r="I201" t="s">
        <v>30</v>
      </c>
      <c r="J201" t="s">
        <v>41</v>
      </c>
      <c r="K201" t="s">
        <v>32</v>
      </c>
      <c r="L201" t="s">
        <v>32</v>
      </c>
      <c r="M201" t="s">
        <v>33</v>
      </c>
      <c r="N201" t="s">
        <v>33</v>
      </c>
      <c r="O201" t="s">
        <v>33</v>
      </c>
      <c r="P201" t="s">
        <v>34</v>
      </c>
      <c r="Q201" t="s">
        <v>35</v>
      </c>
      <c r="R201" t="s">
        <v>54</v>
      </c>
      <c r="S201" t="s">
        <v>30</v>
      </c>
      <c r="T201" t="s">
        <v>258</v>
      </c>
      <c r="U201" t="s">
        <v>259</v>
      </c>
      <c r="V201" t="s">
        <v>40</v>
      </c>
      <c r="W201" s="1">
        <v>1886000</v>
      </c>
    </row>
    <row r="202" spans="1:23" x14ac:dyDescent="0.2">
      <c r="A202" t="s">
        <v>23</v>
      </c>
      <c r="B202" t="s">
        <v>24</v>
      </c>
      <c r="C202" t="s">
        <v>25</v>
      </c>
      <c r="D202" t="s">
        <v>208</v>
      </c>
      <c r="E202" t="s">
        <v>209</v>
      </c>
      <c r="F202" t="s">
        <v>210</v>
      </c>
      <c r="G202" t="s">
        <v>89</v>
      </c>
      <c r="H202" t="s">
        <v>30</v>
      </c>
      <c r="I202" t="s">
        <v>30</v>
      </c>
      <c r="J202" t="s">
        <v>41</v>
      </c>
      <c r="K202" t="s">
        <v>32</v>
      </c>
      <c r="L202" t="s">
        <v>32</v>
      </c>
      <c r="M202" t="s">
        <v>33</v>
      </c>
      <c r="P202" t="s">
        <v>34</v>
      </c>
      <c r="Q202" t="s">
        <v>35</v>
      </c>
      <c r="S202" t="s">
        <v>52</v>
      </c>
      <c r="T202" t="s">
        <v>260</v>
      </c>
      <c r="U202" t="s">
        <v>261</v>
      </c>
      <c r="V202" t="s">
        <v>39</v>
      </c>
      <c r="W202" s="1">
        <v>0</v>
      </c>
    </row>
    <row r="203" spans="1:23" x14ac:dyDescent="0.2">
      <c r="A203" t="s">
        <v>23</v>
      </c>
      <c r="B203" t="s">
        <v>24</v>
      </c>
      <c r="C203" t="s">
        <v>25</v>
      </c>
      <c r="D203" t="s">
        <v>208</v>
      </c>
      <c r="E203" t="s">
        <v>209</v>
      </c>
      <c r="F203" t="s">
        <v>210</v>
      </c>
      <c r="G203" t="s">
        <v>89</v>
      </c>
      <c r="H203" t="s">
        <v>30</v>
      </c>
      <c r="I203" t="s">
        <v>30</v>
      </c>
      <c r="J203" t="s">
        <v>41</v>
      </c>
      <c r="K203" t="s">
        <v>32</v>
      </c>
      <c r="L203" t="s">
        <v>32</v>
      </c>
      <c r="M203" t="s">
        <v>33</v>
      </c>
      <c r="P203" t="s">
        <v>34</v>
      </c>
      <c r="Q203" t="s">
        <v>35</v>
      </c>
      <c r="S203" t="s">
        <v>52</v>
      </c>
      <c r="T203" t="s">
        <v>260</v>
      </c>
      <c r="U203" t="s">
        <v>261</v>
      </c>
      <c r="V203" t="s">
        <v>40</v>
      </c>
      <c r="W203" s="1">
        <v>13586400</v>
      </c>
    </row>
    <row r="204" spans="1:23" x14ac:dyDescent="0.2">
      <c r="A204" t="s">
        <v>23</v>
      </c>
      <c r="B204" t="s">
        <v>24</v>
      </c>
      <c r="C204" t="s">
        <v>25</v>
      </c>
      <c r="D204" t="s">
        <v>208</v>
      </c>
      <c r="E204" t="s">
        <v>209</v>
      </c>
      <c r="F204" t="s">
        <v>210</v>
      </c>
      <c r="G204" t="s">
        <v>106</v>
      </c>
      <c r="H204" t="s">
        <v>30</v>
      </c>
      <c r="I204" t="s">
        <v>30</v>
      </c>
      <c r="J204" t="s">
        <v>211</v>
      </c>
      <c r="K204" t="s">
        <v>212</v>
      </c>
      <c r="L204" t="s">
        <v>32</v>
      </c>
      <c r="M204" t="s">
        <v>33</v>
      </c>
      <c r="N204" t="s">
        <v>33</v>
      </c>
      <c r="O204" t="s">
        <v>33</v>
      </c>
      <c r="P204" t="s">
        <v>213</v>
      </c>
      <c r="Q204" t="s">
        <v>214</v>
      </c>
      <c r="R204" t="s">
        <v>242</v>
      </c>
      <c r="S204" t="s">
        <v>30</v>
      </c>
      <c r="T204" t="s">
        <v>262</v>
      </c>
      <c r="U204" t="s">
        <v>263</v>
      </c>
      <c r="V204" t="s">
        <v>39</v>
      </c>
      <c r="W204" s="1">
        <v>4</v>
      </c>
    </row>
    <row r="205" spans="1:23" x14ac:dyDescent="0.2">
      <c r="A205" t="s">
        <v>23</v>
      </c>
      <c r="B205" t="s">
        <v>24</v>
      </c>
      <c r="C205" t="s">
        <v>25</v>
      </c>
      <c r="D205" t="s">
        <v>208</v>
      </c>
      <c r="E205" t="s">
        <v>209</v>
      </c>
      <c r="F205" t="s">
        <v>210</v>
      </c>
      <c r="G205" t="s">
        <v>106</v>
      </c>
      <c r="H205" t="s">
        <v>30</v>
      </c>
      <c r="I205" t="s">
        <v>30</v>
      </c>
      <c r="J205" t="s">
        <v>211</v>
      </c>
      <c r="K205" t="s">
        <v>212</v>
      </c>
      <c r="L205" t="s">
        <v>32</v>
      </c>
      <c r="M205" t="s">
        <v>33</v>
      </c>
      <c r="N205" t="s">
        <v>33</v>
      </c>
      <c r="O205" t="s">
        <v>33</v>
      </c>
      <c r="P205" t="s">
        <v>213</v>
      </c>
      <c r="Q205" t="s">
        <v>214</v>
      </c>
      <c r="R205" t="s">
        <v>242</v>
      </c>
      <c r="S205" t="s">
        <v>30</v>
      </c>
      <c r="T205" t="s">
        <v>262</v>
      </c>
      <c r="U205" t="s">
        <v>263</v>
      </c>
      <c r="V205" t="s">
        <v>40</v>
      </c>
      <c r="W205" s="1">
        <v>2036000</v>
      </c>
    </row>
    <row r="206" spans="1:23" x14ac:dyDescent="0.2">
      <c r="A206" t="s">
        <v>23</v>
      </c>
      <c r="B206" t="s">
        <v>24</v>
      </c>
      <c r="C206" t="s">
        <v>25</v>
      </c>
      <c r="D206" t="s">
        <v>208</v>
      </c>
      <c r="E206" t="s">
        <v>209</v>
      </c>
      <c r="F206" t="s">
        <v>210</v>
      </c>
      <c r="G206" t="s">
        <v>106</v>
      </c>
      <c r="H206" t="s">
        <v>30</v>
      </c>
      <c r="I206" t="s">
        <v>30</v>
      </c>
      <c r="J206" t="s">
        <v>211</v>
      </c>
      <c r="K206" t="s">
        <v>212</v>
      </c>
      <c r="L206" t="s">
        <v>32</v>
      </c>
      <c r="M206" t="s">
        <v>33</v>
      </c>
      <c r="P206" t="s">
        <v>34</v>
      </c>
      <c r="Q206" t="s">
        <v>35</v>
      </c>
      <c r="R206" t="s">
        <v>242</v>
      </c>
      <c r="S206" t="s">
        <v>52</v>
      </c>
      <c r="T206" t="s">
        <v>256</v>
      </c>
      <c r="U206" t="s">
        <v>257</v>
      </c>
      <c r="V206" t="s">
        <v>39</v>
      </c>
      <c r="W206" s="1">
        <v>0</v>
      </c>
    </row>
    <row r="207" spans="1:23" x14ac:dyDescent="0.2">
      <c r="A207" t="s">
        <v>23</v>
      </c>
      <c r="B207" t="s">
        <v>24</v>
      </c>
      <c r="C207" t="s">
        <v>25</v>
      </c>
      <c r="D207" t="s">
        <v>208</v>
      </c>
      <c r="E207" t="s">
        <v>209</v>
      </c>
      <c r="F207" t="s">
        <v>210</v>
      </c>
      <c r="G207" t="s">
        <v>106</v>
      </c>
      <c r="H207" t="s">
        <v>30</v>
      </c>
      <c r="I207" t="s">
        <v>30</v>
      </c>
      <c r="J207" t="s">
        <v>211</v>
      </c>
      <c r="K207" t="s">
        <v>212</v>
      </c>
      <c r="L207" t="s">
        <v>32</v>
      </c>
      <c r="M207" t="s">
        <v>33</v>
      </c>
      <c r="P207" t="s">
        <v>34</v>
      </c>
      <c r="Q207" t="s">
        <v>35</v>
      </c>
      <c r="R207" t="s">
        <v>242</v>
      </c>
      <c r="S207" t="s">
        <v>52</v>
      </c>
      <c r="T207" t="s">
        <v>256</v>
      </c>
      <c r="U207" t="s">
        <v>257</v>
      </c>
      <c r="V207" t="s">
        <v>40</v>
      </c>
      <c r="W207" s="1">
        <v>919000</v>
      </c>
    </row>
    <row r="208" spans="1:23" x14ac:dyDescent="0.2">
      <c r="A208" t="s">
        <v>23</v>
      </c>
      <c r="B208" t="s">
        <v>24</v>
      </c>
      <c r="C208" t="s">
        <v>25</v>
      </c>
      <c r="D208" t="s">
        <v>208</v>
      </c>
      <c r="E208" t="s">
        <v>209</v>
      </c>
      <c r="F208" t="s">
        <v>210</v>
      </c>
      <c r="G208" t="s">
        <v>106</v>
      </c>
      <c r="H208" t="s">
        <v>30</v>
      </c>
      <c r="I208" t="s">
        <v>30</v>
      </c>
      <c r="J208" t="s">
        <v>31</v>
      </c>
      <c r="K208" t="s">
        <v>32</v>
      </c>
      <c r="L208" t="s">
        <v>32</v>
      </c>
      <c r="M208" t="s">
        <v>33</v>
      </c>
      <c r="N208" t="s">
        <v>33</v>
      </c>
      <c r="O208" t="s">
        <v>33</v>
      </c>
      <c r="P208" t="s">
        <v>34</v>
      </c>
      <c r="Q208" t="s">
        <v>35</v>
      </c>
      <c r="S208" t="s">
        <v>30</v>
      </c>
      <c r="T208" t="s">
        <v>264</v>
      </c>
      <c r="U208" t="s">
        <v>265</v>
      </c>
      <c r="V208" t="s">
        <v>39</v>
      </c>
      <c r="W208" s="1">
        <v>2</v>
      </c>
    </row>
    <row r="209" spans="1:23" x14ac:dyDescent="0.2">
      <c r="A209" t="s">
        <v>23</v>
      </c>
      <c r="B209" t="s">
        <v>24</v>
      </c>
      <c r="C209" t="s">
        <v>25</v>
      </c>
      <c r="D209" t="s">
        <v>208</v>
      </c>
      <c r="E209" t="s">
        <v>209</v>
      </c>
      <c r="F209" t="s">
        <v>210</v>
      </c>
      <c r="G209" t="s">
        <v>106</v>
      </c>
      <c r="H209" t="s">
        <v>30</v>
      </c>
      <c r="I209" t="s">
        <v>30</v>
      </c>
      <c r="J209" t="s">
        <v>31</v>
      </c>
      <c r="K209" t="s">
        <v>32</v>
      </c>
      <c r="L209" t="s">
        <v>32</v>
      </c>
      <c r="M209" t="s">
        <v>33</v>
      </c>
      <c r="N209" t="s">
        <v>33</v>
      </c>
      <c r="O209" t="s">
        <v>33</v>
      </c>
      <c r="P209" t="s">
        <v>34</v>
      </c>
      <c r="Q209" t="s">
        <v>35</v>
      </c>
      <c r="S209" t="s">
        <v>30</v>
      </c>
      <c r="T209" t="s">
        <v>264</v>
      </c>
      <c r="U209" t="s">
        <v>265</v>
      </c>
      <c r="V209" t="s">
        <v>40</v>
      </c>
      <c r="W209" s="1">
        <v>1148400</v>
      </c>
    </row>
    <row r="210" spans="1:23" x14ac:dyDescent="0.2">
      <c r="A210" t="s">
        <v>23</v>
      </c>
      <c r="B210" t="s">
        <v>24</v>
      </c>
      <c r="C210" t="s">
        <v>25</v>
      </c>
      <c r="D210" t="s">
        <v>208</v>
      </c>
      <c r="E210" t="s">
        <v>209</v>
      </c>
      <c r="F210" t="s">
        <v>210</v>
      </c>
      <c r="G210" t="s">
        <v>106</v>
      </c>
      <c r="H210" t="s">
        <v>30</v>
      </c>
      <c r="I210" t="s">
        <v>30</v>
      </c>
      <c r="J210" t="s">
        <v>41</v>
      </c>
      <c r="K210" t="s">
        <v>32</v>
      </c>
      <c r="L210" t="s">
        <v>32</v>
      </c>
      <c r="M210" t="s">
        <v>33</v>
      </c>
      <c r="P210" t="s">
        <v>34</v>
      </c>
      <c r="Q210" t="s">
        <v>35</v>
      </c>
      <c r="S210" t="s">
        <v>30</v>
      </c>
      <c r="T210" t="s">
        <v>266</v>
      </c>
      <c r="U210" t="s">
        <v>267</v>
      </c>
      <c r="V210" t="s">
        <v>39</v>
      </c>
      <c r="W210" s="1">
        <v>3</v>
      </c>
    </row>
    <row r="211" spans="1:23" x14ac:dyDescent="0.2">
      <c r="A211" t="s">
        <v>23</v>
      </c>
      <c r="B211" t="s">
        <v>24</v>
      </c>
      <c r="C211" t="s">
        <v>25</v>
      </c>
      <c r="D211" t="s">
        <v>208</v>
      </c>
      <c r="E211" t="s">
        <v>209</v>
      </c>
      <c r="F211" t="s">
        <v>210</v>
      </c>
      <c r="G211" t="s">
        <v>106</v>
      </c>
      <c r="H211" t="s">
        <v>30</v>
      </c>
      <c r="I211" t="s">
        <v>30</v>
      </c>
      <c r="J211" t="s">
        <v>41</v>
      </c>
      <c r="K211" t="s">
        <v>32</v>
      </c>
      <c r="L211" t="s">
        <v>32</v>
      </c>
      <c r="M211" t="s">
        <v>33</v>
      </c>
      <c r="P211" t="s">
        <v>34</v>
      </c>
      <c r="Q211" t="s">
        <v>35</v>
      </c>
      <c r="S211" t="s">
        <v>30</v>
      </c>
      <c r="T211" t="s">
        <v>266</v>
      </c>
      <c r="U211" t="s">
        <v>267</v>
      </c>
      <c r="V211" t="s">
        <v>40</v>
      </c>
      <c r="W211" s="1">
        <v>9165000</v>
      </c>
    </row>
    <row r="212" spans="1:23" x14ac:dyDescent="0.2">
      <c r="A212" t="s">
        <v>23</v>
      </c>
      <c r="B212" t="s">
        <v>24</v>
      </c>
      <c r="C212" t="s">
        <v>25</v>
      </c>
      <c r="D212" t="s">
        <v>208</v>
      </c>
      <c r="E212" t="s">
        <v>209</v>
      </c>
      <c r="F212" t="s">
        <v>210</v>
      </c>
      <c r="G212" t="s">
        <v>106</v>
      </c>
      <c r="H212" t="s">
        <v>30</v>
      </c>
      <c r="I212" t="s">
        <v>30</v>
      </c>
      <c r="J212" t="s">
        <v>41</v>
      </c>
      <c r="K212" t="s">
        <v>32</v>
      </c>
      <c r="L212" t="s">
        <v>32</v>
      </c>
      <c r="M212" t="s">
        <v>33</v>
      </c>
      <c r="P212" t="s">
        <v>34</v>
      </c>
      <c r="Q212" t="s">
        <v>35</v>
      </c>
      <c r="S212" t="s">
        <v>52</v>
      </c>
      <c r="T212" t="s">
        <v>268</v>
      </c>
      <c r="U212" t="s">
        <v>269</v>
      </c>
      <c r="V212" t="s">
        <v>39</v>
      </c>
      <c r="W212" s="1">
        <v>0</v>
      </c>
    </row>
    <row r="213" spans="1:23" x14ac:dyDescent="0.2">
      <c r="A213" t="s">
        <v>23</v>
      </c>
      <c r="B213" t="s">
        <v>24</v>
      </c>
      <c r="C213" t="s">
        <v>25</v>
      </c>
      <c r="D213" t="s">
        <v>208</v>
      </c>
      <c r="E213" t="s">
        <v>209</v>
      </c>
      <c r="F213" t="s">
        <v>210</v>
      </c>
      <c r="G213" t="s">
        <v>106</v>
      </c>
      <c r="H213" t="s">
        <v>30</v>
      </c>
      <c r="I213" t="s">
        <v>30</v>
      </c>
      <c r="J213" t="s">
        <v>41</v>
      </c>
      <c r="K213" t="s">
        <v>32</v>
      </c>
      <c r="L213" t="s">
        <v>32</v>
      </c>
      <c r="M213" t="s">
        <v>33</v>
      </c>
      <c r="P213" t="s">
        <v>34</v>
      </c>
      <c r="Q213" t="s">
        <v>35</v>
      </c>
      <c r="S213" t="s">
        <v>52</v>
      </c>
      <c r="T213" t="s">
        <v>268</v>
      </c>
      <c r="U213" t="s">
        <v>269</v>
      </c>
      <c r="V213" t="s">
        <v>40</v>
      </c>
      <c r="W213" s="1">
        <v>1779800</v>
      </c>
    </row>
    <row r="214" spans="1:23" x14ac:dyDescent="0.2">
      <c r="A214" t="s">
        <v>23</v>
      </c>
      <c r="B214" t="s">
        <v>24</v>
      </c>
      <c r="C214" t="s">
        <v>25</v>
      </c>
      <c r="D214" t="s">
        <v>208</v>
      </c>
      <c r="E214" t="s">
        <v>209</v>
      </c>
      <c r="F214" t="s">
        <v>210</v>
      </c>
      <c r="G214" t="s">
        <v>119</v>
      </c>
      <c r="H214" t="s">
        <v>30</v>
      </c>
      <c r="I214" t="s">
        <v>52</v>
      </c>
      <c r="J214" t="s">
        <v>41</v>
      </c>
      <c r="K214" t="s">
        <v>32</v>
      </c>
      <c r="L214" t="s">
        <v>32</v>
      </c>
      <c r="M214" t="s">
        <v>33</v>
      </c>
      <c r="P214" t="s">
        <v>34</v>
      </c>
      <c r="Q214" t="s">
        <v>35</v>
      </c>
      <c r="S214" t="s">
        <v>30</v>
      </c>
      <c r="T214" t="s">
        <v>270</v>
      </c>
      <c r="U214" t="s">
        <v>271</v>
      </c>
      <c r="V214" t="s">
        <v>39</v>
      </c>
      <c r="W214" s="1">
        <v>2</v>
      </c>
    </row>
    <row r="215" spans="1:23" x14ac:dyDescent="0.2">
      <c r="A215" t="s">
        <v>23</v>
      </c>
      <c r="B215" t="s">
        <v>24</v>
      </c>
      <c r="C215" t="s">
        <v>25</v>
      </c>
      <c r="D215" t="s">
        <v>208</v>
      </c>
      <c r="E215" t="s">
        <v>209</v>
      </c>
      <c r="F215" t="s">
        <v>210</v>
      </c>
      <c r="G215" t="s">
        <v>119</v>
      </c>
      <c r="H215" t="s">
        <v>30</v>
      </c>
      <c r="I215" t="s">
        <v>52</v>
      </c>
      <c r="J215" t="s">
        <v>41</v>
      </c>
      <c r="K215" t="s">
        <v>32</v>
      </c>
      <c r="L215" t="s">
        <v>32</v>
      </c>
      <c r="M215" t="s">
        <v>33</v>
      </c>
      <c r="P215" t="s">
        <v>34</v>
      </c>
      <c r="Q215" t="s">
        <v>35</v>
      </c>
      <c r="S215" t="s">
        <v>30</v>
      </c>
      <c r="T215" t="s">
        <v>270</v>
      </c>
      <c r="U215" t="s">
        <v>271</v>
      </c>
      <c r="V215" t="s">
        <v>40</v>
      </c>
      <c r="W215" s="1">
        <v>10698000</v>
      </c>
    </row>
    <row r="216" spans="1:23" x14ac:dyDescent="0.2">
      <c r="A216" t="s">
        <v>23</v>
      </c>
      <c r="B216" t="s">
        <v>24</v>
      </c>
      <c r="C216" t="s">
        <v>25</v>
      </c>
      <c r="D216" t="s">
        <v>208</v>
      </c>
      <c r="E216" t="s">
        <v>209</v>
      </c>
      <c r="F216" t="s">
        <v>210</v>
      </c>
      <c r="G216" t="s">
        <v>139</v>
      </c>
      <c r="H216" t="s">
        <v>30</v>
      </c>
      <c r="I216" t="s">
        <v>30</v>
      </c>
      <c r="J216" t="s">
        <v>211</v>
      </c>
      <c r="K216" t="s">
        <v>212</v>
      </c>
      <c r="L216" t="s">
        <v>32</v>
      </c>
      <c r="M216" t="s">
        <v>33</v>
      </c>
      <c r="N216" t="s">
        <v>33</v>
      </c>
      <c r="O216" t="s">
        <v>33</v>
      </c>
      <c r="P216" t="s">
        <v>213</v>
      </c>
      <c r="Q216" t="s">
        <v>214</v>
      </c>
      <c r="R216" t="s">
        <v>242</v>
      </c>
      <c r="S216" t="s">
        <v>30</v>
      </c>
      <c r="T216" t="s">
        <v>272</v>
      </c>
      <c r="U216" t="s">
        <v>273</v>
      </c>
      <c r="V216" t="s">
        <v>39</v>
      </c>
      <c r="W216" s="1">
        <v>1</v>
      </c>
    </row>
    <row r="217" spans="1:23" x14ac:dyDescent="0.2">
      <c r="A217" t="s">
        <v>23</v>
      </c>
      <c r="B217" t="s">
        <v>24</v>
      </c>
      <c r="C217" t="s">
        <v>25</v>
      </c>
      <c r="D217" t="s">
        <v>208</v>
      </c>
      <c r="E217" t="s">
        <v>209</v>
      </c>
      <c r="F217" t="s">
        <v>210</v>
      </c>
      <c r="G217" t="s">
        <v>139</v>
      </c>
      <c r="H217" t="s">
        <v>30</v>
      </c>
      <c r="I217" t="s">
        <v>30</v>
      </c>
      <c r="J217" t="s">
        <v>211</v>
      </c>
      <c r="K217" t="s">
        <v>212</v>
      </c>
      <c r="L217" t="s">
        <v>32</v>
      </c>
      <c r="M217" t="s">
        <v>33</v>
      </c>
      <c r="N217" t="s">
        <v>33</v>
      </c>
      <c r="O217" t="s">
        <v>33</v>
      </c>
      <c r="P217" t="s">
        <v>213</v>
      </c>
      <c r="Q217" t="s">
        <v>214</v>
      </c>
      <c r="R217" t="s">
        <v>242</v>
      </c>
      <c r="S217" t="s">
        <v>30</v>
      </c>
      <c r="T217" t="s">
        <v>272</v>
      </c>
      <c r="U217" t="s">
        <v>273</v>
      </c>
      <c r="V217" t="s">
        <v>40</v>
      </c>
      <c r="W217" s="1">
        <v>439000</v>
      </c>
    </row>
    <row r="218" spans="1:23" x14ac:dyDescent="0.2">
      <c r="A218" t="s">
        <v>23</v>
      </c>
      <c r="B218" t="s">
        <v>24</v>
      </c>
      <c r="C218" t="s">
        <v>25</v>
      </c>
      <c r="D218" t="s">
        <v>208</v>
      </c>
      <c r="E218" t="s">
        <v>209</v>
      </c>
      <c r="F218" t="s">
        <v>210</v>
      </c>
      <c r="G218" t="s">
        <v>139</v>
      </c>
      <c r="H218" t="s">
        <v>30</v>
      </c>
      <c r="I218" t="s">
        <v>30</v>
      </c>
      <c r="J218" t="s">
        <v>211</v>
      </c>
      <c r="K218" t="s">
        <v>212</v>
      </c>
      <c r="L218" t="s">
        <v>32</v>
      </c>
      <c r="M218" t="s">
        <v>33</v>
      </c>
      <c r="P218" t="s">
        <v>213</v>
      </c>
      <c r="Q218" t="s">
        <v>214</v>
      </c>
      <c r="R218" t="s">
        <v>242</v>
      </c>
      <c r="S218" t="s">
        <v>30</v>
      </c>
      <c r="T218" t="s">
        <v>272</v>
      </c>
      <c r="U218" t="s">
        <v>273</v>
      </c>
      <c r="V218" t="s">
        <v>39</v>
      </c>
      <c r="W218" s="1">
        <v>1</v>
      </c>
    </row>
    <row r="219" spans="1:23" x14ac:dyDescent="0.2">
      <c r="A219" t="s">
        <v>23</v>
      </c>
      <c r="B219" t="s">
        <v>24</v>
      </c>
      <c r="C219" t="s">
        <v>25</v>
      </c>
      <c r="D219" t="s">
        <v>208</v>
      </c>
      <c r="E219" t="s">
        <v>209</v>
      </c>
      <c r="F219" t="s">
        <v>210</v>
      </c>
      <c r="G219" t="s">
        <v>139</v>
      </c>
      <c r="H219" t="s">
        <v>30</v>
      </c>
      <c r="I219" t="s">
        <v>30</v>
      </c>
      <c r="J219" t="s">
        <v>211</v>
      </c>
      <c r="K219" t="s">
        <v>212</v>
      </c>
      <c r="L219" t="s">
        <v>32</v>
      </c>
      <c r="M219" t="s">
        <v>33</v>
      </c>
      <c r="P219" t="s">
        <v>213</v>
      </c>
      <c r="Q219" t="s">
        <v>214</v>
      </c>
      <c r="R219" t="s">
        <v>242</v>
      </c>
      <c r="S219" t="s">
        <v>30</v>
      </c>
      <c r="T219" t="s">
        <v>272</v>
      </c>
      <c r="U219" t="s">
        <v>273</v>
      </c>
      <c r="V219" t="s">
        <v>40</v>
      </c>
      <c r="W219" s="1">
        <v>439000</v>
      </c>
    </row>
    <row r="220" spans="1:23" x14ac:dyDescent="0.2">
      <c r="A220" t="s">
        <v>23</v>
      </c>
      <c r="B220" t="s">
        <v>24</v>
      </c>
      <c r="C220" t="s">
        <v>25</v>
      </c>
      <c r="D220" t="s">
        <v>208</v>
      </c>
      <c r="E220" t="s">
        <v>209</v>
      </c>
      <c r="F220" t="s">
        <v>210</v>
      </c>
      <c r="G220" t="s">
        <v>139</v>
      </c>
      <c r="H220" t="s">
        <v>30</v>
      </c>
      <c r="I220" t="s">
        <v>30</v>
      </c>
      <c r="J220" t="s">
        <v>128</v>
      </c>
      <c r="K220" t="s">
        <v>135</v>
      </c>
      <c r="L220" t="s">
        <v>32</v>
      </c>
      <c r="M220" t="s">
        <v>33</v>
      </c>
      <c r="N220" t="s">
        <v>33</v>
      </c>
      <c r="O220" t="s">
        <v>33</v>
      </c>
      <c r="P220" t="s">
        <v>34</v>
      </c>
      <c r="Q220" t="s">
        <v>35</v>
      </c>
      <c r="R220" t="s">
        <v>274</v>
      </c>
      <c r="S220" t="s">
        <v>30</v>
      </c>
      <c r="T220" t="s">
        <v>275</v>
      </c>
      <c r="U220" t="s">
        <v>276</v>
      </c>
      <c r="V220" t="s">
        <v>39</v>
      </c>
      <c r="W220" s="1">
        <v>2</v>
      </c>
    </row>
    <row r="221" spans="1:23" x14ac:dyDescent="0.2">
      <c r="A221" t="s">
        <v>23</v>
      </c>
      <c r="B221" t="s">
        <v>24</v>
      </c>
      <c r="C221" t="s">
        <v>25</v>
      </c>
      <c r="D221" t="s">
        <v>208</v>
      </c>
      <c r="E221" t="s">
        <v>209</v>
      </c>
      <c r="F221" t="s">
        <v>210</v>
      </c>
      <c r="G221" t="s">
        <v>139</v>
      </c>
      <c r="H221" t="s">
        <v>30</v>
      </c>
      <c r="I221" t="s">
        <v>30</v>
      </c>
      <c r="J221" t="s">
        <v>128</v>
      </c>
      <c r="K221" t="s">
        <v>135</v>
      </c>
      <c r="L221" t="s">
        <v>32</v>
      </c>
      <c r="M221" t="s">
        <v>33</v>
      </c>
      <c r="N221" t="s">
        <v>33</v>
      </c>
      <c r="O221" t="s">
        <v>33</v>
      </c>
      <c r="P221" t="s">
        <v>34</v>
      </c>
      <c r="Q221" t="s">
        <v>35</v>
      </c>
      <c r="R221" t="s">
        <v>274</v>
      </c>
      <c r="S221" t="s">
        <v>30</v>
      </c>
      <c r="T221" t="s">
        <v>275</v>
      </c>
      <c r="U221" t="s">
        <v>276</v>
      </c>
      <c r="V221" t="s">
        <v>40</v>
      </c>
      <c r="W221" s="1">
        <v>862200</v>
      </c>
    </row>
    <row r="222" spans="1:23" x14ac:dyDescent="0.2">
      <c r="A222" t="s">
        <v>23</v>
      </c>
      <c r="B222" t="s">
        <v>24</v>
      </c>
      <c r="C222" t="s">
        <v>25</v>
      </c>
      <c r="D222" t="s">
        <v>208</v>
      </c>
      <c r="E222" t="s">
        <v>209</v>
      </c>
      <c r="F222" t="s">
        <v>210</v>
      </c>
      <c r="G222" t="s">
        <v>139</v>
      </c>
      <c r="H222" t="s">
        <v>30</v>
      </c>
      <c r="I222" t="s">
        <v>30</v>
      </c>
      <c r="J222" t="s">
        <v>128</v>
      </c>
      <c r="K222" t="s">
        <v>181</v>
      </c>
      <c r="L222" t="s">
        <v>32</v>
      </c>
      <c r="M222" t="s">
        <v>33</v>
      </c>
      <c r="N222" t="s">
        <v>33</v>
      </c>
      <c r="O222" t="s">
        <v>33</v>
      </c>
      <c r="P222" t="s">
        <v>34</v>
      </c>
      <c r="Q222" t="s">
        <v>35</v>
      </c>
      <c r="S222" t="s">
        <v>30</v>
      </c>
      <c r="T222" t="s">
        <v>245</v>
      </c>
      <c r="U222" t="s">
        <v>246</v>
      </c>
      <c r="V222" t="s">
        <v>39</v>
      </c>
      <c r="W222" s="1">
        <v>1</v>
      </c>
    </row>
    <row r="223" spans="1:23" x14ac:dyDescent="0.2">
      <c r="A223" t="s">
        <v>23</v>
      </c>
      <c r="B223" t="s">
        <v>24</v>
      </c>
      <c r="C223" t="s">
        <v>25</v>
      </c>
      <c r="D223" t="s">
        <v>208</v>
      </c>
      <c r="E223" t="s">
        <v>209</v>
      </c>
      <c r="F223" t="s">
        <v>210</v>
      </c>
      <c r="G223" t="s">
        <v>139</v>
      </c>
      <c r="H223" t="s">
        <v>30</v>
      </c>
      <c r="I223" t="s">
        <v>30</v>
      </c>
      <c r="J223" t="s">
        <v>128</v>
      </c>
      <c r="K223" t="s">
        <v>181</v>
      </c>
      <c r="L223" t="s">
        <v>32</v>
      </c>
      <c r="M223" t="s">
        <v>33</v>
      </c>
      <c r="N223" t="s">
        <v>33</v>
      </c>
      <c r="O223" t="s">
        <v>33</v>
      </c>
      <c r="P223" t="s">
        <v>34</v>
      </c>
      <c r="Q223" t="s">
        <v>35</v>
      </c>
      <c r="S223" t="s">
        <v>30</v>
      </c>
      <c r="T223" t="s">
        <v>245</v>
      </c>
      <c r="U223" t="s">
        <v>246</v>
      </c>
      <c r="V223" t="s">
        <v>40</v>
      </c>
      <c r="W223" s="1">
        <v>1490000</v>
      </c>
    </row>
    <row r="224" spans="1:23" x14ac:dyDescent="0.2">
      <c r="A224" t="s">
        <v>23</v>
      </c>
      <c r="B224" t="s">
        <v>24</v>
      </c>
      <c r="C224" t="s">
        <v>25</v>
      </c>
      <c r="D224" t="s">
        <v>208</v>
      </c>
      <c r="E224" t="s">
        <v>209</v>
      </c>
      <c r="F224" t="s">
        <v>210</v>
      </c>
      <c r="G224" t="s">
        <v>139</v>
      </c>
      <c r="H224" t="s">
        <v>30</v>
      </c>
      <c r="I224" t="s">
        <v>30</v>
      </c>
      <c r="J224" t="s">
        <v>31</v>
      </c>
      <c r="K224" t="s">
        <v>32</v>
      </c>
      <c r="L224" t="s">
        <v>32</v>
      </c>
      <c r="M224" t="s">
        <v>33</v>
      </c>
      <c r="N224" t="s">
        <v>33</v>
      </c>
      <c r="O224" t="s">
        <v>33</v>
      </c>
      <c r="P224" t="s">
        <v>213</v>
      </c>
      <c r="Q224" t="s">
        <v>214</v>
      </c>
      <c r="S224" t="s">
        <v>30</v>
      </c>
      <c r="T224" t="s">
        <v>277</v>
      </c>
      <c r="U224" t="s">
        <v>278</v>
      </c>
      <c r="V224" t="s">
        <v>39</v>
      </c>
      <c r="W224" s="1">
        <v>1</v>
      </c>
    </row>
    <row r="225" spans="1:23" x14ac:dyDescent="0.2">
      <c r="A225" t="s">
        <v>23</v>
      </c>
      <c r="B225" t="s">
        <v>24</v>
      </c>
      <c r="C225" t="s">
        <v>25</v>
      </c>
      <c r="D225" t="s">
        <v>208</v>
      </c>
      <c r="E225" t="s">
        <v>209</v>
      </c>
      <c r="F225" t="s">
        <v>210</v>
      </c>
      <c r="G225" t="s">
        <v>139</v>
      </c>
      <c r="H225" t="s">
        <v>30</v>
      </c>
      <c r="I225" t="s">
        <v>30</v>
      </c>
      <c r="J225" t="s">
        <v>31</v>
      </c>
      <c r="K225" t="s">
        <v>32</v>
      </c>
      <c r="L225" t="s">
        <v>32</v>
      </c>
      <c r="M225" t="s">
        <v>33</v>
      </c>
      <c r="N225" t="s">
        <v>33</v>
      </c>
      <c r="O225" t="s">
        <v>33</v>
      </c>
      <c r="P225" t="s">
        <v>213</v>
      </c>
      <c r="Q225" t="s">
        <v>214</v>
      </c>
      <c r="S225" t="s">
        <v>30</v>
      </c>
      <c r="T225" t="s">
        <v>277</v>
      </c>
      <c r="U225" t="s">
        <v>278</v>
      </c>
      <c r="V225" t="s">
        <v>40</v>
      </c>
      <c r="W225" s="1">
        <v>377600</v>
      </c>
    </row>
    <row r="226" spans="1:23" x14ac:dyDescent="0.2">
      <c r="A226" t="s">
        <v>23</v>
      </c>
      <c r="B226" t="s">
        <v>24</v>
      </c>
      <c r="C226" t="s">
        <v>25</v>
      </c>
      <c r="D226" t="s">
        <v>208</v>
      </c>
      <c r="E226" t="s">
        <v>209</v>
      </c>
      <c r="F226" t="s">
        <v>210</v>
      </c>
      <c r="G226" t="s">
        <v>139</v>
      </c>
      <c r="H226" t="s">
        <v>30</v>
      </c>
      <c r="I226" t="s">
        <v>30</v>
      </c>
      <c r="J226" t="s">
        <v>31</v>
      </c>
      <c r="K226" t="s">
        <v>32</v>
      </c>
      <c r="L226" t="s">
        <v>32</v>
      </c>
      <c r="M226" t="s">
        <v>33</v>
      </c>
      <c r="P226" t="s">
        <v>213</v>
      </c>
      <c r="Q226" t="s">
        <v>214</v>
      </c>
      <c r="S226" t="s">
        <v>30</v>
      </c>
      <c r="T226" t="s">
        <v>277</v>
      </c>
      <c r="U226" t="s">
        <v>278</v>
      </c>
      <c r="V226" t="s">
        <v>39</v>
      </c>
      <c r="W226" s="1">
        <v>3</v>
      </c>
    </row>
    <row r="227" spans="1:23" x14ac:dyDescent="0.2">
      <c r="A227" t="s">
        <v>23</v>
      </c>
      <c r="B227" t="s">
        <v>24</v>
      </c>
      <c r="C227" t="s">
        <v>25</v>
      </c>
      <c r="D227" t="s">
        <v>208</v>
      </c>
      <c r="E227" t="s">
        <v>209</v>
      </c>
      <c r="F227" t="s">
        <v>210</v>
      </c>
      <c r="G227" t="s">
        <v>139</v>
      </c>
      <c r="H227" t="s">
        <v>30</v>
      </c>
      <c r="I227" t="s">
        <v>30</v>
      </c>
      <c r="J227" t="s">
        <v>31</v>
      </c>
      <c r="K227" t="s">
        <v>32</v>
      </c>
      <c r="L227" t="s">
        <v>32</v>
      </c>
      <c r="M227" t="s">
        <v>33</v>
      </c>
      <c r="P227" t="s">
        <v>213</v>
      </c>
      <c r="Q227" t="s">
        <v>214</v>
      </c>
      <c r="S227" t="s">
        <v>30</v>
      </c>
      <c r="T227" t="s">
        <v>277</v>
      </c>
      <c r="U227" t="s">
        <v>278</v>
      </c>
      <c r="V227" t="s">
        <v>40</v>
      </c>
      <c r="W227" s="1">
        <v>1132800</v>
      </c>
    </row>
    <row r="228" spans="1:23" x14ac:dyDescent="0.2">
      <c r="A228" t="s">
        <v>23</v>
      </c>
      <c r="B228" t="s">
        <v>24</v>
      </c>
      <c r="C228" t="s">
        <v>25</v>
      </c>
      <c r="D228" t="s">
        <v>208</v>
      </c>
      <c r="E228" t="s">
        <v>279</v>
      </c>
      <c r="F228" t="s">
        <v>280</v>
      </c>
      <c r="G228" t="s">
        <v>67</v>
      </c>
      <c r="H228" t="s">
        <v>30</v>
      </c>
      <c r="I228" t="s">
        <v>30</v>
      </c>
      <c r="J228" t="s">
        <v>31</v>
      </c>
      <c r="K228" t="s">
        <v>32</v>
      </c>
      <c r="L228" t="s">
        <v>32</v>
      </c>
      <c r="M228" t="s">
        <v>33</v>
      </c>
      <c r="P228" t="s">
        <v>34</v>
      </c>
      <c r="Q228" t="s">
        <v>35</v>
      </c>
      <c r="S228" t="s">
        <v>52</v>
      </c>
      <c r="T228" t="s">
        <v>281</v>
      </c>
      <c r="U228" t="s">
        <v>282</v>
      </c>
      <c r="V228" t="s">
        <v>39</v>
      </c>
      <c r="W228" s="1">
        <v>0</v>
      </c>
    </row>
    <row r="229" spans="1:23" x14ac:dyDescent="0.2">
      <c r="A229" t="s">
        <v>23</v>
      </c>
      <c r="B229" t="s">
        <v>24</v>
      </c>
      <c r="C229" t="s">
        <v>25</v>
      </c>
      <c r="D229" t="s">
        <v>208</v>
      </c>
      <c r="E229" t="s">
        <v>279</v>
      </c>
      <c r="F229" t="s">
        <v>280</v>
      </c>
      <c r="G229" t="s">
        <v>67</v>
      </c>
      <c r="H229" t="s">
        <v>30</v>
      </c>
      <c r="I229" t="s">
        <v>30</v>
      </c>
      <c r="J229" t="s">
        <v>31</v>
      </c>
      <c r="K229" t="s">
        <v>32</v>
      </c>
      <c r="L229" t="s">
        <v>32</v>
      </c>
      <c r="M229" t="s">
        <v>33</v>
      </c>
      <c r="P229" t="s">
        <v>34</v>
      </c>
      <c r="Q229" t="s">
        <v>35</v>
      </c>
      <c r="S229" t="s">
        <v>52</v>
      </c>
      <c r="T229" t="s">
        <v>281</v>
      </c>
      <c r="U229" t="s">
        <v>282</v>
      </c>
      <c r="V229" t="s">
        <v>40</v>
      </c>
      <c r="W229" s="1">
        <v>1230000</v>
      </c>
    </row>
    <row r="230" spans="1:23" x14ac:dyDescent="0.2">
      <c r="A230" t="s">
        <v>23</v>
      </c>
      <c r="B230" t="s">
        <v>24</v>
      </c>
      <c r="C230" t="s">
        <v>25</v>
      </c>
      <c r="D230" t="s">
        <v>208</v>
      </c>
      <c r="E230" t="s">
        <v>279</v>
      </c>
      <c r="F230" t="s">
        <v>280</v>
      </c>
      <c r="G230" t="s">
        <v>67</v>
      </c>
      <c r="H230" t="s">
        <v>30</v>
      </c>
      <c r="I230" t="s">
        <v>30</v>
      </c>
      <c r="J230" t="s">
        <v>41</v>
      </c>
      <c r="K230" t="s">
        <v>32</v>
      </c>
      <c r="L230" t="s">
        <v>32</v>
      </c>
      <c r="M230" t="s">
        <v>33</v>
      </c>
      <c r="P230" t="s">
        <v>34</v>
      </c>
      <c r="Q230" t="s">
        <v>35</v>
      </c>
      <c r="R230" t="s">
        <v>36</v>
      </c>
      <c r="S230" t="s">
        <v>30</v>
      </c>
      <c r="T230" t="s">
        <v>283</v>
      </c>
      <c r="U230" t="s">
        <v>284</v>
      </c>
      <c r="V230" t="s">
        <v>39</v>
      </c>
      <c r="W230" s="1">
        <v>6</v>
      </c>
    </row>
    <row r="231" spans="1:23" x14ac:dyDescent="0.2">
      <c r="A231" t="s">
        <v>23</v>
      </c>
      <c r="B231" t="s">
        <v>24</v>
      </c>
      <c r="C231" t="s">
        <v>25</v>
      </c>
      <c r="D231" t="s">
        <v>208</v>
      </c>
      <c r="E231" t="s">
        <v>279</v>
      </c>
      <c r="F231" t="s">
        <v>280</v>
      </c>
      <c r="G231" t="s">
        <v>67</v>
      </c>
      <c r="H231" t="s">
        <v>30</v>
      </c>
      <c r="I231" t="s">
        <v>30</v>
      </c>
      <c r="J231" t="s">
        <v>41</v>
      </c>
      <c r="K231" t="s">
        <v>32</v>
      </c>
      <c r="L231" t="s">
        <v>32</v>
      </c>
      <c r="M231" t="s">
        <v>33</v>
      </c>
      <c r="P231" t="s">
        <v>34</v>
      </c>
      <c r="Q231" t="s">
        <v>35</v>
      </c>
      <c r="R231" t="s">
        <v>36</v>
      </c>
      <c r="S231" t="s">
        <v>30</v>
      </c>
      <c r="T231" t="s">
        <v>283</v>
      </c>
      <c r="U231" t="s">
        <v>284</v>
      </c>
      <c r="V231" t="s">
        <v>40</v>
      </c>
      <c r="W231" s="1">
        <v>5876400</v>
      </c>
    </row>
    <row r="232" spans="1:23" x14ac:dyDescent="0.2">
      <c r="A232" t="s">
        <v>23</v>
      </c>
      <c r="B232" t="s">
        <v>24</v>
      </c>
      <c r="C232" t="s">
        <v>25</v>
      </c>
      <c r="D232" t="s">
        <v>208</v>
      </c>
      <c r="E232" t="s">
        <v>279</v>
      </c>
      <c r="F232" t="s">
        <v>280</v>
      </c>
      <c r="G232" t="s">
        <v>139</v>
      </c>
      <c r="H232" t="s">
        <v>30</v>
      </c>
      <c r="I232" t="s">
        <v>30</v>
      </c>
      <c r="J232" t="s">
        <v>41</v>
      </c>
      <c r="K232" t="s">
        <v>32</v>
      </c>
      <c r="L232" t="s">
        <v>32</v>
      </c>
      <c r="M232" t="s">
        <v>33</v>
      </c>
      <c r="P232" t="s">
        <v>34</v>
      </c>
      <c r="Q232" t="s">
        <v>35</v>
      </c>
      <c r="R232" t="s">
        <v>285</v>
      </c>
      <c r="S232" t="s">
        <v>30</v>
      </c>
      <c r="T232" t="s">
        <v>286</v>
      </c>
      <c r="U232" t="s">
        <v>287</v>
      </c>
      <c r="V232" t="s">
        <v>39</v>
      </c>
      <c r="W232" s="1">
        <v>4</v>
      </c>
    </row>
    <row r="233" spans="1:23" x14ac:dyDescent="0.2">
      <c r="A233" t="s">
        <v>23</v>
      </c>
      <c r="B233" t="s">
        <v>24</v>
      </c>
      <c r="C233" t="s">
        <v>25</v>
      </c>
      <c r="D233" t="s">
        <v>208</v>
      </c>
      <c r="E233" t="s">
        <v>279</v>
      </c>
      <c r="F233" t="s">
        <v>280</v>
      </c>
      <c r="G233" t="s">
        <v>139</v>
      </c>
      <c r="H233" t="s">
        <v>30</v>
      </c>
      <c r="I233" t="s">
        <v>30</v>
      </c>
      <c r="J233" t="s">
        <v>41</v>
      </c>
      <c r="K233" t="s">
        <v>32</v>
      </c>
      <c r="L233" t="s">
        <v>32</v>
      </c>
      <c r="M233" t="s">
        <v>33</v>
      </c>
      <c r="P233" t="s">
        <v>34</v>
      </c>
      <c r="Q233" t="s">
        <v>35</v>
      </c>
      <c r="R233" t="s">
        <v>285</v>
      </c>
      <c r="S233" t="s">
        <v>30</v>
      </c>
      <c r="T233" t="s">
        <v>286</v>
      </c>
      <c r="U233" t="s">
        <v>287</v>
      </c>
      <c r="V233" t="s">
        <v>40</v>
      </c>
      <c r="W233" s="1">
        <v>5945600</v>
      </c>
    </row>
    <row r="234" spans="1:23" x14ac:dyDescent="0.2">
      <c r="A234" t="s">
        <v>23</v>
      </c>
      <c r="B234" t="s">
        <v>24</v>
      </c>
      <c r="C234" t="s">
        <v>25</v>
      </c>
      <c r="D234" t="s">
        <v>208</v>
      </c>
      <c r="E234" t="s">
        <v>279</v>
      </c>
      <c r="F234" t="s">
        <v>280</v>
      </c>
      <c r="G234" t="s">
        <v>139</v>
      </c>
      <c r="H234" t="s">
        <v>30</v>
      </c>
      <c r="I234" t="s">
        <v>30</v>
      </c>
      <c r="J234" t="s">
        <v>41</v>
      </c>
      <c r="K234" t="s">
        <v>32</v>
      </c>
      <c r="L234" t="s">
        <v>32</v>
      </c>
      <c r="M234" t="s">
        <v>33</v>
      </c>
      <c r="P234" t="s">
        <v>34</v>
      </c>
      <c r="Q234" t="s">
        <v>35</v>
      </c>
      <c r="R234" t="s">
        <v>285</v>
      </c>
      <c r="S234" t="s">
        <v>30</v>
      </c>
      <c r="T234" t="s">
        <v>288</v>
      </c>
      <c r="U234" t="s">
        <v>289</v>
      </c>
      <c r="V234" t="s">
        <v>39</v>
      </c>
      <c r="W234" s="1">
        <v>4</v>
      </c>
    </row>
    <row r="235" spans="1:23" x14ac:dyDescent="0.2">
      <c r="A235" t="s">
        <v>23</v>
      </c>
      <c r="B235" t="s">
        <v>24</v>
      </c>
      <c r="C235" t="s">
        <v>25</v>
      </c>
      <c r="D235" t="s">
        <v>208</v>
      </c>
      <c r="E235" t="s">
        <v>279</v>
      </c>
      <c r="F235" t="s">
        <v>280</v>
      </c>
      <c r="G235" t="s">
        <v>139</v>
      </c>
      <c r="H235" t="s">
        <v>30</v>
      </c>
      <c r="I235" t="s">
        <v>30</v>
      </c>
      <c r="J235" t="s">
        <v>41</v>
      </c>
      <c r="K235" t="s">
        <v>32</v>
      </c>
      <c r="L235" t="s">
        <v>32</v>
      </c>
      <c r="M235" t="s">
        <v>33</v>
      </c>
      <c r="P235" t="s">
        <v>34</v>
      </c>
      <c r="Q235" t="s">
        <v>35</v>
      </c>
      <c r="R235" t="s">
        <v>285</v>
      </c>
      <c r="S235" t="s">
        <v>30</v>
      </c>
      <c r="T235" t="s">
        <v>288</v>
      </c>
      <c r="U235" t="s">
        <v>289</v>
      </c>
      <c r="V235" t="s">
        <v>40</v>
      </c>
      <c r="W235" s="1">
        <v>5945600</v>
      </c>
    </row>
    <row r="236" spans="1:23" x14ac:dyDescent="0.2">
      <c r="A236" t="s">
        <v>23</v>
      </c>
      <c r="B236" t="s">
        <v>24</v>
      </c>
      <c r="C236" t="s">
        <v>25</v>
      </c>
      <c r="D236" t="s">
        <v>208</v>
      </c>
      <c r="E236" t="s">
        <v>290</v>
      </c>
      <c r="F236" t="s">
        <v>291</v>
      </c>
      <c r="G236" t="s">
        <v>29</v>
      </c>
      <c r="H236" t="s">
        <v>30</v>
      </c>
      <c r="I236" t="s">
        <v>30</v>
      </c>
      <c r="J236" t="s">
        <v>31</v>
      </c>
      <c r="K236" t="s">
        <v>32</v>
      </c>
      <c r="L236" t="s">
        <v>32</v>
      </c>
      <c r="M236" t="s">
        <v>33</v>
      </c>
      <c r="N236" t="s">
        <v>33</v>
      </c>
      <c r="O236" t="s">
        <v>33</v>
      </c>
      <c r="P236" t="s">
        <v>34</v>
      </c>
      <c r="Q236" t="s">
        <v>35</v>
      </c>
      <c r="S236" t="s">
        <v>30</v>
      </c>
      <c r="T236" t="s">
        <v>292</v>
      </c>
      <c r="U236" t="s">
        <v>293</v>
      </c>
      <c r="V236" t="s">
        <v>39</v>
      </c>
      <c r="W236" s="1">
        <v>4</v>
      </c>
    </row>
    <row r="237" spans="1:23" x14ac:dyDescent="0.2">
      <c r="A237" t="s">
        <v>23</v>
      </c>
      <c r="B237" t="s">
        <v>24</v>
      </c>
      <c r="C237" t="s">
        <v>25</v>
      </c>
      <c r="D237" t="s">
        <v>208</v>
      </c>
      <c r="E237" t="s">
        <v>290</v>
      </c>
      <c r="F237" t="s">
        <v>291</v>
      </c>
      <c r="G237" t="s">
        <v>29</v>
      </c>
      <c r="H237" t="s">
        <v>30</v>
      </c>
      <c r="I237" t="s">
        <v>30</v>
      </c>
      <c r="J237" t="s">
        <v>31</v>
      </c>
      <c r="K237" t="s">
        <v>32</v>
      </c>
      <c r="L237" t="s">
        <v>32</v>
      </c>
      <c r="M237" t="s">
        <v>33</v>
      </c>
      <c r="N237" t="s">
        <v>33</v>
      </c>
      <c r="O237" t="s">
        <v>33</v>
      </c>
      <c r="P237" t="s">
        <v>34</v>
      </c>
      <c r="Q237" t="s">
        <v>35</v>
      </c>
      <c r="S237" t="s">
        <v>30</v>
      </c>
      <c r="T237" t="s">
        <v>292</v>
      </c>
      <c r="U237" t="s">
        <v>293</v>
      </c>
      <c r="V237" t="s">
        <v>40</v>
      </c>
      <c r="W237" s="1">
        <v>4143600</v>
      </c>
    </row>
    <row r="238" spans="1:23" x14ac:dyDescent="0.2">
      <c r="A238" t="s">
        <v>23</v>
      </c>
      <c r="B238" t="s">
        <v>24</v>
      </c>
      <c r="C238" t="s">
        <v>25</v>
      </c>
      <c r="D238" t="s">
        <v>208</v>
      </c>
      <c r="E238" t="s">
        <v>290</v>
      </c>
      <c r="F238" t="s">
        <v>291</v>
      </c>
      <c r="G238" t="s">
        <v>29</v>
      </c>
      <c r="H238" t="s">
        <v>30</v>
      </c>
      <c r="I238" t="s">
        <v>30</v>
      </c>
      <c r="J238" t="s">
        <v>41</v>
      </c>
      <c r="K238" t="s">
        <v>32</v>
      </c>
      <c r="L238" t="s">
        <v>32</v>
      </c>
      <c r="M238" t="s">
        <v>33</v>
      </c>
      <c r="N238" t="s">
        <v>33</v>
      </c>
      <c r="O238" t="s">
        <v>33</v>
      </c>
      <c r="P238" t="s">
        <v>34</v>
      </c>
      <c r="Q238" t="s">
        <v>35</v>
      </c>
      <c r="R238" t="s">
        <v>294</v>
      </c>
      <c r="S238" t="s">
        <v>30</v>
      </c>
      <c r="T238" t="s">
        <v>295</v>
      </c>
      <c r="U238" t="s">
        <v>296</v>
      </c>
      <c r="V238" t="s">
        <v>39</v>
      </c>
      <c r="W238" s="1">
        <v>2</v>
      </c>
    </row>
    <row r="239" spans="1:23" x14ac:dyDescent="0.2">
      <c r="A239" t="s">
        <v>23</v>
      </c>
      <c r="B239" t="s">
        <v>24</v>
      </c>
      <c r="C239" t="s">
        <v>25</v>
      </c>
      <c r="D239" t="s">
        <v>208</v>
      </c>
      <c r="E239" t="s">
        <v>290</v>
      </c>
      <c r="F239" t="s">
        <v>291</v>
      </c>
      <c r="G239" t="s">
        <v>29</v>
      </c>
      <c r="H239" t="s">
        <v>30</v>
      </c>
      <c r="I239" t="s">
        <v>30</v>
      </c>
      <c r="J239" t="s">
        <v>41</v>
      </c>
      <c r="K239" t="s">
        <v>32</v>
      </c>
      <c r="L239" t="s">
        <v>32</v>
      </c>
      <c r="M239" t="s">
        <v>33</v>
      </c>
      <c r="N239" t="s">
        <v>33</v>
      </c>
      <c r="O239" t="s">
        <v>33</v>
      </c>
      <c r="P239" t="s">
        <v>34</v>
      </c>
      <c r="Q239" t="s">
        <v>35</v>
      </c>
      <c r="R239" t="s">
        <v>294</v>
      </c>
      <c r="S239" t="s">
        <v>30</v>
      </c>
      <c r="T239" t="s">
        <v>295</v>
      </c>
      <c r="U239" t="s">
        <v>296</v>
      </c>
      <c r="V239" t="s">
        <v>40</v>
      </c>
      <c r="W239" s="1">
        <v>3626800</v>
      </c>
    </row>
    <row r="240" spans="1:23" x14ac:dyDescent="0.2">
      <c r="A240" t="s">
        <v>23</v>
      </c>
      <c r="B240" t="s">
        <v>24</v>
      </c>
      <c r="C240" t="s">
        <v>25</v>
      </c>
      <c r="D240" t="s">
        <v>208</v>
      </c>
      <c r="E240" t="s">
        <v>290</v>
      </c>
      <c r="F240" t="s">
        <v>291</v>
      </c>
      <c r="G240" t="s">
        <v>49</v>
      </c>
      <c r="H240" t="s">
        <v>30</v>
      </c>
      <c r="I240" t="s">
        <v>30</v>
      </c>
      <c r="J240" t="s">
        <v>31</v>
      </c>
      <c r="K240" t="s">
        <v>32</v>
      </c>
      <c r="L240" t="s">
        <v>32</v>
      </c>
      <c r="M240" t="s">
        <v>33</v>
      </c>
      <c r="N240" t="s">
        <v>33</v>
      </c>
      <c r="O240" t="s">
        <v>33</v>
      </c>
      <c r="P240" t="s">
        <v>34</v>
      </c>
      <c r="Q240" t="s">
        <v>35</v>
      </c>
      <c r="R240" t="s">
        <v>228</v>
      </c>
      <c r="S240" t="s">
        <v>30</v>
      </c>
      <c r="T240" t="s">
        <v>297</v>
      </c>
      <c r="U240" t="s">
        <v>298</v>
      </c>
      <c r="V240" t="s">
        <v>39</v>
      </c>
      <c r="W240" s="1">
        <v>2</v>
      </c>
    </row>
    <row r="241" spans="1:23" x14ac:dyDescent="0.2">
      <c r="A241" t="s">
        <v>23</v>
      </c>
      <c r="B241" t="s">
        <v>24</v>
      </c>
      <c r="C241" t="s">
        <v>25</v>
      </c>
      <c r="D241" t="s">
        <v>208</v>
      </c>
      <c r="E241" t="s">
        <v>290</v>
      </c>
      <c r="F241" t="s">
        <v>291</v>
      </c>
      <c r="G241" t="s">
        <v>49</v>
      </c>
      <c r="H241" t="s">
        <v>30</v>
      </c>
      <c r="I241" t="s">
        <v>30</v>
      </c>
      <c r="J241" t="s">
        <v>31</v>
      </c>
      <c r="K241" t="s">
        <v>32</v>
      </c>
      <c r="L241" t="s">
        <v>32</v>
      </c>
      <c r="M241" t="s">
        <v>33</v>
      </c>
      <c r="N241" t="s">
        <v>33</v>
      </c>
      <c r="O241" t="s">
        <v>33</v>
      </c>
      <c r="P241" t="s">
        <v>34</v>
      </c>
      <c r="Q241" t="s">
        <v>35</v>
      </c>
      <c r="R241" t="s">
        <v>228</v>
      </c>
      <c r="S241" t="s">
        <v>30</v>
      </c>
      <c r="T241" t="s">
        <v>297</v>
      </c>
      <c r="U241" t="s">
        <v>298</v>
      </c>
      <c r="V241" t="s">
        <v>40</v>
      </c>
      <c r="W241" s="1">
        <v>1296200</v>
      </c>
    </row>
    <row r="242" spans="1:23" x14ac:dyDescent="0.2">
      <c r="A242" t="s">
        <v>23</v>
      </c>
      <c r="B242" t="s">
        <v>24</v>
      </c>
      <c r="C242" t="s">
        <v>25</v>
      </c>
      <c r="D242" t="s">
        <v>208</v>
      </c>
      <c r="E242" t="s">
        <v>290</v>
      </c>
      <c r="F242" t="s">
        <v>291</v>
      </c>
      <c r="G242" t="s">
        <v>49</v>
      </c>
      <c r="H242" t="s">
        <v>30</v>
      </c>
      <c r="I242" t="s">
        <v>30</v>
      </c>
      <c r="J242" t="s">
        <v>31</v>
      </c>
      <c r="K242" t="s">
        <v>32</v>
      </c>
      <c r="L242" t="s">
        <v>32</v>
      </c>
      <c r="M242" t="s">
        <v>33</v>
      </c>
      <c r="N242" t="s">
        <v>169</v>
      </c>
      <c r="O242" t="s">
        <v>169</v>
      </c>
      <c r="P242" t="s">
        <v>34</v>
      </c>
      <c r="Q242" t="s">
        <v>35</v>
      </c>
      <c r="R242" t="s">
        <v>228</v>
      </c>
      <c r="S242" t="s">
        <v>30</v>
      </c>
      <c r="T242" t="s">
        <v>297</v>
      </c>
      <c r="U242" t="s">
        <v>298</v>
      </c>
      <c r="V242" t="s">
        <v>39</v>
      </c>
      <c r="W242" s="1">
        <v>1</v>
      </c>
    </row>
    <row r="243" spans="1:23" x14ac:dyDescent="0.2">
      <c r="A243" t="s">
        <v>23</v>
      </c>
      <c r="B243" t="s">
        <v>24</v>
      </c>
      <c r="C243" t="s">
        <v>25</v>
      </c>
      <c r="D243" t="s">
        <v>208</v>
      </c>
      <c r="E243" t="s">
        <v>290</v>
      </c>
      <c r="F243" t="s">
        <v>291</v>
      </c>
      <c r="G243" t="s">
        <v>49</v>
      </c>
      <c r="H243" t="s">
        <v>30</v>
      </c>
      <c r="I243" t="s">
        <v>30</v>
      </c>
      <c r="J243" t="s">
        <v>31</v>
      </c>
      <c r="K243" t="s">
        <v>32</v>
      </c>
      <c r="L243" t="s">
        <v>32</v>
      </c>
      <c r="M243" t="s">
        <v>33</v>
      </c>
      <c r="N243" t="s">
        <v>169</v>
      </c>
      <c r="O243" t="s">
        <v>169</v>
      </c>
      <c r="P243" t="s">
        <v>34</v>
      </c>
      <c r="Q243" t="s">
        <v>35</v>
      </c>
      <c r="R243" t="s">
        <v>228</v>
      </c>
      <c r="S243" t="s">
        <v>30</v>
      </c>
      <c r="T243" t="s">
        <v>297</v>
      </c>
      <c r="U243" t="s">
        <v>298</v>
      </c>
      <c r="V243" t="s">
        <v>40</v>
      </c>
      <c r="W243" s="1">
        <v>648100</v>
      </c>
    </row>
    <row r="244" spans="1:23" x14ac:dyDescent="0.2">
      <c r="A244" t="s">
        <v>23</v>
      </c>
      <c r="B244" t="s">
        <v>24</v>
      </c>
      <c r="C244" t="s">
        <v>25</v>
      </c>
      <c r="D244" t="s">
        <v>208</v>
      </c>
      <c r="E244" t="s">
        <v>290</v>
      </c>
      <c r="F244" t="s">
        <v>291</v>
      </c>
      <c r="G244" t="s">
        <v>49</v>
      </c>
      <c r="H244" t="s">
        <v>30</v>
      </c>
      <c r="I244" t="s">
        <v>30</v>
      </c>
      <c r="J244" t="s">
        <v>41</v>
      </c>
      <c r="K244" t="s">
        <v>32</v>
      </c>
      <c r="L244" t="s">
        <v>32</v>
      </c>
      <c r="M244" t="s">
        <v>33</v>
      </c>
      <c r="N244" t="s">
        <v>33</v>
      </c>
      <c r="O244" t="s">
        <v>33</v>
      </c>
      <c r="P244" t="s">
        <v>34</v>
      </c>
      <c r="Q244" t="s">
        <v>35</v>
      </c>
      <c r="R244" t="s">
        <v>54</v>
      </c>
      <c r="S244" t="s">
        <v>30</v>
      </c>
      <c r="T244" t="s">
        <v>299</v>
      </c>
      <c r="U244" t="s">
        <v>300</v>
      </c>
      <c r="V244" t="s">
        <v>39</v>
      </c>
      <c r="W244" s="1">
        <v>8</v>
      </c>
    </row>
    <row r="245" spans="1:23" x14ac:dyDescent="0.2">
      <c r="A245" t="s">
        <v>23</v>
      </c>
      <c r="B245" t="s">
        <v>24</v>
      </c>
      <c r="C245" t="s">
        <v>25</v>
      </c>
      <c r="D245" t="s">
        <v>208</v>
      </c>
      <c r="E245" t="s">
        <v>290</v>
      </c>
      <c r="F245" t="s">
        <v>291</v>
      </c>
      <c r="G245" t="s">
        <v>49</v>
      </c>
      <c r="H245" t="s">
        <v>30</v>
      </c>
      <c r="I245" t="s">
        <v>30</v>
      </c>
      <c r="J245" t="s">
        <v>41</v>
      </c>
      <c r="K245" t="s">
        <v>32</v>
      </c>
      <c r="L245" t="s">
        <v>32</v>
      </c>
      <c r="M245" t="s">
        <v>33</v>
      </c>
      <c r="N245" t="s">
        <v>33</v>
      </c>
      <c r="O245" t="s">
        <v>33</v>
      </c>
      <c r="P245" t="s">
        <v>34</v>
      </c>
      <c r="Q245" t="s">
        <v>35</v>
      </c>
      <c r="R245" t="s">
        <v>54</v>
      </c>
      <c r="S245" t="s">
        <v>30</v>
      </c>
      <c r="T245" t="s">
        <v>299</v>
      </c>
      <c r="U245" t="s">
        <v>300</v>
      </c>
      <c r="V245" t="s">
        <v>40</v>
      </c>
      <c r="W245" s="1">
        <v>10540000</v>
      </c>
    </row>
    <row r="246" spans="1:23" x14ac:dyDescent="0.2">
      <c r="A246" t="s">
        <v>23</v>
      </c>
      <c r="B246" t="s">
        <v>24</v>
      </c>
      <c r="C246" t="s">
        <v>25</v>
      </c>
      <c r="D246" t="s">
        <v>208</v>
      </c>
      <c r="E246" t="s">
        <v>290</v>
      </c>
      <c r="F246" t="s">
        <v>291</v>
      </c>
      <c r="G246" t="s">
        <v>49</v>
      </c>
      <c r="H246" t="s">
        <v>30</v>
      </c>
      <c r="I246" t="s">
        <v>30</v>
      </c>
      <c r="J246" t="s">
        <v>41</v>
      </c>
      <c r="K246" t="s">
        <v>32</v>
      </c>
      <c r="L246" t="s">
        <v>32</v>
      </c>
      <c r="M246" t="s">
        <v>33</v>
      </c>
      <c r="N246" t="s">
        <v>33</v>
      </c>
      <c r="O246" t="s">
        <v>33</v>
      </c>
      <c r="P246" t="s">
        <v>34</v>
      </c>
      <c r="Q246" t="s">
        <v>35</v>
      </c>
      <c r="S246" t="s">
        <v>30</v>
      </c>
      <c r="T246" t="s">
        <v>301</v>
      </c>
      <c r="U246" t="s">
        <v>302</v>
      </c>
      <c r="V246" t="s">
        <v>39</v>
      </c>
      <c r="W246" s="1">
        <v>3</v>
      </c>
    </row>
    <row r="247" spans="1:23" x14ac:dyDescent="0.2">
      <c r="A247" t="s">
        <v>23</v>
      </c>
      <c r="B247" t="s">
        <v>24</v>
      </c>
      <c r="C247" t="s">
        <v>25</v>
      </c>
      <c r="D247" t="s">
        <v>208</v>
      </c>
      <c r="E247" t="s">
        <v>290</v>
      </c>
      <c r="F247" t="s">
        <v>291</v>
      </c>
      <c r="G247" t="s">
        <v>49</v>
      </c>
      <c r="H247" t="s">
        <v>30</v>
      </c>
      <c r="I247" t="s">
        <v>30</v>
      </c>
      <c r="J247" t="s">
        <v>41</v>
      </c>
      <c r="K247" t="s">
        <v>32</v>
      </c>
      <c r="L247" t="s">
        <v>32</v>
      </c>
      <c r="M247" t="s">
        <v>33</v>
      </c>
      <c r="N247" t="s">
        <v>33</v>
      </c>
      <c r="O247" t="s">
        <v>33</v>
      </c>
      <c r="P247" t="s">
        <v>34</v>
      </c>
      <c r="Q247" t="s">
        <v>35</v>
      </c>
      <c r="S247" t="s">
        <v>30</v>
      </c>
      <c r="T247" t="s">
        <v>301</v>
      </c>
      <c r="U247" t="s">
        <v>302</v>
      </c>
      <c r="V247" t="s">
        <v>40</v>
      </c>
      <c r="W247" s="1">
        <v>2856600</v>
      </c>
    </row>
    <row r="248" spans="1:23" x14ac:dyDescent="0.2">
      <c r="A248" t="s">
        <v>23</v>
      </c>
      <c r="B248" t="s">
        <v>24</v>
      </c>
      <c r="C248" t="s">
        <v>25</v>
      </c>
      <c r="D248" t="s">
        <v>208</v>
      </c>
      <c r="E248" t="s">
        <v>290</v>
      </c>
      <c r="F248" t="s">
        <v>291</v>
      </c>
      <c r="G248" t="s">
        <v>49</v>
      </c>
      <c r="H248" t="s">
        <v>30</v>
      </c>
      <c r="I248" t="s">
        <v>30</v>
      </c>
      <c r="J248" t="s">
        <v>41</v>
      </c>
      <c r="K248" t="s">
        <v>32</v>
      </c>
      <c r="L248" t="s">
        <v>32</v>
      </c>
      <c r="M248" t="s">
        <v>33</v>
      </c>
      <c r="P248" t="s">
        <v>34</v>
      </c>
      <c r="Q248" t="s">
        <v>35</v>
      </c>
      <c r="R248" t="s">
        <v>96</v>
      </c>
      <c r="S248" t="s">
        <v>52</v>
      </c>
      <c r="T248" t="s">
        <v>303</v>
      </c>
      <c r="U248" t="s">
        <v>304</v>
      </c>
      <c r="V248" t="s">
        <v>39</v>
      </c>
      <c r="W248" s="1">
        <v>0</v>
      </c>
    </row>
    <row r="249" spans="1:23" x14ac:dyDescent="0.2">
      <c r="A249" t="s">
        <v>23</v>
      </c>
      <c r="B249" t="s">
        <v>24</v>
      </c>
      <c r="C249" t="s">
        <v>25</v>
      </c>
      <c r="D249" t="s">
        <v>208</v>
      </c>
      <c r="E249" t="s">
        <v>290</v>
      </c>
      <c r="F249" t="s">
        <v>291</v>
      </c>
      <c r="G249" t="s">
        <v>49</v>
      </c>
      <c r="H249" t="s">
        <v>30</v>
      </c>
      <c r="I249" t="s">
        <v>30</v>
      </c>
      <c r="J249" t="s">
        <v>41</v>
      </c>
      <c r="K249" t="s">
        <v>32</v>
      </c>
      <c r="L249" t="s">
        <v>32</v>
      </c>
      <c r="M249" t="s">
        <v>33</v>
      </c>
      <c r="P249" t="s">
        <v>34</v>
      </c>
      <c r="Q249" t="s">
        <v>35</v>
      </c>
      <c r="R249" t="s">
        <v>96</v>
      </c>
      <c r="S249" t="s">
        <v>52</v>
      </c>
      <c r="T249" t="s">
        <v>303</v>
      </c>
      <c r="U249" t="s">
        <v>304</v>
      </c>
      <c r="V249" t="s">
        <v>40</v>
      </c>
      <c r="W249" s="1">
        <v>21820000</v>
      </c>
    </row>
    <row r="250" spans="1:23" x14ac:dyDescent="0.2">
      <c r="A250" t="s">
        <v>23</v>
      </c>
      <c r="B250" t="s">
        <v>24</v>
      </c>
      <c r="C250" t="s">
        <v>25</v>
      </c>
      <c r="D250" t="s">
        <v>208</v>
      </c>
      <c r="E250" t="s">
        <v>290</v>
      </c>
      <c r="F250" t="s">
        <v>291</v>
      </c>
      <c r="G250" t="s">
        <v>49</v>
      </c>
      <c r="H250" t="s">
        <v>30</v>
      </c>
      <c r="I250" t="s">
        <v>30</v>
      </c>
      <c r="J250" t="s">
        <v>41</v>
      </c>
      <c r="K250" t="s">
        <v>32</v>
      </c>
      <c r="L250" t="s">
        <v>32</v>
      </c>
      <c r="M250" t="s">
        <v>33</v>
      </c>
      <c r="P250" t="s">
        <v>34</v>
      </c>
      <c r="Q250" t="s">
        <v>35</v>
      </c>
      <c r="R250" t="s">
        <v>96</v>
      </c>
      <c r="S250" t="s">
        <v>52</v>
      </c>
      <c r="T250" t="s">
        <v>305</v>
      </c>
      <c r="U250" t="s">
        <v>306</v>
      </c>
      <c r="V250" t="s">
        <v>39</v>
      </c>
      <c r="W250" s="1">
        <v>0</v>
      </c>
    </row>
    <row r="251" spans="1:23" x14ac:dyDescent="0.2">
      <c r="A251" t="s">
        <v>23</v>
      </c>
      <c r="B251" t="s">
        <v>24</v>
      </c>
      <c r="C251" t="s">
        <v>25</v>
      </c>
      <c r="D251" t="s">
        <v>208</v>
      </c>
      <c r="E251" t="s">
        <v>290</v>
      </c>
      <c r="F251" t="s">
        <v>291</v>
      </c>
      <c r="G251" t="s">
        <v>49</v>
      </c>
      <c r="H251" t="s">
        <v>30</v>
      </c>
      <c r="I251" t="s">
        <v>30</v>
      </c>
      <c r="J251" t="s">
        <v>41</v>
      </c>
      <c r="K251" t="s">
        <v>32</v>
      </c>
      <c r="L251" t="s">
        <v>32</v>
      </c>
      <c r="M251" t="s">
        <v>33</v>
      </c>
      <c r="P251" t="s">
        <v>34</v>
      </c>
      <c r="Q251" t="s">
        <v>35</v>
      </c>
      <c r="R251" t="s">
        <v>96</v>
      </c>
      <c r="S251" t="s">
        <v>52</v>
      </c>
      <c r="T251" t="s">
        <v>305</v>
      </c>
      <c r="U251" t="s">
        <v>306</v>
      </c>
      <c r="V251" t="s">
        <v>40</v>
      </c>
      <c r="W251" s="1">
        <v>21220000</v>
      </c>
    </row>
    <row r="252" spans="1:23" x14ac:dyDescent="0.2">
      <c r="A252" t="s">
        <v>23</v>
      </c>
      <c r="B252" t="s">
        <v>24</v>
      </c>
      <c r="C252" t="s">
        <v>25</v>
      </c>
      <c r="D252" t="s">
        <v>208</v>
      </c>
      <c r="E252" t="s">
        <v>290</v>
      </c>
      <c r="F252" t="s">
        <v>291</v>
      </c>
      <c r="G252" t="s">
        <v>49</v>
      </c>
      <c r="H252" t="s">
        <v>30</v>
      </c>
      <c r="I252" t="s">
        <v>30</v>
      </c>
      <c r="J252" t="s">
        <v>41</v>
      </c>
      <c r="K252" t="s">
        <v>32</v>
      </c>
      <c r="L252" t="s">
        <v>32</v>
      </c>
      <c r="M252" t="s">
        <v>33</v>
      </c>
      <c r="P252" t="s">
        <v>34</v>
      </c>
      <c r="Q252" t="s">
        <v>35</v>
      </c>
      <c r="S252" t="s">
        <v>52</v>
      </c>
      <c r="T252" t="s">
        <v>307</v>
      </c>
      <c r="U252" t="s">
        <v>308</v>
      </c>
      <c r="V252" t="s">
        <v>39</v>
      </c>
      <c r="W252" s="1">
        <v>0</v>
      </c>
    </row>
    <row r="253" spans="1:23" x14ac:dyDescent="0.2">
      <c r="A253" t="s">
        <v>23</v>
      </c>
      <c r="B253" t="s">
        <v>24</v>
      </c>
      <c r="C253" t="s">
        <v>25</v>
      </c>
      <c r="D253" t="s">
        <v>208</v>
      </c>
      <c r="E253" t="s">
        <v>290</v>
      </c>
      <c r="F253" t="s">
        <v>291</v>
      </c>
      <c r="G253" t="s">
        <v>49</v>
      </c>
      <c r="H253" t="s">
        <v>30</v>
      </c>
      <c r="I253" t="s">
        <v>30</v>
      </c>
      <c r="J253" t="s">
        <v>41</v>
      </c>
      <c r="K253" t="s">
        <v>32</v>
      </c>
      <c r="L253" t="s">
        <v>32</v>
      </c>
      <c r="M253" t="s">
        <v>33</v>
      </c>
      <c r="P253" t="s">
        <v>34</v>
      </c>
      <c r="Q253" t="s">
        <v>35</v>
      </c>
      <c r="S253" t="s">
        <v>52</v>
      </c>
      <c r="T253" t="s">
        <v>307</v>
      </c>
      <c r="U253" t="s">
        <v>308</v>
      </c>
      <c r="V253" t="s">
        <v>40</v>
      </c>
      <c r="W253" s="1">
        <v>12610000</v>
      </c>
    </row>
    <row r="254" spans="1:23" x14ac:dyDescent="0.2">
      <c r="A254" t="s">
        <v>23</v>
      </c>
      <c r="B254" t="s">
        <v>24</v>
      </c>
      <c r="C254" t="s">
        <v>25</v>
      </c>
      <c r="D254" t="s">
        <v>208</v>
      </c>
      <c r="E254" t="s">
        <v>290</v>
      </c>
      <c r="F254" t="s">
        <v>291</v>
      </c>
      <c r="G254" t="s">
        <v>49</v>
      </c>
      <c r="H254" t="s">
        <v>30</v>
      </c>
      <c r="I254" t="s">
        <v>30</v>
      </c>
      <c r="J254" t="s">
        <v>41</v>
      </c>
      <c r="K254" t="s">
        <v>32</v>
      </c>
      <c r="L254" t="s">
        <v>32</v>
      </c>
      <c r="M254" t="s">
        <v>176</v>
      </c>
      <c r="N254" t="s">
        <v>176</v>
      </c>
      <c r="O254" t="s">
        <v>176</v>
      </c>
      <c r="P254" t="s">
        <v>34</v>
      </c>
      <c r="Q254" t="s">
        <v>35</v>
      </c>
      <c r="R254" t="s">
        <v>54</v>
      </c>
      <c r="S254" t="s">
        <v>30</v>
      </c>
      <c r="T254" t="s">
        <v>299</v>
      </c>
      <c r="U254" t="s">
        <v>300</v>
      </c>
      <c r="V254" t="s">
        <v>39</v>
      </c>
      <c r="W254" s="1">
        <v>2</v>
      </c>
    </row>
    <row r="255" spans="1:23" x14ac:dyDescent="0.2">
      <c r="A255" t="s">
        <v>23</v>
      </c>
      <c r="B255" t="s">
        <v>24</v>
      </c>
      <c r="C255" t="s">
        <v>25</v>
      </c>
      <c r="D255" t="s">
        <v>208</v>
      </c>
      <c r="E255" t="s">
        <v>290</v>
      </c>
      <c r="F255" t="s">
        <v>291</v>
      </c>
      <c r="G255" t="s">
        <v>49</v>
      </c>
      <c r="H255" t="s">
        <v>30</v>
      </c>
      <c r="I255" t="s">
        <v>30</v>
      </c>
      <c r="J255" t="s">
        <v>41</v>
      </c>
      <c r="K255" t="s">
        <v>32</v>
      </c>
      <c r="L255" t="s">
        <v>32</v>
      </c>
      <c r="M255" t="s">
        <v>176</v>
      </c>
      <c r="N255" t="s">
        <v>176</v>
      </c>
      <c r="O255" t="s">
        <v>176</v>
      </c>
      <c r="P255" t="s">
        <v>34</v>
      </c>
      <c r="Q255" t="s">
        <v>35</v>
      </c>
      <c r="R255" t="s">
        <v>54</v>
      </c>
      <c r="S255" t="s">
        <v>30</v>
      </c>
      <c r="T255" t="s">
        <v>299</v>
      </c>
      <c r="U255" t="s">
        <v>300</v>
      </c>
      <c r="V255" t="s">
        <v>40</v>
      </c>
      <c r="W255" s="1">
        <v>2635000</v>
      </c>
    </row>
    <row r="256" spans="1:23" x14ac:dyDescent="0.2">
      <c r="A256" t="s">
        <v>23</v>
      </c>
      <c r="B256" t="s">
        <v>24</v>
      </c>
      <c r="C256" t="s">
        <v>25</v>
      </c>
      <c r="D256" t="s">
        <v>208</v>
      </c>
      <c r="E256" t="s">
        <v>290</v>
      </c>
      <c r="F256" t="s">
        <v>291</v>
      </c>
      <c r="G256" t="s">
        <v>49</v>
      </c>
      <c r="H256" t="s">
        <v>30</v>
      </c>
      <c r="I256" t="s">
        <v>30</v>
      </c>
      <c r="J256" t="s">
        <v>41</v>
      </c>
      <c r="K256" t="s">
        <v>32</v>
      </c>
      <c r="L256" t="s">
        <v>32</v>
      </c>
      <c r="M256" t="s">
        <v>176</v>
      </c>
      <c r="N256" t="s">
        <v>176</v>
      </c>
      <c r="O256" t="s">
        <v>176</v>
      </c>
      <c r="P256" t="s">
        <v>34</v>
      </c>
      <c r="Q256" t="s">
        <v>35</v>
      </c>
      <c r="S256" t="s">
        <v>30</v>
      </c>
      <c r="T256" t="s">
        <v>301</v>
      </c>
      <c r="U256" t="s">
        <v>302</v>
      </c>
      <c r="V256" t="s">
        <v>39</v>
      </c>
      <c r="W256" s="1">
        <v>1</v>
      </c>
    </row>
    <row r="257" spans="1:23" x14ac:dyDescent="0.2">
      <c r="A257" t="s">
        <v>23</v>
      </c>
      <c r="B257" t="s">
        <v>24</v>
      </c>
      <c r="C257" t="s">
        <v>25</v>
      </c>
      <c r="D257" t="s">
        <v>208</v>
      </c>
      <c r="E257" t="s">
        <v>290</v>
      </c>
      <c r="F257" t="s">
        <v>291</v>
      </c>
      <c r="G257" t="s">
        <v>49</v>
      </c>
      <c r="H257" t="s">
        <v>30</v>
      </c>
      <c r="I257" t="s">
        <v>30</v>
      </c>
      <c r="J257" t="s">
        <v>41</v>
      </c>
      <c r="K257" t="s">
        <v>32</v>
      </c>
      <c r="L257" t="s">
        <v>32</v>
      </c>
      <c r="M257" t="s">
        <v>176</v>
      </c>
      <c r="N257" t="s">
        <v>176</v>
      </c>
      <c r="O257" t="s">
        <v>176</v>
      </c>
      <c r="P257" t="s">
        <v>34</v>
      </c>
      <c r="Q257" t="s">
        <v>35</v>
      </c>
      <c r="S257" t="s">
        <v>30</v>
      </c>
      <c r="T257" t="s">
        <v>301</v>
      </c>
      <c r="U257" t="s">
        <v>302</v>
      </c>
      <c r="V257" t="s">
        <v>40</v>
      </c>
      <c r="W257" s="1">
        <v>952200</v>
      </c>
    </row>
    <row r="258" spans="1:23" x14ac:dyDescent="0.2">
      <c r="A258" t="s">
        <v>23</v>
      </c>
      <c r="B258" t="s">
        <v>24</v>
      </c>
      <c r="C258" t="s">
        <v>25</v>
      </c>
      <c r="D258" t="s">
        <v>208</v>
      </c>
      <c r="E258" t="s">
        <v>290</v>
      </c>
      <c r="F258" t="s">
        <v>291</v>
      </c>
      <c r="G258" t="s">
        <v>49</v>
      </c>
      <c r="H258" t="s">
        <v>30</v>
      </c>
      <c r="I258" t="s">
        <v>30</v>
      </c>
      <c r="J258" t="s">
        <v>41</v>
      </c>
      <c r="K258" t="s">
        <v>32</v>
      </c>
      <c r="L258" t="s">
        <v>32</v>
      </c>
      <c r="M258" t="s">
        <v>176</v>
      </c>
      <c r="P258" t="s">
        <v>34</v>
      </c>
      <c r="Q258" t="s">
        <v>35</v>
      </c>
      <c r="S258" t="s">
        <v>52</v>
      </c>
      <c r="T258" t="s">
        <v>307</v>
      </c>
      <c r="U258" t="s">
        <v>308</v>
      </c>
      <c r="V258" t="s">
        <v>39</v>
      </c>
      <c r="W258" s="1">
        <v>0</v>
      </c>
    </row>
    <row r="259" spans="1:23" x14ac:dyDescent="0.2">
      <c r="A259" t="s">
        <v>23</v>
      </c>
      <c r="B259" t="s">
        <v>24</v>
      </c>
      <c r="C259" t="s">
        <v>25</v>
      </c>
      <c r="D259" t="s">
        <v>208</v>
      </c>
      <c r="E259" t="s">
        <v>290</v>
      </c>
      <c r="F259" t="s">
        <v>291</v>
      </c>
      <c r="G259" t="s">
        <v>49</v>
      </c>
      <c r="H259" t="s">
        <v>30</v>
      </c>
      <c r="I259" t="s">
        <v>30</v>
      </c>
      <c r="J259" t="s">
        <v>41</v>
      </c>
      <c r="K259" t="s">
        <v>32</v>
      </c>
      <c r="L259" t="s">
        <v>32</v>
      </c>
      <c r="M259" t="s">
        <v>176</v>
      </c>
      <c r="P259" t="s">
        <v>34</v>
      </c>
      <c r="Q259" t="s">
        <v>35</v>
      </c>
      <c r="S259" t="s">
        <v>52</v>
      </c>
      <c r="T259" t="s">
        <v>307</v>
      </c>
      <c r="U259" t="s">
        <v>308</v>
      </c>
      <c r="V259" t="s">
        <v>40</v>
      </c>
      <c r="W259" s="1">
        <v>5674500</v>
      </c>
    </row>
    <row r="260" spans="1:23" x14ac:dyDescent="0.2">
      <c r="A260" t="s">
        <v>23</v>
      </c>
      <c r="B260" t="s">
        <v>24</v>
      </c>
      <c r="C260" t="s">
        <v>25</v>
      </c>
      <c r="D260" t="s">
        <v>208</v>
      </c>
      <c r="E260" t="s">
        <v>290</v>
      </c>
      <c r="F260" t="s">
        <v>291</v>
      </c>
      <c r="G260" t="s">
        <v>61</v>
      </c>
      <c r="H260" t="s">
        <v>52</v>
      </c>
      <c r="I260" t="s">
        <v>52</v>
      </c>
      <c r="J260" t="s">
        <v>31</v>
      </c>
      <c r="K260" t="s">
        <v>32</v>
      </c>
      <c r="L260" t="s">
        <v>32</v>
      </c>
      <c r="M260" t="s">
        <v>33</v>
      </c>
      <c r="P260" t="s">
        <v>34</v>
      </c>
      <c r="Q260" t="s">
        <v>35</v>
      </c>
      <c r="S260" t="s">
        <v>52</v>
      </c>
      <c r="T260" t="s">
        <v>309</v>
      </c>
      <c r="U260" t="s">
        <v>310</v>
      </c>
      <c r="V260" t="s">
        <v>39</v>
      </c>
      <c r="W260" s="1">
        <v>0</v>
      </c>
    </row>
    <row r="261" spans="1:23" x14ac:dyDescent="0.2">
      <c r="A261" t="s">
        <v>23</v>
      </c>
      <c r="B261" t="s">
        <v>24</v>
      </c>
      <c r="C261" t="s">
        <v>25</v>
      </c>
      <c r="D261" t="s">
        <v>208</v>
      </c>
      <c r="E261" t="s">
        <v>290</v>
      </c>
      <c r="F261" t="s">
        <v>291</v>
      </c>
      <c r="G261" t="s">
        <v>61</v>
      </c>
      <c r="H261" t="s">
        <v>52</v>
      </c>
      <c r="I261" t="s">
        <v>52</v>
      </c>
      <c r="J261" t="s">
        <v>31</v>
      </c>
      <c r="K261" t="s">
        <v>32</v>
      </c>
      <c r="L261" t="s">
        <v>32</v>
      </c>
      <c r="M261" t="s">
        <v>33</v>
      </c>
      <c r="P261" t="s">
        <v>34</v>
      </c>
      <c r="Q261" t="s">
        <v>35</v>
      </c>
      <c r="S261" t="s">
        <v>52</v>
      </c>
      <c r="T261" t="s">
        <v>309</v>
      </c>
      <c r="U261" t="s">
        <v>310</v>
      </c>
      <c r="V261" t="s">
        <v>40</v>
      </c>
      <c r="W261" s="1">
        <v>3599600</v>
      </c>
    </row>
    <row r="262" spans="1:23" x14ac:dyDescent="0.2">
      <c r="A262" t="s">
        <v>23</v>
      </c>
      <c r="B262" t="s">
        <v>24</v>
      </c>
      <c r="C262" t="s">
        <v>25</v>
      </c>
      <c r="D262" t="s">
        <v>208</v>
      </c>
      <c r="E262" t="s">
        <v>290</v>
      </c>
      <c r="F262" t="s">
        <v>291</v>
      </c>
      <c r="G262" t="s">
        <v>89</v>
      </c>
      <c r="H262" t="s">
        <v>30</v>
      </c>
      <c r="I262" t="s">
        <v>30</v>
      </c>
      <c r="J262" t="s">
        <v>31</v>
      </c>
      <c r="K262" t="s">
        <v>32</v>
      </c>
      <c r="L262" t="s">
        <v>32</v>
      </c>
      <c r="M262" t="s">
        <v>33</v>
      </c>
      <c r="P262" t="s">
        <v>34</v>
      </c>
      <c r="Q262" t="s">
        <v>35</v>
      </c>
      <c r="S262" t="s">
        <v>30</v>
      </c>
      <c r="T262" t="s">
        <v>311</v>
      </c>
      <c r="U262" t="s">
        <v>312</v>
      </c>
      <c r="V262" t="s">
        <v>39</v>
      </c>
      <c r="W262" s="1">
        <v>3</v>
      </c>
    </row>
    <row r="263" spans="1:23" x14ac:dyDescent="0.2">
      <c r="A263" t="s">
        <v>23</v>
      </c>
      <c r="B263" t="s">
        <v>24</v>
      </c>
      <c r="C263" t="s">
        <v>25</v>
      </c>
      <c r="D263" t="s">
        <v>208</v>
      </c>
      <c r="E263" t="s">
        <v>290</v>
      </c>
      <c r="F263" t="s">
        <v>291</v>
      </c>
      <c r="G263" t="s">
        <v>89</v>
      </c>
      <c r="H263" t="s">
        <v>30</v>
      </c>
      <c r="I263" t="s">
        <v>30</v>
      </c>
      <c r="J263" t="s">
        <v>31</v>
      </c>
      <c r="K263" t="s">
        <v>32</v>
      </c>
      <c r="L263" t="s">
        <v>32</v>
      </c>
      <c r="M263" t="s">
        <v>33</v>
      </c>
      <c r="P263" t="s">
        <v>34</v>
      </c>
      <c r="Q263" t="s">
        <v>35</v>
      </c>
      <c r="S263" t="s">
        <v>30</v>
      </c>
      <c r="T263" t="s">
        <v>311</v>
      </c>
      <c r="U263" t="s">
        <v>312</v>
      </c>
      <c r="V263" t="s">
        <v>40</v>
      </c>
      <c r="W263" s="1">
        <v>12589800</v>
      </c>
    </row>
    <row r="264" spans="1:23" x14ac:dyDescent="0.2">
      <c r="A264" t="s">
        <v>23</v>
      </c>
      <c r="B264" t="s">
        <v>24</v>
      </c>
      <c r="C264" t="s">
        <v>25</v>
      </c>
      <c r="D264" t="s">
        <v>208</v>
      </c>
      <c r="E264" t="s">
        <v>290</v>
      </c>
      <c r="F264" t="s">
        <v>291</v>
      </c>
      <c r="G264" t="s">
        <v>89</v>
      </c>
      <c r="H264" t="s">
        <v>30</v>
      </c>
      <c r="I264" t="s">
        <v>30</v>
      </c>
      <c r="J264" t="s">
        <v>31</v>
      </c>
      <c r="K264" t="s">
        <v>32</v>
      </c>
      <c r="L264" t="s">
        <v>32</v>
      </c>
      <c r="M264" t="s">
        <v>33</v>
      </c>
      <c r="P264" t="s">
        <v>34</v>
      </c>
      <c r="Q264" t="s">
        <v>35</v>
      </c>
      <c r="S264" t="s">
        <v>52</v>
      </c>
      <c r="T264" t="s">
        <v>311</v>
      </c>
      <c r="U264" t="s">
        <v>312</v>
      </c>
      <c r="V264" t="s">
        <v>39</v>
      </c>
      <c r="W264" s="1">
        <v>0</v>
      </c>
    </row>
    <row r="265" spans="1:23" x14ac:dyDescent="0.2">
      <c r="A265" t="s">
        <v>23</v>
      </c>
      <c r="B265" t="s">
        <v>24</v>
      </c>
      <c r="C265" t="s">
        <v>25</v>
      </c>
      <c r="D265" t="s">
        <v>208</v>
      </c>
      <c r="E265" t="s">
        <v>290</v>
      </c>
      <c r="F265" t="s">
        <v>291</v>
      </c>
      <c r="G265" t="s">
        <v>89</v>
      </c>
      <c r="H265" t="s">
        <v>30</v>
      </c>
      <c r="I265" t="s">
        <v>30</v>
      </c>
      <c r="J265" t="s">
        <v>31</v>
      </c>
      <c r="K265" t="s">
        <v>32</v>
      </c>
      <c r="L265" t="s">
        <v>32</v>
      </c>
      <c r="M265" t="s">
        <v>33</v>
      </c>
      <c r="P265" t="s">
        <v>34</v>
      </c>
      <c r="Q265" t="s">
        <v>35</v>
      </c>
      <c r="S265" t="s">
        <v>52</v>
      </c>
      <c r="T265" t="s">
        <v>311</v>
      </c>
      <c r="U265" t="s">
        <v>312</v>
      </c>
      <c r="V265" t="s">
        <v>40</v>
      </c>
      <c r="W265" s="1">
        <v>4196600</v>
      </c>
    </row>
    <row r="266" spans="1:23" x14ac:dyDescent="0.2">
      <c r="A266" t="s">
        <v>23</v>
      </c>
      <c r="B266" t="s">
        <v>24</v>
      </c>
      <c r="C266" t="s">
        <v>25</v>
      </c>
      <c r="D266" t="s">
        <v>208</v>
      </c>
      <c r="E266" t="s">
        <v>290</v>
      </c>
      <c r="F266" t="s">
        <v>291</v>
      </c>
      <c r="G266" t="s">
        <v>89</v>
      </c>
      <c r="H266" t="s">
        <v>30</v>
      </c>
      <c r="I266" t="s">
        <v>30</v>
      </c>
      <c r="J266" t="s">
        <v>41</v>
      </c>
      <c r="K266" t="s">
        <v>32</v>
      </c>
      <c r="L266" t="s">
        <v>32</v>
      </c>
      <c r="M266" t="s">
        <v>33</v>
      </c>
      <c r="N266" t="s">
        <v>33</v>
      </c>
      <c r="O266" t="s">
        <v>33</v>
      </c>
      <c r="P266" t="s">
        <v>34</v>
      </c>
      <c r="Q266" t="s">
        <v>35</v>
      </c>
      <c r="S266" t="s">
        <v>30</v>
      </c>
      <c r="T266" t="s">
        <v>301</v>
      </c>
      <c r="U266" t="s">
        <v>302</v>
      </c>
      <c r="V266" t="s">
        <v>39</v>
      </c>
      <c r="W266" s="1">
        <v>1</v>
      </c>
    </row>
    <row r="267" spans="1:23" x14ac:dyDescent="0.2">
      <c r="A267" t="s">
        <v>23</v>
      </c>
      <c r="B267" t="s">
        <v>24</v>
      </c>
      <c r="C267" t="s">
        <v>25</v>
      </c>
      <c r="D267" t="s">
        <v>208</v>
      </c>
      <c r="E267" t="s">
        <v>290</v>
      </c>
      <c r="F267" t="s">
        <v>291</v>
      </c>
      <c r="G267" t="s">
        <v>89</v>
      </c>
      <c r="H267" t="s">
        <v>30</v>
      </c>
      <c r="I267" t="s">
        <v>30</v>
      </c>
      <c r="J267" t="s">
        <v>41</v>
      </c>
      <c r="K267" t="s">
        <v>32</v>
      </c>
      <c r="L267" t="s">
        <v>32</v>
      </c>
      <c r="M267" t="s">
        <v>33</v>
      </c>
      <c r="N267" t="s">
        <v>33</v>
      </c>
      <c r="O267" t="s">
        <v>33</v>
      </c>
      <c r="P267" t="s">
        <v>34</v>
      </c>
      <c r="Q267" t="s">
        <v>35</v>
      </c>
      <c r="S267" t="s">
        <v>30</v>
      </c>
      <c r="T267" t="s">
        <v>301</v>
      </c>
      <c r="U267" t="s">
        <v>302</v>
      </c>
      <c r="V267" t="s">
        <v>40</v>
      </c>
      <c r="W267" s="1">
        <v>952200</v>
      </c>
    </row>
    <row r="268" spans="1:23" x14ac:dyDescent="0.2">
      <c r="A268" t="s">
        <v>23</v>
      </c>
      <c r="B268" t="s">
        <v>24</v>
      </c>
      <c r="C268" t="s">
        <v>25</v>
      </c>
      <c r="D268" t="s">
        <v>208</v>
      </c>
      <c r="E268" t="s">
        <v>290</v>
      </c>
      <c r="F268" t="s">
        <v>291</v>
      </c>
      <c r="G268" t="s">
        <v>89</v>
      </c>
      <c r="H268" t="s">
        <v>30</v>
      </c>
      <c r="I268" t="s">
        <v>30</v>
      </c>
      <c r="J268" t="s">
        <v>41</v>
      </c>
      <c r="K268" t="s">
        <v>32</v>
      </c>
      <c r="L268" t="s">
        <v>32</v>
      </c>
      <c r="M268" t="s">
        <v>33</v>
      </c>
      <c r="N268" t="s">
        <v>33</v>
      </c>
      <c r="O268" t="s">
        <v>33</v>
      </c>
      <c r="P268" t="s">
        <v>34</v>
      </c>
      <c r="Q268" t="s">
        <v>35</v>
      </c>
      <c r="S268" t="s">
        <v>30</v>
      </c>
      <c r="T268" t="s">
        <v>313</v>
      </c>
      <c r="U268" t="s">
        <v>314</v>
      </c>
      <c r="V268" t="s">
        <v>39</v>
      </c>
      <c r="W268" s="1">
        <v>2</v>
      </c>
    </row>
    <row r="269" spans="1:23" x14ac:dyDescent="0.2">
      <c r="A269" t="s">
        <v>23</v>
      </c>
      <c r="B269" t="s">
        <v>24</v>
      </c>
      <c r="C269" t="s">
        <v>25</v>
      </c>
      <c r="D269" t="s">
        <v>208</v>
      </c>
      <c r="E269" t="s">
        <v>290</v>
      </c>
      <c r="F269" t="s">
        <v>291</v>
      </c>
      <c r="G269" t="s">
        <v>89</v>
      </c>
      <c r="H269" t="s">
        <v>30</v>
      </c>
      <c r="I269" t="s">
        <v>30</v>
      </c>
      <c r="J269" t="s">
        <v>41</v>
      </c>
      <c r="K269" t="s">
        <v>32</v>
      </c>
      <c r="L269" t="s">
        <v>32</v>
      </c>
      <c r="M269" t="s">
        <v>33</v>
      </c>
      <c r="N269" t="s">
        <v>33</v>
      </c>
      <c r="O269" t="s">
        <v>33</v>
      </c>
      <c r="P269" t="s">
        <v>34</v>
      </c>
      <c r="Q269" t="s">
        <v>35</v>
      </c>
      <c r="S269" t="s">
        <v>30</v>
      </c>
      <c r="T269" t="s">
        <v>313</v>
      </c>
      <c r="U269" t="s">
        <v>314</v>
      </c>
      <c r="V269" t="s">
        <v>40</v>
      </c>
      <c r="W269" s="1">
        <v>2451800</v>
      </c>
    </row>
    <row r="270" spans="1:23" x14ac:dyDescent="0.2">
      <c r="A270" t="s">
        <v>23</v>
      </c>
      <c r="B270" t="s">
        <v>24</v>
      </c>
      <c r="C270" t="s">
        <v>25</v>
      </c>
      <c r="D270" t="s">
        <v>208</v>
      </c>
      <c r="E270" t="s">
        <v>290</v>
      </c>
      <c r="F270" t="s">
        <v>291</v>
      </c>
      <c r="G270" t="s">
        <v>89</v>
      </c>
      <c r="H270" t="s">
        <v>30</v>
      </c>
      <c r="I270" t="s">
        <v>30</v>
      </c>
      <c r="J270" t="s">
        <v>41</v>
      </c>
      <c r="K270" t="s">
        <v>32</v>
      </c>
      <c r="L270" t="s">
        <v>32</v>
      </c>
      <c r="M270" t="s">
        <v>33</v>
      </c>
      <c r="P270" t="s">
        <v>34</v>
      </c>
      <c r="Q270" t="s">
        <v>35</v>
      </c>
      <c r="S270" t="s">
        <v>52</v>
      </c>
      <c r="T270" t="s">
        <v>315</v>
      </c>
      <c r="U270" t="s">
        <v>316</v>
      </c>
      <c r="V270" t="s">
        <v>39</v>
      </c>
      <c r="W270" s="1">
        <v>0</v>
      </c>
    </row>
    <row r="271" spans="1:23" x14ac:dyDescent="0.2">
      <c r="A271" t="s">
        <v>23</v>
      </c>
      <c r="B271" t="s">
        <v>24</v>
      </c>
      <c r="C271" t="s">
        <v>25</v>
      </c>
      <c r="D271" t="s">
        <v>208</v>
      </c>
      <c r="E271" t="s">
        <v>290</v>
      </c>
      <c r="F271" t="s">
        <v>291</v>
      </c>
      <c r="G271" t="s">
        <v>89</v>
      </c>
      <c r="H271" t="s">
        <v>30</v>
      </c>
      <c r="I271" t="s">
        <v>30</v>
      </c>
      <c r="J271" t="s">
        <v>41</v>
      </c>
      <c r="K271" t="s">
        <v>32</v>
      </c>
      <c r="L271" t="s">
        <v>32</v>
      </c>
      <c r="M271" t="s">
        <v>33</v>
      </c>
      <c r="P271" t="s">
        <v>34</v>
      </c>
      <c r="Q271" t="s">
        <v>35</v>
      </c>
      <c r="S271" t="s">
        <v>52</v>
      </c>
      <c r="T271" t="s">
        <v>315</v>
      </c>
      <c r="U271" t="s">
        <v>316</v>
      </c>
      <c r="V271" t="s">
        <v>40</v>
      </c>
      <c r="W271" s="1">
        <v>24220000</v>
      </c>
    </row>
    <row r="272" spans="1:23" x14ac:dyDescent="0.2">
      <c r="A272" t="s">
        <v>23</v>
      </c>
      <c r="B272" t="s">
        <v>24</v>
      </c>
      <c r="C272" t="s">
        <v>25</v>
      </c>
      <c r="D272" t="s">
        <v>208</v>
      </c>
      <c r="E272" t="s">
        <v>290</v>
      </c>
      <c r="F272" t="s">
        <v>291</v>
      </c>
      <c r="G272" t="s">
        <v>89</v>
      </c>
      <c r="H272" t="s">
        <v>30</v>
      </c>
      <c r="I272" t="s">
        <v>30</v>
      </c>
      <c r="J272" t="s">
        <v>41</v>
      </c>
      <c r="K272" t="s">
        <v>32</v>
      </c>
      <c r="L272" t="s">
        <v>32</v>
      </c>
      <c r="M272" t="s">
        <v>33</v>
      </c>
      <c r="P272" t="s">
        <v>34</v>
      </c>
      <c r="Q272" t="s">
        <v>35</v>
      </c>
      <c r="S272" t="s">
        <v>52</v>
      </c>
      <c r="T272" t="s">
        <v>317</v>
      </c>
      <c r="U272" t="s">
        <v>318</v>
      </c>
      <c r="V272" t="s">
        <v>39</v>
      </c>
      <c r="W272" s="1">
        <v>0</v>
      </c>
    </row>
    <row r="273" spans="1:23" x14ac:dyDescent="0.2">
      <c r="A273" t="s">
        <v>23</v>
      </c>
      <c r="B273" t="s">
        <v>24</v>
      </c>
      <c r="C273" t="s">
        <v>25</v>
      </c>
      <c r="D273" t="s">
        <v>208</v>
      </c>
      <c r="E273" t="s">
        <v>290</v>
      </c>
      <c r="F273" t="s">
        <v>291</v>
      </c>
      <c r="G273" t="s">
        <v>89</v>
      </c>
      <c r="H273" t="s">
        <v>30</v>
      </c>
      <c r="I273" t="s">
        <v>30</v>
      </c>
      <c r="J273" t="s">
        <v>41</v>
      </c>
      <c r="K273" t="s">
        <v>32</v>
      </c>
      <c r="L273" t="s">
        <v>32</v>
      </c>
      <c r="M273" t="s">
        <v>33</v>
      </c>
      <c r="P273" t="s">
        <v>34</v>
      </c>
      <c r="Q273" t="s">
        <v>35</v>
      </c>
      <c r="S273" t="s">
        <v>52</v>
      </c>
      <c r="T273" t="s">
        <v>317</v>
      </c>
      <c r="U273" t="s">
        <v>318</v>
      </c>
      <c r="V273" t="s">
        <v>40</v>
      </c>
      <c r="W273" s="1">
        <v>23186400</v>
      </c>
    </row>
    <row r="274" spans="1:23" x14ac:dyDescent="0.2">
      <c r="A274" t="s">
        <v>23</v>
      </c>
      <c r="B274" t="s">
        <v>24</v>
      </c>
      <c r="C274" t="s">
        <v>25</v>
      </c>
      <c r="D274" t="s">
        <v>208</v>
      </c>
      <c r="E274" t="s">
        <v>290</v>
      </c>
      <c r="F274" t="s">
        <v>291</v>
      </c>
      <c r="G274" t="s">
        <v>89</v>
      </c>
      <c r="H274" t="s">
        <v>30</v>
      </c>
      <c r="I274" t="s">
        <v>30</v>
      </c>
      <c r="J274" t="s">
        <v>41</v>
      </c>
      <c r="K274" t="s">
        <v>32</v>
      </c>
      <c r="L274" t="s">
        <v>32</v>
      </c>
      <c r="M274" t="s">
        <v>176</v>
      </c>
      <c r="N274" t="s">
        <v>176</v>
      </c>
      <c r="O274" t="s">
        <v>176</v>
      </c>
      <c r="P274" t="s">
        <v>34</v>
      </c>
      <c r="Q274" t="s">
        <v>35</v>
      </c>
      <c r="S274" t="s">
        <v>30</v>
      </c>
      <c r="T274" t="s">
        <v>301</v>
      </c>
      <c r="U274" t="s">
        <v>302</v>
      </c>
      <c r="V274" t="s">
        <v>39</v>
      </c>
      <c r="W274" s="1">
        <v>1</v>
      </c>
    </row>
    <row r="275" spans="1:23" x14ac:dyDescent="0.2">
      <c r="A275" t="s">
        <v>23</v>
      </c>
      <c r="B275" t="s">
        <v>24</v>
      </c>
      <c r="C275" t="s">
        <v>25</v>
      </c>
      <c r="D275" t="s">
        <v>208</v>
      </c>
      <c r="E275" t="s">
        <v>290</v>
      </c>
      <c r="F275" t="s">
        <v>291</v>
      </c>
      <c r="G275" t="s">
        <v>89</v>
      </c>
      <c r="H275" t="s">
        <v>30</v>
      </c>
      <c r="I275" t="s">
        <v>30</v>
      </c>
      <c r="J275" t="s">
        <v>41</v>
      </c>
      <c r="K275" t="s">
        <v>32</v>
      </c>
      <c r="L275" t="s">
        <v>32</v>
      </c>
      <c r="M275" t="s">
        <v>176</v>
      </c>
      <c r="N275" t="s">
        <v>176</v>
      </c>
      <c r="O275" t="s">
        <v>176</v>
      </c>
      <c r="P275" t="s">
        <v>34</v>
      </c>
      <c r="Q275" t="s">
        <v>35</v>
      </c>
      <c r="S275" t="s">
        <v>30</v>
      </c>
      <c r="T275" t="s">
        <v>301</v>
      </c>
      <c r="U275" t="s">
        <v>302</v>
      </c>
      <c r="V275" t="s">
        <v>40</v>
      </c>
      <c r="W275" s="1">
        <v>952200</v>
      </c>
    </row>
    <row r="276" spans="1:23" x14ac:dyDescent="0.2">
      <c r="A276" t="s">
        <v>23</v>
      </c>
      <c r="B276" t="s">
        <v>24</v>
      </c>
      <c r="C276" t="s">
        <v>25</v>
      </c>
      <c r="D276" t="s">
        <v>208</v>
      </c>
      <c r="E276" t="s">
        <v>290</v>
      </c>
      <c r="F276" t="s">
        <v>291</v>
      </c>
      <c r="G276" t="s">
        <v>119</v>
      </c>
      <c r="H276" t="s">
        <v>30</v>
      </c>
      <c r="I276" t="s">
        <v>52</v>
      </c>
      <c r="J276" t="s">
        <v>31</v>
      </c>
      <c r="K276" t="s">
        <v>32</v>
      </c>
      <c r="L276" t="s">
        <v>32</v>
      </c>
      <c r="M276" t="s">
        <v>33</v>
      </c>
      <c r="N276" t="s">
        <v>33</v>
      </c>
      <c r="O276" t="s">
        <v>33</v>
      </c>
      <c r="P276" t="s">
        <v>34</v>
      </c>
      <c r="Q276" t="s">
        <v>35</v>
      </c>
      <c r="R276" t="s">
        <v>319</v>
      </c>
      <c r="S276" t="s">
        <v>30</v>
      </c>
      <c r="T276" t="s">
        <v>320</v>
      </c>
      <c r="U276" t="s">
        <v>321</v>
      </c>
      <c r="V276" t="s">
        <v>39</v>
      </c>
      <c r="W276" s="1">
        <v>1</v>
      </c>
    </row>
    <row r="277" spans="1:23" x14ac:dyDescent="0.2">
      <c r="A277" t="s">
        <v>23</v>
      </c>
      <c r="B277" t="s">
        <v>24</v>
      </c>
      <c r="C277" t="s">
        <v>25</v>
      </c>
      <c r="D277" t="s">
        <v>208</v>
      </c>
      <c r="E277" t="s">
        <v>290</v>
      </c>
      <c r="F277" t="s">
        <v>291</v>
      </c>
      <c r="G277" t="s">
        <v>119</v>
      </c>
      <c r="H277" t="s">
        <v>30</v>
      </c>
      <c r="I277" t="s">
        <v>52</v>
      </c>
      <c r="J277" t="s">
        <v>31</v>
      </c>
      <c r="K277" t="s">
        <v>32</v>
      </c>
      <c r="L277" t="s">
        <v>32</v>
      </c>
      <c r="M277" t="s">
        <v>33</v>
      </c>
      <c r="N277" t="s">
        <v>33</v>
      </c>
      <c r="O277" t="s">
        <v>33</v>
      </c>
      <c r="P277" t="s">
        <v>34</v>
      </c>
      <c r="Q277" t="s">
        <v>35</v>
      </c>
      <c r="R277" t="s">
        <v>319</v>
      </c>
      <c r="S277" t="s">
        <v>30</v>
      </c>
      <c r="T277" t="s">
        <v>320</v>
      </c>
      <c r="U277" t="s">
        <v>321</v>
      </c>
      <c r="V277" t="s">
        <v>40</v>
      </c>
      <c r="W277" s="1">
        <v>1099300</v>
      </c>
    </row>
    <row r="278" spans="1:23" x14ac:dyDescent="0.2">
      <c r="A278" t="s">
        <v>23</v>
      </c>
      <c r="B278" t="s">
        <v>24</v>
      </c>
      <c r="C278" t="s">
        <v>25</v>
      </c>
      <c r="D278" t="s">
        <v>208</v>
      </c>
      <c r="E278" t="s">
        <v>290</v>
      </c>
      <c r="F278" t="s">
        <v>291</v>
      </c>
      <c r="G278" t="s">
        <v>119</v>
      </c>
      <c r="H278" t="s">
        <v>30</v>
      </c>
      <c r="I278" t="s">
        <v>52</v>
      </c>
      <c r="J278" t="s">
        <v>31</v>
      </c>
      <c r="K278" t="s">
        <v>32</v>
      </c>
      <c r="L278" t="s">
        <v>32</v>
      </c>
      <c r="M278" t="s">
        <v>33</v>
      </c>
      <c r="N278" t="s">
        <v>176</v>
      </c>
      <c r="O278" t="s">
        <v>176</v>
      </c>
      <c r="P278" t="s">
        <v>34</v>
      </c>
      <c r="Q278" t="s">
        <v>35</v>
      </c>
      <c r="R278" t="s">
        <v>319</v>
      </c>
      <c r="S278" t="s">
        <v>30</v>
      </c>
      <c r="T278" t="s">
        <v>320</v>
      </c>
      <c r="U278" t="s">
        <v>321</v>
      </c>
      <c r="V278" t="s">
        <v>39</v>
      </c>
      <c r="W278" s="1">
        <v>1</v>
      </c>
    </row>
    <row r="279" spans="1:23" x14ac:dyDescent="0.2">
      <c r="A279" t="s">
        <v>23</v>
      </c>
      <c r="B279" t="s">
        <v>24</v>
      </c>
      <c r="C279" t="s">
        <v>25</v>
      </c>
      <c r="D279" t="s">
        <v>208</v>
      </c>
      <c r="E279" t="s">
        <v>290</v>
      </c>
      <c r="F279" t="s">
        <v>291</v>
      </c>
      <c r="G279" t="s">
        <v>119</v>
      </c>
      <c r="H279" t="s">
        <v>30</v>
      </c>
      <c r="I279" t="s">
        <v>52</v>
      </c>
      <c r="J279" t="s">
        <v>31</v>
      </c>
      <c r="K279" t="s">
        <v>32</v>
      </c>
      <c r="L279" t="s">
        <v>32</v>
      </c>
      <c r="M279" t="s">
        <v>33</v>
      </c>
      <c r="N279" t="s">
        <v>176</v>
      </c>
      <c r="O279" t="s">
        <v>176</v>
      </c>
      <c r="P279" t="s">
        <v>34</v>
      </c>
      <c r="Q279" t="s">
        <v>35</v>
      </c>
      <c r="R279" t="s">
        <v>319</v>
      </c>
      <c r="S279" t="s">
        <v>30</v>
      </c>
      <c r="T279" t="s">
        <v>320</v>
      </c>
      <c r="U279" t="s">
        <v>321</v>
      </c>
      <c r="V279" t="s">
        <v>40</v>
      </c>
      <c r="W279" s="1">
        <v>1099300</v>
      </c>
    </row>
    <row r="280" spans="1:23" x14ac:dyDescent="0.2">
      <c r="A280" t="s">
        <v>23</v>
      </c>
      <c r="B280" t="s">
        <v>24</v>
      </c>
      <c r="C280" t="s">
        <v>25</v>
      </c>
      <c r="D280" t="s">
        <v>208</v>
      </c>
      <c r="E280" t="s">
        <v>290</v>
      </c>
      <c r="F280" t="s">
        <v>291</v>
      </c>
      <c r="G280" t="s">
        <v>119</v>
      </c>
      <c r="H280" t="s">
        <v>30</v>
      </c>
      <c r="I280" t="s">
        <v>52</v>
      </c>
      <c r="J280" t="s">
        <v>41</v>
      </c>
      <c r="K280" t="s">
        <v>32</v>
      </c>
      <c r="L280" t="s">
        <v>32</v>
      </c>
      <c r="M280" t="s">
        <v>33</v>
      </c>
      <c r="N280" t="s">
        <v>33</v>
      </c>
      <c r="O280" t="s">
        <v>33</v>
      </c>
      <c r="P280" t="s">
        <v>34</v>
      </c>
      <c r="Q280" t="s">
        <v>35</v>
      </c>
      <c r="R280" t="s">
        <v>294</v>
      </c>
      <c r="S280" t="s">
        <v>30</v>
      </c>
      <c r="T280" t="s">
        <v>322</v>
      </c>
      <c r="U280" t="s">
        <v>323</v>
      </c>
      <c r="V280" t="s">
        <v>39</v>
      </c>
      <c r="W280" s="1">
        <v>2</v>
      </c>
    </row>
    <row r="281" spans="1:23" x14ac:dyDescent="0.2">
      <c r="A281" t="s">
        <v>23</v>
      </c>
      <c r="B281" t="s">
        <v>24</v>
      </c>
      <c r="C281" t="s">
        <v>25</v>
      </c>
      <c r="D281" t="s">
        <v>208</v>
      </c>
      <c r="E281" t="s">
        <v>290</v>
      </c>
      <c r="F281" t="s">
        <v>291</v>
      </c>
      <c r="G281" t="s">
        <v>119</v>
      </c>
      <c r="H281" t="s">
        <v>30</v>
      </c>
      <c r="I281" t="s">
        <v>52</v>
      </c>
      <c r="J281" t="s">
        <v>41</v>
      </c>
      <c r="K281" t="s">
        <v>32</v>
      </c>
      <c r="L281" t="s">
        <v>32</v>
      </c>
      <c r="M281" t="s">
        <v>33</v>
      </c>
      <c r="N281" t="s">
        <v>33</v>
      </c>
      <c r="O281" t="s">
        <v>33</v>
      </c>
      <c r="P281" t="s">
        <v>34</v>
      </c>
      <c r="Q281" t="s">
        <v>35</v>
      </c>
      <c r="R281" t="s">
        <v>294</v>
      </c>
      <c r="S281" t="s">
        <v>30</v>
      </c>
      <c r="T281" t="s">
        <v>322</v>
      </c>
      <c r="U281" t="s">
        <v>323</v>
      </c>
      <c r="V281" t="s">
        <v>40</v>
      </c>
      <c r="W281" s="1">
        <v>2298000</v>
      </c>
    </row>
    <row r="282" spans="1:23" x14ac:dyDescent="0.2">
      <c r="A282" t="s">
        <v>23</v>
      </c>
      <c r="B282" t="s">
        <v>24</v>
      </c>
      <c r="C282" t="s">
        <v>25</v>
      </c>
      <c r="D282" t="s">
        <v>208</v>
      </c>
      <c r="E282" t="s">
        <v>290</v>
      </c>
      <c r="F282" t="s">
        <v>291</v>
      </c>
      <c r="G282" t="s">
        <v>119</v>
      </c>
      <c r="H282" t="s">
        <v>30</v>
      </c>
      <c r="I282" t="s">
        <v>52</v>
      </c>
      <c r="J282" t="s">
        <v>41</v>
      </c>
      <c r="K282" t="s">
        <v>32</v>
      </c>
      <c r="L282" t="s">
        <v>32</v>
      </c>
      <c r="M282" t="s">
        <v>33</v>
      </c>
      <c r="N282" t="s">
        <v>33</v>
      </c>
      <c r="O282" t="s">
        <v>33</v>
      </c>
      <c r="P282" t="s">
        <v>34</v>
      </c>
      <c r="Q282" t="s">
        <v>35</v>
      </c>
      <c r="R282" t="s">
        <v>54</v>
      </c>
      <c r="S282" t="s">
        <v>30</v>
      </c>
      <c r="T282" t="s">
        <v>324</v>
      </c>
      <c r="U282" t="s">
        <v>325</v>
      </c>
      <c r="V282" t="s">
        <v>39</v>
      </c>
      <c r="W282" s="1">
        <v>2</v>
      </c>
    </row>
    <row r="283" spans="1:23" x14ac:dyDescent="0.2">
      <c r="A283" t="s">
        <v>23</v>
      </c>
      <c r="B283" t="s">
        <v>24</v>
      </c>
      <c r="C283" t="s">
        <v>25</v>
      </c>
      <c r="D283" t="s">
        <v>208</v>
      </c>
      <c r="E283" t="s">
        <v>290</v>
      </c>
      <c r="F283" t="s">
        <v>291</v>
      </c>
      <c r="G283" t="s">
        <v>119</v>
      </c>
      <c r="H283" t="s">
        <v>30</v>
      </c>
      <c r="I283" t="s">
        <v>52</v>
      </c>
      <c r="J283" t="s">
        <v>41</v>
      </c>
      <c r="K283" t="s">
        <v>32</v>
      </c>
      <c r="L283" t="s">
        <v>32</v>
      </c>
      <c r="M283" t="s">
        <v>33</v>
      </c>
      <c r="N283" t="s">
        <v>33</v>
      </c>
      <c r="O283" t="s">
        <v>33</v>
      </c>
      <c r="P283" t="s">
        <v>34</v>
      </c>
      <c r="Q283" t="s">
        <v>35</v>
      </c>
      <c r="R283" t="s">
        <v>54</v>
      </c>
      <c r="S283" t="s">
        <v>30</v>
      </c>
      <c r="T283" t="s">
        <v>324</v>
      </c>
      <c r="U283" t="s">
        <v>325</v>
      </c>
      <c r="V283" t="s">
        <v>40</v>
      </c>
      <c r="W283" s="1">
        <v>3398000</v>
      </c>
    </row>
    <row r="284" spans="1:23" x14ac:dyDescent="0.2">
      <c r="A284" t="s">
        <v>23</v>
      </c>
      <c r="B284" t="s">
        <v>24</v>
      </c>
      <c r="C284" t="s">
        <v>25</v>
      </c>
      <c r="D284" t="s">
        <v>208</v>
      </c>
      <c r="E284" t="s">
        <v>290</v>
      </c>
      <c r="F284" t="s">
        <v>291</v>
      </c>
      <c r="G284" t="s">
        <v>119</v>
      </c>
      <c r="H284" t="s">
        <v>30</v>
      </c>
      <c r="I284" t="s">
        <v>52</v>
      </c>
      <c r="J284" t="s">
        <v>41</v>
      </c>
      <c r="K284" t="s">
        <v>32</v>
      </c>
      <c r="L284" t="s">
        <v>32</v>
      </c>
      <c r="M284" t="s">
        <v>33</v>
      </c>
      <c r="P284" t="s">
        <v>34</v>
      </c>
      <c r="Q284" t="s">
        <v>35</v>
      </c>
      <c r="S284" t="s">
        <v>52</v>
      </c>
      <c r="T284" t="s">
        <v>326</v>
      </c>
      <c r="U284" t="s">
        <v>327</v>
      </c>
      <c r="V284" t="s">
        <v>39</v>
      </c>
      <c r="W284" s="1">
        <v>0</v>
      </c>
    </row>
    <row r="285" spans="1:23" x14ac:dyDescent="0.2">
      <c r="A285" t="s">
        <v>23</v>
      </c>
      <c r="B285" t="s">
        <v>24</v>
      </c>
      <c r="C285" t="s">
        <v>25</v>
      </c>
      <c r="D285" t="s">
        <v>208</v>
      </c>
      <c r="E285" t="s">
        <v>290</v>
      </c>
      <c r="F285" t="s">
        <v>291</v>
      </c>
      <c r="G285" t="s">
        <v>119</v>
      </c>
      <c r="H285" t="s">
        <v>30</v>
      </c>
      <c r="I285" t="s">
        <v>52</v>
      </c>
      <c r="J285" t="s">
        <v>41</v>
      </c>
      <c r="K285" t="s">
        <v>32</v>
      </c>
      <c r="L285" t="s">
        <v>32</v>
      </c>
      <c r="M285" t="s">
        <v>33</v>
      </c>
      <c r="P285" t="s">
        <v>34</v>
      </c>
      <c r="Q285" t="s">
        <v>35</v>
      </c>
      <c r="S285" t="s">
        <v>52</v>
      </c>
      <c r="T285" t="s">
        <v>326</v>
      </c>
      <c r="U285" t="s">
        <v>327</v>
      </c>
      <c r="V285" t="s">
        <v>40</v>
      </c>
      <c r="W285" s="1">
        <v>8380800</v>
      </c>
    </row>
    <row r="286" spans="1:23" x14ac:dyDescent="0.2">
      <c r="A286" t="s">
        <v>23</v>
      </c>
      <c r="B286" t="s">
        <v>24</v>
      </c>
      <c r="C286" t="s">
        <v>25</v>
      </c>
      <c r="D286" t="s">
        <v>208</v>
      </c>
      <c r="E286" t="s">
        <v>290</v>
      </c>
      <c r="F286" t="s">
        <v>291</v>
      </c>
      <c r="G286" t="s">
        <v>134</v>
      </c>
      <c r="H286" t="s">
        <v>52</v>
      </c>
      <c r="I286" t="s">
        <v>30</v>
      </c>
      <c r="J286" t="s">
        <v>41</v>
      </c>
      <c r="K286" t="s">
        <v>32</v>
      </c>
      <c r="L286" t="s">
        <v>32</v>
      </c>
      <c r="M286" t="s">
        <v>33</v>
      </c>
      <c r="P286" t="s">
        <v>34</v>
      </c>
      <c r="Q286" t="s">
        <v>35</v>
      </c>
      <c r="R286" t="s">
        <v>54</v>
      </c>
      <c r="S286" t="s">
        <v>30</v>
      </c>
      <c r="T286" t="s">
        <v>328</v>
      </c>
      <c r="U286" t="s">
        <v>329</v>
      </c>
      <c r="V286" t="s">
        <v>39</v>
      </c>
      <c r="W286" s="1">
        <v>8</v>
      </c>
    </row>
    <row r="287" spans="1:23" x14ac:dyDescent="0.2">
      <c r="A287" t="s">
        <v>23</v>
      </c>
      <c r="B287" t="s">
        <v>24</v>
      </c>
      <c r="C287" t="s">
        <v>25</v>
      </c>
      <c r="D287" t="s">
        <v>208</v>
      </c>
      <c r="E287" t="s">
        <v>290</v>
      </c>
      <c r="F287" t="s">
        <v>291</v>
      </c>
      <c r="G287" t="s">
        <v>134</v>
      </c>
      <c r="H287" t="s">
        <v>52</v>
      </c>
      <c r="I287" t="s">
        <v>30</v>
      </c>
      <c r="J287" t="s">
        <v>41</v>
      </c>
      <c r="K287" t="s">
        <v>32</v>
      </c>
      <c r="L287" t="s">
        <v>32</v>
      </c>
      <c r="M287" t="s">
        <v>33</v>
      </c>
      <c r="P287" t="s">
        <v>34</v>
      </c>
      <c r="Q287" t="s">
        <v>35</v>
      </c>
      <c r="R287" t="s">
        <v>54</v>
      </c>
      <c r="S287" t="s">
        <v>30</v>
      </c>
      <c r="T287" t="s">
        <v>328</v>
      </c>
      <c r="U287" t="s">
        <v>329</v>
      </c>
      <c r="V287" t="s">
        <v>40</v>
      </c>
      <c r="W287" s="1">
        <v>8380800</v>
      </c>
    </row>
    <row r="288" spans="1:23" x14ac:dyDescent="0.2">
      <c r="A288" t="s">
        <v>23</v>
      </c>
      <c r="B288" t="s">
        <v>24</v>
      </c>
      <c r="C288" t="s">
        <v>25</v>
      </c>
      <c r="D288" t="s">
        <v>208</v>
      </c>
      <c r="E288" t="s">
        <v>330</v>
      </c>
      <c r="F288" t="s">
        <v>331</v>
      </c>
      <c r="G288" t="s">
        <v>29</v>
      </c>
      <c r="H288" t="s">
        <v>30</v>
      </c>
      <c r="I288" t="s">
        <v>30</v>
      </c>
      <c r="J288" t="s">
        <v>41</v>
      </c>
      <c r="K288" t="s">
        <v>32</v>
      </c>
      <c r="L288" t="s">
        <v>332</v>
      </c>
      <c r="M288" t="s">
        <v>33</v>
      </c>
      <c r="N288" t="s">
        <v>33</v>
      </c>
      <c r="O288" t="s">
        <v>33</v>
      </c>
      <c r="P288" t="s">
        <v>34</v>
      </c>
      <c r="Q288" t="s">
        <v>35</v>
      </c>
      <c r="R288" t="s">
        <v>162</v>
      </c>
      <c r="S288" t="s">
        <v>30</v>
      </c>
      <c r="T288" t="s">
        <v>333</v>
      </c>
      <c r="U288" t="s">
        <v>334</v>
      </c>
      <c r="V288" t="s">
        <v>39</v>
      </c>
      <c r="W288" s="1">
        <v>2</v>
      </c>
    </row>
    <row r="289" spans="1:23" x14ac:dyDescent="0.2">
      <c r="A289" t="s">
        <v>23</v>
      </c>
      <c r="B289" t="s">
        <v>24</v>
      </c>
      <c r="C289" t="s">
        <v>25</v>
      </c>
      <c r="D289" t="s">
        <v>208</v>
      </c>
      <c r="E289" t="s">
        <v>330</v>
      </c>
      <c r="F289" t="s">
        <v>331</v>
      </c>
      <c r="G289" t="s">
        <v>29</v>
      </c>
      <c r="H289" t="s">
        <v>30</v>
      </c>
      <c r="I289" t="s">
        <v>30</v>
      </c>
      <c r="J289" t="s">
        <v>41</v>
      </c>
      <c r="K289" t="s">
        <v>32</v>
      </c>
      <c r="L289" t="s">
        <v>332</v>
      </c>
      <c r="M289" t="s">
        <v>33</v>
      </c>
      <c r="N289" t="s">
        <v>33</v>
      </c>
      <c r="O289" t="s">
        <v>33</v>
      </c>
      <c r="P289" t="s">
        <v>34</v>
      </c>
      <c r="Q289" t="s">
        <v>35</v>
      </c>
      <c r="R289" t="s">
        <v>162</v>
      </c>
      <c r="S289" t="s">
        <v>30</v>
      </c>
      <c r="T289" t="s">
        <v>333</v>
      </c>
      <c r="U289" t="s">
        <v>334</v>
      </c>
      <c r="V289" t="s">
        <v>40</v>
      </c>
      <c r="W289" s="1">
        <v>4780000</v>
      </c>
    </row>
    <row r="290" spans="1:23" x14ac:dyDescent="0.2">
      <c r="A290" t="s">
        <v>23</v>
      </c>
      <c r="B290" t="s">
        <v>24</v>
      </c>
      <c r="C290" t="s">
        <v>25</v>
      </c>
      <c r="D290" t="s">
        <v>208</v>
      </c>
      <c r="E290" t="s">
        <v>330</v>
      </c>
      <c r="F290" t="s">
        <v>331</v>
      </c>
      <c r="G290" t="s">
        <v>29</v>
      </c>
      <c r="H290" t="s">
        <v>30</v>
      </c>
      <c r="I290" t="s">
        <v>30</v>
      </c>
      <c r="J290" t="s">
        <v>41</v>
      </c>
      <c r="K290" t="s">
        <v>32</v>
      </c>
      <c r="L290" t="s">
        <v>32</v>
      </c>
      <c r="M290" t="s">
        <v>33</v>
      </c>
      <c r="N290" t="s">
        <v>33</v>
      </c>
      <c r="O290" t="s">
        <v>33</v>
      </c>
      <c r="P290" t="s">
        <v>34</v>
      </c>
      <c r="Q290" t="s">
        <v>35</v>
      </c>
      <c r="S290" t="s">
        <v>30</v>
      </c>
      <c r="T290" t="s">
        <v>335</v>
      </c>
      <c r="U290" t="s">
        <v>336</v>
      </c>
      <c r="V290" t="s">
        <v>39</v>
      </c>
      <c r="W290" s="1">
        <v>2</v>
      </c>
    </row>
    <row r="291" spans="1:23" x14ac:dyDescent="0.2">
      <c r="A291" t="s">
        <v>23</v>
      </c>
      <c r="B291" t="s">
        <v>24</v>
      </c>
      <c r="C291" t="s">
        <v>25</v>
      </c>
      <c r="D291" t="s">
        <v>208</v>
      </c>
      <c r="E291" t="s">
        <v>330</v>
      </c>
      <c r="F291" t="s">
        <v>331</v>
      </c>
      <c r="G291" t="s">
        <v>29</v>
      </c>
      <c r="H291" t="s">
        <v>30</v>
      </c>
      <c r="I291" t="s">
        <v>30</v>
      </c>
      <c r="J291" t="s">
        <v>41</v>
      </c>
      <c r="K291" t="s">
        <v>32</v>
      </c>
      <c r="L291" t="s">
        <v>32</v>
      </c>
      <c r="M291" t="s">
        <v>33</v>
      </c>
      <c r="N291" t="s">
        <v>33</v>
      </c>
      <c r="O291" t="s">
        <v>33</v>
      </c>
      <c r="P291" t="s">
        <v>34</v>
      </c>
      <c r="Q291" t="s">
        <v>35</v>
      </c>
      <c r="S291" t="s">
        <v>30</v>
      </c>
      <c r="T291" t="s">
        <v>335</v>
      </c>
      <c r="U291" t="s">
        <v>336</v>
      </c>
      <c r="V291" t="s">
        <v>40</v>
      </c>
      <c r="W291" s="1">
        <v>2318000</v>
      </c>
    </row>
    <row r="292" spans="1:23" x14ac:dyDescent="0.2">
      <c r="A292" t="s">
        <v>23</v>
      </c>
      <c r="B292" t="s">
        <v>24</v>
      </c>
      <c r="C292" t="s">
        <v>25</v>
      </c>
      <c r="D292" t="s">
        <v>208</v>
      </c>
      <c r="E292" t="s">
        <v>330</v>
      </c>
      <c r="F292" t="s">
        <v>331</v>
      </c>
      <c r="G292" t="s">
        <v>49</v>
      </c>
      <c r="H292" t="s">
        <v>30</v>
      </c>
      <c r="I292" t="s">
        <v>30</v>
      </c>
      <c r="J292" t="s">
        <v>128</v>
      </c>
      <c r="K292" t="s">
        <v>135</v>
      </c>
      <c r="L292" t="s">
        <v>32</v>
      </c>
      <c r="M292" t="s">
        <v>33</v>
      </c>
      <c r="N292" t="s">
        <v>33</v>
      </c>
      <c r="O292" t="s">
        <v>33</v>
      </c>
      <c r="P292" t="s">
        <v>34</v>
      </c>
      <c r="Q292" t="s">
        <v>35</v>
      </c>
      <c r="R292" t="s">
        <v>136</v>
      </c>
      <c r="S292" t="s">
        <v>30</v>
      </c>
      <c r="T292" t="s">
        <v>337</v>
      </c>
      <c r="U292" t="s">
        <v>338</v>
      </c>
      <c r="V292" t="s">
        <v>39</v>
      </c>
      <c r="W292" s="1">
        <v>2</v>
      </c>
    </row>
    <row r="293" spans="1:23" x14ac:dyDescent="0.2">
      <c r="A293" t="s">
        <v>23</v>
      </c>
      <c r="B293" t="s">
        <v>24</v>
      </c>
      <c r="C293" t="s">
        <v>25</v>
      </c>
      <c r="D293" t="s">
        <v>208</v>
      </c>
      <c r="E293" t="s">
        <v>330</v>
      </c>
      <c r="F293" t="s">
        <v>331</v>
      </c>
      <c r="G293" t="s">
        <v>49</v>
      </c>
      <c r="H293" t="s">
        <v>30</v>
      </c>
      <c r="I293" t="s">
        <v>30</v>
      </c>
      <c r="J293" t="s">
        <v>128</v>
      </c>
      <c r="K293" t="s">
        <v>135</v>
      </c>
      <c r="L293" t="s">
        <v>32</v>
      </c>
      <c r="M293" t="s">
        <v>33</v>
      </c>
      <c r="N293" t="s">
        <v>33</v>
      </c>
      <c r="O293" t="s">
        <v>33</v>
      </c>
      <c r="P293" t="s">
        <v>34</v>
      </c>
      <c r="Q293" t="s">
        <v>35</v>
      </c>
      <c r="R293" t="s">
        <v>136</v>
      </c>
      <c r="S293" t="s">
        <v>30</v>
      </c>
      <c r="T293" t="s">
        <v>337</v>
      </c>
      <c r="U293" t="s">
        <v>338</v>
      </c>
      <c r="V293" t="s">
        <v>40</v>
      </c>
      <c r="W293" s="1">
        <v>2304800</v>
      </c>
    </row>
    <row r="294" spans="1:23" x14ac:dyDescent="0.2">
      <c r="A294" t="s">
        <v>23</v>
      </c>
      <c r="B294" t="s">
        <v>24</v>
      </c>
      <c r="C294" t="s">
        <v>25</v>
      </c>
      <c r="D294" t="s">
        <v>208</v>
      </c>
      <c r="E294" t="s">
        <v>330</v>
      </c>
      <c r="F294" t="s">
        <v>331</v>
      </c>
      <c r="G294" t="s">
        <v>49</v>
      </c>
      <c r="H294" t="s">
        <v>30</v>
      </c>
      <c r="I294" t="s">
        <v>30</v>
      </c>
      <c r="J294" t="s">
        <v>41</v>
      </c>
      <c r="K294" t="s">
        <v>32</v>
      </c>
      <c r="L294" t="s">
        <v>32</v>
      </c>
      <c r="M294" t="s">
        <v>33</v>
      </c>
      <c r="N294" t="s">
        <v>33</v>
      </c>
      <c r="O294" t="s">
        <v>33</v>
      </c>
      <c r="P294" t="s">
        <v>34</v>
      </c>
      <c r="Q294" t="s">
        <v>35</v>
      </c>
      <c r="S294" t="s">
        <v>30</v>
      </c>
      <c r="T294" t="s">
        <v>339</v>
      </c>
      <c r="U294" t="s">
        <v>340</v>
      </c>
      <c r="V294" t="s">
        <v>39</v>
      </c>
      <c r="W294" s="1">
        <v>2</v>
      </c>
    </row>
    <row r="295" spans="1:23" x14ac:dyDescent="0.2">
      <c r="A295" t="s">
        <v>23</v>
      </c>
      <c r="B295" t="s">
        <v>24</v>
      </c>
      <c r="C295" t="s">
        <v>25</v>
      </c>
      <c r="D295" t="s">
        <v>208</v>
      </c>
      <c r="E295" t="s">
        <v>330</v>
      </c>
      <c r="F295" t="s">
        <v>331</v>
      </c>
      <c r="G295" t="s">
        <v>49</v>
      </c>
      <c r="H295" t="s">
        <v>30</v>
      </c>
      <c r="I295" t="s">
        <v>30</v>
      </c>
      <c r="J295" t="s">
        <v>41</v>
      </c>
      <c r="K295" t="s">
        <v>32</v>
      </c>
      <c r="L295" t="s">
        <v>32</v>
      </c>
      <c r="M295" t="s">
        <v>33</v>
      </c>
      <c r="N295" t="s">
        <v>33</v>
      </c>
      <c r="O295" t="s">
        <v>33</v>
      </c>
      <c r="P295" t="s">
        <v>34</v>
      </c>
      <c r="Q295" t="s">
        <v>35</v>
      </c>
      <c r="S295" t="s">
        <v>30</v>
      </c>
      <c r="T295" t="s">
        <v>339</v>
      </c>
      <c r="U295" t="s">
        <v>340</v>
      </c>
      <c r="V295" t="s">
        <v>40</v>
      </c>
      <c r="W295" s="1">
        <v>2006000</v>
      </c>
    </row>
    <row r="296" spans="1:23" x14ac:dyDescent="0.2">
      <c r="A296" t="s">
        <v>23</v>
      </c>
      <c r="B296" t="s">
        <v>24</v>
      </c>
      <c r="C296" t="s">
        <v>25</v>
      </c>
      <c r="D296" t="s">
        <v>208</v>
      </c>
      <c r="E296" t="s">
        <v>330</v>
      </c>
      <c r="F296" t="s">
        <v>331</v>
      </c>
      <c r="G296" t="s">
        <v>64</v>
      </c>
      <c r="H296" t="s">
        <v>30</v>
      </c>
      <c r="I296" t="s">
        <v>52</v>
      </c>
      <c r="J296" t="s">
        <v>128</v>
      </c>
      <c r="K296" t="s">
        <v>32</v>
      </c>
      <c r="L296" t="s">
        <v>32</v>
      </c>
      <c r="M296" t="s">
        <v>33</v>
      </c>
      <c r="N296" t="s">
        <v>33</v>
      </c>
      <c r="O296" t="s">
        <v>33</v>
      </c>
      <c r="P296" t="s">
        <v>34</v>
      </c>
      <c r="Q296" t="s">
        <v>35</v>
      </c>
      <c r="R296" t="s">
        <v>129</v>
      </c>
      <c r="S296" t="s">
        <v>30</v>
      </c>
      <c r="T296" t="s">
        <v>341</v>
      </c>
      <c r="U296" t="s">
        <v>342</v>
      </c>
      <c r="V296" t="s">
        <v>39</v>
      </c>
      <c r="W296" s="1">
        <v>6</v>
      </c>
    </row>
    <row r="297" spans="1:23" x14ac:dyDescent="0.2">
      <c r="A297" t="s">
        <v>23</v>
      </c>
      <c r="B297" t="s">
        <v>24</v>
      </c>
      <c r="C297" t="s">
        <v>25</v>
      </c>
      <c r="D297" t="s">
        <v>208</v>
      </c>
      <c r="E297" t="s">
        <v>330</v>
      </c>
      <c r="F297" t="s">
        <v>331</v>
      </c>
      <c r="G297" t="s">
        <v>64</v>
      </c>
      <c r="H297" t="s">
        <v>30</v>
      </c>
      <c r="I297" t="s">
        <v>52</v>
      </c>
      <c r="J297" t="s">
        <v>128</v>
      </c>
      <c r="K297" t="s">
        <v>32</v>
      </c>
      <c r="L297" t="s">
        <v>32</v>
      </c>
      <c r="M297" t="s">
        <v>33</v>
      </c>
      <c r="N297" t="s">
        <v>33</v>
      </c>
      <c r="O297" t="s">
        <v>33</v>
      </c>
      <c r="P297" t="s">
        <v>34</v>
      </c>
      <c r="Q297" t="s">
        <v>35</v>
      </c>
      <c r="R297" t="s">
        <v>129</v>
      </c>
      <c r="S297" t="s">
        <v>30</v>
      </c>
      <c r="T297" t="s">
        <v>341</v>
      </c>
      <c r="U297" t="s">
        <v>342</v>
      </c>
      <c r="V297" t="s">
        <v>40</v>
      </c>
      <c r="W297" s="1">
        <v>774000</v>
      </c>
    </row>
    <row r="298" spans="1:23" x14ac:dyDescent="0.2">
      <c r="A298" t="s">
        <v>23</v>
      </c>
      <c r="B298" t="s">
        <v>24</v>
      </c>
      <c r="C298" t="s">
        <v>25</v>
      </c>
      <c r="D298" t="s">
        <v>208</v>
      </c>
      <c r="E298" t="s">
        <v>330</v>
      </c>
      <c r="F298" t="s">
        <v>331</v>
      </c>
      <c r="G298" t="s">
        <v>106</v>
      </c>
      <c r="H298" t="s">
        <v>30</v>
      </c>
      <c r="I298" t="s">
        <v>30</v>
      </c>
      <c r="J298" t="s">
        <v>31</v>
      </c>
      <c r="K298" t="s">
        <v>32</v>
      </c>
      <c r="L298" t="s">
        <v>32</v>
      </c>
      <c r="M298" t="s">
        <v>33</v>
      </c>
      <c r="N298" t="s">
        <v>33</v>
      </c>
      <c r="O298" t="s">
        <v>33</v>
      </c>
      <c r="P298" t="s">
        <v>34</v>
      </c>
      <c r="Q298" t="s">
        <v>35</v>
      </c>
      <c r="R298" t="s">
        <v>73</v>
      </c>
      <c r="S298" t="s">
        <v>30</v>
      </c>
      <c r="T298" t="s">
        <v>343</v>
      </c>
      <c r="U298" t="s">
        <v>344</v>
      </c>
      <c r="V298" t="s">
        <v>39</v>
      </c>
      <c r="W298" s="1">
        <v>1</v>
      </c>
    </row>
    <row r="299" spans="1:23" x14ac:dyDescent="0.2">
      <c r="A299" t="s">
        <v>23</v>
      </c>
      <c r="B299" t="s">
        <v>24</v>
      </c>
      <c r="C299" t="s">
        <v>25</v>
      </c>
      <c r="D299" t="s">
        <v>208</v>
      </c>
      <c r="E299" t="s">
        <v>330</v>
      </c>
      <c r="F299" t="s">
        <v>331</v>
      </c>
      <c r="G299" t="s">
        <v>106</v>
      </c>
      <c r="H299" t="s">
        <v>30</v>
      </c>
      <c r="I299" t="s">
        <v>30</v>
      </c>
      <c r="J299" t="s">
        <v>31</v>
      </c>
      <c r="K299" t="s">
        <v>32</v>
      </c>
      <c r="L299" t="s">
        <v>32</v>
      </c>
      <c r="M299" t="s">
        <v>33</v>
      </c>
      <c r="N299" t="s">
        <v>33</v>
      </c>
      <c r="O299" t="s">
        <v>33</v>
      </c>
      <c r="P299" t="s">
        <v>34</v>
      </c>
      <c r="Q299" t="s">
        <v>35</v>
      </c>
      <c r="R299" t="s">
        <v>73</v>
      </c>
      <c r="S299" t="s">
        <v>30</v>
      </c>
      <c r="T299" t="s">
        <v>343</v>
      </c>
      <c r="U299" t="s">
        <v>344</v>
      </c>
      <c r="V299" t="s">
        <v>40</v>
      </c>
      <c r="W299" s="1">
        <v>749900</v>
      </c>
    </row>
    <row r="300" spans="1:23" x14ac:dyDescent="0.2">
      <c r="A300" t="s">
        <v>23</v>
      </c>
      <c r="B300" t="s">
        <v>24</v>
      </c>
      <c r="C300" t="s">
        <v>25</v>
      </c>
      <c r="D300" t="s">
        <v>208</v>
      </c>
      <c r="E300" t="s">
        <v>330</v>
      </c>
      <c r="F300" t="s">
        <v>331</v>
      </c>
      <c r="G300" t="s">
        <v>106</v>
      </c>
      <c r="H300" t="s">
        <v>30</v>
      </c>
      <c r="I300" t="s">
        <v>30</v>
      </c>
      <c r="J300" t="s">
        <v>31</v>
      </c>
      <c r="K300" t="s">
        <v>32</v>
      </c>
      <c r="L300" t="s">
        <v>32</v>
      </c>
      <c r="M300" t="s">
        <v>33</v>
      </c>
      <c r="N300" t="s">
        <v>176</v>
      </c>
      <c r="O300" t="s">
        <v>176</v>
      </c>
      <c r="P300" t="s">
        <v>34</v>
      </c>
      <c r="Q300" t="s">
        <v>35</v>
      </c>
      <c r="R300" t="s">
        <v>73</v>
      </c>
      <c r="S300" t="s">
        <v>30</v>
      </c>
      <c r="T300" t="s">
        <v>343</v>
      </c>
      <c r="U300" t="s">
        <v>344</v>
      </c>
      <c r="V300" t="s">
        <v>39</v>
      </c>
      <c r="W300" s="1">
        <v>1</v>
      </c>
    </row>
    <row r="301" spans="1:23" x14ac:dyDescent="0.2">
      <c r="A301" t="s">
        <v>23</v>
      </c>
      <c r="B301" t="s">
        <v>24</v>
      </c>
      <c r="C301" t="s">
        <v>25</v>
      </c>
      <c r="D301" t="s">
        <v>208</v>
      </c>
      <c r="E301" t="s">
        <v>330</v>
      </c>
      <c r="F301" t="s">
        <v>331</v>
      </c>
      <c r="G301" t="s">
        <v>106</v>
      </c>
      <c r="H301" t="s">
        <v>30</v>
      </c>
      <c r="I301" t="s">
        <v>30</v>
      </c>
      <c r="J301" t="s">
        <v>31</v>
      </c>
      <c r="K301" t="s">
        <v>32</v>
      </c>
      <c r="L301" t="s">
        <v>32</v>
      </c>
      <c r="M301" t="s">
        <v>33</v>
      </c>
      <c r="N301" t="s">
        <v>176</v>
      </c>
      <c r="O301" t="s">
        <v>176</v>
      </c>
      <c r="P301" t="s">
        <v>34</v>
      </c>
      <c r="Q301" t="s">
        <v>35</v>
      </c>
      <c r="R301" t="s">
        <v>73</v>
      </c>
      <c r="S301" t="s">
        <v>30</v>
      </c>
      <c r="T301" t="s">
        <v>343</v>
      </c>
      <c r="U301" t="s">
        <v>344</v>
      </c>
      <c r="V301" t="s">
        <v>40</v>
      </c>
      <c r="W301" s="1">
        <v>749900</v>
      </c>
    </row>
    <row r="302" spans="1:23" x14ac:dyDescent="0.2">
      <c r="A302" t="s">
        <v>23</v>
      </c>
      <c r="B302" t="s">
        <v>24</v>
      </c>
      <c r="C302" t="s">
        <v>25</v>
      </c>
      <c r="D302" t="s">
        <v>208</v>
      </c>
      <c r="E302" t="s">
        <v>330</v>
      </c>
      <c r="F302" t="s">
        <v>331</v>
      </c>
      <c r="G302" t="s">
        <v>119</v>
      </c>
      <c r="H302" t="s">
        <v>30</v>
      </c>
      <c r="I302" t="s">
        <v>52</v>
      </c>
      <c r="J302" t="s">
        <v>128</v>
      </c>
      <c r="K302" t="s">
        <v>32</v>
      </c>
      <c r="L302" t="s">
        <v>32</v>
      </c>
      <c r="M302" t="s">
        <v>33</v>
      </c>
      <c r="N302" t="s">
        <v>33</v>
      </c>
      <c r="O302" t="s">
        <v>33</v>
      </c>
      <c r="P302" t="s">
        <v>34</v>
      </c>
      <c r="Q302" t="s">
        <v>35</v>
      </c>
      <c r="R302" t="s">
        <v>129</v>
      </c>
      <c r="S302" t="s">
        <v>30</v>
      </c>
      <c r="T302" t="s">
        <v>345</v>
      </c>
      <c r="U302" t="s">
        <v>346</v>
      </c>
      <c r="V302" t="s">
        <v>39</v>
      </c>
      <c r="W302" s="1">
        <v>2</v>
      </c>
    </row>
    <row r="303" spans="1:23" x14ac:dyDescent="0.2">
      <c r="A303" t="s">
        <v>23</v>
      </c>
      <c r="B303" t="s">
        <v>24</v>
      </c>
      <c r="C303" t="s">
        <v>25</v>
      </c>
      <c r="D303" t="s">
        <v>208</v>
      </c>
      <c r="E303" t="s">
        <v>330</v>
      </c>
      <c r="F303" t="s">
        <v>331</v>
      </c>
      <c r="G303" t="s">
        <v>119</v>
      </c>
      <c r="H303" t="s">
        <v>30</v>
      </c>
      <c r="I303" t="s">
        <v>52</v>
      </c>
      <c r="J303" t="s">
        <v>128</v>
      </c>
      <c r="K303" t="s">
        <v>32</v>
      </c>
      <c r="L303" t="s">
        <v>32</v>
      </c>
      <c r="M303" t="s">
        <v>33</v>
      </c>
      <c r="N303" t="s">
        <v>33</v>
      </c>
      <c r="O303" t="s">
        <v>33</v>
      </c>
      <c r="P303" t="s">
        <v>34</v>
      </c>
      <c r="Q303" t="s">
        <v>35</v>
      </c>
      <c r="R303" t="s">
        <v>129</v>
      </c>
      <c r="S303" t="s">
        <v>30</v>
      </c>
      <c r="T303" t="s">
        <v>345</v>
      </c>
      <c r="U303" t="s">
        <v>346</v>
      </c>
      <c r="V303" t="s">
        <v>40</v>
      </c>
      <c r="W303" s="1">
        <v>758000</v>
      </c>
    </row>
    <row r="304" spans="1:23" x14ac:dyDescent="0.2">
      <c r="A304" t="s">
        <v>23</v>
      </c>
      <c r="B304" t="s">
        <v>24</v>
      </c>
      <c r="C304" t="s">
        <v>25</v>
      </c>
      <c r="D304" t="s">
        <v>208</v>
      </c>
      <c r="E304" t="s">
        <v>347</v>
      </c>
      <c r="F304" t="s">
        <v>348</v>
      </c>
      <c r="G304" t="s">
        <v>29</v>
      </c>
      <c r="H304" t="s">
        <v>30</v>
      </c>
      <c r="I304" t="s">
        <v>30</v>
      </c>
      <c r="J304" t="s">
        <v>41</v>
      </c>
      <c r="K304" t="s">
        <v>32</v>
      </c>
      <c r="L304" t="s">
        <v>32</v>
      </c>
      <c r="M304" t="s">
        <v>33</v>
      </c>
      <c r="P304" t="s">
        <v>34</v>
      </c>
      <c r="Q304" t="s">
        <v>35</v>
      </c>
      <c r="R304" t="s">
        <v>162</v>
      </c>
      <c r="S304" t="s">
        <v>52</v>
      </c>
      <c r="T304" t="s">
        <v>349</v>
      </c>
      <c r="U304" t="s">
        <v>350</v>
      </c>
      <c r="V304" t="s">
        <v>39</v>
      </c>
      <c r="W304" s="1">
        <v>0</v>
      </c>
    </row>
    <row r="305" spans="1:23" x14ac:dyDescent="0.2">
      <c r="A305" t="s">
        <v>23</v>
      </c>
      <c r="B305" t="s">
        <v>24</v>
      </c>
      <c r="C305" t="s">
        <v>25</v>
      </c>
      <c r="D305" t="s">
        <v>208</v>
      </c>
      <c r="E305" t="s">
        <v>347</v>
      </c>
      <c r="F305" t="s">
        <v>348</v>
      </c>
      <c r="G305" t="s">
        <v>29</v>
      </c>
      <c r="H305" t="s">
        <v>30</v>
      </c>
      <c r="I305" t="s">
        <v>30</v>
      </c>
      <c r="J305" t="s">
        <v>41</v>
      </c>
      <c r="K305" t="s">
        <v>32</v>
      </c>
      <c r="L305" t="s">
        <v>32</v>
      </c>
      <c r="M305" t="s">
        <v>33</v>
      </c>
      <c r="P305" t="s">
        <v>34</v>
      </c>
      <c r="Q305" t="s">
        <v>35</v>
      </c>
      <c r="R305" t="s">
        <v>162</v>
      </c>
      <c r="S305" t="s">
        <v>52</v>
      </c>
      <c r="T305" t="s">
        <v>349</v>
      </c>
      <c r="U305" t="s">
        <v>350</v>
      </c>
      <c r="V305" t="s">
        <v>40</v>
      </c>
      <c r="W305" s="1">
        <v>6190800</v>
      </c>
    </row>
    <row r="306" spans="1:23" x14ac:dyDescent="0.2">
      <c r="A306" t="s">
        <v>23</v>
      </c>
      <c r="B306" t="s">
        <v>24</v>
      </c>
      <c r="C306" t="s">
        <v>25</v>
      </c>
      <c r="D306" t="s">
        <v>208</v>
      </c>
      <c r="E306" t="s">
        <v>347</v>
      </c>
      <c r="F306" t="s">
        <v>348</v>
      </c>
      <c r="G306" t="s">
        <v>64</v>
      </c>
      <c r="H306" t="s">
        <v>30</v>
      </c>
      <c r="I306" t="s">
        <v>52</v>
      </c>
      <c r="J306" t="s">
        <v>41</v>
      </c>
      <c r="K306" t="s">
        <v>32</v>
      </c>
      <c r="L306" t="s">
        <v>32</v>
      </c>
      <c r="M306" t="s">
        <v>33</v>
      </c>
      <c r="N306" t="s">
        <v>33</v>
      </c>
      <c r="O306" t="s">
        <v>33</v>
      </c>
      <c r="P306" t="s">
        <v>34</v>
      </c>
      <c r="Q306" t="s">
        <v>35</v>
      </c>
      <c r="S306" t="s">
        <v>30</v>
      </c>
      <c r="T306" t="s">
        <v>351</v>
      </c>
      <c r="U306" t="s">
        <v>352</v>
      </c>
      <c r="V306" t="s">
        <v>39</v>
      </c>
      <c r="W306" s="1">
        <v>2</v>
      </c>
    </row>
    <row r="307" spans="1:23" x14ac:dyDescent="0.2">
      <c r="A307" t="s">
        <v>23</v>
      </c>
      <c r="B307" t="s">
        <v>24</v>
      </c>
      <c r="C307" t="s">
        <v>25</v>
      </c>
      <c r="D307" t="s">
        <v>208</v>
      </c>
      <c r="E307" t="s">
        <v>347</v>
      </c>
      <c r="F307" t="s">
        <v>348</v>
      </c>
      <c r="G307" t="s">
        <v>64</v>
      </c>
      <c r="H307" t="s">
        <v>30</v>
      </c>
      <c r="I307" t="s">
        <v>52</v>
      </c>
      <c r="J307" t="s">
        <v>41</v>
      </c>
      <c r="K307" t="s">
        <v>32</v>
      </c>
      <c r="L307" t="s">
        <v>32</v>
      </c>
      <c r="M307" t="s">
        <v>33</v>
      </c>
      <c r="N307" t="s">
        <v>33</v>
      </c>
      <c r="O307" t="s">
        <v>33</v>
      </c>
      <c r="P307" t="s">
        <v>34</v>
      </c>
      <c r="Q307" t="s">
        <v>35</v>
      </c>
      <c r="S307" t="s">
        <v>30</v>
      </c>
      <c r="T307" t="s">
        <v>351</v>
      </c>
      <c r="U307" t="s">
        <v>352</v>
      </c>
      <c r="V307" t="s">
        <v>40</v>
      </c>
      <c r="W307" s="1">
        <v>2758400</v>
      </c>
    </row>
    <row r="308" spans="1:23" x14ac:dyDescent="0.2">
      <c r="A308" t="s">
        <v>23</v>
      </c>
      <c r="B308" t="s">
        <v>24</v>
      </c>
      <c r="C308" t="s">
        <v>25</v>
      </c>
      <c r="D308" t="s">
        <v>208</v>
      </c>
      <c r="E308" t="s">
        <v>347</v>
      </c>
      <c r="F308" t="s">
        <v>348</v>
      </c>
      <c r="G308" t="s">
        <v>67</v>
      </c>
      <c r="H308" t="s">
        <v>30</v>
      </c>
      <c r="I308" t="s">
        <v>30</v>
      </c>
      <c r="J308" t="s">
        <v>31</v>
      </c>
      <c r="K308" t="s">
        <v>32</v>
      </c>
      <c r="L308" t="s">
        <v>332</v>
      </c>
      <c r="M308" t="s">
        <v>33</v>
      </c>
      <c r="N308" t="s">
        <v>33</v>
      </c>
      <c r="O308" t="s">
        <v>33</v>
      </c>
      <c r="P308" t="s">
        <v>34</v>
      </c>
      <c r="Q308" t="s">
        <v>35</v>
      </c>
      <c r="R308" t="s">
        <v>353</v>
      </c>
      <c r="S308" t="s">
        <v>30</v>
      </c>
      <c r="T308" t="s">
        <v>354</v>
      </c>
      <c r="U308" t="s">
        <v>355</v>
      </c>
      <c r="V308" t="s">
        <v>39</v>
      </c>
      <c r="W308" s="1">
        <v>2</v>
      </c>
    </row>
    <row r="309" spans="1:23" x14ac:dyDescent="0.2">
      <c r="A309" t="s">
        <v>23</v>
      </c>
      <c r="B309" t="s">
        <v>24</v>
      </c>
      <c r="C309" t="s">
        <v>25</v>
      </c>
      <c r="D309" t="s">
        <v>208</v>
      </c>
      <c r="E309" t="s">
        <v>347</v>
      </c>
      <c r="F309" t="s">
        <v>348</v>
      </c>
      <c r="G309" t="s">
        <v>67</v>
      </c>
      <c r="H309" t="s">
        <v>30</v>
      </c>
      <c r="I309" t="s">
        <v>30</v>
      </c>
      <c r="J309" t="s">
        <v>31</v>
      </c>
      <c r="K309" t="s">
        <v>32</v>
      </c>
      <c r="L309" t="s">
        <v>332</v>
      </c>
      <c r="M309" t="s">
        <v>33</v>
      </c>
      <c r="N309" t="s">
        <v>33</v>
      </c>
      <c r="O309" t="s">
        <v>33</v>
      </c>
      <c r="P309" t="s">
        <v>34</v>
      </c>
      <c r="Q309" t="s">
        <v>35</v>
      </c>
      <c r="R309" t="s">
        <v>353</v>
      </c>
      <c r="S309" t="s">
        <v>30</v>
      </c>
      <c r="T309" t="s">
        <v>354</v>
      </c>
      <c r="U309" t="s">
        <v>355</v>
      </c>
      <c r="V309" t="s">
        <v>40</v>
      </c>
      <c r="W309" s="1">
        <v>4998000</v>
      </c>
    </row>
    <row r="310" spans="1:23" x14ac:dyDescent="0.2">
      <c r="A310" t="s">
        <v>23</v>
      </c>
      <c r="B310" t="s">
        <v>24</v>
      </c>
      <c r="C310" t="s">
        <v>25</v>
      </c>
      <c r="D310" t="s">
        <v>208</v>
      </c>
      <c r="E310" t="s">
        <v>347</v>
      </c>
      <c r="F310" t="s">
        <v>348</v>
      </c>
      <c r="G310" t="s">
        <v>89</v>
      </c>
      <c r="H310" t="s">
        <v>30</v>
      </c>
      <c r="I310" t="s">
        <v>30</v>
      </c>
      <c r="J310" t="s">
        <v>356</v>
      </c>
      <c r="K310" t="s">
        <v>357</v>
      </c>
      <c r="L310" t="s">
        <v>32</v>
      </c>
      <c r="M310" t="s">
        <v>33</v>
      </c>
      <c r="N310" t="s">
        <v>33</v>
      </c>
      <c r="O310" t="s">
        <v>33</v>
      </c>
      <c r="P310" t="s">
        <v>213</v>
      </c>
      <c r="Q310" t="s">
        <v>214</v>
      </c>
      <c r="S310" t="s">
        <v>30</v>
      </c>
      <c r="T310" t="s">
        <v>358</v>
      </c>
      <c r="U310" t="s">
        <v>359</v>
      </c>
      <c r="V310" t="s">
        <v>39</v>
      </c>
      <c r="W310" s="1">
        <v>2</v>
      </c>
    </row>
    <row r="311" spans="1:23" x14ac:dyDescent="0.2">
      <c r="A311" t="s">
        <v>23</v>
      </c>
      <c r="B311" t="s">
        <v>24</v>
      </c>
      <c r="C311" t="s">
        <v>25</v>
      </c>
      <c r="D311" t="s">
        <v>208</v>
      </c>
      <c r="E311" t="s">
        <v>347</v>
      </c>
      <c r="F311" t="s">
        <v>348</v>
      </c>
      <c r="G311" t="s">
        <v>89</v>
      </c>
      <c r="H311" t="s">
        <v>30</v>
      </c>
      <c r="I311" t="s">
        <v>30</v>
      </c>
      <c r="J311" t="s">
        <v>356</v>
      </c>
      <c r="K311" t="s">
        <v>357</v>
      </c>
      <c r="L311" t="s">
        <v>32</v>
      </c>
      <c r="M311" t="s">
        <v>33</v>
      </c>
      <c r="N311" t="s">
        <v>33</v>
      </c>
      <c r="O311" t="s">
        <v>33</v>
      </c>
      <c r="P311" t="s">
        <v>213</v>
      </c>
      <c r="Q311" t="s">
        <v>214</v>
      </c>
      <c r="S311" t="s">
        <v>30</v>
      </c>
      <c r="T311" t="s">
        <v>358</v>
      </c>
      <c r="U311" t="s">
        <v>359</v>
      </c>
      <c r="V311" t="s">
        <v>40</v>
      </c>
      <c r="W311" s="1">
        <v>10123200</v>
      </c>
    </row>
    <row r="312" spans="1:23" x14ac:dyDescent="0.2">
      <c r="A312" t="s">
        <v>23</v>
      </c>
      <c r="B312" t="s">
        <v>24</v>
      </c>
      <c r="C312" t="s">
        <v>25</v>
      </c>
      <c r="D312" t="s">
        <v>208</v>
      </c>
      <c r="E312" t="s">
        <v>347</v>
      </c>
      <c r="F312" t="s">
        <v>348</v>
      </c>
      <c r="G312" t="s">
        <v>106</v>
      </c>
      <c r="H312" t="s">
        <v>30</v>
      </c>
      <c r="I312" t="s">
        <v>30</v>
      </c>
      <c r="J312" t="s">
        <v>128</v>
      </c>
      <c r="K312" t="s">
        <v>181</v>
      </c>
      <c r="L312" t="s">
        <v>32</v>
      </c>
      <c r="M312" t="s">
        <v>33</v>
      </c>
      <c r="P312" t="s">
        <v>34</v>
      </c>
      <c r="Q312" t="s">
        <v>35</v>
      </c>
      <c r="S312" t="s">
        <v>30</v>
      </c>
      <c r="T312" t="s">
        <v>360</v>
      </c>
      <c r="U312" t="s">
        <v>361</v>
      </c>
      <c r="V312" t="s">
        <v>39</v>
      </c>
      <c r="W312" s="1">
        <v>8</v>
      </c>
    </row>
    <row r="313" spans="1:23" x14ac:dyDescent="0.2">
      <c r="A313" t="s">
        <v>23</v>
      </c>
      <c r="B313" t="s">
        <v>24</v>
      </c>
      <c r="C313" t="s">
        <v>25</v>
      </c>
      <c r="D313" t="s">
        <v>208</v>
      </c>
      <c r="E313" t="s">
        <v>347</v>
      </c>
      <c r="F313" t="s">
        <v>348</v>
      </c>
      <c r="G313" t="s">
        <v>106</v>
      </c>
      <c r="H313" t="s">
        <v>30</v>
      </c>
      <c r="I313" t="s">
        <v>30</v>
      </c>
      <c r="J313" t="s">
        <v>128</v>
      </c>
      <c r="K313" t="s">
        <v>181</v>
      </c>
      <c r="L313" t="s">
        <v>32</v>
      </c>
      <c r="M313" t="s">
        <v>33</v>
      </c>
      <c r="P313" t="s">
        <v>34</v>
      </c>
      <c r="Q313" t="s">
        <v>35</v>
      </c>
      <c r="S313" t="s">
        <v>30</v>
      </c>
      <c r="T313" t="s">
        <v>360</v>
      </c>
      <c r="U313" t="s">
        <v>361</v>
      </c>
      <c r="V313" t="s">
        <v>40</v>
      </c>
      <c r="W313" s="1">
        <v>8160000</v>
      </c>
    </row>
    <row r="314" spans="1:23" x14ac:dyDescent="0.2">
      <c r="A314" t="s">
        <v>23</v>
      </c>
      <c r="B314" t="s">
        <v>24</v>
      </c>
      <c r="C314" t="s">
        <v>25</v>
      </c>
      <c r="D314" t="s">
        <v>208</v>
      </c>
      <c r="E314" t="s">
        <v>347</v>
      </c>
      <c r="F314" t="s">
        <v>348</v>
      </c>
      <c r="G314" t="s">
        <v>106</v>
      </c>
      <c r="H314" t="s">
        <v>30</v>
      </c>
      <c r="I314" t="s">
        <v>30</v>
      </c>
      <c r="J314" t="s">
        <v>41</v>
      </c>
      <c r="K314" t="s">
        <v>32</v>
      </c>
      <c r="L314" t="s">
        <v>32</v>
      </c>
      <c r="M314" t="s">
        <v>33</v>
      </c>
      <c r="P314" t="s">
        <v>34</v>
      </c>
      <c r="Q314" t="s">
        <v>35</v>
      </c>
      <c r="R314" t="s">
        <v>54</v>
      </c>
      <c r="S314" t="s">
        <v>52</v>
      </c>
      <c r="T314" t="s">
        <v>362</v>
      </c>
      <c r="U314" t="s">
        <v>363</v>
      </c>
      <c r="V314" t="s">
        <v>39</v>
      </c>
      <c r="W314" s="1">
        <v>0</v>
      </c>
    </row>
    <row r="315" spans="1:23" x14ac:dyDescent="0.2">
      <c r="A315" t="s">
        <v>23</v>
      </c>
      <c r="B315" t="s">
        <v>24</v>
      </c>
      <c r="C315" t="s">
        <v>25</v>
      </c>
      <c r="D315" t="s">
        <v>208</v>
      </c>
      <c r="E315" t="s">
        <v>347</v>
      </c>
      <c r="F315" t="s">
        <v>348</v>
      </c>
      <c r="G315" t="s">
        <v>106</v>
      </c>
      <c r="H315" t="s">
        <v>30</v>
      </c>
      <c r="I315" t="s">
        <v>30</v>
      </c>
      <c r="J315" t="s">
        <v>41</v>
      </c>
      <c r="K315" t="s">
        <v>32</v>
      </c>
      <c r="L315" t="s">
        <v>32</v>
      </c>
      <c r="M315" t="s">
        <v>33</v>
      </c>
      <c r="P315" t="s">
        <v>34</v>
      </c>
      <c r="Q315" t="s">
        <v>35</v>
      </c>
      <c r="R315" t="s">
        <v>54</v>
      </c>
      <c r="S315" t="s">
        <v>52</v>
      </c>
      <c r="T315" t="s">
        <v>362</v>
      </c>
      <c r="U315" t="s">
        <v>363</v>
      </c>
      <c r="V315" t="s">
        <v>40</v>
      </c>
      <c r="W315" s="1">
        <v>3230400</v>
      </c>
    </row>
    <row r="316" spans="1:23" x14ac:dyDescent="0.2">
      <c r="A316" t="s">
        <v>23</v>
      </c>
      <c r="B316" t="s">
        <v>24</v>
      </c>
      <c r="C316" t="s">
        <v>25</v>
      </c>
      <c r="D316" t="s">
        <v>208</v>
      </c>
      <c r="E316" t="s">
        <v>347</v>
      </c>
      <c r="F316" t="s">
        <v>348</v>
      </c>
      <c r="G316" t="s">
        <v>119</v>
      </c>
      <c r="H316" t="s">
        <v>30</v>
      </c>
      <c r="I316" t="s">
        <v>52</v>
      </c>
      <c r="J316" t="s">
        <v>41</v>
      </c>
      <c r="K316" t="s">
        <v>32</v>
      </c>
      <c r="L316" t="s">
        <v>32</v>
      </c>
      <c r="M316" t="s">
        <v>33</v>
      </c>
      <c r="N316" t="s">
        <v>33</v>
      </c>
      <c r="O316" t="s">
        <v>33</v>
      </c>
      <c r="P316" t="s">
        <v>34</v>
      </c>
      <c r="Q316" t="s">
        <v>35</v>
      </c>
      <c r="R316" t="s">
        <v>54</v>
      </c>
      <c r="S316" t="s">
        <v>30</v>
      </c>
      <c r="T316" t="s">
        <v>364</v>
      </c>
      <c r="U316" t="s">
        <v>365</v>
      </c>
      <c r="V316" t="s">
        <v>39</v>
      </c>
      <c r="W316" s="1">
        <v>2</v>
      </c>
    </row>
    <row r="317" spans="1:23" x14ac:dyDescent="0.2">
      <c r="A317" t="s">
        <v>23</v>
      </c>
      <c r="B317" t="s">
        <v>24</v>
      </c>
      <c r="C317" t="s">
        <v>25</v>
      </c>
      <c r="D317" t="s">
        <v>208</v>
      </c>
      <c r="E317" t="s">
        <v>347</v>
      </c>
      <c r="F317" t="s">
        <v>348</v>
      </c>
      <c r="G317" t="s">
        <v>119</v>
      </c>
      <c r="H317" t="s">
        <v>30</v>
      </c>
      <c r="I317" t="s">
        <v>52</v>
      </c>
      <c r="J317" t="s">
        <v>41</v>
      </c>
      <c r="K317" t="s">
        <v>32</v>
      </c>
      <c r="L317" t="s">
        <v>32</v>
      </c>
      <c r="M317" t="s">
        <v>33</v>
      </c>
      <c r="N317" t="s">
        <v>33</v>
      </c>
      <c r="O317" t="s">
        <v>33</v>
      </c>
      <c r="P317" t="s">
        <v>34</v>
      </c>
      <c r="Q317" t="s">
        <v>35</v>
      </c>
      <c r="R317" t="s">
        <v>54</v>
      </c>
      <c r="S317" t="s">
        <v>30</v>
      </c>
      <c r="T317" t="s">
        <v>364</v>
      </c>
      <c r="U317" t="s">
        <v>365</v>
      </c>
      <c r="V317" t="s">
        <v>40</v>
      </c>
      <c r="W317" s="1">
        <v>3000200</v>
      </c>
    </row>
    <row r="318" spans="1:23" x14ac:dyDescent="0.2">
      <c r="A318" t="s">
        <v>23</v>
      </c>
      <c r="B318" t="s">
        <v>24</v>
      </c>
      <c r="C318" t="s">
        <v>25</v>
      </c>
      <c r="D318" t="s">
        <v>208</v>
      </c>
      <c r="E318" t="s">
        <v>347</v>
      </c>
      <c r="F318" t="s">
        <v>348</v>
      </c>
      <c r="G318" t="s">
        <v>127</v>
      </c>
      <c r="H318" t="s">
        <v>52</v>
      </c>
      <c r="I318" t="s">
        <v>30</v>
      </c>
      <c r="J318" t="s">
        <v>41</v>
      </c>
      <c r="K318" t="s">
        <v>32</v>
      </c>
      <c r="L318" t="s">
        <v>32</v>
      </c>
      <c r="M318" t="s">
        <v>33</v>
      </c>
      <c r="N318" t="s">
        <v>33</v>
      </c>
      <c r="O318" t="s">
        <v>33</v>
      </c>
      <c r="P318" t="s">
        <v>34</v>
      </c>
      <c r="Q318" t="s">
        <v>35</v>
      </c>
      <c r="S318" t="s">
        <v>30</v>
      </c>
      <c r="T318" t="s">
        <v>366</v>
      </c>
      <c r="U318" t="s">
        <v>367</v>
      </c>
      <c r="V318" t="s">
        <v>39</v>
      </c>
      <c r="W318" s="1">
        <v>3</v>
      </c>
    </row>
    <row r="319" spans="1:23" x14ac:dyDescent="0.2">
      <c r="A319" t="s">
        <v>23</v>
      </c>
      <c r="B319" t="s">
        <v>24</v>
      </c>
      <c r="C319" t="s">
        <v>25</v>
      </c>
      <c r="D319" t="s">
        <v>208</v>
      </c>
      <c r="E319" t="s">
        <v>347</v>
      </c>
      <c r="F319" t="s">
        <v>348</v>
      </c>
      <c r="G319" t="s">
        <v>127</v>
      </c>
      <c r="H319" t="s">
        <v>52</v>
      </c>
      <c r="I319" t="s">
        <v>30</v>
      </c>
      <c r="J319" t="s">
        <v>41</v>
      </c>
      <c r="K319" t="s">
        <v>32</v>
      </c>
      <c r="L319" t="s">
        <v>32</v>
      </c>
      <c r="M319" t="s">
        <v>33</v>
      </c>
      <c r="N319" t="s">
        <v>33</v>
      </c>
      <c r="O319" t="s">
        <v>33</v>
      </c>
      <c r="P319" t="s">
        <v>34</v>
      </c>
      <c r="Q319" t="s">
        <v>35</v>
      </c>
      <c r="S319" t="s">
        <v>30</v>
      </c>
      <c r="T319" t="s">
        <v>366</v>
      </c>
      <c r="U319" t="s">
        <v>367</v>
      </c>
      <c r="V319" t="s">
        <v>40</v>
      </c>
      <c r="W319" s="1">
        <v>3246900</v>
      </c>
    </row>
    <row r="320" spans="1:23" x14ac:dyDescent="0.2">
      <c r="A320" t="s">
        <v>23</v>
      </c>
      <c r="B320" t="s">
        <v>24</v>
      </c>
      <c r="C320" t="s">
        <v>25</v>
      </c>
      <c r="D320" t="s">
        <v>208</v>
      </c>
      <c r="E320" t="s">
        <v>368</v>
      </c>
      <c r="F320" t="s">
        <v>369</v>
      </c>
      <c r="G320" t="s">
        <v>29</v>
      </c>
      <c r="H320" t="s">
        <v>30</v>
      </c>
      <c r="I320" t="s">
        <v>30</v>
      </c>
      <c r="J320" t="s">
        <v>128</v>
      </c>
      <c r="K320" t="s">
        <v>135</v>
      </c>
      <c r="L320" t="s">
        <v>32</v>
      </c>
      <c r="M320" t="s">
        <v>33</v>
      </c>
      <c r="P320" t="s">
        <v>34</v>
      </c>
      <c r="Q320" t="s">
        <v>35</v>
      </c>
      <c r="R320" t="s">
        <v>136</v>
      </c>
      <c r="S320" t="s">
        <v>52</v>
      </c>
      <c r="T320" t="s">
        <v>370</v>
      </c>
      <c r="U320" t="s">
        <v>371</v>
      </c>
      <c r="V320" t="s">
        <v>39</v>
      </c>
      <c r="W320" s="1">
        <v>0</v>
      </c>
    </row>
    <row r="321" spans="1:23" x14ac:dyDescent="0.2">
      <c r="A321" t="s">
        <v>23</v>
      </c>
      <c r="B321" t="s">
        <v>24</v>
      </c>
      <c r="C321" t="s">
        <v>25</v>
      </c>
      <c r="D321" t="s">
        <v>208</v>
      </c>
      <c r="E321" t="s">
        <v>368</v>
      </c>
      <c r="F321" t="s">
        <v>369</v>
      </c>
      <c r="G321" t="s">
        <v>29</v>
      </c>
      <c r="H321" t="s">
        <v>30</v>
      </c>
      <c r="I321" t="s">
        <v>30</v>
      </c>
      <c r="J321" t="s">
        <v>128</v>
      </c>
      <c r="K321" t="s">
        <v>135</v>
      </c>
      <c r="L321" t="s">
        <v>32</v>
      </c>
      <c r="M321" t="s">
        <v>33</v>
      </c>
      <c r="P321" t="s">
        <v>34</v>
      </c>
      <c r="Q321" t="s">
        <v>35</v>
      </c>
      <c r="R321" t="s">
        <v>136</v>
      </c>
      <c r="S321" t="s">
        <v>52</v>
      </c>
      <c r="T321" t="s">
        <v>370</v>
      </c>
      <c r="U321" t="s">
        <v>371</v>
      </c>
      <c r="V321" t="s">
        <v>40</v>
      </c>
      <c r="W321" s="1">
        <v>2406400</v>
      </c>
    </row>
    <row r="322" spans="1:23" x14ac:dyDescent="0.2">
      <c r="A322" t="s">
        <v>23</v>
      </c>
      <c r="B322" t="s">
        <v>24</v>
      </c>
      <c r="C322" t="s">
        <v>25</v>
      </c>
      <c r="D322" t="s">
        <v>208</v>
      </c>
      <c r="E322" t="s">
        <v>368</v>
      </c>
      <c r="F322" t="s">
        <v>369</v>
      </c>
      <c r="G322" t="s">
        <v>29</v>
      </c>
      <c r="H322" t="s">
        <v>30</v>
      </c>
      <c r="I322" t="s">
        <v>30</v>
      </c>
      <c r="J322" t="s">
        <v>128</v>
      </c>
      <c r="K322" t="s">
        <v>135</v>
      </c>
      <c r="L322" t="s">
        <v>32</v>
      </c>
      <c r="M322" t="s">
        <v>176</v>
      </c>
      <c r="P322" t="s">
        <v>34</v>
      </c>
      <c r="Q322" t="s">
        <v>35</v>
      </c>
      <c r="R322" t="s">
        <v>136</v>
      </c>
      <c r="S322" t="s">
        <v>52</v>
      </c>
      <c r="T322" t="s">
        <v>370</v>
      </c>
      <c r="U322" t="s">
        <v>371</v>
      </c>
      <c r="V322" t="s">
        <v>39</v>
      </c>
      <c r="W322" s="1">
        <v>0</v>
      </c>
    </row>
    <row r="323" spans="1:23" x14ac:dyDescent="0.2">
      <c r="A323" t="s">
        <v>23</v>
      </c>
      <c r="B323" t="s">
        <v>24</v>
      </c>
      <c r="C323" t="s">
        <v>25</v>
      </c>
      <c r="D323" t="s">
        <v>208</v>
      </c>
      <c r="E323" t="s">
        <v>368</v>
      </c>
      <c r="F323" t="s">
        <v>369</v>
      </c>
      <c r="G323" t="s">
        <v>29</v>
      </c>
      <c r="H323" t="s">
        <v>30</v>
      </c>
      <c r="I323" t="s">
        <v>30</v>
      </c>
      <c r="J323" t="s">
        <v>128</v>
      </c>
      <c r="K323" t="s">
        <v>135</v>
      </c>
      <c r="L323" t="s">
        <v>32</v>
      </c>
      <c r="M323" t="s">
        <v>176</v>
      </c>
      <c r="P323" t="s">
        <v>34</v>
      </c>
      <c r="Q323" t="s">
        <v>35</v>
      </c>
      <c r="R323" t="s">
        <v>136</v>
      </c>
      <c r="S323" t="s">
        <v>52</v>
      </c>
      <c r="T323" t="s">
        <v>370</v>
      </c>
      <c r="U323" t="s">
        <v>371</v>
      </c>
      <c r="V323" t="s">
        <v>40</v>
      </c>
      <c r="W323" s="1">
        <v>1624320</v>
      </c>
    </row>
    <row r="324" spans="1:23" x14ac:dyDescent="0.2">
      <c r="A324" t="s">
        <v>23</v>
      </c>
      <c r="B324" t="s">
        <v>24</v>
      </c>
      <c r="C324" t="s">
        <v>25</v>
      </c>
      <c r="D324" t="s">
        <v>208</v>
      </c>
      <c r="E324" t="s">
        <v>368</v>
      </c>
      <c r="F324" t="s">
        <v>369</v>
      </c>
      <c r="G324" t="s">
        <v>29</v>
      </c>
      <c r="H324" t="s">
        <v>30</v>
      </c>
      <c r="I324" t="s">
        <v>30</v>
      </c>
      <c r="J324" t="s">
        <v>128</v>
      </c>
      <c r="K324" t="s">
        <v>181</v>
      </c>
      <c r="L324" t="s">
        <v>332</v>
      </c>
      <c r="M324" t="s">
        <v>33</v>
      </c>
      <c r="N324" t="s">
        <v>33</v>
      </c>
      <c r="O324" t="s">
        <v>33</v>
      </c>
      <c r="P324" t="s">
        <v>372</v>
      </c>
      <c r="Q324" t="s">
        <v>373</v>
      </c>
      <c r="S324" t="s">
        <v>30</v>
      </c>
      <c r="T324" t="s">
        <v>374</v>
      </c>
      <c r="U324" t="s">
        <v>375</v>
      </c>
      <c r="V324" t="s">
        <v>39</v>
      </c>
      <c r="W324" s="1">
        <v>4</v>
      </c>
    </row>
    <row r="325" spans="1:23" x14ac:dyDescent="0.2">
      <c r="A325" t="s">
        <v>23</v>
      </c>
      <c r="B325" t="s">
        <v>24</v>
      </c>
      <c r="C325" t="s">
        <v>25</v>
      </c>
      <c r="D325" t="s">
        <v>208</v>
      </c>
      <c r="E325" t="s">
        <v>368</v>
      </c>
      <c r="F325" t="s">
        <v>369</v>
      </c>
      <c r="G325" t="s">
        <v>29</v>
      </c>
      <c r="H325" t="s">
        <v>30</v>
      </c>
      <c r="I325" t="s">
        <v>30</v>
      </c>
      <c r="J325" t="s">
        <v>128</v>
      </c>
      <c r="K325" t="s">
        <v>181</v>
      </c>
      <c r="L325" t="s">
        <v>332</v>
      </c>
      <c r="M325" t="s">
        <v>33</v>
      </c>
      <c r="N325" t="s">
        <v>33</v>
      </c>
      <c r="O325" t="s">
        <v>33</v>
      </c>
      <c r="P325" t="s">
        <v>372</v>
      </c>
      <c r="Q325" t="s">
        <v>373</v>
      </c>
      <c r="S325" t="s">
        <v>30</v>
      </c>
      <c r="T325" t="s">
        <v>374</v>
      </c>
      <c r="U325" t="s">
        <v>375</v>
      </c>
      <c r="V325" t="s">
        <v>40</v>
      </c>
      <c r="W325" s="1">
        <v>1123200</v>
      </c>
    </row>
    <row r="326" spans="1:23" x14ac:dyDescent="0.2">
      <c r="A326" t="s">
        <v>23</v>
      </c>
      <c r="B326" t="s">
        <v>24</v>
      </c>
      <c r="C326" t="s">
        <v>25</v>
      </c>
      <c r="D326" t="s">
        <v>208</v>
      </c>
      <c r="E326" t="s">
        <v>368</v>
      </c>
      <c r="F326" t="s">
        <v>369</v>
      </c>
      <c r="G326" t="s">
        <v>29</v>
      </c>
      <c r="H326" t="s">
        <v>30</v>
      </c>
      <c r="I326" t="s">
        <v>30</v>
      </c>
      <c r="J326" t="s">
        <v>128</v>
      </c>
      <c r="K326" t="s">
        <v>181</v>
      </c>
      <c r="L326" t="s">
        <v>332</v>
      </c>
      <c r="M326" t="s">
        <v>176</v>
      </c>
      <c r="N326" t="s">
        <v>176</v>
      </c>
      <c r="O326" t="s">
        <v>176</v>
      </c>
      <c r="P326" t="s">
        <v>372</v>
      </c>
      <c r="Q326" t="s">
        <v>373</v>
      </c>
      <c r="S326" t="s">
        <v>30</v>
      </c>
      <c r="T326" t="s">
        <v>374</v>
      </c>
      <c r="U326" t="s">
        <v>375</v>
      </c>
      <c r="V326" t="s">
        <v>39</v>
      </c>
      <c r="W326" s="1">
        <v>1</v>
      </c>
    </row>
    <row r="327" spans="1:23" x14ac:dyDescent="0.2">
      <c r="A327" t="s">
        <v>23</v>
      </c>
      <c r="B327" t="s">
        <v>24</v>
      </c>
      <c r="C327" t="s">
        <v>25</v>
      </c>
      <c r="D327" t="s">
        <v>208</v>
      </c>
      <c r="E327" t="s">
        <v>368</v>
      </c>
      <c r="F327" t="s">
        <v>369</v>
      </c>
      <c r="G327" t="s">
        <v>29</v>
      </c>
      <c r="H327" t="s">
        <v>30</v>
      </c>
      <c r="I327" t="s">
        <v>30</v>
      </c>
      <c r="J327" t="s">
        <v>128</v>
      </c>
      <c r="K327" t="s">
        <v>181</v>
      </c>
      <c r="L327" t="s">
        <v>332</v>
      </c>
      <c r="M327" t="s">
        <v>176</v>
      </c>
      <c r="N327" t="s">
        <v>176</v>
      </c>
      <c r="O327" t="s">
        <v>176</v>
      </c>
      <c r="P327" t="s">
        <v>372</v>
      </c>
      <c r="Q327" t="s">
        <v>373</v>
      </c>
      <c r="S327" t="s">
        <v>30</v>
      </c>
      <c r="T327" t="s">
        <v>374</v>
      </c>
      <c r="U327" t="s">
        <v>375</v>
      </c>
      <c r="V327" t="s">
        <v>40</v>
      </c>
      <c r="W327" s="1">
        <v>280800</v>
      </c>
    </row>
    <row r="328" spans="1:23" x14ac:dyDescent="0.2">
      <c r="A328" t="s">
        <v>23</v>
      </c>
      <c r="B328" t="s">
        <v>24</v>
      </c>
      <c r="C328" t="s">
        <v>25</v>
      </c>
      <c r="D328" t="s">
        <v>208</v>
      </c>
      <c r="E328" t="s">
        <v>368</v>
      </c>
      <c r="F328" t="s">
        <v>369</v>
      </c>
      <c r="G328" t="s">
        <v>29</v>
      </c>
      <c r="H328" t="s">
        <v>30</v>
      </c>
      <c r="I328" t="s">
        <v>30</v>
      </c>
      <c r="J328" t="s">
        <v>128</v>
      </c>
      <c r="K328" t="s">
        <v>181</v>
      </c>
      <c r="L328" t="s">
        <v>332</v>
      </c>
      <c r="M328" t="s">
        <v>176</v>
      </c>
      <c r="N328" t="s">
        <v>195</v>
      </c>
      <c r="O328" t="s">
        <v>195</v>
      </c>
      <c r="P328" t="s">
        <v>372</v>
      </c>
      <c r="Q328" t="s">
        <v>373</v>
      </c>
      <c r="S328" t="s">
        <v>30</v>
      </c>
      <c r="T328" t="s">
        <v>374</v>
      </c>
      <c r="U328" t="s">
        <v>375</v>
      </c>
      <c r="V328" t="s">
        <v>39</v>
      </c>
      <c r="W328" s="1">
        <v>2</v>
      </c>
    </row>
    <row r="329" spans="1:23" x14ac:dyDescent="0.2">
      <c r="A329" t="s">
        <v>23</v>
      </c>
      <c r="B329" t="s">
        <v>24</v>
      </c>
      <c r="C329" t="s">
        <v>25</v>
      </c>
      <c r="D329" t="s">
        <v>208</v>
      </c>
      <c r="E329" t="s">
        <v>368</v>
      </c>
      <c r="F329" t="s">
        <v>369</v>
      </c>
      <c r="G329" t="s">
        <v>29</v>
      </c>
      <c r="H329" t="s">
        <v>30</v>
      </c>
      <c r="I329" t="s">
        <v>30</v>
      </c>
      <c r="J329" t="s">
        <v>128</v>
      </c>
      <c r="K329" t="s">
        <v>181</v>
      </c>
      <c r="L329" t="s">
        <v>332</v>
      </c>
      <c r="M329" t="s">
        <v>176</v>
      </c>
      <c r="N329" t="s">
        <v>195</v>
      </c>
      <c r="O329" t="s">
        <v>195</v>
      </c>
      <c r="P329" t="s">
        <v>372</v>
      </c>
      <c r="Q329" t="s">
        <v>373</v>
      </c>
      <c r="S329" t="s">
        <v>30</v>
      </c>
      <c r="T329" t="s">
        <v>374</v>
      </c>
      <c r="U329" t="s">
        <v>375</v>
      </c>
      <c r="V329" t="s">
        <v>40</v>
      </c>
      <c r="W329" s="1">
        <v>561600</v>
      </c>
    </row>
    <row r="330" spans="1:23" x14ac:dyDescent="0.2">
      <c r="A330" t="s">
        <v>23</v>
      </c>
      <c r="B330" t="s">
        <v>24</v>
      </c>
      <c r="C330" t="s">
        <v>25</v>
      </c>
      <c r="D330" t="s">
        <v>208</v>
      </c>
      <c r="E330" t="s">
        <v>368</v>
      </c>
      <c r="F330" t="s">
        <v>369</v>
      </c>
      <c r="G330" t="s">
        <v>29</v>
      </c>
      <c r="H330" t="s">
        <v>30</v>
      </c>
      <c r="I330" t="s">
        <v>30</v>
      </c>
      <c r="J330" t="s">
        <v>41</v>
      </c>
      <c r="K330" t="s">
        <v>32</v>
      </c>
      <c r="L330" t="s">
        <v>32</v>
      </c>
      <c r="M330" t="s">
        <v>33</v>
      </c>
      <c r="P330" t="s">
        <v>34</v>
      </c>
      <c r="Q330" t="s">
        <v>35</v>
      </c>
      <c r="R330" t="s">
        <v>96</v>
      </c>
      <c r="S330" t="s">
        <v>52</v>
      </c>
      <c r="T330" t="s">
        <v>376</v>
      </c>
      <c r="U330" t="s">
        <v>377</v>
      </c>
      <c r="V330" t="s">
        <v>39</v>
      </c>
      <c r="W330" s="1">
        <v>0</v>
      </c>
    </row>
    <row r="331" spans="1:23" x14ac:dyDescent="0.2">
      <c r="A331" t="s">
        <v>23</v>
      </c>
      <c r="B331" t="s">
        <v>24</v>
      </c>
      <c r="C331" t="s">
        <v>25</v>
      </c>
      <c r="D331" t="s">
        <v>208</v>
      </c>
      <c r="E331" t="s">
        <v>368</v>
      </c>
      <c r="F331" t="s">
        <v>369</v>
      </c>
      <c r="G331" t="s">
        <v>29</v>
      </c>
      <c r="H331" t="s">
        <v>30</v>
      </c>
      <c r="I331" t="s">
        <v>30</v>
      </c>
      <c r="J331" t="s">
        <v>41</v>
      </c>
      <c r="K331" t="s">
        <v>32</v>
      </c>
      <c r="L331" t="s">
        <v>32</v>
      </c>
      <c r="M331" t="s">
        <v>33</v>
      </c>
      <c r="P331" t="s">
        <v>34</v>
      </c>
      <c r="Q331" t="s">
        <v>35</v>
      </c>
      <c r="R331" t="s">
        <v>96</v>
      </c>
      <c r="S331" t="s">
        <v>52</v>
      </c>
      <c r="T331" t="s">
        <v>376</v>
      </c>
      <c r="U331" t="s">
        <v>377</v>
      </c>
      <c r="V331" t="s">
        <v>40</v>
      </c>
      <c r="W331" s="1">
        <v>11110000</v>
      </c>
    </row>
    <row r="332" spans="1:23" x14ac:dyDescent="0.2">
      <c r="A332" t="s">
        <v>23</v>
      </c>
      <c r="B332" t="s">
        <v>24</v>
      </c>
      <c r="C332" t="s">
        <v>25</v>
      </c>
      <c r="D332" t="s">
        <v>208</v>
      </c>
      <c r="E332" t="s">
        <v>368</v>
      </c>
      <c r="F332" t="s">
        <v>369</v>
      </c>
      <c r="G332" t="s">
        <v>29</v>
      </c>
      <c r="H332" t="s">
        <v>30</v>
      </c>
      <c r="I332" t="s">
        <v>30</v>
      </c>
      <c r="J332" t="s">
        <v>41</v>
      </c>
      <c r="K332" t="s">
        <v>32</v>
      </c>
      <c r="L332" t="s">
        <v>32</v>
      </c>
      <c r="M332" t="s">
        <v>33</v>
      </c>
      <c r="P332" t="s">
        <v>34</v>
      </c>
      <c r="Q332" t="s">
        <v>35</v>
      </c>
      <c r="R332" t="s">
        <v>54</v>
      </c>
      <c r="S332" t="s">
        <v>52</v>
      </c>
      <c r="T332" t="s">
        <v>378</v>
      </c>
      <c r="U332" t="s">
        <v>379</v>
      </c>
      <c r="V332" t="s">
        <v>39</v>
      </c>
      <c r="W332" s="1">
        <v>0</v>
      </c>
    </row>
    <row r="333" spans="1:23" x14ac:dyDescent="0.2">
      <c r="A333" t="s">
        <v>23</v>
      </c>
      <c r="B333" t="s">
        <v>24</v>
      </c>
      <c r="C333" t="s">
        <v>25</v>
      </c>
      <c r="D333" t="s">
        <v>208</v>
      </c>
      <c r="E333" t="s">
        <v>368</v>
      </c>
      <c r="F333" t="s">
        <v>369</v>
      </c>
      <c r="G333" t="s">
        <v>29</v>
      </c>
      <c r="H333" t="s">
        <v>30</v>
      </c>
      <c r="I333" t="s">
        <v>30</v>
      </c>
      <c r="J333" t="s">
        <v>41</v>
      </c>
      <c r="K333" t="s">
        <v>32</v>
      </c>
      <c r="L333" t="s">
        <v>32</v>
      </c>
      <c r="M333" t="s">
        <v>33</v>
      </c>
      <c r="P333" t="s">
        <v>34</v>
      </c>
      <c r="Q333" t="s">
        <v>35</v>
      </c>
      <c r="R333" t="s">
        <v>54</v>
      </c>
      <c r="S333" t="s">
        <v>52</v>
      </c>
      <c r="T333" t="s">
        <v>378</v>
      </c>
      <c r="U333" t="s">
        <v>379</v>
      </c>
      <c r="V333" t="s">
        <v>40</v>
      </c>
      <c r="W333" s="1">
        <v>4519600</v>
      </c>
    </row>
    <row r="334" spans="1:23" x14ac:dyDescent="0.2">
      <c r="A334" t="s">
        <v>23</v>
      </c>
      <c r="B334" t="s">
        <v>24</v>
      </c>
      <c r="C334" t="s">
        <v>25</v>
      </c>
      <c r="D334" t="s">
        <v>208</v>
      </c>
      <c r="E334" t="s">
        <v>368</v>
      </c>
      <c r="F334" t="s">
        <v>369</v>
      </c>
      <c r="G334" t="s">
        <v>49</v>
      </c>
      <c r="H334" t="s">
        <v>30</v>
      </c>
      <c r="I334" t="s">
        <v>30</v>
      </c>
      <c r="J334" t="s">
        <v>31</v>
      </c>
      <c r="K334" t="s">
        <v>32</v>
      </c>
      <c r="L334" t="s">
        <v>32</v>
      </c>
      <c r="M334" t="s">
        <v>33</v>
      </c>
      <c r="N334" t="s">
        <v>33</v>
      </c>
      <c r="O334" t="s">
        <v>33</v>
      </c>
      <c r="P334" t="s">
        <v>213</v>
      </c>
      <c r="Q334" t="s">
        <v>214</v>
      </c>
      <c r="S334" t="s">
        <v>30</v>
      </c>
      <c r="T334" t="s">
        <v>380</v>
      </c>
      <c r="U334" t="s">
        <v>381</v>
      </c>
      <c r="V334" t="s">
        <v>39</v>
      </c>
      <c r="W334" s="1">
        <v>2</v>
      </c>
    </row>
    <row r="335" spans="1:23" x14ac:dyDescent="0.2">
      <c r="A335" t="s">
        <v>23</v>
      </c>
      <c r="B335" t="s">
        <v>24</v>
      </c>
      <c r="C335" t="s">
        <v>25</v>
      </c>
      <c r="D335" t="s">
        <v>208</v>
      </c>
      <c r="E335" t="s">
        <v>368</v>
      </c>
      <c r="F335" t="s">
        <v>369</v>
      </c>
      <c r="G335" t="s">
        <v>49</v>
      </c>
      <c r="H335" t="s">
        <v>30</v>
      </c>
      <c r="I335" t="s">
        <v>30</v>
      </c>
      <c r="J335" t="s">
        <v>31</v>
      </c>
      <c r="K335" t="s">
        <v>32</v>
      </c>
      <c r="L335" t="s">
        <v>32</v>
      </c>
      <c r="M335" t="s">
        <v>33</v>
      </c>
      <c r="N335" t="s">
        <v>33</v>
      </c>
      <c r="O335" t="s">
        <v>33</v>
      </c>
      <c r="P335" t="s">
        <v>213</v>
      </c>
      <c r="Q335" t="s">
        <v>214</v>
      </c>
      <c r="S335" t="s">
        <v>30</v>
      </c>
      <c r="T335" t="s">
        <v>380</v>
      </c>
      <c r="U335" t="s">
        <v>381</v>
      </c>
      <c r="V335" t="s">
        <v>40</v>
      </c>
      <c r="W335" s="1">
        <v>1098000</v>
      </c>
    </row>
    <row r="336" spans="1:23" x14ac:dyDescent="0.2">
      <c r="A336" t="s">
        <v>23</v>
      </c>
      <c r="B336" t="s">
        <v>24</v>
      </c>
      <c r="C336" t="s">
        <v>25</v>
      </c>
      <c r="D336" t="s">
        <v>208</v>
      </c>
      <c r="E336" t="s">
        <v>368</v>
      </c>
      <c r="F336" t="s">
        <v>369</v>
      </c>
      <c r="G336" t="s">
        <v>49</v>
      </c>
      <c r="H336" t="s">
        <v>30</v>
      </c>
      <c r="I336" t="s">
        <v>30</v>
      </c>
      <c r="J336" t="s">
        <v>41</v>
      </c>
      <c r="K336" t="s">
        <v>32</v>
      </c>
      <c r="L336" t="s">
        <v>32</v>
      </c>
      <c r="M336" t="s">
        <v>33</v>
      </c>
      <c r="N336" t="s">
        <v>33</v>
      </c>
      <c r="O336" t="s">
        <v>33</v>
      </c>
      <c r="P336" t="s">
        <v>34</v>
      </c>
      <c r="Q336" t="s">
        <v>35</v>
      </c>
      <c r="R336" t="s">
        <v>44</v>
      </c>
      <c r="S336" t="s">
        <v>30</v>
      </c>
      <c r="T336" t="s">
        <v>382</v>
      </c>
      <c r="U336" t="s">
        <v>383</v>
      </c>
      <c r="V336" t="s">
        <v>39</v>
      </c>
      <c r="W336" s="1">
        <v>2</v>
      </c>
    </row>
    <row r="337" spans="1:23" x14ac:dyDescent="0.2">
      <c r="A337" t="s">
        <v>23</v>
      </c>
      <c r="B337" t="s">
        <v>24</v>
      </c>
      <c r="C337" t="s">
        <v>25</v>
      </c>
      <c r="D337" t="s">
        <v>208</v>
      </c>
      <c r="E337" t="s">
        <v>368</v>
      </c>
      <c r="F337" t="s">
        <v>369</v>
      </c>
      <c r="G337" t="s">
        <v>49</v>
      </c>
      <c r="H337" t="s">
        <v>30</v>
      </c>
      <c r="I337" t="s">
        <v>30</v>
      </c>
      <c r="J337" t="s">
        <v>41</v>
      </c>
      <c r="K337" t="s">
        <v>32</v>
      </c>
      <c r="L337" t="s">
        <v>32</v>
      </c>
      <c r="M337" t="s">
        <v>33</v>
      </c>
      <c r="N337" t="s">
        <v>33</v>
      </c>
      <c r="O337" t="s">
        <v>33</v>
      </c>
      <c r="P337" t="s">
        <v>34</v>
      </c>
      <c r="Q337" t="s">
        <v>35</v>
      </c>
      <c r="R337" t="s">
        <v>44</v>
      </c>
      <c r="S337" t="s">
        <v>30</v>
      </c>
      <c r="T337" t="s">
        <v>382</v>
      </c>
      <c r="U337" t="s">
        <v>383</v>
      </c>
      <c r="V337" t="s">
        <v>40</v>
      </c>
      <c r="W337" s="1">
        <v>3276000</v>
      </c>
    </row>
    <row r="338" spans="1:23" x14ac:dyDescent="0.2">
      <c r="A338" t="s">
        <v>23</v>
      </c>
      <c r="B338" t="s">
        <v>24</v>
      </c>
      <c r="C338" t="s">
        <v>25</v>
      </c>
      <c r="D338" t="s">
        <v>208</v>
      </c>
      <c r="E338" t="s">
        <v>368</v>
      </c>
      <c r="F338" t="s">
        <v>369</v>
      </c>
      <c r="G338" t="s">
        <v>49</v>
      </c>
      <c r="H338" t="s">
        <v>30</v>
      </c>
      <c r="I338" t="s">
        <v>30</v>
      </c>
      <c r="J338" t="s">
        <v>41</v>
      </c>
      <c r="K338" t="s">
        <v>32</v>
      </c>
      <c r="L338" t="s">
        <v>32</v>
      </c>
      <c r="M338" t="s">
        <v>33</v>
      </c>
      <c r="N338" t="s">
        <v>33</v>
      </c>
      <c r="O338" t="s">
        <v>33</v>
      </c>
      <c r="P338" t="s">
        <v>34</v>
      </c>
      <c r="Q338" t="s">
        <v>35</v>
      </c>
      <c r="R338" t="s">
        <v>54</v>
      </c>
      <c r="S338" t="s">
        <v>30</v>
      </c>
      <c r="T338" t="s">
        <v>378</v>
      </c>
      <c r="U338" t="s">
        <v>384</v>
      </c>
      <c r="V338" t="s">
        <v>39</v>
      </c>
      <c r="W338" s="1">
        <v>4</v>
      </c>
    </row>
    <row r="339" spans="1:23" x14ac:dyDescent="0.2">
      <c r="A339" t="s">
        <v>23</v>
      </c>
      <c r="B339" t="s">
        <v>24</v>
      </c>
      <c r="C339" t="s">
        <v>25</v>
      </c>
      <c r="D339" t="s">
        <v>208</v>
      </c>
      <c r="E339" t="s">
        <v>368</v>
      </c>
      <c r="F339" t="s">
        <v>369</v>
      </c>
      <c r="G339" t="s">
        <v>49</v>
      </c>
      <c r="H339" t="s">
        <v>30</v>
      </c>
      <c r="I339" t="s">
        <v>30</v>
      </c>
      <c r="J339" t="s">
        <v>41</v>
      </c>
      <c r="K339" t="s">
        <v>32</v>
      </c>
      <c r="L339" t="s">
        <v>32</v>
      </c>
      <c r="M339" t="s">
        <v>33</v>
      </c>
      <c r="N339" t="s">
        <v>33</v>
      </c>
      <c r="O339" t="s">
        <v>33</v>
      </c>
      <c r="P339" t="s">
        <v>34</v>
      </c>
      <c r="Q339" t="s">
        <v>35</v>
      </c>
      <c r="R339" t="s">
        <v>54</v>
      </c>
      <c r="S339" t="s">
        <v>30</v>
      </c>
      <c r="T339" t="s">
        <v>378</v>
      </c>
      <c r="U339" t="s">
        <v>384</v>
      </c>
      <c r="V339" t="s">
        <v>40</v>
      </c>
      <c r="W339" s="1">
        <v>4519600</v>
      </c>
    </row>
    <row r="340" spans="1:23" x14ac:dyDescent="0.2">
      <c r="A340" t="s">
        <v>23</v>
      </c>
      <c r="B340" t="s">
        <v>24</v>
      </c>
      <c r="C340" t="s">
        <v>25</v>
      </c>
      <c r="D340" t="s">
        <v>208</v>
      </c>
      <c r="E340" t="s">
        <v>368</v>
      </c>
      <c r="F340" t="s">
        <v>369</v>
      </c>
      <c r="G340" t="s">
        <v>49</v>
      </c>
      <c r="H340" t="s">
        <v>30</v>
      </c>
      <c r="I340" t="s">
        <v>30</v>
      </c>
      <c r="J340" t="s">
        <v>57</v>
      </c>
      <c r="K340" t="s">
        <v>32</v>
      </c>
      <c r="L340" t="s">
        <v>32</v>
      </c>
      <c r="M340" t="s">
        <v>33</v>
      </c>
      <c r="P340" t="s">
        <v>34</v>
      </c>
      <c r="Q340" t="s">
        <v>35</v>
      </c>
      <c r="S340" t="s">
        <v>52</v>
      </c>
      <c r="T340" t="s">
        <v>385</v>
      </c>
      <c r="U340" t="s">
        <v>386</v>
      </c>
      <c r="V340" t="s">
        <v>39</v>
      </c>
      <c r="W340" s="1">
        <v>0</v>
      </c>
    </row>
    <row r="341" spans="1:23" x14ac:dyDescent="0.2">
      <c r="A341" t="s">
        <v>23</v>
      </c>
      <c r="B341" t="s">
        <v>24</v>
      </c>
      <c r="C341" t="s">
        <v>25</v>
      </c>
      <c r="D341" t="s">
        <v>208</v>
      </c>
      <c r="E341" t="s">
        <v>368</v>
      </c>
      <c r="F341" t="s">
        <v>369</v>
      </c>
      <c r="G341" t="s">
        <v>49</v>
      </c>
      <c r="H341" t="s">
        <v>30</v>
      </c>
      <c r="I341" t="s">
        <v>30</v>
      </c>
      <c r="J341" t="s">
        <v>57</v>
      </c>
      <c r="K341" t="s">
        <v>32</v>
      </c>
      <c r="L341" t="s">
        <v>32</v>
      </c>
      <c r="M341" t="s">
        <v>33</v>
      </c>
      <c r="P341" t="s">
        <v>34</v>
      </c>
      <c r="Q341" t="s">
        <v>35</v>
      </c>
      <c r="S341" t="s">
        <v>52</v>
      </c>
      <c r="T341" t="s">
        <v>385</v>
      </c>
      <c r="U341" t="s">
        <v>386</v>
      </c>
      <c r="V341" t="s">
        <v>40</v>
      </c>
      <c r="W341" s="1">
        <v>8596000</v>
      </c>
    </row>
    <row r="342" spans="1:23" x14ac:dyDescent="0.2">
      <c r="A342" t="s">
        <v>23</v>
      </c>
      <c r="B342" t="s">
        <v>24</v>
      </c>
      <c r="C342" t="s">
        <v>25</v>
      </c>
      <c r="D342" t="s">
        <v>208</v>
      </c>
      <c r="E342" t="s">
        <v>368</v>
      </c>
      <c r="F342" t="s">
        <v>369</v>
      </c>
      <c r="G342" t="s">
        <v>170</v>
      </c>
      <c r="H342" t="s">
        <v>52</v>
      </c>
      <c r="I342" t="s">
        <v>30</v>
      </c>
      <c r="J342" t="s">
        <v>31</v>
      </c>
      <c r="K342" t="s">
        <v>32</v>
      </c>
      <c r="L342" t="s">
        <v>32</v>
      </c>
      <c r="M342" t="s">
        <v>33</v>
      </c>
      <c r="N342" t="s">
        <v>33</v>
      </c>
      <c r="O342" t="s">
        <v>33</v>
      </c>
      <c r="P342" t="s">
        <v>34</v>
      </c>
      <c r="Q342" t="s">
        <v>35</v>
      </c>
      <c r="R342" t="s">
        <v>151</v>
      </c>
      <c r="S342" t="s">
        <v>30</v>
      </c>
      <c r="T342" t="s">
        <v>387</v>
      </c>
      <c r="U342" t="s">
        <v>388</v>
      </c>
      <c r="V342" t="s">
        <v>39</v>
      </c>
      <c r="W342" s="1">
        <v>3</v>
      </c>
    </row>
    <row r="343" spans="1:23" x14ac:dyDescent="0.2">
      <c r="A343" t="s">
        <v>23</v>
      </c>
      <c r="B343" t="s">
        <v>24</v>
      </c>
      <c r="C343" t="s">
        <v>25</v>
      </c>
      <c r="D343" t="s">
        <v>208</v>
      </c>
      <c r="E343" t="s">
        <v>368</v>
      </c>
      <c r="F343" t="s">
        <v>369</v>
      </c>
      <c r="G343" t="s">
        <v>170</v>
      </c>
      <c r="H343" t="s">
        <v>52</v>
      </c>
      <c r="I343" t="s">
        <v>30</v>
      </c>
      <c r="J343" t="s">
        <v>31</v>
      </c>
      <c r="K343" t="s">
        <v>32</v>
      </c>
      <c r="L343" t="s">
        <v>32</v>
      </c>
      <c r="M343" t="s">
        <v>33</v>
      </c>
      <c r="N343" t="s">
        <v>33</v>
      </c>
      <c r="O343" t="s">
        <v>33</v>
      </c>
      <c r="P343" t="s">
        <v>34</v>
      </c>
      <c r="Q343" t="s">
        <v>35</v>
      </c>
      <c r="R343" t="s">
        <v>151</v>
      </c>
      <c r="S343" t="s">
        <v>30</v>
      </c>
      <c r="T343" t="s">
        <v>387</v>
      </c>
      <c r="U343" t="s">
        <v>388</v>
      </c>
      <c r="V343" t="s">
        <v>40</v>
      </c>
      <c r="W343" s="1">
        <v>954300</v>
      </c>
    </row>
    <row r="344" spans="1:23" x14ac:dyDescent="0.2">
      <c r="A344" t="s">
        <v>23</v>
      </c>
      <c r="B344" t="s">
        <v>24</v>
      </c>
      <c r="C344" t="s">
        <v>25</v>
      </c>
      <c r="D344" t="s">
        <v>208</v>
      </c>
      <c r="E344" t="s">
        <v>368</v>
      </c>
      <c r="F344" t="s">
        <v>369</v>
      </c>
      <c r="G344" t="s">
        <v>67</v>
      </c>
      <c r="H344" t="s">
        <v>30</v>
      </c>
      <c r="I344" t="s">
        <v>30</v>
      </c>
      <c r="J344" t="s">
        <v>31</v>
      </c>
      <c r="K344" t="s">
        <v>32</v>
      </c>
      <c r="L344" t="s">
        <v>32</v>
      </c>
      <c r="M344" t="s">
        <v>33</v>
      </c>
      <c r="N344" t="s">
        <v>33</v>
      </c>
      <c r="O344" t="s">
        <v>33</v>
      </c>
      <c r="P344" t="s">
        <v>213</v>
      </c>
      <c r="Q344" t="s">
        <v>214</v>
      </c>
      <c r="R344" t="s">
        <v>228</v>
      </c>
      <c r="S344" t="s">
        <v>30</v>
      </c>
      <c r="T344" t="s">
        <v>389</v>
      </c>
      <c r="U344" t="s">
        <v>390</v>
      </c>
      <c r="V344" t="s">
        <v>39</v>
      </c>
      <c r="W344" s="1">
        <v>2</v>
      </c>
    </row>
    <row r="345" spans="1:23" x14ac:dyDescent="0.2">
      <c r="A345" t="s">
        <v>23</v>
      </c>
      <c r="B345" t="s">
        <v>24</v>
      </c>
      <c r="C345" t="s">
        <v>25</v>
      </c>
      <c r="D345" t="s">
        <v>208</v>
      </c>
      <c r="E345" t="s">
        <v>368</v>
      </c>
      <c r="F345" t="s">
        <v>369</v>
      </c>
      <c r="G345" t="s">
        <v>67</v>
      </c>
      <c r="H345" t="s">
        <v>30</v>
      </c>
      <c r="I345" t="s">
        <v>30</v>
      </c>
      <c r="J345" t="s">
        <v>31</v>
      </c>
      <c r="K345" t="s">
        <v>32</v>
      </c>
      <c r="L345" t="s">
        <v>32</v>
      </c>
      <c r="M345" t="s">
        <v>33</v>
      </c>
      <c r="N345" t="s">
        <v>33</v>
      </c>
      <c r="O345" t="s">
        <v>33</v>
      </c>
      <c r="P345" t="s">
        <v>213</v>
      </c>
      <c r="Q345" t="s">
        <v>214</v>
      </c>
      <c r="R345" t="s">
        <v>228</v>
      </c>
      <c r="S345" t="s">
        <v>30</v>
      </c>
      <c r="T345" t="s">
        <v>389</v>
      </c>
      <c r="U345" t="s">
        <v>390</v>
      </c>
      <c r="V345" t="s">
        <v>40</v>
      </c>
      <c r="W345" s="1">
        <v>1599800</v>
      </c>
    </row>
    <row r="346" spans="1:23" x14ac:dyDescent="0.2">
      <c r="A346" t="s">
        <v>23</v>
      </c>
      <c r="B346" t="s">
        <v>24</v>
      </c>
      <c r="C346" t="s">
        <v>25</v>
      </c>
      <c r="D346" t="s">
        <v>208</v>
      </c>
      <c r="E346" t="s">
        <v>368</v>
      </c>
      <c r="F346" t="s">
        <v>369</v>
      </c>
      <c r="G346" t="s">
        <v>67</v>
      </c>
      <c r="H346" t="s">
        <v>30</v>
      </c>
      <c r="I346" t="s">
        <v>30</v>
      </c>
      <c r="J346" t="s">
        <v>31</v>
      </c>
      <c r="K346" t="s">
        <v>32</v>
      </c>
      <c r="L346" t="s">
        <v>32</v>
      </c>
      <c r="M346" t="s">
        <v>33</v>
      </c>
      <c r="P346" t="s">
        <v>34</v>
      </c>
      <c r="Q346" t="s">
        <v>35</v>
      </c>
      <c r="R346" t="s">
        <v>228</v>
      </c>
      <c r="S346" t="s">
        <v>52</v>
      </c>
      <c r="T346" t="s">
        <v>389</v>
      </c>
      <c r="U346" t="s">
        <v>391</v>
      </c>
      <c r="V346" t="s">
        <v>39</v>
      </c>
      <c r="W346" s="1">
        <v>0</v>
      </c>
    </row>
    <row r="347" spans="1:23" x14ac:dyDescent="0.2">
      <c r="A347" t="s">
        <v>23</v>
      </c>
      <c r="B347" t="s">
        <v>24</v>
      </c>
      <c r="C347" t="s">
        <v>25</v>
      </c>
      <c r="D347" t="s">
        <v>208</v>
      </c>
      <c r="E347" t="s">
        <v>368</v>
      </c>
      <c r="F347" t="s">
        <v>369</v>
      </c>
      <c r="G347" t="s">
        <v>67</v>
      </c>
      <c r="H347" t="s">
        <v>30</v>
      </c>
      <c r="I347" t="s">
        <v>30</v>
      </c>
      <c r="J347" t="s">
        <v>31</v>
      </c>
      <c r="K347" t="s">
        <v>32</v>
      </c>
      <c r="L347" t="s">
        <v>32</v>
      </c>
      <c r="M347" t="s">
        <v>33</v>
      </c>
      <c r="P347" t="s">
        <v>34</v>
      </c>
      <c r="Q347" t="s">
        <v>35</v>
      </c>
      <c r="R347" t="s">
        <v>228</v>
      </c>
      <c r="S347" t="s">
        <v>52</v>
      </c>
      <c r="T347" t="s">
        <v>389</v>
      </c>
      <c r="U347" t="s">
        <v>391</v>
      </c>
      <c r="V347" t="s">
        <v>40</v>
      </c>
      <c r="W347" s="1">
        <v>1599800</v>
      </c>
    </row>
    <row r="348" spans="1:23" x14ac:dyDescent="0.2">
      <c r="A348" t="s">
        <v>23</v>
      </c>
      <c r="B348" t="s">
        <v>24</v>
      </c>
      <c r="C348" t="s">
        <v>25</v>
      </c>
      <c r="D348" t="s">
        <v>208</v>
      </c>
      <c r="E348" t="s">
        <v>368</v>
      </c>
      <c r="F348" t="s">
        <v>369</v>
      </c>
      <c r="G348" t="s">
        <v>67</v>
      </c>
      <c r="H348" t="s">
        <v>30</v>
      </c>
      <c r="I348" t="s">
        <v>30</v>
      </c>
      <c r="J348" t="s">
        <v>31</v>
      </c>
      <c r="K348" t="s">
        <v>32</v>
      </c>
      <c r="L348" t="s">
        <v>32</v>
      </c>
      <c r="M348" t="s">
        <v>33</v>
      </c>
      <c r="P348" t="s">
        <v>34</v>
      </c>
      <c r="Q348" t="s">
        <v>35</v>
      </c>
      <c r="S348" t="s">
        <v>52</v>
      </c>
      <c r="T348" t="s">
        <v>392</v>
      </c>
      <c r="U348" t="s">
        <v>393</v>
      </c>
      <c r="V348" t="s">
        <v>39</v>
      </c>
      <c r="W348" s="1">
        <v>0</v>
      </c>
    </row>
    <row r="349" spans="1:23" x14ac:dyDescent="0.2">
      <c r="A349" t="s">
        <v>23</v>
      </c>
      <c r="B349" t="s">
        <v>24</v>
      </c>
      <c r="C349" t="s">
        <v>25</v>
      </c>
      <c r="D349" t="s">
        <v>208</v>
      </c>
      <c r="E349" t="s">
        <v>368</v>
      </c>
      <c r="F349" t="s">
        <v>369</v>
      </c>
      <c r="G349" t="s">
        <v>67</v>
      </c>
      <c r="H349" t="s">
        <v>30</v>
      </c>
      <c r="I349" t="s">
        <v>30</v>
      </c>
      <c r="J349" t="s">
        <v>31</v>
      </c>
      <c r="K349" t="s">
        <v>32</v>
      </c>
      <c r="L349" t="s">
        <v>32</v>
      </c>
      <c r="M349" t="s">
        <v>33</v>
      </c>
      <c r="P349" t="s">
        <v>34</v>
      </c>
      <c r="Q349" t="s">
        <v>35</v>
      </c>
      <c r="S349" t="s">
        <v>52</v>
      </c>
      <c r="T349" t="s">
        <v>392</v>
      </c>
      <c r="U349" t="s">
        <v>393</v>
      </c>
      <c r="V349" t="s">
        <v>40</v>
      </c>
      <c r="W349" s="1">
        <v>3593700</v>
      </c>
    </row>
    <row r="350" spans="1:23" x14ac:dyDescent="0.2">
      <c r="A350" t="s">
        <v>23</v>
      </c>
      <c r="B350" t="s">
        <v>24</v>
      </c>
      <c r="C350" t="s">
        <v>25</v>
      </c>
      <c r="D350" t="s">
        <v>208</v>
      </c>
      <c r="E350" t="s">
        <v>368</v>
      </c>
      <c r="F350" t="s">
        <v>369</v>
      </c>
      <c r="G350" t="s">
        <v>67</v>
      </c>
      <c r="H350" t="s">
        <v>30</v>
      </c>
      <c r="I350" t="s">
        <v>30</v>
      </c>
      <c r="J350" t="s">
        <v>41</v>
      </c>
      <c r="K350" t="s">
        <v>32</v>
      </c>
      <c r="L350" t="s">
        <v>32</v>
      </c>
      <c r="M350" t="s">
        <v>33</v>
      </c>
      <c r="N350" t="s">
        <v>33</v>
      </c>
      <c r="O350" t="s">
        <v>33</v>
      </c>
      <c r="P350" t="s">
        <v>34</v>
      </c>
      <c r="Q350" t="s">
        <v>35</v>
      </c>
      <c r="R350" t="s">
        <v>54</v>
      </c>
      <c r="S350" t="s">
        <v>30</v>
      </c>
      <c r="T350" t="s">
        <v>394</v>
      </c>
      <c r="U350" t="s">
        <v>395</v>
      </c>
      <c r="V350" t="s">
        <v>39</v>
      </c>
      <c r="W350" s="1">
        <v>2</v>
      </c>
    </row>
    <row r="351" spans="1:23" x14ac:dyDescent="0.2">
      <c r="A351" t="s">
        <v>23</v>
      </c>
      <c r="B351" t="s">
        <v>24</v>
      </c>
      <c r="C351" t="s">
        <v>25</v>
      </c>
      <c r="D351" t="s">
        <v>208</v>
      </c>
      <c r="E351" t="s">
        <v>368</v>
      </c>
      <c r="F351" t="s">
        <v>369</v>
      </c>
      <c r="G351" t="s">
        <v>67</v>
      </c>
      <c r="H351" t="s">
        <v>30</v>
      </c>
      <c r="I351" t="s">
        <v>30</v>
      </c>
      <c r="J351" t="s">
        <v>41</v>
      </c>
      <c r="K351" t="s">
        <v>32</v>
      </c>
      <c r="L351" t="s">
        <v>32</v>
      </c>
      <c r="M351" t="s">
        <v>33</v>
      </c>
      <c r="N351" t="s">
        <v>33</v>
      </c>
      <c r="O351" t="s">
        <v>33</v>
      </c>
      <c r="P351" t="s">
        <v>34</v>
      </c>
      <c r="Q351" t="s">
        <v>35</v>
      </c>
      <c r="R351" t="s">
        <v>54</v>
      </c>
      <c r="S351" t="s">
        <v>30</v>
      </c>
      <c r="T351" t="s">
        <v>394</v>
      </c>
      <c r="U351" t="s">
        <v>395</v>
      </c>
      <c r="V351" t="s">
        <v>40</v>
      </c>
      <c r="W351" s="1">
        <v>1963200</v>
      </c>
    </row>
    <row r="352" spans="1:23" x14ac:dyDescent="0.2">
      <c r="A352" t="s">
        <v>23</v>
      </c>
      <c r="B352" t="s">
        <v>24</v>
      </c>
      <c r="C352" t="s">
        <v>25</v>
      </c>
      <c r="D352" t="s">
        <v>208</v>
      </c>
      <c r="E352" t="s">
        <v>368</v>
      </c>
      <c r="F352" t="s">
        <v>369</v>
      </c>
      <c r="G352" t="s">
        <v>67</v>
      </c>
      <c r="H352" t="s">
        <v>30</v>
      </c>
      <c r="I352" t="s">
        <v>30</v>
      </c>
      <c r="J352" t="s">
        <v>41</v>
      </c>
      <c r="K352" t="s">
        <v>32</v>
      </c>
      <c r="L352" t="s">
        <v>32</v>
      </c>
      <c r="M352" t="s">
        <v>33</v>
      </c>
      <c r="P352" t="s">
        <v>34</v>
      </c>
      <c r="Q352" t="s">
        <v>35</v>
      </c>
      <c r="R352" t="s">
        <v>54</v>
      </c>
      <c r="S352" t="s">
        <v>52</v>
      </c>
      <c r="T352" t="s">
        <v>396</v>
      </c>
      <c r="U352" t="s">
        <v>397</v>
      </c>
      <c r="V352" t="s">
        <v>39</v>
      </c>
      <c r="W352" s="1">
        <v>0</v>
      </c>
    </row>
    <row r="353" spans="1:23" x14ac:dyDescent="0.2">
      <c r="A353" t="s">
        <v>23</v>
      </c>
      <c r="B353" t="s">
        <v>24</v>
      </c>
      <c r="C353" t="s">
        <v>25</v>
      </c>
      <c r="D353" t="s">
        <v>208</v>
      </c>
      <c r="E353" t="s">
        <v>368</v>
      </c>
      <c r="F353" t="s">
        <v>369</v>
      </c>
      <c r="G353" t="s">
        <v>67</v>
      </c>
      <c r="H353" t="s">
        <v>30</v>
      </c>
      <c r="I353" t="s">
        <v>30</v>
      </c>
      <c r="J353" t="s">
        <v>41</v>
      </c>
      <c r="K353" t="s">
        <v>32</v>
      </c>
      <c r="L353" t="s">
        <v>32</v>
      </c>
      <c r="M353" t="s">
        <v>33</v>
      </c>
      <c r="P353" t="s">
        <v>34</v>
      </c>
      <c r="Q353" t="s">
        <v>35</v>
      </c>
      <c r="R353" t="s">
        <v>54</v>
      </c>
      <c r="S353" t="s">
        <v>52</v>
      </c>
      <c r="T353" t="s">
        <v>396</v>
      </c>
      <c r="U353" t="s">
        <v>397</v>
      </c>
      <c r="V353" t="s">
        <v>40</v>
      </c>
      <c r="W353" s="1">
        <v>1806000</v>
      </c>
    </row>
    <row r="354" spans="1:23" x14ac:dyDescent="0.2">
      <c r="A354" t="s">
        <v>23</v>
      </c>
      <c r="B354" t="s">
        <v>24</v>
      </c>
      <c r="C354" t="s">
        <v>25</v>
      </c>
      <c r="D354" t="s">
        <v>208</v>
      </c>
      <c r="E354" t="s">
        <v>368</v>
      </c>
      <c r="F354" t="s">
        <v>369</v>
      </c>
      <c r="G354" t="s">
        <v>67</v>
      </c>
      <c r="H354" t="s">
        <v>30</v>
      </c>
      <c r="I354" t="s">
        <v>30</v>
      </c>
      <c r="J354" t="s">
        <v>41</v>
      </c>
      <c r="K354" t="s">
        <v>32</v>
      </c>
      <c r="L354" t="s">
        <v>32</v>
      </c>
      <c r="M354" t="s">
        <v>33</v>
      </c>
      <c r="P354" t="s">
        <v>34</v>
      </c>
      <c r="Q354" t="s">
        <v>35</v>
      </c>
      <c r="S354" t="s">
        <v>52</v>
      </c>
      <c r="T354" t="s">
        <v>398</v>
      </c>
      <c r="U354" t="s">
        <v>399</v>
      </c>
      <c r="V354" t="s">
        <v>39</v>
      </c>
      <c r="W354" s="1">
        <v>0</v>
      </c>
    </row>
    <row r="355" spans="1:23" x14ac:dyDescent="0.2">
      <c r="A355" t="s">
        <v>23</v>
      </c>
      <c r="B355" t="s">
        <v>24</v>
      </c>
      <c r="C355" t="s">
        <v>25</v>
      </c>
      <c r="D355" t="s">
        <v>208</v>
      </c>
      <c r="E355" t="s">
        <v>368</v>
      </c>
      <c r="F355" t="s">
        <v>369</v>
      </c>
      <c r="G355" t="s">
        <v>67</v>
      </c>
      <c r="H355" t="s">
        <v>30</v>
      </c>
      <c r="I355" t="s">
        <v>30</v>
      </c>
      <c r="J355" t="s">
        <v>41</v>
      </c>
      <c r="K355" t="s">
        <v>32</v>
      </c>
      <c r="L355" t="s">
        <v>32</v>
      </c>
      <c r="M355" t="s">
        <v>33</v>
      </c>
      <c r="P355" t="s">
        <v>34</v>
      </c>
      <c r="Q355" t="s">
        <v>35</v>
      </c>
      <c r="S355" t="s">
        <v>52</v>
      </c>
      <c r="T355" t="s">
        <v>398</v>
      </c>
      <c r="U355" t="s">
        <v>399</v>
      </c>
      <c r="V355" t="s">
        <v>40</v>
      </c>
      <c r="W355" s="1">
        <v>1904400</v>
      </c>
    </row>
    <row r="356" spans="1:23" x14ac:dyDescent="0.2">
      <c r="A356" t="s">
        <v>23</v>
      </c>
      <c r="B356" t="s">
        <v>24</v>
      </c>
      <c r="C356" t="s">
        <v>25</v>
      </c>
      <c r="D356" t="s">
        <v>208</v>
      </c>
      <c r="E356" t="s">
        <v>368</v>
      </c>
      <c r="F356" t="s">
        <v>369</v>
      </c>
      <c r="G356" t="s">
        <v>67</v>
      </c>
      <c r="H356" t="s">
        <v>30</v>
      </c>
      <c r="I356" t="s">
        <v>30</v>
      </c>
      <c r="J356" t="s">
        <v>41</v>
      </c>
      <c r="K356" t="s">
        <v>32</v>
      </c>
      <c r="L356" t="s">
        <v>32</v>
      </c>
      <c r="M356" t="s">
        <v>33</v>
      </c>
      <c r="P356" t="s">
        <v>34</v>
      </c>
      <c r="Q356" t="s">
        <v>35</v>
      </c>
      <c r="S356" t="s">
        <v>52</v>
      </c>
      <c r="T356" t="s">
        <v>400</v>
      </c>
      <c r="U356" t="s">
        <v>401</v>
      </c>
      <c r="V356" t="s">
        <v>39</v>
      </c>
      <c r="W356" s="1">
        <v>0</v>
      </c>
    </row>
    <row r="357" spans="1:23" x14ac:dyDescent="0.2">
      <c r="A357" t="s">
        <v>23</v>
      </c>
      <c r="B357" t="s">
        <v>24</v>
      </c>
      <c r="C357" t="s">
        <v>25</v>
      </c>
      <c r="D357" t="s">
        <v>208</v>
      </c>
      <c r="E357" t="s">
        <v>368</v>
      </c>
      <c r="F357" t="s">
        <v>369</v>
      </c>
      <c r="G357" t="s">
        <v>67</v>
      </c>
      <c r="H357" t="s">
        <v>30</v>
      </c>
      <c r="I357" t="s">
        <v>30</v>
      </c>
      <c r="J357" t="s">
        <v>41</v>
      </c>
      <c r="K357" t="s">
        <v>32</v>
      </c>
      <c r="L357" t="s">
        <v>32</v>
      </c>
      <c r="M357" t="s">
        <v>33</v>
      </c>
      <c r="P357" t="s">
        <v>34</v>
      </c>
      <c r="Q357" t="s">
        <v>35</v>
      </c>
      <c r="S357" t="s">
        <v>52</v>
      </c>
      <c r="T357" t="s">
        <v>400</v>
      </c>
      <c r="U357" t="s">
        <v>401</v>
      </c>
      <c r="V357" t="s">
        <v>40</v>
      </c>
      <c r="W357" s="1">
        <v>2659800</v>
      </c>
    </row>
    <row r="358" spans="1:23" x14ac:dyDescent="0.2">
      <c r="A358" t="s">
        <v>23</v>
      </c>
      <c r="B358" t="s">
        <v>24</v>
      </c>
      <c r="C358" t="s">
        <v>25</v>
      </c>
      <c r="D358" t="s">
        <v>208</v>
      </c>
      <c r="E358" t="s">
        <v>368</v>
      </c>
      <c r="F358" t="s">
        <v>369</v>
      </c>
      <c r="G358" t="s">
        <v>67</v>
      </c>
      <c r="H358" t="s">
        <v>30</v>
      </c>
      <c r="I358" t="s">
        <v>30</v>
      </c>
      <c r="J358" t="s">
        <v>41</v>
      </c>
      <c r="K358" t="s">
        <v>32</v>
      </c>
      <c r="L358" t="s">
        <v>32</v>
      </c>
      <c r="M358" t="s">
        <v>33</v>
      </c>
      <c r="P358" t="s">
        <v>34</v>
      </c>
      <c r="Q358" t="s">
        <v>35</v>
      </c>
      <c r="S358" t="s">
        <v>52</v>
      </c>
      <c r="T358" t="s">
        <v>402</v>
      </c>
      <c r="U358" t="s">
        <v>403</v>
      </c>
      <c r="V358" t="s">
        <v>39</v>
      </c>
      <c r="W358" s="1">
        <v>0</v>
      </c>
    </row>
    <row r="359" spans="1:23" x14ac:dyDescent="0.2">
      <c r="A359" t="s">
        <v>23</v>
      </c>
      <c r="B359" t="s">
        <v>24</v>
      </c>
      <c r="C359" t="s">
        <v>25</v>
      </c>
      <c r="D359" t="s">
        <v>208</v>
      </c>
      <c r="E359" t="s">
        <v>368</v>
      </c>
      <c r="F359" t="s">
        <v>369</v>
      </c>
      <c r="G359" t="s">
        <v>67</v>
      </c>
      <c r="H359" t="s">
        <v>30</v>
      </c>
      <c r="I359" t="s">
        <v>30</v>
      </c>
      <c r="J359" t="s">
        <v>41</v>
      </c>
      <c r="K359" t="s">
        <v>32</v>
      </c>
      <c r="L359" t="s">
        <v>32</v>
      </c>
      <c r="M359" t="s">
        <v>33</v>
      </c>
      <c r="P359" t="s">
        <v>34</v>
      </c>
      <c r="Q359" t="s">
        <v>35</v>
      </c>
      <c r="S359" t="s">
        <v>52</v>
      </c>
      <c r="T359" t="s">
        <v>402</v>
      </c>
      <c r="U359" t="s">
        <v>403</v>
      </c>
      <c r="V359" t="s">
        <v>40</v>
      </c>
      <c r="W359" s="1">
        <v>2659800</v>
      </c>
    </row>
    <row r="360" spans="1:23" x14ac:dyDescent="0.2">
      <c r="A360" t="s">
        <v>23</v>
      </c>
      <c r="B360" t="s">
        <v>24</v>
      </c>
      <c r="C360" t="s">
        <v>25</v>
      </c>
      <c r="D360" t="s">
        <v>208</v>
      </c>
      <c r="E360" t="s">
        <v>368</v>
      </c>
      <c r="F360" t="s">
        <v>369</v>
      </c>
      <c r="G360" t="s">
        <v>89</v>
      </c>
      <c r="H360" t="s">
        <v>30</v>
      </c>
      <c r="I360" t="s">
        <v>30</v>
      </c>
      <c r="J360" t="s">
        <v>128</v>
      </c>
      <c r="K360" t="s">
        <v>135</v>
      </c>
      <c r="L360" t="s">
        <v>32</v>
      </c>
      <c r="M360" t="s">
        <v>33</v>
      </c>
      <c r="N360" t="s">
        <v>33</v>
      </c>
      <c r="O360" t="s">
        <v>33</v>
      </c>
      <c r="P360" t="s">
        <v>34</v>
      </c>
      <c r="Q360" t="s">
        <v>35</v>
      </c>
      <c r="R360" t="s">
        <v>136</v>
      </c>
      <c r="S360" t="s">
        <v>30</v>
      </c>
      <c r="T360" t="s">
        <v>404</v>
      </c>
      <c r="U360" t="s">
        <v>405</v>
      </c>
      <c r="V360" t="s">
        <v>39</v>
      </c>
      <c r="W360" s="1">
        <v>4</v>
      </c>
    </row>
    <row r="361" spans="1:23" x14ac:dyDescent="0.2">
      <c r="A361" t="s">
        <v>23</v>
      </c>
      <c r="B361" t="s">
        <v>24</v>
      </c>
      <c r="C361" t="s">
        <v>25</v>
      </c>
      <c r="D361" t="s">
        <v>208</v>
      </c>
      <c r="E361" t="s">
        <v>368</v>
      </c>
      <c r="F361" t="s">
        <v>369</v>
      </c>
      <c r="G361" t="s">
        <v>89</v>
      </c>
      <c r="H361" t="s">
        <v>30</v>
      </c>
      <c r="I361" t="s">
        <v>30</v>
      </c>
      <c r="J361" t="s">
        <v>128</v>
      </c>
      <c r="K361" t="s">
        <v>135</v>
      </c>
      <c r="L361" t="s">
        <v>32</v>
      </c>
      <c r="M361" t="s">
        <v>33</v>
      </c>
      <c r="N361" t="s">
        <v>33</v>
      </c>
      <c r="O361" t="s">
        <v>33</v>
      </c>
      <c r="P361" t="s">
        <v>34</v>
      </c>
      <c r="Q361" t="s">
        <v>35</v>
      </c>
      <c r="R361" t="s">
        <v>136</v>
      </c>
      <c r="S361" t="s">
        <v>30</v>
      </c>
      <c r="T361" t="s">
        <v>404</v>
      </c>
      <c r="U361" t="s">
        <v>405</v>
      </c>
      <c r="V361" t="s">
        <v>40</v>
      </c>
      <c r="W361" s="1">
        <v>1719600</v>
      </c>
    </row>
    <row r="362" spans="1:23" x14ac:dyDescent="0.2">
      <c r="A362" t="s">
        <v>23</v>
      </c>
      <c r="B362" t="s">
        <v>24</v>
      </c>
      <c r="C362" t="s">
        <v>25</v>
      </c>
      <c r="D362" t="s">
        <v>208</v>
      </c>
      <c r="E362" t="s">
        <v>368</v>
      </c>
      <c r="F362" t="s">
        <v>369</v>
      </c>
      <c r="G362" t="s">
        <v>89</v>
      </c>
      <c r="H362" t="s">
        <v>30</v>
      </c>
      <c r="I362" t="s">
        <v>30</v>
      </c>
      <c r="J362" t="s">
        <v>31</v>
      </c>
      <c r="K362" t="s">
        <v>32</v>
      </c>
      <c r="L362" t="s">
        <v>32</v>
      </c>
      <c r="M362" t="s">
        <v>33</v>
      </c>
      <c r="N362" t="s">
        <v>33</v>
      </c>
      <c r="O362" t="s">
        <v>33</v>
      </c>
      <c r="P362" t="s">
        <v>213</v>
      </c>
      <c r="Q362" t="s">
        <v>214</v>
      </c>
      <c r="S362" t="s">
        <v>30</v>
      </c>
      <c r="T362" t="s">
        <v>406</v>
      </c>
      <c r="U362" t="s">
        <v>407</v>
      </c>
      <c r="V362" t="s">
        <v>39</v>
      </c>
      <c r="W362" s="1">
        <v>1</v>
      </c>
    </row>
    <row r="363" spans="1:23" x14ac:dyDescent="0.2">
      <c r="A363" t="s">
        <v>23</v>
      </c>
      <c r="B363" t="s">
        <v>24</v>
      </c>
      <c r="C363" t="s">
        <v>25</v>
      </c>
      <c r="D363" t="s">
        <v>208</v>
      </c>
      <c r="E363" t="s">
        <v>368</v>
      </c>
      <c r="F363" t="s">
        <v>369</v>
      </c>
      <c r="G363" t="s">
        <v>89</v>
      </c>
      <c r="H363" t="s">
        <v>30</v>
      </c>
      <c r="I363" t="s">
        <v>30</v>
      </c>
      <c r="J363" t="s">
        <v>31</v>
      </c>
      <c r="K363" t="s">
        <v>32</v>
      </c>
      <c r="L363" t="s">
        <v>32</v>
      </c>
      <c r="M363" t="s">
        <v>33</v>
      </c>
      <c r="N363" t="s">
        <v>33</v>
      </c>
      <c r="O363" t="s">
        <v>33</v>
      </c>
      <c r="P363" t="s">
        <v>213</v>
      </c>
      <c r="Q363" t="s">
        <v>214</v>
      </c>
      <c r="S363" t="s">
        <v>30</v>
      </c>
      <c r="T363" t="s">
        <v>406</v>
      </c>
      <c r="U363" t="s">
        <v>407</v>
      </c>
      <c r="V363" t="s">
        <v>40</v>
      </c>
      <c r="W363" s="1">
        <v>656900</v>
      </c>
    </row>
    <row r="364" spans="1:23" x14ac:dyDescent="0.2">
      <c r="A364" t="s">
        <v>23</v>
      </c>
      <c r="B364" t="s">
        <v>24</v>
      </c>
      <c r="C364" t="s">
        <v>25</v>
      </c>
      <c r="D364" t="s">
        <v>208</v>
      </c>
      <c r="E364" t="s">
        <v>368</v>
      </c>
      <c r="F364" t="s">
        <v>369</v>
      </c>
      <c r="G364" t="s">
        <v>89</v>
      </c>
      <c r="H364" t="s">
        <v>30</v>
      </c>
      <c r="I364" t="s">
        <v>30</v>
      </c>
      <c r="J364" t="s">
        <v>31</v>
      </c>
      <c r="K364" t="s">
        <v>32</v>
      </c>
      <c r="L364" t="s">
        <v>32</v>
      </c>
      <c r="M364" t="s">
        <v>33</v>
      </c>
      <c r="N364" t="s">
        <v>33</v>
      </c>
      <c r="O364" t="s">
        <v>33</v>
      </c>
      <c r="P364" t="s">
        <v>34</v>
      </c>
      <c r="Q364" t="s">
        <v>35</v>
      </c>
      <c r="R364" t="s">
        <v>353</v>
      </c>
      <c r="S364" t="s">
        <v>30</v>
      </c>
      <c r="T364" t="s">
        <v>408</v>
      </c>
      <c r="U364" t="s">
        <v>409</v>
      </c>
      <c r="V364" t="s">
        <v>39</v>
      </c>
      <c r="W364" s="1">
        <v>2</v>
      </c>
    </row>
    <row r="365" spans="1:23" x14ac:dyDescent="0.2">
      <c r="A365" t="s">
        <v>23</v>
      </c>
      <c r="B365" t="s">
        <v>24</v>
      </c>
      <c r="C365" t="s">
        <v>25</v>
      </c>
      <c r="D365" t="s">
        <v>208</v>
      </c>
      <c r="E365" t="s">
        <v>368</v>
      </c>
      <c r="F365" t="s">
        <v>369</v>
      </c>
      <c r="G365" t="s">
        <v>89</v>
      </c>
      <c r="H365" t="s">
        <v>30</v>
      </c>
      <c r="I365" t="s">
        <v>30</v>
      </c>
      <c r="J365" t="s">
        <v>31</v>
      </c>
      <c r="K365" t="s">
        <v>32</v>
      </c>
      <c r="L365" t="s">
        <v>32</v>
      </c>
      <c r="M365" t="s">
        <v>33</v>
      </c>
      <c r="N365" t="s">
        <v>33</v>
      </c>
      <c r="O365" t="s">
        <v>33</v>
      </c>
      <c r="P365" t="s">
        <v>34</v>
      </c>
      <c r="Q365" t="s">
        <v>35</v>
      </c>
      <c r="R365" t="s">
        <v>353</v>
      </c>
      <c r="S365" t="s">
        <v>30</v>
      </c>
      <c r="T365" t="s">
        <v>408</v>
      </c>
      <c r="U365" t="s">
        <v>409</v>
      </c>
      <c r="V365" t="s">
        <v>40</v>
      </c>
      <c r="W365" s="1">
        <v>259800</v>
      </c>
    </row>
    <row r="366" spans="1:23" x14ac:dyDescent="0.2">
      <c r="A366" t="s">
        <v>23</v>
      </c>
      <c r="B366" t="s">
        <v>24</v>
      </c>
      <c r="C366" t="s">
        <v>25</v>
      </c>
      <c r="D366" t="s">
        <v>208</v>
      </c>
      <c r="E366" t="s">
        <v>368</v>
      </c>
      <c r="F366" t="s">
        <v>369</v>
      </c>
      <c r="G366" t="s">
        <v>89</v>
      </c>
      <c r="H366" t="s">
        <v>30</v>
      </c>
      <c r="I366" t="s">
        <v>30</v>
      </c>
      <c r="J366" t="s">
        <v>31</v>
      </c>
      <c r="K366" t="s">
        <v>32</v>
      </c>
      <c r="L366" t="s">
        <v>32</v>
      </c>
      <c r="M366" t="s">
        <v>33</v>
      </c>
      <c r="N366" t="s">
        <v>33</v>
      </c>
      <c r="O366" t="s">
        <v>33</v>
      </c>
      <c r="P366" t="s">
        <v>34</v>
      </c>
      <c r="Q366" t="s">
        <v>35</v>
      </c>
      <c r="S366" t="s">
        <v>30</v>
      </c>
      <c r="T366" t="s">
        <v>410</v>
      </c>
      <c r="U366" t="s">
        <v>411</v>
      </c>
      <c r="V366" t="s">
        <v>39</v>
      </c>
      <c r="W366" s="1">
        <v>2</v>
      </c>
    </row>
    <row r="367" spans="1:23" x14ac:dyDescent="0.2">
      <c r="A367" t="s">
        <v>23</v>
      </c>
      <c r="B367" t="s">
        <v>24</v>
      </c>
      <c r="C367" t="s">
        <v>25</v>
      </c>
      <c r="D367" t="s">
        <v>208</v>
      </c>
      <c r="E367" t="s">
        <v>368</v>
      </c>
      <c r="F367" t="s">
        <v>369</v>
      </c>
      <c r="G367" t="s">
        <v>89</v>
      </c>
      <c r="H367" t="s">
        <v>30</v>
      </c>
      <c r="I367" t="s">
        <v>30</v>
      </c>
      <c r="J367" t="s">
        <v>31</v>
      </c>
      <c r="K367" t="s">
        <v>32</v>
      </c>
      <c r="L367" t="s">
        <v>32</v>
      </c>
      <c r="M367" t="s">
        <v>33</v>
      </c>
      <c r="N367" t="s">
        <v>33</v>
      </c>
      <c r="O367" t="s">
        <v>33</v>
      </c>
      <c r="P367" t="s">
        <v>34</v>
      </c>
      <c r="Q367" t="s">
        <v>35</v>
      </c>
      <c r="S367" t="s">
        <v>30</v>
      </c>
      <c r="T367" t="s">
        <v>410</v>
      </c>
      <c r="U367" t="s">
        <v>411</v>
      </c>
      <c r="V367" t="s">
        <v>40</v>
      </c>
      <c r="W367" s="1">
        <v>2249800</v>
      </c>
    </row>
    <row r="368" spans="1:23" x14ac:dyDescent="0.2">
      <c r="A368" t="s">
        <v>23</v>
      </c>
      <c r="B368" t="s">
        <v>24</v>
      </c>
      <c r="C368" t="s">
        <v>25</v>
      </c>
      <c r="D368" t="s">
        <v>208</v>
      </c>
      <c r="E368" t="s">
        <v>368</v>
      </c>
      <c r="F368" t="s">
        <v>369</v>
      </c>
      <c r="G368" t="s">
        <v>89</v>
      </c>
      <c r="H368" t="s">
        <v>30</v>
      </c>
      <c r="I368" t="s">
        <v>30</v>
      </c>
      <c r="J368" t="s">
        <v>31</v>
      </c>
      <c r="K368" t="s">
        <v>32</v>
      </c>
      <c r="L368" t="s">
        <v>32</v>
      </c>
      <c r="M368" t="s">
        <v>33</v>
      </c>
      <c r="N368" t="s">
        <v>169</v>
      </c>
      <c r="O368" t="s">
        <v>169</v>
      </c>
      <c r="P368" t="s">
        <v>213</v>
      </c>
      <c r="Q368" t="s">
        <v>214</v>
      </c>
      <c r="S368" t="s">
        <v>30</v>
      </c>
      <c r="T368" t="s">
        <v>406</v>
      </c>
      <c r="U368" t="s">
        <v>407</v>
      </c>
      <c r="V368" t="s">
        <v>39</v>
      </c>
      <c r="W368" s="1">
        <v>1</v>
      </c>
    </row>
    <row r="369" spans="1:23" x14ac:dyDescent="0.2">
      <c r="A369" t="s">
        <v>23</v>
      </c>
      <c r="B369" t="s">
        <v>24</v>
      </c>
      <c r="C369" t="s">
        <v>25</v>
      </c>
      <c r="D369" t="s">
        <v>208</v>
      </c>
      <c r="E369" t="s">
        <v>368</v>
      </c>
      <c r="F369" t="s">
        <v>369</v>
      </c>
      <c r="G369" t="s">
        <v>89</v>
      </c>
      <c r="H369" t="s">
        <v>30</v>
      </c>
      <c r="I369" t="s">
        <v>30</v>
      </c>
      <c r="J369" t="s">
        <v>31</v>
      </c>
      <c r="K369" t="s">
        <v>32</v>
      </c>
      <c r="L369" t="s">
        <v>32</v>
      </c>
      <c r="M369" t="s">
        <v>33</v>
      </c>
      <c r="N369" t="s">
        <v>169</v>
      </c>
      <c r="O369" t="s">
        <v>169</v>
      </c>
      <c r="P369" t="s">
        <v>213</v>
      </c>
      <c r="Q369" t="s">
        <v>214</v>
      </c>
      <c r="S369" t="s">
        <v>30</v>
      </c>
      <c r="T369" t="s">
        <v>406</v>
      </c>
      <c r="U369" t="s">
        <v>407</v>
      </c>
      <c r="V369" t="s">
        <v>40</v>
      </c>
      <c r="W369" s="1">
        <v>656900</v>
      </c>
    </row>
    <row r="370" spans="1:23" x14ac:dyDescent="0.2">
      <c r="A370" t="s">
        <v>23</v>
      </c>
      <c r="B370" t="s">
        <v>24</v>
      </c>
      <c r="C370" t="s">
        <v>25</v>
      </c>
      <c r="D370" t="s">
        <v>208</v>
      </c>
      <c r="E370" t="s">
        <v>368</v>
      </c>
      <c r="F370" t="s">
        <v>369</v>
      </c>
      <c r="G370" t="s">
        <v>89</v>
      </c>
      <c r="H370" t="s">
        <v>30</v>
      </c>
      <c r="I370" t="s">
        <v>30</v>
      </c>
      <c r="J370" t="s">
        <v>31</v>
      </c>
      <c r="K370" t="s">
        <v>32</v>
      </c>
      <c r="L370" t="s">
        <v>32</v>
      </c>
      <c r="M370" t="s">
        <v>33</v>
      </c>
      <c r="P370" t="s">
        <v>34</v>
      </c>
      <c r="Q370" t="s">
        <v>35</v>
      </c>
      <c r="R370" t="s">
        <v>353</v>
      </c>
      <c r="S370" t="s">
        <v>30</v>
      </c>
      <c r="T370" t="s">
        <v>408</v>
      </c>
      <c r="U370" t="s">
        <v>409</v>
      </c>
      <c r="V370" t="s">
        <v>39</v>
      </c>
      <c r="W370" s="1">
        <v>13</v>
      </c>
    </row>
    <row r="371" spans="1:23" x14ac:dyDescent="0.2">
      <c r="A371" t="s">
        <v>23</v>
      </c>
      <c r="B371" t="s">
        <v>24</v>
      </c>
      <c r="C371" t="s">
        <v>25</v>
      </c>
      <c r="D371" t="s">
        <v>208</v>
      </c>
      <c r="E371" t="s">
        <v>368</v>
      </c>
      <c r="F371" t="s">
        <v>369</v>
      </c>
      <c r="G371" t="s">
        <v>89</v>
      </c>
      <c r="H371" t="s">
        <v>30</v>
      </c>
      <c r="I371" t="s">
        <v>30</v>
      </c>
      <c r="J371" t="s">
        <v>31</v>
      </c>
      <c r="K371" t="s">
        <v>32</v>
      </c>
      <c r="L371" t="s">
        <v>32</v>
      </c>
      <c r="M371" t="s">
        <v>33</v>
      </c>
      <c r="P371" t="s">
        <v>34</v>
      </c>
      <c r="Q371" t="s">
        <v>35</v>
      </c>
      <c r="R371" t="s">
        <v>353</v>
      </c>
      <c r="S371" t="s">
        <v>30</v>
      </c>
      <c r="T371" t="s">
        <v>408</v>
      </c>
      <c r="U371" t="s">
        <v>409</v>
      </c>
      <c r="V371" t="s">
        <v>40</v>
      </c>
      <c r="W371" s="1">
        <v>1688700</v>
      </c>
    </row>
    <row r="372" spans="1:23" x14ac:dyDescent="0.2">
      <c r="A372" t="s">
        <v>23</v>
      </c>
      <c r="B372" t="s">
        <v>24</v>
      </c>
      <c r="C372" t="s">
        <v>25</v>
      </c>
      <c r="D372" t="s">
        <v>208</v>
      </c>
      <c r="E372" t="s">
        <v>368</v>
      </c>
      <c r="F372" t="s">
        <v>369</v>
      </c>
      <c r="G372" t="s">
        <v>89</v>
      </c>
      <c r="H372" t="s">
        <v>30</v>
      </c>
      <c r="I372" t="s">
        <v>30</v>
      </c>
      <c r="J372" t="s">
        <v>31</v>
      </c>
      <c r="K372" t="s">
        <v>32</v>
      </c>
      <c r="L372" t="s">
        <v>32</v>
      </c>
      <c r="M372" t="s">
        <v>33</v>
      </c>
      <c r="P372" t="s">
        <v>34</v>
      </c>
      <c r="Q372" t="s">
        <v>35</v>
      </c>
      <c r="R372" t="s">
        <v>353</v>
      </c>
      <c r="S372" t="s">
        <v>52</v>
      </c>
      <c r="T372" t="s">
        <v>408</v>
      </c>
      <c r="U372" t="s">
        <v>409</v>
      </c>
      <c r="V372" t="s">
        <v>39</v>
      </c>
      <c r="W372" s="1">
        <v>0</v>
      </c>
    </row>
    <row r="373" spans="1:23" x14ac:dyDescent="0.2">
      <c r="A373" t="s">
        <v>23</v>
      </c>
      <c r="B373" t="s">
        <v>24</v>
      </c>
      <c r="C373" t="s">
        <v>25</v>
      </c>
      <c r="D373" t="s">
        <v>208</v>
      </c>
      <c r="E373" t="s">
        <v>368</v>
      </c>
      <c r="F373" t="s">
        <v>369</v>
      </c>
      <c r="G373" t="s">
        <v>89</v>
      </c>
      <c r="H373" t="s">
        <v>30</v>
      </c>
      <c r="I373" t="s">
        <v>30</v>
      </c>
      <c r="J373" t="s">
        <v>31</v>
      </c>
      <c r="K373" t="s">
        <v>32</v>
      </c>
      <c r="L373" t="s">
        <v>32</v>
      </c>
      <c r="M373" t="s">
        <v>33</v>
      </c>
      <c r="P373" t="s">
        <v>34</v>
      </c>
      <c r="Q373" t="s">
        <v>35</v>
      </c>
      <c r="R373" t="s">
        <v>353</v>
      </c>
      <c r="S373" t="s">
        <v>52</v>
      </c>
      <c r="T373" t="s">
        <v>408</v>
      </c>
      <c r="U373" t="s">
        <v>409</v>
      </c>
      <c r="V373" t="s">
        <v>40</v>
      </c>
      <c r="W373" s="1">
        <v>259800</v>
      </c>
    </row>
    <row r="374" spans="1:23" x14ac:dyDescent="0.2">
      <c r="A374" t="s">
        <v>23</v>
      </c>
      <c r="B374" t="s">
        <v>24</v>
      </c>
      <c r="C374" t="s">
        <v>25</v>
      </c>
      <c r="D374" t="s">
        <v>208</v>
      </c>
      <c r="E374" t="s">
        <v>368</v>
      </c>
      <c r="F374" t="s">
        <v>369</v>
      </c>
      <c r="G374" t="s">
        <v>89</v>
      </c>
      <c r="H374" t="s">
        <v>30</v>
      </c>
      <c r="I374" t="s">
        <v>30</v>
      </c>
      <c r="J374" t="s">
        <v>31</v>
      </c>
      <c r="K374" t="s">
        <v>32</v>
      </c>
      <c r="L374" t="s">
        <v>32</v>
      </c>
      <c r="M374" t="s">
        <v>176</v>
      </c>
      <c r="N374" t="s">
        <v>176</v>
      </c>
      <c r="O374" t="s">
        <v>176</v>
      </c>
      <c r="P374" t="s">
        <v>213</v>
      </c>
      <c r="Q374" t="s">
        <v>214</v>
      </c>
      <c r="S374" t="s">
        <v>30</v>
      </c>
      <c r="T374" t="s">
        <v>406</v>
      </c>
      <c r="U374" t="s">
        <v>407</v>
      </c>
      <c r="V374" t="s">
        <v>39</v>
      </c>
      <c r="W374" s="1">
        <v>1</v>
      </c>
    </row>
    <row r="375" spans="1:23" x14ac:dyDescent="0.2">
      <c r="A375" t="s">
        <v>23</v>
      </c>
      <c r="B375" t="s">
        <v>24</v>
      </c>
      <c r="C375" t="s">
        <v>25</v>
      </c>
      <c r="D375" t="s">
        <v>208</v>
      </c>
      <c r="E375" t="s">
        <v>368</v>
      </c>
      <c r="F375" t="s">
        <v>369</v>
      </c>
      <c r="G375" t="s">
        <v>89</v>
      </c>
      <c r="H375" t="s">
        <v>30</v>
      </c>
      <c r="I375" t="s">
        <v>30</v>
      </c>
      <c r="J375" t="s">
        <v>31</v>
      </c>
      <c r="K375" t="s">
        <v>32</v>
      </c>
      <c r="L375" t="s">
        <v>32</v>
      </c>
      <c r="M375" t="s">
        <v>176</v>
      </c>
      <c r="N375" t="s">
        <v>176</v>
      </c>
      <c r="O375" t="s">
        <v>176</v>
      </c>
      <c r="P375" t="s">
        <v>213</v>
      </c>
      <c r="Q375" t="s">
        <v>214</v>
      </c>
      <c r="S375" t="s">
        <v>30</v>
      </c>
      <c r="T375" t="s">
        <v>406</v>
      </c>
      <c r="U375" t="s">
        <v>407</v>
      </c>
      <c r="V375" t="s">
        <v>40</v>
      </c>
      <c r="W375" s="1">
        <v>656900</v>
      </c>
    </row>
    <row r="376" spans="1:23" x14ac:dyDescent="0.2">
      <c r="A376" t="s">
        <v>23</v>
      </c>
      <c r="B376" t="s">
        <v>24</v>
      </c>
      <c r="C376" t="s">
        <v>25</v>
      </c>
      <c r="D376" t="s">
        <v>208</v>
      </c>
      <c r="E376" t="s">
        <v>368</v>
      </c>
      <c r="F376" t="s">
        <v>369</v>
      </c>
      <c r="G376" t="s">
        <v>89</v>
      </c>
      <c r="H376" t="s">
        <v>30</v>
      </c>
      <c r="I376" t="s">
        <v>30</v>
      </c>
      <c r="J376" t="s">
        <v>41</v>
      </c>
      <c r="K376" t="s">
        <v>32</v>
      </c>
      <c r="L376" t="s">
        <v>32</v>
      </c>
      <c r="M376" t="s">
        <v>33</v>
      </c>
      <c r="N376" t="s">
        <v>33</v>
      </c>
      <c r="O376" t="s">
        <v>33</v>
      </c>
      <c r="P376" t="s">
        <v>34</v>
      </c>
      <c r="Q376" t="s">
        <v>35</v>
      </c>
      <c r="R376" t="s">
        <v>124</v>
      </c>
      <c r="S376" t="s">
        <v>30</v>
      </c>
      <c r="T376" t="s">
        <v>412</v>
      </c>
      <c r="U376" t="s">
        <v>413</v>
      </c>
      <c r="V376" t="s">
        <v>39</v>
      </c>
      <c r="W376" s="1">
        <v>2</v>
      </c>
    </row>
    <row r="377" spans="1:23" x14ac:dyDescent="0.2">
      <c r="A377" t="s">
        <v>23</v>
      </c>
      <c r="B377" t="s">
        <v>24</v>
      </c>
      <c r="C377" t="s">
        <v>25</v>
      </c>
      <c r="D377" t="s">
        <v>208</v>
      </c>
      <c r="E377" t="s">
        <v>368</v>
      </c>
      <c r="F377" t="s">
        <v>369</v>
      </c>
      <c r="G377" t="s">
        <v>89</v>
      </c>
      <c r="H377" t="s">
        <v>30</v>
      </c>
      <c r="I377" t="s">
        <v>30</v>
      </c>
      <c r="J377" t="s">
        <v>41</v>
      </c>
      <c r="K377" t="s">
        <v>32</v>
      </c>
      <c r="L377" t="s">
        <v>32</v>
      </c>
      <c r="M377" t="s">
        <v>33</v>
      </c>
      <c r="N377" t="s">
        <v>33</v>
      </c>
      <c r="O377" t="s">
        <v>33</v>
      </c>
      <c r="P377" t="s">
        <v>34</v>
      </c>
      <c r="Q377" t="s">
        <v>35</v>
      </c>
      <c r="R377" t="s">
        <v>124</v>
      </c>
      <c r="S377" t="s">
        <v>30</v>
      </c>
      <c r="T377" t="s">
        <v>412</v>
      </c>
      <c r="U377" t="s">
        <v>413</v>
      </c>
      <c r="V377" t="s">
        <v>40</v>
      </c>
      <c r="W377" s="1">
        <v>3969800</v>
      </c>
    </row>
    <row r="378" spans="1:23" x14ac:dyDescent="0.2">
      <c r="A378" t="s">
        <v>23</v>
      </c>
      <c r="B378" t="s">
        <v>24</v>
      </c>
      <c r="C378" t="s">
        <v>25</v>
      </c>
      <c r="D378" t="s">
        <v>208</v>
      </c>
      <c r="E378" t="s">
        <v>368</v>
      </c>
      <c r="F378" t="s">
        <v>369</v>
      </c>
      <c r="G378" t="s">
        <v>106</v>
      </c>
      <c r="H378" t="s">
        <v>30</v>
      </c>
      <c r="I378" t="s">
        <v>30</v>
      </c>
      <c r="J378" t="s">
        <v>31</v>
      </c>
      <c r="K378" t="s">
        <v>32</v>
      </c>
      <c r="L378" t="s">
        <v>32</v>
      </c>
      <c r="M378" t="s">
        <v>33</v>
      </c>
      <c r="N378" t="s">
        <v>33</v>
      </c>
      <c r="O378" t="s">
        <v>33</v>
      </c>
      <c r="P378" t="s">
        <v>34</v>
      </c>
      <c r="Q378" t="s">
        <v>35</v>
      </c>
      <c r="S378" t="s">
        <v>30</v>
      </c>
      <c r="T378" t="s">
        <v>414</v>
      </c>
      <c r="U378" t="s">
        <v>415</v>
      </c>
      <c r="V378" t="s">
        <v>39</v>
      </c>
      <c r="W378" s="1">
        <v>1</v>
      </c>
    </row>
    <row r="379" spans="1:23" x14ac:dyDescent="0.2">
      <c r="A379" t="s">
        <v>23</v>
      </c>
      <c r="B379" t="s">
        <v>24</v>
      </c>
      <c r="C379" t="s">
        <v>25</v>
      </c>
      <c r="D379" t="s">
        <v>208</v>
      </c>
      <c r="E379" t="s">
        <v>368</v>
      </c>
      <c r="F379" t="s">
        <v>369</v>
      </c>
      <c r="G379" t="s">
        <v>106</v>
      </c>
      <c r="H379" t="s">
        <v>30</v>
      </c>
      <c r="I379" t="s">
        <v>30</v>
      </c>
      <c r="J379" t="s">
        <v>31</v>
      </c>
      <c r="K379" t="s">
        <v>32</v>
      </c>
      <c r="L379" t="s">
        <v>32</v>
      </c>
      <c r="M379" t="s">
        <v>33</v>
      </c>
      <c r="N379" t="s">
        <v>33</v>
      </c>
      <c r="O379" t="s">
        <v>33</v>
      </c>
      <c r="P379" t="s">
        <v>34</v>
      </c>
      <c r="Q379" t="s">
        <v>35</v>
      </c>
      <c r="S379" t="s">
        <v>30</v>
      </c>
      <c r="T379" t="s">
        <v>414</v>
      </c>
      <c r="U379" t="s">
        <v>415</v>
      </c>
      <c r="V379" t="s">
        <v>40</v>
      </c>
      <c r="W379" s="1">
        <v>128500</v>
      </c>
    </row>
    <row r="380" spans="1:23" x14ac:dyDescent="0.2">
      <c r="A380" t="s">
        <v>23</v>
      </c>
      <c r="B380" t="s">
        <v>24</v>
      </c>
      <c r="C380" t="s">
        <v>25</v>
      </c>
      <c r="D380" t="s">
        <v>208</v>
      </c>
      <c r="E380" t="s">
        <v>368</v>
      </c>
      <c r="F380" t="s">
        <v>369</v>
      </c>
      <c r="G380" t="s">
        <v>106</v>
      </c>
      <c r="H380" t="s">
        <v>30</v>
      </c>
      <c r="I380" t="s">
        <v>30</v>
      </c>
      <c r="J380" t="s">
        <v>31</v>
      </c>
      <c r="K380" t="s">
        <v>32</v>
      </c>
      <c r="L380" t="s">
        <v>32</v>
      </c>
      <c r="M380" t="s">
        <v>33</v>
      </c>
      <c r="P380" t="s">
        <v>34</v>
      </c>
      <c r="Q380" t="s">
        <v>35</v>
      </c>
      <c r="S380" t="s">
        <v>30</v>
      </c>
      <c r="T380" t="s">
        <v>414</v>
      </c>
      <c r="U380" t="s">
        <v>415</v>
      </c>
      <c r="V380" t="s">
        <v>39</v>
      </c>
      <c r="W380" s="1">
        <v>2</v>
      </c>
    </row>
    <row r="381" spans="1:23" x14ac:dyDescent="0.2">
      <c r="A381" t="s">
        <v>23</v>
      </c>
      <c r="B381" t="s">
        <v>24</v>
      </c>
      <c r="C381" t="s">
        <v>25</v>
      </c>
      <c r="D381" t="s">
        <v>208</v>
      </c>
      <c r="E381" t="s">
        <v>368</v>
      </c>
      <c r="F381" t="s">
        <v>369</v>
      </c>
      <c r="G381" t="s">
        <v>106</v>
      </c>
      <c r="H381" t="s">
        <v>30</v>
      </c>
      <c r="I381" t="s">
        <v>30</v>
      </c>
      <c r="J381" t="s">
        <v>31</v>
      </c>
      <c r="K381" t="s">
        <v>32</v>
      </c>
      <c r="L381" t="s">
        <v>32</v>
      </c>
      <c r="M381" t="s">
        <v>33</v>
      </c>
      <c r="P381" t="s">
        <v>34</v>
      </c>
      <c r="Q381" t="s">
        <v>35</v>
      </c>
      <c r="S381" t="s">
        <v>30</v>
      </c>
      <c r="T381" t="s">
        <v>414</v>
      </c>
      <c r="U381" t="s">
        <v>415</v>
      </c>
      <c r="V381" t="s">
        <v>40</v>
      </c>
      <c r="W381" s="1">
        <v>257000</v>
      </c>
    </row>
    <row r="382" spans="1:23" x14ac:dyDescent="0.2">
      <c r="A382" t="s">
        <v>23</v>
      </c>
      <c r="B382" t="s">
        <v>24</v>
      </c>
      <c r="C382" t="s">
        <v>25</v>
      </c>
      <c r="D382" t="s">
        <v>208</v>
      </c>
      <c r="E382" t="s">
        <v>368</v>
      </c>
      <c r="F382" t="s">
        <v>369</v>
      </c>
      <c r="G382" t="s">
        <v>106</v>
      </c>
      <c r="H382" t="s">
        <v>30</v>
      </c>
      <c r="I382" t="s">
        <v>30</v>
      </c>
      <c r="J382" t="s">
        <v>31</v>
      </c>
      <c r="K382" t="s">
        <v>32</v>
      </c>
      <c r="L382" t="s">
        <v>32</v>
      </c>
      <c r="M382" t="s">
        <v>33</v>
      </c>
      <c r="P382" t="s">
        <v>34</v>
      </c>
      <c r="Q382" t="s">
        <v>35</v>
      </c>
      <c r="S382" t="s">
        <v>30</v>
      </c>
      <c r="T382" t="s">
        <v>416</v>
      </c>
      <c r="U382" t="s">
        <v>417</v>
      </c>
      <c r="V382" t="s">
        <v>39</v>
      </c>
      <c r="W382" s="1">
        <v>6</v>
      </c>
    </row>
    <row r="383" spans="1:23" x14ac:dyDescent="0.2">
      <c r="A383" t="s">
        <v>23</v>
      </c>
      <c r="B383" t="s">
        <v>24</v>
      </c>
      <c r="C383" t="s">
        <v>25</v>
      </c>
      <c r="D383" t="s">
        <v>208</v>
      </c>
      <c r="E383" t="s">
        <v>368</v>
      </c>
      <c r="F383" t="s">
        <v>369</v>
      </c>
      <c r="G383" t="s">
        <v>106</v>
      </c>
      <c r="H383" t="s">
        <v>30</v>
      </c>
      <c r="I383" t="s">
        <v>30</v>
      </c>
      <c r="J383" t="s">
        <v>31</v>
      </c>
      <c r="K383" t="s">
        <v>32</v>
      </c>
      <c r="L383" t="s">
        <v>32</v>
      </c>
      <c r="M383" t="s">
        <v>33</v>
      </c>
      <c r="P383" t="s">
        <v>34</v>
      </c>
      <c r="Q383" t="s">
        <v>35</v>
      </c>
      <c r="S383" t="s">
        <v>30</v>
      </c>
      <c r="T383" t="s">
        <v>416</v>
      </c>
      <c r="U383" t="s">
        <v>417</v>
      </c>
      <c r="V383" t="s">
        <v>40</v>
      </c>
      <c r="W383" s="1">
        <v>6108600</v>
      </c>
    </row>
    <row r="384" spans="1:23" x14ac:dyDescent="0.2">
      <c r="A384" t="s">
        <v>23</v>
      </c>
      <c r="B384" t="s">
        <v>24</v>
      </c>
      <c r="C384" t="s">
        <v>25</v>
      </c>
      <c r="D384" t="s">
        <v>208</v>
      </c>
      <c r="E384" t="s">
        <v>368</v>
      </c>
      <c r="F384" t="s">
        <v>369</v>
      </c>
      <c r="G384" t="s">
        <v>106</v>
      </c>
      <c r="H384" t="s">
        <v>30</v>
      </c>
      <c r="I384" t="s">
        <v>30</v>
      </c>
      <c r="J384" t="s">
        <v>31</v>
      </c>
      <c r="K384" t="s">
        <v>32</v>
      </c>
      <c r="L384" t="s">
        <v>32</v>
      </c>
      <c r="M384" t="s">
        <v>33</v>
      </c>
      <c r="P384" t="s">
        <v>372</v>
      </c>
      <c r="Q384" t="s">
        <v>373</v>
      </c>
      <c r="R384" t="s">
        <v>353</v>
      </c>
      <c r="S384" t="s">
        <v>30</v>
      </c>
      <c r="T384" t="s">
        <v>408</v>
      </c>
      <c r="U384" t="s">
        <v>409</v>
      </c>
      <c r="V384" t="s">
        <v>39</v>
      </c>
      <c r="W384" s="1">
        <v>1</v>
      </c>
    </row>
    <row r="385" spans="1:23" x14ac:dyDescent="0.2">
      <c r="A385" t="s">
        <v>23</v>
      </c>
      <c r="B385" t="s">
        <v>24</v>
      </c>
      <c r="C385" t="s">
        <v>25</v>
      </c>
      <c r="D385" t="s">
        <v>208</v>
      </c>
      <c r="E385" t="s">
        <v>368</v>
      </c>
      <c r="F385" t="s">
        <v>369</v>
      </c>
      <c r="G385" t="s">
        <v>106</v>
      </c>
      <c r="H385" t="s">
        <v>30</v>
      </c>
      <c r="I385" t="s">
        <v>30</v>
      </c>
      <c r="J385" t="s">
        <v>31</v>
      </c>
      <c r="K385" t="s">
        <v>32</v>
      </c>
      <c r="L385" t="s">
        <v>32</v>
      </c>
      <c r="M385" t="s">
        <v>33</v>
      </c>
      <c r="P385" t="s">
        <v>372</v>
      </c>
      <c r="Q385" t="s">
        <v>373</v>
      </c>
      <c r="R385" t="s">
        <v>353</v>
      </c>
      <c r="S385" t="s">
        <v>30</v>
      </c>
      <c r="T385" t="s">
        <v>408</v>
      </c>
      <c r="U385" t="s">
        <v>409</v>
      </c>
      <c r="V385" t="s">
        <v>40</v>
      </c>
      <c r="W385" s="1">
        <v>129900</v>
      </c>
    </row>
    <row r="386" spans="1:23" x14ac:dyDescent="0.2">
      <c r="A386" t="s">
        <v>23</v>
      </c>
      <c r="B386" t="s">
        <v>24</v>
      </c>
      <c r="C386" t="s">
        <v>25</v>
      </c>
      <c r="D386" t="s">
        <v>208</v>
      </c>
      <c r="E386" t="s">
        <v>368</v>
      </c>
      <c r="F386" t="s">
        <v>369</v>
      </c>
      <c r="G386" t="s">
        <v>139</v>
      </c>
      <c r="H386" t="s">
        <v>30</v>
      </c>
      <c r="I386" t="s">
        <v>30</v>
      </c>
      <c r="J386" t="s">
        <v>31</v>
      </c>
      <c r="K386" t="s">
        <v>32</v>
      </c>
      <c r="L386" t="s">
        <v>32</v>
      </c>
      <c r="M386" t="s">
        <v>33</v>
      </c>
      <c r="N386" t="s">
        <v>33</v>
      </c>
      <c r="O386" t="s">
        <v>33</v>
      </c>
      <c r="P386" t="s">
        <v>34</v>
      </c>
      <c r="Q386" t="s">
        <v>35</v>
      </c>
      <c r="S386" t="s">
        <v>30</v>
      </c>
      <c r="T386" t="s">
        <v>418</v>
      </c>
      <c r="U386" t="s">
        <v>419</v>
      </c>
      <c r="V386" t="s">
        <v>39</v>
      </c>
      <c r="W386" s="1">
        <v>5</v>
      </c>
    </row>
    <row r="387" spans="1:23" x14ac:dyDescent="0.2">
      <c r="A387" t="s">
        <v>23</v>
      </c>
      <c r="B387" t="s">
        <v>24</v>
      </c>
      <c r="C387" t="s">
        <v>25</v>
      </c>
      <c r="D387" t="s">
        <v>208</v>
      </c>
      <c r="E387" t="s">
        <v>368</v>
      </c>
      <c r="F387" t="s">
        <v>369</v>
      </c>
      <c r="G387" t="s">
        <v>139</v>
      </c>
      <c r="H387" t="s">
        <v>30</v>
      </c>
      <c r="I387" t="s">
        <v>30</v>
      </c>
      <c r="J387" t="s">
        <v>31</v>
      </c>
      <c r="K387" t="s">
        <v>32</v>
      </c>
      <c r="L387" t="s">
        <v>32</v>
      </c>
      <c r="M387" t="s">
        <v>33</v>
      </c>
      <c r="N387" t="s">
        <v>33</v>
      </c>
      <c r="O387" t="s">
        <v>33</v>
      </c>
      <c r="P387" t="s">
        <v>34</v>
      </c>
      <c r="Q387" t="s">
        <v>35</v>
      </c>
      <c r="S387" t="s">
        <v>30</v>
      </c>
      <c r="T387" t="s">
        <v>418</v>
      </c>
      <c r="U387" t="s">
        <v>419</v>
      </c>
      <c r="V387" t="s">
        <v>40</v>
      </c>
      <c r="W387" s="1">
        <v>4745000</v>
      </c>
    </row>
    <row r="388" spans="1:23" x14ac:dyDescent="0.2">
      <c r="A388" t="s">
        <v>23</v>
      </c>
      <c r="B388" t="s">
        <v>24</v>
      </c>
      <c r="C388" t="s">
        <v>25</v>
      </c>
      <c r="D388" t="s">
        <v>208</v>
      </c>
      <c r="E388" t="s">
        <v>368</v>
      </c>
      <c r="F388" t="s">
        <v>369</v>
      </c>
      <c r="G388" t="s">
        <v>139</v>
      </c>
      <c r="H388" t="s">
        <v>30</v>
      </c>
      <c r="I388" t="s">
        <v>30</v>
      </c>
      <c r="J388" t="s">
        <v>31</v>
      </c>
      <c r="K388" t="s">
        <v>32</v>
      </c>
      <c r="L388" t="s">
        <v>32</v>
      </c>
      <c r="M388" t="s">
        <v>33</v>
      </c>
      <c r="N388" t="s">
        <v>176</v>
      </c>
      <c r="O388" t="s">
        <v>176</v>
      </c>
      <c r="P388" t="s">
        <v>34</v>
      </c>
      <c r="Q388" t="s">
        <v>35</v>
      </c>
      <c r="S388" t="s">
        <v>30</v>
      </c>
      <c r="T388" t="s">
        <v>418</v>
      </c>
      <c r="U388" t="s">
        <v>419</v>
      </c>
      <c r="V388" t="s">
        <v>39</v>
      </c>
      <c r="W388" s="1">
        <v>1</v>
      </c>
    </row>
    <row r="389" spans="1:23" x14ac:dyDescent="0.2">
      <c r="A389" t="s">
        <v>23</v>
      </c>
      <c r="B389" t="s">
        <v>24</v>
      </c>
      <c r="C389" t="s">
        <v>25</v>
      </c>
      <c r="D389" t="s">
        <v>208</v>
      </c>
      <c r="E389" t="s">
        <v>368</v>
      </c>
      <c r="F389" t="s">
        <v>369</v>
      </c>
      <c r="G389" t="s">
        <v>139</v>
      </c>
      <c r="H389" t="s">
        <v>30</v>
      </c>
      <c r="I389" t="s">
        <v>30</v>
      </c>
      <c r="J389" t="s">
        <v>31</v>
      </c>
      <c r="K389" t="s">
        <v>32</v>
      </c>
      <c r="L389" t="s">
        <v>32</v>
      </c>
      <c r="M389" t="s">
        <v>33</v>
      </c>
      <c r="N389" t="s">
        <v>176</v>
      </c>
      <c r="O389" t="s">
        <v>176</v>
      </c>
      <c r="P389" t="s">
        <v>34</v>
      </c>
      <c r="Q389" t="s">
        <v>35</v>
      </c>
      <c r="S389" t="s">
        <v>30</v>
      </c>
      <c r="T389" t="s">
        <v>418</v>
      </c>
      <c r="U389" t="s">
        <v>419</v>
      </c>
      <c r="V389" t="s">
        <v>40</v>
      </c>
      <c r="W389" s="1">
        <v>949000</v>
      </c>
    </row>
    <row r="390" spans="1:23" x14ac:dyDescent="0.2">
      <c r="A390" t="s">
        <v>23</v>
      </c>
      <c r="B390" t="s">
        <v>24</v>
      </c>
      <c r="C390" t="s">
        <v>25</v>
      </c>
      <c r="D390" t="s">
        <v>208</v>
      </c>
      <c r="E390" t="s">
        <v>368</v>
      </c>
      <c r="F390" t="s">
        <v>369</v>
      </c>
      <c r="G390" t="s">
        <v>139</v>
      </c>
      <c r="H390" t="s">
        <v>30</v>
      </c>
      <c r="I390" t="s">
        <v>30</v>
      </c>
      <c r="J390" t="s">
        <v>31</v>
      </c>
      <c r="K390" t="s">
        <v>32</v>
      </c>
      <c r="L390" t="s">
        <v>32</v>
      </c>
      <c r="M390" t="s">
        <v>176</v>
      </c>
      <c r="N390" t="s">
        <v>176</v>
      </c>
      <c r="O390" t="s">
        <v>176</v>
      </c>
      <c r="P390" t="s">
        <v>34</v>
      </c>
      <c r="Q390" t="s">
        <v>35</v>
      </c>
      <c r="S390" t="s">
        <v>30</v>
      </c>
      <c r="T390" t="s">
        <v>418</v>
      </c>
      <c r="U390" t="s">
        <v>419</v>
      </c>
      <c r="V390" t="s">
        <v>39</v>
      </c>
      <c r="W390" s="1">
        <v>3</v>
      </c>
    </row>
    <row r="391" spans="1:23" x14ac:dyDescent="0.2">
      <c r="A391" t="s">
        <v>23</v>
      </c>
      <c r="B391" t="s">
        <v>24</v>
      </c>
      <c r="C391" t="s">
        <v>25</v>
      </c>
      <c r="D391" t="s">
        <v>208</v>
      </c>
      <c r="E391" t="s">
        <v>368</v>
      </c>
      <c r="F391" t="s">
        <v>369</v>
      </c>
      <c r="G391" t="s">
        <v>139</v>
      </c>
      <c r="H391" t="s">
        <v>30</v>
      </c>
      <c r="I391" t="s">
        <v>30</v>
      </c>
      <c r="J391" t="s">
        <v>31</v>
      </c>
      <c r="K391" t="s">
        <v>32</v>
      </c>
      <c r="L391" t="s">
        <v>32</v>
      </c>
      <c r="M391" t="s">
        <v>176</v>
      </c>
      <c r="N391" t="s">
        <v>176</v>
      </c>
      <c r="O391" t="s">
        <v>176</v>
      </c>
      <c r="P391" t="s">
        <v>34</v>
      </c>
      <c r="Q391" t="s">
        <v>35</v>
      </c>
      <c r="S391" t="s">
        <v>30</v>
      </c>
      <c r="T391" t="s">
        <v>418</v>
      </c>
      <c r="U391" t="s">
        <v>419</v>
      </c>
      <c r="V391" t="s">
        <v>40</v>
      </c>
      <c r="W391" s="1">
        <v>2562300</v>
      </c>
    </row>
    <row r="392" spans="1:23" x14ac:dyDescent="0.2">
      <c r="A392" t="s">
        <v>23</v>
      </c>
      <c r="B392" t="s">
        <v>24</v>
      </c>
      <c r="C392" t="s">
        <v>25</v>
      </c>
      <c r="D392" t="s">
        <v>208</v>
      </c>
      <c r="E392" t="s">
        <v>368</v>
      </c>
      <c r="F392" t="s">
        <v>369</v>
      </c>
      <c r="G392" t="s">
        <v>139</v>
      </c>
      <c r="H392" t="s">
        <v>30</v>
      </c>
      <c r="I392" t="s">
        <v>30</v>
      </c>
      <c r="J392" t="s">
        <v>31</v>
      </c>
      <c r="K392" t="s">
        <v>32</v>
      </c>
      <c r="L392" t="s">
        <v>32</v>
      </c>
      <c r="M392" t="s">
        <v>176</v>
      </c>
      <c r="N392" t="s">
        <v>195</v>
      </c>
      <c r="O392" t="s">
        <v>195</v>
      </c>
      <c r="P392" t="s">
        <v>34</v>
      </c>
      <c r="Q392" t="s">
        <v>35</v>
      </c>
      <c r="S392" t="s">
        <v>30</v>
      </c>
      <c r="T392" t="s">
        <v>418</v>
      </c>
      <c r="U392" t="s">
        <v>419</v>
      </c>
      <c r="V392" t="s">
        <v>39</v>
      </c>
      <c r="W392" s="1">
        <v>1</v>
      </c>
    </row>
    <row r="393" spans="1:23" x14ac:dyDescent="0.2">
      <c r="A393" t="s">
        <v>23</v>
      </c>
      <c r="B393" t="s">
        <v>24</v>
      </c>
      <c r="C393" t="s">
        <v>25</v>
      </c>
      <c r="D393" t="s">
        <v>208</v>
      </c>
      <c r="E393" t="s">
        <v>368</v>
      </c>
      <c r="F393" t="s">
        <v>369</v>
      </c>
      <c r="G393" t="s">
        <v>139</v>
      </c>
      <c r="H393" t="s">
        <v>30</v>
      </c>
      <c r="I393" t="s">
        <v>30</v>
      </c>
      <c r="J393" t="s">
        <v>31</v>
      </c>
      <c r="K393" t="s">
        <v>32</v>
      </c>
      <c r="L393" t="s">
        <v>32</v>
      </c>
      <c r="M393" t="s">
        <v>176</v>
      </c>
      <c r="N393" t="s">
        <v>195</v>
      </c>
      <c r="O393" t="s">
        <v>195</v>
      </c>
      <c r="P393" t="s">
        <v>34</v>
      </c>
      <c r="Q393" t="s">
        <v>35</v>
      </c>
      <c r="S393" t="s">
        <v>30</v>
      </c>
      <c r="T393" t="s">
        <v>418</v>
      </c>
      <c r="U393" t="s">
        <v>419</v>
      </c>
      <c r="V393" t="s">
        <v>40</v>
      </c>
      <c r="W393" s="1">
        <v>854100</v>
      </c>
    </row>
    <row r="394" spans="1:23" x14ac:dyDescent="0.2">
      <c r="A394" t="s">
        <v>23</v>
      </c>
      <c r="B394" t="s">
        <v>24</v>
      </c>
      <c r="C394" t="s">
        <v>25</v>
      </c>
      <c r="D394" t="s">
        <v>208</v>
      </c>
      <c r="E394" t="s">
        <v>368</v>
      </c>
      <c r="F394" t="s">
        <v>369</v>
      </c>
      <c r="G394" t="s">
        <v>139</v>
      </c>
      <c r="H394" t="s">
        <v>30</v>
      </c>
      <c r="I394" t="s">
        <v>30</v>
      </c>
      <c r="J394" t="s">
        <v>41</v>
      </c>
      <c r="K394" t="s">
        <v>32</v>
      </c>
      <c r="L394" t="s">
        <v>32</v>
      </c>
      <c r="M394" t="s">
        <v>33</v>
      </c>
      <c r="N394" t="s">
        <v>33</v>
      </c>
      <c r="O394" t="s">
        <v>33</v>
      </c>
      <c r="P394" t="s">
        <v>34</v>
      </c>
      <c r="Q394" t="s">
        <v>35</v>
      </c>
      <c r="S394" t="s">
        <v>30</v>
      </c>
      <c r="T394" t="s">
        <v>420</v>
      </c>
      <c r="U394" t="s">
        <v>421</v>
      </c>
      <c r="V394" t="s">
        <v>39</v>
      </c>
      <c r="W394" s="1">
        <v>2</v>
      </c>
    </row>
    <row r="395" spans="1:23" x14ac:dyDescent="0.2">
      <c r="A395" t="s">
        <v>23</v>
      </c>
      <c r="B395" t="s">
        <v>24</v>
      </c>
      <c r="C395" t="s">
        <v>25</v>
      </c>
      <c r="D395" t="s">
        <v>208</v>
      </c>
      <c r="E395" t="s">
        <v>368</v>
      </c>
      <c r="F395" t="s">
        <v>369</v>
      </c>
      <c r="G395" t="s">
        <v>139</v>
      </c>
      <c r="H395" t="s">
        <v>30</v>
      </c>
      <c r="I395" t="s">
        <v>30</v>
      </c>
      <c r="J395" t="s">
        <v>41</v>
      </c>
      <c r="K395" t="s">
        <v>32</v>
      </c>
      <c r="L395" t="s">
        <v>32</v>
      </c>
      <c r="M395" t="s">
        <v>33</v>
      </c>
      <c r="N395" t="s">
        <v>33</v>
      </c>
      <c r="O395" t="s">
        <v>33</v>
      </c>
      <c r="P395" t="s">
        <v>34</v>
      </c>
      <c r="Q395" t="s">
        <v>35</v>
      </c>
      <c r="S395" t="s">
        <v>30</v>
      </c>
      <c r="T395" t="s">
        <v>420</v>
      </c>
      <c r="U395" t="s">
        <v>421</v>
      </c>
      <c r="V395" t="s">
        <v>40</v>
      </c>
      <c r="W395" s="1">
        <v>6593200</v>
      </c>
    </row>
    <row r="396" spans="1:23" x14ac:dyDescent="0.2">
      <c r="A396" t="s">
        <v>23</v>
      </c>
      <c r="B396" t="s">
        <v>24</v>
      </c>
      <c r="C396" t="s">
        <v>25</v>
      </c>
      <c r="D396" t="s">
        <v>208</v>
      </c>
      <c r="E396" t="s">
        <v>368</v>
      </c>
      <c r="F396" t="s">
        <v>369</v>
      </c>
      <c r="G396" t="s">
        <v>139</v>
      </c>
      <c r="H396" t="s">
        <v>30</v>
      </c>
      <c r="I396" t="s">
        <v>30</v>
      </c>
      <c r="J396" t="s">
        <v>41</v>
      </c>
      <c r="K396" t="s">
        <v>32</v>
      </c>
      <c r="L396" t="s">
        <v>32</v>
      </c>
      <c r="M396" t="s">
        <v>33</v>
      </c>
      <c r="P396" t="s">
        <v>34</v>
      </c>
      <c r="Q396" t="s">
        <v>35</v>
      </c>
      <c r="R396" t="s">
        <v>54</v>
      </c>
      <c r="S396" t="s">
        <v>30</v>
      </c>
      <c r="T396" t="s">
        <v>422</v>
      </c>
      <c r="U396" t="s">
        <v>423</v>
      </c>
      <c r="V396" t="s">
        <v>39</v>
      </c>
      <c r="W396" s="1">
        <v>7</v>
      </c>
    </row>
    <row r="397" spans="1:23" x14ac:dyDescent="0.2">
      <c r="A397" t="s">
        <v>23</v>
      </c>
      <c r="B397" t="s">
        <v>24</v>
      </c>
      <c r="C397" t="s">
        <v>25</v>
      </c>
      <c r="D397" t="s">
        <v>208</v>
      </c>
      <c r="E397" t="s">
        <v>368</v>
      </c>
      <c r="F397" t="s">
        <v>369</v>
      </c>
      <c r="G397" t="s">
        <v>139</v>
      </c>
      <c r="H397" t="s">
        <v>30</v>
      </c>
      <c r="I397" t="s">
        <v>30</v>
      </c>
      <c r="J397" t="s">
        <v>41</v>
      </c>
      <c r="K397" t="s">
        <v>32</v>
      </c>
      <c r="L397" t="s">
        <v>32</v>
      </c>
      <c r="M397" t="s">
        <v>33</v>
      </c>
      <c r="P397" t="s">
        <v>34</v>
      </c>
      <c r="Q397" t="s">
        <v>35</v>
      </c>
      <c r="R397" t="s">
        <v>54</v>
      </c>
      <c r="S397" t="s">
        <v>30</v>
      </c>
      <c r="T397" t="s">
        <v>422</v>
      </c>
      <c r="U397" t="s">
        <v>423</v>
      </c>
      <c r="V397" t="s">
        <v>40</v>
      </c>
      <c r="W397" s="1">
        <v>11675300</v>
      </c>
    </row>
    <row r="398" spans="1:23" x14ac:dyDescent="0.2">
      <c r="A398" t="s">
        <v>23</v>
      </c>
      <c r="B398" t="s">
        <v>24</v>
      </c>
      <c r="C398" t="s">
        <v>25</v>
      </c>
      <c r="D398" t="s">
        <v>208</v>
      </c>
      <c r="E398" t="s">
        <v>368</v>
      </c>
      <c r="F398" t="s">
        <v>369</v>
      </c>
      <c r="G398" t="s">
        <v>139</v>
      </c>
      <c r="H398" t="s">
        <v>30</v>
      </c>
      <c r="I398" t="s">
        <v>30</v>
      </c>
      <c r="J398" t="s">
        <v>41</v>
      </c>
      <c r="K398" t="s">
        <v>32</v>
      </c>
      <c r="L398" t="s">
        <v>32</v>
      </c>
      <c r="M398" t="s">
        <v>33</v>
      </c>
      <c r="P398" t="s">
        <v>34</v>
      </c>
      <c r="Q398" t="s">
        <v>35</v>
      </c>
      <c r="S398" t="s">
        <v>30</v>
      </c>
      <c r="T398" t="s">
        <v>424</v>
      </c>
      <c r="U398" t="s">
        <v>425</v>
      </c>
      <c r="V398" t="s">
        <v>39</v>
      </c>
      <c r="W398" s="1">
        <v>2</v>
      </c>
    </row>
    <row r="399" spans="1:23" x14ac:dyDescent="0.2">
      <c r="A399" t="s">
        <v>23</v>
      </c>
      <c r="B399" t="s">
        <v>24</v>
      </c>
      <c r="C399" t="s">
        <v>25</v>
      </c>
      <c r="D399" t="s">
        <v>208</v>
      </c>
      <c r="E399" t="s">
        <v>368</v>
      </c>
      <c r="F399" t="s">
        <v>369</v>
      </c>
      <c r="G399" t="s">
        <v>139</v>
      </c>
      <c r="H399" t="s">
        <v>30</v>
      </c>
      <c r="I399" t="s">
        <v>30</v>
      </c>
      <c r="J399" t="s">
        <v>41</v>
      </c>
      <c r="K399" t="s">
        <v>32</v>
      </c>
      <c r="L399" t="s">
        <v>32</v>
      </c>
      <c r="M399" t="s">
        <v>33</v>
      </c>
      <c r="P399" t="s">
        <v>34</v>
      </c>
      <c r="Q399" t="s">
        <v>35</v>
      </c>
      <c r="S399" t="s">
        <v>30</v>
      </c>
      <c r="T399" t="s">
        <v>424</v>
      </c>
      <c r="U399" t="s">
        <v>425</v>
      </c>
      <c r="V399" t="s">
        <v>40</v>
      </c>
      <c r="W399" s="1">
        <v>7970800</v>
      </c>
    </row>
    <row r="400" spans="1:23" x14ac:dyDescent="0.2">
      <c r="A400" t="s">
        <v>23</v>
      </c>
      <c r="B400" t="s">
        <v>24</v>
      </c>
      <c r="C400" t="s">
        <v>25</v>
      </c>
      <c r="D400" t="s">
        <v>208</v>
      </c>
      <c r="E400" t="s">
        <v>426</v>
      </c>
      <c r="F400" t="s">
        <v>427</v>
      </c>
      <c r="G400" t="s">
        <v>29</v>
      </c>
      <c r="H400" t="s">
        <v>30</v>
      </c>
      <c r="I400" t="s">
        <v>30</v>
      </c>
      <c r="J400" t="s">
        <v>31</v>
      </c>
      <c r="K400" t="s">
        <v>32</v>
      </c>
      <c r="L400" t="s">
        <v>32</v>
      </c>
      <c r="M400" t="s">
        <v>33</v>
      </c>
      <c r="N400" t="s">
        <v>33</v>
      </c>
      <c r="O400" t="s">
        <v>33</v>
      </c>
      <c r="P400" t="s">
        <v>34</v>
      </c>
      <c r="Q400" t="s">
        <v>35</v>
      </c>
      <c r="R400" t="s">
        <v>73</v>
      </c>
      <c r="S400" t="s">
        <v>30</v>
      </c>
      <c r="T400" t="s">
        <v>428</v>
      </c>
      <c r="U400" t="s">
        <v>429</v>
      </c>
      <c r="V400" t="s">
        <v>39</v>
      </c>
      <c r="W400" s="1">
        <v>2</v>
      </c>
    </row>
    <row r="401" spans="1:23" x14ac:dyDescent="0.2">
      <c r="A401" t="s">
        <v>23</v>
      </c>
      <c r="B401" t="s">
        <v>24</v>
      </c>
      <c r="C401" t="s">
        <v>25</v>
      </c>
      <c r="D401" t="s">
        <v>208</v>
      </c>
      <c r="E401" t="s">
        <v>426</v>
      </c>
      <c r="F401" t="s">
        <v>427</v>
      </c>
      <c r="G401" t="s">
        <v>29</v>
      </c>
      <c r="H401" t="s">
        <v>30</v>
      </c>
      <c r="I401" t="s">
        <v>30</v>
      </c>
      <c r="J401" t="s">
        <v>31</v>
      </c>
      <c r="K401" t="s">
        <v>32</v>
      </c>
      <c r="L401" t="s">
        <v>32</v>
      </c>
      <c r="M401" t="s">
        <v>33</v>
      </c>
      <c r="N401" t="s">
        <v>33</v>
      </c>
      <c r="O401" t="s">
        <v>33</v>
      </c>
      <c r="P401" t="s">
        <v>34</v>
      </c>
      <c r="Q401" t="s">
        <v>35</v>
      </c>
      <c r="R401" t="s">
        <v>73</v>
      </c>
      <c r="S401" t="s">
        <v>30</v>
      </c>
      <c r="T401" t="s">
        <v>428</v>
      </c>
      <c r="U401" t="s">
        <v>429</v>
      </c>
      <c r="V401" t="s">
        <v>40</v>
      </c>
      <c r="W401" s="1">
        <v>1099800</v>
      </c>
    </row>
    <row r="402" spans="1:23" x14ac:dyDescent="0.2">
      <c r="A402" t="s">
        <v>23</v>
      </c>
      <c r="B402" t="s">
        <v>24</v>
      </c>
      <c r="C402" t="s">
        <v>25</v>
      </c>
      <c r="D402" t="s">
        <v>208</v>
      </c>
      <c r="E402" t="s">
        <v>426</v>
      </c>
      <c r="F402" t="s">
        <v>427</v>
      </c>
      <c r="G402" t="s">
        <v>29</v>
      </c>
      <c r="H402" t="s">
        <v>30</v>
      </c>
      <c r="I402" t="s">
        <v>30</v>
      </c>
      <c r="J402" t="s">
        <v>31</v>
      </c>
      <c r="K402" t="s">
        <v>32</v>
      </c>
      <c r="L402" t="s">
        <v>32</v>
      </c>
      <c r="M402" t="s">
        <v>33</v>
      </c>
      <c r="N402" t="s">
        <v>33</v>
      </c>
      <c r="O402" t="s">
        <v>33</v>
      </c>
      <c r="P402" t="s">
        <v>42</v>
      </c>
      <c r="Q402" t="s">
        <v>43</v>
      </c>
      <c r="S402" t="s">
        <v>30</v>
      </c>
      <c r="T402" t="s">
        <v>430</v>
      </c>
      <c r="U402" t="s">
        <v>431</v>
      </c>
      <c r="V402" t="s">
        <v>39</v>
      </c>
      <c r="W402" s="1">
        <v>2</v>
      </c>
    </row>
    <row r="403" spans="1:23" x14ac:dyDescent="0.2">
      <c r="A403" t="s">
        <v>23</v>
      </c>
      <c r="B403" t="s">
        <v>24</v>
      </c>
      <c r="C403" t="s">
        <v>25</v>
      </c>
      <c r="D403" t="s">
        <v>208</v>
      </c>
      <c r="E403" t="s">
        <v>426</v>
      </c>
      <c r="F403" t="s">
        <v>427</v>
      </c>
      <c r="G403" t="s">
        <v>29</v>
      </c>
      <c r="H403" t="s">
        <v>30</v>
      </c>
      <c r="I403" t="s">
        <v>30</v>
      </c>
      <c r="J403" t="s">
        <v>31</v>
      </c>
      <c r="K403" t="s">
        <v>32</v>
      </c>
      <c r="L403" t="s">
        <v>32</v>
      </c>
      <c r="M403" t="s">
        <v>33</v>
      </c>
      <c r="N403" t="s">
        <v>33</v>
      </c>
      <c r="O403" t="s">
        <v>33</v>
      </c>
      <c r="P403" t="s">
        <v>42</v>
      </c>
      <c r="Q403" t="s">
        <v>43</v>
      </c>
      <c r="S403" t="s">
        <v>30</v>
      </c>
      <c r="T403" t="s">
        <v>430</v>
      </c>
      <c r="U403" t="s">
        <v>431</v>
      </c>
      <c r="V403" t="s">
        <v>40</v>
      </c>
      <c r="W403" s="1">
        <v>2604600</v>
      </c>
    </row>
    <row r="404" spans="1:23" x14ac:dyDescent="0.2">
      <c r="A404" t="s">
        <v>23</v>
      </c>
      <c r="B404" t="s">
        <v>24</v>
      </c>
      <c r="C404" t="s">
        <v>25</v>
      </c>
      <c r="D404" t="s">
        <v>208</v>
      </c>
      <c r="E404" t="s">
        <v>426</v>
      </c>
      <c r="F404" t="s">
        <v>427</v>
      </c>
      <c r="G404" t="s">
        <v>29</v>
      </c>
      <c r="H404" t="s">
        <v>30</v>
      </c>
      <c r="I404" t="s">
        <v>30</v>
      </c>
      <c r="J404" t="s">
        <v>41</v>
      </c>
      <c r="K404" t="s">
        <v>32</v>
      </c>
      <c r="L404" t="s">
        <v>32</v>
      </c>
      <c r="M404" t="s">
        <v>33</v>
      </c>
      <c r="P404" t="s">
        <v>34</v>
      </c>
      <c r="Q404" t="s">
        <v>35</v>
      </c>
      <c r="R404" t="s">
        <v>36</v>
      </c>
      <c r="S404" t="s">
        <v>52</v>
      </c>
      <c r="T404" t="s">
        <v>432</v>
      </c>
      <c r="U404" t="s">
        <v>433</v>
      </c>
      <c r="V404" t="s">
        <v>39</v>
      </c>
      <c r="W404" s="1">
        <v>0</v>
      </c>
    </row>
    <row r="405" spans="1:23" x14ac:dyDescent="0.2">
      <c r="A405" t="s">
        <v>23</v>
      </c>
      <c r="B405" t="s">
        <v>24</v>
      </c>
      <c r="C405" t="s">
        <v>25</v>
      </c>
      <c r="D405" t="s">
        <v>208</v>
      </c>
      <c r="E405" t="s">
        <v>426</v>
      </c>
      <c r="F405" t="s">
        <v>427</v>
      </c>
      <c r="G405" t="s">
        <v>29</v>
      </c>
      <c r="H405" t="s">
        <v>30</v>
      </c>
      <c r="I405" t="s">
        <v>30</v>
      </c>
      <c r="J405" t="s">
        <v>41</v>
      </c>
      <c r="K405" t="s">
        <v>32</v>
      </c>
      <c r="L405" t="s">
        <v>32</v>
      </c>
      <c r="M405" t="s">
        <v>33</v>
      </c>
      <c r="P405" t="s">
        <v>34</v>
      </c>
      <c r="Q405" t="s">
        <v>35</v>
      </c>
      <c r="R405" t="s">
        <v>36</v>
      </c>
      <c r="S405" t="s">
        <v>52</v>
      </c>
      <c r="T405" t="s">
        <v>432</v>
      </c>
      <c r="U405" t="s">
        <v>433</v>
      </c>
      <c r="V405" t="s">
        <v>40</v>
      </c>
      <c r="W405" s="1">
        <v>4316800</v>
      </c>
    </row>
    <row r="406" spans="1:23" x14ac:dyDescent="0.2">
      <c r="A406" t="s">
        <v>23</v>
      </c>
      <c r="B406" t="s">
        <v>24</v>
      </c>
      <c r="C406" t="s">
        <v>25</v>
      </c>
      <c r="D406" t="s">
        <v>208</v>
      </c>
      <c r="E406" t="s">
        <v>426</v>
      </c>
      <c r="F406" t="s">
        <v>427</v>
      </c>
      <c r="G406" t="s">
        <v>29</v>
      </c>
      <c r="H406" t="s">
        <v>30</v>
      </c>
      <c r="I406" t="s">
        <v>30</v>
      </c>
      <c r="J406" t="s">
        <v>41</v>
      </c>
      <c r="K406" t="s">
        <v>32</v>
      </c>
      <c r="L406" t="s">
        <v>32</v>
      </c>
      <c r="M406" t="s">
        <v>33</v>
      </c>
      <c r="P406" t="s">
        <v>34</v>
      </c>
      <c r="Q406" t="s">
        <v>35</v>
      </c>
      <c r="S406" t="s">
        <v>52</v>
      </c>
      <c r="T406" t="s">
        <v>434</v>
      </c>
      <c r="U406" t="s">
        <v>435</v>
      </c>
      <c r="V406" t="s">
        <v>39</v>
      </c>
      <c r="W406" s="1">
        <v>0</v>
      </c>
    </row>
    <row r="407" spans="1:23" x14ac:dyDescent="0.2">
      <c r="A407" t="s">
        <v>23</v>
      </c>
      <c r="B407" t="s">
        <v>24</v>
      </c>
      <c r="C407" t="s">
        <v>25</v>
      </c>
      <c r="D407" t="s">
        <v>208</v>
      </c>
      <c r="E407" t="s">
        <v>426</v>
      </c>
      <c r="F407" t="s">
        <v>427</v>
      </c>
      <c r="G407" t="s">
        <v>29</v>
      </c>
      <c r="H407" t="s">
        <v>30</v>
      </c>
      <c r="I407" t="s">
        <v>30</v>
      </c>
      <c r="J407" t="s">
        <v>41</v>
      </c>
      <c r="K407" t="s">
        <v>32</v>
      </c>
      <c r="L407" t="s">
        <v>32</v>
      </c>
      <c r="M407" t="s">
        <v>33</v>
      </c>
      <c r="P407" t="s">
        <v>34</v>
      </c>
      <c r="Q407" t="s">
        <v>35</v>
      </c>
      <c r="S407" t="s">
        <v>52</v>
      </c>
      <c r="T407" t="s">
        <v>434</v>
      </c>
      <c r="U407" t="s">
        <v>435</v>
      </c>
      <c r="V407" t="s">
        <v>40</v>
      </c>
      <c r="W407" s="1">
        <v>2937600</v>
      </c>
    </row>
    <row r="408" spans="1:23" x14ac:dyDescent="0.2">
      <c r="A408" t="s">
        <v>23</v>
      </c>
      <c r="B408" t="s">
        <v>24</v>
      </c>
      <c r="C408" t="s">
        <v>25</v>
      </c>
      <c r="D408" t="s">
        <v>208</v>
      </c>
      <c r="E408" t="s">
        <v>426</v>
      </c>
      <c r="F408" t="s">
        <v>427</v>
      </c>
      <c r="G408" t="s">
        <v>106</v>
      </c>
      <c r="H408" t="s">
        <v>30</v>
      </c>
      <c r="I408" t="s">
        <v>30</v>
      </c>
      <c r="J408" t="s">
        <v>128</v>
      </c>
      <c r="K408" t="s">
        <v>32</v>
      </c>
      <c r="L408" t="s">
        <v>32</v>
      </c>
      <c r="M408" t="s">
        <v>33</v>
      </c>
      <c r="N408" t="s">
        <v>33</v>
      </c>
      <c r="O408" t="s">
        <v>33</v>
      </c>
      <c r="P408" t="s">
        <v>34</v>
      </c>
      <c r="Q408" t="s">
        <v>35</v>
      </c>
      <c r="R408" t="s">
        <v>129</v>
      </c>
      <c r="S408" t="s">
        <v>30</v>
      </c>
      <c r="T408" t="s">
        <v>436</v>
      </c>
      <c r="U408" t="s">
        <v>437</v>
      </c>
      <c r="V408" t="s">
        <v>39</v>
      </c>
      <c r="W408" s="1">
        <v>2</v>
      </c>
    </row>
    <row r="409" spans="1:23" x14ac:dyDescent="0.2">
      <c r="A409" t="s">
        <v>23</v>
      </c>
      <c r="B409" t="s">
        <v>24</v>
      </c>
      <c r="C409" t="s">
        <v>25</v>
      </c>
      <c r="D409" t="s">
        <v>208</v>
      </c>
      <c r="E409" t="s">
        <v>426</v>
      </c>
      <c r="F409" t="s">
        <v>427</v>
      </c>
      <c r="G409" t="s">
        <v>106</v>
      </c>
      <c r="H409" t="s">
        <v>30</v>
      </c>
      <c r="I409" t="s">
        <v>30</v>
      </c>
      <c r="J409" t="s">
        <v>128</v>
      </c>
      <c r="K409" t="s">
        <v>32</v>
      </c>
      <c r="L409" t="s">
        <v>32</v>
      </c>
      <c r="M409" t="s">
        <v>33</v>
      </c>
      <c r="N409" t="s">
        <v>33</v>
      </c>
      <c r="O409" t="s">
        <v>33</v>
      </c>
      <c r="P409" t="s">
        <v>34</v>
      </c>
      <c r="Q409" t="s">
        <v>35</v>
      </c>
      <c r="R409" t="s">
        <v>129</v>
      </c>
      <c r="S409" t="s">
        <v>30</v>
      </c>
      <c r="T409" t="s">
        <v>436</v>
      </c>
      <c r="U409" t="s">
        <v>437</v>
      </c>
      <c r="V409" t="s">
        <v>40</v>
      </c>
      <c r="W409" s="1">
        <v>338000</v>
      </c>
    </row>
    <row r="410" spans="1:23" x14ac:dyDescent="0.2">
      <c r="A410" t="s">
        <v>23</v>
      </c>
      <c r="B410" t="s">
        <v>24</v>
      </c>
      <c r="C410" t="s">
        <v>25</v>
      </c>
      <c r="D410" t="s">
        <v>208</v>
      </c>
      <c r="E410" t="s">
        <v>426</v>
      </c>
      <c r="F410" t="s">
        <v>427</v>
      </c>
      <c r="G410" t="s">
        <v>127</v>
      </c>
      <c r="H410" t="s">
        <v>52</v>
      </c>
      <c r="I410" t="s">
        <v>30</v>
      </c>
      <c r="J410" t="s">
        <v>31</v>
      </c>
      <c r="K410" t="s">
        <v>32</v>
      </c>
      <c r="L410" t="s">
        <v>32</v>
      </c>
      <c r="M410" t="s">
        <v>33</v>
      </c>
      <c r="N410" t="s">
        <v>33</v>
      </c>
      <c r="O410" t="s">
        <v>33</v>
      </c>
      <c r="P410" t="s">
        <v>34</v>
      </c>
      <c r="Q410" t="s">
        <v>35</v>
      </c>
      <c r="S410" t="s">
        <v>30</v>
      </c>
      <c r="T410" t="s">
        <v>438</v>
      </c>
      <c r="U410" t="s">
        <v>439</v>
      </c>
      <c r="V410" t="s">
        <v>39</v>
      </c>
      <c r="W410" s="1">
        <v>1</v>
      </c>
    </row>
    <row r="411" spans="1:23" x14ac:dyDescent="0.2">
      <c r="A411" t="s">
        <v>23</v>
      </c>
      <c r="B411" t="s">
        <v>24</v>
      </c>
      <c r="C411" t="s">
        <v>25</v>
      </c>
      <c r="D411" t="s">
        <v>208</v>
      </c>
      <c r="E411" t="s">
        <v>426</v>
      </c>
      <c r="F411" t="s">
        <v>427</v>
      </c>
      <c r="G411" t="s">
        <v>127</v>
      </c>
      <c r="H411" t="s">
        <v>52</v>
      </c>
      <c r="I411" t="s">
        <v>30</v>
      </c>
      <c r="J411" t="s">
        <v>31</v>
      </c>
      <c r="K411" t="s">
        <v>32</v>
      </c>
      <c r="L411" t="s">
        <v>32</v>
      </c>
      <c r="M411" t="s">
        <v>33</v>
      </c>
      <c r="N411" t="s">
        <v>33</v>
      </c>
      <c r="O411" t="s">
        <v>33</v>
      </c>
      <c r="P411" t="s">
        <v>34</v>
      </c>
      <c r="Q411" t="s">
        <v>35</v>
      </c>
      <c r="S411" t="s">
        <v>30</v>
      </c>
      <c r="T411" t="s">
        <v>438</v>
      </c>
      <c r="U411" t="s">
        <v>439</v>
      </c>
      <c r="V411" t="s">
        <v>40</v>
      </c>
      <c r="W411" s="1">
        <v>1167200</v>
      </c>
    </row>
    <row r="412" spans="1:23" x14ac:dyDescent="0.2">
      <c r="A412" t="s">
        <v>23</v>
      </c>
      <c r="B412" t="s">
        <v>24</v>
      </c>
      <c r="C412" t="s">
        <v>25</v>
      </c>
      <c r="D412" t="s">
        <v>208</v>
      </c>
      <c r="E412" t="s">
        <v>440</v>
      </c>
      <c r="F412" t="s">
        <v>441</v>
      </c>
      <c r="G412" t="s">
        <v>29</v>
      </c>
      <c r="H412" t="s">
        <v>30</v>
      </c>
      <c r="I412" t="s">
        <v>30</v>
      </c>
      <c r="J412" t="s">
        <v>128</v>
      </c>
      <c r="K412" t="s">
        <v>32</v>
      </c>
      <c r="L412" t="s">
        <v>32</v>
      </c>
      <c r="M412" t="s">
        <v>33</v>
      </c>
      <c r="P412" t="s">
        <v>34</v>
      </c>
      <c r="Q412" t="s">
        <v>35</v>
      </c>
      <c r="R412" t="s">
        <v>129</v>
      </c>
      <c r="S412" t="s">
        <v>52</v>
      </c>
      <c r="T412" t="s">
        <v>442</v>
      </c>
      <c r="U412" t="s">
        <v>443</v>
      </c>
      <c r="V412" t="s">
        <v>39</v>
      </c>
      <c r="W412" s="1">
        <v>0</v>
      </c>
    </row>
    <row r="413" spans="1:23" x14ac:dyDescent="0.2">
      <c r="A413" t="s">
        <v>23</v>
      </c>
      <c r="B413" t="s">
        <v>24</v>
      </c>
      <c r="C413" t="s">
        <v>25</v>
      </c>
      <c r="D413" t="s">
        <v>208</v>
      </c>
      <c r="E413" t="s">
        <v>440</v>
      </c>
      <c r="F413" t="s">
        <v>441</v>
      </c>
      <c r="G413" t="s">
        <v>29</v>
      </c>
      <c r="H413" t="s">
        <v>30</v>
      </c>
      <c r="I413" t="s">
        <v>30</v>
      </c>
      <c r="J413" t="s">
        <v>128</v>
      </c>
      <c r="K413" t="s">
        <v>32</v>
      </c>
      <c r="L413" t="s">
        <v>32</v>
      </c>
      <c r="M413" t="s">
        <v>33</v>
      </c>
      <c r="P413" t="s">
        <v>34</v>
      </c>
      <c r="Q413" t="s">
        <v>35</v>
      </c>
      <c r="R413" t="s">
        <v>129</v>
      </c>
      <c r="S413" t="s">
        <v>52</v>
      </c>
      <c r="T413" t="s">
        <v>442</v>
      </c>
      <c r="U413" t="s">
        <v>443</v>
      </c>
      <c r="V413" t="s">
        <v>40</v>
      </c>
      <c r="W413" s="1">
        <v>1198000</v>
      </c>
    </row>
    <row r="414" spans="1:23" x14ac:dyDescent="0.2">
      <c r="A414" t="s">
        <v>23</v>
      </c>
      <c r="B414" t="s">
        <v>24</v>
      </c>
      <c r="C414" t="s">
        <v>25</v>
      </c>
      <c r="D414" t="s">
        <v>208</v>
      </c>
      <c r="E414" t="s">
        <v>440</v>
      </c>
      <c r="F414" t="s">
        <v>441</v>
      </c>
      <c r="G414" t="s">
        <v>29</v>
      </c>
      <c r="H414" t="s">
        <v>30</v>
      </c>
      <c r="I414" t="s">
        <v>30</v>
      </c>
      <c r="J414" t="s">
        <v>41</v>
      </c>
      <c r="K414" t="s">
        <v>32</v>
      </c>
      <c r="L414" t="s">
        <v>32</v>
      </c>
      <c r="M414" t="s">
        <v>33</v>
      </c>
      <c r="N414" t="s">
        <v>33</v>
      </c>
      <c r="O414" t="s">
        <v>33</v>
      </c>
      <c r="P414" t="s">
        <v>34</v>
      </c>
      <c r="Q414" t="s">
        <v>35</v>
      </c>
      <c r="S414" t="s">
        <v>30</v>
      </c>
      <c r="T414" t="s">
        <v>444</v>
      </c>
      <c r="U414" t="s">
        <v>445</v>
      </c>
      <c r="V414" t="s">
        <v>39</v>
      </c>
      <c r="W414" s="1">
        <v>2</v>
      </c>
    </row>
    <row r="415" spans="1:23" x14ac:dyDescent="0.2">
      <c r="A415" t="s">
        <v>23</v>
      </c>
      <c r="B415" t="s">
        <v>24</v>
      </c>
      <c r="C415" t="s">
        <v>25</v>
      </c>
      <c r="D415" t="s">
        <v>208</v>
      </c>
      <c r="E415" t="s">
        <v>440</v>
      </c>
      <c r="F415" t="s">
        <v>441</v>
      </c>
      <c r="G415" t="s">
        <v>29</v>
      </c>
      <c r="H415" t="s">
        <v>30</v>
      </c>
      <c r="I415" t="s">
        <v>30</v>
      </c>
      <c r="J415" t="s">
        <v>41</v>
      </c>
      <c r="K415" t="s">
        <v>32</v>
      </c>
      <c r="L415" t="s">
        <v>32</v>
      </c>
      <c r="M415" t="s">
        <v>33</v>
      </c>
      <c r="N415" t="s">
        <v>33</v>
      </c>
      <c r="O415" t="s">
        <v>33</v>
      </c>
      <c r="P415" t="s">
        <v>34</v>
      </c>
      <c r="Q415" t="s">
        <v>35</v>
      </c>
      <c r="S415" t="s">
        <v>30</v>
      </c>
      <c r="T415" t="s">
        <v>444</v>
      </c>
      <c r="U415" t="s">
        <v>445</v>
      </c>
      <c r="V415" t="s">
        <v>40</v>
      </c>
      <c r="W415" s="1">
        <v>2004400</v>
      </c>
    </row>
    <row r="416" spans="1:23" x14ac:dyDescent="0.2">
      <c r="A416" t="s">
        <v>23</v>
      </c>
      <c r="B416" t="s">
        <v>24</v>
      </c>
      <c r="C416" t="s">
        <v>25</v>
      </c>
      <c r="D416" t="s">
        <v>208</v>
      </c>
      <c r="E416" t="s">
        <v>440</v>
      </c>
      <c r="F416" t="s">
        <v>441</v>
      </c>
      <c r="G416" t="s">
        <v>29</v>
      </c>
      <c r="H416" t="s">
        <v>30</v>
      </c>
      <c r="I416" t="s">
        <v>30</v>
      </c>
      <c r="J416" t="s">
        <v>57</v>
      </c>
      <c r="K416" t="s">
        <v>32</v>
      </c>
      <c r="L416" t="s">
        <v>32</v>
      </c>
      <c r="M416" t="s">
        <v>33</v>
      </c>
      <c r="N416" t="s">
        <v>33</v>
      </c>
      <c r="O416" t="s">
        <v>33</v>
      </c>
      <c r="P416" t="s">
        <v>34</v>
      </c>
      <c r="Q416" t="s">
        <v>35</v>
      </c>
      <c r="R416" t="s">
        <v>294</v>
      </c>
      <c r="S416" t="s">
        <v>30</v>
      </c>
      <c r="T416" t="s">
        <v>446</v>
      </c>
      <c r="U416" t="s">
        <v>447</v>
      </c>
      <c r="V416" t="s">
        <v>39</v>
      </c>
      <c r="W416" s="1">
        <v>3</v>
      </c>
    </row>
    <row r="417" spans="1:23" x14ac:dyDescent="0.2">
      <c r="A417" t="s">
        <v>23</v>
      </c>
      <c r="B417" t="s">
        <v>24</v>
      </c>
      <c r="C417" t="s">
        <v>25</v>
      </c>
      <c r="D417" t="s">
        <v>208</v>
      </c>
      <c r="E417" t="s">
        <v>440</v>
      </c>
      <c r="F417" t="s">
        <v>441</v>
      </c>
      <c r="G417" t="s">
        <v>29</v>
      </c>
      <c r="H417" t="s">
        <v>30</v>
      </c>
      <c r="I417" t="s">
        <v>30</v>
      </c>
      <c r="J417" t="s">
        <v>57</v>
      </c>
      <c r="K417" t="s">
        <v>32</v>
      </c>
      <c r="L417" t="s">
        <v>32</v>
      </c>
      <c r="M417" t="s">
        <v>33</v>
      </c>
      <c r="N417" t="s">
        <v>33</v>
      </c>
      <c r="O417" t="s">
        <v>33</v>
      </c>
      <c r="P417" t="s">
        <v>34</v>
      </c>
      <c r="Q417" t="s">
        <v>35</v>
      </c>
      <c r="R417" t="s">
        <v>294</v>
      </c>
      <c r="S417" t="s">
        <v>30</v>
      </c>
      <c r="T417" t="s">
        <v>446</v>
      </c>
      <c r="U417" t="s">
        <v>447</v>
      </c>
      <c r="V417" t="s">
        <v>40</v>
      </c>
      <c r="W417" s="1">
        <v>5020200</v>
      </c>
    </row>
    <row r="418" spans="1:23" x14ac:dyDescent="0.2">
      <c r="A418" t="s">
        <v>23</v>
      </c>
      <c r="B418" t="s">
        <v>24</v>
      </c>
      <c r="C418" t="s">
        <v>25</v>
      </c>
      <c r="D418" t="s">
        <v>208</v>
      </c>
      <c r="E418" t="s">
        <v>440</v>
      </c>
      <c r="F418" t="s">
        <v>441</v>
      </c>
      <c r="G418" t="s">
        <v>61</v>
      </c>
      <c r="H418" t="s">
        <v>52</v>
      </c>
      <c r="I418" t="s">
        <v>52</v>
      </c>
      <c r="J418" t="s">
        <v>41</v>
      </c>
      <c r="K418" t="s">
        <v>32</v>
      </c>
      <c r="L418" t="s">
        <v>32</v>
      </c>
      <c r="M418" t="s">
        <v>33</v>
      </c>
      <c r="P418" t="s">
        <v>34</v>
      </c>
      <c r="Q418" t="s">
        <v>35</v>
      </c>
      <c r="R418" t="s">
        <v>54</v>
      </c>
      <c r="S418" t="s">
        <v>30</v>
      </c>
      <c r="T418" t="s">
        <v>448</v>
      </c>
      <c r="U418" t="s">
        <v>449</v>
      </c>
      <c r="V418" t="s">
        <v>39</v>
      </c>
      <c r="W418" s="1">
        <v>3</v>
      </c>
    </row>
    <row r="419" spans="1:23" x14ac:dyDescent="0.2">
      <c r="A419" t="s">
        <v>23</v>
      </c>
      <c r="B419" t="s">
        <v>24</v>
      </c>
      <c r="C419" t="s">
        <v>25</v>
      </c>
      <c r="D419" t="s">
        <v>208</v>
      </c>
      <c r="E419" t="s">
        <v>440</v>
      </c>
      <c r="F419" t="s">
        <v>441</v>
      </c>
      <c r="G419" t="s">
        <v>61</v>
      </c>
      <c r="H419" t="s">
        <v>52</v>
      </c>
      <c r="I419" t="s">
        <v>52</v>
      </c>
      <c r="J419" t="s">
        <v>41</v>
      </c>
      <c r="K419" t="s">
        <v>32</v>
      </c>
      <c r="L419" t="s">
        <v>32</v>
      </c>
      <c r="M419" t="s">
        <v>33</v>
      </c>
      <c r="P419" t="s">
        <v>34</v>
      </c>
      <c r="Q419" t="s">
        <v>35</v>
      </c>
      <c r="R419" t="s">
        <v>54</v>
      </c>
      <c r="S419" t="s">
        <v>30</v>
      </c>
      <c r="T419" t="s">
        <v>448</v>
      </c>
      <c r="U419" t="s">
        <v>449</v>
      </c>
      <c r="V419" t="s">
        <v>40</v>
      </c>
      <c r="W419" s="1">
        <v>3134700</v>
      </c>
    </row>
    <row r="420" spans="1:23" x14ac:dyDescent="0.2">
      <c r="A420" t="s">
        <v>23</v>
      </c>
      <c r="B420" t="s">
        <v>24</v>
      </c>
      <c r="C420" t="s">
        <v>25</v>
      </c>
      <c r="D420" t="s">
        <v>208</v>
      </c>
      <c r="E420" t="s">
        <v>440</v>
      </c>
      <c r="F420" t="s">
        <v>441</v>
      </c>
      <c r="G420" t="s">
        <v>119</v>
      </c>
      <c r="H420" t="s">
        <v>30</v>
      </c>
      <c r="I420" t="s">
        <v>52</v>
      </c>
      <c r="J420" t="s">
        <v>31</v>
      </c>
      <c r="K420" t="s">
        <v>32</v>
      </c>
      <c r="L420" t="s">
        <v>32</v>
      </c>
      <c r="M420" t="s">
        <v>33</v>
      </c>
      <c r="N420" t="s">
        <v>33</v>
      </c>
      <c r="O420" t="s">
        <v>33</v>
      </c>
      <c r="P420" t="s">
        <v>34</v>
      </c>
      <c r="Q420" t="s">
        <v>35</v>
      </c>
      <c r="R420" t="s">
        <v>73</v>
      </c>
      <c r="S420" t="s">
        <v>30</v>
      </c>
      <c r="T420" t="s">
        <v>450</v>
      </c>
      <c r="U420" t="s">
        <v>451</v>
      </c>
      <c r="V420" t="s">
        <v>39</v>
      </c>
      <c r="W420" s="1">
        <v>2</v>
      </c>
    </row>
    <row r="421" spans="1:23" x14ac:dyDescent="0.2">
      <c r="A421" t="s">
        <v>23</v>
      </c>
      <c r="B421" t="s">
        <v>24</v>
      </c>
      <c r="C421" t="s">
        <v>25</v>
      </c>
      <c r="D421" t="s">
        <v>208</v>
      </c>
      <c r="E421" t="s">
        <v>440</v>
      </c>
      <c r="F421" t="s">
        <v>441</v>
      </c>
      <c r="G421" t="s">
        <v>119</v>
      </c>
      <c r="H421" t="s">
        <v>30</v>
      </c>
      <c r="I421" t="s">
        <v>52</v>
      </c>
      <c r="J421" t="s">
        <v>31</v>
      </c>
      <c r="K421" t="s">
        <v>32</v>
      </c>
      <c r="L421" t="s">
        <v>32</v>
      </c>
      <c r="M421" t="s">
        <v>33</v>
      </c>
      <c r="N421" t="s">
        <v>33</v>
      </c>
      <c r="O421" t="s">
        <v>33</v>
      </c>
      <c r="P421" t="s">
        <v>34</v>
      </c>
      <c r="Q421" t="s">
        <v>35</v>
      </c>
      <c r="R421" t="s">
        <v>73</v>
      </c>
      <c r="S421" t="s">
        <v>30</v>
      </c>
      <c r="T421" t="s">
        <v>450</v>
      </c>
      <c r="U421" t="s">
        <v>451</v>
      </c>
      <c r="V421" t="s">
        <v>40</v>
      </c>
      <c r="W421" s="1">
        <v>1819800</v>
      </c>
    </row>
    <row r="422" spans="1:23" x14ac:dyDescent="0.2">
      <c r="A422" t="s">
        <v>23</v>
      </c>
      <c r="B422" t="s">
        <v>24</v>
      </c>
      <c r="C422" t="s">
        <v>25</v>
      </c>
      <c r="D422" t="s">
        <v>208</v>
      </c>
      <c r="E422" t="s">
        <v>440</v>
      </c>
      <c r="F422" t="s">
        <v>441</v>
      </c>
      <c r="G422" t="s">
        <v>139</v>
      </c>
      <c r="H422" t="s">
        <v>30</v>
      </c>
      <c r="I422" t="s">
        <v>30</v>
      </c>
      <c r="J422" t="s">
        <v>31</v>
      </c>
      <c r="K422" t="s">
        <v>32</v>
      </c>
      <c r="L422" t="s">
        <v>32</v>
      </c>
      <c r="M422" t="s">
        <v>33</v>
      </c>
      <c r="P422" t="s">
        <v>34</v>
      </c>
      <c r="Q422" t="s">
        <v>35</v>
      </c>
      <c r="R422" t="s">
        <v>148</v>
      </c>
      <c r="S422" t="s">
        <v>52</v>
      </c>
      <c r="T422" t="s">
        <v>452</v>
      </c>
      <c r="U422" t="s">
        <v>453</v>
      </c>
      <c r="V422" t="s">
        <v>39</v>
      </c>
      <c r="W422" s="1">
        <v>0</v>
      </c>
    </row>
    <row r="423" spans="1:23" x14ac:dyDescent="0.2">
      <c r="A423" t="s">
        <v>23</v>
      </c>
      <c r="B423" t="s">
        <v>24</v>
      </c>
      <c r="C423" t="s">
        <v>25</v>
      </c>
      <c r="D423" t="s">
        <v>208</v>
      </c>
      <c r="E423" t="s">
        <v>440</v>
      </c>
      <c r="F423" t="s">
        <v>441</v>
      </c>
      <c r="G423" t="s">
        <v>139</v>
      </c>
      <c r="H423" t="s">
        <v>30</v>
      </c>
      <c r="I423" t="s">
        <v>30</v>
      </c>
      <c r="J423" t="s">
        <v>31</v>
      </c>
      <c r="K423" t="s">
        <v>32</v>
      </c>
      <c r="L423" t="s">
        <v>32</v>
      </c>
      <c r="M423" t="s">
        <v>33</v>
      </c>
      <c r="P423" t="s">
        <v>34</v>
      </c>
      <c r="Q423" t="s">
        <v>35</v>
      </c>
      <c r="R423" t="s">
        <v>148</v>
      </c>
      <c r="S423" t="s">
        <v>52</v>
      </c>
      <c r="T423" t="s">
        <v>452</v>
      </c>
      <c r="U423" t="s">
        <v>453</v>
      </c>
      <c r="V423" t="s">
        <v>40</v>
      </c>
      <c r="W423" s="1">
        <v>3693200</v>
      </c>
    </row>
    <row r="424" spans="1:23" x14ac:dyDescent="0.2">
      <c r="A424" t="s">
        <v>23</v>
      </c>
      <c r="B424" t="s">
        <v>24</v>
      </c>
      <c r="C424" t="s">
        <v>25</v>
      </c>
      <c r="D424" t="s">
        <v>454</v>
      </c>
      <c r="E424" t="s">
        <v>455</v>
      </c>
      <c r="F424" t="s">
        <v>456</v>
      </c>
      <c r="G424" t="s">
        <v>29</v>
      </c>
      <c r="H424" t="s">
        <v>30</v>
      </c>
      <c r="I424" t="s">
        <v>30</v>
      </c>
      <c r="J424" t="s">
        <v>41</v>
      </c>
      <c r="K424" t="s">
        <v>32</v>
      </c>
      <c r="L424" t="s">
        <v>32</v>
      </c>
      <c r="M424" t="s">
        <v>33</v>
      </c>
      <c r="N424" t="s">
        <v>33</v>
      </c>
      <c r="O424" t="s">
        <v>33</v>
      </c>
      <c r="P424" t="s">
        <v>34</v>
      </c>
      <c r="Q424" t="s">
        <v>35</v>
      </c>
      <c r="R424" t="s">
        <v>54</v>
      </c>
      <c r="S424" t="s">
        <v>30</v>
      </c>
      <c r="T424" t="s">
        <v>457</v>
      </c>
      <c r="U424" t="s">
        <v>458</v>
      </c>
      <c r="V424" t="s">
        <v>39</v>
      </c>
      <c r="W424" s="1">
        <v>2</v>
      </c>
    </row>
    <row r="425" spans="1:23" x14ac:dyDescent="0.2">
      <c r="A425" t="s">
        <v>23</v>
      </c>
      <c r="B425" t="s">
        <v>24</v>
      </c>
      <c r="C425" t="s">
        <v>25</v>
      </c>
      <c r="D425" t="s">
        <v>454</v>
      </c>
      <c r="E425" t="s">
        <v>455</v>
      </c>
      <c r="F425" t="s">
        <v>456</v>
      </c>
      <c r="G425" t="s">
        <v>29</v>
      </c>
      <c r="H425" t="s">
        <v>30</v>
      </c>
      <c r="I425" t="s">
        <v>30</v>
      </c>
      <c r="J425" t="s">
        <v>41</v>
      </c>
      <c r="K425" t="s">
        <v>32</v>
      </c>
      <c r="L425" t="s">
        <v>32</v>
      </c>
      <c r="M425" t="s">
        <v>33</v>
      </c>
      <c r="N425" t="s">
        <v>33</v>
      </c>
      <c r="O425" t="s">
        <v>33</v>
      </c>
      <c r="P425" t="s">
        <v>34</v>
      </c>
      <c r="Q425" t="s">
        <v>35</v>
      </c>
      <c r="R425" t="s">
        <v>54</v>
      </c>
      <c r="S425" t="s">
        <v>30</v>
      </c>
      <c r="T425" t="s">
        <v>457</v>
      </c>
      <c r="U425" t="s">
        <v>458</v>
      </c>
      <c r="V425" t="s">
        <v>40</v>
      </c>
      <c r="W425" s="1">
        <v>2198000</v>
      </c>
    </row>
    <row r="426" spans="1:23" x14ac:dyDescent="0.2">
      <c r="A426" t="s">
        <v>23</v>
      </c>
      <c r="B426" t="s">
        <v>24</v>
      </c>
      <c r="C426" t="s">
        <v>25</v>
      </c>
      <c r="D426" t="s">
        <v>454</v>
      </c>
      <c r="E426" t="s">
        <v>455</v>
      </c>
      <c r="F426" t="s">
        <v>456</v>
      </c>
      <c r="G426" t="s">
        <v>49</v>
      </c>
      <c r="H426" t="s">
        <v>30</v>
      </c>
      <c r="I426" t="s">
        <v>30</v>
      </c>
      <c r="J426" t="s">
        <v>128</v>
      </c>
      <c r="K426" t="s">
        <v>181</v>
      </c>
      <c r="L426" t="s">
        <v>32</v>
      </c>
      <c r="M426" t="s">
        <v>33</v>
      </c>
      <c r="N426" t="s">
        <v>33</v>
      </c>
      <c r="O426" t="s">
        <v>33</v>
      </c>
      <c r="P426" t="s">
        <v>34</v>
      </c>
      <c r="Q426" t="s">
        <v>35</v>
      </c>
      <c r="S426" t="s">
        <v>30</v>
      </c>
      <c r="T426" t="s">
        <v>459</v>
      </c>
      <c r="U426" t="s">
        <v>460</v>
      </c>
      <c r="V426" t="s">
        <v>39</v>
      </c>
      <c r="W426" s="1">
        <v>14</v>
      </c>
    </row>
    <row r="427" spans="1:23" x14ac:dyDescent="0.2">
      <c r="A427" t="s">
        <v>23</v>
      </c>
      <c r="B427" t="s">
        <v>24</v>
      </c>
      <c r="C427" t="s">
        <v>25</v>
      </c>
      <c r="D427" t="s">
        <v>454</v>
      </c>
      <c r="E427" t="s">
        <v>455</v>
      </c>
      <c r="F427" t="s">
        <v>456</v>
      </c>
      <c r="G427" t="s">
        <v>49</v>
      </c>
      <c r="H427" t="s">
        <v>30</v>
      </c>
      <c r="I427" t="s">
        <v>30</v>
      </c>
      <c r="J427" t="s">
        <v>128</v>
      </c>
      <c r="K427" t="s">
        <v>181</v>
      </c>
      <c r="L427" t="s">
        <v>32</v>
      </c>
      <c r="M427" t="s">
        <v>33</v>
      </c>
      <c r="N427" t="s">
        <v>33</v>
      </c>
      <c r="O427" t="s">
        <v>33</v>
      </c>
      <c r="P427" t="s">
        <v>34</v>
      </c>
      <c r="Q427" t="s">
        <v>35</v>
      </c>
      <c r="S427" t="s">
        <v>30</v>
      </c>
      <c r="T427" t="s">
        <v>459</v>
      </c>
      <c r="U427" t="s">
        <v>460</v>
      </c>
      <c r="V427" t="s">
        <v>40</v>
      </c>
      <c r="W427" s="1">
        <v>18410000</v>
      </c>
    </row>
    <row r="428" spans="1:23" x14ac:dyDescent="0.2">
      <c r="A428" t="s">
        <v>23</v>
      </c>
      <c r="B428" t="s">
        <v>24</v>
      </c>
      <c r="C428" t="s">
        <v>25</v>
      </c>
      <c r="D428" t="s">
        <v>454</v>
      </c>
      <c r="E428" t="s">
        <v>455</v>
      </c>
      <c r="F428" t="s">
        <v>456</v>
      </c>
      <c r="G428" t="s">
        <v>49</v>
      </c>
      <c r="H428" t="s">
        <v>30</v>
      </c>
      <c r="I428" t="s">
        <v>30</v>
      </c>
      <c r="J428" t="s">
        <v>41</v>
      </c>
      <c r="K428" t="s">
        <v>32</v>
      </c>
      <c r="L428" t="s">
        <v>32</v>
      </c>
      <c r="M428" t="s">
        <v>33</v>
      </c>
      <c r="N428" t="s">
        <v>33</v>
      </c>
      <c r="O428" t="s">
        <v>33</v>
      </c>
      <c r="P428" t="s">
        <v>34</v>
      </c>
      <c r="Q428" t="s">
        <v>35</v>
      </c>
      <c r="S428" t="s">
        <v>30</v>
      </c>
      <c r="T428" t="s">
        <v>461</v>
      </c>
      <c r="U428" t="s">
        <v>462</v>
      </c>
      <c r="V428" t="s">
        <v>39</v>
      </c>
      <c r="W428" s="1">
        <v>1</v>
      </c>
    </row>
    <row r="429" spans="1:23" x14ac:dyDescent="0.2">
      <c r="A429" t="s">
        <v>23</v>
      </c>
      <c r="B429" t="s">
        <v>24</v>
      </c>
      <c r="C429" t="s">
        <v>25</v>
      </c>
      <c r="D429" t="s">
        <v>454</v>
      </c>
      <c r="E429" t="s">
        <v>455</v>
      </c>
      <c r="F429" t="s">
        <v>456</v>
      </c>
      <c r="G429" t="s">
        <v>49</v>
      </c>
      <c r="H429" t="s">
        <v>30</v>
      </c>
      <c r="I429" t="s">
        <v>30</v>
      </c>
      <c r="J429" t="s">
        <v>41</v>
      </c>
      <c r="K429" t="s">
        <v>32</v>
      </c>
      <c r="L429" t="s">
        <v>32</v>
      </c>
      <c r="M429" t="s">
        <v>33</v>
      </c>
      <c r="N429" t="s">
        <v>33</v>
      </c>
      <c r="O429" t="s">
        <v>33</v>
      </c>
      <c r="P429" t="s">
        <v>34</v>
      </c>
      <c r="Q429" t="s">
        <v>35</v>
      </c>
      <c r="S429" t="s">
        <v>30</v>
      </c>
      <c r="T429" t="s">
        <v>461</v>
      </c>
      <c r="U429" t="s">
        <v>462</v>
      </c>
      <c r="V429" t="s">
        <v>40</v>
      </c>
      <c r="W429" s="1">
        <v>1072400</v>
      </c>
    </row>
    <row r="430" spans="1:23" x14ac:dyDescent="0.2">
      <c r="A430" t="s">
        <v>23</v>
      </c>
      <c r="B430" t="s">
        <v>24</v>
      </c>
      <c r="C430" t="s">
        <v>25</v>
      </c>
      <c r="D430" t="s">
        <v>454</v>
      </c>
      <c r="E430" t="s">
        <v>455</v>
      </c>
      <c r="F430" t="s">
        <v>456</v>
      </c>
      <c r="G430" t="s">
        <v>61</v>
      </c>
      <c r="H430" t="s">
        <v>52</v>
      </c>
      <c r="I430" t="s">
        <v>52</v>
      </c>
      <c r="J430" t="s">
        <v>31</v>
      </c>
      <c r="K430" t="s">
        <v>32</v>
      </c>
      <c r="L430" t="s">
        <v>32</v>
      </c>
      <c r="M430" t="s">
        <v>33</v>
      </c>
      <c r="N430" t="s">
        <v>33</v>
      </c>
      <c r="O430" t="s">
        <v>33</v>
      </c>
      <c r="P430" t="s">
        <v>34</v>
      </c>
      <c r="Q430" t="s">
        <v>35</v>
      </c>
      <c r="S430" t="s">
        <v>30</v>
      </c>
      <c r="T430" t="s">
        <v>463</v>
      </c>
      <c r="U430" t="s">
        <v>464</v>
      </c>
      <c r="V430" t="s">
        <v>39</v>
      </c>
      <c r="W430" s="1">
        <v>2</v>
      </c>
    </row>
    <row r="431" spans="1:23" x14ac:dyDescent="0.2">
      <c r="A431" t="s">
        <v>23</v>
      </c>
      <c r="B431" t="s">
        <v>24</v>
      </c>
      <c r="C431" t="s">
        <v>25</v>
      </c>
      <c r="D431" t="s">
        <v>454</v>
      </c>
      <c r="E431" t="s">
        <v>455</v>
      </c>
      <c r="F431" t="s">
        <v>456</v>
      </c>
      <c r="G431" t="s">
        <v>61</v>
      </c>
      <c r="H431" t="s">
        <v>52</v>
      </c>
      <c r="I431" t="s">
        <v>52</v>
      </c>
      <c r="J431" t="s">
        <v>31</v>
      </c>
      <c r="K431" t="s">
        <v>32</v>
      </c>
      <c r="L431" t="s">
        <v>32</v>
      </c>
      <c r="M431" t="s">
        <v>33</v>
      </c>
      <c r="N431" t="s">
        <v>33</v>
      </c>
      <c r="O431" t="s">
        <v>33</v>
      </c>
      <c r="P431" t="s">
        <v>34</v>
      </c>
      <c r="Q431" t="s">
        <v>35</v>
      </c>
      <c r="S431" t="s">
        <v>30</v>
      </c>
      <c r="T431" t="s">
        <v>463</v>
      </c>
      <c r="U431" t="s">
        <v>464</v>
      </c>
      <c r="V431" t="s">
        <v>40</v>
      </c>
      <c r="W431" s="1">
        <v>3298000</v>
      </c>
    </row>
    <row r="432" spans="1:23" x14ac:dyDescent="0.2">
      <c r="A432" t="s">
        <v>23</v>
      </c>
      <c r="B432" t="s">
        <v>24</v>
      </c>
      <c r="C432" t="s">
        <v>25</v>
      </c>
      <c r="D432" t="s">
        <v>454</v>
      </c>
      <c r="E432" t="s">
        <v>455</v>
      </c>
      <c r="F432" t="s">
        <v>456</v>
      </c>
      <c r="G432" t="s">
        <v>64</v>
      </c>
      <c r="H432" t="s">
        <v>30</v>
      </c>
      <c r="I432" t="s">
        <v>52</v>
      </c>
      <c r="J432" t="s">
        <v>41</v>
      </c>
      <c r="K432" t="s">
        <v>32</v>
      </c>
      <c r="L432" t="s">
        <v>32</v>
      </c>
      <c r="M432" t="s">
        <v>33</v>
      </c>
      <c r="P432" t="s">
        <v>34</v>
      </c>
      <c r="Q432" t="s">
        <v>35</v>
      </c>
      <c r="S432" t="s">
        <v>52</v>
      </c>
      <c r="T432" t="s">
        <v>465</v>
      </c>
      <c r="U432" t="s">
        <v>466</v>
      </c>
      <c r="V432" t="s">
        <v>39</v>
      </c>
      <c r="W432" s="1">
        <v>0</v>
      </c>
    </row>
    <row r="433" spans="1:23" x14ac:dyDescent="0.2">
      <c r="A433" t="s">
        <v>23</v>
      </c>
      <c r="B433" t="s">
        <v>24</v>
      </c>
      <c r="C433" t="s">
        <v>25</v>
      </c>
      <c r="D433" t="s">
        <v>454</v>
      </c>
      <c r="E433" t="s">
        <v>455</v>
      </c>
      <c r="F433" t="s">
        <v>456</v>
      </c>
      <c r="G433" t="s">
        <v>64</v>
      </c>
      <c r="H433" t="s">
        <v>30</v>
      </c>
      <c r="I433" t="s">
        <v>52</v>
      </c>
      <c r="J433" t="s">
        <v>41</v>
      </c>
      <c r="K433" t="s">
        <v>32</v>
      </c>
      <c r="L433" t="s">
        <v>32</v>
      </c>
      <c r="M433" t="s">
        <v>33</v>
      </c>
      <c r="P433" t="s">
        <v>34</v>
      </c>
      <c r="Q433" t="s">
        <v>35</v>
      </c>
      <c r="S433" t="s">
        <v>52</v>
      </c>
      <c r="T433" t="s">
        <v>465</v>
      </c>
      <c r="U433" t="s">
        <v>466</v>
      </c>
      <c r="V433" t="s">
        <v>40</v>
      </c>
      <c r="W433" s="1">
        <v>5143600</v>
      </c>
    </row>
    <row r="434" spans="1:23" x14ac:dyDescent="0.2">
      <c r="A434" t="s">
        <v>23</v>
      </c>
      <c r="B434" t="s">
        <v>24</v>
      </c>
      <c r="C434" t="s">
        <v>25</v>
      </c>
      <c r="D434" t="s">
        <v>454</v>
      </c>
      <c r="E434" t="s">
        <v>455</v>
      </c>
      <c r="F434" t="s">
        <v>456</v>
      </c>
      <c r="G434" t="s">
        <v>67</v>
      </c>
      <c r="H434" t="s">
        <v>30</v>
      </c>
      <c r="I434" t="s">
        <v>30</v>
      </c>
      <c r="J434" t="s">
        <v>31</v>
      </c>
      <c r="K434" t="s">
        <v>32</v>
      </c>
      <c r="L434" t="s">
        <v>32</v>
      </c>
      <c r="M434" t="s">
        <v>33</v>
      </c>
      <c r="N434" t="s">
        <v>33</v>
      </c>
      <c r="O434" t="s">
        <v>33</v>
      </c>
      <c r="P434" t="s">
        <v>34</v>
      </c>
      <c r="Q434" t="s">
        <v>35</v>
      </c>
      <c r="R434" t="s">
        <v>148</v>
      </c>
      <c r="S434" t="s">
        <v>30</v>
      </c>
      <c r="T434" t="s">
        <v>467</v>
      </c>
      <c r="U434" t="s">
        <v>468</v>
      </c>
      <c r="V434" t="s">
        <v>39</v>
      </c>
      <c r="W434" s="1">
        <v>3</v>
      </c>
    </row>
    <row r="435" spans="1:23" x14ac:dyDescent="0.2">
      <c r="A435" t="s">
        <v>23</v>
      </c>
      <c r="B435" t="s">
        <v>24</v>
      </c>
      <c r="C435" t="s">
        <v>25</v>
      </c>
      <c r="D435" t="s">
        <v>454</v>
      </c>
      <c r="E435" t="s">
        <v>455</v>
      </c>
      <c r="F435" t="s">
        <v>456</v>
      </c>
      <c r="G435" t="s">
        <v>67</v>
      </c>
      <c r="H435" t="s">
        <v>30</v>
      </c>
      <c r="I435" t="s">
        <v>30</v>
      </c>
      <c r="J435" t="s">
        <v>31</v>
      </c>
      <c r="K435" t="s">
        <v>32</v>
      </c>
      <c r="L435" t="s">
        <v>32</v>
      </c>
      <c r="M435" t="s">
        <v>33</v>
      </c>
      <c r="N435" t="s">
        <v>33</v>
      </c>
      <c r="O435" t="s">
        <v>33</v>
      </c>
      <c r="P435" t="s">
        <v>34</v>
      </c>
      <c r="Q435" t="s">
        <v>35</v>
      </c>
      <c r="R435" t="s">
        <v>148</v>
      </c>
      <c r="S435" t="s">
        <v>30</v>
      </c>
      <c r="T435" t="s">
        <v>467</v>
      </c>
      <c r="U435" t="s">
        <v>468</v>
      </c>
      <c r="V435" t="s">
        <v>40</v>
      </c>
      <c r="W435" s="1">
        <v>3256500</v>
      </c>
    </row>
    <row r="436" spans="1:23" x14ac:dyDescent="0.2">
      <c r="A436" t="s">
        <v>23</v>
      </c>
      <c r="B436" t="s">
        <v>24</v>
      </c>
      <c r="C436" t="s">
        <v>25</v>
      </c>
      <c r="D436" t="s">
        <v>454</v>
      </c>
      <c r="E436" t="s">
        <v>455</v>
      </c>
      <c r="F436" t="s">
        <v>456</v>
      </c>
      <c r="G436" t="s">
        <v>67</v>
      </c>
      <c r="H436" t="s">
        <v>30</v>
      </c>
      <c r="I436" t="s">
        <v>30</v>
      </c>
      <c r="J436" t="s">
        <v>31</v>
      </c>
      <c r="K436" t="s">
        <v>32</v>
      </c>
      <c r="L436" t="s">
        <v>32</v>
      </c>
      <c r="M436" t="s">
        <v>33</v>
      </c>
      <c r="N436" t="s">
        <v>169</v>
      </c>
      <c r="O436" t="s">
        <v>169</v>
      </c>
      <c r="P436" t="s">
        <v>34</v>
      </c>
      <c r="Q436" t="s">
        <v>35</v>
      </c>
      <c r="R436" t="s">
        <v>148</v>
      </c>
      <c r="S436" t="s">
        <v>30</v>
      </c>
      <c r="T436" t="s">
        <v>467</v>
      </c>
      <c r="U436" t="s">
        <v>468</v>
      </c>
      <c r="V436" t="s">
        <v>39</v>
      </c>
      <c r="W436" s="1">
        <v>1</v>
      </c>
    </row>
    <row r="437" spans="1:23" x14ac:dyDescent="0.2">
      <c r="A437" t="s">
        <v>23</v>
      </c>
      <c r="B437" t="s">
        <v>24</v>
      </c>
      <c r="C437" t="s">
        <v>25</v>
      </c>
      <c r="D437" t="s">
        <v>454</v>
      </c>
      <c r="E437" t="s">
        <v>455</v>
      </c>
      <c r="F437" t="s">
        <v>456</v>
      </c>
      <c r="G437" t="s">
        <v>67</v>
      </c>
      <c r="H437" t="s">
        <v>30</v>
      </c>
      <c r="I437" t="s">
        <v>30</v>
      </c>
      <c r="J437" t="s">
        <v>31</v>
      </c>
      <c r="K437" t="s">
        <v>32</v>
      </c>
      <c r="L437" t="s">
        <v>32</v>
      </c>
      <c r="M437" t="s">
        <v>33</v>
      </c>
      <c r="N437" t="s">
        <v>169</v>
      </c>
      <c r="O437" t="s">
        <v>169</v>
      </c>
      <c r="P437" t="s">
        <v>34</v>
      </c>
      <c r="Q437" t="s">
        <v>35</v>
      </c>
      <c r="R437" t="s">
        <v>148</v>
      </c>
      <c r="S437" t="s">
        <v>30</v>
      </c>
      <c r="T437" t="s">
        <v>467</v>
      </c>
      <c r="U437" t="s">
        <v>468</v>
      </c>
      <c r="V437" t="s">
        <v>40</v>
      </c>
      <c r="W437" s="1">
        <v>1085500</v>
      </c>
    </row>
    <row r="438" spans="1:23" x14ac:dyDescent="0.2">
      <c r="A438" t="s">
        <v>23</v>
      </c>
      <c r="B438" t="s">
        <v>24</v>
      </c>
      <c r="C438" t="s">
        <v>25</v>
      </c>
      <c r="D438" t="s">
        <v>454</v>
      </c>
      <c r="E438" t="s">
        <v>455</v>
      </c>
      <c r="F438" t="s">
        <v>456</v>
      </c>
      <c r="G438" t="s">
        <v>89</v>
      </c>
      <c r="H438" t="s">
        <v>30</v>
      </c>
      <c r="I438" t="s">
        <v>30</v>
      </c>
      <c r="J438" t="s">
        <v>31</v>
      </c>
      <c r="K438" t="s">
        <v>32</v>
      </c>
      <c r="L438" t="s">
        <v>32</v>
      </c>
      <c r="M438" t="s">
        <v>33</v>
      </c>
      <c r="N438" t="s">
        <v>33</v>
      </c>
      <c r="O438" t="s">
        <v>33</v>
      </c>
      <c r="P438" t="s">
        <v>34</v>
      </c>
      <c r="Q438" t="s">
        <v>35</v>
      </c>
      <c r="S438" t="s">
        <v>30</v>
      </c>
      <c r="T438" t="s">
        <v>469</v>
      </c>
      <c r="U438" t="s">
        <v>470</v>
      </c>
      <c r="V438" t="s">
        <v>39</v>
      </c>
      <c r="W438" s="1">
        <v>2</v>
      </c>
    </row>
    <row r="439" spans="1:23" x14ac:dyDescent="0.2">
      <c r="A439" t="s">
        <v>23</v>
      </c>
      <c r="B439" t="s">
        <v>24</v>
      </c>
      <c r="C439" t="s">
        <v>25</v>
      </c>
      <c r="D439" t="s">
        <v>454</v>
      </c>
      <c r="E439" t="s">
        <v>455</v>
      </c>
      <c r="F439" t="s">
        <v>456</v>
      </c>
      <c r="G439" t="s">
        <v>89</v>
      </c>
      <c r="H439" t="s">
        <v>30</v>
      </c>
      <c r="I439" t="s">
        <v>30</v>
      </c>
      <c r="J439" t="s">
        <v>31</v>
      </c>
      <c r="K439" t="s">
        <v>32</v>
      </c>
      <c r="L439" t="s">
        <v>32</v>
      </c>
      <c r="M439" t="s">
        <v>33</v>
      </c>
      <c r="N439" t="s">
        <v>33</v>
      </c>
      <c r="O439" t="s">
        <v>33</v>
      </c>
      <c r="P439" t="s">
        <v>34</v>
      </c>
      <c r="Q439" t="s">
        <v>35</v>
      </c>
      <c r="S439" t="s">
        <v>30</v>
      </c>
      <c r="T439" t="s">
        <v>469</v>
      </c>
      <c r="U439" t="s">
        <v>470</v>
      </c>
      <c r="V439" t="s">
        <v>40</v>
      </c>
      <c r="W439" s="1">
        <v>1236000</v>
      </c>
    </row>
    <row r="440" spans="1:23" x14ac:dyDescent="0.2">
      <c r="A440" t="s">
        <v>23</v>
      </c>
      <c r="B440" t="s">
        <v>24</v>
      </c>
      <c r="C440" t="s">
        <v>25</v>
      </c>
      <c r="D440" t="s">
        <v>454</v>
      </c>
      <c r="E440" t="s">
        <v>455</v>
      </c>
      <c r="F440" t="s">
        <v>456</v>
      </c>
      <c r="G440" t="s">
        <v>89</v>
      </c>
      <c r="H440" t="s">
        <v>30</v>
      </c>
      <c r="I440" t="s">
        <v>30</v>
      </c>
      <c r="J440" t="s">
        <v>31</v>
      </c>
      <c r="K440" t="s">
        <v>32</v>
      </c>
      <c r="L440" t="s">
        <v>32</v>
      </c>
      <c r="M440" t="s">
        <v>33</v>
      </c>
      <c r="N440" t="s">
        <v>33</v>
      </c>
      <c r="O440" t="s">
        <v>33</v>
      </c>
      <c r="P440" t="s">
        <v>34</v>
      </c>
      <c r="Q440" t="s">
        <v>35</v>
      </c>
      <c r="S440" t="s">
        <v>30</v>
      </c>
      <c r="T440" t="s">
        <v>471</v>
      </c>
      <c r="U440" t="s">
        <v>472</v>
      </c>
      <c r="V440" t="s">
        <v>39</v>
      </c>
      <c r="W440" s="1">
        <v>3</v>
      </c>
    </row>
    <row r="441" spans="1:23" x14ac:dyDescent="0.2">
      <c r="A441" t="s">
        <v>23</v>
      </c>
      <c r="B441" t="s">
        <v>24</v>
      </c>
      <c r="C441" t="s">
        <v>25</v>
      </c>
      <c r="D441" t="s">
        <v>454</v>
      </c>
      <c r="E441" t="s">
        <v>455</v>
      </c>
      <c r="F441" t="s">
        <v>456</v>
      </c>
      <c r="G441" t="s">
        <v>89</v>
      </c>
      <c r="H441" t="s">
        <v>30</v>
      </c>
      <c r="I441" t="s">
        <v>30</v>
      </c>
      <c r="J441" t="s">
        <v>31</v>
      </c>
      <c r="K441" t="s">
        <v>32</v>
      </c>
      <c r="L441" t="s">
        <v>32</v>
      </c>
      <c r="M441" t="s">
        <v>33</v>
      </c>
      <c r="N441" t="s">
        <v>33</v>
      </c>
      <c r="O441" t="s">
        <v>33</v>
      </c>
      <c r="P441" t="s">
        <v>34</v>
      </c>
      <c r="Q441" t="s">
        <v>35</v>
      </c>
      <c r="S441" t="s">
        <v>30</v>
      </c>
      <c r="T441" t="s">
        <v>471</v>
      </c>
      <c r="U441" t="s">
        <v>472</v>
      </c>
      <c r="V441" t="s">
        <v>40</v>
      </c>
      <c r="W441" s="1">
        <v>897000</v>
      </c>
    </row>
    <row r="442" spans="1:23" x14ac:dyDescent="0.2">
      <c r="A442" t="s">
        <v>23</v>
      </c>
      <c r="B442" t="s">
        <v>24</v>
      </c>
      <c r="C442" t="s">
        <v>25</v>
      </c>
      <c r="D442" t="s">
        <v>454</v>
      </c>
      <c r="E442" t="s">
        <v>455</v>
      </c>
      <c r="F442" t="s">
        <v>456</v>
      </c>
      <c r="G442" t="s">
        <v>106</v>
      </c>
      <c r="H442" t="s">
        <v>30</v>
      </c>
      <c r="I442" t="s">
        <v>30</v>
      </c>
      <c r="J442" t="s">
        <v>31</v>
      </c>
      <c r="K442" t="s">
        <v>32</v>
      </c>
      <c r="L442" t="s">
        <v>32</v>
      </c>
      <c r="M442" t="s">
        <v>33</v>
      </c>
      <c r="N442" t="s">
        <v>33</v>
      </c>
      <c r="O442" t="s">
        <v>33</v>
      </c>
      <c r="P442" t="s">
        <v>34</v>
      </c>
      <c r="Q442" t="s">
        <v>35</v>
      </c>
      <c r="S442" t="s">
        <v>30</v>
      </c>
      <c r="T442" t="s">
        <v>473</v>
      </c>
      <c r="U442" t="s">
        <v>474</v>
      </c>
      <c r="V442" t="s">
        <v>39</v>
      </c>
      <c r="W442" s="1">
        <v>2</v>
      </c>
    </row>
    <row r="443" spans="1:23" x14ac:dyDescent="0.2">
      <c r="A443" t="s">
        <v>23</v>
      </c>
      <c r="B443" t="s">
        <v>24</v>
      </c>
      <c r="C443" t="s">
        <v>25</v>
      </c>
      <c r="D443" t="s">
        <v>454</v>
      </c>
      <c r="E443" t="s">
        <v>455</v>
      </c>
      <c r="F443" t="s">
        <v>456</v>
      </c>
      <c r="G443" t="s">
        <v>106</v>
      </c>
      <c r="H443" t="s">
        <v>30</v>
      </c>
      <c r="I443" t="s">
        <v>30</v>
      </c>
      <c r="J443" t="s">
        <v>31</v>
      </c>
      <c r="K443" t="s">
        <v>32</v>
      </c>
      <c r="L443" t="s">
        <v>32</v>
      </c>
      <c r="M443" t="s">
        <v>33</v>
      </c>
      <c r="N443" t="s">
        <v>33</v>
      </c>
      <c r="O443" t="s">
        <v>33</v>
      </c>
      <c r="P443" t="s">
        <v>34</v>
      </c>
      <c r="Q443" t="s">
        <v>35</v>
      </c>
      <c r="S443" t="s">
        <v>30</v>
      </c>
      <c r="T443" t="s">
        <v>473</v>
      </c>
      <c r="U443" t="s">
        <v>474</v>
      </c>
      <c r="V443" t="s">
        <v>40</v>
      </c>
      <c r="W443" s="1">
        <v>2676200</v>
      </c>
    </row>
    <row r="444" spans="1:23" x14ac:dyDescent="0.2">
      <c r="A444" t="s">
        <v>23</v>
      </c>
      <c r="B444" t="s">
        <v>24</v>
      </c>
      <c r="C444" t="s">
        <v>25</v>
      </c>
      <c r="D444" t="s">
        <v>454</v>
      </c>
      <c r="E444" t="s">
        <v>455</v>
      </c>
      <c r="F444" t="s">
        <v>456</v>
      </c>
      <c r="G444" t="s">
        <v>106</v>
      </c>
      <c r="H444" t="s">
        <v>30</v>
      </c>
      <c r="I444" t="s">
        <v>30</v>
      </c>
      <c r="J444" t="s">
        <v>41</v>
      </c>
      <c r="K444" t="s">
        <v>32</v>
      </c>
      <c r="L444" t="s">
        <v>32</v>
      </c>
      <c r="M444" t="s">
        <v>33</v>
      </c>
      <c r="P444" t="s">
        <v>34</v>
      </c>
      <c r="Q444" t="s">
        <v>35</v>
      </c>
      <c r="R444" t="s">
        <v>54</v>
      </c>
      <c r="S444" t="s">
        <v>30</v>
      </c>
      <c r="T444" t="s">
        <v>475</v>
      </c>
      <c r="U444" t="s">
        <v>476</v>
      </c>
      <c r="V444" t="s">
        <v>39</v>
      </c>
      <c r="W444" s="1">
        <v>13</v>
      </c>
    </row>
    <row r="445" spans="1:23" x14ac:dyDescent="0.2">
      <c r="A445" t="s">
        <v>23</v>
      </c>
      <c r="B445" t="s">
        <v>24</v>
      </c>
      <c r="C445" t="s">
        <v>25</v>
      </c>
      <c r="D445" t="s">
        <v>454</v>
      </c>
      <c r="E445" t="s">
        <v>455</v>
      </c>
      <c r="F445" t="s">
        <v>456</v>
      </c>
      <c r="G445" t="s">
        <v>106</v>
      </c>
      <c r="H445" t="s">
        <v>30</v>
      </c>
      <c r="I445" t="s">
        <v>30</v>
      </c>
      <c r="J445" t="s">
        <v>41</v>
      </c>
      <c r="K445" t="s">
        <v>32</v>
      </c>
      <c r="L445" t="s">
        <v>32</v>
      </c>
      <c r="M445" t="s">
        <v>33</v>
      </c>
      <c r="P445" t="s">
        <v>34</v>
      </c>
      <c r="Q445" t="s">
        <v>35</v>
      </c>
      <c r="R445" t="s">
        <v>54</v>
      </c>
      <c r="S445" t="s">
        <v>30</v>
      </c>
      <c r="T445" t="s">
        <v>475</v>
      </c>
      <c r="U445" t="s">
        <v>476</v>
      </c>
      <c r="V445" t="s">
        <v>40</v>
      </c>
      <c r="W445" s="1">
        <v>20826000</v>
      </c>
    </row>
    <row r="446" spans="1:23" x14ac:dyDescent="0.2">
      <c r="A446" t="s">
        <v>23</v>
      </c>
      <c r="B446" t="s">
        <v>24</v>
      </c>
      <c r="C446" t="s">
        <v>25</v>
      </c>
      <c r="D446" t="s">
        <v>454</v>
      </c>
      <c r="E446" t="s">
        <v>455</v>
      </c>
      <c r="F446" t="s">
        <v>456</v>
      </c>
      <c r="G446" t="s">
        <v>119</v>
      </c>
      <c r="H446" t="s">
        <v>30</v>
      </c>
      <c r="I446" t="s">
        <v>52</v>
      </c>
      <c r="J446" t="s">
        <v>41</v>
      </c>
      <c r="K446" t="s">
        <v>32</v>
      </c>
      <c r="L446" t="s">
        <v>32</v>
      </c>
      <c r="M446" t="s">
        <v>33</v>
      </c>
      <c r="N446" t="s">
        <v>33</v>
      </c>
      <c r="O446" t="s">
        <v>33</v>
      </c>
      <c r="P446" t="s">
        <v>34</v>
      </c>
      <c r="Q446" t="s">
        <v>35</v>
      </c>
      <c r="R446" t="s">
        <v>54</v>
      </c>
      <c r="S446" t="s">
        <v>30</v>
      </c>
      <c r="T446" t="s">
        <v>477</v>
      </c>
      <c r="U446" t="s">
        <v>478</v>
      </c>
      <c r="V446" t="s">
        <v>39</v>
      </c>
      <c r="W446" s="1">
        <v>2</v>
      </c>
    </row>
    <row r="447" spans="1:23" x14ac:dyDescent="0.2">
      <c r="A447" t="s">
        <v>23</v>
      </c>
      <c r="B447" t="s">
        <v>24</v>
      </c>
      <c r="C447" t="s">
        <v>25</v>
      </c>
      <c r="D447" t="s">
        <v>454</v>
      </c>
      <c r="E447" t="s">
        <v>455</v>
      </c>
      <c r="F447" t="s">
        <v>456</v>
      </c>
      <c r="G447" t="s">
        <v>119</v>
      </c>
      <c r="H447" t="s">
        <v>30</v>
      </c>
      <c r="I447" t="s">
        <v>52</v>
      </c>
      <c r="J447" t="s">
        <v>41</v>
      </c>
      <c r="K447" t="s">
        <v>32</v>
      </c>
      <c r="L447" t="s">
        <v>32</v>
      </c>
      <c r="M447" t="s">
        <v>33</v>
      </c>
      <c r="N447" t="s">
        <v>33</v>
      </c>
      <c r="O447" t="s">
        <v>33</v>
      </c>
      <c r="P447" t="s">
        <v>34</v>
      </c>
      <c r="Q447" t="s">
        <v>35</v>
      </c>
      <c r="R447" t="s">
        <v>54</v>
      </c>
      <c r="S447" t="s">
        <v>30</v>
      </c>
      <c r="T447" t="s">
        <v>477</v>
      </c>
      <c r="U447" t="s">
        <v>478</v>
      </c>
      <c r="V447" t="s">
        <v>40</v>
      </c>
      <c r="W447" s="1">
        <v>3350200</v>
      </c>
    </row>
    <row r="448" spans="1:23" x14ac:dyDescent="0.2">
      <c r="A448" t="s">
        <v>23</v>
      </c>
      <c r="B448" t="s">
        <v>24</v>
      </c>
      <c r="C448" t="s">
        <v>25</v>
      </c>
      <c r="D448" t="s">
        <v>454</v>
      </c>
      <c r="E448" t="s">
        <v>455</v>
      </c>
      <c r="F448" t="s">
        <v>456</v>
      </c>
      <c r="G448" t="s">
        <v>139</v>
      </c>
      <c r="H448" t="s">
        <v>30</v>
      </c>
      <c r="I448" t="s">
        <v>30</v>
      </c>
      <c r="J448" t="s">
        <v>31</v>
      </c>
      <c r="K448" t="s">
        <v>32</v>
      </c>
      <c r="L448" t="s">
        <v>32</v>
      </c>
      <c r="M448" t="s">
        <v>33</v>
      </c>
      <c r="N448" t="s">
        <v>33</v>
      </c>
      <c r="O448" t="s">
        <v>33</v>
      </c>
      <c r="P448" t="s">
        <v>34</v>
      </c>
      <c r="Q448" t="s">
        <v>35</v>
      </c>
      <c r="R448" t="s">
        <v>228</v>
      </c>
      <c r="S448" t="s">
        <v>30</v>
      </c>
      <c r="T448" t="s">
        <v>479</v>
      </c>
      <c r="U448" t="s">
        <v>480</v>
      </c>
      <c r="V448" t="s">
        <v>39</v>
      </c>
      <c r="W448" s="1">
        <v>1</v>
      </c>
    </row>
    <row r="449" spans="1:23" x14ac:dyDescent="0.2">
      <c r="A449" t="s">
        <v>23</v>
      </c>
      <c r="B449" t="s">
        <v>24</v>
      </c>
      <c r="C449" t="s">
        <v>25</v>
      </c>
      <c r="D449" t="s">
        <v>454</v>
      </c>
      <c r="E449" t="s">
        <v>455</v>
      </c>
      <c r="F449" t="s">
        <v>456</v>
      </c>
      <c r="G449" t="s">
        <v>139</v>
      </c>
      <c r="H449" t="s">
        <v>30</v>
      </c>
      <c r="I449" t="s">
        <v>30</v>
      </c>
      <c r="J449" t="s">
        <v>31</v>
      </c>
      <c r="K449" t="s">
        <v>32</v>
      </c>
      <c r="L449" t="s">
        <v>32</v>
      </c>
      <c r="M449" t="s">
        <v>33</v>
      </c>
      <c r="N449" t="s">
        <v>33</v>
      </c>
      <c r="O449" t="s">
        <v>33</v>
      </c>
      <c r="P449" t="s">
        <v>34</v>
      </c>
      <c r="Q449" t="s">
        <v>35</v>
      </c>
      <c r="R449" t="s">
        <v>228</v>
      </c>
      <c r="S449" t="s">
        <v>30</v>
      </c>
      <c r="T449" t="s">
        <v>479</v>
      </c>
      <c r="U449" t="s">
        <v>480</v>
      </c>
      <c r="V449" t="s">
        <v>40</v>
      </c>
      <c r="W449" s="1">
        <v>599000</v>
      </c>
    </row>
    <row r="450" spans="1:23" x14ac:dyDescent="0.2">
      <c r="A450" t="s">
        <v>23</v>
      </c>
      <c r="B450" t="s">
        <v>24</v>
      </c>
      <c r="C450" t="s">
        <v>25</v>
      </c>
      <c r="D450" t="s">
        <v>454</v>
      </c>
      <c r="E450" t="s">
        <v>481</v>
      </c>
      <c r="F450" t="s">
        <v>482</v>
      </c>
      <c r="G450" t="s">
        <v>29</v>
      </c>
      <c r="H450" t="s">
        <v>30</v>
      </c>
      <c r="I450" t="s">
        <v>30</v>
      </c>
      <c r="J450" t="s">
        <v>31</v>
      </c>
      <c r="K450" t="s">
        <v>32</v>
      </c>
      <c r="L450" t="s">
        <v>32</v>
      </c>
      <c r="M450" t="s">
        <v>33</v>
      </c>
      <c r="N450" t="s">
        <v>33</v>
      </c>
      <c r="O450" t="s">
        <v>33</v>
      </c>
      <c r="P450" t="s">
        <v>34</v>
      </c>
      <c r="Q450" t="s">
        <v>35</v>
      </c>
      <c r="S450" t="s">
        <v>30</v>
      </c>
      <c r="T450" t="s">
        <v>483</v>
      </c>
      <c r="U450" t="s">
        <v>484</v>
      </c>
      <c r="V450" t="s">
        <v>39</v>
      </c>
      <c r="W450" s="1">
        <v>1</v>
      </c>
    </row>
    <row r="451" spans="1:23" x14ac:dyDescent="0.2">
      <c r="A451" t="s">
        <v>23</v>
      </c>
      <c r="B451" t="s">
        <v>24</v>
      </c>
      <c r="C451" t="s">
        <v>25</v>
      </c>
      <c r="D451" t="s">
        <v>454</v>
      </c>
      <c r="E451" t="s">
        <v>481</v>
      </c>
      <c r="F451" t="s">
        <v>482</v>
      </c>
      <c r="G451" t="s">
        <v>29</v>
      </c>
      <c r="H451" t="s">
        <v>30</v>
      </c>
      <c r="I451" t="s">
        <v>30</v>
      </c>
      <c r="J451" t="s">
        <v>31</v>
      </c>
      <c r="K451" t="s">
        <v>32</v>
      </c>
      <c r="L451" t="s">
        <v>32</v>
      </c>
      <c r="M451" t="s">
        <v>33</v>
      </c>
      <c r="N451" t="s">
        <v>33</v>
      </c>
      <c r="O451" t="s">
        <v>33</v>
      </c>
      <c r="P451" t="s">
        <v>34</v>
      </c>
      <c r="Q451" t="s">
        <v>35</v>
      </c>
      <c r="S451" t="s">
        <v>30</v>
      </c>
      <c r="T451" t="s">
        <v>483</v>
      </c>
      <c r="U451" t="s">
        <v>484</v>
      </c>
      <c r="V451" t="s">
        <v>40</v>
      </c>
      <c r="W451" s="1">
        <v>798100</v>
      </c>
    </row>
    <row r="452" spans="1:23" x14ac:dyDescent="0.2">
      <c r="A452" t="s">
        <v>23</v>
      </c>
      <c r="B452" t="s">
        <v>24</v>
      </c>
      <c r="C452" t="s">
        <v>25</v>
      </c>
      <c r="D452" t="s">
        <v>454</v>
      </c>
      <c r="E452" t="s">
        <v>481</v>
      </c>
      <c r="F452" t="s">
        <v>482</v>
      </c>
      <c r="G452" t="s">
        <v>29</v>
      </c>
      <c r="H452" t="s">
        <v>30</v>
      </c>
      <c r="I452" t="s">
        <v>30</v>
      </c>
      <c r="J452" t="s">
        <v>31</v>
      </c>
      <c r="K452" t="s">
        <v>32</v>
      </c>
      <c r="L452" t="s">
        <v>32</v>
      </c>
      <c r="M452" t="s">
        <v>33</v>
      </c>
      <c r="N452" t="s">
        <v>33</v>
      </c>
      <c r="O452" t="s">
        <v>33</v>
      </c>
      <c r="P452" t="s">
        <v>34</v>
      </c>
      <c r="Q452" t="s">
        <v>35</v>
      </c>
      <c r="S452" t="s">
        <v>30</v>
      </c>
      <c r="T452" t="s">
        <v>485</v>
      </c>
      <c r="U452" t="s">
        <v>486</v>
      </c>
      <c r="V452" t="s">
        <v>39</v>
      </c>
      <c r="W452" s="1">
        <v>3</v>
      </c>
    </row>
    <row r="453" spans="1:23" x14ac:dyDescent="0.2">
      <c r="A453" t="s">
        <v>23</v>
      </c>
      <c r="B453" t="s">
        <v>24</v>
      </c>
      <c r="C453" t="s">
        <v>25</v>
      </c>
      <c r="D453" t="s">
        <v>454</v>
      </c>
      <c r="E453" t="s">
        <v>481</v>
      </c>
      <c r="F453" t="s">
        <v>482</v>
      </c>
      <c r="G453" t="s">
        <v>29</v>
      </c>
      <c r="H453" t="s">
        <v>30</v>
      </c>
      <c r="I453" t="s">
        <v>30</v>
      </c>
      <c r="J453" t="s">
        <v>31</v>
      </c>
      <c r="K453" t="s">
        <v>32</v>
      </c>
      <c r="L453" t="s">
        <v>32</v>
      </c>
      <c r="M453" t="s">
        <v>33</v>
      </c>
      <c r="N453" t="s">
        <v>33</v>
      </c>
      <c r="O453" t="s">
        <v>33</v>
      </c>
      <c r="P453" t="s">
        <v>34</v>
      </c>
      <c r="Q453" t="s">
        <v>35</v>
      </c>
      <c r="S453" t="s">
        <v>30</v>
      </c>
      <c r="T453" t="s">
        <v>485</v>
      </c>
      <c r="U453" t="s">
        <v>486</v>
      </c>
      <c r="V453" t="s">
        <v>40</v>
      </c>
      <c r="W453" s="1">
        <v>3224400</v>
      </c>
    </row>
    <row r="454" spans="1:23" x14ac:dyDescent="0.2">
      <c r="A454" t="s">
        <v>23</v>
      </c>
      <c r="B454" t="s">
        <v>24</v>
      </c>
      <c r="C454" t="s">
        <v>25</v>
      </c>
      <c r="D454" t="s">
        <v>454</v>
      </c>
      <c r="E454" t="s">
        <v>481</v>
      </c>
      <c r="F454" t="s">
        <v>482</v>
      </c>
      <c r="G454" t="s">
        <v>67</v>
      </c>
      <c r="H454" t="s">
        <v>30</v>
      </c>
      <c r="I454" t="s">
        <v>30</v>
      </c>
      <c r="J454" t="s">
        <v>31</v>
      </c>
      <c r="K454" t="s">
        <v>32</v>
      </c>
      <c r="L454" t="s">
        <v>32</v>
      </c>
      <c r="M454" t="s">
        <v>33</v>
      </c>
      <c r="N454" t="s">
        <v>33</v>
      </c>
      <c r="O454" t="s">
        <v>33</v>
      </c>
      <c r="P454" t="s">
        <v>34</v>
      </c>
      <c r="Q454" t="s">
        <v>35</v>
      </c>
      <c r="S454" t="s">
        <v>30</v>
      </c>
      <c r="T454" t="s">
        <v>487</v>
      </c>
      <c r="U454" t="s">
        <v>488</v>
      </c>
      <c r="V454" t="s">
        <v>39</v>
      </c>
      <c r="W454" s="1">
        <v>2</v>
      </c>
    </row>
    <row r="455" spans="1:23" x14ac:dyDescent="0.2">
      <c r="A455" t="s">
        <v>23</v>
      </c>
      <c r="B455" t="s">
        <v>24</v>
      </c>
      <c r="C455" t="s">
        <v>25</v>
      </c>
      <c r="D455" t="s">
        <v>454</v>
      </c>
      <c r="E455" t="s">
        <v>481</v>
      </c>
      <c r="F455" t="s">
        <v>482</v>
      </c>
      <c r="G455" t="s">
        <v>67</v>
      </c>
      <c r="H455" t="s">
        <v>30</v>
      </c>
      <c r="I455" t="s">
        <v>30</v>
      </c>
      <c r="J455" t="s">
        <v>31</v>
      </c>
      <c r="K455" t="s">
        <v>32</v>
      </c>
      <c r="L455" t="s">
        <v>32</v>
      </c>
      <c r="M455" t="s">
        <v>33</v>
      </c>
      <c r="N455" t="s">
        <v>33</v>
      </c>
      <c r="O455" t="s">
        <v>33</v>
      </c>
      <c r="P455" t="s">
        <v>34</v>
      </c>
      <c r="Q455" t="s">
        <v>35</v>
      </c>
      <c r="S455" t="s">
        <v>30</v>
      </c>
      <c r="T455" t="s">
        <v>487</v>
      </c>
      <c r="U455" t="s">
        <v>488</v>
      </c>
      <c r="V455" t="s">
        <v>40</v>
      </c>
      <c r="W455" s="1">
        <v>7558000</v>
      </c>
    </row>
    <row r="456" spans="1:23" x14ac:dyDescent="0.2">
      <c r="A456" t="s">
        <v>23</v>
      </c>
      <c r="B456" t="s">
        <v>24</v>
      </c>
      <c r="C456" t="s">
        <v>25</v>
      </c>
      <c r="D456" t="s">
        <v>454</v>
      </c>
      <c r="E456" t="s">
        <v>481</v>
      </c>
      <c r="F456" t="s">
        <v>482</v>
      </c>
      <c r="G456" t="s">
        <v>67</v>
      </c>
      <c r="H456" t="s">
        <v>30</v>
      </c>
      <c r="I456" t="s">
        <v>30</v>
      </c>
      <c r="J456" t="s">
        <v>31</v>
      </c>
      <c r="K456" t="s">
        <v>32</v>
      </c>
      <c r="L456" t="s">
        <v>32</v>
      </c>
      <c r="M456" t="s">
        <v>33</v>
      </c>
      <c r="P456" t="s">
        <v>34</v>
      </c>
      <c r="Q456" t="s">
        <v>35</v>
      </c>
      <c r="R456" t="s">
        <v>44</v>
      </c>
      <c r="S456" t="s">
        <v>52</v>
      </c>
      <c r="T456" t="s">
        <v>489</v>
      </c>
      <c r="U456" t="s">
        <v>490</v>
      </c>
      <c r="V456" t="s">
        <v>39</v>
      </c>
      <c r="W456" s="1">
        <v>0</v>
      </c>
    </row>
    <row r="457" spans="1:23" x14ac:dyDescent="0.2">
      <c r="A457" t="s">
        <v>23</v>
      </c>
      <c r="B457" t="s">
        <v>24</v>
      </c>
      <c r="C457" t="s">
        <v>25</v>
      </c>
      <c r="D457" t="s">
        <v>454</v>
      </c>
      <c r="E457" t="s">
        <v>481</v>
      </c>
      <c r="F457" t="s">
        <v>482</v>
      </c>
      <c r="G457" t="s">
        <v>67</v>
      </c>
      <c r="H457" t="s">
        <v>30</v>
      </c>
      <c r="I457" t="s">
        <v>30</v>
      </c>
      <c r="J457" t="s">
        <v>31</v>
      </c>
      <c r="K457" t="s">
        <v>32</v>
      </c>
      <c r="L457" t="s">
        <v>32</v>
      </c>
      <c r="M457" t="s">
        <v>33</v>
      </c>
      <c r="P457" t="s">
        <v>34</v>
      </c>
      <c r="Q457" t="s">
        <v>35</v>
      </c>
      <c r="R457" t="s">
        <v>44</v>
      </c>
      <c r="S457" t="s">
        <v>52</v>
      </c>
      <c r="T457" t="s">
        <v>489</v>
      </c>
      <c r="U457" t="s">
        <v>490</v>
      </c>
      <c r="V457" t="s">
        <v>40</v>
      </c>
      <c r="W457" s="1">
        <v>5230800</v>
      </c>
    </row>
    <row r="458" spans="1:23" x14ac:dyDescent="0.2">
      <c r="A458" t="s">
        <v>23</v>
      </c>
      <c r="B458" t="s">
        <v>24</v>
      </c>
      <c r="C458" t="s">
        <v>25</v>
      </c>
      <c r="D458" t="s">
        <v>454</v>
      </c>
      <c r="E458" t="s">
        <v>481</v>
      </c>
      <c r="F458" t="s">
        <v>482</v>
      </c>
      <c r="G458" t="s">
        <v>89</v>
      </c>
      <c r="H458" t="s">
        <v>30</v>
      </c>
      <c r="I458" t="s">
        <v>30</v>
      </c>
      <c r="J458" t="s">
        <v>128</v>
      </c>
      <c r="K458" t="s">
        <v>181</v>
      </c>
      <c r="L458" t="s">
        <v>32</v>
      </c>
      <c r="M458" t="s">
        <v>33</v>
      </c>
      <c r="N458" t="s">
        <v>33</v>
      </c>
      <c r="O458" t="s">
        <v>33</v>
      </c>
      <c r="P458" t="s">
        <v>213</v>
      </c>
      <c r="Q458" t="s">
        <v>214</v>
      </c>
      <c r="S458" t="s">
        <v>30</v>
      </c>
      <c r="T458" t="s">
        <v>491</v>
      </c>
      <c r="U458" t="s">
        <v>492</v>
      </c>
      <c r="V458" t="s">
        <v>39</v>
      </c>
      <c r="W458" s="1">
        <v>10</v>
      </c>
    </row>
    <row r="459" spans="1:23" x14ac:dyDescent="0.2">
      <c r="A459" t="s">
        <v>23</v>
      </c>
      <c r="B459" t="s">
        <v>24</v>
      </c>
      <c r="C459" t="s">
        <v>25</v>
      </c>
      <c r="D459" t="s">
        <v>454</v>
      </c>
      <c r="E459" t="s">
        <v>481</v>
      </c>
      <c r="F459" t="s">
        <v>482</v>
      </c>
      <c r="G459" t="s">
        <v>89</v>
      </c>
      <c r="H459" t="s">
        <v>30</v>
      </c>
      <c r="I459" t="s">
        <v>30</v>
      </c>
      <c r="J459" t="s">
        <v>128</v>
      </c>
      <c r="K459" t="s">
        <v>181</v>
      </c>
      <c r="L459" t="s">
        <v>32</v>
      </c>
      <c r="M459" t="s">
        <v>33</v>
      </c>
      <c r="N459" t="s">
        <v>33</v>
      </c>
      <c r="O459" t="s">
        <v>33</v>
      </c>
      <c r="P459" t="s">
        <v>213</v>
      </c>
      <c r="Q459" t="s">
        <v>214</v>
      </c>
      <c r="S459" t="s">
        <v>30</v>
      </c>
      <c r="T459" t="s">
        <v>491</v>
      </c>
      <c r="U459" t="s">
        <v>492</v>
      </c>
      <c r="V459" t="s">
        <v>40</v>
      </c>
      <c r="W459" s="1">
        <v>0</v>
      </c>
    </row>
    <row r="460" spans="1:23" x14ac:dyDescent="0.2">
      <c r="A460" t="s">
        <v>23</v>
      </c>
      <c r="B460" t="s">
        <v>24</v>
      </c>
      <c r="C460" t="s">
        <v>25</v>
      </c>
      <c r="D460" t="s">
        <v>454</v>
      </c>
      <c r="E460" t="s">
        <v>481</v>
      </c>
      <c r="F460" t="s">
        <v>482</v>
      </c>
      <c r="G460" t="s">
        <v>89</v>
      </c>
      <c r="H460" t="s">
        <v>30</v>
      </c>
      <c r="I460" t="s">
        <v>30</v>
      </c>
      <c r="J460" t="s">
        <v>128</v>
      </c>
      <c r="K460" t="s">
        <v>181</v>
      </c>
      <c r="L460" t="s">
        <v>32</v>
      </c>
      <c r="M460" t="s">
        <v>33</v>
      </c>
      <c r="N460" t="s">
        <v>169</v>
      </c>
      <c r="O460" t="s">
        <v>33</v>
      </c>
      <c r="P460" t="s">
        <v>213</v>
      </c>
      <c r="Q460" t="s">
        <v>214</v>
      </c>
      <c r="S460" t="s">
        <v>30</v>
      </c>
      <c r="T460" t="s">
        <v>491</v>
      </c>
      <c r="U460" t="s">
        <v>492</v>
      </c>
      <c r="V460" t="s">
        <v>39</v>
      </c>
      <c r="W460" s="1">
        <v>1</v>
      </c>
    </row>
    <row r="461" spans="1:23" x14ac:dyDescent="0.2">
      <c r="A461" t="s">
        <v>23</v>
      </c>
      <c r="B461" t="s">
        <v>24</v>
      </c>
      <c r="C461" t="s">
        <v>25</v>
      </c>
      <c r="D461" t="s">
        <v>454</v>
      </c>
      <c r="E461" t="s">
        <v>481</v>
      </c>
      <c r="F461" t="s">
        <v>482</v>
      </c>
      <c r="G461" t="s">
        <v>89</v>
      </c>
      <c r="H461" t="s">
        <v>30</v>
      </c>
      <c r="I461" t="s">
        <v>30</v>
      </c>
      <c r="J461" t="s">
        <v>128</v>
      </c>
      <c r="K461" t="s">
        <v>181</v>
      </c>
      <c r="L461" t="s">
        <v>32</v>
      </c>
      <c r="M461" t="s">
        <v>33</v>
      </c>
      <c r="N461" t="s">
        <v>169</v>
      </c>
      <c r="O461" t="s">
        <v>33</v>
      </c>
      <c r="P461" t="s">
        <v>213</v>
      </c>
      <c r="Q461" t="s">
        <v>214</v>
      </c>
      <c r="S461" t="s">
        <v>30</v>
      </c>
      <c r="T461" t="s">
        <v>491</v>
      </c>
      <c r="U461" t="s">
        <v>492</v>
      </c>
      <c r="V461" t="s">
        <v>40</v>
      </c>
      <c r="W461" s="1">
        <v>0</v>
      </c>
    </row>
    <row r="462" spans="1:23" x14ac:dyDescent="0.2">
      <c r="A462" t="s">
        <v>23</v>
      </c>
      <c r="B462" t="s">
        <v>24</v>
      </c>
      <c r="C462" t="s">
        <v>25</v>
      </c>
      <c r="D462" t="s">
        <v>454</v>
      </c>
      <c r="E462" t="s">
        <v>481</v>
      </c>
      <c r="F462" t="s">
        <v>482</v>
      </c>
      <c r="G462" t="s">
        <v>89</v>
      </c>
      <c r="H462" t="s">
        <v>30</v>
      </c>
      <c r="I462" t="s">
        <v>30</v>
      </c>
      <c r="J462" t="s">
        <v>128</v>
      </c>
      <c r="K462" t="s">
        <v>181</v>
      </c>
      <c r="L462" t="s">
        <v>32</v>
      </c>
      <c r="M462" t="s">
        <v>33</v>
      </c>
      <c r="N462" t="s">
        <v>169</v>
      </c>
      <c r="O462" t="s">
        <v>169</v>
      </c>
      <c r="P462" t="s">
        <v>213</v>
      </c>
      <c r="Q462" t="s">
        <v>214</v>
      </c>
      <c r="S462" t="s">
        <v>30</v>
      </c>
      <c r="T462" t="s">
        <v>491</v>
      </c>
      <c r="U462" t="s">
        <v>492</v>
      </c>
      <c r="V462" t="s">
        <v>39</v>
      </c>
      <c r="W462" s="1">
        <v>7</v>
      </c>
    </row>
    <row r="463" spans="1:23" x14ac:dyDescent="0.2">
      <c r="A463" t="s">
        <v>23</v>
      </c>
      <c r="B463" t="s">
        <v>24</v>
      </c>
      <c r="C463" t="s">
        <v>25</v>
      </c>
      <c r="D463" t="s">
        <v>454</v>
      </c>
      <c r="E463" t="s">
        <v>481</v>
      </c>
      <c r="F463" t="s">
        <v>482</v>
      </c>
      <c r="G463" t="s">
        <v>89</v>
      </c>
      <c r="H463" t="s">
        <v>30</v>
      </c>
      <c r="I463" t="s">
        <v>30</v>
      </c>
      <c r="J463" t="s">
        <v>128</v>
      </c>
      <c r="K463" t="s">
        <v>181</v>
      </c>
      <c r="L463" t="s">
        <v>32</v>
      </c>
      <c r="M463" t="s">
        <v>33</v>
      </c>
      <c r="N463" t="s">
        <v>169</v>
      </c>
      <c r="O463" t="s">
        <v>169</v>
      </c>
      <c r="P463" t="s">
        <v>213</v>
      </c>
      <c r="Q463" t="s">
        <v>214</v>
      </c>
      <c r="S463" t="s">
        <v>30</v>
      </c>
      <c r="T463" t="s">
        <v>491</v>
      </c>
      <c r="U463" t="s">
        <v>492</v>
      </c>
      <c r="V463" t="s">
        <v>40</v>
      </c>
      <c r="W463" s="1">
        <v>0</v>
      </c>
    </row>
    <row r="464" spans="1:23" x14ac:dyDescent="0.2">
      <c r="A464" t="s">
        <v>23</v>
      </c>
      <c r="B464" t="s">
        <v>24</v>
      </c>
      <c r="C464" t="s">
        <v>25</v>
      </c>
      <c r="D464" t="s">
        <v>454</v>
      </c>
      <c r="E464" t="s">
        <v>481</v>
      </c>
      <c r="F464" t="s">
        <v>482</v>
      </c>
      <c r="G464" t="s">
        <v>119</v>
      </c>
      <c r="H464" t="s">
        <v>30</v>
      </c>
      <c r="I464" t="s">
        <v>52</v>
      </c>
      <c r="J464" t="s">
        <v>31</v>
      </c>
      <c r="K464" t="s">
        <v>32</v>
      </c>
      <c r="L464" t="s">
        <v>32</v>
      </c>
      <c r="M464" t="s">
        <v>33</v>
      </c>
      <c r="P464" t="s">
        <v>34</v>
      </c>
      <c r="Q464" t="s">
        <v>35</v>
      </c>
      <c r="S464" t="s">
        <v>52</v>
      </c>
      <c r="T464" t="s">
        <v>493</v>
      </c>
      <c r="U464" t="s">
        <v>494</v>
      </c>
      <c r="V464" t="s">
        <v>39</v>
      </c>
      <c r="W464" s="1">
        <v>0</v>
      </c>
    </row>
    <row r="465" spans="1:23" x14ac:dyDescent="0.2">
      <c r="A465" t="s">
        <v>23</v>
      </c>
      <c r="B465" t="s">
        <v>24</v>
      </c>
      <c r="C465" t="s">
        <v>25</v>
      </c>
      <c r="D465" t="s">
        <v>454</v>
      </c>
      <c r="E465" t="s">
        <v>481</v>
      </c>
      <c r="F465" t="s">
        <v>482</v>
      </c>
      <c r="G465" t="s">
        <v>119</v>
      </c>
      <c r="H465" t="s">
        <v>30</v>
      </c>
      <c r="I465" t="s">
        <v>52</v>
      </c>
      <c r="J465" t="s">
        <v>31</v>
      </c>
      <c r="K465" t="s">
        <v>32</v>
      </c>
      <c r="L465" t="s">
        <v>32</v>
      </c>
      <c r="M465" t="s">
        <v>33</v>
      </c>
      <c r="P465" t="s">
        <v>34</v>
      </c>
      <c r="Q465" t="s">
        <v>35</v>
      </c>
      <c r="S465" t="s">
        <v>52</v>
      </c>
      <c r="T465" t="s">
        <v>493</v>
      </c>
      <c r="U465" t="s">
        <v>494</v>
      </c>
      <c r="V465" t="s">
        <v>40</v>
      </c>
      <c r="W465" s="1">
        <v>4599600</v>
      </c>
    </row>
    <row r="466" spans="1:23" x14ac:dyDescent="0.2">
      <c r="A466" t="s">
        <v>23</v>
      </c>
      <c r="B466" t="s">
        <v>24</v>
      </c>
      <c r="C466" t="s">
        <v>25</v>
      </c>
      <c r="D466" t="s">
        <v>454</v>
      </c>
      <c r="E466" t="s">
        <v>481</v>
      </c>
      <c r="F466" t="s">
        <v>482</v>
      </c>
      <c r="G466" t="s">
        <v>119</v>
      </c>
      <c r="H466" t="s">
        <v>30</v>
      </c>
      <c r="I466" t="s">
        <v>52</v>
      </c>
      <c r="J466" t="s">
        <v>41</v>
      </c>
      <c r="K466" t="s">
        <v>32</v>
      </c>
      <c r="L466" t="s">
        <v>32</v>
      </c>
      <c r="M466" t="s">
        <v>33</v>
      </c>
      <c r="N466" t="s">
        <v>33</v>
      </c>
      <c r="O466" t="s">
        <v>33</v>
      </c>
      <c r="P466" t="s">
        <v>42</v>
      </c>
      <c r="Q466" t="s">
        <v>43</v>
      </c>
      <c r="R466" t="s">
        <v>58</v>
      </c>
      <c r="S466" t="s">
        <v>30</v>
      </c>
      <c r="T466" t="s">
        <v>495</v>
      </c>
      <c r="U466" t="s">
        <v>496</v>
      </c>
      <c r="V466" t="s">
        <v>39</v>
      </c>
      <c r="W466" s="1">
        <v>1</v>
      </c>
    </row>
    <row r="467" spans="1:23" x14ac:dyDescent="0.2">
      <c r="A467" t="s">
        <v>23</v>
      </c>
      <c r="B467" t="s">
        <v>24</v>
      </c>
      <c r="C467" t="s">
        <v>25</v>
      </c>
      <c r="D467" t="s">
        <v>454</v>
      </c>
      <c r="E467" t="s">
        <v>481</v>
      </c>
      <c r="F467" t="s">
        <v>482</v>
      </c>
      <c r="G467" t="s">
        <v>119</v>
      </c>
      <c r="H467" t="s">
        <v>30</v>
      </c>
      <c r="I467" t="s">
        <v>52</v>
      </c>
      <c r="J467" t="s">
        <v>41</v>
      </c>
      <c r="K467" t="s">
        <v>32</v>
      </c>
      <c r="L467" t="s">
        <v>32</v>
      </c>
      <c r="M467" t="s">
        <v>33</v>
      </c>
      <c r="N467" t="s">
        <v>33</v>
      </c>
      <c r="O467" t="s">
        <v>33</v>
      </c>
      <c r="P467" t="s">
        <v>42</v>
      </c>
      <c r="Q467" t="s">
        <v>43</v>
      </c>
      <c r="R467" t="s">
        <v>58</v>
      </c>
      <c r="S467" t="s">
        <v>30</v>
      </c>
      <c r="T467" t="s">
        <v>495</v>
      </c>
      <c r="U467" t="s">
        <v>496</v>
      </c>
      <c r="V467" t="s">
        <v>40</v>
      </c>
      <c r="W467" s="1">
        <v>1149900</v>
      </c>
    </row>
    <row r="468" spans="1:23" x14ac:dyDescent="0.2">
      <c r="A468" t="s">
        <v>23</v>
      </c>
      <c r="B468" t="s">
        <v>24</v>
      </c>
      <c r="C468" t="s">
        <v>25</v>
      </c>
      <c r="D468" t="s">
        <v>454</v>
      </c>
      <c r="E468" t="s">
        <v>481</v>
      </c>
      <c r="F468" t="s">
        <v>482</v>
      </c>
      <c r="G468" t="s">
        <v>139</v>
      </c>
      <c r="H468" t="s">
        <v>30</v>
      </c>
      <c r="I468" t="s">
        <v>30</v>
      </c>
      <c r="J468" t="s">
        <v>31</v>
      </c>
      <c r="K468" t="s">
        <v>32</v>
      </c>
      <c r="L468" t="s">
        <v>32</v>
      </c>
      <c r="M468" t="s">
        <v>33</v>
      </c>
      <c r="N468" t="s">
        <v>33</v>
      </c>
      <c r="O468" t="s">
        <v>33</v>
      </c>
      <c r="P468" t="s">
        <v>34</v>
      </c>
      <c r="Q468" t="s">
        <v>35</v>
      </c>
      <c r="R468" t="s">
        <v>497</v>
      </c>
      <c r="S468" t="s">
        <v>30</v>
      </c>
      <c r="T468" t="s">
        <v>498</v>
      </c>
      <c r="U468" t="s">
        <v>499</v>
      </c>
      <c r="V468" t="s">
        <v>39</v>
      </c>
      <c r="W468" s="1">
        <v>2</v>
      </c>
    </row>
    <row r="469" spans="1:23" x14ac:dyDescent="0.2">
      <c r="A469" t="s">
        <v>23</v>
      </c>
      <c r="B469" t="s">
        <v>24</v>
      </c>
      <c r="C469" t="s">
        <v>25</v>
      </c>
      <c r="D469" t="s">
        <v>454</v>
      </c>
      <c r="E469" t="s">
        <v>481</v>
      </c>
      <c r="F469" t="s">
        <v>482</v>
      </c>
      <c r="G469" t="s">
        <v>139</v>
      </c>
      <c r="H469" t="s">
        <v>30</v>
      </c>
      <c r="I469" t="s">
        <v>30</v>
      </c>
      <c r="J469" t="s">
        <v>31</v>
      </c>
      <c r="K469" t="s">
        <v>32</v>
      </c>
      <c r="L469" t="s">
        <v>32</v>
      </c>
      <c r="M469" t="s">
        <v>33</v>
      </c>
      <c r="N469" t="s">
        <v>33</v>
      </c>
      <c r="O469" t="s">
        <v>33</v>
      </c>
      <c r="P469" t="s">
        <v>34</v>
      </c>
      <c r="Q469" t="s">
        <v>35</v>
      </c>
      <c r="R469" t="s">
        <v>497</v>
      </c>
      <c r="S469" t="s">
        <v>30</v>
      </c>
      <c r="T469" t="s">
        <v>498</v>
      </c>
      <c r="U469" t="s">
        <v>499</v>
      </c>
      <c r="V469" t="s">
        <v>40</v>
      </c>
      <c r="W469" s="1">
        <v>8310000</v>
      </c>
    </row>
    <row r="470" spans="1:23" x14ac:dyDescent="0.2">
      <c r="A470" t="s">
        <v>23</v>
      </c>
      <c r="B470" t="s">
        <v>24</v>
      </c>
      <c r="C470" t="s">
        <v>25</v>
      </c>
      <c r="D470" t="s">
        <v>454</v>
      </c>
      <c r="E470" t="s">
        <v>481</v>
      </c>
      <c r="F470" t="s">
        <v>482</v>
      </c>
      <c r="G470" t="s">
        <v>139</v>
      </c>
      <c r="H470" t="s">
        <v>30</v>
      </c>
      <c r="I470" t="s">
        <v>30</v>
      </c>
      <c r="J470" t="s">
        <v>31</v>
      </c>
      <c r="K470" t="s">
        <v>32</v>
      </c>
      <c r="L470" t="s">
        <v>32</v>
      </c>
      <c r="M470" t="s">
        <v>33</v>
      </c>
      <c r="N470" t="s">
        <v>33</v>
      </c>
      <c r="O470" t="s">
        <v>33</v>
      </c>
      <c r="P470" t="s">
        <v>34</v>
      </c>
      <c r="Q470" t="s">
        <v>35</v>
      </c>
      <c r="R470" t="s">
        <v>184</v>
      </c>
      <c r="S470" t="s">
        <v>30</v>
      </c>
      <c r="T470" t="s">
        <v>500</v>
      </c>
      <c r="U470" t="s">
        <v>501</v>
      </c>
      <c r="V470" t="s">
        <v>39</v>
      </c>
      <c r="W470" s="1">
        <v>2</v>
      </c>
    </row>
    <row r="471" spans="1:23" x14ac:dyDescent="0.2">
      <c r="A471" t="s">
        <v>23</v>
      </c>
      <c r="B471" t="s">
        <v>24</v>
      </c>
      <c r="C471" t="s">
        <v>25</v>
      </c>
      <c r="D471" t="s">
        <v>454</v>
      </c>
      <c r="E471" t="s">
        <v>481</v>
      </c>
      <c r="F471" t="s">
        <v>482</v>
      </c>
      <c r="G471" t="s">
        <v>139</v>
      </c>
      <c r="H471" t="s">
        <v>30</v>
      </c>
      <c r="I471" t="s">
        <v>30</v>
      </c>
      <c r="J471" t="s">
        <v>31</v>
      </c>
      <c r="K471" t="s">
        <v>32</v>
      </c>
      <c r="L471" t="s">
        <v>32</v>
      </c>
      <c r="M471" t="s">
        <v>33</v>
      </c>
      <c r="N471" t="s">
        <v>33</v>
      </c>
      <c r="O471" t="s">
        <v>33</v>
      </c>
      <c r="P471" t="s">
        <v>34</v>
      </c>
      <c r="Q471" t="s">
        <v>35</v>
      </c>
      <c r="R471" t="s">
        <v>184</v>
      </c>
      <c r="S471" t="s">
        <v>30</v>
      </c>
      <c r="T471" t="s">
        <v>500</v>
      </c>
      <c r="U471" t="s">
        <v>501</v>
      </c>
      <c r="V471" t="s">
        <v>40</v>
      </c>
      <c r="W471" s="1">
        <v>1778000</v>
      </c>
    </row>
    <row r="472" spans="1:23" x14ac:dyDescent="0.2">
      <c r="A472" t="s">
        <v>23</v>
      </c>
      <c r="B472" t="s">
        <v>24</v>
      </c>
      <c r="C472" t="s">
        <v>25</v>
      </c>
      <c r="D472" t="s">
        <v>454</v>
      </c>
      <c r="E472" t="s">
        <v>481</v>
      </c>
      <c r="F472" t="s">
        <v>482</v>
      </c>
      <c r="G472" t="s">
        <v>139</v>
      </c>
      <c r="H472" t="s">
        <v>30</v>
      </c>
      <c r="I472" t="s">
        <v>30</v>
      </c>
      <c r="J472" t="s">
        <v>31</v>
      </c>
      <c r="K472" t="s">
        <v>32</v>
      </c>
      <c r="L472" t="s">
        <v>32</v>
      </c>
      <c r="M472" t="s">
        <v>33</v>
      </c>
      <c r="N472" t="s">
        <v>33</v>
      </c>
      <c r="O472" t="s">
        <v>33</v>
      </c>
      <c r="P472" t="s">
        <v>34</v>
      </c>
      <c r="Q472" t="s">
        <v>35</v>
      </c>
      <c r="R472" t="s">
        <v>36</v>
      </c>
      <c r="S472" t="s">
        <v>30</v>
      </c>
      <c r="T472" t="s">
        <v>502</v>
      </c>
      <c r="U472" t="s">
        <v>503</v>
      </c>
      <c r="V472" t="s">
        <v>39</v>
      </c>
      <c r="W472" s="1">
        <v>2</v>
      </c>
    </row>
    <row r="473" spans="1:23" x14ac:dyDescent="0.2">
      <c r="A473" t="s">
        <v>23</v>
      </c>
      <c r="B473" t="s">
        <v>24</v>
      </c>
      <c r="C473" t="s">
        <v>25</v>
      </c>
      <c r="D473" t="s">
        <v>454</v>
      </c>
      <c r="E473" t="s">
        <v>481</v>
      </c>
      <c r="F473" t="s">
        <v>482</v>
      </c>
      <c r="G473" t="s">
        <v>139</v>
      </c>
      <c r="H473" t="s">
        <v>30</v>
      </c>
      <c r="I473" t="s">
        <v>30</v>
      </c>
      <c r="J473" t="s">
        <v>31</v>
      </c>
      <c r="K473" t="s">
        <v>32</v>
      </c>
      <c r="L473" t="s">
        <v>32</v>
      </c>
      <c r="M473" t="s">
        <v>33</v>
      </c>
      <c r="N473" t="s">
        <v>33</v>
      </c>
      <c r="O473" t="s">
        <v>33</v>
      </c>
      <c r="P473" t="s">
        <v>34</v>
      </c>
      <c r="Q473" t="s">
        <v>35</v>
      </c>
      <c r="R473" t="s">
        <v>36</v>
      </c>
      <c r="S473" t="s">
        <v>30</v>
      </c>
      <c r="T473" t="s">
        <v>502</v>
      </c>
      <c r="U473" t="s">
        <v>503</v>
      </c>
      <c r="V473" t="s">
        <v>40</v>
      </c>
      <c r="W473" s="1">
        <v>1593000</v>
      </c>
    </row>
    <row r="474" spans="1:23" x14ac:dyDescent="0.2">
      <c r="A474" t="s">
        <v>23</v>
      </c>
      <c r="B474" t="s">
        <v>24</v>
      </c>
      <c r="C474" t="s">
        <v>25</v>
      </c>
      <c r="D474" t="s">
        <v>454</v>
      </c>
      <c r="E474" t="s">
        <v>481</v>
      </c>
      <c r="F474" t="s">
        <v>482</v>
      </c>
      <c r="G474" t="s">
        <v>139</v>
      </c>
      <c r="H474" t="s">
        <v>30</v>
      </c>
      <c r="I474" t="s">
        <v>30</v>
      </c>
      <c r="J474" t="s">
        <v>31</v>
      </c>
      <c r="K474" t="s">
        <v>32</v>
      </c>
      <c r="L474" t="s">
        <v>32</v>
      </c>
      <c r="M474" t="s">
        <v>33</v>
      </c>
      <c r="N474" t="s">
        <v>33</v>
      </c>
      <c r="O474" t="s">
        <v>33</v>
      </c>
      <c r="P474" t="s">
        <v>34</v>
      </c>
      <c r="Q474" t="s">
        <v>35</v>
      </c>
      <c r="S474" t="s">
        <v>30</v>
      </c>
      <c r="T474" t="s">
        <v>504</v>
      </c>
      <c r="U474" t="s">
        <v>505</v>
      </c>
      <c r="V474" t="s">
        <v>39</v>
      </c>
      <c r="W474" s="1">
        <v>2</v>
      </c>
    </row>
    <row r="475" spans="1:23" x14ac:dyDescent="0.2">
      <c r="A475" t="s">
        <v>23</v>
      </c>
      <c r="B475" t="s">
        <v>24</v>
      </c>
      <c r="C475" t="s">
        <v>25</v>
      </c>
      <c r="D475" t="s">
        <v>454</v>
      </c>
      <c r="E475" t="s">
        <v>481</v>
      </c>
      <c r="F475" t="s">
        <v>482</v>
      </c>
      <c r="G475" t="s">
        <v>139</v>
      </c>
      <c r="H475" t="s">
        <v>30</v>
      </c>
      <c r="I475" t="s">
        <v>30</v>
      </c>
      <c r="J475" t="s">
        <v>31</v>
      </c>
      <c r="K475" t="s">
        <v>32</v>
      </c>
      <c r="L475" t="s">
        <v>32</v>
      </c>
      <c r="M475" t="s">
        <v>33</v>
      </c>
      <c r="N475" t="s">
        <v>33</v>
      </c>
      <c r="O475" t="s">
        <v>33</v>
      </c>
      <c r="P475" t="s">
        <v>34</v>
      </c>
      <c r="Q475" t="s">
        <v>35</v>
      </c>
      <c r="S475" t="s">
        <v>30</v>
      </c>
      <c r="T475" t="s">
        <v>504</v>
      </c>
      <c r="U475" t="s">
        <v>505</v>
      </c>
      <c r="V475" t="s">
        <v>40</v>
      </c>
      <c r="W475" s="1">
        <v>2359800</v>
      </c>
    </row>
    <row r="476" spans="1:23" x14ac:dyDescent="0.2">
      <c r="A476" t="s">
        <v>23</v>
      </c>
      <c r="B476" t="s">
        <v>24</v>
      </c>
      <c r="C476" t="s">
        <v>25</v>
      </c>
      <c r="D476" t="s">
        <v>454</v>
      </c>
      <c r="E476" t="s">
        <v>481</v>
      </c>
      <c r="F476" t="s">
        <v>482</v>
      </c>
      <c r="G476" t="s">
        <v>139</v>
      </c>
      <c r="H476" t="s">
        <v>30</v>
      </c>
      <c r="I476" t="s">
        <v>30</v>
      </c>
      <c r="J476" t="s">
        <v>41</v>
      </c>
      <c r="K476" t="s">
        <v>32</v>
      </c>
      <c r="L476" t="s">
        <v>32</v>
      </c>
      <c r="M476" t="s">
        <v>33</v>
      </c>
      <c r="N476" t="s">
        <v>33</v>
      </c>
      <c r="O476" t="s">
        <v>33</v>
      </c>
      <c r="P476" t="s">
        <v>34</v>
      </c>
      <c r="Q476" t="s">
        <v>35</v>
      </c>
      <c r="S476" t="s">
        <v>30</v>
      </c>
      <c r="T476" t="s">
        <v>506</v>
      </c>
      <c r="U476" t="s">
        <v>507</v>
      </c>
      <c r="V476" t="s">
        <v>39</v>
      </c>
      <c r="W476" s="1">
        <v>2</v>
      </c>
    </row>
    <row r="477" spans="1:23" x14ac:dyDescent="0.2">
      <c r="A477" t="s">
        <v>23</v>
      </c>
      <c r="B477" t="s">
        <v>24</v>
      </c>
      <c r="C477" t="s">
        <v>25</v>
      </c>
      <c r="D477" t="s">
        <v>454</v>
      </c>
      <c r="E477" t="s">
        <v>481</v>
      </c>
      <c r="F477" t="s">
        <v>482</v>
      </c>
      <c r="G477" t="s">
        <v>139</v>
      </c>
      <c r="H477" t="s">
        <v>30</v>
      </c>
      <c r="I477" t="s">
        <v>30</v>
      </c>
      <c r="J477" t="s">
        <v>41</v>
      </c>
      <c r="K477" t="s">
        <v>32</v>
      </c>
      <c r="L477" t="s">
        <v>32</v>
      </c>
      <c r="M477" t="s">
        <v>33</v>
      </c>
      <c r="N477" t="s">
        <v>33</v>
      </c>
      <c r="O477" t="s">
        <v>33</v>
      </c>
      <c r="P477" t="s">
        <v>34</v>
      </c>
      <c r="Q477" t="s">
        <v>35</v>
      </c>
      <c r="S477" t="s">
        <v>30</v>
      </c>
      <c r="T477" t="s">
        <v>506</v>
      </c>
      <c r="U477" t="s">
        <v>507</v>
      </c>
      <c r="V477" t="s">
        <v>40</v>
      </c>
      <c r="W477" s="1">
        <v>3698000</v>
      </c>
    </row>
    <row r="478" spans="1:23" x14ac:dyDescent="0.2">
      <c r="A478" t="s">
        <v>23</v>
      </c>
      <c r="B478" t="s">
        <v>24</v>
      </c>
      <c r="C478" t="s">
        <v>25</v>
      </c>
      <c r="D478" t="s">
        <v>454</v>
      </c>
      <c r="E478" t="s">
        <v>508</v>
      </c>
      <c r="F478" t="s">
        <v>509</v>
      </c>
      <c r="G478" t="s">
        <v>29</v>
      </c>
      <c r="H478" t="s">
        <v>30</v>
      </c>
      <c r="I478" t="s">
        <v>30</v>
      </c>
      <c r="J478" t="s">
        <v>211</v>
      </c>
      <c r="K478" t="s">
        <v>181</v>
      </c>
      <c r="L478" t="s">
        <v>32</v>
      </c>
      <c r="M478" t="s">
        <v>33</v>
      </c>
      <c r="N478" t="s">
        <v>33</v>
      </c>
      <c r="O478" t="s">
        <v>33</v>
      </c>
      <c r="P478" t="s">
        <v>213</v>
      </c>
      <c r="Q478" t="s">
        <v>214</v>
      </c>
      <c r="R478" t="s">
        <v>319</v>
      </c>
      <c r="S478" t="s">
        <v>30</v>
      </c>
      <c r="T478" t="s">
        <v>510</v>
      </c>
      <c r="U478" t="s">
        <v>511</v>
      </c>
      <c r="V478" t="s">
        <v>39</v>
      </c>
      <c r="W478" s="1">
        <v>2</v>
      </c>
    </row>
    <row r="479" spans="1:23" x14ac:dyDescent="0.2">
      <c r="A479" t="s">
        <v>23</v>
      </c>
      <c r="B479" t="s">
        <v>24</v>
      </c>
      <c r="C479" t="s">
        <v>25</v>
      </c>
      <c r="D479" t="s">
        <v>454</v>
      </c>
      <c r="E479" t="s">
        <v>508</v>
      </c>
      <c r="F479" t="s">
        <v>509</v>
      </c>
      <c r="G479" t="s">
        <v>29</v>
      </c>
      <c r="H479" t="s">
        <v>30</v>
      </c>
      <c r="I479" t="s">
        <v>30</v>
      </c>
      <c r="J479" t="s">
        <v>211</v>
      </c>
      <c r="K479" t="s">
        <v>181</v>
      </c>
      <c r="L479" t="s">
        <v>32</v>
      </c>
      <c r="M479" t="s">
        <v>33</v>
      </c>
      <c r="N479" t="s">
        <v>33</v>
      </c>
      <c r="O479" t="s">
        <v>33</v>
      </c>
      <c r="P479" t="s">
        <v>213</v>
      </c>
      <c r="Q479" t="s">
        <v>214</v>
      </c>
      <c r="R479" t="s">
        <v>319</v>
      </c>
      <c r="S479" t="s">
        <v>30</v>
      </c>
      <c r="T479" t="s">
        <v>510</v>
      </c>
      <c r="U479" t="s">
        <v>511</v>
      </c>
      <c r="V479" t="s">
        <v>40</v>
      </c>
      <c r="W479" s="1">
        <v>3240000</v>
      </c>
    </row>
    <row r="480" spans="1:23" x14ac:dyDescent="0.2">
      <c r="A480" t="s">
        <v>23</v>
      </c>
      <c r="B480" t="s">
        <v>24</v>
      </c>
      <c r="C480" t="s">
        <v>25</v>
      </c>
      <c r="D480" t="s">
        <v>454</v>
      </c>
      <c r="E480" t="s">
        <v>508</v>
      </c>
      <c r="F480" t="s">
        <v>509</v>
      </c>
      <c r="G480" t="s">
        <v>29</v>
      </c>
      <c r="H480" t="s">
        <v>30</v>
      </c>
      <c r="I480" t="s">
        <v>30</v>
      </c>
      <c r="J480" t="s">
        <v>31</v>
      </c>
      <c r="K480" t="s">
        <v>32</v>
      </c>
      <c r="L480" t="s">
        <v>32</v>
      </c>
      <c r="M480" t="s">
        <v>33</v>
      </c>
      <c r="N480" t="s">
        <v>33</v>
      </c>
      <c r="O480" t="s">
        <v>33</v>
      </c>
      <c r="P480" t="s">
        <v>34</v>
      </c>
      <c r="Q480" t="s">
        <v>35</v>
      </c>
      <c r="S480" t="s">
        <v>30</v>
      </c>
      <c r="T480" t="s">
        <v>512</v>
      </c>
      <c r="U480" t="s">
        <v>513</v>
      </c>
      <c r="V480" t="s">
        <v>39</v>
      </c>
      <c r="W480" s="1">
        <v>2</v>
      </c>
    </row>
    <row r="481" spans="1:23" x14ac:dyDescent="0.2">
      <c r="A481" t="s">
        <v>23</v>
      </c>
      <c r="B481" t="s">
        <v>24</v>
      </c>
      <c r="C481" t="s">
        <v>25</v>
      </c>
      <c r="D481" t="s">
        <v>454</v>
      </c>
      <c r="E481" t="s">
        <v>508</v>
      </c>
      <c r="F481" t="s">
        <v>509</v>
      </c>
      <c r="G481" t="s">
        <v>29</v>
      </c>
      <c r="H481" t="s">
        <v>30</v>
      </c>
      <c r="I481" t="s">
        <v>30</v>
      </c>
      <c r="J481" t="s">
        <v>31</v>
      </c>
      <c r="K481" t="s">
        <v>32</v>
      </c>
      <c r="L481" t="s">
        <v>32</v>
      </c>
      <c r="M481" t="s">
        <v>33</v>
      </c>
      <c r="N481" t="s">
        <v>33</v>
      </c>
      <c r="O481" t="s">
        <v>33</v>
      </c>
      <c r="P481" t="s">
        <v>34</v>
      </c>
      <c r="Q481" t="s">
        <v>35</v>
      </c>
      <c r="S481" t="s">
        <v>30</v>
      </c>
      <c r="T481" t="s">
        <v>512</v>
      </c>
      <c r="U481" t="s">
        <v>513</v>
      </c>
      <c r="V481" t="s">
        <v>40</v>
      </c>
      <c r="W481" s="1">
        <v>1316200</v>
      </c>
    </row>
    <row r="482" spans="1:23" x14ac:dyDescent="0.2">
      <c r="A482" t="s">
        <v>23</v>
      </c>
      <c r="B482" t="s">
        <v>24</v>
      </c>
      <c r="C482" t="s">
        <v>25</v>
      </c>
      <c r="D482" t="s">
        <v>454</v>
      </c>
      <c r="E482" t="s">
        <v>508</v>
      </c>
      <c r="F482" t="s">
        <v>509</v>
      </c>
      <c r="G482" t="s">
        <v>49</v>
      </c>
      <c r="H482" t="s">
        <v>30</v>
      </c>
      <c r="I482" t="s">
        <v>30</v>
      </c>
      <c r="J482" t="s">
        <v>128</v>
      </c>
      <c r="K482" t="s">
        <v>181</v>
      </c>
      <c r="L482" t="s">
        <v>32</v>
      </c>
      <c r="M482" t="s">
        <v>33</v>
      </c>
      <c r="N482" t="s">
        <v>33</v>
      </c>
      <c r="O482" t="s">
        <v>33</v>
      </c>
      <c r="P482" t="s">
        <v>34</v>
      </c>
      <c r="Q482" t="s">
        <v>35</v>
      </c>
      <c r="S482" t="s">
        <v>30</v>
      </c>
      <c r="T482" t="s">
        <v>514</v>
      </c>
      <c r="U482" t="s">
        <v>515</v>
      </c>
      <c r="V482" t="s">
        <v>39</v>
      </c>
      <c r="W482" s="1">
        <v>1</v>
      </c>
    </row>
    <row r="483" spans="1:23" x14ac:dyDescent="0.2">
      <c r="A483" t="s">
        <v>23</v>
      </c>
      <c r="B483" t="s">
        <v>24</v>
      </c>
      <c r="C483" t="s">
        <v>25</v>
      </c>
      <c r="D483" t="s">
        <v>454</v>
      </c>
      <c r="E483" t="s">
        <v>508</v>
      </c>
      <c r="F483" t="s">
        <v>509</v>
      </c>
      <c r="G483" t="s">
        <v>49</v>
      </c>
      <c r="H483" t="s">
        <v>30</v>
      </c>
      <c r="I483" t="s">
        <v>30</v>
      </c>
      <c r="J483" t="s">
        <v>128</v>
      </c>
      <c r="K483" t="s">
        <v>181</v>
      </c>
      <c r="L483" t="s">
        <v>32</v>
      </c>
      <c r="M483" t="s">
        <v>33</v>
      </c>
      <c r="N483" t="s">
        <v>33</v>
      </c>
      <c r="O483" t="s">
        <v>33</v>
      </c>
      <c r="P483" t="s">
        <v>34</v>
      </c>
      <c r="Q483" t="s">
        <v>35</v>
      </c>
      <c r="S483" t="s">
        <v>30</v>
      </c>
      <c r="T483" t="s">
        <v>514</v>
      </c>
      <c r="U483" t="s">
        <v>515</v>
      </c>
      <c r="V483" t="s">
        <v>40</v>
      </c>
      <c r="W483" s="1">
        <v>0</v>
      </c>
    </row>
    <row r="484" spans="1:23" x14ac:dyDescent="0.2">
      <c r="A484" t="s">
        <v>23</v>
      </c>
      <c r="B484" t="s">
        <v>24</v>
      </c>
      <c r="C484" t="s">
        <v>25</v>
      </c>
      <c r="D484" t="s">
        <v>454</v>
      </c>
      <c r="E484" t="s">
        <v>508</v>
      </c>
      <c r="F484" t="s">
        <v>509</v>
      </c>
      <c r="G484" t="s">
        <v>49</v>
      </c>
      <c r="H484" t="s">
        <v>30</v>
      </c>
      <c r="I484" t="s">
        <v>30</v>
      </c>
      <c r="J484" t="s">
        <v>31</v>
      </c>
      <c r="K484" t="s">
        <v>32</v>
      </c>
      <c r="L484" t="s">
        <v>32</v>
      </c>
      <c r="M484" t="s">
        <v>33</v>
      </c>
      <c r="N484" t="s">
        <v>33</v>
      </c>
      <c r="O484" t="s">
        <v>33</v>
      </c>
      <c r="P484" t="s">
        <v>34</v>
      </c>
      <c r="Q484" t="s">
        <v>35</v>
      </c>
      <c r="S484" t="s">
        <v>30</v>
      </c>
      <c r="T484" t="s">
        <v>516</v>
      </c>
      <c r="U484" t="s">
        <v>517</v>
      </c>
      <c r="V484" t="s">
        <v>39</v>
      </c>
      <c r="W484" s="1">
        <v>2</v>
      </c>
    </row>
    <row r="485" spans="1:23" x14ac:dyDescent="0.2">
      <c r="A485" t="s">
        <v>23</v>
      </c>
      <c r="B485" t="s">
        <v>24</v>
      </c>
      <c r="C485" t="s">
        <v>25</v>
      </c>
      <c r="D485" t="s">
        <v>454</v>
      </c>
      <c r="E485" t="s">
        <v>508</v>
      </c>
      <c r="F485" t="s">
        <v>509</v>
      </c>
      <c r="G485" t="s">
        <v>49</v>
      </c>
      <c r="H485" t="s">
        <v>30</v>
      </c>
      <c r="I485" t="s">
        <v>30</v>
      </c>
      <c r="J485" t="s">
        <v>31</v>
      </c>
      <c r="K485" t="s">
        <v>32</v>
      </c>
      <c r="L485" t="s">
        <v>32</v>
      </c>
      <c r="M485" t="s">
        <v>33</v>
      </c>
      <c r="N485" t="s">
        <v>33</v>
      </c>
      <c r="O485" t="s">
        <v>33</v>
      </c>
      <c r="P485" t="s">
        <v>34</v>
      </c>
      <c r="Q485" t="s">
        <v>35</v>
      </c>
      <c r="S485" t="s">
        <v>30</v>
      </c>
      <c r="T485" t="s">
        <v>516</v>
      </c>
      <c r="U485" t="s">
        <v>517</v>
      </c>
      <c r="V485" t="s">
        <v>40</v>
      </c>
      <c r="W485" s="1">
        <v>8393200</v>
      </c>
    </row>
    <row r="486" spans="1:23" x14ac:dyDescent="0.2">
      <c r="A486" t="s">
        <v>23</v>
      </c>
      <c r="B486" t="s">
        <v>24</v>
      </c>
      <c r="C486" t="s">
        <v>25</v>
      </c>
      <c r="D486" t="s">
        <v>454</v>
      </c>
      <c r="E486" t="s">
        <v>508</v>
      </c>
      <c r="F486" t="s">
        <v>509</v>
      </c>
      <c r="G486" t="s">
        <v>49</v>
      </c>
      <c r="H486" t="s">
        <v>30</v>
      </c>
      <c r="I486" t="s">
        <v>30</v>
      </c>
      <c r="J486" t="s">
        <v>31</v>
      </c>
      <c r="K486" t="s">
        <v>32</v>
      </c>
      <c r="L486" t="s">
        <v>32</v>
      </c>
      <c r="M486" t="s">
        <v>33</v>
      </c>
      <c r="N486" t="s">
        <v>169</v>
      </c>
      <c r="O486" t="s">
        <v>169</v>
      </c>
      <c r="P486" t="s">
        <v>34</v>
      </c>
      <c r="Q486" t="s">
        <v>35</v>
      </c>
      <c r="S486" t="s">
        <v>30</v>
      </c>
      <c r="T486" t="s">
        <v>516</v>
      </c>
      <c r="U486" t="s">
        <v>517</v>
      </c>
      <c r="V486" t="s">
        <v>39</v>
      </c>
      <c r="W486" s="1">
        <v>1</v>
      </c>
    </row>
    <row r="487" spans="1:23" x14ac:dyDescent="0.2">
      <c r="A487" t="s">
        <v>23</v>
      </c>
      <c r="B487" t="s">
        <v>24</v>
      </c>
      <c r="C487" t="s">
        <v>25</v>
      </c>
      <c r="D487" t="s">
        <v>454</v>
      </c>
      <c r="E487" t="s">
        <v>508</v>
      </c>
      <c r="F487" t="s">
        <v>509</v>
      </c>
      <c r="G487" t="s">
        <v>49</v>
      </c>
      <c r="H487" t="s">
        <v>30</v>
      </c>
      <c r="I487" t="s">
        <v>30</v>
      </c>
      <c r="J487" t="s">
        <v>31</v>
      </c>
      <c r="K487" t="s">
        <v>32</v>
      </c>
      <c r="L487" t="s">
        <v>32</v>
      </c>
      <c r="M487" t="s">
        <v>33</v>
      </c>
      <c r="N487" t="s">
        <v>169</v>
      </c>
      <c r="O487" t="s">
        <v>169</v>
      </c>
      <c r="P487" t="s">
        <v>34</v>
      </c>
      <c r="Q487" t="s">
        <v>35</v>
      </c>
      <c r="S487" t="s">
        <v>30</v>
      </c>
      <c r="T487" t="s">
        <v>516</v>
      </c>
      <c r="U487" t="s">
        <v>517</v>
      </c>
      <c r="V487" t="s">
        <v>40</v>
      </c>
      <c r="W487" s="1">
        <v>4196600</v>
      </c>
    </row>
    <row r="488" spans="1:23" x14ac:dyDescent="0.2">
      <c r="A488" t="s">
        <v>23</v>
      </c>
      <c r="B488" t="s">
        <v>24</v>
      </c>
      <c r="C488" t="s">
        <v>25</v>
      </c>
      <c r="D488" t="s">
        <v>454</v>
      </c>
      <c r="E488" t="s">
        <v>508</v>
      </c>
      <c r="F488" t="s">
        <v>509</v>
      </c>
      <c r="G488" t="s">
        <v>49</v>
      </c>
      <c r="H488" t="s">
        <v>30</v>
      </c>
      <c r="I488" t="s">
        <v>30</v>
      </c>
      <c r="J488" t="s">
        <v>41</v>
      </c>
      <c r="K488" t="s">
        <v>32</v>
      </c>
      <c r="L488" t="s">
        <v>32</v>
      </c>
      <c r="M488" t="s">
        <v>33</v>
      </c>
      <c r="N488" t="s">
        <v>33</v>
      </c>
      <c r="O488" t="s">
        <v>33</v>
      </c>
      <c r="P488" t="s">
        <v>213</v>
      </c>
      <c r="Q488" t="s">
        <v>214</v>
      </c>
      <c r="R488" t="s">
        <v>54</v>
      </c>
      <c r="S488" t="s">
        <v>30</v>
      </c>
      <c r="T488" t="s">
        <v>518</v>
      </c>
      <c r="U488" t="s">
        <v>519</v>
      </c>
      <c r="V488" t="s">
        <v>39</v>
      </c>
      <c r="W488" s="1">
        <v>2</v>
      </c>
    </row>
    <row r="489" spans="1:23" x14ac:dyDescent="0.2">
      <c r="A489" t="s">
        <v>23</v>
      </c>
      <c r="B489" t="s">
        <v>24</v>
      </c>
      <c r="C489" t="s">
        <v>25</v>
      </c>
      <c r="D489" t="s">
        <v>454</v>
      </c>
      <c r="E489" t="s">
        <v>508</v>
      </c>
      <c r="F489" t="s">
        <v>509</v>
      </c>
      <c r="G489" t="s">
        <v>49</v>
      </c>
      <c r="H489" t="s">
        <v>30</v>
      </c>
      <c r="I489" t="s">
        <v>30</v>
      </c>
      <c r="J489" t="s">
        <v>41</v>
      </c>
      <c r="K489" t="s">
        <v>32</v>
      </c>
      <c r="L489" t="s">
        <v>32</v>
      </c>
      <c r="M489" t="s">
        <v>33</v>
      </c>
      <c r="N489" t="s">
        <v>33</v>
      </c>
      <c r="O489" t="s">
        <v>33</v>
      </c>
      <c r="P489" t="s">
        <v>213</v>
      </c>
      <c r="Q489" t="s">
        <v>214</v>
      </c>
      <c r="R489" t="s">
        <v>54</v>
      </c>
      <c r="S489" t="s">
        <v>30</v>
      </c>
      <c r="T489" t="s">
        <v>518</v>
      </c>
      <c r="U489" t="s">
        <v>519</v>
      </c>
      <c r="V489" t="s">
        <v>40</v>
      </c>
      <c r="W489" s="1">
        <v>1584800</v>
      </c>
    </row>
    <row r="490" spans="1:23" x14ac:dyDescent="0.2">
      <c r="A490" t="s">
        <v>23</v>
      </c>
      <c r="B490" t="s">
        <v>24</v>
      </c>
      <c r="C490" t="s">
        <v>25</v>
      </c>
      <c r="D490" t="s">
        <v>454</v>
      </c>
      <c r="E490" t="s">
        <v>508</v>
      </c>
      <c r="F490" t="s">
        <v>509</v>
      </c>
      <c r="G490" t="s">
        <v>49</v>
      </c>
      <c r="H490" t="s">
        <v>30</v>
      </c>
      <c r="I490" t="s">
        <v>30</v>
      </c>
      <c r="J490" t="s">
        <v>41</v>
      </c>
      <c r="K490" t="s">
        <v>32</v>
      </c>
      <c r="L490" t="s">
        <v>32</v>
      </c>
      <c r="M490" t="s">
        <v>33</v>
      </c>
      <c r="N490" t="s">
        <v>33</v>
      </c>
      <c r="O490" t="s">
        <v>33</v>
      </c>
      <c r="P490" t="s">
        <v>34</v>
      </c>
      <c r="Q490" t="s">
        <v>35</v>
      </c>
      <c r="R490" t="s">
        <v>54</v>
      </c>
      <c r="S490" t="s">
        <v>30</v>
      </c>
      <c r="T490" t="s">
        <v>520</v>
      </c>
      <c r="U490" t="s">
        <v>521</v>
      </c>
      <c r="V490" t="s">
        <v>39</v>
      </c>
      <c r="W490" s="1">
        <v>2</v>
      </c>
    </row>
    <row r="491" spans="1:23" x14ac:dyDescent="0.2">
      <c r="A491" t="s">
        <v>23</v>
      </c>
      <c r="B491" t="s">
        <v>24</v>
      </c>
      <c r="C491" t="s">
        <v>25</v>
      </c>
      <c r="D491" t="s">
        <v>454</v>
      </c>
      <c r="E491" t="s">
        <v>508</v>
      </c>
      <c r="F491" t="s">
        <v>509</v>
      </c>
      <c r="G491" t="s">
        <v>49</v>
      </c>
      <c r="H491" t="s">
        <v>30</v>
      </c>
      <c r="I491" t="s">
        <v>30</v>
      </c>
      <c r="J491" t="s">
        <v>41</v>
      </c>
      <c r="K491" t="s">
        <v>32</v>
      </c>
      <c r="L491" t="s">
        <v>32</v>
      </c>
      <c r="M491" t="s">
        <v>33</v>
      </c>
      <c r="N491" t="s">
        <v>33</v>
      </c>
      <c r="O491" t="s">
        <v>33</v>
      </c>
      <c r="P491" t="s">
        <v>34</v>
      </c>
      <c r="Q491" t="s">
        <v>35</v>
      </c>
      <c r="R491" t="s">
        <v>54</v>
      </c>
      <c r="S491" t="s">
        <v>30</v>
      </c>
      <c r="T491" t="s">
        <v>520</v>
      </c>
      <c r="U491" t="s">
        <v>521</v>
      </c>
      <c r="V491" t="s">
        <v>40</v>
      </c>
      <c r="W491" s="1">
        <v>2169800</v>
      </c>
    </row>
    <row r="492" spans="1:23" x14ac:dyDescent="0.2">
      <c r="A492" t="s">
        <v>23</v>
      </c>
      <c r="B492" t="s">
        <v>24</v>
      </c>
      <c r="C492" t="s">
        <v>25</v>
      </c>
      <c r="D492" t="s">
        <v>454</v>
      </c>
      <c r="E492" t="s">
        <v>508</v>
      </c>
      <c r="F492" t="s">
        <v>509</v>
      </c>
      <c r="G492" t="s">
        <v>49</v>
      </c>
      <c r="H492" t="s">
        <v>30</v>
      </c>
      <c r="I492" t="s">
        <v>30</v>
      </c>
      <c r="J492" t="s">
        <v>57</v>
      </c>
      <c r="K492" t="s">
        <v>32</v>
      </c>
      <c r="L492" t="s">
        <v>32</v>
      </c>
      <c r="M492" t="s">
        <v>33</v>
      </c>
      <c r="P492" t="s">
        <v>213</v>
      </c>
      <c r="Q492" t="s">
        <v>214</v>
      </c>
      <c r="S492" t="s">
        <v>52</v>
      </c>
      <c r="T492" t="s">
        <v>522</v>
      </c>
      <c r="U492" t="s">
        <v>523</v>
      </c>
      <c r="V492" t="s">
        <v>39</v>
      </c>
      <c r="W492" s="1">
        <v>0</v>
      </c>
    </row>
    <row r="493" spans="1:23" x14ac:dyDescent="0.2">
      <c r="A493" t="s">
        <v>23</v>
      </c>
      <c r="B493" t="s">
        <v>24</v>
      </c>
      <c r="C493" t="s">
        <v>25</v>
      </c>
      <c r="D493" t="s">
        <v>454</v>
      </c>
      <c r="E493" t="s">
        <v>508</v>
      </c>
      <c r="F493" t="s">
        <v>509</v>
      </c>
      <c r="G493" t="s">
        <v>49</v>
      </c>
      <c r="H493" t="s">
        <v>30</v>
      </c>
      <c r="I493" t="s">
        <v>30</v>
      </c>
      <c r="J493" t="s">
        <v>57</v>
      </c>
      <c r="K493" t="s">
        <v>32</v>
      </c>
      <c r="L493" t="s">
        <v>32</v>
      </c>
      <c r="M493" t="s">
        <v>33</v>
      </c>
      <c r="P493" t="s">
        <v>213</v>
      </c>
      <c r="Q493" t="s">
        <v>214</v>
      </c>
      <c r="S493" t="s">
        <v>52</v>
      </c>
      <c r="T493" t="s">
        <v>522</v>
      </c>
      <c r="U493" t="s">
        <v>523</v>
      </c>
      <c r="V493" t="s">
        <v>40</v>
      </c>
      <c r="W493" s="1">
        <v>3388000</v>
      </c>
    </row>
    <row r="494" spans="1:23" x14ac:dyDescent="0.2">
      <c r="A494" t="s">
        <v>23</v>
      </c>
      <c r="B494" t="s">
        <v>24</v>
      </c>
      <c r="C494" t="s">
        <v>25</v>
      </c>
      <c r="D494" t="s">
        <v>454</v>
      </c>
      <c r="E494" t="s">
        <v>508</v>
      </c>
      <c r="F494" t="s">
        <v>509</v>
      </c>
      <c r="G494" t="s">
        <v>49</v>
      </c>
      <c r="H494" t="s">
        <v>30</v>
      </c>
      <c r="I494" t="s">
        <v>30</v>
      </c>
      <c r="J494" t="s">
        <v>57</v>
      </c>
      <c r="K494" t="s">
        <v>32</v>
      </c>
      <c r="L494" t="s">
        <v>32</v>
      </c>
      <c r="M494" t="s">
        <v>33</v>
      </c>
      <c r="P494" t="s">
        <v>34</v>
      </c>
      <c r="Q494" t="s">
        <v>35</v>
      </c>
      <c r="S494" t="s">
        <v>52</v>
      </c>
      <c r="T494" t="s">
        <v>522</v>
      </c>
      <c r="U494" t="s">
        <v>524</v>
      </c>
      <c r="V494" t="s">
        <v>39</v>
      </c>
      <c r="W494" s="1">
        <v>0</v>
      </c>
    </row>
    <row r="495" spans="1:23" x14ac:dyDescent="0.2">
      <c r="A495" t="s">
        <v>23</v>
      </c>
      <c r="B495" t="s">
        <v>24</v>
      </c>
      <c r="C495" t="s">
        <v>25</v>
      </c>
      <c r="D495" t="s">
        <v>454</v>
      </c>
      <c r="E495" t="s">
        <v>508</v>
      </c>
      <c r="F495" t="s">
        <v>509</v>
      </c>
      <c r="G495" t="s">
        <v>49</v>
      </c>
      <c r="H495" t="s">
        <v>30</v>
      </c>
      <c r="I495" t="s">
        <v>30</v>
      </c>
      <c r="J495" t="s">
        <v>57</v>
      </c>
      <c r="K495" t="s">
        <v>32</v>
      </c>
      <c r="L495" t="s">
        <v>32</v>
      </c>
      <c r="M495" t="s">
        <v>33</v>
      </c>
      <c r="P495" t="s">
        <v>34</v>
      </c>
      <c r="Q495" t="s">
        <v>35</v>
      </c>
      <c r="S495" t="s">
        <v>52</v>
      </c>
      <c r="T495" t="s">
        <v>522</v>
      </c>
      <c r="U495" t="s">
        <v>524</v>
      </c>
      <c r="V495" t="s">
        <v>40</v>
      </c>
      <c r="W495" s="1">
        <v>3388000</v>
      </c>
    </row>
    <row r="496" spans="1:23" x14ac:dyDescent="0.2">
      <c r="A496" t="s">
        <v>23</v>
      </c>
      <c r="B496" t="s">
        <v>24</v>
      </c>
      <c r="C496" t="s">
        <v>25</v>
      </c>
      <c r="D496" t="s">
        <v>454</v>
      </c>
      <c r="E496" t="s">
        <v>508</v>
      </c>
      <c r="F496" t="s">
        <v>509</v>
      </c>
      <c r="G496" t="s">
        <v>61</v>
      </c>
      <c r="H496" t="s">
        <v>52</v>
      </c>
      <c r="I496" t="s">
        <v>52</v>
      </c>
      <c r="J496" t="s">
        <v>31</v>
      </c>
      <c r="K496" t="s">
        <v>32</v>
      </c>
      <c r="L496" t="s">
        <v>32</v>
      </c>
      <c r="M496" t="s">
        <v>33</v>
      </c>
      <c r="N496" t="s">
        <v>33</v>
      </c>
      <c r="O496" t="s">
        <v>33</v>
      </c>
      <c r="P496" t="s">
        <v>213</v>
      </c>
      <c r="Q496" t="s">
        <v>214</v>
      </c>
      <c r="S496" t="s">
        <v>30</v>
      </c>
      <c r="T496" t="s">
        <v>525</v>
      </c>
      <c r="U496" t="s">
        <v>526</v>
      </c>
      <c r="V496" t="s">
        <v>39</v>
      </c>
      <c r="W496" s="1">
        <v>2</v>
      </c>
    </row>
    <row r="497" spans="1:23" x14ac:dyDescent="0.2">
      <c r="A497" t="s">
        <v>23</v>
      </c>
      <c r="B497" t="s">
        <v>24</v>
      </c>
      <c r="C497" t="s">
        <v>25</v>
      </c>
      <c r="D497" t="s">
        <v>454</v>
      </c>
      <c r="E497" t="s">
        <v>508</v>
      </c>
      <c r="F497" t="s">
        <v>509</v>
      </c>
      <c r="G497" t="s">
        <v>61</v>
      </c>
      <c r="H497" t="s">
        <v>52</v>
      </c>
      <c r="I497" t="s">
        <v>52</v>
      </c>
      <c r="J497" t="s">
        <v>31</v>
      </c>
      <c r="K497" t="s">
        <v>32</v>
      </c>
      <c r="L497" t="s">
        <v>32</v>
      </c>
      <c r="M497" t="s">
        <v>33</v>
      </c>
      <c r="N497" t="s">
        <v>33</v>
      </c>
      <c r="O497" t="s">
        <v>33</v>
      </c>
      <c r="P497" t="s">
        <v>213</v>
      </c>
      <c r="Q497" t="s">
        <v>214</v>
      </c>
      <c r="S497" t="s">
        <v>30</v>
      </c>
      <c r="T497" t="s">
        <v>525</v>
      </c>
      <c r="U497" t="s">
        <v>526</v>
      </c>
      <c r="V497" t="s">
        <v>40</v>
      </c>
      <c r="W497" s="1">
        <v>313600</v>
      </c>
    </row>
    <row r="498" spans="1:23" x14ac:dyDescent="0.2">
      <c r="A498" t="s">
        <v>23</v>
      </c>
      <c r="B498" t="s">
        <v>24</v>
      </c>
      <c r="C498" t="s">
        <v>25</v>
      </c>
      <c r="D498" t="s">
        <v>454</v>
      </c>
      <c r="E498" t="s">
        <v>508</v>
      </c>
      <c r="F498" t="s">
        <v>509</v>
      </c>
      <c r="G498" t="s">
        <v>61</v>
      </c>
      <c r="H498" t="s">
        <v>52</v>
      </c>
      <c r="I498" t="s">
        <v>52</v>
      </c>
      <c r="J498" t="s">
        <v>31</v>
      </c>
      <c r="K498" t="s">
        <v>32</v>
      </c>
      <c r="L498" t="s">
        <v>32</v>
      </c>
      <c r="M498" t="s">
        <v>33</v>
      </c>
      <c r="N498" t="s">
        <v>33</v>
      </c>
      <c r="O498" t="s">
        <v>33</v>
      </c>
      <c r="P498" t="s">
        <v>34</v>
      </c>
      <c r="Q498" t="s">
        <v>35</v>
      </c>
      <c r="S498" t="s">
        <v>30</v>
      </c>
      <c r="T498" t="s">
        <v>527</v>
      </c>
      <c r="U498" t="s">
        <v>528</v>
      </c>
      <c r="V498" t="s">
        <v>39</v>
      </c>
      <c r="W498" s="1">
        <v>5</v>
      </c>
    </row>
    <row r="499" spans="1:23" x14ac:dyDescent="0.2">
      <c r="A499" t="s">
        <v>23</v>
      </c>
      <c r="B499" t="s">
        <v>24</v>
      </c>
      <c r="C499" t="s">
        <v>25</v>
      </c>
      <c r="D499" t="s">
        <v>454</v>
      </c>
      <c r="E499" t="s">
        <v>508</v>
      </c>
      <c r="F499" t="s">
        <v>509</v>
      </c>
      <c r="G499" t="s">
        <v>61</v>
      </c>
      <c r="H499" t="s">
        <v>52</v>
      </c>
      <c r="I499" t="s">
        <v>52</v>
      </c>
      <c r="J499" t="s">
        <v>31</v>
      </c>
      <c r="K499" t="s">
        <v>32</v>
      </c>
      <c r="L499" t="s">
        <v>32</v>
      </c>
      <c r="M499" t="s">
        <v>33</v>
      </c>
      <c r="N499" t="s">
        <v>33</v>
      </c>
      <c r="O499" t="s">
        <v>33</v>
      </c>
      <c r="P499" t="s">
        <v>34</v>
      </c>
      <c r="Q499" t="s">
        <v>35</v>
      </c>
      <c r="S499" t="s">
        <v>30</v>
      </c>
      <c r="T499" t="s">
        <v>527</v>
      </c>
      <c r="U499" t="s">
        <v>528</v>
      </c>
      <c r="V499" t="s">
        <v>40</v>
      </c>
      <c r="W499" s="1">
        <v>3501000</v>
      </c>
    </row>
    <row r="500" spans="1:23" x14ac:dyDescent="0.2">
      <c r="A500" t="s">
        <v>23</v>
      </c>
      <c r="B500" t="s">
        <v>24</v>
      </c>
      <c r="C500" t="s">
        <v>25</v>
      </c>
      <c r="D500" t="s">
        <v>454</v>
      </c>
      <c r="E500" t="s">
        <v>508</v>
      </c>
      <c r="F500" t="s">
        <v>509</v>
      </c>
      <c r="G500" t="s">
        <v>61</v>
      </c>
      <c r="H500" t="s">
        <v>52</v>
      </c>
      <c r="I500" t="s">
        <v>52</v>
      </c>
      <c r="J500" t="s">
        <v>31</v>
      </c>
      <c r="K500" t="s">
        <v>32</v>
      </c>
      <c r="L500" t="s">
        <v>32</v>
      </c>
      <c r="M500" t="s">
        <v>33</v>
      </c>
      <c r="P500" t="s">
        <v>34</v>
      </c>
      <c r="Q500" t="s">
        <v>35</v>
      </c>
      <c r="S500" t="s">
        <v>52</v>
      </c>
      <c r="T500" t="s">
        <v>529</v>
      </c>
      <c r="U500" t="s">
        <v>530</v>
      </c>
      <c r="V500" t="s">
        <v>39</v>
      </c>
      <c r="W500" s="1">
        <v>0</v>
      </c>
    </row>
    <row r="501" spans="1:23" x14ac:dyDescent="0.2">
      <c r="A501" t="s">
        <v>23</v>
      </c>
      <c r="B501" t="s">
        <v>24</v>
      </c>
      <c r="C501" t="s">
        <v>25</v>
      </c>
      <c r="D501" t="s">
        <v>454</v>
      </c>
      <c r="E501" t="s">
        <v>508</v>
      </c>
      <c r="F501" t="s">
        <v>509</v>
      </c>
      <c r="G501" t="s">
        <v>61</v>
      </c>
      <c r="H501" t="s">
        <v>52</v>
      </c>
      <c r="I501" t="s">
        <v>52</v>
      </c>
      <c r="J501" t="s">
        <v>31</v>
      </c>
      <c r="K501" t="s">
        <v>32</v>
      </c>
      <c r="L501" t="s">
        <v>32</v>
      </c>
      <c r="M501" t="s">
        <v>33</v>
      </c>
      <c r="P501" t="s">
        <v>34</v>
      </c>
      <c r="Q501" t="s">
        <v>35</v>
      </c>
      <c r="S501" t="s">
        <v>52</v>
      </c>
      <c r="T501" t="s">
        <v>529</v>
      </c>
      <c r="U501" t="s">
        <v>530</v>
      </c>
      <c r="V501" t="s">
        <v>40</v>
      </c>
      <c r="W501" s="1">
        <v>6571600</v>
      </c>
    </row>
    <row r="502" spans="1:23" x14ac:dyDescent="0.2">
      <c r="A502" t="s">
        <v>23</v>
      </c>
      <c r="B502" t="s">
        <v>24</v>
      </c>
      <c r="C502" t="s">
        <v>25</v>
      </c>
      <c r="D502" t="s">
        <v>454</v>
      </c>
      <c r="E502" t="s">
        <v>508</v>
      </c>
      <c r="F502" t="s">
        <v>509</v>
      </c>
      <c r="G502" t="s">
        <v>170</v>
      </c>
      <c r="H502" t="s">
        <v>52</v>
      </c>
      <c r="I502" t="s">
        <v>30</v>
      </c>
      <c r="J502" t="s">
        <v>31</v>
      </c>
      <c r="K502" t="s">
        <v>32</v>
      </c>
      <c r="L502" t="s">
        <v>32</v>
      </c>
      <c r="M502" t="s">
        <v>33</v>
      </c>
      <c r="P502" t="s">
        <v>34</v>
      </c>
      <c r="Q502" t="s">
        <v>35</v>
      </c>
      <c r="S502" t="s">
        <v>52</v>
      </c>
      <c r="T502" t="s">
        <v>531</v>
      </c>
      <c r="U502" t="s">
        <v>532</v>
      </c>
      <c r="V502" t="s">
        <v>39</v>
      </c>
      <c r="W502" s="1">
        <v>0</v>
      </c>
    </row>
    <row r="503" spans="1:23" x14ac:dyDescent="0.2">
      <c r="A503" t="s">
        <v>23</v>
      </c>
      <c r="B503" t="s">
        <v>24</v>
      </c>
      <c r="C503" t="s">
        <v>25</v>
      </c>
      <c r="D503" t="s">
        <v>454</v>
      </c>
      <c r="E503" t="s">
        <v>508</v>
      </c>
      <c r="F503" t="s">
        <v>509</v>
      </c>
      <c r="G503" t="s">
        <v>170</v>
      </c>
      <c r="H503" t="s">
        <v>52</v>
      </c>
      <c r="I503" t="s">
        <v>30</v>
      </c>
      <c r="J503" t="s">
        <v>31</v>
      </c>
      <c r="K503" t="s">
        <v>32</v>
      </c>
      <c r="L503" t="s">
        <v>32</v>
      </c>
      <c r="M503" t="s">
        <v>33</v>
      </c>
      <c r="P503" t="s">
        <v>34</v>
      </c>
      <c r="Q503" t="s">
        <v>35</v>
      </c>
      <c r="S503" t="s">
        <v>52</v>
      </c>
      <c r="T503" t="s">
        <v>531</v>
      </c>
      <c r="U503" t="s">
        <v>532</v>
      </c>
      <c r="V503" t="s">
        <v>40</v>
      </c>
      <c r="W503" s="1">
        <v>2859800</v>
      </c>
    </row>
    <row r="504" spans="1:23" x14ac:dyDescent="0.2">
      <c r="A504" t="s">
        <v>23</v>
      </c>
      <c r="B504" t="s">
        <v>24</v>
      </c>
      <c r="C504" t="s">
        <v>25</v>
      </c>
      <c r="D504" t="s">
        <v>454</v>
      </c>
      <c r="E504" t="s">
        <v>508</v>
      </c>
      <c r="F504" t="s">
        <v>509</v>
      </c>
      <c r="G504" t="s">
        <v>64</v>
      </c>
      <c r="H504" t="s">
        <v>30</v>
      </c>
      <c r="I504" t="s">
        <v>52</v>
      </c>
      <c r="J504" t="s">
        <v>128</v>
      </c>
      <c r="K504" t="s">
        <v>135</v>
      </c>
      <c r="L504" t="s">
        <v>32</v>
      </c>
      <c r="M504" t="s">
        <v>33</v>
      </c>
      <c r="P504" t="s">
        <v>34</v>
      </c>
      <c r="Q504" t="s">
        <v>35</v>
      </c>
      <c r="R504" t="s">
        <v>136</v>
      </c>
      <c r="S504" t="s">
        <v>52</v>
      </c>
      <c r="T504" t="s">
        <v>533</v>
      </c>
      <c r="U504" t="s">
        <v>534</v>
      </c>
      <c r="V504" t="s">
        <v>39</v>
      </c>
      <c r="W504" s="1">
        <v>0</v>
      </c>
    </row>
    <row r="505" spans="1:23" x14ac:dyDescent="0.2">
      <c r="A505" t="s">
        <v>23</v>
      </c>
      <c r="B505" t="s">
        <v>24</v>
      </c>
      <c r="C505" t="s">
        <v>25</v>
      </c>
      <c r="D505" t="s">
        <v>454</v>
      </c>
      <c r="E505" t="s">
        <v>508</v>
      </c>
      <c r="F505" t="s">
        <v>509</v>
      </c>
      <c r="G505" t="s">
        <v>64</v>
      </c>
      <c r="H505" t="s">
        <v>30</v>
      </c>
      <c r="I505" t="s">
        <v>52</v>
      </c>
      <c r="J505" t="s">
        <v>128</v>
      </c>
      <c r="K505" t="s">
        <v>135</v>
      </c>
      <c r="L505" t="s">
        <v>32</v>
      </c>
      <c r="M505" t="s">
        <v>33</v>
      </c>
      <c r="P505" t="s">
        <v>34</v>
      </c>
      <c r="Q505" t="s">
        <v>35</v>
      </c>
      <c r="R505" t="s">
        <v>136</v>
      </c>
      <c r="S505" t="s">
        <v>52</v>
      </c>
      <c r="T505" t="s">
        <v>533</v>
      </c>
      <c r="U505" t="s">
        <v>534</v>
      </c>
      <c r="V505" t="s">
        <v>40</v>
      </c>
      <c r="W505" s="1">
        <v>9190000</v>
      </c>
    </row>
    <row r="506" spans="1:23" x14ac:dyDescent="0.2">
      <c r="A506" t="s">
        <v>23</v>
      </c>
      <c r="B506" t="s">
        <v>24</v>
      </c>
      <c r="C506" t="s">
        <v>25</v>
      </c>
      <c r="D506" t="s">
        <v>454</v>
      </c>
      <c r="E506" t="s">
        <v>508</v>
      </c>
      <c r="F506" t="s">
        <v>509</v>
      </c>
      <c r="G506" t="s">
        <v>64</v>
      </c>
      <c r="H506" t="s">
        <v>30</v>
      </c>
      <c r="I506" t="s">
        <v>52</v>
      </c>
      <c r="J506" t="s">
        <v>128</v>
      </c>
      <c r="K506" t="s">
        <v>32</v>
      </c>
      <c r="L506" t="s">
        <v>32</v>
      </c>
      <c r="M506" t="s">
        <v>33</v>
      </c>
      <c r="N506" t="s">
        <v>33</v>
      </c>
      <c r="O506" t="s">
        <v>33</v>
      </c>
      <c r="P506" t="s">
        <v>42</v>
      </c>
      <c r="Q506" t="s">
        <v>43</v>
      </c>
      <c r="S506" t="s">
        <v>30</v>
      </c>
      <c r="T506" t="s">
        <v>535</v>
      </c>
      <c r="U506" t="s">
        <v>536</v>
      </c>
      <c r="V506" t="s">
        <v>39</v>
      </c>
      <c r="W506" s="1">
        <v>2</v>
      </c>
    </row>
    <row r="507" spans="1:23" x14ac:dyDescent="0.2">
      <c r="A507" t="s">
        <v>23</v>
      </c>
      <c r="B507" t="s">
        <v>24</v>
      </c>
      <c r="C507" t="s">
        <v>25</v>
      </c>
      <c r="D507" t="s">
        <v>454</v>
      </c>
      <c r="E507" t="s">
        <v>508</v>
      </c>
      <c r="F507" t="s">
        <v>509</v>
      </c>
      <c r="G507" t="s">
        <v>64</v>
      </c>
      <c r="H507" t="s">
        <v>30</v>
      </c>
      <c r="I507" t="s">
        <v>52</v>
      </c>
      <c r="J507" t="s">
        <v>128</v>
      </c>
      <c r="K507" t="s">
        <v>32</v>
      </c>
      <c r="L507" t="s">
        <v>32</v>
      </c>
      <c r="M507" t="s">
        <v>33</v>
      </c>
      <c r="N507" t="s">
        <v>33</v>
      </c>
      <c r="O507" t="s">
        <v>33</v>
      </c>
      <c r="P507" t="s">
        <v>42</v>
      </c>
      <c r="Q507" t="s">
        <v>43</v>
      </c>
      <c r="S507" t="s">
        <v>30</v>
      </c>
      <c r="T507" t="s">
        <v>535</v>
      </c>
      <c r="U507" t="s">
        <v>536</v>
      </c>
      <c r="V507" t="s">
        <v>40</v>
      </c>
      <c r="W507" s="1">
        <v>78000</v>
      </c>
    </row>
    <row r="508" spans="1:23" x14ac:dyDescent="0.2">
      <c r="A508" t="s">
        <v>23</v>
      </c>
      <c r="B508" t="s">
        <v>24</v>
      </c>
      <c r="C508" t="s">
        <v>25</v>
      </c>
      <c r="D508" t="s">
        <v>454</v>
      </c>
      <c r="E508" t="s">
        <v>508</v>
      </c>
      <c r="F508" t="s">
        <v>509</v>
      </c>
      <c r="G508" t="s">
        <v>67</v>
      </c>
      <c r="H508" t="s">
        <v>30</v>
      </c>
      <c r="I508" t="s">
        <v>30</v>
      </c>
      <c r="J508" t="s">
        <v>128</v>
      </c>
      <c r="K508" t="s">
        <v>32</v>
      </c>
      <c r="L508" t="s">
        <v>32</v>
      </c>
      <c r="M508" t="s">
        <v>33</v>
      </c>
      <c r="P508" t="s">
        <v>34</v>
      </c>
      <c r="Q508" t="s">
        <v>35</v>
      </c>
      <c r="S508" t="s">
        <v>30</v>
      </c>
      <c r="T508" t="s">
        <v>535</v>
      </c>
      <c r="U508" t="s">
        <v>537</v>
      </c>
      <c r="V508" t="s">
        <v>39</v>
      </c>
      <c r="W508" s="1">
        <v>1</v>
      </c>
    </row>
    <row r="509" spans="1:23" x14ac:dyDescent="0.2">
      <c r="A509" t="s">
        <v>23</v>
      </c>
      <c r="B509" t="s">
        <v>24</v>
      </c>
      <c r="C509" t="s">
        <v>25</v>
      </c>
      <c r="D509" t="s">
        <v>454</v>
      </c>
      <c r="E509" t="s">
        <v>508</v>
      </c>
      <c r="F509" t="s">
        <v>509</v>
      </c>
      <c r="G509" t="s">
        <v>67</v>
      </c>
      <c r="H509" t="s">
        <v>30</v>
      </c>
      <c r="I509" t="s">
        <v>30</v>
      </c>
      <c r="J509" t="s">
        <v>128</v>
      </c>
      <c r="K509" t="s">
        <v>32</v>
      </c>
      <c r="L509" t="s">
        <v>32</v>
      </c>
      <c r="M509" t="s">
        <v>33</v>
      </c>
      <c r="P509" t="s">
        <v>34</v>
      </c>
      <c r="Q509" t="s">
        <v>35</v>
      </c>
      <c r="S509" t="s">
        <v>30</v>
      </c>
      <c r="T509" t="s">
        <v>535</v>
      </c>
      <c r="U509" t="s">
        <v>537</v>
      </c>
      <c r="V509" t="s">
        <v>40</v>
      </c>
      <c r="W509" s="1">
        <v>39000</v>
      </c>
    </row>
    <row r="510" spans="1:23" x14ac:dyDescent="0.2">
      <c r="A510" t="s">
        <v>23</v>
      </c>
      <c r="B510" t="s">
        <v>24</v>
      </c>
      <c r="C510" t="s">
        <v>25</v>
      </c>
      <c r="D510" t="s">
        <v>454</v>
      </c>
      <c r="E510" t="s">
        <v>508</v>
      </c>
      <c r="F510" t="s">
        <v>509</v>
      </c>
      <c r="G510" t="s">
        <v>67</v>
      </c>
      <c r="H510" t="s">
        <v>30</v>
      </c>
      <c r="I510" t="s">
        <v>30</v>
      </c>
      <c r="J510" t="s">
        <v>31</v>
      </c>
      <c r="K510" t="s">
        <v>32</v>
      </c>
      <c r="L510" t="s">
        <v>32</v>
      </c>
      <c r="M510" t="s">
        <v>33</v>
      </c>
      <c r="N510" t="s">
        <v>33</v>
      </c>
      <c r="O510" t="s">
        <v>33</v>
      </c>
      <c r="P510" t="s">
        <v>213</v>
      </c>
      <c r="Q510" t="s">
        <v>214</v>
      </c>
      <c r="R510" t="s">
        <v>184</v>
      </c>
      <c r="S510" t="s">
        <v>30</v>
      </c>
      <c r="T510" t="s">
        <v>538</v>
      </c>
      <c r="U510" t="s">
        <v>539</v>
      </c>
      <c r="V510" t="s">
        <v>39</v>
      </c>
      <c r="W510" s="1">
        <v>1</v>
      </c>
    </row>
    <row r="511" spans="1:23" x14ac:dyDescent="0.2">
      <c r="A511" t="s">
        <v>23</v>
      </c>
      <c r="B511" t="s">
        <v>24</v>
      </c>
      <c r="C511" t="s">
        <v>25</v>
      </c>
      <c r="D511" t="s">
        <v>454</v>
      </c>
      <c r="E511" t="s">
        <v>508</v>
      </c>
      <c r="F511" t="s">
        <v>509</v>
      </c>
      <c r="G511" t="s">
        <v>67</v>
      </c>
      <c r="H511" t="s">
        <v>30</v>
      </c>
      <c r="I511" t="s">
        <v>30</v>
      </c>
      <c r="J511" t="s">
        <v>31</v>
      </c>
      <c r="K511" t="s">
        <v>32</v>
      </c>
      <c r="L511" t="s">
        <v>32</v>
      </c>
      <c r="M511" t="s">
        <v>33</v>
      </c>
      <c r="N511" t="s">
        <v>33</v>
      </c>
      <c r="O511" t="s">
        <v>33</v>
      </c>
      <c r="P511" t="s">
        <v>213</v>
      </c>
      <c r="Q511" t="s">
        <v>214</v>
      </c>
      <c r="R511" t="s">
        <v>184</v>
      </c>
      <c r="S511" t="s">
        <v>30</v>
      </c>
      <c r="T511" t="s">
        <v>538</v>
      </c>
      <c r="U511" t="s">
        <v>539</v>
      </c>
      <c r="V511" t="s">
        <v>40</v>
      </c>
      <c r="W511" s="1">
        <v>1230100</v>
      </c>
    </row>
    <row r="512" spans="1:23" x14ac:dyDescent="0.2">
      <c r="A512" t="s">
        <v>23</v>
      </c>
      <c r="B512" t="s">
        <v>24</v>
      </c>
      <c r="C512" t="s">
        <v>25</v>
      </c>
      <c r="D512" t="s">
        <v>454</v>
      </c>
      <c r="E512" t="s">
        <v>508</v>
      </c>
      <c r="F512" t="s">
        <v>509</v>
      </c>
      <c r="G512" t="s">
        <v>67</v>
      </c>
      <c r="H512" t="s">
        <v>30</v>
      </c>
      <c r="I512" t="s">
        <v>30</v>
      </c>
      <c r="J512" t="s">
        <v>31</v>
      </c>
      <c r="K512" t="s">
        <v>32</v>
      </c>
      <c r="L512" t="s">
        <v>32</v>
      </c>
      <c r="M512" t="s">
        <v>33</v>
      </c>
      <c r="N512" t="s">
        <v>33</v>
      </c>
      <c r="O512" t="s">
        <v>33</v>
      </c>
      <c r="P512" t="s">
        <v>34</v>
      </c>
      <c r="Q512" t="s">
        <v>35</v>
      </c>
      <c r="S512" t="s">
        <v>30</v>
      </c>
      <c r="T512" t="s">
        <v>540</v>
      </c>
      <c r="U512" t="s">
        <v>541</v>
      </c>
      <c r="V512" t="s">
        <v>39</v>
      </c>
      <c r="W512" s="1">
        <v>10</v>
      </c>
    </row>
    <row r="513" spans="1:23" x14ac:dyDescent="0.2">
      <c r="A513" t="s">
        <v>23</v>
      </c>
      <c r="B513" t="s">
        <v>24</v>
      </c>
      <c r="C513" t="s">
        <v>25</v>
      </c>
      <c r="D513" t="s">
        <v>454</v>
      </c>
      <c r="E513" t="s">
        <v>508</v>
      </c>
      <c r="F513" t="s">
        <v>509</v>
      </c>
      <c r="G513" t="s">
        <v>67</v>
      </c>
      <c r="H513" t="s">
        <v>30</v>
      </c>
      <c r="I513" t="s">
        <v>30</v>
      </c>
      <c r="J513" t="s">
        <v>31</v>
      </c>
      <c r="K513" t="s">
        <v>32</v>
      </c>
      <c r="L513" t="s">
        <v>32</v>
      </c>
      <c r="M513" t="s">
        <v>33</v>
      </c>
      <c r="N513" t="s">
        <v>33</v>
      </c>
      <c r="O513" t="s">
        <v>33</v>
      </c>
      <c r="P513" t="s">
        <v>34</v>
      </c>
      <c r="Q513" t="s">
        <v>35</v>
      </c>
      <c r="S513" t="s">
        <v>30</v>
      </c>
      <c r="T513" t="s">
        <v>540</v>
      </c>
      <c r="U513" t="s">
        <v>541</v>
      </c>
      <c r="V513" t="s">
        <v>40</v>
      </c>
      <c r="W513" s="1">
        <v>13380000</v>
      </c>
    </row>
    <row r="514" spans="1:23" x14ac:dyDescent="0.2">
      <c r="A514" t="s">
        <v>23</v>
      </c>
      <c r="B514" t="s">
        <v>24</v>
      </c>
      <c r="C514" t="s">
        <v>25</v>
      </c>
      <c r="D514" t="s">
        <v>454</v>
      </c>
      <c r="E514" t="s">
        <v>508</v>
      </c>
      <c r="F514" t="s">
        <v>509</v>
      </c>
      <c r="G514" t="s">
        <v>67</v>
      </c>
      <c r="H514" t="s">
        <v>30</v>
      </c>
      <c r="I514" t="s">
        <v>30</v>
      </c>
      <c r="J514" t="s">
        <v>31</v>
      </c>
      <c r="K514" t="s">
        <v>32</v>
      </c>
      <c r="L514" t="s">
        <v>32</v>
      </c>
      <c r="M514" t="s">
        <v>33</v>
      </c>
      <c r="N514" t="s">
        <v>169</v>
      </c>
      <c r="O514" t="s">
        <v>169</v>
      </c>
      <c r="P514" t="s">
        <v>34</v>
      </c>
      <c r="Q514" t="s">
        <v>35</v>
      </c>
      <c r="S514" t="s">
        <v>30</v>
      </c>
      <c r="T514" t="s">
        <v>540</v>
      </c>
      <c r="U514" t="s">
        <v>541</v>
      </c>
      <c r="V514" t="s">
        <v>39</v>
      </c>
      <c r="W514" s="1">
        <v>1</v>
      </c>
    </row>
    <row r="515" spans="1:23" x14ac:dyDescent="0.2">
      <c r="A515" t="s">
        <v>23</v>
      </c>
      <c r="B515" t="s">
        <v>24</v>
      </c>
      <c r="C515" t="s">
        <v>25</v>
      </c>
      <c r="D515" t="s">
        <v>454</v>
      </c>
      <c r="E515" t="s">
        <v>508</v>
      </c>
      <c r="F515" t="s">
        <v>509</v>
      </c>
      <c r="G515" t="s">
        <v>67</v>
      </c>
      <c r="H515" t="s">
        <v>30</v>
      </c>
      <c r="I515" t="s">
        <v>30</v>
      </c>
      <c r="J515" t="s">
        <v>31</v>
      </c>
      <c r="K515" t="s">
        <v>32</v>
      </c>
      <c r="L515" t="s">
        <v>32</v>
      </c>
      <c r="M515" t="s">
        <v>33</v>
      </c>
      <c r="N515" t="s">
        <v>169</v>
      </c>
      <c r="O515" t="s">
        <v>169</v>
      </c>
      <c r="P515" t="s">
        <v>34</v>
      </c>
      <c r="Q515" t="s">
        <v>35</v>
      </c>
      <c r="S515" t="s">
        <v>30</v>
      </c>
      <c r="T515" t="s">
        <v>540</v>
      </c>
      <c r="U515" t="s">
        <v>541</v>
      </c>
      <c r="V515" t="s">
        <v>40</v>
      </c>
      <c r="W515" s="1">
        <v>1338000</v>
      </c>
    </row>
    <row r="516" spans="1:23" x14ac:dyDescent="0.2">
      <c r="A516" t="s">
        <v>23</v>
      </c>
      <c r="B516" t="s">
        <v>24</v>
      </c>
      <c r="C516" t="s">
        <v>25</v>
      </c>
      <c r="D516" t="s">
        <v>454</v>
      </c>
      <c r="E516" t="s">
        <v>508</v>
      </c>
      <c r="F516" t="s">
        <v>509</v>
      </c>
      <c r="G516" t="s">
        <v>67</v>
      </c>
      <c r="H516" t="s">
        <v>30</v>
      </c>
      <c r="I516" t="s">
        <v>30</v>
      </c>
      <c r="J516" t="s">
        <v>31</v>
      </c>
      <c r="K516" t="s">
        <v>32</v>
      </c>
      <c r="L516" t="s">
        <v>32</v>
      </c>
      <c r="M516" t="s">
        <v>33</v>
      </c>
      <c r="P516" t="s">
        <v>213</v>
      </c>
      <c r="Q516" t="s">
        <v>214</v>
      </c>
      <c r="R516" t="s">
        <v>184</v>
      </c>
      <c r="S516" t="s">
        <v>30</v>
      </c>
      <c r="T516" t="s">
        <v>538</v>
      </c>
      <c r="U516" t="s">
        <v>539</v>
      </c>
      <c r="V516" t="s">
        <v>39</v>
      </c>
      <c r="W516" s="1">
        <v>13</v>
      </c>
    </row>
    <row r="517" spans="1:23" x14ac:dyDescent="0.2">
      <c r="A517" t="s">
        <v>23</v>
      </c>
      <c r="B517" t="s">
        <v>24</v>
      </c>
      <c r="C517" t="s">
        <v>25</v>
      </c>
      <c r="D517" t="s">
        <v>454</v>
      </c>
      <c r="E517" t="s">
        <v>508</v>
      </c>
      <c r="F517" t="s">
        <v>509</v>
      </c>
      <c r="G517" t="s">
        <v>67</v>
      </c>
      <c r="H517" t="s">
        <v>30</v>
      </c>
      <c r="I517" t="s">
        <v>30</v>
      </c>
      <c r="J517" t="s">
        <v>31</v>
      </c>
      <c r="K517" t="s">
        <v>32</v>
      </c>
      <c r="L517" t="s">
        <v>32</v>
      </c>
      <c r="M517" t="s">
        <v>33</v>
      </c>
      <c r="P517" t="s">
        <v>213</v>
      </c>
      <c r="Q517" t="s">
        <v>214</v>
      </c>
      <c r="R517" t="s">
        <v>184</v>
      </c>
      <c r="S517" t="s">
        <v>30</v>
      </c>
      <c r="T517" t="s">
        <v>538</v>
      </c>
      <c r="U517" t="s">
        <v>539</v>
      </c>
      <c r="V517" t="s">
        <v>40</v>
      </c>
      <c r="W517" s="1">
        <v>15991300</v>
      </c>
    </row>
    <row r="518" spans="1:23" x14ac:dyDescent="0.2">
      <c r="A518" t="s">
        <v>23</v>
      </c>
      <c r="B518" t="s">
        <v>24</v>
      </c>
      <c r="C518" t="s">
        <v>25</v>
      </c>
      <c r="D518" t="s">
        <v>454</v>
      </c>
      <c r="E518" t="s">
        <v>508</v>
      </c>
      <c r="F518" t="s">
        <v>509</v>
      </c>
      <c r="G518" t="s">
        <v>67</v>
      </c>
      <c r="H518" t="s">
        <v>30</v>
      </c>
      <c r="I518" t="s">
        <v>30</v>
      </c>
      <c r="J518" t="s">
        <v>31</v>
      </c>
      <c r="K518" t="s">
        <v>32</v>
      </c>
      <c r="L518" t="s">
        <v>32</v>
      </c>
      <c r="M518" t="s">
        <v>33</v>
      </c>
      <c r="P518" t="s">
        <v>34</v>
      </c>
      <c r="Q518" t="s">
        <v>35</v>
      </c>
      <c r="S518" t="s">
        <v>52</v>
      </c>
      <c r="T518" t="s">
        <v>542</v>
      </c>
      <c r="U518" t="s">
        <v>543</v>
      </c>
      <c r="V518" t="s">
        <v>39</v>
      </c>
      <c r="W518" s="1">
        <v>0</v>
      </c>
    </row>
    <row r="519" spans="1:23" x14ac:dyDescent="0.2">
      <c r="A519" t="s">
        <v>23</v>
      </c>
      <c r="B519" t="s">
        <v>24</v>
      </c>
      <c r="C519" t="s">
        <v>25</v>
      </c>
      <c r="D519" t="s">
        <v>454</v>
      </c>
      <c r="E519" t="s">
        <v>508</v>
      </c>
      <c r="F519" t="s">
        <v>509</v>
      </c>
      <c r="G519" t="s">
        <v>67</v>
      </c>
      <c r="H519" t="s">
        <v>30</v>
      </c>
      <c r="I519" t="s">
        <v>30</v>
      </c>
      <c r="J519" t="s">
        <v>31</v>
      </c>
      <c r="K519" t="s">
        <v>32</v>
      </c>
      <c r="L519" t="s">
        <v>32</v>
      </c>
      <c r="M519" t="s">
        <v>33</v>
      </c>
      <c r="P519" t="s">
        <v>34</v>
      </c>
      <c r="Q519" t="s">
        <v>35</v>
      </c>
      <c r="S519" t="s">
        <v>52</v>
      </c>
      <c r="T519" t="s">
        <v>542</v>
      </c>
      <c r="U519" t="s">
        <v>543</v>
      </c>
      <c r="V519" t="s">
        <v>40</v>
      </c>
      <c r="W519" s="1">
        <v>2085000</v>
      </c>
    </row>
    <row r="520" spans="1:23" x14ac:dyDescent="0.2">
      <c r="A520" t="s">
        <v>23</v>
      </c>
      <c r="B520" t="s">
        <v>24</v>
      </c>
      <c r="C520" t="s">
        <v>25</v>
      </c>
      <c r="D520" t="s">
        <v>454</v>
      </c>
      <c r="E520" t="s">
        <v>508</v>
      </c>
      <c r="F520" t="s">
        <v>509</v>
      </c>
      <c r="G520" t="s">
        <v>67</v>
      </c>
      <c r="H520" t="s">
        <v>30</v>
      </c>
      <c r="I520" t="s">
        <v>30</v>
      </c>
      <c r="J520" t="s">
        <v>31</v>
      </c>
      <c r="K520" t="s">
        <v>32</v>
      </c>
      <c r="L520" t="s">
        <v>32</v>
      </c>
      <c r="M520" t="s">
        <v>176</v>
      </c>
      <c r="N520" t="s">
        <v>176</v>
      </c>
      <c r="O520" t="s">
        <v>176</v>
      </c>
      <c r="P520" t="s">
        <v>34</v>
      </c>
      <c r="Q520" t="s">
        <v>35</v>
      </c>
      <c r="S520" t="s">
        <v>30</v>
      </c>
      <c r="T520" t="s">
        <v>540</v>
      </c>
      <c r="U520" t="s">
        <v>541</v>
      </c>
      <c r="V520" t="s">
        <v>39</v>
      </c>
      <c r="W520" s="1">
        <v>1</v>
      </c>
    </row>
    <row r="521" spans="1:23" x14ac:dyDescent="0.2">
      <c r="A521" t="s">
        <v>23</v>
      </c>
      <c r="B521" t="s">
        <v>24</v>
      </c>
      <c r="C521" t="s">
        <v>25</v>
      </c>
      <c r="D521" t="s">
        <v>454</v>
      </c>
      <c r="E521" t="s">
        <v>508</v>
      </c>
      <c r="F521" t="s">
        <v>509</v>
      </c>
      <c r="G521" t="s">
        <v>67</v>
      </c>
      <c r="H521" t="s">
        <v>30</v>
      </c>
      <c r="I521" t="s">
        <v>30</v>
      </c>
      <c r="J521" t="s">
        <v>31</v>
      </c>
      <c r="K521" t="s">
        <v>32</v>
      </c>
      <c r="L521" t="s">
        <v>32</v>
      </c>
      <c r="M521" t="s">
        <v>176</v>
      </c>
      <c r="N521" t="s">
        <v>176</v>
      </c>
      <c r="O521" t="s">
        <v>176</v>
      </c>
      <c r="P521" t="s">
        <v>34</v>
      </c>
      <c r="Q521" t="s">
        <v>35</v>
      </c>
      <c r="S521" t="s">
        <v>30</v>
      </c>
      <c r="T521" t="s">
        <v>540</v>
      </c>
      <c r="U521" t="s">
        <v>541</v>
      </c>
      <c r="V521" t="s">
        <v>40</v>
      </c>
      <c r="W521" s="1">
        <v>1338000</v>
      </c>
    </row>
    <row r="522" spans="1:23" x14ac:dyDescent="0.2">
      <c r="A522" t="s">
        <v>23</v>
      </c>
      <c r="B522" t="s">
        <v>24</v>
      </c>
      <c r="C522" t="s">
        <v>25</v>
      </c>
      <c r="D522" t="s">
        <v>454</v>
      </c>
      <c r="E522" t="s">
        <v>508</v>
      </c>
      <c r="F522" t="s">
        <v>509</v>
      </c>
      <c r="G522" t="s">
        <v>67</v>
      </c>
      <c r="H522" t="s">
        <v>30</v>
      </c>
      <c r="I522" t="s">
        <v>30</v>
      </c>
      <c r="J522" t="s">
        <v>31</v>
      </c>
      <c r="K522" t="s">
        <v>32</v>
      </c>
      <c r="L522" t="s">
        <v>32</v>
      </c>
      <c r="M522" t="s">
        <v>176</v>
      </c>
      <c r="N522" t="s">
        <v>195</v>
      </c>
      <c r="O522" t="s">
        <v>195</v>
      </c>
      <c r="P522" t="s">
        <v>34</v>
      </c>
      <c r="Q522" t="s">
        <v>35</v>
      </c>
      <c r="S522" t="s">
        <v>30</v>
      </c>
      <c r="T522" t="s">
        <v>540</v>
      </c>
      <c r="U522" t="s">
        <v>541</v>
      </c>
      <c r="V522" t="s">
        <v>39</v>
      </c>
      <c r="W522" s="1">
        <v>1</v>
      </c>
    </row>
    <row r="523" spans="1:23" x14ac:dyDescent="0.2">
      <c r="A523" t="s">
        <v>23</v>
      </c>
      <c r="B523" t="s">
        <v>24</v>
      </c>
      <c r="C523" t="s">
        <v>25</v>
      </c>
      <c r="D523" t="s">
        <v>454</v>
      </c>
      <c r="E523" t="s">
        <v>508</v>
      </c>
      <c r="F523" t="s">
        <v>509</v>
      </c>
      <c r="G523" t="s">
        <v>67</v>
      </c>
      <c r="H523" t="s">
        <v>30</v>
      </c>
      <c r="I523" t="s">
        <v>30</v>
      </c>
      <c r="J523" t="s">
        <v>31</v>
      </c>
      <c r="K523" t="s">
        <v>32</v>
      </c>
      <c r="L523" t="s">
        <v>32</v>
      </c>
      <c r="M523" t="s">
        <v>176</v>
      </c>
      <c r="N523" t="s">
        <v>195</v>
      </c>
      <c r="O523" t="s">
        <v>195</v>
      </c>
      <c r="P523" t="s">
        <v>34</v>
      </c>
      <c r="Q523" t="s">
        <v>35</v>
      </c>
      <c r="S523" t="s">
        <v>30</v>
      </c>
      <c r="T523" t="s">
        <v>540</v>
      </c>
      <c r="U523" t="s">
        <v>541</v>
      </c>
      <c r="V523" t="s">
        <v>40</v>
      </c>
      <c r="W523" s="1">
        <v>1338000</v>
      </c>
    </row>
    <row r="524" spans="1:23" x14ac:dyDescent="0.2">
      <c r="A524" t="s">
        <v>23</v>
      </c>
      <c r="B524" t="s">
        <v>24</v>
      </c>
      <c r="C524" t="s">
        <v>25</v>
      </c>
      <c r="D524" t="s">
        <v>454</v>
      </c>
      <c r="E524" t="s">
        <v>508</v>
      </c>
      <c r="F524" t="s">
        <v>509</v>
      </c>
      <c r="G524" t="s">
        <v>67</v>
      </c>
      <c r="H524" t="s">
        <v>30</v>
      </c>
      <c r="I524" t="s">
        <v>30</v>
      </c>
      <c r="J524" t="s">
        <v>31</v>
      </c>
      <c r="K524" t="s">
        <v>32</v>
      </c>
      <c r="L524" t="s">
        <v>32</v>
      </c>
      <c r="M524" t="s">
        <v>176</v>
      </c>
      <c r="P524" t="s">
        <v>34</v>
      </c>
      <c r="Q524" t="s">
        <v>35</v>
      </c>
      <c r="S524" t="s">
        <v>52</v>
      </c>
      <c r="T524" t="s">
        <v>542</v>
      </c>
      <c r="U524" t="s">
        <v>543</v>
      </c>
      <c r="V524" t="s">
        <v>39</v>
      </c>
      <c r="W524" s="1">
        <v>0</v>
      </c>
    </row>
    <row r="525" spans="1:23" x14ac:dyDescent="0.2">
      <c r="A525" t="s">
        <v>23</v>
      </c>
      <c r="B525" t="s">
        <v>24</v>
      </c>
      <c r="C525" t="s">
        <v>25</v>
      </c>
      <c r="D525" t="s">
        <v>454</v>
      </c>
      <c r="E525" t="s">
        <v>508</v>
      </c>
      <c r="F525" t="s">
        <v>509</v>
      </c>
      <c r="G525" t="s">
        <v>67</v>
      </c>
      <c r="H525" t="s">
        <v>30</v>
      </c>
      <c r="I525" t="s">
        <v>30</v>
      </c>
      <c r="J525" t="s">
        <v>31</v>
      </c>
      <c r="K525" t="s">
        <v>32</v>
      </c>
      <c r="L525" t="s">
        <v>32</v>
      </c>
      <c r="M525" t="s">
        <v>176</v>
      </c>
      <c r="P525" t="s">
        <v>34</v>
      </c>
      <c r="Q525" t="s">
        <v>35</v>
      </c>
      <c r="S525" t="s">
        <v>52</v>
      </c>
      <c r="T525" t="s">
        <v>542</v>
      </c>
      <c r="U525" t="s">
        <v>543</v>
      </c>
      <c r="V525" t="s">
        <v>40</v>
      </c>
      <c r="W525" s="1">
        <v>1251000</v>
      </c>
    </row>
    <row r="526" spans="1:23" x14ac:dyDescent="0.2">
      <c r="A526" t="s">
        <v>23</v>
      </c>
      <c r="B526" t="s">
        <v>24</v>
      </c>
      <c r="C526" t="s">
        <v>25</v>
      </c>
      <c r="D526" t="s">
        <v>454</v>
      </c>
      <c r="E526" t="s">
        <v>508</v>
      </c>
      <c r="F526" t="s">
        <v>509</v>
      </c>
      <c r="G526" t="s">
        <v>67</v>
      </c>
      <c r="H526" t="s">
        <v>30</v>
      </c>
      <c r="I526" t="s">
        <v>30</v>
      </c>
      <c r="J526" t="s">
        <v>41</v>
      </c>
      <c r="K526" t="s">
        <v>32</v>
      </c>
      <c r="L526" t="s">
        <v>32</v>
      </c>
      <c r="M526" t="s">
        <v>33</v>
      </c>
      <c r="N526" t="s">
        <v>33</v>
      </c>
      <c r="O526" t="s">
        <v>33</v>
      </c>
      <c r="P526" t="s">
        <v>213</v>
      </c>
      <c r="Q526" t="s">
        <v>214</v>
      </c>
      <c r="S526" t="s">
        <v>30</v>
      </c>
      <c r="T526" t="s">
        <v>544</v>
      </c>
      <c r="U526" t="s">
        <v>545</v>
      </c>
      <c r="V526" t="s">
        <v>39</v>
      </c>
      <c r="W526" s="1">
        <v>1</v>
      </c>
    </row>
    <row r="527" spans="1:23" x14ac:dyDescent="0.2">
      <c r="A527" t="s">
        <v>23</v>
      </c>
      <c r="B527" t="s">
        <v>24</v>
      </c>
      <c r="C527" t="s">
        <v>25</v>
      </c>
      <c r="D527" t="s">
        <v>454</v>
      </c>
      <c r="E527" t="s">
        <v>508</v>
      </c>
      <c r="F527" t="s">
        <v>509</v>
      </c>
      <c r="G527" t="s">
        <v>67</v>
      </c>
      <c r="H527" t="s">
        <v>30</v>
      </c>
      <c r="I527" t="s">
        <v>30</v>
      </c>
      <c r="J527" t="s">
        <v>41</v>
      </c>
      <c r="K527" t="s">
        <v>32</v>
      </c>
      <c r="L527" t="s">
        <v>32</v>
      </c>
      <c r="M527" t="s">
        <v>33</v>
      </c>
      <c r="N527" t="s">
        <v>33</v>
      </c>
      <c r="O527" t="s">
        <v>33</v>
      </c>
      <c r="P527" t="s">
        <v>213</v>
      </c>
      <c r="Q527" t="s">
        <v>214</v>
      </c>
      <c r="S527" t="s">
        <v>30</v>
      </c>
      <c r="T527" t="s">
        <v>544</v>
      </c>
      <c r="U527" t="s">
        <v>545</v>
      </c>
      <c r="V527" t="s">
        <v>40</v>
      </c>
      <c r="W527" s="1">
        <v>1167400</v>
      </c>
    </row>
    <row r="528" spans="1:23" x14ac:dyDescent="0.2">
      <c r="A528" t="s">
        <v>23</v>
      </c>
      <c r="B528" t="s">
        <v>24</v>
      </c>
      <c r="C528" t="s">
        <v>25</v>
      </c>
      <c r="D528" t="s">
        <v>454</v>
      </c>
      <c r="E528" t="s">
        <v>508</v>
      </c>
      <c r="F528" t="s">
        <v>509</v>
      </c>
      <c r="G528" t="s">
        <v>67</v>
      </c>
      <c r="H528" t="s">
        <v>30</v>
      </c>
      <c r="I528" t="s">
        <v>30</v>
      </c>
      <c r="J528" t="s">
        <v>41</v>
      </c>
      <c r="K528" t="s">
        <v>32</v>
      </c>
      <c r="L528" t="s">
        <v>32</v>
      </c>
      <c r="M528" t="s">
        <v>33</v>
      </c>
      <c r="N528" t="s">
        <v>33</v>
      </c>
      <c r="O528" t="s">
        <v>33</v>
      </c>
      <c r="P528" t="s">
        <v>34</v>
      </c>
      <c r="Q528" t="s">
        <v>35</v>
      </c>
      <c r="R528" t="s">
        <v>162</v>
      </c>
      <c r="S528" t="s">
        <v>30</v>
      </c>
      <c r="T528" t="s">
        <v>546</v>
      </c>
      <c r="U528" t="s">
        <v>547</v>
      </c>
      <c r="V528" t="s">
        <v>39</v>
      </c>
      <c r="W528" s="1">
        <v>2</v>
      </c>
    </row>
    <row r="529" spans="1:23" x14ac:dyDescent="0.2">
      <c r="A529" t="s">
        <v>23</v>
      </c>
      <c r="B529" t="s">
        <v>24</v>
      </c>
      <c r="C529" t="s">
        <v>25</v>
      </c>
      <c r="D529" t="s">
        <v>454</v>
      </c>
      <c r="E529" t="s">
        <v>508</v>
      </c>
      <c r="F529" t="s">
        <v>509</v>
      </c>
      <c r="G529" t="s">
        <v>67</v>
      </c>
      <c r="H529" t="s">
        <v>30</v>
      </c>
      <c r="I529" t="s">
        <v>30</v>
      </c>
      <c r="J529" t="s">
        <v>41</v>
      </c>
      <c r="K529" t="s">
        <v>32</v>
      </c>
      <c r="L529" t="s">
        <v>32</v>
      </c>
      <c r="M529" t="s">
        <v>33</v>
      </c>
      <c r="N529" t="s">
        <v>33</v>
      </c>
      <c r="O529" t="s">
        <v>33</v>
      </c>
      <c r="P529" t="s">
        <v>34</v>
      </c>
      <c r="Q529" t="s">
        <v>35</v>
      </c>
      <c r="R529" t="s">
        <v>162</v>
      </c>
      <c r="S529" t="s">
        <v>30</v>
      </c>
      <c r="T529" t="s">
        <v>546</v>
      </c>
      <c r="U529" t="s">
        <v>547</v>
      </c>
      <c r="V529" t="s">
        <v>40</v>
      </c>
      <c r="W529" s="1">
        <v>7971600</v>
      </c>
    </row>
    <row r="530" spans="1:23" x14ac:dyDescent="0.2">
      <c r="A530" t="s">
        <v>23</v>
      </c>
      <c r="B530" t="s">
        <v>24</v>
      </c>
      <c r="C530" t="s">
        <v>25</v>
      </c>
      <c r="D530" t="s">
        <v>454</v>
      </c>
      <c r="E530" t="s">
        <v>508</v>
      </c>
      <c r="F530" t="s">
        <v>509</v>
      </c>
      <c r="G530" t="s">
        <v>67</v>
      </c>
      <c r="H530" t="s">
        <v>30</v>
      </c>
      <c r="I530" t="s">
        <v>30</v>
      </c>
      <c r="J530" t="s">
        <v>41</v>
      </c>
      <c r="K530" t="s">
        <v>32</v>
      </c>
      <c r="L530" t="s">
        <v>32</v>
      </c>
      <c r="M530" t="s">
        <v>33</v>
      </c>
      <c r="N530" t="s">
        <v>33</v>
      </c>
      <c r="O530" t="s">
        <v>33</v>
      </c>
      <c r="P530" t="s">
        <v>34</v>
      </c>
      <c r="Q530" t="s">
        <v>35</v>
      </c>
      <c r="S530" t="s">
        <v>30</v>
      </c>
      <c r="T530" t="s">
        <v>544</v>
      </c>
      <c r="U530" t="s">
        <v>548</v>
      </c>
      <c r="V530" t="s">
        <v>39</v>
      </c>
      <c r="W530" s="1">
        <v>1</v>
      </c>
    </row>
    <row r="531" spans="1:23" x14ac:dyDescent="0.2">
      <c r="A531" t="s">
        <v>23</v>
      </c>
      <c r="B531" t="s">
        <v>24</v>
      </c>
      <c r="C531" t="s">
        <v>25</v>
      </c>
      <c r="D531" t="s">
        <v>454</v>
      </c>
      <c r="E531" t="s">
        <v>508</v>
      </c>
      <c r="F531" t="s">
        <v>509</v>
      </c>
      <c r="G531" t="s">
        <v>67</v>
      </c>
      <c r="H531" t="s">
        <v>30</v>
      </c>
      <c r="I531" t="s">
        <v>30</v>
      </c>
      <c r="J531" t="s">
        <v>41</v>
      </c>
      <c r="K531" t="s">
        <v>32</v>
      </c>
      <c r="L531" t="s">
        <v>32</v>
      </c>
      <c r="M531" t="s">
        <v>33</v>
      </c>
      <c r="N531" t="s">
        <v>33</v>
      </c>
      <c r="O531" t="s">
        <v>33</v>
      </c>
      <c r="P531" t="s">
        <v>34</v>
      </c>
      <c r="Q531" t="s">
        <v>35</v>
      </c>
      <c r="S531" t="s">
        <v>30</v>
      </c>
      <c r="T531" t="s">
        <v>544</v>
      </c>
      <c r="U531" t="s">
        <v>548</v>
      </c>
      <c r="V531" t="s">
        <v>40</v>
      </c>
      <c r="W531" s="1">
        <v>1167400</v>
      </c>
    </row>
    <row r="532" spans="1:23" x14ac:dyDescent="0.2">
      <c r="A532" t="s">
        <v>23</v>
      </c>
      <c r="B532" t="s">
        <v>24</v>
      </c>
      <c r="C532" t="s">
        <v>25</v>
      </c>
      <c r="D532" t="s">
        <v>454</v>
      </c>
      <c r="E532" t="s">
        <v>508</v>
      </c>
      <c r="F532" t="s">
        <v>509</v>
      </c>
      <c r="G532" t="s">
        <v>67</v>
      </c>
      <c r="H532" t="s">
        <v>30</v>
      </c>
      <c r="I532" t="s">
        <v>30</v>
      </c>
      <c r="J532" t="s">
        <v>41</v>
      </c>
      <c r="K532" t="s">
        <v>32</v>
      </c>
      <c r="L532" t="s">
        <v>32</v>
      </c>
      <c r="M532" t="s">
        <v>33</v>
      </c>
      <c r="N532" t="s">
        <v>176</v>
      </c>
      <c r="O532" t="s">
        <v>176</v>
      </c>
      <c r="P532" t="s">
        <v>213</v>
      </c>
      <c r="Q532" t="s">
        <v>214</v>
      </c>
      <c r="S532" t="s">
        <v>30</v>
      </c>
      <c r="T532" t="s">
        <v>544</v>
      </c>
      <c r="U532" t="s">
        <v>545</v>
      </c>
      <c r="V532" t="s">
        <v>39</v>
      </c>
      <c r="W532" s="1">
        <v>1</v>
      </c>
    </row>
    <row r="533" spans="1:23" x14ac:dyDescent="0.2">
      <c r="A533" t="s">
        <v>23</v>
      </c>
      <c r="B533" t="s">
        <v>24</v>
      </c>
      <c r="C533" t="s">
        <v>25</v>
      </c>
      <c r="D533" t="s">
        <v>454</v>
      </c>
      <c r="E533" t="s">
        <v>508</v>
      </c>
      <c r="F533" t="s">
        <v>509</v>
      </c>
      <c r="G533" t="s">
        <v>67</v>
      </c>
      <c r="H533" t="s">
        <v>30</v>
      </c>
      <c r="I533" t="s">
        <v>30</v>
      </c>
      <c r="J533" t="s">
        <v>41</v>
      </c>
      <c r="K533" t="s">
        <v>32</v>
      </c>
      <c r="L533" t="s">
        <v>32</v>
      </c>
      <c r="M533" t="s">
        <v>33</v>
      </c>
      <c r="N533" t="s">
        <v>176</v>
      </c>
      <c r="O533" t="s">
        <v>176</v>
      </c>
      <c r="P533" t="s">
        <v>213</v>
      </c>
      <c r="Q533" t="s">
        <v>214</v>
      </c>
      <c r="S533" t="s">
        <v>30</v>
      </c>
      <c r="T533" t="s">
        <v>544</v>
      </c>
      <c r="U533" t="s">
        <v>545</v>
      </c>
      <c r="V533" t="s">
        <v>40</v>
      </c>
      <c r="W533" s="1">
        <v>1167400</v>
      </c>
    </row>
    <row r="534" spans="1:23" x14ac:dyDescent="0.2">
      <c r="A534" t="s">
        <v>23</v>
      </c>
      <c r="B534" t="s">
        <v>24</v>
      </c>
      <c r="C534" t="s">
        <v>25</v>
      </c>
      <c r="D534" t="s">
        <v>454</v>
      </c>
      <c r="E534" t="s">
        <v>508</v>
      </c>
      <c r="F534" t="s">
        <v>509</v>
      </c>
      <c r="G534" t="s">
        <v>67</v>
      </c>
      <c r="H534" t="s">
        <v>30</v>
      </c>
      <c r="I534" t="s">
        <v>30</v>
      </c>
      <c r="J534" t="s">
        <v>41</v>
      </c>
      <c r="K534" t="s">
        <v>32</v>
      </c>
      <c r="L534" t="s">
        <v>32</v>
      </c>
      <c r="M534" t="s">
        <v>33</v>
      </c>
      <c r="P534" t="s">
        <v>213</v>
      </c>
      <c r="Q534" t="s">
        <v>214</v>
      </c>
      <c r="S534" t="s">
        <v>52</v>
      </c>
      <c r="T534" t="s">
        <v>544</v>
      </c>
      <c r="U534" t="s">
        <v>545</v>
      </c>
      <c r="V534" t="s">
        <v>39</v>
      </c>
      <c r="W534" s="1">
        <v>0</v>
      </c>
    </row>
    <row r="535" spans="1:23" x14ac:dyDescent="0.2">
      <c r="A535" t="s">
        <v>23</v>
      </c>
      <c r="B535" t="s">
        <v>24</v>
      </c>
      <c r="C535" t="s">
        <v>25</v>
      </c>
      <c r="D535" t="s">
        <v>454</v>
      </c>
      <c r="E535" t="s">
        <v>508</v>
      </c>
      <c r="F535" t="s">
        <v>509</v>
      </c>
      <c r="G535" t="s">
        <v>67</v>
      </c>
      <c r="H535" t="s">
        <v>30</v>
      </c>
      <c r="I535" t="s">
        <v>30</v>
      </c>
      <c r="J535" t="s">
        <v>41</v>
      </c>
      <c r="K535" t="s">
        <v>32</v>
      </c>
      <c r="L535" t="s">
        <v>32</v>
      </c>
      <c r="M535" t="s">
        <v>33</v>
      </c>
      <c r="P535" t="s">
        <v>213</v>
      </c>
      <c r="Q535" t="s">
        <v>214</v>
      </c>
      <c r="S535" t="s">
        <v>52</v>
      </c>
      <c r="T535" t="s">
        <v>544</v>
      </c>
      <c r="U535" t="s">
        <v>545</v>
      </c>
      <c r="V535" t="s">
        <v>40</v>
      </c>
      <c r="W535" s="1">
        <v>2334800</v>
      </c>
    </row>
    <row r="536" spans="1:23" x14ac:dyDescent="0.2">
      <c r="A536" t="s">
        <v>23</v>
      </c>
      <c r="B536" t="s">
        <v>24</v>
      </c>
      <c r="C536" t="s">
        <v>25</v>
      </c>
      <c r="D536" t="s">
        <v>454</v>
      </c>
      <c r="E536" t="s">
        <v>508</v>
      </c>
      <c r="F536" t="s">
        <v>509</v>
      </c>
      <c r="G536" t="s">
        <v>67</v>
      </c>
      <c r="H536" t="s">
        <v>30</v>
      </c>
      <c r="I536" t="s">
        <v>30</v>
      </c>
      <c r="J536" t="s">
        <v>41</v>
      </c>
      <c r="K536" t="s">
        <v>32</v>
      </c>
      <c r="L536" t="s">
        <v>32</v>
      </c>
      <c r="M536" t="s">
        <v>176</v>
      </c>
      <c r="N536" t="s">
        <v>176</v>
      </c>
      <c r="O536" t="s">
        <v>176</v>
      </c>
      <c r="P536" t="s">
        <v>34</v>
      </c>
      <c r="Q536" t="s">
        <v>35</v>
      </c>
      <c r="S536" t="s">
        <v>30</v>
      </c>
      <c r="T536" t="s">
        <v>544</v>
      </c>
      <c r="U536" t="s">
        <v>548</v>
      </c>
      <c r="V536" t="s">
        <v>39</v>
      </c>
      <c r="W536" s="1">
        <v>1</v>
      </c>
    </row>
    <row r="537" spans="1:23" x14ac:dyDescent="0.2">
      <c r="A537" t="s">
        <v>23</v>
      </c>
      <c r="B537" t="s">
        <v>24</v>
      </c>
      <c r="C537" t="s">
        <v>25</v>
      </c>
      <c r="D537" t="s">
        <v>454</v>
      </c>
      <c r="E537" t="s">
        <v>508</v>
      </c>
      <c r="F537" t="s">
        <v>509</v>
      </c>
      <c r="G537" t="s">
        <v>67</v>
      </c>
      <c r="H537" t="s">
        <v>30</v>
      </c>
      <c r="I537" t="s">
        <v>30</v>
      </c>
      <c r="J537" t="s">
        <v>41</v>
      </c>
      <c r="K537" t="s">
        <v>32</v>
      </c>
      <c r="L537" t="s">
        <v>32</v>
      </c>
      <c r="M537" t="s">
        <v>176</v>
      </c>
      <c r="N537" t="s">
        <v>176</v>
      </c>
      <c r="O537" t="s">
        <v>176</v>
      </c>
      <c r="P537" t="s">
        <v>34</v>
      </c>
      <c r="Q537" t="s">
        <v>35</v>
      </c>
      <c r="S537" t="s">
        <v>30</v>
      </c>
      <c r="T537" t="s">
        <v>544</v>
      </c>
      <c r="U537" t="s">
        <v>548</v>
      </c>
      <c r="V537" t="s">
        <v>40</v>
      </c>
      <c r="W537" s="1">
        <v>1109030</v>
      </c>
    </row>
    <row r="538" spans="1:23" x14ac:dyDescent="0.2">
      <c r="A538" t="s">
        <v>23</v>
      </c>
      <c r="B538" t="s">
        <v>24</v>
      </c>
      <c r="C538" t="s">
        <v>25</v>
      </c>
      <c r="D538" t="s">
        <v>454</v>
      </c>
      <c r="E538" t="s">
        <v>508</v>
      </c>
      <c r="F538" t="s">
        <v>509</v>
      </c>
      <c r="G538" t="s">
        <v>67</v>
      </c>
      <c r="H538" t="s">
        <v>30</v>
      </c>
      <c r="I538" t="s">
        <v>30</v>
      </c>
      <c r="J538" t="s">
        <v>57</v>
      </c>
      <c r="K538" t="s">
        <v>32</v>
      </c>
      <c r="L538" t="s">
        <v>32</v>
      </c>
      <c r="M538" t="s">
        <v>33</v>
      </c>
      <c r="N538" t="s">
        <v>33</v>
      </c>
      <c r="O538" t="s">
        <v>33</v>
      </c>
      <c r="P538" t="s">
        <v>213</v>
      </c>
      <c r="Q538" t="s">
        <v>214</v>
      </c>
      <c r="S538" t="s">
        <v>30</v>
      </c>
      <c r="T538" t="s">
        <v>549</v>
      </c>
      <c r="U538" t="s">
        <v>550</v>
      </c>
      <c r="V538" t="s">
        <v>39</v>
      </c>
      <c r="W538" s="1">
        <v>2</v>
      </c>
    </row>
    <row r="539" spans="1:23" x14ac:dyDescent="0.2">
      <c r="A539" t="s">
        <v>23</v>
      </c>
      <c r="B539" t="s">
        <v>24</v>
      </c>
      <c r="C539" t="s">
        <v>25</v>
      </c>
      <c r="D539" t="s">
        <v>454</v>
      </c>
      <c r="E539" t="s">
        <v>508</v>
      </c>
      <c r="F539" t="s">
        <v>509</v>
      </c>
      <c r="G539" t="s">
        <v>67</v>
      </c>
      <c r="H539" t="s">
        <v>30</v>
      </c>
      <c r="I539" t="s">
        <v>30</v>
      </c>
      <c r="J539" t="s">
        <v>57</v>
      </c>
      <c r="K539" t="s">
        <v>32</v>
      </c>
      <c r="L539" t="s">
        <v>32</v>
      </c>
      <c r="M539" t="s">
        <v>33</v>
      </c>
      <c r="N539" t="s">
        <v>33</v>
      </c>
      <c r="O539" t="s">
        <v>33</v>
      </c>
      <c r="P539" t="s">
        <v>213</v>
      </c>
      <c r="Q539" t="s">
        <v>214</v>
      </c>
      <c r="S539" t="s">
        <v>30</v>
      </c>
      <c r="T539" t="s">
        <v>549</v>
      </c>
      <c r="U539" t="s">
        <v>550</v>
      </c>
      <c r="V539" t="s">
        <v>40</v>
      </c>
      <c r="W539" s="1">
        <v>3599800</v>
      </c>
    </row>
    <row r="540" spans="1:23" x14ac:dyDescent="0.2">
      <c r="A540" t="s">
        <v>23</v>
      </c>
      <c r="B540" t="s">
        <v>24</v>
      </c>
      <c r="C540" t="s">
        <v>25</v>
      </c>
      <c r="D540" t="s">
        <v>454</v>
      </c>
      <c r="E540" t="s">
        <v>508</v>
      </c>
      <c r="F540" t="s">
        <v>509</v>
      </c>
      <c r="G540" t="s">
        <v>67</v>
      </c>
      <c r="H540" t="s">
        <v>30</v>
      </c>
      <c r="I540" t="s">
        <v>30</v>
      </c>
      <c r="J540" t="s">
        <v>57</v>
      </c>
      <c r="K540" t="s">
        <v>32</v>
      </c>
      <c r="L540" t="s">
        <v>32</v>
      </c>
      <c r="M540" t="s">
        <v>33</v>
      </c>
      <c r="N540" t="s">
        <v>33</v>
      </c>
      <c r="O540" t="s">
        <v>33</v>
      </c>
      <c r="P540" t="s">
        <v>34</v>
      </c>
      <c r="Q540" t="s">
        <v>35</v>
      </c>
      <c r="S540" t="s">
        <v>30</v>
      </c>
      <c r="T540" t="s">
        <v>551</v>
      </c>
      <c r="U540" t="s">
        <v>552</v>
      </c>
      <c r="V540" t="s">
        <v>39</v>
      </c>
      <c r="W540" s="1">
        <v>2</v>
      </c>
    </row>
    <row r="541" spans="1:23" x14ac:dyDescent="0.2">
      <c r="A541" t="s">
        <v>23</v>
      </c>
      <c r="B541" t="s">
        <v>24</v>
      </c>
      <c r="C541" t="s">
        <v>25</v>
      </c>
      <c r="D541" t="s">
        <v>454</v>
      </c>
      <c r="E541" t="s">
        <v>508</v>
      </c>
      <c r="F541" t="s">
        <v>509</v>
      </c>
      <c r="G541" t="s">
        <v>67</v>
      </c>
      <c r="H541" t="s">
        <v>30</v>
      </c>
      <c r="I541" t="s">
        <v>30</v>
      </c>
      <c r="J541" t="s">
        <v>57</v>
      </c>
      <c r="K541" t="s">
        <v>32</v>
      </c>
      <c r="L541" t="s">
        <v>32</v>
      </c>
      <c r="M541" t="s">
        <v>33</v>
      </c>
      <c r="N541" t="s">
        <v>33</v>
      </c>
      <c r="O541" t="s">
        <v>33</v>
      </c>
      <c r="P541" t="s">
        <v>34</v>
      </c>
      <c r="Q541" t="s">
        <v>35</v>
      </c>
      <c r="S541" t="s">
        <v>30</v>
      </c>
      <c r="T541" t="s">
        <v>551</v>
      </c>
      <c r="U541" t="s">
        <v>552</v>
      </c>
      <c r="V541" t="s">
        <v>40</v>
      </c>
      <c r="W541" s="1">
        <v>3339800</v>
      </c>
    </row>
    <row r="542" spans="1:23" x14ac:dyDescent="0.2">
      <c r="A542" t="s">
        <v>23</v>
      </c>
      <c r="B542" t="s">
        <v>24</v>
      </c>
      <c r="C542" t="s">
        <v>25</v>
      </c>
      <c r="D542" t="s">
        <v>454</v>
      </c>
      <c r="E542" t="s">
        <v>508</v>
      </c>
      <c r="F542" t="s">
        <v>509</v>
      </c>
      <c r="G542" t="s">
        <v>89</v>
      </c>
      <c r="H542" t="s">
        <v>30</v>
      </c>
      <c r="I542" t="s">
        <v>30</v>
      </c>
      <c r="J542" t="s">
        <v>31</v>
      </c>
      <c r="K542" t="s">
        <v>32</v>
      </c>
      <c r="L542" t="s">
        <v>32</v>
      </c>
      <c r="M542" t="s">
        <v>33</v>
      </c>
      <c r="N542" t="s">
        <v>33</v>
      </c>
      <c r="O542" t="s">
        <v>33</v>
      </c>
      <c r="P542" t="s">
        <v>34</v>
      </c>
      <c r="Q542" t="s">
        <v>35</v>
      </c>
      <c r="S542" t="s">
        <v>30</v>
      </c>
      <c r="T542" t="s">
        <v>553</v>
      </c>
      <c r="U542" t="s">
        <v>554</v>
      </c>
      <c r="V542" t="s">
        <v>39</v>
      </c>
      <c r="W542" s="1">
        <v>2</v>
      </c>
    </row>
    <row r="543" spans="1:23" x14ac:dyDescent="0.2">
      <c r="A543" t="s">
        <v>23</v>
      </c>
      <c r="B543" t="s">
        <v>24</v>
      </c>
      <c r="C543" t="s">
        <v>25</v>
      </c>
      <c r="D543" t="s">
        <v>454</v>
      </c>
      <c r="E543" t="s">
        <v>508</v>
      </c>
      <c r="F543" t="s">
        <v>509</v>
      </c>
      <c r="G543" t="s">
        <v>89</v>
      </c>
      <c r="H543" t="s">
        <v>30</v>
      </c>
      <c r="I543" t="s">
        <v>30</v>
      </c>
      <c r="J543" t="s">
        <v>31</v>
      </c>
      <c r="K543" t="s">
        <v>32</v>
      </c>
      <c r="L543" t="s">
        <v>32</v>
      </c>
      <c r="M543" t="s">
        <v>33</v>
      </c>
      <c r="N543" t="s">
        <v>33</v>
      </c>
      <c r="O543" t="s">
        <v>33</v>
      </c>
      <c r="P543" t="s">
        <v>34</v>
      </c>
      <c r="Q543" t="s">
        <v>35</v>
      </c>
      <c r="S543" t="s">
        <v>30</v>
      </c>
      <c r="T543" t="s">
        <v>553</v>
      </c>
      <c r="U543" t="s">
        <v>554</v>
      </c>
      <c r="V543" t="s">
        <v>40</v>
      </c>
      <c r="W543" s="1">
        <v>1940200</v>
      </c>
    </row>
    <row r="544" spans="1:23" x14ac:dyDescent="0.2">
      <c r="A544" t="s">
        <v>23</v>
      </c>
      <c r="B544" t="s">
        <v>24</v>
      </c>
      <c r="C544" t="s">
        <v>25</v>
      </c>
      <c r="D544" t="s">
        <v>454</v>
      </c>
      <c r="E544" t="s">
        <v>508</v>
      </c>
      <c r="F544" t="s">
        <v>509</v>
      </c>
      <c r="G544" t="s">
        <v>89</v>
      </c>
      <c r="H544" t="s">
        <v>30</v>
      </c>
      <c r="I544" t="s">
        <v>30</v>
      </c>
      <c r="J544" t="s">
        <v>41</v>
      </c>
      <c r="K544" t="s">
        <v>32</v>
      </c>
      <c r="L544" t="s">
        <v>32</v>
      </c>
      <c r="M544" t="s">
        <v>33</v>
      </c>
      <c r="P544" t="s">
        <v>34</v>
      </c>
      <c r="Q544" t="s">
        <v>35</v>
      </c>
      <c r="R544" t="s">
        <v>162</v>
      </c>
      <c r="S544" t="s">
        <v>52</v>
      </c>
      <c r="T544" t="s">
        <v>546</v>
      </c>
      <c r="U544" t="s">
        <v>547</v>
      </c>
      <c r="V544" t="s">
        <v>39</v>
      </c>
      <c r="W544" s="1">
        <v>0</v>
      </c>
    </row>
    <row r="545" spans="1:23" x14ac:dyDescent="0.2">
      <c r="A545" t="s">
        <v>23</v>
      </c>
      <c r="B545" t="s">
        <v>24</v>
      </c>
      <c r="C545" t="s">
        <v>25</v>
      </c>
      <c r="D545" t="s">
        <v>454</v>
      </c>
      <c r="E545" t="s">
        <v>508</v>
      </c>
      <c r="F545" t="s">
        <v>509</v>
      </c>
      <c r="G545" t="s">
        <v>89</v>
      </c>
      <c r="H545" t="s">
        <v>30</v>
      </c>
      <c r="I545" t="s">
        <v>30</v>
      </c>
      <c r="J545" t="s">
        <v>41</v>
      </c>
      <c r="K545" t="s">
        <v>32</v>
      </c>
      <c r="L545" t="s">
        <v>32</v>
      </c>
      <c r="M545" t="s">
        <v>33</v>
      </c>
      <c r="P545" t="s">
        <v>34</v>
      </c>
      <c r="Q545" t="s">
        <v>35</v>
      </c>
      <c r="R545" t="s">
        <v>162</v>
      </c>
      <c r="S545" t="s">
        <v>52</v>
      </c>
      <c r="T545" t="s">
        <v>546</v>
      </c>
      <c r="U545" t="s">
        <v>547</v>
      </c>
      <c r="V545" t="s">
        <v>40</v>
      </c>
      <c r="W545" s="1">
        <v>3985800</v>
      </c>
    </row>
    <row r="546" spans="1:23" x14ac:dyDescent="0.2">
      <c r="A546" t="s">
        <v>23</v>
      </c>
      <c r="B546" t="s">
        <v>24</v>
      </c>
      <c r="C546" t="s">
        <v>25</v>
      </c>
      <c r="D546" t="s">
        <v>454</v>
      </c>
      <c r="E546" t="s">
        <v>508</v>
      </c>
      <c r="F546" t="s">
        <v>509</v>
      </c>
      <c r="G546" t="s">
        <v>89</v>
      </c>
      <c r="H546" t="s">
        <v>30</v>
      </c>
      <c r="I546" t="s">
        <v>30</v>
      </c>
      <c r="J546" t="s">
        <v>41</v>
      </c>
      <c r="K546" t="s">
        <v>32</v>
      </c>
      <c r="L546" t="s">
        <v>32</v>
      </c>
      <c r="M546" t="s">
        <v>33</v>
      </c>
      <c r="P546" t="s">
        <v>34</v>
      </c>
      <c r="Q546" t="s">
        <v>35</v>
      </c>
      <c r="S546" t="s">
        <v>52</v>
      </c>
      <c r="T546" t="s">
        <v>555</v>
      </c>
      <c r="U546" t="s">
        <v>556</v>
      </c>
      <c r="V546" t="s">
        <v>39</v>
      </c>
      <c r="W546" s="1">
        <v>0</v>
      </c>
    </row>
    <row r="547" spans="1:23" x14ac:dyDescent="0.2">
      <c r="A547" t="s">
        <v>23</v>
      </c>
      <c r="B547" t="s">
        <v>24</v>
      </c>
      <c r="C547" t="s">
        <v>25</v>
      </c>
      <c r="D547" t="s">
        <v>454</v>
      </c>
      <c r="E547" t="s">
        <v>508</v>
      </c>
      <c r="F547" t="s">
        <v>509</v>
      </c>
      <c r="G547" t="s">
        <v>89</v>
      </c>
      <c r="H547" t="s">
        <v>30</v>
      </c>
      <c r="I547" t="s">
        <v>30</v>
      </c>
      <c r="J547" t="s">
        <v>41</v>
      </c>
      <c r="K547" t="s">
        <v>32</v>
      </c>
      <c r="L547" t="s">
        <v>32</v>
      </c>
      <c r="M547" t="s">
        <v>33</v>
      </c>
      <c r="P547" t="s">
        <v>34</v>
      </c>
      <c r="Q547" t="s">
        <v>35</v>
      </c>
      <c r="S547" t="s">
        <v>52</v>
      </c>
      <c r="T547" t="s">
        <v>555</v>
      </c>
      <c r="U547" t="s">
        <v>556</v>
      </c>
      <c r="V547" t="s">
        <v>40</v>
      </c>
      <c r="W547" s="1">
        <v>2204400</v>
      </c>
    </row>
    <row r="548" spans="1:23" x14ac:dyDescent="0.2">
      <c r="A548" t="s">
        <v>23</v>
      </c>
      <c r="B548" t="s">
        <v>24</v>
      </c>
      <c r="C548" t="s">
        <v>25</v>
      </c>
      <c r="D548" t="s">
        <v>454</v>
      </c>
      <c r="E548" t="s">
        <v>508</v>
      </c>
      <c r="F548" t="s">
        <v>509</v>
      </c>
      <c r="G548" t="s">
        <v>106</v>
      </c>
      <c r="H548" t="s">
        <v>30</v>
      </c>
      <c r="I548" t="s">
        <v>30</v>
      </c>
      <c r="J548" t="s">
        <v>31</v>
      </c>
      <c r="K548" t="s">
        <v>32</v>
      </c>
      <c r="L548" t="s">
        <v>32</v>
      </c>
      <c r="M548" t="s">
        <v>33</v>
      </c>
      <c r="P548" t="s">
        <v>34</v>
      </c>
      <c r="Q548" t="s">
        <v>35</v>
      </c>
      <c r="R548" t="s">
        <v>36</v>
      </c>
      <c r="S548" t="s">
        <v>30</v>
      </c>
      <c r="T548" t="s">
        <v>557</v>
      </c>
      <c r="U548" t="s">
        <v>558</v>
      </c>
      <c r="V548" t="s">
        <v>39</v>
      </c>
      <c r="W548" s="1">
        <v>2</v>
      </c>
    </row>
    <row r="549" spans="1:23" x14ac:dyDescent="0.2">
      <c r="A549" t="s">
        <v>23</v>
      </c>
      <c r="B549" t="s">
        <v>24</v>
      </c>
      <c r="C549" t="s">
        <v>25</v>
      </c>
      <c r="D549" t="s">
        <v>454</v>
      </c>
      <c r="E549" t="s">
        <v>508</v>
      </c>
      <c r="F549" t="s">
        <v>509</v>
      </c>
      <c r="G549" t="s">
        <v>106</v>
      </c>
      <c r="H549" t="s">
        <v>30</v>
      </c>
      <c r="I549" t="s">
        <v>30</v>
      </c>
      <c r="J549" t="s">
        <v>31</v>
      </c>
      <c r="K549" t="s">
        <v>32</v>
      </c>
      <c r="L549" t="s">
        <v>32</v>
      </c>
      <c r="M549" t="s">
        <v>33</v>
      </c>
      <c r="P549" t="s">
        <v>34</v>
      </c>
      <c r="Q549" t="s">
        <v>35</v>
      </c>
      <c r="R549" t="s">
        <v>36</v>
      </c>
      <c r="S549" t="s">
        <v>30</v>
      </c>
      <c r="T549" t="s">
        <v>557</v>
      </c>
      <c r="U549" t="s">
        <v>558</v>
      </c>
      <c r="V549" t="s">
        <v>40</v>
      </c>
      <c r="W549" s="1">
        <v>2115400</v>
      </c>
    </row>
    <row r="550" spans="1:23" x14ac:dyDescent="0.2">
      <c r="A550" t="s">
        <v>23</v>
      </c>
      <c r="B550" t="s">
        <v>24</v>
      </c>
      <c r="C550" t="s">
        <v>25</v>
      </c>
      <c r="D550" t="s">
        <v>454</v>
      </c>
      <c r="E550" t="s">
        <v>508</v>
      </c>
      <c r="F550" t="s">
        <v>509</v>
      </c>
      <c r="G550" t="s">
        <v>119</v>
      </c>
      <c r="H550" t="s">
        <v>30</v>
      </c>
      <c r="I550" t="s">
        <v>52</v>
      </c>
      <c r="J550" t="s">
        <v>31</v>
      </c>
      <c r="K550" t="s">
        <v>32</v>
      </c>
      <c r="L550" t="s">
        <v>32</v>
      </c>
      <c r="M550" t="s">
        <v>33</v>
      </c>
      <c r="N550" t="s">
        <v>33</v>
      </c>
      <c r="O550" t="s">
        <v>33</v>
      </c>
      <c r="P550" t="s">
        <v>42</v>
      </c>
      <c r="Q550" t="s">
        <v>43</v>
      </c>
      <c r="R550" t="s">
        <v>228</v>
      </c>
      <c r="S550" t="s">
        <v>30</v>
      </c>
      <c r="T550" t="s">
        <v>559</v>
      </c>
      <c r="U550" t="s">
        <v>560</v>
      </c>
      <c r="V550" t="s">
        <v>39</v>
      </c>
      <c r="W550" s="1">
        <v>4</v>
      </c>
    </row>
    <row r="551" spans="1:23" x14ac:dyDescent="0.2">
      <c r="A551" t="s">
        <v>23</v>
      </c>
      <c r="B551" t="s">
        <v>24</v>
      </c>
      <c r="C551" t="s">
        <v>25</v>
      </c>
      <c r="D551" t="s">
        <v>454</v>
      </c>
      <c r="E551" t="s">
        <v>508</v>
      </c>
      <c r="F551" t="s">
        <v>509</v>
      </c>
      <c r="G551" t="s">
        <v>119</v>
      </c>
      <c r="H551" t="s">
        <v>30</v>
      </c>
      <c r="I551" t="s">
        <v>52</v>
      </c>
      <c r="J551" t="s">
        <v>31</v>
      </c>
      <c r="K551" t="s">
        <v>32</v>
      </c>
      <c r="L551" t="s">
        <v>32</v>
      </c>
      <c r="M551" t="s">
        <v>33</v>
      </c>
      <c r="N551" t="s">
        <v>33</v>
      </c>
      <c r="O551" t="s">
        <v>33</v>
      </c>
      <c r="P551" t="s">
        <v>42</v>
      </c>
      <c r="Q551" t="s">
        <v>43</v>
      </c>
      <c r="R551" t="s">
        <v>228</v>
      </c>
      <c r="S551" t="s">
        <v>30</v>
      </c>
      <c r="T551" t="s">
        <v>559</v>
      </c>
      <c r="U551" t="s">
        <v>560</v>
      </c>
      <c r="V551" t="s">
        <v>40</v>
      </c>
      <c r="W551" s="1">
        <v>908000</v>
      </c>
    </row>
    <row r="552" spans="1:23" x14ac:dyDescent="0.2">
      <c r="A552" t="s">
        <v>23</v>
      </c>
      <c r="B552" t="s">
        <v>24</v>
      </c>
      <c r="C552" t="s">
        <v>25</v>
      </c>
      <c r="D552" t="s">
        <v>454</v>
      </c>
      <c r="E552" t="s">
        <v>508</v>
      </c>
      <c r="F552" t="s">
        <v>509</v>
      </c>
      <c r="G552" t="s">
        <v>119</v>
      </c>
      <c r="H552" t="s">
        <v>30</v>
      </c>
      <c r="I552" t="s">
        <v>52</v>
      </c>
      <c r="J552" t="s">
        <v>31</v>
      </c>
      <c r="K552" t="s">
        <v>32</v>
      </c>
      <c r="L552" t="s">
        <v>32</v>
      </c>
      <c r="M552" t="s">
        <v>33</v>
      </c>
      <c r="N552" t="s">
        <v>33</v>
      </c>
      <c r="O552" t="s">
        <v>33</v>
      </c>
      <c r="P552" t="s">
        <v>42</v>
      </c>
      <c r="Q552" t="s">
        <v>43</v>
      </c>
      <c r="R552" t="s">
        <v>228</v>
      </c>
      <c r="S552" t="s">
        <v>30</v>
      </c>
      <c r="T552" t="s">
        <v>559</v>
      </c>
      <c r="U552" t="s">
        <v>561</v>
      </c>
      <c r="V552" t="s">
        <v>39</v>
      </c>
      <c r="W552" s="1">
        <v>3</v>
      </c>
    </row>
    <row r="553" spans="1:23" x14ac:dyDescent="0.2">
      <c r="A553" t="s">
        <v>23</v>
      </c>
      <c r="B553" t="s">
        <v>24</v>
      </c>
      <c r="C553" t="s">
        <v>25</v>
      </c>
      <c r="D553" t="s">
        <v>454</v>
      </c>
      <c r="E553" t="s">
        <v>508</v>
      </c>
      <c r="F553" t="s">
        <v>509</v>
      </c>
      <c r="G553" t="s">
        <v>119</v>
      </c>
      <c r="H553" t="s">
        <v>30</v>
      </c>
      <c r="I553" t="s">
        <v>52</v>
      </c>
      <c r="J553" t="s">
        <v>31</v>
      </c>
      <c r="K553" t="s">
        <v>32</v>
      </c>
      <c r="L553" t="s">
        <v>32</v>
      </c>
      <c r="M553" t="s">
        <v>33</v>
      </c>
      <c r="N553" t="s">
        <v>33</v>
      </c>
      <c r="O553" t="s">
        <v>33</v>
      </c>
      <c r="P553" t="s">
        <v>42</v>
      </c>
      <c r="Q553" t="s">
        <v>43</v>
      </c>
      <c r="R553" t="s">
        <v>228</v>
      </c>
      <c r="S553" t="s">
        <v>30</v>
      </c>
      <c r="T553" t="s">
        <v>559</v>
      </c>
      <c r="U553" t="s">
        <v>561</v>
      </c>
      <c r="V553" t="s">
        <v>40</v>
      </c>
      <c r="W553" s="1">
        <v>651000</v>
      </c>
    </row>
    <row r="554" spans="1:23" x14ac:dyDescent="0.2">
      <c r="A554" t="s">
        <v>23</v>
      </c>
      <c r="B554" t="s">
        <v>24</v>
      </c>
      <c r="C554" t="s">
        <v>25</v>
      </c>
      <c r="D554" t="s">
        <v>454</v>
      </c>
      <c r="E554" t="s">
        <v>508</v>
      </c>
      <c r="F554" t="s">
        <v>509</v>
      </c>
      <c r="G554" t="s">
        <v>119</v>
      </c>
      <c r="H554" t="s">
        <v>30</v>
      </c>
      <c r="I554" t="s">
        <v>52</v>
      </c>
      <c r="J554" t="s">
        <v>31</v>
      </c>
      <c r="K554" t="s">
        <v>32</v>
      </c>
      <c r="L554" t="s">
        <v>32</v>
      </c>
      <c r="M554" t="s">
        <v>33</v>
      </c>
      <c r="P554" t="s">
        <v>42</v>
      </c>
      <c r="Q554" t="s">
        <v>43</v>
      </c>
      <c r="R554" t="s">
        <v>228</v>
      </c>
      <c r="S554" t="s">
        <v>52</v>
      </c>
      <c r="T554" t="s">
        <v>559</v>
      </c>
      <c r="U554" t="s">
        <v>562</v>
      </c>
      <c r="V554" t="s">
        <v>39</v>
      </c>
      <c r="W554" s="1">
        <v>0</v>
      </c>
    </row>
    <row r="555" spans="1:23" x14ac:dyDescent="0.2">
      <c r="A555" t="s">
        <v>23</v>
      </c>
      <c r="B555" t="s">
        <v>24</v>
      </c>
      <c r="C555" t="s">
        <v>25</v>
      </c>
      <c r="D555" t="s">
        <v>454</v>
      </c>
      <c r="E555" t="s">
        <v>508</v>
      </c>
      <c r="F555" t="s">
        <v>509</v>
      </c>
      <c r="G555" t="s">
        <v>119</v>
      </c>
      <c r="H555" t="s">
        <v>30</v>
      </c>
      <c r="I555" t="s">
        <v>52</v>
      </c>
      <c r="J555" t="s">
        <v>31</v>
      </c>
      <c r="K555" t="s">
        <v>32</v>
      </c>
      <c r="L555" t="s">
        <v>32</v>
      </c>
      <c r="M555" t="s">
        <v>33</v>
      </c>
      <c r="P555" t="s">
        <v>42</v>
      </c>
      <c r="Q555" t="s">
        <v>43</v>
      </c>
      <c r="R555" t="s">
        <v>228</v>
      </c>
      <c r="S555" t="s">
        <v>52</v>
      </c>
      <c r="T555" t="s">
        <v>559</v>
      </c>
      <c r="U555" t="s">
        <v>562</v>
      </c>
      <c r="V555" t="s">
        <v>40</v>
      </c>
      <c r="W555" s="1">
        <v>227000</v>
      </c>
    </row>
    <row r="556" spans="1:23" x14ac:dyDescent="0.2">
      <c r="A556" t="s">
        <v>23</v>
      </c>
      <c r="B556" t="s">
        <v>24</v>
      </c>
      <c r="C556" t="s">
        <v>25</v>
      </c>
      <c r="D556" t="s">
        <v>454</v>
      </c>
      <c r="E556" t="s">
        <v>508</v>
      </c>
      <c r="F556" t="s">
        <v>509</v>
      </c>
      <c r="G556" t="s">
        <v>119</v>
      </c>
      <c r="H556" t="s">
        <v>30</v>
      </c>
      <c r="I556" t="s">
        <v>52</v>
      </c>
      <c r="J556" t="s">
        <v>41</v>
      </c>
      <c r="K556" t="s">
        <v>32</v>
      </c>
      <c r="L556" t="s">
        <v>32</v>
      </c>
      <c r="M556" t="s">
        <v>33</v>
      </c>
      <c r="P556" t="s">
        <v>34</v>
      </c>
      <c r="Q556" t="s">
        <v>35</v>
      </c>
      <c r="R556" t="s">
        <v>54</v>
      </c>
      <c r="S556" t="s">
        <v>52</v>
      </c>
      <c r="T556" t="s">
        <v>563</v>
      </c>
      <c r="U556" t="s">
        <v>564</v>
      </c>
      <c r="V556" t="s">
        <v>39</v>
      </c>
      <c r="W556" s="1">
        <v>0</v>
      </c>
    </row>
    <row r="557" spans="1:23" x14ac:dyDescent="0.2">
      <c r="A557" t="s">
        <v>23</v>
      </c>
      <c r="B557" t="s">
        <v>24</v>
      </c>
      <c r="C557" t="s">
        <v>25</v>
      </c>
      <c r="D557" t="s">
        <v>454</v>
      </c>
      <c r="E557" t="s">
        <v>508</v>
      </c>
      <c r="F557" t="s">
        <v>509</v>
      </c>
      <c r="G557" t="s">
        <v>119</v>
      </c>
      <c r="H557" t="s">
        <v>30</v>
      </c>
      <c r="I557" t="s">
        <v>52</v>
      </c>
      <c r="J557" t="s">
        <v>41</v>
      </c>
      <c r="K557" t="s">
        <v>32</v>
      </c>
      <c r="L557" t="s">
        <v>32</v>
      </c>
      <c r="M557" t="s">
        <v>33</v>
      </c>
      <c r="P557" t="s">
        <v>34</v>
      </c>
      <c r="Q557" t="s">
        <v>35</v>
      </c>
      <c r="R557" t="s">
        <v>54</v>
      </c>
      <c r="S557" t="s">
        <v>52</v>
      </c>
      <c r="T557" t="s">
        <v>563</v>
      </c>
      <c r="U557" t="s">
        <v>564</v>
      </c>
      <c r="V557" t="s">
        <v>40</v>
      </c>
      <c r="W557" s="1">
        <v>3270000</v>
      </c>
    </row>
    <row r="558" spans="1:23" x14ac:dyDescent="0.2">
      <c r="A558" t="s">
        <v>23</v>
      </c>
      <c r="B558" t="s">
        <v>24</v>
      </c>
      <c r="C558" t="s">
        <v>25</v>
      </c>
      <c r="D558" t="s">
        <v>454</v>
      </c>
      <c r="E558" t="s">
        <v>508</v>
      </c>
      <c r="F558" t="s">
        <v>509</v>
      </c>
      <c r="G558" t="s">
        <v>127</v>
      </c>
      <c r="H558" t="s">
        <v>52</v>
      </c>
      <c r="I558" t="s">
        <v>30</v>
      </c>
      <c r="J558" t="s">
        <v>31</v>
      </c>
      <c r="K558" t="s">
        <v>32</v>
      </c>
      <c r="L558" t="s">
        <v>32</v>
      </c>
      <c r="M558" t="s">
        <v>33</v>
      </c>
      <c r="N558" t="s">
        <v>33</v>
      </c>
      <c r="O558" t="s">
        <v>33</v>
      </c>
      <c r="P558" t="s">
        <v>34</v>
      </c>
      <c r="Q558" t="s">
        <v>35</v>
      </c>
      <c r="S558" t="s">
        <v>30</v>
      </c>
      <c r="T558" t="s">
        <v>565</v>
      </c>
      <c r="U558" t="s">
        <v>566</v>
      </c>
      <c r="V558" t="s">
        <v>39</v>
      </c>
      <c r="W558" s="1">
        <v>1</v>
      </c>
    </row>
    <row r="559" spans="1:23" x14ac:dyDescent="0.2">
      <c r="A559" t="s">
        <v>23</v>
      </c>
      <c r="B559" t="s">
        <v>24</v>
      </c>
      <c r="C559" t="s">
        <v>25</v>
      </c>
      <c r="D559" t="s">
        <v>454</v>
      </c>
      <c r="E559" t="s">
        <v>508</v>
      </c>
      <c r="F559" t="s">
        <v>509</v>
      </c>
      <c r="G559" t="s">
        <v>127</v>
      </c>
      <c r="H559" t="s">
        <v>52</v>
      </c>
      <c r="I559" t="s">
        <v>30</v>
      </c>
      <c r="J559" t="s">
        <v>31</v>
      </c>
      <c r="K559" t="s">
        <v>32</v>
      </c>
      <c r="L559" t="s">
        <v>32</v>
      </c>
      <c r="M559" t="s">
        <v>33</v>
      </c>
      <c r="N559" t="s">
        <v>33</v>
      </c>
      <c r="O559" t="s">
        <v>33</v>
      </c>
      <c r="P559" t="s">
        <v>34</v>
      </c>
      <c r="Q559" t="s">
        <v>35</v>
      </c>
      <c r="S559" t="s">
        <v>30</v>
      </c>
      <c r="T559" t="s">
        <v>565</v>
      </c>
      <c r="U559" t="s">
        <v>566</v>
      </c>
      <c r="V559" t="s">
        <v>40</v>
      </c>
      <c r="W559" s="1">
        <v>999000</v>
      </c>
    </row>
    <row r="560" spans="1:23" x14ac:dyDescent="0.2">
      <c r="A560" t="s">
        <v>23</v>
      </c>
      <c r="B560" t="s">
        <v>24</v>
      </c>
      <c r="C560" t="s">
        <v>25</v>
      </c>
      <c r="D560" t="s">
        <v>454</v>
      </c>
      <c r="E560" t="s">
        <v>508</v>
      </c>
      <c r="F560" t="s">
        <v>509</v>
      </c>
      <c r="G560" t="s">
        <v>127</v>
      </c>
      <c r="H560" t="s">
        <v>52</v>
      </c>
      <c r="I560" t="s">
        <v>30</v>
      </c>
      <c r="J560" t="s">
        <v>31</v>
      </c>
      <c r="K560" t="s">
        <v>32</v>
      </c>
      <c r="L560" t="s">
        <v>32</v>
      </c>
      <c r="M560" t="s">
        <v>33</v>
      </c>
      <c r="P560" t="s">
        <v>34</v>
      </c>
      <c r="Q560" t="s">
        <v>35</v>
      </c>
      <c r="S560" t="s">
        <v>30</v>
      </c>
      <c r="T560" t="s">
        <v>565</v>
      </c>
      <c r="U560" t="s">
        <v>566</v>
      </c>
      <c r="V560" t="s">
        <v>39</v>
      </c>
      <c r="W560" s="1">
        <v>5</v>
      </c>
    </row>
    <row r="561" spans="1:23" x14ac:dyDescent="0.2">
      <c r="A561" t="s">
        <v>23</v>
      </c>
      <c r="B561" t="s">
        <v>24</v>
      </c>
      <c r="C561" t="s">
        <v>25</v>
      </c>
      <c r="D561" t="s">
        <v>454</v>
      </c>
      <c r="E561" t="s">
        <v>508</v>
      </c>
      <c r="F561" t="s">
        <v>509</v>
      </c>
      <c r="G561" t="s">
        <v>127</v>
      </c>
      <c r="H561" t="s">
        <v>52</v>
      </c>
      <c r="I561" t="s">
        <v>30</v>
      </c>
      <c r="J561" t="s">
        <v>31</v>
      </c>
      <c r="K561" t="s">
        <v>32</v>
      </c>
      <c r="L561" t="s">
        <v>32</v>
      </c>
      <c r="M561" t="s">
        <v>33</v>
      </c>
      <c r="P561" t="s">
        <v>34</v>
      </c>
      <c r="Q561" t="s">
        <v>35</v>
      </c>
      <c r="S561" t="s">
        <v>30</v>
      </c>
      <c r="T561" t="s">
        <v>565</v>
      </c>
      <c r="U561" t="s">
        <v>566</v>
      </c>
      <c r="V561" t="s">
        <v>40</v>
      </c>
      <c r="W561" s="1">
        <v>4995000</v>
      </c>
    </row>
    <row r="562" spans="1:23" x14ac:dyDescent="0.2">
      <c r="A562" t="s">
        <v>23</v>
      </c>
      <c r="B562" t="s">
        <v>24</v>
      </c>
      <c r="C562" t="s">
        <v>25</v>
      </c>
      <c r="D562" t="s">
        <v>454</v>
      </c>
      <c r="E562" t="s">
        <v>508</v>
      </c>
      <c r="F562" t="s">
        <v>509</v>
      </c>
      <c r="G562" t="s">
        <v>127</v>
      </c>
      <c r="H562" t="s">
        <v>52</v>
      </c>
      <c r="I562" t="s">
        <v>30</v>
      </c>
      <c r="J562" t="s">
        <v>41</v>
      </c>
      <c r="K562" t="s">
        <v>32</v>
      </c>
      <c r="L562" t="s">
        <v>32</v>
      </c>
      <c r="M562" t="s">
        <v>33</v>
      </c>
      <c r="N562" t="s">
        <v>33</v>
      </c>
      <c r="O562" t="s">
        <v>33</v>
      </c>
      <c r="P562" t="s">
        <v>213</v>
      </c>
      <c r="Q562" t="s">
        <v>214</v>
      </c>
      <c r="R562" t="s">
        <v>162</v>
      </c>
      <c r="S562" t="s">
        <v>30</v>
      </c>
      <c r="T562" t="s">
        <v>567</v>
      </c>
      <c r="U562" t="s">
        <v>568</v>
      </c>
      <c r="V562" t="s">
        <v>39</v>
      </c>
      <c r="W562" s="1">
        <v>4</v>
      </c>
    </row>
    <row r="563" spans="1:23" x14ac:dyDescent="0.2">
      <c r="A563" t="s">
        <v>23</v>
      </c>
      <c r="B563" t="s">
        <v>24</v>
      </c>
      <c r="C563" t="s">
        <v>25</v>
      </c>
      <c r="D563" t="s">
        <v>454</v>
      </c>
      <c r="E563" t="s">
        <v>508</v>
      </c>
      <c r="F563" t="s">
        <v>509</v>
      </c>
      <c r="G563" t="s">
        <v>127</v>
      </c>
      <c r="H563" t="s">
        <v>52</v>
      </c>
      <c r="I563" t="s">
        <v>30</v>
      </c>
      <c r="J563" t="s">
        <v>41</v>
      </c>
      <c r="K563" t="s">
        <v>32</v>
      </c>
      <c r="L563" t="s">
        <v>32</v>
      </c>
      <c r="M563" t="s">
        <v>33</v>
      </c>
      <c r="N563" t="s">
        <v>33</v>
      </c>
      <c r="O563" t="s">
        <v>33</v>
      </c>
      <c r="P563" t="s">
        <v>213</v>
      </c>
      <c r="Q563" t="s">
        <v>214</v>
      </c>
      <c r="R563" t="s">
        <v>162</v>
      </c>
      <c r="S563" t="s">
        <v>30</v>
      </c>
      <c r="T563" t="s">
        <v>567</v>
      </c>
      <c r="U563" t="s">
        <v>568</v>
      </c>
      <c r="V563" t="s">
        <v>40</v>
      </c>
      <c r="W563" s="1">
        <v>16620000</v>
      </c>
    </row>
    <row r="564" spans="1:23" x14ac:dyDescent="0.2">
      <c r="A564" t="s">
        <v>23</v>
      </c>
      <c r="B564" t="s">
        <v>24</v>
      </c>
      <c r="C564" t="s">
        <v>25</v>
      </c>
      <c r="D564" t="s">
        <v>454</v>
      </c>
      <c r="E564" t="s">
        <v>508</v>
      </c>
      <c r="F564" t="s">
        <v>509</v>
      </c>
      <c r="G564" t="s">
        <v>127</v>
      </c>
      <c r="H564" t="s">
        <v>52</v>
      </c>
      <c r="I564" t="s">
        <v>30</v>
      </c>
      <c r="J564" t="s">
        <v>41</v>
      </c>
      <c r="K564" t="s">
        <v>32</v>
      </c>
      <c r="L564" t="s">
        <v>32</v>
      </c>
      <c r="M564" t="s">
        <v>33</v>
      </c>
      <c r="N564" t="s">
        <v>33</v>
      </c>
      <c r="O564" t="s">
        <v>33</v>
      </c>
      <c r="P564" t="s">
        <v>213</v>
      </c>
      <c r="Q564" t="s">
        <v>214</v>
      </c>
      <c r="R564" t="s">
        <v>58</v>
      </c>
      <c r="S564" t="s">
        <v>30</v>
      </c>
      <c r="T564" t="s">
        <v>569</v>
      </c>
      <c r="U564" t="s">
        <v>570</v>
      </c>
      <c r="V564" t="s">
        <v>39</v>
      </c>
      <c r="W564" s="1">
        <v>2</v>
      </c>
    </row>
    <row r="565" spans="1:23" x14ac:dyDescent="0.2">
      <c r="A565" t="s">
        <v>23</v>
      </c>
      <c r="B565" t="s">
        <v>24</v>
      </c>
      <c r="C565" t="s">
        <v>25</v>
      </c>
      <c r="D565" t="s">
        <v>454</v>
      </c>
      <c r="E565" t="s">
        <v>508</v>
      </c>
      <c r="F565" t="s">
        <v>509</v>
      </c>
      <c r="G565" t="s">
        <v>127</v>
      </c>
      <c r="H565" t="s">
        <v>52</v>
      </c>
      <c r="I565" t="s">
        <v>30</v>
      </c>
      <c r="J565" t="s">
        <v>41</v>
      </c>
      <c r="K565" t="s">
        <v>32</v>
      </c>
      <c r="L565" t="s">
        <v>32</v>
      </c>
      <c r="M565" t="s">
        <v>33</v>
      </c>
      <c r="N565" t="s">
        <v>33</v>
      </c>
      <c r="O565" t="s">
        <v>33</v>
      </c>
      <c r="P565" t="s">
        <v>213</v>
      </c>
      <c r="Q565" t="s">
        <v>214</v>
      </c>
      <c r="R565" t="s">
        <v>58</v>
      </c>
      <c r="S565" t="s">
        <v>30</v>
      </c>
      <c r="T565" t="s">
        <v>569</v>
      </c>
      <c r="U565" t="s">
        <v>570</v>
      </c>
      <c r="V565" t="s">
        <v>40</v>
      </c>
      <c r="W565" s="1">
        <v>2299800</v>
      </c>
    </row>
    <row r="566" spans="1:23" x14ac:dyDescent="0.2">
      <c r="A566" t="s">
        <v>23</v>
      </c>
      <c r="B566" t="s">
        <v>24</v>
      </c>
      <c r="C566" t="s">
        <v>25</v>
      </c>
      <c r="D566" t="s">
        <v>454</v>
      </c>
      <c r="E566" t="s">
        <v>508</v>
      </c>
      <c r="F566" t="s">
        <v>509</v>
      </c>
      <c r="G566" t="s">
        <v>127</v>
      </c>
      <c r="H566" t="s">
        <v>52</v>
      </c>
      <c r="I566" t="s">
        <v>30</v>
      </c>
      <c r="J566" t="s">
        <v>41</v>
      </c>
      <c r="K566" t="s">
        <v>32</v>
      </c>
      <c r="L566" t="s">
        <v>32</v>
      </c>
      <c r="M566" t="s">
        <v>33</v>
      </c>
      <c r="N566" t="s">
        <v>33</v>
      </c>
      <c r="O566" t="s">
        <v>33</v>
      </c>
      <c r="P566" t="s">
        <v>213</v>
      </c>
      <c r="Q566" t="s">
        <v>214</v>
      </c>
      <c r="R566" t="s">
        <v>58</v>
      </c>
      <c r="S566" t="s">
        <v>30</v>
      </c>
      <c r="T566" t="s">
        <v>569</v>
      </c>
      <c r="U566" t="s">
        <v>571</v>
      </c>
      <c r="V566" t="s">
        <v>39</v>
      </c>
      <c r="W566" s="1">
        <v>2</v>
      </c>
    </row>
    <row r="567" spans="1:23" x14ac:dyDescent="0.2">
      <c r="A567" t="s">
        <v>23</v>
      </c>
      <c r="B567" t="s">
        <v>24</v>
      </c>
      <c r="C567" t="s">
        <v>25</v>
      </c>
      <c r="D567" t="s">
        <v>454</v>
      </c>
      <c r="E567" t="s">
        <v>508</v>
      </c>
      <c r="F567" t="s">
        <v>509</v>
      </c>
      <c r="G567" t="s">
        <v>127</v>
      </c>
      <c r="H567" t="s">
        <v>52</v>
      </c>
      <c r="I567" t="s">
        <v>30</v>
      </c>
      <c r="J567" t="s">
        <v>41</v>
      </c>
      <c r="K567" t="s">
        <v>32</v>
      </c>
      <c r="L567" t="s">
        <v>32</v>
      </c>
      <c r="M567" t="s">
        <v>33</v>
      </c>
      <c r="N567" t="s">
        <v>33</v>
      </c>
      <c r="O567" t="s">
        <v>33</v>
      </c>
      <c r="P567" t="s">
        <v>213</v>
      </c>
      <c r="Q567" t="s">
        <v>214</v>
      </c>
      <c r="R567" t="s">
        <v>58</v>
      </c>
      <c r="S567" t="s">
        <v>30</v>
      </c>
      <c r="T567" t="s">
        <v>569</v>
      </c>
      <c r="U567" t="s">
        <v>571</v>
      </c>
      <c r="V567" t="s">
        <v>40</v>
      </c>
      <c r="W567" s="1">
        <v>2299800</v>
      </c>
    </row>
    <row r="568" spans="1:23" x14ac:dyDescent="0.2">
      <c r="A568" t="s">
        <v>23</v>
      </c>
      <c r="B568" t="s">
        <v>24</v>
      </c>
      <c r="C568" t="s">
        <v>25</v>
      </c>
      <c r="D568" t="s">
        <v>454</v>
      </c>
      <c r="E568" t="s">
        <v>508</v>
      </c>
      <c r="F568" t="s">
        <v>509</v>
      </c>
      <c r="G568" t="s">
        <v>127</v>
      </c>
      <c r="H568" t="s">
        <v>52</v>
      </c>
      <c r="I568" t="s">
        <v>30</v>
      </c>
      <c r="J568" t="s">
        <v>41</v>
      </c>
      <c r="K568" t="s">
        <v>32</v>
      </c>
      <c r="L568" t="s">
        <v>32</v>
      </c>
      <c r="M568" t="s">
        <v>33</v>
      </c>
      <c r="N568" t="s">
        <v>169</v>
      </c>
      <c r="O568" t="s">
        <v>169</v>
      </c>
      <c r="P568" t="s">
        <v>213</v>
      </c>
      <c r="Q568" t="s">
        <v>214</v>
      </c>
      <c r="R568" t="s">
        <v>162</v>
      </c>
      <c r="S568" t="s">
        <v>30</v>
      </c>
      <c r="T568" t="s">
        <v>567</v>
      </c>
      <c r="U568" t="s">
        <v>568</v>
      </c>
      <c r="V568" t="s">
        <v>39</v>
      </c>
      <c r="W568" s="1">
        <v>1</v>
      </c>
    </row>
    <row r="569" spans="1:23" x14ac:dyDescent="0.2">
      <c r="A569" t="s">
        <v>23</v>
      </c>
      <c r="B569" t="s">
        <v>24</v>
      </c>
      <c r="C569" t="s">
        <v>25</v>
      </c>
      <c r="D569" t="s">
        <v>454</v>
      </c>
      <c r="E569" t="s">
        <v>508</v>
      </c>
      <c r="F569" t="s">
        <v>509</v>
      </c>
      <c r="G569" t="s">
        <v>127</v>
      </c>
      <c r="H569" t="s">
        <v>52</v>
      </c>
      <c r="I569" t="s">
        <v>30</v>
      </c>
      <c r="J569" t="s">
        <v>41</v>
      </c>
      <c r="K569" t="s">
        <v>32</v>
      </c>
      <c r="L569" t="s">
        <v>32</v>
      </c>
      <c r="M569" t="s">
        <v>33</v>
      </c>
      <c r="N569" t="s">
        <v>169</v>
      </c>
      <c r="O569" t="s">
        <v>169</v>
      </c>
      <c r="P569" t="s">
        <v>213</v>
      </c>
      <c r="Q569" t="s">
        <v>214</v>
      </c>
      <c r="R569" t="s">
        <v>162</v>
      </c>
      <c r="S569" t="s">
        <v>30</v>
      </c>
      <c r="T569" t="s">
        <v>567</v>
      </c>
      <c r="U569" t="s">
        <v>568</v>
      </c>
      <c r="V569" t="s">
        <v>40</v>
      </c>
      <c r="W569" s="1">
        <v>4155000</v>
      </c>
    </row>
    <row r="570" spans="1:23" x14ac:dyDescent="0.2">
      <c r="A570" t="s">
        <v>23</v>
      </c>
      <c r="B570" t="s">
        <v>24</v>
      </c>
      <c r="C570" t="s">
        <v>25</v>
      </c>
      <c r="D570" t="s">
        <v>454</v>
      </c>
      <c r="E570" t="s">
        <v>508</v>
      </c>
      <c r="F570" t="s">
        <v>509</v>
      </c>
      <c r="G570" t="s">
        <v>127</v>
      </c>
      <c r="H570" t="s">
        <v>52</v>
      </c>
      <c r="I570" t="s">
        <v>30</v>
      </c>
      <c r="J570" t="s">
        <v>41</v>
      </c>
      <c r="K570" t="s">
        <v>32</v>
      </c>
      <c r="L570" t="s">
        <v>32</v>
      </c>
      <c r="M570" t="s">
        <v>33</v>
      </c>
      <c r="P570" t="s">
        <v>213</v>
      </c>
      <c r="Q570" t="s">
        <v>214</v>
      </c>
      <c r="R570" t="s">
        <v>162</v>
      </c>
      <c r="S570" t="s">
        <v>52</v>
      </c>
      <c r="T570" t="s">
        <v>567</v>
      </c>
      <c r="U570" t="s">
        <v>568</v>
      </c>
      <c r="V570" t="s">
        <v>39</v>
      </c>
      <c r="W570" s="1">
        <v>0</v>
      </c>
    </row>
    <row r="571" spans="1:23" x14ac:dyDescent="0.2">
      <c r="A571" t="s">
        <v>23</v>
      </c>
      <c r="B571" t="s">
        <v>24</v>
      </c>
      <c r="C571" t="s">
        <v>25</v>
      </c>
      <c r="D571" t="s">
        <v>454</v>
      </c>
      <c r="E571" t="s">
        <v>508</v>
      </c>
      <c r="F571" t="s">
        <v>509</v>
      </c>
      <c r="G571" t="s">
        <v>127</v>
      </c>
      <c r="H571" t="s">
        <v>52</v>
      </c>
      <c r="I571" t="s">
        <v>30</v>
      </c>
      <c r="J571" t="s">
        <v>41</v>
      </c>
      <c r="K571" t="s">
        <v>32</v>
      </c>
      <c r="L571" t="s">
        <v>32</v>
      </c>
      <c r="M571" t="s">
        <v>33</v>
      </c>
      <c r="P571" t="s">
        <v>213</v>
      </c>
      <c r="Q571" t="s">
        <v>214</v>
      </c>
      <c r="R571" t="s">
        <v>162</v>
      </c>
      <c r="S571" t="s">
        <v>52</v>
      </c>
      <c r="T571" t="s">
        <v>567</v>
      </c>
      <c r="U571" t="s">
        <v>568</v>
      </c>
      <c r="V571" t="s">
        <v>40</v>
      </c>
      <c r="W571" s="1">
        <v>4155000</v>
      </c>
    </row>
    <row r="572" spans="1:23" x14ac:dyDescent="0.2">
      <c r="A572" t="s">
        <v>23</v>
      </c>
      <c r="B572" t="s">
        <v>24</v>
      </c>
      <c r="C572" t="s">
        <v>25</v>
      </c>
      <c r="D572" t="s">
        <v>454</v>
      </c>
      <c r="E572" t="s">
        <v>508</v>
      </c>
      <c r="F572" t="s">
        <v>509</v>
      </c>
      <c r="G572" t="s">
        <v>134</v>
      </c>
      <c r="H572" t="s">
        <v>52</v>
      </c>
      <c r="I572" t="s">
        <v>30</v>
      </c>
      <c r="J572" t="s">
        <v>31</v>
      </c>
      <c r="K572" t="s">
        <v>32</v>
      </c>
      <c r="L572" t="s">
        <v>32</v>
      </c>
      <c r="M572" t="s">
        <v>33</v>
      </c>
      <c r="N572" t="s">
        <v>33</v>
      </c>
      <c r="O572" t="s">
        <v>33</v>
      </c>
      <c r="P572" t="s">
        <v>34</v>
      </c>
      <c r="Q572" t="s">
        <v>35</v>
      </c>
      <c r="R572" t="s">
        <v>173</v>
      </c>
      <c r="S572" t="s">
        <v>30</v>
      </c>
      <c r="T572" t="s">
        <v>572</v>
      </c>
      <c r="U572" t="s">
        <v>573</v>
      </c>
      <c r="V572" t="s">
        <v>39</v>
      </c>
      <c r="W572" s="1">
        <v>1</v>
      </c>
    </row>
    <row r="573" spans="1:23" x14ac:dyDescent="0.2">
      <c r="A573" t="s">
        <v>23</v>
      </c>
      <c r="B573" t="s">
        <v>24</v>
      </c>
      <c r="C573" t="s">
        <v>25</v>
      </c>
      <c r="D573" t="s">
        <v>454</v>
      </c>
      <c r="E573" t="s">
        <v>508</v>
      </c>
      <c r="F573" t="s">
        <v>509</v>
      </c>
      <c r="G573" t="s">
        <v>134</v>
      </c>
      <c r="H573" t="s">
        <v>52</v>
      </c>
      <c r="I573" t="s">
        <v>30</v>
      </c>
      <c r="J573" t="s">
        <v>31</v>
      </c>
      <c r="K573" t="s">
        <v>32</v>
      </c>
      <c r="L573" t="s">
        <v>32</v>
      </c>
      <c r="M573" t="s">
        <v>33</v>
      </c>
      <c r="N573" t="s">
        <v>33</v>
      </c>
      <c r="O573" t="s">
        <v>33</v>
      </c>
      <c r="P573" t="s">
        <v>34</v>
      </c>
      <c r="Q573" t="s">
        <v>35</v>
      </c>
      <c r="R573" t="s">
        <v>173</v>
      </c>
      <c r="S573" t="s">
        <v>30</v>
      </c>
      <c r="T573" t="s">
        <v>572</v>
      </c>
      <c r="U573" t="s">
        <v>573</v>
      </c>
      <c r="V573" t="s">
        <v>40</v>
      </c>
      <c r="W573" s="1">
        <v>1469900</v>
      </c>
    </row>
    <row r="574" spans="1:23" x14ac:dyDescent="0.2">
      <c r="A574" t="s">
        <v>23</v>
      </c>
      <c r="B574" t="s">
        <v>24</v>
      </c>
      <c r="C574" t="s">
        <v>25</v>
      </c>
      <c r="D574" t="s">
        <v>454</v>
      </c>
      <c r="E574" t="s">
        <v>508</v>
      </c>
      <c r="F574" t="s">
        <v>509</v>
      </c>
      <c r="G574" t="s">
        <v>134</v>
      </c>
      <c r="H574" t="s">
        <v>52</v>
      </c>
      <c r="I574" t="s">
        <v>30</v>
      </c>
      <c r="J574" t="s">
        <v>31</v>
      </c>
      <c r="K574" t="s">
        <v>32</v>
      </c>
      <c r="L574" t="s">
        <v>32</v>
      </c>
      <c r="M574" t="s">
        <v>33</v>
      </c>
      <c r="N574" t="s">
        <v>176</v>
      </c>
      <c r="O574" t="s">
        <v>176</v>
      </c>
      <c r="P574" t="s">
        <v>34</v>
      </c>
      <c r="Q574" t="s">
        <v>35</v>
      </c>
      <c r="R574" t="s">
        <v>173</v>
      </c>
      <c r="S574" t="s">
        <v>30</v>
      </c>
      <c r="T574" t="s">
        <v>572</v>
      </c>
      <c r="U574" t="s">
        <v>573</v>
      </c>
      <c r="V574" t="s">
        <v>39</v>
      </c>
      <c r="W574" s="1">
        <v>1</v>
      </c>
    </row>
    <row r="575" spans="1:23" x14ac:dyDescent="0.2">
      <c r="A575" t="s">
        <v>23</v>
      </c>
      <c r="B575" t="s">
        <v>24</v>
      </c>
      <c r="C575" t="s">
        <v>25</v>
      </c>
      <c r="D575" t="s">
        <v>454</v>
      </c>
      <c r="E575" t="s">
        <v>508</v>
      </c>
      <c r="F575" t="s">
        <v>509</v>
      </c>
      <c r="G575" t="s">
        <v>134</v>
      </c>
      <c r="H575" t="s">
        <v>52</v>
      </c>
      <c r="I575" t="s">
        <v>30</v>
      </c>
      <c r="J575" t="s">
        <v>31</v>
      </c>
      <c r="K575" t="s">
        <v>32</v>
      </c>
      <c r="L575" t="s">
        <v>32</v>
      </c>
      <c r="M575" t="s">
        <v>33</v>
      </c>
      <c r="N575" t="s">
        <v>176</v>
      </c>
      <c r="O575" t="s">
        <v>176</v>
      </c>
      <c r="P575" t="s">
        <v>34</v>
      </c>
      <c r="Q575" t="s">
        <v>35</v>
      </c>
      <c r="R575" t="s">
        <v>173</v>
      </c>
      <c r="S575" t="s">
        <v>30</v>
      </c>
      <c r="T575" t="s">
        <v>572</v>
      </c>
      <c r="U575" t="s">
        <v>573</v>
      </c>
      <c r="V575" t="s">
        <v>40</v>
      </c>
      <c r="W575" s="1">
        <v>1469900</v>
      </c>
    </row>
    <row r="576" spans="1:23" x14ac:dyDescent="0.2">
      <c r="A576" t="s">
        <v>23</v>
      </c>
      <c r="B576" t="s">
        <v>24</v>
      </c>
      <c r="C576" t="s">
        <v>25</v>
      </c>
      <c r="D576" t="s">
        <v>454</v>
      </c>
      <c r="E576" t="s">
        <v>508</v>
      </c>
      <c r="F576" t="s">
        <v>509</v>
      </c>
      <c r="G576" t="s">
        <v>134</v>
      </c>
      <c r="H576" t="s">
        <v>52</v>
      </c>
      <c r="I576" t="s">
        <v>30</v>
      </c>
      <c r="J576" t="s">
        <v>31</v>
      </c>
      <c r="K576" t="s">
        <v>32</v>
      </c>
      <c r="L576" t="s">
        <v>32</v>
      </c>
      <c r="M576" t="s">
        <v>33</v>
      </c>
      <c r="N576" t="s">
        <v>169</v>
      </c>
      <c r="O576" t="s">
        <v>169</v>
      </c>
      <c r="P576" t="s">
        <v>34</v>
      </c>
      <c r="Q576" t="s">
        <v>35</v>
      </c>
      <c r="R576" t="s">
        <v>173</v>
      </c>
      <c r="S576" t="s">
        <v>30</v>
      </c>
      <c r="T576" t="s">
        <v>572</v>
      </c>
      <c r="U576" t="s">
        <v>573</v>
      </c>
      <c r="V576" t="s">
        <v>39</v>
      </c>
      <c r="W576" s="1">
        <v>1</v>
      </c>
    </row>
    <row r="577" spans="1:23" x14ac:dyDescent="0.2">
      <c r="A577" t="s">
        <v>23</v>
      </c>
      <c r="B577" t="s">
        <v>24</v>
      </c>
      <c r="C577" t="s">
        <v>25</v>
      </c>
      <c r="D577" t="s">
        <v>454</v>
      </c>
      <c r="E577" t="s">
        <v>508</v>
      </c>
      <c r="F577" t="s">
        <v>509</v>
      </c>
      <c r="G577" t="s">
        <v>134</v>
      </c>
      <c r="H577" t="s">
        <v>52</v>
      </c>
      <c r="I577" t="s">
        <v>30</v>
      </c>
      <c r="J577" t="s">
        <v>31</v>
      </c>
      <c r="K577" t="s">
        <v>32</v>
      </c>
      <c r="L577" t="s">
        <v>32</v>
      </c>
      <c r="M577" t="s">
        <v>33</v>
      </c>
      <c r="N577" t="s">
        <v>169</v>
      </c>
      <c r="O577" t="s">
        <v>169</v>
      </c>
      <c r="P577" t="s">
        <v>34</v>
      </c>
      <c r="Q577" t="s">
        <v>35</v>
      </c>
      <c r="R577" t="s">
        <v>173</v>
      </c>
      <c r="S577" t="s">
        <v>30</v>
      </c>
      <c r="T577" t="s">
        <v>572</v>
      </c>
      <c r="U577" t="s">
        <v>573</v>
      </c>
      <c r="V577" t="s">
        <v>40</v>
      </c>
      <c r="W577" s="1">
        <v>1469900</v>
      </c>
    </row>
    <row r="578" spans="1:23" x14ac:dyDescent="0.2">
      <c r="A578" t="s">
        <v>23</v>
      </c>
      <c r="B578" t="s">
        <v>24</v>
      </c>
      <c r="C578" t="s">
        <v>25</v>
      </c>
      <c r="D578" t="s">
        <v>454</v>
      </c>
      <c r="E578" t="s">
        <v>508</v>
      </c>
      <c r="F578" t="s">
        <v>509</v>
      </c>
      <c r="G578" t="s">
        <v>139</v>
      </c>
      <c r="H578" t="s">
        <v>30</v>
      </c>
      <c r="I578" t="s">
        <v>30</v>
      </c>
      <c r="J578" t="s">
        <v>31</v>
      </c>
      <c r="K578" t="s">
        <v>32</v>
      </c>
      <c r="L578" t="s">
        <v>32</v>
      </c>
      <c r="M578" t="s">
        <v>33</v>
      </c>
      <c r="N578" t="s">
        <v>33</v>
      </c>
      <c r="O578" t="s">
        <v>33</v>
      </c>
      <c r="P578" t="s">
        <v>34</v>
      </c>
      <c r="Q578" t="s">
        <v>35</v>
      </c>
      <c r="S578" t="s">
        <v>30</v>
      </c>
      <c r="T578" t="s">
        <v>574</v>
      </c>
      <c r="U578" t="s">
        <v>575</v>
      </c>
      <c r="V578" t="s">
        <v>39</v>
      </c>
      <c r="W578" s="1">
        <v>2</v>
      </c>
    </row>
    <row r="579" spans="1:23" x14ac:dyDescent="0.2">
      <c r="A579" t="s">
        <v>23</v>
      </c>
      <c r="B579" t="s">
        <v>24</v>
      </c>
      <c r="C579" t="s">
        <v>25</v>
      </c>
      <c r="D579" t="s">
        <v>454</v>
      </c>
      <c r="E579" t="s">
        <v>508</v>
      </c>
      <c r="F579" t="s">
        <v>509</v>
      </c>
      <c r="G579" t="s">
        <v>139</v>
      </c>
      <c r="H579" t="s">
        <v>30</v>
      </c>
      <c r="I579" t="s">
        <v>30</v>
      </c>
      <c r="J579" t="s">
        <v>31</v>
      </c>
      <c r="K579" t="s">
        <v>32</v>
      </c>
      <c r="L579" t="s">
        <v>32</v>
      </c>
      <c r="M579" t="s">
        <v>33</v>
      </c>
      <c r="N579" t="s">
        <v>33</v>
      </c>
      <c r="O579" t="s">
        <v>33</v>
      </c>
      <c r="P579" t="s">
        <v>34</v>
      </c>
      <c r="Q579" t="s">
        <v>35</v>
      </c>
      <c r="S579" t="s">
        <v>30</v>
      </c>
      <c r="T579" t="s">
        <v>574</v>
      </c>
      <c r="U579" t="s">
        <v>575</v>
      </c>
      <c r="V579" t="s">
        <v>40</v>
      </c>
      <c r="W579" s="1">
        <v>1253800</v>
      </c>
    </row>
    <row r="580" spans="1:23" x14ac:dyDescent="0.2">
      <c r="A580" t="s">
        <v>23</v>
      </c>
      <c r="B580" t="s">
        <v>24</v>
      </c>
      <c r="C580" t="s">
        <v>25</v>
      </c>
      <c r="D580" t="s">
        <v>454</v>
      </c>
      <c r="E580" t="s">
        <v>508</v>
      </c>
      <c r="F580" t="s">
        <v>509</v>
      </c>
      <c r="G580" t="s">
        <v>139</v>
      </c>
      <c r="H580" t="s">
        <v>30</v>
      </c>
      <c r="I580" t="s">
        <v>30</v>
      </c>
      <c r="J580" t="s">
        <v>31</v>
      </c>
      <c r="K580" t="s">
        <v>32</v>
      </c>
      <c r="L580" t="s">
        <v>32</v>
      </c>
      <c r="M580" t="s">
        <v>33</v>
      </c>
      <c r="P580" t="s">
        <v>34</v>
      </c>
      <c r="Q580" t="s">
        <v>35</v>
      </c>
      <c r="S580" t="s">
        <v>30</v>
      </c>
      <c r="T580" t="s">
        <v>576</v>
      </c>
      <c r="U580" t="s">
        <v>577</v>
      </c>
      <c r="V580" t="s">
        <v>39</v>
      </c>
      <c r="W580" s="1">
        <v>6</v>
      </c>
    </row>
    <row r="581" spans="1:23" x14ac:dyDescent="0.2">
      <c r="A581" t="s">
        <v>23</v>
      </c>
      <c r="B581" t="s">
        <v>24</v>
      </c>
      <c r="C581" t="s">
        <v>25</v>
      </c>
      <c r="D581" t="s">
        <v>454</v>
      </c>
      <c r="E581" t="s">
        <v>508</v>
      </c>
      <c r="F581" t="s">
        <v>509</v>
      </c>
      <c r="G581" t="s">
        <v>139</v>
      </c>
      <c r="H581" t="s">
        <v>30</v>
      </c>
      <c r="I581" t="s">
        <v>30</v>
      </c>
      <c r="J581" t="s">
        <v>31</v>
      </c>
      <c r="K581" t="s">
        <v>32</v>
      </c>
      <c r="L581" t="s">
        <v>32</v>
      </c>
      <c r="M581" t="s">
        <v>33</v>
      </c>
      <c r="P581" t="s">
        <v>34</v>
      </c>
      <c r="Q581" t="s">
        <v>35</v>
      </c>
      <c r="S581" t="s">
        <v>30</v>
      </c>
      <c r="T581" t="s">
        <v>576</v>
      </c>
      <c r="U581" t="s">
        <v>577</v>
      </c>
      <c r="V581" t="s">
        <v>40</v>
      </c>
      <c r="W581" s="1">
        <v>1071000</v>
      </c>
    </row>
    <row r="582" spans="1:23" x14ac:dyDescent="0.2">
      <c r="A582" t="s">
        <v>23</v>
      </c>
      <c r="B582" t="s">
        <v>24</v>
      </c>
      <c r="C582" t="s">
        <v>25</v>
      </c>
      <c r="D582" t="s">
        <v>454</v>
      </c>
      <c r="E582" t="s">
        <v>508</v>
      </c>
      <c r="F582" t="s">
        <v>509</v>
      </c>
      <c r="G582" t="s">
        <v>139</v>
      </c>
      <c r="H582" t="s">
        <v>30</v>
      </c>
      <c r="I582" t="s">
        <v>30</v>
      </c>
      <c r="J582" t="s">
        <v>41</v>
      </c>
      <c r="K582" t="s">
        <v>32</v>
      </c>
      <c r="L582" t="s">
        <v>332</v>
      </c>
      <c r="M582" t="s">
        <v>33</v>
      </c>
      <c r="P582" t="s">
        <v>34</v>
      </c>
      <c r="Q582" t="s">
        <v>35</v>
      </c>
      <c r="R582" t="s">
        <v>162</v>
      </c>
      <c r="S582" t="s">
        <v>52</v>
      </c>
      <c r="T582" t="s">
        <v>567</v>
      </c>
      <c r="U582" t="s">
        <v>578</v>
      </c>
      <c r="V582" t="s">
        <v>39</v>
      </c>
      <c r="W582" s="1">
        <v>0</v>
      </c>
    </row>
    <row r="583" spans="1:23" x14ac:dyDescent="0.2">
      <c r="A583" t="s">
        <v>23</v>
      </c>
      <c r="B583" t="s">
        <v>24</v>
      </c>
      <c r="C583" t="s">
        <v>25</v>
      </c>
      <c r="D583" t="s">
        <v>454</v>
      </c>
      <c r="E583" t="s">
        <v>508</v>
      </c>
      <c r="F583" t="s">
        <v>509</v>
      </c>
      <c r="G583" t="s">
        <v>139</v>
      </c>
      <c r="H583" t="s">
        <v>30</v>
      </c>
      <c r="I583" t="s">
        <v>30</v>
      </c>
      <c r="J583" t="s">
        <v>41</v>
      </c>
      <c r="K583" t="s">
        <v>32</v>
      </c>
      <c r="L583" t="s">
        <v>332</v>
      </c>
      <c r="M583" t="s">
        <v>33</v>
      </c>
      <c r="P583" t="s">
        <v>34</v>
      </c>
      <c r="Q583" t="s">
        <v>35</v>
      </c>
      <c r="R583" t="s">
        <v>162</v>
      </c>
      <c r="S583" t="s">
        <v>52</v>
      </c>
      <c r="T583" t="s">
        <v>567</v>
      </c>
      <c r="U583" t="s">
        <v>578</v>
      </c>
      <c r="V583" t="s">
        <v>40</v>
      </c>
      <c r="W583" s="1">
        <v>7380000</v>
      </c>
    </row>
    <row r="584" spans="1:23" x14ac:dyDescent="0.2">
      <c r="A584" t="s">
        <v>23</v>
      </c>
      <c r="B584" t="s">
        <v>24</v>
      </c>
      <c r="C584" t="s">
        <v>25</v>
      </c>
      <c r="D584" t="s">
        <v>454</v>
      </c>
      <c r="E584" t="s">
        <v>508</v>
      </c>
      <c r="F584" t="s">
        <v>509</v>
      </c>
      <c r="G584" t="s">
        <v>139</v>
      </c>
      <c r="H584" t="s">
        <v>30</v>
      </c>
      <c r="I584" t="s">
        <v>30</v>
      </c>
      <c r="J584" t="s">
        <v>41</v>
      </c>
      <c r="K584" t="s">
        <v>32</v>
      </c>
      <c r="L584" t="s">
        <v>32</v>
      </c>
      <c r="M584" t="s">
        <v>33</v>
      </c>
      <c r="N584" t="s">
        <v>33</v>
      </c>
      <c r="O584" t="s">
        <v>33</v>
      </c>
      <c r="P584" t="s">
        <v>34</v>
      </c>
      <c r="Q584" t="s">
        <v>35</v>
      </c>
      <c r="R584" t="s">
        <v>54</v>
      </c>
      <c r="S584" t="s">
        <v>30</v>
      </c>
      <c r="T584" t="s">
        <v>579</v>
      </c>
      <c r="U584" t="s">
        <v>580</v>
      </c>
      <c r="V584" t="s">
        <v>39</v>
      </c>
      <c r="W584" s="1">
        <v>4</v>
      </c>
    </row>
    <row r="585" spans="1:23" x14ac:dyDescent="0.2">
      <c r="A585" t="s">
        <v>23</v>
      </c>
      <c r="B585" t="s">
        <v>24</v>
      </c>
      <c r="C585" t="s">
        <v>25</v>
      </c>
      <c r="D585" t="s">
        <v>454</v>
      </c>
      <c r="E585" t="s">
        <v>508</v>
      </c>
      <c r="F585" t="s">
        <v>509</v>
      </c>
      <c r="G585" t="s">
        <v>139</v>
      </c>
      <c r="H585" t="s">
        <v>30</v>
      </c>
      <c r="I585" t="s">
        <v>30</v>
      </c>
      <c r="J585" t="s">
        <v>41</v>
      </c>
      <c r="K585" t="s">
        <v>32</v>
      </c>
      <c r="L585" t="s">
        <v>32</v>
      </c>
      <c r="M585" t="s">
        <v>33</v>
      </c>
      <c r="N585" t="s">
        <v>33</v>
      </c>
      <c r="O585" t="s">
        <v>33</v>
      </c>
      <c r="P585" t="s">
        <v>34</v>
      </c>
      <c r="Q585" t="s">
        <v>35</v>
      </c>
      <c r="R585" t="s">
        <v>54</v>
      </c>
      <c r="S585" t="s">
        <v>30</v>
      </c>
      <c r="T585" t="s">
        <v>579</v>
      </c>
      <c r="U585" t="s">
        <v>580</v>
      </c>
      <c r="V585" t="s">
        <v>40</v>
      </c>
      <c r="W585" s="1">
        <v>4206400</v>
      </c>
    </row>
    <row r="586" spans="1:23" x14ac:dyDescent="0.2">
      <c r="A586" t="s">
        <v>23</v>
      </c>
      <c r="B586" t="s">
        <v>24</v>
      </c>
      <c r="C586" t="s">
        <v>25</v>
      </c>
      <c r="D586" t="s">
        <v>581</v>
      </c>
      <c r="E586" t="s">
        <v>582</v>
      </c>
      <c r="F586" t="s">
        <v>583</v>
      </c>
      <c r="G586" t="s">
        <v>89</v>
      </c>
      <c r="H586" t="s">
        <v>30</v>
      </c>
      <c r="I586" t="s">
        <v>30</v>
      </c>
      <c r="J586" t="s">
        <v>31</v>
      </c>
      <c r="K586" t="s">
        <v>32</v>
      </c>
      <c r="L586" t="s">
        <v>32</v>
      </c>
      <c r="M586" t="s">
        <v>33</v>
      </c>
      <c r="N586" t="s">
        <v>33</v>
      </c>
      <c r="O586" t="s">
        <v>33</v>
      </c>
      <c r="P586" t="s">
        <v>34</v>
      </c>
      <c r="Q586" t="s">
        <v>35</v>
      </c>
      <c r="R586" t="s">
        <v>148</v>
      </c>
      <c r="S586" t="s">
        <v>30</v>
      </c>
      <c r="T586" t="s">
        <v>584</v>
      </c>
      <c r="U586" t="s">
        <v>585</v>
      </c>
      <c r="V586" t="s">
        <v>39</v>
      </c>
      <c r="W586" s="1">
        <v>2</v>
      </c>
    </row>
    <row r="587" spans="1:23" x14ac:dyDescent="0.2">
      <c r="A587" t="s">
        <v>23</v>
      </c>
      <c r="B587" t="s">
        <v>24</v>
      </c>
      <c r="C587" t="s">
        <v>25</v>
      </c>
      <c r="D587" t="s">
        <v>581</v>
      </c>
      <c r="E587" t="s">
        <v>582</v>
      </c>
      <c r="F587" t="s">
        <v>583</v>
      </c>
      <c r="G587" t="s">
        <v>89</v>
      </c>
      <c r="H587" t="s">
        <v>30</v>
      </c>
      <c r="I587" t="s">
        <v>30</v>
      </c>
      <c r="J587" t="s">
        <v>31</v>
      </c>
      <c r="K587" t="s">
        <v>32</v>
      </c>
      <c r="L587" t="s">
        <v>32</v>
      </c>
      <c r="M587" t="s">
        <v>33</v>
      </c>
      <c r="N587" t="s">
        <v>33</v>
      </c>
      <c r="O587" t="s">
        <v>33</v>
      </c>
      <c r="P587" t="s">
        <v>34</v>
      </c>
      <c r="Q587" t="s">
        <v>35</v>
      </c>
      <c r="R587" t="s">
        <v>148</v>
      </c>
      <c r="S587" t="s">
        <v>30</v>
      </c>
      <c r="T587" t="s">
        <v>584</v>
      </c>
      <c r="U587" t="s">
        <v>585</v>
      </c>
      <c r="V587" t="s">
        <v>40</v>
      </c>
      <c r="W587" s="1">
        <v>814000</v>
      </c>
    </row>
    <row r="588" spans="1:23" x14ac:dyDescent="0.2">
      <c r="A588" t="s">
        <v>23</v>
      </c>
      <c r="B588" t="s">
        <v>24</v>
      </c>
      <c r="C588" t="s">
        <v>25</v>
      </c>
      <c r="D588" t="s">
        <v>581</v>
      </c>
      <c r="E588" t="s">
        <v>582</v>
      </c>
      <c r="F588" t="s">
        <v>583</v>
      </c>
      <c r="G588" t="s">
        <v>89</v>
      </c>
      <c r="H588" t="s">
        <v>30</v>
      </c>
      <c r="I588" t="s">
        <v>30</v>
      </c>
      <c r="J588" t="s">
        <v>31</v>
      </c>
      <c r="K588" t="s">
        <v>32</v>
      </c>
      <c r="L588" t="s">
        <v>32</v>
      </c>
      <c r="M588" t="s">
        <v>33</v>
      </c>
      <c r="N588" t="s">
        <v>33</v>
      </c>
      <c r="O588" t="s">
        <v>33</v>
      </c>
      <c r="P588" t="s">
        <v>34</v>
      </c>
      <c r="Q588" t="s">
        <v>35</v>
      </c>
      <c r="S588" t="s">
        <v>30</v>
      </c>
      <c r="T588" t="s">
        <v>586</v>
      </c>
      <c r="U588" t="s">
        <v>587</v>
      </c>
      <c r="V588" t="s">
        <v>39</v>
      </c>
      <c r="W588" s="1">
        <v>2</v>
      </c>
    </row>
    <row r="589" spans="1:23" x14ac:dyDescent="0.2">
      <c r="A589" t="s">
        <v>23</v>
      </c>
      <c r="B589" t="s">
        <v>24</v>
      </c>
      <c r="C589" t="s">
        <v>25</v>
      </c>
      <c r="D589" t="s">
        <v>581</v>
      </c>
      <c r="E589" t="s">
        <v>582</v>
      </c>
      <c r="F589" t="s">
        <v>583</v>
      </c>
      <c r="G589" t="s">
        <v>89</v>
      </c>
      <c r="H589" t="s">
        <v>30</v>
      </c>
      <c r="I589" t="s">
        <v>30</v>
      </c>
      <c r="J589" t="s">
        <v>31</v>
      </c>
      <c r="K589" t="s">
        <v>32</v>
      </c>
      <c r="L589" t="s">
        <v>32</v>
      </c>
      <c r="M589" t="s">
        <v>33</v>
      </c>
      <c r="N589" t="s">
        <v>33</v>
      </c>
      <c r="O589" t="s">
        <v>33</v>
      </c>
      <c r="P589" t="s">
        <v>34</v>
      </c>
      <c r="Q589" t="s">
        <v>35</v>
      </c>
      <c r="S589" t="s">
        <v>30</v>
      </c>
      <c r="T589" t="s">
        <v>586</v>
      </c>
      <c r="U589" t="s">
        <v>587</v>
      </c>
      <c r="V589" t="s">
        <v>40</v>
      </c>
      <c r="W589" s="1">
        <v>2851600</v>
      </c>
    </row>
    <row r="590" spans="1:23" x14ac:dyDescent="0.2">
      <c r="A590" t="s">
        <v>23</v>
      </c>
      <c r="B590" t="s">
        <v>24</v>
      </c>
      <c r="C590" t="s">
        <v>25</v>
      </c>
      <c r="D590" t="s">
        <v>581</v>
      </c>
      <c r="E590" t="s">
        <v>582</v>
      </c>
      <c r="F590" t="s">
        <v>583</v>
      </c>
      <c r="G590" t="s">
        <v>89</v>
      </c>
      <c r="H590" t="s">
        <v>30</v>
      </c>
      <c r="I590" t="s">
        <v>30</v>
      </c>
      <c r="J590" t="s">
        <v>31</v>
      </c>
      <c r="K590" t="s">
        <v>32</v>
      </c>
      <c r="L590" t="s">
        <v>32</v>
      </c>
      <c r="M590" t="s">
        <v>33</v>
      </c>
      <c r="P590" t="s">
        <v>34</v>
      </c>
      <c r="Q590" t="s">
        <v>35</v>
      </c>
      <c r="R590" t="s">
        <v>148</v>
      </c>
      <c r="S590" t="s">
        <v>30</v>
      </c>
      <c r="T590" t="s">
        <v>588</v>
      </c>
      <c r="U590" t="s">
        <v>589</v>
      </c>
      <c r="V590" t="s">
        <v>39</v>
      </c>
      <c r="W590" s="1">
        <v>2</v>
      </c>
    </row>
    <row r="591" spans="1:23" x14ac:dyDescent="0.2">
      <c r="A591" t="s">
        <v>23</v>
      </c>
      <c r="B591" t="s">
        <v>24</v>
      </c>
      <c r="C591" t="s">
        <v>25</v>
      </c>
      <c r="D591" t="s">
        <v>581</v>
      </c>
      <c r="E591" t="s">
        <v>582</v>
      </c>
      <c r="F591" t="s">
        <v>583</v>
      </c>
      <c r="G591" t="s">
        <v>89</v>
      </c>
      <c r="H591" t="s">
        <v>30</v>
      </c>
      <c r="I591" t="s">
        <v>30</v>
      </c>
      <c r="J591" t="s">
        <v>31</v>
      </c>
      <c r="K591" t="s">
        <v>32</v>
      </c>
      <c r="L591" t="s">
        <v>32</v>
      </c>
      <c r="M591" t="s">
        <v>33</v>
      </c>
      <c r="P591" t="s">
        <v>34</v>
      </c>
      <c r="Q591" t="s">
        <v>35</v>
      </c>
      <c r="R591" t="s">
        <v>148</v>
      </c>
      <c r="S591" t="s">
        <v>30</v>
      </c>
      <c r="T591" t="s">
        <v>588</v>
      </c>
      <c r="U591" t="s">
        <v>589</v>
      </c>
      <c r="V591" t="s">
        <v>40</v>
      </c>
      <c r="W591" s="1">
        <v>794000</v>
      </c>
    </row>
    <row r="592" spans="1:23" x14ac:dyDescent="0.2">
      <c r="A592" t="s">
        <v>23</v>
      </c>
      <c r="B592" t="s">
        <v>24</v>
      </c>
      <c r="C592" t="s">
        <v>25</v>
      </c>
      <c r="D592" t="s">
        <v>581</v>
      </c>
      <c r="E592" t="s">
        <v>582</v>
      </c>
      <c r="F592" t="s">
        <v>583</v>
      </c>
      <c r="G592" t="s">
        <v>106</v>
      </c>
      <c r="H592" t="s">
        <v>30</v>
      </c>
      <c r="I592" t="s">
        <v>30</v>
      </c>
      <c r="J592" t="s">
        <v>31</v>
      </c>
      <c r="K592" t="s">
        <v>32</v>
      </c>
      <c r="L592" t="s">
        <v>32</v>
      </c>
      <c r="M592" t="s">
        <v>33</v>
      </c>
      <c r="N592" t="s">
        <v>33</v>
      </c>
      <c r="O592" t="s">
        <v>33</v>
      </c>
      <c r="P592" t="s">
        <v>34</v>
      </c>
      <c r="Q592" t="s">
        <v>35</v>
      </c>
      <c r="S592" t="s">
        <v>30</v>
      </c>
      <c r="T592" t="s">
        <v>590</v>
      </c>
      <c r="U592" t="s">
        <v>591</v>
      </c>
      <c r="V592" t="s">
        <v>39</v>
      </c>
      <c r="W592" s="1">
        <v>1</v>
      </c>
    </row>
    <row r="593" spans="1:23" x14ac:dyDescent="0.2">
      <c r="A593" t="s">
        <v>23</v>
      </c>
      <c r="B593" t="s">
        <v>24</v>
      </c>
      <c r="C593" t="s">
        <v>25</v>
      </c>
      <c r="D593" t="s">
        <v>581</v>
      </c>
      <c r="E593" t="s">
        <v>582</v>
      </c>
      <c r="F593" t="s">
        <v>583</v>
      </c>
      <c r="G593" t="s">
        <v>106</v>
      </c>
      <c r="H593" t="s">
        <v>30</v>
      </c>
      <c r="I593" t="s">
        <v>30</v>
      </c>
      <c r="J593" t="s">
        <v>31</v>
      </c>
      <c r="K593" t="s">
        <v>32</v>
      </c>
      <c r="L593" t="s">
        <v>32</v>
      </c>
      <c r="M593" t="s">
        <v>33</v>
      </c>
      <c r="N593" t="s">
        <v>33</v>
      </c>
      <c r="O593" t="s">
        <v>33</v>
      </c>
      <c r="P593" t="s">
        <v>34</v>
      </c>
      <c r="Q593" t="s">
        <v>35</v>
      </c>
      <c r="S593" t="s">
        <v>30</v>
      </c>
      <c r="T593" t="s">
        <v>590</v>
      </c>
      <c r="U593" t="s">
        <v>591</v>
      </c>
      <c r="V593" t="s">
        <v>40</v>
      </c>
      <c r="W593" s="1">
        <v>162600</v>
      </c>
    </row>
    <row r="594" spans="1:23" x14ac:dyDescent="0.2">
      <c r="A594" t="s">
        <v>23</v>
      </c>
      <c r="B594" t="s">
        <v>24</v>
      </c>
      <c r="C594" t="s">
        <v>25</v>
      </c>
      <c r="D594" t="s">
        <v>581</v>
      </c>
      <c r="E594" t="s">
        <v>582</v>
      </c>
      <c r="F594" t="s">
        <v>583</v>
      </c>
      <c r="G594" t="s">
        <v>106</v>
      </c>
      <c r="H594" t="s">
        <v>30</v>
      </c>
      <c r="I594" t="s">
        <v>30</v>
      </c>
      <c r="J594" t="s">
        <v>31</v>
      </c>
      <c r="K594" t="s">
        <v>32</v>
      </c>
      <c r="L594" t="s">
        <v>32</v>
      </c>
      <c r="M594" t="s">
        <v>33</v>
      </c>
      <c r="N594" t="s">
        <v>169</v>
      </c>
      <c r="O594" t="s">
        <v>169</v>
      </c>
      <c r="P594" t="s">
        <v>34</v>
      </c>
      <c r="Q594" t="s">
        <v>35</v>
      </c>
      <c r="S594" t="s">
        <v>30</v>
      </c>
      <c r="T594" t="s">
        <v>590</v>
      </c>
      <c r="U594" t="s">
        <v>591</v>
      </c>
      <c r="V594" t="s">
        <v>39</v>
      </c>
      <c r="W594" s="1">
        <v>1</v>
      </c>
    </row>
    <row r="595" spans="1:23" x14ac:dyDescent="0.2">
      <c r="A595" t="s">
        <v>23</v>
      </c>
      <c r="B595" t="s">
        <v>24</v>
      </c>
      <c r="C595" t="s">
        <v>25</v>
      </c>
      <c r="D595" t="s">
        <v>581</v>
      </c>
      <c r="E595" t="s">
        <v>582</v>
      </c>
      <c r="F595" t="s">
        <v>583</v>
      </c>
      <c r="G595" t="s">
        <v>106</v>
      </c>
      <c r="H595" t="s">
        <v>30</v>
      </c>
      <c r="I595" t="s">
        <v>30</v>
      </c>
      <c r="J595" t="s">
        <v>31</v>
      </c>
      <c r="K595" t="s">
        <v>32</v>
      </c>
      <c r="L595" t="s">
        <v>32</v>
      </c>
      <c r="M595" t="s">
        <v>33</v>
      </c>
      <c r="N595" t="s">
        <v>169</v>
      </c>
      <c r="O595" t="s">
        <v>169</v>
      </c>
      <c r="P595" t="s">
        <v>34</v>
      </c>
      <c r="Q595" t="s">
        <v>35</v>
      </c>
      <c r="S595" t="s">
        <v>30</v>
      </c>
      <c r="T595" t="s">
        <v>590</v>
      </c>
      <c r="U595" t="s">
        <v>591</v>
      </c>
      <c r="V595" t="s">
        <v>40</v>
      </c>
      <c r="W595" s="1">
        <v>162600</v>
      </c>
    </row>
    <row r="596" spans="1:23" x14ac:dyDescent="0.2">
      <c r="A596" t="s">
        <v>23</v>
      </c>
      <c r="B596" t="s">
        <v>24</v>
      </c>
      <c r="C596" t="s">
        <v>25</v>
      </c>
      <c r="D596" t="s">
        <v>581</v>
      </c>
      <c r="E596" t="s">
        <v>582</v>
      </c>
      <c r="F596" t="s">
        <v>583</v>
      </c>
      <c r="G596" t="s">
        <v>106</v>
      </c>
      <c r="H596" t="s">
        <v>30</v>
      </c>
      <c r="I596" t="s">
        <v>30</v>
      </c>
      <c r="J596" t="s">
        <v>31</v>
      </c>
      <c r="K596" t="s">
        <v>32</v>
      </c>
      <c r="L596" t="s">
        <v>32</v>
      </c>
      <c r="M596" t="s">
        <v>33</v>
      </c>
      <c r="P596" t="s">
        <v>34</v>
      </c>
      <c r="Q596" t="s">
        <v>35</v>
      </c>
      <c r="S596" t="s">
        <v>52</v>
      </c>
      <c r="T596" t="s">
        <v>590</v>
      </c>
      <c r="U596" t="s">
        <v>591</v>
      </c>
      <c r="V596" t="s">
        <v>39</v>
      </c>
      <c r="W596" s="1">
        <v>0</v>
      </c>
    </row>
    <row r="597" spans="1:23" x14ac:dyDescent="0.2">
      <c r="A597" t="s">
        <v>23</v>
      </c>
      <c r="B597" t="s">
        <v>24</v>
      </c>
      <c r="C597" t="s">
        <v>25</v>
      </c>
      <c r="D597" t="s">
        <v>581</v>
      </c>
      <c r="E597" t="s">
        <v>582</v>
      </c>
      <c r="F597" t="s">
        <v>583</v>
      </c>
      <c r="G597" t="s">
        <v>106</v>
      </c>
      <c r="H597" t="s">
        <v>30</v>
      </c>
      <c r="I597" t="s">
        <v>30</v>
      </c>
      <c r="J597" t="s">
        <v>31</v>
      </c>
      <c r="K597" t="s">
        <v>32</v>
      </c>
      <c r="L597" t="s">
        <v>32</v>
      </c>
      <c r="M597" t="s">
        <v>33</v>
      </c>
      <c r="P597" t="s">
        <v>34</v>
      </c>
      <c r="Q597" t="s">
        <v>35</v>
      </c>
      <c r="S597" t="s">
        <v>52</v>
      </c>
      <c r="T597" t="s">
        <v>590</v>
      </c>
      <c r="U597" t="s">
        <v>591</v>
      </c>
      <c r="V597" t="s">
        <v>40</v>
      </c>
      <c r="W597" s="1">
        <v>162600</v>
      </c>
    </row>
    <row r="598" spans="1:23" x14ac:dyDescent="0.2">
      <c r="A598" t="s">
        <v>23</v>
      </c>
      <c r="B598" t="s">
        <v>24</v>
      </c>
      <c r="C598" t="s">
        <v>25</v>
      </c>
      <c r="D598" t="s">
        <v>581</v>
      </c>
      <c r="E598" t="s">
        <v>582</v>
      </c>
      <c r="F598" t="s">
        <v>583</v>
      </c>
      <c r="G598" t="s">
        <v>139</v>
      </c>
      <c r="H598" t="s">
        <v>30</v>
      </c>
      <c r="I598" t="s">
        <v>30</v>
      </c>
      <c r="J598" t="s">
        <v>57</v>
      </c>
      <c r="K598" t="s">
        <v>32</v>
      </c>
      <c r="L598" t="s">
        <v>32</v>
      </c>
      <c r="M598" t="s">
        <v>33</v>
      </c>
      <c r="P598" t="s">
        <v>34</v>
      </c>
      <c r="Q598" t="s">
        <v>35</v>
      </c>
      <c r="S598" t="s">
        <v>30</v>
      </c>
      <c r="T598" t="s">
        <v>592</v>
      </c>
      <c r="U598" t="s">
        <v>593</v>
      </c>
      <c r="V598" t="s">
        <v>39</v>
      </c>
      <c r="W598" s="1">
        <v>3</v>
      </c>
    </row>
    <row r="599" spans="1:23" x14ac:dyDescent="0.2">
      <c r="A599" t="s">
        <v>23</v>
      </c>
      <c r="B599" t="s">
        <v>24</v>
      </c>
      <c r="C599" t="s">
        <v>25</v>
      </c>
      <c r="D599" t="s">
        <v>581</v>
      </c>
      <c r="E599" t="s">
        <v>582</v>
      </c>
      <c r="F599" t="s">
        <v>583</v>
      </c>
      <c r="G599" t="s">
        <v>139</v>
      </c>
      <c r="H599" t="s">
        <v>30</v>
      </c>
      <c r="I599" t="s">
        <v>30</v>
      </c>
      <c r="J599" t="s">
        <v>57</v>
      </c>
      <c r="K599" t="s">
        <v>32</v>
      </c>
      <c r="L599" t="s">
        <v>32</v>
      </c>
      <c r="M599" t="s">
        <v>33</v>
      </c>
      <c r="P599" t="s">
        <v>34</v>
      </c>
      <c r="Q599" t="s">
        <v>35</v>
      </c>
      <c r="S599" t="s">
        <v>30</v>
      </c>
      <c r="T599" t="s">
        <v>592</v>
      </c>
      <c r="U599" t="s">
        <v>593</v>
      </c>
      <c r="V599" t="s">
        <v>40</v>
      </c>
      <c r="W599" s="1">
        <v>4383300</v>
      </c>
    </row>
    <row r="600" spans="1:23" x14ac:dyDescent="0.2">
      <c r="A600" t="s">
        <v>23</v>
      </c>
      <c r="B600" t="s">
        <v>24</v>
      </c>
      <c r="C600" t="s">
        <v>25</v>
      </c>
      <c r="D600" t="s">
        <v>581</v>
      </c>
      <c r="E600" t="s">
        <v>594</v>
      </c>
      <c r="F600" t="s">
        <v>595</v>
      </c>
      <c r="G600" t="s">
        <v>29</v>
      </c>
      <c r="H600" t="s">
        <v>30</v>
      </c>
      <c r="I600" t="s">
        <v>30</v>
      </c>
      <c r="J600" t="s">
        <v>31</v>
      </c>
      <c r="K600" t="s">
        <v>32</v>
      </c>
      <c r="L600" t="s">
        <v>32</v>
      </c>
      <c r="M600" t="s">
        <v>33</v>
      </c>
      <c r="P600" t="s">
        <v>34</v>
      </c>
      <c r="Q600" t="s">
        <v>35</v>
      </c>
      <c r="R600" t="s">
        <v>184</v>
      </c>
      <c r="S600" t="s">
        <v>52</v>
      </c>
      <c r="T600" t="s">
        <v>596</v>
      </c>
      <c r="U600" t="s">
        <v>597</v>
      </c>
      <c r="V600" t="s">
        <v>39</v>
      </c>
      <c r="W600" s="1">
        <v>0</v>
      </c>
    </row>
    <row r="601" spans="1:23" x14ac:dyDescent="0.2">
      <c r="A601" t="s">
        <v>23</v>
      </c>
      <c r="B601" t="s">
        <v>24</v>
      </c>
      <c r="C601" t="s">
        <v>25</v>
      </c>
      <c r="D601" t="s">
        <v>581</v>
      </c>
      <c r="E601" t="s">
        <v>594</v>
      </c>
      <c r="F601" t="s">
        <v>595</v>
      </c>
      <c r="G601" t="s">
        <v>29</v>
      </c>
      <c r="H601" t="s">
        <v>30</v>
      </c>
      <c r="I601" t="s">
        <v>30</v>
      </c>
      <c r="J601" t="s">
        <v>31</v>
      </c>
      <c r="K601" t="s">
        <v>32</v>
      </c>
      <c r="L601" t="s">
        <v>32</v>
      </c>
      <c r="M601" t="s">
        <v>33</v>
      </c>
      <c r="P601" t="s">
        <v>34</v>
      </c>
      <c r="Q601" t="s">
        <v>35</v>
      </c>
      <c r="R601" t="s">
        <v>184</v>
      </c>
      <c r="S601" t="s">
        <v>52</v>
      </c>
      <c r="T601" t="s">
        <v>596</v>
      </c>
      <c r="U601" t="s">
        <v>597</v>
      </c>
      <c r="V601" t="s">
        <v>40</v>
      </c>
      <c r="W601" s="1">
        <v>5288500</v>
      </c>
    </row>
    <row r="602" spans="1:23" x14ac:dyDescent="0.2">
      <c r="A602" t="s">
        <v>23</v>
      </c>
      <c r="B602" t="s">
        <v>24</v>
      </c>
      <c r="C602" t="s">
        <v>25</v>
      </c>
      <c r="D602" t="s">
        <v>581</v>
      </c>
      <c r="E602" t="s">
        <v>594</v>
      </c>
      <c r="F602" t="s">
        <v>595</v>
      </c>
      <c r="G602" t="s">
        <v>49</v>
      </c>
      <c r="H602" t="s">
        <v>30</v>
      </c>
      <c r="I602" t="s">
        <v>30</v>
      </c>
      <c r="J602" t="s">
        <v>41</v>
      </c>
      <c r="K602" t="s">
        <v>32</v>
      </c>
      <c r="L602" t="s">
        <v>32</v>
      </c>
      <c r="M602" t="s">
        <v>33</v>
      </c>
      <c r="N602" t="s">
        <v>33</v>
      </c>
      <c r="O602" t="s">
        <v>33</v>
      </c>
      <c r="P602" t="s">
        <v>34</v>
      </c>
      <c r="Q602" t="s">
        <v>35</v>
      </c>
      <c r="R602" t="s">
        <v>54</v>
      </c>
      <c r="S602" t="s">
        <v>30</v>
      </c>
      <c r="T602" t="s">
        <v>598</v>
      </c>
      <c r="U602" t="s">
        <v>599</v>
      </c>
      <c r="V602" t="s">
        <v>39</v>
      </c>
      <c r="W602" s="1">
        <v>2</v>
      </c>
    </row>
    <row r="603" spans="1:23" x14ac:dyDescent="0.2">
      <c r="A603" t="s">
        <v>23</v>
      </c>
      <c r="B603" t="s">
        <v>24</v>
      </c>
      <c r="C603" t="s">
        <v>25</v>
      </c>
      <c r="D603" t="s">
        <v>581</v>
      </c>
      <c r="E603" t="s">
        <v>594</v>
      </c>
      <c r="F603" t="s">
        <v>595</v>
      </c>
      <c r="G603" t="s">
        <v>49</v>
      </c>
      <c r="H603" t="s">
        <v>30</v>
      </c>
      <c r="I603" t="s">
        <v>30</v>
      </c>
      <c r="J603" t="s">
        <v>41</v>
      </c>
      <c r="K603" t="s">
        <v>32</v>
      </c>
      <c r="L603" t="s">
        <v>32</v>
      </c>
      <c r="M603" t="s">
        <v>33</v>
      </c>
      <c r="N603" t="s">
        <v>33</v>
      </c>
      <c r="O603" t="s">
        <v>33</v>
      </c>
      <c r="P603" t="s">
        <v>34</v>
      </c>
      <c r="Q603" t="s">
        <v>35</v>
      </c>
      <c r="R603" t="s">
        <v>54</v>
      </c>
      <c r="S603" t="s">
        <v>30</v>
      </c>
      <c r="T603" t="s">
        <v>598</v>
      </c>
      <c r="U603" t="s">
        <v>599</v>
      </c>
      <c r="V603" t="s">
        <v>40</v>
      </c>
      <c r="W603" s="1">
        <v>1534000</v>
      </c>
    </row>
    <row r="604" spans="1:23" x14ac:dyDescent="0.2">
      <c r="A604" t="s">
        <v>23</v>
      </c>
      <c r="B604" t="s">
        <v>24</v>
      </c>
      <c r="C604" t="s">
        <v>25</v>
      </c>
      <c r="D604" t="s">
        <v>581</v>
      </c>
      <c r="E604" t="s">
        <v>594</v>
      </c>
      <c r="F604" t="s">
        <v>595</v>
      </c>
      <c r="G604" t="s">
        <v>67</v>
      </c>
      <c r="H604" t="s">
        <v>30</v>
      </c>
      <c r="I604" t="s">
        <v>30</v>
      </c>
      <c r="J604" t="s">
        <v>31</v>
      </c>
      <c r="K604" t="s">
        <v>32</v>
      </c>
      <c r="L604" t="s">
        <v>32</v>
      </c>
      <c r="M604" t="s">
        <v>33</v>
      </c>
      <c r="N604" t="s">
        <v>33</v>
      </c>
      <c r="O604" t="s">
        <v>33</v>
      </c>
      <c r="P604" t="s">
        <v>34</v>
      </c>
      <c r="Q604" t="s">
        <v>35</v>
      </c>
      <c r="R604" t="s">
        <v>184</v>
      </c>
      <c r="S604" t="s">
        <v>30</v>
      </c>
      <c r="T604" t="s">
        <v>600</v>
      </c>
      <c r="U604" t="s">
        <v>601</v>
      </c>
      <c r="V604" t="s">
        <v>39</v>
      </c>
      <c r="W604" s="1">
        <v>2</v>
      </c>
    </row>
    <row r="605" spans="1:23" x14ac:dyDescent="0.2">
      <c r="A605" t="s">
        <v>23</v>
      </c>
      <c r="B605" t="s">
        <v>24</v>
      </c>
      <c r="C605" t="s">
        <v>25</v>
      </c>
      <c r="D605" t="s">
        <v>581</v>
      </c>
      <c r="E605" t="s">
        <v>594</v>
      </c>
      <c r="F605" t="s">
        <v>595</v>
      </c>
      <c r="G605" t="s">
        <v>67</v>
      </c>
      <c r="H605" t="s">
        <v>30</v>
      </c>
      <c r="I605" t="s">
        <v>30</v>
      </c>
      <c r="J605" t="s">
        <v>31</v>
      </c>
      <c r="K605" t="s">
        <v>32</v>
      </c>
      <c r="L605" t="s">
        <v>32</v>
      </c>
      <c r="M605" t="s">
        <v>33</v>
      </c>
      <c r="N605" t="s">
        <v>33</v>
      </c>
      <c r="O605" t="s">
        <v>33</v>
      </c>
      <c r="P605" t="s">
        <v>34</v>
      </c>
      <c r="Q605" t="s">
        <v>35</v>
      </c>
      <c r="R605" t="s">
        <v>184</v>
      </c>
      <c r="S605" t="s">
        <v>30</v>
      </c>
      <c r="T605" t="s">
        <v>600</v>
      </c>
      <c r="U605" t="s">
        <v>601</v>
      </c>
      <c r="V605" t="s">
        <v>40</v>
      </c>
      <c r="W605" s="1">
        <v>1991800</v>
      </c>
    </row>
    <row r="606" spans="1:23" x14ac:dyDescent="0.2">
      <c r="A606" t="s">
        <v>23</v>
      </c>
      <c r="B606" t="s">
        <v>24</v>
      </c>
      <c r="C606" t="s">
        <v>25</v>
      </c>
      <c r="D606" t="s">
        <v>581</v>
      </c>
      <c r="E606" t="s">
        <v>594</v>
      </c>
      <c r="F606" t="s">
        <v>595</v>
      </c>
      <c r="G606" t="s">
        <v>89</v>
      </c>
      <c r="H606" t="s">
        <v>30</v>
      </c>
      <c r="I606" t="s">
        <v>30</v>
      </c>
      <c r="J606" t="s">
        <v>41</v>
      </c>
      <c r="K606" t="s">
        <v>32</v>
      </c>
      <c r="L606" t="s">
        <v>32</v>
      </c>
      <c r="M606" t="s">
        <v>33</v>
      </c>
      <c r="N606" t="s">
        <v>33</v>
      </c>
      <c r="O606" t="s">
        <v>33</v>
      </c>
      <c r="P606" t="s">
        <v>34</v>
      </c>
      <c r="Q606" t="s">
        <v>35</v>
      </c>
      <c r="R606" t="s">
        <v>173</v>
      </c>
      <c r="S606" t="s">
        <v>30</v>
      </c>
      <c r="T606" t="s">
        <v>602</v>
      </c>
      <c r="U606" t="s">
        <v>603</v>
      </c>
      <c r="V606" t="s">
        <v>39</v>
      </c>
      <c r="W606" s="1">
        <v>2</v>
      </c>
    </row>
    <row r="607" spans="1:23" x14ac:dyDescent="0.2">
      <c r="A607" t="s">
        <v>23</v>
      </c>
      <c r="B607" t="s">
        <v>24</v>
      </c>
      <c r="C607" t="s">
        <v>25</v>
      </c>
      <c r="D607" t="s">
        <v>581</v>
      </c>
      <c r="E607" t="s">
        <v>594</v>
      </c>
      <c r="F607" t="s">
        <v>595</v>
      </c>
      <c r="G607" t="s">
        <v>89</v>
      </c>
      <c r="H607" t="s">
        <v>30</v>
      </c>
      <c r="I607" t="s">
        <v>30</v>
      </c>
      <c r="J607" t="s">
        <v>41</v>
      </c>
      <c r="K607" t="s">
        <v>32</v>
      </c>
      <c r="L607" t="s">
        <v>32</v>
      </c>
      <c r="M607" t="s">
        <v>33</v>
      </c>
      <c r="N607" t="s">
        <v>33</v>
      </c>
      <c r="O607" t="s">
        <v>33</v>
      </c>
      <c r="P607" t="s">
        <v>34</v>
      </c>
      <c r="Q607" t="s">
        <v>35</v>
      </c>
      <c r="R607" t="s">
        <v>173</v>
      </c>
      <c r="S607" t="s">
        <v>30</v>
      </c>
      <c r="T607" t="s">
        <v>602</v>
      </c>
      <c r="U607" t="s">
        <v>603</v>
      </c>
      <c r="V607" t="s">
        <v>40</v>
      </c>
      <c r="W607" s="1">
        <v>3082000</v>
      </c>
    </row>
    <row r="608" spans="1:23" x14ac:dyDescent="0.2">
      <c r="A608" t="s">
        <v>23</v>
      </c>
      <c r="B608" t="s">
        <v>24</v>
      </c>
      <c r="C608" t="s">
        <v>25</v>
      </c>
      <c r="D608" t="s">
        <v>581</v>
      </c>
      <c r="E608" t="s">
        <v>594</v>
      </c>
      <c r="F608" t="s">
        <v>595</v>
      </c>
      <c r="G608" t="s">
        <v>89</v>
      </c>
      <c r="H608" t="s">
        <v>30</v>
      </c>
      <c r="I608" t="s">
        <v>30</v>
      </c>
      <c r="J608" t="s">
        <v>41</v>
      </c>
      <c r="K608" t="s">
        <v>32</v>
      </c>
      <c r="L608" t="s">
        <v>32</v>
      </c>
      <c r="M608" t="s">
        <v>33</v>
      </c>
      <c r="P608" t="s">
        <v>34</v>
      </c>
      <c r="Q608" t="s">
        <v>35</v>
      </c>
      <c r="R608" t="s">
        <v>173</v>
      </c>
      <c r="S608" t="s">
        <v>30</v>
      </c>
      <c r="T608" t="s">
        <v>602</v>
      </c>
      <c r="U608" t="s">
        <v>603</v>
      </c>
      <c r="V608" t="s">
        <v>39</v>
      </c>
      <c r="W608" s="1">
        <v>5</v>
      </c>
    </row>
    <row r="609" spans="1:23" x14ac:dyDescent="0.2">
      <c r="A609" t="s">
        <v>23</v>
      </c>
      <c r="B609" t="s">
        <v>24</v>
      </c>
      <c r="C609" t="s">
        <v>25</v>
      </c>
      <c r="D609" t="s">
        <v>581</v>
      </c>
      <c r="E609" t="s">
        <v>594</v>
      </c>
      <c r="F609" t="s">
        <v>595</v>
      </c>
      <c r="G609" t="s">
        <v>89</v>
      </c>
      <c r="H609" t="s">
        <v>30</v>
      </c>
      <c r="I609" t="s">
        <v>30</v>
      </c>
      <c r="J609" t="s">
        <v>41</v>
      </c>
      <c r="K609" t="s">
        <v>32</v>
      </c>
      <c r="L609" t="s">
        <v>32</v>
      </c>
      <c r="M609" t="s">
        <v>33</v>
      </c>
      <c r="P609" t="s">
        <v>34</v>
      </c>
      <c r="Q609" t="s">
        <v>35</v>
      </c>
      <c r="R609" t="s">
        <v>173</v>
      </c>
      <c r="S609" t="s">
        <v>30</v>
      </c>
      <c r="T609" t="s">
        <v>602</v>
      </c>
      <c r="U609" t="s">
        <v>603</v>
      </c>
      <c r="V609" t="s">
        <v>40</v>
      </c>
      <c r="W609" s="1">
        <v>7705000</v>
      </c>
    </row>
    <row r="610" spans="1:23" x14ac:dyDescent="0.2">
      <c r="A610" t="s">
        <v>23</v>
      </c>
      <c r="B610" t="s">
        <v>24</v>
      </c>
      <c r="C610" t="s">
        <v>25</v>
      </c>
      <c r="D610" t="s">
        <v>581</v>
      </c>
      <c r="E610" t="s">
        <v>594</v>
      </c>
      <c r="F610" t="s">
        <v>595</v>
      </c>
      <c r="G610" t="s">
        <v>106</v>
      </c>
      <c r="H610" t="s">
        <v>30</v>
      </c>
      <c r="I610" t="s">
        <v>30</v>
      </c>
      <c r="J610" t="s">
        <v>41</v>
      </c>
      <c r="K610" t="s">
        <v>32</v>
      </c>
      <c r="L610" t="s">
        <v>32</v>
      </c>
      <c r="M610" t="s">
        <v>176</v>
      </c>
      <c r="P610" t="s">
        <v>34</v>
      </c>
      <c r="Q610" t="s">
        <v>35</v>
      </c>
      <c r="R610" t="s">
        <v>173</v>
      </c>
      <c r="S610" t="s">
        <v>30</v>
      </c>
      <c r="T610" t="s">
        <v>602</v>
      </c>
      <c r="U610" t="s">
        <v>603</v>
      </c>
      <c r="V610" t="s">
        <v>39</v>
      </c>
      <c r="W610" s="1">
        <v>1</v>
      </c>
    </row>
    <row r="611" spans="1:23" x14ac:dyDescent="0.2">
      <c r="A611" t="s">
        <v>23</v>
      </c>
      <c r="B611" t="s">
        <v>24</v>
      </c>
      <c r="C611" t="s">
        <v>25</v>
      </c>
      <c r="D611" t="s">
        <v>581</v>
      </c>
      <c r="E611" t="s">
        <v>594</v>
      </c>
      <c r="F611" t="s">
        <v>595</v>
      </c>
      <c r="G611" t="s">
        <v>106</v>
      </c>
      <c r="H611" t="s">
        <v>30</v>
      </c>
      <c r="I611" t="s">
        <v>30</v>
      </c>
      <c r="J611" t="s">
        <v>41</v>
      </c>
      <c r="K611" t="s">
        <v>32</v>
      </c>
      <c r="L611" t="s">
        <v>32</v>
      </c>
      <c r="M611" t="s">
        <v>176</v>
      </c>
      <c r="P611" t="s">
        <v>34</v>
      </c>
      <c r="Q611" t="s">
        <v>35</v>
      </c>
      <c r="R611" t="s">
        <v>173</v>
      </c>
      <c r="S611" t="s">
        <v>30</v>
      </c>
      <c r="T611" t="s">
        <v>602</v>
      </c>
      <c r="U611" t="s">
        <v>603</v>
      </c>
      <c r="V611" t="s">
        <v>40</v>
      </c>
      <c r="W611" s="1">
        <v>1541000</v>
      </c>
    </row>
    <row r="612" spans="1:23" x14ac:dyDescent="0.2">
      <c r="A612" t="s">
        <v>23</v>
      </c>
      <c r="B612" t="s">
        <v>24</v>
      </c>
      <c r="C612" t="s">
        <v>25</v>
      </c>
      <c r="D612" t="s">
        <v>581</v>
      </c>
      <c r="E612" t="s">
        <v>594</v>
      </c>
      <c r="F612" t="s">
        <v>595</v>
      </c>
      <c r="G612" t="s">
        <v>139</v>
      </c>
      <c r="H612" t="s">
        <v>30</v>
      </c>
      <c r="I612" t="s">
        <v>30</v>
      </c>
      <c r="J612" t="s">
        <v>41</v>
      </c>
      <c r="K612" t="s">
        <v>32</v>
      </c>
      <c r="L612" t="s">
        <v>32</v>
      </c>
      <c r="M612" t="s">
        <v>33</v>
      </c>
      <c r="N612" t="s">
        <v>33</v>
      </c>
      <c r="O612" t="s">
        <v>33</v>
      </c>
      <c r="P612" t="s">
        <v>34</v>
      </c>
      <c r="Q612" t="s">
        <v>35</v>
      </c>
      <c r="R612" t="s">
        <v>173</v>
      </c>
      <c r="S612" t="s">
        <v>30</v>
      </c>
      <c r="T612" t="s">
        <v>602</v>
      </c>
      <c r="U612" t="s">
        <v>603</v>
      </c>
      <c r="V612" t="s">
        <v>39</v>
      </c>
      <c r="W612" s="1">
        <v>1</v>
      </c>
    </row>
    <row r="613" spans="1:23" x14ac:dyDescent="0.2">
      <c r="A613" t="s">
        <v>23</v>
      </c>
      <c r="B613" t="s">
        <v>24</v>
      </c>
      <c r="C613" t="s">
        <v>25</v>
      </c>
      <c r="D613" t="s">
        <v>581</v>
      </c>
      <c r="E613" t="s">
        <v>594</v>
      </c>
      <c r="F613" t="s">
        <v>595</v>
      </c>
      <c r="G613" t="s">
        <v>139</v>
      </c>
      <c r="H613" t="s">
        <v>30</v>
      </c>
      <c r="I613" t="s">
        <v>30</v>
      </c>
      <c r="J613" t="s">
        <v>41</v>
      </c>
      <c r="K613" t="s">
        <v>32</v>
      </c>
      <c r="L613" t="s">
        <v>32</v>
      </c>
      <c r="M613" t="s">
        <v>33</v>
      </c>
      <c r="N613" t="s">
        <v>33</v>
      </c>
      <c r="O613" t="s">
        <v>33</v>
      </c>
      <c r="P613" t="s">
        <v>34</v>
      </c>
      <c r="Q613" t="s">
        <v>35</v>
      </c>
      <c r="R613" t="s">
        <v>173</v>
      </c>
      <c r="S613" t="s">
        <v>30</v>
      </c>
      <c r="T613" t="s">
        <v>602</v>
      </c>
      <c r="U613" t="s">
        <v>603</v>
      </c>
      <c r="V613" t="s">
        <v>40</v>
      </c>
      <c r="W613" s="1">
        <v>1541000</v>
      </c>
    </row>
    <row r="614" spans="1:23" x14ac:dyDescent="0.2">
      <c r="A614" t="s">
        <v>23</v>
      </c>
      <c r="B614" t="s">
        <v>24</v>
      </c>
      <c r="C614" t="s">
        <v>25</v>
      </c>
      <c r="D614" t="s">
        <v>581</v>
      </c>
      <c r="E614" t="s">
        <v>594</v>
      </c>
      <c r="F614" t="s">
        <v>595</v>
      </c>
      <c r="G614" t="s">
        <v>139</v>
      </c>
      <c r="H614" t="s">
        <v>30</v>
      </c>
      <c r="I614" t="s">
        <v>30</v>
      </c>
      <c r="J614" t="s">
        <v>41</v>
      </c>
      <c r="K614" t="s">
        <v>32</v>
      </c>
      <c r="L614" t="s">
        <v>32</v>
      </c>
      <c r="M614" t="s">
        <v>33</v>
      </c>
      <c r="P614" t="s">
        <v>34</v>
      </c>
      <c r="Q614" t="s">
        <v>35</v>
      </c>
      <c r="R614" t="s">
        <v>54</v>
      </c>
      <c r="S614" t="s">
        <v>30</v>
      </c>
      <c r="T614" t="s">
        <v>604</v>
      </c>
      <c r="U614" t="s">
        <v>605</v>
      </c>
      <c r="V614" t="s">
        <v>39</v>
      </c>
      <c r="W614" s="1">
        <v>4</v>
      </c>
    </row>
    <row r="615" spans="1:23" x14ac:dyDescent="0.2">
      <c r="A615" t="s">
        <v>23</v>
      </c>
      <c r="B615" t="s">
        <v>24</v>
      </c>
      <c r="C615" t="s">
        <v>25</v>
      </c>
      <c r="D615" t="s">
        <v>581</v>
      </c>
      <c r="E615" t="s">
        <v>594</v>
      </c>
      <c r="F615" t="s">
        <v>595</v>
      </c>
      <c r="G615" t="s">
        <v>139</v>
      </c>
      <c r="H615" t="s">
        <v>30</v>
      </c>
      <c r="I615" t="s">
        <v>30</v>
      </c>
      <c r="J615" t="s">
        <v>41</v>
      </c>
      <c r="K615" t="s">
        <v>32</v>
      </c>
      <c r="L615" t="s">
        <v>32</v>
      </c>
      <c r="M615" t="s">
        <v>33</v>
      </c>
      <c r="P615" t="s">
        <v>34</v>
      </c>
      <c r="Q615" t="s">
        <v>35</v>
      </c>
      <c r="R615" t="s">
        <v>54</v>
      </c>
      <c r="S615" t="s">
        <v>30</v>
      </c>
      <c r="T615" t="s">
        <v>604</v>
      </c>
      <c r="U615" t="s">
        <v>605</v>
      </c>
      <c r="V615" t="s">
        <v>40</v>
      </c>
      <c r="W615" s="1">
        <v>4164400</v>
      </c>
    </row>
    <row r="616" spans="1:23" x14ac:dyDescent="0.2">
      <c r="A616" t="s">
        <v>23</v>
      </c>
      <c r="B616" t="s">
        <v>24</v>
      </c>
      <c r="C616" t="s">
        <v>25</v>
      </c>
      <c r="D616" t="s">
        <v>581</v>
      </c>
      <c r="E616" t="s">
        <v>606</v>
      </c>
      <c r="F616" t="s">
        <v>607</v>
      </c>
      <c r="G616" t="s">
        <v>49</v>
      </c>
      <c r="H616" t="s">
        <v>30</v>
      </c>
      <c r="I616" t="s">
        <v>30</v>
      </c>
      <c r="J616" t="s">
        <v>57</v>
      </c>
      <c r="K616" t="s">
        <v>32</v>
      </c>
      <c r="L616" t="s">
        <v>32</v>
      </c>
      <c r="M616" t="s">
        <v>33</v>
      </c>
      <c r="N616" t="s">
        <v>33</v>
      </c>
      <c r="O616" t="s">
        <v>33</v>
      </c>
      <c r="P616" t="s">
        <v>34</v>
      </c>
      <c r="Q616" t="s">
        <v>35</v>
      </c>
      <c r="R616" t="s">
        <v>294</v>
      </c>
      <c r="S616" t="s">
        <v>30</v>
      </c>
      <c r="T616" t="s">
        <v>608</v>
      </c>
      <c r="U616" t="s">
        <v>609</v>
      </c>
      <c r="V616" t="s">
        <v>39</v>
      </c>
      <c r="W616" s="1">
        <v>2</v>
      </c>
    </row>
    <row r="617" spans="1:23" x14ac:dyDescent="0.2">
      <c r="A617" t="s">
        <v>23</v>
      </c>
      <c r="B617" t="s">
        <v>24</v>
      </c>
      <c r="C617" t="s">
        <v>25</v>
      </c>
      <c r="D617" t="s">
        <v>581</v>
      </c>
      <c r="E617" t="s">
        <v>606</v>
      </c>
      <c r="F617" t="s">
        <v>607</v>
      </c>
      <c r="G617" t="s">
        <v>49</v>
      </c>
      <c r="H617" t="s">
        <v>30</v>
      </c>
      <c r="I617" t="s">
        <v>30</v>
      </c>
      <c r="J617" t="s">
        <v>57</v>
      </c>
      <c r="K617" t="s">
        <v>32</v>
      </c>
      <c r="L617" t="s">
        <v>32</v>
      </c>
      <c r="M617" t="s">
        <v>33</v>
      </c>
      <c r="N617" t="s">
        <v>33</v>
      </c>
      <c r="O617" t="s">
        <v>33</v>
      </c>
      <c r="P617" t="s">
        <v>34</v>
      </c>
      <c r="Q617" t="s">
        <v>35</v>
      </c>
      <c r="R617" t="s">
        <v>294</v>
      </c>
      <c r="S617" t="s">
        <v>30</v>
      </c>
      <c r="T617" t="s">
        <v>608</v>
      </c>
      <c r="U617" t="s">
        <v>609</v>
      </c>
      <c r="V617" t="s">
        <v>40</v>
      </c>
      <c r="W617" s="1">
        <v>3746800</v>
      </c>
    </row>
    <row r="618" spans="1:23" x14ac:dyDescent="0.2">
      <c r="A618" t="s">
        <v>23</v>
      </c>
      <c r="B618" t="s">
        <v>24</v>
      </c>
      <c r="C618" t="s">
        <v>25</v>
      </c>
      <c r="D618" t="s">
        <v>581</v>
      </c>
      <c r="E618" t="s">
        <v>606</v>
      </c>
      <c r="F618" t="s">
        <v>607</v>
      </c>
      <c r="G618" t="s">
        <v>49</v>
      </c>
      <c r="H618" t="s">
        <v>30</v>
      </c>
      <c r="I618" t="s">
        <v>30</v>
      </c>
      <c r="J618" t="s">
        <v>610</v>
      </c>
      <c r="K618" t="s">
        <v>611</v>
      </c>
      <c r="L618" t="s">
        <v>32</v>
      </c>
      <c r="M618" t="s">
        <v>33</v>
      </c>
      <c r="N618" t="s">
        <v>33</v>
      </c>
      <c r="O618" t="s">
        <v>33</v>
      </c>
      <c r="P618" t="s">
        <v>34</v>
      </c>
      <c r="Q618" t="s">
        <v>35</v>
      </c>
      <c r="R618" t="s">
        <v>612</v>
      </c>
      <c r="S618" t="s">
        <v>30</v>
      </c>
      <c r="T618" t="s">
        <v>613</v>
      </c>
      <c r="U618" t="s">
        <v>614</v>
      </c>
      <c r="V618" t="s">
        <v>39</v>
      </c>
      <c r="W618" s="1">
        <v>2</v>
      </c>
    </row>
    <row r="619" spans="1:23" x14ac:dyDescent="0.2">
      <c r="A619" t="s">
        <v>23</v>
      </c>
      <c r="B619" t="s">
        <v>24</v>
      </c>
      <c r="C619" t="s">
        <v>25</v>
      </c>
      <c r="D619" t="s">
        <v>581</v>
      </c>
      <c r="E619" t="s">
        <v>606</v>
      </c>
      <c r="F619" t="s">
        <v>607</v>
      </c>
      <c r="G619" t="s">
        <v>49</v>
      </c>
      <c r="H619" t="s">
        <v>30</v>
      </c>
      <c r="I619" t="s">
        <v>30</v>
      </c>
      <c r="J619" t="s">
        <v>610</v>
      </c>
      <c r="K619" t="s">
        <v>611</v>
      </c>
      <c r="L619" t="s">
        <v>32</v>
      </c>
      <c r="M619" t="s">
        <v>33</v>
      </c>
      <c r="N619" t="s">
        <v>33</v>
      </c>
      <c r="O619" t="s">
        <v>33</v>
      </c>
      <c r="P619" t="s">
        <v>34</v>
      </c>
      <c r="Q619" t="s">
        <v>35</v>
      </c>
      <c r="R619" t="s">
        <v>612</v>
      </c>
      <c r="S619" t="s">
        <v>30</v>
      </c>
      <c r="T619" t="s">
        <v>613</v>
      </c>
      <c r="U619" t="s">
        <v>614</v>
      </c>
      <c r="V619" t="s">
        <v>40</v>
      </c>
      <c r="W619" s="1">
        <v>198000</v>
      </c>
    </row>
    <row r="620" spans="1:23" x14ac:dyDescent="0.2">
      <c r="A620" t="s">
        <v>23</v>
      </c>
      <c r="B620" t="s">
        <v>24</v>
      </c>
      <c r="C620" t="s">
        <v>25</v>
      </c>
      <c r="D620" t="s">
        <v>581</v>
      </c>
      <c r="E620" t="s">
        <v>606</v>
      </c>
      <c r="F620" t="s">
        <v>607</v>
      </c>
      <c r="G620" t="s">
        <v>61</v>
      </c>
      <c r="H620" t="s">
        <v>52</v>
      </c>
      <c r="I620" t="s">
        <v>52</v>
      </c>
      <c r="J620" t="s">
        <v>41</v>
      </c>
      <c r="K620" t="s">
        <v>32</v>
      </c>
      <c r="L620" t="s">
        <v>32</v>
      </c>
      <c r="M620" t="s">
        <v>33</v>
      </c>
      <c r="N620" t="s">
        <v>33</v>
      </c>
      <c r="O620" t="s">
        <v>33</v>
      </c>
      <c r="P620" t="s">
        <v>34</v>
      </c>
      <c r="Q620" t="s">
        <v>35</v>
      </c>
      <c r="R620" t="s">
        <v>36</v>
      </c>
      <c r="S620" t="s">
        <v>30</v>
      </c>
      <c r="T620" t="s">
        <v>615</v>
      </c>
      <c r="U620" t="s">
        <v>616</v>
      </c>
      <c r="V620" t="s">
        <v>39</v>
      </c>
      <c r="W620" s="1">
        <v>4</v>
      </c>
    </row>
    <row r="621" spans="1:23" x14ac:dyDescent="0.2">
      <c r="A621" t="s">
        <v>23</v>
      </c>
      <c r="B621" t="s">
        <v>24</v>
      </c>
      <c r="C621" t="s">
        <v>25</v>
      </c>
      <c r="D621" t="s">
        <v>581</v>
      </c>
      <c r="E621" t="s">
        <v>606</v>
      </c>
      <c r="F621" t="s">
        <v>607</v>
      </c>
      <c r="G621" t="s">
        <v>61</v>
      </c>
      <c r="H621" t="s">
        <v>52</v>
      </c>
      <c r="I621" t="s">
        <v>52</v>
      </c>
      <c r="J621" t="s">
        <v>41</v>
      </c>
      <c r="K621" t="s">
        <v>32</v>
      </c>
      <c r="L621" t="s">
        <v>32</v>
      </c>
      <c r="M621" t="s">
        <v>33</v>
      </c>
      <c r="N621" t="s">
        <v>33</v>
      </c>
      <c r="O621" t="s">
        <v>33</v>
      </c>
      <c r="P621" t="s">
        <v>34</v>
      </c>
      <c r="Q621" t="s">
        <v>35</v>
      </c>
      <c r="R621" t="s">
        <v>36</v>
      </c>
      <c r="S621" t="s">
        <v>30</v>
      </c>
      <c r="T621" t="s">
        <v>615</v>
      </c>
      <c r="U621" t="s">
        <v>616</v>
      </c>
      <c r="V621" t="s">
        <v>40</v>
      </c>
      <c r="W621" s="1">
        <v>4737600</v>
      </c>
    </row>
    <row r="622" spans="1:23" x14ac:dyDescent="0.2">
      <c r="A622" t="s">
        <v>23</v>
      </c>
      <c r="B622" t="s">
        <v>24</v>
      </c>
      <c r="C622" t="s">
        <v>25</v>
      </c>
      <c r="D622" t="s">
        <v>581</v>
      </c>
      <c r="E622" t="s">
        <v>606</v>
      </c>
      <c r="F622" t="s">
        <v>607</v>
      </c>
      <c r="G622" t="s">
        <v>170</v>
      </c>
      <c r="H622" t="s">
        <v>52</v>
      </c>
      <c r="I622" t="s">
        <v>30</v>
      </c>
      <c r="J622" t="s">
        <v>31</v>
      </c>
      <c r="K622" t="s">
        <v>32</v>
      </c>
      <c r="L622" t="s">
        <v>32</v>
      </c>
      <c r="M622" t="s">
        <v>33</v>
      </c>
      <c r="N622" t="s">
        <v>33</v>
      </c>
      <c r="O622" t="s">
        <v>33</v>
      </c>
      <c r="P622" t="s">
        <v>34</v>
      </c>
      <c r="Q622" t="s">
        <v>35</v>
      </c>
      <c r="R622" t="s">
        <v>73</v>
      </c>
      <c r="S622" t="s">
        <v>30</v>
      </c>
      <c r="T622" t="s">
        <v>617</v>
      </c>
      <c r="U622" t="s">
        <v>618</v>
      </c>
      <c r="V622" t="s">
        <v>39</v>
      </c>
      <c r="W622" s="1">
        <v>2</v>
      </c>
    </row>
    <row r="623" spans="1:23" x14ac:dyDescent="0.2">
      <c r="A623" t="s">
        <v>23</v>
      </c>
      <c r="B623" t="s">
        <v>24</v>
      </c>
      <c r="C623" t="s">
        <v>25</v>
      </c>
      <c r="D623" t="s">
        <v>581</v>
      </c>
      <c r="E623" t="s">
        <v>606</v>
      </c>
      <c r="F623" t="s">
        <v>607</v>
      </c>
      <c r="G623" t="s">
        <v>170</v>
      </c>
      <c r="H623" t="s">
        <v>52</v>
      </c>
      <c r="I623" t="s">
        <v>30</v>
      </c>
      <c r="J623" t="s">
        <v>31</v>
      </c>
      <c r="K623" t="s">
        <v>32</v>
      </c>
      <c r="L623" t="s">
        <v>32</v>
      </c>
      <c r="M623" t="s">
        <v>33</v>
      </c>
      <c r="N623" t="s">
        <v>33</v>
      </c>
      <c r="O623" t="s">
        <v>33</v>
      </c>
      <c r="P623" t="s">
        <v>34</v>
      </c>
      <c r="Q623" t="s">
        <v>35</v>
      </c>
      <c r="R623" t="s">
        <v>73</v>
      </c>
      <c r="S623" t="s">
        <v>30</v>
      </c>
      <c r="T623" t="s">
        <v>617</v>
      </c>
      <c r="U623" t="s">
        <v>618</v>
      </c>
      <c r="V623" t="s">
        <v>40</v>
      </c>
      <c r="W623" s="1">
        <v>1599800</v>
      </c>
    </row>
    <row r="624" spans="1:23" x14ac:dyDescent="0.2">
      <c r="A624" t="s">
        <v>23</v>
      </c>
      <c r="B624" t="s">
        <v>24</v>
      </c>
      <c r="C624" t="s">
        <v>25</v>
      </c>
      <c r="D624" t="s">
        <v>581</v>
      </c>
      <c r="E624" t="s">
        <v>606</v>
      </c>
      <c r="F624" t="s">
        <v>607</v>
      </c>
      <c r="G624" t="s">
        <v>170</v>
      </c>
      <c r="H624" t="s">
        <v>52</v>
      </c>
      <c r="I624" t="s">
        <v>30</v>
      </c>
      <c r="J624" t="s">
        <v>41</v>
      </c>
      <c r="K624" t="s">
        <v>32</v>
      </c>
      <c r="L624" t="s">
        <v>32</v>
      </c>
      <c r="M624" t="s">
        <v>33</v>
      </c>
      <c r="P624" t="s">
        <v>34</v>
      </c>
      <c r="Q624" t="s">
        <v>35</v>
      </c>
      <c r="S624" t="s">
        <v>52</v>
      </c>
      <c r="T624" t="s">
        <v>619</v>
      </c>
      <c r="U624" t="s">
        <v>620</v>
      </c>
      <c r="V624" t="s">
        <v>39</v>
      </c>
      <c r="W624" s="1">
        <v>0</v>
      </c>
    </row>
    <row r="625" spans="1:23" x14ac:dyDescent="0.2">
      <c r="A625" t="s">
        <v>23</v>
      </c>
      <c r="B625" t="s">
        <v>24</v>
      </c>
      <c r="C625" t="s">
        <v>25</v>
      </c>
      <c r="D625" t="s">
        <v>581</v>
      </c>
      <c r="E625" t="s">
        <v>606</v>
      </c>
      <c r="F625" t="s">
        <v>607</v>
      </c>
      <c r="G625" t="s">
        <v>170</v>
      </c>
      <c r="H625" t="s">
        <v>52</v>
      </c>
      <c r="I625" t="s">
        <v>30</v>
      </c>
      <c r="J625" t="s">
        <v>41</v>
      </c>
      <c r="K625" t="s">
        <v>32</v>
      </c>
      <c r="L625" t="s">
        <v>32</v>
      </c>
      <c r="M625" t="s">
        <v>33</v>
      </c>
      <c r="P625" t="s">
        <v>34</v>
      </c>
      <c r="Q625" t="s">
        <v>35</v>
      </c>
      <c r="S625" t="s">
        <v>52</v>
      </c>
      <c r="T625" t="s">
        <v>619</v>
      </c>
      <c r="U625" t="s">
        <v>620</v>
      </c>
      <c r="V625" t="s">
        <v>40</v>
      </c>
      <c r="W625" s="1">
        <v>1075000</v>
      </c>
    </row>
    <row r="626" spans="1:23" x14ac:dyDescent="0.2">
      <c r="A626" t="s">
        <v>23</v>
      </c>
      <c r="B626" t="s">
        <v>24</v>
      </c>
      <c r="C626" t="s">
        <v>25</v>
      </c>
      <c r="D626" t="s">
        <v>581</v>
      </c>
      <c r="E626" t="s">
        <v>606</v>
      </c>
      <c r="F626" t="s">
        <v>607</v>
      </c>
      <c r="G626" t="s">
        <v>64</v>
      </c>
      <c r="H626" t="s">
        <v>30</v>
      </c>
      <c r="I626" t="s">
        <v>52</v>
      </c>
      <c r="J626" t="s">
        <v>41</v>
      </c>
      <c r="K626" t="s">
        <v>32</v>
      </c>
      <c r="L626" t="s">
        <v>32</v>
      </c>
      <c r="M626" t="s">
        <v>33</v>
      </c>
      <c r="N626" t="s">
        <v>33</v>
      </c>
      <c r="O626" t="s">
        <v>33</v>
      </c>
      <c r="P626" t="s">
        <v>34</v>
      </c>
      <c r="Q626" t="s">
        <v>35</v>
      </c>
      <c r="S626" t="s">
        <v>30</v>
      </c>
      <c r="T626" t="s">
        <v>621</v>
      </c>
      <c r="U626" t="s">
        <v>622</v>
      </c>
      <c r="V626" t="s">
        <v>39</v>
      </c>
      <c r="W626" s="1">
        <v>2</v>
      </c>
    </row>
    <row r="627" spans="1:23" x14ac:dyDescent="0.2">
      <c r="A627" t="s">
        <v>23</v>
      </c>
      <c r="B627" t="s">
        <v>24</v>
      </c>
      <c r="C627" t="s">
        <v>25</v>
      </c>
      <c r="D627" t="s">
        <v>581</v>
      </c>
      <c r="E627" t="s">
        <v>606</v>
      </c>
      <c r="F627" t="s">
        <v>607</v>
      </c>
      <c r="G627" t="s">
        <v>64</v>
      </c>
      <c r="H627" t="s">
        <v>30</v>
      </c>
      <c r="I627" t="s">
        <v>52</v>
      </c>
      <c r="J627" t="s">
        <v>41</v>
      </c>
      <c r="K627" t="s">
        <v>32</v>
      </c>
      <c r="L627" t="s">
        <v>32</v>
      </c>
      <c r="M627" t="s">
        <v>33</v>
      </c>
      <c r="N627" t="s">
        <v>33</v>
      </c>
      <c r="O627" t="s">
        <v>33</v>
      </c>
      <c r="P627" t="s">
        <v>34</v>
      </c>
      <c r="Q627" t="s">
        <v>35</v>
      </c>
      <c r="S627" t="s">
        <v>30</v>
      </c>
      <c r="T627" t="s">
        <v>621</v>
      </c>
      <c r="U627" t="s">
        <v>622</v>
      </c>
      <c r="V627" t="s">
        <v>40</v>
      </c>
      <c r="W627" s="1">
        <v>3651600</v>
      </c>
    </row>
    <row r="628" spans="1:23" x14ac:dyDescent="0.2">
      <c r="A628" t="s">
        <v>23</v>
      </c>
      <c r="B628" t="s">
        <v>24</v>
      </c>
      <c r="C628" t="s">
        <v>25</v>
      </c>
      <c r="D628" t="s">
        <v>581</v>
      </c>
      <c r="E628" t="s">
        <v>606</v>
      </c>
      <c r="F628" t="s">
        <v>607</v>
      </c>
      <c r="G628" t="s">
        <v>67</v>
      </c>
      <c r="H628" t="s">
        <v>30</v>
      </c>
      <c r="I628" t="s">
        <v>30</v>
      </c>
      <c r="J628" t="s">
        <v>41</v>
      </c>
      <c r="K628" t="s">
        <v>32</v>
      </c>
      <c r="L628" t="s">
        <v>32</v>
      </c>
      <c r="M628" t="s">
        <v>33</v>
      </c>
      <c r="P628" t="s">
        <v>34</v>
      </c>
      <c r="Q628" t="s">
        <v>35</v>
      </c>
      <c r="R628" t="s">
        <v>54</v>
      </c>
      <c r="S628" t="s">
        <v>52</v>
      </c>
      <c r="T628" t="s">
        <v>623</v>
      </c>
      <c r="U628" t="s">
        <v>624</v>
      </c>
      <c r="V628" t="s">
        <v>39</v>
      </c>
      <c r="W628" s="1">
        <v>0</v>
      </c>
    </row>
    <row r="629" spans="1:23" x14ac:dyDescent="0.2">
      <c r="A629" t="s">
        <v>23</v>
      </c>
      <c r="B629" t="s">
        <v>24</v>
      </c>
      <c r="C629" t="s">
        <v>25</v>
      </c>
      <c r="D629" t="s">
        <v>581</v>
      </c>
      <c r="E629" t="s">
        <v>606</v>
      </c>
      <c r="F629" t="s">
        <v>607</v>
      </c>
      <c r="G629" t="s">
        <v>67</v>
      </c>
      <c r="H629" t="s">
        <v>30</v>
      </c>
      <c r="I629" t="s">
        <v>30</v>
      </c>
      <c r="J629" t="s">
        <v>41</v>
      </c>
      <c r="K629" t="s">
        <v>32</v>
      </c>
      <c r="L629" t="s">
        <v>32</v>
      </c>
      <c r="M629" t="s">
        <v>33</v>
      </c>
      <c r="P629" t="s">
        <v>34</v>
      </c>
      <c r="Q629" t="s">
        <v>35</v>
      </c>
      <c r="R629" t="s">
        <v>54</v>
      </c>
      <c r="S629" t="s">
        <v>52</v>
      </c>
      <c r="T629" t="s">
        <v>623</v>
      </c>
      <c r="U629" t="s">
        <v>624</v>
      </c>
      <c r="V629" t="s">
        <v>40</v>
      </c>
      <c r="W629" s="1">
        <v>2978600</v>
      </c>
    </row>
    <row r="630" spans="1:23" x14ac:dyDescent="0.2">
      <c r="A630" t="s">
        <v>23</v>
      </c>
      <c r="B630" t="s">
        <v>24</v>
      </c>
      <c r="C630" t="s">
        <v>25</v>
      </c>
      <c r="D630" t="s">
        <v>581</v>
      </c>
      <c r="E630" t="s">
        <v>606</v>
      </c>
      <c r="F630" t="s">
        <v>607</v>
      </c>
      <c r="G630" t="s">
        <v>89</v>
      </c>
      <c r="H630" t="s">
        <v>30</v>
      </c>
      <c r="I630" t="s">
        <v>30</v>
      </c>
      <c r="J630" t="s">
        <v>41</v>
      </c>
      <c r="K630" t="s">
        <v>32</v>
      </c>
      <c r="L630" t="s">
        <v>32</v>
      </c>
      <c r="M630" t="s">
        <v>33</v>
      </c>
      <c r="N630" t="s">
        <v>33</v>
      </c>
      <c r="O630" t="s">
        <v>33</v>
      </c>
      <c r="P630" t="s">
        <v>34</v>
      </c>
      <c r="Q630" t="s">
        <v>35</v>
      </c>
      <c r="R630" t="s">
        <v>96</v>
      </c>
      <c r="S630" t="s">
        <v>30</v>
      </c>
      <c r="T630" t="s">
        <v>625</v>
      </c>
      <c r="U630" t="s">
        <v>626</v>
      </c>
      <c r="V630" t="s">
        <v>39</v>
      </c>
      <c r="W630" s="1">
        <v>2</v>
      </c>
    </row>
    <row r="631" spans="1:23" x14ac:dyDescent="0.2">
      <c r="A631" t="s">
        <v>23</v>
      </c>
      <c r="B631" t="s">
        <v>24</v>
      </c>
      <c r="C631" t="s">
        <v>25</v>
      </c>
      <c r="D631" t="s">
        <v>581</v>
      </c>
      <c r="E631" t="s">
        <v>606</v>
      </c>
      <c r="F631" t="s">
        <v>607</v>
      </c>
      <c r="G631" t="s">
        <v>89</v>
      </c>
      <c r="H631" t="s">
        <v>30</v>
      </c>
      <c r="I631" t="s">
        <v>30</v>
      </c>
      <c r="J631" t="s">
        <v>41</v>
      </c>
      <c r="K631" t="s">
        <v>32</v>
      </c>
      <c r="L631" t="s">
        <v>32</v>
      </c>
      <c r="M631" t="s">
        <v>33</v>
      </c>
      <c r="N631" t="s">
        <v>33</v>
      </c>
      <c r="O631" t="s">
        <v>33</v>
      </c>
      <c r="P631" t="s">
        <v>34</v>
      </c>
      <c r="Q631" t="s">
        <v>35</v>
      </c>
      <c r="R631" t="s">
        <v>96</v>
      </c>
      <c r="S631" t="s">
        <v>30</v>
      </c>
      <c r="T631" t="s">
        <v>625</v>
      </c>
      <c r="U631" t="s">
        <v>626</v>
      </c>
      <c r="V631" t="s">
        <v>40</v>
      </c>
      <c r="W631" s="1">
        <v>10410000</v>
      </c>
    </row>
    <row r="632" spans="1:23" x14ac:dyDescent="0.2">
      <c r="A632" t="s">
        <v>23</v>
      </c>
      <c r="B632" t="s">
        <v>24</v>
      </c>
      <c r="C632" t="s">
        <v>25</v>
      </c>
      <c r="D632" t="s">
        <v>581</v>
      </c>
      <c r="E632" t="s">
        <v>606</v>
      </c>
      <c r="F632" t="s">
        <v>607</v>
      </c>
      <c r="G632" t="s">
        <v>106</v>
      </c>
      <c r="H632" t="s">
        <v>30</v>
      </c>
      <c r="I632" t="s">
        <v>30</v>
      </c>
      <c r="J632" t="s">
        <v>128</v>
      </c>
      <c r="K632" t="s">
        <v>181</v>
      </c>
      <c r="L632" t="s">
        <v>32</v>
      </c>
      <c r="M632" t="s">
        <v>33</v>
      </c>
      <c r="P632" t="s">
        <v>372</v>
      </c>
      <c r="Q632" t="s">
        <v>373</v>
      </c>
      <c r="S632" t="s">
        <v>30</v>
      </c>
      <c r="T632" t="s">
        <v>627</v>
      </c>
      <c r="U632" t="s">
        <v>628</v>
      </c>
      <c r="V632" t="s">
        <v>39</v>
      </c>
      <c r="W632" s="1">
        <v>1</v>
      </c>
    </row>
    <row r="633" spans="1:23" x14ac:dyDescent="0.2">
      <c r="A633" t="s">
        <v>23</v>
      </c>
      <c r="B633" t="s">
        <v>24</v>
      </c>
      <c r="C633" t="s">
        <v>25</v>
      </c>
      <c r="D633" t="s">
        <v>581</v>
      </c>
      <c r="E633" t="s">
        <v>606</v>
      </c>
      <c r="F633" t="s">
        <v>607</v>
      </c>
      <c r="G633" t="s">
        <v>106</v>
      </c>
      <c r="H633" t="s">
        <v>30</v>
      </c>
      <c r="I633" t="s">
        <v>30</v>
      </c>
      <c r="J633" t="s">
        <v>128</v>
      </c>
      <c r="K633" t="s">
        <v>181</v>
      </c>
      <c r="L633" t="s">
        <v>32</v>
      </c>
      <c r="M633" t="s">
        <v>33</v>
      </c>
      <c r="P633" t="s">
        <v>372</v>
      </c>
      <c r="Q633" t="s">
        <v>373</v>
      </c>
      <c r="S633" t="s">
        <v>30</v>
      </c>
      <c r="T633" t="s">
        <v>627</v>
      </c>
      <c r="U633" t="s">
        <v>628</v>
      </c>
      <c r="V633" t="s">
        <v>40</v>
      </c>
      <c r="W633" s="1">
        <v>16000000</v>
      </c>
    </row>
    <row r="634" spans="1:23" x14ac:dyDescent="0.2">
      <c r="A634" t="s">
        <v>23</v>
      </c>
      <c r="B634" t="s">
        <v>24</v>
      </c>
      <c r="C634" t="s">
        <v>25</v>
      </c>
      <c r="D634" t="s">
        <v>581</v>
      </c>
      <c r="E634" t="s">
        <v>606</v>
      </c>
      <c r="F634" t="s">
        <v>607</v>
      </c>
      <c r="G634" t="s">
        <v>127</v>
      </c>
      <c r="H634" t="s">
        <v>52</v>
      </c>
      <c r="I634" t="s">
        <v>30</v>
      </c>
      <c r="J634" t="s">
        <v>57</v>
      </c>
      <c r="K634" t="s">
        <v>32</v>
      </c>
      <c r="L634" t="s">
        <v>32</v>
      </c>
      <c r="M634" t="s">
        <v>33</v>
      </c>
      <c r="P634" t="s">
        <v>34</v>
      </c>
      <c r="Q634" t="s">
        <v>35</v>
      </c>
      <c r="S634" t="s">
        <v>30</v>
      </c>
      <c r="T634" t="s">
        <v>629</v>
      </c>
      <c r="U634" t="s">
        <v>630</v>
      </c>
      <c r="V634" t="s">
        <v>39</v>
      </c>
      <c r="W634" s="1">
        <v>6</v>
      </c>
    </row>
    <row r="635" spans="1:23" x14ac:dyDescent="0.2">
      <c r="A635" t="s">
        <v>23</v>
      </c>
      <c r="B635" t="s">
        <v>24</v>
      </c>
      <c r="C635" t="s">
        <v>25</v>
      </c>
      <c r="D635" t="s">
        <v>581</v>
      </c>
      <c r="E635" t="s">
        <v>606</v>
      </c>
      <c r="F635" t="s">
        <v>607</v>
      </c>
      <c r="G635" t="s">
        <v>127</v>
      </c>
      <c r="H635" t="s">
        <v>52</v>
      </c>
      <c r="I635" t="s">
        <v>30</v>
      </c>
      <c r="J635" t="s">
        <v>57</v>
      </c>
      <c r="K635" t="s">
        <v>32</v>
      </c>
      <c r="L635" t="s">
        <v>32</v>
      </c>
      <c r="M635" t="s">
        <v>33</v>
      </c>
      <c r="P635" t="s">
        <v>34</v>
      </c>
      <c r="Q635" t="s">
        <v>35</v>
      </c>
      <c r="S635" t="s">
        <v>30</v>
      </c>
      <c r="T635" t="s">
        <v>629</v>
      </c>
      <c r="U635" t="s">
        <v>630</v>
      </c>
      <c r="V635" t="s">
        <v>40</v>
      </c>
      <c r="W635" s="1">
        <v>6531000</v>
      </c>
    </row>
    <row r="636" spans="1:23" x14ac:dyDescent="0.2">
      <c r="A636" t="s">
        <v>23</v>
      </c>
      <c r="B636" t="s">
        <v>24</v>
      </c>
      <c r="C636" t="s">
        <v>25</v>
      </c>
      <c r="D636" t="s">
        <v>581</v>
      </c>
      <c r="E636" t="s">
        <v>606</v>
      </c>
      <c r="F636" t="s">
        <v>607</v>
      </c>
      <c r="G636" t="s">
        <v>134</v>
      </c>
      <c r="H636" t="s">
        <v>52</v>
      </c>
      <c r="I636" t="s">
        <v>30</v>
      </c>
      <c r="J636" t="s">
        <v>31</v>
      </c>
      <c r="K636" t="s">
        <v>32</v>
      </c>
      <c r="L636" t="s">
        <v>32</v>
      </c>
      <c r="M636" t="s">
        <v>33</v>
      </c>
      <c r="N636" t="s">
        <v>33</v>
      </c>
      <c r="O636" t="s">
        <v>33</v>
      </c>
      <c r="P636" t="s">
        <v>34</v>
      </c>
      <c r="Q636" t="s">
        <v>35</v>
      </c>
      <c r="R636" t="s">
        <v>44</v>
      </c>
      <c r="S636" t="s">
        <v>30</v>
      </c>
      <c r="T636" t="s">
        <v>631</v>
      </c>
      <c r="U636" t="s">
        <v>632</v>
      </c>
      <c r="V636" t="s">
        <v>39</v>
      </c>
      <c r="W636" s="1">
        <v>2</v>
      </c>
    </row>
    <row r="637" spans="1:23" x14ac:dyDescent="0.2">
      <c r="A637" t="s">
        <v>23</v>
      </c>
      <c r="B637" t="s">
        <v>24</v>
      </c>
      <c r="C637" t="s">
        <v>25</v>
      </c>
      <c r="D637" t="s">
        <v>581</v>
      </c>
      <c r="E637" t="s">
        <v>606</v>
      </c>
      <c r="F637" t="s">
        <v>607</v>
      </c>
      <c r="G637" t="s">
        <v>134</v>
      </c>
      <c r="H637" t="s">
        <v>52</v>
      </c>
      <c r="I637" t="s">
        <v>30</v>
      </c>
      <c r="J637" t="s">
        <v>31</v>
      </c>
      <c r="K637" t="s">
        <v>32</v>
      </c>
      <c r="L637" t="s">
        <v>32</v>
      </c>
      <c r="M637" t="s">
        <v>33</v>
      </c>
      <c r="N637" t="s">
        <v>33</v>
      </c>
      <c r="O637" t="s">
        <v>33</v>
      </c>
      <c r="P637" t="s">
        <v>34</v>
      </c>
      <c r="Q637" t="s">
        <v>35</v>
      </c>
      <c r="R637" t="s">
        <v>44</v>
      </c>
      <c r="S637" t="s">
        <v>30</v>
      </c>
      <c r="T637" t="s">
        <v>631</v>
      </c>
      <c r="U637" t="s">
        <v>632</v>
      </c>
      <c r="V637" t="s">
        <v>40</v>
      </c>
      <c r="W637" s="1">
        <v>2800200</v>
      </c>
    </row>
    <row r="638" spans="1:23" x14ac:dyDescent="0.2">
      <c r="A638" t="s">
        <v>23</v>
      </c>
      <c r="B638" t="s">
        <v>24</v>
      </c>
      <c r="C638" t="s">
        <v>25</v>
      </c>
      <c r="D638" t="s">
        <v>581</v>
      </c>
      <c r="E638" t="s">
        <v>606</v>
      </c>
      <c r="F638" t="s">
        <v>607</v>
      </c>
      <c r="G638" t="s">
        <v>134</v>
      </c>
      <c r="H638" t="s">
        <v>52</v>
      </c>
      <c r="I638" t="s">
        <v>30</v>
      </c>
      <c r="J638" t="s">
        <v>41</v>
      </c>
      <c r="K638" t="s">
        <v>32</v>
      </c>
      <c r="L638" t="s">
        <v>32</v>
      </c>
      <c r="M638" t="s">
        <v>33</v>
      </c>
      <c r="N638" t="s">
        <v>33</v>
      </c>
      <c r="O638" t="s">
        <v>33</v>
      </c>
      <c r="P638" t="s">
        <v>34</v>
      </c>
      <c r="Q638" t="s">
        <v>35</v>
      </c>
      <c r="R638" t="s">
        <v>54</v>
      </c>
      <c r="S638" t="s">
        <v>30</v>
      </c>
      <c r="T638" t="s">
        <v>633</v>
      </c>
      <c r="U638" t="s">
        <v>634</v>
      </c>
      <c r="V638" t="s">
        <v>39</v>
      </c>
      <c r="W638" s="1">
        <v>2</v>
      </c>
    </row>
    <row r="639" spans="1:23" x14ac:dyDescent="0.2">
      <c r="A639" t="s">
        <v>23</v>
      </c>
      <c r="B639" t="s">
        <v>24</v>
      </c>
      <c r="C639" t="s">
        <v>25</v>
      </c>
      <c r="D639" t="s">
        <v>581</v>
      </c>
      <c r="E639" t="s">
        <v>606</v>
      </c>
      <c r="F639" t="s">
        <v>607</v>
      </c>
      <c r="G639" t="s">
        <v>134</v>
      </c>
      <c r="H639" t="s">
        <v>52</v>
      </c>
      <c r="I639" t="s">
        <v>30</v>
      </c>
      <c r="J639" t="s">
        <v>41</v>
      </c>
      <c r="K639" t="s">
        <v>32</v>
      </c>
      <c r="L639" t="s">
        <v>32</v>
      </c>
      <c r="M639" t="s">
        <v>33</v>
      </c>
      <c r="N639" t="s">
        <v>33</v>
      </c>
      <c r="O639" t="s">
        <v>33</v>
      </c>
      <c r="P639" t="s">
        <v>34</v>
      </c>
      <c r="Q639" t="s">
        <v>35</v>
      </c>
      <c r="R639" t="s">
        <v>54</v>
      </c>
      <c r="S639" t="s">
        <v>30</v>
      </c>
      <c r="T639" t="s">
        <v>633</v>
      </c>
      <c r="U639" t="s">
        <v>634</v>
      </c>
      <c r="V639" t="s">
        <v>40</v>
      </c>
      <c r="W639" s="1">
        <v>3559800</v>
      </c>
    </row>
    <row r="640" spans="1:23" x14ac:dyDescent="0.2">
      <c r="A640" t="s">
        <v>23</v>
      </c>
      <c r="B640" t="s">
        <v>24</v>
      </c>
      <c r="C640" t="s">
        <v>25</v>
      </c>
      <c r="D640" t="s">
        <v>581</v>
      </c>
      <c r="E640" t="s">
        <v>606</v>
      </c>
      <c r="F640" t="s">
        <v>607</v>
      </c>
      <c r="G640" t="s">
        <v>134</v>
      </c>
      <c r="H640" t="s">
        <v>52</v>
      </c>
      <c r="I640" t="s">
        <v>30</v>
      </c>
      <c r="J640" t="s">
        <v>41</v>
      </c>
      <c r="K640" t="s">
        <v>32</v>
      </c>
      <c r="L640" t="s">
        <v>32</v>
      </c>
      <c r="M640" t="s">
        <v>33</v>
      </c>
      <c r="P640" t="s">
        <v>34</v>
      </c>
      <c r="Q640" t="s">
        <v>35</v>
      </c>
      <c r="R640" t="s">
        <v>294</v>
      </c>
      <c r="S640" t="s">
        <v>30</v>
      </c>
      <c r="T640" t="s">
        <v>635</v>
      </c>
      <c r="U640" t="s">
        <v>636</v>
      </c>
      <c r="V640" t="s">
        <v>39</v>
      </c>
      <c r="W640" s="1">
        <v>2</v>
      </c>
    </row>
    <row r="641" spans="1:23" x14ac:dyDescent="0.2">
      <c r="A641" t="s">
        <v>23</v>
      </c>
      <c r="B641" t="s">
        <v>24</v>
      </c>
      <c r="C641" t="s">
        <v>25</v>
      </c>
      <c r="D641" t="s">
        <v>581</v>
      </c>
      <c r="E641" t="s">
        <v>606</v>
      </c>
      <c r="F641" t="s">
        <v>607</v>
      </c>
      <c r="G641" t="s">
        <v>134</v>
      </c>
      <c r="H641" t="s">
        <v>52</v>
      </c>
      <c r="I641" t="s">
        <v>30</v>
      </c>
      <c r="J641" t="s">
        <v>41</v>
      </c>
      <c r="K641" t="s">
        <v>32</v>
      </c>
      <c r="L641" t="s">
        <v>32</v>
      </c>
      <c r="M641" t="s">
        <v>33</v>
      </c>
      <c r="P641" t="s">
        <v>34</v>
      </c>
      <c r="Q641" t="s">
        <v>35</v>
      </c>
      <c r="R641" t="s">
        <v>294</v>
      </c>
      <c r="S641" t="s">
        <v>30</v>
      </c>
      <c r="T641" t="s">
        <v>635</v>
      </c>
      <c r="U641" t="s">
        <v>636</v>
      </c>
      <c r="V641" t="s">
        <v>40</v>
      </c>
      <c r="W641" s="1">
        <v>2398000</v>
      </c>
    </row>
    <row r="642" spans="1:23" x14ac:dyDescent="0.2">
      <c r="A642" t="s">
        <v>23</v>
      </c>
      <c r="B642" t="s">
        <v>24</v>
      </c>
      <c r="C642" t="s">
        <v>25</v>
      </c>
      <c r="D642" t="s">
        <v>581</v>
      </c>
      <c r="E642" t="s">
        <v>637</v>
      </c>
      <c r="F642" t="s">
        <v>638</v>
      </c>
      <c r="G642" t="s">
        <v>49</v>
      </c>
      <c r="H642" t="s">
        <v>30</v>
      </c>
      <c r="I642" t="s">
        <v>30</v>
      </c>
      <c r="J642" t="s">
        <v>31</v>
      </c>
      <c r="K642" t="s">
        <v>32</v>
      </c>
      <c r="L642" t="s">
        <v>32</v>
      </c>
      <c r="M642" t="s">
        <v>33</v>
      </c>
      <c r="N642" t="s">
        <v>33</v>
      </c>
      <c r="O642" t="s">
        <v>33</v>
      </c>
      <c r="P642" t="s">
        <v>34</v>
      </c>
      <c r="Q642" t="s">
        <v>35</v>
      </c>
      <c r="S642" t="s">
        <v>30</v>
      </c>
      <c r="T642" t="s">
        <v>639</v>
      </c>
      <c r="U642" t="s">
        <v>640</v>
      </c>
      <c r="V642" t="s">
        <v>39</v>
      </c>
      <c r="W642" s="1">
        <v>2</v>
      </c>
    </row>
    <row r="643" spans="1:23" x14ac:dyDescent="0.2">
      <c r="A643" t="s">
        <v>23</v>
      </c>
      <c r="B643" t="s">
        <v>24</v>
      </c>
      <c r="C643" t="s">
        <v>25</v>
      </c>
      <c r="D643" t="s">
        <v>581</v>
      </c>
      <c r="E643" t="s">
        <v>637</v>
      </c>
      <c r="F643" t="s">
        <v>638</v>
      </c>
      <c r="G643" t="s">
        <v>49</v>
      </c>
      <c r="H643" t="s">
        <v>30</v>
      </c>
      <c r="I643" t="s">
        <v>30</v>
      </c>
      <c r="J643" t="s">
        <v>31</v>
      </c>
      <c r="K643" t="s">
        <v>32</v>
      </c>
      <c r="L643" t="s">
        <v>32</v>
      </c>
      <c r="M643" t="s">
        <v>33</v>
      </c>
      <c r="N643" t="s">
        <v>33</v>
      </c>
      <c r="O643" t="s">
        <v>33</v>
      </c>
      <c r="P643" t="s">
        <v>34</v>
      </c>
      <c r="Q643" t="s">
        <v>35</v>
      </c>
      <c r="S643" t="s">
        <v>30</v>
      </c>
      <c r="T643" t="s">
        <v>639</v>
      </c>
      <c r="U643" t="s">
        <v>640</v>
      </c>
      <c r="V643" t="s">
        <v>40</v>
      </c>
      <c r="W643" s="1">
        <v>2437400</v>
      </c>
    </row>
    <row r="644" spans="1:23" x14ac:dyDescent="0.2">
      <c r="A644" t="s">
        <v>23</v>
      </c>
      <c r="B644" t="s">
        <v>24</v>
      </c>
      <c r="C644" t="s">
        <v>25</v>
      </c>
      <c r="D644" t="s">
        <v>581</v>
      </c>
      <c r="E644" t="s">
        <v>637</v>
      </c>
      <c r="F644" t="s">
        <v>638</v>
      </c>
      <c r="G644" t="s">
        <v>139</v>
      </c>
      <c r="H644" t="s">
        <v>30</v>
      </c>
      <c r="I644" t="s">
        <v>30</v>
      </c>
      <c r="J644" t="s">
        <v>41</v>
      </c>
      <c r="K644" t="s">
        <v>32</v>
      </c>
      <c r="L644" t="s">
        <v>32</v>
      </c>
      <c r="M644" t="s">
        <v>33</v>
      </c>
      <c r="N644" t="s">
        <v>33</v>
      </c>
      <c r="O644" t="s">
        <v>33</v>
      </c>
      <c r="P644" t="s">
        <v>34</v>
      </c>
      <c r="Q644" t="s">
        <v>35</v>
      </c>
      <c r="S644" t="s">
        <v>30</v>
      </c>
      <c r="T644" t="s">
        <v>641</v>
      </c>
      <c r="U644" t="s">
        <v>642</v>
      </c>
      <c r="V644" t="s">
        <v>39</v>
      </c>
      <c r="W644" s="1">
        <v>4</v>
      </c>
    </row>
    <row r="645" spans="1:23" x14ac:dyDescent="0.2">
      <c r="A645" t="s">
        <v>23</v>
      </c>
      <c r="B645" t="s">
        <v>24</v>
      </c>
      <c r="C645" t="s">
        <v>25</v>
      </c>
      <c r="D645" t="s">
        <v>581</v>
      </c>
      <c r="E645" t="s">
        <v>637</v>
      </c>
      <c r="F645" t="s">
        <v>638</v>
      </c>
      <c r="G645" t="s">
        <v>139</v>
      </c>
      <c r="H645" t="s">
        <v>30</v>
      </c>
      <c r="I645" t="s">
        <v>30</v>
      </c>
      <c r="J645" t="s">
        <v>41</v>
      </c>
      <c r="K645" t="s">
        <v>32</v>
      </c>
      <c r="L645" t="s">
        <v>32</v>
      </c>
      <c r="M645" t="s">
        <v>33</v>
      </c>
      <c r="N645" t="s">
        <v>33</v>
      </c>
      <c r="O645" t="s">
        <v>33</v>
      </c>
      <c r="P645" t="s">
        <v>34</v>
      </c>
      <c r="Q645" t="s">
        <v>35</v>
      </c>
      <c r="S645" t="s">
        <v>30</v>
      </c>
      <c r="T645" t="s">
        <v>641</v>
      </c>
      <c r="U645" t="s">
        <v>642</v>
      </c>
      <c r="V645" t="s">
        <v>40</v>
      </c>
      <c r="W645" s="1">
        <v>4196800</v>
      </c>
    </row>
    <row r="646" spans="1:23" x14ac:dyDescent="0.2">
      <c r="A646" t="s">
        <v>23</v>
      </c>
      <c r="B646" t="s">
        <v>24</v>
      </c>
      <c r="C646" t="s">
        <v>25</v>
      </c>
      <c r="D646" t="s">
        <v>581</v>
      </c>
      <c r="E646" t="s">
        <v>643</v>
      </c>
      <c r="F646" t="s">
        <v>644</v>
      </c>
      <c r="G646" t="s">
        <v>29</v>
      </c>
      <c r="H646" t="s">
        <v>30</v>
      </c>
      <c r="I646" t="s">
        <v>30</v>
      </c>
      <c r="J646" t="s">
        <v>41</v>
      </c>
      <c r="K646" t="s">
        <v>32</v>
      </c>
      <c r="L646" t="s">
        <v>32</v>
      </c>
      <c r="M646" t="s">
        <v>33</v>
      </c>
      <c r="N646" t="s">
        <v>33</v>
      </c>
      <c r="O646" t="s">
        <v>33</v>
      </c>
      <c r="P646" t="s">
        <v>34</v>
      </c>
      <c r="Q646" t="s">
        <v>35</v>
      </c>
      <c r="S646" t="s">
        <v>30</v>
      </c>
      <c r="T646" t="s">
        <v>398</v>
      </c>
      <c r="U646" t="s">
        <v>645</v>
      </c>
      <c r="V646" t="s">
        <v>39</v>
      </c>
      <c r="W646" s="1">
        <v>1</v>
      </c>
    </row>
    <row r="647" spans="1:23" x14ac:dyDescent="0.2">
      <c r="A647" t="s">
        <v>23</v>
      </c>
      <c r="B647" t="s">
        <v>24</v>
      </c>
      <c r="C647" t="s">
        <v>25</v>
      </c>
      <c r="D647" t="s">
        <v>581</v>
      </c>
      <c r="E647" t="s">
        <v>643</v>
      </c>
      <c r="F647" t="s">
        <v>644</v>
      </c>
      <c r="G647" t="s">
        <v>29</v>
      </c>
      <c r="H647" t="s">
        <v>30</v>
      </c>
      <c r="I647" t="s">
        <v>30</v>
      </c>
      <c r="J647" t="s">
        <v>41</v>
      </c>
      <c r="K647" t="s">
        <v>32</v>
      </c>
      <c r="L647" t="s">
        <v>32</v>
      </c>
      <c r="M647" t="s">
        <v>33</v>
      </c>
      <c r="N647" t="s">
        <v>33</v>
      </c>
      <c r="O647" t="s">
        <v>33</v>
      </c>
      <c r="P647" t="s">
        <v>34</v>
      </c>
      <c r="Q647" t="s">
        <v>35</v>
      </c>
      <c r="S647" t="s">
        <v>30</v>
      </c>
      <c r="T647" t="s">
        <v>398</v>
      </c>
      <c r="U647" t="s">
        <v>645</v>
      </c>
      <c r="V647" t="s">
        <v>40</v>
      </c>
      <c r="W647" s="1">
        <v>952200</v>
      </c>
    </row>
    <row r="648" spans="1:23" x14ac:dyDescent="0.2">
      <c r="A648" t="s">
        <v>23</v>
      </c>
      <c r="B648" t="s">
        <v>24</v>
      </c>
      <c r="C648" t="s">
        <v>25</v>
      </c>
      <c r="D648" t="s">
        <v>581</v>
      </c>
      <c r="E648" t="s">
        <v>643</v>
      </c>
      <c r="F648" t="s">
        <v>644</v>
      </c>
      <c r="G648" t="s">
        <v>64</v>
      </c>
      <c r="H648" t="s">
        <v>30</v>
      </c>
      <c r="I648" t="s">
        <v>52</v>
      </c>
      <c r="J648" t="s">
        <v>41</v>
      </c>
      <c r="K648" t="s">
        <v>32</v>
      </c>
      <c r="L648" t="s">
        <v>32</v>
      </c>
      <c r="M648" t="s">
        <v>33</v>
      </c>
      <c r="N648" t="s">
        <v>33</v>
      </c>
      <c r="O648" t="s">
        <v>33</v>
      </c>
      <c r="P648" t="s">
        <v>34</v>
      </c>
      <c r="Q648" t="s">
        <v>35</v>
      </c>
      <c r="R648" t="s">
        <v>294</v>
      </c>
      <c r="S648" t="s">
        <v>30</v>
      </c>
      <c r="T648" t="s">
        <v>646</v>
      </c>
      <c r="U648" t="s">
        <v>647</v>
      </c>
      <c r="V648" t="s">
        <v>39</v>
      </c>
      <c r="W648" s="1">
        <v>2</v>
      </c>
    </row>
    <row r="649" spans="1:23" x14ac:dyDescent="0.2">
      <c r="A649" t="s">
        <v>23</v>
      </c>
      <c r="B649" t="s">
        <v>24</v>
      </c>
      <c r="C649" t="s">
        <v>25</v>
      </c>
      <c r="D649" t="s">
        <v>581</v>
      </c>
      <c r="E649" t="s">
        <v>643</v>
      </c>
      <c r="F649" t="s">
        <v>644</v>
      </c>
      <c r="G649" t="s">
        <v>64</v>
      </c>
      <c r="H649" t="s">
        <v>30</v>
      </c>
      <c r="I649" t="s">
        <v>52</v>
      </c>
      <c r="J649" t="s">
        <v>41</v>
      </c>
      <c r="K649" t="s">
        <v>32</v>
      </c>
      <c r="L649" t="s">
        <v>32</v>
      </c>
      <c r="M649" t="s">
        <v>33</v>
      </c>
      <c r="N649" t="s">
        <v>33</v>
      </c>
      <c r="O649" t="s">
        <v>33</v>
      </c>
      <c r="P649" t="s">
        <v>34</v>
      </c>
      <c r="Q649" t="s">
        <v>35</v>
      </c>
      <c r="R649" t="s">
        <v>294</v>
      </c>
      <c r="S649" t="s">
        <v>30</v>
      </c>
      <c r="T649" t="s">
        <v>646</v>
      </c>
      <c r="U649" t="s">
        <v>647</v>
      </c>
      <c r="V649" t="s">
        <v>40</v>
      </c>
      <c r="W649" s="1">
        <v>2038000</v>
      </c>
    </row>
    <row r="650" spans="1:23" x14ac:dyDescent="0.2">
      <c r="A650" t="s">
        <v>23</v>
      </c>
      <c r="B650" t="s">
        <v>24</v>
      </c>
      <c r="C650" t="s">
        <v>25</v>
      </c>
      <c r="D650" t="s">
        <v>581</v>
      </c>
      <c r="E650" t="s">
        <v>643</v>
      </c>
      <c r="F650" t="s">
        <v>644</v>
      </c>
      <c r="G650" t="s">
        <v>67</v>
      </c>
      <c r="H650" t="s">
        <v>30</v>
      </c>
      <c r="I650" t="s">
        <v>30</v>
      </c>
      <c r="J650" t="s">
        <v>31</v>
      </c>
      <c r="K650" t="s">
        <v>32</v>
      </c>
      <c r="L650" t="s">
        <v>32</v>
      </c>
      <c r="M650" t="s">
        <v>33</v>
      </c>
      <c r="N650" t="s">
        <v>33</v>
      </c>
      <c r="O650" t="s">
        <v>33</v>
      </c>
      <c r="P650" t="s">
        <v>34</v>
      </c>
      <c r="Q650" t="s">
        <v>35</v>
      </c>
      <c r="R650" t="s">
        <v>73</v>
      </c>
      <c r="S650" t="s">
        <v>30</v>
      </c>
      <c r="T650" t="s">
        <v>648</v>
      </c>
      <c r="U650" t="s">
        <v>649</v>
      </c>
      <c r="V650" t="s">
        <v>39</v>
      </c>
      <c r="W650" s="1">
        <v>3</v>
      </c>
    </row>
    <row r="651" spans="1:23" x14ac:dyDescent="0.2">
      <c r="A651" t="s">
        <v>23</v>
      </c>
      <c r="B651" t="s">
        <v>24</v>
      </c>
      <c r="C651" t="s">
        <v>25</v>
      </c>
      <c r="D651" t="s">
        <v>581</v>
      </c>
      <c r="E651" t="s">
        <v>643</v>
      </c>
      <c r="F651" t="s">
        <v>644</v>
      </c>
      <c r="G651" t="s">
        <v>67</v>
      </c>
      <c r="H651" t="s">
        <v>30</v>
      </c>
      <c r="I651" t="s">
        <v>30</v>
      </c>
      <c r="J651" t="s">
        <v>31</v>
      </c>
      <c r="K651" t="s">
        <v>32</v>
      </c>
      <c r="L651" t="s">
        <v>32</v>
      </c>
      <c r="M651" t="s">
        <v>33</v>
      </c>
      <c r="N651" t="s">
        <v>33</v>
      </c>
      <c r="O651" t="s">
        <v>33</v>
      </c>
      <c r="P651" t="s">
        <v>34</v>
      </c>
      <c r="Q651" t="s">
        <v>35</v>
      </c>
      <c r="R651" t="s">
        <v>73</v>
      </c>
      <c r="S651" t="s">
        <v>30</v>
      </c>
      <c r="T651" t="s">
        <v>648</v>
      </c>
      <c r="U651" t="s">
        <v>649</v>
      </c>
      <c r="V651" t="s">
        <v>40</v>
      </c>
      <c r="W651" s="1">
        <v>3299700</v>
      </c>
    </row>
    <row r="652" spans="1:23" x14ac:dyDescent="0.2">
      <c r="A652" t="s">
        <v>23</v>
      </c>
      <c r="B652" t="s">
        <v>24</v>
      </c>
      <c r="C652" t="s">
        <v>25</v>
      </c>
      <c r="D652" t="s">
        <v>581</v>
      </c>
      <c r="E652" t="s">
        <v>643</v>
      </c>
      <c r="F652" t="s">
        <v>644</v>
      </c>
      <c r="G652" t="s">
        <v>67</v>
      </c>
      <c r="H652" t="s">
        <v>30</v>
      </c>
      <c r="I652" t="s">
        <v>30</v>
      </c>
      <c r="J652" t="s">
        <v>41</v>
      </c>
      <c r="K652" t="s">
        <v>32</v>
      </c>
      <c r="L652" t="s">
        <v>32</v>
      </c>
      <c r="M652" t="s">
        <v>33</v>
      </c>
      <c r="N652" t="s">
        <v>33</v>
      </c>
      <c r="O652" t="s">
        <v>33</v>
      </c>
      <c r="P652" t="s">
        <v>34</v>
      </c>
      <c r="Q652" t="s">
        <v>35</v>
      </c>
      <c r="S652" t="s">
        <v>30</v>
      </c>
      <c r="T652" t="s">
        <v>398</v>
      </c>
      <c r="U652" t="s">
        <v>650</v>
      </c>
      <c r="V652" t="s">
        <v>39</v>
      </c>
      <c r="W652" s="1">
        <v>2</v>
      </c>
    </row>
    <row r="653" spans="1:23" x14ac:dyDescent="0.2">
      <c r="A653" t="s">
        <v>23</v>
      </c>
      <c r="B653" t="s">
        <v>24</v>
      </c>
      <c r="C653" t="s">
        <v>25</v>
      </c>
      <c r="D653" t="s">
        <v>581</v>
      </c>
      <c r="E653" t="s">
        <v>643</v>
      </c>
      <c r="F653" t="s">
        <v>644</v>
      </c>
      <c r="G653" t="s">
        <v>67</v>
      </c>
      <c r="H653" t="s">
        <v>30</v>
      </c>
      <c r="I653" t="s">
        <v>30</v>
      </c>
      <c r="J653" t="s">
        <v>41</v>
      </c>
      <c r="K653" t="s">
        <v>32</v>
      </c>
      <c r="L653" t="s">
        <v>32</v>
      </c>
      <c r="M653" t="s">
        <v>33</v>
      </c>
      <c r="N653" t="s">
        <v>33</v>
      </c>
      <c r="O653" t="s">
        <v>33</v>
      </c>
      <c r="P653" t="s">
        <v>34</v>
      </c>
      <c r="Q653" t="s">
        <v>35</v>
      </c>
      <c r="S653" t="s">
        <v>30</v>
      </c>
      <c r="T653" t="s">
        <v>398</v>
      </c>
      <c r="U653" t="s">
        <v>650</v>
      </c>
      <c r="V653" t="s">
        <v>40</v>
      </c>
      <c r="W653" s="1">
        <v>1904400</v>
      </c>
    </row>
    <row r="654" spans="1:23" x14ac:dyDescent="0.2">
      <c r="A654" t="s">
        <v>23</v>
      </c>
      <c r="B654" t="s">
        <v>24</v>
      </c>
      <c r="C654" t="s">
        <v>25</v>
      </c>
      <c r="D654" t="s">
        <v>581</v>
      </c>
      <c r="E654" t="s">
        <v>643</v>
      </c>
      <c r="F654" t="s">
        <v>644</v>
      </c>
      <c r="G654" t="s">
        <v>139</v>
      </c>
      <c r="H654" t="s">
        <v>30</v>
      </c>
      <c r="I654" t="s">
        <v>30</v>
      </c>
      <c r="J654" t="s">
        <v>31</v>
      </c>
      <c r="K654" t="s">
        <v>32</v>
      </c>
      <c r="L654" t="s">
        <v>32</v>
      </c>
      <c r="M654" t="s">
        <v>33</v>
      </c>
      <c r="N654" t="s">
        <v>33</v>
      </c>
      <c r="O654" t="s">
        <v>33</v>
      </c>
      <c r="P654" t="s">
        <v>34</v>
      </c>
      <c r="Q654" t="s">
        <v>35</v>
      </c>
      <c r="R654" t="s">
        <v>184</v>
      </c>
      <c r="S654" t="s">
        <v>30</v>
      </c>
      <c r="T654" t="s">
        <v>651</v>
      </c>
      <c r="U654" t="s">
        <v>652</v>
      </c>
      <c r="V654" t="s">
        <v>39</v>
      </c>
      <c r="W654" s="1">
        <v>1</v>
      </c>
    </row>
    <row r="655" spans="1:23" x14ac:dyDescent="0.2">
      <c r="A655" t="s">
        <v>23</v>
      </c>
      <c r="B655" t="s">
        <v>24</v>
      </c>
      <c r="C655" t="s">
        <v>25</v>
      </c>
      <c r="D655" t="s">
        <v>581</v>
      </c>
      <c r="E655" t="s">
        <v>643</v>
      </c>
      <c r="F655" t="s">
        <v>644</v>
      </c>
      <c r="G655" t="s">
        <v>139</v>
      </c>
      <c r="H655" t="s">
        <v>30</v>
      </c>
      <c r="I655" t="s">
        <v>30</v>
      </c>
      <c r="J655" t="s">
        <v>31</v>
      </c>
      <c r="K655" t="s">
        <v>32</v>
      </c>
      <c r="L655" t="s">
        <v>32</v>
      </c>
      <c r="M655" t="s">
        <v>33</v>
      </c>
      <c r="N655" t="s">
        <v>33</v>
      </c>
      <c r="O655" t="s">
        <v>33</v>
      </c>
      <c r="P655" t="s">
        <v>34</v>
      </c>
      <c r="Q655" t="s">
        <v>35</v>
      </c>
      <c r="R655" t="s">
        <v>184</v>
      </c>
      <c r="S655" t="s">
        <v>30</v>
      </c>
      <c r="T655" t="s">
        <v>651</v>
      </c>
      <c r="U655" t="s">
        <v>652</v>
      </c>
      <c r="V655" t="s">
        <v>40</v>
      </c>
      <c r="W655" s="1">
        <v>847700</v>
      </c>
    </row>
    <row r="656" spans="1:23" x14ac:dyDescent="0.2">
      <c r="A656" t="s">
        <v>23</v>
      </c>
      <c r="B656" t="s">
        <v>24</v>
      </c>
      <c r="C656" t="s">
        <v>25</v>
      </c>
      <c r="D656" t="s">
        <v>581</v>
      </c>
      <c r="E656" t="s">
        <v>643</v>
      </c>
      <c r="F656" t="s">
        <v>644</v>
      </c>
      <c r="G656" t="s">
        <v>139</v>
      </c>
      <c r="H656" t="s">
        <v>30</v>
      </c>
      <c r="I656" t="s">
        <v>30</v>
      </c>
      <c r="J656" t="s">
        <v>31</v>
      </c>
      <c r="K656" t="s">
        <v>32</v>
      </c>
      <c r="L656" t="s">
        <v>32</v>
      </c>
      <c r="M656" t="s">
        <v>33</v>
      </c>
      <c r="P656" t="s">
        <v>34</v>
      </c>
      <c r="Q656" t="s">
        <v>35</v>
      </c>
      <c r="R656" t="s">
        <v>184</v>
      </c>
      <c r="S656" t="s">
        <v>30</v>
      </c>
      <c r="T656" t="s">
        <v>651</v>
      </c>
      <c r="U656" t="s">
        <v>652</v>
      </c>
      <c r="V656" t="s">
        <v>39</v>
      </c>
      <c r="W656" s="1">
        <v>1</v>
      </c>
    </row>
    <row r="657" spans="1:23" x14ac:dyDescent="0.2">
      <c r="A657" t="s">
        <v>23</v>
      </c>
      <c r="B657" t="s">
        <v>24</v>
      </c>
      <c r="C657" t="s">
        <v>25</v>
      </c>
      <c r="D657" t="s">
        <v>581</v>
      </c>
      <c r="E657" t="s">
        <v>643</v>
      </c>
      <c r="F657" t="s">
        <v>644</v>
      </c>
      <c r="G657" t="s">
        <v>139</v>
      </c>
      <c r="H657" t="s">
        <v>30</v>
      </c>
      <c r="I657" t="s">
        <v>30</v>
      </c>
      <c r="J657" t="s">
        <v>31</v>
      </c>
      <c r="K657" t="s">
        <v>32</v>
      </c>
      <c r="L657" t="s">
        <v>32</v>
      </c>
      <c r="M657" t="s">
        <v>33</v>
      </c>
      <c r="P657" t="s">
        <v>34</v>
      </c>
      <c r="Q657" t="s">
        <v>35</v>
      </c>
      <c r="R657" t="s">
        <v>184</v>
      </c>
      <c r="S657" t="s">
        <v>30</v>
      </c>
      <c r="T657" t="s">
        <v>651</v>
      </c>
      <c r="U657" t="s">
        <v>652</v>
      </c>
      <c r="V657" t="s">
        <v>40</v>
      </c>
      <c r="W657" s="1">
        <v>847700</v>
      </c>
    </row>
    <row r="658" spans="1:23" x14ac:dyDescent="0.2">
      <c r="A658" t="s">
        <v>23</v>
      </c>
      <c r="B658" t="s">
        <v>24</v>
      </c>
      <c r="C658" t="s">
        <v>25</v>
      </c>
      <c r="D658" t="s">
        <v>581</v>
      </c>
      <c r="E658" t="s">
        <v>653</v>
      </c>
      <c r="F658" t="s">
        <v>654</v>
      </c>
      <c r="G658" t="s">
        <v>61</v>
      </c>
      <c r="H658" t="s">
        <v>52</v>
      </c>
      <c r="I658" t="s">
        <v>52</v>
      </c>
      <c r="J658" t="s">
        <v>31</v>
      </c>
      <c r="K658" t="s">
        <v>32</v>
      </c>
      <c r="L658" t="s">
        <v>32</v>
      </c>
      <c r="M658" t="s">
        <v>33</v>
      </c>
      <c r="N658" t="s">
        <v>33</v>
      </c>
      <c r="O658" t="s">
        <v>33</v>
      </c>
      <c r="P658" t="s">
        <v>34</v>
      </c>
      <c r="Q658" t="s">
        <v>35</v>
      </c>
      <c r="S658" t="s">
        <v>30</v>
      </c>
      <c r="T658" t="s">
        <v>655</v>
      </c>
      <c r="U658" t="s">
        <v>656</v>
      </c>
      <c r="V658" t="s">
        <v>39</v>
      </c>
      <c r="W658" s="1">
        <v>2</v>
      </c>
    </row>
    <row r="659" spans="1:23" x14ac:dyDescent="0.2">
      <c r="A659" t="s">
        <v>23</v>
      </c>
      <c r="B659" t="s">
        <v>24</v>
      </c>
      <c r="C659" t="s">
        <v>25</v>
      </c>
      <c r="D659" t="s">
        <v>581</v>
      </c>
      <c r="E659" t="s">
        <v>653</v>
      </c>
      <c r="F659" t="s">
        <v>654</v>
      </c>
      <c r="G659" t="s">
        <v>61</v>
      </c>
      <c r="H659" t="s">
        <v>52</v>
      </c>
      <c r="I659" t="s">
        <v>52</v>
      </c>
      <c r="J659" t="s">
        <v>31</v>
      </c>
      <c r="K659" t="s">
        <v>32</v>
      </c>
      <c r="L659" t="s">
        <v>32</v>
      </c>
      <c r="M659" t="s">
        <v>33</v>
      </c>
      <c r="N659" t="s">
        <v>33</v>
      </c>
      <c r="O659" t="s">
        <v>33</v>
      </c>
      <c r="P659" t="s">
        <v>34</v>
      </c>
      <c r="Q659" t="s">
        <v>35</v>
      </c>
      <c r="S659" t="s">
        <v>30</v>
      </c>
      <c r="T659" t="s">
        <v>655</v>
      </c>
      <c r="U659" t="s">
        <v>656</v>
      </c>
      <c r="V659" t="s">
        <v>40</v>
      </c>
      <c r="W659" s="1">
        <v>1506000</v>
      </c>
    </row>
    <row r="660" spans="1:23" x14ac:dyDescent="0.2">
      <c r="A660" t="s">
        <v>23</v>
      </c>
      <c r="B660" t="s">
        <v>24</v>
      </c>
      <c r="C660" t="s">
        <v>25</v>
      </c>
      <c r="D660" t="s">
        <v>581</v>
      </c>
      <c r="E660" t="s">
        <v>653</v>
      </c>
      <c r="F660" t="s">
        <v>654</v>
      </c>
      <c r="G660" t="s">
        <v>170</v>
      </c>
      <c r="H660" t="s">
        <v>52</v>
      </c>
      <c r="I660" t="s">
        <v>30</v>
      </c>
      <c r="J660" t="s">
        <v>31</v>
      </c>
      <c r="K660" t="s">
        <v>32</v>
      </c>
      <c r="L660" t="s">
        <v>32</v>
      </c>
      <c r="M660" t="s">
        <v>33</v>
      </c>
      <c r="P660" t="s">
        <v>34</v>
      </c>
      <c r="Q660" t="s">
        <v>35</v>
      </c>
      <c r="R660" t="s">
        <v>36</v>
      </c>
      <c r="S660" t="s">
        <v>52</v>
      </c>
      <c r="T660" t="s">
        <v>657</v>
      </c>
      <c r="U660" t="s">
        <v>658</v>
      </c>
      <c r="V660" t="s">
        <v>39</v>
      </c>
      <c r="W660" s="1">
        <v>0</v>
      </c>
    </row>
    <row r="661" spans="1:23" x14ac:dyDescent="0.2">
      <c r="A661" t="s">
        <v>23</v>
      </c>
      <c r="B661" t="s">
        <v>24</v>
      </c>
      <c r="C661" t="s">
        <v>25</v>
      </c>
      <c r="D661" t="s">
        <v>581</v>
      </c>
      <c r="E661" t="s">
        <v>653</v>
      </c>
      <c r="F661" t="s">
        <v>654</v>
      </c>
      <c r="G661" t="s">
        <v>170</v>
      </c>
      <c r="H661" t="s">
        <v>52</v>
      </c>
      <c r="I661" t="s">
        <v>30</v>
      </c>
      <c r="J661" t="s">
        <v>31</v>
      </c>
      <c r="K661" t="s">
        <v>32</v>
      </c>
      <c r="L661" t="s">
        <v>32</v>
      </c>
      <c r="M661" t="s">
        <v>33</v>
      </c>
      <c r="P661" t="s">
        <v>34</v>
      </c>
      <c r="Q661" t="s">
        <v>35</v>
      </c>
      <c r="R661" t="s">
        <v>36</v>
      </c>
      <c r="S661" t="s">
        <v>52</v>
      </c>
      <c r="T661" t="s">
        <v>657</v>
      </c>
      <c r="U661" t="s">
        <v>658</v>
      </c>
      <c r="V661" t="s">
        <v>40</v>
      </c>
      <c r="W661" s="1">
        <v>4058000</v>
      </c>
    </row>
    <row r="662" spans="1:23" x14ac:dyDescent="0.2">
      <c r="A662" t="s">
        <v>23</v>
      </c>
      <c r="B662" t="s">
        <v>24</v>
      </c>
      <c r="C662" t="s">
        <v>25</v>
      </c>
      <c r="D662" t="s">
        <v>581</v>
      </c>
      <c r="E662" t="s">
        <v>653</v>
      </c>
      <c r="F662" t="s">
        <v>654</v>
      </c>
      <c r="G662" t="s">
        <v>67</v>
      </c>
      <c r="H662" t="s">
        <v>30</v>
      </c>
      <c r="I662" t="s">
        <v>30</v>
      </c>
      <c r="J662" t="s">
        <v>41</v>
      </c>
      <c r="K662" t="s">
        <v>32</v>
      </c>
      <c r="L662" t="s">
        <v>32</v>
      </c>
      <c r="M662" t="s">
        <v>33</v>
      </c>
      <c r="N662" t="s">
        <v>33</v>
      </c>
      <c r="O662" t="s">
        <v>33</v>
      </c>
      <c r="P662" t="s">
        <v>34</v>
      </c>
      <c r="Q662" t="s">
        <v>35</v>
      </c>
      <c r="S662" t="s">
        <v>30</v>
      </c>
      <c r="T662" t="s">
        <v>659</v>
      </c>
      <c r="U662" t="s">
        <v>660</v>
      </c>
      <c r="V662" t="s">
        <v>39</v>
      </c>
      <c r="W662" s="1">
        <v>2</v>
      </c>
    </row>
    <row r="663" spans="1:23" x14ac:dyDescent="0.2">
      <c r="A663" t="s">
        <v>23</v>
      </c>
      <c r="B663" t="s">
        <v>24</v>
      </c>
      <c r="C663" t="s">
        <v>25</v>
      </c>
      <c r="D663" t="s">
        <v>581</v>
      </c>
      <c r="E663" t="s">
        <v>653</v>
      </c>
      <c r="F663" t="s">
        <v>654</v>
      </c>
      <c r="G663" t="s">
        <v>67</v>
      </c>
      <c r="H663" t="s">
        <v>30</v>
      </c>
      <c r="I663" t="s">
        <v>30</v>
      </c>
      <c r="J663" t="s">
        <v>41</v>
      </c>
      <c r="K663" t="s">
        <v>32</v>
      </c>
      <c r="L663" t="s">
        <v>32</v>
      </c>
      <c r="M663" t="s">
        <v>33</v>
      </c>
      <c r="N663" t="s">
        <v>33</v>
      </c>
      <c r="O663" t="s">
        <v>33</v>
      </c>
      <c r="P663" t="s">
        <v>34</v>
      </c>
      <c r="Q663" t="s">
        <v>35</v>
      </c>
      <c r="S663" t="s">
        <v>30</v>
      </c>
      <c r="T663" t="s">
        <v>659</v>
      </c>
      <c r="U663" t="s">
        <v>660</v>
      </c>
      <c r="V663" t="s">
        <v>40</v>
      </c>
      <c r="W663" s="1">
        <v>4158000</v>
      </c>
    </row>
    <row r="664" spans="1:23" x14ac:dyDescent="0.2">
      <c r="A664" t="s">
        <v>23</v>
      </c>
      <c r="B664" t="s">
        <v>24</v>
      </c>
      <c r="C664" t="s">
        <v>25</v>
      </c>
      <c r="D664" t="s">
        <v>581</v>
      </c>
      <c r="E664" t="s">
        <v>653</v>
      </c>
      <c r="F664" t="s">
        <v>654</v>
      </c>
      <c r="G664" t="s">
        <v>89</v>
      </c>
      <c r="H664" t="s">
        <v>30</v>
      </c>
      <c r="I664" t="s">
        <v>30</v>
      </c>
      <c r="J664" t="s">
        <v>128</v>
      </c>
      <c r="K664" t="s">
        <v>32</v>
      </c>
      <c r="L664" t="s">
        <v>32</v>
      </c>
      <c r="M664" t="s">
        <v>33</v>
      </c>
      <c r="P664" t="s">
        <v>34</v>
      </c>
      <c r="Q664" t="s">
        <v>35</v>
      </c>
      <c r="R664" t="s">
        <v>129</v>
      </c>
      <c r="S664" t="s">
        <v>52</v>
      </c>
      <c r="T664" t="s">
        <v>661</v>
      </c>
      <c r="U664" t="s">
        <v>662</v>
      </c>
      <c r="V664" t="s">
        <v>39</v>
      </c>
      <c r="W664" s="1">
        <v>0</v>
      </c>
    </row>
    <row r="665" spans="1:23" x14ac:dyDescent="0.2">
      <c r="A665" t="s">
        <v>23</v>
      </c>
      <c r="B665" t="s">
        <v>24</v>
      </c>
      <c r="C665" t="s">
        <v>25</v>
      </c>
      <c r="D665" t="s">
        <v>581</v>
      </c>
      <c r="E665" t="s">
        <v>653</v>
      </c>
      <c r="F665" t="s">
        <v>654</v>
      </c>
      <c r="G665" t="s">
        <v>89</v>
      </c>
      <c r="H665" t="s">
        <v>30</v>
      </c>
      <c r="I665" t="s">
        <v>30</v>
      </c>
      <c r="J665" t="s">
        <v>128</v>
      </c>
      <c r="K665" t="s">
        <v>32</v>
      </c>
      <c r="L665" t="s">
        <v>32</v>
      </c>
      <c r="M665" t="s">
        <v>33</v>
      </c>
      <c r="P665" t="s">
        <v>34</v>
      </c>
      <c r="Q665" t="s">
        <v>35</v>
      </c>
      <c r="R665" t="s">
        <v>129</v>
      </c>
      <c r="S665" t="s">
        <v>52</v>
      </c>
      <c r="T665" t="s">
        <v>661</v>
      </c>
      <c r="U665" t="s">
        <v>662</v>
      </c>
      <c r="V665" t="s">
        <v>40</v>
      </c>
      <c r="W665" s="1">
        <v>758000</v>
      </c>
    </row>
    <row r="666" spans="1:23" x14ac:dyDescent="0.2">
      <c r="A666" t="s">
        <v>23</v>
      </c>
      <c r="B666" t="s">
        <v>24</v>
      </c>
      <c r="C666" t="s">
        <v>25</v>
      </c>
      <c r="D666" t="s">
        <v>581</v>
      </c>
      <c r="E666" t="s">
        <v>653</v>
      </c>
      <c r="F666" t="s">
        <v>654</v>
      </c>
      <c r="G666" t="s">
        <v>89</v>
      </c>
      <c r="H666" t="s">
        <v>30</v>
      </c>
      <c r="I666" t="s">
        <v>30</v>
      </c>
      <c r="J666" t="s">
        <v>41</v>
      </c>
      <c r="K666" t="s">
        <v>32</v>
      </c>
      <c r="L666" t="s">
        <v>32</v>
      </c>
      <c r="M666" t="s">
        <v>33</v>
      </c>
      <c r="P666" t="s">
        <v>34</v>
      </c>
      <c r="Q666" t="s">
        <v>35</v>
      </c>
      <c r="R666" t="s">
        <v>54</v>
      </c>
      <c r="S666" t="s">
        <v>30</v>
      </c>
      <c r="T666" t="s">
        <v>663</v>
      </c>
      <c r="U666" t="s">
        <v>664</v>
      </c>
      <c r="V666" t="s">
        <v>39</v>
      </c>
      <c r="W666" s="1">
        <v>4</v>
      </c>
    </row>
    <row r="667" spans="1:23" x14ac:dyDescent="0.2">
      <c r="A667" t="s">
        <v>23</v>
      </c>
      <c r="B667" t="s">
        <v>24</v>
      </c>
      <c r="C667" t="s">
        <v>25</v>
      </c>
      <c r="D667" t="s">
        <v>581</v>
      </c>
      <c r="E667" t="s">
        <v>653</v>
      </c>
      <c r="F667" t="s">
        <v>654</v>
      </c>
      <c r="G667" t="s">
        <v>89</v>
      </c>
      <c r="H667" t="s">
        <v>30</v>
      </c>
      <c r="I667" t="s">
        <v>30</v>
      </c>
      <c r="J667" t="s">
        <v>41</v>
      </c>
      <c r="K667" t="s">
        <v>32</v>
      </c>
      <c r="L667" t="s">
        <v>32</v>
      </c>
      <c r="M667" t="s">
        <v>33</v>
      </c>
      <c r="P667" t="s">
        <v>34</v>
      </c>
      <c r="Q667" t="s">
        <v>35</v>
      </c>
      <c r="R667" t="s">
        <v>54</v>
      </c>
      <c r="S667" t="s">
        <v>30</v>
      </c>
      <c r="T667" t="s">
        <v>663</v>
      </c>
      <c r="U667" t="s">
        <v>664</v>
      </c>
      <c r="V667" t="s">
        <v>40</v>
      </c>
      <c r="W667" s="1">
        <v>3846400</v>
      </c>
    </row>
    <row r="668" spans="1:23" x14ac:dyDescent="0.2">
      <c r="A668" t="s">
        <v>23</v>
      </c>
      <c r="B668" t="s">
        <v>24</v>
      </c>
      <c r="C668" t="s">
        <v>25</v>
      </c>
      <c r="D668" t="s">
        <v>581</v>
      </c>
      <c r="E668" t="s">
        <v>653</v>
      </c>
      <c r="F668" t="s">
        <v>654</v>
      </c>
      <c r="G668" t="s">
        <v>89</v>
      </c>
      <c r="H668" t="s">
        <v>30</v>
      </c>
      <c r="I668" t="s">
        <v>30</v>
      </c>
      <c r="J668" t="s">
        <v>41</v>
      </c>
      <c r="K668" t="s">
        <v>32</v>
      </c>
      <c r="L668" t="s">
        <v>32</v>
      </c>
      <c r="M668" t="s">
        <v>33</v>
      </c>
      <c r="P668" t="s">
        <v>34</v>
      </c>
      <c r="Q668" t="s">
        <v>35</v>
      </c>
      <c r="R668" t="s">
        <v>54</v>
      </c>
      <c r="S668" t="s">
        <v>30</v>
      </c>
      <c r="T668" t="s">
        <v>665</v>
      </c>
      <c r="U668" t="s">
        <v>666</v>
      </c>
      <c r="V668" t="s">
        <v>39</v>
      </c>
      <c r="W668" s="1">
        <v>4</v>
      </c>
    </row>
    <row r="669" spans="1:23" x14ac:dyDescent="0.2">
      <c r="A669" t="s">
        <v>23</v>
      </c>
      <c r="B669" t="s">
        <v>24</v>
      </c>
      <c r="C669" t="s">
        <v>25</v>
      </c>
      <c r="D669" t="s">
        <v>581</v>
      </c>
      <c r="E669" t="s">
        <v>653</v>
      </c>
      <c r="F669" t="s">
        <v>654</v>
      </c>
      <c r="G669" t="s">
        <v>89</v>
      </c>
      <c r="H669" t="s">
        <v>30</v>
      </c>
      <c r="I669" t="s">
        <v>30</v>
      </c>
      <c r="J669" t="s">
        <v>41</v>
      </c>
      <c r="K669" t="s">
        <v>32</v>
      </c>
      <c r="L669" t="s">
        <v>32</v>
      </c>
      <c r="M669" t="s">
        <v>33</v>
      </c>
      <c r="P669" t="s">
        <v>34</v>
      </c>
      <c r="Q669" t="s">
        <v>35</v>
      </c>
      <c r="R669" t="s">
        <v>54</v>
      </c>
      <c r="S669" t="s">
        <v>30</v>
      </c>
      <c r="T669" t="s">
        <v>665</v>
      </c>
      <c r="U669" t="s">
        <v>666</v>
      </c>
      <c r="V669" t="s">
        <v>40</v>
      </c>
      <c r="W669" s="1">
        <v>3846400</v>
      </c>
    </row>
    <row r="670" spans="1:23" x14ac:dyDescent="0.2">
      <c r="A670" t="s">
        <v>23</v>
      </c>
      <c r="B670" t="s">
        <v>24</v>
      </c>
      <c r="C670" t="s">
        <v>25</v>
      </c>
      <c r="D670" t="s">
        <v>581</v>
      </c>
      <c r="E670" t="s">
        <v>653</v>
      </c>
      <c r="F670" t="s">
        <v>654</v>
      </c>
      <c r="G670" t="s">
        <v>139</v>
      </c>
      <c r="H670" t="s">
        <v>30</v>
      </c>
      <c r="I670" t="s">
        <v>30</v>
      </c>
      <c r="J670" t="s">
        <v>128</v>
      </c>
      <c r="K670" t="s">
        <v>135</v>
      </c>
      <c r="L670" t="s">
        <v>32</v>
      </c>
      <c r="M670" t="s">
        <v>33</v>
      </c>
      <c r="N670" t="s">
        <v>33</v>
      </c>
      <c r="O670" t="s">
        <v>33</v>
      </c>
      <c r="P670" t="s">
        <v>34</v>
      </c>
      <c r="Q670" t="s">
        <v>35</v>
      </c>
      <c r="R670" t="s">
        <v>136</v>
      </c>
      <c r="S670" t="s">
        <v>30</v>
      </c>
      <c r="T670" t="s">
        <v>667</v>
      </c>
      <c r="U670" t="s">
        <v>668</v>
      </c>
      <c r="V670" t="s">
        <v>39</v>
      </c>
      <c r="W670" s="1">
        <v>2</v>
      </c>
    </row>
    <row r="671" spans="1:23" x14ac:dyDescent="0.2">
      <c r="A671" t="s">
        <v>23</v>
      </c>
      <c r="B671" t="s">
        <v>24</v>
      </c>
      <c r="C671" t="s">
        <v>25</v>
      </c>
      <c r="D671" t="s">
        <v>581</v>
      </c>
      <c r="E671" t="s">
        <v>653</v>
      </c>
      <c r="F671" t="s">
        <v>654</v>
      </c>
      <c r="G671" t="s">
        <v>139</v>
      </c>
      <c r="H671" t="s">
        <v>30</v>
      </c>
      <c r="I671" t="s">
        <v>30</v>
      </c>
      <c r="J671" t="s">
        <v>128</v>
      </c>
      <c r="K671" t="s">
        <v>135</v>
      </c>
      <c r="L671" t="s">
        <v>32</v>
      </c>
      <c r="M671" t="s">
        <v>33</v>
      </c>
      <c r="N671" t="s">
        <v>33</v>
      </c>
      <c r="O671" t="s">
        <v>33</v>
      </c>
      <c r="P671" t="s">
        <v>34</v>
      </c>
      <c r="Q671" t="s">
        <v>35</v>
      </c>
      <c r="R671" t="s">
        <v>136</v>
      </c>
      <c r="S671" t="s">
        <v>30</v>
      </c>
      <c r="T671" t="s">
        <v>667</v>
      </c>
      <c r="U671" t="s">
        <v>668</v>
      </c>
      <c r="V671" t="s">
        <v>40</v>
      </c>
      <c r="W671" s="1">
        <v>595000</v>
      </c>
    </row>
    <row r="672" spans="1:23" x14ac:dyDescent="0.2">
      <c r="A672" t="s">
        <v>23</v>
      </c>
      <c r="B672" t="s">
        <v>24</v>
      </c>
      <c r="C672" t="s">
        <v>25</v>
      </c>
      <c r="D672" t="s">
        <v>581</v>
      </c>
      <c r="E672" t="s">
        <v>653</v>
      </c>
      <c r="F672" t="s">
        <v>654</v>
      </c>
      <c r="G672" t="s">
        <v>139</v>
      </c>
      <c r="H672" t="s">
        <v>30</v>
      </c>
      <c r="I672" t="s">
        <v>30</v>
      </c>
      <c r="J672" t="s">
        <v>41</v>
      </c>
      <c r="K672" t="s">
        <v>32</v>
      </c>
      <c r="L672" t="s">
        <v>32</v>
      </c>
      <c r="M672" t="s">
        <v>33</v>
      </c>
      <c r="P672" t="s">
        <v>34</v>
      </c>
      <c r="Q672" t="s">
        <v>35</v>
      </c>
      <c r="R672" t="s">
        <v>68</v>
      </c>
      <c r="S672" t="s">
        <v>30</v>
      </c>
      <c r="T672" t="s">
        <v>669</v>
      </c>
      <c r="U672" t="s">
        <v>670</v>
      </c>
      <c r="V672" t="s">
        <v>39</v>
      </c>
      <c r="W672" s="1">
        <v>16</v>
      </c>
    </row>
    <row r="673" spans="1:23" x14ac:dyDescent="0.2">
      <c r="A673" t="s">
        <v>23</v>
      </c>
      <c r="B673" t="s">
        <v>24</v>
      </c>
      <c r="C673" t="s">
        <v>25</v>
      </c>
      <c r="D673" t="s">
        <v>581</v>
      </c>
      <c r="E673" t="s">
        <v>653</v>
      </c>
      <c r="F673" t="s">
        <v>654</v>
      </c>
      <c r="G673" t="s">
        <v>139</v>
      </c>
      <c r="H673" t="s">
        <v>30</v>
      </c>
      <c r="I673" t="s">
        <v>30</v>
      </c>
      <c r="J673" t="s">
        <v>41</v>
      </c>
      <c r="K673" t="s">
        <v>32</v>
      </c>
      <c r="L673" t="s">
        <v>32</v>
      </c>
      <c r="M673" t="s">
        <v>33</v>
      </c>
      <c r="P673" t="s">
        <v>34</v>
      </c>
      <c r="Q673" t="s">
        <v>35</v>
      </c>
      <c r="R673" t="s">
        <v>68</v>
      </c>
      <c r="S673" t="s">
        <v>30</v>
      </c>
      <c r="T673" t="s">
        <v>669</v>
      </c>
      <c r="U673" t="s">
        <v>670</v>
      </c>
      <c r="V673" t="s">
        <v>40</v>
      </c>
      <c r="W673" s="1">
        <v>25584000</v>
      </c>
    </row>
    <row r="674" spans="1:23" x14ac:dyDescent="0.2">
      <c r="A674" t="s">
        <v>23</v>
      </c>
      <c r="B674" t="s">
        <v>24</v>
      </c>
      <c r="C674" t="s">
        <v>25</v>
      </c>
      <c r="D674" t="s">
        <v>671</v>
      </c>
      <c r="E674" t="s">
        <v>672</v>
      </c>
      <c r="F674" t="s">
        <v>673</v>
      </c>
      <c r="G674" t="s">
        <v>29</v>
      </c>
      <c r="H674" t="s">
        <v>30</v>
      </c>
      <c r="I674" t="s">
        <v>30</v>
      </c>
      <c r="J674" t="s">
        <v>41</v>
      </c>
      <c r="K674" t="s">
        <v>32</v>
      </c>
      <c r="L674" t="s">
        <v>32</v>
      </c>
      <c r="M674" t="s">
        <v>33</v>
      </c>
      <c r="P674" t="s">
        <v>34</v>
      </c>
      <c r="Q674" t="s">
        <v>35</v>
      </c>
      <c r="R674" t="s">
        <v>54</v>
      </c>
      <c r="S674" t="s">
        <v>52</v>
      </c>
      <c r="T674" t="s">
        <v>674</v>
      </c>
      <c r="U674" t="s">
        <v>675</v>
      </c>
      <c r="V674" t="s">
        <v>39</v>
      </c>
      <c r="W674" s="1">
        <v>0</v>
      </c>
    </row>
    <row r="675" spans="1:23" x14ac:dyDescent="0.2">
      <c r="A675" t="s">
        <v>23</v>
      </c>
      <c r="B675" t="s">
        <v>24</v>
      </c>
      <c r="C675" t="s">
        <v>25</v>
      </c>
      <c r="D675" t="s">
        <v>671</v>
      </c>
      <c r="E675" t="s">
        <v>672</v>
      </c>
      <c r="F675" t="s">
        <v>673</v>
      </c>
      <c r="G675" t="s">
        <v>29</v>
      </c>
      <c r="H675" t="s">
        <v>30</v>
      </c>
      <c r="I675" t="s">
        <v>30</v>
      </c>
      <c r="J675" t="s">
        <v>41</v>
      </c>
      <c r="K675" t="s">
        <v>32</v>
      </c>
      <c r="L675" t="s">
        <v>32</v>
      </c>
      <c r="M675" t="s">
        <v>33</v>
      </c>
      <c r="P675" t="s">
        <v>34</v>
      </c>
      <c r="Q675" t="s">
        <v>35</v>
      </c>
      <c r="R675" t="s">
        <v>54</v>
      </c>
      <c r="S675" t="s">
        <v>52</v>
      </c>
      <c r="T675" t="s">
        <v>674</v>
      </c>
      <c r="U675" t="s">
        <v>675</v>
      </c>
      <c r="V675" t="s">
        <v>40</v>
      </c>
      <c r="W675" s="1">
        <v>5504400</v>
      </c>
    </row>
    <row r="676" spans="1:23" x14ac:dyDescent="0.2">
      <c r="A676" t="s">
        <v>23</v>
      </c>
      <c r="B676" t="s">
        <v>24</v>
      </c>
      <c r="C676" t="s">
        <v>25</v>
      </c>
      <c r="D676" t="s">
        <v>671</v>
      </c>
      <c r="E676" t="s">
        <v>672</v>
      </c>
      <c r="F676" t="s">
        <v>673</v>
      </c>
      <c r="G676" t="s">
        <v>29</v>
      </c>
      <c r="H676" t="s">
        <v>30</v>
      </c>
      <c r="I676" t="s">
        <v>30</v>
      </c>
      <c r="J676" t="s">
        <v>41</v>
      </c>
      <c r="K676" t="s">
        <v>32</v>
      </c>
      <c r="L676" t="s">
        <v>32</v>
      </c>
      <c r="M676" t="s">
        <v>33</v>
      </c>
      <c r="P676" t="s">
        <v>34</v>
      </c>
      <c r="Q676" t="s">
        <v>35</v>
      </c>
      <c r="S676" t="s">
        <v>52</v>
      </c>
      <c r="T676" t="s">
        <v>676</v>
      </c>
      <c r="U676" t="s">
        <v>677</v>
      </c>
      <c r="V676" t="s">
        <v>39</v>
      </c>
      <c r="W676" s="1">
        <v>0</v>
      </c>
    </row>
    <row r="677" spans="1:23" x14ac:dyDescent="0.2">
      <c r="A677" t="s">
        <v>23</v>
      </c>
      <c r="B677" t="s">
        <v>24</v>
      </c>
      <c r="C677" t="s">
        <v>25</v>
      </c>
      <c r="D677" t="s">
        <v>671</v>
      </c>
      <c r="E677" t="s">
        <v>672</v>
      </c>
      <c r="F677" t="s">
        <v>673</v>
      </c>
      <c r="G677" t="s">
        <v>29</v>
      </c>
      <c r="H677" t="s">
        <v>30</v>
      </c>
      <c r="I677" t="s">
        <v>30</v>
      </c>
      <c r="J677" t="s">
        <v>41</v>
      </c>
      <c r="K677" t="s">
        <v>32</v>
      </c>
      <c r="L677" t="s">
        <v>32</v>
      </c>
      <c r="M677" t="s">
        <v>33</v>
      </c>
      <c r="P677" t="s">
        <v>34</v>
      </c>
      <c r="Q677" t="s">
        <v>35</v>
      </c>
      <c r="S677" t="s">
        <v>52</v>
      </c>
      <c r="T677" t="s">
        <v>676</v>
      </c>
      <c r="U677" t="s">
        <v>677</v>
      </c>
      <c r="V677" t="s">
        <v>40</v>
      </c>
      <c r="W677" s="1">
        <v>3582000</v>
      </c>
    </row>
    <row r="678" spans="1:23" x14ac:dyDescent="0.2">
      <c r="A678" t="s">
        <v>23</v>
      </c>
      <c r="B678" t="s">
        <v>24</v>
      </c>
      <c r="C678" t="s">
        <v>25</v>
      </c>
      <c r="D678" t="s">
        <v>671</v>
      </c>
      <c r="E678" t="s">
        <v>672</v>
      </c>
      <c r="F678" t="s">
        <v>673</v>
      </c>
      <c r="G678" t="s">
        <v>29</v>
      </c>
      <c r="H678" t="s">
        <v>30</v>
      </c>
      <c r="I678" t="s">
        <v>30</v>
      </c>
      <c r="J678" t="s">
        <v>41</v>
      </c>
      <c r="K678" t="s">
        <v>32</v>
      </c>
      <c r="L678" t="s">
        <v>32</v>
      </c>
      <c r="M678" t="s">
        <v>33</v>
      </c>
      <c r="P678" t="s">
        <v>34</v>
      </c>
      <c r="Q678" t="s">
        <v>35</v>
      </c>
      <c r="S678" t="s">
        <v>52</v>
      </c>
      <c r="T678" t="s">
        <v>676</v>
      </c>
      <c r="U678" t="s">
        <v>678</v>
      </c>
      <c r="V678" t="s">
        <v>39</v>
      </c>
      <c r="W678" s="1">
        <v>0</v>
      </c>
    </row>
    <row r="679" spans="1:23" x14ac:dyDescent="0.2">
      <c r="A679" t="s">
        <v>23</v>
      </c>
      <c r="B679" t="s">
        <v>24</v>
      </c>
      <c r="C679" t="s">
        <v>25</v>
      </c>
      <c r="D679" t="s">
        <v>671</v>
      </c>
      <c r="E679" t="s">
        <v>672</v>
      </c>
      <c r="F679" t="s">
        <v>673</v>
      </c>
      <c r="G679" t="s">
        <v>29</v>
      </c>
      <c r="H679" t="s">
        <v>30</v>
      </c>
      <c r="I679" t="s">
        <v>30</v>
      </c>
      <c r="J679" t="s">
        <v>41</v>
      </c>
      <c r="K679" t="s">
        <v>32</v>
      </c>
      <c r="L679" t="s">
        <v>32</v>
      </c>
      <c r="M679" t="s">
        <v>33</v>
      </c>
      <c r="P679" t="s">
        <v>34</v>
      </c>
      <c r="Q679" t="s">
        <v>35</v>
      </c>
      <c r="S679" t="s">
        <v>52</v>
      </c>
      <c r="T679" t="s">
        <v>676</v>
      </c>
      <c r="U679" t="s">
        <v>678</v>
      </c>
      <c r="V679" t="s">
        <v>40</v>
      </c>
      <c r="W679" s="1">
        <v>2090850</v>
      </c>
    </row>
    <row r="680" spans="1:23" x14ac:dyDescent="0.2">
      <c r="A680" t="s">
        <v>23</v>
      </c>
      <c r="B680" t="s">
        <v>24</v>
      </c>
      <c r="C680" t="s">
        <v>25</v>
      </c>
      <c r="D680" t="s">
        <v>671</v>
      </c>
      <c r="E680" t="s">
        <v>672</v>
      </c>
      <c r="F680" t="s">
        <v>673</v>
      </c>
      <c r="G680" t="s">
        <v>29</v>
      </c>
      <c r="H680" t="s">
        <v>30</v>
      </c>
      <c r="I680" t="s">
        <v>30</v>
      </c>
      <c r="J680" t="s">
        <v>41</v>
      </c>
      <c r="K680" t="s">
        <v>32</v>
      </c>
      <c r="L680" t="s">
        <v>32</v>
      </c>
      <c r="M680" t="s">
        <v>33</v>
      </c>
      <c r="P680" t="s">
        <v>34</v>
      </c>
      <c r="Q680" t="s">
        <v>35</v>
      </c>
      <c r="S680" t="s">
        <v>52</v>
      </c>
      <c r="T680" t="s">
        <v>676</v>
      </c>
      <c r="U680" t="s">
        <v>679</v>
      </c>
      <c r="V680" t="s">
        <v>39</v>
      </c>
      <c r="W680" s="1">
        <v>0</v>
      </c>
    </row>
    <row r="681" spans="1:23" x14ac:dyDescent="0.2">
      <c r="A681" t="s">
        <v>23</v>
      </c>
      <c r="B681" t="s">
        <v>24</v>
      </c>
      <c r="C681" t="s">
        <v>25</v>
      </c>
      <c r="D681" t="s">
        <v>671</v>
      </c>
      <c r="E681" t="s">
        <v>672</v>
      </c>
      <c r="F681" t="s">
        <v>673</v>
      </c>
      <c r="G681" t="s">
        <v>29</v>
      </c>
      <c r="H681" t="s">
        <v>30</v>
      </c>
      <c r="I681" t="s">
        <v>30</v>
      </c>
      <c r="J681" t="s">
        <v>41</v>
      </c>
      <c r="K681" t="s">
        <v>32</v>
      </c>
      <c r="L681" t="s">
        <v>32</v>
      </c>
      <c r="M681" t="s">
        <v>33</v>
      </c>
      <c r="P681" t="s">
        <v>34</v>
      </c>
      <c r="Q681" t="s">
        <v>35</v>
      </c>
      <c r="S681" t="s">
        <v>52</v>
      </c>
      <c r="T681" t="s">
        <v>676</v>
      </c>
      <c r="U681" t="s">
        <v>679</v>
      </c>
      <c r="V681" t="s">
        <v>40</v>
      </c>
      <c r="W681" s="1">
        <v>299850</v>
      </c>
    </row>
    <row r="682" spans="1:23" x14ac:dyDescent="0.2">
      <c r="A682" t="s">
        <v>23</v>
      </c>
      <c r="B682" t="s">
        <v>24</v>
      </c>
      <c r="C682" t="s">
        <v>25</v>
      </c>
      <c r="D682" t="s">
        <v>671</v>
      </c>
      <c r="E682" t="s">
        <v>672</v>
      </c>
      <c r="F682" t="s">
        <v>673</v>
      </c>
      <c r="G682" t="s">
        <v>49</v>
      </c>
      <c r="H682" t="s">
        <v>30</v>
      </c>
      <c r="I682" t="s">
        <v>30</v>
      </c>
      <c r="J682" t="s">
        <v>31</v>
      </c>
      <c r="K682" t="s">
        <v>32</v>
      </c>
      <c r="L682" t="s">
        <v>32</v>
      </c>
      <c r="M682" t="s">
        <v>33</v>
      </c>
      <c r="N682" t="s">
        <v>33</v>
      </c>
      <c r="O682" t="s">
        <v>33</v>
      </c>
      <c r="P682" t="s">
        <v>34</v>
      </c>
      <c r="Q682" t="s">
        <v>35</v>
      </c>
      <c r="R682" t="s">
        <v>73</v>
      </c>
      <c r="S682" t="s">
        <v>30</v>
      </c>
      <c r="T682" t="s">
        <v>680</v>
      </c>
      <c r="U682" t="s">
        <v>681</v>
      </c>
      <c r="V682" t="s">
        <v>39</v>
      </c>
      <c r="W682" s="1">
        <v>4</v>
      </c>
    </row>
    <row r="683" spans="1:23" x14ac:dyDescent="0.2">
      <c r="A683" t="s">
        <v>23</v>
      </c>
      <c r="B683" t="s">
        <v>24</v>
      </c>
      <c r="C683" t="s">
        <v>25</v>
      </c>
      <c r="D683" t="s">
        <v>671</v>
      </c>
      <c r="E683" t="s">
        <v>672</v>
      </c>
      <c r="F683" t="s">
        <v>673</v>
      </c>
      <c r="G683" t="s">
        <v>49</v>
      </c>
      <c r="H683" t="s">
        <v>30</v>
      </c>
      <c r="I683" t="s">
        <v>30</v>
      </c>
      <c r="J683" t="s">
        <v>31</v>
      </c>
      <c r="K683" t="s">
        <v>32</v>
      </c>
      <c r="L683" t="s">
        <v>32</v>
      </c>
      <c r="M683" t="s">
        <v>33</v>
      </c>
      <c r="N683" t="s">
        <v>33</v>
      </c>
      <c r="O683" t="s">
        <v>33</v>
      </c>
      <c r="P683" t="s">
        <v>34</v>
      </c>
      <c r="Q683" t="s">
        <v>35</v>
      </c>
      <c r="R683" t="s">
        <v>73</v>
      </c>
      <c r="S683" t="s">
        <v>30</v>
      </c>
      <c r="T683" t="s">
        <v>680</v>
      </c>
      <c r="U683" t="s">
        <v>681</v>
      </c>
      <c r="V683" t="s">
        <v>40</v>
      </c>
      <c r="W683" s="1">
        <v>2919600</v>
      </c>
    </row>
    <row r="684" spans="1:23" x14ac:dyDescent="0.2">
      <c r="A684" t="s">
        <v>23</v>
      </c>
      <c r="B684" t="s">
        <v>24</v>
      </c>
      <c r="C684" t="s">
        <v>25</v>
      </c>
      <c r="D684" t="s">
        <v>671</v>
      </c>
      <c r="E684" t="s">
        <v>672</v>
      </c>
      <c r="F684" t="s">
        <v>673</v>
      </c>
      <c r="G684" t="s">
        <v>170</v>
      </c>
      <c r="H684" t="s">
        <v>52</v>
      </c>
      <c r="I684" t="s">
        <v>30</v>
      </c>
      <c r="J684" t="s">
        <v>31</v>
      </c>
      <c r="K684" t="s">
        <v>32</v>
      </c>
      <c r="L684" t="s">
        <v>32</v>
      </c>
      <c r="M684" t="s">
        <v>33</v>
      </c>
      <c r="P684" t="s">
        <v>34</v>
      </c>
      <c r="Q684" t="s">
        <v>35</v>
      </c>
      <c r="S684" t="s">
        <v>52</v>
      </c>
      <c r="T684" t="s">
        <v>682</v>
      </c>
      <c r="U684" t="s">
        <v>683</v>
      </c>
      <c r="V684" t="s">
        <v>39</v>
      </c>
      <c r="W684" s="1">
        <v>0</v>
      </c>
    </row>
    <row r="685" spans="1:23" x14ac:dyDescent="0.2">
      <c r="A685" t="s">
        <v>23</v>
      </c>
      <c r="B685" t="s">
        <v>24</v>
      </c>
      <c r="C685" t="s">
        <v>25</v>
      </c>
      <c r="D685" t="s">
        <v>671</v>
      </c>
      <c r="E685" t="s">
        <v>672</v>
      </c>
      <c r="F685" t="s">
        <v>673</v>
      </c>
      <c r="G685" t="s">
        <v>170</v>
      </c>
      <c r="H685" t="s">
        <v>52</v>
      </c>
      <c r="I685" t="s">
        <v>30</v>
      </c>
      <c r="J685" t="s">
        <v>31</v>
      </c>
      <c r="K685" t="s">
        <v>32</v>
      </c>
      <c r="L685" t="s">
        <v>32</v>
      </c>
      <c r="M685" t="s">
        <v>33</v>
      </c>
      <c r="P685" t="s">
        <v>34</v>
      </c>
      <c r="Q685" t="s">
        <v>35</v>
      </c>
      <c r="S685" t="s">
        <v>52</v>
      </c>
      <c r="T685" t="s">
        <v>682</v>
      </c>
      <c r="U685" t="s">
        <v>683</v>
      </c>
      <c r="V685" t="s">
        <v>40</v>
      </c>
      <c r="W685" s="1">
        <v>8394400</v>
      </c>
    </row>
    <row r="686" spans="1:23" x14ac:dyDescent="0.2">
      <c r="A686" t="s">
        <v>23</v>
      </c>
      <c r="B686" t="s">
        <v>24</v>
      </c>
      <c r="C686" t="s">
        <v>25</v>
      </c>
      <c r="D686" t="s">
        <v>671</v>
      </c>
      <c r="E686" t="s">
        <v>672</v>
      </c>
      <c r="F686" t="s">
        <v>673</v>
      </c>
      <c r="G686" t="s">
        <v>170</v>
      </c>
      <c r="H686" t="s">
        <v>52</v>
      </c>
      <c r="I686" t="s">
        <v>30</v>
      </c>
      <c r="J686" t="s">
        <v>31</v>
      </c>
      <c r="K686" t="s">
        <v>32</v>
      </c>
      <c r="L686" t="s">
        <v>32</v>
      </c>
      <c r="M686" t="s">
        <v>195</v>
      </c>
      <c r="P686" t="s">
        <v>34</v>
      </c>
      <c r="Q686" t="s">
        <v>35</v>
      </c>
      <c r="S686" t="s">
        <v>52</v>
      </c>
      <c r="T686" t="s">
        <v>682</v>
      </c>
      <c r="U686" t="s">
        <v>683</v>
      </c>
      <c r="V686" t="s">
        <v>39</v>
      </c>
      <c r="W686" s="1">
        <v>0</v>
      </c>
    </row>
    <row r="687" spans="1:23" x14ac:dyDescent="0.2">
      <c r="A687" t="s">
        <v>23</v>
      </c>
      <c r="B687" t="s">
        <v>24</v>
      </c>
      <c r="C687" t="s">
        <v>25</v>
      </c>
      <c r="D687" t="s">
        <v>671</v>
      </c>
      <c r="E687" t="s">
        <v>672</v>
      </c>
      <c r="F687" t="s">
        <v>673</v>
      </c>
      <c r="G687" t="s">
        <v>170</v>
      </c>
      <c r="H687" t="s">
        <v>52</v>
      </c>
      <c r="I687" t="s">
        <v>30</v>
      </c>
      <c r="J687" t="s">
        <v>31</v>
      </c>
      <c r="K687" t="s">
        <v>32</v>
      </c>
      <c r="L687" t="s">
        <v>32</v>
      </c>
      <c r="M687" t="s">
        <v>195</v>
      </c>
      <c r="P687" t="s">
        <v>34</v>
      </c>
      <c r="Q687" t="s">
        <v>35</v>
      </c>
      <c r="S687" t="s">
        <v>52</v>
      </c>
      <c r="T687" t="s">
        <v>682</v>
      </c>
      <c r="U687" t="s">
        <v>683</v>
      </c>
      <c r="V687" t="s">
        <v>40</v>
      </c>
      <c r="W687" s="1">
        <v>119920</v>
      </c>
    </row>
    <row r="688" spans="1:23" x14ac:dyDescent="0.2">
      <c r="A688" t="s">
        <v>23</v>
      </c>
      <c r="B688" t="s">
        <v>24</v>
      </c>
      <c r="C688" t="s">
        <v>25</v>
      </c>
      <c r="D688" t="s">
        <v>671</v>
      </c>
      <c r="E688" t="s">
        <v>672</v>
      </c>
      <c r="F688" t="s">
        <v>673</v>
      </c>
      <c r="G688" t="s">
        <v>67</v>
      </c>
      <c r="H688" t="s">
        <v>30</v>
      </c>
      <c r="I688" t="s">
        <v>30</v>
      </c>
      <c r="J688" t="s">
        <v>31</v>
      </c>
      <c r="K688" t="s">
        <v>32</v>
      </c>
      <c r="L688" t="s">
        <v>32</v>
      </c>
      <c r="M688" t="s">
        <v>33</v>
      </c>
      <c r="N688" t="s">
        <v>33</v>
      </c>
      <c r="O688" t="s">
        <v>33</v>
      </c>
      <c r="P688" t="s">
        <v>34</v>
      </c>
      <c r="Q688" t="s">
        <v>35</v>
      </c>
      <c r="S688" t="s">
        <v>30</v>
      </c>
      <c r="T688" t="s">
        <v>684</v>
      </c>
      <c r="U688" t="s">
        <v>685</v>
      </c>
      <c r="V688" t="s">
        <v>39</v>
      </c>
      <c r="W688" s="1">
        <v>4</v>
      </c>
    </row>
    <row r="689" spans="1:23" x14ac:dyDescent="0.2">
      <c r="A689" t="s">
        <v>23</v>
      </c>
      <c r="B689" t="s">
        <v>24</v>
      </c>
      <c r="C689" t="s">
        <v>25</v>
      </c>
      <c r="D689" t="s">
        <v>671</v>
      </c>
      <c r="E689" t="s">
        <v>672</v>
      </c>
      <c r="F689" t="s">
        <v>673</v>
      </c>
      <c r="G689" t="s">
        <v>67</v>
      </c>
      <c r="H689" t="s">
        <v>30</v>
      </c>
      <c r="I689" t="s">
        <v>30</v>
      </c>
      <c r="J689" t="s">
        <v>31</v>
      </c>
      <c r="K689" t="s">
        <v>32</v>
      </c>
      <c r="L689" t="s">
        <v>32</v>
      </c>
      <c r="M689" t="s">
        <v>33</v>
      </c>
      <c r="N689" t="s">
        <v>33</v>
      </c>
      <c r="O689" t="s">
        <v>33</v>
      </c>
      <c r="P689" t="s">
        <v>34</v>
      </c>
      <c r="Q689" t="s">
        <v>35</v>
      </c>
      <c r="S689" t="s">
        <v>30</v>
      </c>
      <c r="T689" t="s">
        <v>684</v>
      </c>
      <c r="U689" t="s">
        <v>685</v>
      </c>
      <c r="V689" t="s">
        <v>40</v>
      </c>
      <c r="W689" s="1">
        <v>2008800</v>
      </c>
    </row>
    <row r="690" spans="1:23" x14ac:dyDescent="0.2">
      <c r="A690" t="s">
        <v>23</v>
      </c>
      <c r="B690" t="s">
        <v>24</v>
      </c>
      <c r="C690" t="s">
        <v>25</v>
      </c>
      <c r="D690" t="s">
        <v>671</v>
      </c>
      <c r="E690" t="s">
        <v>672</v>
      </c>
      <c r="F690" t="s">
        <v>673</v>
      </c>
      <c r="G690" t="s">
        <v>89</v>
      </c>
      <c r="H690" t="s">
        <v>30</v>
      </c>
      <c r="I690" t="s">
        <v>30</v>
      </c>
      <c r="J690" t="s">
        <v>128</v>
      </c>
      <c r="K690" t="s">
        <v>181</v>
      </c>
      <c r="L690" t="s">
        <v>32</v>
      </c>
      <c r="M690" t="s">
        <v>33</v>
      </c>
      <c r="P690" t="s">
        <v>34</v>
      </c>
      <c r="Q690" t="s">
        <v>35</v>
      </c>
      <c r="S690" t="s">
        <v>52</v>
      </c>
      <c r="T690" t="s">
        <v>686</v>
      </c>
      <c r="U690" t="s">
        <v>687</v>
      </c>
      <c r="V690" t="s">
        <v>39</v>
      </c>
      <c r="W690" s="1">
        <v>0</v>
      </c>
    </row>
    <row r="691" spans="1:23" x14ac:dyDescent="0.2">
      <c r="A691" t="s">
        <v>23</v>
      </c>
      <c r="B691" t="s">
        <v>24</v>
      </c>
      <c r="C691" t="s">
        <v>25</v>
      </c>
      <c r="D691" t="s">
        <v>671</v>
      </c>
      <c r="E691" t="s">
        <v>672</v>
      </c>
      <c r="F691" t="s">
        <v>673</v>
      </c>
      <c r="G691" t="s">
        <v>89</v>
      </c>
      <c r="H691" t="s">
        <v>30</v>
      </c>
      <c r="I691" t="s">
        <v>30</v>
      </c>
      <c r="J691" t="s">
        <v>128</v>
      </c>
      <c r="K691" t="s">
        <v>181</v>
      </c>
      <c r="L691" t="s">
        <v>32</v>
      </c>
      <c r="M691" t="s">
        <v>33</v>
      </c>
      <c r="P691" t="s">
        <v>34</v>
      </c>
      <c r="Q691" t="s">
        <v>35</v>
      </c>
      <c r="S691" t="s">
        <v>52</v>
      </c>
      <c r="T691" t="s">
        <v>686</v>
      </c>
      <c r="U691" t="s">
        <v>687</v>
      </c>
      <c r="V691" t="s">
        <v>40</v>
      </c>
      <c r="W691" s="1">
        <v>0</v>
      </c>
    </row>
    <row r="692" spans="1:23" x14ac:dyDescent="0.2">
      <c r="A692" t="s">
        <v>23</v>
      </c>
      <c r="B692" t="s">
        <v>24</v>
      </c>
      <c r="C692" t="s">
        <v>25</v>
      </c>
      <c r="D692" t="s">
        <v>671</v>
      </c>
      <c r="E692" t="s">
        <v>672</v>
      </c>
      <c r="F692" t="s">
        <v>673</v>
      </c>
      <c r="G692" t="s">
        <v>89</v>
      </c>
      <c r="H692" t="s">
        <v>30</v>
      </c>
      <c r="I692" t="s">
        <v>30</v>
      </c>
      <c r="J692" t="s">
        <v>31</v>
      </c>
      <c r="K692" t="s">
        <v>32</v>
      </c>
      <c r="L692" t="s">
        <v>32</v>
      </c>
      <c r="M692" t="s">
        <v>33</v>
      </c>
      <c r="N692" t="s">
        <v>33</v>
      </c>
      <c r="O692" t="s">
        <v>33</v>
      </c>
      <c r="P692" t="s">
        <v>213</v>
      </c>
      <c r="Q692" t="s">
        <v>214</v>
      </c>
      <c r="S692" t="s">
        <v>30</v>
      </c>
      <c r="T692" t="s">
        <v>688</v>
      </c>
      <c r="U692" t="s">
        <v>689</v>
      </c>
      <c r="V692" t="s">
        <v>39</v>
      </c>
      <c r="W692" s="1">
        <v>11</v>
      </c>
    </row>
    <row r="693" spans="1:23" x14ac:dyDescent="0.2">
      <c r="A693" t="s">
        <v>23</v>
      </c>
      <c r="B693" t="s">
        <v>24</v>
      </c>
      <c r="C693" t="s">
        <v>25</v>
      </c>
      <c r="D693" t="s">
        <v>671</v>
      </c>
      <c r="E693" t="s">
        <v>672</v>
      </c>
      <c r="F693" t="s">
        <v>673</v>
      </c>
      <c r="G693" t="s">
        <v>89</v>
      </c>
      <c r="H693" t="s">
        <v>30</v>
      </c>
      <c r="I693" t="s">
        <v>30</v>
      </c>
      <c r="J693" t="s">
        <v>31</v>
      </c>
      <c r="K693" t="s">
        <v>32</v>
      </c>
      <c r="L693" t="s">
        <v>32</v>
      </c>
      <c r="M693" t="s">
        <v>33</v>
      </c>
      <c r="N693" t="s">
        <v>33</v>
      </c>
      <c r="O693" t="s">
        <v>33</v>
      </c>
      <c r="P693" t="s">
        <v>213</v>
      </c>
      <c r="Q693" t="s">
        <v>214</v>
      </c>
      <c r="S693" t="s">
        <v>30</v>
      </c>
      <c r="T693" t="s">
        <v>688</v>
      </c>
      <c r="U693" t="s">
        <v>689</v>
      </c>
      <c r="V693" t="s">
        <v>40</v>
      </c>
      <c r="W693" s="1">
        <v>8349000</v>
      </c>
    </row>
    <row r="694" spans="1:23" x14ac:dyDescent="0.2">
      <c r="A694" t="s">
        <v>23</v>
      </c>
      <c r="B694" t="s">
        <v>24</v>
      </c>
      <c r="C694" t="s">
        <v>25</v>
      </c>
      <c r="D694" t="s">
        <v>671</v>
      </c>
      <c r="E694" t="s">
        <v>672</v>
      </c>
      <c r="F694" t="s">
        <v>673</v>
      </c>
      <c r="G694" t="s">
        <v>89</v>
      </c>
      <c r="H694" t="s">
        <v>30</v>
      </c>
      <c r="I694" t="s">
        <v>30</v>
      </c>
      <c r="J694" t="s">
        <v>31</v>
      </c>
      <c r="K694" t="s">
        <v>32</v>
      </c>
      <c r="L694" t="s">
        <v>32</v>
      </c>
      <c r="M694" t="s">
        <v>33</v>
      </c>
      <c r="P694" t="s">
        <v>34</v>
      </c>
      <c r="Q694" t="s">
        <v>35</v>
      </c>
      <c r="S694" t="s">
        <v>52</v>
      </c>
      <c r="T694" t="s">
        <v>690</v>
      </c>
      <c r="U694" t="s">
        <v>691</v>
      </c>
      <c r="V694" t="s">
        <v>39</v>
      </c>
      <c r="W694" s="1">
        <v>0</v>
      </c>
    </row>
    <row r="695" spans="1:23" x14ac:dyDescent="0.2">
      <c r="A695" t="s">
        <v>23</v>
      </c>
      <c r="B695" t="s">
        <v>24</v>
      </c>
      <c r="C695" t="s">
        <v>25</v>
      </c>
      <c r="D695" t="s">
        <v>671</v>
      </c>
      <c r="E695" t="s">
        <v>672</v>
      </c>
      <c r="F695" t="s">
        <v>673</v>
      </c>
      <c r="G695" t="s">
        <v>89</v>
      </c>
      <c r="H695" t="s">
        <v>30</v>
      </c>
      <c r="I695" t="s">
        <v>30</v>
      </c>
      <c r="J695" t="s">
        <v>31</v>
      </c>
      <c r="K695" t="s">
        <v>32</v>
      </c>
      <c r="L695" t="s">
        <v>32</v>
      </c>
      <c r="M695" t="s">
        <v>33</v>
      </c>
      <c r="P695" t="s">
        <v>34</v>
      </c>
      <c r="Q695" t="s">
        <v>35</v>
      </c>
      <c r="S695" t="s">
        <v>52</v>
      </c>
      <c r="T695" t="s">
        <v>690</v>
      </c>
      <c r="U695" t="s">
        <v>691</v>
      </c>
      <c r="V695" t="s">
        <v>40</v>
      </c>
      <c r="W695" s="1">
        <v>9867000</v>
      </c>
    </row>
    <row r="696" spans="1:23" x14ac:dyDescent="0.2">
      <c r="A696" t="s">
        <v>23</v>
      </c>
      <c r="B696" t="s">
        <v>24</v>
      </c>
      <c r="C696" t="s">
        <v>25</v>
      </c>
      <c r="D696" t="s">
        <v>671</v>
      </c>
      <c r="E696" t="s">
        <v>672</v>
      </c>
      <c r="F696" t="s">
        <v>673</v>
      </c>
      <c r="G696" t="s">
        <v>89</v>
      </c>
      <c r="H696" t="s">
        <v>30</v>
      </c>
      <c r="I696" t="s">
        <v>30</v>
      </c>
      <c r="J696" t="s">
        <v>31</v>
      </c>
      <c r="K696" t="s">
        <v>32</v>
      </c>
      <c r="L696" t="s">
        <v>32</v>
      </c>
      <c r="M696" t="s">
        <v>33</v>
      </c>
      <c r="P696" t="s">
        <v>34</v>
      </c>
      <c r="Q696" t="s">
        <v>35</v>
      </c>
      <c r="S696" t="s">
        <v>52</v>
      </c>
      <c r="T696" t="s">
        <v>690</v>
      </c>
      <c r="U696" t="s">
        <v>692</v>
      </c>
      <c r="V696" t="s">
        <v>39</v>
      </c>
      <c r="W696" s="1">
        <v>0</v>
      </c>
    </row>
    <row r="697" spans="1:23" x14ac:dyDescent="0.2">
      <c r="A697" t="s">
        <v>23</v>
      </c>
      <c r="B697" t="s">
        <v>24</v>
      </c>
      <c r="C697" t="s">
        <v>25</v>
      </c>
      <c r="D697" t="s">
        <v>671</v>
      </c>
      <c r="E697" t="s">
        <v>672</v>
      </c>
      <c r="F697" t="s">
        <v>673</v>
      </c>
      <c r="G697" t="s">
        <v>89</v>
      </c>
      <c r="H697" t="s">
        <v>30</v>
      </c>
      <c r="I697" t="s">
        <v>30</v>
      </c>
      <c r="J697" t="s">
        <v>31</v>
      </c>
      <c r="K697" t="s">
        <v>32</v>
      </c>
      <c r="L697" t="s">
        <v>32</v>
      </c>
      <c r="M697" t="s">
        <v>33</v>
      </c>
      <c r="P697" t="s">
        <v>34</v>
      </c>
      <c r="Q697" t="s">
        <v>35</v>
      </c>
      <c r="S697" t="s">
        <v>52</v>
      </c>
      <c r="T697" t="s">
        <v>690</v>
      </c>
      <c r="U697" t="s">
        <v>692</v>
      </c>
      <c r="V697" t="s">
        <v>40</v>
      </c>
      <c r="W697" s="1">
        <v>9867000</v>
      </c>
    </row>
    <row r="698" spans="1:23" x14ac:dyDescent="0.2">
      <c r="A698" t="s">
        <v>23</v>
      </c>
      <c r="B698" t="s">
        <v>24</v>
      </c>
      <c r="C698" t="s">
        <v>25</v>
      </c>
      <c r="D698" t="s">
        <v>671</v>
      </c>
      <c r="E698" t="s">
        <v>672</v>
      </c>
      <c r="F698" t="s">
        <v>673</v>
      </c>
      <c r="G698" t="s">
        <v>89</v>
      </c>
      <c r="H698" t="s">
        <v>30</v>
      </c>
      <c r="I698" t="s">
        <v>30</v>
      </c>
      <c r="J698" t="s">
        <v>31</v>
      </c>
      <c r="K698" t="s">
        <v>32</v>
      </c>
      <c r="L698" t="s">
        <v>32</v>
      </c>
      <c r="M698" t="s">
        <v>176</v>
      </c>
      <c r="N698" t="s">
        <v>176</v>
      </c>
      <c r="O698" t="s">
        <v>176</v>
      </c>
      <c r="P698" t="s">
        <v>213</v>
      </c>
      <c r="Q698" t="s">
        <v>214</v>
      </c>
      <c r="S698" t="s">
        <v>30</v>
      </c>
      <c r="T698" t="s">
        <v>688</v>
      </c>
      <c r="U698" t="s">
        <v>689</v>
      </c>
      <c r="V698" t="s">
        <v>39</v>
      </c>
      <c r="W698" s="1">
        <v>2</v>
      </c>
    </row>
    <row r="699" spans="1:23" x14ac:dyDescent="0.2">
      <c r="A699" t="s">
        <v>23</v>
      </c>
      <c r="B699" t="s">
        <v>24</v>
      </c>
      <c r="C699" t="s">
        <v>25</v>
      </c>
      <c r="D699" t="s">
        <v>671</v>
      </c>
      <c r="E699" t="s">
        <v>672</v>
      </c>
      <c r="F699" t="s">
        <v>673</v>
      </c>
      <c r="G699" t="s">
        <v>89</v>
      </c>
      <c r="H699" t="s">
        <v>30</v>
      </c>
      <c r="I699" t="s">
        <v>30</v>
      </c>
      <c r="J699" t="s">
        <v>31</v>
      </c>
      <c r="K699" t="s">
        <v>32</v>
      </c>
      <c r="L699" t="s">
        <v>32</v>
      </c>
      <c r="M699" t="s">
        <v>176</v>
      </c>
      <c r="N699" t="s">
        <v>176</v>
      </c>
      <c r="O699" t="s">
        <v>176</v>
      </c>
      <c r="P699" t="s">
        <v>213</v>
      </c>
      <c r="Q699" t="s">
        <v>214</v>
      </c>
      <c r="S699" t="s">
        <v>30</v>
      </c>
      <c r="T699" t="s">
        <v>688</v>
      </c>
      <c r="U699" t="s">
        <v>689</v>
      </c>
      <c r="V699" t="s">
        <v>40</v>
      </c>
      <c r="W699" s="1">
        <v>1480050</v>
      </c>
    </row>
    <row r="700" spans="1:23" x14ac:dyDescent="0.2">
      <c r="A700" t="s">
        <v>23</v>
      </c>
      <c r="B700" t="s">
        <v>24</v>
      </c>
      <c r="C700" t="s">
        <v>25</v>
      </c>
      <c r="D700" t="s">
        <v>671</v>
      </c>
      <c r="E700" t="s">
        <v>672</v>
      </c>
      <c r="F700" t="s">
        <v>673</v>
      </c>
      <c r="G700" t="s">
        <v>106</v>
      </c>
      <c r="H700" t="s">
        <v>30</v>
      </c>
      <c r="I700" t="s">
        <v>30</v>
      </c>
      <c r="J700" t="s">
        <v>233</v>
      </c>
      <c r="K700" t="s">
        <v>181</v>
      </c>
      <c r="L700" t="s">
        <v>332</v>
      </c>
      <c r="M700" t="s">
        <v>33</v>
      </c>
      <c r="N700" t="s">
        <v>33</v>
      </c>
      <c r="O700" t="s">
        <v>33</v>
      </c>
      <c r="P700" t="s">
        <v>34</v>
      </c>
      <c r="Q700" t="s">
        <v>35</v>
      </c>
      <c r="R700" t="s">
        <v>693</v>
      </c>
      <c r="S700" t="s">
        <v>30</v>
      </c>
      <c r="T700" t="s">
        <v>694</v>
      </c>
      <c r="U700" t="s">
        <v>695</v>
      </c>
      <c r="V700" t="s">
        <v>39</v>
      </c>
      <c r="W700" s="1">
        <v>1</v>
      </c>
    </row>
    <row r="701" spans="1:23" x14ac:dyDescent="0.2">
      <c r="A701" t="s">
        <v>23</v>
      </c>
      <c r="B701" t="s">
        <v>24</v>
      </c>
      <c r="C701" t="s">
        <v>25</v>
      </c>
      <c r="D701" t="s">
        <v>671</v>
      </c>
      <c r="E701" t="s">
        <v>672</v>
      </c>
      <c r="F701" t="s">
        <v>673</v>
      </c>
      <c r="G701" t="s">
        <v>106</v>
      </c>
      <c r="H701" t="s">
        <v>30</v>
      </c>
      <c r="I701" t="s">
        <v>30</v>
      </c>
      <c r="J701" t="s">
        <v>233</v>
      </c>
      <c r="K701" t="s">
        <v>181</v>
      </c>
      <c r="L701" t="s">
        <v>332</v>
      </c>
      <c r="M701" t="s">
        <v>33</v>
      </c>
      <c r="N701" t="s">
        <v>33</v>
      </c>
      <c r="O701" t="s">
        <v>33</v>
      </c>
      <c r="P701" t="s">
        <v>34</v>
      </c>
      <c r="Q701" t="s">
        <v>35</v>
      </c>
      <c r="R701" t="s">
        <v>693</v>
      </c>
      <c r="S701" t="s">
        <v>30</v>
      </c>
      <c r="T701" t="s">
        <v>694</v>
      </c>
      <c r="U701" t="s">
        <v>695</v>
      </c>
      <c r="V701" t="s">
        <v>40</v>
      </c>
      <c r="W701" s="1">
        <v>0</v>
      </c>
    </row>
    <row r="702" spans="1:23" x14ac:dyDescent="0.2">
      <c r="A702" t="s">
        <v>23</v>
      </c>
      <c r="B702" t="s">
        <v>24</v>
      </c>
      <c r="C702" t="s">
        <v>25</v>
      </c>
      <c r="D702" t="s">
        <v>671</v>
      </c>
      <c r="E702" t="s">
        <v>672</v>
      </c>
      <c r="F702" t="s">
        <v>673</v>
      </c>
      <c r="G702" t="s">
        <v>106</v>
      </c>
      <c r="H702" t="s">
        <v>30</v>
      </c>
      <c r="I702" t="s">
        <v>30</v>
      </c>
      <c r="J702" t="s">
        <v>57</v>
      </c>
      <c r="K702" t="s">
        <v>32</v>
      </c>
      <c r="L702" t="s">
        <v>32</v>
      </c>
      <c r="M702" t="s">
        <v>33</v>
      </c>
      <c r="N702" t="s">
        <v>33</v>
      </c>
      <c r="O702" t="s">
        <v>33</v>
      </c>
      <c r="P702" t="s">
        <v>34</v>
      </c>
      <c r="Q702" t="s">
        <v>35</v>
      </c>
      <c r="R702" t="s">
        <v>319</v>
      </c>
      <c r="S702" t="s">
        <v>30</v>
      </c>
      <c r="T702" t="s">
        <v>696</v>
      </c>
      <c r="U702" t="s">
        <v>697</v>
      </c>
      <c r="V702" t="s">
        <v>39</v>
      </c>
      <c r="W702" s="1">
        <v>4</v>
      </c>
    </row>
    <row r="703" spans="1:23" x14ac:dyDescent="0.2">
      <c r="A703" t="s">
        <v>23</v>
      </c>
      <c r="B703" t="s">
        <v>24</v>
      </c>
      <c r="C703" t="s">
        <v>25</v>
      </c>
      <c r="D703" t="s">
        <v>671</v>
      </c>
      <c r="E703" t="s">
        <v>672</v>
      </c>
      <c r="F703" t="s">
        <v>673</v>
      </c>
      <c r="G703" t="s">
        <v>106</v>
      </c>
      <c r="H703" t="s">
        <v>30</v>
      </c>
      <c r="I703" t="s">
        <v>30</v>
      </c>
      <c r="J703" t="s">
        <v>57</v>
      </c>
      <c r="K703" t="s">
        <v>32</v>
      </c>
      <c r="L703" t="s">
        <v>32</v>
      </c>
      <c r="M703" t="s">
        <v>33</v>
      </c>
      <c r="N703" t="s">
        <v>33</v>
      </c>
      <c r="O703" t="s">
        <v>33</v>
      </c>
      <c r="P703" t="s">
        <v>34</v>
      </c>
      <c r="Q703" t="s">
        <v>35</v>
      </c>
      <c r="R703" t="s">
        <v>319</v>
      </c>
      <c r="S703" t="s">
        <v>30</v>
      </c>
      <c r="T703" t="s">
        <v>696</v>
      </c>
      <c r="U703" t="s">
        <v>697</v>
      </c>
      <c r="V703" t="s">
        <v>40</v>
      </c>
      <c r="W703" s="1">
        <v>7996000</v>
      </c>
    </row>
    <row r="704" spans="1:23" x14ac:dyDescent="0.2">
      <c r="A704" t="s">
        <v>23</v>
      </c>
      <c r="B704" t="s">
        <v>24</v>
      </c>
      <c r="C704" t="s">
        <v>25</v>
      </c>
      <c r="D704" t="s">
        <v>671</v>
      </c>
      <c r="E704" t="s">
        <v>672</v>
      </c>
      <c r="F704" t="s">
        <v>673</v>
      </c>
      <c r="G704" t="s">
        <v>139</v>
      </c>
      <c r="H704" t="s">
        <v>30</v>
      </c>
      <c r="I704" t="s">
        <v>30</v>
      </c>
      <c r="J704" t="s">
        <v>211</v>
      </c>
      <c r="K704" t="s">
        <v>212</v>
      </c>
      <c r="L704" t="s">
        <v>32</v>
      </c>
      <c r="M704" t="s">
        <v>33</v>
      </c>
      <c r="P704" t="s">
        <v>34</v>
      </c>
      <c r="Q704" t="s">
        <v>35</v>
      </c>
      <c r="R704" t="s">
        <v>215</v>
      </c>
      <c r="S704" t="s">
        <v>30</v>
      </c>
      <c r="T704" t="s">
        <v>698</v>
      </c>
      <c r="U704" t="s">
        <v>699</v>
      </c>
      <c r="V704" t="s">
        <v>39</v>
      </c>
      <c r="W704" s="1">
        <v>4</v>
      </c>
    </row>
    <row r="705" spans="1:23" x14ac:dyDescent="0.2">
      <c r="A705" t="s">
        <v>23</v>
      </c>
      <c r="B705" t="s">
        <v>24</v>
      </c>
      <c r="C705" t="s">
        <v>25</v>
      </c>
      <c r="D705" t="s">
        <v>671</v>
      </c>
      <c r="E705" t="s">
        <v>672</v>
      </c>
      <c r="F705" t="s">
        <v>673</v>
      </c>
      <c r="G705" t="s">
        <v>139</v>
      </c>
      <c r="H705" t="s">
        <v>30</v>
      </c>
      <c r="I705" t="s">
        <v>30</v>
      </c>
      <c r="J705" t="s">
        <v>211</v>
      </c>
      <c r="K705" t="s">
        <v>212</v>
      </c>
      <c r="L705" t="s">
        <v>32</v>
      </c>
      <c r="M705" t="s">
        <v>33</v>
      </c>
      <c r="P705" t="s">
        <v>34</v>
      </c>
      <c r="Q705" t="s">
        <v>35</v>
      </c>
      <c r="R705" t="s">
        <v>215</v>
      </c>
      <c r="S705" t="s">
        <v>30</v>
      </c>
      <c r="T705" t="s">
        <v>698</v>
      </c>
      <c r="U705" t="s">
        <v>699</v>
      </c>
      <c r="V705" t="s">
        <v>40</v>
      </c>
      <c r="W705" s="1">
        <v>4959600</v>
      </c>
    </row>
    <row r="706" spans="1:23" x14ac:dyDescent="0.2">
      <c r="A706" t="s">
        <v>23</v>
      </c>
      <c r="B706" t="s">
        <v>24</v>
      </c>
      <c r="C706" t="s">
        <v>25</v>
      </c>
      <c r="D706" t="s">
        <v>671</v>
      </c>
      <c r="E706" t="s">
        <v>672</v>
      </c>
      <c r="F706" t="s">
        <v>673</v>
      </c>
      <c r="G706" t="s">
        <v>139</v>
      </c>
      <c r="H706" t="s">
        <v>30</v>
      </c>
      <c r="I706" t="s">
        <v>30</v>
      </c>
      <c r="J706" t="s">
        <v>211</v>
      </c>
      <c r="K706" t="s">
        <v>212</v>
      </c>
      <c r="L706" t="s">
        <v>32</v>
      </c>
      <c r="M706" t="s">
        <v>33</v>
      </c>
      <c r="P706" t="s">
        <v>34</v>
      </c>
      <c r="Q706" t="s">
        <v>35</v>
      </c>
      <c r="R706" t="s">
        <v>215</v>
      </c>
      <c r="S706" t="s">
        <v>52</v>
      </c>
      <c r="T706" t="s">
        <v>698</v>
      </c>
      <c r="U706" t="s">
        <v>700</v>
      </c>
      <c r="V706" t="s">
        <v>39</v>
      </c>
      <c r="W706" s="1">
        <v>0</v>
      </c>
    </row>
    <row r="707" spans="1:23" x14ac:dyDescent="0.2">
      <c r="A707" t="s">
        <v>23</v>
      </c>
      <c r="B707" t="s">
        <v>24</v>
      </c>
      <c r="C707" t="s">
        <v>25</v>
      </c>
      <c r="D707" t="s">
        <v>671</v>
      </c>
      <c r="E707" t="s">
        <v>672</v>
      </c>
      <c r="F707" t="s">
        <v>673</v>
      </c>
      <c r="G707" t="s">
        <v>139</v>
      </c>
      <c r="H707" t="s">
        <v>30</v>
      </c>
      <c r="I707" t="s">
        <v>30</v>
      </c>
      <c r="J707" t="s">
        <v>211</v>
      </c>
      <c r="K707" t="s">
        <v>212</v>
      </c>
      <c r="L707" t="s">
        <v>32</v>
      </c>
      <c r="M707" t="s">
        <v>33</v>
      </c>
      <c r="P707" t="s">
        <v>34</v>
      </c>
      <c r="Q707" t="s">
        <v>35</v>
      </c>
      <c r="R707" t="s">
        <v>215</v>
      </c>
      <c r="S707" t="s">
        <v>52</v>
      </c>
      <c r="T707" t="s">
        <v>698</v>
      </c>
      <c r="U707" t="s">
        <v>700</v>
      </c>
      <c r="V707" t="s">
        <v>40</v>
      </c>
      <c r="W707" s="1">
        <v>4959600</v>
      </c>
    </row>
    <row r="708" spans="1:23" x14ac:dyDescent="0.2">
      <c r="A708" t="s">
        <v>23</v>
      </c>
      <c r="B708" t="s">
        <v>24</v>
      </c>
      <c r="C708" t="s">
        <v>25</v>
      </c>
      <c r="D708" t="s">
        <v>671</v>
      </c>
      <c r="E708" t="s">
        <v>672</v>
      </c>
      <c r="F708" t="s">
        <v>673</v>
      </c>
      <c r="G708" t="s">
        <v>139</v>
      </c>
      <c r="H708" t="s">
        <v>30</v>
      </c>
      <c r="I708" t="s">
        <v>30</v>
      </c>
      <c r="J708" t="s">
        <v>31</v>
      </c>
      <c r="K708" t="s">
        <v>32</v>
      </c>
      <c r="L708" t="s">
        <v>32</v>
      </c>
      <c r="M708" t="s">
        <v>33</v>
      </c>
      <c r="N708" t="s">
        <v>33</v>
      </c>
      <c r="O708" t="s">
        <v>33</v>
      </c>
      <c r="P708" t="s">
        <v>213</v>
      </c>
      <c r="Q708" t="s">
        <v>214</v>
      </c>
      <c r="R708" t="s">
        <v>228</v>
      </c>
      <c r="S708" t="s">
        <v>30</v>
      </c>
      <c r="T708" t="s">
        <v>701</v>
      </c>
      <c r="U708" t="s">
        <v>702</v>
      </c>
      <c r="V708" t="s">
        <v>39</v>
      </c>
      <c r="W708" s="1">
        <v>3</v>
      </c>
    </row>
    <row r="709" spans="1:23" x14ac:dyDescent="0.2">
      <c r="A709" t="s">
        <v>23</v>
      </c>
      <c r="B709" t="s">
        <v>24</v>
      </c>
      <c r="C709" t="s">
        <v>25</v>
      </c>
      <c r="D709" t="s">
        <v>671</v>
      </c>
      <c r="E709" t="s">
        <v>672</v>
      </c>
      <c r="F709" t="s">
        <v>673</v>
      </c>
      <c r="G709" t="s">
        <v>139</v>
      </c>
      <c r="H709" t="s">
        <v>30</v>
      </c>
      <c r="I709" t="s">
        <v>30</v>
      </c>
      <c r="J709" t="s">
        <v>31</v>
      </c>
      <c r="K709" t="s">
        <v>32</v>
      </c>
      <c r="L709" t="s">
        <v>32</v>
      </c>
      <c r="M709" t="s">
        <v>33</v>
      </c>
      <c r="N709" t="s">
        <v>33</v>
      </c>
      <c r="O709" t="s">
        <v>33</v>
      </c>
      <c r="P709" t="s">
        <v>213</v>
      </c>
      <c r="Q709" t="s">
        <v>214</v>
      </c>
      <c r="R709" t="s">
        <v>228</v>
      </c>
      <c r="S709" t="s">
        <v>30</v>
      </c>
      <c r="T709" t="s">
        <v>701</v>
      </c>
      <c r="U709" t="s">
        <v>702</v>
      </c>
      <c r="V709" t="s">
        <v>40</v>
      </c>
      <c r="W709" s="1">
        <v>3087000</v>
      </c>
    </row>
    <row r="710" spans="1:23" x14ac:dyDescent="0.2">
      <c r="A710" t="s">
        <v>23</v>
      </c>
      <c r="B710" t="s">
        <v>24</v>
      </c>
      <c r="C710" t="s">
        <v>25</v>
      </c>
      <c r="D710" t="s">
        <v>671</v>
      </c>
      <c r="E710" t="s">
        <v>672</v>
      </c>
      <c r="F710" t="s">
        <v>673</v>
      </c>
      <c r="G710" t="s">
        <v>139</v>
      </c>
      <c r="H710" t="s">
        <v>30</v>
      </c>
      <c r="I710" t="s">
        <v>30</v>
      </c>
      <c r="J710" t="s">
        <v>41</v>
      </c>
      <c r="K710" t="s">
        <v>32</v>
      </c>
      <c r="L710" t="s">
        <v>32</v>
      </c>
      <c r="M710" t="s">
        <v>33</v>
      </c>
      <c r="P710" t="s">
        <v>34</v>
      </c>
      <c r="Q710" t="s">
        <v>35</v>
      </c>
      <c r="S710" t="s">
        <v>30</v>
      </c>
      <c r="T710" t="s">
        <v>703</v>
      </c>
      <c r="U710" t="s">
        <v>704</v>
      </c>
      <c r="V710" t="s">
        <v>39</v>
      </c>
      <c r="W710" s="1">
        <v>11</v>
      </c>
    </row>
    <row r="711" spans="1:23" x14ac:dyDescent="0.2">
      <c r="A711" t="s">
        <v>23</v>
      </c>
      <c r="B711" t="s">
        <v>24</v>
      </c>
      <c r="C711" t="s">
        <v>25</v>
      </c>
      <c r="D711" t="s">
        <v>671</v>
      </c>
      <c r="E711" t="s">
        <v>672</v>
      </c>
      <c r="F711" t="s">
        <v>673</v>
      </c>
      <c r="G711" t="s">
        <v>139</v>
      </c>
      <c r="H711" t="s">
        <v>30</v>
      </c>
      <c r="I711" t="s">
        <v>30</v>
      </c>
      <c r="J711" t="s">
        <v>41</v>
      </c>
      <c r="K711" t="s">
        <v>32</v>
      </c>
      <c r="L711" t="s">
        <v>32</v>
      </c>
      <c r="M711" t="s">
        <v>33</v>
      </c>
      <c r="P711" t="s">
        <v>34</v>
      </c>
      <c r="Q711" t="s">
        <v>35</v>
      </c>
      <c r="S711" t="s">
        <v>30</v>
      </c>
      <c r="T711" t="s">
        <v>703</v>
      </c>
      <c r="U711" t="s">
        <v>704</v>
      </c>
      <c r="V711" t="s">
        <v>40</v>
      </c>
      <c r="W711" s="1">
        <v>11575300</v>
      </c>
    </row>
    <row r="712" spans="1:23" x14ac:dyDescent="0.2">
      <c r="A712" t="s">
        <v>23</v>
      </c>
      <c r="B712" t="s">
        <v>24</v>
      </c>
      <c r="C712" t="s">
        <v>25</v>
      </c>
      <c r="D712" t="s">
        <v>671</v>
      </c>
      <c r="E712" t="s">
        <v>672</v>
      </c>
      <c r="F712" t="s">
        <v>673</v>
      </c>
      <c r="G712" t="s">
        <v>139</v>
      </c>
      <c r="H712" t="s">
        <v>30</v>
      </c>
      <c r="I712" t="s">
        <v>30</v>
      </c>
      <c r="J712" t="s">
        <v>233</v>
      </c>
      <c r="K712" t="s">
        <v>181</v>
      </c>
      <c r="L712" t="s">
        <v>32</v>
      </c>
      <c r="M712" t="s">
        <v>33</v>
      </c>
      <c r="N712" t="s">
        <v>33</v>
      </c>
      <c r="O712" t="s">
        <v>33</v>
      </c>
      <c r="P712" t="s">
        <v>213</v>
      </c>
      <c r="Q712" t="s">
        <v>214</v>
      </c>
      <c r="R712" t="s">
        <v>693</v>
      </c>
      <c r="S712" t="s">
        <v>30</v>
      </c>
      <c r="T712" t="s">
        <v>705</v>
      </c>
      <c r="U712" t="s">
        <v>706</v>
      </c>
      <c r="V712" t="s">
        <v>39</v>
      </c>
      <c r="W712" s="1">
        <v>5</v>
      </c>
    </row>
    <row r="713" spans="1:23" x14ac:dyDescent="0.2">
      <c r="A713" t="s">
        <v>23</v>
      </c>
      <c r="B713" t="s">
        <v>24</v>
      </c>
      <c r="C713" t="s">
        <v>25</v>
      </c>
      <c r="D713" t="s">
        <v>671</v>
      </c>
      <c r="E713" t="s">
        <v>672</v>
      </c>
      <c r="F713" t="s">
        <v>673</v>
      </c>
      <c r="G713" t="s">
        <v>139</v>
      </c>
      <c r="H713" t="s">
        <v>30</v>
      </c>
      <c r="I713" t="s">
        <v>30</v>
      </c>
      <c r="J713" t="s">
        <v>233</v>
      </c>
      <c r="K713" t="s">
        <v>181</v>
      </c>
      <c r="L713" t="s">
        <v>32</v>
      </c>
      <c r="M713" t="s">
        <v>33</v>
      </c>
      <c r="N713" t="s">
        <v>33</v>
      </c>
      <c r="O713" t="s">
        <v>33</v>
      </c>
      <c r="P713" t="s">
        <v>213</v>
      </c>
      <c r="Q713" t="s">
        <v>214</v>
      </c>
      <c r="R713" t="s">
        <v>693</v>
      </c>
      <c r="S713" t="s">
        <v>30</v>
      </c>
      <c r="T713" t="s">
        <v>705</v>
      </c>
      <c r="U713" t="s">
        <v>706</v>
      </c>
      <c r="V713" t="s">
        <v>40</v>
      </c>
      <c r="W713" s="1">
        <v>0</v>
      </c>
    </row>
    <row r="714" spans="1:23" x14ac:dyDescent="0.2">
      <c r="A714" t="s">
        <v>23</v>
      </c>
      <c r="B714" t="s">
        <v>24</v>
      </c>
      <c r="C714" t="s">
        <v>25</v>
      </c>
      <c r="D714" t="s">
        <v>671</v>
      </c>
      <c r="E714" t="s">
        <v>707</v>
      </c>
      <c r="F714" t="s">
        <v>708</v>
      </c>
      <c r="G714" t="s">
        <v>29</v>
      </c>
      <c r="H714" t="s">
        <v>30</v>
      </c>
      <c r="I714" t="s">
        <v>30</v>
      </c>
      <c r="J714" t="s">
        <v>128</v>
      </c>
      <c r="K714" t="s">
        <v>135</v>
      </c>
      <c r="L714" t="s">
        <v>32</v>
      </c>
      <c r="M714" t="s">
        <v>33</v>
      </c>
      <c r="N714" t="s">
        <v>33</v>
      </c>
      <c r="O714" t="s">
        <v>33</v>
      </c>
      <c r="P714" t="s">
        <v>34</v>
      </c>
      <c r="Q714" t="s">
        <v>35</v>
      </c>
      <c r="R714" t="s">
        <v>136</v>
      </c>
      <c r="S714" t="s">
        <v>30</v>
      </c>
      <c r="T714" t="s">
        <v>709</v>
      </c>
      <c r="U714" t="s">
        <v>710</v>
      </c>
      <c r="V714" t="s">
        <v>39</v>
      </c>
      <c r="W714" s="1">
        <v>1</v>
      </c>
    </row>
    <row r="715" spans="1:23" x14ac:dyDescent="0.2">
      <c r="A715" t="s">
        <v>23</v>
      </c>
      <c r="B715" t="s">
        <v>24</v>
      </c>
      <c r="C715" t="s">
        <v>25</v>
      </c>
      <c r="D715" t="s">
        <v>671</v>
      </c>
      <c r="E715" t="s">
        <v>707</v>
      </c>
      <c r="F715" t="s">
        <v>708</v>
      </c>
      <c r="G715" t="s">
        <v>29</v>
      </c>
      <c r="H715" t="s">
        <v>30</v>
      </c>
      <c r="I715" t="s">
        <v>30</v>
      </c>
      <c r="J715" t="s">
        <v>128</v>
      </c>
      <c r="K715" t="s">
        <v>135</v>
      </c>
      <c r="L715" t="s">
        <v>32</v>
      </c>
      <c r="M715" t="s">
        <v>33</v>
      </c>
      <c r="N715" t="s">
        <v>33</v>
      </c>
      <c r="O715" t="s">
        <v>33</v>
      </c>
      <c r="P715" t="s">
        <v>34</v>
      </c>
      <c r="Q715" t="s">
        <v>35</v>
      </c>
      <c r="R715" t="s">
        <v>136</v>
      </c>
      <c r="S715" t="s">
        <v>30</v>
      </c>
      <c r="T715" t="s">
        <v>709</v>
      </c>
      <c r="U715" t="s">
        <v>710</v>
      </c>
      <c r="V715" t="s">
        <v>40</v>
      </c>
      <c r="W715" s="1">
        <v>825100</v>
      </c>
    </row>
    <row r="716" spans="1:23" x14ac:dyDescent="0.2">
      <c r="A716" t="s">
        <v>23</v>
      </c>
      <c r="B716" t="s">
        <v>24</v>
      </c>
      <c r="C716" t="s">
        <v>25</v>
      </c>
      <c r="D716" t="s">
        <v>671</v>
      </c>
      <c r="E716" t="s">
        <v>707</v>
      </c>
      <c r="F716" t="s">
        <v>708</v>
      </c>
      <c r="G716" t="s">
        <v>67</v>
      </c>
      <c r="H716" t="s">
        <v>30</v>
      </c>
      <c r="I716" t="s">
        <v>30</v>
      </c>
      <c r="J716" t="s">
        <v>31</v>
      </c>
      <c r="K716" t="s">
        <v>32</v>
      </c>
      <c r="L716" t="s">
        <v>32</v>
      </c>
      <c r="M716" t="s">
        <v>33</v>
      </c>
      <c r="P716" t="s">
        <v>34</v>
      </c>
      <c r="Q716" t="s">
        <v>35</v>
      </c>
      <c r="S716" t="s">
        <v>52</v>
      </c>
      <c r="T716" t="s">
        <v>711</v>
      </c>
      <c r="U716" t="s">
        <v>712</v>
      </c>
      <c r="V716" t="s">
        <v>39</v>
      </c>
      <c r="W716" s="1">
        <v>0</v>
      </c>
    </row>
    <row r="717" spans="1:23" x14ac:dyDescent="0.2">
      <c r="A717" t="s">
        <v>23</v>
      </c>
      <c r="B717" t="s">
        <v>24</v>
      </c>
      <c r="C717" t="s">
        <v>25</v>
      </c>
      <c r="D717" t="s">
        <v>671</v>
      </c>
      <c r="E717" t="s">
        <v>707</v>
      </c>
      <c r="F717" t="s">
        <v>708</v>
      </c>
      <c r="G717" t="s">
        <v>67</v>
      </c>
      <c r="H717" t="s">
        <v>30</v>
      </c>
      <c r="I717" t="s">
        <v>30</v>
      </c>
      <c r="J717" t="s">
        <v>31</v>
      </c>
      <c r="K717" t="s">
        <v>32</v>
      </c>
      <c r="L717" t="s">
        <v>32</v>
      </c>
      <c r="M717" t="s">
        <v>33</v>
      </c>
      <c r="P717" t="s">
        <v>34</v>
      </c>
      <c r="Q717" t="s">
        <v>35</v>
      </c>
      <c r="S717" t="s">
        <v>52</v>
      </c>
      <c r="T717" t="s">
        <v>711</v>
      </c>
      <c r="U717" t="s">
        <v>712</v>
      </c>
      <c r="V717" t="s">
        <v>40</v>
      </c>
      <c r="W717" s="1">
        <v>9744000</v>
      </c>
    </row>
    <row r="718" spans="1:23" x14ac:dyDescent="0.2">
      <c r="A718" t="s">
        <v>23</v>
      </c>
      <c r="B718" t="s">
        <v>24</v>
      </c>
      <c r="C718" t="s">
        <v>25</v>
      </c>
      <c r="D718" t="s">
        <v>671</v>
      </c>
      <c r="E718" t="s">
        <v>707</v>
      </c>
      <c r="F718" t="s">
        <v>708</v>
      </c>
      <c r="G718" t="s">
        <v>106</v>
      </c>
      <c r="H718" t="s">
        <v>30</v>
      </c>
      <c r="I718" t="s">
        <v>30</v>
      </c>
      <c r="J718" t="s">
        <v>41</v>
      </c>
      <c r="K718" t="s">
        <v>32</v>
      </c>
      <c r="L718" t="s">
        <v>32</v>
      </c>
      <c r="M718" t="s">
        <v>33</v>
      </c>
      <c r="N718" t="s">
        <v>33</v>
      </c>
      <c r="O718" t="s">
        <v>33</v>
      </c>
      <c r="P718" t="s">
        <v>34</v>
      </c>
      <c r="Q718" t="s">
        <v>35</v>
      </c>
      <c r="R718" t="s">
        <v>58</v>
      </c>
      <c r="S718" t="s">
        <v>30</v>
      </c>
      <c r="T718" t="s">
        <v>713</v>
      </c>
      <c r="U718" t="s">
        <v>714</v>
      </c>
      <c r="V718" t="s">
        <v>39</v>
      </c>
      <c r="W718" s="1">
        <v>1</v>
      </c>
    </row>
    <row r="719" spans="1:23" x14ac:dyDescent="0.2">
      <c r="A719" t="s">
        <v>23</v>
      </c>
      <c r="B719" t="s">
        <v>24</v>
      </c>
      <c r="C719" t="s">
        <v>25</v>
      </c>
      <c r="D719" t="s">
        <v>671</v>
      </c>
      <c r="E719" t="s">
        <v>707</v>
      </c>
      <c r="F719" t="s">
        <v>708</v>
      </c>
      <c r="G719" t="s">
        <v>106</v>
      </c>
      <c r="H719" t="s">
        <v>30</v>
      </c>
      <c r="I719" t="s">
        <v>30</v>
      </c>
      <c r="J719" t="s">
        <v>41</v>
      </c>
      <c r="K719" t="s">
        <v>32</v>
      </c>
      <c r="L719" t="s">
        <v>32</v>
      </c>
      <c r="M719" t="s">
        <v>33</v>
      </c>
      <c r="N719" t="s">
        <v>33</v>
      </c>
      <c r="O719" t="s">
        <v>33</v>
      </c>
      <c r="P719" t="s">
        <v>34</v>
      </c>
      <c r="Q719" t="s">
        <v>35</v>
      </c>
      <c r="R719" t="s">
        <v>58</v>
      </c>
      <c r="S719" t="s">
        <v>30</v>
      </c>
      <c r="T719" t="s">
        <v>713</v>
      </c>
      <c r="U719" t="s">
        <v>714</v>
      </c>
      <c r="V719" t="s">
        <v>40</v>
      </c>
      <c r="W719" s="1">
        <v>1149900</v>
      </c>
    </row>
    <row r="720" spans="1:23" x14ac:dyDescent="0.2">
      <c r="A720" t="s">
        <v>23</v>
      </c>
      <c r="B720" t="s">
        <v>24</v>
      </c>
      <c r="C720" t="s">
        <v>25</v>
      </c>
      <c r="D720" t="s">
        <v>671</v>
      </c>
      <c r="E720" t="s">
        <v>707</v>
      </c>
      <c r="F720" t="s">
        <v>708</v>
      </c>
      <c r="G720" t="s">
        <v>119</v>
      </c>
      <c r="H720" t="s">
        <v>30</v>
      </c>
      <c r="I720" t="s">
        <v>52</v>
      </c>
      <c r="J720" t="s">
        <v>41</v>
      </c>
      <c r="K720" t="s">
        <v>32</v>
      </c>
      <c r="L720" t="s">
        <v>32</v>
      </c>
      <c r="M720" t="s">
        <v>33</v>
      </c>
      <c r="N720" t="s">
        <v>33</v>
      </c>
      <c r="O720" t="s">
        <v>33</v>
      </c>
      <c r="P720" t="s">
        <v>34</v>
      </c>
      <c r="Q720" t="s">
        <v>35</v>
      </c>
      <c r="R720" t="s">
        <v>36</v>
      </c>
      <c r="S720" t="s">
        <v>30</v>
      </c>
      <c r="T720" t="s">
        <v>715</v>
      </c>
      <c r="U720" t="s">
        <v>716</v>
      </c>
      <c r="V720" t="s">
        <v>39</v>
      </c>
      <c r="W720" s="1">
        <v>3</v>
      </c>
    </row>
    <row r="721" spans="1:23" x14ac:dyDescent="0.2">
      <c r="A721" t="s">
        <v>23</v>
      </c>
      <c r="B721" t="s">
        <v>24</v>
      </c>
      <c r="C721" t="s">
        <v>25</v>
      </c>
      <c r="D721" t="s">
        <v>671</v>
      </c>
      <c r="E721" t="s">
        <v>707</v>
      </c>
      <c r="F721" t="s">
        <v>708</v>
      </c>
      <c r="G721" t="s">
        <v>119</v>
      </c>
      <c r="H721" t="s">
        <v>30</v>
      </c>
      <c r="I721" t="s">
        <v>52</v>
      </c>
      <c r="J721" t="s">
        <v>41</v>
      </c>
      <c r="K721" t="s">
        <v>32</v>
      </c>
      <c r="L721" t="s">
        <v>32</v>
      </c>
      <c r="M721" t="s">
        <v>33</v>
      </c>
      <c r="N721" t="s">
        <v>33</v>
      </c>
      <c r="O721" t="s">
        <v>33</v>
      </c>
      <c r="P721" t="s">
        <v>34</v>
      </c>
      <c r="Q721" t="s">
        <v>35</v>
      </c>
      <c r="R721" t="s">
        <v>36</v>
      </c>
      <c r="S721" t="s">
        <v>30</v>
      </c>
      <c r="T721" t="s">
        <v>715</v>
      </c>
      <c r="U721" t="s">
        <v>716</v>
      </c>
      <c r="V721" t="s">
        <v>40</v>
      </c>
      <c r="W721" s="1">
        <v>1656600</v>
      </c>
    </row>
    <row r="722" spans="1:23" x14ac:dyDescent="0.2">
      <c r="A722" t="s">
        <v>23</v>
      </c>
      <c r="B722" t="s">
        <v>24</v>
      </c>
      <c r="C722" t="s">
        <v>25</v>
      </c>
      <c r="D722" t="s">
        <v>671</v>
      </c>
      <c r="E722" t="s">
        <v>707</v>
      </c>
      <c r="F722" t="s">
        <v>708</v>
      </c>
      <c r="G722" t="s">
        <v>134</v>
      </c>
      <c r="H722" t="s">
        <v>52</v>
      </c>
      <c r="I722" t="s">
        <v>30</v>
      </c>
      <c r="J722" t="s">
        <v>31</v>
      </c>
      <c r="K722" t="s">
        <v>32</v>
      </c>
      <c r="L722" t="s">
        <v>32</v>
      </c>
      <c r="M722" t="s">
        <v>33</v>
      </c>
      <c r="N722" t="s">
        <v>33</v>
      </c>
      <c r="O722" t="s">
        <v>33</v>
      </c>
      <c r="P722" t="s">
        <v>34</v>
      </c>
      <c r="Q722" t="s">
        <v>35</v>
      </c>
      <c r="S722" t="s">
        <v>30</v>
      </c>
      <c r="T722" t="s">
        <v>717</v>
      </c>
      <c r="U722" t="s">
        <v>718</v>
      </c>
      <c r="V722" t="s">
        <v>39</v>
      </c>
      <c r="W722" s="1">
        <v>2</v>
      </c>
    </row>
    <row r="723" spans="1:23" x14ac:dyDescent="0.2">
      <c r="A723" t="s">
        <v>23</v>
      </c>
      <c r="B723" t="s">
        <v>24</v>
      </c>
      <c r="C723" t="s">
        <v>25</v>
      </c>
      <c r="D723" t="s">
        <v>671</v>
      </c>
      <c r="E723" t="s">
        <v>707</v>
      </c>
      <c r="F723" t="s">
        <v>708</v>
      </c>
      <c r="G723" t="s">
        <v>134</v>
      </c>
      <c r="H723" t="s">
        <v>52</v>
      </c>
      <c r="I723" t="s">
        <v>30</v>
      </c>
      <c r="J723" t="s">
        <v>31</v>
      </c>
      <c r="K723" t="s">
        <v>32</v>
      </c>
      <c r="L723" t="s">
        <v>32</v>
      </c>
      <c r="M723" t="s">
        <v>33</v>
      </c>
      <c r="N723" t="s">
        <v>33</v>
      </c>
      <c r="O723" t="s">
        <v>33</v>
      </c>
      <c r="P723" t="s">
        <v>34</v>
      </c>
      <c r="Q723" t="s">
        <v>35</v>
      </c>
      <c r="S723" t="s">
        <v>30</v>
      </c>
      <c r="T723" t="s">
        <v>717</v>
      </c>
      <c r="U723" t="s">
        <v>718</v>
      </c>
      <c r="V723" t="s">
        <v>40</v>
      </c>
      <c r="W723" s="1">
        <v>1934400</v>
      </c>
    </row>
    <row r="724" spans="1:23" x14ac:dyDescent="0.2">
      <c r="A724" t="s">
        <v>23</v>
      </c>
      <c r="B724" t="s">
        <v>24</v>
      </c>
      <c r="C724" t="s">
        <v>25</v>
      </c>
      <c r="D724" t="s">
        <v>671</v>
      </c>
      <c r="E724" t="s">
        <v>707</v>
      </c>
      <c r="F724" t="s">
        <v>708</v>
      </c>
      <c r="G724" t="s">
        <v>134</v>
      </c>
      <c r="H724" t="s">
        <v>52</v>
      </c>
      <c r="I724" t="s">
        <v>30</v>
      </c>
      <c r="J724" t="s">
        <v>31</v>
      </c>
      <c r="K724" t="s">
        <v>32</v>
      </c>
      <c r="L724" t="s">
        <v>32</v>
      </c>
      <c r="M724" t="s">
        <v>33</v>
      </c>
      <c r="P724" t="s">
        <v>34</v>
      </c>
      <c r="Q724" t="s">
        <v>35</v>
      </c>
      <c r="S724" t="s">
        <v>52</v>
      </c>
      <c r="T724" t="s">
        <v>719</v>
      </c>
      <c r="U724" t="s">
        <v>720</v>
      </c>
      <c r="V724" t="s">
        <v>39</v>
      </c>
      <c r="W724" s="1">
        <v>0</v>
      </c>
    </row>
    <row r="725" spans="1:23" x14ac:dyDescent="0.2">
      <c r="A725" t="s">
        <v>23</v>
      </c>
      <c r="B725" t="s">
        <v>24</v>
      </c>
      <c r="C725" t="s">
        <v>25</v>
      </c>
      <c r="D725" t="s">
        <v>671</v>
      </c>
      <c r="E725" t="s">
        <v>707</v>
      </c>
      <c r="F725" t="s">
        <v>708</v>
      </c>
      <c r="G725" t="s">
        <v>134</v>
      </c>
      <c r="H725" t="s">
        <v>52</v>
      </c>
      <c r="I725" t="s">
        <v>30</v>
      </c>
      <c r="J725" t="s">
        <v>31</v>
      </c>
      <c r="K725" t="s">
        <v>32</v>
      </c>
      <c r="L725" t="s">
        <v>32</v>
      </c>
      <c r="M725" t="s">
        <v>33</v>
      </c>
      <c r="P725" t="s">
        <v>34</v>
      </c>
      <c r="Q725" t="s">
        <v>35</v>
      </c>
      <c r="S725" t="s">
        <v>52</v>
      </c>
      <c r="T725" t="s">
        <v>719</v>
      </c>
      <c r="U725" t="s">
        <v>720</v>
      </c>
      <c r="V725" t="s">
        <v>40</v>
      </c>
      <c r="W725" s="1">
        <v>2138400</v>
      </c>
    </row>
    <row r="726" spans="1:23" x14ac:dyDescent="0.2">
      <c r="A726" t="s">
        <v>23</v>
      </c>
      <c r="B726" t="s">
        <v>24</v>
      </c>
      <c r="C726" t="s">
        <v>25</v>
      </c>
      <c r="D726" t="s">
        <v>671</v>
      </c>
      <c r="E726" t="s">
        <v>721</v>
      </c>
      <c r="F726" t="s">
        <v>722</v>
      </c>
      <c r="G726" t="s">
        <v>29</v>
      </c>
      <c r="H726" t="s">
        <v>30</v>
      </c>
      <c r="I726" t="s">
        <v>30</v>
      </c>
      <c r="J726" t="s">
        <v>41</v>
      </c>
      <c r="K726" t="s">
        <v>32</v>
      </c>
      <c r="L726" t="s">
        <v>32</v>
      </c>
      <c r="M726" t="s">
        <v>33</v>
      </c>
      <c r="N726" t="s">
        <v>33</v>
      </c>
      <c r="O726" t="s">
        <v>33</v>
      </c>
      <c r="P726" t="s">
        <v>34</v>
      </c>
      <c r="Q726" t="s">
        <v>35</v>
      </c>
      <c r="R726" t="s">
        <v>54</v>
      </c>
      <c r="S726" t="s">
        <v>30</v>
      </c>
      <c r="T726" t="s">
        <v>723</v>
      </c>
      <c r="U726" t="s">
        <v>724</v>
      </c>
      <c r="V726" t="s">
        <v>39</v>
      </c>
      <c r="W726" s="1">
        <v>2</v>
      </c>
    </row>
    <row r="727" spans="1:23" x14ac:dyDescent="0.2">
      <c r="A727" t="s">
        <v>23</v>
      </c>
      <c r="B727" t="s">
        <v>24</v>
      </c>
      <c r="C727" t="s">
        <v>25</v>
      </c>
      <c r="D727" t="s">
        <v>671</v>
      </c>
      <c r="E727" t="s">
        <v>721</v>
      </c>
      <c r="F727" t="s">
        <v>722</v>
      </c>
      <c r="G727" t="s">
        <v>29</v>
      </c>
      <c r="H727" t="s">
        <v>30</v>
      </c>
      <c r="I727" t="s">
        <v>30</v>
      </c>
      <c r="J727" t="s">
        <v>41</v>
      </c>
      <c r="K727" t="s">
        <v>32</v>
      </c>
      <c r="L727" t="s">
        <v>32</v>
      </c>
      <c r="M727" t="s">
        <v>33</v>
      </c>
      <c r="N727" t="s">
        <v>33</v>
      </c>
      <c r="O727" t="s">
        <v>33</v>
      </c>
      <c r="P727" t="s">
        <v>34</v>
      </c>
      <c r="Q727" t="s">
        <v>35</v>
      </c>
      <c r="R727" t="s">
        <v>54</v>
      </c>
      <c r="S727" t="s">
        <v>30</v>
      </c>
      <c r="T727" t="s">
        <v>723</v>
      </c>
      <c r="U727" t="s">
        <v>724</v>
      </c>
      <c r="V727" t="s">
        <v>40</v>
      </c>
      <c r="W727" s="1">
        <v>2587400</v>
      </c>
    </row>
    <row r="728" spans="1:23" x14ac:dyDescent="0.2">
      <c r="A728" t="s">
        <v>23</v>
      </c>
      <c r="B728" t="s">
        <v>24</v>
      </c>
      <c r="C728" t="s">
        <v>25</v>
      </c>
      <c r="D728" t="s">
        <v>671</v>
      </c>
      <c r="E728" t="s">
        <v>721</v>
      </c>
      <c r="F728" t="s">
        <v>722</v>
      </c>
      <c r="G728" t="s">
        <v>29</v>
      </c>
      <c r="H728" t="s">
        <v>30</v>
      </c>
      <c r="I728" t="s">
        <v>30</v>
      </c>
      <c r="J728" t="s">
        <v>41</v>
      </c>
      <c r="K728" t="s">
        <v>32</v>
      </c>
      <c r="L728" t="s">
        <v>32</v>
      </c>
      <c r="M728" t="s">
        <v>33</v>
      </c>
      <c r="N728" t="s">
        <v>33</v>
      </c>
      <c r="O728" t="s">
        <v>33</v>
      </c>
      <c r="P728" t="s">
        <v>34</v>
      </c>
      <c r="Q728" t="s">
        <v>35</v>
      </c>
      <c r="S728" t="s">
        <v>30</v>
      </c>
      <c r="T728" t="s">
        <v>725</v>
      </c>
      <c r="U728" t="s">
        <v>726</v>
      </c>
      <c r="V728" t="s">
        <v>39</v>
      </c>
      <c r="W728" s="1">
        <v>2</v>
      </c>
    </row>
    <row r="729" spans="1:23" x14ac:dyDescent="0.2">
      <c r="A729" t="s">
        <v>23</v>
      </c>
      <c r="B729" t="s">
        <v>24</v>
      </c>
      <c r="C729" t="s">
        <v>25</v>
      </c>
      <c r="D729" t="s">
        <v>671</v>
      </c>
      <c r="E729" t="s">
        <v>721</v>
      </c>
      <c r="F729" t="s">
        <v>722</v>
      </c>
      <c r="G729" t="s">
        <v>29</v>
      </c>
      <c r="H729" t="s">
        <v>30</v>
      </c>
      <c r="I729" t="s">
        <v>30</v>
      </c>
      <c r="J729" t="s">
        <v>41</v>
      </c>
      <c r="K729" t="s">
        <v>32</v>
      </c>
      <c r="L729" t="s">
        <v>32</v>
      </c>
      <c r="M729" t="s">
        <v>33</v>
      </c>
      <c r="N729" t="s">
        <v>33</v>
      </c>
      <c r="O729" t="s">
        <v>33</v>
      </c>
      <c r="P729" t="s">
        <v>34</v>
      </c>
      <c r="Q729" t="s">
        <v>35</v>
      </c>
      <c r="S729" t="s">
        <v>30</v>
      </c>
      <c r="T729" t="s">
        <v>725</v>
      </c>
      <c r="U729" t="s">
        <v>726</v>
      </c>
      <c r="V729" t="s">
        <v>40</v>
      </c>
      <c r="W729" s="1">
        <v>3998000</v>
      </c>
    </row>
    <row r="730" spans="1:23" x14ac:dyDescent="0.2">
      <c r="A730" t="s">
        <v>23</v>
      </c>
      <c r="B730" t="s">
        <v>24</v>
      </c>
      <c r="C730" t="s">
        <v>25</v>
      </c>
      <c r="D730" t="s">
        <v>671</v>
      </c>
      <c r="E730" t="s">
        <v>721</v>
      </c>
      <c r="F730" t="s">
        <v>722</v>
      </c>
      <c r="G730" t="s">
        <v>29</v>
      </c>
      <c r="H730" t="s">
        <v>30</v>
      </c>
      <c r="I730" t="s">
        <v>30</v>
      </c>
      <c r="J730" t="s">
        <v>41</v>
      </c>
      <c r="K730" t="s">
        <v>32</v>
      </c>
      <c r="L730" t="s">
        <v>32</v>
      </c>
      <c r="M730" t="s">
        <v>33</v>
      </c>
      <c r="P730" t="s">
        <v>34</v>
      </c>
      <c r="Q730" t="s">
        <v>35</v>
      </c>
      <c r="R730" t="s">
        <v>36</v>
      </c>
      <c r="S730" t="s">
        <v>52</v>
      </c>
      <c r="T730" t="s">
        <v>727</v>
      </c>
      <c r="U730" t="s">
        <v>728</v>
      </c>
      <c r="V730" t="s">
        <v>39</v>
      </c>
      <c r="W730" s="1">
        <v>0</v>
      </c>
    </row>
    <row r="731" spans="1:23" x14ac:dyDescent="0.2">
      <c r="A731" t="s">
        <v>23</v>
      </c>
      <c r="B731" t="s">
        <v>24</v>
      </c>
      <c r="C731" t="s">
        <v>25</v>
      </c>
      <c r="D731" t="s">
        <v>671</v>
      </c>
      <c r="E731" t="s">
        <v>721</v>
      </c>
      <c r="F731" t="s">
        <v>722</v>
      </c>
      <c r="G731" t="s">
        <v>29</v>
      </c>
      <c r="H731" t="s">
        <v>30</v>
      </c>
      <c r="I731" t="s">
        <v>30</v>
      </c>
      <c r="J731" t="s">
        <v>41</v>
      </c>
      <c r="K731" t="s">
        <v>32</v>
      </c>
      <c r="L731" t="s">
        <v>32</v>
      </c>
      <c r="M731" t="s">
        <v>33</v>
      </c>
      <c r="P731" t="s">
        <v>34</v>
      </c>
      <c r="Q731" t="s">
        <v>35</v>
      </c>
      <c r="R731" t="s">
        <v>36</v>
      </c>
      <c r="S731" t="s">
        <v>52</v>
      </c>
      <c r="T731" t="s">
        <v>727</v>
      </c>
      <c r="U731" t="s">
        <v>728</v>
      </c>
      <c r="V731" t="s">
        <v>40</v>
      </c>
      <c r="W731" s="1">
        <v>2130000</v>
      </c>
    </row>
    <row r="732" spans="1:23" x14ac:dyDescent="0.2">
      <c r="A732" t="s">
        <v>23</v>
      </c>
      <c r="B732" t="s">
        <v>24</v>
      </c>
      <c r="C732" t="s">
        <v>25</v>
      </c>
      <c r="D732" t="s">
        <v>671</v>
      </c>
      <c r="E732" t="s">
        <v>721</v>
      </c>
      <c r="F732" t="s">
        <v>722</v>
      </c>
      <c r="G732" t="s">
        <v>89</v>
      </c>
      <c r="H732" t="s">
        <v>30</v>
      </c>
      <c r="I732" t="s">
        <v>30</v>
      </c>
      <c r="J732" t="s">
        <v>41</v>
      </c>
      <c r="K732" t="s">
        <v>32</v>
      </c>
      <c r="L732" t="s">
        <v>32</v>
      </c>
      <c r="M732" t="s">
        <v>33</v>
      </c>
      <c r="P732" t="s">
        <v>34</v>
      </c>
      <c r="Q732" t="s">
        <v>35</v>
      </c>
      <c r="R732" t="s">
        <v>124</v>
      </c>
      <c r="S732" t="s">
        <v>52</v>
      </c>
      <c r="T732" t="s">
        <v>729</v>
      </c>
      <c r="U732" t="s">
        <v>730</v>
      </c>
      <c r="V732" t="s">
        <v>39</v>
      </c>
      <c r="W732" s="1">
        <v>0</v>
      </c>
    </row>
    <row r="733" spans="1:23" x14ac:dyDescent="0.2">
      <c r="A733" t="s">
        <v>23</v>
      </c>
      <c r="B733" t="s">
        <v>24</v>
      </c>
      <c r="C733" t="s">
        <v>25</v>
      </c>
      <c r="D733" t="s">
        <v>671</v>
      </c>
      <c r="E733" t="s">
        <v>721</v>
      </c>
      <c r="F733" t="s">
        <v>722</v>
      </c>
      <c r="G733" t="s">
        <v>89</v>
      </c>
      <c r="H733" t="s">
        <v>30</v>
      </c>
      <c r="I733" t="s">
        <v>30</v>
      </c>
      <c r="J733" t="s">
        <v>41</v>
      </c>
      <c r="K733" t="s">
        <v>32</v>
      </c>
      <c r="L733" t="s">
        <v>32</v>
      </c>
      <c r="M733" t="s">
        <v>33</v>
      </c>
      <c r="P733" t="s">
        <v>34</v>
      </c>
      <c r="Q733" t="s">
        <v>35</v>
      </c>
      <c r="R733" t="s">
        <v>124</v>
      </c>
      <c r="S733" t="s">
        <v>52</v>
      </c>
      <c r="T733" t="s">
        <v>729</v>
      </c>
      <c r="U733" t="s">
        <v>730</v>
      </c>
      <c r="V733" t="s">
        <v>40</v>
      </c>
      <c r="W733" s="1">
        <v>1208400</v>
      </c>
    </row>
    <row r="734" spans="1:23" x14ac:dyDescent="0.2">
      <c r="A734" t="s">
        <v>23</v>
      </c>
      <c r="B734" t="s">
        <v>24</v>
      </c>
      <c r="C734" t="s">
        <v>25</v>
      </c>
      <c r="D734" t="s">
        <v>671</v>
      </c>
      <c r="E734" t="s">
        <v>721</v>
      </c>
      <c r="F734" t="s">
        <v>722</v>
      </c>
      <c r="G734" t="s">
        <v>106</v>
      </c>
      <c r="H734" t="s">
        <v>30</v>
      </c>
      <c r="I734" t="s">
        <v>30</v>
      </c>
      <c r="J734" t="s">
        <v>41</v>
      </c>
      <c r="K734" t="s">
        <v>32</v>
      </c>
      <c r="L734" t="s">
        <v>32</v>
      </c>
      <c r="M734" t="s">
        <v>33</v>
      </c>
      <c r="N734" t="s">
        <v>33</v>
      </c>
      <c r="O734" t="s">
        <v>33</v>
      </c>
      <c r="P734" t="s">
        <v>34</v>
      </c>
      <c r="Q734" t="s">
        <v>35</v>
      </c>
      <c r="R734" t="s">
        <v>124</v>
      </c>
      <c r="S734" t="s">
        <v>30</v>
      </c>
      <c r="T734" t="s">
        <v>731</v>
      </c>
      <c r="U734" t="s">
        <v>732</v>
      </c>
      <c r="V734" t="s">
        <v>39</v>
      </c>
      <c r="W734" s="1">
        <v>2</v>
      </c>
    </row>
    <row r="735" spans="1:23" x14ac:dyDescent="0.2">
      <c r="A735" t="s">
        <v>23</v>
      </c>
      <c r="B735" t="s">
        <v>24</v>
      </c>
      <c r="C735" t="s">
        <v>25</v>
      </c>
      <c r="D735" t="s">
        <v>671</v>
      </c>
      <c r="E735" t="s">
        <v>721</v>
      </c>
      <c r="F735" t="s">
        <v>722</v>
      </c>
      <c r="G735" t="s">
        <v>106</v>
      </c>
      <c r="H735" t="s">
        <v>30</v>
      </c>
      <c r="I735" t="s">
        <v>30</v>
      </c>
      <c r="J735" t="s">
        <v>41</v>
      </c>
      <c r="K735" t="s">
        <v>32</v>
      </c>
      <c r="L735" t="s">
        <v>32</v>
      </c>
      <c r="M735" t="s">
        <v>33</v>
      </c>
      <c r="N735" t="s">
        <v>33</v>
      </c>
      <c r="O735" t="s">
        <v>33</v>
      </c>
      <c r="P735" t="s">
        <v>34</v>
      </c>
      <c r="Q735" t="s">
        <v>35</v>
      </c>
      <c r="R735" t="s">
        <v>124</v>
      </c>
      <c r="S735" t="s">
        <v>30</v>
      </c>
      <c r="T735" t="s">
        <v>731</v>
      </c>
      <c r="U735" t="s">
        <v>732</v>
      </c>
      <c r="V735" t="s">
        <v>40</v>
      </c>
      <c r="W735" s="1">
        <v>1138400</v>
      </c>
    </row>
    <row r="736" spans="1:23" x14ac:dyDescent="0.2">
      <c r="A736" t="s">
        <v>23</v>
      </c>
      <c r="B736" t="s">
        <v>24</v>
      </c>
      <c r="C736" t="s">
        <v>25</v>
      </c>
      <c r="D736" t="s">
        <v>671</v>
      </c>
      <c r="E736" t="s">
        <v>721</v>
      </c>
      <c r="F736" t="s">
        <v>722</v>
      </c>
      <c r="G736" t="s">
        <v>127</v>
      </c>
      <c r="H736" t="s">
        <v>52</v>
      </c>
      <c r="I736" t="s">
        <v>30</v>
      </c>
      <c r="J736" t="s">
        <v>41</v>
      </c>
      <c r="K736" t="s">
        <v>32</v>
      </c>
      <c r="L736" t="s">
        <v>32</v>
      </c>
      <c r="M736" t="s">
        <v>33</v>
      </c>
      <c r="N736" t="s">
        <v>33</v>
      </c>
      <c r="O736" t="s">
        <v>33</v>
      </c>
      <c r="P736" t="s">
        <v>34</v>
      </c>
      <c r="Q736" t="s">
        <v>35</v>
      </c>
      <c r="S736" t="s">
        <v>30</v>
      </c>
      <c r="T736" t="s">
        <v>733</v>
      </c>
      <c r="U736" t="s">
        <v>734</v>
      </c>
      <c r="V736" t="s">
        <v>39</v>
      </c>
      <c r="W736" s="1">
        <v>4</v>
      </c>
    </row>
    <row r="737" spans="1:23" x14ac:dyDescent="0.2">
      <c r="A737" t="s">
        <v>23</v>
      </c>
      <c r="B737" t="s">
        <v>24</v>
      </c>
      <c r="C737" t="s">
        <v>25</v>
      </c>
      <c r="D737" t="s">
        <v>671</v>
      </c>
      <c r="E737" t="s">
        <v>721</v>
      </c>
      <c r="F737" t="s">
        <v>722</v>
      </c>
      <c r="G737" t="s">
        <v>127</v>
      </c>
      <c r="H737" t="s">
        <v>52</v>
      </c>
      <c r="I737" t="s">
        <v>30</v>
      </c>
      <c r="J737" t="s">
        <v>41</v>
      </c>
      <c r="K737" t="s">
        <v>32</v>
      </c>
      <c r="L737" t="s">
        <v>32</v>
      </c>
      <c r="M737" t="s">
        <v>33</v>
      </c>
      <c r="N737" t="s">
        <v>33</v>
      </c>
      <c r="O737" t="s">
        <v>33</v>
      </c>
      <c r="P737" t="s">
        <v>34</v>
      </c>
      <c r="Q737" t="s">
        <v>35</v>
      </c>
      <c r="S737" t="s">
        <v>30</v>
      </c>
      <c r="T737" t="s">
        <v>733</v>
      </c>
      <c r="U737" t="s">
        <v>734</v>
      </c>
      <c r="V737" t="s">
        <v>40</v>
      </c>
      <c r="W737" s="1">
        <v>4272000</v>
      </c>
    </row>
    <row r="738" spans="1:23" x14ac:dyDescent="0.2">
      <c r="A738" t="s">
        <v>23</v>
      </c>
      <c r="B738" t="s">
        <v>24</v>
      </c>
      <c r="C738" t="s">
        <v>25</v>
      </c>
      <c r="D738" t="s">
        <v>671</v>
      </c>
      <c r="E738" t="s">
        <v>735</v>
      </c>
      <c r="F738" t="s">
        <v>736</v>
      </c>
      <c r="G738" t="s">
        <v>29</v>
      </c>
      <c r="H738" t="s">
        <v>30</v>
      </c>
      <c r="I738" t="s">
        <v>30</v>
      </c>
      <c r="J738" t="s">
        <v>41</v>
      </c>
      <c r="K738" t="s">
        <v>32</v>
      </c>
      <c r="L738" t="s">
        <v>32</v>
      </c>
      <c r="M738" t="s">
        <v>33</v>
      </c>
      <c r="N738" t="s">
        <v>33</v>
      </c>
      <c r="O738" t="s">
        <v>33</v>
      </c>
      <c r="P738" t="s">
        <v>34</v>
      </c>
      <c r="Q738" t="s">
        <v>35</v>
      </c>
      <c r="S738" t="s">
        <v>30</v>
      </c>
      <c r="T738" t="s">
        <v>737</v>
      </c>
      <c r="U738" t="s">
        <v>738</v>
      </c>
      <c r="V738" t="s">
        <v>39</v>
      </c>
      <c r="W738" s="1">
        <v>2</v>
      </c>
    </row>
    <row r="739" spans="1:23" x14ac:dyDescent="0.2">
      <c r="A739" t="s">
        <v>23</v>
      </c>
      <c r="B739" t="s">
        <v>24</v>
      </c>
      <c r="C739" t="s">
        <v>25</v>
      </c>
      <c r="D739" t="s">
        <v>671</v>
      </c>
      <c r="E739" t="s">
        <v>735</v>
      </c>
      <c r="F739" t="s">
        <v>736</v>
      </c>
      <c r="G739" t="s">
        <v>29</v>
      </c>
      <c r="H739" t="s">
        <v>30</v>
      </c>
      <c r="I739" t="s">
        <v>30</v>
      </c>
      <c r="J739" t="s">
        <v>41</v>
      </c>
      <c r="K739" t="s">
        <v>32</v>
      </c>
      <c r="L739" t="s">
        <v>32</v>
      </c>
      <c r="M739" t="s">
        <v>33</v>
      </c>
      <c r="N739" t="s">
        <v>33</v>
      </c>
      <c r="O739" t="s">
        <v>33</v>
      </c>
      <c r="P739" t="s">
        <v>34</v>
      </c>
      <c r="Q739" t="s">
        <v>35</v>
      </c>
      <c r="S739" t="s">
        <v>30</v>
      </c>
      <c r="T739" t="s">
        <v>737</v>
      </c>
      <c r="U739" t="s">
        <v>738</v>
      </c>
      <c r="V739" t="s">
        <v>40</v>
      </c>
      <c r="W739" s="1">
        <v>8610000</v>
      </c>
    </row>
    <row r="740" spans="1:23" x14ac:dyDescent="0.2">
      <c r="A740" t="s">
        <v>23</v>
      </c>
      <c r="B740" t="s">
        <v>24</v>
      </c>
      <c r="C740" t="s">
        <v>25</v>
      </c>
      <c r="D740" t="s">
        <v>671</v>
      </c>
      <c r="E740" t="s">
        <v>735</v>
      </c>
      <c r="F740" t="s">
        <v>736</v>
      </c>
      <c r="G740" t="s">
        <v>170</v>
      </c>
      <c r="H740" t="s">
        <v>52</v>
      </c>
      <c r="I740" t="s">
        <v>30</v>
      </c>
      <c r="J740" t="s">
        <v>57</v>
      </c>
      <c r="K740" t="s">
        <v>32</v>
      </c>
      <c r="L740" t="s">
        <v>32</v>
      </c>
      <c r="M740" t="s">
        <v>33</v>
      </c>
      <c r="N740" t="s">
        <v>33</v>
      </c>
      <c r="O740" t="s">
        <v>33</v>
      </c>
      <c r="P740" t="s">
        <v>34</v>
      </c>
      <c r="Q740" t="s">
        <v>35</v>
      </c>
      <c r="R740" t="s">
        <v>162</v>
      </c>
      <c r="S740" t="s">
        <v>30</v>
      </c>
      <c r="T740" t="s">
        <v>739</v>
      </c>
      <c r="U740" t="s">
        <v>740</v>
      </c>
      <c r="V740" t="s">
        <v>39</v>
      </c>
      <c r="W740" s="1">
        <v>2</v>
      </c>
    </row>
    <row r="741" spans="1:23" x14ac:dyDescent="0.2">
      <c r="A741" t="s">
        <v>23</v>
      </c>
      <c r="B741" t="s">
        <v>24</v>
      </c>
      <c r="C741" t="s">
        <v>25</v>
      </c>
      <c r="D741" t="s">
        <v>671</v>
      </c>
      <c r="E741" t="s">
        <v>735</v>
      </c>
      <c r="F741" t="s">
        <v>736</v>
      </c>
      <c r="G741" t="s">
        <v>170</v>
      </c>
      <c r="H741" t="s">
        <v>52</v>
      </c>
      <c r="I741" t="s">
        <v>30</v>
      </c>
      <c r="J741" t="s">
        <v>57</v>
      </c>
      <c r="K741" t="s">
        <v>32</v>
      </c>
      <c r="L741" t="s">
        <v>32</v>
      </c>
      <c r="M741" t="s">
        <v>33</v>
      </c>
      <c r="N741" t="s">
        <v>33</v>
      </c>
      <c r="O741" t="s">
        <v>33</v>
      </c>
      <c r="P741" t="s">
        <v>34</v>
      </c>
      <c r="Q741" t="s">
        <v>35</v>
      </c>
      <c r="R741" t="s">
        <v>162</v>
      </c>
      <c r="S741" t="s">
        <v>30</v>
      </c>
      <c r="T741" t="s">
        <v>739</v>
      </c>
      <c r="U741" t="s">
        <v>740</v>
      </c>
      <c r="V741" t="s">
        <v>40</v>
      </c>
      <c r="W741" s="1">
        <v>25398000</v>
      </c>
    </row>
    <row r="742" spans="1:23" x14ac:dyDescent="0.2">
      <c r="A742" t="s">
        <v>23</v>
      </c>
      <c r="B742" t="s">
        <v>24</v>
      </c>
      <c r="C742" t="s">
        <v>25</v>
      </c>
      <c r="D742" t="s">
        <v>671</v>
      </c>
      <c r="E742" t="s">
        <v>735</v>
      </c>
      <c r="F742" t="s">
        <v>736</v>
      </c>
      <c r="G742" t="s">
        <v>106</v>
      </c>
      <c r="H742" t="s">
        <v>30</v>
      </c>
      <c r="I742" t="s">
        <v>30</v>
      </c>
      <c r="J742" t="s">
        <v>41</v>
      </c>
      <c r="K742" t="s">
        <v>32</v>
      </c>
      <c r="L742" t="s">
        <v>32</v>
      </c>
      <c r="M742" t="s">
        <v>33</v>
      </c>
      <c r="P742" t="s">
        <v>34</v>
      </c>
      <c r="Q742" t="s">
        <v>35</v>
      </c>
      <c r="R742" t="s">
        <v>741</v>
      </c>
      <c r="S742" t="s">
        <v>52</v>
      </c>
      <c r="T742" t="s">
        <v>742</v>
      </c>
      <c r="U742" t="s">
        <v>743</v>
      </c>
      <c r="V742" t="s">
        <v>39</v>
      </c>
      <c r="W742" s="1">
        <v>0</v>
      </c>
    </row>
    <row r="743" spans="1:23" x14ac:dyDescent="0.2">
      <c r="A743" t="s">
        <v>23</v>
      </c>
      <c r="B743" t="s">
        <v>24</v>
      </c>
      <c r="C743" t="s">
        <v>25</v>
      </c>
      <c r="D743" t="s">
        <v>671</v>
      </c>
      <c r="E743" t="s">
        <v>735</v>
      </c>
      <c r="F743" t="s">
        <v>736</v>
      </c>
      <c r="G743" t="s">
        <v>106</v>
      </c>
      <c r="H743" t="s">
        <v>30</v>
      </c>
      <c r="I743" t="s">
        <v>30</v>
      </c>
      <c r="J743" t="s">
        <v>41</v>
      </c>
      <c r="K743" t="s">
        <v>32</v>
      </c>
      <c r="L743" t="s">
        <v>32</v>
      </c>
      <c r="M743" t="s">
        <v>33</v>
      </c>
      <c r="P743" t="s">
        <v>34</v>
      </c>
      <c r="Q743" t="s">
        <v>35</v>
      </c>
      <c r="R743" t="s">
        <v>741</v>
      </c>
      <c r="S743" t="s">
        <v>52</v>
      </c>
      <c r="T743" t="s">
        <v>742</v>
      </c>
      <c r="U743" t="s">
        <v>743</v>
      </c>
      <c r="V743" t="s">
        <v>40</v>
      </c>
      <c r="W743" s="1">
        <v>4798000</v>
      </c>
    </row>
    <row r="744" spans="1:23" x14ac:dyDescent="0.2">
      <c r="A744" t="s">
        <v>23</v>
      </c>
      <c r="B744" t="s">
        <v>24</v>
      </c>
      <c r="C744" t="s">
        <v>25</v>
      </c>
      <c r="D744" t="s">
        <v>671</v>
      </c>
      <c r="E744" t="s">
        <v>735</v>
      </c>
      <c r="F744" t="s">
        <v>736</v>
      </c>
      <c r="G744" t="s">
        <v>106</v>
      </c>
      <c r="H744" t="s">
        <v>30</v>
      </c>
      <c r="I744" t="s">
        <v>30</v>
      </c>
      <c r="J744" t="s">
        <v>41</v>
      </c>
      <c r="K744" t="s">
        <v>32</v>
      </c>
      <c r="L744" t="s">
        <v>32</v>
      </c>
      <c r="M744" t="s">
        <v>33</v>
      </c>
      <c r="P744" t="s">
        <v>34</v>
      </c>
      <c r="Q744" t="s">
        <v>35</v>
      </c>
      <c r="S744" t="s">
        <v>52</v>
      </c>
      <c r="T744" t="s">
        <v>744</v>
      </c>
      <c r="U744" t="s">
        <v>745</v>
      </c>
      <c r="V744" t="s">
        <v>39</v>
      </c>
      <c r="W744" s="1">
        <v>0</v>
      </c>
    </row>
    <row r="745" spans="1:23" x14ac:dyDescent="0.2">
      <c r="A745" t="s">
        <v>23</v>
      </c>
      <c r="B745" t="s">
        <v>24</v>
      </c>
      <c r="C745" t="s">
        <v>25</v>
      </c>
      <c r="D745" t="s">
        <v>671</v>
      </c>
      <c r="E745" t="s">
        <v>735</v>
      </c>
      <c r="F745" t="s">
        <v>736</v>
      </c>
      <c r="G745" t="s">
        <v>106</v>
      </c>
      <c r="H745" t="s">
        <v>30</v>
      </c>
      <c r="I745" t="s">
        <v>30</v>
      </c>
      <c r="J745" t="s">
        <v>41</v>
      </c>
      <c r="K745" t="s">
        <v>32</v>
      </c>
      <c r="L745" t="s">
        <v>32</v>
      </c>
      <c r="M745" t="s">
        <v>33</v>
      </c>
      <c r="P745" t="s">
        <v>34</v>
      </c>
      <c r="Q745" t="s">
        <v>35</v>
      </c>
      <c r="S745" t="s">
        <v>52</v>
      </c>
      <c r="T745" t="s">
        <v>744</v>
      </c>
      <c r="U745" t="s">
        <v>745</v>
      </c>
      <c r="V745" t="s">
        <v>40</v>
      </c>
      <c r="W745" s="1">
        <v>2422000</v>
      </c>
    </row>
    <row r="746" spans="1:23" x14ac:dyDescent="0.2">
      <c r="A746" t="s">
        <v>23</v>
      </c>
      <c r="B746" t="s">
        <v>24</v>
      </c>
      <c r="C746" t="s">
        <v>25</v>
      </c>
      <c r="D746" t="s">
        <v>671</v>
      </c>
      <c r="E746" t="s">
        <v>735</v>
      </c>
      <c r="F746" t="s">
        <v>736</v>
      </c>
      <c r="G746" t="s">
        <v>119</v>
      </c>
      <c r="H746" t="s">
        <v>30</v>
      </c>
      <c r="I746" t="s">
        <v>52</v>
      </c>
      <c r="J746" t="s">
        <v>41</v>
      </c>
      <c r="K746" t="s">
        <v>32</v>
      </c>
      <c r="L746" t="s">
        <v>32</v>
      </c>
      <c r="M746" t="s">
        <v>33</v>
      </c>
      <c r="N746" t="s">
        <v>33</v>
      </c>
      <c r="O746" t="s">
        <v>33</v>
      </c>
      <c r="P746" t="s">
        <v>34</v>
      </c>
      <c r="Q746" t="s">
        <v>35</v>
      </c>
      <c r="R746" t="s">
        <v>184</v>
      </c>
      <c r="S746" t="s">
        <v>30</v>
      </c>
      <c r="T746" t="s">
        <v>746</v>
      </c>
      <c r="U746" t="s">
        <v>747</v>
      </c>
      <c r="V746" t="s">
        <v>39</v>
      </c>
      <c r="W746" s="1">
        <v>6</v>
      </c>
    </row>
    <row r="747" spans="1:23" x14ac:dyDescent="0.2">
      <c r="A747" t="s">
        <v>23</v>
      </c>
      <c r="B747" t="s">
        <v>24</v>
      </c>
      <c r="C747" t="s">
        <v>25</v>
      </c>
      <c r="D747" t="s">
        <v>671</v>
      </c>
      <c r="E747" t="s">
        <v>735</v>
      </c>
      <c r="F747" t="s">
        <v>736</v>
      </c>
      <c r="G747" t="s">
        <v>119</v>
      </c>
      <c r="H747" t="s">
        <v>30</v>
      </c>
      <c r="I747" t="s">
        <v>52</v>
      </c>
      <c r="J747" t="s">
        <v>41</v>
      </c>
      <c r="K747" t="s">
        <v>32</v>
      </c>
      <c r="L747" t="s">
        <v>32</v>
      </c>
      <c r="M747" t="s">
        <v>33</v>
      </c>
      <c r="N747" t="s">
        <v>33</v>
      </c>
      <c r="O747" t="s">
        <v>33</v>
      </c>
      <c r="P747" t="s">
        <v>34</v>
      </c>
      <c r="Q747" t="s">
        <v>35</v>
      </c>
      <c r="R747" t="s">
        <v>184</v>
      </c>
      <c r="S747" t="s">
        <v>30</v>
      </c>
      <c r="T747" t="s">
        <v>746</v>
      </c>
      <c r="U747" t="s">
        <v>747</v>
      </c>
      <c r="V747" t="s">
        <v>40</v>
      </c>
      <c r="W747" s="1">
        <v>15108000</v>
      </c>
    </row>
    <row r="748" spans="1:23" x14ac:dyDescent="0.2">
      <c r="A748" t="s">
        <v>23</v>
      </c>
      <c r="B748" t="s">
        <v>24</v>
      </c>
      <c r="C748" t="s">
        <v>25</v>
      </c>
      <c r="D748" t="s">
        <v>671</v>
      </c>
      <c r="E748" t="s">
        <v>735</v>
      </c>
      <c r="F748" t="s">
        <v>736</v>
      </c>
      <c r="G748" t="s">
        <v>119</v>
      </c>
      <c r="H748" t="s">
        <v>30</v>
      </c>
      <c r="I748" t="s">
        <v>52</v>
      </c>
      <c r="J748" t="s">
        <v>41</v>
      </c>
      <c r="K748" t="s">
        <v>32</v>
      </c>
      <c r="L748" t="s">
        <v>32</v>
      </c>
      <c r="M748" t="s">
        <v>176</v>
      </c>
      <c r="N748" t="s">
        <v>176</v>
      </c>
      <c r="O748" t="s">
        <v>176</v>
      </c>
      <c r="P748" t="s">
        <v>34</v>
      </c>
      <c r="Q748" t="s">
        <v>35</v>
      </c>
      <c r="R748" t="s">
        <v>184</v>
      </c>
      <c r="S748" t="s">
        <v>30</v>
      </c>
      <c r="T748" t="s">
        <v>746</v>
      </c>
      <c r="U748" t="s">
        <v>747</v>
      </c>
      <c r="V748" t="s">
        <v>39</v>
      </c>
      <c r="W748" s="1">
        <v>1</v>
      </c>
    </row>
    <row r="749" spans="1:23" x14ac:dyDescent="0.2">
      <c r="A749" t="s">
        <v>23</v>
      </c>
      <c r="B749" t="s">
        <v>24</v>
      </c>
      <c r="C749" t="s">
        <v>25</v>
      </c>
      <c r="D749" t="s">
        <v>671</v>
      </c>
      <c r="E749" t="s">
        <v>735</v>
      </c>
      <c r="F749" t="s">
        <v>736</v>
      </c>
      <c r="G749" t="s">
        <v>119</v>
      </c>
      <c r="H749" t="s">
        <v>30</v>
      </c>
      <c r="I749" t="s">
        <v>52</v>
      </c>
      <c r="J749" t="s">
        <v>41</v>
      </c>
      <c r="K749" t="s">
        <v>32</v>
      </c>
      <c r="L749" t="s">
        <v>32</v>
      </c>
      <c r="M749" t="s">
        <v>176</v>
      </c>
      <c r="N749" t="s">
        <v>176</v>
      </c>
      <c r="O749" t="s">
        <v>176</v>
      </c>
      <c r="P749" t="s">
        <v>34</v>
      </c>
      <c r="Q749" t="s">
        <v>35</v>
      </c>
      <c r="R749" t="s">
        <v>184</v>
      </c>
      <c r="S749" t="s">
        <v>30</v>
      </c>
      <c r="T749" t="s">
        <v>746</v>
      </c>
      <c r="U749" t="s">
        <v>747</v>
      </c>
      <c r="V749" t="s">
        <v>40</v>
      </c>
      <c r="W749" s="1">
        <v>1948000</v>
      </c>
    </row>
    <row r="750" spans="1:23" x14ac:dyDescent="0.2">
      <c r="A750" t="s">
        <v>23</v>
      </c>
      <c r="B750" t="s">
        <v>24</v>
      </c>
      <c r="C750" t="s">
        <v>25</v>
      </c>
      <c r="D750" t="s">
        <v>671</v>
      </c>
      <c r="E750" t="s">
        <v>735</v>
      </c>
      <c r="F750" t="s">
        <v>736</v>
      </c>
      <c r="G750" t="s">
        <v>139</v>
      </c>
      <c r="H750" t="s">
        <v>30</v>
      </c>
      <c r="I750" t="s">
        <v>30</v>
      </c>
      <c r="J750" t="s">
        <v>41</v>
      </c>
      <c r="K750" t="s">
        <v>32</v>
      </c>
      <c r="L750" t="s">
        <v>32</v>
      </c>
      <c r="M750" t="s">
        <v>33</v>
      </c>
      <c r="N750" t="s">
        <v>33</v>
      </c>
      <c r="O750" t="s">
        <v>33</v>
      </c>
      <c r="P750" t="s">
        <v>34</v>
      </c>
      <c r="Q750" t="s">
        <v>35</v>
      </c>
      <c r="R750" t="s">
        <v>294</v>
      </c>
      <c r="S750" t="s">
        <v>30</v>
      </c>
      <c r="T750" t="s">
        <v>635</v>
      </c>
      <c r="U750" t="s">
        <v>748</v>
      </c>
      <c r="V750" t="s">
        <v>39</v>
      </c>
      <c r="W750" s="1">
        <v>2</v>
      </c>
    </row>
    <row r="751" spans="1:23" x14ac:dyDescent="0.2">
      <c r="A751" t="s">
        <v>23</v>
      </c>
      <c r="B751" t="s">
        <v>24</v>
      </c>
      <c r="C751" t="s">
        <v>25</v>
      </c>
      <c r="D751" t="s">
        <v>671</v>
      </c>
      <c r="E751" t="s">
        <v>735</v>
      </c>
      <c r="F751" t="s">
        <v>736</v>
      </c>
      <c r="G751" t="s">
        <v>139</v>
      </c>
      <c r="H751" t="s">
        <v>30</v>
      </c>
      <c r="I751" t="s">
        <v>30</v>
      </c>
      <c r="J751" t="s">
        <v>41</v>
      </c>
      <c r="K751" t="s">
        <v>32</v>
      </c>
      <c r="L751" t="s">
        <v>32</v>
      </c>
      <c r="M751" t="s">
        <v>33</v>
      </c>
      <c r="N751" t="s">
        <v>33</v>
      </c>
      <c r="O751" t="s">
        <v>33</v>
      </c>
      <c r="P751" t="s">
        <v>34</v>
      </c>
      <c r="Q751" t="s">
        <v>35</v>
      </c>
      <c r="R751" t="s">
        <v>294</v>
      </c>
      <c r="S751" t="s">
        <v>30</v>
      </c>
      <c r="T751" t="s">
        <v>635</v>
      </c>
      <c r="U751" t="s">
        <v>748</v>
      </c>
      <c r="V751" t="s">
        <v>40</v>
      </c>
      <c r="W751" s="1">
        <v>2398000</v>
      </c>
    </row>
    <row r="752" spans="1:23" x14ac:dyDescent="0.2">
      <c r="A752" t="s">
        <v>23</v>
      </c>
      <c r="B752" t="s">
        <v>24</v>
      </c>
      <c r="C752" t="s">
        <v>25</v>
      </c>
      <c r="D752" t="s">
        <v>671</v>
      </c>
      <c r="E752" t="s">
        <v>749</v>
      </c>
      <c r="F752" t="s">
        <v>750</v>
      </c>
      <c r="G752" t="s">
        <v>29</v>
      </c>
      <c r="H752" t="s">
        <v>30</v>
      </c>
      <c r="I752" t="s">
        <v>30</v>
      </c>
      <c r="J752" t="s">
        <v>41</v>
      </c>
      <c r="K752" t="s">
        <v>32</v>
      </c>
      <c r="L752" t="s">
        <v>32</v>
      </c>
      <c r="M752" t="s">
        <v>33</v>
      </c>
      <c r="N752" t="s">
        <v>33</v>
      </c>
      <c r="O752" t="s">
        <v>33</v>
      </c>
      <c r="P752" t="s">
        <v>34</v>
      </c>
      <c r="Q752" t="s">
        <v>35</v>
      </c>
      <c r="R752" t="s">
        <v>124</v>
      </c>
      <c r="S752" t="s">
        <v>30</v>
      </c>
      <c r="T752" t="s">
        <v>751</v>
      </c>
      <c r="U752" t="s">
        <v>752</v>
      </c>
      <c r="V752" t="s">
        <v>39</v>
      </c>
      <c r="W752" s="1">
        <v>2</v>
      </c>
    </row>
    <row r="753" spans="1:23" x14ac:dyDescent="0.2">
      <c r="A753" t="s">
        <v>23</v>
      </c>
      <c r="B753" t="s">
        <v>24</v>
      </c>
      <c r="C753" t="s">
        <v>25</v>
      </c>
      <c r="D753" t="s">
        <v>671</v>
      </c>
      <c r="E753" t="s">
        <v>749</v>
      </c>
      <c r="F753" t="s">
        <v>750</v>
      </c>
      <c r="G753" t="s">
        <v>29</v>
      </c>
      <c r="H753" t="s">
        <v>30</v>
      </c>
      <c r="I753" t="s">
        <v>30</v>
      </c>
      <c r="J753" t="s">
        <v>41</v>
      </c>
      <c r="K753" t="s">
        <v>32</v>
      </c>
      <c r="L753" t="s">
        <v>32</v>
      </c>
      <c r="M753" t="s">
        <v>33</v>
      </c>
      <c r="N753" t="s">
        <v>33</v>
      </c>
      <c r="O753" t="s">
        <v>33</v>
      </c>
      <c r="P753" t="s">
        <v>34</v>
      </c>
      <c r="Q753" t="s">
        <v>35</v>
      </c>
      <c r="R753" t="s">
        <v>124</v>
      </c>
      <c r="S753" t="s">
        <v>30</v>
      </c>
      <c r="T753" t="s">
        <v>751</v>
      </c>
      <c r="U753" t="s">
        <v>752</v>
      </c>
      <c r="V753" t="s">
        <v>40</v>
      </c>
      <c r="W753" s="1">
        <v>1124000</v>
      </c>
    </row>
    <row r="754" spans="1:23" x14ac:dyDescent="0.2">
      <c r="A754" t="s">
        <v>23</v>
      </c>
      <c r="B754" t="s">
        <v>24</v>
      </c>
      <c r="C754" t="s">
        <v>25</v>
      </c>
      <c r="D754" t="s">
        <v>671</v>
      </c>
      <c r="E754" t="s">
        <v>749</v>
      </c>
      <c r="F754" t="s">
        <v>750</v>
      </c>
      <c r="G754" t="s">
        <v>49</v>
      </c>
      <c r="H754" t="s">
        <v>30</v>
      </c>
      <c r="I754" t="s">
        <v>30</v>
      </c>
      <c r="J754" t="s">
        <v>31</v>
      </c>
      <c r="K754" t="s">
        <v>32</v>
      </c>
      <c r="L754" t="s">
        <v>32</v>
      </c>
      <c r="M754" t="s">
        <v>33</v>
      </c>
      <c r="N754" t="s">
        <v>33</v>
      </c>
      <c r="O754" t="s">
        <v>33</v>
      </c>
      <c r="P754" t="s">
        <v>213</v>
      </c>
      <c r="Q754" t="s">
        <v>214</v>
      </c>
      <c r="S754" t="s">
        <v>30</v>
      </c>
      <c r="T754" t="s">
        <v>753</v>
      </c>
      <c r="U754" t="s">
        <v>754</v>
      </c>
      <c r="V754" t="s">
        <v>39</v>
      </c>
      <c r="W754" s="1">
        <v>1</v>
      </c>
    </row>
    <row r="755" spans="1:23" x14ac:dyDescent="0.2">
      <c r="A755" t="s">
        <v>23</v>
      </c>
      <c r="B755" t="s">
        <v>24</v>
      </c>
      <c r="C755" t="s">
        <v>25</v>
      </c>
      <c r="D755" t="s">
        <v>671</v>
      </c>
      <c r="E755" t="s">
        <v>749</v>
      </c>
      <c r="F755" t="s">
        <v>750</v>
      </c>
      <c r="G755" t="s">
        <v>49</v>
      </c>
      <c r="H755" t="s">
        <v>30</v>
      </c>
      <c r="I755" t="s">
        <v>30</v>
      </c>
      <c r="J755" t="s">
        <v>31</v>
      </c>
      <c r="K755" t="s">
        <v>32</v>
      </c>
      <c r="L755" t="s">
        <v>32</v>
      </c>
      <c r="M755" t="s">
        <v>33</v>
      </c>
      <c r="N755" t="s">
        <v>33</v>
      </c>
      <c r="O755" t="s">
        <v>33</v>
      </c>
      <c r="P755" t="s">
        <v>213</v>
      </c>
      <c r="Q755" t="s">
        <v>214</v>
      </c>
      <c r="S755" t="s">
        <v>30</v>
      </c>
      <c r="T755" t="s">
        <v>753</v>
      </c>
      <c r="U755" t="s">
        <v>754</v>
      </c>
      <c r="V755" t="s">
        <v>40</v>
      </c>
      <c r="W755" s="1">
        <v>969200</v>
      </c>
    </row>
    <row r="756" spans="1:23" x14ac:dyDescent="0.2">
      <c r="A756" t="s">
        <v>23</v>
      </c>
      <c r="B756" t="s">
        <v>24</v>
      </c>
      <c r="C756" t="s">
        <v>25</v>
      </c>
      <c r="D756" t="s">
        <v>671</v>
      </c>
      <c r="E756" t="s">
        <v>749</v>
      </c>
      <c r="F756" t="s">
        <v>750</v>
      </c>
      <c r="G756" t="s">
        <v>49</v>
      </c>
      <c r="H756" t="s">
        <v>30</v>
      </c>
      <c r="I756" t="s">
        <v>30</v>
      </c>
      <c r="J756" t="s">
        <v>31</v>
      </c>
      <c r="K756" t="s">
        <v>32</v>
      </c>
      <c r="L756" t="s">
        <v>32</v>
      </c>
      <c r="M756" t="s">
        <v>33</v>
      </c>
      <c r="P756" t="s">
        <v>34</v>
      </c>
      <c r="Q756" t="s">
        <v>35</v>
      </c>
      <c r="S756" t="s">
        <v>52</v>
      </c>
      <c r="T756" t="s">
        <v>755</v>
      </c>
      <c r="U756" t="s">
        <v>756</v>
      </c>
      <c r="V756" t="s">
        <v>39</v>
      </c>
      <c r="W756" s="1">
        <v>0</v>
      </c>
    </row>
    <row r="757" spans="1:23" x14ac:dyDescent="0.2">
      <c r="A757" t="s">
        <v>23</v>
      </c>
      <c r="B757" t="s">
        <v>24</v>
      </c>
      <c r="C757" t="s">
        <v>25</v>
      </c>
      <c r="D757" t="s">
        <v>671</v>
      </c>
      <c r="E757" t="s">
        <v>749</v>
      </c>
      <c r="F757" t="s">
        <v>750</v>
      </c>
      <c r="G757" t="s">
        <v>49</v>
      </c>
      <c r="H757" t="s">
        <v>30</v>
      </c>
      <c r="I757" t="s">
        <v>30</v>
      </c>
      <c r="J757" t="s">
        <v>31</v>
      </c>
      <c r="K757" t="s">
        <v>32</v>
      </c>
      <c r="L757" t="s">
        <v>32</v>
      </c>
      <c r="M757" t="s">
        <v>33</v>
      </c>
      <c r="P757" t="s">
        <v>34</v>
      </c>
      <c r="Q757" t="s">
        <v>35</v>
      </c>
      <c r="S757" t="s">
        <v>52</v>
      </c>
      <c r="T757" t="s">
        <v>755</v>
      </c>
      <c r="U757" t="s">
        <v>756</v>
      </c>
      <c r="V757" t="s">
        <v>40</v>
      </c>
      <c r="W757" s="1">
        <v>1038000</v>
      </c>
    </row>
    <row r="758" spans="1:23" x14ac:dyDescent="0.2">
      <c r="A758" t="s">
        <v>23</v>
      </c>
      <c r="B758" t="s">
        <v>24</v>
      </c>
      <c r="C758" t="s">
        <v>25</v>
      </c>
      <c r="D758" t="s">
        <v>671</v>
      </c>
      <c r="E758" t="s">
        <v>749</v>
      </c>
      <c r="F758" t="s">
        <v>750</v>
      </c>
      <c r="G758" t="s">
        <v>61</v>
      </c>
      <c r="H758" t="s">
        <v>52</v>
      </c>
      <c r="I758" t="s">
        <v>52</v>
      </c>
      <c r="J758" t="s">
        <v>41</v>
      </c>
      <c r="K758" t="s">
        <v>32</v>
      </c>
      <c r="L758" t="s">
        <v>32</v>
      </c>
      <c r="M758" t="s">
        <v>33</v>
      </c>
      <c r="N758" t="s">
        <v>33</v>
      </c>
      <c r="O758" t="s">
        <v>33</v>
      </c>
      <c r="P758" t="s">
        <v>34</v>
      </c>
      <c r="Q758" t="s">
        <v>35</v>
      </c>
      <c r="S758" t="s">
        <v>30</v>
      </c>
      <c r="T758" t="s">
        <v>757</v>
      </c>
      <c r="U758" t="s">
        <v>758</v>
      </c>
      <c r="V758" t="s">
        <v>39</v>
      </c>
      <c r="W758" s="1">
        <v>6</v>
      </c>
    </row>
    <row r="759" spans="1:23" x14ac:dyDescent="0.2">
      <c r="A759" t="s">
        <v>23</v>
      </c>
      <c r="B759" t="s">
        <v>24</v>
      </c>
      <c r="C759" t="s">
        <v>25</v>
      </c>
      <c r="D759" t="s">
        <v>671</v>
      </c>
      <c r="E759" t="s">
        <v>749</v>
      </c>
      <c r="F759" t="s">
        <v>750</v>
      </c>
      <c r="G759" t="s">
        <v>61</v>
      </c>
      <c r="H759" t="s">
        <v>52</v>
      </c>
      <c r="I759" t="s">
        <v>52</v>
      </c>
      <c r="J759" t="s">
        <v>41</v>
      </c>
      <c r="K759" t="s">
        <v>32</v>
      </c>
      <c r="L759" t="s">
        <v>32</v>
      </c>
      <c r="M759" t="s">
        <v>33</v>
      </c>
      <c r="N759" t="s">
        <v>33</v>
      </c>
      <c r="O759" t="s">
        <v>33</v>
      </c>
      <c r="P759" t="s">
        <v>34</v>
      </c>
      <c r="Q759" t="s">
        <v>35</v>
      </c>
      <c r="S759" t="s">
        <v>30</v>
      </c>
      <c r="T759" t="s">
        <v>757</v>
      </c>
      <c r="U759" t="s">
        <v>758</v>
      </c>
      <c r="V759" t="s">
        <v>40</v>
      </c>
      <c r="W759" s="1">
        <v>7799400</v>
      </c>
    </row>
    <row r="760" spans="1:23" x14ac:dyDescent="0.2">
      <c r="A760" t="s">
        <v>23</v>
      </c>
      <c r="B760" t="s">
        <v>24</v>
      </c>
      <c r="C760" t="s">
        <v>25</v>
      </c>
      <c r="D760" t="s">
        <v>671</v>
      </c>
      <c r="E760" t="s">
        <v>749</v>
      </c>
      <c r="F760" t="s">
        <v>750</v>
      </c>
      <c r="G760" t="s">
        <v>64</v>
      </c>
      <c r="H760" t="s">
        <v>30</v>
      </c>
      <c r="I760" t="s">
        <v>52</v>
      </c>
      <c r="J760" t="s">
        <v>31</v>
      </c>
      <c r="K760" t="s">
        <v>32</v>
      </c>
      <c r="L760" t="s">
        <v>32</v>
      </c>
      <c r="M760" t="s">
        <v>33</v>
      </c>
      <c r="P760" t="s">
        <v>34</v>
      </c>
      <c r="Q760" t="s">
        <v>35</v>
      </c>
      <c r="S760" t="s">
        <v>52</v>
      </c>
      <c r="T760" t="s">
        <v>759</v>
      </c>
      <c r="U760" t="s">
        <v>760</v>
      </c>
      <c r="V760" t="s">
        <v>39</v>
      </c>
      <c r="W760" s="1">
        <v>0</v>
      </c>
    </row>
    <row r="761" spans="1:23" x14ac:dyDescent="0.2">
      <c r="A761" t="s">
        <v>23</v>
      </c>
      <c r="B761" t="s">
        <v>24</v>
      </c>
      <c r="C761" t="s">
        <v>25</v>
      </c>
      <c r="D761" t="s">
        <v>671</v>
      </c>
      <c r="E761" t="s">
        <v>749</v>
      </c>
      <c r="F761" t="s">
        <v>750</v>
      </c>
      <c r="G761" t="s">
        <v>64</v>
      </c>
      <c r="H761" t="s">
        <v>30</v>
      </c>
      <c r="I761" t="s">
        <v>52</v>
      </c>
      <c r="J761" t="s">
        <v>31</v>
      </c>
      <c r="K761" t="s">
        <v>32</v>
      </c>
      <c r="L761" t="s">
        <v>32</v>
      </c>
      <c r="M761" t="s">
        <v>33</v>
      </c>
      <c r="P761" t="s">
        <v>34</v>
      </c>
      <c r="Q761" t="s">
        <v>35</v>
      </c>
      <c r="S761" t="s">
        <v>52</v>
      </c>
      <c r="T761" t="s">
        <v>759</v>
      </c>
      <c r="U761" t="s">
        <v>760</v>
      </c>
      <c r="V761" t="s">
        <v>40</v>
      </c>
      <c r="W761" s="1">
        <v>3799600</v>
      </c>
    </row>
    <row r="762" spans="1:23" x14ac:dyDescent="0.2">
      <c r="A762" t="s">
        <v>23</v>
      </c>
      <c r="B762" t="s">
        <v>24</v>
      </c>
      <c r="C762" t="s">
        <v>25</v>
      </c>
      <c r="D762" t="s">
        <v>671</v>
      </c>
      <c r="E762" t="s">
        <v>749</v>
      </c>
      <c r="F762" t="s">
        <v>750</v>
      </c>
      <c r="G762" t="s">
        <v>64</v>
      </c>
      <c r="H762" t="s">
        <v>30</v>
      </c>
      <c r="I762" t="s">
        <v>52</v>
      </c>
      <c r="J762" t="s">
        <v>31</v>
      </c>
      <c r="K762" t="s">
        <v>32</v>
      </c>
      <c r="L762" t="s">
        <v>32</v>
      </c>
      <c r="M762" t="s">
        <v>33</v>
      </c>
      <c r="P762" t="s">
        <v>34</v>
      </c>
      <c r="Q762" t="s">
        <v>35</v>
      </c>
      <c r="S762" t="s">
        <v>52</v>
      </c>
      <c r="T762" t="s">
        <v>761</v>
      </c>
      <c r="U762" t="s">
        <v>762</v>
      </c>
      <c r="V762" t="s">
        <v>39</v>
      </c>
      <c r="W762" s="1">
        <v>0</v>
      </c>
    </row>
    <row r="763" spans="1:23" x14ac:dyDescent="0.2">
      <c r="A763" t="s">
        <v>23</v>
      </c>
      <c r="B763" t="s">
        <v>24</v>
      </c>
      <c r="C763" t="s">
        <v>25</v>
      </c>
      <c r="D763" t="s">
        <v>671</v>
      </c>
      <c r="E763" t="s">
        <v>749</v>
      </c>
      <c r="F763" t="s">
        <v>750</v>
      </c>
      <c r="G763" t="s">
        <v>64</v>
      </c>
      <c r="H763" t="s">
        <v>30</v>
      </c>
      <c r="I763" t="s">
        <v>52</v>
      </c>
      <c r="J763" t="s">
        <v>31</v>
      </c>
      <c r="K763" t="s">
        <v>32</v>
      </c>
      <c r="L763" t="s">
        <v>32</v>
      </c>
      <c r="M763" t="s">
        <v>33</v>
      </c>
      <c r="P763" t="s">
        <v>34</v>
      </c>
      <c r="Q763" t="s">
        <v>35</v>
      </c>
      <c r="S763" t="s">
        <v>52</v>
      </c>
      <c r="T763" t="s">
        <v>761</v>
      </c>
      <c r="U763" t="s">
        <v>762</v>
      </c>
      <c r="V763" t="s">
        <v>40</v>
      </c>
      <c r="W763" s="1">
        <v>4441200</v>
      </c>
    </row>
    <row r="764" spans="1:23" x14ac:dyDescent="0.2">
      <c r="A764" t="s">
        <v>23</v>
      </c>
      <c r="B764" t="s">
        <v>24</v>
      </c>
      <c r="C764" t="s">
        <v>25</v>
      </c>
      <c r="D764" t="s">
        <v>671</v>
      </c>
      <c r="E764" t="s">
        <v>749</v>
      </c>
      <c r="F764" t="s">
        <v>750</v>
      </c>
      <c r="G764" t="s">
        <v>64</v>
      </c>
      <c r="H764" t="s">
        <v>30</v>
      </c>
      <c r="I764" t="s">
        <v>52</v>
      </c>
      <c r="J764" t="s">
        <v>41</v>
      </c>
      <c r="K764" t="s">
        <v>32</v>
      </c>
      <c r="L764" t="s">
        <v>32</v>
      </c>
      <c r="M764" t="s">
        <v>33</v>
      </c>
      <c r="P764" t="s">
        <v>34</v>
      </c>
      <c r="Q764" t="s">
        <v>35</v>
      </c>
      <c r="S764" t="s">
        <v>52</v>
      </c>
      <c r="T764" t="s">
        <v>763</v>
      </c>
      <c r="U764" t="s">
        <v>764</v>
      </c>
      <c r="V764" t="s">
        <v>39</v>
      </c>
      <c r="W764" s="1">
        <v>0</v>
      </c>
    </row>
    <row r="765" spans="1:23" x14ac:dyDescent="0.2">
      <c r="A765" t="s">
        <v>23</v>
      </c>
      <c r="B765" t="s">
        <v>24</v>
      </c>
      <c r="C765" t="s">
        <v>25</v>
      </c>
      <c r="D765" t="s">
        <v>671</v>
      </c>
      <c r="E765" t="s">
        <v>749</v>
      </c>
      <c r="F765" t="s">
        <v>750</v>
      </c>
      <c r="G765" t="s">
        <v>64</v>
      </c>
      <c r="H765" t="s">
        <v>30</v>
      </c>
      <c r="I765" t="s">
        <v>52</v>
      </c>
      <c r="J765" t="s">
        <v>41</v>
      </c>
      <c r="K765" t="s">
        <v>32</v>
      </c>
      <c r="L765" t="s">
        <v>32</v>
      </c>
      <c r="M765" t="s">
        <v>33</v>
      </c>
      <c r="P765" t="s">
        <v>34</v>
      </c>
      <c r="Q765" t="s">
        <v>35</v>
      </c>
      <c r="S765" t="s">
        <v>52</v>
      </c>
      <c r="T765" t="s">
        <v>763</v>
      </c>
      <c r="U765" t="s">
        <v>764</v>
      </c>
      <c r="V765" t="s">
        <v>40</v>
      </c>
      <c r="W765" s="1">
        <v>2246000</v>
      </c>
    </row>
    <row r="766" spans="1:23" x14ac:dyDescent="0.2">
      <c r="A766" t="s">
        <v>23</v>
      </c>
      <c r="B766" t="s">
        <v>24</v>
      </c>
      <c r="C766" t="s">
        <v>25</v>
      </c>
      <c r="D766" t="s">
        <v>671</v>
      </c>
      <c r="E766" t="s">
        <v>749</v>
      </c>
      <c r="F766" t="s">
        <v>750</v>
      </c>
      <c r="G766" t="s">
        <v>64</v>
      </c>
      <c r="H766" t="s">
        <v>30</v>
      </c>
      <c r="I766" t="s">
        <v>52</v>
      </c>
      <c r="J766" t="s">
        <v>41</v>
      </c>
      <c r="K766" t="s">
        <v>32</v>
      </c>
      <c r="L766" t="s">
        <v>32</v>
      </c>
      <c r="M766" t="s">
        <v>176</v>
      </c>
      <c r="P766" t="s">
        <v>34</v>
      </c>
      <c r="Q766" t="s">
        <v>35</v>
      </c>
      <c r="S766" t="s">
        <v>52</v>
      </c>
      <c r="T766" t="s">
        <v>763</v>
      </c>
      <c r="U766" t="s">
        <v>764</v>
      </c>
      <c r="V766" t="s">
        <v>39</v>
      </c>
      <c r="W766" s="1">
        <v>0</v>
      </c>
    </row>
    <row r="767" spans="1:23" x14ac:dyDescent="0.2">
      <c r="A767" t="s">
        <v>23</v>
      </c>
      <c r="B767" t="s">
        <v>24</v>
      </c>
      <c r="C767" t="s">
        <v>25</v>
      </c>
      <c r="D767" t="s">
        <v>671</v>
      </c>
      <c r="E767" t="s">
        <v>749</v>
      </c>
      <c r="F767" t="s">
        <v>750</v>
      </c>
      <c r="G767" t="s">
        <v>64</v>
      </c>
      <c r="H767" t="s">
        <v>30</v>
      </c>
      <c r="I767" t="s">
        <v>52</v>
      </c>
      <c r="J767" t="s">
        <v>41</v>
      </c>
      <c r="K767" t="s">
        <v>32</v>
      </c>
      <c r="L767" t="s">
        <v>32</v>
      </c>
      <c r="M767" t="s">
        <v>176</v>
      </c>
      <c r="P767" t="s">
        <v>34</v>
      </c>
      <c r="Q767" t="s">
        <v>35</v>
      </c>
      <c r="S767" t="s">
        <v>52</v>
      </c>
      <c r="T767" t="s">
        <v>763</v>
      </c>
      <c r="U767" t="s">
        <v>764</v>
      </c>
      <c r="V767" t="s">
        <v>40</v>
      </c>
      <c r="W767" s="1">
        <v>2246000</v>
      </c>
    </row>
    <row r="768" spans="1:23" x14ac:dyDescent="0.2">
      <c r="A768" t="s">
        <v>23</v>
      </c>
      <c r="B768" t="s">
        <v>24</v>
      </c>
      <c r="C768" t="s">
        <v>25</v>
      </c>
      <c r="D768" t="s">
        <v>671</v>
      </c>
      <c r="E768" t="s">
        <v>749</v>
      </c>
      <c r="F768" t="s">
        <v>750</v>
      </c>
      <c r="G768" t="s">
        <v>89</v>
      </c>
      <c r="H768" t="s">
        <v>30</v>
      </c>
      <c r="I768" t="s">
        <v>30</v>
      </c>
      <c r="J768" t="s">
        <v>31</v>
      </c>
      <c r="K768" t="s">
        <v>32</v>
      </c>
      <c r="L768" t="s">
        <v>32</v>
      </c>
      <c r="M768" t="s">
        <v>33</v>
      </c>
      <c r="P768" t="s">
        <v>34</v>
      </c>
      <c r="Q768" t="s">
        <v>35</v>
      </c>
      <c r="S768" t="s">
        <v>52</v>
      </c>
      <c r="T768" t="s">
        <v>765</v>
      </c>
      <c r="U768" t="s">
        <v>766</v>
      </c>
      <c r="V768" t="s">
        <v>39</v>
      </c>
      <c r="W768" s="1">
        <v>0</v>
      </c>
    </row>
    <row r="769" spans="1:23" x14ac:dyDescent="0.2">
      <c r="A769" t="s">
        <v>23</v>
      </c>
      <c r="B769" t="s">
        <v>24</v>
      </c>
      <c r="C769" t="s">
        <v>25</v>
      </c>
      <c r="D769" t="s">
        <v>671</v>
      </c>
      <c r="E769" t="s">
        <v>749</v>
      </c>
      <c r="F769" t="s">
        <v>750</v>
      </c>
      <c r="G769" t="s">
        <v>89</v>
      </c>
      <c r="H769" t="s">
        <v>30</v>
      </c>
      <c r="I769" t="s">
        <v>30</v>
      </c>
      <c r="J769" t="s">
        <v>31</v>
      </c>
      <c r="K769" t="s">
        <v>32</v>
      </c>
      <c r="L769" t="s">
        <v>32</v>
      </c>
      <c r="M769" t="s">
        <v>33</v>
      </c>
      <c r="P769" t="s">
        <v>34</v>
      </c>
      <c r="Q769" t="s">
        <v>35</v>
      </c>
      <c r="S769" t="s">
        <v>52</v>
      </c>
      <c r="T769" t="s">
        <v>765</v>
      </c>
      <c r="U769" t="s">
        <v>766</v>
      </c>
      <c r="V769" t="s">
        <v>40</v>
      </c>
      <c r="W769" s="1">
        <v>1840200</v>
      </c>
    </row>
    <row r="770" spans="1:23" x14ac:dyDescent="0.2">
      <c r="A770" t="s">
        <v>23</v>
      </c>
      <c r="B770" t="s">
        <v>24</v>
      </c>
      <c r="C770" t="s">
        <v>25</v>
      </c>
      <c r="D770" t="s">
        <v>671</v>
      </c>
      <c r="E770" t="s">
        <v>749</v>
      </c>
      <c r="F770" t="s">
        <v>750</v>
      </c>
      <c r="G770" t="s">
        <v>106</v>
      </c>
      <c r="H770" t="s">
        <v>30</v>
      </c>
      <c r="I770" t="s">
        <v>30</v>
      </c>
      <c r="J770" t="s">
        <v>41</v>
      </c>
      <c r="K770" t="s">
        <v>32</v>
      </c>
      <c r="L770" t="s">
        <v>32</v>
      </c>
      <c r="M770" t="s">
        <v>33</v>
      </c>
      <c r="N770" t="s">
        <v>33</v>
      </c>
      <c r="O770" t="s">
        <v>33</v>
      </c>
      <c r="P770" t="s">
        <v>34</v>
      </c>
      <c r="Q770" t="s">
        <v>35</v>
      </c>
      <c r="R770" t="s">
        <v>96</v>
      </c>
      <c r="S770" t="s">
        <v>30</v>
      </c>
      <c r="T770" t="s">
        <v>767</v>
      </c>
      <c r="U770" t="s">
        <v>768</v>
      </c>
      <c r="V770" t="s">
        <v>39</v>
      </c>
      <c r="W770" s="1">
        <v>1</v>
      </c>
    </row>
    <row r="771" spans="1:23" x14ac:dyDescent="0.2">
      <c r="A771" t="s">
        <v>23</v>
      </c>
      <c r="B771" t="s">
        <v>24</v>
      </c>
      <c r="C771" t="s">
        <v>25</v>
      </c>
      <c r="D771" t="s">
        <v>671</v>
      </c>
      <c r="E771" t="s">
        <v>749</v>
      </c>
      <c r="F771" t="s">
        <v>750</v>
      </c>
      <c r="G771" t="s">
        <v>106</v>
      </c>
      <c r="H771" t="s">
        <v>30</v>
      </c>
      <c r="I771" t="s">
        <v>30</v>
      </c>
      <c r="J771" t="s">
        <v>41</v>
      </c>
      <c r="K771" t="s">
        <v>32</v>
      </c>
      <c r="L771" t="s">
        <v>32</v>
      </c>
      <c r="M771" t="s">
        <v>33</v>
      </c>
      <c r="N771" t="s">
        <v>33</v>
      </c>
      <c r="O771" t="s">
        <v>33</v>
      </c>
      <c r="P771" t="s">
        <v>34</v>
      </c>
      <c r="Q771" t="s">
        <v>35</v>
      </c>
      <c r="R771" t="s">
        <v>96</v>
      </c>
      <c r="S771" t="s">
        <v>30</v>
      </c>
      <c r="T771" t="s">
        <v>767</v>
      </c>
      <c r="U771" t="s">
        <v>768</v>
      </c>
      <c r="V771" t="s">
        <v>40</v>
      </c>
      <c r="W771" s="1">
        <v>5355000</v>
      </c>
    </row>
    <row r="772" spans="1:23" x14ac:dyDescent="0.2">
      <c r="A772" t="s">
        <v>23</v>
      </c>
      <c r="B772" t="s">
        <v>24</v>
      </c>
      <c r="C772" t="s">
        <v>25</v>
      </c>
      <c r="D772" t="s">
        <v>671</v>
      </c>
      <c r="E772" t="s">
        <v>749</v>
      </c>
      <c r="F772" t="s">
        <v>750</v>
      </c>
      <c r="G772" t="s">
        <v>106</v>
      </c>
      <c r="H772" t="s">
        <v>30</v>
      </c>
      <c r="I772" t="s">
        <v>30</v>
      </c>
      <c r="J772" t="s">
        <v>41</v>
      </c>
      <c r="K772" t="s">
        <v>32</v>
      </c>
      <c r="L772" t="s">
        <v>32</v>
      </c>
      <c r="M772" t="s">
        <v>33</v>
      </c>
      <c r="N772" t="s">
        <v>33</v>
      </c>
      <c r="O772" t="s">
        <v>33</v>
      </c>
      <c r="P772" t="s">
        <v>34</v>
      </c>
      <c r="Q772" t="s">
        <v>35</v>
      </c>
      <c r="R772" t="s">
        <v>68</v>
      </c>
      <c r="S772" t="s">
        <v>30</v>
      </c>
      <c r="T772" t="s">
        <v>769</v>
      </c>
      <c r="U772" t="s">
        <v>770</v>
      </c>
      <c r="V772" t="s">
        <v>39</v>
      </c>
      <c r="W772" s="1">
        <v>2</v>
      </c>
    </row>
    <row r="773" spans="1:23" x14ac:dyDescent="0.2">
      <c r="A773" t="s">
        <v>23</v>
      </c>
      <c r="B773" t="s">
        <v>24</v>
      </c>
      <c r="C773" t="s">
        <v>25</v>
      </c>
      <c r="D773" t="s">
        <v>671</v>
      </c>
      <c r="E773" t="s">
        <v>749</v>
      </c>
      <c r="F773" t="s">
        <v>750</v>
      </c>
      <c r="G773" t="s">
        <v>106</v>
      </c>
      <c r="H773" t="s">
        <v>30</v>
      </c>
      <c r="I773" t="s">
        <v>30</v>
      </c>
      <c r="J773" t="s">
        <v>41</v>
      </c>
      <c r="K773" t="s">
        <v>32</v>
      </c>
      <c r="L773" t="s">
        <v>32</v>
      </c>
      <c r="M773" t="s">
        <v>33</v>
      </c>
      <c r="N773" t="s">
        <v>33</v>
      </c>
      <c r="O773" t="s">
        <v>33</v>
      </c>
      <c r="P773" t="s">
        <v>34</v>
      </c>
      <c r="Q773" t="s">
        <v>35</v>
      </c>
      <c r="R773" t="s">
        <v>68</v>
      </c>
      <c r="S773" t="s">
        <v>30</v>
      </c>
      <c r="T773" t="s">
        <v>769</v>
      </c>
      <c r="U773" t="s">
        <v>770</v>
      </c>
      <c r="V773" t="s">
        <v>40</v>
      </c>
      <c r="W773" s="1">
        <v>2998000</v>
      </c>
    </row>
    <row r="774" spans="1:23" x14ac:dyDescent="0.2">
      <c r="A774" t="s">
        <v>23</v>
      </c>
      <c r="B774" t="s">
        <v>24</v>
      </c>
      <c r="C774" t="s">
        <v>25</v>
      </c>
      <c r="D774" t="s">
        <v>671</v>
      </c>
      <c r="E774" t="s">
        <v>749</v>
      </c>
      <c r="F774" t="s">
        <v>750</v>
      </c>
      <c r="G774" t="s">
        <v>106</v>
      </c>
      <c r="H774" t="s">
        <v>30</v>
      </c>
      <c r="I774" t="s">
        <v>30</v>
      </c>
      <c r="J774" t="s">
        <v>41</v>
      </c>
      <c r="K774" t="s">
        <v>32</v>
      </c>
      <c r="L774" t="s">
        <v>32</v>
      </c>
      <c r="M774" t="s">
        <v>33</v>
      </c>
      <c r="P774" t="s">
        <v>34</v>
      </c>
      <c r="Q774" t="s">
        <v>35</v>
      </c>
      <c r="S774" t="s">
        <v>52</v>
      </c>
      <c r="T774" t="s">
        <v>771</v>
      </c>
      <c r="U774" t="s">
        <v>772</v>
      </c>
      <c r="V774" t="s">
        <v>39</v>
      </c>
      <c r="W774" s="1">
        <v>0</v>
      </c>
    </row>
    <row r="775" spans="1:23" x14ac:dyDescent="0.2">
      <c r="A775" t="s">
        <v>23</v>
      </c>
      <c r="B775" t="s">
        <v>24</v>
      </c>
      <c r="C775" t="s">
        <v>25</v>
      </c>
      <c r="D775" t="s">
        <v>671</v>
      </c>
      <c r="E775" t="s">
        <v>749</v>
      </c>
      <c r="F775" t="s">
        <v>750</v>
      </c>
      <c r="G775" t="s">
        <v>106</v>
      </c>
      <c r="H775" t="s">
        <v>30</v>
      </c>
      <c r="I775" t="s">
        <v>30</v>
      </c>
      <c r="J775" t="s">
        <v>41</v>
      </c>
      <c r="K775" t="s">
        <v>32</v>
      </c>
      <c r="L775" t="s">
        <v>32</v>
      </c>
      <c r="M775" t="s">
        <v>33</v>
      </c>
      <c r="P775" t="s">
        <v>34</v>
      </c>
      <c r="Q775" t="s">
        <v>35</v>
      </c>
      <c r="S775" t="s">
        <v>52</v>
      </c>
      <c r="T775" t="s">
        <v>771</v>
      </c>
      <c r="U775" t="s">
        <v>772</v>
      </c>
      <c r="V775" t="s">
        <v>40</v>
      </c>
      <c r="W775" s="1">
        <v>4437900</v>
      </c>
    </row>
    <row r="776" spans="1:23" x14ac:dyDescent="0.2">
      <c r="A776" t="s">
        <v>23</v>
      </c>
      <c r="B776" t="s">
        <v>24</v>
      </c>
      <c r="C776" t="s">
        <v>25</v>
      </c>
      <c r="D776" t="s">
        <v>671</v>
      </c>
      <c r="E776" t="s">
        <v>749</v>
      </c>
      <c r="F776" t="s">
        <v>750</v>
      </c>
      <c r="G776" t="s">
        <v>134</v>
      </c>
      <c r="H776" t="s">
        <v>52</v>
      </c>
      <c r="I776" t="s">
        <v>30</v>
      </c>
      <c r="J776" t="s">
        <v>41</v>
      </c>
      <c r="K776" t="s">
        <v>32</v>
      </c>
      <c r="L776" t="s">
        <v>32</v>
      </c>
      <c r="M776" t="s">
        <v>33</v>
      </c>
      <c r="N776" t="s">
        <v>33</v>
      </c>
      <c r="O776" t="s">
        <v>33</v>
      </c>
      <c r="P776" t="s">
        <v>34</v>
      </c>
      <c r="Q776" t="s">
        <v>35</v>
      </c>
      <c r="S776" t="s">
        <v>30</v>
      </c>
      <c r="T776" t="s">
        <v>773</v>
      </c>
      <c r="U776" t="s">
        <v>774</v>
      </c>
      <c r="V776" t="s">
        <v>39</v>
      </c>
      <c r="W776" s="1">
        <v>2</v>
      </c>
    </row>
    <row r="777" spans="1:23" x14ac:dyDescent="0.2">
      <c r="A777" t="s">
        <v>23</v>
      </c>
      <c r="B777" t="s">
        <v>24</v>
      </c>
      <c r="C777" t="s">
        <v>25</v>
      </c>
      <c r="D777" t="s">
        <v>671</v>
      </c>
      <c r="E777" t="s">
        <v>749</v>
      </c>
      <c r="F777" t="s">
        <v>750</v>
      </c>
      <c r="G777" t="s">
        <v>134</v>
      </c>
      <c r="H777" t="s">
        <v>52</v>
      </c>
      <c r="I777" t="s">
        <v>30</v>
      </c>
      <c r="J777" t="s">
        <v>41</v>
      </c>
      <c r="K777" t="s">
        <v>32</v>
      </c>
      <c r="L777" t="s">
        <v>32</v>
      </c>
      <c r="M777" t="s">
        <v>33</v>
      </c>
      <c r="N777" t="s">
        <v>33</v>
      </c>
      <c r="O777" t="s">
        <v>33</v>
      </c>
      <c r="P777" t="s">
        <v>34</v>
      </c>
      <c r="Q777" t="s">
        <v>35</v>
      </c>
      <c r="S777" t="s">
        <v>30</v>
      </c>
      <c r="T777" t="s">
        <v>773</v>
      </c>
      <c r="U777" t="s">
        <v>774</v>
      </c>
      <c r="V777" t="s">
        <v>40</v>
      </c>
      <c r="W777" s="1">
        <v>2898000</v>
      </c>
    </row>
    <row r="778" spans="1:23" x14ac:dyDescent="0.2">
      <c r="A778" t="s">
        <v>23</v>
      </c>
      <c r="B778" t="s">
        <v>24</v>
      </c>
      <c r="C778" t="s">
        <v>25</v>
      </c>
      <c r="D778" t="s">
        <v>671</v>
      </c>
      <c r="E778" t="s">
        <v>749</v>
      </c>
      <c r="F778" t="s">
        <v>750</v>
      </c>
      <c r="G778" t="s">
        <v>134</v>
      </c>
      <c r="H778" t="s">
        <v>52</v>
      </c>
      <c r="I778" t="s">
        <v>30</v>
      </c>
      <c r="J778" t="s">
        <v>41</v>
      </c>
      <c r="K778" t="s">
        <v>32</v>
      </c>
      <c r="L778" t="s">
        <v>32</v>
      </c>
      <c r="M778" t="s">
        <v>33</v>
      </c>
      <c r="N778" t="s">
        <v>33</v>
      </c>
      <c r="O778" t="s">
        <v>33</v>
      </c>
      <c r="P778" t="s">
        <v>34</v>
      </c>
      <c r="Q778" t="s">
        <v>35</v>
      </c>
      <c r="S778" t="s">
        <v>30</v>
      </c>
      <c r="T778" t="s">
        <v>775</v>
      </c>
      <c r="U778" t="s">
        <v>776</v>
      </c>
      <c r="V778" t="s">
        <v>39</v>
      </c>
      <c r="W778" s="1">
        <v>2</v>
      </c>
    </row>
    <row r="779" spans="1:23" x14ac:dyDescent="0.2">
      <c r="A779" t="s">
        <v>23</v>
      </c>
      <c r="B779" t="s">
        <v>24</v>
      </c>
      <c r="C779" t="s">
        <v>25</v>
      </c>
      <c r="D779" t="s">
        <v>671</v>
      </c>
      <c r="E779" t="s">
        <v>749</v>
      </c>
      <c r="F779" t="s">
        <v>750</v>
      </c>
      <c r="G779" t="s">
        <v>134</v>
      </c>
      <c r="H779" t="s">
        <v>52</v>
      </c>
      <c r="I779" t="s">
        <v>30</v>
      </c>
      <c r="J779" t="s">
        <v>41</v>
      </c>
      <c r="K779" t="s">
        <v>32</v>
      </c>
      <c r="L779" t="s">
        <v>32</v>
      </c>
      <c r="M779" t="s">
        <v>33</v>
      </c>
      <c r="N779" t="s">
        <v>33</v>
      </c>
      <c r="O779" t="s">
        <v>33</v>
      </c>
      <c r="P779" t="s">
        <v>34</v>
      </c>
      <c r="Q779" t="s">
        <v>35</v>
      </c>
      <c r="S779" t="s">
        <v>30</v>
      </c>
      <c r="T779" t="s">
        <v>775</v>
      </c>
      <c r="U779" t="s">
        <v>776</v>
      </c>
      <c r="V779" t="s">
        <v>40</v>
      </c>
      <c r="W779" s="1">
        <v>1844400</v>
      </c>
    </row>
    <row r="780" spans="1:23" x14ac:dyDescent="0.2">
      <c r="A780" t="s">
        <v>23</v>
      </c>
      <c r="B780" t="s">
        <v>24</v>
      </c>
      <c r="C780" t="s">
        <v>25</v>
      </c>
      <c r="D780" t="s">
        <v>671</v>
      </c>
      <c r="E780" t="s">
        <v>749</v>
      </c>
      <c r="F780" t="s">
        <v>750</v>
      </c>
      <c r="G780" t="s">
        <v>134</v>
      </c>
      <c r="H780" t="s">
        <v>52</v>
      </c>
      <c r="I780" t="s">
        <v>30</v>
      </c>
      <c r="J780" t="s">
        <v>41</v>
      </c>
      <c r="K780" t="s">
        <v>32</v>
      </c>
      <c r="L780" t="s">
        <v>32</v>
      </c>
      <c r="M780" t="s">
        <v>176</v>
      </c>
      <c r="N780" t="s">
        <v>176</v>
      </c>
      <c r="O780" t="s">
        <v>176</v>
      </c>
      <c r="P780" t="s">
        <v>34</v>
      </c>
      <c r="Q780" t="s">
        <v>35</v>
      </c>
      <c r="S780" t="s">
        <v>30</v>
      </c>
      <c r="T780" t="s">
        <v>775</v>
      </c>
      <c r="U780" t="s">
        <v>776</v>
      </c>
      <c r="V780" t="s">
        <v>39</v>
      </c>
      <c r="W780" s="1">
        <v>1</v>
      </c>
    </row>
    <row r="781" spans="1:23" x14ac:dyDescent="0.2">
      <c r="A781" t="s">
        <v>23</v>
      </c>
      <c r="B781" t="s">
        <v>24</v>
      </c>
      <c r="C781" t="s">
        <v>25</v>
      </c>
      <c r="D781" t="s">
        <v>671</v>
      </c>
      <c r="E781" t="s">
        <v>749</v>
      </c>
      <c r="F781" t="s">
        <v>750</v>
      </c>
      <c r="G781" t="s">
        <v>134</v>
      </c>
      <c r="H781" t="s">
        <v>52</v>
      </c>
      <c r="I781" t="s">
        <v>30</v>
      </c>
      <c r="J781" t="s">
        <v>41</v>
      </c>
      <c r="K781" t="s">
        <v>32</v>
      </c>
      <c r="L781" t="s">
        <v>32</v>
      </c>
      <c r="M781" t="s">
        <v>176</v>
      </c>
      <c r="N781" t="s">
        <v>176</v>
      </c>
      <c r="O781" t="s">
        <v>176</v>
      </c>
      <c r="P781" t="s">
        <v>34</v>
      </c>
      <c r="Q781" t="s">
        <v>35</v>
      </c>
      <c r="S781" t="s">
        <v>30</v>
      </c>
      <c r="T781" t="s">
        <v>775</v>
      </c>
      <c r="U781" t="s">
        <v>776</v>
      </c>
      <c r="V781" t="s">
        <v>40</v>
      </c>
      <c r="W781" s="1">
        <v>922200</v>
      </c>
    </row>
    <row r="782" spans="1:23" x14ac:dyDescent="0.2">
      <c r="A782" t="s">
        <v>23</v>
      </c>
      <c r="B782" t="s">
        <v>24</v>
      </c>
      <c r="C782" t="s">
        <v>25</v>
      </c>
      <c r="D782" t="s">
        <v>671</v>
      </c>
      <c r="E782" t="s">
        <v>749</v>
      </c>
      <c r="F782" t="s">
        <v>750</v>
      </c>
      <c r="G782" t="s">
        <v>134</v>
      </c>
      <c r="H782" t="s">
        <v>52</v>
      </c>
      <c r="I782" t="s">
        <v>30</v>
      </c>
      <c r="J782" t="s">
        <v>41</v>
      </c>
      <c r="K782" t="s">
        <v>32</v>
      </c>
      <c r="L782" t="s">
        <v>32</v>
      </c>
      <c r="M782" t="s">
        <v>176</v>
      </c>
      <c r="N782" t="s">
        <v>195</v>
      </c>
      <c r="O782" t="s">
        <v>195</v>
      </c>
      <c r="P782" t="s">
        <v>34</v>
      </c>
      <c r="Q782" t="s">
        <v>35</v>
      </c>
      <c r="S782" t="s">
        <v>30</v>
      </c>
      <c r="T782" t="s">
        <v>775</v>
      </c>
      <c r="U782" t="s">
        <v>776</v>
      </c>
      <c r="V782" t="s">
        <v>39</v>
      </c>
      <c r="W782" s="1">
        <v>1</v>
      </c>
    </row>
    <row r="783" spans="1:23" x14ac:dyDescent="0.2">
      <c r="A783" t="s">
        <v>23</v>
      </c>
      <c r="B783" t="s">
        <v>24</v>
      </c>
      <c r="C783" t="s">
        <v>25</v>
      </c>
      <c r="D783" t="s">
        <v>671</v>
      </c>
      <c r="E783" t="s">
        <v>749</v>
      </c>
      <c r="F783" t="s">
        <v>750</v>
      </c>
      <c r="G783" t="s">
        <v>134</v>
      </c>
      <c r="H783" t="s">
        <v>52</v>
      </c>
      <c r="I783" t="s">
        <v>30</v>
      </c>
      <c r="J783" t="s">
        <v>41</v>
      </c>
      <c r="K783" t="s">
        <v>32</v>
      </c>
      <c r="L783" t="s">
        <v>32</v>
      </c>
      <c r="M783" t="s">
        <v>176</v>
      </c>
      <c r="N783" t="s">
        <v>195</v>
      </c>
      <c r="O783" t="s">
        <v>195</v>
      </c>
      <c r="P783" t="s">
        <v>34</v>
      </c>
      <c r="Q783" t="s">
        <v>35</v>
      </c>
      <c r="S783" t="s">
        <v>30</v>
      </c>
      <c r="T783" t="s">
        <v>775</v>
      </c>
      <c r="U783" t="s">
        <v>776</v>
      </c>
      <c r="V783" t="s">
        <v>40</v>
      </c>
      <c r="W783" s="1">
        <v>922200</v>
      </c>
    </row>
    <row r="784" spans="1:23" x14ac:dyDescent="0.2">
      <c r="A784" t="s">
        <v>23</v>
      </c>
      <c r="B784" t="s">
        <v>24</v>
      </c>
      <c r="C784" t="s">
        <v>25</v>
      </c>
      <c r="D784" t="s">
        <v>671</v>
      </c>
      <c r="E784" t="s">
        <v>749</v>
      </c>
      <c r="F784" t="s">
        <v>750</v>
      </c>
      <c r="G784" t="s">
        <v>139</v>
      </c>
      <c r="H784" t="s">
        <v>30</v>
      </c>
      <c r="I784" t="s">
        <v>30</v>
      </c>
      <c r="J784" t="s">
        <v>128</v>
      </c>
      <c r="K784" t="s">
        <v>181</v>
      </c>
      <c r="L784" t="s">
        <v>32</v>
      </c>
      <c r="M784" t="s">
        <v>33</v>
      </c>
      <c r="N784" t="s">
        <v>33</v>
      </c>
      <c r="O784" t="s">
        <v>33</v>
      </c>
      <c r="P784" t="s">
        <v>34</v>
      </c>
      <c r="Q784" t="s">
        <v>35</v>
      </c>
      <c r="S784" t="s">
        <v>30</v>
      </c>
      <c r="T784" t="s">
        <v>777</v>
      </c>
      <c r="U784" t="s">
        <v>778</v>
      </c>
      <c r="V784" t="s">
        <v>39</v>
      </c>
      <c r="W784" s="1">
        <v>8</v>
      </c>
    </row>
    <row r="785" spans="1:23" x14ac:dyDescent="0.2">
      <c r="A785" t="s">
        <v>23</v>
      </c>
      <c r="B785" t="s">
        <v>24</v>
      </c>
      <c r="C785" t="s">
        <v>25</v>
      </c>
      <c r="D785" t="s">
        <v>671</v>
      </c>
      <c r="E785" t="s">
        <v>749</v>
      </c>
      <c r="F785" t="s">
        <v>750</v>
      </c>
      <c r="G785" t="s">
        <v>139</v>
      </c>
      <c r="H785" t="s">
        <v>30</v>
      </c>
      <c r="I785" t="s">
        <v>30</v>
      </c>
      <c r="J785" t="s">
        <v>128</v>
      </c>
      <c r="K785" t="s">
        <v>181</v>
      </c>
      <c r="L785" t="s">
        <v>32</v>
      </c>
      <c r="M785" t="s">
        <v>33</v>
      </c>
      <c r="N785" t="s">
        <v>33</v>
      </c>
      <c r="O785" t="s">
        <v>33</v>
      </c>
      <c r="P785" t="s">
        <v>34</v>
      </c>
      <c r="Q785" t="s">
        <v>35</v>
      </c>
      <c r="S785" t="s">
        <v>30</v>
      </c>
      <c r="T785" t="s">
        <v>777</v>
      </c>
      <c r="U785" t="s">
        <v>778</v>
      </c>
      <c r="V785" t="s">
        <v>40</v>
      </c>
      <c r="W785" s="1">
        <v>0</v>
      </c>
    </row>
    <row r="786" spans="1:23" x14ac:dyDescent="0.2">
      <c r="A786" t="s">
        <v>23</v>
      </c>
      <c r="B786" t="s">
        <v>24</v>
      </c>
      <c r="C786" t="s">
        <v>25</v>
      </c>
      <c r="D786" t="s">
        <v>671</v>
      </c>
      <c r="E786" t="s">
        <v>749</v>
      </c>
      <c r="F786" t="s">
        <v>750</v>
      </c>
      <c r="G786" t="s">
        <v>139</v>
      </c>
      <c r="H786" t="s">
        <v>30</v>
      </c>
      <c r="I786" t="s">
        <v>30</v>
      </c>
      <c r="J786" t="s">
        <v>128</v>
      </c>
      <c r="K786" t="s">
        <v>181</v>
      </c>
      <c r="L786" t="s">
        <v>32</v>
      </c>
      <c r="M786" t="s">
        <v>33</v>
      </c>
      <c r="N786" t="s">
        <v>33</v>
      </c>
      <c r="O786" t="s">
        <v>33</v>
      </c>
      <c r="P786" t="s">
        <v>34</v>
      </c>
      <c r="Q786" t="s">
        <v>35</v>
      </c>
      <c r="S786" t="s">
        <v>30</v>
      </c>
      <c r="T786" t="s">
        <v>779</v>
      </c>
      <c r="U786" t="s">
        <v>780</v>
      </c>
      <c r="V786" t="s">
        <v>39</v>
      </c>
      <c r="W786" s="1">
        <v>7</v>
      </c>
    </row>
    <row r="787" spans="1:23" x14ac:dyDescent="0.2">
      <c r="A787" t="s">
        <v>23</v>
      </c>
      <c r="B787" t="s">
        <v>24</v>
      </c>
      <c r="C787" t="s">
        <v>25</v>
      </c>
      <c r="D787" t="s">
        <v>671</v>
      </c>
      <c r="E787" t="s">
        <v>749</v>
      </c>
      <c r="F787" t="s">
        <v>750</v>
      </c>
      <c r="G787" t="s">
        <v>139</v>
      </c>
      <c r="H787" t="s">
        <v>30</v>
      </c>
      <c r="I787" t="s">
        <v>30</v>
      </c>
      <c r="J787" t="s">
        <v>128</v>
      </c>
      <c r="K787" t="s">
        <v>181</v>
      </c>
      <c r="L787" t="s">
        <v>32</v>
      </c>
      <c r="M787" t="s">
        <v>33</v>
      </c>
      <c r="N787" t="s">
        <v>33</v>
      </c>
      <c r="O787" t="s">
        <v>33</v>
      </c>
      <c r="P787" t="s">
        <v>34</v>
      </c>
      <c r="Q787" t="s">
        <v>35</v>
      </c>
      <c r="S787" t="s">
        <v>30</v>
      </c>
      <c r="T787" t="s">
        <v>779</v>
      </c>
      <c r="U787" t="s">
        <v>780</v>
      </c>
      <c r="V787" t="s">
        <v>40</v>
      </c>
      <c r="W787" s="1">
        <v>0</v>
      </c>
    </row>
    <row r="788" spans="1:23" x14ac:dyDescent="0.2">
      <c r="A788" t="s">
        <v>23</v>
      </c>
      <c r="B788" t="s">
        <v>24</v>
      </c>
      <c r="C788" t="s">
        <v>25</v>
      </c>
      <c r="D788" t="s">
        <v>671</v>
      </c>
      <c r="E788" t="s">
        <v>749</v>
      </c>
      <c r="F788" t="s">
        <v>750</v>
      </c>
      <c r="G788" t="s">
        <v>139</v>
      </c>
      <c r="H788" t="s">
        <v>30</v>
      </c>
      <c r="I788" t="s">
        <v>30</v>
      </c>
      <c r="J788" t="s">
        <v>41</v>
      </c>
      <c r="K788" t="s">
        <v>32</v>
      </c>
      <c r="L788" t="s">
        <v>32</v>
      </c>
      <c r="M788" t="s">
        <v>33</v>
      </c>
      <c r="P788" t="s">
        <v>34</v>
      </c>
      <c r="Q788" t="s">
        <v>35</v>
      </c>
      <c r="S788" t="s">
        <v>30</v>
      </c>
      <c r="T788" t="s">
        <v>781</v>
      </c>
      <c r="U788" t="s">
        <v>782</v>
      </c>
      <c r="V788" t="s">
        <v>39</v>
      </c>
      <c r="W788" s="1">
        <v>2</v>
      </c>
    </row>
    <row r="789" spans="1:23" x14ac:dyDescent="0.2">
      <c r="A789" t="s">
        <v>23</v>
      </c>
      <c r="B789" t="s">
        <v>24</v>
      </c>
      <c r="C789" t="s">
        <v>25</v>
      </c>
      <c r="D789" t="s">
        <v>671</v>
      </c>
      <c r="E789" t="s">
        <v>749</v>
      </c>
      <c r="F789" t="s">
        <v>750</v>
      </c>
      <c r="G789" t="s">
        <v>139</v>
      </c>
      <c r="H789" t="s">
        <v>30</v>
      </c>
      <c r="I789" t="s">
        <v>30</v>
      </c>
      <c r="J789" t="s">
        <v>41</v>
      </c>
      <c r="K789" t="s">
        <v>32</v>
      </c>
      <c r="L789" t="s">
        <v>32</v>
      </c>
      <c r="M789" t="s">
        <v>33</v>
      </c>
      <c r="P789" t="s">
        <v>34</v>
      </c>
      <c r="Q789" t="s">
        <v>35</v>
      </c>
      <c r="S789" t="s">
        <v>30</v>
      </c>
      <c r="T789" t="s">
        <v>781</v>
      </c>
      <c r="U789" t="s">
        <v>782</v>
      </c>
      <c r="V789" t="s">
        <v>40</v>
      </c>
      <c r="W789" s="1">
        <v>2838000</v>
      </c>
    </row>
    <row r="790" spans="1:23" x14ac:dyDescent="0.2">
      <c r="A790" t="s">
        <v>23</v>
      </c>
      <c r="B790" t="s">
        <v>24</v>
      </c>
      <c r="C790" t="s">
        <v>25</v>
      </c>
      <c r="D790" t="s">
        <v>671</v>
      </c>
      <c r="E790" t="s">
        <v>749</v>
      </c>
      <c r="F790" t="s">
        <v>750</v>
      </c>
      <c r="G790" t="s">
        <v>139</v>
      </c>
      <c r="H790" t="s">
        <v>30</v>
      </c>
      <c r="I790" t="s">
        <v>30</v>
      </c>
      <c r="J790" t="s">
        <v>41</v>
      </c>
      <c r="K790" t="s">
        <v>32</v>
      </c>
      <c r="L790" t="s">
        <v>32</v>
      </c>
      <c r="M790" t="s">
        <v>33</v>
      </c>
      <c r="P790" t="s">
        <v>34</v>
      </c>
      <c r="Q790" t="s">
        <v>35</v>
      </c>
      <c r="S790" t="s">
        <v>30</v>
      </c>
      <c r="T790" t="s">
        <v>781</v>
      </c>
      <c r="U790" t="s">
        <v>783</v>
      </c>
      <c r="V790" t="s">
        <v>39</v>
      </c>
      <c r="W790" s="1">
        <v>4</v>
      </c>
    </row>
    <row r="791" spans="1:23" x14ac:dyDescent="0.2">
      <c r="A791" t="s">
        <v>23</v>
      </c>
      <c r="B791" t="s">
        <v>24</v>
      </c>
      <c r="C791" t="s">
        <v>25</v>
      </c>
      <c r="D791" t="s">
        <v>671</v>
      </c>
      <c r="E791" t="s">
        <v>749</v>
      </c>
      <c r="F791" t="s">
        <v>750</v>
      </c>
      <c r="G791" t="s">
        <v>139</v>
      </c>
      <c r="H791" t="s">
        <v>30</v>
      </c>
      <c r="I791" t="s">
        <v>30</v>
      </c>
      <c r="J791" t="s">
        <v>41</v>
      </c>
      <c r="K791" t="s">
        <v>32</v>
      </c>
      <c r="L791" t="s">
        <v>32</v>
      </c>
      <c r="M791" t="s">
        <v>33</v>
      </c>
      <c r="P791" t="s">
        <v>34</v>
      </c>
      <c r="Q791" t="s">
        <v>35</v>
      </c>
      <c r="S791" t="s">
        <v>30</v>
      </c>
      <c r="T791" t="s">
        <v>781</v>
      </c>
      <c r="U791" t="s">
        <v>783</v>
      </c>
      <c r="V791" t="s">
        <v>40</v>
      </c>
      <c r="W791" s="1">
        <v>5676000</v>
      </c>
    </row>
    <row r="792" spans="1:23" x14ac:dyDescent="0.2">
      <c r="A792" t="s">
        <v>23</v>
      </c>
      <c r="B792" t="s">
        <v>24</v>
      </c>
      <c r="C792" t="s">
        <v>25</v>
      </c>
      <c r="D792" t="s">
        <v>671</v>
      </c>
      <c r="E792" t="s">
        <v>749</v>
      </c>
      <c r="F792" t="s">
        <v>750</v>
      </c>
      <c r="G792" t="s">
        <v>139</v>
      </c>
      <c r="H792" t="s">
        <v>30</v>
      </c>
      <c r="I792" t="s">
        <v>30</v>
      </c>
      <c r="J792" t="s">
        <v>41</v>
      </c>
      <c r="K792" t="s">
        <v>32</v>
      </c>
      <c r="L792" t="s">
        <v>32</v>
      </c>
      <c r="M792" t="s">
        <v>33</v>
      </c>
      <c r="P792" t="s">
        <v>34</v>
      </c>
      <c r="Q792" t="s">
        <v>35</v>
      </c>
      <c r="S792" t="s">
        <v>30</v>
      </c>
      <c r="T792" t="s">
        <v>784</v>
      </c>
      <c r="U792" t="s">
        <v>785</v>
      </c>
      <c r="V792" t="s">
        <v>39</v>
      </c>
      <c r="W792" s="1">
        <v>4</v>
      </c>
    </row>
    <row r="793" spans="1:23" x14ac:dyDescent="0.2">
      <c r="A793" t="s">
        <v>23</v>
      </c>
      <c r="B793" t="s">
        <v>24</v>
      </c>
      <c r="C793" t="s">
        <v>25</v>
      </c>
      <c r="D793" t="s">
        <v>671</v>
      </c>
      <c r="E793" t="s">
        <v>749</v>
      </c>
      <c r="F793" t="s">
        <v>750</v>
      </c>
      <c r="G793" t="s">
        <v>139</v>
      </c>
      <c r="H793" t="s">
        <v>30</v>
      </c>
      <c r="I793" t="s">
        <v>30</v>
      </c>
      <c r="J793" t="s">
        <v>41</v>
      </c>
      <c r="K793" t="s">
        <v>32</v>
      </c>
      <c r="L793" t="s">
        <v>32</v>
      </c>
      <c r="M793" t="s">
        <v>33</v>
      </c>
      <c r="P793" t="s">
        <v>34</v>
      </c>
      <c r="Q793" t="s">
        <v>35</v>
      </c>
      <c r="S793" t="s">
        <v>30</v>
      </c>
      <c r="T793" t="s">
        <v>784</v>
      </c>
      <c r="U793" t="s">
        <v>785</v>
      </c>
      <c r="V793" t="s">
        <v>40</v>
      </c>
      <c r="W793" s="1">
        <v>6196000</v>
      </c>
    </row>
    <row r="794" spans="1:23" x14ac:dyDescent="0.2">
      <c r="A794" t="s">
        <v>23</v>
      </c>
      <c r="B794" t="s">
        <v>24</v>
      </c>
      <c r="C794" t="s">
        <v>25</v>
      </c>
      <c r="D794" t="s">
        <v>671</v>
      </c>
      <c r="E794" t="s">
        <v>786</v>
      </c>
      <c r="F794" t="s">
        <v>787</v>
      </c>
      <c r="G794" t="s">
        <v>106</v>
      </c>
      <c r="H794" t="s">
        <v>30</v>
      </c>
      <c r="I794" t="s">
        <v>30</v>
      </c>
      <c r="J794" t="s">
        <v>31</v>
      </c>
      <c r="K794" t="s">
        <v>32</v>
      </c>
      <c r="L794" t="s">
        <v>32</v>
      </c>
      <c r="M794" t="s">
        <v>33</v>
      </c>
      <c r="P794" t="s">
        <v>34</v>
      </c>
      <c r="Q794" t="s">
        <v>35</v>
      </c>
      <c r="S794" t="s">
        <v>30</v>
      </c>
      <c r="T794" t="s">
        <v>788</v>
      </c>
      <c r="U794" t="s">
        <v>789</v>
      </c>
      <c r="V794" t="s">
        <v>39</v>
      </c>
      <c r="W794" s="1">
        <v>3</v>
      </c>
    </row>
    <row r="795" spans="1:23" x14ac:dyDescent="0.2">
      <c r="A795" t="s">
        <v>23</v>
      </c>
      <c r="B795" t="s">
        <v>24</v>
      </c>
      <c r="C795" t="s">
        <v>25</v>
      </c>
      <c r="D795" t="s">
        <v>671</v>
      </c>
      <c r="E795" t="s">
        <v>786</v>
      </c>
      <c r="F795" t="s">
        <v>787</v>
      </c>
      <c r="G795" t="s">
        <v>106</v>
      </c>
      <c r="H795" t="s">
        <v>30</v>
      </c>
      <c r="I795" t="s">
        <v>30</v>
      </c>
      <c r="J795" t="s">
        <v>31</v>
      </c>
      <c r="K795" t="s">
        <v>32</v>
      </c>
      <c r="L795" t="s">
        <v>32</v>
      </c>
      <c r="M795" t="s">
        <v>33</v>
      </c>
      <c r="P795" t="s">
        <v>34</v>
      </c>
      <c r="Q795" t="s">
        <v>35</v>
      </c>
      <c r="S795" t="s">
        <v>30</v>
      </c>
      <c r="T795" t="s">
        <v>788</v>
      </c>
      <c r="U795" t="s">
        <v>789</v>
      </c>
      <c r="V795" t="s">
        <v>40</v>
      </c>
      <c r="W795" s="1">
        <v>1497000</v>
      </c>
    </row>
    <row r="796" spans="1:23" x14ac:dyDescent="0.2">
      <c r="A796" t="s">
        <v>23</v>
      </c>
      <c r="B796" t="s">
        <v>24</v>
      </c>
      <c r="C796" t="s">
        <v>25</v>
      </c>
      <c r="D796" t="s">
        <v>671</v>
      </c>
      <c r="E796" t="s">
        <v>786</v>
      </c>
      <c r="F796" t="s">
        <v>787</v>
      </c>
      <c r="G796" t="s">
        <v>119</v>
      </c>
      <c r="H796" t="s">
        <v>30</v>
      </c>
      <c r="I796" t="s">
        <v>52</v>
      </c>
      <c r="J796" t="s">
        <v>31</v>
      </c>
      <c r="K796" t="s">
        <v>32</v>
      </c>
      <c r="L796" t="s">
        <v>32</v>
      </c>
      <c r="M796" t="s">
        <v>33</v>
      </c>
      <c r="N796" t="s">
        <v>33</v>
      </c>
      <c r="O796" t="s">
        <v>33</v>
      </c>
      <c r="P796" t="s">
        <v>34</v>
      </c>
      <c r="Q796" t="s">
        <v>35</v>
      </c>
      <c r="R796" t="s">
        <v>228</v>
      </c>
      <c r="S796" t="s">
        <v>30</v>
      </c>
      <c r="T796" t="s">
        <v>790</v>
      </c>
      <c r="U796" t="s">
        <v>791</v>
      </c>
      <c r="V796" t="s">
        <v>39</v>
      </c>
      <c r="W796" s="1">
        <v>5</v>
      </c>
    </row>
    <row r="797" spans="1:23" x14ac:dyDescent="0.2">
      <c r="A797" t="s">
        <v>23</v>
      </c>
      <c r="B797" t="s">
        <v>24</v>
      </c>
      <c r="C797" t="s">
        <v>25</v>
      </c>
      <c r="D797" t="s">
        <v>671</v>
      </c>
      <c r="E797" t="s">
        <v>786</v>
      </c>
      <c r="F797" t="s">
        <v>787</v>
      </c>
      <c r="G797" t="s">
        <v>119</v>
      </c>
      <c r="H797" t="s">
        <v>30</v>
      </c>
      <c r="I797" t="s">
        <v>52</v>
      </c>
      <c r="J797" t="s">
        <v>31</v>
      </c>
      <c r="K797" t="s">
        <v>32</v>
      </c>
      <c r="L797" t="s">
        <v>32</v>
      </c>
      <c r="M797" t="s">
        <v>33</v>
      </c>
      <c r="N797" t="s">
        <v>33</v>
      </c>
      <c r="O797" t="s">
        <v>33</v>
      </c>
      <c r="P797" t="s">
        <v>34</v>
      </c>
      <c r="Q797" t="s">
        <v>35</v>
      </c>
      <c r="R797" t="s">
        <v>228</v>
      </c>
      <c r="S797" t="s">
        <v>30</v>
      </c>
      <c r="T797" t="s">
        <v>790</v>
      </c>
      <c r="U797" t="s">
        <v>791</v>
      </c>
      <c r="V797" t="s">
        <v>40</v>
      </c>
      <c r="W797" s="1">
        <v>3645000</v>
      </c>
    </row>
    <row r="798" spans="1:23" x14ac:dyDescent="0.2">
      <c r="A798" t="s">
        <v>23</v>
      </c>
      <c r="B798" t="s">
        <v>24</v>
      </c>
      <c r="C798" t="s">
        <v>25</v>
      </c>
      <c r="D798" t="s">
        <v>671</v>
      </c>
      <c r="E798" t="s">
        <v>786</v>
      </c>
      <c r="F798" t="s">
        <v>787</v>
      </c>
      <c r="G798" t="s">
        <v>119</v>
      </c>
      <c r="H798" t="s">
        <v>30</v>
      </c>
      <c r="I798" t="s">
        <v>52</v>
      </c>
      <c r="J798" t="s">
        <v>31</v>
      </c>
      <c r="K798" t="s">
        <v>32</v>
      </c>
      <c r="L798" t="s">
        <v>32</v>
      </c>
      <c r="M798" t="s">
        <v>33</v>
      </c>
      <c r="N798" t="s">
        <v>169</v>
      </c>
      <c r="O798" t="s">
        <v>169</v>
      </c>
      <c r="P798" t="s">
        <v>34</v>
      </c>
      <c r="Q798" t="s">
        <v>35</v>
      </c>
      <c r="R798" t="s">
        <v>228</v>
      </c>
      <c r="S798" t="s">
        <v>30</v>
      </c>
      <c r="T798" t="s">
        <v>790</v>
      </c>
      <c r="U798" t="s">
        <v>791</v>
      </c>
      <c r="V798" t="s">
        <v>39</v>
      </c>
      <c r="W798" s="1">
        <v>1</v>
      </c>
    </row>
    <row r="799" spans="1:23" x14ac:dyDescent="0.2">
      <c r="A799" t="s">
        <v>23</v>
      </c>
      <c r="B799" t="s">
        <v>24</v>
      </c>
      <c r="C799" t="s">
        <v>25</v>
      </c>
      <c r="D799" t="s">
        <v>671</v>
      </c>
      <c r="E799" t="s">
        <v>786</v>
      </c>
      <c r="F799" t="s">
        <v>787</v>
      </c>
      <c r="G799" t="s">
        <v>119</v>
      </c>
      <c r="H799" t="s">
        <v>30</v>
      </c>
      <c r="I799" t="s">
        <v>52</v>
      </c>
      <c r="J799" t="s">
        <v>31</v>
      </c>
      <c r="K799" t="s">
        <v>32</v>
      </c>
      <c r="L799" t="s">
        <v>32</v>
      </c>
      <c r="M799" t="s">
        <v>33</v>
      </c>
      <c r="N799" t="s">
        <v>169</v>
      </c>
      <c r="O799" t="s">
        <v>169</v>
      </c>
      <c r="P799" t="s">
        <v>34</v>
      </c>
      <c r="Q799" t="s">
        <v>35</v>
      </c>
      <c r="R799" t="s">
        <v>228</v>
      </c>
      <c r="S799" t="s">
        <v>30</v>
      </c>
      <c r="T799" t="s">
        <v>790</v>
      </c>
      <c r="U799" t="s">
        <v>791</v>
      </c>
      <c r="V799" t="s">
        <v>40</v>
      </c>
      <c r="W799" s="1">
        <v>729000</v>
      </c>
    </row>
    <row r="800" spans="1:23" x14ac:dyDescent="0.2">
      <c r="A800" t="s">
        <v>23</v>
      </c>
      <c r="B800" t="s">
        <v>24</v>
      </c>
      <c r="C800" t="s">
        <v>25</v>
      </c>
      <c r="D800" t="s">
        <v>671</v>
      </c>
      <c r="E800" t="s">
        <v>786</v>
      </c>
      <c r="F800" t="s">
        <v>787</v>
      </c>
      <c r="G800" t="s">
        <v>119</v>
      </c>
      <c r="H800" t="s">
        <v>30</v>
      </c>
      <c r="I800" t="s">
        <v>52</v>
      </c>
      <c r="J800" t="s">
        <v>31</v>
      </c>
      <c r="K800" t="s">
        <v>32</v>
      </c>
      <c r="L800" t="s">
        <v>32</v>
      </c>
      <c r="M800" t="s">
        <v>33</v>
      </c>
      <c r="P800" t="s">
        <v>34</v>
      </c>
      <c r="Q800" t="s">
        <v>35</v>
      </c>
      <c r="R800" t="s">
        <v>228</v>
      </c>
      <c r="S800" t="s">
        <v>52</v>
      </c>
      <c r="T800" t="s">
        <v>792</v>
      </c>
      <c r="U800" t="s">
        <v>793</v>
      </c>
      <c r="V800" t="s">
        <v>39</v>
      </c>
      <c r="W800" s="1">
        <v>0</v>
      </c>
    </row>
    <row r="801" spans="1:23" x14ac:dyDescent="0.2">
      <c r="A801" t="s">
        <v>23</v>
      </c>
      <c r="B801" t="s">
        <v>24</v>
      </c>
      <c r="C801" t="s">
        <v>25</v>
      </c>
      <c r="D801" t="s">
        <v>671</v>
      </c>
      <c r="E801" t="s">
        <v>786</v>
      </c>
      <c r="F801" t="s">
        <v>787</v>
      </c>
      <c r="G801" t="s">
        <v>119</v>
      </c>
      <c r="H801" t="s">
        <v>30</v>
      </c>
      <c r="I801" t="s">
        <v>52</v>
      </c>
      <c r="J801" t="s">
        <v>31</v>
      </c>
      <c r="K801" t="s">
        <v>32</v>
      </c>
      <c r="L801" t="s">
        <v>32</v>
      </c>
      <c r="M801" t="s">
        <v>33</v>
      </c>
      <c r="P801" t="s">
        <v>34</v>
      </c>
      <c r="Q801" t="s">
        <v>35</v>
      </c>
      <c r="R801" t="s">
        <v>228</v>
      </c>
      <c r="S801" t="s">
        <v>52</v>
      </c>
      <c r="T801" t="s">
        <v>792</v>
      </c>
      <c r="U801" t="s">
        <v>793</v>
      </c>
      <c r="V801" t="s">
        <v>40</v>
      </c>
      <c r="W801" s="1">
        <v>4374000</v>
      </c>
    </row>
    <row r="802" spans="1:23" x14ac:dyDescent="0.2">
      <c r="A802" t="s">
        <v>23</v>
      </c>
      <c r="B802" t="s">
        <v>24</v>
      </c>
      <c r="C802" t="s">
        <v>25</v>
      </c>
      <c r="D802" t="s">
        <v>671</v>
      </c>
      <c r="E802" t="s">
        <v>786</v>
      </c>
      <c r="F802" t="s">
        <v>787</v>
      </c>
      <c r="G802" t="s">
        <v>119</v>
      </c>
      <c r="H802" t="s">
        <v>30</v>
      </c>
      <c r="I802" t="s">
        <v>52</v>
      </c>
      <c r="J802" t="s">
        <v>31</v>
      </c>
      <c r="K802" t="s">
        <v>32</v>
      </c>
      <c r="L802" t="s">
        <v>32</v>
      </c>
      <c r="M802" t="s">
        <v>33</v>
      </c>
      <c r="P802" t="s">
        <v>34</v>
      </c>
      <c r="Q802" t="s">
        <v>35</v>
      </c>
      <c r="R802" t="s">
        <v>228</v>
      </c>
      <c r="S802" t="s">
        <v>52</v>
      </c>
      <c r="T802" t="s">
        <v>792</v>
      </c>
      <c r="U802" t="s">
        <v>794</v>
      </c>
      <c r="V802" t="s">
        <v>39</v>
      </c>
      <c r="W802" s="1">
        <v>0</v>
      </c>
    </row>
    <row r="803" spans="1:23" x14ac:dyDescent="0.2">
      <c r="A803" t="s">
        <v>23</v>
      </c>
      <c r="B803" t="s">
        <v>24</v>
      </c>
      <c r="C803" t="s">
        <v>25</v>
      </c>
      <c r="D803" t="s">
        <v>671</v>
      </c>
      <c r="E803" t="s">
        <v>786</v>
      </c>
      <c r="F803" t="s">
        <v>787</v>
      </c>
      <c r="G803" t="s">
        <v>119</v>
      </c>
      <c r="H803" t="s">
        <v>30</v>
      </c>
      <c r="I803" t="s">
        <v>52</v>
      </c>
      <c r="J803" t="s">
        <v>31</v>
      </c>
      <c r="K803" t="s">
        <v>32</v>
      </c>
      <c r="L803" t="s">
        <v>32</v>
      </c>
      <c r="M803" t="s">
        <v>33</v>
      </c>
      <c r="P803" t="s">
        <v>34</v>
      </c>
      <c r="Q803" t="s">
        <v>35</v>
      </c>
      <c r="R803" t="s">
        <v>228</v>
      </c>
      <c r="S803" t="s">
        <v>52</v>
      </c>
      <c r="T803" t="s">
        <v>792</v>
      </c>
      <c r="U803" t="s">
        <v>794</v>
      </c>
      <c r="V803" t="s">
        <v>40</v>
      </c>
      <c r="W803" s="1">
        <v>4374000</v>
      </c>
    </row>
    <row r="804" spans="1:23" x14ac:dyDescent="0.2">
      <c r="A804" t="s">
        <v>23</v>
      </c>
      <c r="B804" t="s">
        <v>24</v>
      </c>
      <c r="C804" t="s">
        <v>25</v>
      </c>
      <c r="D804" t="s">
        <v>671</v>
      </c>
      <c r="E804" t="s">
        <v>786</v>
      </c>
      <c r="F804" t="s">
        <v>787</v>
      </c>
      <c r="G804" t="s">
        <v>139</v>
      </c>
      <c r="H804" t="s">
        <v>30</v>
      </c>
      <c r="I804" t="s">
        <v>30</v>
      </c>
      <c r="J804" t="s">
        <v>31</v>
      </c>
      <c r="K804" t="s">
        <v>32</v>
      </c>
      <c r="L804" t="s">
        <v>32</v>
      </c>
      <c r="M804" t="s">
        <v>33</v>
      </c>
      <c r="P804" t="s">
        <v>34</v>
      </c>
      <c r="Q804" t="s">
        <v>35</v>
      </c>
      <c r="S804" t="s">
        <v>30</v>
      </c>
      <c r="T804" t="s">
        <v>795</v>
      </c>
      <c r="U804" t="s">
        <v>796</v>
      </c>
      <c r="V804" t="s">
        <v>39</v>
      </c>
      <c r="W804" s="1">
        <v>2</v>
      </c>
    </row>
    <row r="805" spans="1:23" x14ac:dyDescent="0.2">
      <c r="A805" t="s">
        <v>23</v>
      </c>
      <c r="B805" t="s">
        <v>24</v>
      </c>
      <c r="C805" t="s">
        <v>25</v>
      </c>
      <c r="D805" t="s">
        <v>671</v>
      </c>
      <c r="E805" t="s">
        <v>786</v>
      </c>
      <c r="F805" t="s">
        <v>787</v>
      </c>
      <c r="G805" t="s">
        <v>139</v>
      </c>
      <c r="H805" t="s">
        <v>30</v>
      </c>
      <c r="I805" t="s">
        <v>30</v>
      </c>
      <c r="J805" t="s">
        <v>31</v>
      </c>
      <c r="K805" t="s">
        <v>32</v>
      </c>
      <c r="L805" t="s">
        <v>32</v>
      </c>
      <c r="M805" t="s">
        <v>33</v>
      </c>
      <c r="P805" t="s">
        <v>34</v>
      </c>
      <c r="Q805" t="s">
        <v>35</v>
      </c>
      <c r="S805" t="s">
        <v>30</v>
      </c>
      <c r="T805" t="s">
        <v>795</v>
      </c>
      <c r="U805" t="s">
        <v>796</v>
      </c>
      <c r="V805" t="s">
        <v>40</v>
      </c>
      <c r="W805" s="1">
        <v>3298000</v>
      </c>
    </row>
    <row r="806" spans="1:23" x14ac:dyDescent="0.2">
      <c r="A806" t="s">
        <v>23</v>
      </c>
      <c r="B806" t="s">
        <v>24</v>
      </c>
      <c r="C806" t="s">
        <v>25</v>
      </c>
      <c r="D806" t="s">
        <v>797</v>
      </c>
      <c r="E806" t="s">
        <v>798</v>
      </c>
      <c r="F806" t="s">
        <v>799</v>
      </c>
      <c r="G806" t="s">
        <v>61</v>
      </c>
      <c r="H806" t="s">
        <v>52</v>
      </c>
      <c r="I806" t="s">
        <v>52</v>
      </c>
      <c r="J806" t="s">
        <v>31</v>
      </c>
      <c r="K806" t="s">
        <v>32</v>
      </c>
      <c r="L806" t="s">
        <v>32</v>
      </c>
      <c r="M806" t="s">
        <v>33</v>
      </c>
      <c r="N806" t="s">
        <v>33</v>
      </c>
      <c r="O806" t="s">
        <v>33</v>
      </c>
      <c r="P806" t="s">
        <v>34</v>
      </c>
      <c r="Q806" t="s">
        <v>35</v>
      </c>
      <c r="R806" t="s">
        <v>148</v>
      </c>
      <c r="S806" t="s">
        <v>30</v>
      </c>
      <c r="T806" t="s">
        <v>800</v>
      </c>
      <c r="U806" t="s">
        <v>801</v>
      </c>
      <c r="V806" t="s">
        <v>39</v>
      </c>
      <c r="W806" s="1">
        <v>2</v>
      </c>
    </row>
    <row r="807" spans="1:23" x14ac:dyDescent="0.2">
      <c r="A807" t="s">
        <v>23</v>
      </c>
      <c r="B807" t="s">
        <v>24</v>
      </c>
      <c r="C807" t="s">
        <v>25</v>
      </c>
      <c r="D807" t="s">
        <v>797</v>
      </c>
      <c r="E807" t="s">
        <v>798</v>
      </c>
      <c r="F807" t="s">
        <v>799</v>
      </c>
      <c r="G807" t="s">
        <v>61</v>
      </c>
      <c r="H807" t="s">
        <v>52</v>
      </c>
      <c r="I807" t="s">
        <v>52</v>
      </c>
      <c r="J807" t="s">
        <v>31</v>
      </c>
      <c r="K807" t="s">
        <v>32</v>
      </c>
      <c r="L807" t="s">
        <v>32</v>
      </c>
      <c r="M807" t="s">
        <v>33</v>
      </c>
      <c r="N807" t="s">
        <v>33</v>
      </c>
      <c r="O807" t="s">
        <v>33</v>
      </c>
      <c r="P807" t="s">
        <v>34</v>
      </c>
      <c r="Q807" t="s">
        <v>35</v>
      </c>
      <c r="R807" t="s">
        <v>148</v>
      </c>
      <c r="S807" t="s">
        <v>30</v>
      </c>
      <c r="T807" t="s">
        <v>800</v>
      </c>
      <c r="U807" t="s">
        <v>801</v>
      </c>
      <c r="V807" t="s">
        <v>40</v>
      </c>
      <c r="W807" s="1">
        <v>754000</v>
      </c>
    </row>
    <row r="808" spans="1:23" x14ac:dyDescent="0.2">
      <c r="A808" t="s">
        <v>23</v>
      </c>
      <c r="B808" t="s">
        <v>24</v>
      </c>
      <c r="C808" t="s">
        <v>25</v>
      </c>
      <c r="D808" t="s">
        <v>797</v>
      </c>
      <c r="E808" t="s">
        <v>798</v>
      </c>
      <c r="F808" t="s">
        <v>799</v>
      </c>
      <c r="G808" t="s">
        <v>61</v>
      </c>
      <c r="H808" t="s">
        <v>52</v>
      </c>
      <c r="I808" t="s">
        <v>52</v>
      </c>
      <c r="J808" t="s">
        <v>31</v>
      </c>
      <c r="K808" t="s">
        <v>32</v>
      </c>
      <c r="L808" t="s">
        <v>32</v>
      </c>
      <c r="M808" t="s">
        <v>33</v>
      </c>
      <c r="P808" t="s">
        <v>34</v>
      </c>
      <c r="Q808" t="s">
        <v>35</v>
      </c>
      <c r="R808" t="s">
        <v>173</v>
      </c>
      <c r="S808" t="s">
        <v>52</v>
      </c>
      <c r="T808" t="s">
        <v>802</v>
      </c>
      <c r="U808" t="s">
        <v>803</v>
      </c>
      <c r="V808" t="s">
        <v>39</v>
      </c>
      <c r="W808" s="1">
        <v>0</v>
      </c>
    </row>
    <row r="809" spans="1:23" x14ac:dyDescent="0.2">
      <c r="A809" t="s">
        <v>23</v>
      </c>
      <c r="B809" t="s">
        <v>24</v>
      </c>
      <c r="C809" t="s">
        <v>25</v>
      </c>
      <c r="D809" t="s">
        <v>797</v>
      </c>
      <c r="E809" t="s">
        <v>798</v>
      </c>
      <c r="F809" t="s">
        <v>799</v>
      </c>
      <c r="G809" t="s">
        <v>61</v>
      </c>
      <c r="H809" t="s">
        <v>52</v>
      </c>
      <c r="I809" t="s">
        <v>52</v>
      </c>
      <c r="J809" t="s">
        <v>31</v>
      </c>
      <c r="K809" t="s">
        <v>32</v>
      </c>
      <c r="L809" t="s">
        <v>32</v>
      </c>
      <c r="M809" t="s">
        <v>33</v>
      </c>
      <c r="P809" t="s">
        <v>34</v>
      </c>
      <c r="Q809" t="s">
        <v>35</v>
      </c>
      <c r="R809" t="s">
        <v>173</v>
      </c>
      <c r="S809" t="s">
        <v>52</v>
      </c>
      <c r="T809" t="s">
        <v>802</v>
      </c>
      <c r="U809" t="s">
        <v>803</v>
      </c>
      <c r="V809" t="s">
        <v>40</v>
      </c>
      <c r="W809" s="1">
        <v>4439700</v>
      </c>
    </row>
    <row r="810" spans="1:23" x14ac:dyDescent="0.2">
      <c r="A810" t="s">
        <v>23</v>
      </c>
      <c r="B810" t="s">
        <v>24</v>
      </c>
      <c r="C810" t="s">
        <v>25</v>
      </c>
      <c r="D810" t="s">
        <v>797</v>
      </c>
      <c r="E810" t="s">
        <v>798</v>
      </c>
      <c r="F810" t="s">
        <v>799</v>
      </c>
      <c r="G810" t="s">
        <v>64</v>
      </c>
      <c r="H810" t="s">
        <v>30</v>
      </c>
      <c r="I810" t="s">
        <v>52</v>
      </c>
      <c r="J810" t="s">
        <v>41</v>
      </c>
      <c r="K810" t="s">
        <v>32</v>
      </c>
      <c r="L810" t="s">
        <v>32</v>
      </c>
      <c r="M810" t="s">
        <v>33</v>
      </c>
      <c r="N810" t="s">
        <v>33</v>
      </c>
      <c r="O810" t="s">
        <v>33</v>
      </c>
      <c r="P810" t="s">
        <v>34</v>
      </c>
      <c r="Q810" t="s">
        <v>35</v>
      </c>
      <c r="S810" t="s">
        <v>30</v>
      </c>
      <c r="T810" t="s">
        <v>804</v>
      </c>
      <c r="U810" t="s">
        <v>805</v>
      </c>
      <c r="V810" t="s">
        <v>39</v>
      </c>
      <c r="W810" s="1">
        <v>4</v>
      </c>
    </row>
    <row r="811" spans="1:23" x14ac:dyDescent="0.2">
      <c r="A811" t="s">
        <v>23</v>
      </c>
      <c r="B811" t="s">
        <v>24</v>
      </c>
      <c r="C811" t="s">
        <v>25</v>
      </c>
      <c r="D811" t="s">
        <v>797</v>
      </c>
      <c r="E811" t="s">
        <v>798</v>
      </c>
      <c r="F811" t="s">
        <v>799</v>
      </c>
      <c r="G811" t="s">
        <v>64</v>
      </c>
      <c r="H811" t="s">
        <v>30</v>
      </c>
      <c r="I811" t="s">
        <v>52</v>
      </c>
      <c r="J811" t="s">
        <v>41</v>
      </c>
      <c r="K811" t="s">
        <v>32</v>
      </c>
      <c r="L811" t="s">
        <v>32</v>
      </c>
      <c r="M811" t="s">
        <v>33</v>
      </c>
      <c r="N811" t="s">
        <v>33</v>
      </c>
      <c r="O811" t="s">
        <v>33</v>
      </c>
      <c r="P811" t="s">
        <v>34</v>
      </c>
      <c r="Q811" t="s">
        <v>35</v>
      </c>
      <c r="S811" t="s">
        <v>30</v>
      </c>
      <c r="T811" t="s">
        <v>804</v>
      </c>
      <c r="U811" t="s">
        <v>805</v>
      </c>
      <c r="V811" t="s">
        <v>40</v>
      </c>
      <c r="W811" s="1">
        <v>6149600</v>
      </c>
    </row>
    <row r="812" spans="1:23" x14ac:dyDescent="0.2">
      <c r="A812" t="s">
        <v>23</v>
      </c>
      <c r="B812" t="s">
        <v>24</v>
      </c>
      <c r="C812" t="s">
        <v>25</v>
      </c>
      <c r="D812" t="s">
        <v>797</v>
      </c>
      <c r="E812" t="s">
        <v>798</v>
      </c>
      <c r="F812" t="s">
        <v>799</v>
      </c>
      <c r="G812" t="s">
        <v>106</v>
      </c>
      <c r="H812" t="s">
        <v>30</v>
      </c>
      <c r="I812" t="s">
        <v>30</v>
      </c>
      <c r="J812" t="s">
        <v>107</v>
      </c>
      <c r="K812" t="s">
        <v>32</v>
      </c>
      <c r="L812" t="s">
        <v>32</v>
      </c>
      <c r="M812" t="s">
        <v>33</v>
      </c>
      <c r="N812" t="s">
        <v>33</v>
      </c>
      <c r="O812" t="s">
        <v>33</v>
      </c>
      <c r="P812" t="s">
        <v>34</v>
      </c>
      <c r="Q812" t="s">
        <v>35</v>
      </c>
      <c r="R812" t="s">
        <v>108</v>
      </c>
      <c r="S812" t="s">
        <v>30</v>
      </c>
      <c r="T812" t="s">
        <v>806</v>
      </c>
      <c r="U812" t="s">
        <v>807</v>
      </c>
      <c r="V812" t="s">
        <v>39</v>
      </c>
      <c r="W812" s="1">
        <v>2</v>
      </c>
    </row>
    <row r="813" spans="1:23" x14ac:dyDescent="0.2">
      <c r="A813" t="s">
        <v>23</v>
      </c>
      <c r="B813" t="s">
        <v>24</v>
      </c>
      <c r="C813" t="s">
        <v>25</v>
      </c>
      <c r="D813" t="s">
        <v>797</v>
      </c>
      <c r="E813" t="s">
        <v>798</v>
      </c>
      <c r="F813" t="s">
        <v>799</v>
      </c>
      <c r="G813" t="s">
        <v>106</v>
      </c>
      <c r="H813" t="s">
        <v>30</v>
      </c>
      <c r="I813" t="s">
        <v>30</v>
      </c>
      <c r="J813" t="s">
        <v>107</v>
      </c>
      <c r="K813" t="s">
        <v>32</v>
      </c>
      <c r="L813" t="s">
        <v>32</v>
      </c>
      <c r="M813" t="s">
        <v>33</v>
      </c>
      <c r="N813" t="s">
        <v>33</v>
      </c>
      <c r="O813" t="s">
        <v>33</v>
      </c>
      <c r="P813" t="s">
        <v>34</v>
      </c>
      <c r="Q813" t="s">
        <v>35</v>
      </c>
      <c r="R813" t="s">
        <v>108</v>
      </c>
      <c r="S813" t="s">
        <v>30</v>
      </c>
      <c r="T813" t="s">
        <v>806</v>
      </c>
      <c r="U813" t="s">
        <v>807</v>
      </c>
      <c r="V813" t="s">
        <v>40</v>
      </c>
      <c r="W813" s="1">
        <v>2340000</v>
      </c>
    </row>
    <row r="814" spans="1:23" x14ac:dyDescent="0.2">
      <c r="A814" t="s">
        <v>23</v>
      </c>
      <c r="B814" t="s">
        <v>24</v>
      </c>
      <c r="C814" t="s">
        <v>25</v>
      </c>
      <c r="D814" t="s">
        <v>797</v>
      </c>
      <c r="E814" t="s">
        <v>808</v>
      </c>
      <c r="F814" t="s">
        <v>809</v>
      </c>
      <c r="G814" t="s">
        <v>49</v>
      </c>
      <c r="H814" t="s">
        <v>30</v>
      </c>
      <c r="I814" t="s">
        <v>30</v>
      </c>
      <c r="J814" t="s">
        <v>107</v>
      </c>
      <c r="K814" t="s">
        <v>32</v>
      </c>
      <c r="L814" t="s">
        <v>32</v>
      </c>
      <c r="M814" t="s">
        <v>33</v>
      </c>
      <c r="N814" t="s">
        <v>33</v>
      </c>
      <c r="O814" t="s">
        <v>33</v>
      </c>
      <c r="P814" t="s">
        <v>34</v>
      </c>
      <c r="Q814" t="s">
        <v>35</v>
      </c>
      <c r="R814" t="s">
        <v>108</v>
      </c>
      <c r="S814" t="s">
        <v>30</v>
      </c>
      <c r="T814" t="s">
        <v>810</v>
      </c>
      <c r="U814" t="s">
        <v>811</v>
      </c>
      <c r="V814" t="s">
        <v>39</v>
      </c>
      <c r="W814" s="1">
        <v>2</v>
      </c>
    </row>
    <row r="815" spans="1:23" x14ac:dyDescent="0.2">
      <c r="A815" t="s">
        <v>23</v>
      </c>
      <c r="B815" t="s">
        <v>24</v>
      </c>
      <c r="C815" t="s">
        <v>25</v>
      </c>
      <c r="D815" t="s">
        <v>797</v>
      </c>
      <c r="E815" t="s">
        <v>808</v>
      </c>
      <c r="F815" t="s">
        <v>809</v>
      </c>
      <c r="G815" t="s">
        <v>49</v>
      </c>
      <c r="H815" t="s">
        <v>30</v>
      </c>
      <c r="I815" t="s">
        <v>30</v>
      </c>
      <c r="J815" t="s">
        <v>107</v>
      </c>
      <c r="K815" t="s">
        <v>32</v>
      </c>
      <c r="L815" t="s">
        <v>32</v>
      </c>
      <c r="M815" t="s">
        <v>33</v>
      </c>
      <c r="N815" t="s">
        <v>33</v>
      </c>
      <c r="O815" t="s">
        <v>33</v>
      </c>
      <c r="P815" t="s">
        <v>34</v>
      </c>
      <c r="Q815" t="s">
        <v>35</v>
      </c>
      <c r="R815" t="s">
        <v>108</v>
      </c>
      <c r="S815" t="s">
        <v>30</v>
      </c>
      <c r="T815" t="s">
        <v>810</v>
      </c>
      <c r="U815" t="s">
        <v>811</v>
      </c>
      <c r="V815" t="s">
        <v>40</v>
      </c>
      <c r="W815" s="1">
        <v>1560000</v>
      </c>
    </row>
    <row r="816" spans="1:23" x14ac:dyDescent="0.2">
      <c r="A816" t="s">
        <v>23</v>
      </c>
      <c r="B816" t="s">
        <v>24</v>
      </c>
      <c r="C816" t="s">
        <v>25</v>
      </c>
      <c r="D816" t="s">
        <v>797</v>
      </c>
      <c r="E816" t="s">
        <v>808</v>
      </c>
      <c r="F816" t="s">
        <v>809</v>
      </c>
      <c r="G816" t="s">
        <v>67</v>
      </c>
      <c r="H816" t="s">
        <v>30</v>
      </c>
      <c r="I816" t="s">
        <v>30</v>
      </c>
      <c r="J816" t="s">
        <v>31</v>
      </c>
      <c r="K816" t="s">
        <v>32</v>
      </c>
      <c r="L816" t="s">
        <v>32</v>
      </c>
      <c r="M816" t="s">
        <v>33</v>
      </c>
      <c r="N816" t="s">
        <v>33</v>
      </c>
      <c r="O816" t="s">
        <v>33</v>
      </c>
      <c r="P816" t="s">
        <v>34</v>
      </c>
      <c r="Q816" t="s">
        <v>35</v>
      </c>
      <c r="S816" t="s">
        <v>30</v>
      </c>
      <c r="T816" t="s">
        <v>812</v>
      </c>
      <c r="U816" t="s">
        <v>813</v>
      </c>
      <c r="V816" t="s">
        <v>39</v>
      </c>
      <c r="W816" s="1">
        <v>2</v>
      </c>
    </row>
    <row r="817" spans="1:23" x14ac:dyDescent="0.2">
      <c r="A817" t="s">
        <v>23</v>
      </c>
      <c r="B817" t="s">
        <v>24</v>
      </c>
      <c r="C817" t="s">
        <v>25</v>
      </c>
      <c r="D817" t="s">
        <v>797</v>
      </c>
      <c r="E817" t="s">
        <v>808</v>
      </c>
      <c r="F817" t="s">
        <v>809</v>
      </c>
      <c r="G817" t="s">
        <v>67</v>
      </c>
      <c r="H817" t="s">
        <v>30</v>
      </c>
      <c r="I817" t="s">
        <v>30</v>
      </c>
      <c r="J817" t="s">
        <v>31</v>
      </c>
      <c r="K817" t="s">
        <v>32</v>
      </c>
      <c r="L817" t="s">
        <v>32</v>
      </c>
      <c r="M817" t="s">
        <v>33</v>
      </c>
      <c r="N817" t="s">
        <v>33</v>
      </c>
      <c r="O817" t="s">
        <v>33</v>
      </c>
      <c r="P817" t="s">
        <v>34</v>
      </c>
      <c r="Q817" t="s">
        <v>35</v>
      </c>
      <c r="S817" t="s">
        <v>30</v>
      </c>
      <c r="T817" t="s">
        <v>812</v>
      </c>
      <c r="U817" t="s">
        <v>813</v>
      </c>
      <c r="V817" t="s">
        <v>40</v>
      </c>
      <c r="W817" s="1">
        <v>2020600</v>
      </c>
    </row>
    <row r="818" spans="1:23" x14ac:dyDescent="0.2">
      <c r="A818" t="s">
        <v>23</v>
      </c>
      <c r="B818" t="s">
        <v>24</v>
      </c>
      <c r="C818" t="s">
        <v>25</v>
      </c>
      <c r="D818" t="s">
        <v>797</v>
      </c>
      <c r="E818" t="s">
        <v>808</v>
      </c>
      <c r="F818" t="s">
        <v>809</v>
      </c>
      <c r="G818" t="s">
        <v>67</v>
      </c>
      <c r="H818" t="s">
        <v>30</v>
      </c>
      <c r="I818" t="s">
        <v>30</v>
      </c>
      <c r="J818" t="s">
        <v>31</v>
      </c>
      <c r="K818" t="s">
        <v>32</v>
      </c>
      <c r="L818" t="s">
        <v>32</v>
      </c>
      <c r="M818" t="s">
        <v>176</v>
      </c>
      <c r="N818" t="s">
        <v>176</v>
      </c>
      <c r="O818" t="s">
        <v>176</v>
      </c>
      <c r="P818" t="s">
        <v>34</v>
      </c>
      <c r="Q818" t="s">
        <v>35</v>
      </c>
      <c r="S818" t="s">
        <v>30</v>
      </c>
      <c r="T818" t="s">
        <v>812</v>
      </c>
      <c r="U818" t="s">
        <v>813</v>
      </c>
      <c r="V818" t="s">
        <v>39</v>
      </c>
      <c r="W818" s="1">
        <v>1</v>
      </c>
    </row>
    <row r="819" spans="1:23" x14ac:dyDescent="0.2">
      <c r="A819" t="s">
        <v>23</v>
      </c>
      <c r="B819" t="s">
        <v>24</v>
      </c>
      <c r="C819" t="s">
        <v>25</v>
      </c>
      <c r="D819" t="s">
        <v>797</v>
      </c>
      <c r="E819" t="s">
        <v>808</v>
      </c>
      <c r="F819" t="s">
        <v>809</v>
      </c>
      <c r="G819" t="s">
        <v>67</v>
      </c>
      <c r="H819" t="s">
        <v>30</v>
      </c>
      <c r="I819" t="s">
        <v>30</v>
      </c>
      <c r="J819" t="s">
        <v>31</v>
      </c>
      <c r="K819" t="s">
        <v>32</v>
      </c>
      <c r="L819" t="s">
        <v>32</v>
      </c>
      <c r="M819" t="s">
        <v>176</v>
      </c>
      <c r="N819" t="s">
        <v>176</v>
      </c>
      <c r="O819" t="s">
        <v>176</v>
      </c>
      <c r="P819" t="s">
        <v>34</v>
      </c>
      <c r="Q819" t="s">
        <v>35</v>
      </c>
      <c r="S819" t="s">
        <v>30</v>
      </c>
      <c r="T819" t="s">
        <v>812</v>
      </c>
      <c r="U819" t="s">
        <v>813</v>
      </c>
      <c r="V819" t="s">
        <v>40</v>
      </c>
      <c r="W819" s="1">
        <v>1010300</v>
      </c>
    </row>
    <row r="820" spans="1:23" x14ac:dyDescent="0.2">
      <c r="A820" t="s">
        <v>23</v>
      </c>
      <c r="B820" t="s">
        <v>24</v>
      </c>
      <c r="C820" t="s">
        <v>25</v>
      </c>
      <c r="D820" t="s">
        <v>797</v>
      </c>
      <c r="E820" t="s">
        <v>808</v>
      </c>
      <c r="F820" t="s">
        <v>809</v>
      </c>
      <c r="G820" t="s">
        <v>67</v>
      </c>
      <c r="H820" t="s">
        <v>30</v>
      </c>
      <c r="I820" t="s">
        <v>30</v>
      </c>
      <c r="J820" t="s">
        <v>31</v>
      </c>
      <c r="K820" t="s">
        <v>32</v>
      </c>
      <c r="L820" t="s">
        <v>32</v>
      </c>
      <c r="M820" t="s">
        <v>176</v>
      </c>
      <c r="N820" t="s">
        <v>195</v>
      </c>
      <c r="O820" t="s">
        <v>195</v>
      </c>
      <c r="P820" t="s">
        <v>34</v>
      </c>
      <c r="Q820" t="s">
        <v>35</v>
      </c>
      <c r="S820" t="s">
        <v>30</v>
      </c>
      <c r="T820" t="s">
        <v>812</v>
      </c>
      <c r="U820" t="s">
        <v>813</v>
      </c>
      <c r="V820" t="s">
        <v>39</v>
      </c>
      <c r="W820" s="1">
        <v>1</v>
      </c>
    </row>
    <row r="821" spans="1:23" x14ac:dyDescent="0.2">
      <c r="A821" t="s">
        <v>23</v>
      </c>
      <c r="B821" t="s">
        <v>24</v>
      </c>
      <c r="C821" t="s">
        <v>25</v>
      </c>
      <c r="D821" t="s">
        <v>797</v>
      </c>
      <c r="E821" t="s">
        <v>808</v>
      </c>
      <c r="F821" t="s">
        <v>809</v>
      </c>
      <c r="G821" t="s">
        <v>67</v>
      </c>
      <c r="H821" t="s">
        <v>30</v>
      </c>
      <c r="I821" t="s">
        <v>30</v>
      </c>
      <c r="J821" t="s">
        <v>31</v>
      </c>
      <c r="K821" t="s">
        <v>32</v>
      </c>
      <c r="L821" t="s">
        <v>32</v>
      </c>
      <c r="M821" t="s">
        <v>176</v>
      </c>
      <c r="N821" t="s">
        <v>195</v>
      </c>
      <c r="O821" t="s">
        <v>195</v>
      </c>
      <c r="P821" t="s">
        <v>34</v>
      </c>
      <c r="Q821" t="s">
        <v>35</v>
      </c>
      <c r="S821" t="s">
        <v>30</v>
      </c>
      <c r="T821" t="s">
        <v>812</v>
      </c>
      <c r="U821" t="s">
        <v>813</v>
      </c>
      <c r="V821" t="s">
        <v>40</v>
      </c>
      <c r="W821" s="1">
        <v>1010300</v>
      </c>
    </row>
    <row r="822" spans="1:23" x14ac:dyDescent="0.2">
      <c r="A822" t="s">
        <v>23</v>
      </c>
      <c r="B822" t="s">
        <v>24</v>
      </c>
      <c r="C822" t="s">
        <v>25</v>
      </c>
      <c r="D822" t="s">
        <v>797</v>
      </c>
      <c r="E822" t="s">
        <v>808</v>
      </c>
      <c r="F822" t="s">
        <v>809</v>
      </c>
      <c r="G822" t="s">
        <v>89</v>
      </c>
      <c r="H822" t="s">
        <v>30</v>
      </c>
      <c r="I822" t="s">
        <v>30</v>
      </c>
      <c r="J822" t="s">
        <v>211</v>
      </c>
      <c r="K822" t="s">
        <v>212</v>
      </c>
      <c r="L822" t="s">
        <v>332</v>
      </c>
      <c r="M822" t="s">
        <v>33</v>
      </c>
      <c r="N822" t="s">
        <v>33</v>
      </c>
      <c r="O822" t="s">
        <v>33</v>
      </c>
      <c r="P822" t="s">
        <v>34</v>
      </c>
      <c r="Q822" t="s">
        <v>35</v>
      </c>
      <c r="R822" t="s">
        <v>242</v>
      </c>
      <c r="S822" t="s">
        <v>30</v>
      </c>
      <c r="T822" t="s">
        <v>814</v>
      </c>
      <c r="U822" t="s">
        <v>815</v>
      </c>
      <c r="V822" t="s">
        <v>39</v>
      </c>
      <c r="W822" s="1">
        <v>2</v>
      </c>
    </row>
    <row r="823" spans="1:23" x14ac:dyDescent="0.2">
      <c r="A823" t="s">
        <v>23</v>
      </c>
      <c r="B823" t="s">
        <v>24</v>
      </c>
      <c r="C823" t="s">
        <v>25</v>
      </c>
      <c r="D823" t="s">
        <v>797</v>
      </c>
      <c r="E823" t="s">
        <v>808</v>
      </c>
      <c r="F823" t="s">
        <v>809</v>
      </c>
      <c r="G823" t="s">
        <v>89</v>
      </c>
      <c r="H823" t="s">
        <v>30</v>
      </c>
      <c r="I823" t="s">
        <v>30</v>
      </c>
      <c r="J823" t="s">
        <v>211</v>
      </c>
      <c r="K823" t="s">
        <v>212</v>
      </c>
      <c r="L823" t="s">
        <v>332</v>
      </c>
      <c r="M823" t="s">
        <v>33</v>
      </c>
      <c r="N823" t="s">
        <v>33</v>
      </c>
      <c r="O823" t="s">
        <v>33</v>
      </c>
      <c r="P823" t="s">
        <v>34</v>
      </c>
      <c r="Q823" t="s">
        <v>35</v>
      </c>
      <c r="R823" t="s">
        <v>242</v>
      </c>
      <c r="S823" t="s">
        <v>30</v>
      </c>
      <c r="T823" t="s">
        <v>814</v>
      </c>
      <c r="U823" t="s">
        <v>815</v>
      </c>
      <c r="V823" t="s">
        <v>40</v>
      </c>
      <c r="W823" s="1">
        <v>1280000</v>
      </c>
    </row>
    <row r="824" spans="1:23" x14ac:dyDescent="0.2">
      <c r="A824" t="s">
        <v>23</v>
      </c>
      <c r="B824" t="s">
        <v>24</v>
      </c>
      <c r="C824" t="s">
        <v>25</v>
      </c>
      <c r="D824" t="s">
        <v>797</v>
      </c>
      <c r="E824" t="s">
        <v>808</v>
      </c>
      <c r="F824" t="s">
        <v>809</v>
      </c>
      <c r="G824" t="s">
        <v>127</v>
      </c>
      <c r="H824" t="s">
        <v>52</v>
      </c>
      <c r="I824" t="s">
        <v>30</v>
      </c>
      <c r="J824" t="s">
        <v>41</v>
      </c>
      <c r="K824" t="s">
        <v>32</v>
      </c>
      <c r="L824" t="s">
        <v>332</v>
      </c>
      <c r="M824" t="s">
        <v>33</v>
      </c>
      <c r="N824" t="s">
        <v>33</v>
      </c>
      <c r="O824" t="s">
        <v>33</v>
      </c>
      <c r="P824" t="s">
        <v>34</v>
      </c>
      <c r="Q824" t="s">
        <v>35</v>
      </c>
      <c r="R824" t="s">
        <v>54</v>
      </c>
      <c r="S824" t="s">
        <v>30</v>
      </c>
      <c r="T824" t="s">
        <v>816</v>
      </c>
      <c r="U824" t="s">
        <v>817</v>
      </c>
      <c r="V824" t="s">
        <v>39</v>
      </c>
      <c r="W824" s="1">
        <v>2</v>
      </c>
    </row>
    <row r="825" spans="1:23" x14ac:dyDescent="0.2">
      <c r="A825" t="s">
        <v>23</v>
      </c>
      <c r="B825" t="s">
        <v>24</v>
      </c>
      <c r="C825" t="s">
        <v>25</v>
      </c>
      <c r="D825" t="s">
        <v>797</v>
      </c>
      <c r="E825" t="s">
        <v>808</v>
      </c>
      <c r="F825" t="s">
        <v>809</v>
      </c>
      <c r="G825" t="s">
        <v>127</v>
      </c>
      <c r="H825" t="s">
        <v>52</v>
      </c>
      <c r="I825" t="s">
        <v>30</v>
      </c>
      <c r="J825" t="s">
        <v>41</v>
      </c>
      <c r="K825" t="s">
        <v>32</v>
      </c>
      <c r="L825" t="s">
        <v>332</v>
      </c>
      <c r="M825" t="s">
        <v>33</v>
      </c>
      <c r="N825" t="s">
        <v>33</v>
      </c>
      <c r="O825" t="s">
        <v>33</v>
      </c>
      <c r="P825" t="s">
        <v>34</v>
      </c>
      <c r="Q825" t="s">
        <v>35</v>
      </c>
      <c r="R825" t="s">
        <v>54</v>
      </c>
      <c r="S825" t="s">
        <v>30</v>
      </c>
      <c r="T825" t="s">
        <v>816</v>
      </c>
      <c r="U825" t="s">
        <v>817</v>
      </c>
      <c r="V825" t="s">
        <v>40</v>
      </c>
      <c r="W825" s="1">
        <v>3360000</v>
      </c>
    </row>
    <row r="826" spans="1:23" x14ac:dyDescent="0.2">
      <c r="A826" t="s">
        <v>23</v>
      </c>
      <c r="B826" t="s">
        <v>24</v>
      </c>
      <c r="C826" t="s">
        <v>25</v>
      </c>
      <c r="D826" t="s">
        <v>797</v>
      </c>
      <c r="E826" t="s">
        <v>818</v>
      </c>
      <c r="F826" t="s">
        <v>819</v>
      </c>
      <c r="G826" t="s">
        <v>29</v>
      </c>
      <c r="H826" t="s">
        <v>30</v>
      </c>
      <c r="I826" t="s">
        <v>30</v>
      </c>
      <c r="J826" t="s">
        <v>41</v>
      </c>
      <c r="K826" t="s">
        <v>32</v>
      </c>
      <c r="L826" t="s">
        <v>32</v>
      </c>
      <c r="M826" t="s">
        <v>33</v>
      </c>
      <c r="P826" t="s">
        <v>34</v>
      </c>
      <c r="Q826" t="s">
        <v>35</v>
      </c>
      <c r="R826" t="s">
        <v>68</v>
      </c>
      <c r="S826" t="s">
        <v>30</v>
      </c>
      <c r="T826" t="s">
        <v>820</v>
      </c>
      <c r="U826" t="s">
        <v>821</v>
      </c>
      <c r="V826" t="s">
        <v>39</v>
      </c>
      <c r="W826" s="1">
        <v>6</v>
      </c>
    </row>
    <row r="827" spans="1:23" x14ac:dyDescent="0.2">
      <c r="A827" t="s">
        <v>23</v>
      </c>
      <c r="B827" t="s">
        <v>24</v>
      </c>
      <c r="C827" t="s">
        <v>25</v>
      </c>
      <c r="D827" t="s">
        <v>797</v>
      </c>
      <c r="E827" t="s">
        <v>818</v>
      </c>
      <c r="F827" t="s">
        <v>819</v>
      </c>
      <c r="G827" t="s">
        <v>29</v>
      </c>
      <c r="H827" t="s">
        <v>30</v>
      </c>
      <c r="I827" t="s">
        <v>30</v>
      </c>
      <c r="J827" t="s">
        <v>41</v>
      </c>
      <c r="K827" t="s">
        <v>32</v>
      </c>
      <c r="L827" t="s">
        <v>32</v>
      </c>
      <c r="M827" t="s">
        <v>33</v>
      </c>
      <c r="P827" t="s">
        <v>34</v>
      </c>
      <c r="Q827" t="s">
        <v>35</v>
      </c>
      <c r="R827" t="s">
        <v>68</v>
      </c>
      <c r="S827" t="s">
        <v>30</v>
      </c>
      <c r="T827" t="s">
        <v>820</v>
      </c>
      <c r="U827" t="s">
        <v>821</v>
      </c>
      <c r="V827" t="s">
        <v>40</v>
      </c>
      <c r="W827" s="1">
        <v>9594000</v>
      </c>
    </row>
    <row r="828" spans="1:23" x14ac:dyDescent="0.2">
      <c r="A828" t="s">
        <v>23</v>
      </c>
      <c r="B828" t="s">
        <v>24</v>
      </c>
      <c r="C828" t="s">
        <v>25</v>
      </c>
      <c r="D828" t="s">
        <v>797</v>
      </c>
      <c r="E828" t="s">
        <v>818</v>
      </c>
      <c r="F828" t="s">
        <v>819</v>
      </c>
      <c r="G828" t="s">
        <v>49</v>
      </c>
      <c r="H828" t="s">
        <v>30</v>
      </c>
      <c r="I828" t="s">
        <v>30</v>
      </c>
      <c r="J828" t="s">
        <v>41</v>
      </c>
      <c r="K828" t="s">
        <v>32</v>
      </c>
      <c r="L828" t="s">
        <v>32</v>
      </c>
      <c r="M828" t="s">
        <v>33</v>
      </c>
      <c r="N828" t="s">
        <v>33</v>
      </c>
      <c r="O828" t="s">
        <v>33</v>
      </c>
      <c r="P828" t="s">
        <v>34</v>
      </c>
      <c r="Q828" t="s">
        <v>35</v>
      </c>
      <c r="S828" t="s">
        <v>30</v>
      </c>
      <c r="T828" t="s">
        <v>822</v>
      </c>
      <c r="U828" t="s">
        <v>823</v>
      </c>
      <c r="V828" t="s">
        <v>39</v>
      </c>
      <c r="W828" s="1">
        <v>3</v>
      </c>
    </row>
    <row r="829" spans="1:23" x14ac:dyDescent="0.2">
      <c r="A829" t="s">
        <v>23</v>
      </c>
      <c r="B829" t="s">
        <v>24</v>
      </c>
      <c r="C829" t="s">
        <v>25</v>
      </c>
      <c r="D829" t="s">
        <v>797</v>
      </c>
      <c r="E829" t="s">
        <v>818</v>
      </c>
      <c r="F829" t="s">
        <v>819</v>
      </c>
      <c r="G829" t="s">
        <v>49</v>
      </c>
      <c r="H829" t="s">
        <v>30</v>
      </c>
      <c r="I829" t="s">
        <v>30</v>
      </c>
      <c r="J829" t="s">
        <v>41</v>
      </c>
      <c r="K829" t="s">
        <v>32</v>
      </c>
      <c r="L829" t="s">
        <v>32</v>
      </c>
      <c r="M829" t="s">
        <v>33</v>
      </c>
      <c r="N829" t="s">
        <v>33</v>
      </c>
      <c r="O829" t="s">
        <v>33</v>
      </c>
      <c r="P829" t="s">
        <v>34</v>
      </c>
      <c r="Q829" t="s">
        <v>35</v>
      </c>
      <c r="S829" t="s">
        <v>30</v>
      </c>
      <c r="T829" t="s">
        <v>822</v>
      </c>
      <c r="U829" t="s">
        <v>823</v>
      </c>
      <c r="V829" t="s">
        <v>40</v>
      </c>
      <c r="W829" s="1">
        <v>9196200</v>
      </c>
    </row>
    <row r="830" spans="1:23" x14ac:dyDescent="0.2">
      <c r="A830" t="s">
        <v>23</v>
      </c>
      <c r="B830" t="s">
        <v>24</v>
      </c>
      <c r="C830" t="s">
        <v>25</v>
      </c>
      <c r="D830" t="s">
        <v>797</v>
      </c>
      <c r="E830" t="s">
        <v>818</v>
      </c>
      <c r="F830" t="s">
        <v>819</v>
      </c>
      <c r="G830" t="s">
        <v>49</v>
      </c>
      <c r="H830" t="s">
        <v>30</v>
      </c>
      <c r="I830" t="s">
        <v>30</v>
      </c>
      <c r="J830" t="s">
        <v>41</v>
      </c>
      <c r="K830" t="s">
        <v>32</v>
      </c>
      <c r="L830" t="s">
        <v>32</v>
      </c>
      <c r="M830" t="s">
        <v>33</v>
      </c>
      <c r="N830" t="s">
        <v>169</v>
      </c>
      <c r="O830" t="s">
        <v>169</v>
      </c>
      <c r="P830" t="s">
        <v>34</v>
      </c>
      <c r="Q830" t="s">
        <v>35</v>
      </c>
      <c r="S830" t="s">
        <v>30</v>
      </c>
      <c r="T830" t="s">
        <v>822</v>
      </c>
      <c r="U830" t="s">
        <v>823</v>
      </c>
      <c r="V830" t="s">
        <v>39</v>
      </c>
      <c r="W830" s="1">
        <v>1</v>
      </c>
    </row>
    <row r="831" spans="1:23" x14ac:dyDescent="0.2">
      <c r="A831" t="s">
        <v>23</v>
      </c>
      <c r="B831" t="s">
        <v>24</v>
      </c>
      <c r="C831" t="s">
        <v>25</v>
      </c>
      <c r="D831" t="s">
        <v>797</v>
      </c>
      <c r="E831" t="s">
        <v>818</v>
      </c>
      <c r="F831" t="s">
        <v>819</v>
      </c>
      <c r="G831" t="s">
        <v>49</v>
      </c>
      <c r="H831" t="s">
        <v>30</v>
      </c>
      <c r="I831" t="s">
        <v>30</v>
      </c>
      <c r="J831" t="s">
        <v>41</v>
      </c>
      <c r="K831" t="s">
        <v>32</v>
      </c>
      <c r="L831" t="s">
        <v>32</v>
      </c>
      <c r="M831" t="s">
        <v>33</v>
      </c>
      <c r="N831" t="s">
        <v>169</v>
      </c>
      <c r="O831" t="s">
        <v>169</v>
      </c>
      <c r="P831" t="s">
        <v>34</v>
      </c>
      <c r="Q831" t="s">
        <v>35</v>
      </c>
      <c r="S831" t="s">
        <v>30</v>
      </c>
      <c r="T831" t="s">
        <v>822</v>
      </c>
      <c r="U831" t="s">
        <v>823</v>
      </c>
      <c r="V831" t="s">
        <v>40</v>
      </c>
      <c r="W831" s="1">
        <v>3065400</v>
      </c>
    </row>
    <row r="832" spans="1:23" x14ac:dyDescent="0.2">
      <c r="A832" t="s">
        <v>23</v>
      </c>
      <c r="B832" t="s">
        <v>24</v>
      </c>
      <c r="C832" t="s">
        <v>25</v>
      </c>
      <c r="D832" t="s">
        <v>797</v>
      </c>
      <c r="E832" t="s">
        <v>818</v>
      </c>
      <c r="F832" t="s">
        <v>819</v>
      </c>
      <c r="G832" t="s">
        <v>89</v>
      </c>
      <c r="H832" t="s">
        <v>30</v>
      </c>
      <c r="I832" t="s">
        <v>30</v>
      </c>
      <c r="J832" t="s">
        <v>31</v>
      </c>
      <c r="K832" t="s">
        <v>32</v>
      </c>
      <c r="L832" t="s">
        <v>32</v>
      </c>
      <c r="M832" t="s">
        <v>33</v>
      </c>
      <c r="N832" t="s">
        <v>33</v>
      </c>
      <c r="O832" t="s">
        <v>33</v>
      </c>
      <c r="P832" t="s">
        <v>34</v>
      </c>
      <c r="Q832" t="s">
        <v>35</v>
      </c>
      <c r="R832" t="s">
        <v>73</v>
      </c>
      <c r="S832" t="s">
        <v>30</v>
      </c>
      <c r="T832" t="s">
        <v>824</v>
      </c>
      <c r="U832" t="s">
        <v>825</v>
      </c>
      <c r="V832" t="s">
        <v>39</v>
      </c>
      <c r="W832" s="1">
        <v>1</v>
      </c>
    </row>
    <row r="833" spans="1:23" x14ac:dyDescent="0.2">
      <c r="A833" t="s">
        <v>23</v>
      </c>
      <c r="B833" t="s">
        <v>24</v>
      </c>
      <c r="C833" t="s">
        <v>25</v>
      </c>
      <c r="D833" t="s">
        <v>797</v>
      </c>
      <c r="E833" t="s">
        <v>818</v>
      </c>
      <c r="F833" t="s">
        <v>819</v>
      </c>
      <c r="G833" t="s">
        <v>89</v>
      </c>
      <c r="H833" t="s">
        <v>30</v>
      </c>
      <c r="I833" t="s">
        <v>30</v>
      </c>
      <c r="J833" t="s">
        <v>31</v>
      </c>
      <c r="K833" t="s">
        <v>32</v>
      </c>
      <c r="L833" t="s">
        <v>32</v>
      </c>
      <c r="M833" t="s">
        <v>33</v>
      </c>
      <c r="N833" t="s">
        <v>33</v>
      </c>
      <c r="O833" t="s">
        <v>33</v>
      </c>
      <c r="P833" t="s">
        <v>34</v>
      </c>
      <c r="Q833" t="s">
        <v>35</v>
      </c>
      <c r="R833" t="s">
        <v>73</v>
      </c>
      <c r="S833" t="s">
        <v>30</v>
      </c>
      <c r="T833" t="s">
        <v>824</v>
      </c>
      <c r="U833" t="s">
        <v>825</v>
      </c>
      <c r="V833" t="s">
        <v>40</v>
      </c>
      <c r="W833" s="1">
        <v>699900</v>
      </c>
    </row>
    <row r="834" spans="1:23" x14ac:dyDescent="0.2">
      <c r="A834" t="s">
        <v>23</v>
      </c>
      <c r="B834" t="s">
        <v>24</v>
      </c>
      <c r="C834" t="s">
        <v>25</v>
      </c>
      <c r="D834" t="s">
        <v>797</v>
      </c>
      <c r="E834" t="s">
        <v>818</v>
      </c>
      <c r="F834" t="s">
        <v>819</v>
      </c>
      <c r="G834" t="s">
        <v>89</v>
      </c>
      <c r="H834" t="s">
        <v>30</v>
      </c>
      <c r="I834" t="s">
        <v>30</v>
      </c>
      <c r="J834" t="s">
        <v>31</v>
      </c>
      <c r="K834" t="s">
        <v>32</v>
      </c>
      <c r="L834" t="s">
        <v>32</v>
      </c>
      <c r="M834" t="s">
        <v>33</v>
      </c>
      <c r="N834" t="s">
        <v>33</v>
      </c>
      <c r="O834" t="s">
        <v>33</v>
      </c>
      <c r="P834" t="s">
        <v>34</v>
      </c>
      <c r="Q834" t="s">
        <v>35</v>
      </c>
      <c r="S834" t="s">
        <v>30</v>
      </c>
      <c r="T834" t="s">
        <v>826</v>
      </c>
      <c r="U834" t="s">
        <v>827</v>
      </c>
      <c r="V834" t="s">
        <v>39</v>
      </c>
      <c r="W834" s="1">
        <v>4</v>
      </c>
    </row>
    <row r="835" spans="1:23" x14ac:dyDescent="0.2">
      <c r="A835" t="s">
        <v>23</v>
      </c>
      <c r="B835" t="s">
        <v>24</v>
      </c>
      <c r="C835" t="s">
        <v>25</v>
      </c>
      <c r="D835" t="s">
        <v>797</v>
      </c>
      <c r="E835" t="s">
        <v>818</v>
      </c>
      <c r="F835" t="s">
        <v>819</v>
      </c>
      <c r="G835" t="s">
        <v>89</v>
      </c>
      <c r="H835" t="s">
        <v>30</v>
      </c>
      <c r="I835" t="s">
        <v>30</v>
      </c>
      <c r="J835" t="s">
        <v>31</v>
      </c>
      <c r="K835" t="s">
        <v>32</v>
      </c>
      <c r="L835" t="s">
        <v>32</v>
      </c>
      <c r="M835" t="s">
        <v>33</v>
      </c>
      <c r="N835" t="s">
        <v>33</v>
      </c>
      <c r="O835" t="s">
        <v>33</v>
      </c>
      <c r="P835" t="s">
        <v>34</v>
      </c>
      <c r="Q835" t="s">
        <v>35</v>
      </c>
      <c r="S835" t="s">
        <v>30</v>
      </c>
      <c r="T835" t="s">
        <v>826</v>
      </c>
      <c r="U835" t="s">
        <v>827</v>
      </c>
      <c r="V835" t="s">
        <v>40</v>
      </c>
      <c r="W835" s="1">
        <v>1276800</v>
      </c>
    </row>
    <row r="836" spans="1:23" x14ac:dyDescent="0.2">
      <c r="A836" t="s">
        <v>23</v>
      </c>
      <c r="B836" t="s">
        <v>24</v>
      </c>
      <c r="C836" t="s">
        <v>25</v>
      </c>
      <c r="D836" t="s">
        <v>797</v>
      </c>
      <c r="E836" t="s">
        <v>818</v>
      </c>
      <c r="F836" t="s">
        <v>819</v>
      </c>
      <c r="G836" t="s">
        <v>106</v>
      </c>
      <c r="H836" t="s">
        <v>30</v>
      </c>
      <c r="I836" t="s">
        <v>30</v>
      </c>
      <c r="J836" t="s">
        <v>128</v>
      </c>
      <c r="K836" t="s">
        <v>32</v>
      </c>
      <c r="L836" t="s">
        <v>32</v>
      </c>
      <c r="M836" t="s">
        <v>33</v>
      </c>
      <c r="N836" t="s">
        <v>33</v>
      </c>
      <c r="O836" t="s">
        <v>33</v>
      </c>
      <c r="P836" t="s">
        <v>34</v>
      </c>
      <c r="Q836" t="s">
        <v>35</v>
      </c>
      <c r="R836" t="s">
        <v>129</v>
      </c>
      <c r="S836" t="s">
        <v>30</v>
      </c>
      <c r="T836" t="s">
        <v>828</v>
      </c>
      <c r="U836" t="s">
        <v>829</v>
      </c>
      <c r="V836" t="s">
        <v>39</v>
      </c>
      <c r="W836" s="1">
        <v>2</v>
      </c>
    </row>
    <row r="837" spans="1:23" x14ac:dyDescent="0.2">
      <c r="A837" t="s">
        <v>23</v>
      </c>
      <c r="B837" t="s">
        <v>24</v>
      </c>
      <c r="C837" t="s">
        <v>25</v>
      </c>
      <c r="D837" t="s">
        <v>797</v>
      </c>
      <c r="E837" t="s">
        <v>818</v>
      </c>
      <c r="F837" t="s">
        <v>819</v>
      </c>
      <c r="G837" t="s">
        <v>106</v>
      </c>
      <c r="H837" t="s">
        <v>30</v>
      </c>
      <c r="I837" t="s">
        <v>30</v>
      </c>
      <c r="J837" t="s">
        <v>128</v>
      </c>
      <c r="K837" t="s">
        <v>32</v>
      </c>
      <c r="L837" t="s">
        <v>32</v>
      </c>
      <c r="M837" t="s">
        <v>33</v>
      </c>
      <c r="N837" t="s">
        <v>33</v>
      </c>
      <c r="O837" t="s">
        <v>33</v>
      </c>
      <c r="P837" t="s">
        <v>34</v>
      </c>
      <c r="Q837" t="s">
        <v>35</v>
      </c>
      <c r="R837" t="s">
        <v>129</v>
      </c>
      <c r="S837" t="s">
        <v>30</v>
      </c>
      <c r="T837" t="s">
        <v>828</v>
      </c>
      <c r="U837" t="s">
        <v>829</v>
      </c>
      <c r="V837" t="s">
        <v>40</v>
      </c>
      <c r="W837" s="1">
        <v>958000</v>
      </c>
    </row>
    <row r="838" spans="1:23" x14ac:dyDescent="0.2">
      <c r="A838" t="s">
        <v>23</v>
      </c>
      <c r="B838" t="s">
        <v>24</v>
      </c>
      <c r="C838" t="s">
        <v>25</v>
      </c>
      <c r="D838" t="s">
        <v>797</v>
      </c>
      <c r="E838" t="s">
        <v>818</v>
      </c>
      <c r="F838" t="s">
        <v>819</v>
      </c>
      <c r="G838" t="s">
        <v>139</v>
      </c>
      <c r="H838" t="s">
        <v>30</v>
      </c>
      <c r="I838" t="s">
        <v>30</v>
      </c>
      <c r="J838" t="s">
        <v>41</v>
      </c>
      <c r="K838" t="s">
        <v>32</v>
      </c>
      <c r="L838" t="s">
        <v>32</v>
      </c>
      <c r="M838" t="s">
        <v>33</v>
      </c>
      <c r="P838" t="s">
        <v>34</v>
      </c>
      <c r="Q838" t="s">
        <v>35</v>
      </c>
      <c r="S838" t="s">
        <v>30</v>
      </c>
      <c r="T838" t="s">
        <v>830</v>
      </c>
      <c r="U838" t="s">
        <v>831</v>
      </c>
      <c r="V838" t="s">
        <v>39</v>
      </c>
      <c r="W838" s="1">
        <v>5</v>
      </c>
    </row>
    <row r="839" spans="1:23" x14ac:dyDescent="0.2">
      <c r="A839" t="s">
        <v>23</v>
      </c>
      <c r="B839" t="s">
        <v>24</v>
      </c>
      <c r="C839" t="s">
        <v>25</v>
      </c>
      <c r="D839" t="s">
        <v>797</v>
      </c>
      <c r="E839" t="s">
        <v>818</v>
      </c>
      <c r="F839" t="s">
        <v>819</v>
      </c>
      <c r="G839" t="s">
        <v>139</v>
      </c>
      <c r="H839" t="s">
        <v>30</v>
      </c>
      <c r="I839" t="s">
        <v>30</v>
      </c>
      <c r="J839" t="s">
        <v>41</v>
      </c>
      <c r="K839" t="s">
        <v>32</v>
      </c>
      <c r="L839" t="s">
        <v>32</v>
      </c>
      <c r="M839" t="s">
        <v>33</v>
      </c>
      <c r="P839" t="s">
        <v>34</v>
      </c>
      <c r="Q839" t="s">
        <v>35</v>
      </c>
      <c r="S839" t="s">
        <v>30</v>
      </c>
      <c r="T839" t="s">
        <v>830</v>
      </c>
      <c r="U839" t="s">
        <v>831</v>
      </c>
      <c r="V839" t="s">
        <v>40</v>
      </c>
      <c r="W839" s="1">
        <v>7945000</v>
      </c>
    </row>
    <row r="840" spans="1:23" x14ac:dyDescent="0.2">
      <c r="A840" t="s">
        <v>23</v>
      </c>
      <c r="B840" t="s">
        <v>24</v>
      </c>
      <c r="C840" t="s">
        <v>25</v>
      </c>
      <c r="D840" t="s">
        <v>797</v>
      </c>
      <c r="E840" t="s">
        <v>832</v>
      </c>
      <c r="F840" t="s">
        <v>833</v>
      </c>
      <c r="G840" t="s">
        <v>29</v>
      </c>
      <c r="H840" t="s">
        <v>30</v>
      </c>
      <c r="I840" t="s">
        <v>30</v>
      </c>
      <c r="J840" t="s">
        <v>31</v>
      </c>
      <c r="K840" t="s">
        <v>32</v>
      </c>
      <c r="L840" t="s">
        <v>32</v>
      </c>
      <c r="M840" t="s">
        <v>33</v>
      </c>
      <c r="N840" t="s">
        <v>33</v>
      </c>
      <c r="O840" t="s">
        <v>33</v>
      </c>
      <c r="P840" t="s">
        <v>34</v>
      </c>
      <c r="Q840" t="s">
        <v>35</v>
      </c>
      <c r="R840" t="s">
        <v>148</v>
      </c>
      <c r="S840" t="s">
        <v>30</v>
      </c>
      <c r="T840" t="s">
        <v>834</v>
      </c>
      <c r="U840" t="s">
        <v>835</v>
      </c>
      <c r="V840" t="s">
        <v>39</v>
      </c>
      <c r="W840" s="1">
        <v>2</v>
      </c>
    </row>
    <row r="841" spans="1:23" x14ac:dyDescent="0.2">
      <c r="A841" t="s">
        <v>23</v>
      </c>
      <c r="B841" t="s">
        <v>24</v>
      </c>
      <c r="C841" t="s">
        <v>25</v>
      </c>
      <c r="D841" t="s">
        <v>797</v>
      </c>
      <c r="E841" t="s">
        <v>832</v>
      </c>
      <c r="F841" t="s">
        <v>833</v>
      </c>
      <c r="G841" t="s">
        <v>29</v>
      </c>
      <c r="H841" t="s">
        <v>30</v>
      </c>
      <c r="I841" t="s">
        <v>30</v>
      </c>
      <c r="J841" t="s">
        <v>31</v>
      </c>
      <c r="K841" t="s">
        <v>32</v>
      </c>
      <c r="L841" t="s">
        <v>32</v>
      </c>
      <c r="M841" t="s">
        <v>33</v>
      </c>
      <c r="N841" t="s">
        <v>33</v>
      </c>
      <c r="O841" t="s">
        <v>33</v>
      </c>
      <c r="P841" t="s">
        <v>34</v>
      </c>
      <c r="Q841" t="s">
        <v>35</v>
      </c>
      <c r="R841" t="s">
        <v>148</v>
      </c>
      <c r="S841" t="s">
        <v>30</v>
      </c>
      <c r="T841" t="s">
        <v>834</v>
      </c>
      <c r="U841" t="s">
        <v>835</v>
      </c>
      <c r="V841" t="s">
        <v>40</v>
      </c>
      <c r="W841" s="1">
        <v>4693200</v>
      </c>
    </row>
    <row r="842" spans="1:23" x14ac:dyDescent="0.2">
      <c r="A842" t="s">
        <v>23</v>
      </c>
      <c r="B842" t="s">
        <v>24</v>
      </c>
      <c r="C842" t="s">
        <v>25</v>
      </c>
      <c r="D842" t="s">
        <v>797</v>
      </c>
      <c r="E842" t="s">
        <v>832</v>
      </c>
      <c r="F842" t="s">
        <v>833</v>
      </c>
      <c r="G842" t="s">
        <v>29</v>
      </c>
      <c r="H842" t="s">
        <v>30</v>
      </c>
      <c r="I842" t="s">
        <v>30</v>
      </c>
      <c r="J842" t="s">
        <v>31</v>
      </c>
      <c r="K842" t="s">
        <v>32</v>
      </c>
      <c r="L842" t="s">
        <v>32</v>
      </c>
      <c r="M842" t="s">
        <v>33</v>
      </c>
      <c r="N842" t="s">
        <v>33</v>
      </c>
      <c r="O842" t="s">
        <v>33</v>
      </c>
      <c r="P842" t="s">
        <v>34</v>
      </c>
      <c r="Q842" t="s">
        <v>35</v>
      </c>
      <c r="S842" t="s">
        <v>30</v>
      </c>
      <c r="T842" t="s">
        <v>836</v>
      </c>
      <c r="U842" t="s">
        <v>837</v>
      </c>
      <c r="V842" t="s">
        <v>39</v>
      </c>
      <c r="W842" s="1">
        <v>1</v>
      </c>
    </row>
    <row r="843" spans="1:23" x14ac:dyDescent="0.2">
      <c r="A843" t="s">
        <v>23</v>
      </c>
      <c r="B843" t="s">
        <v>24</v>
      </c>
      <c r="C843" t="s">
        <v>25</v>
      </c>
      <c r="D843" t="s">
        <v>797</v>
      </c>
      <c r="E843" t="s">
        <v>832</v>
      </c>
      <c r="F843" t="s">
        <v>833</v>
      </c>
      <c r="G843" t="s">
        <v>29</v>
      </c>
      <c r="H843" t="s">
        <v>30</v>
      </c>
      <c r="I843" t="s">
        <v>30</v>
      </c>
      <c r="J843" t="s">
        <v>31</v>
      </c>
      <c r="K843" t="s">
        <v>32</v>
      </c>
      <c r="L843" t="s">
        <v>32</v>
      </c>
      <c r="M843" t="s">
        <v>33</v>
      </c>
      <c r="N843" t="s">
        <v>33</v>
      </c>
      <c r="O843" t="s">
        <v>33</v>
      </c>
      <c r="P843" t="s">
        <v>34</v>
      </c>
      <c r="Q843" t="s">
        <v>35</v>
      </c>
      <c r="S843" t="s">
        <v>30</v>
      </c>
      <c r="T843" t="s">
        <v>836</v>
      </c>
      <c r="U843" t="s">
        <v>837</v>
      </c>
      <c r="V843" t="s">
        <v>40</v>
      </c>
      <c r="W843" s="1">
        <v>152900</v>
      </c>
    </row>
    <row r="844" spans="1:23" x14ac:dyDescent="0.2">
      <c r="A844" t="s">
        <v>23</v>
      </c>
      <c r="B844" t="s">
        <v>24</v>
      </c>
      <c r="C844" t="s">
        <v>25</v>
      </c>
      <c r="D844" t="s">
        <v>797</v>
      </c>
      <c r="E844" t="s">
        <v>832</v>
      </c>
      <c r="F844" t="s">
        <v>833</v>
      </c>
      <c r="G844" t="s">
        <v>29</v>
      </c>
      <c r="H844" t="s">
        <v>30</v>
      </c>
      <c r="I844" t="s">
        <v>30</v>
      </c>
      <c r="J844" t="s">
        <v>41</v>
      </c>
      <c r="K844" t="s">
        <v>32</v>
      </c>
      <c r="L844" t="s">
        <v>32</v>
      </c>
      <c r="M844" t="s">
        <v>33</v>
      </c>
      <c r="N844" t="s">
        <v>33</v>
      </c>
      <c r="O844" t="s">
        <v>33</v>
      </c>
      <c r="P844" t="s">
        <v>213</v>
      </c>
      <c r="Q844" t="s">
        <v>214</v>
      </c>
      <c r="R844" t="s">
        <v>162</v>
      </c>
      <c r="S844" t="s">
        <v>30</v>
      </c>
      <c r="T844" t="s">
        <v>546</v>
      </c>
      <c r="U844" t="s">
        <v>838</v>
      </c>
      <c r="V844" t="s">
        <v>39</v>
      </c>
      <c r="W844" s="1">
        <v>2</v>
      </c>
    </row>
    <row r="845" spans="1:23" x14ac:dyDescent="0.2">
      <c r="A845" t="s">
        <v>23</v>
      </c>
      <c r="B845" t="s">
        <v>24</v>
      </c>
      <c r="C845" t="s">
        <v>25</v>
      </c>
      <c r="D845" t="s">
        <v>797</v>
      </c>
      <c r="E845" t="s">
        <v>832</v>
      </c>
      <c r="F845" t="s">
        <v>833</v>
      </c>
      <c r="G845" t="s">
        <v>29</v>
      </c>
      <c r="H845" t="s">
        <v>30</v>
      </c>
      <c r="I845" t="s">
        <v>30</v>
      </c>
      <c r="J845" t="s">
        <v>41</v>
      </c>
      <c r="K845" t="s">
        <v>32</v>
      </c>
      <c r="L845" t="s">
        <v>32</v>
      </c>
      <c r="M845" t="s">
        <v>33</v>
      </c>
      <c r="N845" t="s">
        <v>33</v>
      </c>
      <c r="O845" t="s">
        <v>33</v>
      </c>
      <c r="P845" t="s">
        <v>213</v>
      </c>
      <c r="Q845" t="s">
        <v>214</v>
      </c>
      <c r="R845" t="s">
        <v>162</v>
      </c>
      <c r="S845" t="s">
        <v>30</v>
      </c>
      <c r="T845" t="s">
        <v>546</v>
      </c>
      <c r="U845" t="s">
        <v>838</v>
      </c>
      <c r="V845" t="s">
        <v>40</v>
      </c>
      <c r="W845" s="1">
        <v>7811600</v>
      </c>
    </row>
    <row r="846" spans="1:23" x14ac:dyDescent="0.2">
      <c r="A846" t="s">
        <v>23</v>
      </c>
      <c r="B846" t="s">
        <v>24</v>
      </c>
      <c r="C846" t="s">
        <v>25</v>
      </c>
      <c r="D846" t="s">
        <v>797</v>
      </c>
      <c r="E846" t="s">
        <v>832</v>
      </c>
      <c r="F846" t="s">
        <v>833</v>
      </c>
      <c r="G846" t="s">
        <v>29</v>
      </c>
      <c r="H846" t="s">
        <v>30</v>
      </c>
      <c r="I846" t="s">
        <v>30</v>
      </c>
      <c r="J846" t="s">
        <v>57</v>
      </c>
      <c r="K846" t="s">
        <v>32</v>
      </c>
      <c r="L846" t="s">
        <v>32</v>
      </c>
      <c r="M846" t="s">
        <v>33</v>
      </c>
      <c r="N846" t="s">
        <v>33</v>
      </c>
      <c r="O846" t="s">
        <v>33</v>
      </c>
      <c r="P846" t="s">
        <v>34</v>
      </c>
      <c r="Q846" t="s">
        <v>35</v>
      </c>
      <c r="R846" t="s">
        <v>124</v>
      </c>
      <c r="S846" t="s">
        <v>30</v>
      </c>
      <c r="T846" t="s">
        <v>839</v>
      </c>
      <c r="U846" t="s">
        <v>840</v>
      </c>
      <c r="V846" t="s">
        <v>39</v>
      </c>
      <c r="W846" s="1">
        <v>2</v>
      </c>
    </row>
    <row r="847" spans="1:23" x14ac:dyDescent="0.2">
      <c r="A847" t="s">
        <v>23</v>
      </c>
      <c r="B847" t="s">
        <v>24</v>
      </c>
      <c r="C847" t="s">
        <v>25</v>
      </c>
      <c r="D847" t="s">
        <v>797</v>
      </c>
      <c r="E847" t="s">
        <v>832</v>
      </c>
      <c r="F847" t="s">
        <v>833</v>
      </c>
      <c r="G847" t="s">
        <v>29</v>
      </c>
      <c r="H847" t="s">
        <v>30</v>
      </c>
      <c r="I847" t="s">
        <v>30</v>
      </c>
      <c r="J847" t="s">
        <v>57</v>
      </c>
      <c r="K847" t="s">
        <v>32</v>
      </c>
      <c r="L847" t="s">
        <v>32</v>
      </c>
      <c r="M847" t="s">
        <v>33</v>
      </c>
      <c r="N847" t="s">
        <v>33</v>
      </c>
      <c r="O847" t="s">
        <v>33</v>
      </c>
      <c r="P847" t="s">
        <v>34</v>
      </c>
      <c r="Q847" t="s">
        <v>35</v>
      </c>
      <c r="R847" t="s">
        <v>124</v>
      </c>
      <c r="S847" t="s">
        <v>30</v>
      </c>
      <c r="T847" t="s">
        <v>839</v>
      </c>
      <c r="U847" t="s">
        <v>840</v>
      </c>
      <c r="V847" t="s">
        <v>40</v>
      </c>
      <c r="W847" s="1">
        <v>3158000</v>
      </c>
    </row>
    <row r="848" spans="1:23" x14ac:dyDescent="0.2">
      <c r="A848" t="s">
        <v>23</v>
      </c>
      <c r="B848" t="s">
        <v>24</v>
      </c>
      <c r="C848" t="s">
        <v>25</v>
      </c>
      <c r="D848" t="s">
        <v>797</v>
      </c>
      <c r="E848" t="s">
        <v>832</v>
      </c>
      <c r="F848" t="s">
        <v>833</v>
      </c>
      <c r="G848" t="s">
        <v>49</v>
      </c>
      <c r="H848" t="s">
        <v>30</v>
      </c>
      <c r="I848" t="s">
        <v>30</v>
      </c>
      <c r="J848" t="s">
        <v>128</v>
      </c>
      <c r="K848" t="s">
        <v>135</v>
      </c>
      <c r="L848" t="s">
        <v>32</v>
      </c>
      <c r="M848" t="s">
        <v>33</v>
      </c>
      <c r="P848" t="s">
        <v>34</v>
      </c>
      <c r="Q848" t="s">
        <v>35</v>
      </c>
      <c r="R848" t="s">
        <v>136</v>
      </c>
      <c r="S848" t="s">
        <v>52</v>
      </c>
      <c r="T848" t="s">
        <v>841</v>
      </c>
      <c r="U848" t="s">
        <v>842</v>
      </c>
      <c r="V848" t="s">
        <v>39</v>
      </c>
      <c r="W848" s="1">
        <v>0</v>
      </c>
    </row>
    <row r="849" spans="1:23" x14ac:dyDescent="0.2">
      <c r="A849" t="s">
        <v>23</v>
      </c>
      <c r="B849" t="s">
        <v>24</v>
      </c>
      <c r="C849" t="s">
        <v>25</v>
      </c>
      <c r="D849" t="s">
        <v>797</v>
      </c>
      <c r="E849" t="s">
        <v>832</v>
      </c>
      <c r="F849" t="s">
        <v>833</v>
      </c>
      <c r="G849" t="s">
        <v>49</v>
      </c>
      <c r="H849" t="s">
        <v>30</v>
      </c>
      <c r="I849" t="s">
        <v>30</v>
      </c>
      <c r="J849" t="s">
        <v>128</v>
      </c>
      <c r="K849" t="s">
        <v>135</v>
      </c>
      <c r="L849" t="s">
        <v>32</v>
      </c>
      <c r="M849" t="s">
        <v>33</v>
      </c>
      <c r="P849" t="s">
        <v>34</v>
      </c>
      <c r="Q849" t="s">
        <v>35</v>
      </c>
      <c r="R849" t="s">
        <v>136</v>
      </c>
      <c r="S849" t="s">
        <v>52</v>
      </c>
      <c r="T849" t="s">
        <v>841</v>
      </c>
      <c r="U849" t="s">
        <v>842</v>
      </c>
      <c r="V849" t="s">
        <v>40</v>
      </c>
      <c r="W849" s="1">
        <v>2637000</v>
      </c>
    </row>
    <row r="850" spans="1:23" x14ac:dyDescent="0.2">
      <c r="A850" t="s">
        <v>23</v>
      </c>
      <c r="B850" t="s">
        <v>24</v>
      </c>
      <c r="C850" t="s">
        <v>25</v>
      </c>
      <c r="D850" t="s">
        <v>797</v>
      </c>
      <c r="E850" t="s">
        <v>832</v>
      </c>
      <c r="F850" t="s">
        <v>833</v>
      </c>
      <c r="G850" t="s">
        <v>49</v>
      </c>
      <c r="H850" t="s">
        <v>30</v>
      </c>
      <c r="I850" t="s">
        <v>30</v>
      </c>
      <c r="J850" t="s">
        <v>31</v>
      </c>
      <c r="K850" t="s">
        <v>32</v>
      </c>
      <c r="L850" t="s">
        <v>332</v>
      </c>
      <c r="M850" t="s">
        <v>33</v>
      </c>
      <c r="N850" t="s">
        <v>33</v>
      </c>
      <c r="O850" t="s">
        <v>33</v>
      </c>
      <c r="P850" t="s">
        <v>213</v>
      </c>
      <c r="Q850" t="s">
        <v>214</v>
      </c>
      <c r="R850" t="s">
        <v>162</v>
      </c>
      <c r="S850" t="s">
        <v>30</v>
      </c>
      <c r="T850" t="s">
        <v>843</v>
      </c>
      <c r="U850" t="s">
        <v>844</v>
      </c>
      <c r="V850" t="s">
        <v>39</v>
      </c>
      <c r="W850" s="1">
        <v>1</v>
      </c>
    </row>
    <row r="851" spans="1:23" x14ac:dyDescent="0.2">
      <c r="A851" t="s">
        <v>23</v>
      </c>
      <c r="B851" t="s">
        <v>24</v>
      </c>
      <c r="C851" t="s">
        <v>25</v>
      </c>
      <c r="D851" t="s">
        <v>797</v>
      </c>
      <c r="E851" t="s">
        <v>832</v>
      </c>
      <c r="F851" t="s">
        <v>833</v>
      </c>
      <c r="G851" t="s">
        <v>49</v>
      </c>
      <c r="H851" t="s">
        <v>30</v>
      </c>
      <c r="I851" t="s">
        <v>30</v>
      </c>
      <c r="J851" t="s">
        <v>31</v>
      </c>
      <c r="K851" t="s">
        <v>32</v>
      </c>
      <c r="L851" t="s">
        <v>332</v>
      </c>
      <c r="M851" t="s">
        <v>33</v>
      </c>
      <c r="N851" t="s">
        <v>33</v>
      </c>
      <c r="O851" t="s">
        <v>33</v>
      </c>
      <c r="P851" t="s">
        <v>213</v>
      </c>
      <c r="Q851" t="s">
        <v>214</v>
      </c>
      <c r="R851" t="s">
        <v>162</v>
      </c>
      <c r="S851" t="s">
        <v>30</v>
      </c>
      <c r="T851" t="s">
        <v>843</v>
      </c>
      <c r="U851" t="s">
        <v>844</v>
      </c>
      <c r="V851" t="s">
        <v>40</v>
      </c>
      <c r="W851" s="1">
        <v>1680000</v>
      </c>
    </row>
    <row r="852" spans="1:23" x14ac:dyDescent="0.2">
      <c r="A852" t="s">
        <v>23</v>
      </c>
      <c r="B852" t="s">
        <v>24</v>
      </c>
      <c r="C852" t="s">
        <v>25</v>
      </c>
      <c r="D852" t="s">
        <v>797</v>
      </c>
      <c r="E852" t="s">
        <v>832</v>
      </c>
      <c r="F852" t="s">
        <v>833</v>
      </c>
      <c r="G852" t="s">
        <v>49</v>
      </c>
      <c r="H852" t="s">
        <v>30</v>
      </c>
      <c r="I852" t="s">
        <v>30</v>
      </c>
      <c r="J852" t="s">
        <v>31</v>
      </c>
      <c r="K852" t="s">
        <v>32</v>
      </c>
      <c r="L852" t="s">
        <v>32</v>
      </c>
      <c r="M852" t="s">
        <v>33</v>
      </c>
      <c r="N852" t="s">
        <v>33</v>
      </c>
      <c r="O852" t="s">
        <v>33</v>
      </c>
      <c r="P852" t="s">
        <v>213</v>
      </c>
      <c r="Q852" t="s">
        <v>214</v>
      </c>
      <c r="S852" t="s">
        <v>30</v>
      </c>
      <c r="T852" t="s">
        <v>845</v>
      </c>
      <c r="U852" t="s">
        <v>846</v>
      </c>
      <c r="V852" t="s">
        <v>39</v>
      </c>
      <c r="W852" s="1">
        <v>2</v>
      </c>
    </row>
    <row r="853" spans="1:23" x14ac:dyDescent="0.2">
      <c r="A853" t="s">
        <v>23</v>
      </c>
      <c r="B853" t="s">
        <v>24</v>
      </c>
      <c r="C853" t="s">
        <v>25</v>
      </c>
      <c r="D853" t="s">
        <v>797</v>
      </c>
      <c r="E853" t="s">
        <v>832</v>
      </c>
      <c r="F853" t="s">
        <v>833</v>
      </c>
      <c r="G853" t="s">
        <v>49</v>
      </c>
      <c r="H853" t="s">
        <v>30</v>
      </c>
      <c r="I853" t="s">
        <v>30</v>
      </c>
      <c r="J853" t="s">
        <v>31</v>
      </c>
      <c r="K853" t="s">
        <v>32</v>
      </c>
      <c r="L853" t="s">
        <v>32</v>
      </c>
      <c r="M853" t="s">
        <v>33</v>
      </c>
      <c r="N853" t="s">
        <v>33</v>
      </c>
      <c r="O853" t="s">
        <v>33</v>
      </c>
      <c r="P853" t="s">
        <v>213</v>
      </c>
      <c r="Q853" t="s">
        <v>214</v>
      </c>
      <c r="S853" t="s">
        <v>30</v>
      </c>
      <c r="T853" t="s">
        <v>845</v>
      </c>
      <c r="U853" t="s">
        <v>846</v>
      </c>
      <c r="V853" t="s">
        <v>40</v>
      </c>
      <c r="W853" s="1">
        <v>2735800</v>
      </c>
    </row>
    <row r="854" spans="1:23" x14ac:dyDescent="0.2">
      <c r="A854" t="s">
        <v>23</v>
      </c>
      <c r="B854" t="s">
        <v>24</v>
      </c>
      <c r="C854" t="s">
        <v>25</v>
      </c>
      <c r="D854" t="s">
        <v>797</v>
      </c>
      <c r="E854" t="s">
        <v>832</v>
      </c>
      <c r="F854" t="s">
        <v>833</v>
      </c>
      <c r="G854" t="s">
        <v>49</v>
      </c>
      <c r="H854" t="s">
        <v>30</v>
      </c>
      <c r="I854" t="s">
        <v>30</v>
      </c>
      <c r="J854" t="s">
        <v>31</v>
      </c>
      <c r="K854" t="s">
        <v>32</v>
      </c>
      <c r="L854" t="s">
        <v>32</v>
      </c>
      <c r="M854" t="s">
        <v>33</v>
      </c>
      <c r="N854" t="s">
        <v>33</v>
      </c>
      <c r="O854" t="s">
        <v>33</v>
      </c>
      <c r="P854" t="s">
        <v>34</v>
      </c>
      <c r="Q854" t="s">
        <v>35</v>
      </c>
      <c r="S854" t="s">
        <v>30</v>
      </c>
      <c r="T854" t="s">
        <v>847</v>
      </c>
      <c r="U854" t="s">
        <v>848</v>
      </c>
      <c r="V854" t="s">
        <v>39</v>
      </c>
      <c r="W854" s="1">
        <v>4</v>
      </c>
    </row>
    <row r="855" spans="1:23" x14ac:dyDescent="0.2">
      <c r="A855" t="s">
        <v>23</v>
      </c>
      <c r="B855" t="s">
        <v>24</v>
      </c>
      <c r="C855" t="s">
        <v>25</v>
      </c>
      <c r="D855" t="s">
        <v>797</v>
      </c>
      <c r="E855" t="s">
        <v>832</v>
      </c>
      <c r="F855" t="s">
        <v>833</v>
      </c>
      <c r="G855" t="s">
        <v>49</v>
      </c>
      <c r="H855" t="s">
        <v>30</v>
      </c>
      <c r="I855" t="s">
        <v>30</v>
      </c>
      <c r="J855" t="s">
        <v>31</v>
      </c>
      <c r="K855" t="s">
        <v>32</v>
      </c>
      <c r="L855" t="s">
        <v>32</v>
      </c>
      <c r="M855" t="s">
        <v>33</v>
      </c>
      <c r="N855" t="s">
        <v>33</v>
      </c>
      <c r="O855" t="s">
        <v>33</v>
      </c>
      <c r="P855" t="s">
        <v>34</v>
      </c>
      <c r="Q855" t="s">
        <v>35</v>
      </c>
      <c r="S855" t="s">
        <v>30</v>
      </c>
      <c r="T855" t="s">
        <v>847</v>
      </c>
      <c r="U855" t="s">
        <v>848</v>
      </c>
      <c r="V855" t="s">
        <v>40</v>
      </c>
      <c r="W855" s="1">
        <v>3880400</v>
      </c>
    </row>
    <row r="856" spans="1:23" x14ac:dyDescent="0.2">
      <c r="A856" t="s">
        <v>23</v>
      </c>
      <c r="B856" t="s">
        <v>24</v>
      </c>
      <c r="C856" t="s">
        <v>25</v>
      </c>
      <c r="D856" t="s">
        <v>797</v>
      </c>
      <c r="E856" t="s">
        <v>832</v>
      </c>
      <c r="F856" t="s">
        <v>833</v>
      </c>
      <c r="G856" t="s">
        <v>49</v>
      </c>
      <c r="H856" t="s">
        <v>30</v>
      </c>
      <c r="I856" t="s">
        <v>30</v>
      </c>
      <c r="J856" t="s">
        <v>41</v>
      </c>
      <c r="K856" t="s">
        <v>32</v>
      </c>
      <c r="L856" t="s">
        <v>32</v>
      </c>
      <c r="M856" t="s">
        <v>33</v>
      </c>
      <c r="N856" t="s">
        <v>33</v>
      </c>
      <c r="O856" t="s">
        <v>33</v>
      </c>
      <c r="P856" t="s">
        <v>34</v>
      </c>
      <c r="Q856" t="s">
        <v>35</v>
      </c>
      <c r="S856" t="s">
        <v>30</v>
      </c>
      <c r="T856" t="s">
        <v>849</v>
      </c>
      <c r="U856" t="s">
        <v>850</v>
      </c>
      <c r="V856" t="s">
        <v>39</v>
      </c>
      <c r="W856" s="1">
        <v>5</v>
      </c>
    </row>
    <row r="857" spans="1:23" x14ac:dyDescent="0.2">
      <c r="A857" t="s">
        <v>23</v>
      </c>
      <c r="B857" t="s">
        <v>24</v>
      </c>
      <c r="C857" t="s">
        <v>25</v>
      </c>
      <c r="D857" t="s">
        <v>797</v>
      </c>
      <c r="E857" t="s">
        <v>832</v>
      </c>
      <c r="F857" t="s">
        <v>833</v>
      </c>
      <c r="G857" t="s">
        <v>49</v>
      </c>
      <c r="H857" t="s">
        <v>30</v>
      </c>
      <c r="I857" t="s">
        <v>30</v>
      </c>
      <c r="J857" t="s">
        <v>41</v>
      </c>
      <c r="K857" t="s">
        <v>32</v>
      </c>
      <c r="L857" t="s">
        <v>32</v>
      </c>
      <c r="M857" t="s">
        <v>33</v>
      </c>
      <c r="N857" t="s">
        <v>33</v>
      </c>
      <c r="O857" t="s">
        <v>33</v>
      </c>
      <c r="P857" t="s">
        <v>34</v>
      </c>
      <c r="Q857" t="s">
        <v>35</v>
      </c>
      <c r="S857" t="s">
        <v>30</v>
      </c>
      <c r="T857" t="s">
        <v>849</v>
      </c>
      <c r="U857" t="s">
        <v>850</v>
      </c>
      <c r="V857" t="s">
        <v>40</v>
      </c>
      <c r="W857" s="1">
        <v>4305000</v>
      </c>
    </row>
    <row r="858" spans="1:23" x14ac:dyDescent="0.2">
      <c r="A858" t="s">
        <v>23</v>
      </c>
      <c r="B858" t="s">
        <v>24</v>
      </c>
      <c r="C858" t="s">
        <v>25</v>
      </c>
      <c r="D858" t="s">
        <v>797</v>
      </c>
      <c r="E858" t="s">
        <v>832</v>
      </c>
      <c r="F858" t="s">
        <v>833</v>
      </c>
      <c r="G858" t="s">
        <v>61</v>
      </c>
      <c r="H858" t="s">
        <v>52</v>
      </c>
      <c r="I858" t="s">
        <v>52</v>
      </c>
      <c r="J858" t="s">
        <v>41</v>
      </c>
      <c r="K858" t="s">
        <v>32</v>
      </c>
      <c r="L858" t="s">
        <v>32</v>
      </c>
      <c r="M858" t="s">
        <v>33</v>
      </c>
      <c r="P858" t="s">
        <v>34</v>
      </c>
      <c r="Q858" t="s">
        <v>35</v>
      </c>
      <c r="R858" t="s">
        <v>54</v>
      </c>
      <c r="S858" t="s">
        <v>52</v>
      </c>
      <c r="T858" t="s">
        <v>851</v>
      </c>
      <c r="U858" t="s">
        <v>852</v>
      </c>
      <c r="V858" t="s">
        <v>39</v>
      </c>
      <c r="W858" s="1">
        <v>0</v>
      </c>
    </row>
    <row r="859" spans="1:23" x14ac:dyDescent="0.2">
      <c r="A859" t="s">
        <v>23</v>
      </c>
      <c r="B859" t="s">
        <v>24</v>
      </c>
      <c r="C859" t="s">
        <v>25</v>
      </c>
      <c r="D859" t="s">
        <v>797</v>
      </c>
      <c r="E859" t="s">
        <v>832</v>
      </c>
      <c r="F859" t="s">
        <v>833</v>
      </c>
      <c r="G859" t="s">
        <v>61</v>
      </c>
      <c r="H859" t="s">
        <v>52</v>
      </c>
      <c r="I859" t="s">
        <v>52</v>
      </c>
      <c r="J859" t="s">
        <v>41</v>
      </c>
      <c r="K859" t="s">
        <v>32</v>
      </c>
      <c r="L859" t="s">
        <v>32</v>
      </c>
      <c r="M859" t="s">
        <v>33</v>
      </c>
      <c r="P859" t="s">
        <v>34</v>
      </c>
      <c r="Q859" t="s">
        <v>35</v>
      </c>
      <c r="R859" t="s">
        <v>54</v>
      </c>
      <c r="S859" t="s">
        <v>52</v>
      </c>
      <c r="T859" t="s">
        <v>851</v>
      </c>
      <c r="U859" t="s">
        <v>852</v>
      </c>
      <c r="V859" t="s">
        <v>40</v>
      </c>
      <c r="W859" s="1">
        <v>2313200</v>
      </c>
    </row>
    <row r="860" spans="1:23" x14ac:dyDescent="0.2">
      <c r="A860" t="s">
        <v>23</v>
      </c>
      <c r="B860" t="s">
        <v>24</v>
      </c>
      <c r="C860" t="s">
        <v>25</v>
      </c>
      <c r="D860" t="s">
        <v>797</v>
      </c>
      <c r="E860" t="s">
        <v>832</v>
      </c>
      <c r="F860" t="s">
        <v>833</v>
      </c>
      <c r="G860" t="s">
        <v>64</v>
      </c>
      <c r="H860" t="s">
        <v>30</v>
      </c>
      <c r="I860" t="s">
        <v>52</v>
      </c>
      <c r="J860" t="s">
        <v>31</v>
      </c>
      <c r="K860" t="s">
        <v>32</v>
      </c>
      <c r="L860" t="s">
        <v>32</v>
      </c>
      <c r="M860" t="s">
        <v>33</v>
      </c>
      <c r="N860" t="s">
        <v>33</v>
      </c>
      <c r="O860" t="s">
        <v>33</v>
      </c>
      <c r="P860" t="s">
        <v>213</v>
      </c>
      <c r="Q860" t="s">
        <v>214</v>
      </c>
      <c r="R860" t="s">
        <v>36</v>
      </c>
      <c r="S860" t="s">
        <v>30</v>
      </c>
      <c r="T860" t="s">
        <v>853</v>
      </c>
      <c r="U860" t="s">
        <v>854</v>
      </c>
      <c r="V860" t="s">
        <v>39</v>
      </c>
      <c r="W860" s="1">
        <v>1</v>
      </c>
    </row>
    <row r="861" spans="1:23" x14ac:dyDescent="0.2">
      <c r="A861" t="s">
        <v>23</v>
      </c>
      <c r="B861" t="s">
        <v>24</v>
      </c>
      <c r="C861" t="s">
        <v>25</v>
      </c>
      <c r="D861" t="s">
        <v>797</v>
      </c>
      <c r="E861" t="s">
        <v>832</v>
      </c>
      <c r="F861" t="s">
        <v>833</v>
      </c>
      <c r="G861" t="s">
        <v>64</v>
      </c>
      <c r="H861" t="s">
        <v>30</v>
      </c>
      <c r="I861" t="s">
        <v>52</v>
      </c>
      <c r="J861" t="s">
        <v>31</v>
      </c>
      <c r="K861" t="s">
        <v>32</v>
      </c>
      <c r="L861" t="s">
        <v>32</v>
      </c>
      <c r="M861" t="s">
        <v>33</v>
      </c>
      <c r="N861" t="s">
        <v>33</v>
      </c>
      <c r="O861" t="s">
        <v>33</v>
      </c>
      <c r="P861" t="s">
        <v>213</v>
      </c>
      <c r="Q861" t="s">
        <v>214</v>
      </c>
      <c r="R861" t="s">
        <v>36</v>
      </c>
      <c r="S861" t="s">
        <v>30</v>
      </c>
      <c r="T861" t="s">
        <v>853</v>
      </c>
      <c r="U861" t="s">
        <v>854</v>
      </c>
      <c r="V861" t="s">
        <v>40</v>
      </c>
      <c r="W861" s="1">
        <v>2196600</v>
      </c>
    </row>
    <row r="862" spans="1:23" x14ac:dyDescent="0.2">
      <c r="A862" t="s">
        <v>23</v>
      </c>
      <c r="B862" t="s">
        <v>24</v>
      </c>
      <c r="C862" t="s">
        <v>25</v>
      </c>
      <c r="D862" t="s">
        <v>797</v>
      </c>
      <c r="E862" t="s">
        <v>832</v>
      </c>
      <c r="F862" t="s">
        <v>833</v>
      </c>
      <c r="G862" t="s">
        <v>64</v>
      </c>
      <c r="H862" t="s">
        <v>30</v>
      </c>
      <c r="I862" t="s">
        <v>52</v>
      </c>
      <c r="J862" t="s">
        <v>855</v>
      </c>
      <c r="K862" t="s">
        <v>856</v>
      </c>
      <c r="L862" t="s">
        <v>32</v>
      </c>
      <c r="M862" t="s">
        <v>33</v>
      </c>
      <c r="P862" t="s">
        <v>34</v>
      </c>
      <c r="Q862" t="s">
        <v>35</v>
      </c>
      <c r="R862" t="s">
        <v>184</v>
      </c>
      <c r="S862" t="s">
        <v>52</v>
      </c>
      <c r="T862" t="s">
        <v>857</v>
      </c>
      <c r="U862" t="s">
        <v>858</v>
      </c>
      <c r="V862" t="s">
        <v>39</v>
      </c>
      <c r="W862" s="1">
        <v>0</v>
      </c>
    </row>
    <row r="863" spans="1:23" x14ac:dyDescent="0.2">
      <c r="A863" t="s">
        <v>23</v>
      </c>
      <c r="B863" t="s">
        <v>24</v>
      </c>
      <c r="C863" t="s">
        <v>25</v>
      </c>
      <c r="D863" t="s">
        <v>797</v>
      </c>
      <c r="E863" t="s">
        <v>832</v>
      </c>
      <c r="F863" t="s">
        <v>833</v>
      </c>
      <c r="G863" t="s">
        <v>64</v>
      </c>
      <c r="H863" t="s">
        <v>30</v>
      </c>
      <c r="I863" t="s">
        <v>52</v>
      </c>
      <c r="J863" t="s">
        <v>855</v>
      </c>
      <c r="K863" t="s">
        <v>856</v>
      </c>
      <c r="L863" t="s">
        <v>32</v>
      </c>
      <c r="M863" t="s">
        <v>33</v>
      </c>
      <c r="P863" t="s">
        <v>34</v>
      </c>
      <c r="Q863" t="s">
        <v>35</v>
      </c>
      <c r="R863" t="s">
        <v>184</v>
      </c>
      <c r="S863" t="s">
        <v>52</v>
      </c>
      <c r="T863" t="s">
        <v>857</v>
      </c>
      <c r="U863" t="s">
        <v>858</v>
      </c>
      <c r="V863" t="s">
        <v>40</v>
      </c>
      <c r="W863" s="1">
        <v>34900000</v>
      </c>
    </row>
    <row r="864" spans="1:23" x14ac:dyDescent="0.2">
      <c r="A864" t="s">
        <v>23</v>
      </c>
      <c r="B864" t="s">
        <v>24</v>
      </c>
      <c r="C864" t="s">
        <v>25</v>
      </c>
      <c r="D864" t="s">
        <v>797</v>
      </c>
      <c r="E864" t="s">
        <v>832</v>
      </c>
      <c r="F864" t="s">
        <v>833</v>
      </c>
      <c r="G864" t="s">
        <v>64</v>
      </c>
      <c r="H864" t="s">
        <v>30</v>
      </c>
      <c r="I864" t="s">
        <v>52</v>
      </c>
      <c r="J864" t="s">
        <v>57</v>
      </c>
      <c r="K864" t="s">
        <v>32</v>
      </c>
      <c r="L864" t="s">
        <v>32</v>
      </c>
      <c r="M864" t="s">
        <v>33</v>
      </c>
      <c r="P864" t="s">
        <v>34</v>
      </c>
      <c r="Q864" t="s">
        <v>35</v>
      </c>
      <c r="S864" t="s">
        <v>52</v>
      </c>
      <c r="T864" t="s">
        <v>859</v>
      </c>
      <c r="U864" t="s">
        <v>860</v>
      </c>
      <c r="V864" t="s">
        <v>39</v>
      </c>
      <c r="W864" s="1">
        <v>0</v>
      </c>
    </row>
    <row r="865" spans="1:23" x14ac:dyDescent="0.2">
      <c r="A865" t="s">
        <v>23</v>
      </c>
      <c r="B865" t="s">
        <v>24</v>
      </c>
      <c r="C865" t="s">
        <v>25</v>
      </c>
      <c r="D865" t="s">
        <v>797</v>
      </c>
      <c r="E865" t="s">
        <v>832</v>
      </c>
      <c r="F865" t="s">
        <v>833</v>
      </c>
      <c r="G865" t="s">
        <v>64</v>
      </c>
      <c r="H865" t="s">
        <v>30</v>
      </c>
      <c r="I865" t="s">
        <v>52</v>
      </c>
      <c r="J865" t="s">
        <v>57</v>
      </c>
      <c r="K865" t="s">
        <v>32</v>
      </c>
      <c r="L865" t="s">
        <v>32</v>
      </c>
      <c r="M865" t="s">
        <v>33</v>
      </c>
      <c r="P865" t="s">
        <v>34</v>
      </c>
      <c r="Q865" t="s">
        <v>35</v>
      </c>
      <c r="S865" t="s">
        <v>52</v>
      </c>
      <c r="T865" t="s">
        <v>859</v>
      </c>
      <c r="U865" t="s">
        <v>860</v>
      </c>
      <c r="V865" t="s">
        <v>40</v>
      </c>
      <c r="W865" s="1">
        <v>11693200</v>
      </c>
    </row>
    <row r="866" spans="1:23" x14ac:dyDescent="0.2">
      <c r="A866" t="s">
        <v>23</v>
      </c>
      <c r="B866" t="s">
        <v>24</v>
      </c>
      <c r="C866" t="s">
        <v>25</v>
      </c>
      <c r="D866" t="s">
        <v>797</v>
      </c>
      <c r="E866" t="s">
        <v>832</v>
      </c>
      <c r="F866" t="s">
        <v>833</v>
      </c>
      <c r="G866" t="s">
        <v>67</v>
      </c>
      <c r="H866" t="s">
        <v>30</v>
      </c>
      <c r="I866" t="s">
        <v>30</v>
      </c>
      <c r="J866" t="s">
        <v>41</v>
      </c>
      <c r="K866" t="s">
        <v>32</v>
      </c>
      <c r="L866" t="s">
        <v>332</v>
      </c>
      <c r="M866" t="s">
        <v>33</v>
      </c>
      <c r="N866" t="s">
        <v>33</v>
      </c>
      <c r="O866" t="s">
        <v>33</v>
      </c>
      <c r="P866" t="s">
        <v>213</v>
      </c>
      <c r="Q866" t="s">
        <v>214</v>
      </c>
      <c r="R866" t="s">
        <v>54</v>
      </c>
      <c r="S866" t="s">
        <v>30</v>
      </c>
      <c r="T866" t="s">
        <v>861</v>
      </c>
      <c r="U866" t="s">
        <v>862</v>
      </c>
      <c r="V866" t="s">
        <v>39</v>
      </c>
      <c r="W866" s="1">
        <v>2</v>
      </c>
    </row>
    <row r="867" spans="1:23" x14ac:dyDescent="0.2">
      <c r="A867" t="s">
        <v>23</v>
      </c>
      <c r="B867" t="s">
        <v>24</v>
      </c>
      <c r="C867" t="s">
        <v>25</v>
      </c>
      <c r="D867" t="s">
        <v>797</v>
      </c>
      <c r="E867" t="s">
        <v>832</v>
      </c>
      <c r="F867" t="s">
        <v>833</v>
      </c>
      <c r="G867" t="s">
        <v>67</v>
      </c>
      <c r="H867" t="s">
        <v>30</v>
      </c>
      <c r="I867" t="s">
        <v>30</v>
      </c>
      <c r="J867" t="s">
        <v>41</v>
      </c>
      <c r="K867" t="s">
        <v>32</v>
      </c>
      <c r="L867" t="s">
        <v>332</v>
      </c>
      <c r="M867" t="s">
        <v>33</v>
      </c>
      <c r="N867" t="s">
        <v>33</v>
      </c>
      <c r="O867" t="s">
        <v>33</v>
      </c>
      <c r="P867" t="s">
        <v>213</v>
      </c>
      <c r="Q867" t="s">
        <v>214</v>
      </c>
      <c r="R867" t="s">
        <v>54</v>
      </c>
      <c r="S867" t="s">
        <v>30</v>
      </c>
      <c r="T867" t="s">
        <v>861</v>
      </c>
      <c r="U867" t="s">
        <v>862</v>
      </c>
      <c r="V867" t="s">
        <v>40</v>
      </c>
      <c r="W867" s="1">
        <v>1740000</v>
      </c>
    </row>
    <row r="868" spans="1:23" x14ac:dyDescent="0.2">
      <c r="A868" t="s">
        <v>23</v>
      </c>
      <c r="B868" t="s">
        <v>24</v>
      </c>
      <c r="C868" t="s">
        <v>25</v>
      </c>
      <c r="D868" t="s">
        <v>797</v>
      </c>
      <c r="E868" t="s">
        <v>832</v>
      </c>
      <c r="F868" t="s">
        <v>833</v>
      </c>
      <c r="G868" t="s">
        <v>67</v>
      </c>
      <c r="H868" t="s">
        <v>30</v>
      </c>
      <c r="I868" t="s">
        <v>30</v>
      </c>
      <c r="J868" t="s">
        <v>41</v>
      </c>
      <c r="K868" t="s">
        <v>32</v>
      </c>
      <c r="L868" t="s">
        <v>32</v>
      </c>
      <c r="M868" t="s">
        <v>33</v>
      </c>
      <c r="N868" t="s">
        <v>33</v>
      </c>
      <c r="O868" t="s">
        <v>33</v>
      </c>
      <c r="P868" t="s">
        <v>213</v>
      </c>
      <c r="Q868" t="s">
        <v>214</v>
      </c>
      <c r="R868" t="s">
        <v>294</v>
      </c>
      <c r="S868" t="s">
        <v>30</v>
      </c>
      <c r="T868" t="s">
        <v>863</v>
      </c>
      <c r="U868" t="s">
        <v>864</v>
      </c>
      <c r="V868" t="s">
        <v>39</v>
      </c>
      <c r="W868" s="1">
        <v>2</v>
      </c>
    </row>
    <row r="869" spans="1:23" x14ac:dyDescent="0.2">
      <c r="A869" t="s">
        <v>23</v>
      </c>
      <c r="B869" t="s">
        <v>24</v>
      </c>
      <c r="C869" t="s">
        <v>25</v>
      </c>
      <c r="D869" t="s">
        <v>797</v>
      </c>
      <c r="E869" t="s">
        <v>832</v>
      </c>
      <c r="F869" t="s">
        <v>833</v>
      </c>
      <c r="G869" t="s">
        <v>67</v>
      </c>
      <c r="H869" t="s">
        <v>30</v>
      </c>
      <c r="I869" t="s">
        <v>30</v>
      </c>
      <c r="J869" t="s">
        <v>41</v>
      </c>
      <c r="K869" t="s">
        <v>32</v>
      </c>
      <c r="L869" t="s">
        <v>32</v>
      </c>
      <c r="M869" t="s">
        <v>33</v>
      </c>
      <c r="N869" t="s">
        <v>33</v>
      </c>
      <c r="O869" t="s">
        <v>33</v>
      </c>
      <c r="P869" t="s">
        <v>213</v>
      </c>
      <c r="Q869" t="s">
        <v>214</v>
      </c>
      <c r="R869" t="s">
        <v>294</v>
      </c>
      <c r="S869" t="s">
        <v>30</v>
      </c>
      <c r="T869" t="s">
        <v>863</v>
      </c>
      <c r="U869" t="s">
        <v>864</v>
      </c>
      <c r="V869" t="s">
        <v>40</v>
      </c>
      <c r="W869" s="1">
        <v>2598000</v>
      </c>
    </row>
    <row r="870" spans="1:23" x14ac:dyDescent="0.2">
      <c r="A870" t="s">
        <v>23</v>
      </c>
      <c r="B870" t="s">
        <v>24</v>
      </c>
      <c r="C870" t="s">
        <v>25</v>
      </c>
      <c r="D870" t="s">
        <v>797</v>
      </c>
      <c r="E870" t="s">
        <v>832</v>
      </c>
      <c r="F870" t="s">
        <v>833</v>
      </c>
      <c r="G870" t="s">
        <v>89</v>
      </c>
      <c r="H870" t="s">
        <v>30</v>
      </c>
      <c r="I870" t="s">
        <v>30</v>
      </c>
      <c r="J870" t="s">
        <v>128</v>
      </c>
      <c r="K870" t="s">
        <v>135</v>
      </c>
      <c r="L870" t="s">
        <v>32</v>
      </c>
      <c r="M870" t="s">
        <v>33</v>
      </c>
      <c r="N870" t="s">
        <v>33</v>
      </c>
      <c r="O870" t="s">
        <v>33</v>
      </c>
      <c r="P870" t="s">
        <v>34</v>
      </c>
      <c r="Q870" t="s">
        <v>35</v>
      </c>
      <c r="R870" t="s">
        <v>136</v>
      </c>
      <c r="S870" t="s">
        <v>30</v>
      </c>
      <c r="T870" t="s">
        <v>865</v>
      </c>
      <c r="U870" t="s">
        <v>866</v>
      </c>
      <c r="V870" t="s">
        <v>39</v>
      </c>
      <c r="W870" s="1">
        <v>6</v>
      </c>
    </row>
    <row r="871" spans="1:23" x14ac:dyDescent="0.2">
      <c r="A871" t="s">
        <v>23</v>
      </c>
      <c r="B871" t="s">
        <v>24</v>
      </c>
      <c r="C871" t="s">
        <v>25</v>
      </c>
      <c r="D871" t="s">
        <v>797</v>
      </c>
      <c r="E871" t="s">
        <v>832</v>
      </c>
      <c r="F871" t="s">
        <v>833</v>
      </c>
      <c r="G871" t="s">
        <v>89</v>
      </c>
      <c r="H871" t="s">
        <v>30</v>
      </c>
      <c r="I871" t="s">
        <v>30</v>
      </c>
      <c r="J871" t="s">
        <v>128</v>
      </c>
      <c r="K871" t="s">
        <v>135</v>
      </c>
      <c r="L871" t="s">
        <v>32</v>
      </c>
      <c r="M871" t="s">
        <v>33</v>
      </c>
      <c r="N871" t="s">
        <v>33</v>
      </c>
      <c r="O871" t="s">
        <v>33</v>
      </c>
      <c r="P871" t="s">
        <v>34</v>
      </c>
      <c r="Q871" t="s">
        <v>35</v>
      </c>
      <c r="R871" t="s">
        <v>136</v>
      </c>
      <c r="S871" t="s">
        <v>30</v>
      </c>
      <c r="T871" t="s">
        <v>865</v>
      </c>
      <c r="U871" t="s">
        <v>866</v>
      </c>
      <c r="V871" t="s">
        <v>40</v>
      </c>
      <c r="W871" s="1">
        <v>6870000</v>
      </c>
    </row>
    <row r="872" spans="1:23" x14ac:dyDescent="0.2">
      <c r="A872" t="s">
        <v>23</v>
      </c>
      <c r="B872" t="s">
        <v>24</v>
      </c>
      <c r="C872" t="s">
        <v>25</v>
      </c>
      <c r="D872" t="s">
        <v>797</v>
      </c>
      <c r="E872" t="s">
        <v>832</v>
      </c>
      <c r="F872" t="s">
        <v>833</v>
      </c>
      <c r="G872" t="s">
        <v>89</v>
      </c>
      <c r="H872" t="s">
        <v>30</v>
      </c>
      <c r="I872" t="s">
        <v>30</v>
      </c>
      <c r="J872" t="s">
        <v>128</v>
      </c>
      <c r="K872" t="s">
        <v>135</v>
      </c>
      <c r="L872" t="s">
        <v>32</v>
      </c>
      <c r="M872" t="s">
        <v>33</v>
      </c>
      <c r="N872" t="s">
        <v>169</v>
      </c>
      <c r="O872" t="s">
        <v>169</v>
      </c>
      <c r="P872" t="s">
        <v>34</v>
      </c>
      <c r="Q872" t="s">
        <v>35</v>
      </c>
      <c r="R872" t="s">
        <v>136</v>
      </c>
      <c r="S872" t="s">
        <v>30</v>
      </c>
      <c r="T872" t="s">
        <v>865</v>
      </c>
      <c r="U872" t="s">
        <v>866</v>
      </c>
      <c r="V872" t="s">
        <v>39</v>
      </c>
      <c r="W872" s="1">
        <v>1</v>
      </c>
    </row>
    <row r="873" spans="1:23" x14ac:dyDescent="0.2">
      <c r="A873" t="s">
        <v>23</v>
      </c>
      <c r="B873" t="s">
        <v>24</v>
      </c>
      <c r="C873" t="s">
        <v>25</v>
      </c>
      <c r="D873" t="s">
        <v>797</v>
      </c>
      <c r="E873" t="s">
        <v>832</v>
      </c>
      <c r="F873" t="s">
        <v>833</v>
      </c>
      <c r="G873" t="s">
        <v>89</v>
      </c>
      <c r="H873" t="s">
        <v>30</v>
      </c>
      <c r="I873" t="s">
        <v>30</v>
      </c>
      <c r="J873" t="s">
        <v>128</v>
      </c>
      <c r="K873" t="s">
        <v>135</v>
      </c>
      <c r="L873" t="s">
        <v>32</v>
      </c>
      <c r="M873" t="s">
        <v>33</v>
      </c>
      <c r="N873" t="s">
        <v>169</v>
      </c>
      <c r="O873" t="s">
        <v>169</v>
      </c>
      <c r="P873" t="s">
        <v>34</v>
      </c>
      <c r="Q873" t="s">
        <v>35</v>
      </c>
      <c r="R873" t="s">
        <v>136</v>
      </c>
      <c r="S873" t="s">
        <v>30</v>
      </c>
      <c r="T873" t="s">
        <v>865</v>
      </c>
      <c r="U873" t="s">
        <v>866</v>
      </c>
      <c r="V873" t="s">
        <v>40</v>
      </c>
      <c r="W873" s="1">
        <v>1145000</v>
      </c>
    </row>
    <row r="874" spans="1:23" x14ac:dyDescent="0.2">
      <c r="A874" t="s">
        <v>23</v>
      </c>
      <c r="B874" t="s">
        <v>24</v>
      </c>
      <c r="C874" t="s">
        <v>25</v>
      </c>
      <c r="D874" t="s">
        <v>797</v>
      </c>
      <c r="E874" t="s">
        <v>832</v>
      </c>
      <c r="F874" t="s">
        <v>833</v>
      </c>
      <c r="G874" t="s">
        <v>89</v>
      </c>
      <c r="H874" t="s">
        <v>30</v>
      </c>
      <c r="I874" t="s">
        <v>30</v>
      </c>
      <c r="J874" t="s">
        <v>128</v>
      </c>
      <c r="K874" t="s">
        <v>135</v>
      </c>
      <c r="L874" t="s">
        <v>32</v>
      </c>
      <c r="M874" t="s">
        <v>176</v>
      </c>
      <c r="N874" t="s">
        <v>176</v>
      </c>
      <c r="O874" t="s">
        <v>176</v>
      </c>
      <c r="P874" t="s">
        <v>34</v>
      </c>
      <c r="Q874" t="s">
        <v>35</v>
      </c>
      <c r="R874" t="s">
        <v>136</v>
      </c>
      <c r="S874" t="s">
        <v>30</v>
      </c>
      <c r="T874" t="s">
        <v>865</v>
      </c>
      <c r="U874" t="s">
        <v>866</v>
      </c>
      <c r="V874" t="s">
        <v>39</v>
      </c>
      <c r="W874" s="1">
        <v>2</v>
      </c>
    </row>
    <row r="875" spans="1:23" x14ac:dyDescent="0.2">
      <c r="A875" t="s">
        <v>23</v>
      </c>
      <c r="B875" t="s">
        <v>24</v>
      </c>
      <c r="C875" t="s">
        <v>25</v>
      </c>
      <c r="D875" t="s">
        <v>797</v>
      </c>
      <c r="E875" t="s">
        <v>832</v>
      </c>
      <c r="F875" t="s">
        <v>833</v>
      </c>
      <c r="G875" t="s">
        <v>89</v>
      </c>
      <c r="H875" t="s">
        <v>30</v>
      </c>
      <c r="I875" t="s">
        <v>30</v>
      </c>
      <c r="J875" t="s">
        <v>128</v>
      </c>
      <c r="K875" t="s">
        <v>135</v>
      </c>
      <c r="L875" t="s">
        <v>32</v>
      </c>
      <c r="M875" t="s">
        <v>176</v>
      </c>
      <c r="N875" t="s">
        <v>176</v>
      </c>
      <c r="O875" t="s">
        <v>176</v>
      </c>
      <c r="P875" t="s">
        <v>34</v>
      </c>
      <c r="Q875" t="s">
        <v>35</v>
      </c>
      <c r="R875" t="s">
        <v>136</v>
      </c>
      <c r="S875" t="s">
        <v>30</v>
      </c>
      <c r="T875" t="s">
        <v>865</v>
      </c>
      <c r="U875" t="s">
        <v>866</v>
      </c>
      <c r="V875" t="s">
        <v>40</v>
      </c>
      <c r="W875" s="1">
        <v>2175500</v>
      </c>
    </row>
    <row r="876" spans="1:23" x14ac:dyDescent="0.2">
      <c r="A876" t="s">
        <v>23</v>
      </c>
      <c r="B876" t="s">
        <v>24</v>
      </c>
      <c r="C876" t="s">
        <v>25</v>
      </c>
      <c r="D876" t="s">
        <v>797</v>
      </c>
      <c r="E876" t="s">
        <v>832</v>
      </c>
      <c r="F876" t="s">
        <v>833</v>
      </c>
      <c r="G876" t="s">
        <v>89</v>
      </c>
      <c r="H876" t="s">
        <v>30</v>
      </c>
      <c r="I876" t="s">
        <v>30</v>
      </c>
      <c r="J876" t="s">
        <v>31</v>
      </c>
      <c r="K876" t="s">
        <v>32</v>
      </c>
      <c r="L876" t="s">
        <v>32</v>
      </c>
      <c r="M876" t="s">
        <v>33</v>
      </c>
      <c r="N876" t="s">
        <v>33</v>
      </c>
      <c r="O876" t="s">
        <v>33</v>
      </c>
      <c r="P876" t="s">
        <v>34</v>
      </c>
      <c r="Q876" t="s">
        <v>35</v>
      </c>
      <c r="R876" t="s">
        <v>36</v>
      </c>
      <c r="S876" t="s">
        <v>30</v>
      </c>
      <c r="T876" t="s">
        <v>867</v>
      </c>
      <c r="U876" t="s">
        <v>868</v>
      </c>
      <c r="V876" t="s">
        <v>39</v>
      </c>
      <c r="W876" s="1">
        <v>2</v>
      </c>
    </row>
    <row r="877" spans="1:23" x14ac:dyDescent="0.2">
      <c r="A877" t="s">
        <v>23</v>
      </c>
      <c r="B877" t="s">
        <v>24</v>
      </c>
      <c r="C877" t="s">
        <v>25</v>
      </c>
      <c r="D877" t="s">
        <v>797</v>
      </c>
      <c r="E877" t="s">
        <v>832</v>
      </c>
      <c r="F877" t="s">
        <v>833</v>
      </c>
      <c r="G877" t="s">
        <v>89</v>
      </c>
      <c r="H877" t="s">
        <v>30</v>
      </c>
      <c r="I877" t="s">
        <v>30</v>
      </c>
      <c r="J877" t="s">
        <v>31</v>
      </c>
      <c r="K877" t="s">
        <v>32</v>
      </c>
      <c r="L877" t="s">
        <v>32</v>
      </c>
      <c r="M877" t="s">
        <v>33</v>
      </c>
      <c r="N877" t="s">
        <v>33</v>
      </c>
      <c r="O877" t="s">
        <v>33</v>
      </c>
      <c r="P877" t="s">
        <v>34</v>
      </c>
      <c r="Q877" t="s">
        <v>35</v>
      </c>
      <c r="R877" t="s">
        <v>36</v>
      </c>
      <c r="S877" t="s">
        <v>30</v>
      </c>
      <c r="T877" t="s">
        <v>867</v>
      </c>
      <c r="U877" t="s">
        <v>868</v>
      </c>
      <c r="V877" t="s">
        <v>40</v>
      </c>
      <c r="W877" s="1">
        <v>3149800</v>
      </c>
    </row>
    <row r="878" spans="1:23" x14ac:dyDescent="0.2">
      <c r="A878" t="s">
        <v>23</v>
      </c>
      <c r="B878" t="s">
        <v>24</v>
      </c>
      <c r="C878" t="s">
        <v>25</v>
      </c>
      <c r="D878" t="s">
        <v>797</v>
      </c>
      <c r="E878" t="s">
        <v>832</v>
      </c>
      <c r="F878" t="s">
        <v>833</v>
      </c>
      <c r="G878" t="s">
        <v>106</v>
      </c>
      <c r="H878" t="s">
        <v>30</v>
      </c>
      <c r="I878" t="s">
        <v>30</v>
      </c>
      <c r="J878" t="s">
        <v>31</v>
      </c>
      <c r="K878" t="s">
        <v>32</v>
      </c>
      <c r="L878" t="s">
        <v>32</v>
      </c>
      <c r="M878" t="s">
        <v>33</v>
      </c>
      <c r="N878" t="s">
        <v>33</v>
      </c>
      <c r="O878" t="s">
        <v>33</v>
      </c>
      <c r="P878" t="s">
        <v>34</v>
      </c>
      <c r="Q878" t="s">
        <v>35</v>
      </c>
      <c r="S878" t="s">
        <v>30</v>
      </c>
      <c r="T878" t="s">
        <v>869</v>
      </c>
      <c r="U878" t="s">
        <v>870</v>
      </c>
      <c r="V878" t="s">
        <v>39</v>
      </c>
      <c r="W878" s="1">
        <v>4</v>
      </c>
    </row>
    <row r="879" spans="1:23" x14ac:dyDescent="0.2">
      <c r="A879" t="s">
        <v>23</v>
      </c>
      <c r="B879" t="s">
        <v>24</v>
      </c>
      <c r="C879" t="s">
        <v>25</v>
      </c>
      <c r="D879" t="s">
        <v>797</v>
      </c>
      <c r="E879" t="s">
        <v>832</v>
      </c>
      <c r="F879" t="s">
        <v>833</v>
      </c>
      <c r="G879" t="s">
        <v>106</v>
      </c>
      <c r="H879" t="s">
        <v>30</v>
      </c>
      <c r="I879" t="s">
        <v>30</v>
      </c>
      <c r="J879" t="s">
        <v>31</v>
      </c>
      <c r="K879" t="s">
        <v>32</v>
      </c>
      <c r="L879" t="s">
        <v>32</v>
      </c>
      <c r="M879" t="s">
        <v>33</v>
      </c>
      <c r="N879" t="s">
        <v>33</v>
      </c>
      <c r="O879" t="s">
        <v>33</v>
      </c>
      <c r="P879" t="s">
        <v>34</v>
      </c>
      <c r="Q879" t="s">
        <v>35</v>
      </c>
      <c r="S879" t="s">
        <v>30</v>
      </c>
      <c r="T879" t="s">
        <v>869</v>
      </c>
      <c r="U879" t="s">
        <v>870</v>
      </c>
      <c r="V879" t="s">
        <v>40</v>
      </c>
      <c r="W879" s="1">
        <v>5396000</v>
      </c>
    </row>
    <row r="880" spans="1:23" x14ac:dyDescent="0.2">
      <c r="A880" t="s">
        <v>23</v>
      </c>
      <c r="B880" t="s">
        <v>24</v>
      </c>
      <c r="C880" t="s">
        <v>25</v>
      </c>
      <c r="D880" t="s">
        <v>797</v>
      </c>
      <c r="E880" t="s">
        <v>832</v>
      </c>
      <c r="F880" t="s">
        <v>833</v>
      </c>
      <c r="G880" t="s">
        <v>106</v>
      </c>
      <c r="H880" t="s">
        <v>30</v>
      </c>
      <c r="I880" t="s">
        <v>30</v>
      </c>
      <c r="J880" t="s">
        <v>31</v>
      </c>
      <c r="K880" t="s">
        <v>32</v>
      </c>
      <c r="L880" t="s">
        <v>32</v>
      </c>
      <c r="M880" t="s">
        <v>33</v>
      </c>
      <c r="P880" t="s">
        <v>34</v>
      </c>
      <c r="Q880" t="s">
        <v>35</v>
      </c>
      <c r="R880" t="s">
        <v>148</v>
      </c>
      <c r="S880" t="s">
        <v>52</v>
      </c>
      <c r="T880" t="s">
        <v>871</v>
      </c>
      <c r="U880" t="s">
        <v>872</v>
      </c>
      <c r="V880" t="s">
        <v>39</v>
      </c>
      <c r="W880" s="1">
        <v>0</v>
      </c>
    </row>
    <row r="881" spans="1:23" x14ac:dyDescent="0.2">
      <c r="A881" t="s">
        <v>23</v>
      </c>
      <c r="B881" t="s">
        <v>24</v>
      </c>
      <c r="C881" t="s">
        <v>25</v>
      </c>
      <c r="D881" t="s">
        <v>797</v>
      </c>
      <c r="E881" t="s">
        <v>832</v>
      </c>
      <c r="F881" t="s">
        <v>833</v>
      </c>
      <c r="G881" t="s">
        <v>106</v>
      </c>
      <c r="H881" t="s">
        <v>30</v>
      </c>
      <c r="I881" t="s">
        <v>30</v>
      </c>
      <c r="J881" t="s">
        <v>31</v>
      </c>
      <c r="K881" t="s">
        <v>32</v>
      </c>
      <c r="L881" t="s">
        <v>32</v>
      </c>
      <c r="M881" t="s">
        <v>33</v>
      </c>
      <c r="P881" t="s">
        <v>34</v>
      </c>
      <c r="Q881" t="s">
        <v>35</v>
      </c>
      <c r="R881" t="s">
        <v>148</v>
      </c>
      <c r="S881" t="s">
        <v>52</v>
      </c>
      <c r="T881" t="s">
        <v>871</v>
      </c>
      <c r="U881" t="s">
        <v>872</v>
      </c>
      <c r="V881" t="s">
        <v>40</v>
      </c>
      <c r="W881" s="1">
        <v>7789800</v>
      </c>
    </row>
    <row r="882" spans="1:23" x14ac:dyDescent="0.2">
      <c r="A882" t="s">
        <v>23</v>
      </c>
      <c r="B882" t="s">
        <v>24</v>
      </c>
      <c r="C882" t="s">
        <v>25</v>
      </c>
      <c r="D882" t="s">
        <v>797</v>
      </c>
      <c r="E882" t="s">
        <v>832</v>
      </c>
      <c r="F882" t="s">
        <v>833</v>
      </c>
      <c r="G882" t="s">
        <v>106</v>
      </c>
      <c r="H882" t="s">
        <v>30</v>
      </c>
      <c r="I882" t="s">
        <v>30</v>
      </c>
      <c r="J882" t="s">
        <v>41</v>
      </c>
      <c r="K882" t="s">
        <v>32</v>
      </c>
      <c r="L882" t="s">
        <v>32</v>
      </c>
      <c r="M882" t="s">
        <v>33</v>
      </c>
      <c r="N882" t="s">
        <v>33</v>
      </c>
      <c r="O882" t="s">
        <v>33</v>
      </c>
      <c r="P882" t="s">
        <v>34</v>
      </c>
      <c r="Q882" t="s">
        <v>35</v>
      </c>
      <c r="R882" t="s">
        <v>162</v>
      </c>
      <c r="S882" t="s">
        <v>30</v>
      </c>
      <c r="T882" t="s">
        <v>873</v>
      </c>
      <c r="U882" t="s">
        <v>874</v>
      </c>
      <c r="V882" t="s">
        <v>39</v>
      </c>
      <c r="W882" s="1">
        <v>2</v>
      </c>
    </row>
    <row r="883" spans="1:23" x14ac:dyDescent="0.2">
      <c r="A883" t="s">
        <v>23</v>
      </c>
      <c r="B883" t="s">
        <v>24</v>
      </c>
      <c r="C883" t="s">
        <v>25</v>
      </c>
      <c r="D883" t="s">
        <v>797</v>
      </c>
      <c r="E883" t="s">
        <v>832</v>
      </c>
      <c r="F883" t="s">
        <v>833</v>
      </c>
      <c r="G883" t="s">
        <v>106</v>
      </c>
      <c r="H883" t="s">
        <v>30</v>
      </c>
      <c r="I883" t="s">
        <v>30</v>
      </c>
      <c r="J883" t="s">
        <v>41</v>
      </c>
      <c r="K883" t="s">
        <v>32</v>
      </c>
      <c r="L883" t="s">
        <v>32</v>
      </c>
      <c r="M883" t="s">
        <v>33</v>
      </c>
      <c r="N883" t="s">
        <v>33</v>
      </c>
      <c r="O883" t="s">
        <v>33</v>
      </c>
      <c r="P883" t="s">
        <v>34</v>
      </c>
      <c r="Q883" t="s">
        <v>35</v>
      </c>
      <c r="R883" t="s">
        <v>162</v>
      </c>
      <c r="S883" t="s">
        <v>30</v>
      </c>
      <c r="T883" t="s">
        <v>873</v>
      </c>
      <c r="U883" t="s">
        <v>874</v>
      </c>
      <c r="V883" t="s">
        <v>40</v>
      </c>
      <c r="W883" s="1">
        <v>6830800</v>
      </c>
    </row>
    <row r="884" spans="1:23" x14ac:dyDescent="0.2">
      <c r="A884" t="s">
        <v>23</v>
      </c>
      <c r="B884" t="s">
        <v>24</v>
      </c>
      <c r="C884" t="s">
        <v>25</v>
      </c>
      <c r="D884" t="s">
        <v>797</v>
      </c>
      <c r="E884" t="s">
        <v>832</v>
      </c>
      <c r="F884" t="s">
        <v>833</v>
      </c>
      <c r="G884" t="s">
        <v>106</v>
      </c>
      <c r="H884" t="s">
        <v>30</v>
      </c>
      <c r="I884" t="s">
        <v>30</v>
      </c>
      <c r="J884" t="s">
        <v>41</v>
      </c>
      <c r="K884" t="s">
        <v>32</v>
      </c>
      <c r="L884" t="s">
        <v>32</v>
      </c>
      <c r="M884" t="s">
        <v>33</v>
      </c>
      <c r="N884" t="s">
        <v>33</v>
      </c>
      <c r="O884" t="s">
        <v>33</v>
      </c>
      <c r="P884" t="s">
        <v>34</v>
      </c>
      <c r="Q884" t="s">
        <v>35</v>
      </c>
      <c r="S884" t="s">
        <v>30</v>
      </c>
      <c r="T884" t="s">
        <v>875</v>
      </c>
      <c r="U884" t="s">
        <v>876</v>
      </c>
      <c r="V884" t="s">
        <v>39</v>
      </c>
      <c r="W884" s="1">
        <v>4</v>
      </c>
    </row>
    <row r="885" spans="1:23" x14ac:dyDescent="0.2">
      <c r="A885" t="s">
        <v>23</v>
      </c>
      <c r="B885" t="s">
        <v>24</v>
      </c>
      <c r="C885" t="s">
        <v>25</v>
      </c>
      <c r="D885" t="s">
        <v>797</v>
      </c>
      <c r="E885" t="s">
        <v>832</v>
      </c>
      <c r="F885" t="s">
        <v>833</v>
      </c>
      <c r="G885" t="s">
        <v>106</v>
      </c>
      <c r="H885" t="s">
        <v>30</v>
      </c>
      <c r="I885" t="s">
        <v>30</v>
      </c>
      <c r="J885" t="s">
        <v>41</v>
      </c>
      <c r="K885" t="s">
        <v>32</v>
      </c>
      <c r="L885" t="s">
        <v>32</v>
      </c>
      <c r="M885" t="s">
        <v>33</v>
      </c>
      <c r="N885" t="s">
        <v>33</v>
      </c>
      <c r="O885" t="s">
        <v>33</v>
      </c>
      <c r="P885" t="s">
        <v>34</v>
      </c>
      <c r="Q885" t="s">
        <v>35</v>
      </c>
      <c r="S885" t="s">
        <v>30</v>
      </c>
      <c r="T885" t="s">
        <v>875</v>
      </c>
      <c r="U885" t="s">
        <v>876</v>
      </c>
      <c r="V885" t="s">
        <v>40</v>
      </c>
      <c r="W885" s="1">
        <v>7199600</v>
      </c>
    </row>
    <row r="886" spans="1:23" x14ac:dyDescent="0.2">
      <c r="A886" t="s">
        <v>23</v>
      </c>
      <c r="B886" t="s">
        <v>24</v>
      </c>
      <c r="C886" t="s">
        <v>25</v>
      </c>
      <c r="D886" t="s">
        <v>797</v>
      </c>
      <c r="E886" t="s">
        <v>832</v>
      </c>
      <c r="F886" t="s">
        <v>833</v>
      </c>
      <c r="G886" t="s">
        <v>119</v>
      </c>
      <c r="H886" t="s">
        <v>30</v>
      </c>
      <c r="I886" t="s">
        <v>52</v>
      </c>
      <c r="J886" t="s">
        <v>128</v>
      </c>
      <c r="K886" t="s">
        <v>135</v>
      </c>
      <c r="L886" t="s">
        <v>32</v>
      </c>
      <c r="M886" t="s">
        <v>33</v>
      </c>
      <c r="N886" t="s">
        <v>33</v>
      </c>
      <c r="O886" t="s">
        <v>33</v>
      </c>
      <c r="P886" t="s">
        <v>213</v>
      </c>
      <c r="Q886" t="s">
        <v>214</v>
      </c>
      <c r="R886" t="s">
        <v>136</v>
      </c>
      <c r="S886" t="s">
        <v>30</v>
      </c>
      <c r="T886" t="s">
        <v>877</v>
      </c>
      <c r="U886" t="s">
        <v>878</v>
      </c>
      <c r="V886" t="s">
        <v>39</v>
      </c>
      <c r="W886" s="1">
        <v>2</v>
      </c>
    </row>
    <row r="887" spans="1:23" x14ac:dyDescent="0.2">
      <c r="A887" t="s">
        <v>23</v>
      </c>
      <c r="B887" t="s">
        <v>24</v>
      </c>
      <c r="C887" t="s">
        <v>25</v>
      </c>
      <c r="D887" t="s">
        <v>797</v>
      </c>
      <c r="E887" t="s">
        <v>832</v>
      </c>
      <c r="F887" t="s">
        <v>833</v>
      </c>
      <c r="G887" t="s">
        <v>119</v>
      </c>
      <c r="H887" t="s">
        <v>30</v>
      </c>
      <c r="I887" t="s">
        <v>52</v>
      </c>
      <c r="J887" t="s">
        <v>128</v>
      </c>
      <c r="K887" t="s">
        <v>135</v>
      </c>
      <c r="L887" t="s">
        <v>32</v>
      </c>
      <c r="M887" t="s">
        <v>33</v>
      </c>
      <c r="N887" t="s">
        <v>33</v>
      </c>
      <c r="O887" t="s">
        <v>33</v>
      </c>
      <c r="P887" t="s">
        <v>213</v>
      </c>
      <c r="Q887" t="s">
        <v>214</v>
      </c>
      <c r="R887" t="s">
        <v>136</v>
      </c>
      <c r="S887" t="s">
        <v>30</v>
      </c>
      <c r="T887" t="s">
        <v>877</v>
      </c>
      <c r="U887" t="s">
        <v>878</v>
      </c>
      <c r="V887" t="s">
        <v>40</v>
      </c>
      <c r="W887" s="1">
        <v>1700000</v>
      </c>
    </row>
    <row r="888" spans="1:23" x14ac:dyDescent="0.2">
      <c r="A888" t="s">
        <v>23</v>
      </c>
      <c r="B888" t="s">
        <v>24</v>
      </c>
      <c r="C888" t="s">
        <v>25</v>
      </c>
      <c r="D888" t="s">
        <v>797</v>
      </c>
      <c r="E888" t="s">
        <v>832</v>
      </c>
      <c r="F888" t="s">
        <v>833</v>
      </c>
      <c r="G888" t="s">
        <v>119</v>
      </c>
      <c r="H888" t="s">
        <v>30</v>
      </c>
      <c r="I888" t="s">
        <v>52</v>
      </c>
      <c r="J888" t="s">
        <v>41</v>
      </c>
      <c r="K888" t="s">
        <v>32</v>
      </c>
      <c r="L888" t="s">
        <v>32</v>
      </c>
      <c r="M888" t="s">
        <v>33</v>
      </c>
      <c r="N888" t="s">
        <v>33</v>
      </c>
      <c r="O888" t="s">
        <v>33</v>
      </c>
      <c r="P888" t="s">
        <v>34</v>
      </c>
      <c r="Q888" t="s">
        <v>35</v>
      </c>
      <c r="R888" t="s">
        <v>54</v>
      </c>
      <c r="S888" t="s">
        <v>30</v>
      </c>
      <c r="T888" t="s">
        <v>879</v>
      </c>
      <c r="U888" t="s">
        <v>880</v>
      </c>
      <c r="V888" t="s">
        <v>39</v>
      </c>
      <c r="W888" s="1">
        <v>1</v>
      </c>
    </row>
    <row r="889" spans="1:23" x14ac:dyDescent="0.2">
      <c r="A889" t="s">
        <v>23</v>
      </c>
      <c r="B889" t="s">
        <v>24</v>
      </c>
      <c r="C889" t="s">
        <v>25</v>
      </c>
      <c r="D889" t="s">
        <v>797</v>
      </c>
      <c r="E889" t="s">
        <v>832</v>
      </c>
      <c r="F889" t="s">
        <v>833</v>
      </c>
      <c r="G889" t="s">
        <v>119</v>
      </c>
      <c r="H889" t="s">
        <v>30</v>
      </c>
      <c r="I889" t="s">
        <v>52</v>
      </c>
      <c r="J889" t="s">
        <v>41</v>
      </c>
      <c r="K889" t="s">
        <v>32</v>
      </c>
      <c r="L889" t="s">
        <v>32</v>
      </c>
      <c r="M889" t="s">
        <v>33</v>
      </c>
      <c r="N889" t="s">
        <v>33</v>
      </c>
      <c r="O889" t="s">
        <v>33</v>
      </c>
      <c r="P889" t="s">
        <v>34</v>
      </c>
      <c r="Q889" t="s">
        <v>35</v>
      </c>
      <c r="R889" t="s">
        <v>54</v>
      </c>
      <c r="S889" t="s">
        <v>30</v>
      </c>
      <c r="T889" t="s">
        <v>879</v>
      </c>
      <c r="U889" t="s">
        <v>880</v>
      </c>
      <c r="V889" t="s">
        <v>40</v>
      </c>
      <c r="W889" s="1">
        <v>1041100</v>
      </c>
    </row>
    <row r="890" spans="1:23" x14ac:dyDescent="0.2">
      <c r="A890" t="s">
        <v>23</v>
      </c>
      <c r="B890" t="s">
        <v>24</v>
      </c>
      <c r="C890" t="s">
        <v>25</v>
      </c>
      <c r="D890" t="s">
        <v>797</v>
      </c>
      <c r="E890" t="s">
        <v>832</v>
      </c>
      <c r="F890" t="s">
        <v>833</v>
      </c>
      <c r="G890" t="s">
        <v>119</v>
      </c>
      <c r="H890" t="s">
        <v>30</v>
      </c>
      <c r="I890" t="s">
        <v>52</v>
      </c>
      <c r="J890" t="s">
        <v>41</v>
      </c>
      <c r="K890" t="s">
        <v>32</v>
      </c>
      <c r="L890" t="s">
        <v>32</v>
      </c>
      <c r="M890" t="s">
        <v>33</v>
      </c>
      <c r="P890" t="s">
        <v>34</v>
      </c>
      <c r="Q890" t="s">
        <v>35</v>
      </c>
      <c r="R890" t="s">
        <v>54</v>
      </c>
      <c r="S890" t="s">
        <v>30</v>
      </c>
      <c r="T890" t="s">
        <v>879</v>
      </c>
      <c r="U890" t="s">
        <v>880</v>
      </c>
      <c r="V890" t="s">
        <v>39</v>
      </c>
      <c r="W890" s="1">
        <v>5</v>
      </c>
    </row>
    <row r="891" spans="1:23" x14ac:dyDescent="0.2">
      <c r="A891" t="s">
        <v>23</v>
      </c>
      <c r="B891" t="s">
        <v>24</v>
      </c>
      <c r="C891" t="s">
        <v>25</v>
      </c>
      <c r="D891" t="s">
        <v>797</v>
      </c>
      <c r="E891" t="s">
        <v>832</v>
      </c>
      <c r="F891" t="s">
        <v>833</v>
      </c>
      <c r="G891" t="s">
        <v>119</v>
      </c>
      <c r="H891" t="s">
        <v>30</v>
      </c>
      <c r="I891" t="s">
        <v>52</v>
      </c>
      <c r="J891" t="s">
        <v>41</v>
      </c>
      <c r="K891" t="s">
        <v>32</v>
      </c>
      <c r="L891" t="s">
        <v>32</v>
      </c>
      <c r="M891" t="s">
        <v>33</v>
      </c>
      <c r="P891" t="s">
        <v>34</v>
      </c>
      <c r="Q891" t="s">
        <v>35</v>
      </c>
      <c r="R891" t="s">
        <v>54</v>
      </c>
      <c r="S891" t="s">
        <v>30</v>
      </c>
      <c r="T891" t="s">
        <v>879</v>
      </c>
      <c r="U891" t="s">
        <v>880</v>
      </c>
      <c r="V891" t="s">
        <v>40</v>
      </c>
      <c r="W891" s="1">
        <v>5205500</v>
      </c>
    </row>
    <row r="892" spans="1:23" x14ac:dyDescent="0.2">
      <c r="A892" t="s">
        <v>23</v>
      </c>
      <c r="B892" t="s">
        <v>24</v>
      </c>
      <c r="C892" t="s">
        <v>25</v>
      </c>
      <c r="D892" t="s">
        <v>797</v>
      </c>
      <c r="E892" t="s">
        <v>832</v>
      </c>
      <c r="F892" t="s">
        <v>833</v>
      </c>
      <c r="G892" t="s">
        <v>127</v>
      </c>
      <c r="H892" t="s">
        <v>52</v>
      </c>
      <c r="I892" t="s">
        <v>30</v>
      </c>
      <c r="J892" t="s">
        <v>31</v>
      </c>
      <c r="K892" t="s">
        <v>32</v>
      </c>
      <c r="L892" t="s">
        <v>32</v>
      </c>
      <c r="M892" t="s">
        <v>33</v>
      </c>
      <c r="N892" t="s">
        <v>33</v>
      </c>
      <c r="O892" t="s">
        <v>33</v>
      </c>
      <c r="P892" t="s">
        <v>213</v>
      </c>
      <c r="Q892" t="s">
        <v>214</v>
      </c>
      <c r="R892" t="s">
        <v>228</v>
      </c>
      <c r="S892" t="s">
        <v>30</v>
      </c>
      <c r="T892" t="s">
        <v>881</v>
      </c>
      <c r="U892" t="s">
        <v>882</v>
      </c>
      <c r="V892" t="s">
        <v>39</v>
      </c>
      <c r="W892" s="1">
        <v>1</v>
      </c>
    </row>
    <row r="893" spans="1:23" x14ac:dyDescent="0.2">
      <c r="A893" t="s">
        <v>23</v>
      </c>
      <c r="B893" t="s">
        <v>24</v>
      </c>
      <c r="C893" t="s">
        <v>25</v>
      </c>
      <c r="D893" t="s">
        <v>797</v>
      </c>
      <c r="E893" t="s">
        <v>832</v>
      </c>
      <c r="F893" t="s">
        <v>833</v>
      </c>
      <c r="G893" t="s">
        <v>127</v>
      </c>
      <c r="H893" t="s">
        <v>52</v>
      </c>
      <c r="I893" t="s">
        <v>30</v>
      </c>
      <c r="J893" t="s">
        <v>31</v>
      </c>
      <c r="K893" t="s">
        <v>32</v>
      </c>
      <c r="L893" t="s">
        <v>32</v>
      </c>
      <c r="M893" t="s">
        <v>33</v>
      </c>
      <c r="N893" t="s">
        <v>33</v>
      </c>
      <c r="O893" t="s">
        <v>33</v>
      </c>
      <c r="P893" t="s">
        <v>213</v>
      </c>
      <c r="Q893" t="s">
        <v>214</v>
      </c>
      <c r="R893" t="s">
        <v>228</v>
      </c>
      <c r="S893" t="s">
        <v>30</v>
      </c>
      <c r="T893" t="s">
        <v>881</v>
      </c>
      <c r="U893" t="s">
        <v>882</v>
      </c>
      <c r="V893" t="s">
        <v>40</v>
      </c>
      <c r="W893" s="1">
        <v>661600</v>
      </c>
    </row>
    <row r="894" spans="1:23" x14ac:dyDescent="0.2">
      <c r="A894" t="s">
        <v>23</v>
      </c>
      <c r="B894" t="s">
        <v>24</v>
      </c>
      <c r="C894" t="s">
        <v>25</v>
      </c>
      <c r="D894" t="s">
        <v>797</v>
      </c>
      <c r="E894" t="s">
        <v>832</v>
      </c>
      <c r="F894" t="s">
        <v>833</v>
      </c>
      <c r="G894" t="s">
        <v>127</v>
      </c>
      <c r="H894" t="s">
        <v>52</v>
      </c>
      <c r="I894" t="s">
        <v>30</v>
      </c>
      <c r="J894" t="s">
        <v>31</v>
      </c>
      <c r="K894" t="s">
        <v>32</v>
      </c>
      <c r="L894" t="s">
        <v>32</v>
      </c>
      <c r="M894" t="s">
        <v>33</v>
      </c>
      <c r="N894" t="s">
        <v>33</v>
      </c>
      <c r="O894" t="s">
        <v>33</v>
      </c>
      <c r="P894" t="s">
        <v>213</v>
      </c>
      <c r="Q894" t="s">
        <v>214</v>
      </c>
      <c r="R894" t="s">
        <v>173</v>
      </c>
      <c r="S894" t="s">
        <v>30</v>
      </c>
      <c r="T894" t="s">
        <v>883</v>
      </c>
      <c r="U894" t="s">
        <v>884</v>
      </c>
      <c r="V894" t="s">
        <v>39</v>
      </c>
      <c r="W894" s="1">
        <v>4</v>
      </c>
    </row>
    <row r="895" spans="1:23" x14ac:dyDescent="0.2">
      <c r="A895" t="s">
        <v>23</v>
      </c>
      <c r="B895" t="s">
        <v>24</v>
      </c>
      <c r="C895" t="s">
        <v>25</v>
      </c>
      <c r="D895" t="s">
        <v>797</v>
      </c>
      <c r="E895" t="s">
        <v>832</v>
      </c>
      <c r="F895" t="s">
        <v>833</v>
      </c>
      <c r="G895" t="s">
        <v>127</v>
      </c>
      <c r="H895" t="s">
        <v>52</v>
      </c>
      <c r="I895" t="s">
        <v>30</v>
      </c>
      <c r="J895" t="s">
        <v>31</v>
      </c>
      <c r="K895" t="s">
        <v>32</v>
      </c>
      <c r="L895" t="s">
        <v>32</v>
      </c>
      <c r="M895" t="s">
        <v>33</v>
      </c>
      <c r="N895" t="s">
        <v>33</v>
      </c>
      <c r="O895" t="s">
        <v>33</v>
      </c>
      <c r="P895" t="s">
        <v>213</v>
      </c>
      <c r="Q895" t="s">
        <v>214</v>
      </c>
      <c r="R895" t="s">
        <v>173</v>
      </c>
      <c r="S895" t="s">
        <v>30</v>
      </c>
      <c r="T895" t="s">
        <v>883</v>
      </c>
      <c r="U895" t="s">
        <v>884</v>
      </c>
      <c r="V895" t="s">
        <v>40</v>
      </c>
      <c r="W895" s="1">
        <v>2719600</v>
      </c>
    </row>
    <row r="896" spans="1:23" x14ac:dyDescent="0.2">
      <c r="A896" t="s">
        <v>23</v>
      </c>
      <c r="B896" t="s">
        <v>24</v>
      </c>
      <c r="C896" t="s">
        <v>25</v>
      </c>
      <c r="D896" t="s">
        <v>797</v>
      </c>
      <c r="E896" t="s">
        <v>832</v>
      </c>
      <c r="F896" t="s">
        <v>833</v>
      </c>
      <c r="G896" t="s">
        <v>127</v>
      </c>
      <c r="H896" t="s">
        <v>52</v>
      </c>
      <c r="I896" t="s">
        <v>30</v>
      </c>
      <c r="J896" t="s">
        <v>31</v>
      </c>
      <c r="K896" t="s">
        <v>32</v>
      </c>
      <c r="L896" t="s">
        <v>32</v>
      </c>
      <c r="M896" t="s">
        <v>33</v>
      </c>
      <c r="P896" t="s">
        <v>213</v>
      </c>
      <c r="Q896" t="s">
        <v>214</v>
      </c>
      <c r="R896" t="s">
        <v>228</v>
      </c>
      <c r="S896" t="s">
        <v>30</v>
      </c>
      <c r="T896" t="s">
        <v>881</v>
      </c>
      <c r="U896" t="s">
        <v>882</v>
      </c>
      <c r="V896" t="s">
        <v>39</v>
      </c>
      <c r="W896" s="1">
        <v>3</v>
      </c>
    </row>
    <row r="897" spans="1:23" x14ac:dyDescent="0.2">
      <c r="A897" t="s">
        <v>23</v>
      </c>
      <c r="B897" t="s">
        <v>24</v>
      </c>
      <c r="C897" t="s">
        <v>25</v>
      </c>
      <c r="D897" t="s">
        <v>797</v>
      </c>
      <c r="E897" t="s">
        <v>832</v>
      </c>
      <c r="F897" t="s">
        <v>833</v>
      </c>
      <c r="G897" t="s">
        <v>127</v>
      </c>
      <c r="H897" t="s">
        <v>52</v>
      </c>
      <c r="I897" t="s">
        <v>30</v>
      </c>
      <c r="J897" t="s">
        <v>31</v>
      </c>
      <c r="K897" t="s">
        <v>32</v>
      </c>
      <c r="L897" t="s">
        <v>32</v>
      </c>
      <c r="M897" t="s">
        <v>33</v>
      </c>
      <c r="P897" t="s">
        <v>213</v>
      </c>
      <c r="Q897" t="s">
        <v>214</v>
      </c>
      <c r="R897" t="s">
        <v>228</v>
      </c>
      <c r="S897" t="s">
        <v>30</v>
      </c>
      <c r="T897" t="s">
        <v>881</v>
      </c>
      <c r="U897" t="s">
        <v>882</v>
      </c>
      <c r="V897" t="s">
        <v>40</v>
      </c>
      <c r="W897" s="1">
        <v>1984800</v>
      </c>
    </row>
    <row r="898" spans="1:23" x14ac:dyDescent="0.2">
      <c r="A898" t="s">
        <v>23</v>
      </c>
      <c r="B898" t="s">
        <v>24</v>
      </c>
      <c r="C898" t="s">
        <v>25</v>
      </c>
      <c r="D898" t="s">
        <v>797</v>
      </c>
      <c r="E898" t="s">
        <v>832</v>
      </c>
      <c r="F898" t="s">
        <v>833</v>
      </c>
      <c r="G898" t="s">
        <v>127</v>
      </c>
      <c r="H898" t="s">
        <v>52</v>
      </c>
      <c r="I898" t="s">
        <v>30</v>
      </c>
      <c r="J898" t="s">
        <v>31</v>
      </c>
      <c r="K898" t="s">
        <v>32</v>
      </c>
      <c r="L898" t="s">
        <v>32</v>
      </c>
      <c r="M898" t="s">
        <v>33</v>
      </c>
      <c r="P898" t="s">
        <v>213</v>
      </c>
      <c r="Q898" t="s">
        <v>214</v>
      </c>
      <c r="R898" t="s">
        <v>173</v>
      </c>
      <c r="S898" t="s">
        <v>52</v>
      </c>
      <c r="T898" t="s">
        <v>883</v>
      </c>
      <c r="U898" t="s">
        <v>884</v>
      </c>
      <c r="V898" t="s">
        <v>39</v>
      </c>
      <c r="W898" s="1">
        <v>0</v>
      </c>
    </row>
    <row r="899" spans="1:23" x14ac:dyDescent="0.2">
      <c r="A899" t="s">
        <v>23</v>
      </c>
      <c r="B899" t="s">
        <v>24</v>
      </c>
      <c r="C899" t="s">
        <v>25</v>
      </c>
      <c r="D899" t="s">
        <v>797</v>
      </c>
      <c r="E899" t="s">
        <v>832</v>
      </c>
      <c r="F899" t="s">
        <v>833</v>
      </c>
      <c r="G899" t="s">
        <v>127</v>
      </c>
      <c r="H899" t="s">
        <v>52</v>
      </c>
      <c r="I899" t="s">
        <v>30</v>
      </c>
      <c r="J899" t="s">
        <v>31</v>
      </c>
      <c r="K899" t="s">
        <v>32</v>
      </c>
      <c r="L899" t="s">
        <v>32</v>
      </c>
      <c r="M899" t="s">
        <v>33</v>
      </c>
      <c r="P899" t="s">
        <v>213</v>
      </c>
      <c r="Q899" t="s">
        <v>214</v>
      </c>
      <c r="R899" t="s">
        <v>173</v>
      </c>
      <c r="S899" t="s">
        <v>52</v>
      </c>
      <c r="T899" t="s">
        <v>883</v>
      </c>
      <c r="U899" t="s">
        <v>884</v>
      </c>
      <c r="V899" t="s">
        <v>40</v>
      </c>
      <c r="W899" s="1">
        <v>1359800</v>
      </c>
    </row>
    <row r="900" spans="1:23" x14ac:dyDescent="0.2">
      <c r="A900" t="s">
        <v>23</v>
      </c>
      <c r="B900" t="s">
        <v>24</v>
      </c>
      <c r="C900" t="s">
        <v>25</v>
      </c>
      <c r="D900" t="s">
        <v>797</v>
      </c>
      <c r="E900" t="s">
        <v>832</v>
      </c>
      <c r="F900" t="s">
        <v>833</v>
      </c>
      <c r="G900" t="s">
        <v>139</v>
      </c>
      <c r="H900" t="s">
        <v>30</v>
      </c>
      <c r="I900" t="s">
        <v>30</v>
      </c>
      <c r="J900" t="s">
        <v>128</v>
      </c>
      <c r="K900" t="s">
        <v>135</v>
      </c>
      <c r="L900" t="s">
        <v>32</v>
      </c>
      <c r="M900" t="s">
        <v>33</v>
      </c>
      <c r="N900" t="s">
        <v>33</v>
      </c>
      <c r="O900" t="s">
        <v>33</v>
      </c>
      <c r="P900" t="s">
        <v>34</v>
      </c>
      <c r="Q900" t="s">
        <v>35</v>
      </c>
      <c r="R900" t="s">
        <v>136</v>
      </c>
      <c r="S900" t="s">
        <v>30</v>
      </c>
      <c r="T900" t="s">
        <v>885</v>
      </c>
      <c r="U900" t="s">
        <v>886</v>
      </c>
      <c r="V900" t="s">
        <v>39</v>
      </c>
      <c r="W900" s="1">
        <v>1</v>
      </c>
    </row>
    <row r="901" spans="1:23" x14ac:dyDescent="0.2">
      <c r="A901" t="s">
        <v>23</v>
      </c>
      <c r="B901" t="s">
        <v>24</v>
      </c>
      <c r="C901" t="s">
        <v>25</v>
      </c>
      <c r="D901" t="s">
        <v>797</v>
      </c>
      <c r="E901" t="s">
        <v>832</v>
      </c>
      <c r="F901" t="s">
        <v>833</v>
      </c>
      <c r="G901" t="s">
        <v>139</v>
      </c>
      <c r="H901" t="s">
        <v>30</v>
      </c>
      <c r="I901" t="s">
        <v>30</v>
      </c>
      <c r="J901" t="s">
        <v>128</v>
      </c>
      <c r="K901" t="s">
        <v>135</v>
      </c>
      <c r="L901" t="s">
        <v>32</v>
      </c>
      <c r="M901" t="s">
        <v>33</v>
      </c>
      <c r="N901" t="s">
        <v>33</v>
      </c>
      <c r="O901" t="s">
        <v>33</v>
      </c>
      <c r="P901" t="s">
        <v>34</v>
      </c>
      <c r="Q901" t="s">
        <v>35</v>
      </c>
      <c r="R901" t="s">
        <v>136</v>
      </c>
      <c r="S901" t="s">
        <v>30</v>
      </c>
      <c r="T901" t="s">
        <v>885</v>
      </c>
      <c r="U901" t="s">
        <v>886</v>
      </c>
      <c r="V901" t="s">
        <v>40</v>
      </c>
      <c r="W901" s="1">
        <v>332700</v>
      </c>
    </row>
    <row r="902" spans="1:23" x14ac:dyDescent="0.2">
      <c r="A902" t="s">
        <v>23</v>
      </c>
      <c r="B902" t="s">
        <v>24</v>
      </c>
      <c r="C902" t="s">
        <v>25</v>
      </c>
      <c r="D902" t="s">
        <v>797</v>
      </c>
      <c r="E902" t="s">
        <v>832</v>
      </c>
      <c r="F902" t="s">
        <v>833</v>
      </c>
      <c r="G902" t="s">
        <v>139</v>
      </c>
      <c r="H902" t="s">
        <v>30</v>
      </c>
      <c r="I902" t="s">
        <v>30</v>
      </c>
      <c r="J902" t="s">
        <v>128</v>
      </c>
      <c r="K902" t="s">
        <v>135</v>
      </c>
      <c r="L902" t="s">
        <v>32</v>
      </c>
      <c r="M902" t="s">
        <v>33</v>
      </c>
      <c r="P902" t="s">
        <v>34</v>
      </c>
      <c r="Q902" t="s">
        <v>35</v>
      </c>
      <c r="R902" t="s">
        <v>136</v>
      </c>
      <c r="S902" t="s">
        <v>30</v>
      </c>
      <c r="T902" t="s">
        <v>885</v>
      </c>
      <c r="U902" t="s">
        <v>886</v>
      </c>
      <c r="V902" t="s">
        <v>39</v>
      </c>
      <c r="W902" s="1">
        <v>1</v>
      </c>
    </row>
    <row r="903" spans="1:23" x14ac:dyDescent="0.2">
      <c r="A903" t="s">
        <v>23</v>
      </c>
      <c r="B903" t="s">
        <v>24</v>
      </c>
      <c r="C903" t="s">
        <v>25</v>
      </c>
      <c r="D903" t="s">
        <v>797</v>
      </c>
      <c r="E903" t="s">
        <v>832</v>
      </c>
      <c r="F903" t="s">
        <v>833</v>
      </c>
      <c r="G903" t="s">
        <v>139</v>
      </c>
      <c r="H903" t="s">
        <v>30</v>
      </c>
      <c r="I903" t="s">
        <v>30</v>
      </c>
      <c r="J903" t="s">
        <v>128</v>
      </c>
      <c r="K903" t="s">
        <v>135</v>
      </c>
      <c r="L903" t="s">
        <v>32</v>
      </c>
      <c r="M903" t="s">
        <v>33</v>
      </c>
      <c r="P903" t="s">
        <v>34</v>
      </c>
      <c r="Q903" t="s">
        <v>35</v>
      </c>
      <c r="R903" t="s">
        <v>136</v>
      </c>
      <c r="S903" t="s">
        <v>30</v>
      </c>
      <c r="T903" t="s">
        <v>885</v>
      </c>
      <c r="U903" t="s">
        <v>886</v>
      </c>
      <c r="V903" t="s">
        <v>40</v>
      </c>
      <c r="W903" s="1">
        <v>332700</v>
      </c>
    </row>
    <row r="904" spans="1:23" x14ac:dyDescent="0.2">
      <c r="A904" t="s">
        <v>23</v>
      </c>
      <c r="B904" t="s">
        <v>24</v>
      </c>
      <c r="C904" t="s">
        <v>25</v>
      </c>
      <c r="D904" t="s">
        <v>797</v>
      </c>
      <c r="E904" t="s">
        <v>832</v>
      </c>
      <c r="F904" t="s">
        <v>833</v>
      </c>
      <c r="G904" t="s">
        <v>139</v>
      </c>
      <c r="H904" t="s">
        <v>30</v>
      </c>
      <c r="I904" t="s">
        <v>30</v>
      </c>
      <c r="J904" t="s">
        <v>31</v>
      </c>
      <c r="K904" t="s">
        <v>32</v>
      </c>
      <c r="L904" t="s">
        <v>32</v>
      </c>
      <c r="M904" t="s">
        <v>33</v>
      </c>
      <c r="N904" t="s">
        <v>33</v>
      </c>
      <c r="O904" t="s">
        <v>33</v>
      </c>
      <c r="P904" t="s">
        <v>34</v>
      </c>
      <c r="Q904" t="s">
        <v>35</v>
      </c>
      <c r="R904" t="s">
        <v>148</v>
      </c>
      <c r="S904" t="s">
        <v>30</v>
      </c>
      <c r="T904" t="s">
        <v>887</v>
      </c>
      <c r="U904" t="s">
        <v>888</v>
      </c>
      <c r="V904" t="s">
        <v>39</v>
      </c>
      <c r="W904" s="1">
        <v>2</v>
      </c>
    </row>
    <row r="905" spans="1:23" x14ac:dyDescent="0.2">
      <c r="A905" t="s">
        <v>23</v>
      </c>
      <c r="B905" t="s">
        <v>24</v>
      </c>
      <c r="C905" t="s">
        <v>25</v>
      </c>
      <c r="D905" t="s">
        <v>797</v>
      </c>
      <c r="E905" t="s">
        <v>832</v>
      </c>
      <c r="F905" t="s">
        <v>833</v>
      </c>
      <c r="G905" t="s">
        <v>139</v>
      </c>
      <c r="H905" t="s">
        <v>30</v>
      </c>
      <c r="I905" t="s">
        <v>30</v>
      </c>
      <c r="J905" t="s">
        <v>31</v>
      </c>
      <c r="K905" t="s">
        <v>32</v>
      </c>
      <c r="L905" t="s">
        <v>32</v>
      </c>
      <c r="M905" t="s">
        <v>33</v>
      </c>
      <c r="N905" t="s">
        <v>33</v>
      </c>
      <c r="O905" t="s">
        <v>33</v>
      </c>
      <c r="P905" t="s">
        <v>34</v>
      </c>
      <c r="Q905" t="s">
        <v>35</v>
      </c>
      <c r="R905" t="s">
        <v>148</v>
      </c>
      <c r="S905" t="s">
        <v>30</v>
      </c>
      <c r="T905" t="s">
        <v>887</v>
      </c>
      <c r="U905" t="s">
        <v>888</v>
      </c>
      <c r="V905" t="s">
        <v>40</v>
      </c>
      <c r="W905" s="1">
        <v>4293200</v>
      </c>
    </row>
    <row r="906" spans="1:23" x14ac:dyDescent="0.2">
      <c r="A906" t="s">
        <v>23</v>
      </c>
      <c r="B906" t="s">
        <v>24</v>
      </c>
      <c r="C906" t="s">
        <v>25</v>
      </c>
      <c r="D906" t="s">
        <v>797</v>
      </c>
      <c r="E906" t="s">
        <v>832</v>
      </c>
      <c r="F906" t="s">
        <v>833</v>
      </c>
      <c r="G906" t="s">
        <v>139</v>
      </c>
      <c r="H906" t="s">
        <v>30</v>
      </c>
      <c r="I906" t="s">
        <v>30</v>
      </c>
      <c r="J906" t="s">
        <v>31</v>
      </c>
      <c r="K906" t="s">
        <v>32</v>
      </c>
      <c r="L906" t="s">
        <v>32</v>
      </c>
      <c r="M906" t="s">
        <v>33</v>
      </c>
      <c r="P906" t="s">
        <v>34</v>
      </c>
      <c r="Q906" t="s">
        <v>35</v>
      </c>
      <c r="R906" t="s">
        <v>173</v>
      </c>
      <c r="S906" t="s">
        <v>30</v>
      </c>
      <c r="T906" t="s">
        <v>889</v>
      </c>
      <c r="U906" t="s">
        <v>890</v>
      </c>
      <c r="V906" t="s">
        <v>39</v>
      </c>
      <c r="W906" s="1">
        <v>4</v>
      </c>
    </row>
    <row r="907" spans="1:23" x14ac:dyDescent="0.2">
      <c r="A907" t="s">
        <v>23</v>
      </c>
      <c r="B907" t="s">
        <v>24</v>
      </c>
      <c r="C907" t="s">
        <v>25</v>
      </c>
      <c r="D907" t="s">
        <v>797</v>
      </c>
      <c r="E907" t="s">
        <v>832</v>
      </c>
      <c r="F907" t="s">
        <v>833</v>
      </c>
      <c r="G907" t="s">
        <v>139</v>
      </c>
      <c r="H907" t="s">
        <v>30</v>
      </c>
      <c r="I907" t="s">
        <v>30</v>
      </c>
      <c r="J907" t="s">
        <v>31</v>
      </c>
      <c r="K907" t="s">
        <v>32</v>
      </c>
      <c r="L907" t="s">
        <v>32</v>
      </c>
      <c r="M907" t="s">
        <v>33</v>
      </c>
      <c r="P907" t="s">
        <v>34</v>
      </c>
      <c r="Q907" t="s">
        <v>35</v>
      </c>
      <c r="R907" t="s">
        <v>173</v>
      </c>
      <c r="S907" t="s">
        <v>30</v>
      </c>
      <c r="T907" t="s">
        <v>889</v>
      </c>
      <c r="U907" t="s">
        <v>890</v>
      </c>
      <c r="V907" t="s">
        <v>40</v>
      </c>
      <c r="W907" s="1">
        <v>1372000</v>
      </c>
    </row>
    <row r="908" spans="1:23" x14ac:dyDescent="0.2">
      <c r="A908" t="s">
        <v>23</v>
      </c>
      <c r="B908" t="s">
        <v>24</v>
      </c>
      <c r="C908" t="s">
        <v>25</v>
      </c>
      <c r="D908" t="s">
        <v>797</v>
      </c>
      <c r="E908" t="s">
        <v>832</v>
      </c>
      <c r="F908" t="s">
        <v>833</v>
      </c>
      <c r="G908" t="s">
        <v>139</v>
      </c>
      <c r="H908" t="s">
        <v>30</v>
      </c>
      <c r="I908" t="s">
        <v>30</v>
      </c>
      <c r="J908" t="s">
        <v>41</v>
      </c>
      <c r="K908" t="s">
        <v>32</v>
      </c>
      <c r="L908" t="s">
        <v>32</v>
      </c>
      <c r="M908" t="s">
        <v>33</v>
      </c>
      <c r="N908" t="s">
        <v>33</v>
      </c>
      <c r="O908" t="s">
        <v>33</v>
      </c>
      <c r="P908" t="s">
        <v>34</v>
      </c>
      <c r="Q908" t="s">
        <v>35</v>
      </c>
      <c r="R908" t="s">
        <v>184</v>
      </c>
      <c r="S908" t="s">
        <v>30</v>
      </c>
      <c r="T908" t="s">
        <v>891</v>
      </c>
      <c r="U908" t="s">
        <v>892</v>
      </c>
      <c r="V908" t="s">
        <v>39</v>
      </c>
      <c r="W908" s="1">
        <v>2</v>
      </c>
    </row>
    <row r="909" spans="1:23" x14ac:dyDescent="0.2">
      <c r="A909" t="s">
        <v>23</v>
      </c>
      <c r="B909" t="s">
        <v>24</v>
      </c>
      <c r="C909" t="s">
        <v>25</v>
      </c>
      <c r="D909" t="s">
        <v>797</v>
      </c>
      <c r="E909" t="s">
        <v>832</v>
      </c>
      <c r="F909" t="s">
        <v>833</v>
      </c>
      <c r="G909" t="s">
        <v>139</v>
      </c>
      <c r="H909" t="s">
        <v>30</v>
      </c>
      <c r="I909" t="s">
        <v>30</v>
      </c>
      <c r="J909" t="s">
        <v>41</v>
      </c>
      <c r="K909" t="s">
        <v>32</v>
      </c>
      <c r="L909" t="s">
        <v>32</v>
      </c>
      <c r="M909" t="s">
        <v>33</v>
      </c>
      <c r="N909" t="s">
        <v>33</v>
      </c>
      <c r="O909" t="s">
        <v>33</v>
      </c>
      <c r="P909" t="s">
        <v>34</v>
      </c>
      <c r="Q909" t="s">
        <v>35</v>
      </c>
      <c r="R909" t="s">
        <v>184</v>
      </c>
      <c r="S909" t="s">
        <v>30</v>
      </c>
      <c r="T909" t="s">
        <v>891</v>
      </c>
      <c r="U909" t="s">
        <v>892</v>
      </c>
      <c r="V909" t="s">
        <v>40</v>
      </c>
      <c r="W909" s="1">
        <v>3216000</v>
      </c>
    </row>
    <row r="910" spans="1:23" x14ac:dyDescent="0.2">
      <c r="A910" t="s">
        <v>23</v>
      </c>
      <c r="B910" t="s">
        <v>24</v>
      </c>
      <c r="C910" t="s">
        <v>25</v>
      </c>
      <c r="D910" t="s">
        <v>797</v>
      </c>
      <c r="E910" t="s">
        <v>832</v>
      </c>
      <c r="F910" t="s">
        <v>833</v>
      </c>
      <c r="G910" t="s">
        <v>139</v>
      </c>
      <c r="H910" t="s">
        <v>30</v>
      </c>
      <c r="I910" t="s">
        <v>30</v>
      </c>
      <c r="J910" t="s">
        <v>41</v>
      </c>
      <c r="K910" t="s">
        <v>32</v>
      </c>
      <c r="L910" t="s">
        <v>32</v>
      </c>
      <c r="M910" t="s">
        <v>33</v>
      </c>
      <c r="N910" t="s">
        <v>169</v>
      </c>
      <c r="O910" t="s">
        <v>169</v>
      </c>
      <c r="P910" t="s">
        <v>34</v>
      </c>
      <c r="Q910" t="s">
        <v>35</v>
      </c>
      <c r="R910" t="s">
        <v>184</v>
      </c>
      <c r="S910" t="s">
        <v>30</v>
      </c>
      <c r="T910" t="s">
        <v>891</v>
      </c>
      <c r="U910" t="s">
        <v>892</v>
      </c>
      <c r="V910" t="s">
        <v>39</v>
      </c>
      <c r="W910" s="1">
        <v>2</v>
      </c>
    </row>
    <row r="911" spans="1:23" x14ac:dyDescent="0.2">
      <c r="A911" t="s">
        <v>23</v>
      </c>
      <c r="B911" t="s">
        <v>24</v>
      </c>
      <c r="C911" t="s">
        <v>25</v>
      </c>
      <c r="D911" t="s">
        <v>797</v>
      </c>
      <c r="E911" t="s">
        <v>832</v>
      </c>
      <c r="F911" t="s">
        <v>833</v>
      </c>
      <c r="G911" t="s">
        <v>139</v>
      </c>
      <c r="H911" t="s">
        <v>30</v>
      </c>
      <c r="I911" t="s">
        <v>30</v>
      </c>
      <c r="J911" t="s">
        <v>41</v>
      </c>
      <c r="K911" t="s">
        <v>32</v>
      </c>
      <c r="L911" t="s">
        <v>32</v>
      </c>
      <c r="M911" t="s">
        <v>33</v>
      </c>
      <c r="N911" t="s">
        <v>169</v>
      </c>
      <c r="O911" t="s">
        <v>169</v>
      </c>
      <c r="P911" t="s">
        <v>34</v>
      </c>
      <c r="Q911" t="s">
        <v>35</v>
      </c>
      <c r="R911" t="s">
        <v>184</v>
      </c>
      <c r="S911" t="s">
        <v>30</v>
      </c>
      <c r="T911" t="s">
        <v>891</v>
      </c>
      <c r="U911" t="s">
        <v>892</v>
      </c>
      <c r="V911" t="s">
        <v>40</v>
      </c>
      <c r="W911" s="1">
        <v>3216000</v>
      </c>
    </row>
    <row r="912" spans="1:23" x14ac:dyDescent="0.2">
      <c r="A912" t="s">
        <v>23</v>
      </c>
      <c r="B912" t="s">
        <v>24</v>
      </c>
      <c r="C912" t="s">
        <v>25</v>
      </c>
      <c r="D912" t="s">
        <v>893</v>
      </c>
      <c r="E912" t="s">
        <v>894</v>
      </c>
      <c r="F912" t="s">
        <v>895</v>
      </c>
      <c r="G912" t="s">
        <v>29</v>
      </c>
      <c r="H912" t="s">
        <v>30</v>
      </c>
      <c r="I912" t="s">
        <v>30</v>
      </c>
      <c r="J912" t="s">
        <v>31</v>
      </c>
      <c r="K912" t="s">
        <v>32</v>
      </c>
      <c r="L912" t="s">
        <v>32</v>
      </c>
      <c r="M912" t="s">
        <v>33</v>
      </c>
      <c r="N912" t="s">
        <v>33</v>
      </c>
      <c r="O912" t="s">
        <v>33</v>
      </c>
      <c r="P912" t="s">
        <v>34</v>
      </c>
      <c r="Q912" t="s">
        <v>35</v>
      </c>
      <c r="S912" t="s">
        <v>30</v>
      </c>
      <c r="T912" t="s">
        <v>896</v>
      </c>
      <c r="U912" t="s">
        <v>897</v>
      </c>
      <c r="V912" t="s">
        <v>39</v>
      </c>
      <c r="W912" s="1">
        <v>3</v>
      </c>
    </row>
    <row r="913" spans="1:23" x14ac:dyDescent="0.2">
      <c r="A913" t="s">
        <v>23</v>
      </c>
      <c r="B913" t="s">
        <v>24</v>
      </c>
      <c r="C913" t="s">
        <v>25</v>
      </c>
      <c r="D913" t="s">
        <v>893</v>
      </c>
      <c r="E913" t="s">
        <v>894</v>
      </c>
      <c r="F913" t="s">
        <v>895</v>
      </c>
      <c r="G913" t="s">
        <v>29</v>
      </c>
      <c r="H913" t="s">
        <v>30</v>
      </c>
      <c r="I913" t="s">
        <v>30</v>
      </c>
      <c r="J913" t="s">
        <v>31</v>
      </c>
      <c r="K913" t="s">
        <v>32</v>
      </c>
      <c r="L913" t="s">
        <v>32</v>
      </c>
      <c r="M913" t="s">
        <v>33</v>
      </c>
      <c r="N913" t="s">
        <v>33</v>
      </c>
      <c r="O913" t="s">
        <v>33</v>
      </c>
      <c r="P913" t="s">
        <v>34</v>
      </c>
      <c r="Q913" t="s">
        <v>35</v>
      </c>
      <c r="S913" t="s">
        <v>30</v>
      </c>
      <c r="T913" t="s">
        <v>896</v>
      </c>
      <c r="U913" t="s">
        <v>897</v>
      </c>
      <c r="V913" t="s">
        <v>40</v>
      </c>
      <c r="W913" s="1">
        <v>1322700</v>
      </c>
    </row>
    <row r="914" spans="1:23" x14ac:dyDescent="0.2">
      <c r="A914" t="s">
        <v>23</v>
      </c>
      <c r="B914" t="s">
        <v>24</v>
      </c>
      <c r="C914" t="s">
        <v>25</v>
      </c>
      <c r="D914" t="s">
        <v>893</v>
      </c>
      <c r="E914" t="s">
        <v>894</v>
      </c>
      <c r="F914" t="s">
        <v>895</v>
      </c>
      <c r="G914" t="s">
        <v>29</v>
      </c>
      <c r="H914" t="s">
        <v>30</v>
      </c>
      <c r="I914" t="s">
        <v>30</v>
      </c>
      <c r="J914" t="s">
        <v>31</v>
      </c>
      <c r="K914" t="s">
        <v>32</v>
      </c>
      <c r="L914" t="s">
        <v>32</v>
      </c>
      <c r="M914" t="s">
        <v>33</v>
      </c>
      <c r="N914" t="s">
        <v>33</v>
      </c>
      <c r="O914" t="s">
        <v>33</v>
      </c>
      <c r="P914" t="s">
        <v>42</v>
      </c>
      <c r="Q914" t="s">
        <v>43</v>
      </c>
      <c r="S914" t="s">
        <v>30</v>
      </c>
      <c r="T914" t="s">
        <v>898</v>
      </c>
      <c r="U914" t="s">
        <v>899</v>
      </c>
      <c r="V914" t="s">
        <v>39</v>
      </c>
      <c r="W914" s="1">
        <v>2</v>
      </c>
    </row>
    <row r="915" spans="1:23" x14ac:dyDescent="0.2">
      <c r="A915" t="s">
        <v>23</v>
      </c>
      <c r="B915" t="s">
        <v>24</v>
      </c>
      <c r="C915" t="s">
        <v>25</v>
      </c>
      <c r="D915" t="s">
        <v>893</v>
      </c>
      <c r="E915" t="s">
        <v>894</v>
      </c>
      <c r="F915" t="s">
        <v>895</v>
      </c>
      <c r="G915" t="s">
        <v>29</v>
      </c>
      <c r="H915" t="s">
        <v>30</v>
      </c>
      <c r="I915" t="s">
        <v>30</v>
      </c>
      <c r="J915" t="s">
        <v>31</v>
      </c>
      <c r="K915" t="s">
        <v>32</v>
      </c>
      <c r="L915" t="s">
        <v>32</v>
      </c>
      <c r="M915" t="s">
        <v>33</v>
      </c>
      <c r="N915" t="s">
        <v>33</v>
      </c>
      <c r="O915" t="s">
        <v>33</v>
      </c>
      <c r="P915" t="s">
        <v>42</v>
      </c>
      <c r="Q915" t="s">
        <v>43</v>
      </c>
      <c r="S915" t="s">
        <v>30</v>
      </c>
      <c r="T915" t="s">
        <v>898</v>
      </c>
      <c r="U915" t="s">
        <v>899</v>
      </c>
      <c r="V915" t="s">
        <v>40</v>
      </c>
      <c r="W915" s="1">
        <v>798000</v>
      </c>
    </row>
    <row r="916" spans="1:23" x14ac:dyDescent="0.2">
      <c r="A916" t="s">
        <v>23</v>
      </c>
      <c r="B916" t="s">
        <v>24</v>
      </c>
      <c r="C916" t="s">
        <v>25</v>
      </c>
      <c r="D916" t="s">
        <v>893</v>
      </c>
      <c r="E916" t="s">
        <v>894</v>
      </c>
      <c r="F916" t="s">
        <v>895</v>
      </c>
      <c r="G916" t="s">
        <v>29</v>
      </c>
      <c r="H916" t="s">
        <v>30</v>
      </c>
      <c r="I916" t="s">
        <v>30</v>
      </c>
      <c r="J916" t="s">
        <v>41</v>
      </c>
      <c r="K916" t="s">
        <v>32</v>
      </c>
      <c r="L916" t="s">
        <v>32</v>
      </c>
      <c r="M916" t="s">
        <v>33</v>
      </c>
      <c r="N916" t="s">
        <v>33</v>
      </c>
      <c r="O916" t="s">
        <v>33</v>
      </c>
      <c r="P916" t="s">
        <v>34</v>
      </c>
      <c r="Q916" t="s">
        <v>35</v>
      </c>
      <c r="R916" t="s">
        <v>162</v>
      </c>
      <c r="S916" t="s">
        <v>30</v>
      </c>
      <c r="T916" t="s">
        <v>900</v>
      </c>
      <c r="U916" t="s">
        <v>901</v>
      </c>
      <c r="V916" t="s">
        <v>39</v>
      </c>
      <c r="W916" s="1">
        <v>2</v>
      </c>
    </row>
    <row r="917" spans="1:23" x14ac:dyDescent="0.2">
      <c r="A917" t="s">
        <v>23</v>
      </c>
      <c r="B917" t="s">
        <v>24</v>
      </c>
      <c r="C917" t="s">
        <v>25</v>
      </c>
      <c r="D917" t="s">
        <v>893</v>
      </c>
      <c r="E917" t="s">
        <v>894</v>
      </c>
      <c r="F917" t="s">
        <v>895</v>
      </c>
      <c r="G917" t="s">
        <v>29</v>
      </c>
      <c r="H917" t="s">
        <v>30</v>
      </c>
      <c r="I917" t="s">
        <v>30</v>
      </c>
      <c r="J917" t="s">
        <v>41</v>
      </c>
      <c r="K917" t="s">
        <v>32</v>
      </c>
      <c r="L917" t="s">
        <v>32</v>
      </c>
      <c r="M917" t="s">
        <v>33</v>
      </c>
      <c r="N917" t="s">
        <v>33</v>
      </c>
      <c r="O917" t="s">
        <v>33</v>
      </c>
      <c r="P917" t="s">
        <v>34</v>
      </c>
      <c r="Q917" t="s">
        <v>35</v>
      </c>
      <c r="R917" t="s">
        <v>162</v>
      </c>
      <c r="S917" t="s">
        <v>30</v>
      </c>
      <c r="T917" t="s">
        <v>900</v>
      </c>
      <c r="U917" t="s">
        <v>901</v>
      </c>
      <c r="V917" t="s">
        <v>40</v>
      </c>
      <c r="W917" s="1">
        <v>12453200</v>
      </c>
    </row>
    <row r="918" spans="1:23" x14ac:dyDescent="0.2">
      <c r="A918" t="s">
        <v>23</v>
      </c>
      <c r="B918" t="s">
        <v>24</v>
      </c>
      <c r="C918" t="s">
        <v>25</v>
      </c>
      <c r="D918" t="s">
        <v>893</v>
      </c>
      <c r="E918" t="s">
        <v>894</v>
      </c>
      <c r="F918" t="s">
        <v>895</v>
      </c>
      <c r="G918" t="s">
        <v>29</v>
      </c>
      <c r="H918" t="s">
        <v>30</v>
      </c>
      <c r="I918" t="s">
        <v>30</v>
      </c>
      <c r="J918" t="s">
        <v>41</v>
      </c>
      <c r="K918" t="s">
        <v>32</v>
      </c>
      <c r="L918" t="s">
        <v>32</v>
      </c>
      <c r="M918" t="s">
        <v>33</v>
      </c>
      <c r="N918" t="s">
        <v>33</v>
      </c>
      <c r="O918" t="s">
        <v>33</v>
      </c>
      <c r="P918" t="s">
        <v>34</v>
      </c>
      <c r="Q918" t="s">
        <v>35</v>
      </c>
      <c r="R918" t="s">
        <v>54</v>
      </c>
      <c r="S918" t="s">
        <v>30</v>
      </c>
      <c r="T918" t="s">
        <v>902</v>
      </c>
      <c r="U918" t="s">
        <v>903</v>
      </c>
      <c r="V918" t="s">
        <v>39</v>
      </c>
      <c r="W918" s="1">
        <v>2</v>
      </c>
    </row>
    <row r="919" spans="1:23" x14ac:dyDescent="0.2">
      <c r="A919" t="s">
        <v>23</v>
      </c>
      <c r="B919" t="s">
        <v>24</v>
      </c>
      <c r="C919" t="s">
        <v>25</v>
      </c>
      <c r="D919" t="s">
        <v>893</v>
      </c>
      <c r="E919" t="s">
        <v>894</v>
      </c>
      <c r="F919" t="s">
        <v>895</v>
      </c>
      <c r="G919" t="s">
        <v>29</v>
      </c>
      <c r="H919" t="s">
        <v>30</v>
      </c>
      <c r="I919" t="s">
        <v>30</v>
      </c>
      <c r="J919" t="s">
        <v>41</v>
      </c>
      <c r="K919" t="s">
        <v>32</v>
      </c>
      <c r="L919" t="s">
        <v>32</v>
      </c>
      <c r="M919" t="s">
        <v>33</v>
      </c>
      <c r="N919" t="s">
        <v>33</v>
      </c>
      <c r="O919" t="s">
        <v>33</v>
      </c>
      <c r="P919" t="s">
        <v>34</v>
      </c>
      <c r="Q919" t="s">
        <v>35</v>
      </c>
      <c r="R919" t="s">
        <v>54</v>
      </c>
      <c r="S919" t="s">
        <v>30</v>
      </c>
      <c r="T919" t="s">
        <v>902</v>
      </c>
      <c r="U919" t="s">
        <v>903</v>
      </c>
      <c r="V919" t="s">
        <v>40</v>
      </c>
      <c r="W919" s="1">
        <v>2520000</v>
      </c>
    </row>
    <row r="920" spans="1:23" x14ac:dyDescent="0.2">
      <c r="A920" t="s">
        <v>23</v>
      </c>
      <c r="B920" t="s">
        <v>24</v>
      </c>
      <c r="C920" t="s">
        <v>25</v>
      </c>
      <c r="D920" t="s">
        <v>893</v>
      </c>
      <c r="E920" t="s">
        <v>894</v>
      </c>
      <c r="F920" t="s">
        <v>895</v>
      </c>
      <c r="G920" t="s">
        <v>29</v>
      </c>
      <c r="H920" t="s">
        <v>30</v>
      </c>
      <c r="I920" t="s">
        <v>30</v>
      </c>
      <c r="J920" t="s">
        <v>41</v>
      </c>
      <c r="K920" t="s">
        <v>32</v>
      </c>
      <c r="L920" t="s">
        <v>32</v>
      </c>
      <c r="M920" t="s">
        <v>33</v>
      </c>
      <c r="N920" t="s">
        <v>33</v>
      </c>
      <c r="O920" t="s">
        <v>33</v>
      </c>
      <c r="P920" t="s">
        <v>34</v>
      </c>
      <c r="Q920" t="s">
        <v>35</v>
      </c>
      <c r="R920" t="s">
        <v>58</v>
      </c>
      <c r="S920" t="s">
        <v>30</v>
      </c>
      <c r="T920" t="s">
        <v>904</v>
      </c>
      <c r="U920" t="s">
        <v>905</v>
      </c>
      <c r="V920" t="s">
        <v>39</v>
      </c>
      <c r="W920" s="1">
        <v>1</v>
      </c>
    </row>
    <row r="921" spans="1:23" x14ac:dyDescent="0.2">
      <c r="A921" t="s">
        <v>23</v>
      </c>
      <c r="B921" t="s">
        <v>24</v>
      </c>
      <c r="C921" t="s">
        <v>25</v>
      </c>
      <c r="D921" t="s">
        <v>893</v>
      </c>
      <c r="E921" t="s">
        <v>894</v>
      </c>
      <c r="F921" t="s">
        <v>895</v>
      </c>
      <c r="G921" t="s">
        <v>29</v>
      </c>
      <c r="H921" t="s">
        <v>30</v>
      </c>
      <c r="I921" t="s">
        <v>30</v>
      </c>
      <c r="J921" t="s">
        <v>41</v>
      </c>
      <c r="K921" t="s">
        <v>32</v>
      </c>
      <c r="L921" t="s">
        <v>32</v>
      </c>
      <c r="M921" t="s">
        <v>33</v>
      </c>
      <c r="N921" t="s">
        <v>33</v>
      </c>
      <c r="O921" t="s">
        <v>33</v>
      </c>
      <c r="P921" t="s">
        <v>34</v>
      </c>
      <c r="Q921" t="s">
        <v>35</v>
      </c>
      <c r="R921" t="s">
        <v>58</v>
      </c>
      <c r="S921" t="s">
        <v>30</v>
      </c>
      <c r="T921" t="s">
        <v>904</v>
      </c>
      <c r="U921" t="s">
        <v>905</v>
      </c>
      <c r="V921" t="s">
        <v>40</v>
      </c>
      <c r="W921" s="1">
        <v>1396800</v>
      </c>
    </row>
    <row r="922" spans="1:23" x14ac:dyDescent="0.2">
      <c r="A922" t="s">
        <v>23</v>
      </c>
      <c r="B922" t="s">
        <v>24</v>
      </c>
      <c r="C922" t="s">
        <v>25</v>
      </c>
      <c r="D922" t="s">
        <v>893</v>
      </c>
      <c r="E922" t="s">
        <v>894</v>
      </c>
      <c r="F922" t="s">
        <v>895</v>
      </c>
      <c r="G922" t="s">
        <v>29</v>
      </c>
      <c r="H922" t="s">
        <v>30</v>
      </c>
      <c r="I922" t="s">
        <v>30</v>
      </c>
      <c r="J922" t="s">
        <v>41</v>
      </c>
      <c r="K922" t="s">
        <v>32</v>
      </c>
      <c r="L922" t="s">
        <v>32</v>
      </c>
      <c r="M922" t="s">
        <v>33</v>
      </c>
      <c r="P922" t="s">
        <v>34</v>
      </c>
      <c r="Q922" t="s">
        <v>35</v>
      </c>
      <c r="R922" t="s">
        <v>58</v>
      </c>
      <c r="S922" t="s">
        <v>52</v>
      </c>
      <c r="T922" t="s">
        <v>904</v>
      </c>
      <c r="U922" t="s">
        <v>906</v>
      </c>
      <c r="V922" t="s">
        <v>39</v>
      </c>
      <c r="W922" s="1">
        <v>0</v>
      </c>
    </row>
    <row r="923" spans="1:23" x14ac:dyDescent="0.2">
      <c r="A923" t="s">
        <v>23</v>
      </c>
      <c r="B923" t="s">
        <v>24</v>
      </c>
      <c r="C923" t="s">
        <v>25</v>
      </c>
      <c r="D923" t="s">
        <v>893</v>
      </c>
      <c r="E923" t="s">
        <v>894</v>
      </c>
      <c r="F923" t="s">
        <v>895</v>
      </c>
      <c r="G923" t="s">
        <v>29</v>
      </c>
      <c r="H923" t="s">
        <v>30</v>
      </c>
      <c r="I923" t="s">
        <v>30</v>
      </c>
      <c r="J923" t="s">
        <v>41</v>
      </c>
      <c r="K923" t="s">
        <v>32</v>
      </c>
      <c r="L923" t="s">
        <v>32</v>
      </c>
      <c r="M923" t="s">
        <v>33</v>
      </c>
      <c r="P923" t="s">
        <v>34</v>
      </c>
      <c r="Q923" t="s">
        <v>35</v>
      </c>
      <c r="R923" t="s">
        <v>58</v>
      </c>
      <c r="S923" t="s">
        <v>52</v>
      </c>
      <c r="T923" t="s">
        <v>904</v>
      </c>
      <c r="U923" t="s">
        <v>906</v>
      </c>
      <c r="V923" t="s">
        <v>40</v>
      </c>
      <c r="W923" s="1">
        <v>1617900</v>
      </c>
    </row>
    <row r="924" spans="1:23" x14ac:dyDescent="0.2">
      <c r="A924" t="s">
        <v>23</v>
      </c>
      <c r="B924" t="s">
        <v>24</v>
      </c>
      <c r="C924" t="s">
        <v>25</v>
      </c>
      <c r="D924" t="s">
        <v>893</v>
      </c>
      <c r="E924" t="s">
        <v>894</v>
      </c>
      <c r="F924" t="s">
        <v>895</v>
      </c>
      <c r="G924" t="s">
        <v>29</v>
      </c>
      <c r="H924" t="s">
        <v>30</v>
      </c>
      <c r="I924" t="s">
        <v>30</v>
      </c>
      <c r="J924" t="s">
        <v>57</v>
      </c>
      <c r="K924" t="s">
        <v>32</v>
      </c>
      <c r="L924" t="s">
        <v>32</v>
      </c>
      <c r="M924" t="s">
        <v>33</v>
      </c>
      <c r="N924" t="s">
        <v>33</v>
      </c>
      <c r="O924" t="s">
        <v>33</v>
      </c>
      <c r="P924" t="s">
        <v>34</v>
      </c>
      <c r="Q924" t="s">
        <v>35</v>
      </c>
      <c r="S924" t="s">
        <v>30</v>
      </c>
      <c r="T924" t="s">
        <v>907</v>
      </c>
      <c r="U924" t="s">
        <v>908</v>
      </c>
      <c r="V924" t="s">
        <v>39</v>
      </c>
      <c r="W924" s="1">
        <v>3</v>
      </c>
    </row>
    <row r="925" spans="1:23" x14ac:dyDescent="0.2">
      <c r="A925" t="s">
        <v>23</v>
      </c>
      <c r="B925" t="s">
        <v>24</v>
      </c>
      <c r="C925" t="s">
        <v>25</v>
      </c>
      <c r="D925" t="s">
        <v>893</v>
      </c>
      <c r="E925" t="s">
        <v>894</v>
      </c>
      <c r="F925" t="s">
        <v>895</v>
      </c>
      <c r="G925" t="s">
        <v>29</v>
      </c>
      <c r="H925" t="s">
        <v>30</v>
      </c>
      <c r="I925" t="s">
        <v>30</v>
      </c>
      <c r="J925" t="s">
        <v>57</v>
      </c>
      <c r="K925" t="s">
        <v>32</v>
      </c>
      <c r="L925" t="s">
        <v>32</v>
      </c>
      <c r="M925" t="s">
        <v>33</v>
      </c>
      <c r="N925" t="s">
        <v>33</v>
      </c>
      <c r="O925" t="s">
        <v>33</v>
      </c>
      <c r="P925" t="s">
        <v>34</v>
      </c>
      <c r="Q925" t="s">
        <v>35</v>
      </c>
      <c r="S925" t="s">
        <v>30</v>
      </c>
      <c r="T925" t="s">
        <v>907</v>
      </c>
      <c r="U925" t="s">
        <v>908</v>
      </c>
      <c r="V925" t="s">
        <v>40</v>
      </c>
      <c r="W925" s="1">
        <v>3611700</v>
      </c>
    </row>
    <row r="926" spans="1:23" x14ac:dyDescent="0.2">
      <c r="A926" t="s">
        <v>23</v>
      </c>
      <c r="B926" t="s">
        <v>24</v>
      </c>
      <c r="C926" t="s">
        <v>25</v>
      </c>
      <c r="D926" t="s">
        <v>893</v>
      </c>
      <c r="E926" t="s">
        <v>894</v>
      </c>
      <c r="F926" t="s">
        <v>895</v>
      </c>
      <c r="G926" t="s">
        <v>29</v>
      </c>
      <c r="H926" t="s">
        <v>30</v>
      </c>
      <c r="I926" t="s">
        <v>30</v>
      </c>
      <c r="J926" t="s">
        <v>57</v>
      </c>
      <c r="K926" t="s">
        <v>32</v>
      </c>
      <c r="L926" t="s">
        <v>32</v>
      </c>
      <c r="M926" t="s">
        <v>33</v>
      </c>
      <c r="P926" t="s">
        <v>34</v>
      </c>
      <c r="Q926" t="s">
        <v>35</v>
      </c>
      <c r="S926" t="s">
        <v>52</v>
      </c>
      <c r="T926" t="s">
        <v>907</v>
      </c>
      <c r="U926" t="s">
        <v>909</v>
      </c>
      <c r="V926" t="s">
        <v>39</v>
      </c>
      <c r="W926" s="1">
        <v>0</v>
      </c>
    </row>
    <row r="927" spans="1:23" x14ac:dyDescent="0.2">
      <c r="A927" t="s">
        <v>23</v>
      </c>
      <c r="B927" t="s">
        <v>24</v>
      </c>
      <c r="C927" t="s">
        <v>25</v>
      </c>
      <c r="D927" t="s">
        <v>893</v>
      </c>
      <c r="E927" t="s">
        <v>894</v>
      </c>
      <c r="F927" t="s">
        <v>895</v>
      </c>
      <c r="G927" t="s">
        <v>29</v>
      </c>
      <c r="H927" t="s">
        <v>30</v>
      </c>
      <c r="I927" t="s">
        <v>30</v>
      </c>
      <c r="J927" t="s">
        <v>57</v>
      </c>
      <c r="K927" t="s">
        <v>32</v>
      </c>
      <c r="L927" t="s">
        <v>32</v>
      </c>
      <c r="M927" t="s">
        <v>33</v>
      </c>
      <c r="P927" t="s">
        <v>34</v>
      </c>
      <c r="Q927" t="s">
        <v>35</v>
      </c>
      <c r="S927" t="s">
        <v>52</v>
      </c>
      <c r="T927" t="s">
        <v>907</v>
      </c>
      <c r="U927" t="s">
        <v>909</v>
      </c>
      <c r="V927" t="s">
        <v>40</v>
      </c>
      <c r="W927" s="1">
        <v>4815600</v>
      </c>
    </row>
    <row r="928" spans="1:23" x14ac:dyDescent="0.2">
      <c r="A928" t="s">
        <v>23</v>
      </c>
      <c r="B928" t="s">
        <v>24</v>
      </c>
      <c r="C928" t="s">
        <v>25</v>
      </c>
      <c r="D928" t="s">
        <v>893</v>
      </c>
      <c r="E928" t="s">
        <v>894</v>
      </c>
      <c r="F928" t="s">
        <v>895</v>
      </c>
      <c r="G928" t="s">
        <v>29</v>
      </c>
      <c r="H928" t="s">
        <v>30</v>
      </c>
      <c r="I928" t="s">
        <v>30</v>
      </c>
      <c r="J928" t="s">
        <v>57</v>
      </c>
      <c r="K928" t="s">
        <v>32</v>
      </c>
      <c r="L928" t="s">
        <v>32</v>
      </c>
      <c r="M928" t="s">
        <v>176</v>
      </c>
      <c r="N928" t="s">
        <v>176</v>
      </c>
      <c r="O928" t="s">
        <v>176</v>
      </c>
      <c r="P928" t="s">
        <v>34</v>
      </c>
      <c r="Q928" t="s">
        <v>35</v>
      </c>
      <c r="S928" t="s">
        <v>30</v>
      </c>
      <c r="T928" t="s">
        <v>907</v>
      </c>
      <c r="U928" t="s">
        <v>908</v>
      </c>
      <c r="V928" t="s">
        <v>39</v>
      </c>
      <c r="W928" s="1">
        <v>1</v>
      </c>
    </row>
    <row r="929" spans="1:23" x14ac:dyDescent="0.2">
      <c r="A929" t="s">
        <v>23</v>
      </c>
      <c r="B929" t="s">
        <v>24</v>
      </c>
      <c r="C929" t="s">
        <v>25</v>
      </c>
      <c r="D929" t="s">
        <v>893</v>
      </c>
      <c r="E929" t="s">
        <v>894</v>
      </c>
      <c r="F929" t="s">
        <v>895</v>
      </c>
      <c r="G929" t="s">
        <v>29</v>
      </c>
      <c r="H929" t="s">
        <v>30</v>
      </c>
      <c r="I929" t="s">
        <v>30</v>
      </c>
      <c r="J929" t="s">
        <v>57</v>
      </c>
      <c r="K929" t="s">
        <v>32</v>
      </c>
      <c r="L929" t="s">
        <v>32</v>
      </c>
      <c r="M929" t="s">
        <v>176</v>
      </c>
      <c r="N929" t="s">
        <v>176</v>
      </c>
      <c r="O929" t="s">
        <v>176</v>
      </c>
      <c r="P929" t="s">
        <v>34</v>
      </c>
      <c r="Q929" t="s">
        <v>35</v>
      </c>
      <c r="S929" t="s">
        <v>30</v>
      </c>
      <c r="T929" t="s">
        <v>907</v>
      </c>
      <c r="U929" t="s">
        <v>908</v>
      </c>
      <c r="V929" t="s">
        <v>40</v>
      </c>
      <c r="W929" s="1">
        <v>1203900</v>
      </c>
    </row>
    <row r="930" spans="1:23" x14ac:dyDescent="0.2">
      <c r="A930" t="s">
        <v>23</v>
      </c>
      <c r="B930" t="s">
        <v>24</v>
      </c>
      <c r="C930" t="s">
        <v>25</v>
      </c>
      <c r="D930" t="s">
        <v>893</v>
      </c>
      <c r="E930" t="s">
        <v>894</v>
      </c>
      <c r="F930" t="s">
        <v>895</v>
      </c>
      <c r="G930" t="s">
        <v>49</v>
      </c>
      <c r="H930" t="s">
        <v>30</v>
      </c>
      <c r="I930" t="s">
        <v>30</v>
      </c>
      <c r="J930" t="s">
        <v>31</v>
      </c>
      <c r="K930" t="s">
        <v>32</v>
      </c>
      <c r="L930" t="s">
        <v>32</v>
      </c>
      <c r="M930" t="s">
        <v>33</v>
      </c>
      <c r="P930" t="s">
        <v>34</v>
      </c>
      <c r="Q930" t="s">
        <v>35</v>
      </c>
      <c r="S930" t="s">
        <v>52</v>
      </c>
      <c r="T930" t="s">
        <v>910</v>
      </c>
      <c r="U930" t="s">
        <v>911</v>
      </c>
      <c r="V930" t="s">
        <v>39</v>
      </c>
      <c r="W930" s="1">
        <v>0</v>
      </c>
    </row>
    <row r="931" spans="1:23" x14ac:dyDescent="0.2">
      <c r="A931" t="s">
        <v>23</v>
      </c>
      <c r="B931" t="s">
        <v>24</v>
      </c>
      <c r="C931" t="s">
        <v>25</v>
      </c>
      <c r="D931" t="s">
        <v>893</v>
      </c>
      <c r="E931" t="s">
        <v>894</v>
      </c>
      <c r="F931" t="s">
        <v>895</v>
      </c>
      <c r="G931" t="s">
        <v>49</v>
      </c>
      <c r="H931" t="s">
        <v>30</v>
      </c>
      <c r="I931" t="s">
        <v>30</v>
      </c>
      <c r="J931" t="s">
        <v>31</v>
      </c>
      <c r="K931" t="s">
        <v>32</v>
      </c>
      <c r="L931" t="s">
        <v>32</v>
      </c>
      <c r="M931" t="s">
        <v>33</v>
      </c>
      <c r="P931" t="s">
        <v>34</v>
      </c>
      <c r="Q931" t="s">
        <v>35</v>
      </c>
      <c r="S931" t="s">
        <v>52</v>
      </c>
      <c r="T931" t="s">
        <v>910</v>
      </c>
      <c r="U931" t="s">
        <v>911</v>
      </c>
      <c r="V931" t="s">
        <v>40</v>
      </c>
      <c r="W931" s="1">
        <v>1947000</v>
      </c>
    </row>
    <row r="932" spans="1:23" x14ac:dyDescent="0.2">
      <c r="A932" t="s">
        <v>23</v>
      </c>
      <c r="B932" t="s">
        <v>24</v>
      </c>
      <c r="C932" t="s">
        <v>25</v>
      </c>
      <c r="D932" t="s">
        <v>893</v>
      </c>
      <c r="E932" t="s">
        <v>894</v>
      </c>
      <c r="F932" t="s">
        <v>895</v>
      </c>
      <c r="G932" t="s">
        <v>49</v>
      </c>
      <c r="H932" t="s">
        <v>30</v>
      </c>
      <c r="I932" t="s">
        <v>30</v>
      </c>
      <c r="J932" t="s">
        <v>31</v>
      </c>
      <c r="K932" t="s">
        <v>32</v>
      </c>
      <c r="L932" t="s">
        <v>32</v>
      </c>
      <c r="M932" t="s">
        <v>33</v>
      </c>
      <c r="P932" t="s">
        <v>34</v>
      </c>
      <c r="Q932" t="s">
        <v>35</v>
      </c>
      <c r="S932" t="s">
        <v>52</v>
      </c>
      <c r="T932" t="s">
        <v>910</v>
      </c>
      <c r="U932" t="s">
        <v>912</v>
      </c>
      <c r="V932" t="s">
        <v>39</v>
      </c>
      <c r="W932" s="1">
        <v>0</v>
      </c>
    </row>
    <row r="933" spans="1:23" x14ac:dyDescent="0.2">
      <c r="A933" t="s">
        <v>23</v>
      </c>
      <c r="B933" t="s">
        <v>24</v>
      </c>
      <c r="C933" t="s">
        <v>25</v>
      </c>
      <c r="D933" t="s">
        <v>893</v>
      </c>
      <c r="E933" t="s">
        <v>894</v>
      </c>
      <c r="F933" t="s">
        <v>895</v>
      </c>
      <c r="G933" t="s">
        <v>49</v>
      </c>
      <c r="H933" t="s">
        <v>30</v>
      </c>
      <c r="I933" t="s">
        <v>30</v>
      </c>
      <c r="J933" t="s">
        <v>31</v>
      </c>
      <c r="K933" t="s">
        <v>32</v>
      </c>
      <c r="L933" t="s">
        <v>32</v>
      </c>
      <c r="M933" t="s">
        <v>33</v>
      </c>
      <c r="P933" t="s">
        <v>34</v>
      </c>
      <c r="Q933" t="s">
        <v>35</v>
      </c>
      <c r="S933" t="s">
        <v>52</v>
      </c>
      <c r="T933" t="s">
        <v>910</v>
      </c>
      <c r="U933" t="s">
        <v>912</v>
      </c>
      <c r="V933" t="s">
        <v>40</v>
      </c>
      <c r="W933" s="1">
        <v>0</v>
      </c>
    </row>
    <row r="934" spans="1:23" x14ac:dyDescent="0.2">
      <c r="A934" t="s">
        <v>23</v>
      </c>
      <c r="B934" t="s">
        <v>24</v>
      </c>
      <c r="C934" t="s">
        <v>25</v>
      </c>
      <c r="D934" t="s">
        <v>893</v>
      </c>
      <c r="E934" t="s">
        <v>894</v>
      </c>
      <c r="F934" t="s">
        <v>895</v>
      </c>
      <c r="G934" t="s">
        <v>49</v>
      </c>
      <c r="H934" t="s">
        <v>30</v>
      </c>
      <c r="I934" t="s">
        <v>30</v>
      </c>
      <c r="J934" t="s">
        <v>31</v>
      </c>
      <c r="K934" t="s">
        <v>32</v>
      </c>
      <c r="L934" t="s">
        <v>32</v>
      </c>
      <c r="M934" t="s">
        <v>33</v>
      </c>
      <c r="P934" t="s">
        <v>34</v>
      </c>
      <c r="Q934" t="s">
        <v>35</v>
      </c>
      <c r="S934" t="s">
        <v>52</v>
      </c>
      <c r="T934" t="s">
        <v>913</v>
      </c>
      <c r="U934" t="s">
        <v>914</v>
      </c>
      <c r="V934" t="s">
        <v>39</v>
      </c>
      <c r="W934" s="1">
        <v>0</v>
      </c>
    </row>
    <row r="935" spans="1:23" x14ac:dyDescent="0.2">
      <c r="A935" t="s">
        <v>23</v>
      </c>
      <c r="B935" t="s">
        <v>24</v>
      </c>
      <c r="C935" t="s">
        <v>25</v>
      </c>
      <c r="D935" t="s">
        <v>893</v>
      </c>
      <c r="E935" t="s">
        <v>894</v>
      </c>
      <c r="F935" t="s">
        <v>895</v>
      </c>
      <c r="G935" t="s">
        <v>49</v>
      </c>
      <c r="H935" t="s">
        <v>30</v>
      </c>
      <c r="I935" t="s">
        <v>30</v>
      </c>
      <c r="J935" t="s">
        <v>31</v>
      </c>
      <c r="K935" t="s">
        <v>32</v>
      </c>
      <c r="L935" t="s">
        <v>32</v>
      </c>
      <c r="M935" t="s">
        <v>33</v>
      </c>
      <c r="P935" t="s">
        <v>34</v>
      </c>
      <c r="Q935" t="s">
        <v>35</v>
      </c>
      <c r="S935" t="s">
        <v>52</v>
      </c>
      <c r="T935" t="s">
        <v>913</v>
      </c>
      <c r="U935" t="s">
        <v>914</v>
      </c>
      <c r="V935" t="s">
        <v>40</v>
      </c>
      <c r="W935" s="1">
        <v>758000</v>
      </c>
    </row>
    <row r="936" spans="1:23" x14ac:dyDescent="0.2">
      <c r="A936" t="s">
        <v>23</v>
      </c>
      <c r="B936" t="s">
        <v>24</v>
      </c>
      <c r="C936" t="s">
        <v>25</v>
      </c>
      <c r="D936" t="s">
        <v>893</v>
      </c>
      <c r="E936" t="s">
        <v>894</v>
      </c>
      <c r="F936" t="s">
        <v>895</v>
      </c>
      <c r="G936" t="s">
        <v>49</v>
      </c>
      <c r="H936" t="s">
        <v>30</v>
      </c>
      <c r="I936" t="s">
        <v>30</v>
      </c>
      <c r="J936" t="s">
        <v>31</v>
      </c>
      <c r="K936" t="s">
        <v>32</v>
      </c>
      <c r="L936" t="s">
        <v>32</v>
      </c>
      <c r="M936" t="s">
        <v>33</v>
      </c>
      <c r="P936" t="s">
        <v>34</v>
      </c>
      <c r="Q936" t="s">
        <v>35</v>
      </c>
      <c r="S936" t="s">
        <v>52</v>
      </c>
      <c r="T936" t="s">
        <v>915</v>
      </c>
      <c r="U936" t="s">
        <v>916</v>
      </c>
      <c r="V936" t="s">
        <v>39</v>
      </c>
      <c r="W936" s="1">
        <v>0</v>
      </c>
    </row>
    <row r="937" spans="1:23" x14ac:dyDescent="0.2">
      <c r="A937" t="s">
        <v>23</v>
      </c>
      <c r="B937" t="s">
        <v>24</v>
      </c>
      <c r="C937" t="s">
        <v>25</v>
      </c>
      <c r="D937" t="s">
        <v>893</v>
      </c>
      <c r="E937" t="s">
        <v>894</v>
      </c>
      <c r="F937" t="s">
        <v>895</v>
      </c>
      <c r="G937" t="s">
        <v>49</v>
      </c>
      <c r="H937" t="s">
        <v>30</v>
      </c>
      <c r="I937" t="s">
        <v>30</v>
      </c>
      <c r="J937" t="s">
        <v>31</v>
      </c>
      <c r="K937" t="s">
        <v>32</v>
      </c>
      <c r="L937" t="s">
        <v>32</v>
      </c>
      <c r="M937" t="s">
        <v>33</v>
      </c>
      <c r="P937" t="s">
        <v>34</v>
      </c>
      <c r="Q937" t="s">
        <v>35</v>
      </c>
      <c r="S937" t="s">
        <v>52</v>
      </c>
      <c r="T937" t="s">
        <v>915</v>
      </c>
      <c r="U937" t="s">
        <v>916</v>
      </c>
      <c r="V937" t="s">
        <v>40</v>
      </c>
      <c r="W937" s="1">
        <v>5599300</v>
      </c>
    </row>
    <row r="938" spans="1:23" x14ac:dyDescent="0.2">
      <c r="A938" t="s">
        <v>23</v>
      </c>
      <c r="B938" t="s">
        <v>24</v>
      </c>
      <c r="C938" t="s">
        <v>25</v>
      </c>
      <c r="D938" t="s">
        <v>893</v>
      </c>
      <c r="E938" t="s">
        <v>894</v>
      </c>
      <c r="F938" t="s">
        <v>895</v>
      </c>
      <c r="G938" t="s">
        <v>49</v>
      </c>
      <c r="H938" t="s">
        <v>30</v>
      </c>
      <c r="I938" t="s">
        <v>30</v>
      </c>
      <c r="J938" t="s">
        <v>31</v>
      </c>
      <c r="K938" t="s">
        <v>32</v>
      </c>
      <c r="L938" t="s">
        <v>32</v>
      </c>
      <c r="M938" t="s">
        <v>33</v>
      </c>
      <c r="P938" t="s">
        <v>42</v>
      </c>
      <c r="Q938" t="s">
        <v>43</v>
      </c>
      <c r="S938" t="s">
        <v>30</v>
      </c>
      <c r="T938" t="s">
        <v>917</v>
      </c>
      <c r="U938" t="s">
        <v>918</v>
      </c>
      <c r="V938" t="s">
        <v>39</v>
      </c>
      <c r="W938" s="1">
        <v>3</v>
      </c>
    </row>
    <row r="939" spans="1:23" x14ac:dyDescent="0.2">
      <c r="A939" t="s">
        <v>23</v>
      </c>
      <c r="B939" t="s">
        <v>24</v>
      </c>
      <c r="C939" t="s">
        <v>25</v>
      </c>
      <c r="D939" t="s">
        <v>893</v>
      </c>
      <c r="E939" t="s">
        <v>894</v>
      </c>
      <c r="F939" t="s">
        <v>895</v>
      </c>
      <c r="G939" t="s">
        <v>49</v>
      </c>
      <c r="H939" t="s">
        <v>30</v>
      </c>
      <c r="I939" t="s">
        <v>30</v>
      </c>
      <c r="J939" t="s">
        <v>31</v>
      </c>
      <c r="K939" t="s">
        <v>32</v>
      </c>
      <c r="L939" t="s">
        <v>32</v>
      </c>
      <c r="M939" t="s">
        <v>33</v>
      </c>
      <c r="P939" t="s">
        <v>42</v>
      </c>
      <c r="Q939" t="s">
        <v>43</v>
      </c>
      <c r="S939" t="s">
        <v>30</v>
      </c>
      <c r="T939" t="s">
        <v>917</v>
      </c>
      <c r="U939" t="s">
        <v>918</v>
      </c>
      <c r="V939" t="s">
        <v>40</v>
      </c>
      <c r="W939" s="1">
        <v>1970700</v>
      </c>
    </row>
    <row r="940" spans="1:23" x14ac:dyDescent="0.2">
      <c r="A940" t="s">
        <v>23</v>
      </c>
      <c r="B940" t="s">
        <v>24</v>
      </c>
      <c r="C940" t="s">
        <v>25</v>
      </c>
      <c r="D940" t="s">
        <v>893</v>
      </c>
      <c r="E940" t="s">
        <v>894</v>
      </c>
      <c r="F940" t="s">
        <v>895</v>
      </c>
      <c r="G940" t="s">
        <v>49</v>
      </c>
      <c r="H940" t="s">
        <v>30</v>
      </c>
      <c r="I940" t="s">
        <v>30</v>
      </c>
      <c r="J940" t="s">
        <v>31</v>
      </c>
      <c r="K940" t="s">
        <v>32</v>
      </c>
      <c r="L940" t="s">
        <v>32</v>
      </c>
      <c r="M940" t="s">
        <v>33</v>
      </c>
      <c r="P940" t="s">
        <v>42</v>
      </c>
      <c r="Q940" t="s">
        <v>43</v>
      </c>
      <c r="S940" t="s">
        <v>52</v>
      </c>
      <c r="T940" t="s">
        <v>919</v>
      </c>
      <c r="U940" t="s">
        <v>920</v>
      </c>
      <c r="V940" t="s">
        <v>39</v>
      </c>
      <c r="W940" s="1">
        <v>0</v>
      </c>
    </row>
    <row r="941" spans="1:23" x14ac:dyDescent="0.2">
      <c r="A941" t="s">
        <v>23</v>
      </c>
      <c r="B941" t="s">
        <v>24</v>
      </c>
      <c r="C941" t="s">
        <v>25</v>
      </c>
      <c r="D941" t="s">
        <v>893</v>
      </c>
      <c r="E941" t="s">
        <v>894</v>
      </c>
      <c r="F941" t="s">
        <v>895</v>
      </c>
      <c r="G941" t="s">
        <v>49</v>
      </c>
      <c r="H941" t="s">
        <v>30</v>
      </c>
      <c r="I941" t="s">
        <v>30</v>
      </c>
      <c r="J941" t="s">
        <v>31</v>
      </c>
      <c r="K941" t="s">
        <v>32</v>
      </c>
      <c r="L941" t="s">
        <v>32</v>
      </c>
      <c r="M941" t="s">
        <v>33</v>
      </c>
      <c r="P941" t="s">
        <v>42</v>
      </c>
      <c r="Q941" t="s">
        <v>43</v>
      </c>
      <c r="S941" t="s">
        <v>52</v>
      </c>
      <c r="T941" t="s">
        <v>919</v>
      </c>
      <c r="U941" t="s">
        <v>920</v>
      </c>
      <c r="V941" t="s">
        <v>40</v>
      </c>
      <c r="W941" s="1">
        <v>1205800</v>
      </c>
    </row>
    <row r="942" spans="1:23" x14ac:dyDescent="0.2">
      <c r="A942" t="s">
        <v>23</v>
      </c>
      <c r="B942" t="s">
        <v>24</v>
      </c>
      <c r="C942" t="s">
        <v>25</v>
      </c>
      <c r="D942" t="s">
        <v>893</v>
      </c>
      <c r="E942" t="s">
        <v>894</v>
      </c>
      <c r="F942" t="s">
        <v>895</v>
      </c>
      <c r="G942" t="s">
        <v>49</v>
      </c>
      <c r="H942" t="s">
        <v>30</v>
      </c>
      <c r="I942" t="s">
        <v>30</v>
      </c>
      <c r="J942" t="s">
        <v>41</v>
      </c>
      <c r="K942" t="s">
        <v>32</v>
      </c>
      <c r="L942" t="s">
        <v>32</v>
      </c>
      <c r="M942" t="s">
        <v>33</v>
      </c>
      <c r="N942" t="s">
        <v>33</v>
      </c>
      <c r="O942" t="s">
        <v>33</v>
      </c>
      <c r="P942" t="s">
        <v>34</v>
      </c>
      <c r="Q942" t="s">
        <v>35</v>
      </c>
      <c r="S942" t="s">
        <v>30</v>
      </c>
      <c r="T942" t="s">
        <v>921</v>
      </c>
      <c r="U942" t="s">
        <v>922</v>
      </c>
      <c r="V942" t="s">
        <v>39</v>
      </c>
      <c r="W942" s="1">
        <v>2</v>
      </c>
    </row>
    <row r="943" spans="1:23" x14ac:dyDescent="0.2">
      <c r="A943" t="s">
        <v>23</v>
      </c>
      <c r="B943" t="s">
        <v>24</v>
      </c>
      <c r="C943" t="s">
        <v>25</v>
      </c>
      <c r="D943" t="s">
        <v>893</v>
      </c>
      <c r="E943" t="s">
        <v>894</v>
      </c>
      <c r="F943" t="s">
        <v>895</v>
      </c>
      <c r="G943" t="s">
        <v>49</v>
      </c>
      <c r="H943" t="s">
        <v>30</v>
      </c>
      <c r="I943" t="s">
        <v>30</v>
      </c>
      <c r="J943" t="s">
        <v>41</v>
      </c>
      <c r="K943" t="s">
        <v>32</v>
      </c>
      <c r="L943" t="s">
        <v>32</v>
      </c>
      <c r="M943" t="s">
        <v>33</v>
      </c>
      <c r="N943" t="s">
        <v>33</v>
      </c>
      <c r="O943" t="s">
        <v>33</v>
      </c>
      <c r="P943" t="s">
        <v>34</v>
      </c>
      <c r="Q943" t="s">
        <v>35</v>
      </c>
      <c r="S943" t="s">
        <v>30</v>
      </c>
      <c r="T943" t="s">
        <v>921</v>
      </c>
      <c r="U943" t="s">
        <v>922</v>
      </c>
      <c r="V943" t="s">
        <v>40</v>
      </c>
      <c r="W943" s="1">
        <v>2128400</v>
      </c>
    </row>
    <row r="944" spans="1:23" x14ac:dyDescent="0.2">
      <c r="A944" t="s">
        <v>23</v>
      </c>
      <c r="B944" t="s">
        <v>24</v>
      </c>
      <c r="C944" t="s">
        <v>25</v>
      </c>
      <c r="D944" t="s">
        <v>893</v>
      </c>
      <c r="E944" t="s">
        <v>894</v>
      </c>
      <c r="F944" t="s">
        <v>895</v>
      </c>
      <c r="G944" t="s">
        <v>49</v>
      </c>
      <c r="H944" t="s">
        <v>30</v>
      </c>
      <c r="I944" t="s">
        <v>30</v>
      </c>
      <c r="J944" t="s">
        <v>41</v>
      </c>
      <c r="K944" t="s">
        <v>32</v>
      </c>
      <c r="L944" t="s">
        <v>32</v>
      </c>
      <c r="M944" t="s">
        <v>33</v>
      </c>
      <c r="N944" t="s">
        <v>33</v>
      </c>
      <c r="O944" t="s">
        <v>33</v>
      </c>
      <c r="P944" t="s">
        <v>34</v>
      </c>
      <c r="Q944" t="s">
        <v>35</v>
      </c>
      <c r="S944" t="s">
        <v>30</v>
      </c>
      <c r="T944" t="s">
        <v>923</v>
      </c>
      <c r="U944" t="s">
        <v>924</v>
      </c>
      <c r="V944" t="s">
        <v>39</v>
      </c>
      <c r="W944" s="1">
        <v>2</v>
      </c>
    </row>
    <row r="945" spans="1:23" x14ac:dyDescent="0.2">
      <c r="A945" t="s">
        <v>23</v>
      </c>
      <c r="B945" t="s">
        <v>24</v>
      </c>
      <c r="C945" t="s">
        <v>25</v>
      </c>
      <c r="D945" t="s">
        <v>893</v>
      </c>
      <c r="E945" t="s">
        <v>894</v>
      </c>
      <c r="F945" t="s">
        <v>895</v>
      </c>
      <c r="G945" t="s">
        <v>49</v>
      </c>
      <c r="H945" t="s">
        <v>30</v>
      </c>
      <c r="I945" t="s">
        <v>30</v>
      </c>
      <c r="J945" t="s">
        <v>41</v>
      </c>
      <c r="K945" t="s">
        <v>32</v>
      </c>
      <c r="L945" t="s">
        <v>32</v>
      </c>
      <c r="M945" t="s">
        <v>33</v>
      </c>
      <c r="N945" t="s">
        <v>33</v>
      </c>
      <c r="O945" t="s">
        <v>33</v>
      </c>
      <c r="P945" t="s">
        <v>34</v>
      </c>
      <c r="Q945" t="s">
        <v>35</v>
      </c>
      <c r="S945" t="s">
        <v>30</v>
      </c>
      <c r="T945" t="s">
        <v>923</v>
      </c>
      <c r="U945" t="s">
        <v>924</v>
      </c>
      <c r="V945" t="s">
        <v>40</v>
      </c>
      <c r="W945" s="1">
        <v>1825200</v>
      </c>
    </row>
    <row r="946" spans="1:23" x14ac:dyDescent="0.2">
      <c r="A946" t="s">
        <v>23</v>
      </c>
      <c r="B946" t="s">
        <v>24</v>
      </c>
      <c r="C946" t="s">
        <v>25</v>
      </c>
      <c r="D946" t="s">
        <v>893</v>
      </c>
      <c r="E946" t="s">
        <v>894</v>
      </c>
      <c r="F946" t="s">
        <v>895</v>
      </c>
      <c r="G946" t="s">
        <v>49</v>
      </c>
      <c r="H946" t="s">
        <v>30</v>
      </c>
      <c r="I946" t="s">
        <v>30</v>
      </c>
      <c r="J946" t="s">
        <v>41</v>
      </c>
      <c r="K946" t="s">
        <v>32</v>
      </c>
      <c r="L946" t="s">
        <v>32</v>
      </c>
      <c r="M946" t="s">
        <v>33</v>
      </c>
      <c r="P946" t="s">
        <v>34</v>
      </c>
      <c r="Q946" t="s">
        <v>35</v>
      </c>
      <c r="S946" t="s">
        <v>52</v>
      </c>
      <c r="T946" t="s">
        <v>925</v>
      </c>
      <c r="U946" t="s">
        <v>926</v>
      </c>
      <c r="V946" t="s">
        <v>39</v>
      </c>
      <c r="W946" s="1">
        <v>0</v>
      </c>
    </row>
    <row r="947" spans="1:23" x14ac:dyDescent="0.2">
      <c r="A947" t="s">
        <v>23</v>
      </c>
      <c r="B947" t="s">
        <v>24</v>
      </c>
      <c r="C947" t="s">
        <v>25</v>
      </c>
      <c r="D947" t="s">
        <v>893</v>
      </c>
      <c r="E947" t="s">
        <v>894</v>
      </c>
      <c r="F947" t="s">
        <v>895</v>
      </c>
      <c r="G947" t="s">
        <v>49</v>
      </c>
      <c r="H947" t="s">
        <v>30</v>
      </c>
      <c r="I947" t="s">
        <v>30</v>
      </c>
      <c r="J947" t="s">
        <v>41</v>
      </c>
      <c r="K947" t="s">
        <v>32</v>
      </c>
      <c r="L947" t="s">
        <v>32</v>
      </c>
      <c r="M947" t="s">
        <v>33</v>
      </c>
      <c r="P947" t="s">
        <v>34</v>
      </c>
      <c r="Q947" t="s">
        <v>35</v>
      </c>
      <c r="S947" t="s">
        <v>52</v>
      </c>
      <c r="T947" t="s">
        <v>925</v>
      </c>
      <c r="U947" t="s">
        <v>926</v>
      </c>
      <c r="V947" t="s">
        <v>40</v>
      </c>
      <c r="W947" s="1">
        <v>3050800</v>
      </c>
    </row>
    <row r="948" spans="1:23" x14ac:dyDescent="0.2">
      <c r="A948" t="s">
        <v>23</v>
      </c>
      <c r="B948" t="s">
        <v>24</v>
      </c>
      <c r="C948" t="s">
        <v>25</v>
      </c>
      <c r="D948" t="s">
        <v>893</v>
      </c>
      <c r="E948" t="s">
        <v>894</v>
      </c>
      <c r="F948" t="s">
        <v>895</v>
      </c>
      <c r="G948" t="s">
        <v>49</v>
      </c>
      <c r="H948" t="s">
        <v>30</v>
      </c>
      <c r="I948" t="s">
        <v>30</v>
      </c>
      <c r="J948" t="s">
        <v>41</v>
      </c>
      <c r="K948" t="s">
        <v>32</v>
      </c>
      <c r="L948" t="s">
        <v>32</v>
      </c>
      <c r="M948" t="s">
        <v>33</v>
      </c>
      <c r="P948" t="s">
        <v>34</v>
      </c>
      <c r="Q948" t="s">
        <v>35</v>
      </c>
      <c r="S948" t="s">
        <v>52</v>
      </c>
      <c r="T948" t="s">
        <v>925</v>
      </c>
      <c r="U948" t="s">
        <v>927</v>
      </c>
      <c r="V948" t="s">
        <v>39</v>
      </c>
      <c r="W948" s="1">
        <v>0</v>
      </c>
    </row>
    <row r="949" spans="1:23" x14ac:dyDescent="0.2">
      <c r="A949" t="s">
        <v>23</v>
      </c>
      <c r="B949" t="s">
        <v>24</v>
      </c>
      <c r="C949" t="s">
        <v>25</v>
      </c>
      <c r="D949" t="s">
        <v>893</v>
      </c>
      <c r="E949" t="s">
        <v>894</v>
      </c>
      <c r="F949" t="s">
        <v>895</v>
      </c>
      <c r="G949" t="s">
        <v>49</v>
      </c>
      <c r="H949" t="s">
        <v>30</v>
      </c>
      <c r="I949" t="s">
        <v>30</v>
      </c>
      <c r="J949" t="s">
        <v>41</v>
      </c>
      <c r="K949" t="s">
        <v>32</v>
      </c>
      <c r="L949" t="s">
        <v>32</v>
      </c>
      <c r="M949" t="s">
        <v>33</v>
      </c>
      <c r="P949" t="s">
        <v>34</v>
      </c>
      <c r="Q949" t="s">
        <v>35</v>
      </c>
      <c r="S949" t="s">
        <v>52</v>
      </c>
      <c r="T949" t="s">
        <v>925</v>
      </c>
      <c r="U949" t="s">
        <v>927</v>
      </c>
      <c r="V949" t="s">
        <v>40</v>
      </c>
      <c r="W949" s="1">
        <v>2850800</v>
      </c>
    </row>
    <row r="950" spans="1:23" x14ac:dyDescent="0.2">
      <c r="A950" t="s">
        <v>23</v>
      </c>
      <c r="B950" t="s">
        <v>24</v>
      </c>
      <c r="C950" t="s">
        <v>25</v>
      </c>
      <c r="D950" t="s">
        <v>893</v>
      </c>
      <c r="E950" t="s">
        <v>894</v>
      </c>
      <c r="F950" t="s">
        <v>895</v>
      </c>
      <c r="G950" t="s">
        <v>49</v>
      </c>
      <c r="H950" t="s">
        <v>30</v>
      </c>
      <c r="I950" t="s">
        <v>30</v>
      </c>
      <c r="J950" t="s">
        <v>57</v>
      </c>
      <c r="K950" t="s">
        <v>32</v>
      </c>
      <c r="L950" t="s">
        <v>32</v>
      </c>
      <c r="M950" t="s">
        <v>33</v>
      </c>
      <c r="N950" t="s">
        <v>33</v>
      </c>
      <c r="O950" t="s">
        <v>33</v>
      </c>
      <c r="P950" t="s">
        <v>34</v>
      </c>
      <c r="Q950" t="s">
        <v>35</v>
      </c>
      <c r="S950" t="s">
        <v>30</v>
      </c>
      <c r="T950" t="s">
        <v>928</v>
      </c>
      <c r="U950" t="s">
        <v>929</v>
      </c>
      <c r="V950" t="s">
        <v>39</v>
      </c>
      <c r="W950" s="1">
        <v>2</v>
      </c>
    </row>
    <row r="951" spans="1:23" x14ac:dyDescent="0.2">
      <c r="A951" t="s">
        <v>23</v>
      </c>
      <c r="B951" t="s">
        <v>24</v>
      </c>
      <c r="C951" t="s">
        <v>25</v>
      </c>
      <c r="D951" t="s">
        <v>893</v>
      </c>
      <c r="E951" t="s">
        <v>894</v>
      </c>
      <c r="F951" t="s">
        <v>895</v>
      </c>
      <c r="G951" t="s">
        <v>49</v>
      </c>
      <c r="H951" t="s">
        <v>30</v>
      </c>
      <c r="I951" t="s">
        <v>30</v>
      </c>
      <c r="J951" t="s">
        <v>57</v>
      </c>
      <c r="K951" t="s">
        <v>32</v>
      </c>
      <c r="L951" t="s">
        <v>32</v>
      </c>
      <c r="M951" t="s">
        <v>33</v>
      </c>
      <c r="N951" t="s">
        <v>33</v>
      </c>
      <c r="O951" t="s">
        <v>33</v>
      </c>
      <c r="P951" t="s">
        <v>34</v>
      </c>
      <c r="Q951" t="s">
        <v>35</v>
      </c>
      <c r="S951" t="s">
        <v>30</v>
      </c>
      <c r="T951" t="s">
        <v>928</v>
      </c>
      <c r="U951" t="s">
        <v>929</v>
      </c>
      <c r="V951" t="s">
        <v>40</v>
      </c>
      <c r="W951" s="1">
        <v>2113600</v>
      </c>
    </row>
    <row r="952" spans="1:23" x14ac:dyDescent="0.2">
      <c r="A952" t="s">
        <v>23</v>
      </c>
      <c r="B952" t="s">
        <v>24</v>
      </c>
      <c r="C952" t="s">
        <v>25</v>
      </c>
      <c r="D952" t="s">
        <v>893</v>
      </c>
      <c r="E952" t="s">
        <v>894</v>
      </c>
      <c r="F952" t="s">
        <v>895</v>
      </c>
      <c r="G952" t="s">
        <v>61</v>
      </c>
      <c r="H952" t="s">
        <v>52</v>
      </c>
      <c r="I952" t="s">
        <v>52</v>
      </c>
      <c r="J952" t="s">
        <v>31</v>
      </c>
      <c r="K952" t="s">
        <v>32</v>
      </c>
      <c r="L952" t="s">
        <v>32</v>
      </c>
      <c r="M952" t="s">
        <v>33</v>
      </c>
      <c r="P952" t="s">
        <v>34</v>
      </c>
      <c r="Q952" t="s">
        <v>35</v>
      </c>
      <c r="S952" t="s">
        <v>52</v>
      </c>
      <c r="T952" t="s">
        <v>930</v>
      </c>
      <c r="U952" t="s">
        <v>931</v>
      </c>
      <c r="V952" t="s">
        <v>39</v>
      </c>
      <c r="W952" s="1">
        <v>0</v>
      </c>
    </row>
    <row r="953" spans="1:23" x14ac:dyDescent="0.2">
      <c r="A953" t="s">
        <v>23</v>
      </c>
      <c r="B953" t="s">
        <v>24</v>
      </c>
      <c r="C953" t="s">
        <v>25</v>
      </c>
      <c r="D953" t="s">
        <v>893</v>
      </c>
      <c r="E953" t="s">
        <v>894</v>
      </c>
      <c r="F953" t="s">
        <v>895</v>
      </c>
      <c r="G953" t="s">
        <v>61</v>
      </c>
      <c r="H953" t="s">
        <v>52</v>
      </c>
      <c r="I953" t="s">
        <v>52</v>
      </c>
      <c r="J953" t="s">
        <v>31</v>
      </c>
      <c r="K953" t="s">
        <v>32</v>
      </c>
      <c r="L953" t="s">
        <v>32</v>
      </c>
      <c r="M953" t="s">
        <v>33</v>
      </c>
      <c r="P953" t="s">
        <v>34</v>
      </c>
      <c r="Q953" t="s">
        <v>35</v>
      </c>
      <c r="S953" t="s">
        <v>52</v>
      </c>
      <c r="T953" t="s">
        <v>930</v>
      </c>
      <c r="U953" t="s">
        <v>931</v>
      </c>
      <c r="V953" t="s">
        <v>40</v>
      </c>
      <c r="W953" s="1">
        <v>5076800</v>
      </c>
    </row>
    <row r="954" spans="1:23" x14ac:dyDescent="0.2">
      <c r="A954" t="s">
        <v>23</v>
      </c>
      <c r="B954" t="s">
        <v>24</v>
      </c>
      <c r="C954" t="s">
        <v>25</v>
      </c>
      <c r="D954" t="s">
        <v>893</v>
      </c>
      <c r="E954" t="s">
        <v>894</v>
      </c>
      <c r="F954" t="s">
        <v>895</v>
      </c>
      <c r="G954" t="s">
        <v>170</v>
      </c>
      <c r="H954" t="s">
        <v>52</v>
      </c>
      <c r="I954" t="s">
        <v>30</v>
      </c>
      <c r="J954" t="s">
        <v>128</v>
      </c>
      <c r="K954" t="s">
        <v>135</v>
      </c>
      <c r="L954" t="s">
        <v>32</v>
      </c>
      <c r="M954" t="s">
        <v>33</v>
      </c>
      <c r="N954" t="s">
        <v>33</v>
      </c>
      <c r="O954" t="s">
        <v>33</v>
      </c>
      <c r="P954" t="s">
        <v>34</v>
      </c>
      <c r="Q954" t="s">
        <v>35</v>
      </c>
      <c r="R954" t="s">
        <v>136</v>
      </c>
      <c r="S954" t="s">
        <v>30</v>
      </c>
      <c r="T954" t="s">
        <v>932</v>
      </c>
      <c r="U954" t="s">
        <v>933</v>
      </c>
      <c r="V954" t="s">
        <v>39</v>
      </c>
      <c r="W954" s="1">
        <v>2</v>
      </c>
    </row>
    <row r="955" spans="1:23" x14ac:dyDescent="0.2">
      <c r="A955" t="s">
        <v>23</v>
      </c>
      <c r="B955" t="s">
        <v>24</v>
      </c>
      <c r="C955" t="s">
        <v>25</v>
      </c>
      <c r="D955" t="s">
        <v>893</v>
      </c>
      <c r="E955" t="s">
        <v>894</v>
      </c>
      <c r="F955" t="s">
        <v>895</v>
      </c>
      <c r="G955" t="s">
        <v>170</v>
      </c>
      <c r="H955" t="s">
        <v>52</v>
      </c>
      <c r="I955" t="s">
        <v>30</v>
      </c>
      <c r="J955" t="s">
        <v>128</v>
      </c>
      <c r="K955" t="s">
        <v>135</v>
      </c>
      <c r="L955" t="s">
        <v>32</v>
      </c>
      <c r="M955" t="s">
        <v>33</v>
      </c>
      <c r="N955" t="s">
        <v>33</v>
      </c>
      <c r="O955" t="s">
        <v>33</v>
      </c>
      <c r="P955" t="s">
        <v>34</v>
      </c>
      <c r="Q955" t="s">
        <v>35</v>
      </c>
      <c r="R955" t="s">
        <v>136</v>
      </c>
      <c r="S955" t="s">
        <v>30</v>
      </c>
      <c r="T955" t="s">
        <v>932</v>
      </c>
      <c r="U955" t="s">
        <v>933</v>
      </c>
      <c r="V955" t="s">
        <v>40</v>
      </c>
      <c r="W955" s="1">
        <v>1059800</v>
      </c>
    </row>
    <row r="956" spans="1:23" x14ac:dyDescent="0.2">
      <c r="A956" t="s">
        <v>23</v>
      </c>
      <c r="B956" t="s">
        <v>24</v>
      </c>
      <c r="C956" t="s">
        <v>25</v>
      </c>
      <c r="D956" t="s">
        <v>893</v>
      </c>
      <c r="E956" t="s">
        <v>894</v>
      </c>
      <c r="F956" t="s">
        <v>895</v>
      </c>
      <c r="G956" t="s">
        <v>170</v>
      </c>
      <c r="H956" t="s">
        <v>52</v>
      </c>
      <c r="I956" t="s">
        <v>30</v>
      </c>
      <c r="J956" t="s">
        <v>31</v>
      </c>
      <c r="K956" t="s">
        <v>32</v>
      </c>
      <c r="L956" t="s">
        <v>32</v>
      </c>
      <c r="M956" t="s">
        <v>33</v>
      </c>
      <c r="P956" t="s">
        <v>34</v>
      </c>
      <c r="Q956" t="s">
        <v>35</v>
      </c>
      <c r="S956" t="s">
        <v>52</v>
      </c>
      <c r="T956" t="s">
        <v>934</v>
      </c>
      <c r="U956" t="s">
        <v>935</v>
      </c>
      <c r="V956" t="s">
        <v>39</v>
      </c>
      <c r="W956" s="1">
        <v>0</v>
      </c>
    </row>
    <row r="957" spans="1:23" x14ac:dyDescent="0.2">
      <c r="A957" t="s">
        <v>23</v>
      </c>
      <c r="B957" t="s">
        <v>24</v>
      </c>
      <c r="C957" t="s">
        <v>25</v>
      </c>
      <c r="D957" t="s">
        <v>893</v>
      </c>
      <c r="E957" t="s">
        <v>894</v>
      </c>
      <c r="F957" t="s">
        <v>895</v>
      </c>
      <c r="G957" t="s">
        <v>170</v>
      </c>
      <c r="H957" t="s">
        <v>52</v>
      </c>
      <c r="I957" t="s">
        <v>30</v>
      </c>
      <c r="J957" t="s">
        <v>31</v>
      </c>
      <c r="K957" t="s">
        <v>32</v>
      </c>
      <c r="L957" t="s">
        <v>32</v>
      </c>
      <c r="M957" t="s">
        <v>33</v>
      </c>
      <c r="P957" t="s">
        <v>34</v>
      </c>
      <c r="Q957" t="s">
        <v>35</v>
      </c>
      <c r="S957" t="s">
        <v>52</v>
      </c>
      <c r="T957" t="s">
        <v>934</v>
      </c>
      <c r="U957" t="s">
        <v>935</v>
      </c>
      <c r="V957" t="s">
        <v>40</v>
      </c>
      <c r="W957" s="1">
        <v>313600</v>
      </c>
    </row>
    <row r="958" spans="1:23" x14ac:dyDescent="0.2">
      <c r="A958" t="s">
        <v>23</v>
      </c>
      <c r="B958" t="s">
        <v>24</v>
      </c>
      <c r="C958" t="s">
        <v>25</v>
      </c>
      <c r="D958" t="s">
        <v>893</v>
      </c>
      <c r="E958" t="s">
        <v>894</v>
      </c>
      <c r="F958" t="s">
        <v>895</v>
      </c>
      <c r="G958" t="s">
        <v>170</v>
      </c>
      <c r="H958" t="s">
        <v>52</v>
      </c>
      <c r="I958" t="s">
        <v>30</v>
      </c>
      <c r="J958" t="s">
        <v>41</v>
      </c>
      <c r="K958" t="s">
        <v>32</v>
      </c>
      <c r="L958" t="s">
        <v>32</v>
      </c>
      <c r="M958" t="s">
        <v>33</v>
      </c>
      <c r="N958" t="s">
        <v>33</v>
      </c>
      <c r="O958" t="s">
        <v>33</v>
      </c>
      <c r="P958" t="s">
        <v>34</v>
      </c>
      <c r="Q958" t="s">
        <v>35</v>
      </c>
      <c r="S958" t="s">
        <v>30</v>
      </c>
      <c r="T958" t="s">
        <v>936</v>
      </c>
      <c r="U958" t="s">
        <v>937</v>
      </c>
      <c r="V958" t="s">
        <v>39</v>
      </c>
      <c r="W958" s="1">
        <v>8</v>
      </c>
    </row>
    <row r="959" spans="1:23" x14ac:dyDescent="0.2">
      <c r="A959" t="s">
        <v>23</v>
      </c>
      <c r="B959" t="s">
        <v>24</v>
      </c>
      <c r="C959" t="s">
        <v>25</v>
      </c>
      <c r="D959" t="s">
        <v>893</v>
      </c>
      <c r="E959" t="s">
        <v>894</v>
      </c>
      <c r="F959" t="s">
        <v>895</v>
      </c>
      <c r="G959" t="s">
        <v>170</v>
      </c>
      <c r="H959" t="s">
        <v>52</v>
      </c>
      <c r="I959" t="s">
        <v>30</v>
      </c>
      <c r="J959" t="s">
        <v>41</v>
      </c>
      <c r="K959" t="s">
        <v>32</v>
      </c>
      <c r="L959" t="s">
        <v>32</v>
      </c>
      <c r="M959" t="s">
        <v>33</v>
      </c>
      <c r="N959" t="s">
        <v>33</v>
      </c>
      <c r="O959" t="s">
        <v>33</v>
      </c>
      <c r="P959" t="s">
        <v>34</v>
      </c>
      <c r="Q959" t="s">
        <v>35</v>
      </c>
      <c r="S959" t="s">
        <v>30</v>
      </c>
      <c r="T959" t="s">
        <v>936</v>
      </c>
      <c r="U959" t="s">
        <v>937</v>
      </c>
      <c r="V959" t="s">
        <v>40</v>
      </c>
      <c r="W959" s="1">
        <v>10799200</v>
      </c>
    </row>
    <row r="960" spans="1:23" x14ac:dyDescent="0.2">
      <c r="A960" t="s">
        <v>23</v>
      </c>
      <c r="B960" t="s">
        <v>24</v>
      </c>
      <c r="C960" t="s">
        <v>25</v>
      </c>
      <c r="D960" t="s">
        <v>893</v>
      </c>
      <c r="E960" t="s">
        <v>894</v>
      </c>
      <c r="F960" t="s">
        <v>895</v>
      </c>
      <c r="G960" t="s">
        <v>170</v>
      </c>
      <c r="H960" t="s">
        <v>52</v>
      </c>
      <c r="I960" t="s">
        <v>30</v>
      </c>
      <c r="J960" t="s">
        <v>41</v>
      </c>
      <c r="K960" t="s">
        <v>32</v>
      </c>
      <c r="L960" t="s">
        <v>32</v>
      </c>
      <c r="M960" t="s">
        <v>33</v>
      </c>
      <c r="N960" t="s">
        <v>176</v>
      </c>
      <c r="O960" t="s">
        <v>169</v>
      </c>
      <c r="P960" t="s">
        <v>34</v>
      </c>
      <c r="Q960" t="s">
        <v>35</v>
      </c>
      <c r="S960" t="s">
        <v>30</v>
      </c>
      <c r="T960" t="s">
        <v>936</v>
      </c>
      <c r="U960" t="s">
        <v>937</v>
      </c>
      <c r="V960" t="s">
        <v>39</v>
      </c>
      <c r="W960" s="1">
        <v>1</v>
      </c>
    </row>
    <row r="961" spans="1:23" x14ac:dyDescent="0.2">
      <c r="A961" t="s">
        <v>23</v>
      </c>
      <c r="B961" t="s">
        <v>24</v>
      </c>
      <c r="C961" t="s">
        <v>25</v>
      </c>
      <c r="D961" t="s">
        <v>893</v>
      </c>
      <c r="E961" t="s">
        <v>894</v>
      </c>
      <c r="F961" t="s">
        <v>895</v>
      </c>
      <c r="G961" t="s">
        <v>170</v>
      </c>
      <c r="H961" t="s">
        <v>52</v>
      </c>
      <c r="I961" t="s">
        <v>30</v>
      </c>
      <c r="J961" t="s">
        <v>41</v>
      </c>
      <c r="K961" t="s">
        <v>32</v>
      </c>
      <c r="L961" t="s">
        <v>32</v>
      </c>
      <c r="M961" t="s">
        <v>33</v>
      </c>
      <c r="N961" t="s">
        <v>176</v>
      </c>
      <c r="O961" t="s">
        <v>169</v>
      </c>
      <c r="P961" t="s">
        <v>34</v>
      </c>
      <c r="Q961" t="s">
        <v>35</v>
      </c>
      <c r="S961" t="s">
        <v>30</v>
      </c>
      <c r="T961" t="s">
        <v>936</v>
      </c>
      <c r="U961" t="s">
        <v>937</v>
      </c>
      <c r="V961" t="s">
        <v>40</v>
      </c>
      <c r="W961" s="1">
        <v>1349900</v>
      </c>
    </row>
    <row r="962" spans="1:23" x14ac:dyDescent="0.2">
      <c r="A962" t="s">
        <v>23</v>
      </c>
      <c r="B962" t="s">
        <v>24</v>
      </c>
      <c r="C962" t="s">
        <v>25</v>
      </c>
      <c r="D962" t="s">
        <v>893</v>
      </c>
      <c r="E962" t="s">
        <v>894</v>
      </c>
      <c r="F962" t="s">
        <v>895</v>
      </c>
      <c r="G962" t="s">
        <v>170</v>
      </c>
      <c r="H962" t="s">
        <v>52</v>
      </c>
      <c r="I962" t="s">
        <v>30</v>
      </c>
      <c r="J962" t="s">
        <v>41</v>
      </c>
      <c r="K962" t="s">
        <v>32</v>
      </c>
      <c r="L962" t="s">
        <v>32</v>
      </c>
      <c r="M962" t="s">
        <v>33</v>
      </c>
      <c r="N962" t="s">
        <v>169</v>
      </c>
      <c r="O962" t="s">
        <v>169</v>
      </c>
      <c r="P962" t="s">
        <v>34</v>
      </c>
      <c r="Q962" t="s">
        <v>35</v>
      </c>
      <c r="S962" t="s">
        <v>30</v>
      </c>
      <c r="T962" t="s">
        <v>936</v>
      </c>
      <c r="U962" t="s">
        <v>937</v>
      </c>
      <c r="V962" t="s">
        <v>39</v>
      </c>
      <c r="W962" s="1">
        <v>2</v>
      </c>
    </row>
    <row r="963" spans="1:23" x14ac:dyDescent="0.2">
      <c r="A963" t="s">
        <v>23</v>
      </c>
      <c r="B963" t="s">
        <v>24</v>
      </c>
      <c r="C963" t="s">
        <v>25</v>
      </c>
      <c r="D963" t="s">
        <v>893</v>
      </c>
      <c r="E963" t="s">
        <v>894</v>
      </c>
      <c r="F963" t="s">
        <v>895</v>
      </c>
      <c r="G963" t="s">
        <v>170</v>
      </c>
      <c r="H963" t="s">
        <v>52</v>
      </c>
      <c r="I963" t="s">
        <v>30</v>
      </c>
      <c r="J963" t="s">
        <v>41</v>
      </c>
      <c r="K963" t="s">
        <v>32</v>
      </c>
      <c r="L963" t="s">
        <v>32</v>
      </c>
      <c r="M963" t="s">
        <v>33</v>
      </c>
      <c r="N963" t="s">
        <v>169</v>
      </c>
      <c r="O963" t="s">
        <v>169</v>
      </c>
      <c r="P963" t="s">
        <v>34</v>
      </c>
      <c r="Q963" t="s">
        <v>35</v>
      </c>
      <c r="S963" t="s">
        <v>30</v>
      </c>
      <c r="T963" t="s">
        <v>936</v>
      </c>
      <c r="U963" t="s">
        <v>937</v>
      </c>
      <c r="V963" t="s">
        <v>40</v>
      </c>
      <c r="W963" s="1">
        <v>2699800</v>
      </c>
    </row>
    <row r="964" spans="1:23" x14ac:dyDescent="0.2">
      <c r="A964" t="s">
        <v>23</v>
      </c>
      <c r="B964" t="s">
        <v>24</v>
      </c>
      <c r="C964" t="s">
        <v>25</v>
      </c>
      <c r="D964" t="s">
        <v>893</v>
      </c>
      <c r="E964" t="s">
        <v>894</v>
      </c>
      <c r="F964" t="s">
        <v>895</v>
      </c>
      <c r="G964" t="s">
        <v>170</v>
      </c>
      <c r="H964" t="s">
        <v>52</v>
      </c>
      <c r="I964" t="s">
        <v>30</v>
      </c>
      <c r="J964" t="s">
        <v>41</v>
      </c>
      <c r="K964" t="s">
        <v>32</v>
      </c>
      <c r="L964" t="s">
        <v>32</v>
      </c>
      <c r="M964" t="s">
        <v>176</v>
      </c>
      <c r="N964" t="s">
        <v>176</v>
      </c>
      <c r="O964" t="s">
        <v>176</v>
      </c>
      <c r="P964" t="s">
        <v>34</v>
      </c>
      <c r="Q964" t="s">
        <v>35</v>
      </c>
      <c r="S964" t="s">
        <v>30</v>
      </c>
      <c r="T964" t="s">
        <v>936</v>
      </c>
      <c r="U964" t="s">
        <v>937</v>
      </c>
      <c r="V964" t="s">
        <v>39</v>
      </c>
      <c r="W964" s="1">
        <v>1</v>
      </c>
    </row>
    <row r="965" spans="1:23" x14ac:dyDescent="0.2">
      <c r="A965" t="s">
        <v>23</v>
      </c>
      <c r="B965" t="s">
        <v>24</v>
      </c>
      <c r="C965" t="s">
        <v>25</v>
      </c>
      <c r="D965" t="s">
        <v>893</v>
      </c>
      <c r="E965" t="s">
        <v>894</v>
      </c>
      <c r="F965" t="s">
        <v>895</v>
      </c>
      <c r="G965" t="s">
        <v>170</v>
      </c>
      <c r="H965" t="s">
        <v>52</v>
      </c>
      <c r="I965" t="s">
        <v>30</v>
      </c>
      <c r="J965" t="s">
        <v>41</v>
      </c>
      <c r="K965" t="s">
        <v>32</v>
      </c>
      <c r="L965" t="s">
        <v>32</v>
      </c>
      <c r="M965" t="s">
        <v>176</v>
      </c>
      <c r="N965" t="s">
        <v>176</v>
      </c>
      <c r="O965" t="s">
        <v>176</v>
      </c>
      <c r="P965" t="s">
        <v>34</v>
      </c>
      <c r="Q965" t="s">
        <v>35</v>
      </c>
      <c r="S965" t="s">
        <v>30</v>
      </c>
      <c r="T965" t="s">
        <v>936</v>
      </c>
      <c r="U965" t="s">
        <v>937</v>
      </c>
      <c r="V965" t="s">
        <v>40</v>
      </c>
      <c r="W965" s="1">
        <v>1343900</v>
      </c>
    </row>
    <row r="966" spans="1:23" x14ac:dyDescent="0.2">
      <c r="A966" t="s">
        <v>23</v>
      </c>
      <c r="B966" t="s">
        <v>24</v>
      </c>
      <c r="C966" t="s">
        <v>25</v>
      </c>
      <c r="D966" t="s">
        <v>893</v>
      </c>
      <c r="E966" t="s">
        <v>894</v>
      </c>
      <c r="F966" t="s">
        <v>895</v>
      </c>
      <c r="G966" t="s">
        <v>64</v>
      </c>
      <c r="H966" t="s">
        <v>30</v>
      </c>
      <c r="I966" t="s">
        <v>52</v>
      </c>
      <c r="J966" t="s">
        <v>31</v>
      </c>
      <c r="K966" t="s">
        <v>32</v>
      </c>
      <c r="L966" t="s">
        <v>32</v>
      </c>
      <c r="M966" t="s">
        <v>33</v>
      </c>
      <c r="N966" t="s">
        <v>33</v>
      </c>
      <c r="O966" t="s">
        <v>33</v>
      </c>
      <c r="P966" t="s">
        <v>34</v>
      </c>
      <c r="Q966" t="s">
        <v>35</v>
      </c>
      <c r="S966" t="s">
        <v>30</v>
      </c>
      <c r="T966" t="s">
        <v>938</v>
      </c>
      <c r="U966" t="s">
        <v>939</v>
      </c>
      <c r="V966" t="s">
        <v>39</v>
      </c>
      <c r="W966" s="1">
        <v>2</v>
      </c>
    </row>
    <row r="967" spans="1:23" x14ac:dyDescent="0.2">
      <c r="A967" t="s">
        <v>23</v>
      </c>
      <c r="B967" t="s">
        <v>24</v>
      </c>
      <c r="C967" t="s">
        <v>25</v>
      </c>
      <c r="D967" t="s">
        <v>893</v>
      </c>
      <c r="E967" t="s">
        <v>894</v>
      </c>
      <c r="F967" t="s">
        <v>895</v>
      </c>
      <c r="G967" t="s">
        <v>64</v>
      </c>
      <c r="H967" t="s">
        <v>30</v>
      </c>
      <c r="I967" t="s">
        <v>52</v>
      </c>
      <c r="J967" t="s">
        <v>31</v>
      </c>
      <c r="K967" t="s">
        <v>32</v>
      </c>
      <c r="L967" t="s">
        <v>32</v>
      </c>
      <c r="M967" t="s">
        <v>33</v>
      </c>
      <c r="N967" t="s">
        <v>33</v>
      </c>
      <c r="O967" t="s">
        <v>33</v>
      </c>
      <c r="P967" t="s">
        <v>34</v>
      </c>
      <c r="Q967" t="s">
        <v>35</v>
      </c>
      <c r="S967" t="s">
        <v>30</v>
      </c>
      <c r="T967" t="s">
        <v>938</v>
      </c>
      <c r="U967" t="s">
        <v>939</v>
      </c>
      <c r="V967" t="s">
        <v>40</v>
      </c>
      <c r="W967" s="1">
        <v>1350000</v>
      </c>
    </row>
    <row r="968" spans="1:23" x14ac:dyDescent="0.2">
      <c r="A968" t="s">
        <v>23</v>
      </c>
      <c r="B968" t="s">
        <v>24</v>
      </c>
      <c r="C968" t="s">
        <v>25</v>
      </c>
      <c r="D968" t="s">
        <v>893</v>
      </c>
      <c r="E968" t="s">
        <v>894</v>
      </c>
      <c r="F968" t="s">
        <v>895</v>
      </c>
      <c r="G968" t="s">
        <v>67</v>
      </c>
      <c r="H968" t="s">
        <v>30</v>
      </c>
      <c r="I968" t="s">
        <v>30</v>
      </c>
      <c r="J968" t="s">
        <v>31</v>
      </c>
      <c r="K968" t="s">
        <v>32</v>
      </c>
      <c r="L968" t="s">
        <v>32</v>
      </c>
      <c r="M968" t="s">
        <v>33</v>
      </c>
      <c r="N968" t="s">
        <v>33</v>
      </c>
      <c r="O968" t="s">
        <v>33</v>
      </c>
      <c r="P968" t="s">
        <v>213</v>
      </c>
      <c r="Q968" t="s">
        <v>214</v>
      </c>
      <c r="S968" t="s">
        <v>30</v>
      </c>
      <c r="T968" t="s">
        <v>940</v>
      </c>
      <c r="U968" t="s">
        <v>941</v>
      </c>
      <c r="V968" t="s">
        <v>39</v>
      </c>
      <c r="W968" s="1">
        <v>2</v>
      </c>
    </row>
    <row r="969" spans="1:23" x14ac:dyDescent="0.2">
      <c r="A969" t="s">
        <v>23</v>
      </c>
      <c r="B969" t="s">
        <v>24</v>
      </c>
      <c r="C969" t="s">
        <v>25</v>
      </c>
      <c r="D969" t="s">
        <v>893</v>
      </c>
      <c r="E969" t="s">
        <v>894</v>
      </c>
      <c r="F969" t="s">
        <v>895</v>
      </c>
      <c r="G969" t="s">
        <v>67</v>
      </c>
      <c r="H969" t="s">
        <v>30</v>
      </c>
      <c r="I969" t="s">
        <v>30</v>
      </c>
      <c r="J969" t="s">
        <v>31</v>
      </c>
      <c r="K969" t="s">
        <v>32</v>
      </c>
      <c r="L969" t="s">
        <v>32</v>
      </c>
      <c r="M969" t="s">
        <v>33</v>
      </c>
      <c r="N969" t="s">
        <v>33</v>
      </c>
      <c r="O969" t="s">
        <v>33</v>
      </c>
      <c r="P969" t="s">
        <v>213</v>
      </c>
      <c r="Q969" t="s">
        <v>214</v>
      </c>
      <c r="S969" t="s">
        <v>30</v>
      </c>
      <c r="T969" t="s">
        <v>940</v>
      </c>
      <c r="U969" t="s">
        <v>941</v>
      </c>
      <c r="V969" t="s">
        <v>40</v>
      </c>
      <c r="W969" s="1">
        <v>2411200</v>
      </c>
    </row>
    <row r="970" spans="1:23" x14ac:dyDescent="0.2">
      <c r="A970" t="s">
        <v>23</v>
      </c>
      <c r="B970" t="s">
        <v>24</v>
      </c>
      <c r="C970" t="s">
        <v>25</v>
      </c>
      <c r="D970" t="s">
        <v>893</v>
      </c>
      <c r="E970" t="s">
        <v>894</v>
      </c>
      <c r="F970" t="s">
        <v>895</v>
      </c>
      <c r="G970" t="s">
        <v>67</v>
      </c>
      <c r="H970" t="s">
        <v>30</v>
      </c>
      <c r="I970" t="s">
        <v>30</v>
      </c>
      <c r="J970" t="s">
        <v>31</v>
      </c>
      <c r="K970" t="s">
        <v>32</v>
      </c>
      <c r="L970" t="s">
        <v>32</v>
      </c>
      <c r="M970" t="s">
        <v>33</v>
      </c>
      <c r="N970" t="s">
        <v>33</v>
      </c>
      <c r="O970" t="s">
        <v>33</v>
      </c>
      <c r="P970" t="s">
        <v>34</v>
      </c>
      <c r="Q970" t="s">
        <v>35</v>
      </c>
      <c r="R970" t="s">
        <v>148</v>
      </c>
      <c r="S970" t="s">
        <v>30</v>
      </c>
      <c r="T970" t="s">
        <v>942</v>
      </c>
      <c r="U970" t="s">
        <v>943</v>
      </c>
      <c r="V970" t="s">
        <v>39</v>
      </c>
      <c r="W970" s="1">
        <v>2</v>
      </c>
    </row>
    <row r="971" spans="1:23" x14ac:dyDescent="0.2">
      <c r="A971" t="s">
        <v>23</v>
      </c>
      <c r="B971" t="s">
        <v>24</v>
      </c>
      <c r="C971" t="s">
        <v>25</v>
      </c>
      <c r="D971" t="s">
        <v>893</v>
      </c>
      <c r="E971" t="s">
        <v>894</v>
      </c>
      <c r="F971" t="s">
        <v>895</v>
      </c>
      <c r="G971" t="s">
        <v>67</v>
      </c>
      <c r="H971" t="s">
        <v>30</v>
      </c>
      <c r="I971" t="s">
        <v>30</v>
      </c>
      <c r="J971" t="s">
        <v>31</v>
      </c>
      <c r="K971" t="s">
        <v>32</v>
      </c>
      <c r="L971" t="s">
        <v>32</v>
      </c>
      <c r="M971" t="s">
        <v>33</v>
      </c>
      <c r="N971" t="s">
        <v>33</v>
      </c>
      <c r="O971" t="s">
        <v>33</v>
      </c>
      <c r="P971" t="s">
        <v>34</v>
      </c>
      <c r="Q971" t="s">
        <v>35</v>
      </c>
      <c r="R971" t="s">
        <v>148</v>
      </c>
      <c r="S971" t="s">
        <v>30</v>
      </c>
      <c r="T971" t="s">
        <v>942</v>
      </c>
      <c r="U971" t="s">
        <v>943</v>
      </c>
      <c r="V971" t="s">
        <v>40</v>
      </c>
      <c r="W971" s="1">
        <v>2055800</v>
      </c>
    </row>
    <row r="972" spans="1:23" x14ac:dyDescent="0.2">
      <c r="A972" t="s">
        <v>23</v>
      </c>
      <c r="B972" t="s">
        <v>24</v>
      </c>
      <c r="C972" t="s">
        <v>25</v>
      </c>
      <c r="D972" t="s">
        <v>893</v>
      </c>
      <c r="E972" t="s">
        <v>894</v>
      </c>
      <c r="F972" t="s">
        <v>895</v>
      </c>
      <c r="G972" t="s">
        <v>67</v>
      </c>
      <c r="H972" t="s">
        <v>30</v>
      </c>
      <c r="I972" t="s">
        <v>30</v>
      </c>
      <c r="J972" t="s">
        <v>31</v>
      </c>
      <c r="K972" t="s">
        <v>32</v>
      </c>
      <c r="L972" t="s">
        <v>32</v>
      </c>
      <c r="M972" t="s">
        <v>33</v>
      </c>
      <c r="N972" t="s">
        <v>33</v>
      </c>
      <c r="O972" t="s">
        <v>33</v>
      </c>
      <c r="P972" t="s">
        <v>34</v>
      </c>
      <c r="Q972" t="s">
        <v>35</v>
      </c>
      <c r="S972" t="s">
        <v>30</v>
      </c>
      <c r="T972" t="s">
        <v>944</v>
      </c>
      <c r="U972" t="s">
        <v>945</v>
      </c>
      <c r="V972" t="s">
        <v>39</v>
      </c>
      <c r="W972" s="1">
        <v>2</v>
      </c>
    </row>
    <row r="973" spans="1:23" x14ac:dyDescent="0.2">
      <c r="A973" t="s">
        <v>23</v>
      </c>
      <c r="B973" t="s">
        <v>24</v>
      </c>
      <c r="C973" t="s">
        <v>25</v>
      </c>
      <c r="D973" t="s">
        <v>893</v>
      </c>
      <c r="E973" t="s">
        <v>894</v>
      </c>
      <c r="F973" t="s">
        <v>895</v>
      </c>
      <c r="G973" t="s">
        <v>67</v>
      </c>
      <c r="H973" t="s">
        <v>30</v>
      </c>
      <c r="I973" t="s">
        <v>30</v>
      </c>
      <c r="J973" t="s">
        <v>31</v>
      </c>
      <c r="K973" t="s">
        <v>32</v>
      </c>
      <c r="L973" t="s">
        <v>32</v>
      </c>
      <c r="M973" t="s">
        <v>33</v>
      </c>
      <c r="N973" t="s">
        <v>33</v>
      </c>
      <c r="O973" t="s">
        <v>33</v>
      </c>
      <c r="P973" t="s">
        <v>34</v>
      </c>
      <c r="Q973" t="s">
        <v>35</v>
      </c>
      <c r="S973" t="s">
        <v>30</v>
      </c>
      <c r="T973" t="s">
        <v>944</v>
      </c>
      <c r="U973" t="s">
        <v>945</v>
      </c>
      <c r="V973" t="s">
        <v>40</v>
      </c>
      <c r="W973" s="1">
        <v>598000</v>
      </c>
    </row>
    <row r="974" spans="1:23" x14ac:dyDescent="0.2">
      <c r="A974" t="s">
        <v>23</v>
      </c>
      <c r="B974" t="s">
        <v>24</v>
      </c>
      <c r="C974" t="s">
        <v>25</v>
      </c>
      <c r="D974" t="s">
        <v>893</v>
      </c>
      <c r="E974" t="s">
        <v>894</v>
      </c>
      <c r="F974" t="s">
        <v>895</v>
      </c>
      <c r="G974" t="s">
        <v>67</v>
      </c>
      <c r="H974" t="s">
        <v>30</v>
      </c>
      <c r="I974" t="s">
        <v>30</v>
      </c>
      <c r="J974" t="s">
        <v>31</v>
      </c>
      <c r="K974" t="s">
        <v>32</v>
      </c>
      <c r="L974" t="s">
        <v>32</v>
      </c>
      <c r="M974" t="s">
        <v>33</v>
      </c>
      <c r="N974" t="s">
        <v>169</v>
      </c>
      <c r="O974" t="s">
        <v>169</v>
      </c>
      <c r="P974" t="s">
        <v>213</v>
      </c>
      <c r="Q974" t="s">
        <v>214</v>
      </c>
      <c r="S974" t="s">
        <v>30</v>
      </c>
      <c r="T974" t="s">
        <v>940</v>
      </c>
      <c r="U974" t="s">
        <v>941</v>
      </c>
      <c r="V974" t="s">
        <v>39</v>
      </c>
      <c r="W974" s="1">
        <v>1</v>
      </c>
    </row>
    <row r="975" spans="1:23" x14ac:dyDescent="0.2">
      <c r="A975" t="s">
        <v>23</v>
      </c>
      <c r="B975" t="s">
        <v>24</v>
      </c>
      <c r="C975" t="s">
        <v>25</v>
      </c>
      <c r="D975" t="s">
        <v>893</v>
      </c>
      <c r="E975" t="s">
        <v>894</v>
      </c>
      <c r="F975" t="s">
        <v>895</v>
      </c>
      <c r="G975" t="s">
        <v>67</v>
      </c>
      <c r="H975" t="s">
        <v>30</v>
      </c>
      <c r="I975" t="s">
        <v>30</v>
      </c>
      <c r="J975" t="s">
        <v>31</v>
      </c>
      <c r="K975" t="s">
        <v>32</v>
      </c>
      <c r="L975" t="s">
        <v>32</v>
      </c>
      <c r="M975" t="s">
        <v>33</v>
      </c>
      <c r="N975" t="s">
        <v>169</v>
      </c>
      <c r="O975" t="s">
        <v>169</v>
      </c>
      <c r="P975" t="s">
        <v>213</v>
      </c>
      <c r="Q975" t="s">
        <v>214</v>
      </c>
      <c r="S975" t="s">
        <v>30</v>
      </c>
      <c r="T975" t="s">
        <v>940</v>
      </c>
      <c r="U975" t="s">
        <v>941</v>
      </c>
      <c r="V975" t="s">
        <v>40</v>
      </c>
      <c r="W975" s="1">
        <v>1205600</v>
      </c>
    </row>
    <row r="976" spans="1:23" x14ac:dyDescent="0.2">
      <c r="A976" t="s">
        <v>23</v>
      </c>
      <c r="B976" t="s">
        <v>24</v>
      </c>
      <c r="C976" t="s">
        <v>25</v>
      </c>
      <c r="D976" t="s">
        <v>893</v>
      </c>
      <c r="E976" t="s">
        <v>894</v>
      </c>
      <c r="F976" t="s">
        <v>895</v>
      </c>
      <c r="G976" t="s">
        <v>67</v>
      </c>
      <c r="H976" t="s">
        <v>30</v>
      </c>
      <c r="I976" t="s">
        <v>30</v>
      </c>
      <c r="J976" t="s">
        <v>31</v>
      </c>
      <c r="K976" t="s">
        <v>32</v>
      </c>
      <c r="L976" t="s">
        <v>32</v>
      </c>
      <c r="M976" t="s">
        <v>176</v>
      </c>
      <c r="N976" t="s">
        <v>176</v>
      </c>
      <c r="O976" t="s">
        <v>176</v>
      </c>
      <c r="P976" t="s">
        <v>213</v>
      </c>
      <c r="Q976" t="s">
        <v>214</v>
      </c>
      <c r="S976" t="s">
        <v>30</v>
      </c>
      <c r="T976" t="s">
        <v>940</v>
      </c>
      <c r="U976" t="s">
        <v>941</v>
      </c>
      <c r="V976" t="s">
        <v>39</v>
      </c>
      <c r="W976" s="1">
        <v>1</v>
      </c>
    </row>
    <row r="977" spans="1:23" x14ac:dyDescent="0.2">
      <c r="A977" t="s">
        <v>23</v>
      </c>
      <c r="B977" t="s">
        <v>24</v>
      </c>
      <c r="C977" t="s">
        <v>25</v>
      </c>
      <c r="D977" t="s">
        <v>893</v>
      </c>
      <c r="E977" t="s">
        <v>894</v>
      </c>
      <c r="F977" t="s">
        <v>895</v>
      </c>
      <c r="G977" t="s">
        <v>67</v>
      </c>
      <c r="H977" t="s">
        <v>30</v>
      </c>
      <c r="I977" t="s">
        <v>30</v>
      </c>
      <c r="J977" t="s">
        <v>31</v>
      </c>
      <c r="K977" t="s">
        <v>32</v>
      </c>
      <c r="L977" t="s">
        <v>32</v>
      </c>
      <c r="M977" t="s">
        <v>176</v>
      </c>
      <c r="N977" t="s">
        <v>176</v>
      </c>
      <c r="O977" t="s">
        <v>176</v>
      </c>
      <c r="P977" t="s">
        <v>213</v>
      </c>
      <c r="Q977" t="s">
        <v>214</v>
      </c>
      <c r="S977" t="s">
        <v>30</v>
      </c>
      <c r="T977" t="s">
        <v>940</v>
      </c>
      <c r="U977" t="s">
        <v>941</v>
      </c>
      <c r="V977" t="s">
        <v>40</v>
      </c>
      <c r="W977" s="1">
        <v>1205600</v>
      </c>
    </row>
    <row r="978" spans="1:23" x14ac:dyDescent="0.2">
      <c r="A978" t="s">
        <v>23</v>
      </c>
      <c r="B978" t="s">
        <v>24</v>
      </c>
      <c r="C978" t="s">
        <v>25</v>
      </c>
      <c r="D978" t="s">
        <v>893</v>
      </c>
      <c r="E978" t="s">
        <v>894</v>
      </c>
      <c r="F978" t="s">
        <v>895</v>
      </c>
      <c r="G978" t="s">
        <v>67</v>
      </c>
      <c r="H978" t="s">
        <v>30</v>
      </c>
      <c r="I978" t="s">
        <v>30</v>
      </c>
      <c r="J978" t="s">
        <v>41</v>
      </c>
      <c r="K978" t="s">
        <v>32</v>
      </c>
      <c r="L978" t="s">
        <v>32</v>
      </c>
      <c r="M978" t="s">
        <v>33</v>
      </c>
      <c r="N978" t="s">
        <v>33</v>
      </c>
      <c r="O978" t="s">
        <v>33</v>
      </c>
      <c r="P978" t="s">
        <v>34</v>
      </c>
      <c r="Q978" t="s">
        <v>35</v>
      </c>
      <c r="S978" t="s">
        <v>30</v>
      </c>
      <c r="T978" t="s">
        <v>946</v>
      </c>
      <c r="U978" t="s">
        <v>947</v>
      </c>
      <c r="V978" t="s">
        <v>39</v>
      </c>
      <c r="W978" s="1">
        <v>6</v>
      </c>
    </row>
    <row r="979" spans="1:23" x14ac:dyDescent="0.2">
      <c r="A979" t="s">
        <v>23</v>
      </c>
      <c r="B979" t="s">
        <v>24</v>
      </c>
      <c r="C979" t="s">
        <v>25</v>
      </c>
      <c r="D979" t="s">
        <v>893</v>
      </c>
      <c r="E979" t="s">
        <v>894</v>
      </c>
      <c r="F979" t="s">
        <v>895</v>
      </c>
      <c r="G979" t="s">
        <v>67</v>
      </c>
      <c r="H979" t="s">
        <v>30</v>
      </c>
      <c r="I979" t="s">
        <v>30</v>
      </c>
      <c r="J979" t="s">
        <v>41</v>
      </c>
      <c r="K979" t="s">
        <v>32</v>
      </c>
      <c r="L979" t="s">
        <v>32</v>
      </c>
      <c r="M979" t="s">
        <v>33</v>
      </c>
      <c r="N979" t="s">
        <v>33</v>
      </c>
      <c r="O979" t="s">
        <v>33</v>
      </c>
      <c r="P979" t="s">
        <v>34</v>
      </c>
      <c r="Q979" t="s">
        <v>35</v>
      </c>
      <c r="S979" t="s">
        <v>30</v>
      </c>
      <c r="T979" t="s">
        <v>946</v>
      </c>
      <c r="U979" t="s">
        <v>947</v>
      </c>
      <c r="V979" t="s">
        <v>40</v>
      </c>
      <c r="W979" s="1">
        <v>5804400</v>
      </c>
    </row>
    <row r="980" spans="1:23" x14ac:dyDescent="0.2">
      <c r="A980" t="s">
        <v>23</v>
      </c>
      <c r="B980" t="s">
        <v>24</v>
      </c>
      <c r="C980" t="s">
        <v>25</v>
      </c>
      <c r="D980" t="s">
        <v>893</v>
      </c>
      <c r="E980" t="s">
        <v>894</v>
      </c>
      <c r="F980" t="s">
        <v>895</v>
      </c>
      <c r="G980" t="s">
        <v>67</v>
      </c>
      <c r="H980" t="s">
        <v>30</v>
      </c>
      <c r="I980" t="s">
        <v>30</v>
      </c>
      <c r="J980" t="s">
        <v>41</v>
      </c>
      <c r="K980" t="s">
        <v>32</v>
      </c>
      <c r="L980" t="s">
        <v>32</v>
      </c>
      <c r="M980" t="s">
        <v>33</v>
      </c>
      <c r="P980" t="s">
        <v>34</v>
      </c>
      <c r="Q980" t="s">
        <v>35</v>
      </c>
      <c r="S980" t="s">
        <v>52</v>
      </c>
      <c r="T980" t="s">
        <v>946</v>
      </c>
      <c r="U980" t="s">
        <v>947</v>
      </c>
      <c r="V980" t="s">
        <v>39</v>
      </c>
      <c r="W980" s="1">
        <v>0</v>
      </c>
    </row>
    <row r="981" spans="1:23" x14ac:dyDescent="0.2">
      <c r="A981" t="s">
        <v>23</v>
      </c>
      <c r="B981" t="s">
        <v>24</v>
      </c>
      <c r="C981" t="s">
        <v>25</v>
      </c>
      <c r="D981" t="s">
        <v>893</v>
      </c>
      <c r="E981" t="s">
        <v>894</v>
      </c>
      <c r="F981" t="s">
        <v>895</v>
      </c>
      <c r="G981" t="s">
        <v>67</v>
      </c>
      <c r="H981" t="s">
        <v>30</v>
      </c>
      <c r="I981" t="s">
        <v>30</v>
      </c>
      <c r="J981" t="s">
        <v>41</v>
      </c>
      <c r="K981" t="s">
        <v>32</v>
      </c>
      <c r="L981" t="s">
        <v>32</v>
      </c>
      <c r="M981" t="s">
        <v>33</v>
      </c>
      <c r="P981" t="s">
        <v>34</v>
      </c>
      <c r="Q981" t="s">
        <v>35</v>
      </c>
      <c r="S981" t="s">
        <v>52</v>
      </c>
      <c r="T981" t="s">
        <v>946</v>
      </c>
      <c r="U981" t="s">
        <v>947</v>
      </c>
      <c r="V981" t="s">
        <v>40</v>
      </c>
      <c r="W981" s="1">
        <v>0</v>
      </c>
    </row>
    <row r="982" spans="1:23" x14ac:dyDescent="0.2">
      <c r="A982" t="s">
        <v>23</v>
      </c>
      <c r="B982" t="s">
        <v>24</v>
      </c>
      <c r="C982" t="s">
        <v>25</v>
      </c>
      <c r="D982" t="s">
        <v>893</v>
      </c>
      <c r="E982" t="s">
        <v>894</v>
      </c>
      <c r="F982" t="s">
        <v>895</v>
      </c>
      <c r="G982" t="s">
        <v>89</v>
      </c>
      <c r="H982" t="s">
        <v>30</v>
      </c>
      <c r="I982" t="s">
        <v>30</v>
      </c>
      <c r="J982" t="s">
        <v>31</v>
      </c>
      <c r="K982" t="s">
        <v>32</v>
      </c>
      <c r="L982" t="s">
        <v>32</v>
      </c>
      <c r="M982" t="s">
        <v>33</v>
      </c>
      <c r="N982" t="s">
        <v>33</v>
      </c>
      <c r="O982" t="s">
        <v>33</v>
      </c>
      <c r="P982" t="s">
        <v>34</v>
      </c>
      <c r="Q982" t="s">
        <v>35</v>
      </c>
      <c r="S982" t="s">
        <v>30</v>
      </c>
      <c r="T982" t="s">
        <v>948</v>
      </c>
      <c r="U982" t="s">
        <v>949</v>
      </c>
      <c r="V982" t="s">
        <v>39</v>
      </c>
      <c r="W982" s="1">
        <v>4</v>
      </c>
    </row>
    <row r="983" spans="1:23" x14ac:dyDescent="0.2">
      <c r="A983" t="s">
        <v>23</v>
      </c>
      <c r="B983" t="s">
        <v>24</v>
      </c>
      <c r="C983" t="s">
        <v>25</v>
      </c>
      <c r="D983" t="s">
        <v>893</v>
      </c>
      <c r="E983" t="s">
        <v>894</v>
      </c>
      <c r="F983" t="s">
        <v>895</v>
      </c>
      <c r="G983" t="s">
        <v>89</v>
      </c>
      <c r="H983" t="s">
        <v>30</v>
      </c>
      <c r="I983" t="s">
        <v>30</v>
      </c>
      <c r="J983" t="s">
        <v>31</v>
      </c>
      <c r="K983" t="s">
        <v>32</v>
      </c>
      <c r="L983" t="s">
        <v>32</v>
      </c>
      <c r="M983" t="s">
        <v>33</v>
      </c>
      <c r="N983" t="s">
        <v>33</v>
      </c>
      <c r="O983" t="s">
        <v>33</v>
      </c>
      <c r="P983" t="s">
        <v>34</v>
      </c>
      <c r="Q983" t="s">
        <v>35</v>
      </c>
      <c r="S983" t="s">
        <v>30</v>
      </c>
      <c r="T983" t="s">
        <v>948</v>
      </c>
      <c r="U983" t="s">
        <v>949</v>
      </c>
      <c r="V983" t="s">
        <v>40</v>
      </c>
      <c r="W983" s="1">
        <v>2440000</v>
      </c>
    </row>
    <row r="984" spans="1:23" x14ac:dyDescent="0.2">
      <c r="A984" t="s">
        <v>23</v>
      </c>
      <c r="B984" t="s">
        <v>24</v>
      </c>
      <c r="C984" t="s">
        <v>25</v>
      </c>
      <c r="D984" t="s">
        <v>893</v>
      </c>
      <c r="E984" t="s">
        <v>894</v>
      </c>
      <c r="F984" t="s">
        <v>895</v>
      </c>
      <c r="G984" t="s">
        <v>89</v>
      </c>
      <c r="H984" t="s">
        <v>30</v>
      </c>
      <c r="I984" t="s">
        <v>30</v>
      </c>
      <c r="J984" t="s">
        <v>41</v>
      </c>
      <c r="K984" t="s">
        <v>32</v>
      </c>
      <c r="L984" t="s">
        <v>32</v>
      </c>
      <c r="M984" t="s">
        <v>33</v>
      </c>
      <c r="P984" t="s">
        <v>42</v>
      </c>
      <c r="Q984" t="s">
        <v>43</v>
      </c>
      <c r="R984" t="s">
        <v>162</v>
      </c>
      <c r="S984" t="s">
        <v>52</v>
      </c>
      <c r="T984" t="s">
        <v>950</v>
      </c>
      <c r="U984" t="s">
        <v>951</v>
      </c>
      <c r="V984" t="s">
        <v>39</v>
      </c>
      <c r="W984" s="1">
        <v>0</v>
      </c>
    </row>
    <row r="985" spans="1:23" x14ac:dyDescent="0.2">
      <c r="A985" t="s">
        <v>23</v>
      </c>
      <c r="B985" t="s">
        <v>24</v>
      </c>
      <c r="C985" t="s">
        <v>25</v>
      </c>
      <c r="D985" t="s">
        <v>893</v>
      </c>
      <c r="E985" t="s">
        <v>894</v>
      </c>
      <c r="F985" t="s">
        <v>895</v>
      </c>
      <c r="G985" t="s">
        <v>89</v>
      </c>
      <c r="H985" t="s">
        <v>30</v>
      </c>
      <c r="I985" t="s">
        <v>30</v>
      </c>
      <c r="J985" t="s">
        <v>41</v>
      </c>
      <c r="K985" t="s">
        <v>32</v>
      </c>
      <c r="L985" t="s">
        <v>32</v>
      </c>
      <c r="M985" t="s">
        <v>33</v>
      </c>
      <c r="P985" t="s">
        <v>42</v>
      </c>
      <c r="Q985" t="s">
        <v>43</v>
      </c>
      <c r="R985" t="s">
        <v>162</v>
      </c>
      <c r="S985" t="s">
        <v>52</v>
      </c>
      <c r="T985" t="s">
        <v>950</v>
      </c>
      <c r="U985" t="s">
        <v>951</v>
      </c>
      <c r="V985" t="s">
        <v>40</v>
      </c>
      <c r="W985" s="1">
        <v>8710000</v>
      </c>
    </row>
    <row r="986" spans="1:23" x14ac:dyDescent="0.2">
      <c r="A986" t="s">
        <v>23</v>
      </c>
      <c r="B986" t="s">
        <v>24</v>
      </c>
      <c r="C986" t="s">
        <v>25</v>
      </c>
      <c r="D986" t="s">
        <v>893</v>
      </c>
      <c r="E986" t="s">
        <v>894</v>
      </c>
      <c r="F986" t="s">
        <v>895</v>
      </c>
      <c r="G986" t="s">
        <v>106</v>
      </c>
      <c r="H986" t="s">
        <v>30</v>
      </c>
      <c r="I986" t="s">
        <v>30</v>
      </c>
      <c r="J986" t="s">
        <v>31</v>
      </c>
      <c r="K986" t="s">
        <v>32</v>
      </c>
      <c r="L986" t="s">
        <v>32</v>
      </c>
      <c r="M986" t="s">
        <v>33</v>
      </c>
      <c r="P986" t="s">
        <v>34</v>
      </c>
      <c r="Q986" t="s">
        <v>35</v>
      </c>
      <c r="S986" t="s">
        <v>52</v>
      </c>
      <c r="T986" t="s">
        <v>952</v>
      </c>
      <c r="U986" t="s">
        <v>953</v>
      </c>
      <c r="V986" t="s">
        <v>39</v>
      </c>
      <c r="W986" s="1">
        <v>0</v>
      </c>
    </row>
    <row r="987" spans="1:23" x14ac:dyDescent="0.2">
      <c r="A987" t="s">
        <v>23</v>
      </c>
      <c r="B987" t="s">
        <v>24</v>
      </c>
      <c r="C987" t="s">
        <v>25</v>
      </c>
      <c r="D987" t="s">
        <v>893</v>
      </c>
      <c r="E987" t="s">
        <v>894</v>
      </c>
      <c r="F987" t="s">
        <v>895</v>
      </c>
      <c r="G987" t="s">
        <v>106</v>
      </c>
      <c r="H987" t="s">
        <v>30</v>
      </c>
      <c r="I987" t="s">
        <v>30</v>
      </c>
      <c r="J987" t="s">
        <v>31</v>
      </c>
      <c r="K987" t="s">
        <v>32</v>
      </c>
      <c r="L987" t="s">
        <v>32</v>
      </c>
      <c r="M987" t="s">
        <v>33</v>
      </c>
      <c r="P987" t="s">
        <v>34</v>
      </c>
      <c r="Q987" t="s">
        <v>35</v>
      </c>
      <c r="S987" t="s">
        <v>52</v>
      </c>
      <c r="T987" t="s">
        <v>952</v>
      </c>
      <c r="U987" t="s">
        <v>953</v>
      </c>
      <c r="V987" t="s">
        <v>40</v>
      </c>
      <c r="W987" s="1">
        <v>11033000</v>
      </c>
    </row>
    <row r="988" spans="1:23" x14ac:dyDescent="0.2">
      <c r="A988" t="s">
        <v>23</v>
      </c>
      <c r="B988" t="s">
        <v>24</v>
      </c>
      <c r="C988" t="s">
        <v>25</v>
      </c>
      <c r="D988" t="s">
        <v>893</v>
      </c>
      <c r="E988" t="s">
        <v>894</v>
      </c>
      <c r="F988" t="s">
        <v>895</v>
      </c>
      <c r="G988" t="s">
        <v>106</v>
      </c>
      <c r="H988" t="s">
        <v>30</v>
      </c>
      <c r="I988" t="s">
        <v>30</v>
      </c>
      <c r="J988" t="s">
        <v>31</v>
      </c>
      <c r="K988" t="s">
        <v>32</v>
      </c>
      <c r="L988" t="s">
        <v>32</v>
      </c>
      <c r="M988" t="s">
        <v>33</v>
      </c>
      <c r="P988" t="s">
        <v>34</v>
      </c>
      <c r="Q988" t="s">
        <v>35</v>
      </c>
      <c r="S988" t="s">
        <v>52</v>
      </c>
      <c r="T988" t="s">
        <v>952</v>
      </c>
      <c r="U988" t="s">
        <v>954</v>
      </c>
      <c r="V988" t="s">
        <v>39</v>
      </c>
      <c r="W988" s="1">
        <v>0</v>
      </c>
    </row>
    <row r="989" spans="1:23" x14ac:dyDescent="0.2">
      <c r="A989" t="s">
        <v>23</v>
      </c>
      <c r="B989" t="s">
        <v>24</v>
      </c>
      <c r="C989" t="s">
        <v>25</v>
      </c>
      <c r="D989" t="s">
        <v>893</v>
      </c>
      <c r="E989" t="s">
        <v>894</v>
      </c>
      <c r="F989" t="s">
        <v>895</v>
      </c>
      <c r="G989" t="s">
        <v>106</v>
      </c>
      <c r="H989" t="s">
        <v>30</v>
      </c>
      <c r="I989" t="s">
        <v>30</v>
      </c>
      <c r="J989" t="s">
        <v>31</v>
      </c>
      <c r="K989" t="s">
        <v>32</v>
      </c>
      <c r="L989" t="s">
        <v>32</v>
      </c>
      <c r="M989" t="s">
        <v>33</v>
      </c>
      <c r="P989" t="s">
        <v>34</v>
      </c>
      <c r="Q989" t="s">
        <v>35</v>
      </c>
      <c r="S989" t="s">
        <v>52</v>
      </c>
      <c r="T989" t="s">
        <v>952</v>
      </c>
      <c r="U989" t="s">
        <v>954</v>
      </c>
      <c r="V989" t="s">
        <v>40</v>
      </c>
      <c r="W989" s="1">
        <v>0</v>
      </c>
    </row>
    <row r="990" spans="1:23" x14ac:dyDescent="0.2">
      <c r="A990" t="s">
        <v>23</v>
      </c>
      <c r="B990" t="s">
        <v>24</v>
      </c>
      <c r="C990" t="s">
        <v>25</v>
      </c>
      <c r="D990" t="s">
        <v>893</v>
      </c>
      <c r="E990" t="s">
        <v>894</v>
      </c>
      <c r="F990" t="s">
        <v>895</v>
      </c>
      <c r="G990" t="s">
        <v>106</v>
      </c>
      <c r="H990" t="s">
        <v>30</v>
      </c>
      <c r="I990" t="s">
        <v>30</v>
      </c>
      <c r="J990" t="s">
        <v>41</v>
      </c>
      <c r="K990" t="s">
        <v>32</v>
      </c>
      <c r="L990" t="s">
        <v>32</v>
      </c>
      <c r="M990" t="s">
        <v>33</v>
      </c>
      <c r="N990" t="s">
        <v>33</v>
      </c>
      <c r="O990" t="s">
        <v>33</v>
      </c>
      <c r="P990" t="s">
        <v>34</v>
      </c>
      <c r="Q990" t="s">
        <v>35</v>
      </c>
      <c r="R990" t="s">
        <v>96</v>
      </c>
      <c r="S990" t="s">
        <v>30</v>
      </c>
      <c r="T990" t="s">
        <v>767</v>
      </c>
      <c r="U990" t="s">
        <v>955</v>
      </c>
      <c r="V990" t="s">
        <v>39</v>
      </c>
      <c r="W990" s="1">
        <v>2</v>
      </c>
    </row>
    <row r="991" spans="1:23" x14ac:dyDescent="0.2">
      <c r="A991" t="s">
        <v>23</v>
      </c>
      <c r="B991" t="s">
        <v>24</v>
      </c>
      <c r="C991" t="s">
        <v>25</v>
      </c>
      <c r="D991" t="s">
        <v>893</v>
      </c>
      <c r="E991" t="s">
        <v>894</v>
      </c>
      <c r="F991" t="s">
        <v>895</v>
      </c>
      <c r="G991" t="s">
        <v>106</v>
      </c>
      <c r="H991" t="s">
        <v>30</v>
      </c>
      <c r="I991" t="s">
        <v>30</v>
      </c>
      <c r="J991" t="s">
        <v>41</v>
      </c>
      <c r="K991" t="s">
        <v>32</v>
      </c>
      <c r="L991" t="s">
        <v>32</v>
      </c>
      <c r="M991" t="s">
        <v>33</v>
      </c>
      <c r="N991" t="s">
        <v>33</v>
      </c>
      <c r="O991" t="s">
        <v>33</v>
      </c>
      <c r="P991" t="s">
        <v>34</v>
      </c>
      <c r="Q991" t="s">
        <v>35</v>
      </c>
      <c r="R991" t="s">
        <v>96</v>
      </c>
      <c r="S991" t="s">
        <v>30</v>
      </c>
      <c r="T991" t="s">
        <v>767</v>
      </c>
      <c r="U991" t="s">
        <v>955</v>
      </c>
      <c r="V991" t="s">
        <v>40</v>
      </c>
      <c r="W991" s="1">
        <v>10910000</v>
      </c>
    </row>
    <row r="992" spans="1:23" x14ac:dyDescent="0.2">
      <c r="A992" t="s">
        <v>23</v>
      </c>
      <c r="B992" t="s">
        <v>24</v>
      </c>
      <c r="C992" t="s">
        <v>25</v>
      </c>
      <c r="D992" t="s">
        <v>893</v>
      </c>
      <c r="E992" t="s">
        <v>894</v>
      </c>
      <c r="F992" t="s">
        <v>895</v>
      </c>
      <c r="G992" t="s">
        <v>106</v>
      </c>
      <c r="H992" t="s">
        <v>30</v>
      </c>
      <c r="I992" t="s">
        <v>30</v>
      </c>
      <c r="J992" t="s">
        <v>41</v>
      </c>
      <c r="K992" t="s">
        <v>32</v>
      </c>
      <c r="L992" t="s">
        <v>32</v>
      </c>
      <c r="M992" t="s">
        <v>33</v>
      </c>
      <c r="N992" t="s">
        <v>33</v>
      </c>
      <c r="O992" t="s">
        <v>33</v>
      </c>
      <c r="P992" t="s">
        <v>34</v>
      </c>
      <c r="Q992" t="s">
        <v>35</v>
      </c>
      <c r="S992" t="s">
        <v>30</v>
      </c>
      <c r="T992" t="s">
        <v>946</v>
      </c>
      <c r="U992" t="s">
        <v>947</v>
      </c>
      <c r="V992" t="s">
        <v>39</v>
      </c>
      <c r="W992" s="1">
        <v>1</v>
      </c>
    </row>
    <row r="993" spans="1:23" x14ac:dyDescent="0.2">
      <c r="A993" t="s">
        <v>23</v>
      </c>
      <c r="B993" t="s">
        <v>24</v>
      </c>
      <c r="C993" t="s">
        <v>25</v>
      </c>
      <c r="D993" t="s">
        <v>893</v>
      </c>
      <c r="E993" t="s">
        <v>894</v>
      </c>
      <c r="F993" t="s">
        <v>895</v>
      </c>
      <c r="G993" t="s">
        <v>106</v>
      </c>
      <c r="H993" t="s">
        <v>30</v>
      </c>
      <c r="I993" t="s">
        <v>30</v>
      </c>
      <c r="J993" t="s">
        <v>41</v>
      </c>
      <c r="K993" t="s">
        <v>32</v>
      </c>
      <c r="L993" t="s">
        <v>32</v>
      </c>
      <c r="M993" t="s">
        <v>33</v>
      </c>
      <c r="N993" t="s">
        <v>33</v>
      </c>
      <c r="O993" t="s">
        <v>33</v>
      </c>
      <c r="P993" t="s">
        <v>34</v>
      </c>
      <c r="Q993" t="s">
        <v>35</v>
      </c>
      <c r="S993" t="s">
        <v>30</v>
      </c>
      <c r="T993" t="s">
        <v>946</v>
      </c>
      <c r="U993" t="s">
        <v>947</v>
      </c>
      <c r="V993" t="s">
        <v>40</v>
      </c>
      <c r="W993" s="1">
        <v>967400</v>
      </c>
    </row>
    <row r="994" spans="1:23" x14ac:dyDescent="0.2">
      <c r="A994" t="s">
        <v>23</v>
      </c>
      <c r="B994" t="s">
        <v>24</v>
      </c>
      <c r="C994" t="s">
        <v>25</v>
      </c>
      <c r="D994" t="s">
        <v>893</v>
      </c>
      <c r="E994" t="s">
        <v>894</v>
      </c>
      <c r="F994" t="s">
        <v>895</v>
      </c>
      <c r="G994" t="s">
        <v>119</v>
      </c>
      <c r="H994" t="s">
        <v>30</v>
      </c>
      <c r="I994" t="s">
        <v>52</v>
      </c>
      <c r="J994" t="s">
        <v>31</v>
      </c>
      <c r="K994" t="s">
        <v>32</v>
      </c>
      <c r="L994" t="s">
        <v>32</v>
      </c>
      <c r="M994" t="s">
        <v>33</v>
      </c>
      <c r="N994" t="s">
        <v>33</v>
      </c>
      <c r="O994" t="s">
        <v>33</v>
      </c>
      <c r="P994" t="s">
        <v>34</v>
      </c>
      <c r="Q994" t="s">
        <v>35</v>
      </c>
      <c r="S994" t="s">
        <v>30</v>
      </c>
      <c r="T994" t="s">
        <v>910</v>
      </c>
      <c r="U994" t="s">
        <v>956</v>
      </c>
      <c r="V994" t="s">
        <v>39</v>
      </c>
      <c r="W994" s="1">
        <v>2</v>
      </c>
    </row>
    <row r="995" spans="1:23" x14ac:dyDescent="0.2">
      <c r="A995" t="s">
        <v>23</v>
      </c>
      <c r="B995" t="s">
        <v>24</v>
      </c>
      <c r="C995" t="s">
        <v>25</v>
      </c>
      <c r="D995" t="s">
        <v>893</v>
      </c>
      <c r="E995" t="s">
        <v>894</v>
      </c>
      <c r="F995" t="s">
        <v>895</v>
      </c>
      <c r="G995" t="s">
        <v>119</v>
      </c>
      <c r="H995" t="s">
        <v>30</v>
      </c>
      <c r="I995" t="s">
        <v>52</v>
      </c>
      <c r="J995" t="s">
        <v>31</v>
      </c>
      <c r="K995" t="s">
        <v>32</v>
      </c>
      <c r="L995" t="s">
        <v>32</v>
      </c>
      <c r="M995" t="s">
        <v>33</v>
      </c>
      <c r="N995" t="s">
        <v>33</v>
      </c>
      <c r="O995" t="s">
        <v>33</v>
      </c>
      <c r="P995" t="s">
        <v>34</v>
      </c>
      <c r="Q995" t="s">
        <v>35</v>
      </c>
      <c r="S995" t="s">
        <v>30</v>
      </c>
      <c r="T995" t="s">
        <v>910</v>
      </c>
      <c r="U995" t="s">
        <v>956</v>
      </c>
      <c r="V995" t="s">
        <v>40</v>
      </c>
      <c r="W995" s="1">
        <v>1298000</v>
      </c>
    </row>
    <row r="996" spans="1:23" x14ac:dyDescent="0.2">
      <c r="A996" t="s">
        <v>23</v>
      </c>
      <c r="B996" t="s">
        <v>24</v>
      </c>
      <c r="C996" t="s">
        <v>25</v>
      </c>
      <c r="D996" t="s">
        <v>893</v>
      </c>
      <c r="E996" t="s">
        <v>894</v>
      </c>
      <c r="F996" t="s">
        <v>895</v>
      </c>
      <c r="G996" t="s">
        <v>119</v>
      </c>
      <c r="H996" t="s">
        <v>30</v>
      </c>
      <c r="I996" t="s">
        <v>52</v>
      </c>
      <c r="J996" t="s">
        <v>31</v>
      </c>
      <c r="K996" t="s">
        <v>32</v>
      </c>
      <c r="L996" t="s">
        <v>32</v>
      </c>
      <c r="M996" t="s">
        <v>33</v>
      </c>
      <c r="N996" t="s">
        <v>33</v>
      </c>
      <c r="O996" t="s">
        <v>33</v>
      </c>
      <c r="P996" t="s">
        <v>34</v>
      </c>
      <c r="Q996" t="s">
        <v>35</v>
      </c>
      <c r="S996" t="s">
        <v>30</v>
      </c>
      <c r="T996" t="s">
        <v>915</v>
      </c>
      <c r="U996" t="s">
        <v>957</v>
      </c>
      <c r="V996" t="s">
        <v>39</v>
      </c>
      <c r="W996" s="1">
        <v>6</v>
      </c>
    </row>
    <row r="997" spans="1:23" x14ac:dyDescent="0.2">
      <c r="A997" t="s">
        <v>23</v>
      </c>
      <c r="B997" t="s">
        <v>24</v>
      </c>
      <c r="C997" t="s">
        <v>25</v>
      </c>
      <c r="D997" t="s">
        <v>893</v>
      </c>
      <c r="E997" t="s">
        <v>894</v>
      </c>
      <c r="F997" t="s">
        <v>895</v>
      </c>
      <c r="G997" t="s">
        <v>119</v>
      </c>
      <c r="H997" t="s">
        <v>30</v>
      </c>
      <c r="I997" t="s">
        <v>52</v>
      </c>
      <c r="J997" t="s">
        <v>31</v>
      </c>
      <c r="K997" t="s">
        <v>32</v>
      </c>
      <c r="L997" t="s">
        <v>32</v>
      </c>
      <c r="M997" t="s">
        <v>33</v>
      </c>
      <c r="N997" t="s">
        <v>33</v>
      </c>
      <c r="O997" t="s">
        <v>33</v>
      </c>
      <c r="P997" t="s">
        <v>34</v>
      </c>
      <c r="Q997" t="s">
        <v>35</v>
      </c>
      <c r="S997" t="s">
        <v>30</v>
      </c>
      <c r="T997" t="s">
        <v>915</v>
      </c>
      <c r="U997" t="s">
        <v>957</v>
      </c>
      <c r="V997" t="s">
        <v>40</v>
      </c>
      <c r="W997" s="1">
        <v>4799400</v>
      </c>
    </row>
    <row r="998" spans="1:23" x14ac:dyDescent="0.2">
      <c r="A998" t="s">
        <v>23</v>
      </c>
      <c r="B998" t="s">
        <v>24</v>
      </c>
      <c r="C998" t="s">
        <v>25</v>
      </c>
      <c r="D998" t="s">
        <v>893</v>
      </c>
      <c r="E998" t="s">
        <v>894</v>
      </c>
      <c r="F998" t="s">
        <v>895</v>
      </c>
      <c r="G998" t="s">
        <v>119</v>
      </c>
      <c r="H998" t="s">
        <v>30</v>
      </c>
      <c r="I998" t="s">
        <v>52</v>
      </c>
      <c r="J998" t="s">
        <v>31</v>
      </c>
      <c r="K998" t="s">
        <v>32</v>
      </c>
      <c r="L998" t="s">
        <v>32</v>
      </c>
      <c r="M998" t="s">
        <v>33</v>
      </c>
      <c r="N998" t="s">
        <v>33</v>
      </c>
      <c r="O998" t="s">
        <v>33</v>
      </c>
      <c r="P998" t="s">
        <v>34</v>
      </c>
      <c r="Q998" t="s">
        <v>35</v>
      </c>
      <c r="S998" t="s">
        <v>30</v>
      </c>
      <c r="T998" t="s">
        <v>952</v>
      </c>
      <c r="U998" t="s">
        <v>958</v>
      </c>
      <c r="V998" t="s">
        <v>39</v>
      </c>
      <c r="W998" s="1">
        <v>11</v>
      </c>
    </row>
    <row r="999" spans="1:23" x14ac:dyDescent="0.2">
      <c r="A999" t="s">
        <v>23</v>
      </c>
      <c r="B999" t="s">
        <v>24</v>
      </c>
      <c r="C999" t="s">
        <v>25</v>
      </c>
      <c r="D999" t="s">
        <v>893</v>
      </c>
      <c r="E999" t="s">
        <v>894</v>
      </c>
      <c r="F999" t="s">
        <v>895</v>
      </c>
      <c r="G999" t="s">
        <v>119</v>
      </c>
      <c r="H999" t="s">
        <v>30</v>
      </c>
      <c r="I999" t="s">
        <v>52</v>
      </c>
      <c r="J999" t="s">
        <v>31</v>
      </c>
      <c r="K999" t="s">
        <v>32</v>
      </c>
      <c r="L999" t="s">
        <v>32</v>
      </c>
      <c r="M999" t="s">
        <v>33</v>
      </c>
      <c r="N999" t="s">
        <v>33</v>
      </c>
      <c r="O999" t="s">
        <v>33</v>
      </c>
      <c r="P999" t="s">
        <v>34</v>
      </c>
      <c r="Q999" t="s">
        <v>35</v>
      </c>
      <c r="S999" t="s">
        <v>30</v>
      </c>
      <c r="T999" t="s">
        <v>952</v>
      </c>
      <c r="U999" t="s">
        <v>958</v>
      </c>
      <c r="V999" t="s">
        <v>40</v>
      </c>
      <c r="W999" s="1">
        <v>11033000</v>
      </c>
    </row>
    <row r="1000" spans="1:23" x14ac:dyDescent="0.2">
      <c r="A1000" t="s">
        <v>23</v>
      </c>
      <c r="B1000" t="s">
        <v>24</v>
      </c>
      <c r="C1000" t="s">
        <v>25</v>
      </c>
      <c r="D1000" t="s">
        <v>893</v>
      </c>
      <c r="E1000" t="s">
        <v>894</v>
      </c>
      <c r="F1000" t="s">
        <v>895</v>
      </c>
      <c r="G1000" t="s">
        <v>119</v>
      </c>
      <c r="H1000" t="s">
        <v>30</v>
      </c>
      <c r="I1000" t="s">
        <v>52</v>
      </c>
      <c r="J1000" t="s">
        <v>31</v>
      </c>
      <c r="K1000" t="s">
        <v>32</v>
      </c>
      <c r="L1000" t="s">
        <v>32</v>
      </c>
      <c r="M1000" t="s">
        <v>33</v>
      </c>
      <c r="N1000" t="s">
        <v>33</v>
      </c>
      <c r="O1000" t="s">
        <v>33</v>
      </c>
      <c r="P1000" t="s">
        <v>42</v>
      </c>
      <c r="Q1000" t="s">
        <v>43</v>
      </c>
      <c r="S1000" t="s">
        <v>30</v>
      </c>
      <c r="T1000" t="s">
        <v>959</v>
      </c>
      <c r="U1000" t="s">
        <v>960</v>
      </c>
      <c r="V1000" t="s">
        <v>39</v>
      </c>
      <c r="W1000" s="1">
        <v>5</v>
      </c>
    </row>
    <row r="1001" spans="1:23" x14ac:dyDescent="0.2">
      <c r="A1001" t="s">
        <v>23</v>
      </c>
      <c r="B1001" t="s">
        <v>24</v>
      </c>
      <c r="C1001" t="s">
        <v>25</v>
      </c>
      <c r="D1001" t="s">
        <v>893</v>
      </c>
      <c r="E1001" t="s">
        <v>894</v>
      </c>
      <c r="F1001" t="s">
        <v>895</v>
      </c>
      <c r="G1001" t="s">
        <v>119</v>
      </c>
      <c r="H1001" t="s">
        <v>30</v>
      </c>
      <c r="I1001" t="s">
        <v>52</v>
      </c>
      <c r="J1001" t="s">
        <v>31</v>
      </c>
      <c r="K1001" t="s">
        <v>32</v>
      </c>
      <c r="L1001" t="s">
        <v>32</v>
      </c>
      <c r="M1001" t="s">
        <v>33</v>
      </c>
      <c r="N1001" t="s">
        <v>33</v>
      </c>
      <c r="O1001" t="s">
        <v>33</v>
      </c>
      <c r="P1001" t="s">
        <v>42</v>
      </c>
      <c r="Q1001" t="s">
        <v>43</v>
      </c>
      <c r="S1001" t="s">
        <v>30</v>
      </c>
      <c r="T1001" t="s">
        <v>959</v>
      </c>
      <c r="U1001" t="s">
        <v>960</v>
      </c>
      <c r="V1001" t="s">
        <v>40</v>
      </c>
      <c r="W1001" s="1">
        <v>6079000</v>
      </c>
    </row>
    <row r="1002" spans="1:23" x14ac:dyDescent="0.2">
      <c r="A1002" t="s">
        <v>23</v>
      </c>
      <c r="B1002" t="s">
        <v>24</v>
      </c>
      <c r="C1002" t="s">
        <v>25</v>
      </c>
      <c r="D1002" t="s">
        <v>893</v>
      </c>
      <c r="E1002" t="s">
        <v>894</v>
      </c>
      <c r="F1002" t="s">
        <v>895</v>
      </c>
      <c r="G1002" t="s">
        <v>119</v>
      </c>
      <c r="H1002" t="s">
        <v>30</v>
      </c>
      <c r="I1002" t="s">
        <v>52</v>
      </c>
      <c r="J1002" t="s">
        <v>31</v>
      </c>
      <c r="K1002" t="s">
        <v>32</v>
      </c>
      <c r="L1002" t="s">
        <v>32</v>
      </c>
      <c r="M1002" t="s">
        <v>33</v>
      </c>
      <c r="N1002" t="s">
        <v>169</v>
      </c>
      <c r="O1002" t="s">
        <v>169</v>
      </c>
      <c r="P1002" t="s">
        <v>34</v>
      </c>
      <c r="Q1002" t="s">
        <v>35</v>
      </c>
      <c r="S1002" t="s">
        <v>30</v>
      </c>
      <c r="T1002" t="s">
        <v>910</v>
      </c>
      <c r="U1002" t="s">
        <v>956</v>
      </c>
      <c r="V1002" t="s">
        <v>39</v>
      </c>
      <c r="W1002" s="1">
        <v>1</v>
      </c>
    </row>
    <row r="1003" spans="1:23" x14ac:dyDescent="0.2">
      <c r="A1003" t="s">
        <v>23</v>
      </c>
      <c r="B1003" t="s">
        <v>24</v>
      </c>
      <c r="C1003" t="s">
        <v>25</v>
      </c>
      <c r="D1003" t="s">
        <v>893</v>
      </c>
      <c r="E1003" t="s">
        <v>894</v>
      </c>
      <c r="F1003" t="s">
        <v>895</v>
      </c>
      <c r="G1003" t="s">
        <v>119</v>
      </c>
      <c r="H1003" t="s">
        <v>30</v>
      </c>
      <c r="I1003" t="s">
        <v>52</v>
      </c>
      <c r="J1003" t="s">
        <v>31</v>
      </c>
      <c r="K1003" t="s">
        <v>32</v>
      </c>
      <c r="L1003" t="s">
        <v>32</v>
      </c>
      <c r="M1003" t="s">
        <v>33</v>
      </c>
      <c r="N1003" t="s">
        <v>169</v>
      </c>
      <c r="O1003" t="s">
        <v>169</v>
      </c>
      <c r="P1003" t="s">
        <v>34</v>
      </c>
      <c r="Q1003" t="s">
        <v>35</v>
      </c>
      <c r="S1003" t="s">
        <v>30</v>
      </c>
      <c r="T1003" t="s">
        <v>910</v>
      </c>
      <c r="U1003" t="s">
        <v>956</v>
      </c>
      <c r="V1003" t="s">
        <v>40</v>
      </c>
      <c r="W1003" s="1">
        <v>649000</v>
      </c>
    </row>
    <row r="1004" spans="1:23" x14ac:dyDescent="0.2">
      <c r="A1004" t="s">
        <v>23</v>
      </c>
      <c r="B1004" t="s">
        <v>24</v>
      </c>
      <c r="C1004" t="s">
        <v>25</v>
      </c>
      <c r="D1004" t="s">
        <v>893</v>
      </c>
      <c r="E1004" t="s">
        <v>894</v>
      </c>
      <c r="F1004" t="s">
        <v>895</v>
      </c>
      <c r="G1004" t="s">
        <v>119</v>
      </c>
      <c r="H1004" t="s">
        <v>30</v>
      </c>
      <c r="I1004" t="s">
        <v>52</v>
      </c>
      <c r="J1004" t="s">
        <v>31</v>
      </c>
      <c r="K1004" t="s">
        <v>32</v>
      </c>
      <c r="L1004" t="s">
        <v>32</v>
      </c>
      <c r="M1004" t="s">
        <v>33</v>
      </c>
      <c r="N1004" t="s">
        <v>169</v>
      </c>
      <c r="O1004" t="s">
        <v>169</v>
      </c>
      <c r="P1004" t="s">
        <v>34</v>
      </c>
      <c r="Q1004" t="s">
        <v>35</v>
      </c>
      <c r="S1004" t="s">
        <v>30</v>
      </c>
      <c r="T1004" t="s">
        <v>915</v>
      </c>
      <c r="U1004" t="s">
        <v>957</v>
      </c>
      <c r="V1004" t="s">
        <v>39</v>
      </c>
      <c r="W1004" s="1">
        <v>1</v>
      </c>
    </row>
    <row r="1005" spans="1:23" x14ac:dyDescent="0.2">
      <c r="A1005" t="s">
        <v>23</v>
      </c>
      <c r="B1005" t="s">
        <v>24</v>
      </c>
      <c r="C1005" t="s">
        <v>25</v>
      </c>
      <c r="D1005" t="s">
        <v>893</v>
      </c>
      <c r="E1005" t="s">
        <v>894</v>
      </c>
      <c r="F1005" t="s">
        <v>895</v>
      </c>
      <c r="G1005" t="s">
        <v>119</v>
      </c>
      <c r="H1005" t="s">
        <v>30</v>
      </c>
      <c r="I1005" t="s">
        <v>52</v>
      </c>
      <c r="J1005" t="s">
        <v>31</v>
      </c>
      <c r="K1005" t="s">
        <v>32</v>
      </c>
      <c r="L1005" t="s">
        <v>32</v>
      </c>
      <c r="M1005" t="s">
        <v>33</v>
      </c>
      <c r="N1005" t="s">
        <v>169</v>
      </c>
      <c r="O1005" t="s">
        <v>169</v>
      </c>
      <c r="P1005" t="s">
        <v>34</v>
      </c>
      <c r="Q1005" t="s">
        <v>35</v>
      </c>
      <c r="S1005" t="s">
        <v>30</v>
      </c>
      <c r="T1005" t="s">
        <v>915</v>
      </c>
      <c r="U1005" t="s">
        <v>957</v>
      </c>
      <c r="V1005" t="s">
        <v>40</v>
      </c>
      <c r="W1005" s="1">
        <v>799900</v>
      </c>
    </row>
    <row r="1006" spans="1:23" x14ac:dyDescent="0.2">
      <c r="A1006" t="s">
        <v>23</v>
      </c>
      <c r="B1006" t="s">
        <v>24</v>
      </c>
      <c r="C1006" t="s">
        <v>25</v>
      </c>
      <c r="D1006" t="s">
        <v>893</v>
      </c>
      <c r="E1006" t="s">
        <v>894</v>
      </c>
      <c r="F1006" t="s">
        <v>895</v>
      </c>
      <c r="G1006" t="s">
        <v>119</v>
      </c>
      <c r="H1006" t="s">
        <v>30</v>
      </c>
      <c r="I1006" t="s">
        <v>52</v>
      </c>
      <c r="J1006" t="s">
        <v>31</v>
      </c>
      <c r="K1006" t="s">
        <v>32</v>
      </c>
      <c r="L1006" t="s">
        <v>32</v>
      </c>
      <c r="M1006" t="s">
        <v>33</v>
      </c>
      <c r="N1006" t="s">
        <v>169</v>
      </c>
      <c r="O1006" t="s">
        <v>169</v>
      </c>
      <c r="P1006" t="s">
        <v>42</v>
      </c>
      <c r="Q1006" t="s">
        <v>43</v>
      </c>
      <c r="S1006" t="s">
        <v>30</v>
      </c>
      <c r="T1006" t="s">
        <v>959</v>
      </c>
      <c r="U1006" t="s">
        <v>960</v>
      </c>
      <c r="V1006" t="s">
        <v>39</v>
      </c>
      <c r="W1006" s="1">
        <v>1</v>
      </c>
    </row>
    <row r="1007" spans="1:23" x14ac:dyDescent="0.2">
      <c r="A1007" t="s">
        <v>23</v>
      </c>
      <c r="B1007" t="s">
        <v>24</v>
      </c>
      <c r="C1007" t="s">
        <v>25</v>
      </c>
      <c r="D1007" t="s">
        <v>893</v>
      </c>
      <c r="E1007" t="s">
        <v>894</v>
      </c>
      <c r="F1007" t="s">
        <v>895</v>
      </c>
      <c r="G1007" t="s">
        <v>119</v>
      </c>
      <c r="H1007" t="s">
        <v>30</v>
      </c>
      <c r="I1007" t="s">
        <v>52</v>
      </c>
      <c r="J1007" t="s">
        <v>31</v>
      </c>
      <c r="K1007" t="s">
        <v>32</v>
      </c>
      <c r="L1007" t="s">
        <v>32</v>
      </c>
      <c r="M1007" t="s">
        <v>33</v>
      </c>
      <c r="N1007" t="s">
        <v>169</v>
      </c>
      <c r="O1007" t="s">
        <v>169</v>
      </c>
      <c r="P1007" t="s">
        <v>42</v>
      </c>
      <c r="Q1007" t="s">
        <v>43</v>
      </c>
      <c r="S1007" t="s">
        <v>30</v>
      </c>
      <c r="T1007" t="s">
        <v>959</v>
      </c>
      <c r="U1007" t="s">
        <v>960</v>
      </c>
      <c r="V1007" t="s">
        <v>40</v>
      </c>
      <c r="W1007" s="1">
        <v>1215800</v>
      </c>
    </row>
    <row r="1008" spans="1:23" x14ac:dyDescent="0.2">
      <c r="A1008" t="s">
        <v>23</v>
      </c>
      <c r="B1008" t="s">
        <v>24</v>
      </c>
      <c r="C1008" t="s">
        <v>25</v>
      </c>
      <c r="D1008" t="s">
        <v>893</v>
      </c>
      <c r="E1008" t="s">
        <v>894</v>
      </c>
      <c r="F1008" t="s">
        <v>895</v>
      </c>
      <c r="G1008" t="s">
        <v>119</v>
      </c>
      <c r="H1008" t="s">
        <v>30</v>
      </c>
      <c r="I1008" t="s">
        <v>52</v>
      </c>
      <c r="J1008" t="s">
        <v>31</v>
      </c>
      <c r="K1008" t="s">
        <v>32</v>
      </c>
      <c r="L1008" t="s">
        <v>32</v>
      </c>
      <c r="M1008" t="s">
        <v>33</v>
      </c>
      <c r="P1008" t="s">
        <v>34</v>
      </c>
      <c r="Q1008" t="s">
        <v>35</v>
      </c>
      <c r="S1008" t="s">
        <v>30</v>
      </c>
      <c r="T1008" t="s">
        <v>961</v>
      </c>
      <c r="U1008" t="s">
        <v>962</v>
      </c>
      <c r="V1008" t="s">
        <v>39</v>
      </c>
      <c r="W1008" s="1">
        <v>6</v>
      </c>
    </row>
    <row r="1009" spans="1:23" x14ac:dyDescent="0.2">
      <c r="A1009" t="s">
        <v>23</v>
      </c>
      <c r="B1009" t="s">
        <v>24</v>
      </c>
      <c r="C1009" t="s">
        <v>25</v>
      </c>
      <c r="D1009" t="s">
        <v>893</v>
      </c>
      <c r="E1009" t="s">
        <v>894</v>
      </c>
      <c r="F1009" t="s">
        <v>895</v>
      </c>
      <c r="G1009" t="s">
        <v>119</v>
      </c>
      <c r="H1009" t="s">
        <v>30</v>
      </c>
      <c r="I1009" t="s">
        <v>52</v>
      </c>
      <c r="J1009" t="s">
        <v>31</v>
      </c>
      <c r="K1009" t="s">
        <v>32</v>
      </c>
      <c r="L1009" t="s">
        <v>32</v>
      </c>
      <c r="M1009" t="s">
        <v>33</v>
      </c>
      <c r="P1009" t="s">
        <v>34</v>
      </c>
      <c r="Q1009" t="s">
        <v>35</v>
      </c>
      <c r="S1009" t="s">
        <v>30</v>
      </c>
      <c r="T1009" t="s">
        <v>961</v>
      </c>
      <c r="U1009" t="s">
        <v>962</v>
      </c>
      <c r="V1009" t="s">
        <v>40</v>
      </c>
      <c r="W1009" s="1">
        <v>1251000</v>
      </c>
    </row>
    <row r="1010" spans="1:23" x14ac:dyDescent="0.2">
      <c r="A1010" t="s">
        <v>23</v>
      </c>
      <c r="B1010" t="s">
        <v>24</v>
      </c>
      <c r="C1010" t="s">
        <v>25</v>
      </c>
      <c r="D1010" t="s">
        <v>893</v>
      </c>
      <c r="E1010" t="s">
        <v>894</v>
      </c>
      <c r="F1010" t="s">
        <v>895</v>
      </c>
      <c r="G1010" t="s">
        <v>119</v>
      </c>
      <c r="H1010" t="s">
        <v>30</v>
      </c>
      <c r="I1010" t="s">
        <v>52</v>
      </c>
      <c r="J1010" t="s">
        <v>31</v>
      </c>
      <c r="K1010" t="s">
        <v>32</v>
      </c>
      <c r="L1010" t="s">
        <v>32</v>
      </c>
      <c r="M1010" t="s">
        <v>33</v>
      </c>
      <c r="P1010" t="s">
        <v>34</v>
      </c>
      <c r="Q1010" t="s">
        <v>35</v>
      </c>
      <c r="S1010" t="s">
        <v>30</v>
      </c>
      <c r="T1010" t="s">
        <v>963</v>
      </c>
      <c r="U1010" t="s">
        <v>964</v>
      </c>
      <c r="V1010" t="s">
        <v>39</v>
      </c>
      <c r="W1010" s="1">
        <v>6</v>
      </c>
    </row>
    <row r="1011" spans="1:23" x14ac:dyDescent="0.2">
      <c r="A1011" t="s">
        <v>23</v>
      </c>
      <c r="B1011" t="s">
        <v>24</v>
      </c>
      <c r="C1011" t="s">
        <v>25</v>
      </c>
      <c r="D1011" t="s">
        <v>893</v>
      </c>
      <c r="E1011" t="s">
        <v>894</v>
      </c>
      <c r="F1011" t="s">
        <v>895</v>
      </c>
      <c r="G1011" t="s">
        <v>119</v>
      </c>
      <c r="H1011" t="s">
        <v>30</v>
      </c>
      <c r="I1011" t="s">
        <v>52</v>
      </c>
      <c r="J1011" t="s">
        <v>31</v>
      </c>
      <c r="K1011" t="s">
        <v>32</v>
      </c>
      <c r="L1011" t="s">
        <v>32</v>
      </c>
      <c r="M1011" t="s">
        <v>33</v>
      </c>
      <c r="P1011" t="s">
        <v>34</v>
      </c>
      <c r="Q1011" t="s">
        <v>35</v>
      </c>
      <c r="S1011" t="s">
        <v>30</v>
      </c>
      <c r="T1011" t="s">
        <v>963</v>
      </c>
      <c r="U1011" t="s">
        <v>964</v>
      </c>
      <c r="V1011" t="s">
        <v>40</v>
      </c>
      <c r="W1011" s="1">
        <v>940800</v>
      </c>
    </row>
    <row r="1012" spans="1:23" x14ac:dyDescent="0.2">
      <c r="A1012" t="s">
        <v>23</v>
      </c>
      <c r="B1012" t="s">
        <v>24</v>
      </c>
      <c r="C1012" t="s">
        <v>25</v>
      </c>
      <c r="D1012" t="s">
        <v>893</v>
      </c>
      <c r="E1012" t="s">
        <v>894</v>
      </c>
      <c r="F1012" t="s">
        <v>895</v>
      </c>
      <c r="G1012" t="s">
        <v>119</v>
      </c>
      <c r="H1012" t="s">
        <v>30</v>
      </c>
      <c r="I1012" t="s">
        <v>52</v>
      </c>
      <c r="J1012" t="s">
        <v>31</v>
      </c>
      <c r="K1012" t="s">
        <v>32</v>
      </c>
      <c r="L1012" t="s">
        <v>32</v>
      </c>
      <c r="M1012" t="s">
        <v>33</v>
      </c>
      <c r="P1012" t="s">
        <v>34</v>
      </c>
      <c r="Q1012" t="s">
        <v>35</v>
      </c>
      <c r="S1012" t="s">
        <v>30</v>
      </c>
      <c r="T1012" t="s">
        <v>965</v>
      </c>
      <c r="U1012" t="s">
        <v>966</v>
      </c>
      <c r="V1012" t="s">
        <v>39</v>
      </c>
      <c r="W1012" s="1">
        <v>2</v>
      </c>
    </row>
    <row r="1013" spans="1:23" x14ac:dyDescent="0.2">
      <c r="A1013" t="s">
        <v>23</v>
      </c>
      <c r="B1013" t="s">
        <v>24</v>
      </c>
      <c r="C1013" t="s">
        <v>25</v>
      </c>
      <c r="D1013" t="s">
        <v>893</v>
      </c>
      <c r="E1013" t="s">
        <v>894</v>
      </c>
      <c r="F1013" t="s">
        <v>895</v>
      </c>
      <c r="G1013" t="s">
        <v>119</v>
      </c>
      <c r="H1013" t="s">
        <v>30</v>
      </c>
      <c r="I1013" t="s">
        <v>52</v>
      </c>
      <c r="J1013" t="s">
        <v>31</v>
      </c>
      <c r="K1013" t="s">
        <v>32</v>
      </c>
      <c r="L1013" t="s">
        <v>32</v>
      </c>
      <c r="M1013" t="s">
        <v>33</v>
      </c>
      <c r="P1013" t="s">
        <v>34</v>
      </c>
      <c r="Q1013" t="s">
        <v>35</v>
      </c>
      <c r="S1013" t="s">
        <v>30</v>
      </c>
      <c r="T1013" t="s">
        <v>965</v>
      </c>
      <c r="U1013" t="s">
        <v>966</v>
      </c>
      <c r="V1013" t="s">
        <v>40</v>
      </c>
      <c r="W1013" s="1">
        <v>1699800</v>
      </c>
    </row>
    <row r="1014" spans="1:23" x14ac:dyDescent="0.2">
      <c r="A1014" t="s">
        <v>23</v>
      </c>
      <c r="B1014" t="s">
        <v>24</v>
      </c>
      <c r="C1014" t="s">
        <v>25</v>
      </c>
      <c r="D1014" t="s">
        <v>893</v>
      </c>
      <c r="E1014" t="s">
        <v>894</v>
      </c>
      <c r="F1014" t="s">
        <v>895</v>
      </c>
      <c r="G1014" t="s">
        <v>119</v>
      </c>
      <c r="H1014" t="s">
        <v>30</v>
      </c>
      <c r="I1014" t="s">
        <v>52</v>
      </c>
      <c r="J1014" t="s">
        <v>31</v>
      </c>
      <c r="K1014" t="s">
        <v>32</v>
      </c>
      <c r="L1014" t="s">
        <v>32</v>
      </c>
      <c r="M1014" t="s">
        <v>176</v>
      </c>
      <c r="P1014" t="s">
        <v>42</v>
      </c>
      <c r="Q1014" t="s">
        <v>43</v>
      </c>
      <c r="S1014" t="s">
        <v>30</v>
      </c>
      <c r="T1014" t="s">
        <v>959</v>
      </c>
      <c r="U1014" t="s">
        <v>960</v>
      </c>
      <c r="V1014" t="s">
        <v>39</v>
      </c>
      <c r="W1014" s="1">
        <v>1</v>
      </c>
    </row>
    <row r="1015" spans="1:23" x14ac:dyDescent="0.2">
      <c r="A1015" t="s">
        <v>23</v>
      </c>
      <c r="B1015" t="s">
        <v>24</v>
      </c>
      <c r="C1015" t="s">
        <v>25</v>
      </c>
      <c r="D1015" t="s">
        <v>893</v>
      </c>
      <c r="E1015" t="s">
        <v>894</v>
      </c>
      <c r="F1015" t="s">
        <v>895</v>
      </c>
      <c r="G1015" t="s">
        <v>119</v>
      </c>
      <c r="H1015" t="s">
        <v>30</v>
      </c>
      <c r="I1015" t="s">
        <v>52</v>
      </c>
      <c r="J1015" t="s">
        <v>31</v>
      </c>
      <c r="K1015" t="s">
        <v>32</v>
      </c>
      <c r="L1015" t="s">
        <v>32</v>
      </c>
      <c r="M1015" t="s">
        <v>176</v>
      </c>
      <c r="P1015" t="s">
        <v>42</v>
      </c>
      <c r="Q1015" t="s">
        <v>43</v>
      </c>
      <c r="S1015" t="s">
        <v>30</v>
      </c>
      <c r="T1015" t="s">
        <v>959</v>
      </c>
      <c r="U1015" t="s">
        <v>960</v>
      </c>
      <c r="V1015" t="s">
        <v>40</v>
      </c>
      <c r="W1015" s="1">
        <v>1215800</v>
      </c>
    </row>
    <row r="1016" spans="1:23" x14ac:dyDescent="0.2">
      <c r="A1016" t="s">
        <v>23</v>
      </c>
      <c r="B1016" t="s">
        <v>24</v>
      </c>
      <c r="C1016" t="s">
        <v>25</v>
      </c>
      <c r="D1016" t="s">
        <v>893</v>
      </c>
      <c r="E1016" t="s">
        <v>894</v>
      </c>
      <c r="F1016" t="s">
        <v>895</v>
      </c>
      <c r="G1016" t="s">
        <v>127</v>
      </c>
      <c r="H1016" t="s">
        <v>52</v>
      </c>
      <c r="I1016" t="s">
        <v>30</v>
      </c>
      <c r="J1016" t="s">
        <v>128</v>
      </c>
      <c r="K1016" t="s">
        <v>135</v>
      </c>
      <c r="L1016" t="s">
        <v>32</v>
      </c>
      <c r="M1016" t="s">
        <v>33</v>
      </c>
      <c r="N1016" t="s">
        <v>33</v>
      </c>
      <c r="O1016" t="s">
        <v>33</v>
      </c>
      <c r="P1016" t="s">
        <v>34</v>
      </c>
      <c r="Q1016" t="s">
        <v>35</v>
      </c>
      <c r="R1016" t="s">
        <v>136</v>
      </c>
      <c r="S1016" t="s">
        <v>30</v>
      </c>
      <c r="T1016" t="s">
        <v>967</v>
      </c>
      <c r="U1016" t="s">
        <v>968</v>
      </c>
      <c r="V1016" t="s">
        <v>39</v>
      </c>
      <c r="W1016" s="1">
        <v>2</v>
      </c>
    </row>
    <row r="1017" spans="1:23" x14ac:dyDescent="0.2">
      <c r="A1017" t="s">
        <v>23</v>
      </c>
      <c r="B1017" t="s">
        <v>24</v>
      </c>
      <c r="C1017" t="s">
        <v>25</v>
      </c>
      <c r="D1017" t="s">
        <v>893</v>
      </c>
      <c r="E1017" t="s">
        <v>894</v>
      </c>
      <c r="F1017" t="s">
        <v>895</v>
      </c>
      <c r="G1017" t="s">
        <v>127</v>
      </c>
      <c r="H1017" t="s">
        <v>52</v>
      </c>
      <c r="I1017" t="s">
        <v>30</v>
      </c>
      <c r="J1017" t="s">
        <v>128</v>
      </c>
      <c r="K1017" t="s">
        <v>135</v>
      </c>
      <c r="L1017" t="s">
        <v>32</v>
      </c>
      <c r="M1017" t="s">
        <v>33</v>
      </c>
      <c r="N1017" t="s">
        <v>33</v>
      </c>
      <c r="O1017" t="s">
        <v>33</v>
      </c>
      <c r="P1017" t="s">
        <v>34</v>
      </c>
      <c r="Q1017" t="s">
        <v>35</v>
      </c>
      <c r="R1017" t="s">
        <v>136</v>
      </c>
      <c r="S1017" t="s">
        <v>30</v>
      </c>
      <c r="T1017" t="s">
        <v>967</v>
      </c>
      <c r="U1017" t="s">
        <v>968</v>
      </c>
      <c r="V1017" t="s">
        <v>40</v>
      </c>
      <c r="W1017" s="1">
        <v>739800</v>
      </c>
    </row>
    <row r="1018" spans="1:23" x14ac:dyDescent="0.2">
      <c r="A1018" t="s">
        <v>23</v>
      </c>
      <c r="B1018" t="s">
        <v>24</v>
      </c>
      <c r="C1018" t="s">
        <v>25</v>
      </c>
      <c r="D1018" t="s">
        <v>893</v>
      </c>
      <c r="E1018" t="s">
        <v>894</v>
      </c>
      <c r="F1018" t="s">
        <v>895</v>
      </c>
      <c r="G1018" t="s">
        <v>127</v>
      </c>
      <c r="H1018" t="s">
        <v>52</v>
      </c>
      <c r="I1018" t="s">
        <v>30</v>
      </c>
      <c r="J1018" t="s">
        <v>128</v>
      </c>
      <c r="K1018" t="s">
        <v>135</v>
      </c>
      <c r="L1018" t="s">
        <v>32</v>
      </c>
      <c r="M1018" t="s">
        <v>33</v>
      </c>
      <c r="N1018" t="s">
        <v>33</v>
      </c>
      <c r="O1018" t="s">
        <v>33</v>
      </c>
      <c r="P1018" t="s">
        <v>42</v>
      </c>
      <c r="Q1018" t="s">
        <v>43</v>
      </c>
      <c r="R1018" t="s">
        <v>136</v>
      </c>
      <c r="S1018" t="s">
        <v>30</v>
      </c>
      <c r="T1018" t="s">
        <v>969</v>
      </c>
      <c r="U1018" t="s">
        <v>970</v>
      </c>
      <c r="V1018" t="s">
        <v>39</v>
      </c>
      <c r="W1018" s="1">
        <v>2</v>
      </c>
    </row>
    <row r="1019" spans="1:23" x14ac:dyDescent="0.2">
      <c r="A1019" t="s">
        <v>23</v>
      </c>
      <c r="B1019" t="s">
        <v>24</v>
      </c>
      <c r="C1019" t="s">
        <v>25</v>
      </c>
      <c r="D1019" t="s">
        <v>893</v>
      </c>
      <c r="E1019" t="s">
        <v>894</v>
      </c>
      <c r="F1019" t="s">
        <v>895</v>
      </c>
      <c r="G1019" t="s">
        <v>127</v>
      </c>
      <c r="H1019" t="s">
        <v>52</v>
      </c>
      <c r="I1019" t="s">
        <v>30</v>
      </c>
      <c r="J1019" t="s">
        <v>128</v>
      </c>
      <c r="K1019" t="s">
        <v>135</v>
      </c>
      <c r="L1019" t="s">
        <v>32</v>
      </c>
      <c r="M1019" t="s">
        <v>33</v>
      </c>
      <c r="N1019" t="s">
        <v>33</v>
      </c>
      <c r="O1019" t="s">
        <v>33</v>
      </c>
      <c r="P1019" t="s">
        <v>42</v>
      </c>
      <c r="Q1019" t="s">
        <v>43</v>
      </c>
      <c r="R1019" t="s">
        <v>136</v>
      </c>
      <c r="S1019" t="s">
        <v>30</v>
      </c>
      <c r="T1019" t="s">
        <v>969</v>
      </c>
      <c r="U1019" t="s">
        <v>970</v>
      </c>
      <c r="V1019" t="s">
        <v>40</v>
      </c>
      <c r="W1019" s="1">
        <v>693000</v>
      </c>
    </row>
    <row r="1020" spans="1:23" x14ac:dyDescent="0.2">
      <c r="A1020" t="s">
        <v>23</v>
      </c>
      <c r="B1020" t="s">
        <v>24</v>
      </c>
      <c r="C1020" t="s">
        <v>25</v>
      </c>
      <c r="D1020" t="s">
        <v>893</v>
      </c>
      <c r="E1020" t="s">
        <v>894</v>
      </c>
      <c r="F1020" t="s">
        <v>895</v>
      </c>
      <c r="G1020" t="s">
        <v>127</v>
      </c>
      <c r="H1020" t="s">
        <v>52</v>
      </c>
      <c r="I1020" t="s">
        <v>30</v>
      </c>
      <c r="J1020" t="s">
        <v>41</v>
      </c>
      <c r="K1020" t="s">
        <v>32</v>
      </c>
      <c r="L1020" t="s">
        <v>32</v>
      </c>
      <c r="M1020" t="s">
        <v>33</v>
      </c>
      <c r="N1020" t="s">
        <v>33</v>
      </c>
      <c r="O1020" t="s">
        <v>33</v>
      </c>
      <c r="P1020" t="s">
        <v>34</v>
      </c>
      <c r="Q1020" t="s">
        <v>35</v>
      </c>
      <c r="R1020" t="s">
        <v>54</v>
      </c>
      <c r="S1020" t="s">
        <v>30</v>
      </c>
      <c r="T1020" t="s">
        <v>971</v>
      </c>
      <c r="U1020" t="s">
        <v>972</v>
      </c>
      <c r="V1020" t="s">
        <v>39</v>
      </c>
      <c r="W1020" s="1">
        <v>2</v>
      </c>
    </row>
    <row r="1021" spans="1:23" x14ac:dyDescent="0.2">
      <c r="A1021" t="s">
        <v>23</v>
      </c>
      <c r="B1021" t="s">
        <v>24</v>
      </c>
      <c r="C1021" t="s">
        <v>25</v>
      </c>
      <c r="D1021" t="s">
        <v>893</v>
      </c>
      <c r="E1021" t="s">
        <v>894</v>
      </c>
      <c r="F1021" t="s">
        <v>895</v>
      </c>
      <c r="G1021" t="s">
        <v>127</v>
      </c>
      <c r="H1021" t="s">
        <v>52</v>
      </c>
      <c r="I1021" t="s">
        <v>30</v>
      </c>
      <c r="J1021" t="s">
        <v>41</v>
      </c>
      <c r="K1021" t="s">
        <v>32</v>
      </c>
      <c r="L1021" t="s">
        <v>32</v>
      </c>
      <c r="M1021" t="s">
        <v>33</v>
      </c>
      <c r="N1021" t="s">
        <v>33</v>
      </c>
      <c r="O1021" t="s">
        <v>33</v>
      </c>
      <c r="P1021" t="s">
        <v>34</v>
      </c>
      <c r="Q1021" t="s">
        <v>35</v>
      </c>
      <c r="R1021" t="s">
        <v>54</v>
      </c>
      <c r="S1021" t="s">
        <v>30</v>
      </c>
      <c r="T1021" t="s">
        <v>971</v>
      </c>
      <c r="U1021" t="s">
        <v>972</v>
      </c>
      <c r="V1021" t="s">
        <v>40</v>
      </c>
      <c r="W1021" s="1">
        <v>2460000</v>
      </c>
    </row>
    <row r="1022" spans="1:23" x14ac:dyDescent="0.2">
      <c r="A1022" t="s">
        <v>23</v>
      </c>
      <c r="B1022" t="s">
        <v>24</v>
      </c>
      <c r="C1022" t="s">
        <v>25</v>
      </c>
      <c r="D1022" t="s">
        <v>893</v>
      </c>
      <c r="E1022" t="s">
        <v>894</v>
      </c>
      <c r="F1022" t="s">
        <v>895</v>
      </c>
      <c r="G1022" t="s">
        <v>139</v>
      </c>
      <c r="H1022" t="s">
        <v>30</v>
      </c>
      <c r="I1022" t="s">
        <v>30</v>
      </c>
      <c r="J1022" t="s">
        <v>128</v>
      </c>
      <c r="K1022" t="s">
        <v>32</v>
      </c>
      <c r="L1022" t="s">
        <v>32</v>
      </c>
      <c r="M1022" t="s">
        <v>33</v>
      </c>
      <c r="P1022" t="s">
        <v>42</v>
      </c>
      <c r="Q1022" t="s">
        <v>43</v>
      </c>
      <c r="R1022" t="s">
        <v>973</v>
      </c>
      <c r="S1022" t="s">
        <v>30</v>
      </c>
      <c r="T1022" t="s">
        <v>974</v>
      </c>
      <c r="U1022" t="s">
        <v>975</v>
      </c>
      <c r="V1022" t="s">
        <v>39</v>
      </c>
      <c r="W1022" s="1">
        <v>1</v>
      </c>
    </row>
    <row r="1023" spans="1:23" x14ac:dyDescent="0.2">
      <c r="A1023" t="s">
        <v>23</v>
      </c>
      <c r="B1023" t="s">
        <v>24</v>
      </c>
      <c r="C1023" t="s">
        <v>25</v>
      </c>
      <c r="D1023" t="s">
        <v>893</v>
      </c>
      <c r="E1023" t="s">
        <v>894</v>
      </c>
      <c r="F1023" t="s">
        <v>895</v>
      </c>
      <c r="G1023" t="s">
        <v>139</v>
      </c>
      <c r="H1023" t="s">
        <v>30</v>
      </c>
      <c r="I1023" t="s">
        <v>30</v>
      </c>
      <c r="J1023" t="s">
        <v>128</v>
      </c>
      <c r="K1023" t="s">
        <v>32</v>
      </c>
      <c r="L1023" t="s">
        <v>32</v>
      </c>
      <c r="M1023" t="s">
        <v>33</v>
      </c>
      <c r="P1023" t="s">
        <v>42</v>
      </c>
      <c r="Q1023" t="s">
        <v>43</v>
      </c>
      <c r="R1023" t="s">
        <v>973</v>
      </c>
      <c r="S1023" t="s">
        <v>30</v>
      </c>
      <c r="T1023" t="s">
        <v>974</v>
      </c>
      <c r="U1023" t="s">
        <v>975</v>
      </c>
      <c r="V1023" t="s">
        <v>40</v>
      </c>
      <c r="W1023" s="1">
        <v>1169000</v>
      </c>
    </row>
    <row r="1024" spans="1:23" x14ac:dyDescent="0.2">
      <c r="A1024" t="s">
        <v>23</v>
      </c>
      <c r="B1024" t="s">
        <v>24</v>
      </c>
      <c r="C1024" t="s">
        <v>25</v>
      </c>
      <c r="D1024" t="s">
        <v>893</v>
      </c>
      <c r="E1024" t="s">
        <v>894</v>
      </c>
      <c r="F1024" t="s">
        <v>895</v>
      </c>
      <c r="G1024" t="s">
        <v>139</v>
      </c>
      <c r="H1024" t="s">
        <v>30</v>
      </c>
      <c r="I1024" t="s">
        <v>30</v>
      </c>
      <c r="J1024" t="s">
        <v>41</v>
      </c>
      <c r="K1024" t="s">
        <v>32</v>
      </c>
      <c r="L1024" t="s">
        <v>32</v>
      </c>
      <c r="M1024" t="s">
        <v>33</v>
      </c>
      <c r="N1024" t="s">
        <v>33</v>
      </c>
      <c r="O1024" t="s">
        <v>33</v>
      </c>
      <c r="P1024" t="s">
        <v>34</v>
      </c>
      <c r="Q1024" t="s">
        <v>35</v>
      </c>
      <c r="R1024" t="s">
        <v>44</v>
      </c>
      <c r="S1024" t="s">
        <v>30</v>
      </c>
      <c r="T1024" t="s">
        <v>976</v>
      </c>
      <c r="U1024" t="s">
        <v>977</v>
      </c>
      <c r="V1024" t="s">
        <v>39</v>
      </c>
      <c r="W1024" s="1">
        <v>1</v>
      </c>
    </row>
    <row r="1025" spans="1:23" x14ac:dyDescent="0.2">
      <c r="A1025" t="s">
        <v>23</v>
      </c>
      <c r="B1025" t="s">
        <v>24</v>
      </c>
      <c r="C1025" t="s">
        <v>25</v>
      </c>
      <c r="D1025" t="s">
        <v>893</v>
      </c>
      <c r="E1025" t="s">
        <v>894</v>
      </c>
      <c r="F1025" t="s">
        <v>895</v>
      </c>
      <c r="G1025" t="s">
        <v>139</v>
      </c>
      <c r="H1025" t="s">
        <v>30</v>
      </c>
      <c r="I1025" t="s">
        <v>30</v>
      </c>
      <c r="J1025" t="s">
        <v>41</v>
      </c>
      <c r="K1025" t="s">
        <v>32</v>
      </c>
      <c r="L1025" t="s">
        <v>32</v>
      </c>
      <c r="M1025" t="s">
        <v>33</v>
      </c>
      <c r="N1025" t="s">
        <v>33</v>
      </c>
      <c r="O1025" t="s">
        <v>33</v>
      </c>
      <c r="P1025" t="s">
        <v>34</v>
      </c>
      <c r="Q1025" t="s">
        <v>35</v>
      </c>
      <c r="R1025" t="s">
        <v>44</v>
      </c>
      <c r="S1025" t="s">
        <v>30</v>
      </c>
      <c r="T1025" t="s">
        <v>976</v>
      </c>
      <c r="U1025" t="s">
        <v>977</v>
      </c>
      <c r="V1025" t="s">
        <v>40</v>
      </c>
      <c r="W1025" s="1">
        <v>1499900</v>
      </c>
    </row>
    <row r="1026" spans="1:23" x14ac:dyDescent="0.2">
      <c r="A1026" t="s">
        <v>23</v>
      </c>
      <c r="B1026" t="s">
        <v>24</v>
      </c>
      <c r="C1026" t="s">
        <v>25</v>
      </c>
      <c r="D1026" t="s">
        <v>893</v>
      </c>
      <c r="E1026" t="s">
        <v>894</v>
      </c>
      <c r="F1026" t="s">
        <v>895</v>
      </c>
      <c r="G1026" t="s">
        <v>139</v>
      </c>
      <c r="H1026" t="s">
        <v>30</v>
      </c>
      <c r="I1026" t="s">
        <v>30</v>
      </c>
      <c r="J1026" t="s">
        <v>41</v>
      </c>
      <c r="K1026" t="s">
        <v>32</v>
      </c>
      <c r="L1026" t="s">
        <v>32</v>
      </c>
      <c r="M1026" t="s">
        <v>33</v>
      </c>
      <c r="P1026" t="s">
        <v>34</v>
      </c>
      <c r="Q1026" t="s">
        <v>35</v>
      </c>
      <c r="R1026" t="s">
        <v>44</v>
      </c>
      <c r="S1026" t="s">
        <v>30</v>
      </c>
      <c r="T1026" t="s">
        <v>976</v>
      </c>
      <c r="U1026" t="s">
        <v>977</v>
      </c>
      <c r="V1026" t="s">
        <v>39</v>
      </c>
      <c r="W1026" s="1">
        <v>4</v>
      </c>
    </row>
    <row r="1027" spans="1:23" x14ac:dyDescent="0.2">
      <c r="A1027" t="s">
        <v>23</v>
      </c>
      <c r="B1027" t="s">
        <v>24</v>
      </c>
      <c r="C1027" t="s">
        <v>25</v>
      </c>
      <c r="D1027" t="s">
        <v>893</v>
      </c>
      <c r="E1027" t="s">
        <v>894</v>
      </c>
      <c r="F1027" t="s">
        <v>895</v>
      </c>
      <c r="G1027" t="s">
        <v>139</v>
      </c>
      <c r="H1027" t="s">
        <v>30</v>
      </c>
      <c r="I1027" t="s">
        <v>30</v>
      </c>
      <c r="J1027" t="s">
        <v>41</v>
      </c>
      <c r="K1027" t="s">
        <v>32</v>
      </c>
      <c r="L1027" t="s">
        <v>32</v>
      </c>
      <c r="M1027" t="s">
        <v>33</v>
      </c>
      <c r="P1027" t="s">
        <v>34</v>
      </c>
      <c r="Q1027" t="s">
        <v>35</v>
      </c>
      <c r="R1027" t="s">
        <v>44</v>
      </c>
      <c r="S1027" t="s">
        <v>30</v>
      </c>
      <c r="T1027" t="s">
        <v>976</v>
      </c>
      <c r="U1027" t="s">
        <v>977</v>
      </c>
      <c r="V1027" t="s">
        <v>40</v>
      </c>
      <c r="W1027" s="1">
        <v>5999600</v>
      </c>
    </row>
    <row r="1028" spans="1:23" x14ac:dyDescent="0.2">
      <c r="A1028" t="s">
        <v>23</v>
      </c>
      <c r="B1028" t="s">
        <v>24</v>
      </c>
      <c r="C1028" t="s">
        <v>978</v>
      </c>
      <c r="D1028" t="s">
        <v>979</v>
      </c>
      <c r="E1028" t="s">
        <v>980</v>
      </c>
      <c r="F1028" t="s">
        <v>981</v>
      </c>
      <c r="G1028" t="s">
        <v>29</v>
      </c>
      <c r="H1028" t="s">
        <v>30</v>
      </c>
      <c r="I1028" t="s">
        <v>30</v>
      </c>
      <c r="J1028" t="s">
        <v>41</v>
      </c>
      <c r="K1028" t="s">
        <v>32</v>
      </c>
      <c r="L1028" t="s">
        <v>32</v>
      </c>
      <c r="M1028" t="s">
        <v>33</v>
      </c>
      <c r="N1028" t="s">
        <v>33</v>
      </c>
      <c r="O1028" t="s">
        <v>33</v>
      </c>
      <c r="P1028" t="s">
        <v>34</v>
      </c>
      <c r="Q1028" t="s">
        <v>35</v>
      </c>
      <c r="S1028" t="s">
        <v>30</v>
      </c>
      <c r="T1028" t="s">
        <v>982</v>
      </c>
      <c r="U1028" t="s">
        <v>983</v>
      </c>
      <c r="V1028" t="s">
        <v>39</v>
      </c>
      <c r="W1028" s="1">
        <v>4</v>
      </c>
    </row>
    <row r="1029" spans="1:23" x14ac:dyDescent="0.2">
      <c r="A1029" t="s">
        <v>23</v>
      </c>
      <c r="B1029" t="s">
        <v>24</v>
      </c>
      <c r="C1029" t="s">
        <v>978</v>
      </c>
      <c r="D1029" t="s">
        <v>979</v>
      </c>
      <c r="E1029" t="s">
        <v>980</v>
      </c>
      <c r="F1029" t="s">
        <v>981</v>
      </c>
      <c r="G1029" t="s">
        <v>29</v>
      </c>
      <c r="H1029" t="s">
        <v>30</v>
      </c>
      <c r="I1029" t="s">
        <v>30</v>
      </c>
      <c r="J1029" t="s">
        <v>41</v>
      </c>
      <c r="K1029" t="s">
        <v>32</v>
      </c>
      <c r="L1029" t="s">
        <v>32</v>
      </c>
      <c r="M1029" t="s">
        <v>33</v>
      </c>
      <c r="N1029" t="s">
        <v>33</v>
      </c>
      <c r="O1029" t="s">
        <v>33</v>
      </c>
      <c r="P1029" t="s">
        <v>34</v>
      </c>
      <c r="Q1029" t="s">
        <v>35</v>
      </c>
      <c r="S1029" t="s">
        <v>30</v>
      </c>
      <c r="T1029" t="s">
        <v>982</v>
      </c>
      <c r="U1029" t="s">
        <v>983</v>
      </c>
      <c r="V1029" t="s">
        <v>40</v>
      </c>
      <c r="W1029" s="1">
        <v>3929200</v>
      </c>
    </row>
    <row r="1030" spans="1:23" x14ac:dyDescent="0.2">
      <c r="A1030" t="s">
        <v>23</v>
      </c>
      <c r="B1030" t="s">
        <v>24</v>
      </c>
      <c r="C1030" t="s">
        <v>978</v>
      </c>
      <c r="D1030" t="s">
        <v>979</v>
      </c>
      <c r="E1030" t="s">
        <v>980</v>
      </c>
      <c r="F1030" t="s">
        <v>981</v>
      </c>
      <c r="G1030" t="s">
        <v>61</v>
      </c>
      <c r="H1030" t="s">
        <v>52</v>
      </c>
      <c r="I1030" t="s">
        <v>52</v>
      </c>
      <c r="J1030" t="s">
        <v>41</v>
      </c>
      <c r="K1030" t="s">
        <v>32</v>
      </c>
      <c r="L1030" t="s">
        <v>32</v>
      </c>
      <c r="M1030" t="s">
        <v>33</v>
      </c>
      <c r="N1030" t="s">
        <v>33</v>
      </c>
      <c r="O1030" t="s">
        <v>33</v>
      </c>
      <c r="P1030" t="s">
        <v>34</v>
      </c>
      <c r="Q1030" t="s">
        <v>35</v>
      </c>
      <c r="S1030" t="s">
        <v>30</v>
      </c>
      <c r="T1030" t="s">
        <v>984</v>
      </c>
      <c r="U1030" t="s">
        <v>985</v>
      </c>
      <c r="V1030" t="s">
        <v>39</v>
      </c>
      <c r="W1030" s="1">
        <v>4</v>
      </c>
    </row>
    <row r="1031" spans="1:23" x14ac:dyDescent="0.2">
      <c r="A1031" t="s">
        <v>23</v>
      </c>
      <c r="B1031" t="s">
        <v>24</v>
      </c>
      <c r="C1031" t="s">
        <v>978</v>
      </c>
      <c r="D1031" t="s">
        <v>979</v>
      </c>
      <c r="E1031" t="s">
        <v>980</v>
      </c>
      <c r="F1031" t="s">
        <v>981</v>
      </c>
      <c r="G1031" t="s">
        <v>61</v>
      </c>
      <c r="H1031" t="s">
        <v>52</v>
      </c>
      <c r="I1031" t="s">
        <v>52</v>
      </c>
      <c r="J1031" t="s">
        <v>41</v>
      </c>
      <c r="K1031" t="s">
        <v>32</v>
      </c>
      <c r="L1031" t="s">
        <v>32</v>
      </c>
      <c r="M1031" t="s">
        <v>33</v>
      </c>
      <c r="N1031" t="s">
        <v>33</v>
      </c>
      <c r="O1031" t="s">
        <v>33</v>
      </c>
      <c r="P1031" t="s">
        <v>34</v>
      </c>
      <c r="Q1031" t="s">
        <v>35</v>
      </c>
      <c r="S1031" t="s">
        <v>30</v>
      </c>
      <c r="T1031" t="s">
        <v>984</v>
      </c>
      <c r="U1031" t="s">
        <v>985</v>
      </c>
      <c r="V1031" t="s">
        <v>40</v>
      </c>
      <c r="W1031" s="1">
        <v>6260800</v>
      </c>
    </row>
    <row r="1032" spans="1:23" x14ac:dyDescent="0.2">
      <c r="A1032" t="s">
        <v>23</v>
      </c>
      <c r="B1032" t="s">
        <v>24</v>
      </c>
      <c r="C1032" t="s">
        <v>978</v>
      </c>
      <c r="D1032" t="s">
        <v>979</v>
      </c>
      <c r="E1032" t="s">
        <v>980</v>
      </c>
      <c r="F1032" t="s">
        <v>981</v>
      </c>
      <c r="G1032" t="s">
        <v>170</v>
      </c>
      <c r="H1032" t="s">
        <v>52</v>
      </c>
      <c r="I1032" t="s">
        <v>30</v>
      </c>
      <c r="J1032" t="s">
        <v>41</v>
      </c>
      <c r="K1032" t="s">
        <v>32</v>
      </c>
      <c r="L1032" t="s">
        <v>32</v>
      </c>
      <c r="M1032" t="s">
        <v>33</v>
      </c>
      <c r="N1032" t="s">
        <v>33</v>
      </c>
      <c r="O1032" t="s">
        <v>33</v>
      </c>
      <c r="P1032" t="s">
        <v>34</v>
      </c>
      <c r="Q1032" t="s">
        <v>35</v>
      </c>
      <c r="S1032" t="s">
        <v>30</v>
      </c>
      <c r="T1032" t="s">
        <v>986</v>
      </c>
      <c r="U1032" t="s">
        <v>987</v>
      </c>
      <c r="V1032" t="s">
        <v>39</v>
      </c>
      <c r="W1032" s="1">
        <v>6</v>
      </c>
    </row>
    <row r="1033" spans="1:23" x14ac:dyDescent="0.2">
      <c r="A1033" t="s">
        <v>23</v>
      </c>
      <c r="B1033" t="s">
        <v>24</v>
      </c>
      <c r="C1033" t="s">
        <v>978</v>
      </c>
      <c r="D1033" t="s">
        <v>979</v>
      </c>
      <c r="E1033" t="s">
        <v>980</v>
      </c>
      <c r="F1033" t="s">
        <v>981</v>
      </c>
      <c r="G1033" t="s">
        <v>170</v>
      </c>
      <c r="H1033" t="s">
        <v>52</v>
      </c>
      <c r="I1033" t="s">
        <v>30</v>
      </c>
      <c r="J1033" t="s">
        <v>41</v>
      </c>
      <c r="K1033" t="s">
        <v>32</v>
      </c>
      <c r="L1033" t="s">
        <v>32</v>
      </c>
      <c r="M1033" t="s">
        <v>33</v>
      </c>
      <c r="N1033" t="s">
        <v>33</v>
      </c>
      <c r="O1033" t="s">
        <v>33</v>
      </c>
      <c r="P1033" t="s">
        <v>34</v>
      </c>
      <c r="Q1033" t="s">
        <v>35</v>
      </c>
      <c r="S1033" t="s">
        <v>30</v>
      </c>
      <c r="T1033" t="s">
        <v>986</v>
      </c>
      <c r="U1033" t="s">
        <v>987</v>
      </c>
      <c r="V1033" t="s">
        <v>40</v>
      </c>
      <c r="W1033" s="1">
        <v>8994000</v>
      </c>
    </row>
    <row r="1034" spans="1:23" x14ac:dyDescent="0.2">
      <c r="A1034" t="s">
        <v>23</v>
      </c>
      <c r="B1034" t="s">
        <v>24</v>
      </c>
      <c r="C1034" t="s">
        <v>978</v>
      </c>
      <c r="D1034" t="s">
        <v>979</v>
      </c>
      <c r="E1034" t="s">
        <v>980</v>
      </c>
      <c r="F1034" t="s">
        <v>981</v>
      </c>
      <c r="G1034" t="s">
        <v>67</v>
      </c>
      <c r="H1034" t="s">
        <v>30</v>
      </c>
      <c r="I1034" t="s">
        <v>30</v>
      </c>
      <c r="J1034" t="s">
        <v>128</v>
      </c>
      <c r="K1034" t="s">
        <v>32</v>
      </c>
      <c r="L1034" t="s">
        <v>32</v>
      </c>
      <c r="M1034" t="s">
        <v>33</v>
      </c>
      <c r="N1034" t="s">
        <v>33</v>
      </c>
      <c r="O1034" t="s">
        <v>33</v>
      </c>
      <c r="P1034" t="s">
        <v>34</v>
      </c>
      <c r="Q1034" t="s">
        <v>35</v>
      </c>
      <c r="R1034" t="s">
        <v>129</v>
      </c>
      <c r="S1034" t="s">
        <v>30</v>
      </c>
      <c r="T1034" t="s">
        <v>988</v>
      </c>
      <c r="U1034" t="s">
        <v>989</v>
      </c>
      <c r="V1034" t="s">
        <v>39</v>
      </c>
      <c r="W1034" s="1">
        <v>6</v>
      </c>
    </row>
    <row r="1035" spans="1:23" x14ac:dyDescent="0.2">
      <c r="A1035" t="s">
        <v>23</v>
      </c>
      <c r="B1035" t="s">
        <v>24</v>
      </c>
      <c r="C1035" t="s">
        <v>978</v>
      </c>
      <c r="D1035" t="s">
        <v>979</v>
      </c>
      <c r="E1035" t="s">
        <v>980</v>
      </c>
      <c r="F1035" t="s">
        <v>981</v>
      </c>
      <c r="G1035" t="s">
        <v>67</v>
      </c>
      <c r="H1035" t="s">
        <v>30</v>
      </c>
      <c r="I1035" t="s">
        <v>30</v>
      </c>
      <c r="J1035" t="s">
        <v>128</v>
      </c>
      <c r="K1035" t="s">
        <v>32</v>
      </c>
      <c r="L1035" t="s">
        <v>32</v>
      </c>
      <c r="M1035" t="s">
        <v>33</v>
      </c>
      <c r="N1035" t="s">
        <v>33</v>
      </c>
      <c r="O1035" t="s">
        <v>33</v>
      </c>
      <c r="P1035" t="s">
        <v>34</v>
      </c>
      <c r="Q1035" t="s">
        <v>35</v>
      </c>
      <c r="R1035" t="s">
        <v>129</v>
      </c>
      <c r="S1035" t="s">
        <v>30</v>
      </c>
      <c r="T1035" t="s">
        <v>988</v>
      </c>
      <c r="U1035" t="s">
        <v>989</v>
      </c>
      <c r="V1035" t="s">
        <v>40</v>
      </c>
      <c r="W1035" s="1">
        <v>2694000</v>
      </c>
    </row>
    <row r="1036" spans="1:23" x14ac:dyDescent="0.2">
      <c r="A1036" t="s">
        <v>23</v>
      </c>
      <c r="B1036" t="s">
        <v>24</v>
      </c>
      <c r="C1036" t="s">
        <v>978</v>
      </c>
      <c r="D1036" t="s">
        <v>979</v>
      </c>
      <c r="E1036" t="s">
        <v>980</v>
      </c>
      <c r="F1036" t="s">
        <v>981</v>
      </c>
      <c r="G1036" t="s">
        <v>67</v>
      </c>
      <c r="H1036" t="s">
        <v>30</v>
      </c>
      <c r="I1036" t="s">
        <v>30</v>
      </c>
      <c r="J1036" t="s">
        <v>128</v>
      </c>
      <c r="K1036" t="s">
        <v>181</v>
      </c>
      <c r="L1036" t="s">
        <v>32</v>
      </c>
      <c r="M1036" t="s">
        <v>33</v>
      </c>
      <c r="N1036" t="s">
        <v>33</v>
      </c>
      <c r="O1036" t="s">
        <v>33</v>
      </c>
      <c r="P1036" t="s">
        <v>34</v>
      </c>
      <c r="Q1036" t="s">
        <v>35</v>
      </c>
      <c r="S1036" t="s">
        <v>30</v>
      </c>
      <c r="T1036" t="s">
        <v>990</v>
      </c>
      <c r="U1036" t="s">
        <v>991</v>
      </c>
      <c r="V1036" t="s">
        <v>39</v>
      </c>
      <c r="W1036" s="1">
        <v>14</v>
      </c>
    </row>
    <row r="1037" spans="1:23" x14ac:dyDescent="0.2">
      <c r="A1037" t="s">
        <v>23</v>
      </c>
      <c r="B1037" t="s">
        <v>24</v>
      </c>
      <c r="C1037" t="s">
        <v>978</v>
      </c>
      <c r="D1037" t="s">
        <v>979</v>
      </c>
      <c r="E1037" t="s">
        <v>980</v>
      </c>
      <c r="F1037" t="s">
        <v>981</v>
      </c>
      <c r="G1037" t="s">
        <v>67</v>
      </c>
      <c r="H1037" t="s">
        <v>30</v>
      </c>
      <c r="I1037" t="s">
        <v>30</v>
      </c>
      <c r="J1037" t="s">
        <v>128</v>
      </c>
      <c r="K1037" t="s">
        <v>181</v>
      </c>
      <c r="L1037" t="s">
        <v>32</v>
      </c>
      <c r="M1037" t="s">
        <v>33</v>
      </c>
      <c r="N1037" t="s">
        <v>33</v>
      </c>
      <c r="O1037" t="s">
        <v>33</v>
      </c>
      <c r="P1037" t="s">
        <v>34</v>
      </c>
      <c r="Q1037" t="s">
        <v>35</v>
      </c>
      <c r="S1037" t="s">
        <v>30</v>
      </c>
      <c r="T1037" t="s">
        <v>990</v>
      </c>
      <c r="U1037" t="s">
        <v>991</v>
      </c>
      <c r="V1037" t="s">
        <v>40</v>
      </c>
      <c r="W1037" s="1">
        <v>28000000</v>
      </c>
    </row>
    <row r="1038" spans="1:23" x14ac:dyDescent="0.2">
      <c r="A1038" t="s">
        <v>23</v>
      </c>
      <c r="B1038" t="s">
        <v>24</v>
      </c>
      <c r="C1038" t="s">
        <v>978</v>
      </c>
      <c r="D1038" t="s">
        <v>979</v>
      </c>
      <c r="E1038" t="s">
        <v>980</v>
      </c>
      <c r="F1038" t="s">
        <v>981</v>
      </c>
      <c r="G1038" t="s">
        <v>89</v>
      </c>
      <c r="H1038" t="s">
        <v>30</v>
      </c>
      <c r="I1038" t="s">
        <v>30</v>
      </c>
      <c r="J1038" t="s">
        <v>31</v>
      </c>
      <c r="K1038" t="s">
        <v>32</v>
      </c>
      <c r="L1038" t="s">
        <v>32</v>
      </c>
      <c r="M1038" t="s">
        <v>33</v>
      </c>
      <c r="N1038" t="s">
        <v>33</v>
      </c>
      <c r="O1038" t="s">
        <v>33</v>
      </c>
      <c r="P1038" t="s">
        <v>34</v>
      </c>
      <c r="Q1038" t="s">
        <v>35</v>
      </c>
      <c r="S1038" t="s">
        <v>30</v>
      </c>
      <c r="T1038" t="s">
        <v>992</v>
      </c>
      <c r="U1038" t="s">
        <v>993</v>
      </c>
      <c r="V1038" t="s">
        <v>39</v>
      </c>
      <c r="W1038" s="1">
        <v>2</v>
      </c>
    </row>
    <row r="1039" spans="1:23" x14ac:dyDescent="0.2">
      <c r="A1039" t="s">
        <v>23</v>
      </c>
      <c r="B1039" t="s">
        <v>24</v>
      </c>
      <c r="C1039" t="s">
        <v>978</v>
      </c>
      <c r="D1039" t="s">
        <v>979</v>
      </c>
      <c r="E1039" t="s">
        <v>980</v>
      </c>
      <c r="F1039" t="s">
        <v>981</v>
      </c>
      <c r="G1039" t="s">
        <v>89</v>
      </c>
      <c r="H1039" t="s">
        <v>30</v>
      </c>
      <c r="I1039" t="s">
        <v>30</v>
      </c>
      <c r="J1039" t="s">
        <v>31</v>
      </c>
      <c r="K1039" t="s">
        <v>32</v>
      </c>
      <c r="L1039" t="s">
        <v>32</v>
      </c>
      <c r="M1039" t="s">
        <v>33</v>
      </c>
      <c r="N1039" t="s">
        <v>33</v>
      </c>
      <c r="O1039" t="s">
        <v>33</v>
      </c>
      <c r="P1039" t="s">
        <v>34</v>
      </c>
      <c r="Q1039" t="s">
        <v>35</v>
      </c>
      <c r="S1039" t="s">
        <v>30</v>
      </c>
      <c r="T1039" t="s">
        <v>992</v>
      </c>
      <c r="U1039" t="s">
        <v>993</v>
      </c>
      <c r="V1039" t="s">
        <v>40</v>
      </c>
      <c r="W1039" s="1">
        <v>378000</v>
      </c>
    </row>
    <row r="1040" spans="1:23" x14ac:dyDescent="0.2">
      <c r="A1040" t="s">
        <v>23</v>
      </c>
      <c r="B1040" t="s">
        <v>24</v>
      </c>
      <c r="C1040" t="s">
        <v>978</v>
      </c>
      <c r="D1040" t="s">
        <v>979</v>
      </c>
      <c r="E1040" t="s">
        <v>980</v>
      </c>
      <c r="F1040" t="s">
        <v>981</v>
      </c>
      <c r="G1040" t="s">
        <v>134</v>
      </c>
      <c r="H1040" t="s">
        <v>52</v>
      </c>
      <c r="I1040" t="s">
        <v>30</v>
      </c>
      <c r="J1040" t="s">
        <v>31</v>
      </c>
      <c r="K1040" t="s">
        <v>32</v>
      </c>
      <c r="L1040" t="s">
        <v>32</v>
      </c>
      <c r="M1040" t="s">
        <v>33</v>
      </c>
      <c r="N1040" t="s">
        <v>33</v>
      </c>
      <c r="O1040" t="s">
        <v>33</v>
      </c>
      <c r="P1040" t="s">
        <v>34</v>
      </c>
      <c r="Q1040" t="s">
        <v>35</v>
      </c>
      <c r="S1040" t="s">
        <v>30</v>
      </c>
      <c r="T1040" t="s">
        <v>994</v>
      </c>
      <c r="U1040" t="s">
        <v>995</v>
      </c>
      <c r="V1040" t="s">
        <v>39</v>
      </c>
      <c r="W1040" s="1">
        <v>2</v>
      </c>
    </row>
    <row r="1041" spans="1:23" x14ac:dyDescent="0.2">
      <c r="A1041" t="s">
        <v>23</v>
      </c>
      <c r="B1041" t="s">
        <v>24</v>
      </c>
      <c r="C1041" t="s">
        <v>978</v>
      </c>
      <c r="D1041" t="s">
        <v>979</v>
      </c>
      <c r="E1041" t="s">
        <v>980</v>
      </c>
      <c r="F1041" t="s">
        <v>981</v>
      </c>
      <c r="G1041" t="s">
        <v>134</v>
      </c>
      <c r="H1041" t="s">
        <v>52</v>
      </c>
      <c r="I1041" t="s">
        <v>30</v>
      </c>
      <c r="J1041" t="s">
        <v>31</v>
      </c>
      <c r="K1041" t="s">
        <v>32</v>
      </c>
      <c r="L1041" t="s">
        <v>32</v>
      </c>
      <c r="M1041" t="s">
        <v>33</v>
      </c>
      <c r="N1041" t="s">
        <v>33</v>
      </c>
      <c r="O1041" t="s">
        <v>33</v>
      </c>
      <c r="P1041" t="s">
        <v>34</v>
      </c>
      <c r="Q1041" t="s">
        <v>35</v>
      </c>
      <c r="S1041" t="s">
        <v>30</v>
      </c>
      <c r="T1041" t="s">
        <v>994</v>
      </c>
      <c r="U1041" t="s">
        <v>995</v>
      </c>
      <c r="V1041" t="s">
        <v>40</v>
      </c>
      <c r="W1041" s="1">
        <v>1525200</v>
      </c>
    </row>
    <row r="1042" spans="1:23" x14ac:dyDescent="0.2">
      <c r="A1042" t="s">
        <v>23</v>
      </c>
      <c r="B1042" t="s">
        <v>24</v>
      </c>
      <c r="C1042" t="s">
        <v>978</v>
      </c>
      <c r="D1042" t="s">
        <v>979</v>
      </c>
      <c r="E1042" t="s">
        <v>980</v>
      </c>
      <c r="F1042" t="s">
        <v>981</v>
      </c>
      <c r="G1042" t="s">
        <v>134</v>
      </c>
      <c r="H1042" t="s">
        <v>52</v>
      </c>
      <c r="I1042" t="s">
        <v>30</v>
      </c>
      <c r="J1042" t="s">
        <v>31</v>
      </c>
      <c r="K1042" t="s">
        <v>32</v>
      </c>
      <c r="L1042" t="s">
        <v>32</v>
      </c>
      <c r="M1042" t="s">
        <v>33</v>
      </c>
      <c r="N1042" t="s">
        <v>169</v>
      </c>
      <c r="O1042" t="s">
        <v>169</v>
      </c>
      <c r="P1042" t="s">
        <v>34</v>
      </c>
      <c r="Q1042" t="s">
        <v>35</v>
      </c>
      <c r="S1042" t="s">
        <v>30</v>
      </c>
      <c r="T1042" t="s">
        <v>994</v>
      </c>
      <c r="U1042" t="s">
        <v>995</v>
      </c>
      <c r="V1042" t="s">
        <v>39</v>
      </c>
      <c r="W1042" s="1">
        <v>1</v>
      </c>
    </row>
    <row r="1043" spans="1:23" x14ac:dyDescent="0.2">
      <c r="A1043" t="s">
        <v>23</v>
      </c>
      <c r="B1043" t="s">
        <v>24</v>
      </c>
      <c r="C1043" t="s">
        <v>978</v>
      </c>
      <c r="D1043" t="s">
        <v>979</v>
      </c>
      <c r="E1043" t="s">
        <v>980</v>
      </c>
      <c r="F1043" t="s">
        <v>981</v>
      </c>
      <c r="G1043" t="s">
        <v>134</v>
      </c>
      <c r="H1043" t="s">
        <v>52</v>
      </c>
      <c r="I1043" t="s">
        <v>30</v>
      </c>
      <c r="J1043" t="s">
        <v>31</v>
      </c>
      <c r="K1043" t="s">
        <v>32</v>
      </c>
      <c r="L1043" t="s">
        <v>32</v>
      </c>
      <c r="M1043" t="s">
        <v>33</v>
      </c>
      <c r="N1043" t="s">
        <v>169</v>
      </c>
      <c r="O1043" t="s">
        <v>169</v>
      </c>
      <c r="P1043" t="s">
        <v>34</v>
      </c>
      <c r="Q1043" t="s">
        <v>35</v>
      </c>
      <c r="S1043" t="s">
        <v>30</v>
      </c>
      <c r="T1043" t="s">
        <v>994</v>
      </c>
      <c r="U1043" t="s">
        <v>995</v>
      </c>
      <c r="V1043" t="s">
        <v>40</v>
      </c>
      <c r="W1043" s="1">
        <v>762600</v>
      </c>
    </row>
    <row r="1044" spans="1:23" x14ac:dyDescent="0.2">
      <c r="A1044" t="s">
        <v>23</v>
      </c>
      <c r="B1044" t="s">
        <v>24</v>
      </c>
      <c r="C1044" t="s">
        <v>978</v>
      </c>
      <c r="D1044" t="s">
        <v>979</v>
      </c>
      <c r="E1044" t="s">
        <v>980</v>
      </c>
      <c r="F1044" t="s">
        <v>981</v>
      </c>
      <c r="G1044" t="s">
        <v>134</v>
      </c>
      <c r="H1044" t="s">
        <v>52</v>
      </c>
      <c r="I1044" t="s">
        <v>30</v>
      </c>
      <c r="J1044" t="s">
        <v>31</v>
      </c>
      <c r="K1044" t="s">
        <v>32</v>
      </c>
      <c r="L1044" t="s">
        <v>32</v>
      </c>
      <c r="M1044" t="s">
        <v>176</v>
      </c>
      <c r="N1044" t="s">
        <v>176</v>
      </c>
      <c r="O1044" t="s">
        <v>176</v>
      </c>
      <c r="P1044" t="s">
        <v>34</v>
      </c>
      <c r="Q1044" t="s">
        <v>35</v>
      </c>
      <c r="S1044" t="s">
        <v>30</v>
      </c>
      <c r="T1044" t="s">
        <v>994</v>
      </c>
      <c r="U1044" t="s">
        <v>995</v>
      </c>
      <c r="V1044" t="s">
        <v>39</v>
      </c>
      <c r="W1044" s="1">
        <v>1</v>
      </c>
    </row>
    <row r="1045" spans="1:23" x14ac:dyDescent="0.2">
      <c r="A1045" t="s">
        <v>23</v>
      </c>
      <c r="B1045" t="s">
        <v>24</v>
      </c>
      <c r="C1045" t="s">
        <v>978</v>
      </c>
      <c r="D1045" t="s">
        <v>979</v>
      </c>
      <c r="E1045" t="s">
        <v>980</v>
      </c>
      <c r="F1045" t="s">
        <v>981</v>
      </c>
      <c r="G1045" t="s">
        <v>134</v>
      </c>
      <c r="H1045" t="s">
        <v>52</v>
      </c>
      <c r="I1045" t="s">
        <v>30</v>
      </c>
      <c r="J1045" t="s">
        <v>31</v>
      </c>
      <c r="K1045" t="s">
        <v>32</v>
      </c>
      <c r="L1045" t="s">
        <v>32</v>
      </c>
      <c r="M1045" t="s">
        <v>176</v>
      </c>
      <c r="N1045" t="s">
        <v>176</v>
      </c>
      <c r="O1045" t="s">
        <v>176</v>
      </c>
      <c r="P1045" t="s">
        <v>34</v>
      </c>
      <c r="Q1045" t="s">
        <v>35</v>
      </c>
      <c r="S1045" t="s">
        <v>30</v>
      </c>
      <c r="T1045" t="s">
        <v>994</v>
      </c>
      <c r="U1045" t="s">
        <v>995</v>
      </c>
      <c r="V1045" t="s">
        <v>40</v>
      </c>
      <c r="W1045" s="1">
        <v>762600</v>
      </c>
    </row>
    <row r="1046" spans="1:23" x14ac:dyDescent="0.2">
      <c r="A1046" t="s">
        <v>23</v>
      </c>
      <c r="B1046" t="s">
        <v>24</v>
      </c>
      <c r="C1046" t="s">
        <v>978</v>
      </c>
      <c r="D1046" t="s">
        <v>996</v>
      </c>
      <c r="E1046" t="s">
        <v>997</v>
      </c>
      <c r="F1046" t="s">
        <v>998</v>
      </c>
      <c r="G1046" t="s">
        <v>29</v>
      </c>
      <c r="H1046" t="s">
        <v>30</v>
      </c>
      <c r="I1046" t="s">
        <v>30</v>
      </c>
      <c r="J1046" t="s">
        <v>999</v>
      </c>
      <c r="K1046" t="s">
        <v>181</v>
      </c>
      <c r="L1046" t="s">
        <v>32</v>
      </c>
      <c r="M1046" t="s">
        <v>33</v>
      </c>
      <c r="N1046" t="s">
        <v>33</v>
      </c>
      <c r="O1046" t="s">
        <v>33</v>
      </c>
      <c r="P1046" t="s">
        <v>34</v>
      </c>
      <c r="Q1046" t="s">
        <v>35</v>
      </c>
      <c r="S1046" t="s">
        <v>30</v>
      </c>
      <c r="T1046" t="s">
        <v>1000</v>
      </c>
      <c r="U1046" t="s">
        <v>1001</v>
      </c>
      <c r="V1046" t="s">
        <v>39</v>
      </c>
      <c r="W1046" s="1">
        <v>36</v>
      </c>
    </row>
    <row r="1047" spans="1:23" x14ac:dyDescent="0.2">
      <c r="A1047" t="s">
        <v>23</v>
      </c>
      <c r="B1047" t="s">
        <v>24</v>
      </c>
      <c r="C1047" t="s">
        <v>978</v>
      </c>
      <c r="D1047" t="s">
        <v>996</v>
      </c>
      <c r="E1047" t="s">
        <v>997</v>
      </c>
      <c r="F1047" t="s">
        <v>998</v>
      </c>
      <c r="G1047" t="s">
        <v>29</v>
      </c>
      <c r="H1047" t="s">
        <v>30</v>
      </c>
      <c r="I1047" t="s">
        <v>30</v>
      </c>
      <c r="J1047" t="s">
        <v>999</v>
      </c>
      <c r="K1047" t="s">
        <v>181</v>
      </c>
      <c r="L1047" t="s">
        <v>32</v>
      </c>
      <c r="M1047" t="s">
        <v>33</v>
      </c>
      <c r="N1047" t="s">
        <v>33</v>
      </c>
      <c r="O1047" t="s">
        <v>33</v>
      </c>
      <c r="P1047" t="s">
        <v>34</v>
      </c>
      <c r="Q1047" t="s">
        <v>35</v>
      </c>
      <c r="S1047" t="s">
        <v>30</v>
      </c>
      <c r="T1047" t="s">
        <v>1000</v>
      </c>
      <c r="U1047" t="s">
        <v>1001</v>
      </c>
      <c r="V1047" t="s">
        <v>40</v>
      </c>
      <c r="W1047" s="1">
        <v>35640000</v>
      </c>
    </row>
    <row r="1048" spans="1:23" x14ac:dyDescent="0.2">
      <c r="A1048" t="s">
        <v>23</v>
      </c>
      <c r="B1048" t="s">
        <v>24</v>
      </c>
      <c r="C1048" t="s">
        <v>978</v>
      </c>
      <c r="D1048" t="s">
        <v>996</v>
      </c>
      <c r="E1048" t="s">
        <v>997</v>
      </c>
      <c r="F1048" t="s">
        <v>998</v>
      </c>
      <c r="G1048" t="s">
        <v>29</v>
      </c>
      <c r="H1048" t="s">
        <v>30</v>
      </c>
      <c r="I1048" t="s">
        <v>30</v>
      </c>
      <c r="J1048" t="s">
        <v>999</v>
      </c>
      <c r="K1048" t="s">
        <v>181</v>
      </c>
      <c r="L1048" t="s">
        <v>32</v>
      </c>
      <c r="M1048" t="s">
        <v>33</v>
      </c>
      <c r="P1048" t="s">
        <v>34</v>
      </c>
      <c r="Q1048" t="s">
        <v>35</v>
      </c>
      <c r="S1048" t="s">
        <v>52</v>
      </c>
      <c r="T1048" t="s">
        <v>1000</v>
      </c>
      <c r="U1048" t="s">
        <v>1001</v>
      </c>
      <c r="V1048" t="s">
        <v>39</v>
      </c>
      <c r="W1048" s="1">
        <v>0</v>
      </c>
    </row>
    <row r="1049" spans="1:23" x14ac:dyDescent="0.2">
      <c r="A1049" t="s">
        <v>23</v>
      </c>
      <c r="B1049" t="s">
        <v>24</v>
      </c>
      <c r="C1049" t="s">
        <v>978</v>
      </c>
      <c r="D1049" t="s">
        <v>996</v>
      </c>
      <c r="E1049" t="s">
        <v>997</v>
      </c>
      <c r="F1049" t="s">
        <v>998</v>
      </c>
      <c r="G1049" t="s">
        <v>29</v>
      </c>
      <c r="H1049" t="s">
        <v>30</v>
      </c>
      <c r="I1049" t="s">
        <v>30</v>
      </c>
      <c r="J1049" t="s">
        <v>999</v>
      </c>
      <c r="K1049" t="s">
        <v>181</v>
      </c>
      <c r="L1049" t="s">
        <v>32</v>
      </c>
      <c r="M1049" t="s">
        <v>33</v>
      </c>
      <c r="P1049" t="s">
        <v>34</v>
      </c>
      <c r="Q1049" t="s">
        <v>35</v>
      </c>
      <c r="S1049" t="s">
        <v>52</v>
      </c>
      <c r="T1049" t="s">
        <v>1000</v>
      </c>
      <c r="U1049" t="s">
        <v>1001</v>
      </c>
      <c r="V1049" t="s">
        <v>40</v>
      </c>
      <c r="W1049" s="1">
        <v>990000</v>
      </c>
    </row>
    <row r="1050" spans="1:23" x14ac:dyDescent="0.2">
      <c r="A1050" t="s">
        <v>23</v>
      </c>
      <c r="B1050" t="s">
        <v>24</v>
      </c>
      <c r="C1050" t="s">
        <v>978</v>
      </c>
      <c r="D1050" t="s">
        <v>996</v>
      </c>
      <c r="E1050" t="s">
        <v>997</v>
      </c>
      <c r="F1050" t="s">
        <v>998</v>
      </c>
      <c r="G1050" t="s">
        <v>49</v>
      </c>
      <c r="H1050" t="s">
        <v>30</v>
      </c>
      <c r="I1050" t="s">
        <v>30</v>
      </c>
      <c r="J1050" t="s">
        <v>57</v>
      </c>
      <c r="K1050" t="s">
        <v>32</v>
      </c>
      <c r="L1050" t="s">
        <v>32</v>
      </c>
      <c r="M1050" t="s">
        <v>33</v>
      </c>
      <c r="P1050" t="s">
        <v>34</v>
      </c>
      <c r="Q1050" t="s">
        <v>35</v>
      </c>
      <c r="S1050" t="s">
        <v>30</v>
      </c>
      <c r="T1050" t="s">
        <v>1002</v>
      </c>
      <c r="U1050" t="s">
        <v>1003</v>
      </c>
      <c r="V1050" t="s">
        <v>39</v>
      </c>
      <c r="W1050" s="1">
        <v>5</v>
      </c>
    </row>
    <row r="1051" spans="1:23" x14ac:dyDescent="0.2">
      <c r="A1051" t="s">
        <v>23</v>
      </c>
      <c r="B1051" t="s">
        <v>24</v>
      </c>
      <c r="C1051" t="s">
        <v>978</v>
      </c>
      <c r="D1051" t="s">
        <v>996</v>
      </c>
      <c r="E1051" t="s">
        <v>997</v>
      </c>
      <c r="F1051" t="s">
        <v>998</v>
      </c>
      <c r="G1051" t="s">
        <v>49</v>
      </c>
      <c r="H1051" t="s">
        <v>30</v>
      </c>
      <c r="I1051" t="s">
        <v>30</v>
      </c>
      <c r="J1051" t="s">
        <v>57</v>
      </c>
      <c r="K1051" t="s">
        <v>32</v>
      </c>
      <c r="L1051" t="s">
        <v>32</v>
      </c>
      <c r="M1051" t="s">
        <v>33</v>
      </c>
      <c r="P1051" t="s">
        <v>34</v>
      </c>
      <c r="Q1051" t="s">
        <v>35</v>
      </c>
      <c r="S1051" t="s">
        <v>30</v>
      </c>
      <c r="T1051" t="s">
        <v>1002</v>
      </c>
      <c r="U1051" t="s">
        <v>1003</v>
      </c>
      <c r="V1051" t="s">
        <v>40</v>
      </c>
      <c r="W1051" s="1">
        <v>7495000</v>
      </c>
    </row>
    <row r="1052" spans="1:23" x14ac:dyDescent="0.2">
      <c r="A1052" t="s">
        <v>23</v>
      </c>
      <c r="B1052" t="s">
        <v>24</v>
      </c>
      <c r="C1052" t="s">
        <v>978</v>
      </c>
      <c r="D1052" t="s">
        <v>996</v>
      </c>
      <c r="E1052" t="s">
        <v>997</v>
      </c>
      <c r="F1052" t="s">
        <v>998</v>
      </c>
      <c r="G1052" t="s">
        <v>89</v>
      </c>
      <c r="H1052" t="s">
        <v>30</v>
      </c>
      <c r="I1052" t="s">
        <v>30</v>
      </c>
      <c r="J1052" t="s">
        <v>41</v>
      </c>
      <c r="K1052" t="s">
        <v>32</v>
      </c>
      <c r="L1052" t="s">
        <v>32</v>
      </c>
      <c r="M1052" t="s">
        <v>33</v>
      </c>
      <c r="N1052" t="s">
        <v>33</v>
      </c>
      <c r="O1052" t="s">
        <v>33</v>
      </c>
      <c r="P1052" t="s">
        <v>34</v>
      </c>
      <c r="Q1052" t="s">
        <v>35</v>
      </c>
      <c r="S1052" t="s">
        <v>30</v>
      </c>
      <c r="T1052" t="s">
        <v>1004</v>
      </c>
      <c r="U1052" t="s">
        <v>1005</v>
      </c>
      <c r="V1052" t="s">
        <v>39</v>
      </c>
      <c r="W1052" s="1">
        <v>4</v>
      </c>
    </row>
    <row r="1053" spans="1:23" x14ac:dyDescent="0.2">
      <c r="A1053" t="s">
        <v>23</v>
      </c>
      <c r="B1053" t="s">
        <v>24</v>
      </c>
      <c r="C1053" t="s">
        <v>978</v>
      </c>
      <c r="D1053" t="s">
        <v>996</v>
      </c>
      <c r="E1053" t="s">
        <v>997</v>
      </c>
      <c r="F1053" t="s">
        <v>998</v>
      </c>
      <c r="G1053" t="s">
        <v>89</v>
      </c>
      <c r="H1053" t="s">
        <v>30</v>
      </c>
      <c r="I1053" t="s">
        <v>30</v>
      </c>
      <c r="J1053" t="s">
        <v>41</v>
      </c>
      <c r="K1053" t="s">
        <v>32</v>
      </c>
      <c r="L1053" t="s">
        <v>32</v>
      </c>
      <c r="M1053" t="s">
        <v>33</v>
      </c>
      <c r="N1053" t="s">
        <v>33</v>
      </c>
      <c r="O1053" t="s">
        <v>33</v>
      </c>
      <c r="P1053" t="s">
        <v>34</v>
      </c>
      <c r="Q1053" t="s">
        <v>35</v>
      </c>
      <c r="S1053" t="s">
        <v>30</v>
      </c>
      <c r="T1053" t="s">
        <v>1004</v>
      </c>
      <c r="U1053" t="s">
        <v>1005</v>
      </c>
      <c r="V1053" t="s">
        <v>40</v>
      </c>
      <c r="W1053" s="1">
        <v>5308400</v>
      </c>
    </row>
    <row r="1054" spans="1:23" x14ac:dyDescent="0.2">
      <c r="A1054" t="s">
        <v>23</v>
      </c>
      <c r="B1054" t="s">
        <v>24</v>
      </c>
      <c r="C1054" t="s">
        <v>978</v>
      </c>
      <c r="D1054" t="s">
        <v>996</v>
      </c>
      <c r="E1054" t="s">
        <v>997</v>
      </c>
      <c r="F1054" t="s">
        <v>998</v>
      </c>
      <c r="G1054" t="s">
        <v>89</v>
      </c>
      <c r="H1054" t="s">
        <v>30</v>
      </c>
      <c r="I1054" t="s">
        <v>30</v>
      </c>
      <c r="J1054" t="s">
        <v>41</v>
      </c>
      <c r="K1054" t="s">
        <v>32</v>
      </c>
      <c r="L1054" t="s">
        <v>32</v>
      </c>
      <c r="M1054" t="s">
        <v>176</v>
      </c>
      <c r="N1054" t="s">
        <v>195</v>
      </c>
      <c r="O1054" t="s">
        <v>195</v>
      </c>
      <c r="P1054" t="s">
        <v>34</v>
      </c>
      <c r="Q1054" t="s">
        <v>35</v>
      </c>
      <c r="S1054" t="s">
        <v>30</v>
      </c>
      <c r="T1054" t="s">
        <v>1004</v>
      </c>
      <c r="U1054" t="s">
        <v>1005</v>
      </c>
      <c r="V1054" t="s">
        <v>39</v>
      </c>
      <c r="W1054" s="1">
        <v>1</v>
      </c>
    </row>
    <row r="1055" spans="1:23" x14ac:dyDescent="0.2">
      <c r="A1055" t="s">
        <v>23</v>
      </c>
      <c r="B1055" t="s">
        <v>24</v>
      </c>
      <c r="C1055" t="s">
        <v>978</v>
      </c>
      <c r="D1055" t="s">
        <v>996</v>
      </c>
      <c r="E1055" t="s">
        <v>997</v>
      </c>
      <c r="F1055" t="s">
        <v>998</v>
      </c>
      <c r="G1055" t="s">
        <v>89</v>
      </c>
      <c r="H1055" t="s">
        <v>30</v>
      </c>
      <c r="I1055" t="s">
        <v>30</v>
      </c>
      <c r="J1055" t="s">
        <v>41</v>
      </c>
      <c r="K1055" t="s">
        <v>32</v>
      </c>
      <c r="L1055" t="s">
        <v>32</v>
      </c>
      <c r="M1055" t="s">
        <v>176</v>
      </c>
      <c r="N1055" t="s">
        <v>195</v>
      </c>
      <c r="O1055" t="s">
        <v>195</v>
      </c>
      <c r="P1055" t="s">
        <v>34</v>
      </c>
      <c r="Q1055" t="s">
        <v>35</v>
      </c>
      <c r="S1055" t="s">
        <v>30</v>
      </c>
      <c r="T1055" t="s">
        <v>1004</v>
      </c>
      <c r="U1055" t="s">
        <v>1005</v>
      </c>
      <c r="V1055" t="s">
        <v>40</v>
      </c>
      <c r="W1055" s="1">
        <v>1327100</v>
      </c>
    </row>
    <row r="1056" spans="1:23" x14ac:dyDescent="0.2">
      <c r="A1056" t="s">
        <v>23</v>
      </c>
      <c r="B1056" t="s">
        <v>24</v>
      </c>
      <c r="C1056" t="s">
        <v>978</v>
      </c>
      <c r="D1056" t="s">
        <v>1006</v>
      </c>
      <c r="E1056" t="s">
        <v>1007</v>
      </c>
      <c r="F1056" t="s">
        <v>1008</v>
      </c>
      <c r="G1056" t="s">
        <v>64</v>
      </c>
      <c r="H1056" t="s">
        <v>30</v>
      </c>
      <c r="I1056" t="s">
        <v>52</v>
      </c>
      <c r="J1056" t="s">
        <v>31</v>
      </c>
      <c r="K1056" t="s">
        <v>32</v>
      </c>
      <c r="L1056" t="s">
        <v>32</v>
      </c>
      <c r="M1056" t="s">
        <v>33</v>
      </c>
      <c r="N1056" t="s">
        <v>33</v>
      </c>
      <c r="O1056" t="s">
        <v>33</v>
      </c>
      <c r="P1056" t="s">
        <v>34</v>
      </c>
      <c r="Q1056" t="s">
        <v>35</v>
      </c>
      <c r="S1056" t="s">
        <v>30</v>
      </c>
      <c r="T1056" t="s">
        <v>1009</v>
      </c>
      <c r="U1056" t="s">
        <v>1010</v>
      </c>
      <c r="V1056" t="s">
        <v>39</v>
      </c>
      <c r="W1056" s="1">
        <v>3</v>
      </c>
    </row>
    <row r="1057" spans="1:23" x14ac:dyDescent="0.2">
      <c r="A1057" t="s">
        <v>23</v>
      </c>
      <c r="B1057" t="s">
        <v>24</v>
      </c>
      <c r="C1057" t="s">
        <v>978</v>
      </c>
      <c r="D1057" t="s">
        <v>1006</v>
      </c>
      <c r="E1057" t="s">
        <v>1007</v>
      </c>
      <c r="F1057" t="s">
        <v>1008</v>
      </c>
      <c r="G1057" t="s">
        <v>64</v>
      </c>
      <c r="H1057" t="s">
        <v>30</v>
      </c>
      <c r="I1057" t="s">
        <v>52</v>
      </c>
      <c r="J1057" t="s">
        <v>31</v>
      </c>
      <c r="K1057" t="s">
        <v>32</v>
      </c>
      <c r="L1057" t="s">
        <v>32</v>
      </c>
      <c r="M1057" t="s">
        <v>33</v>
      </c>
      <c r="N1057" t="s">
        <v>33</v>
      </c>
      <c r="O1057" t="s">
        <v>33</v>
      </c>
      <c r="P1057" t="s">
        <v>34</v>
      </c>
      <c r="Q1057" t="s">
        <v>35</v>
      </c>
      <c r="S1057" t="s">
        <v>30</v>
      </c>
      <c r="T1057" t="s">
        <v>1009</v>
      </c>
      <c r="U1057" t="s">
        <v>1010</v>
      </c>
      <c r="V1057" t="s">
        <v>40</v>
      </c>
      <c r="W1057" s="1">
        <v>2730300</v>
      </c>
    </row>
    <row r="1058" spans="1:23" x14ac:dyDescent="0.2">
      <c r="A1058" t="s">
        <v>23</v>
      </c>
      <c r="B1058" t="s">
        <v>24</v>
      </c>
      <c r="C1058" t="s">
        <v>978</v>
      </c>
      <c r="D1058" t="s">
        <v>1006</v>
      </c>
      <c r="E1058" t="s">
        <v>1007</v>
      </c>
      <c r="F1058" t="s">
        <v>1008</v>
      </c>
      <c r="G1058" t="s">
        <v>67</v>
      </c>
      <c r="H1058" t="s">
        <v>30</v>
      </c>
      <c r="I1058" t="s">
        <v>30</v>
      </c>
      <c r="J1058" t="s">
        <v>31</v>
      </c>
      <c r="K1058" t="s">
        <v>32</v>
      </c>
      <c r="L1058" t="s">
        <v>32</v>
      </c>
      <c r="M1058" t="s">
        <v>33</v>
      </c>
      <c r="N1058" t="s">
        <v>33</v>
      </c>
      <c r="O1058" t="s">
        <v>33</v>
      </c>
      <c r="P1058" t="s">
        <v>34</v>
      </c>
      <c r="Q1058" t="s">
        <v>35</v>
      </c>
      <c r="S1058" t="s">
        <v>30</v>
      </c>
      <c r="T1058" t="s">
        <v>1011</v>
      </c>
      <c r="U1058" t="s">
        <v>1012</v>
      </c>
      <c r="V1058" t="s">
        <v>39</v>
      </c>
      <c r="W1058" s="1">
        <v>4</v>
      </c>
    </row>
    <row r="1059" spans="1:23" x14ac:dyDescent="0.2">
      <c r="A1059" t="s">
        <v>23</v>
      </c>
      <c r="B1059" t="s">
        <v>24</v>
      </c>
      <c r="C1059" t="s">
        <v>978</v>
      </c>
      <c r="D1059" t="s">
        <v>1006</v>
      </c>
      <c r="E1059" t="s">
        <v>1007</v>
      </c>
      <c r="F1059" t="s">
        <v>1008</v>
      </c>
      <c r="G1059" t="s">
        <v>67</v>
      </c>
      <c r="H1059" t="s">
        <v>30</v>
      </c>
      <c r="I1059" t="s">
        <v>30</v>
      </c>
      <c r="J1059" t="s">
        <v>31</v>
      </c>
      <c r="K1059" t="s">
        <v>32</v>
      </c>
      <c r="L1059" t="s">
        <v>32</v>
      </c>
      <c r="M1059" t="s">
        <v>33</v>
      </c>
      <c r="N1059" t="s">
        <v>33</v>
      </c>
      <c r="O1059" t="s">
        <v>33</v>
      </c>
      <c r="P1059" t="s">
        <v>34</v>
      </c>
      <c r="Q1059" t="s">
        <v>35</v>
      </c>
      <c r="S1059" t="s">
        <v>30</v>
      </c>
      <c r="T1059" t="s">
        <v>1011</v>
      </c>
      <c r="U1059" t="s">
        <v>1012</v>
      </c>
      <c r="V1059" t="s">
        <v>40</v>
      </c>
      <c r="W1059" s="1">
        <v>4898400</v>
      </c>
    </row>
    <row r="1060" spans="1:23" x14ac:dyDescent="0.2">
      <c r="A1060" t="s">
        <v>23</v>
      </c>
      <c r="B1060" t="s">
        <v>24</v>
      </c>
      <c r="C1060" t="s">
        <v>978</v>
      </c>
      <c r="D1060" t="s">
        <v>1006</v>
      </c>
      <c r="E1060" t="s">
        <v>1007</v>
      </c>
      <c r="F1060" t="s">
        <v>1008</v>
      </c>
      <c r="G1060" t="s">
        <v>106</v>
      </c>
      <c r="H1060" t="s">
        <v>30</v>
      </c>
      <c r="I1060" t="s">
        <v>30</v>
      </c>
      <c r="J1060" t="s">
        <v>41</v>
      </c>
      <c r="K1060" t="s">
        <v>32</v>
      </c>
      <c r="L1060" t="s">
        <v>32</v>
      </c>
      <c r="M1060" t="s">
        <v>33</v>
      </c>
      <c r="P1060" t="s">
        <v>34</v>
      </c>
      <c r="Q1060" t="s">
        <v>35</v>
      </c>
      <c r="S1060" t="s">
        <v>30</v>
      </c>
      <c r="T1060" t="s">
        <v>1013</v>
      </c>
      <c r="U1060" t="s">
        <v>1014</v>
      </c>
      <c r="V1060" t="s">
        <v>39</v>
      </c>
      <c r="W1060" s="1">
        <v>7</v>
      </c>
    </row>
    <row r="1061" spans="1:23" x14ac:dyDescent="0.2">
      <c r="A1061" t="s">
        <v>23</v>
      </c>
      <c r="B1061" t="s">
        <v>24</v>
      </c>
      <c r="C1061" t="s">
        <v>978</v>
      </c>
      <c r="D1061" t="s">
        <v>1006</v>
      </c>
      <c r="E1061" t="s">
        <v>1007</v>
      </c>
      <c r="F1061" t="s">
        <v>1008</v>
      </c>
      <c r="G1061" t="s">
        <v>106</v>
      </c>
      <c r="H1061" t="s">
        <v>30</v>
      </c>
      <c r="I1061" t="s">
        <v>30</v>
      </c>
      <c r="J1061" t="s">
        <v>41</v>
      </c>
      <c r="K1061" t="s">
        <v>32</v>
      </c>
      <c r="L1061" t="s">
        <v>32</v>
      </c>
      <c r="M1061" t="s">
        <v>33</v>
      </c>
      <c r="P1061" t="s">
        <v>34</v>
      </c>
      <c r="Q1061" t="s">
        <v>35</v>
      </c>
      <c r="S1061" t="s">
        <v>30</v>
      </c>
      <c r="T1061" t="s">
        <v>1013</v>
      </c>
      <c r="U1061" t="s">
        <v>1014</v>
      </c>
      <c r="V1061" t="s">
        <v>40</v>
      </c>
      <c r="W1061" s="1">
        <v>8757700</v>
      </c>
    </row>
    <row r="1062" spans="1:23" x14ac:dyDescent="0.2">
      <c r="A1062" t="s">
        <v>23</v>
      </c>
      <c r="B1062" t="s">
        <v>24</v>
      </c>
      <c r="C1062" t="s">
        <v>978</v>
      </c>
      <c r="D1062" t="s">
        <v>1006</v>
      </c>
      <c r="E1062" t="s">
        <v>1015</v>
      </c>
      <c r="F1062" t="s">
        <v>1016</v>
      </c>
      <c r="G1062" t="s">
        <v>29</v>
      </c>
      <c r="H1062" t="s">
        <v>30</v>
      </c>
      <c r="I1062" t="s">
        <v>30</v>
      </c>
      <c r="J1062" t="s">
        <v>128</v>
      </c>
      <c r="K1062" t="s">
        <v>181</v>
      </c>
      <c r="L1062" t="s">
        <v>32</v>
      </c>
      <c r="M1062" t="s">
        <v>33</v>
      </c>
      <c r="P1062" t="s">
        <v>34</v>
      </c>
      <c r="Q1062" t="s">
        <v>35</v>
      </c>
      <c r="S1062" t="s">
        <v>30</v>
      </c>
      <c r="T1062" t="s">
        <v>1017</v>
      </c>
      <c r="U1062" t="s">
        <v>1018</v>
      </c>
      <c r="V1062" t="s">
        <v>39</v>
      </c>
      <c r="W1062" s="1">
        <v>21</v>
      </c>
    </row>
    <row r="1063" spans="1:23" x14ac:dyDescent="0.2">
      <c r="A1063" t="s">
        <v>23</v>
      </c>
      <c r="B1063" t="s">
        <v>24</v>
      </c>
      <c r="C1063" t="s">
        <v>978</v>
      </c>
      <c r="D1063" t="s">
        <v>1006</v>
      </c>
      <c r="E1063" t="s">
        <v>1015</v>
      </c>
      <c r="F1063" t="s">
        <v>1016</v>
      </c>
      <c r="G1063" t="s">
        <v>29</v>
      </c>
      <c r="H1063" t="s">
        <v>30</v>
      </c>
      <c r="I1063" t="s">
        <v>30</v>
      </c>
      <c r="J1063" t="s">
        <v>128</v>
      </c>
      <c r="K1063" t="s">
        <v>181</v>
      </c>
      <c r="L1063" t="s">
        <v>32</v>
      </c>
      <c r="M1063" t="s">
        <v>33</v>
      </c>
      <c r="P1063" t="s">
        <v>34</v>
      </c>
      <c r="Q1063" t="s">
        <v>35</v>
      </c>
      <c r="S1063" t="s">
        <v>30</v>
      </c>
      <c r="T1063" t="s">
        <v>1017</v>
      </c>
      <c r="U1063" t="s">
        <v>1018</v>
      </c>
      <c r="V1063" t="s">
        <v>40</v>
      </c>
      <c r="W1063" s="1">
        <v>0</v>
      </c>
    </row>
    <row r="1064" spans="1:23" x14ac:dyDescent="0.2">
      <c r="A1064" t="s">
        <v>23</v>
      </c>
      <c r="B1064" t="s">
        <v>24</v>
      </c>
      <c r="C1064" t="s">
        <v>978</v>
      </c>
      <c r="D1064" t="s">
        <v>1006</v>
      </c>
      <c r="E1064" t="s">
        <v>1015</v>
      </c>
      <c r="F1064" t="s">
        <v>1016</v>
      </c>
      <c r="G1064" t="s">
        <v>29</v>
      </c>
      <c r="H1064" t="s">
        <v>30</v>
      </c>
      <c r="I1064" t="s">
        <v>30</v>
      </c>
      <c r="J1064" t="s">
        <v>128</v>
      </c>
      <c r="K1064" t="s">
        <v>181</v>
      </c>
      <c r="L1064" t="s">
        <v>32</v>
      </c>
      <c r="M1064" t="s">
        <v>33</v>
      </c>
      <c r="P1064" t="s">
        <v>34</v>
      </c>
      <c r="Q1064" t="s">
        <v>35</v>
      </c>
      <c r="S1064" t="s">
        <v>30</v>
      </c>
      <c r="T1064" t="s">
        <v>1019</v>
      </c>
      <c r="U1064" t="s">
        <v>1020</v>
      </c>
      <c r="V1064" t="s">
        <v>39</v>
      </c>
      <c r="W1064" s="1">
        <v>3</v>
      </c>
    </row>
    <row r="1065" spans="1:23" x14ac:dyDescent="0.2">
      <c r="A1065" t="s">
        <v>23</v>
      </c>
      <c r="B1065" t="s">
        <v>24</v>
      </c>
      <c r="C1065" t="s">
        <v>978</v>
      </c>
      <c r="D1065" t="s">
        <v>1006</v>
      </c>
      <c r="E1065" t="s">
        <v>1015</v>
      </c>
      <c r="F1065" t="s">
        <v>1016</v>
      </c>
      <c r="G1065" t="s">
        <v>29</v>
      </c>
      <c r="H1065" t="s">
        <v>30</v>
      </c>
      <c r="I1065" t="s">
        <v>30</v>
      </c>
      <c r="J1065" t="s">
        <v>128</v>
      </c>
      <c r="K1065" t="s">
        <v>181</v>
      </c>
      <c r="L1065" t="s">
        <v>32</v>
      </c>
      <c r="M1065" t="s">
        <v>33</v>
      </c>
      <c r="P1065" t="s">
        <v>34</v>
      </c>
      <c r="Q1065" t="s">
        <v>35</v>
      </c>
      <c r="S1065" t="s">
        <v>30</v>
      </c>
      <c r="T1065" t="s">
        <v>1019</v>
      </c>
      <c r="U1065" t="s">
        <v>1020</v>
      </c>
      <c r="V1065" t="s">
        <v>40</v>
      </c>
      <c r="W1065" s="1">
        <v>0</v>
      </c>
    </row>
    <row r="1066" spans="1:23" x14ac:dyDescent="0.2">
      <c r="A1066" t="s">
        <v>23</v>
      </c>
      <c r="B1066" t="s">
        <v>24</v>
      </c>
      <c r="C1066" t="s">
        <v>978</v>
      </c>
      <c r="D1066" t="s">
        <v>1006</v>
      </c>
      <c r="E1066" t="s">
        <v>1015</v>
      </c>
      <c r="F1066" t="s">
        <v>1016</v>
      </c>
      <c r="G1066" t="s">
        <v>29</v>
      </c>
      <c r="H1066" t="s">
        <v>30</v>
      </c>
      <c r="I1066" t="s">
        <v>30</v>
      </c>
      <c r="J1066" t="s">
        <v>128</v>
      </c>
      <c r="K1066" t="s">
        <v>181</v>
      </c>
      <c r="L1066" t="s">
        <v>32</v>
      </c>
      <c r="M1066" t="s">
        <v>33</v>
      </c>
      <c r="P1066" t="s">
        <v>34</v>
      </c>
      <c r="Q1066" t="s">
        <v>35</v>
      </c>
      <c r="S1066" t="s">
        <v>30</v>
      </c>
      <c r="T1066" t="s">
        <v>1021</v>
      </c>
      <c r="U1066" t="s">
        <v>1022</v>
      </c>
      <c r="V1066" t="s">
        <v>39</v>
      </c>
      <c r="W1066" s="1">
        <v>21</v>
      </c>
    </row>
    <row r="1067" spans="1:23" x14ac:dyDescent="0.2">
      <c r="A1067" t="s">
        <v>23</v>
      </c>
      <c r="B1067" t="s">
        <v>24</v>
      </c>
      <c r="C1067" t="s">
        <v>978</v>
      </c>
      <c r="D1067" t="s">
        <v>1006</v>
      </c>
      <c r="E1067" t="s">
        <v>1015</v>
      </c>
      <c r="F1067" t="s">
        <v>1016</v>
      </c>
      <c r="G1067" t="s">
        <v>29</v>
      </c>
      <c r="H1067" t="s">
        <v>30</v>
      </c>
      <c r="I1067" t="s">
        <v>30</v>
      </c>
      <c r="J1067" t="s">
        <v>128</v>
      </c>
      <c r="K1067" t="s">
        <v>181</v>
      </c>
      <c r="L1067" t="s">
        <v>32</v>
      </c>
      <c r="M1067" t="s">
        <v>33</v>
      </c>
      <c r="P1067" t="s">
        <v>34</v>
      </c>
      <c r="Q1067" t="s">
        <v>35</v>
      </c>
      <c r="S1067" t="s">
        <v>30</v>
      </c>
      <c r="T1067" t="s">
        <v>1021</v>
      </c>
      <c r="U1067" t="s">
        <v>1022</v>
      </c>
      <c r="V1067" t="s">
        <v>40</v>
      </c>
      <c r="W1067" s="1">
        <v>0</v>
      </c>
    </row>
    <row r="1068" spans="1:23" x14ac:dyDescent="0.2">
      <c r="A1068" t="s">
        <v>23</v>
      </c>
      <c r="B1068" t="s">
        <v>24</v>
      </c>
      <c r="C1068" t="s">
        <v>978</v>
      </c>
      <c r="D1068" t="s">
        <v>1006</v>
      </c>
      <c r="E1068" t="s">
        <v>1015</v>
      </c>
      <c r="F1068" t="s">
        <v>1016</v>
      </c>
      <c r="G1068" t="s">
        <v>29</v>
      </c>
      <c r="H1068" t="s">
        <v>30</v>
      </c>
      <c r="I1068" t="s">
        <v>30</v>
      </c>
      <c r="J1068" t="s">
        <v>128</v>
      </c>
      <c r="K1068" t="s">
        <v>181</v>
      </c>
      <c r="L1068" t="s">
        <v>32</v>
      </c>
      <c r="M1068" t="s">
        <v>33</v>
      </c>
      <c r="P1068" t="s">
        <v>34</v>
      </c>
      <c r="Q1068" t="s">
        <v>35</v>
      </c>
      <c r="S1068" t="s">
        <v>30</v>
      </c>
      <c r="T1068" t="s">
        <v>1023</v>
      </c>
      <c r="U1068" t="s">
        <v>1024</v>
      </c>
      <c r="V1068" t="s">
        <v>39</v>
      </c>
      <c r="W1068" s="1">
        <v>21</v>
      </c>
    </row>
    <row r="1069" spans="1:23" x14ac:dyDescent="0.2">
      <c r="A1069" t="s">
        <v>23</v>
      </c>
      <c r="B1069" t="s">
        <v>24</v>
      </c>
      <c r="C1069" t="s">
        <v>978</v>
      </c>
      <c r="D1069" t="s">
        <v>1006</v>
      </c>
      <c r="E1069" t="s">
        <v>1015</v>
      </c>
      <c r="F1069" t="s">
        <v>1016</v>
      </c>
      <c r="G1069" t="s">
        <v>29</v>
      </c>
      <c r="H1069" t="s">
        <v>30</v>
      </c>
      <c r="I1069" t="s">
        <v>30</v>
      </c>
      <c r="J1069" t="s">
        <v>128</v>
      </c>
      <c r="K1069" t="s">
        <v>181</v>
      </c>
      <c r="L1069" t="s">
        <v>32</v>
      </c>
      <c r="M1069" t="s">
        <v>33</v>
      </c>
      <c r="P1069" t="s">
        <v>34</v>
      </c>
      <c r="Q1069" t="s">
        <v>35</v>
      </c>
      <c r="S1069" t="s">
        <v>30</v>
      </c>
      <c r="T1069" t="s">
        <v>1023</v>
      </c>
      <c r="U1069" t="s">
        <v>1024</v>
      </c>
      <c r="V1069" t="s">
        <v>40</v>
      </c>
      <c r="W1069" s="1">
        <v>42000000</v>
      </c>
    </row>
    <row r="1070" spans="1:23" x14ac:dyDescent="0.2">
      <c r="A1070" t="s">
        <v>23</v>
      </c>
      <c r="B1070" t="s">
        <v>24</v>
      </c>
      <c r="C1070" t="s">
        <v>978</v>
      </c>
      <c r="D1070" t="s">
        <v>1006</v>
      </c>
      <c r="E1070" t="s">
        <v>1015</v>
      </c>
      <c r="F1070" t="s">
        <v>1016</v>
      </c>
      <c r="G1070" t="s">
        <v>61</v>
      </c>
      <c r="H1070" t="s">
        <v>52</v>
      </c>
      <c r="I1070" t="s">
        <v>52</v>
      </c>
      <c r="J1070" t="s">
        <v>128</v>
      </c>
      <c r="K1070" t="s">
        <v>135</v>
      </c>
      <c r="L1070" t="s">
        <v>32</v>
      </c>
      <c r="M1070" t="s">
        <v>33</v>
      </c>
      <c r="N1070" t="s">
        <v>33</v>
      </c>
      <c r="O1070" t="s">
        <v>33</v>
      </c>
      <c r="P1070" t="s">
        <v>34</v>
      </c>
      <c r="Q1070" t="s">
        <v>35</v>
      </c>
      <c r="R1070" t="s">
        <v>136</v>
      </c>
      <c r="S1070" t="s">
        <v>30</v>
      </c>
      <c r="T1070" t="s">
        <v>1025</v>
      </c>
      <c r="U1070" t="s">
        <v>1026</v>
      </c>
      <c r="V1070" t="s">
        <v>39</v>
      </c>
      <c r="W1070" s="1">
        <v>2</v>
      </c>
    </row>
    <row r="1071" spans="1:23" x14ac:dyDescent="0.2">
      <c r="A1071" t="s">
        <v>23</v>
      </c>
      <c r="B1071" t="s">
        <v>24</v>
      </c>
      <c r="C1071" t="s">
        <v>978</v>
      </c>
      <c r="D1071" t="s">
        <v>1006</v>
      </c>
      <c r="E1071" t="s">
        <v>1015</v>
      </c>
      <c r="F1071" t="s">
        <v>1016</v>
      </c>
      <c r="G1071" t="s">
        <v>61</v>
      </c>
      <c r="H1071" t="s">
        <v>52</v>
      </c>
      <c r="I1071" t="s">
        <v>52</v>
      </c>
      <c r="J1071" t="s">
        <v>128</v>
      </c>
      <c r="K1071" t="s">
        <v>135</v>
      </c>
      <c r="L1071" t="s">
        <v>32</v>
      </c>
      <c r="M1071" t="s">
        <v>33</v>
      </c>
      <c r="N1071" t="s">
        <v>33</v>
      </c>
      <c r="O1071" t="s">
        <v>33</v>
      </c>
      <c r="P1071" t="s">
        <v>34</v>
      </c>
      <c r="Q1071" t="s">
        <v>35</v>
      </c>
      <c r="R1071" t="s">
        <v>136</v>
      </c>
      <c r="S1071" t="s">
        <v>30</v>
      </c>
      <c r="T1071" t="s">
        <v>1025</v>
      </c>
      <c r="U1071" t="s">
        <v>1026</v>
      </c>
      <c r="V1071" t="s">
        <v>40</v>
      </c>
      <c r="W1071" s="1">
        <v>1113800</v>
      </c>
    </row>
    <row r="1072" spans="1:23" x14ac:dyDescent="0.2">
      <c r="A1072" t="s">
        <v>23</v>
      </c>
      <c r="B1072" t="s">
        <v>24</v>
      </c>
      <c r="C1072" t="s">
        <v>978</v>
      </c>
      <c r="D1072" t="s">
        <v>1006</v>
      </c>
      <c r="E1072" t="s">
        <v>1015</v>
      </c>
      <c r="F1072" t="s">
        <v>1016</v>
      </c>
      <c r="G1072" t="s">
        <v>61</v>
      </c>
      <c r="H1072" t="s">
        <v>52</v>
      </c>
      <c r="I1072" t="s">
        <v>52</v>
      </c>
      <c r="J1072" t="s">
        <v>128</v>
      </c>
      <c r="K1072" t="s">
        <v>135</v>
      </c>
      <c r="L1072" t="s">
        <v>32</v>
      </c>
      <c r="M1072" t="s">
        <v>176</v>
      </c>
      <c r="N1072" t="s">
        <v>176</v>
      </c>
      <c r="O1072" t="s">
        <v>176</v>
      </c>
      <c r="P1072" t="s">
        <v>34</v>
      </c>
      <c r="Q1072" t="s">
        <v>35</v>
      </c>
      <c r="R1072" t="s">
        <v>136</v>
      </c>
      <c r="S1072" t="s">
        <v>30</v>
      </c>
      <c r="T1072" t="s">
        <v>1025</v>
      </c>
      <c r="U1072" t="s">
        <v>1026</v>
      </c>
      <c r="V1072" t="s">
        <v>39</v>
      </c>
      <c r="W1072" s="1">
        <v>2</v>
      </c>
    </row>
    <row r="1073" spans="1:23" x14ac:dyDescent="0.2">
      <c r="A1073" t="s">
        <v>23</v>
      </c>
      <c r="B1073" t="s">
        <v>24</v>
      </c>
      <c r="C1073" t="s">
        <v>978</v>
      </c>
      <c r="D1073" t="s">
        <v>1006</v>
      </c>
      <c r="E1073" t="s">
        <v>1015</v>
      </c>
      <c r="F1073" t="s">
        <v>1016</v>
      </c>
      <c r="G1073" t="s">
        <v>61</v>
      </c>
      <c r="H1073" t="s">
        <v>52</v>
      </c>
      <c r="I1073" t="s">
        <v>52</v>
      </c>
      <c r="J1073" t="s">
        <v>128</v>
      </c>
      <c r="K1073" t="s">
        <v>135</v>
      </c>
      <c r="L1073" t="s">
        <v>32</v>
      </c>
      <c r="M1073" t="s">
        <v>176</v>
      </c>
      <c r="N1073" t="s">
        <v>176</v>
      </c>
      <c r="O1073" t="s">
        <v>176</v>
      </c>
      <c r="P1073" t="s">
        <v>34</v>
      </c>
      <c r="Q1073" t="s">
        <v>35</v>
      </c>
      <c r="R1073" t="s">
        <v>136</v>
      </c>
      <c r="S1073" t="s">
        <v>30</v>
      </c>
      <c r="T1073" t="s">
        <v>1025</v>
      </c>
      <c r="U1073" t="s">
        <v>1026</v>
      </c>
      <c r="V1073" t="s">
        <v>40</v>
      </c>
      <c r="W1073" s="1">
        <v>713800</v>
      </c>
    </row>
    <row r="1074" spans="1:23" x14ac:dyDescent="0.2">
      <c r="A1074" t="s">
        <v>23</v>
      </c>
      <c r="B1074" t="s">
        <v>24</v>
      </c>
      <c r="C1074" t="s">
        <v>978</v>
      </c>
      <c r="D1074" t="s">
        <v>1006</v>
      </c>
      <c r="E1074" t="s">
        <v>1015</v>
      </c>
      <c r="F1074" t="s">
        <v>1016</v>
      </c>
      <c r="G1074" t="s">
        <v>67</v>
      </c>
      <c r="H1074" t="s">
        <v>30</v>
      </c>
      <c r="I1074" t="s">
        <v>30</v>
      </c>
      <c r="J1074" t="s">
        <v>41</v>
      </c>
      <c r="K1074" t="s">
        <v>32</v>
      </c>
      <c r="L1074" t="s">
        <v>32</v>
      </c>
      <c r="M1074" t="s">
        <v>33</v>
      </c>
      <c r="N1074" t="s">
        <v>33</v>
      </c>
      <c r="O1074" t="s">
        <v>33</v>
      </c>
      <c r="P1074" t="s">
        <v>34</v>
      </c>
      <c r="Q1074" t="s">
        <v>35</v>
      </c>
      <c r="R1074" t="s">
        <v>294</v>
      </c>
      <c r="S1074" t="s">
        <v>30</v>
      </c>
      <c r="T1074" t="s">
        <v>1027</v>
      </c>
      <c r="U1074" t="s">
        <v>1028</v>
      </c>
      <c r="V1074" t="s">
        <v>39</v>
      </c>
      <c r="W1074" s="1">
        <v>5</v>
      </c>
    </row>
    <row r="1075" spans="1:23" x14ac:dyDescent="0.2">
      <c r="A1075" t="s">
        <v>23</v>
      </c>
      <c r="B1075" t="s">
        <v>24</v>
      </c>
      <c r="C1075" t="s">
        <v>978</v>
      </c>
      <c r="D1075" t="s">
        <v>1006</v>
      </c>
      <c r="E1075" t="s">
        <v>1015</v>
      </c>
      <c r="F1075" t="s">
        <v>1016</v>
      </c>
      <c r="G1075" t="s">
        <v>67</v>
      </c>
      <c r="H1075" t="s">
        <v>30</v>
      </c>
      <c r="I1075" t="s">
        <v>30</v>
      </c>
      <c r="J1075" t="s">
        <v>41</v>
      </c>
      <c r="K1075" t="s">
        <v>32</v>
      </c>
      <c r="L1075" t="s">
        <v>32</v>
      </c>
      <c r="M1075" t="s">
        <v>33</v>
      </c>
      <c r="N1075" t="s">
        <v>33</v>
      </c>
      <c r="O1075" t="s">
        <v>33</v>
      </c>
      <c r="P1075" t="s">
        <v>34</v>
      </c>
      <c r="Q1075" t="s">
        <v>35</v>
      </c>
      <c r="R1075" t="s">
        <v>294</v>
      </c>
      <c r="S1075" t="s">
        <v>30</v>
      </c>
      <c r="T1075" t="s">
        <v>1027</v>
      </c>
      <c r="U1075" t="s">
        <v>1028</v>
      </c>
      <c r="V1075" t="s">
        <v>40</v>
      </c>
      <c r="W1075" s="1">
        <v>9117000</v>
      </c>
    </row>
    <row r="1076" spans="1:23" x14ac:dyDescent="0.2">
      <c r="A1076" t="s">
        <v>23</v>
      </c>
      <c r="B1076" t="s">
        <v>24</v>
      </c>
      <c r="C1076" t="s">
        <v>978</v>
      </c>
      <c r="D1076" t="s">
        <v>1006</v>
      </c>
      <c r="E1076" t="s">
        <v>1015</v>
      </c>
      <c r="F1076" t="s">
        <v>1016</v>
      </c>
      <c r="G1076" t="s">
        <v>89</v>
      </c>
      <c r="H1076" t="s">
        <v>30</v>
      </c>
      <c r="I1076" t="s">
        <v>30</v>
      </c>
      <c r="J1076" t="s">
        <v>31</v>
      </c>
      <c r="K1076" t="s">
        <v>181</v>
      </c>
      <c r="L1076" t="s">
        <v>32</v>
      </c>
      <c r="M1076" t="s">
        <v>33</v>
      </c>
      <c r="P1076" t="s">
        <v>34</v>
      </c>
      <c r="Q1076" t="s">
        <v>35</v>
      </c>
      <c r="S1076" t="s">
        <v>30</v>
      </c>
      <c r="T1076" t="s">
        <v>1029</v>
      </c>
      <c r="U1076" t="s">
        <v>1030</v>
      </c>
      <c r="V1076" t="s">
        <v>39</v>
      </c>
      <c r="W1076" s="1">
        <v>19</v>
      </c>
    </row>
    <row r="1077" spans="1:23" x14ac:dyDescent="0.2">
      <c r="A1077" t="s">
        <v>23</v>
      </c>
      <c r="B1077" t="s">
        <v>24</v>
      </c>
      <c r="C1077" t="s">
        <v>978</v>
      </c>
      <c r="D1077" t="s">
        <v>1006</v>
      </c>
      <c r="E1077" t="s">
        <v>1015</v>
      </c>
      <c r="F1077" t="s">
        <v>1016</v>
      </c>
      <c r="G1077" t="s">
        <v>89</v>
      </c>
      <c r="H1077" t="s">
        <v>30</v>
      </c>
      <c r="I1077" t="s">
        <v>30</v>
      </c>
      <c r="J1077" t="s">
        <v>31</v>
      </c>
      <c r="K1077" t="s">
        <v>181</v>
      </c>
      <c r="L1077" t="s">
        <v>32</v>
      </c>
      <c r="M1077" t="s">
        <v>33</v>
      </c>
      <c r="P1077" t="s">
        <v>34</v>
      </c>
      <c r="Q1077" t="s">
        <v>35</v>
      </c>
      <c r="S1077" t="s">
        <v>30</v>
      </c>
      <c r="T1077" t="s">
        <v>1029</v>
      </c>
      <c r="U1077" t="s">
        <v>1030</v>
      </c>
      <c r="V1077" t="s">
        <v>40</v>
      </c>
      <c r="W1077" s="1">
        <v>38000000</v>
      </c>
    </row>
    <row r="1078" spans="1:23" x14ac:dyDescent="0.2">
      <c r="A1078" t="s">
        <v>23</v>
      </c>
      <c r="B1078" t="s">
        <v>24</v>
      </c>
      <c r="C1078" t="s">
        <v>978</v>
      </c>
      <c r="D1078" t="s">
        <v>1006</v>
      </c>
      <c r="E1078" t="s">
        <v>1015</v>
      </c>
      <c r="F1078" t="s">
        <v>1016</v>
      </c>
      <c r="G1078" t="s">
        <v>89</v>
      </c>
      <c r="H1078" t="s">
        <v>30</v>
      </c>
      <c r="I1078" t="s">
        <v>30</v>
      </c>
      <c r="J1078" t="s">
        <v>41</v>
      </c>
      <c r="K1078" t="s">
        <v>32</v>
      </c>
      <c r="L1078" t="s">
        <v>32</v>
      </c>
      <c r="M1078" t="s">
        <v>33</v>
      </c>
      <c r="P1078" t="s">
        <v>34</v>
      </c>
      <c r="Q1078" t="s">
        <v>35</v>
      </c>
      <c r="S1078" t="s">
        <v>52</v>
      </c>
      <c r="T1078" t="s">
        <v>1031</v>
      </c>
      <c r="U1078" t="s">
        <v>1032</v>
      </c>
      <c r="V1078" t="s">
        <v>39</v>
      </c>
      <c r="W1078" s="1">
        <v>0</v>
      </c>
    </row>
    <row r="1079" spans="1:23" x14ac:dyDescent="0.2">
      <c r="A1079" t="s">
        <v>23</v>
      </c>
      <c r="B1079" t="s">
        <v>24</v>
      </c>
      <c r="C1079" t="s">
        <v>978</v>
      </c>
      <c r="D1079" t="s">
        <v>1006</v>
      </c>
      <c r="E1079" t="s">
        <v>1015</v>
      </c>
      <c r="F1079" t="s">
        <v>1016</v>
      </c>
      <c r="G1079" t="s">
        <v>89</v>
      </c>
      <c r="H1079" t="s">
        <v>30</v>
      </c>
      <c r="I1079" t="s">
        <v>30</v>
      </c>
      <c r="J1079" t="s">
        <v>41</v>
      </c>
      <c r="K1079" t="s">
        <v>32</v>
      </c>
      <c r="L1079" t="s">
        <v>32</v>
      </c>
      <c r="M1079" t="s">
        <v>33</v>
      </c>
      <c r="P1079" t="s">
        <v>34</v>
      </c>
      <c r="Q1079" t="s">
        <v>35</v>
      </c>
      <c r="S1079" t="s">
        <v>52</v>
      </c>
      <c r="T1079" t="s">
        <v>1031</v>
      </c>
      <c r="U1079" t="s">
        <v>1032</v>
      </c>
      <c r="V1079" t="s">
        <v>40</v>
      </c>
      <c r="W1079" s="1">
        <v>7710000</v>
      </c>
    </row>
    <row r="1080" spans="1:23" x14ac:dyDescent="0.2">
      <c r="A1080" t="s">
        <v>23</v>
      </c>
      <c r="B1080" t="s">
        <v>24</v>
      </c>
      <c r="C1080" t="s">
        <v>978</v>
      </c>
      <c r="D1080" t="s">
        <v>1006</v>
      </c>
      <c r="E1080" t="s">
        <v>1015</v>
      </c>
      <c r="F1080" t="s">
        <v>1016</v>
      </c>
      <c r="G1080" t="s">
        <v>139</v>
      </c>
      <c r="H1080" t="s">
        <v>30</v>
      </c>
      <c r="I1080" t="s">
        <v>30</v>
      </c>
      <c r="J1080" t="s">
        <v>41</v>
      </c>
      <c r="K1080" t="s">
        <v>32</v>
      </c>
      <c r="L1080" t="s">
        <v>32</v>
      </c>
      <c r="M1080" t="s">
        <v>33</v>
      </c>
      <c r="N1080" t="s">
        <v>33</v>
      </c>
      <c r="O1080" t="s">
        <v>33</v>
      </c>
      <c r="P1080" t="s">
        <v>34</v>
      </c>
      <c r="Q1080" t="s">
        <v>35</v>
      </c>
      <c r="R1080" t="s">
        <v>58</v>
      </c>
      <c r="S1080" t="s">
        <v>30</v>
      </c>
      <c r="T1080" t="s">
        <v>1033</v>
      </c>
      <c r="U1080" t="s">
        <v>1034</v>
      </c>
      <c r="V1080" t="s">
        <v>39</v>
      </c>
      <c r="W1080" s="1">
        <v>1</v>
      </c>
    </row>
    <row r="1081" spans="1:23" x14ac:dyDescent="0.2">
      <c r="A1081" t="s">
        <v>23</v>
      </c>
      <c r="B1081" t="s">
        <v>24</v>
      </c>
      <c r="C1081" t="s">
        <v>978</v>
      </c>
      <c r="D1081" t="s">
        <v>1006</v>
      </c>
      <c r="E1081" t="s">
        <v>1015</v>
      </c>
      <c r="F1081" t="s">
        <v>1016</v>
      </c>
      <c r="G1081" t="s">
        <v>139</v>
      </c>
      <c r="H1081" t="s">
        <v>30</v>
      </c>
      <c r="I1081" t="s">
        <v>30</v>
      </c>
      <c r="J1081" t="s">
        <v>41</v>
      </c>
      <c r="K1081" t="s">
        <v>32</v>
      </c>
      <c r="L1081" t="s">
        <v>32</v>
      </c>
      <c r="M1081" t="s">
        <v>33</v>
      </c>
      <c r="N1081" t="s">
        <v>33</v>
      </c>
      <c r="O1081" t="s">
        <v>33</v>
      </c>
      <c r="P1081" t="s">
        <v>34</v>
      </c>
      <c r="Q1081" t="s">
        <v>35</v>
      </c>
      <c r="R1081" t="s">
        <v>58</v>
      </c>
      <c r="S1081" t="s">
        <v>30</v>
      </c>
      <c r="T1081" t="s">
        <v>1033</v>
      </c>
      <c r="U1081" t="s">
        <v>1034</v>
      </c>
      <c r="V1081" t="s">
        <v>40</v>
      </c>
      <c r="W1081" s="1">
        <v>1417900</v>
      </c>
    </row>
    <row r="1082" spans="1:23" x14ac:dyDescent="0.2">
      <c r="A1082" t="s">
        <v>23</v>
      </c>
      <c r="B1082" t="s">
        <v>24</v>
      </c>
      <c r="C1082" t="s">
        <v>978</v>
      </c>
      <c r="D1082" t="s">
        <v>1006</v>
      </c>
      <c r="E1082" t="s">
        <v>1035</v>
      </c>
      <c r="F1082" t="s">
        <v>1036</v>
      </c>
      <c r="G1082" t="s">
        <v>67</v>
      </c>
      <c r="H1082" t="s">
        <v>30</v>
      </c>
      <c r="I1082" t="s">
        <v>30</v>
      </c>
      <c r="J1082" t="s">
        <v>41</v>
      </c>
      <c r="K1082" t="s">
        <v>32</v>
      </c>
      <c r="L1082" t="s">
        <v>32</v>
      </c>
      <c r="M1082" t="s">
        <v>33</v>
      </c>
      <c r="N1082" t="s">
        <v>33</v>
      </c>
      <c r="O1082" t="s">
        <v>33</v>
      </c>
      <c r="P1082" t="s">
        <v>34</v>
      </c>
      <c r="Q1082" t="s">
        <v>35</v>
      </c>
      <c r="S1082" t="s">
        <v>30</v>
      </c>
      <c r="T1082" t="s">
        <v>1037</v>
      </c>
      <c r="U1082" t="s">
        <v>1038</v>
      </c>
      <c r="V1082" t="s">
        <v>39</v>
      </c>
      <c r="W1082" s="1">
        <v>3</v>
      </c>
    </row>
    <row r="1083" spans="1:23" x14ac:dyDescent="0.2">
      <c r="A1083" t="s">
        <v>23</v>
      </c>
      <c r="B1083" t="s">
        <v>24</v>
      </c>
      <c r="C1083" t="s">
        <v>978</v>
      </c>
      <c r="D1083" t="s">
        <v>1006</v>
      </c>
      <c r="E1083" t="s">
        <v>1035</v>
      </c>
      <c r="F1083" t="s">
        <v>1036</v>
      </c>
      <c r="G1083" t="s">
        <v>67</v>
      </c>
      <c r="H1083" t="s">
        <v>30</v>
      </c>
      <c r="I1083" t="s">
        <v>30</v>
      </c>
      <c r="J1083" t="s">
        <v>41</v>
      </c>
      <c r="K1083" t="s">
        <v>32</v>
      </c>
      <c r="L1083" t="s">
        <v>32</v>
      </c>
      <c r="M1083" t="s">
        <v>33</v>
      </c>
      <c r="N1083" t="s">
        <v>33</v>
      </c>
      <c r="O1083" t="s">
        <v>33</v>
      </c>
      <c r="P1083" t="s">
        <v>34</v>
      </c>
      <c r="Q1083" t="s">
        <v>35</v>
      </c>
      <c r="S1083" t="s">
        <v>30</v>
      </c>
      <c r="T1083" t="s">
        <v>1037</v>
      </c>
      <c r="U1083" t="s">
        <v>1038</v>
      </c>
      <c r="V1083" t="s">
        <v>40</v>
      </c>
      <c r="W1083" s="1">
        <v>2917800</v>
      </c>
    </row>
    <row r="1084" spans="1:23" x14ac:dyDescent="0.2">
      <c r="A1084" t="s">
        <v>23</v>
      </c>
      <c r="B1084" t="s">
        <v>24</v>
      </c>
      <c r="C1084" t="s">
        <v>978</v>
      </c>
      <c r="D1084" t="s">
        <v>1006</v>
      </c>
      <c r="E1084" t="s">
        <v>1035</v>
      </c>
      <c r="F1084" t="s">
        <v>1036</v>
      </c>
      <c r="G1084" t="s">
        <v>67</v>
      </c>
      <c r="H1084" t="s">
        <v>30</v>
      </c>
      <c r="I1084" t="s">
        <v>30</v>
      </c>
      <c r="J1084" t="s">
        <v>41</v>
      </c>
      <c r="K1084" t="s">
        <v>32</v>
      </c>
      <c r="L1084" t="s">
        <v>32</v>
      </c>
      <c r="M1084" t="s">
        <v>33</v>
      </c>
      <c r="N1084" t="s">
        <v>176</v>
      </c>
      <c r="O1084" t="s">
        <v>176</v>
      </c>
      <c r="P1084" t="s">
        <v>34</v>
      </c>
      <c r="Q1084" t="s">
        <v>35</v>
      </c>
      <c r="S1084" t="s">
        <v>30</v>
      </c>
      <c r="T1084" t="s">
        <v>1037</v>
      </c>
      <c r="U1084" t="s">
        <v>1038</v>
      </c>
      <c r="V1084" t="s">
        <v>39</v>
      </c>
      <c r="W1084" s="1">
        <v>1</v>
      </c>
    </row>
    <row r="1085" spans="1:23" x14ac:dyDescent="0.2">
      <c r="A1085" t="s">
        <v>23</v>
      </c>
      <c r="B1085" t="s">
        <v>24</v>
      </c>
      <c r="C1085" t="s">
        <v>978</v>
      </c>
      <c r="D1085" t="s">
        <v>1006</v>
      </c>
      <c r="E1085" t="s">
        <v>1035</v>
      </c>
      <c r="F1085" t="s">
        <v>1036</v>
      </c>
      <c r="G1085" t="s">
        <v>67</v>
      </c>
      <c r="H1085" t="s">
        <v>30</v>
      </c>
      <c r="I1085" t="s">
        <v>30</v>
      </c>
      <c r="J1085" t="s">
        <v>41</v>
      </c>
      <c r="K1085" t="s">
        <v>32</v>
      </c>
      <c r="L1085" t="s">
        <v>32</v>
      </c>
      <c r="M1085" t="s">
        <v>33</v>
      </c>
      <c r="N1085" t="s">
        <v>176</v>
      </c>
      <c r="O1085" t="s">
        <v>176</v>
      </c>
      <c r="P1085" t="s">
        <v>34</v>
      </c>
      <c r="Q1085" t="s">
        <v>35</v>
      </c>
      <c r="S1085" t="s">
        <v>30</v>
      </c>
      <c r="T1085" t="s">
        <v>1037</v>
      </c>
      <c r="U1085" t="s">
        <v>1038</v>
      </c>
      <c r="V1085" t="s">
        <v>40</v>
      </c>
      <c r="W1085" s="1">
        <v>972600</v>
      </c>
    </row>
    <row r="1086" spans="1:23" x14ac:dyDescent="0.2">
      <c r="A1086" t="s">
        <v>23</v>
      </c>
      <c r="B1086" t="s">
        <v>24</v>
      </c>
      <c r="C1086" t="s">
        <v>978</v>
      </c>
      <c r="D1086" t="s">
        <v>1006</v>
      </c>
      <c r="E1086" t="s">
        <v>1035</v>
      </c>
      <c r="F1086" t="s">
        <v>1036</v>
      </c>
      <c r="G1086" t="s">
        <v>127</v>
      </c>
      <c r="H1086" t="s">
        <v>52</v>
      </c>
      <c r="I1086" t="s">
        <v>30</v>
      </c>
      <c r="J1086" t="s">
        <v>41</v>
      </c>
      <c r="K1086" t="s">
        <v>32</v>
      </c>
      <c r="L1086" t="s">
        <v>32</v>
      </c>
      <c r="M1086" t="s">
        <v>33</v>
      </c>
      <c r="N1086" t="s">
        <v>33</v>
      </c>
      <c r="O1086" t="s">
        <v>33</v>
      </c>
      <c r="P1086" t="s">
        <v>34</v>
      </c>
      <c r="Q1086" t="s">
        <v>35</v>
      </c>
      <c r="S1086" t="s">
        <v>30</v>
      </c>
      <c r="T1086" t="s">
        <v>1039</v>
      </c>
      <c r="U1086" t="s">
        <v>1040</v>
      </c>
      <c r="V1086" t="s">
        <v>39</v>
      </c>
      <c r="W1086" s="1">
        <v>6</v>
      </c>
    </row>
    <row r="1087" spans="1:23" x14ac:dyDescent="0.2">
      <c r="A1087" t="s">
        <v>23</v>
      </c>
      <c r="B1087" t="s">
        <v>24</v>
      </c>
      <c r="C1087" t="s">
        <v>978</v>
      </c>
      <c r="D1087" t="s">
        <v>1006</v>
      </c>
      <c r="E1087" t="s">
        <v>1035</v>
      </c>
      <c r="F1087" t="s">
        <v>1036</v>
      </c>
      <c r="G1087" t="s">
        <v>127</v>
      </c>
      <c r="H1087" t="s">
        <v>52</v>
      </c>
      <c r="I1087" t="s">
        <v>30</v>
      </c>
      <c r="J1087" t="s">
        <v>41</v>
      </c>
      <c r="K1087" t="s">
        <v>32</v>
      </c>
      <c r="L1087" t="s">
        <v>32</v>
      </c>
      <c r="M1087" t="s">
        <v>33</v>
      </c>
      <c r="N1087" t="s">
        <v>33</v>
      </c>
      <c r="O1087" t="s">
        <v>33</v>
      </c>
      <c r="P1087" t="s">
        <v>34</v>
      </c>
      <c r="Q1087" t="s">
        <v>35</v>
      </c>
      <c r="S1087" t="s">
        <v>30</v>
      </c>
      <c r="T1087" t="s">
        <v>1039</v>
      </c>
      <c r="U1087" t="s">
        <v>1040</v>
      </c>
      <c r="V1087" t="s">
        <v>40</v>
      </c>
      <c r="W1087" s="1">
        <v>6630000</v>
      </c>
    </row>
    <row r="1088" spans="1:23" x14ac:dyDescent="0.2">
      <c r="A1088" t="s">
        <v>23</v>
      </c>
      <c r="B1088" t="s">
        <v>24</v>
      </c>
      <c r="C1088" t="s">
        <v>978</v>
      </c>
      <c r="D1088" t="s">
        <v>1041</v>
      </c>
      <c r="E1088" t="s">
        <v>1042</v>
      </c>
      <c r="F1088" t="s">
        <v>1043</v>
      </c>
      <c r="G1088" t="s">
        <v>29</v>
      </c>
      <c r="H1088" t="s">
        <v>30</v>
      </c>
      <c r="I1088" t="s">
        <v>30</v>
      </c>
      <c r="J1088" t="s">
        <v>128</v>
      </c>
      <c r="K1088" t="s">
        <v>181</v>
      </c>
      <c r="L1088" t="s">
        <v>32</v>
      </c>
      <c r="M1088" t="s">
        <v>33</v>
      </c>
      <c r="N1088" t="s">
        <v>33</v>
      </c>
      <c r="O1088" t="s">
        <v>33</v>
      </c>
      <c r="P1088" t="s">
        <v>34</v>
      </c>
      <c r="Q1088" t="s">
        <v>35</v>
      </c>
      <c r="S1088" t="s">
        <v>30</v>
      </c>
      <c r="T1088" t="s">
        <v>1044</v>
      </c>
      <c r="U1088" t="s">
        <v>1045</v>
      </c>
      <c r="V1088" t="s">
        <v>39</v>
      </c>
      <c r="W1088" s="1">
        <v>11</v>
      </c>
    </row>
    <row r="1089" spans="1:23" x14ac:dyDescent="0.2">
      <c r="A1089" t="s">
        <v>23</v>
      </c>
      <c r="B1089" t="s">
        <v>24</v>
      </c>
      <c r="C1089" t="s">
        <v>978</v>
      </c>
      <c r="D1089" t="s">
        <v>1041</v>
      </c>
      <c r="E1089" t="s">
        <v>1042</v>
      </c>
      <c r="F1089" t="s">
        <v>1043</v>
      </c>
      <c r="G1089" t="s">
        <v>29</v>
      </c>
      <c r="H1089" t="s">
        <v>30</v>
      </c>
      <c r="I1089" t="s">
        <v>30</v>
      </c>
      <c r="J1089" t="s">
        <v>128</v>
      </c>
      <c r="K1089" t="s">
        <v>181</v>
      </c>
      <c r="L1089" t="s">
        <v>32</v>
      </c>
      <c r="M1089" t="s">
        <v>33</v>
      </c>
      <c r="N1089" t="s">
        <v>33</v>
      </c>
      <c r="O1089" t="s">
        <v>33</v>
      </c>
      <c r="P1089" t="s">
        <v>34</v>
      </c>
      <c r="Q1089" t="s">
        <v>35</v>
      </c>
      <c r="S1089" t="s">
        <v>30</v>
      </c>
      <c r="T1089" t="s">
        <v>1044</v>
      </c>
      <c r="U1089" t="s">
        <v>1045</v>
      </c>
      <c r="V1089" t="s">
        <v>40</v>
      </c>
      <c r="W1089" s="1">
        <v>0</v>
      </c>
    </row>
    <row r="1090" spans="1:23" x14ac:dyDescent="0.2">
      <c r="A1090" t="s">
        <v>23</v>
      </c>
      <c r="B1090" t="s">
        <v>24</v>
      </c>
      <c r="C1090" t="s">
        <v>978</v>
      </c>
      <c r="D1090" t="s">
        <v>1041</v>
      </c>
      <c r="E1090" t="s">
        <v>1042</v>
      </c>
      <c r="F1090" t="s">
        <v>1043</v>
      </c>
      <c r="G1090" t="s">
        <v>29</v>
      </c>
      <c r="H1090" t="s">
        <v>30</v>
      </c>
      <c r="I1090" t="s">
        <v>30</v>
      </c>
      <c r="J1090" t="s">
        <v>128</v>
      </c>
      <c r="K1090" t="s">
        <v>181</v>
      </c>
      <c r="L1090" t="s">
        <v>32</v>
      </c>
      <c r="M1090" t="s">
        <v>33</v>
      </c>
      <c r="N1090" t="s">
        <v>33</v>
      </c>
      <c r="O1090" t="s">
        <v>33</v>
      </c>
      <c r="P1090" t="s">
        <v>34</v>
      </c>
      <c r="Q1090" t="s">
        <v>35</v>
      </c>
      <c r="S1090" t="s">
        <v>30</v>
      </c>
      <c r="T1090" t="s">
        <v>1046</v>
      </c>
      <c r="U1090" t="s">
        <v>1047</v>
      </c>
      <c r="V1090" t="s">
        <v>39</v>
      </c>
      <c r="W1090" s="1">
        <v>1</v>
      </c>
    </row>
    <row r="1091" spans="1:23" x14ac:dyDescent="0.2">
      <c r="A1091" t="s">
        <v>23</v>
      </c>
      <c r="B1091" t="s">
        <v>24</v>
      </c>
      <c r="C1091" t="s">
        <v>978</v>
      </c>
      <c r="D1091" t="s">
        <v>1041</v>
      </c>
      <c r="E1091" t="s">
        <v>1042</v>
      </c>
      <c r="F1091" t="s">
        <v>1043</v>
      </c>
      <c r="G1091" t="s">
        <v>29</v>
      </c>
      <c r="H1091" t="s">
        <v>30</v>
      </c>
      <c r="I1091" t="s">
        <v>30</v>
      </c>
      <c r="J1091" t="s">
        <v>128</v>
      </c>
      <c r="K1091" t="s">
        <v>181</v>
      </c>
      <c r="L1091" t="s">
        <v>32</v>
      </c>
      <c r="M1091" t="s">
        <v>33</v>
      </c>
      <c r="N1091" t="s">
        <v>33</v>
      </c>
      <c r="O1091" t="s">
        <v>33</v>
      </c>
      <c r="P1091" t="s">
        <v>34</v>
      </c>
      <c r="Q1091" t="s">
        <v>35</v>
      </c>
      <c r="S1091" t="s">
        <v>30</v>
      </c>
      <c r="T1091" t="s">
        <v>1046</v>
      </c>
      <c r="U1091" t="s">
        <v>1047</v>
      </c>
      <c r="V1091" t="s">
        <v>40</v>
      </c>
      <c r="W1091" s="1">
        <v>1400000</v>
      </c>
    </row>
    <row r="1092" spans="1:23" x14ac:dyDescent="0.2">
      <c r="A1092" t="s">
        <v>23</v>
      </c>
      <c r="B1092" t="s">
        <v>24</v>
      </c>
      <c r="C1092" t="s">
        <v>978</v>
      </c>
      <c r="D1092" t="s">
        <v>1041</v>
      </c>
      <c r="E1092" t="s">
        <v>1042</v>
      </c>
      <c r="F1092" t="s">
        <v>1043</v>
      </c>
      <c r="G1092" t="s">
        <v>29</v>
      </c>
      <c r="H1092" t="s">
        <v>30</v>
      </c>
      <c r="I1092" t="s">
        <v>30</v>
      </c>
      <c r="J1092" t="s">
        <v>31</v>
      </c>
      <c r="K1092" t="s">
        <v>32</v>
      </c>
      <c r="L1092" t="s">
        <v>32</v>
      </c>
      <c r="M1092" t="s">
        <v>33</v>
      </c>
      <c r="N1092" t="s">
        <v>33</v>
      </c>
      <c r="O1092" t="s">
        <v>33</v>
      </c>
      <c r="P1092" t="s">
        <v>34</v>
      </c>
      <c r="Q1092" t="s">
        <v>35</v>
      </c>
      <c r="R1092" t="s">
        <v>173</v>
      </c>
      <c r="S1092" t="s">
        <v>30</v>
      </c>
      <c r="T1092" t="s">
        <v>1048</v>
      </c>
      <c r="U1092" t="s">
        <v>1049</v>
      </c>
      <c r="V1092" t="s">
        <v>39</v>
      </c>
      <c r="W1092" s="1">
        <v>5</v>
      </c>
    </row>
    <row r="1093" spans="1:23" x14ac:dyDescent="0.2">
      <c r="A1093" t="s">
        <v>23</v>
      </c>
      <c r="B1093" t="s">
        <v>24</v>
      </c>
      <c r="C1093" t="s">
        <v>978</v>
      </c>
      <c r="D1093" t="s">
        <v>1041</v>
      </c>
      <c r="E1093" t="s">
        <v>1042</v>
      </c>
      <c r="F1093" t="s">
        <v>1043</v>
      </c>
      <c r="G1093" t="s">
        <v>29</v>
      </c>
      <c r="H1093" t="s">
        <v>30</v>
      </c>
      <c r="I1093" t="s">
        <v>30</v>
      </c>
      <c r="J1093" t="s">
        <v>31</v>
      </c>
      <c r="K1093" t="s">
        <v>32</v>
      </c>
      <c r="L1093" t="s">
        <v>32</v>
      </c>
      <c r="M1093" t="s">
        <v>33</v>
      </c>
      <c r="N1093" t="s">
        <v>33</v>
      </c>
      <c r="O1093" t="s">
        <v>33</v>
      </c>
      <c r="P1093" t="s">
        <v>34</v>
      </c>
      <c r="Q1093" t="s">
        <v>35</v>
      </c>
      <c r="R1093" t="s">
        <v>173</v>
      </c>
      <c r="S1093" t="s">
        <v>30</v>
      </c>
      <c r="T1093" t="s">
        <v>1048</v>
      </c>
      <c r="U1093" t="s">
        <v>1049</v>
      </c>
      <c r="V1093" t="s">
        <v>40</v>
      </c>
      <c r="W1093" s="1">
        <v>6149500</v>
      </c>
    </row>
    <row r="1094" spans="1:23" x14ac:dyDescent="0.2">
      <c r="A1094" t="s">
        <v>23</v>
      </c>
      <c r="B1094" t="s">
        <v>24</v>
      </c>
      <c r="C1094" t="s">
        <v>978</v>
      </c>
      <c r="D1094" t="s">
        <v>1041</v>
      </c>
      <c r="E1094" t="s">
        <v>1042</v>
      </c>
      <c r="F1094" t="s">
        <v>1043</v>
      </c>
      <c r="G1094" t="s">
        <v>29</v>
      </c>
      <c r="H1094" t="s">
        <v>30</v>
      </c>
      <c r="I1094" t="s">
        <v>30</v>
      </c>
      <c r="J1094" t="s">
        <v>31</v>
      </c>
      <c r="K1094" t="s">
        <v>32</v>
      </c>
      <c r="L1094" t="s">
        <v>32</v>
      </c>
      <c r="M1094" t="s">
        <v>33</v>
      </c>
      <c r="P1094" t="s">
        <v>34</v>
      </c>
      <c r="Q1094" t="s">
        <v>35</v>
      </c>
      <c r="R1094" t="s">
        <v>173</v>
      </c>
      <c r="S1094" t="s">
        <v>30</v>
      </c>
      <c r="T1094" t="s">
        <v>1048</v>
      </c>
      <c r="U1094" t="s">
        <v>1049</v>
      </c>
      <c r="V1094" t="s">
        <v>39</v>
      </c>
      <c r="W1094" s="1">
        <v>1</v>
      </c>
    </row>
    <row r="1095" spans="1:23" x14ac:dyDescent="0.2">
      <c r="A1095" t="s">
        <v>23</v>
      </c>
      <c r="B1095" t="s">
        <v>24</v>
      </c>
      <c r="C1095" t="s">
        <v>978</v>
      </c>
      <c r="D1095" t="s">
        <v>1041</v>
      </c>
      <c r="E1095" t="s">
        <v>1042</v>
      </c>
      <c r="F1095" t="s">
        <v>1043</v>
      </c>
      <c r="G1095" t="s">
        <v>29</v>
      </c>
      <c r="H1095" t="s">
        <v>30</v>
      </c>
      <c r="I1095" t="s">
        <v>30</v>
      </c>
      <c r="J1095" t="s">
        <v>31</v>
      </c>
      <c r="K1095" t="s">
        <v>32</v>
      </c>
      <c r="L1095" t="s">
        <v>32</v>
      </c>
      <c r="M1095" t="s">
        <v>33</v>
      </c>
      <c r="P1095" t="s">
        <v>34</v>
      </c>
      <c r="Q1095" t="s">
        <v>35</v>
      </c>
      <c r="R1095" t="s">
        <v>173</v>
      </c>
      <c r="S1095" t="s">
        <v>30</v>
      </c>
      <c r="T1095" t="s">
        <v>1048</v>
      </c>
      <c r="U1095" t="s">
        <v>1049</v>
      </c>
      <c r="V1095" t="s">
        <v>40</v>
      </c>
      <c r="W1095" s="1">
        <v>1229900</v>
      </c>
    </row>
    <row r="1096" spans="1:23" x14ac:dyDescent="0.2">
      <c r="A1096" t="s">
        <v>23</v>
      </c>
      <c r="B1096" t="s">
        <v>24</v>
      </c>
      <c r="C1096" t="s">
        <v>978</v>
      </c>
      <c r="D1096" t="s">
        <v>1041</v>
      </c>
      <c r="E1096" t="s">
        <v>1042</v>
      </c>
      <c r="F1096" t="s">
        <v>1043</v>
      </c>
      <c r="G1096" t="s">
        <v>49</v>
      </c>
      <c r="H1096" t="s">
        <v>30</v>
      </c>
      <c r="I1096" t="s">
        <v>30</v>
      </c>
      <c r="J1096" t="s">
        <v>41</v>
      </c>
      <c r="K1096" t="s">
        <v>32</v>
      </c>
      <c r="L1096" t="s">
        <v>32</v>
      </c>
      <c r="M1096" t="s">
        <v>33</v>
      </c>
      <c r="N1096" t="s">
        <v>33</v>
      </c>
      <c r="O1096" t="s">
        <v>33</v>
      </c>
      <c r="P1096" t="s">
        <v>213</v>
      </c>
      <c r="Q1096" t="s">
        <v>214</v>
      </c>
      <c r="R1096" t="s">
        <v>54</v>
      </c>
      <c r="S1096" t="s">
        <v>30</v>
      </c>
      <c r="T1096" t="s">
        <v>1050</v>
      </c>
      <c r="U1096" t="s">
        <v>1051</v>
      </c>
      <c r="V1096" t="s">
        <v>39</v>
      </c>
      <c r="W1096" s="1">
        <v>1</v>
      </c>
    </row>
    <row r="1097" spans="1:23" x14ac:dyDescent="0.2">
      <c r="A1097" t="s">
        <v>23</v>
      </c>
      <c r="B1097" t="s">
        <v>24</v>
      </c>
      <c r="C1097" t="s">
        <v>978</v>
      </c>
      <c r="D1097" t="s">
        <v>1041</v>
      </c>
      <c r="E1097" t="s">
        <v>1042</v>
      </c>
      <c r="F1097" t="s">
        <v>1043</v>
      </c>
      <c r="G1097" t="s">
        <v>49</v>
      </c>
      <c r="H1097" t="s">
        <v>30</v>
      </c>
      <c r="I1097" t="s">
        <v>30</v>
      </c>
      <c r="J1097" t="s">
        <v>41</v>
      </c>
      <c r="K1097" t="s">
        <v>32</v>
      </c>
      <c r="L1097" t="s">
        <v>32</v>
      </c>
      <c r="M1097" t="s">
        <v>33</v>
      </c>
      <c r="N1097" t="s">
        <v>33</v>
      </c>
      <c r="O1097" t="s">
        <v>33</v>
      </c>
      <c r="P1097" t="s">
        <v>213</v>
      </c>
      <c r="Q1097" t="s">
        <v>214</v>
      </c>
      <c r="R1097" t="s">
        <v>54</v>
      </c>
      <c r="S1097" t="s">
        <v>30</v>
      </c>
      <c r="T1097" t="s">
        <v>1050</v>
      </c>
      <c r="U1097" t="s">
        <v>1051</v>
      </c>
      <c r="V1097" t="s">
        <v>40</v>
      </c>
      <c r="W1097" s="1">
        <v>2289300</v>
      </c>
    </row>
    <row r="1098" spans="1:23" x14ac:dyDescent="0.2">
      <c r="A1098" t="s">
        <v>23</v>
      </c>
      <c r="B1098" t="s">
        <v>24</v>
      </c>
      <c r="C1098" t="s">
        <v>978</v>
      </c>
      <c r="D1098" t="s">
        <v>1041</v>
      </c>
      <c r="E1098" t="s">
        <v>1042</v>
      </c>
      <c r="F1098" t="s">
        <v>1043</v>
      </c>
      <c r="G1098" t="s">
        <v>49</v>
      </c>
      <c r="H1098" t="s">
        <v>30</v>
      </c>
      <c r="I1098" t="s">
        <v>30</v>
      </c>
      <c r="J1098" t="s">
        <v>41</v>
      </c>
      <c r="K1098" t="s">
        <v>32</v>
      </c>
      <c r="L1098" t="s">
        <v>32</v>
      </c>
      <c r="M1098" t="s">
        <v>33</v>
      </c>
      <c r="N1098" t="s">
        <v>33</v>
      </c>
      <c r="O1098" t="s">
        <v>33</v>
      </c>
      <c r="P1098" t="s">
        <v>34</v>
      </c>
      <c r="Q1098" t="s">
        <v>35</v>
      </c>
      <c r="S1098" t="s">
        <v>30</v>
      </c>
      <c r="T1098" t="s">
        <v>1052</v>
      </c>
      <c r="U1098" t="s">
        <v>1053</v>
      </c>
      <c r="V1098" t="s">
        <v>39</v>
      </c>
      <c r="W1098" s="1">
        <v>2</v>
      </c>
    </row>
    <row r="1099" spans="1:23" x14ac:dyDescent="0.2">
      <c r="A1099" t="s">
        <v>23</v>
      </c>
      <c r="B1099" t="s">
        <v>24</v>
      </c>
      <c r="C1099" t="s">
        <v>978</v>
      </c>
      <c r="D1099" t="s">
        <v>1041</v>
      </c>
      <c r="E1099" t="s">
        <v>1042</v>
      </c>
      <c r="F1099" t="s">
        <v>1043</v>
      </c>
      <c r="G1099" t="s">
        <v>49</v>
      </c>
      <c r="H1099" t="s">
        <v>30</v>
      </c>
      <c r="I1099" t="s">
        <v>30</v>
      </c>
      <c r="J1099" t="s">
        <v>41</v>
      </c>
      <c r="K1099" t="s">
        <v>32</v>
      </c>
      <c r="L1099" t="s">
        <v>32</v>
      </c>
      <c r="M1099" t="s">
        <v>33</v>
      </c>
      <c r="N1099" t="s">
        <v>33</v>
      </c>
      <c r="O1099" t="s">
        <v>33</v>
      </c>
      <c r="P1099" t="s">
        <v>34</v>
      </c>
      <c r="Q1099" t="s">
        <v>35</v>
      </c>
      <c r="S1099" t="s">
        <v>30</v>
      </c>
      <c r="T1099" t="s">
        <v>1052</v>
      </c>
      <c r="U1099" t="s">
        <v>1053</v>
      </c>
      <c r="V1099" t="s">
        <v>40</v>
      </c>
      <c r="W1099" s="1">
        <v>2647800</v>
      </c>
    </row>
    <row r="1100" spans="1:23" x14ac:dyDescent="0.2">
      <c r="A1100" t="s">
        <v>23</v>
      </c>
      <c r="B1100" t="s">
        <v>24</v>
      </c>
      <c r="C1100" t="s">
        <v>978</v>
      </c>
      <c r="D1100" t="s">
        <v>1041</v>
      </c>
      <c r="E1100" t="s">
        <v>1042</v>
      </c>
      <c r="F1100" t="s">
        <v>1043</v>
      </c>
      <c r="G1100" t="s">
        <v>49</v>
      </c>
      <c r="H1100" t="s">
        <v>30</v>
      </c>
      <c r="I1100" t="s">
        <v>30</v>
      </c>
      <c r="J1100" t="s">
        <v>41</v>
      </c>
      <c r="K1100" t="s">
        <v>32</v>
      </c>
      <c r="L1100" t="s">
        <v>32</v>
      </c>
      <c r="M1100" t="s">
        <v>33</v>
      </c>
      <c r="N1100" t="s">
        <v>169</v>
      </c>
      <c r="O1100" t="s">
        <v>169</v>
      </c>
      <c r="P1100" t="s">
        <v>34</v>
      </c>
      <c r="Q1100" t="s">
        <v>35</v>
      </c>
      <c r="S1100" t="s">
        <v>30</v>
      </c>
      <c r="T1100" t="s">
        <v>1052</v>
      </c>
      <c r="U1100" t="s">
        <v>1053</v>
      </c>
      <c r="V1100" t="s">
        <v>39</v>
      </c>
      <c r="W1100" s="1">
        <v>1</v>
      </c>
    </row>
    <row r="1101" spans="1:23" x14ac:dyDescent="0.2">
      <c r="A1101" t="s">
        <v>23</v>
      </c>
      <c r="B1101" t="s">
        <v>24</v>
      </c>
      <c r="C1101" t="s">
        <v>978</v>
      </c>
      <c r="D1101" t="s">
        <v>1041</v>
      </c>
      <c r="E1101" t="s">
        <v>1042</v>
      </c>
      <c r="F1101" t="s">
        <v>1043</v>
      </c>
      <c r="G1101" t="s">
        <v>49</v>
      </c>
      <c r="H1101" t="s">
        <v>30</v>
      </c>
      <c r="I1101" t="s">
        <v>30</v>
      </c>
      <c r="J1101" t="s">
        <v>41</v>
      </c>
      <c r="K1101" t="s">
        <v>32</v>
      </c>
      <c r="L1101" t="s">
        <v>32</v>
      </c>
      <c r="M1101" t="s">
        <v>33</v>
      </c>
      <c r="N1101" t="s">
        <v>169</v>
      </c>
      <c r="O1101" t="s">
        <v>169</v>
      </c>
      <c r="P1101" t="s">
        <v>34</v>
      </c>
      <c r="Q1101" t="s">
        <v>35</v>
      </c>
      <c r="S1101" t="s">
        <v>30</v>
      </c>
      <c r="T1101" t="s">
        <v>1052</v>
      </c>
      <c r="U1101" t="s">
        <v>1053</v>
      </c>
      <c r="V1101" t="s">
        <v>40</v>
      </c>
      <c r="W1101" s="1">
        <v>1348900</v>
      </c>
    </row>
    <row r="1102" spans="1:23" x14ac:dyDescent="0.2">
      <c r="A1102" t="s">
        <v>23</v>
      </c>
      <c r="B1102" t="s">
        <v>24</v>
      </c>
      <c r="C1102" t="s">
        <v>978</v>
      </c>
      <c r="D1102" t="s">
        <v>1041</v>
      </c>
      <c r="E1102" t="s">
        <v>1042</v>
      </c>
      <c r="F1102" t="s">
        <v>1043</v>
      </c>
      <c r="G1102" t="s">
        <v>49</v>
      </c>
      <c r="H1102" t="s">
        <v>30</v>
      </c>
      <c r="I1102" t="s">
        <v>30</v>
      </c>
      <c r="J1102" t="s">
        <v>41</v>
      </c>
      <c r="K1102" t="s">
        <v>32</v>
      </c>
      <c r="L1102" t="s">
        <v>32</v>
      </c>
      <c r="M1102" t="s">
        <v>33</v>
      </c>
      <c r="P1102" t="s">
        <v>213</v>
      </c>
      <c r="Q1102" t="s">
        <v>214</v>
      </c>
      <c r="R1102" t="s">
        <v>54</v>
      </c>
      <c r="S1102" t="s">
        <v>30</v>
      </c>
      <c r="T1102" t="s">
        <v>1050</v>
      </c>
      <c r="U1102" t="s">
        <v>1051</v>
      </c>
      <c r="V1102" t="s">
        <v>39</v>
      </c>
      <c r="W1102" s="1">
        <v>4</v>
      </c>
    </row>
    <row r="1103" spans="1:23" x14ac:dyDescent="0.2">
      <c r="A1103" t="s">
        <v>23</v>
      </c>
      <c r="B1103" t="s">
        <v>24</v>
      </c>
      <c r="C1103" t="s">
        <v>978</v>
      </c>
      <c r="D1103" t="s">
        <v>1041</v>
      </c>
      <c r="E1103" t="s">
        <v>1042</v>
      </c>
      <c r="F1103" t="s">
        <v>1043</v>
      </c>
      <c r="G1103" t="s">
        <v>49</v>
      </c>
      <c r="H1103" t="s">
        <v>30</v>
      </c>
      <c r="I1103" t="s">
        <v>30</v>
      </c>
      <c r="J1103" t="s">
        <v>41</v>
      </c>
      <c r="K1103" t="s">
        <v>32</v>
      </c>
      <c r="L1103" t="s">
        <v>32</v>
      </c>
      <c r="M1103" t="s">
        <v>33</v>
      </c>
      <c r="P1103" t="s">
        <v>213</v>
      </c>
      <c r="Q1103" t="s">
        <v>214</v>
      </c>
      <c r="R1103" t="s">
        <v>54</v>
      </c>
      <c r="S1103" t="s">
        <v>30</v>
      </c>
      <c r="T1103" t="s">
        <v>1050</v>
      </c>
      <c r="U1103" t="s">
        <v>1051</v>
      </c>
      <c r="V1103" t="s">
        <v>40</v>
      </c>
      <c r="W1103" s="1">
        <v>9157200</v>
      </c>
    </row>
    <row r="1104" spans="1:23" x14ac:dyDescent="0.2">
      <c r="A1104" t="s">
        <v>23</v>
      </c>
      <c r="B1104" t="s">
        <v>24</v>
      </c>
      <c r="C1104" t="s">
        <v>978</v>
      </c>
      <c r="D1104" t="s">
        <v>1041</v>
      </c>
      <c r="E1104" t="s">
        <v>1042</v>
      </c>
      <c r="F1104" t="s">
        <v>1043</v>
      </c>
      <c r="G1104" t="s">
        <v>49</v>
      </c>
      <c r="H1104" t="s">
        <v>30</v>
      </c>
      <c r="I1104" t="s">
        <v>30</v>
      </c>
      <c r="J1104" t="s">
        <v>41</v>
      </c>
      <c r="K1104" t="s">
        <v>32</v>
      </c>
      <c r="L1104" t="s">
        <v>32</v>
      </c>
      <c r="M1104" t="s">
        <v>176</v>
      </c>
      <c r="N1104" t="s">
        <v>176</v>
      </c>
      <c r="O1104" t="s">
        <v>176</v>
      </c>
      <c r="P1104" t="s">
        <v>34</v>
      </c>
      <c r="Q1104" t="s">
        <v>35</v>
      </c>
      <c r="S1104" t="s">
        <v>30</v>
      </c>
      <c r="T1104" t="s">
        <v>1052</v>
      </c>
      <c r="U1104" t="s">
        <v>1053</v>
      </c>
      <c r="V1104" t="s">
        <v>39</v>
      </c>
      <c r="W1104" s="1">
        <v>1</v>
      </c>
    </row>
    <row r="1105" spans="1:23" x14ac:dyDescent="0.2">
      <c r="A1105" t="s">
        <v>23</v>
      </c>
      <c r="B1105" t="s">
        <v>24</v>
      </c>
      <c r="C1105" t="s">
        <v>978</v>
      </c>
      <c r="D1105" t="s">
        <v>1041</v>
      </c>
      <c r="E1105" t="s">
        <v>1042</v>
      </c>
      <c r="F1105" t="s">
        <v>1043</v>
      </c>
      <c r="G1105" t="s">
        <v>49</v>
      </c>
      <c r="H1105" t="s">
        <v>30</v>
      </c>
      <c r="I1105" t="s">
        <v>30</v>
      </c>
      <c r="J1105" t="s">
        <v>41</v>
      </c>
      <c r="K1105" t="s">
        <v>32</v>
      </c>
      <c r="L1105" t="s">
        <v>32</v>
      </c>
      <c r="M1105" t="s">
        <v>176</v>
      </c>
      <c r="N1105" t="s">
        <v>176</v>
      </c>
      <c r="O1105" t="s">
        <v>176</v>
      </c>
      <c r="P1105" t="s">
        <v>34</v>
      </c>
      <c r="Q1105" t="s">
        <v>35</v>
      </c>
      <c r="S1105" t="s">
        <v>30</v>
      </c>
      <c r="T1105" t="s">
        <v>1052</v>
      </c>
      <c r="U1105" t="s">
        <v>1053</v>
      </c>
      <c r="V1105" t="s">
        <v>40</v>
      </c>
      <c r="W1105" s="1">
        <v>1348900</v>
      </c>
    </row>
    <row r="1106" spans="1:23" x14ac:dyDescent="0.2">
      <c r="A1106" t="s">
        <v>23</v>
      </c>
      <c r="B1106" t="s">
        <v>24</v>
      </c>
      <c r="C1106" t="s">
        <v>978</v>
      </c>
      <c r="D1106" t="s">
        <v>1041</v>
      </c>
      <c r="E1106" t="s">
        <v>1042</v>
      </c>
      <c r="F1106" t="s">
        <v>1043</v>
      </c>
      <c r="G1106" t="s">
        <v>49</v>
      </c>
      <c r="H1106" t="s">
        <v>30</v>
      </c>
      <c r="I1106" t="s">
        <v>30</v>
      </c>
      <c r="J1106" t="s">
        <v>233</v>
      </c>
      <c r="K1106" t="s">
        <v>181</v>
      </c>
      <c r="L1106" t="s">
        <v>32</v>
      </c>
      <c r="M1106" t="s">
        <v>33</v>
      </c>
      <c r="N1106" t="s">
        <v>33</v>
      </c>
      <c r="O1106" t="s">
        <v>33</v>
      </c>
      <c r="P1106" t="s">
        <v>34</v>
      </c>
      <c r="Q1106" t="s">
        <v>35</v>
      </c>
      <c r="R1106" t="s">
        <v>693</v>
      </c>
      <c r="S1106" t="s">
        <v>30</v>
      </c>
      <c r="T1106" t="s">
        <v>1054</v>
      </c>
      <c r="U1106" t="s">
        <v>1055</v>
      </c>
      <c r="V1106" t="s">
        <v>39</v>
      </c>
      <c r="W1106" s="1">
        <v>7</v>
      </c>
    </row>
    <row r="1107" spans="1:23" x14ac:dyDescent="0.2">
      <c r="A1107" t="s">
        <v>23</v>
      </c>
      <c r="B1107" t="s">
        <v>24</v>
      </c>
      <c r="C1107" t="s">
        <v>978</v>
      </c>
      <c r="D1107" t="s">
        <v>1041</v>
      </c>
      <c r="E1107" t="s">
        <v>1042</v>
      </c>
      <c r="F1107" t="s">
        <v>1043</v>
      </c>
      <c r="G1107" t="s">
        <v>49</v>
      </c>
      <c r="H1107" t="s">
        <v>30</v>
      </c>
      <c r="I1107" t="s">
        <v>30</v>
      </c>
      <c r="J1107" t="s">
        <v>233</v>
      </c>
      <c r="K1107" t="s">
        <v>181</v>
      </c>
      <c r="L1107" t="s">
        <v>32</v>
      </c>
      <c r="M1107" t="s">
        <v>33</v>
      </c>
      <c r="N1107" t="s">
        <v>33</v>
      </c>
      <c r="O1107" t="s">
        <v>33</v>
      </c>
      <c r="P1107" t="s">
        <v>34</v>
      </c>
      <c r="Q1107" t="s">
        <v>35</v>
      </c>
      <c r="R1107" t="s">
        <v>693</v>
      </c>
      <c r="S1107" t="s">
        <v>30</v>
      </c>
      <c r="T1107" t="s">
        <v>1054</v>
      </c>
      <c r="U1107" t="s">
        <v>1055</v>
      </c>
      <c r="V1107" t="s">
        <v>40</v>
      </c>
      <c r="W1107" s="1">
        <v>0</v>
      </c>
    </row>
    <row r="1108" spans="1:23" x14ac:dyDescent="0.2">
      <c r="A1108" t="s">
        <v>23</v>
      </c>
      <c r="B1108" t="s">
        <v>24</v>
      </c>
      <c r="C1108" t="s">
        <v>978</v>
      </c>
      <c r="D1108" t="s">
        <v>1041</v>
      </c>
      <c r="E1108" t="s">
        <v>1042</v>
      </c>
      <c r="F1108" t="s">
        <v>1043</v>
      </c>
      <c r="G1108" t="s">
        <v>49</v>
      </c>
      <c r="H1108" t="s">
        <v>30</v>
      </c>
      <c r="I1108" t="s">
        <v>30</v>
      </c>
      <c r="J1108" t="s">
        <v>233</v>
      </c>
      <c r="K1108" t="s">
        <v>181</v>
      </c>
      <c r="L1108" t="s">
        <v>32</v>
      </c>
      <c r="M1108" t="s">
        <v>33</v>
      </c>
      <c r="P1108" t="s">
        <v>34</v>
      </c>
      <c r="Q1108" t="s">
        <v>35</v>
      </c>
      <c r="R1108" t="s">
        <v>693</v>
      </c>
      <c r="S1108" t="s">
        <v>52</v>
      </c>
      <c r="T1108" t="s">
        <v>1056</v>
      </c>
      <c r="U1108" t="s">
        <v>1057</v>
      </c>
      <c r="V1108" t="s">
        <v>39</v>
      </c>
      <c r="W1108" s="1">
        <v>0</v>
      </c>
    </row>
    <row r="1109" spans="1:23" x14ac:dyDescent="0.2">
      <c r="A1109" t="s">
        <v>23</v>
      </c>
      <c r="B1109" t="s">
        <v>24</v>
      </c>
      <c r="C1109" t="s">
        <v>978</v>
      </c>
      <c r="D1109" t="s">
        <v>1041</v>
      </c>
      <c r="E1109" t="s">
        <v>1042</v>
      </c>
      <c r="F1109" t="s">
        <v>1043</v>
      </c>
      <c r="G1109" t="s">
        <v>49</v>
      </c>
      <c r="H1109" t="s">
        <v>30</v>
      </c>
      <c r="I1109" t="s">
        <v>30</v>
      </c>
      <c r="J1109" t="s">
        <v>233</v>
      </c>
      <c r="K1109" t="s">
        <v>181</v>
      </c>
      <c r="L1109" t="s">
        <v>32</v>
      </c>
      <c r="M1109" t="s">
        <v>33</v>
      </c>
      <c r="P1109" t="s">
        <v>34</v>
      </c>
      <c r="Q1109" t="s">
        <v>35</v>
      </c>
      <c r="R1109" t="s">
        <v>693</v>
      </c>
      <c r="S1109" t="s">
        <v>52</v>
      </c>
      <c r="T1109" t="s">
        <v>1056</v>
      </c>
      <c r="U1109" t="s">
        <v>1057</v>
      </c>
      <c r="V1109" t="s">
        <v>40</v>
      </c>
      <c r="W1109" s="1">
        <v>0</v>
      </c>
    </row>
    <row r="1110" spans="1:23" x14ac:dyDescent="0.2">
      <c r="A1110" t="s">
        <v>23</v>
      </c>
      <c r="B1110" t="s">
        <v>24</v>
      </c>
      <c r="C1110" t="s">
        <v>978</v>
      </c>
      <c r="D1110" t="s">
        <v>1041</v>
      </c>
      <c r="E1110" t="s">
        <v>1042</v>
      </c>
      <c r="F1110" t="s">
        <v>1043</v>
      </c>
      <c r="G1110" t="s">
        <v>49</v>
      </c>
      <c r="H1110" t="s">
        <v>30</v>
      </c>
      <c r="I1110" t="s">
        <v>30</v>
      </c>
      <c r="J1110" t="s">
        <v>233</v>
      </c>
      <c r="K1110" t="s">
        <v>181</v>
      </c>
      <c r="L1110" t="s">
        <v>32</v>
      </c>
      <c r="M1110" t="s">
        <v>176</v>
      </c>
      <c r="N1110" t="s">
        <v>176</v>
      </c>
      <c r="O1110" t="s">
        <v>176</v>
      </c>
      <c r="P1110" t="s">
        <v>34</v>
      </c>
      <c r="Q1110" t="s">
        <v>35</v>
      </c>
      <c r="R1110" t="s">
        <v>693</v>
      </c>
      <c r="S1110" t="s">
        <v>30</v>
      </c>
      <c r="T1110" t="s">
        <v>1054</v>
      </c>
      <c r="U1110" t="s">
        <v>1055</v>
      </c>
      <c r="V1110" t="s">
        <v>39</v>
      </c>
      <c r="W1110" s="1">
        <v>1</v>
      </c>
    </row>
    <row r="1111" spans="1:23" x14ac:dyDescent="0.2">
      <c r="A1111" t="s">
        <v>23</v>
      </c>
      <c r="B1111" t="s">
        <v>24</v>
      </c>
      <c r="C1111" t="s">
        <v>978</v>
      </c>
      <c r="D1111" t="s">
        <v>1041</v>
      </c>
      <c r="E1111" t="s">
        <v>1042</v>
      </c>
      <c r="F1111" t="s">
        <v>1043</v>
      </c>
      <c r="G1111" t="s">
        <v>49</v>
      </c>
      <c r="H1111" t="s">
        <v>30</v>
      </c>
      <c r="I1111" t="s">
        <v>30</v>
      </c>
      <c r="J1111" t="s">
        <v>233</v>
      </c>
      <c r="K1111" t="s">
        <v>181</v>
      </c>
      <c r="L1111" t="s">
        <v>32</v>
      </c>
      <c r="M1111" t="s">
        <v>176</v>
      </c>
      <c r="N1111" t="s">
        <v>176</v>
      </c>
      <c r="O1111" t="s">
        <v>176</v>
      </c>
      <c r="P1111" t="s">
        <v>34</v>
      </c>
      <c r="Q1111" t="s">
        <v>35</v>
      </c>
      <c r="R1111" t="s">
        <v>693</v>
      </c>
      <c r="S1111" t="s">
        <v>30</v>
      </c>
      <c r="T1111" t="s">
        <v>1054</v>
      </c>
      <c r="U1111" t="s">
        <v>1055</v>
      </c>
      <c r="V1111" t="s">
        <v>40</v>
      </c>
      <c r="W1111" s="1">
        <v>0</v>
      </c>
    </row>
    <row r="1112" spans="1:23" x14ac:dyDescent="0.2">
      <c r="A1112" t="s">
        <v>23</v>
      </c>
      <c r="B1112" t="s">
        <v>24</v>
      </c>
      <c r="C1112" t="s">
        <v>978</v>
      </c>
      <c r="D1112" t="s">
        <v>1041</v>
      </c>
      <c r="E1112" t="s">
        <v>1042</v>
      </c>
      <c r="F1112" t="s">
        <v>1043</v>
      </c>
      <c r="G1112" t="s">
        <v>67</v>
      </c>
      <c r="H1112" t="s">
        <v>30</v>
      </c>
      <c r="I1112" t="s">
        <v>30</v>
      </c>
      <c r="J1112" t="s">
        <v>128</v>
      </c>
      <c r="K1112" t="s">
        <v>181</v>
      </c>
      <c r="L1112" t="s">
        <v>32</v>
      </c>
      <c r="M1112" t="s">
        <v>33</v>
      </c>
      <c r="N1112" t="s">
        <v>33</v>
      </c>
      <c r="O1112" t="s">
        <v>33</v>
      </c>
      <c r="P1112" t="s">
        <v>34</v>
      </c>
      <c r="Q1112" t="s">
        <v>35</v>
      </c>
      <c r="S1112" t="s">
        <v>30</v>
      </c>
      <c r="T1112" t="s">
        <v>1058</v>
      </c>
      <c r="U1112" t="s">
        <v>1059</v>
      </c>
      <c r="V1112" t="s">
        <v>39</v>
      </c>
      <c r="W1112" s="1">
        <v>1</v>
      </c>
    </row>
    <row r="1113" spans="1:23" x14ac:dyDescent="0.2">
      <c r="A1113" t="s">
        <v>23</v>
      </c>
      <c r="B1113" t="s">
        <v>24</v>
      </c>
      <c r="C1113" t="s">
        <v>978</v>
      </c>
      <c r="D1113" t="s">
        <v>1041</v>
      </c>
      <c r="E1113" t="s">
        <v>1042</v>
      </c>
      <c r="F1113" t="s">
        <v>1043</v>
      </c>
      <c r="G1113" t="s">
        <v>67</v>
      </c>
      <c r="H1113" t="s">
        <v>30</v>
      </c>
      <c r="I1113" t="s">
        <v>30</v>
      </c>
      <c r="J1113" t="s">
        <v>128</v>
      </c>
      <c r="K1113" t="s">
        <v>181</v>
      </c>
      <c r="L1113" t="s">
        <v>32</v>
      </c>
      <c r="M1113" t="s">
        <v>33</v>
      </c>
      <c r="N1113" t="s">
        <v>33</v>
      </c>
      <c r="O1113" t="s">
        <v>33</v>
      </c>
      <c r="P1113" t="s">
        <v>34</v>
      </c>
      <c r="Q1113" t="s">
        <v>35</v>
      </c>
      <c r="S1113" t="s">
        <v>30</v>
      </c>
      <c r="T1113" t="s">
        <v>1058</v>
      </c>
      <c r="U1113" t="s">
        <v>1059</v>
      </c>
      <c r="V1113" t="s">
        <v>40</v>
      </c>
      <c r="W1113" s="1">
        <v>1450000</v>
      </c>
    </row>
    <row r="1114" spans="1:23" x14ac:dyDescent="0.2">
      <c r="A1114" t="s">
        <v>23</v>
      </c>
      <c r="B1114" t="s">
        <v>24</v>
      </c>
      <c r="C1114" t="s">
        <v>978</v>
      </c>
      <c r="D1114" t="s">
        <v>1041</v>
      </c>
      <c r="E1114" t="s">
        <v>1042</v>
      </c>
      <c r="F1114" t="s">
        <v>1043</v>
      </c>
      <c r="G1114" t="s">
        <v>67</v>
      </c>
      <c r="H1114" t="s">
        <v>30</v>
      </c>
      <c r="I1114" t="s">
        <v>30</v>
      </c>
      <c r="J1114" t="s">
        <v>41</v>
      </c>
      <c r="K1114" t="s">
        <v>32</v>
      </c>
      <c r="L1114" t="s">
        <v>32</v>
      </c>
      <c r="M1114" t="s">
        <v>33</v>
      </c>
      <c r="N1114" t="s">
        <v>33</v>
      </c>
      <c r="O1114" t="s">
        <v>33</v>
      </c>
      <c r="P1114" t="s">
        <v>34</v>
      </c>
      <c r="Q1114" t="s">
        <v>35</v>
      </c>
      <c r="R1114" t="s">
        <v>73</v>
      </c>
      <c r="S1114" t="s">
        <v>30</v>
      </c>
      <c r="T1114" t="s">
        <v>1060</v>
      </c>
      <c r="U1114" t="s">
        <v>1061</v>
      </c>
      <c r="V1114" t="s">
        <v>39</v>
      </c>
      <c r="W1114" s="1">
        <v>2</v>
      </c>
    </row>
    <row r="1115" spans="1:23" x14ac:dyDescent="0.2">
      <c r="A1115" t="s">
        <v>23</v>
      </c>
      <c r="B1115" t="s">
        <v>24</v>
      </c>
      <c r="C1115" t="s">
        <v>978</v>
      </c>
      <c r="D1115" t="s">
        <v>1041</v>
      </c>
      <c r="E1115" t="s">
        <v>1042</v>
      </c>
      <c r="F1115" t="s">
        <v>1043</v>
      </c>
      <c r="G1115" t="s">
        <v>67</v>
      </c>
      <c r="H1115" t="s">
        <v>30</v>
      </c>
      <c r="I1115" t="s">
        <v>30</v>
      </c>
      <c r="J1115" t="s">
        <v>41</v>
      </c>
      <c r="K1115" t="s">
        <v>32</v>
      </c>
      <c r="L1115" t="s">
        <v>32</v>
      </c>
      <c r="M1115" t="s">
        <v>33</v>
      </c>
      <c r="N1115" t="s">
        <v>33</v>
      </c>
      <c r="O1115" t="s">
        <v>33</v>
      </c>
      <c r="P1115" t="s">
        <v>34</v>
      </c>
      <c r="Q1115" t="s">
        <v>35</v>
      </c>
      <c r="R1115" t="s">
        <v>73</v>
      </c>
      <c r="S1115" t="s">
        <v>30</v>
      </c>
      <c r="T1115" t="s">
        <v>1060</v>
      </c>
      <c r="U1115" t="s">
        <v>1061</v>
      </c>
      <c r="V1115" t="s">
        <v>40</v>
      </c>
      <c r="W1115" s="1">
        <v>3099800</v>
      </c>
    </row>
    <row r="1116" spans="1:23" x14ac:dyDescent="0.2">
      <c r="A1116" t="s">
        <v>23</v>
      </c>
      <c r="B1116" t="s">
        <v>24</v>
      </c>
      <c r="C1116" t="s">
        <v>978</v>
      </c>
      <c r="D1116" t="s">
        <v>1041</v>
      </c>
      <c r="E1116" t="s">
        <v>1042</v>
      </c>
      <c r="F1116" t="s">
        <v>1043</v>
      </c>
      <c r="G1116" t="s">
        <v>89</v>
      </c>
      <c r="H1116" t="s">
        <v>30</v>
      </c>
      <c r="I1116" t="s">
        <v>30</v>
      </c>
      <c r="J1116" t="s">
        <v>128</v>
      </c>
      <c r="K1116" t="s">
        <v>181</v>
      </c>
      <c r="L1116" t="s">
        <v>32</v>
      </c>
      <c r="M1116" t="s">
        <v>33</v>
      </c>
      <c r="N1116" t="s">
        <v>33</v>
      </c>
      <c r="O1116" t="s">
        <v>33</v>
      </c>
      <c r="P1116" t="s">
        <v>34</v>
      </c>
      <c r="Q1116" t="s">
        <v>35</v>
      </c>
      <c r="S1116" t="s">
        <v>30</v>
      </c>
      <c r="T1116" t="s">
        <v>1062</v>
      </c>
      <c r="U1116" t="s">
        <v>1063</v>
      </c>
      <c r="V1116" t="s">
        <v>39</v>
      </c>
      <c r="W1116" s="1">
        <v>8</v>
      </c>
    </row>
    <row r="1117" spans="1:23" x14ac:dyDescent="0.2">
      <c r="A1117" t="s">
        <v>23</v>
      </c>
      <c r="B1117" t="s">
        <v>24</v>
      </c>
      <c r="C1117" t="s">
        <v>978</v>
      </c>
      <c r="D1117" t="s">
        <v>1041</v>
      </c>
      <c r="E1117" t="s">
        <v>1042</v>
      </c>
      <c r="F1117" t="s">
        <v>1043</v>
      </c>
      <c r="G1117" t="s">
        <v>89</v>
      </c>
      <c r="H1117" t="s">
        <v>30</v>
      </c>
      <c r="I1117" t="s">
        <v>30</v>
      </c>
      <c r="J1117" t="s">
        <v>128</v>
      </c>
      <c r="K1117" t="s">
        <v>181</v>
      </c>
      <c r="L1117" t="s">
        <v>32</v>
      </c>
      <c r="M1117" t="s">
        <v>33</v>
      </c>
      <c r="N1117" t="s">
        <v>33</v>
      </c>
      <c r="O1117" t="s">
        <v>33</v>
      </c>
      <c r="P1117" t="s">
        <v>34</v>
      </c>
      <c r="Q1117" t="s">
        <v>35</v>
      </c>
      <c r="S1117" t="s">
        <v>30</v>
      </c>
      <c r="T1117" t="s">
        <v>1062</v>
      </c>
      <c r="U1117" t="s">
        <v>1063</v>
      </c>
      <c r="V1117" t="s">
        <v>40</v>
      </c>
      <c r="W1117" s="1">
        <v>0</v>
      </c>
    </row>
    <row r="1118" spans="1:23" x14ac:dyDescent="0.2">
      <c r="A1118" t="s">
        <v>23</v>
      </c>
      <c r="B1118" t="s">
        <v>24</v>
      </c>
      <c r="C1118" t="s">
        <v>978</v>
      </c>
      <c r="D1118" t="s">
        <v>1041</v>
      </c>
      <c r="E1118" t="s">
        <v>1042</v>
      </c>
      <c r="F1118" t="s">
        <v>1043</v>
      </c>
      <c r="G1118" t="s">
        <v>106</v>
      </c>
      <c r="H1118" t="s">
        <v>30</v>
      </c>
      <c r="I1118" t="s">
        <v>30</v>
      </c>
      <c r="J1118" t="s">
        <v>128</v>
      </c>
      <c r="K1118" t="s">
        <v>181</v>
      </c>
      <c r="L1118" t="s">
        <v>32</v>
      </c>
      <c r="M1118" t="s">
        <v>33</v>
      </c>
      <c r="P1118" t="s">
        <v>34</v>
      </c>
      <c r="Q1118" t="s">
        <v>35</v>
      </c>
      <c r="S1118" t="s">
        <v>30</v>
      </c>
      <c r="T1118" t="s">
        <v>1064</v>
      </c>
      <c r="U1118" t="s">
        <v>1065</v>
      </c>
      <c r="V1118" t="s">
        <v>39</v>
      </c>
      <c r="W1118" s="1">
        <v>16</v>
      </c>
    </row>
    <row r="1119" spans="1:23" x14ac:dyDescent="0.2">
      <c r="A1119" t="s">
        <v>23</v>
      </c>
      <c r="B1119" t="s">
        <v>24</v>
      </c>
      <c r="C1119" t="s">
        <v>978</v>
      </c>
      <c r="D1119" t="s">
        <v>1041</v>
      </c>
      <c r="E1119" t="s">
        <v>1042</v>
      </c>
      <c r="F1119" t="s">
        <v>1043</v>
      </c>
      <c r="G1119" t="s">
        <v>106</v>
      </c>
      <c r="H1119" t="s">
        <v>30</v>
      </c>
      <c r="I1119" t="s">
        <v>30</v>
      </c>
      <c r="J1119" t="s">
        <v>128</v>
      </c>
      <c r="K1119" t="s">
        <v>181</v>
      </c>
      <c r="L1119" t="s">
        <v>32</v>
      </c>
      <c r="M1119" t="s">
        <v>33</v>
      </c>
      <c r="P1119" t="s">
        <v>34</v>
      </c>
      <c r="Q1119" t="s">
        <v>35</v>
      </c>
      <c r="S1119" t="s">
        <v>30</v>
      </c>
      <c r="T1119" t="s">
        <v>1064</v>
      </c>
      <c r="U1119" t="s">
        <v>1065</v>
      </c>
      <c r="V1119" t="s">
        <v>40</v>
      </c>
      <c r="W1119" s="1">
        <v>0</v>
      </c>
    </row>
    <row r="1120" spans="1:23" x14ac:dyDescent="0.2">
      <c r="A1120" t="s">
        <v>23</v>
      </c>
      <c r="B1120" t="s">
        <v>24</v>
      </c>
      <c r="C1120" t="s">
        <v>978</v>
      </c>
      <c r="D1120" t="s">
        <v>1041</v>
      </c>
      <c r="E1120" t="s">
        <v>1042</v>
      </c>
      <c r="F1120" t="s">
        <v>1043</v>
      </c>
      <c r="G1120" t="s">
        <v>106</v>
      </c>
      <c r="H1120" t="s">
        <v>30</v>
      </c>
      <c r="I1120" t="s">
        <v>30</v>
      </c>
      <c r="J1120" t="s">
        <v>31</v>
      </c>
      <c r="K1120" t="s">
        <v>181</v>
      </c>
      <c r="L1120" t="s">
        <v>32</v>
      </c>
      <c r="M1120" t="s">
        <v>33</v>
      </c>
      <c r="N1120" t="s">
        <v>33</v>
      </c>
      <c r="O1120" t="s">
        <v>33</v>
      </c>
      <c r="P1120" t="s">
        <v>34</v>
      </c>
      <c r="Q1120" t="s">
        <v>35</v>
      </c>
      <c r="S1120" t="s">
        <v>30</v>
      </c>
      <c r="T1120" t="s">
        <v>1066</v>
      </c>
      <c r="U1120" t="s">
        <v>1067</v>
      </c>
      <c r="V1120" t="s">
        <v>39</v>
      </c>
      <c r="W1120" s="1">
        <v>2</v>
      </c>
    </row>
    <row r="1121" spans="1:23" x14ac:dyDescent="0.2">
      <c r="A1121" t="s">
        <v>23</v>
      </c>
      <c r="B1121" t="s">
        <v>24</v>
      </c>
      <c r="C1121" t="s">
        <v>978</v>
      </c>
      <c r="D1121" t="s">
        <v>1041</v>
      </c>
      <c r="E1121" t="s">
        <v>1042</v>
      </c>
      <c r="F1121" t="s">
        <v>1043</v>
      </c>
      <c r="G1121" t="s">
        <v>106</v>
      </c>
      <c r="H1121" t="s">
        <v>30</v>
      </c>
      <c r="I1121" t="s">
        <v>30</v>
      </c>
      <c r="J1121" t="s">
        <v>31</v>
      </c>
      <c r="K1121" t="s">
        <v>181</v>
      </c>
      <c r="L1121" t="s">
        <v>32</v>
      </c>
      <c r="M1121" t="s">
        <v>33</v>
      </c>
      <c r="N1121" t="s">
        <v>33</v>
      </c>
      <c r="O1121" t="s">
        <v>33</v>
      </c>
      <c r="P1121" t="s">
        <v>34</v>
      </c>
      <c r="Q1121" t="s">
        <v>35</v>
      </c>
      <c r="S1121" t="s">
        <v>30</v>
      </c>
      <c r="T1121" t="s">
        <v>1066</v>
      </c>
      <c r="U1121" t="s">
        <v>1067</v>
      </c>
      <c r="V1121" t="s">
        <v>40</v>
      </c>
      <c r="W1121" s="1">
        <v>1360000</v>
      </c>
    </row>
    <row r="1122" spans="1:23" x14ac:dyDescent="0.2">
      <c r="A1122" t="s">
        <v>23</v>
      </c>
      <c r="B1122" t="s">
        <v>24</v>
      </c>
      <c r="C1122" t="s">
        <v>978</v>
      </c>
      <c r="D1122" t="s">
        <v>1041</v>
      </c>
      <c r="E1122" t="s">
        <v>1042</v>
      </c>
      <c r="F1122" t="s">
        <v>1043</v>
      </c>
      <c r="G1122" t="s">
        <v>106</v>
      </c>
      <c r="H1122" t="s">
        <v>30</v>
      </c>
      <c r="I1122" t="s">
        <v>30</v>
      </c>
      <c r="J1122" t="s">
        <v>41</v>
      </c>
      <c r="K1122" t="s">
        <v>32</v>
      </c>
      <c r="L1122" t="s">
        <v>32</v>
      </c>
      <c r="M1122" t="s">
        <v>33</v>
      </c>
      <c r="N1122" t="s">
        <v>33</v>
      </c>
      <c r="O1122" t="s">
        <v>33</v>
      </c>
      <c r="P1122" t="s">
        <v>34</v>
      </c>
      <c r="Q1122" t="s">
        <v>35</v>
      </c>
      <c r="R1122" t="s">
        <v>353</v>
      </c>
      <c r="S1122" t="s">
        <v>30</v>
      </c>
      <c r="T1122" t="s">
        <v>1068</v>
      </c>
      <c r="U1122" t="s">
        <v>1069</v>
      </c>
      <c r="V1122" t="s">
        <v>39</v>
      </c>
      <c r="W1122" s="1">
        <v>2</v>
      </c>
    </row>
    <row r="1123" spans="1:23" x14ac:dyDescent="0.2">
      <c r="A1123" t="s">
        <v>23</v>
      </c>
      <c r="B1123" t="s">
        <v>24</v>
      </c>
      <c r="C1123" t="s">
        <v>978</v>
      </c>
      <c r="D1123" t="s">
        <v>1041</v>
      </c>
      <c r="E1123" t="s">
        <v>1042</v>
      </c>
      <c r="F1123" t="s">
        <v>1043</v>
      </c>
      <c r="G1123" t="s">
        <v>106</v>
      </c>
      <c r="H1123" t="s">
        <v>30</v>
      </c>
      <c r="I1123" t="s">
        <v>30</v>
      </c>
      <c r="J1123" t="s">
        <v>41</v>
      </c>
      <c r="K1123" t="s">
        <v>32</v>
      </c>
      <c r="L1123" t="s">
        <v>32</v>
      </c>
      <c r="M1123" t="s">
        <v>33</v>
      </c>
      <c r="N1123" t="s">
        <v>33</v>
      </c>
      <c r="O1123" t="s">
        <v>33</v>
      </c>
      <c r="P1123" t="s">
        <v>34</v>
      </c>
      <c r="Q1123" t="s">
        <v>35</v>
      </c>
      <c r="R1123" t="s">
        <v>353</v>
      </c>
      <c r="S1123" t="s">
        <v>30</v>
      </c>
      <c r="T1123" t="s">
        <v>1068</v>
      </c>
      <c r="U1123" t="s">
        <v>1069</v>
      </c>
      <c r="V1123" t="s">
        <v>40</v>
      </c>
      <c r="W1123" s="1">
        <v>11053200</v>
      </c>
    </row>
    <row r="1124" spans="1:23" x14ac:dyDescent="0.2">
      <c r="A1124" t="s">
        <v>23</v>
      </c>
      <c r="B1124" t="s">
        <v>24</v>
      </c>
      <c r="C1124" t="s">
        <v>978</v>
      </c>
      <c r="D1124" t="s">
        <v>1041</v>
      </c>
      <c r="E1124" t="s">
        <v>1042</v>
      </c>
      <c r="F1124" t="s">
        <v>1043</v>
      </c>
      <c r="G1124" t="s">
        <v>106</v>
      </c>
      <c r="H1124" t="s">
        <v>30</v>
      </c>
      <c r="I1124" t="s">
        <v>30</v>
      </c>
      <c r="J1124" t="s">
        <v>41</v>
      </c>
      <c r="K1124" t="s">
        <v>181</v>
      </c>
      <c r="L1124" t="s">
        <v>332</v>
      </c>
      <c r="M1124" t="s">
        <v>33</v>
      </c>
      <c r="N1124" t="s">
        <v>33</v>
      </c>
      <c r="O1124" t="s">
        <v>33</v>
      </c>
      <c r="P1124" t="s">
        <v>34</v>
      </c>
      <c r="Q1124" t="s">
        <v>35</v>
      </c>
      <c r="S1124" t="s">
        <v>30</v>
      </c>
      <c r="T1124" t="s">
        <v>1070</v>
      </c>
      <c r="U1124" t="s">
        <v>1071</v>
      </c>
      <c r="V1124" t="s">
        <v>39</v>
      </c>
      <c r="W1124" s="1">
        <v>2</v>
      </c>
    </row>
    <row r="1125" spans="1:23" x14ac:dyDescent="0.2">
      <c r="A1125" t="s">
        <v>23</v>
      </c>
      <c r="B1125" t="s">
        <v>24</v>
      </c>
      <c r="C1125" t="s">
        <v>978</v>
      </c>
      <c r="D1125" t="s">
        <v>1041</v>
      </c>
      <c r="E1125" t="s">
        <v>1042</v>
      </c>
      <c r="F1125" t="s">
        <v>1043</v>
      </c>
      <c r="G1125" t="s">
        <v>106</v>
      </c>
      <c r="H1125" t="s">
        <v>30</v>
      </c>
      <c r="I1125" t="s">
        <v>30</v>
      </c>
      <c r="J1125" t="s">
        <v>41</v>
      </c>
      <c r="K1125" t="s">
        <v>181</v>
      </c>
      <c r="L1125" t="s">
        <v>332</v>
      </c>
      <c r="M1125" t="s">
        <v>33</v>
      </c>
      <c r="N1125" t="s">
        <v>33</v>
      </c>
      <c r="O1125" t="s">
        <v>33</v>
      </c>
      <c r="P1125" t="s">
        <v>34</v>
      </c>
      <c r="Q1125" t="s">
        <v>35</v>
      </c>
      <c r="S1125" t="s">
        <v>30</v>
      </c>
      <c r="T1125" t="s">
        <v>1070</v>
      </c>
      <c r="U1125" t="s">
        <v>1071</v>
      </c>
      <c r="V1125" t="s">
        <v>40</v>
      </c>
      <c r="W1125" s="1">
        <v>4000000</v>
      </c>
    </row>
    <row r="1126" spans="1:23" x14ac:dyDescent="0.2">
      <c r="A1126" t="s">
        <v>23</v>
      </c>
      <c r="B1126" t="s">
        <v>24</v>
      </c>
      <c r="C1126" t="s">
        <v>978</v>
      </c>
      <c r="D1126" t="s">
        <v>1041</v>
      </c>
      <c r="E1126" t="s">
        <v>1042</v>
      </c>
      <c r="F1126" t="s">
        <v>1043</v>
      </c>
      <c r="G1126" t="s">
        <v>106</v>
      </c>
      <c r="H1126" t="s">
        <v>30</v>
      </c>
      <c r="I1126" t="s">
        <v>30</v>
      </c>
      <c r="J1126" t="s">
        <v>233</v>
      </c>
      <c r="K1126" t="s">
        <v>181</v>
      </c>
      <c r="L1126" t="s">
        <v>32</v>
      </c>
      <c r="M1126" t="s">
        <v>33</v>
      </c>
      <c r="P1126" t="s">
        <v>34</v>
      </c>
      <c r="Q1126" t="s">
        <v>35</v>
      </c>
      <c r="R1126" t="s">
        <v>693</v>
      </c>
      <c r="S1126" t="s">
        <v>30</v>
      </c>
      <c r="T1126" t="s">
        <v>1072</v>
      </c>
      <c r="U1126" t="s">
        <v>1073</v>
      </c>
      <c r="V1126" t="s">
        <v>39</v>
      </c>
      <c r="W1126" s="1">
        <v>10</v>
      </c>
    </row>
    <row r="1127" spans="1:23" x14ac:dyDescent="0.2">
      <c r="A1127" t="s">
        <v>23</v>
      </c>
      <c r="B1127" t="s">
        <v>24</v>
      </c>
      <c r="C1127" t="s">
        <v>978</v>
      </c>
      <c r="D1127" t="s">
        <v>1041</v>
      </c>
      <c r="E1127" t="s">
        <v>1042</v>
      </c>
      <c r="F1127" t="s">
        <v>1043</v>
      </c>
      <c r="G1127" t="s">
        <v>106</v>
      </c>
      <c r="H1127" t="s">
        <v>30</v>
      </c>
      <c r="I1127" t="s">
        <v>30</v>
      </c>
      <c r="J1127" t="s">
        <v>233</v>
      </c>
      <c r="K1127" t="s">
        <v>181</v>
      </c>
      <c r="L1127" t="s">
        <v>32</v>
      </c>
      <c r="M1127" t="s">
        <v>33</v>
      </c>
      <c r="P1127" t="s">
        <v>34</v>
      </c>
      <c r="Q1127" t="s">
        <v>35</v>
      </c>
      <c r="R1127" t="s">
        <v>693</v>
      </c>
      <c r="S1127" t="s">
        <v>30</v>
      </c>
      <c r="T1127" t="s">
        <v>1072</v>
      </c>
      <c r="U1127" t="s">
        <v>1073</v>
      </c>
      <c r="V1127" t="s">
        <v>40</v>
      </c>
      <c r="W1127" s="1">
        <v>0</v>
      </c>
    </row>
    <row r="1128" spans="1:23" x14ac:dyDescent="0.2">
      <c r="A1128" t="s">
        <v>23</v>
      </c>
      <c r="B1128" t="s">
        <v>24</v>
      </c>
      <c r="C1128" t="s">
        <v>978</v>
      </c>
      <c r="D1128" t="s">
        <v>1041</v>
      </c>
      <c r="E1128" t="s">
        <v>1042</v>
      </c>
      <c r="F1128" t="s">
        <v>1043</v>
      </c>
      <c r="G1128" t="s">
        <v>127</v>
      </c>
      <c r="H1128" t="s">
        <v>52</v>
      </c>
      <c r="I1128" t="s">
        <v>30</v>
      </c>
      <c r="J1128" t="s">
        <v>31</v>
      </c>
      <c r="K1128" t="s">
        <v>32</v>
      </c>
      <c r="L1128" t="s">
        <v>32</v>
      </c>
      <c r="M1128" t="s">
        <v>33</v>
      </c>
      <c r="N1128" t="s">
        <v>33</v>
      </c>
      <c r="O1128" t="s">
        <v>33</v>
      </c>
      <c r="P1128" t="s">
        <v>34</v>
      </c>
      <c r="Q1128" t="s">
        <v>35</v>
      </c>
      <c r="S1128" t="s">
        <v>30</v>
      </c>
      <c r="T1128" t="s">
        <v>1074</v>
      </c>
      <c r="U1128" t="s">
        <v>1075</v>
      </c>
      <c r="V1128" t="s">
        <v>39</v>
      </c>
      <c r="W1128" s="1">
        <v>3</v>
      </c>
    </row>
    <row r="1129" spans="1:23" x14ac:dyDescent="0.2">
      <c r="A1129" t="s">
        <v>23</v>
      </c>
      <c r="B1129" t="s">
        <v>24</v>
      </c>
      <c r="C1129" t="s">
        <v>978</v>
      </c>
      <c r="D1129" t="s">
        <v>1041</v>
      </c>
      <c r="E1129" t="s">
        <v>1042</v>
      </c>
      <c r="F1129" t="s">
        <v>1043</v>
      </c>
      <c r="G1129" t="s">
        <v>127</v>
      </c>
      <c r="H1129" t="s">
        <v>52</v>
      </c>
      <c r="I1129" t="s">
        <v>30</v>
      </c>
      <c r="J1129" t="s">
        <v>31</v>
      </c>
      <c r="K1129" t="s">
        <v>32</v>
      </c>
      <c r="L1129" t="s">
        <v>32</v>
      </c>
      <c r="M1129" t="s">
        <v>33</v>
      </c>
      <c r="N1129" t="s">
        <v>33</v>
      </c>
      <c r="O1129" t="s">
        <v>33</v>
      </c>
      <c r="P1129" t="s">
        <v>34</v>
      </c>
      <c r="Q1129" t="s">
        <v>35</v>
      </c>
      <c r="S1129" t="s">
        <v>30</v>
      </c>
      <c r="T1129" t="s">
        <v>1074</v>
      </c>
      <c r="U1129" t="s">
        <v>1075</v>
      </c>
      <c r="V1129" t="s">
        <v>40</v>
      </c>
      <c r="W1129" s="1">
        <v>1472700</v>
      </c>
    </row>
    <row r="1130" spans="1:23" x14ac:dyDescent="0.2">
      <c r="A1130" t="s">
        <v>23</v>
      </c>
      <c r="B1130" t="s">
        <v>24</v>
      </c>
      <c r="C1130" t="s">
        <v>978</v>
      </c>
      <c r="D1130" t="s">
        <v>1041</v>
      </c>
      <c r="E1130" t="s">
        <v>1042</v>
      </c>
      <c r="F1130" t="s">
        <v>1043</v>
      </c>
      <c r="G1130" t="s">
        <v>134</v>
      </c>
      <c r="H1130" t="s">
        <v>52</v>
      </c>
      <c r="I1130" t="s">
        <v>30</v>
      </c>
      <c r="J1130" t="s">
        <v>31</v>
      </c>
      <c r="K1130" t="s">
        <v>32</v>
      </c>
      <c r="L1130" t="s">
        <v>32</v>
      </c>
      <c r="M1130" t="s">
        <v>33</v>
      </c>
      <c r="N1130" t="s">
        <v>33</v>
      </c>
      <c r="O1130" t="s">
        <v>33</v>
      </c>
      <c r="P1130" t="s">
        <v>34</v>
      </c>
      <c r="Q1130" t="s">
        <v>35</v>
      </c>
      <c r="R1130" t="s">
        <v>73</v>
      </c>
      <c r="S1130" t="s">
        <v>30</v>
      </c>
      <c r="T1130" t="s">
        <v>1076</v>
      </c>
      <c r="U1130" t="s">
        <v>1077</v>
      </c>
      <c r="V1130" t="s">
        <v>39</v>
      </c>
      <c r="W1130" s="1">
        <v>2</v>
      </c>
    </row>
    <row r="1131" spans="1:23" x14ac:dyDescent="0.2">
      <c r="A1131" t="s">
        <v>23</v>
      </c>
      <c r="B1131" t="s">
        <v>24</v>
      </c>
      <c r="C1131" t="s">
        <v>978</v>
      </c>
      <c r="D1131" t="s">
        <v>1041</v>
      </c>
      <c r="E1131" t="s">
        <v>1042</v>
      </c>
      <c r="F1131" t="s">
        <v>1043</v>
      </c>
      <c r="G1131" t="s">
        <v>134</v>
      </c>
      <c r="H1131" t="s">
        <v>52</v>
      </c>
      <c r="I1131" t="s">
        <v>30</v>
      </c>
      <c r="J1131" t="s">
        <v>31</v>
      </c>
      <c r="K1131" t="s">
        <v>32</v>
      </c>
      <c r="L1131" t="s">
        <v>32</v>
      </c>
      <c r="M1131" t="s">
        <v>33</v>
      </c>
      <c r="N1131" t="s">
        <v>33</v>
      </c>
      <c r="O1131" t="s">
        <v>33</v>
      </c>
      <c r="P1131" t="s">
        <v>34</v>
      </c>
      <c r="Q1131" t="s">
        <v>35</v>
      </c>
      <c r="R1131" t="s">
        <v>73</v>
      </c>
      <c r="S1131" t="s">
        <v>30</v>
      </c>
      <c r="T1131" t="s">
        <v>1076</v>
      </c>
      <c r="U1131" t="s">
        <v>1077</v>
      </c>
      <c r="V1131" t="s">
        <v>40</v>
      </c>
      <c r="W1131" s="1">
        <v>2998000</v>
      </c>
    </row>
    <row r="1132" spans="1:23" x14ac:dyDescent="0.2">
      <c r="A1132" t="s">
        <v>23</v>
      </c>
      <c r="B1132" t="s">
        <v>24</v>
      </c>
      <c r="C1132" t="s">
        <v>978</v>
      </c>
      <c r="D1132" t="s">
        <v>1041</v>
      </c>
      <c r="E1132" t="s">
        <v>1042</v>
      </c>
      <c r="F1132" t="s">
        <v>1043</v>
      </c>
      <c r="G1132" t="s">
        <v>139</v>
      </c>
      <c r="H1132" t="s">
        <v>30</v>
      </c>
      <c r="I1132" t="s">
        <v>30</v>
      </c>
      <c r="J1132" t="s">
        <v>128</v>
      </c>
      <c r="K1132" t="s">
        <v>181</v>
      </c>
      <c r="L1132" t="s">
        <v>32</v>
      </c>
      <c r="M1132" t="s">
        <v>33</v>
      </c>
      <c r="P1132" t="s">
        <v>34</v>
      </c>
      <c r="Q1132" t="s">
        <v>35</v>
      </c>
      <c r="S1132" t="s">
        <v>30</v>
      </c>
      <c r="T1132" t="s">
        <v>1078</v>
      </c>
      <c r="U1132" t="s">
        <v>1079</v>
      </c>
      <c r="V1132" t="s">
        <v>39</v>
      </c>
      <c r="W1132" s="1">
        <v>21</v>
      </c>
    </row>
    <row r="1133" spans="1:23" x14ac:dyDescent="0.2">
      <c r="A1133" t="s">
        <v>23</v>
      </c>
      <c r="B1133" t="s">
        <v>24</v>
      </c>
      <c r="C1133" t="s">
        <v>978</v>
      </c>
      <c r="D1133" t="s">
        <v>1041</v>
      </c>
      <c r="E1133" t="s">
        <v>1042</v>
      </c>
      <c r="F1133" t="s">
        <v>1043</v>
      </c>
      <c r="G1133" t="s">
        <v>139</v>
      </c>
      <c r="H1133" t="s">
        <v>30</v>
      </c>
      <c r="I1133" t="s">
        <v>30</v>
      </c>
      <c r="J1133" t="s">
        <v>128</v>
      </c>
      <c r="K1133" t="s">
        <v>181</v>
      </c>
      <c r="L1133" t="s">
        <v>32</v>
      </c>
      <c r="M1133" t="s">
        <v>33</v>
      </c>
      <c r="P1133" t="s">
        <v>34</v>
      </c>
      <c r="Q1133" t="s">
        <v>35</v>
      </c>
      <c r="S1133" t="s">
        <v>30</v>
      </c>
      <c r="T1133" t="s">
        <v>1078</v>
      </c>
      <c r="U1133" t="s">
        <v>1079</v>
      </c>
      <c r="V1133" t="s">
        <v>40</v>
      </c>
      <c r="W1133" s="1">
        <v>0</v>
      </c>
    </row>
    <row r="1134" spans="1:23" x14ac:dyDescent="0.2">
      <c r="A1134" t="s">
        <v>23</v>
      </c>
      <c r="B1134" t="s">
        <v>24</v>
      </c>
      <c r="C1134" t="s">
        <v>978</v>
      </c>
      <c r="D1134" t="s">
        <v>1041</v>
      </c>
      <c r="E1134" t="s">
        <v>1042</v>
      </c>
      <c r="F1134" t="s">
        <v>1043</v>
      </c>
      <c r="G1134" t="s">
        <v>139</v>
      </c>
      <c r="H1134" t="s">
        <v>30</v>
      </c>
      <c r="I1134" t="s">
        <v>30</v>
      </c>
      <c r="J1134" t="s">
        <v>41</v>
      </c>
      <c r="K1134" t="s">
        <v>32</v>
      </c>
      <c r="L1134" t="s">
        <v>32</v>
      </c>
      <c r="M1134" t="s">
        <v>33</v>
      </c>
      <c r="N1134" t="s">
        <v>33</v>
      </c>
      <c r="O1134" t="s">
        <v>33</v>
      </c>
      <c r="P1134" t="s">
        <v>213</v>
      </c>
      <c r="Q1134" t="s">
        <v>214</v>
      </c>
      <c r="S1134" t="s">
        <v>30</v>
      </c>
      <c r="T1134" t="s">
        <v>1080</v>
      </c>
      <c r="U1134" t="s">
        <v>1081</v>
      </c>
      <c r="V1134" t="s">
        <v>39</v>
      </c>
      <c r="W1134" s="1">
        <v>2</v>
      </c>
    </row>
    <row r="1135" spans="1:23" x14ac:dyDescent="0.2">
      <c r="A1135" t="s">
        <v>23</v>
      </c>
      <c r="B1135" t="s">
        <v>24</v>
      </c>
      <c r="C1135" t="s">
        <v>978</v>
      </c>
      <c r="D1135" t="s">
        <v>1041</v>
      </c>
      <c r="E1135" t="s">
        <v>1042</v>
      </c>
      <c r="F1135" t="s">
        <v>1043</v>
      </c>
      <c r="G1135" t="s">
        <v>139</v>
      </c>
      <c r="H1135" t="s">
        <v>30</v>
      </c>
      <c r="I1135" t="s">
        <v>30</v>
      </c>
      <c r="J1135" t="s">
        <v>41</v>
      </c>
      <c r="K1135" t="s">
        <v>32</v>
      </c>
      <c r="L1135" t="s">
        <v>32</v>
      </c>
      <c r="M1135" t="s">
        <v>33</v>
      </c>
      <c r="N1135" t="s">
        <v>33</v>
      </c>
      <c r="O1135" t="s">
        <v>33</v>
      </c>
      <c r="P1135" t="s">
        <v>213</v>
      </c>
      <c r="Q1135" t="s">
        <v>214</v>
      </c>
      <c r="S1135" t="s">
        <v>30</v>
      </c>
      <c r="T1135" t="s">
        <v>1080</v>
      </c>
      <c r="U1135" t="s">
        <v>1081</v>
      </c>
      <c r="V1135" t="s">
        <v>40</v>
      </c>
      <c r="W1135" s="1">
        <v>1904400</v>
      </c>
    </row>
    <row r="1136" spans="1:23" x14ac:dyDescent="0.2">
      <c r="A1136" t="s">
        <v>23</v>
      </c>
      <c r="B1136" t="s">
        <v>24</v>
      </c>
      <c r="C1136" t="s">
        <v>978</v>
      </c>
      <c r="D1136" t="s">
        <v>1041</v>
      </c>
      <c r="E1136" t="s">
        <v>1042</v>
      </c>
      <c r="F1136" t="s">
        <v>1043</v>
      </c>
      <c r="G1136" t="s">
        <v>139</v>
      </c>
      <c r="H1136" t="s">
        <v>30</v>
      </c>
      <c r="I1136" t="s">
        <v>30</v>
      </c>
      <c r="J1136" t="s">
        <v>57</v>
      </c>
      <c r="K1136" t="s">
        <v>32</v>
      </c>
      <c r="L1136" t="s">
        <v>32</v>
      </c>
      <c r="M1136" t="s">
        <v>33</v>
      </c>
      <c r="N1136" t="s">
        <v>33</v>
      </c>
      <c r="O1136" t="s">
        <v>33</v>
      </c>
      <c r="P1136" t="s">
        <v>34</v>
      </c>
      <c r="Q1136" t="s">
        <v>35</v>
      </c>
      <c r="R1136" t="s">
        <v>124</v>
      </c>
      <c r="S1136" t="s">
        <v>30</v>
      </c>
      <c r="T1136" t="s">
        <v>1082</v>
      </c>
      <c r="U1136" t="s">
        <v>1083</v>
      </c>
      <c r="V1136" t="s">
        <v>39</v>
      </c>
      <c r="W1136" s="1">
        <v>2</v>
      </c>
    </row>
    <row r="1137" spans="1:23" x14ac:dyDescent="0.2">
      <c r="A1137" t="s">
        <v>23</v>
      </c>
      <c r="B1137" t="s">
        <v>24</v>
      </c>
      <c r="C1137" t="s">
        <v>978</v>
      </c>
      <c r="D1137" t="s">
        <v>1041</v>
      </c>
      <c r="E1137" t="s">
        <v>1042</v>
      </c>
      <c r="F1137" t="s">
        <v>1043</v>
      </c>
      <c r="G1137" t="s">
        <v>139</v>
      </c>
      <c r="H1137" t="s">
        <v>30</v>
      </c>
      <c r="I1137" t="s">
        <v>30</v>
      </c>
      <c r="J1137" t="s">
        <v>57</v>
      </c>
      <c r="K1137" t="s">
        <v>32</v>
      </c>
      <c r="L1137" t="s">
        <v>32</v>
      </c>
      <c r="M1137" t="s">
        <v>33</v>
      </c>
      <c r="N1137" t="s">
        <v>33</v>
      </c>
      <c r="O1137" t="s">
        <v>33</v>
      </c>
      <c r="P1137" t="s">
        <v>34</v>
      </c>
      <c r="Q1137" t="s">
        <v>35</v>
      </c>
      <c r="R1137" t="s">
        <v>124</v>
      </c>
      <c r="S1137" t="s">
        <v>30</v>
      </c>
      <c r="T1137" t="s">
        <v>1082</v>
      </c>
      <c r="U1137" t="s">
        <v>1083</v>
      </c>
      <c r="V1137" t="s">
        <v>40</v>
      </c>
      <c r="W1137" s="1">
        <v>2938000</v>
      </c>
    </row>
    <row r="1138" spans="1:23" x14ac:dyDescent="0.2">
      <c r="A1138" t="s">
        <v>23</v>
      </c>
      <c r="B1138" t="s">
        <v>24</v>
      </c>
      <c r="C1138" t="s">
        <v>978</v>
      </c>
      <c r="D1138" t="s">
        <v>1041</v>
      </c>
      <c r="E1138" t="s">
        <v>1084</v>
      </c>
      <c r="F1138" t="s">
        <v>1085</v>
      </c>
      <c r="G1138" t="s">
        <v>29</v>
      </c>
      <c r="H1138" t="s">
        <v>30</v>
      </c>
      <c r="I1138" t="s">
        <v>30</v>
      </c>
      <c r="J1138" t="s">
        <v>128</v>
      </c>
      <c r="K1138" t="s">
        <v>181</v>
      </c>
      <c r="L1138" t="s">
        <v>332</v>
      </c>
      <c r="M1138" t="s">
        <v>33</v>
      </c>
      <c r="N1138" t="s">
        <v>33</v>
      </c>
      <c r="O1138" t="s">
        <v>33</v>
      </c>
      <c r="P1138" t="s">
        <v>34</v>
      </c>
      <c r="Q1138" t="s">
        <v>35</v>
      </c>
      <c r="S1138" t="s">
        <v>30</v>
      </c>
      <c r="T1138" t="s">
        <v>1086</v>
      </c>
      <c r="U1138" t="s">
        <v>1087</v>
      </c>
      <c r="V1138" t="s">
        <v>39</v>
      </c>
      <c r="W1138" s="1">
        <v>2</v>
      </c>
    </row>
    <row r="1139" spans="1:23" x14ac:dyDescent="0.2">
      <c r="A1139" t="s">
        <v>23</v>
      </c>
      <c r="B1139" t="s">
        <v>24</v>
      </c>
      <c r="C1139" t="s">
        <v>978</v>
      </c>
      <c r="D1139" t="s">
        <v>1041</v>
      </c>
      <c r="E1139" t="s">
        <v>1084</v>
      </c>
      <c r="F1139" t="s">
        <v>1085</v>
      </c>
      <c r="G1139" t="s">
        <v>29</v>
      </c>
      <c r="H1139" t="s">
        <v>30</v>
      </c>
      <c r="I1139" t="s">
        <v>30</v>
      </c>
      <c r="J1139" t="s">
        <v>128</v>
      </c>
      <c r="K1139" t="s">
        <v>181</v>
      </c>
      <c r="L1139" t="s">
        <v>332</v>
      </c>
      <c r="M1139" t="s">
        <v>33</v>
      </c>
      <c r="N1139" t="s">
        <v>33</v>
      </c>
      <c r="O1139" t="s">
        <v>33</v>
      </c>
      <c r="P1139" t="s">
        <v>34</v>
      </c>
      <c r="Q1139" t="s">
        <v>35</v>
      </c>
      <c r="S1139" t="s">
        <v>30</v>
      </c>
      <c r="T1139" t="s">
        <v>1086</v>
      </c>
      <c r="U1139" t="s">
        <v>1087</v>
      </c>
      <c r="V1139" t="s">
        <v>40</v>
      </c>
      <c r="W1139" s="1">
        <v>3098000</v>
      </c>
    </row>
    <row r="1140" spans="1:23" x14ac:dyDescent="0.2">
      <c r="A1140" t="s">
        <v>23</v>
      </c>
      <c r="B1140" t="s">
        <v>24</v>
      </c>
      <c r="C1140" t="s">
        <v>978</v>
      </c>
      <c r="D1140" t="s">
        <v>1041</v>
      </c>
      <c r="E1140" t="s">
        <v>1084</v>
      </c>
      <c r="F1140" t="s">
        <v>1085</v>
      </c>
      <c r="G1140" t="s">
        <v>29</v>
      </c>
      <c r="H1140" t="s">
        <v>30</v>
      </c>
      <c r="I1140" t="s">
        <v>30</v>
      </c>
      <c r="J1140" t="s">
        <v>31</v>
      </c>
      <c r="K1140" t="s">
        <v>32</v>
      </c>
      <c r="L1140" t="s">
        <v>32</v>
      </c>
      <c r="M1140" t="s">
        <v>33</v>
      </c>
      <c r="N1140" t="s">
        <v>33</v>
      </c>
      <c r="O1140" t="s">
        <v>33</v>
      </c>
      <c r="P1140" t="s">
        <v>34</v>
      </c>
      <c r="Q1140" t="s">
        <v>35</v>
      </c>
      <c r="R1140" t="s">
        <v>151</v>
      </c>
      <c r="S1140" t="s">
        <v>30</v>
      </c>
      <c r="T1140" t="s">
        <v>1088</v>
      </c>
      <c r="U1140" t="s">
        <v>1089</v>
      </c>
      <c r="V1140" t="s">
        <v>39</v>
      </c>
      <c r="W1140" s="1">
        <v>4</v>
      </c>
    </row>
    <row r="1141" spans="1:23" x14ac:dyDescent="0.2">
      <c r="A1141" t="s">
        <v>23</v>
      </c>
      <c r="B1141" t="s">
        <v>24</v>
      </c>
      <c r="C1141" t="s">
        <v>978</v>
      </c>
      <c r="D1141" t="s">
        <v>1041</v>
      </c>
      <c r="E1141" t="s">
        <v>1084</v>
      </c>
      <c r="F1141" t="s">
        <v>1085</v>
      </c>
      <c r="G1141" t="s">
        <v>29</v>
      </c>
      <c r="H1141" t="s">
        <v>30</v>
      </c>
      <c r="I1141" t="s">
        <v>30</v>
      </c>
      <c r="J1141" t="s">
        <v>31</v>
      </c>
      <c r="K1141" t="s">
        <v>32</v>
      </c>
      <c r="L1141" t="s">
        <v>32</v>
      </c>
      <c r="M1141" t="s">
        <v>33</v>
      </c>
      <c r="N1141" t="s">
        <v>33</v>
      </c>
      <c r="O1141" t="s">
        <v>33</v>
      </c>
      <c r="P1141" t="s">
        <v>34</v>
      </c>
      <c r="Q1141" t="s">
        <v>35</v>
      </c>
      <c r="R1141" t="s">
        <v>151</v>
      </c>
      <c r="S1141" t="s">
        <v>30</v>
      </c>
      <c r="T1141" t="s">
        <v>1088</v>
      </c>
      <c r="U1141" t="s">
        <v>1089</v>
      </c>
      <c r="V1141" t="s">
        <v>40</v>
      </c>
      <c r="W1141" s="1">
        <v>2486400</v>
      </c>
    </row>
    <row r="1142" spans="1:23" x14ac:dyDescent="0.2">
      <c r="A1142" t="s">
        <v>23</v>
      </c>
      <c r="B1142" t="s">
        <v>24</v>
      </c>
      <c r="C1142" t="s">
        <v>978</v>
      </c>
      <c r="D1142" t="s">
        <v>1041</v>
      </c>
      <c r="E1142" t="s">
        <v>1084</v>
      </c>
      <c r="F1142" t="s">
        <v>1085</v>
      </c>
      <c r="G1142" t="s">
        <v>49</v>
      </c>
      <c r="H1142" t="s">
        <v>30</v>
      </c>
      <c r="I1142" t="s">
        <v>30</v>
      </c>
      <c r="J1142" t="s">
        <v>233</v>
      </c>
      <c r="K1142" t="s">
        <v>181</v>
      </c>
      <c r="L1142" t="s">
        <v>32</v>
      </c>
      <c r="M1142" t="s">
        <v>33</v>
      </c>
      <c r="N1142" t="s">
        <v>33</v>
      </c>
      <c r="O1142" t="s">
        <v>33</v>
      </c>
      <c r="P1142" t="s">
        <v>34</v>
      </c>
      <c r="Q1142" t="s">
        <v>35</v>
      </c>
      <c r="R1142" t="s">
        <v>693</v>
      </c>
      <c r="S1142" t="s">
        <v>30</v>
      </c>
      <c r="T1142" t="s">
        <v>1090</v>
      </c>
      <c r="U1142" t="s">
        <v>1091</v>
      </c>
      <c r="V1142" t="s">
        <v>39</v>
      </c>
      <c r="W1142" s="1">
        <v>13</v>
      </c>
    </row>
    <row r="1143" spans="1:23" x14ac:dyDescent="0.2">
      <c r="A1143" t="s">
        <v>23</v>
      </c>
      <c r="B1143" t="s">
        <v>24</v>
      </c>
      <c r="C1143" t="s">
        <v>978</v>
      </c>
      <c r="D1143" t="s">
        <v>1041</v>
      </c>
      <c r="E1143" t="s">
        <v>1084</v>
      </c>
      <c r="F1143" t="s">
        <v>1085</v>
      </c>
      <c r="G1143" t="s">
        <v>49</v>
      </c>
      <c r="H1143" t="s">
        <v>30</v>
      </c>
      <c r="I1143" t="s">
        <v>30</v>
      </c>
      <c r="J1143" t="s">
        <v>233</v>
      </c>
      <c r="K1143" t="s">
        <v>181</v>
      </c>
      <c r="L1143" t="s">
        <v>32</v>
      </c>
      <c r="M1143" t="s">
        <v>33</v>
      </c>
      <c r="N1143" t="s">
        <v>33</v>
      </c>
      <c r="O1143" t="s">
        <v>33</v>
      </c>
      <c r="P1143" t="s">
        <v>34</v>
      </c>
      <c r="Q1143" t="s">
        <v>35</v>
      </c>
      <c r="R1143" t="s">
        <v>693</v>
      </c>
      <c r="S1143" t="s">
        <v>30</v>
      </c>
      <c r="T1143" t="s">
        <v>1090</v>
      </c>
      <c r="U1143" t="s">
        <v>1091</v>
      </c>
      <c r="V1143" t="s">
        <v>40</v>
      </c>
      <c r="W1143" s="1">
        <v>0</v>
      </c>
    </row>
    <row r="1144" spans="1:23" x14ac:dyDescent="0.2">
      <c r="A1144" t="s">
        <v>23</v>
      </c>
      <c r="B1144" t="s">
        <v>24</v>
      </c>
      <c r="C1144" t="s">
        <v>978</v>
      </c>
      <c r="D1144" t="s">
        <v>1041</v>
      </c>
      <c r="E1144" t="s">
        <v>1084</v>
      </c>
      <c r="F1144" t="s">
        <v>1085</v>
      </c>
      <c r="G1144" t="s">
        <v>64</v>
      </c>
      <c r="H1144" t="s">
        <v>30</v>
      </c>
      <c r="I1144" t="s">
        <v>52</v>
      </c>
      <c r="J1144" t="s">
        <v>128</v>
      </c>
      <c r="K1144" t="s">
        <v>32</v>
      </c>
      <c r="L1144" t="s">
        <v>32</v>
      </c>
      <c r="M1144" t="s">
        <v>33</v>
      </c>
      <c r="N1144" t="s">
        <v>33</v>
      </c>
      <c r="O1144" t="s">
        <v>33</v>
      </c>
      <c r="P1144" t="s">
        <v>34</v>
      </c>
      <c r="Q1144" t="s">
        <v>35</v>
      </c>
      <c r="R1144" t="s">
        <v>129</v>
      </c>
      <c r="S1144" t="s">
        <v>30</v>
      </c>
      <c r="T1144" t="s">
        <v>1092</v>
      </c>
      <c r="U1144" t="s">
        <v>1093</v>
      </c>
      <c r="V1144" t="s">
        <v>39</v>
      </c>
      <c r="W1144" s="1">
        <v>2</v>
      </c>
    </row>
    <row r="1145" spans="1:23" x14ac:dyDescent="0.2">
      <c r="A1145" t="s">
        <v>23</v>
      </c>
      <c r="B1145" t="s">
        <v>24</v>
      </c>
      <c r="C1145" t="s">
        <v>978</v>
      </c>
      <c r="D1145" t="s">
        <v>1041</v>
      </c>
      <c r="E1145" t="s">
        <v>1084</v>
      </c>
      <c r="F1145" t="s">
        <v>1085</v>
      </c>
      <c r="G1145" t="s">
        <v>64</v>
      </c>
      <c r="H1145" t="s">
        <v>30</v>
      </c>
      <c r="I1145" t="s">
        <v>52</v>
      </c>
      <c r="J1145" t="s">
        <v>128</v>
      </c>
      <c r="K1145" t="s">
        <v>32</v>
      </c>
      <c r="L1145" t="s">
        <v>32</v>
      </c>
      <c r="M1145" t="s">
        <v>33</v>
      </c>
      <c r="N1145" t="s">
        <v>33</v>
      </c>
      <c r="O1145" t="s">
        <v>33</v>
      </c>
      <c r="P1145" t="s">
        <v>34</v>
      </c>
      <c r="Q1145" t="s">
        <v>35</v>
      </c>
      <c r="R1145" t="s">
        <v>129</v>
      </c>
      <c r="S1145" t="s">
        <v>30</v>
      </c>
      <c r="T1145" t="s">
        <v>1092</v>
      </c>
      <c r="U1145" t="s">
        <v>1093</v>
      </c>
      <c r="V1145" t="s">
        <v>40</v>
      </c>
      <c r="W1145" s="1">
        <v>662000</v>
      </c>
    </row>
    <row r="1146" spans="1:23" x14ac:dyDescent="0.2">
      <c r="A1146" t="s">
        <v>23</v>
      </c>
      <c r="B1146" t="s">
        <v>24</v>
      </c>
      <c r="C1146" t="s">
        <v>978</v>
      </c>
      <c r="D1146" t="s">
        <v>1041</v>
      </c>
      <c r="E1146" t="s">
        <v>1084</v>
      </c>
      <c r="F1146" t="s">
        <v>1085</v>
      </c>
      <c r="G1146" t="s">
        <v>67</v>
      </c>
      <c r="H1146" t="s">
        <v>30</v>
      </c>
      <c r="I1146" t="s">
        <v>30</v>
      </c>
      <c r="J1146" t="s">
        <v>128</v>
      </c>
      <c r="K1146" t="s">
        <v>181</v>
      </c>
      <c r="L1146" t="s">
        <v>32</v>
      </c>
      <c r="M1146" t="s">
        <v>33</v>
      </c>
      <c r="N1146" t="s">
        <v>33</v>
      </c>
      <c r="O1146" t="s">
        <v>33</v>
      </c>
      <c r="P1146" t="s">
        <v>34</v>
      </c>
      <c r="Q1146" t="s">
        <v>35</v>
      </c>
      <c r="S1146" t="s">
        <v>30</v>
      </c>
      <c r="T1146" t="s">
        <v>1094</v>
      </c>
      <c r="U1146" t="s">
        <v>1095</v>
      </c>
      <c r="V1146" t="s">
        <v>39</v>
      </c>
      <c r="W1146" s="1">
        <v>5</v>
      </c>
    </row>
    <row r="1147" spans="1:23" x14ac:dyDescent="0.2">
      <c r="A1147" t="s">
        <v>23</v>
      </c>
      <c r="B1147" t="s">
        <v>24</v>
      </c>
      <c r="C1147" t="s">
        <v>978</v>
      </c>
      <c r="D1147" t="s">
        <v>1041</v>
      </c>
      <c r="E1147" t="s">
        <v>1084</v>
      </c>
      <c r="F1147" t="s">
        <v>1085</v>
      </c>
      <c r="G1147" t="s">
        <v>67</v>
      </c>
      <c r="H1147" t="s">
        <v>30</v>
      </c>
      <c r="I1147" t="s">
        <v>30</v>
      </c>
      <c r="J1147" t="s">
        <v>128</v>
      </c>
      <c r="K1147" t="s">
        <v>181</v>
      </c>
      <c r="L1147" t="s">
        <v>32</v>
      </c>
      <c r="M1147" t="s">
        <v>33</v>
      </c>
      <c r="N1147" t="s">
        <v>33</v>
      </c>
      <c r="O1147" t="s">
        <v>33</v>
      </c>
      <c r="P1147" t="s">
        <v>34</v>
      </c>
      <c r="Q1147" t="s">
        <v>35</v>
      </c>
      <c r="S1147" t="s">
        <v>30</v>
      </c>
      <c r="T1147" t="s">
        <v>1094</v>
      </c>
      <c r="U1147" t="s">
        <v>1095</v>
      </c>
      <c r="V1147" t="s">
        <v>40</v>
      </c>
      <c r="W1147" s="1">
        <v>0</v>
      </c>
    </row>
    <row r="1148" spans="1:23" x14ac:dyDescent="0.2">
      <c r="A1148" t="s">
        <v>23</v>
      </c>
      <c r="B1148" t="s">
        <v>24</v>
      </c>
      <c r="C1148" t="s">
        <v>978</v>
      </c>
      <c r="D1148" t="s">
        <v>1041</v>
      </c>
      <c r="E1148" t="s">
        <v>1084</v>
      </c>
      <c r="F1148" t="s">
        <v>1085</v>
      </c>
      <c r="G1148" t="s">
        <v>67</v>
      </c>
      <c r="H1148" t="s">
        <v>30</v>
      </c>
      <c r="I1148" t="s">
        <v>30</v>
      </c>
      <c r="J1148" t="s">
        <v>128</v>
      </c>
      <c r="K1148" t="s">
        <v>181</v>
      </c>
      <c r="L1148" t="s">
        <v>32</v>
      </c>
      <c r="M1148" t="s">
        <v>33</v>
      </c>
      <c r="P1148" t="s">
        <v>34</v>
      </c>
      <c r="Q1148" t="s">
        <v>35</v>
      </c>
      <c r="S1148" t="s">
        <v>30</v>
      </c>
      <c r="T1148" t="s">
        <v>1094</v>
      </c>
      <c r="U1148" t="s">
        <v>1095</v>
      </c>
      <c r="V1148" t="s">
        <v>39</v>
      </c>
      <c r="W1148" s="1">
        <v>12</v>
      </c>
    </row>
    <row r="1149" spans="1:23" x14ac:dyDescent="0.2">
      <c r="A1149" t="s">
        <v>23</v>
      </c>
      <c r="B1149" t="s">
        <v>24</v>
      </c>
      <c r="C1149" t="s">
        <v>978</v>
      </c>
      <c r="D1149" t="s">
        <v>1041</v>
      </c>
      <c r="E1149" t="s">
        <v>1084</v>
      </c>
      <c r="F1149" t="s">
        <v>1085</v>
      </c>
      <c r="G1149" t="s">
        <v>67</v>
      </c>
      <c r="H1149" t="s">
        <v>30</v>
      </c>
      <c r="I1149" t="s">
        <v>30</v>
      </c>
      <c r="J1149" t="s">
        <v>128</v>
      </c>
      <c r="K1149" t="s">
        <v>181</v>
      </c>
      <c r="L1149" t="s">
        <v>32</v>
      </c>
      <c r="M1149" t="s">
        <v>33</v>
      </c>
      <c r="P1149" t="s">
        <v>34</v>
      </c>
      <c r="Q1149" t="s">
        <v>35</v>
      </c>
      <c r="S1149" t="s">
        <v>30</v>
      </c>
      <c r="T1149" t="s">
        <v>1094</v>
      </c>
      <c r="U1149" t="s">
        <v>1095</v>
      </c>
      <c r="V1149" t="s">
        <v>40</v>
      </c>
      <c r="W1149" s="1">
        <v>0</v>
      </c>
    </row>
    <row r="1150" spans="1:23" x14ac:dyDescent="0.2">
      <c r="A1150" t="s">
        <v>23</v>
      </c>
      <c r="B1150" t="s">
        <v>24</v>
      </c>
      <c r="C1150" t="s">
        <v>978</v>
      </c>
      <c r="D1150" t="s">
        <v>1041</v>
      </c>
      <c r="E1150" t="s">
        <v>1084</v>
      </c>
      <c r="F1150" t="s">
        <v>1085</v>
      </c>
      <c r="G1150" t="s">
        <v>89</v>
      </c>
      <c r="H1150" t="s">
        <v>30</v>
      </c>
      <c r="I1150" t="s">
        <v>30</v>
      </c>
      <c r="J1150" t="s">
        <v>31</v>
      </c>
      <c r="K1150" t="s">
        <v>32</v>
      </c>
      <c r="L1150" t="s">
        <v>32</v>
      </c>
      <c r="M1150" t="s">
        <v>33</v>
      </c>
      <c r="N1150" t="s">
        <v>33</v>
      </c>
      <c r="O1150" t="s">
        <v>33</v>
      </c>
      <c r="P1150" t="s">
        <v>34</v>
      </c>
      <c r="Q1150" t="s">
        <v>35</v>
      </c>
      <c r="S1150" t="s">
        <v>30</v>
      </c>
      <c r="T1150" t="s">
        <v>1096</v>
      </c>
      <c r="U1150" t="s">
        <v>1097</v>
      </c>
      <c r="V1150" t="s">
        <v>39</v>
      </c>
      <c r="W1150" s="1">
        <v>2</v>
      </c>
    </row>
    <row r="1151" spans="1:23" x14ac:dyDescent="0.2">
      <c r="A1151" t="s">
        <v>23</v>
      </c>
      <c r="B1151" t="s">
        <v>24</v>
      </c>
      <c r="C1151" t="s">
        <v>978</v>
      </c>
      <c r="D1151" t="s">
        <v>1041</v>
      </c>
      <c r="E1151" t="s">
        <v>1084</v>
      </c>
      <c r="F1151" t="s">
        <v>1085</v>
      </c>
      <c r="G1151" t="s">
        <v>89</v>
      </c>
      <c r="H1151" t="s">
        <v>30</v>
      </c>
      <c r="I1151" t="s">
        <v>30</v>
      </c>
      <c r="J1151" t="s">
        <v>31</v>
      </c>
      <c r="K1151" t="s">
        <v>32</v>
      </c>
      <c r="L1151" t="s">
        <v>32</v>
      </c>
      <c r="M1151" t="s">
        <v>33</v>
      </c>
      <c r="N1151" t="s">
        <v>33</v>
      </c>
      <c r="O1151" t="s">
        <v>33</v>
      </c>
      <c r="P1151" t="s">
        <v>34</v>
      </c>
      <c r="Q1151" t="s">
        <v>35</v>
      </c>
      <c r="S1151" t="s">
        <v>30</v>
      </c>
      <c r="T1151" t="s">
        <v>1096</v>
      </c>
      <c r="U1151" t="s">
        <v>1097</v>
      </c>
      <c r="V1151" t="s">
        <v>40</v>
      </c>
      <c r="W1151" s="1">
        <v>2255000</v>
      </c>
    </row>
    <row r="1152" spans="1:23" x14ac:dyDescent="0.2">
      <c r="A1152" t="s">
        <v>23</v>
      </c>
      <c r="B1152" t="s">
        <v>24</v>
      </c>
      <c r="C1152" t="s">
        <v>978</v>
      </c>
      <c r="D1152" t="s">
        <v>1041</v>
      </c>
      <c r="E1152" t="s">
        <v>1084</v>
      </c>
      <c r="F1152" t="s">
        <v>1085</v>
      </c>
      <c r="G1152" t="s">
        <v>89</v>
      </c>
      <c r="H1152" t="s">
        <v>30</v>
      </c>
      <c r="I1152" t="s">
        <v>30</v>
      </c>
      <c r="J1152" t="s">
        <v>233</v>
      </c>
      <c r="K1152" t="s">
        <v>181</v>
      </c>
      <c r="L1152" t="s">
        <v>32</v>
      </c>
      <c r="M1152" t="s">
        <v>33</v>
      </c>
      <c r="P1152" t="s">
        <v>34</v>
      </c>
      <c r="Q1152" t="s">
        <v>35</v>
      </c>
      <c r="R1152" t="s">
        <v>693</v>
      </c>
      <c r="S1152" t="s">
        <v>30</v>
      </c>
      <c r="T1152" t="s">
        <v>1098</v>
      </c>
      <c r="U1152" t="s">
        <v>1099</v>
      </c>
      <c r="V1152" t="s">
        <v>39</v>
      </c>
      <c r="W1152" s="1">
        <v>8</v>
      </c>
    </row>
    <row r="1153" spans="1:23" x14ac:dyDescent="0.2">
      <c r="A1153" t="s">
        <v>23</v>
      </c>
      <c r="B1153" t="s">
        <v>24</v>
      </c>
      <c r="C1153" t="s">
        <v>978</v>
      </c>
      <c r="D1153" t="s">
        <v>1041</v>
      </c>
      <c r="E1153" t="s">
        <v>1084</v>
      </c>
      <c r="F1153" t="s">
        <v>1085</v>
      </c>
      <c r="G1153" t="s">
        <v>89</v>
      </c>
      <c r="H1153" t="s">
        <v>30</v>
      </c>
      <c r="I1153" t="s">
        <v>30</v>
      </c>
      <c r="J1153" t="s">
        <v>233</v>
      </c>
      <c r="K1153" t="s">
        <v>181</v>
      </c>
      <c r="L1153" t="s">
        <v>32</v>
      </c>
      <c r="M1153" t="s">
        <v>33</v>
      </c>
      <c r="P1153" t="s">
        <v>34</v>
      </c>
      <c r="Q1153" t="s">
        <v>35</v>
      </c>
      <c r="R1153" t="s">
        <v>693</v>
      </c>
      <c r="S1153" t="s">
        <v>30</v>
      </c>
      <c r="T1153" t="s">
        <v>1098</v>
      </c>
      <c r="U1153" t="s">
        <v>1099</v>
      </c>
      <c r="V1153" t="s">
        <v>40</v>
      </c>
      <c r="W1153" s="1">
        <v>0</v>
      </c>
    </row>
    <row r="1154" spans="1:23" x14ac:dyDescent="0.2">
      <c r="A1154" t="s">
        <v>23</v>
      </c>
      <c r="B1154" t="s">
        <v>24</v>
      </c>
      <c r="C1154" t="s">
        <v>978</v>
      </c>
      <c r="D1154" t="s">
        <v>1041</v>
      </c>
      <c r="E1154" t="s">
        <v>1084</v>
      </c>
      <c r="F1154" t="s">
        <v>1085</v>
      </c>
      <c r="G1154" t="s">
        <v>106</v>
      </c>
      <c r="H1154" t="s">
        <v>30</v>
      </c>
      <c r="I1154" t="s">
        <v>30</v>
      </c>
      <c r="J1154" t="s">
        <v>128</v>
      </c>
      <c r="K1154" t="s">
        <v>181</v>
      </c>
      <c r="L1154" t="s">
        <v>32</v>
      </c>
      <c r="M1154" t="s">
        <v>33</v>
      </c>
      <c r="P1154" t="s">
        <v>34</v>
      </c>
      <c r="Q1154" t="s">
        <v>35</v>
      </c>
      <c r="S1154" t="s">
        <v>30</v>
      </c>
      <c r="T1154" t="s">
        <v>1094</v>
      </c>
      <c r="U1154" t="s">
        <v>1095</v>
      </c>
      <c r="V1154" t="s">
        <v>39</v>
      </c>
      <c r="W1154" s="1">
        <v>4</v>
      </c>
    </row>
    <row r="1155" spans="1:23" x14ac:dyDescent="0.2">
      <c r="A1155" t="s">
        <v>23</v>
      </c>
      <c r="B1155" t="s">
        <v>24</v>
      </c>
      <c r="C1155" t="s">
        <v>978</v>
      </c>
      <c r="D1155" t="s">
        <v>1041</v>
      </c>
      <c r="E1155" t="s">
        <v>1084</v>
      </c>
      <c r="F1155" t="s">
        <v>1085</v>
      </c>
      <c r="G1155" t="s">
        <v>106</v>
      </c>
      <c r="H1155" t="s">
        <v>30</v>
      </c>
      <c r="I1155" t="s">
        <v>30</v>
      </c>
      <c r="J1155" t="s">
        <v>128</v>
      </c>
      <c r="K1155" t="s">
        <v>181</v>
      </c>
      <c r="L1155" t="s">
        <v>32</v>
      </c>
      <c r="M1155" t="s">
        <v>33</v>
      </c>
      <c r="P1155" t="s">
        <v>34</v>
      </c>
      <c r="Q1155" t="s">
        <v>35</v>
      </c>
      <c r="S1155" t="s">
        <v>30</v>
      </c>
      <c r="T1155" t="s">
        <v>1094</v>
      </c>
      <c r="U1155" t="s">
        <v>1095</v>
      </c>
      <c r="V1155" t="s">
        <v>40</v>
      </c>
      <c r="W1155" s="1">
        <v>0</v>
      </c>
    </row>
    <row r="1156" spans="1:23" x14ac:dyDescent="0.2">
      <c r="A1156" t="s">
        <v>23</v>
      </c>
      <c r="B1156" t="s">
        <v>24</v>
      </c>
      <c r="C1156" t="s">
        <v>978</v>
      </c>
      <c r="D1156" t="s">
        <v>1041</v>
      </c>
      <c r="E1156" t="s">
        <v>1084</v>
      </c>
      <c r="F1156" t="s">
        <v>1085</v>
      </c>
      <c r="G1156" t="s">
        <v>106</v>
      </c>
      <c r="H1156" t="s">
        <v>30</v>
      </c>
      <c r="I1156" t="s">
        <v>30</v>
      </c>
      <c r="J1156" t="s">
        <v>41</v>
      </c>
      <c r="K1156" t="s">
        <v>32</v>
      </c>
      <c r="L1156" t="s">
        <v>32</v>
      </c>
      <c r="M1156" t="s">
        <v>33</v>
      </c>
      <c r="N1156" t="s">
        <v>33</v>
      </c>
      <c r="O1156" t="s">
        <v>33</v>
      </c>
      <c r="P1156" t="s">
        <v>34</v>
      </c>
      <c r="Q1156" t="s">
        <v>35</v>
      </c>
      <c r="R1156" t="s">
        <v>162</v>
      </c>
      <c r="S1156" t="s">
        <v>30</v>
      </c>
      <c r="T1156" t="s">
        <v>1100</v>
      </c>
      <c r="U1156" t="s">
        <v>1101</v>
      </c>
      <c r="V1156" t="s">
        <v>39</v>
      </c>
      <c r="W1156" s="1">
        <v>1</v>
      </c>
    </row>
    <row r="1157" spans="1:23" x14ac:dyDescent="0.2">
      <c r="A1157" t="s">
        <v>23</v>
      </c>
      <c r="B1157" t="s">
        <v>24</v>
      </c>
      <c r="C1157" t="s">
        <v>978</v>
      </c>
      <c r="D1157" t="s">
        <v>1041</v>
      </c>
      <c r="E1157" t="s">
        <v>1084</v>
      </c>
      <c r="F1157" t="s">
        <v>1085</v>
      </c>
      <c r="G1157" t="s">
        <v>106</v>
      </c>
      <c r="H1157" t="s">
        <v>30</v>
      </c>
      <c r="I1157" t="s">
        <v>30</v>
      </c>
      <c r="J1157" t="s">
        <v>41</v>
      </c>
      <c r="K1157" t="s">
        <v>32</v>
      </c>
      <c r="L1157" t="s">
        <v>32</v>
      </c>
      <c r="M1157" t="s">
        <v>33</v>
      </c>
      <c r="N1157" t="s">
        <v>33</v>
      </c>
      <c r="O1157" t="s">
        <v>33</v>
      </c>
      <c r="P1157" t="s">
        <v>34</v>
      </c>
      <c r="Q1157" t="s">
        <v>35</v>
      </c>
      <c r="R1157" t="s">
        <v>162</v>
      </c>
      <c r="S1157" t="s">
        <v>30</v>
      </c>
      <c r="T1157" t="s">
        <v>1100</v>
      </c>
      <c r="U1157" t="s">
        <v>1101</v>
      </c>
      <c r="V1157" t="s">
        <v>40</v>
      </c>
      <c r="W1157" s="1">
        <v>5016600</v>
      </c>
    </row>
    <row r="1158" spans="1:23" x14ac:dyDescent="0.2">
      <c r="A1158" t="s">
        <v>23</v>
      </c>
      <c r="B1158" t="s">
        <v>24</v>
      </c>
      <c r="C1158" t="s">
        <v>978</v>
      </c>
      <c r="D1158" t="s">
        <v>1041</v>
      </c>
      <c r="E1158" t="s">
        <v>1084</v>
      </c>
      <c r="F1158" t="s">
        <v>1085</v>
      </c>
      <c r="G1158" t="s">
        <v>106</v>
      </c>
      <c r="H1158" t="s">
        <v>30</v>
      </c>
      <c r="I1158" t="s">
        <v>30</v>
      </c>
      <c r="J1158" t="s">
        <v>41</v>
      </c>
      <c r="K1158" t="s">
        <v>32</v>
      </c>
      <c r="L1158" t="s">
        <v>32</v>
      </c>
      <c r="M1158" t="s">
        <v>33</v>
      </c>
      <c r="N1158" t="s">
        <v>169</v>
      </c>
      <c r="O1158" t="s">
        <v>169</v>
      </c>
      <c r="P1158" t="s">
        <v>34</v>
      </c>
      <c r="Q1158" t="s">
        <v>35</v>
      </c>
      <c r="R1158" t="s">
        <v>162</v>
      </c>
      <c r="S1158" t="s">
        <v>30</v>
      </c>
      <c r="T1158" t="s">
        <v>1100</v>
      </c>
      <c r="U1158" t="s">
        <v>1101</v>
      </c>
      <c r="V1158" t="s">
        <v>39</v>
      </c>
      <c r="W1158" s="1">
        <v>1</v>
      </c>
    </row>
    <row r="1159" spans="1:23" x14ac:dyDescent="0.2">
      <c r="A1159" t="s">
        <v>23</v>
      </c>
      <c r="B1159" t="s">
        <v>24</v>
      </c>
      <c r="C1159" t="s">
        <v>978</v>
      </c>
      <c r="D1159" t="s">
        <v>1041</v>
      </c>
      <c r="E1159" t="s">
        <v>1084</v>
      </c>
      <c r="F1159" t="s">
        <v>1085</v>
      </c>
      <c r="G1159" t="s">
        <v>106</v>
      </c>
      <c r="H1159" t="s">
        <v>30</v>
      </c>
      <c r="I1159" t="s">
        <v>30</v>
      </c>
      <c r="J1159" t="s">
        <v>41</v>
      </c>
      <c r="K1159" t="s">
        <v>32</v>
      </c>
      <c r="L1159" t="s">
        <v>32</v>
      </c>
      <c r="M1159" t="s">
        <v>33</v>
      </c>
      <c r="N1159" t="s">
        <v>169</v>
      </c>
      <c r="O1159" t="s">
        <v>169</v>
      </c>
      <c r="P1159" t="s">
        <v>34</v>
      </c>
      <c r="Q1159" t="s">
        <v>35</v>
      </c>
      <c r="R1159" t="s">
        <v>162</v>
      </c>
      <c r="S1159" t="s">
        <v>30</v>
      </c>
      <c r="T1159" t="s">
        <v>1100</v>
      </c>
      <c r="U1159" t="s">
        <v>1101</v>
      </c>
      <c r="V1159" t="s">
        <v>40</v>
      </c>
      <c r="W1159" s="1">
        <v>5016600</v>
      </c>
    </row>
    <row r="1160" spans="1:23" x14ac:dyDescent="0.2">
      <c r="A1160" t="s">
        <v>23</v>
      </c>
      <c r="B1160" t="s">
        <v>24</v>
      </c>
      <c r="C1160" t="s">
        <v>978</v>
      </c>
      <c r="D1160" t="s">
        <v>1041</v>
      </c>
      <c r="E1160" t="s">
        <v>1084</v>
      </c>
      <c r="F1160" t="s">
        <v>1085</v>
      </c>
      <c r="G1160" t="s">
        <v>106</v>
      </c>
      <c r="H1160" t="s">
        <v>30</v>
      </c>
      <c r="I1160" t="s">
        <v>30</v>
      </c>
      <c r="J1160" t="s">
        <v>41</v>
      </c>
      <c r="K1160" t="s">
        <v>32</v>
      </c>
      <c r="L1160" t="s">
        <v>32</v>
      </c>
      <c r="M1160" t="s">
        <v>176</v>
      </c>
      <c r="N1160" t="s">
        <v>176</v>
      </c>
      <c r="O1160" t="s">
        <v>176</v>
      </c>
      <c r="P1160" t="s">
        <v>34</v>
      </c>
      <c r="Q1160" t="s">
        <v>35</v>
      </c>
      <c r="R1160" t="s">
        <v>162</v>
      </c>
      <c r="S1160" t="s">
        <v>30</v>
      </c>
      <c r="T1160" t="s">
        <v>1100</v>
      </c>
      <c r="U1160" t="s">
        <v>1101</v>
      </c>
      <c r="V1160" t="s">
        <v>39</v>
      </c>
      <c r="W1160" s="1">
        <v>1</v>
      </c>
    </row>
    <row r="1161" spans="1:23" x14ac:dyDescent="0.2">
      <c r="A1161" t="s">
        <v>23</v>
      </c>
      <c r="B1161" t="s">
        <v>24</v>
      </c>
      <c r="C1161" t="s">
        <v>978</v>
      </c>
      <c r="D1161" t="s">
        <v>1041</v>
      </c>
      <c r="E1161" t="s">
        <v>1084</v>
      </c>
      <c r="F1161" t="s">
        <v>1085</v>
      </c>
      <c r="G1161" t="s">
        <v>106</v>
      </c>
      <c r="H1161" t="s">
        <v>30</v>
      </c>
      <c r="I1161" t="s">
        <v>30</v>
      </c>
      <c r="J1161" t="s">
        <v>41</v>
      </c>
      <c r="K1161" t="s">
        <v>32</v>
      </c>
      <c r="L1161" t="s">
        <v>32</v>
      </c>
      <c r="M1161" t="s">
        <v>176</v>
      </c>
      <c r="N1161" t="s">
        <v>176</v>
      </c>
      <c r="O1161" t="s">
        <v>176</v>
      </c>
      <c r="P1161" t="s">
        <v>34</v>
      </c>
      <c r="Q1161" t="s">
        <v>35</v>
      </c>
      <c r="R1161" t="s">
        <v>162</v>
      </c>
      <c r="S1161" t="s">
        <v>30</v>
      </c>
      <c r="T1161" t="s">
        <v>1100</v>
      </c>
      <c r="U1161" t="s">
        <v>1101</v>
      </c>
      <c r="V1161" t="s">
        <v>40</v>
      </c>
      <c r="W1161" s="1">
        <v>4757860</v>
      </c>
    </row>
    <row r="1162" spans="1:23" x14ac:dyDescent="0.2">
      <c r="A1162" t="s">
        <v>23</v>
      </c>
      <c r="B1162" t="s">
        <v>24</v>
      </c>
      <c r="C1162" t="s">
        <v>978</v>
      </c>
      <c r="D1162" t="s">
        <v>1041</v>
      </c>
      <c r="E1162" t="s">
        <v>1084</v>
      </c>
      <c r="F1162" t="s">
        <v>1085</v>
      </c>
      <c r="G1162" t="s">
        <v>134</v>
      </c>
      <c r="H1162" t="s">
        <v>52</v>
      </c>
      <c r="I1162" t="s">
        <v>30</v>
      </c>
      <c r="J1162" t="s">
        <v>31</v>
      </c>
      <c r="K1162" t="s">
        <v>32</v>
      </c>
      <c r="L1162" t="s">
        <v>32</v>
      </c>
      <c r="M1162" t="s">
        <v>33</v>
      </c>
      <c r="P1162" t="s">
        <v>34</v>
      </c>
      <c r="Q1162" t="s">
        <v>35</v>
      </c>
      <c r="S1162" t="s">
        <v>30</v>
      </c>
      <c r="T1162" t="s">
        <v>1102</v>
      </c>
      <c r="U1162" t="s">
        <v>1103</v>
      </c>
      <c r="V1162" t="s">
        <v>39</v>
      </c>
      <c r="W1162" s="1">
        <v>6</v>
      </c>
    </row>
    <row r="1163" spans="1:23" x14ac:dyDescent="0.2">
      <c r="A1163" t="s">
        <v>23</v>
      </c>
      <c r="B1163" t="s">
        <v>24</v>
      </c>
      <c r="C1163" t="s">
        <v>978</v>
      </c>
      <c r="D1163" t="s">
        <v>1041</v>
      </c>
      <c r="E1163" t="s">
        <v>1084</v>
      </c>
      <c r="F1163" t="s">
        <v>1085</v>
      </c>
      <c r="G1163" t="s">
        <v>134</v>
      </c>
      <c r="H1163" t="s">
        <v>52</v>
      </c>
      <c r="I1163" t="s">
        <v>30</v>
      </c>
      <c r="J1163" t="s">
        <v>31</v>
      </c>
      <c r="K1163" t="s">
        <v>32</v>
      </c>
      <c r="L1163" t="s">
        <v>32</v>
      </c>
      <c r="M1163" t="s">
        <v>33</v>
      </c>
      <c r="P1163" t="s">
        <v>34</v>
      </c>
      <c r="Q1163" t="s">
        <v>35</v>
      </c>
      <c r="S1163" t="s">
        <v>30</v>
      </c>
      <c r="T1163" t="s">
        <v>1102</v>
      </c>
      <c r="U1163" t="s">
        <v>1103</v>
      </c>
      <c r="V1163" t="s">
        <v>40</v>
      </c>
      <c r="W1163" s="1">
        <v>4445400</v>
      </c>
    </row>
    <row r="1164" spans="1:23" x14ac:dyDescent="0.2">
      <c r="A1164" t="s">
        <v>23</v>
      </c>
      <c r="B1164" t="s">
        <v>24</v>
      </c>
      <c r="C1164" t="s">
        <v>978</v>
      </c>
      <c r="D1164" t="s">
        <v>1041</v>
      </c>
      <c r="E1164" t="s">
        <v>1084</v>
      </c>
      <c r="F1164" t="s">
        <v>1085</v>
      </c>
      <c r="G1164" t="s">
        <v>139</v>
      </c>
      <c r="H1164" t="s">
        <v>30</v>
      </c>
      <c r="I1164" t="s">
        <v>30</v>
      </c>
      <c r="J1164" t="s">
        <v>31</v>
      </c>
      <c r="K1164" t="s">
        <v>32</v>
      </c>
      <c r="L1164" t="s">
        <v>32</v>
      </c>
      <c r="M1164" t="s">
        <v>33</v>
      </c>
      <c r="P1164" t="s">
        <v>34</v>
      </c>
      <c r="Q1164" t="s">
        <v>35</v>
      </c>
      <c r="R1164" t="s">
        <v>73</v>
      </c>
      <c r="S1164" t="s">
        <v>30</v>
      </c>
      <c r="T1164" t="s">
        <v>1104</v>
      </c>
      <c r="U1164" t="s">
        <v>1105</v>
      </c>
      <c r="V1164" t="s">
        <v>39</v>
      </c>
      <c r="W1164" s="1">
        <v>7</v>
      </c>
    </row>
    <row r="1165" spans="1:23" x14ac:dyDescent="0.2">
      <c r="A1165" t="s">
        <v>23</v>
      </c>
      <c r="B1165" t="s">
        <v>24</v>
      </c>
      <c r="C1165" t="s">
        <v>978</v>
      </c>
      <c r="D1165" t="s">
        <v>1041</v>
      </c>
      <c r="E1165" t="s">
        <v>1084</v>
      </c>
      <c r="F1165" t="s">
        <v>1085</v>
      </c>
      <c r="G1165" t="s">
        <v>139</v>
      </c>
      <c r="H1165" t="s">
        <v>30</v>
      </c>
      <c r="I1165" t="s">
        <v>30</v>
      </c>
      <c r="J1165" t="s">
        <v>31</v>
      </c>
      <c r="K1165" t="s">
        <v>32</v>
      </c>
      <c r="L1165" t="s">
        <v>32</v>
      </c>
      <c r="M1165" t="s">
        <v>33</v>
      </c>
      <c r="P1165" t="s">
        <v>34</v>
      </c>
      <c r="Q1165" t="s">
        <v>35</v>
      </c>
      <c r="R1165" t="s">
        <v>73</v>
      </c>
      <c r="S1165" t="s">
        <v>30</v>
      </c>
      <c r="T1165" t="s">
        <v>1104</v>
      </c>
      <c r="U1165" t="s">
        <v>1105</v>
      </c>
      <c r="V1165" t="s">
        <v>40</v>
      </c>
      <c r="W1165" s="1">
        <v>6649300</v>
      </c>
    </row>
    <row r="1166" spans="1:23" x14ac:dyDescent="0.2">
      <c r="A1166" t="s">
        <v>23</v>
      </c>
      <c r="B1166" t="s">
        <v>24</v>
      </c>
      <c r="C1166" t="s">
        <v>978</v>
      </c>
      <c r="D1166" t="s">
        <v>1041</v>
      </c>
      <c r="E1166" t="s">
        <v>1084</v>
      </c>
      <c r="F1166" t="s">
        <v>1085</v>
      </c>
      <c r="G1166" t="s">
        <v>139</v>
      </c>
      <c r="H1166" t="s">
        <v>30</v>
      </c>
      <c r="I1166" t="s">
        <v>30</v>
      </c>
      <c r="J1166" t="s">
        <v>41</v>
      </c>
      <c r="K1166" t="s">
        <v>32</v>
      </c>
      <c r="L1166" t="s">
        <v>32</v>
      </c>
      <c r="M1166" t="s">
        <v>33</v>
      </c>
      <c r="P1166" t="s">
        <v>34</v>
      </c>
      <c r="Q1166" t="s">
        <v>35</v>
      </c>
      <c r="S1166" t="s">
        <v>30</v>
      </c>
      <c r="T1166" t="s">
        <v>1106</v>
      </c>
      <c r="U1166" t="s">
        <v>1107</v>
      </c>
      <c r="V1166" t="s">
        <v>39</v>
      </c>
      <c r="W1166" s="1">
        <v>4</v>
      </c>
    </row>
    <row r="1167" spans="1:23" x14ac:dyDescent="0.2">
      <c r="A1167" t="s">
        <v>23</v>
      </c>
      <c r="B1167" t="s">
        <v>24</v>
      </c>
      <c r="C1167" t="s">
        <v>978</v>
      </c>
      <c r="D1167" t="s">
        <v>1041</v>
      </c>
      <c r="E1167" t="s">
        <v>1084</v>
      </c>
      <c r="F1167" t="s">
        <v>1085</v>
      </c>
      <c r="G1167" t="s">
        <v>139</v>
      </c>
      <c r="H1167" t="s">
        <v>30</v>
      </c>
      <c r="I1167" t="s">
        <v>30</v>
      </c>
      <c r="J1167" t="s">
        <v>41</v>
      </c>
      <c r="K1167" t="s">
        <v>32</v>
      </c>
      <c r="L1167" t="s">
        <v>32</v>
      </c>
      <c r="M1167" t="s">
        <v>33</v>
      </c>
      <c r="P1167" t="s">
        <v>34</v>
      </c>
      <c r="Q1167" t="s">
        <v>35</v>
      </c>
      <c r="S1167" t="s">
        <v>30</v>
      </c>
      <c r="T1167" t="s">
        <v>1106</v>
      </c>
      <c r="U1167" t="s">
        <v>1107</v>
      </c>
      <c r="V1167" t="s">
        <v>40</v>
      </c>
      <c r="W1167" s="1">
        <v>4432000</v>
      </c>
    </row>
    <row r="1168" spans="1:23" x14ac:dyDescent="0.2">
      <c r="A1168" t="s">
        <v>23</v>
      </c>
      <c r="B1168" t="s">
        <v>1108</v>
      </c>
      <c r="C1168" t="s">
        <v>1109</v>
      </c>
      <c r="D1168" t="s">
        <v>1110</v>
      </c>
      <c r="E1168" t="s">
        <v>1111</v>
      </c>
      <c r="F1168" t="s">
        <v>1112</v>
      </c>
      <c r="G1168" t="s">
        <v>29</v>
      </c>
      <c r="H1168" t="s">
        <v>30</v>
      </c>
      <c r="I1168" t="s">
        <v>30</v>
      </c>
      <c r="J1168" t="s">
        <v>31</v>
      </c>
      <c r="K1168" t="s">
        <v>32</v>
      </c>
      <c r="L1168" t="s">
        <v>32</v>
      </c>
      <c r="M1168" t="s">
        <v>33</v>
      </c>
      <c r="N1168" t="s">
        <v>33</v>
      </c>
      <c r="O1168" t="s">
        <v>33</v>
      </c>
      <c r="P1168" t="s">
        <v>34</v>
      </c>
      <c r="Q1168" t="s">
        <v>35</v>
      </c>
      <c r="R1168" t="s">
        <v>353</v>
      </c>
      <c r="S1168" t="s">
        <v>30</v>
      </c>
      <c r="T1168" t="s">
        <v>1113</v>
      </c>
      <c r="U1168" t="s">
        <v>1114</v>
      </c>
      <c r="V1168" t="s">
        <v>39</v>
      </c>
      <c r="W1168" s="1">
        <v>1</v>
      </c>
    </row>
    <row r="1169" spans="1:23" x14ac:dyDescent="0.2">
      <c r="A1169" t="s">
        <v>23</v>
      </c>
      <c r="B1169" t="s">
        <v>1108</v>
      </c>
      <c r="C1169" t="s">
        <v>1109</v>
      </c>
      <c r="D1169" t="s">
        <v>1110</v>
      </c>
      <c r="E1169" t="s">
        <v>1111</v>
      </c>
      <c r="F1169" t="s">
        <v>1112</v>
      </c>
      <c r="G1169" t="s">
        <v>29</v>
      </c>
      <c r="H1169" t="s">
        <v>30</v>
      </c>
      <c r="I1169" t="s">
        <v>30</v>
      </c>
      <c r="J1169" t="s">
        <v>31</v>
      </c>
      <c r="K1169" t="s">
        <v>32</v>
      </c>
      <c r="L1169" t="s">
        <v>32</v>
      </c>
      <c r="M1169" t="s">
        <v>33</v>
      </c>
      <c r="N1169" t="s">
        <v>33</v>
      </c>
      <c r="O1169" t="s">
        <v>33</v>
      </c>
      <c r="P1169" t="s">
        <v>34</v>
      </c>
      <c r="Q1169" t="s">
        <v>35</v>
      </c>
      <c r="R1169" t="s">
        <v>353</v>
      </c>
      <c r="S1169" t="s">
        <v>30</v>
      </c>
      <c r="T1169" t="s">
        <v>1113</v>
      </c>
      <c r="U1169" t="s">
        <v>1114</v>
      </c>
      <c r="V1169" t="s">
        <v>40</v>
      </c>
      <c r="W1169" s="1">
        <v>223900</v>
      </c>
    </row>
    <row r="1170" spans="1:23" x14ac:dyDescent="0.2">
      <c r="A1170" t="s">
        <v>23</v>
      </c>
      <c r="B1170" t="s">
        <v>1108</v>
      </c>
      <c r="C1170" t="s">
        <v>1109</v>
      </c>
      <c r="D1170" t="s">
        <v>1110</v>
      </c>
      <c r="E1170" t="s">
        <v>1111</v>
      </c>
      <c r="F1170" t="s">
        <v>1112</v>
      </c>
      <c r="G1170" t="s">
        <v>29</v>
      </c>
      <c r="H1170" t="s">
        <v>30</v>
      </c>
      <c r="I1170" t="s">
        <v>30</v>
      </c>
      <c r="J1170" t="s">
        <v>31</v>
      </c>
      <c r="K1170" t="s">
        <v>32</v>
      </c>
      <c r="L1170" t="s">
        <v>32</v>
      </c>
      <c r="M1170" t="s">
        <v>33</v>
      </c>
      <c r="P1170" t="s">
        <v>34</v>
      </c>
      <c r="Q1170" t="s">
        <v>35</v>
      </c>
      <c r="R1170" t="s">
        <v>353</v>
      </c>
      <c r="S1170" t="s">
        <v>30</v>
      </c>
      <c r="T1170" t="s">
        <v>1113</v>
      </c>
      <c r="U1170" t="s">
        <v>1114</v>
      </c>
      <c r="V1170" t="s">
        <v>39</v>
      </c>
      <c r="W1170" s="1">
        <v>3</v>
      </c>
    </row>
    <row r="1171" spans="1:23" x14ac:dyDescent="0.2">
      <c r="A1171" t="s">
        <v>23</v>
      </c>
      <c r="B1171" t="s">
        <v>1108</v>
      </c>
      <c r="C1171" t="s">
        <v>1109</v>
      </c>
      <c r="D1171" t="s">
        <v>1110</v>
      </c>
      <c r="E1171" t="s">
        <v>1111</v>
      </c>
      <c r="F1171" t="s">
        <v>1112</v>
      </c>
      <c r="G1171" t="s">
        <v>29</v>
      </c>
      <c r="H1171" t="s">
        <v>30</v>
      </c>
      <c r="I1171" t="s">
        <v>30</v>
      </c>
      <c r="J1171" t="s">
        <v>31</v>
      </c>
      <c r="K1171" t="s">
        <v>32</v>
      </c>
      <c r="L1171" t="s">
        <v>32</v>
      </c>
      <c r="M1171" t="s">
        <v>33</v>
      </c>
      <c r="P1171" t="s">
        <v>34</v>
      </c>
      <c r="Q1171" t="s">
        <v>35</v>
      </c>
      <c r="R1171" t="s">
        <v>353</v>
      </c>
      <c r="S1171" t="s">
        <v>30</v>
      </c>
      <c r="T1171" t="s">
        <v>1113</v>
      </c>
      <c r="U1171" t="s">
        <v>1114</v>
      </c>
      <c r="V1171" t="s">
        <v>40</v>
      </c>
      <c r="W1171" s="1">
        <v>671700</v>
      </c>
    </row>
    <row r="1172" spans="1:23" x14ac:dyDescent="0.2">
      <c r="A1172" t="s">
        <v>23</v>
      </c>
      <c r="B1172" t="s">
        <v>1108</v>
      </c>
      <c r="C1172" t="s">
        <v>1109</v>
      </c>
      <c r="D1172" t="s">
        <v>1110</v>
      </c>
      <c r="E1172" t="s">
        <v>1111</v>
      </c>
      <c r="F1172" t="s">
        <v>1112</v>
      </c>
      <c r="G1172" t="s">
        <v>49</v>
      </c>
      <c r="H1172" t="s">
        <v>30</v>
      </c>
      <c r="I1172" t="s">
        <v>30</v>
      </c>
      <c r="J1172" t="s">
        <v>211</v>
      </c>
      <c r="K1172" t="s">
        <v>212</v>
      </c>
      <c r="L1172" t="s">
        <v>32</v>
      </c>
      <c r="M1172" t="s">
        <v>33</v>
      </c>
      <c r="N1172" t="s">
        <v>33</v>
      </c>
      <c r="O1172" t="s">
        <v>33</v>
      </c>
      <c r="P1172" t="s">
        <v>34</v>
      </c>
      <c r="Q1172" t="s">
        <v>35</v>
      </c>
      <c r="R1172" t="s">
        <v>215</v>
      </c>
      <c r="S1172" t="s">
        <v>30</v>
      </c>
      <c r="T1172" t="s">
        <v>1115</v>
      </c>
      <c r="U1172" t="s">
        <v>1116</v>
      </c>
      <c r="V1172" t="s">
        <v>39</v>
      </c>
      <c r="W1172" s="1">
        <v>4</v>
      </c>
    </row>
    <row r="1173" spans="1:23" x14ac:dyDescent="0.2">
      <c r="A1173" t="s">
        <v>23</v>
      </c>
      <c r="B1173" t="s">
        <v>1108</v>
      </c>
      <c r="C1173" t="s">
        <v>1109</v>
      </c>
      <c r="D1173" t="s">
        <v>1110</v>
      </c>
      <c r="E1173" t="s">
        <v>1111</v>
      </c>
      <c r="F1173" t="s">
        <v>1112</v>
      </c>
      <c r="G1173" t="s">
        <v>49</v>
      </c>
      <c r="H1173" t="s">
        <v>30</v>
      </c>
      <c r="I1173" t="s">
        <v>30</v>
      </c>
      <c r="J1173" t="s">
        <v>211</v>
      </c>
      <c r="K1173" t="s">
        <v>212</v>
      </c>
      <c r="L1173" t="s">
        <v>32</v>
      </c>
      <c r="M1173" t="s">
        <v>33</v>
      </c>
      <c r="N1173" t="s">
        <v>33</v>
      </c>
      <c r="O1173" t="s">
        <v>33</v>
      </c>
      <c r="P1173" t="s">
        <v>34</v>
      </c>
      <c r="Q1173" t="s">
        <v>35</v>
      </c>
      <c r="R1173" t="s">
        <v>215</v>
      </c>
      <c r="S1173" t="s">
        <v>30</v>
      </c>
      <c r="T1173" t="s">
        <v>1115</v>
      </c>
      <c r="U1173" t="s">
        <v>1116</v>
      </c>
      <c r="V1173" t="s">
        <v>40</v>
      </c>
      <c r="W1173" s="1">
        <v>5919600</v>
      </c>
    </row>
    <row r="1174" spans="1:23" x14ac:dyDescent="0.2">
      <c r="A1174" t="s">
        <v>23</v>
      </c>
      <c r="B1174" t="s">
        <v>1108</v>
      </c>
      <c r="C1174" t="s">
        <v>1109</v>
      </c>
      <c r="D1174" t="s">
        <v>1110</v>
      </c>
      <c r="E1174" t="s">
        <v>1111</v>
      </c>
      <c r="F1174" t="s">
        <v>1112</v>
      </c>
      <c r="G1174" t="s">
        <v>49</v>
      </c>
      <c r="H1174" t="s">
        <v>30</v>
      </c>
      <c r="I1174" t="s">
        <v>30</v>
      </c>
      <c r="J1174" t="s">
        <v>31</v>
      </c>
      <c r="K1174" t="s">
        <v>32</v>
      </c>
      <c r="L1174" t="s">
        <v>32</v>
      </c>
      <c r="M1174" t="s">
        <v>33</v>
      </c>
      <c r="N1174" t="s">
        <v>33</v>
      </c>
      <c r="O1174" t="s">
        <v>33</v>
      </c>
      <c r="P1174" t="s">
        <v>213</v>
      </c>
      <c r="Q1174" t="s">
        <v>214</v>
      </c>
      <c r="S1174" t="s">
        <v>30</v>
      </c>
      <c r="T1174" t="s">
        <v>1117</v>
      </c>
      <c r="U1174" t="s">
        <v>1118</v>
      </c>
      <c r="V1174" t="s">
        <v>39</v>
      </c>
      <c r="W1174" s="1">
        <v>2</v>
      </c>
    </row>
    <row r="1175" spans="1:23" x14ac:dyDescent="0.2">
      <c r="A1175" t="s">
        <v>23</v>
      </c>
      <c r="B1175" t="s">
        <v>1108</v>
      </c>
      <c r="C1175" t="s">
        <v>1109</v>
      </c>
      <c r="D1175" t="s">
        <v>1110</v>
      </c>
      <c r="E1175" t="s">
        <v>1111</v>
      </c>
      <c r="F1175" t="s">
        <v>1112</v>
      </c>
      <c r="G1175" t="s">
        <v>49</v>
      </c>
      <c r="H1175" t="s">
        <v>30</v>
      </c>
      <c r="I1175" t="s">
        <v>30</v>
      </c>
      <c r="J1175" t="s">
        <v>31</v>
      </c>
      <c r="K1175" t="s">
        <v>32</v>
      </c>
      <c r="L1175" t="s">
        <v>32</v>
      </c>
      <c r="M1175" t="s">
        <v>33</v>
      </c>
      <c r="N1175" t="s">
        <v>33</v>
      </c>
      <c r="O1175" t="s">
        <v>33</v>
      </c>
      <c r="P1175" t="s">
        <v>213</v>
      </c>
      <c r="Q1175" t="s">
        <v>214</v>
      </c>
      <c r="S1175" t="s">
        <v>30</v>
      </c>
      <c r="T1175" t="s">
        <v>1117</v>
      </c>
      <c r="U1175" t="s">
        <v>1118</v>
      </c>
      <c r="V1175" t="s">
        <v>40</v>
      </c>
      <c r="W1175" s="1">
        <v>1278000</v>
      </c>
    </row>
    <row r="1176" spans="1:23" x14ac:dyDescent="0.2">
      <c r="A1176" t="s">
        <v>23</v>
      </c>
      <c r="B1176" t="s">
        <v>1108</v>
      </c>
      <c r="C1176" t="s">
        <v>1109</v>
      </c>
      <c r="D1176" t="s">
        <v>1110</v>
      </c>
      <c r="E1176" t="s">
        <v>1111</v>
      </c>
      <c r="F1176" t="s">
        <v>1112</v>
      </c>
      <c r="G1176" t="s">
        <v>61</v>
      </c>
      <c r="H1176" t="s">
        <v>52</v>
      </c>
      <c r="I1176" t="s">
        <v>52</v>
      </c>
      <c r="J1176" t="s">
        <v>41</v>
      </c>
      <c r="K1176" t="s">
        <v>32</v>
      </c>
      <c r="L1176" t="s">
        <v>32</v>
      </c>
      <c r="M1176" t="s">
        <v>33</v>
      </c>
      <c r="N1176" t="s">
        <v>33</v>
      </c>
      <c r="O1176" t="s">
        <v>33</v>
      </c>
      <c r="P1176" t="s">
        <v>34</v>
      </c>
      <c r="Q1176" t="s">
        <v>35</v>
      </c>
      <c r="R1176" t="s">
        <v>36</v>
      </c>
      <c r="S1176" t="s">
        <v>30</v>
      </c>
      <c r="T1176" t="s">
        <v>1119</v>
      </c>
      <c r="U1176" t="s">
        <v>1120</v>
      </c>
      <c r="V1176" t="s">
        <v>39</v>
      </c>
      <c r="W1176" s="1">
        <v>3</v>
      </c>
    </row>
    <row r="1177" spans="1:23" x14ac:dyDescent="0.2">
      <c r="A1177" t="s">
        <v>23</v>
      </c>
      <c r="B1177" t="s">
        <v>1108</v>
      </c>
      <c r="C1177" t="s">
        <v>1109</v>
      </c>
      <c r="D1177" t="s">
        <v>1110</v>
      </c>
      <c r="E1177" t="s">
        <v>1111</v>
      </c>
      <c r="F1177" t="s">
        <v>1112</v>
      </c>
      <c r="G1177" t="s">
        <v>61</v>
      </c>
      <c r="H1177" t="s">
        <v>52</v>
      </c>
      <c r="I1177" t="s">
        <v>52</v>
      </c>
      <c r="J1177" t="s">
        <v>41</v>
      </c>
      <c r="K1177" t="s">
        <v>32</v>
      </c>
      <c r="L1177" t="s">
        <v>32</v>
      </c>
      <c r="M1177" t="s">
        <v>33</v>
      </c>
      <c r="N1177" t="s">
        <v>33</v>
      </c>
      <c r="O1177" t="s">
        <v>33</v>
      </c>
      <c r="P1177" t="s">
        <v>34</v>
      </c>
      <c r="Q1177" t="s">
        <v>35</v>
      </c>
      <c r="R1177" t="s">
        <v>36</v>
      </c>
      <c r="S1177" t="s">
        <v>30</v>
      </c>
      <c r="T1177" t="s">
        <v>1119</v>
      </c>
      <c r="U1177" t="s">
        <v>1120</v>
      </c>
      <c r="V1177" t="s">
        <v>40</v>
      </c>
      <c r="W1177" s="1">
        <v>4007700</v>
      </c>
    </row>
    <row r="1178" spans="1:23" x14ac:dyDescent="0.2">
      <c r="A1178" t="s">
        <v>23</v>
      </c>
      <c r="B1178" t="s">
        <v>1108</v>
      </c>
      <c r="C1178" t="s">
        <v>1109</v>
      </c>
      <c r="D1178" t="s">
        <v>1110</v>
      </c>
      <c r="E1178" t="s">
        <v>1111</v>
      </c>
      <c r="F1178" t="s">
        <v>1112</v>
      </c>
      <c r="G1178" t="s">
        <v>61</v>
      </c>
      <c r="H1178" t="s">
        <v>52</v>
      </c>
      <c r="I1178" t="s">
        <v>52</v>
      </c>
      <c r="J1178" t="s">
        <v>41</v>
      </c>
      <c r="K1178" t="s">
        <v>32</v>
      </c>
      <c r="L1178" t="s">
        <v>32</v>
      </c>
      <c r="M1178" t="s">
        <v>33</v>
      </c>
      <c r="P1178" t="s">
        <v>34</v>
      </c>
      <c r="Q1178" t="s">
        <v>35</v>
      </c>
      <c r="R1178" t="s">
        <v>36</v>
      </c>
      <c r="S1178" t="s">
        <v>30</v>
      </c>
      <c r="T1178" t="s">
        <v>1119</v>
      </c>
      <c r="U1178" t="s">
        <v>1120</v>
      </c>
      <c r="V1178" t="s">
        <v>39</v>
      </c>
      <c r="W1178" s="1">
        <v>2</v>
      </c>
    </row>
    <row r="1179" spans="1:23" x14ac:dyDescent="0.2">
      <c r="A1179" t="s">
        <v>23</v>
      </c>
      <c r="B1179" t="s">
        <v>1108</v>
      </c>
      <c r="C1179" t="s">
        <v>1109</v>
      </c>
      <c r="D1179" t="s">
        <v>1110</v>
      </c>
      <c r="E1179" t="s">
        <v>1111</v>
      </c>
      <c r="F1179" t="s">
        <v>1112</v>
      </c>
      <c r="G1179" t="s">
        <v>61</v>
      </c>
      <c r="H1179" t="s">
        <v>52</v>
      </c>
      <c r="I1179" t="s">
        <v>52</v>
      </c>
      <c r="J1179" t="s">
        <v>41</v>
      </c>
      <c r="K1179" t="s">
        <v>32</v>
      </c>
      <c r="L1179" t="s">
        <v>32</v>
      </c>
      <c r="M1179" t="s">
        <v>33</v>
      </c>
      <c r="P1179" t="s">
        <v>34</v>
      </c>
      <c r="Q1179" t="s">
        <v>35</v>
      </c>
      <c r="R1179" t="s">
        <v>36</v>
      </c>
      <c r="S1179" t="s">
        <v>30</v>
      </c>
      <c r="T1179" t="s">
        <v>1119</v>
      </c>
      <c r="U1179" t="s">
        <v>1120</v>
      </c>
      <c r="V1179" t="s">
        <v>40</v>
      </c>
      <c r="W1179" s="1">
        <v>2671800</v>
      </c>
    </row>
    <row r="1180" spans="1:23" x14ac:dyDescent="0.2">
      <c r="A1180" t="s">
        <v>23</v>
      </c>
      <c r="B1180" t="s">
        <v>1108</v>
      </c>
      <c r="C1180" t="s">
        <v>1109</v>
      </c>
      <c r="D1180" t="s">
        <v>1110</v>
      </c>
      <c r="E1180" t="s">
        <v>1111</v>
      </c>
      <c r="F1180" t="s">
        <v>1112</v>
      </c>
      <c r="G1180" t="s">
        <v>61</v>
      </c>
      <c r="H1180" t="s">
        <v>52</v>
      </c>
      <c r="I1180" t="s">
        <v>52</v>
      </c>
      <c r="J1180" t="s">
        <v>41</v>
      </c>
      <c r="K1180" t="s">
        <v>32</v>
      </c>
      <c r="L1180" t="s">
        <v>32</v>
      </c>
      <c r="M1180" t="s">
        <v>176</v>
      </c>
      <c r="N1180" t="s">
        <v>176</v>
      </c>
      <c r="O1180" t="s">
        <v>176</v>
      </c>
      <c r="P1180" t="s">
        <v>34</v>
      </c>
      <c r="Q1180" t="s">
        <v>35</v>
      </c>
      <c r="R1180" t="s">
        <v>36</v>
      </c>
      <c r="S1180" t="s">
        <v>30</v>
      </c>
      <c r="T1180" t="s">
        <v>1119</v>
      </c>
      <c r="U1180" t="s">
        <v>1120</v>
      </c>
      <c r="V1180" t="s">
        <v>39</v>
      </c>
      <c r="W1180" s="1">
        <v>2</v>
      </c>
    </row>
    <row r="1181" spans="1:23" x14ac:dyDescent="0.2">
      <c r="A1181" t="s">
        <v>23</v>
      </c>
      <c r="B1181" t="s">
        <v>1108</v>
      </c>
      <c r="C1181" t="s">
        <v>1109</v>
      </c>
      <c r="D1181" t="s">
        <v>1110</v>
      </c>
      <c r="E1181" t="s">
        <v>1111</v>
      </c>
      <c r="F1181" t="s">
        <v>1112</v>
      </c>
      <c r="G1181" t="s">
        <v>61</v>
      </c>
      <c r="H1181" t="s">
        <v>52</v>
      </c>
      <c r="I1181" t="s">
        <v>52</v>
      </c>
      <c r="J1181" t="s">
        <v>41</v>
      </c>
      <c r="K1181" t="s">
        <v>32</v>
      </c>
      <c r="L1181" t="s">
        <v>32</v>
      </c>
      <c r="M1181" t="s">
        <v>176</v>
      </c>
      <c r="N1181" t="s">
        <v>176</v>
      </c>
      <c r="O1181" t="s">
        <v>176</v>
      </c>
      <c r="P1181" t="s">
        <v>34</v>
      </c>
      <c r="Q1181" t="s">
        <v>35</v>
      </c>
      <c r="R1181" t="s">
        <v>36</v>
      </c>
      <c r="S1181" t="s">
        <v>30</v>
      </c>
      <c r="T1181" t="s">
        <v>1119</v>
      </c>
      <c r="U1181" t="s">
        <v>1120</v>
      </c>
      <c r="V1181" t="s">
        <v>40</v>
      </c>
      <c r="W1181" s="1">
        <v>2671800</v>
      </c>
    </row>
    <row r="1182" spans="1:23" x14ac:dyDescent="0.2">
      <c r="A1182" t="s">
        <v>23</v>
      </c>
      <c r="B1182" t="s">
        <v>1108</v>
      </c>
      <c r="C1182" t="s">
        <v>1109</v>
      </c>
      <c r="D1182" t="s">
        <v>1110</v>
      </c>
      <c r="E1182" t="s">
        <v>1111</v>
      </c>
      <c r="F1182" t="s">
        <v>1112</v>
      </c>
      <c r="G1182" t="s">
        <v>89</v>
      </c>
      <c r="H1182" t="s">
        <v>30</v>
      </c>
      <c r="I1182" t="s">
        <v>30</v>
      </c>
      <c r="J1182" t="s">
        <v>31</v>
      </c>
      <c r="K1182" t="s">
        <v>32</v>
      </c>
      <c r="L1182" t="s">
        <v>32</v>
      </c>
      <c r="M1182" t="s">
        <v>33</v>
      </c>
      <c r="N1182" t="s">
        <v>33</v>
      </c>
      <c r="O1182" t="s">
        <v>33</v>
      </c>
      <c r="P1182" t="s">
        <v>34</v>
      </c>
      <c r="Q1182" t="s">
        <v>35</v>
      </c>
      <c r="S1182" t="s">
        <v>30</v>
      </c>
      <c r="T1182" t="s">
        <v>1121</v>
      </c>
      <c r="U1182" t="s">
        <v>1122</v>
      </c>
      <c r="V1182" t="s">
        <v>39</v>
      </c>
      <c r="W1182" s="1">
        <v>3</v>
      </c>
    </row>
    <row r="1183" spans="1:23" x14ac:dyDescent="0.2">
      <c r="A1183" t="s">
        <v>23</v>
      </c>
      <c r="B1183" t="s">
        <v>1108</v>
      </c>
      <c r="C1183" t="s">
        <v>1109</v>
      </c>
      <c r="D1183" t="s">
        <v>1110</v>
      </c>
      <c r="E1183" t="s">
        <v>1111</v>
      </c>
      <c r="F1183" t="s">
        <v>1112</v>
      </c>
      <c r="G1183" t="s">
        <v>89</v>
      </c>
      <c r="H1183" t="s">
        <v>30</v>
      </c>
      <c r="I1183" t="s">
        <v>30</v>
      </c>
      <c r="J1183" t="s">
        <v>31</v>
      </c>
      <c r="K1183" t="s">
        <v>32</v>
      </c>
      <c r="L1183" t="s">
        <v>32</v>
      </c>
      <c r="M1183" t="s">
        <v>33</v>
      </c>
      <c r="N1183" t="s">
        <v>33</v>
      </c>
      <c r="O1183" t="s">
        <v>33</v>
      </c>
      <c r="P1183" t="s">
        <v>34</v>
      </c>
      <c r="Q1183" t="s">
        <v>35</v>
      </c>
      <c r="S1183" t="s">
        <v>30</v>
      </c>
      <c r="T1183" t="s">
        <v>1121</v>
      </c>
      <c r="U1183" t="s">
        <v>1122</v>
      </c>
      <c r="V1183" t="s">
        <v>40</v>
      </c>
      <c r="W1183" s="1">
        <v>2067000</v>
      </c>
    </row>
    <row r="1184" spans="1:23" x14ac:dyDescent="0.2">
      <c r="A1184" t="s">
        <v>23</v>
      </c>
      <c r="B1184" t="s">
        <v>1108</v>
      </c>
      <c r="C1184" t="s">
        <v>1109</v>
      </c>
      <c r="D1184" t="s">
        <v>1110</v>
      </c>
      <c r="E1184" t="s">
        <v>1111</v>
      </c>
      <c r="F1184" t="s">
        <v>1112</v>
      </c>
      <c r="G1184" t="s">
        <v>89</v>
      </c>
      <c r="H1184" t="s">
        <v>30</v>
      </c>
      <c r="I1184" t="s">
        <v>30</v>
      </c>
      <c r="J1184" t="s">
        <v>41</v>
      </c>
      <c r="K1184" t="s">
        <v>32</v>
      </c>
      <c r="L1184" t="s">
        <v>32</v>
      </c>
      <c r="M1184" t="s">
        <v>33</v>
      </c>
      <c r="N1184" t="s">
        <v>33</v>
      </c>
      <c r="O1184" t="s">
        <v>33</v>
      </c>
      <c r="P1184" t="s">
        <v>34</v>
      </c>
      <c r="Q1184" t="s">
        <v>35</v>
      </c>
      <c r="R1184" t="s">
        <v>36</v>
      </c>
      <c r="S1184" t="s">
        <v>30</v>
      </c>
      <c r="T1184" t="s">
        <v>1123</v>
      </c>
      <c r="U1184" t="s">
        <v>1124</v>
      </c>
      <c r="V1184" t="s">
        <v>39</v>
      </c>
      <c r="W1184" s="1">
        <v>12</v>
      </c>
    </row>
    <row r="1185" spans="1:23" x14ac:dyDescent="0.2">
      <c r="A1185" t="s">
        <v>23</v>
      </c>
      <c r="B1185" t="s">
        <v>1108</v>
      </c>
      <c r="C1185" t="s">
        <v>1109</v>
      </c>
      <c r="D1185" t="s">
        <v>1110</v>
      </c>
      <c r="E1185" t="s">
        <v>1111</v>
      </c>
      <c r="F1185" t="s">
        <v>1112</v>
      </c>
      <c r="G1185" t="s">
        <v>89</v>
      </c>
      <c r="H1185" t="s">
        <v>30</v>
      </c>
      <c r="I1185" t="s">
        <v>30</v>
      </c>
      <c r="J1185" t="s">
        <v>41</v>
      </c>
      <c r="K1185" t="s">
        <v>32</v>
      </c>
      <c r="L1185" t="s">
        <v>32</v>
      </c>
      <c r="M1185" t="s">
        <v>33</v>
      </c>
      <c r="N1185" t="s">
        <v>33</v>
      </c>
      <c r="O1185" t="s">
        <v>33</v>
      </c>
      <c r="P1185" t="s">
        <v>34</v>
      </c>
      <c r="Q1185" t="s">
        <v>35</v>
      </c>
      <c r="R1185" t="s">
        <v>36</v>
      </c>
      <c r="S1185" t="s">
        <v>30</v>
      </c>
      <c r="T1185" t="s">
        <v>1123</v>
      </c>
      <c r="U1185" t="s">
        <v>1124</v>
      </c>
      <c r="V1185" t="s">
        <v>40</v>
      </c>
      <c r="W1185" s="1">
        <v>15332400</v>
      </c>
    </row>
    <row r="1186" spans="1:23" x14ac:dyDescent="0.2">
      <c r="A1186" t="s">
        <v>23</v>
      </c>
      <c r="B1186" t="s">
        <v>1108</v>
      </c>
      <c r="C1186" t="s">
        <v>1109</v>
      </c>
      <c r="D1186" t="s">
        <v>1110</v>
      </c>
      <c r="E1186" t="s">
        <v>1111</v>
      </c>
      <c r="F1186" t="s">
        <v>1112</v>
      </c>
      <c r="G1186" t="s">
        <v>89</v>
      </c>
      <c r="H1186" t="s">
        <v>30</v>
      </c>
      <c r="I1186" t="s">
        <v>30</v>
      </c>
      <c r="J1186" t="s">
        <v>41</v>
      </c>
      <c r="K1186" t="s">
        <v>32</v>
      </c>
      <c r="L1186" t="s">
        <v>32</v>
      </c>
      <c r="M1186" t="s">
        <v>33</v>
      </c>
      <c r="P1186" t="s">
        <v>34</v>
      </c>
      <c r="Q1186" t="s">
        <v>35</v>
      </c>
      <c r="R1186" t="s">
        <v>36</v>
      </c>
      <c r="S1186" t="s">
        <v>30</v>
      </c>
      <c r="T1186" t="s">
        <v>1123</v>
      </c>
      <c r="U1186" t="s">
        <v>1124</v>
      </c>
      <c r="V1186" t="s">
        <v>39</v>
      </c>
      <c r="W1186" s="1">
        <v>2</v>
      </c>
    </row>
    <row r="1187" spans="1:23" x14ac:dyDescent="0.2">
      <c r="A1187" t="s">
        <v>23</v>
      </c>
      <c r="B1187" t="s">
        <v>1108</v>
      </c>
      <c r="C1187" t="s">
        <v>1109</v>
      </c>
      <c r="D1187" t="s">
        <v>1110</v>
      </c>
      <c r="E1187" t="s">
        <v>1111</v>
      </c>
      <c r="F1187" t="s">
        <v>1112</v>
      </c>
      <c r="G1187" t="s">
        <v>89</v>
      </c>
      <c r="H1187" t="s">
        <v>30</v>
      </c>
      <c r="I1187" t="s">
        <v>30</v>
      </c>
      <c r="J1187" t="s">
        <v>41</v>
      </c>
      <c r="K1187" t="s">
        <v>32</v>
      </c>
      <c r="L1187" t="s">
        <v>32</v>
      </c>
      <c r="M1187" t="s">
        <v>33</v>
      </c>
      <c r="P1187" t="s">
        <v>34</v>
      </c>
      <c r="Q1187" t="s">
        <v>35</v>
      </c>
      <c r="R1187" t="s">
        <v>36</v>
      </c>
      <c r="S1187" t="s">
        <v>30</v>
      </c>
      <c r="T1187" t="s">
        <v>1123</v>
      </c>
      <c r="U1187" t="s">
        <v>1124</v>
      </c>
      <c r="V1187" t="s">
        <v>40</v>
      </c>
      <c r="W1187" s="1">
        <v>2555400</v>
      </c>
    </row>
    <row r="1188" spans="1:23" x14ac:dyDescent="0.2">
      <c r="A1188" t="s">
        <v>23</v>
      </c>
      <c r="B1188" t="s">
        <v>1108</v>
      </c>
      <c r="C1188" t="s">
        <v>1109</v>
      </c>
      <c r="D1188" t="s">
        <v>1110</v>
      </c>
      <c r="E1188" t="s">
        <v>1111</v>
      </c>
      <c r="F1188" t="s">
        <v>1112</v>
      </c>
      <c r="G1188" t="s">
        <v>106</v>
      </c>
      <c r="H1188" t="s">
        <v>30</v>
      </c>
      <c r="I1188" t="s">
        <v>30</v>
      </c>
      <c r="J1188" t="s">
        <v>211</v>
      </c>
      <c r="K1188" t="s">
        <v>181</v>
      </c>
      <c r="L1188" t="s">
        <v>32</v>
      </c>
      <c r="M1188" t="s">
        <v>33</v>
      </c>
      <c r="P1188" t="s">
        <v>34</v>
      </c>
      <c r="Q1188" t="s">
        <v>35</v>
      </c>
      <c r="R1188" t="s">
        <v>242</v>
      </c>
      <c r="S1188" t="s">
        <v>52</v>
      </c>
      <c r="T1188" t="s">
        <v>1125</v>
      </c>
      <c r="U1188" t="s">
        <v>1126</v>
      </c>
      <c r="V1188" t="s">
        <v>39</v>
      </c>
      <c r="W1188" s="1">
        <v>0</v>
      </c>
    </row>
    <row r="1189" spans="1:23" x14ac:dyDescent="0.2">
      <c r="A1189" t="s">
        <v>23</v>
      </c>
      <c r="B1189" t="s">
        <v>1108</v>
      </c>
      <c r="C1189" t="s">
        <v>1109</v>
      </c>
      <c r="D1189" t="s">
        <v>1110</v>
      </c>
      <c r="E1189" t="s">
        <v>1111</v>
      </c>
      <c r="F1189" t="s">
        <v>1112</v>
      </c>
      <c r="G1189" t="s">
        <v>106</v>
      </c>
      <c r="H1189" t="s">
        <v>30</v>
      </c>
      <c r="I1189" t="s">
        <v>30</v>
      </c>
      <c r="J1189" t="s">
        <v>211</v>
      </c>
      <c r="K1189" t="s">
        <v>181</v>
      </c>
      <c r="L1189" t="s">
        <v>32</v>
      </c>
      <c r="M1189" t="s">
        <v>33</v>
      </c>
      <c r="P1189" t="s">
        <v>34</v>
      </c>
      <c r="Q1189" t="s">
        <v>35</v>
      </c>
      <c r="R1189" t="s">
        <v>242</v>
      </c>
      <c r="S1189" t="s">
        <v>52</v>
      </c>
      <c r="T1189" t="s">
        <v>1125</v>
      </c>
      <c r="U1189" t="s">
        <v>1126</v>
      </c>
      <c r="V1189" t="s">
        <v>40</v>
      </c>
      <c r="W1189" s="1">
        <v>3516000</v>
      </c>
    </row>
    <row r="1190" spans="1:23" x14ac:dyDescent="0.2">
      <c r="A1190" t="s">
        <v>23</v>
      </c>
      <c r="B1190" t="s">
        <v>1108</v>
      </c>
      <c r="C1190" t="s">
        <v>1109</v>
      </c>
      <c r="D1190" t="s">
        <v>1110</v>
      </c>
      <c r="E1190" t="s">
        <v>1111</v>
      </c>
      <c r="F1190" t="s">
        <v>1112</v>
      </c>
      <c r="G1190" t="s">
        <v>106</v>
      </c>
      <c r="H1190" t="s">
        <v>30</v>
      </c>
      <c r="I1190" t="s">
        <v>30</v>
      </c>
      <c r="J1190" t="s">
        <v>31</v>
      </c>
      <c r="K1190" t="s">
        <v>32</v>
      </c>
      <c r="L1190" t="s">
        <v>32</v>
      </c>
      <c r="M1190" t="s">
        <v>33</v>
      </c>
      <c r="N1190" t="s">
        <v>33</v>
      </c>
      <c r="O1190" t="s">
        <v>33</v>
      </c>
      <c r="P1190" t="s">
        <v>34</v>
      </c>
      <c r="Q1190" t="s">
        <v>35</v>
      </c>
      <c r="R1190" t="s">
        <v>228</v>
      </c>
      <c r="S1190" t="s">
        <v>30</v>
      </c>
      <c r="T1190" t="s">
        <v>1127</v>
      </c>
      <c r="U1190" t="s">
        <v>1128</v>
      </c>
      <c r="V1190" t="s">
        <v>39</v>
      </c>
      <c r="W1190" s="1">
        <v>8</v>
      </c>
    </row>
    <row r="1191" spans="1:23" x14ac:dyDescent="0.2">
      <c r="A1191" t="s">
        <v>23</v>
      </c>
      <c r="B1191" t="s">
        <v>1108</v>
      </c>
      <c r="C1191" t="s">
        <v>1109</v>
      </c>
      <c r="D1191" t="s">
        <v>1110</v>
      </c>
      <c r="E1191" t="s">
        <v>1111</v>
      </c>
      <c r="F1191" t="s">
        <v>1112</v>
      </c>
      <c r="G1191" t="s">
        <v>106</v>
      </c>
      <c r="H1191" t="s">
        <v>30</v>
      </c>
      <c r="I1191" t="s">
        <v>30</v>
      </c>
      <c r="J1191" t="s">
        <v>31</v>
      </c>
      <c r="K1191" t="s">
        <v>32</v>
      </c>
      <c r="L1191" t="s">
        <v>32</v>
      </c>
      <c r="M1191" t="s">
        <v>33</v>
      </c>
      <c r="N1191" t="s">
        <v>33</v>
      </c>
      <c r="O1191" t="s">
        <v>33</v>
      </c>
      <c r="P1191" t="s">
        <v>34</v>
      </c>
      <c r="Q1191" t="s">
        <v>35</v>
      </c>
      <c r="R1191" t="s">
        <v>228</v>
      </c>
      <c r="S1191" t="s">
        <v>30</v>
      </c>
      <c r="T1191" t="s">
        <v>1127</v>
      </c>
      <c r="U1191" t="s">
        <v>1128</v>
      </c>
      <c r="V1191" t="s">
        <v>40</v>
      </c>
      <c r="W1191" s="1">
        <v>6633600</v>
      </c>
    </row>
    <row r="1192" spans="1:23" x14ac:dyDescent="0.2">
      <c r="A1192" t="s">
        <v>23</v>
      </c>
      <c r="B1192" t="s">
        <v>1108</v>
      </c>
      <c r="C1192" t="s">
        <v>1109</v>
      </c>
      <c r="D1192" t="s">
        <v>1110</v>
      </c>
      <c r="E1192" t="s">
        <v>1111</v>
      </c>
      <c r="F1192" t="s">
        <v>1112</v>
      </c>
      <c r="G1192" t="s">
        <v>106</v>
      </c>
      <c r="H1192" t="s">
        <v>30</v>
      </c>
      <c r="I1192" t="s">
        <v>30</v>
      </c>
      <c r="J1192" t="s">
        <v>31</v>
      </c>
      <c r="K1192" t="s">
        <v>32</v>
      </c>
      <c r="L1192" t="s">
        <v>32</v>
      </c>
      <c r="M1192" t="s">
        <v>33</v>
      </c>
      <c r="P1192" t="s">
        <v>34</v>
      </c>
      <c r="Q1192" t="s">
        <v>35</v>
      </c>
      <c r="R1192" t="s">
        <v>228</v>
      </c>
      <c r="S1192" t="s">
        <v>30</v>
      </c>
      <c r="T1192" t="s">
        <v>1127</v>
      </c>
      <c r="U1192" t="s">
        <v>1128</v>
      </c>
      <c r="V1192" t="s">
        <v>39</v>
      </c>
      <c r="W1192" s="1">
        <v>1</v>
      </c>
    </row>
    <row r="1193" spans="1:23" x14ac:dyDescent="0.2">
      <c r="A1193" t="s">
        <v>23</v>
      </c>
      <c r="B1193" t="s">
        <v>1108</v>
      </c>
      <c r="C1193" t="s">
        <v>1109</v>
      </c>
      <c r="D1193" t="s">
        <v>1110</v>
      </c>
      <c r="E1193" t="s">
        <v>1111</v>
      </c>
      <c r="F1193" t="s">
        <v>1112</v>
      </c>
      <c r="G1193" t="s">
        <v>106</v>
      </c>
      <c r="H1193" t="s">
        <v>30</v>
      </c>
      <c r="I1193" t="s">
        <v>30</v>
      </c>
      <c r="J1193" t="s">
        <v>31</v>
      </c>
      <c r="K1193" t="s">
        <v>32</v>
      </c>
      <c r="L1193" t="s">
        <v>32</v>
      </c>
      <c r="M1193" t="s">
        <v>33</v>
      </c>
      <c r="P1193" t="s">
        <v>34</v>
      </c>
      <c r="Q1193" t="s">
        <v>35</v>
      </c>
      <c r="R1193" t="s">
        <v>228</v>
      </c>
      <c r="S1193" t="s">
        <v>30</v>
      </c>
      <c r="T1193" t="s">
        <v>1127</v>
      </c>
      <c r="U1193" t="s">
        <v>1128</v>
      </c>
      <c r="V1193" t="s">
        <v>40</v>
      </c>
      <c r="W1193" s="1">
        <v>829200</v>
      </c>
    </row>
    <row r="1194" spans="1:23" x14ac:dyDescent="0.2">
      <c r="A1194" t="s">
        <v>23</v>
      </c>
      <c r="B1194" t="s">
        <v>1108</v>
      </c>
      <c r="C1194" t="s">
        <v>1109</v>
      </c>
      <c r="D1194" t="s">
        <v>1110</v>
      </c>
      <c r="E1194" t="s">
        <v>1111</v>
      </c>
      <c r="F1194" t="s">
        <v>1112</v>
      </c>
      <c r="G1194" t="s">
        <v>106</v>
      </c>
      <c r="H1194" t="s">
        <v>30</v>
      </c>
      <c r="I1194" t="s">
        <v>30</v>
      </c>
      <c r="J1194" t="s">
        <v>31</v>
      </c>
      <c r="K1194" t="s">
        <v>32</v>
      </c>
      <c r="L1194" t="s">
        <v>32</v>
      </c>
      <c r="M1194" t="s">
        <v>33</v>
      </c>
      <c r="P1194" t="s">
        <v>34</v>
      </c>
      <c r="Q1194" t="s">
        <v>35</v>
      </c>
      <c r="R1194" t="s">
        <v>228</v>
      </c>
      <c r="S1194" t="s">
        <v>52</v>
      </c>
      <c r="T1194" t="s">
        <v>1127</v>
      </c>
      <c r="U1194" t="s">
        <v>1128</v>
      </c>
      <c r="V1194" t="s">
        <v>39</v>
      </c>
      <c r="W1194" s="1">
        <v>0</v>
      </c>
    </row>
    <row r="1195" spans="1:23" x14ac:dyDescent="0.2">
      <c r="A1195" t="s">
        <v>23</v>
      </c>
      <c r="B1195" t="s">
        <v>1108</v>
      </c>
      <c r="C1195" t="s">
        <v>1109</v>
      </c>
      <c r="D1195" t="s">
        <v>1110</v>
      </c>
      <c r="E1195" t="s">
        <v>1111</v>
      </c>
      <c r="F1195" t="s">
        <v>1112</v>
      </c>
      <c r="G1195" t="s">
        <v>106</v>
      </c>
      <c r="H1195" t="s">
        <v>30</v>
      </c>
      <c r="I1195" t="s">
        <v>30</v>
      </c>
      <c r="J1195" t="s">
        <v>31</v>
      </c>
      <c r="K1195" t="s">
        <v>32</v>
      </c>
      <c r="L1195" t="s">
        <v>32</v>
      </c>
      <c r="M1195" t="s">
        <v>33</v>
      </c>
      <c r="P1195" t="s">
        <v>34</v>
      </c>
      <c r="Q1195" t="s">
        <v>35</v>
      </c>
      <c r="R1195" t="s">
        <v>228</v>
      </c>
      <c r="S1195" t="s">
        <v>52</v>
      </c>
      <c r="T1195" t="s">
        <v>1127</v>
      </c>
      <c r="U1195" t="s">
        <v>1128</v>
      </c>
      <c r="V1195" t="s">
        <v>40</v>
      </c>
      <c r="W1195" s="1">
        <v>829200</v>
      </c>
    </row>
    <row r="1196" spans="1:23" x14ac:dyDescent="0.2">
      <c r="A1196" t="s">
        <v>23</v>
      </c>
      <c r="B1196" t="s">
        <v>1108</v>
      </c>
      <c r="C1196" t="s">
        <v>1109</v>
      </c>
      <c r="D1196" t="s">
        <v>1110</v>
      </c>
      <c r="E1196" t="s">
        <v>1111</v>
      </c>
      <c r="F1196" t="s">
        <v>1112</v>
      </c>
      <c r="G1196" t="s">
        <v>139</v>
      </c>
      <c r="H1196" t="s">
        <v>30</v>
      </c>
      <c r="I1196" t="s">
        <v>30</v>
      </c>
      <c r="J1196" t="s">
        <v>41</v>
      </c>
      <c r="K1196" t="s">
        <v>32</v>
      </c>
      <c r="L1196" t="s">
        <v>32</v>
      </c>
      <c r="M1196" t="s">
        <v>33</v>
      </c>
      <c r="N1196" t="s">
        <v>33</v>
      </c>
      <c r="O1196" t="s">
        <v>33</v>
      </c>
      <c r="P1196" t="s">
        <v>34</v>
      </c>
      <c r="Q1196" t="s">
        <v>35</v>
      </c>
      <c r="S1196" t="s">
        <v>30</v>
      </c>
      <c r="T1196" t="s">
        <v>1129</v>
      </c>
      <c r="U1196" t="s">
        <v>1130</v>
      </c>
      <c r="V1196" t="s">
        <v>39</v>
      </c>
      <c r="W1196" s="1">
        <v>10</v>
      </c>
    </row>
    <row r="1197" spans="1:23" x14ac:dyDescent="0.2">
      <c r="A1197" t="s">
        <v>23</v>
      </c>
      <c r="B1197" t="s">
        <v>1108</v>
      </c>
      <c r="C1197" t="s">
        <v>1109</v>
      </c>
      <c r="D1197" t="s">
        <v>1110</v>
      </c>
      <c r="E1197" t="s">
        <v>1111</v>
      </c>
      <c r="F1197" t="s">
        <v>1112</v>
      </c>
      <c r="G1197" t="s">
        <v>139</v>
      </c>
      <c r="H1197" t="s">
        <v>30</v>
      </c>
      <c r="I1197" t="s">
        <v>30</v>
      </c>
      <c r="J1197" t="s">
        <v>41</v>
      </c>
      <c r="K1197" t="s">
        <v>32</v>
      </c>
      <c r="L1197" t="s">
        <v>32</v>
      </c>
      <c r="M1197" t="s">
        <v>33</v>
      </c>
      <c r="N1197" t="s">
        <v>33</v>
      </c>
      <c r="O1197" t="s">
        <v>33</v>
      </c>
      <c r="P1197" t="s">
        <v>34</v>
      </c>
      <c r="Q1197" t="s">
        <v>35</v>
      </c>
      <c r="S1197" t="s">
        <v>30</v>
      </c>
      <c r="T1197" t="s">
        <v>1129</v>
      </c>
      <c r="U1197" t="s">
        <v>1130</v>
      </c>
      <c r="V1197" t="s">
        <v>40</v>
      </c>
      <c r="W1197" s="1">
        <v>11331000</v>
      </c>
    </row>
    <row r="1198" spans="1:23" x14ac:dyDescent="0.2">
      <c r="A1198" t="s">
        <v>23</v>
      </c>
      <c r="B1198" t="s">
        <v>1108</v>
      </c>
      <c r="C1198" t="s">
        <v>1109</v>
      </c>
      <c r="D1198" t="s">
        <v>1110</v>
      </c>
      <c r="E1198" t="s">
        <v>1131</v>
      </c>
      <c r="F1198" t="s">
        <v>1132</v>
      </c>
      <c r="G1198" t="s">
        <v>29</v>
      </c>
      <c r="H1198" t="s">
        <v>30</v>
      </c>
      <c r="I1198" t="s">
        <v>30</v>
      </c>
      <c r="J1198" t="s">
        <v>128</v>
      </c>
      <c r="K1198" t="s">
        <v>181</v>
      </c>
      <c r="L1198" t="s">
        <v>32</v>
      </c>
      <c r="M1198" t="s">
        <v>33</v>
      </c>
      <c r="N1198" t="s">
        <v>33</v>
      </c>
      <c r="O1198" t="s">
        <v>33</v>
      </c>
      <c r="P1198" t="s">
        <v>34</v>
      </c>
      <c r="Q1198" t="s">
        <v>35</v>
      </c>
      <c r="S1198" t="s">
        <v>30</v>
      </c>
      <c r="T1198" t="s">
        <v>1133</v>
      </c>
      <c r="U1198" t="s">
        <v>1134</v>
      </c>
      <c r="V1198" t="s">
        <v>39</v>
      </c>
      <c r="W1198" s="1">
        <v>11</v>
      </c>
    </row>
    <row r="1199" spans="1:23" x14ac:dyDescent="0.2">
      <c r="A1199" t="s">
        <v>23</v>
      </c>
      <c r="B1199" t="s">
        <v>1108</v>
      </c>
      <c r="C1199" t="s">
        <v>1109</v>
      </c>
      <c r="D1199" t="s">
        <v>1110</v>
      </c>
      <c r="E1199" t="s">
        <v>1131</v>
      </c>
      <c r="F1199" t="s">
        <v>1132</v>
      </c>
      <c r="G1199" t="s">
        <v>29</v>
      </c>
      <c r="H1199" t="s">
        <v>30</v>
      </c>
      <c r="I1199" t="s">
        <v>30</v>
      </c>
      <c r="J1199" t="s">
        <v>128</v>
      </c>
      <c r="K1199" t="s">
        <v>181</v>
      </c>
      <c r="L1199" t="s">
        <v>32</v>
      </c>
      <c r="M1199" t="s">
        <v>33</v>
      </c>
      <c r="N1199" t="s">
        <v>33</v>
      </c>
      <c r="O1199" t="s">
        <v>33</v>
      </c>
      <c r="P1199" t="s">
        <v>34</v>
      </c>
      <c r="Q1199" t="s">
        <v>35</v>
      </c>
      <c r="S1199" t="s">
        <v>30</v>
      </c>
      <c r="T1199" t="s">
        <v>1133</v>
      </c>
      <c r="U1199" t="s">
        <v>1134</v>
      </c>
      <c r="V1199" t="s">
        <v>40</v>
      </c>
      <c r="W1199" s="1">
        <v>14025000</v>
      </c>
    </row>
    <row r="1200" spans="1:23" x14ac:dyDescent="0.2">
      <c r="A1200" t="s">
        <v>23</v>
      </c>
      <c r="B1200" t="s">
        <v>1108</v>
      </c>
      <c r="C1200" t="s">
        <v>1109</v>
      </c>
      <c r="D1200" t="s">
        <v>1110</v>
      </c>
      <c r="E1200" t="s">
        <v>1131</v>
      </c>
      <c r="F1200" t="s">
        <v>1132</v>
      </c>
      <c r="G1200" t="s">
        <v>29</v>
      </c>
      <c r="H1200" t="s">
        <v>30</v>
      </c>
      <c r="I1200" t="s">
        <v>30</v>
      </c>
      <c r="J1200" t="s">
        <v>128</v>
      </c>
      <c r="K1200" t="s">
        <v>181</v>
      </c>
      <c r="L1200" t="s">
        <v>32</v>
      </c>
      <c r="M1200" t="s">
        <v>33</v>
      </c>
      <c r="N1200" t="s">
        <v>176</v>
      </c>
      <c r="O1200" t="s">
        <v>169</v>
      </c>
      <c r="P1200" t="s">
        <v>34</v>
      </c>
      <c r="Q1200" t="s">
        <v>35</v>
      </c>
      <c r="S1200" t="s">
        <v>30</v>
      </c>
      <c r="T1200" t="s">
        <v>1133</v>
      </c>
      <c r="U1200" t="s">
        <v>1134</v>
      </c>
      <c r="V1200" t="s">
        <v>39</v>
      </c>
      <c r="W1200" s="1">
        <v>1</v>
      </c>
    </row>
    <row r="1201" spans="1:23" x14ac:dyDescent="0.2">
      <c r="A1201" t="s">
        <v>23</v>
      </c>
      <c r="B1201" t="s">
        <v>1108</v>
      </c>
      <c r="C1201" t="s">
        <v>1109</v>
      </c>
      <c r="D1201" t="s">
        <v>1110</v>
      </c>
      <c r="E1201" t="s">
        <v>1131</v>
      </c>
      <c r="F1201" t="s">
        <v>1132</v>
      </c>
      <c r="G1201" t="s">
        <v>29</v>
      </c>
      <c r="H1201" t="s">
        <v>30</v>
      </c>
      <c r="I1201" t="s">
        <v>30</v>
      </c>
      <c r="J1201" t="s">
        <v>128</v>
      </c>
      <c r="K1201" t="s">
        <v>181</v>
      </c>
      <c r="L1201" t="s">
        <v>32</v>
      </c>
      <c r="M1201" t="s">
        <v>33</v>
      </c>
      <c r="N1201" t="s">
        <v>176</v>
      </c>
      <c r="O1201" t="s">
        <v>169</v>
      </c>
      <c r="P1201" t="s">
        <v>34</v>
      </c>
      <c r="Q1201" t="s">
        <v>35</v>
      </c>
      <c r="S1201" t="s">
        <v>30</v>
      </c>
      <c r="T1201" t="s">
        <v>1133</v>
      </c>
      <c r="U1201" t="s">
        <v>1134</v>
      </c>
      <c r="V1201" t="s">
        <v>40</v>
      </c>
      <c r="W1201" s="1">
        <v>1275000</v>
      </c>
    </row>
    <row r="1202" spans="1:23" x14ac:dyDescent="0.2">
      <c r="A1202" t="s">
        <v>23</v>
      </c>
      <c r="B1202" t="s">
        <v>1108</v>
      </c>
      <c r="C1202" t="s">
        <v>1109</v>
      </c>
      <c r="D1202" t="s">
        <v>1110</v>
      </c>
      <c r="E1202" t="s">
        <v>1131</v>
      </c>
      <c r="F1202" t="s">
        <v>1132</v>
      </c>
      <c r="G1202" t="s">
        <v>29</v>
      </c>
      <c r="H1202" t="s">
        <v>30</v>
      </c>
      <c r="I1202" t="s">
        <v>30</v>
      </c>
      <c r="J1202" t="s">
        <v>128</v>
      </c>
      <c r="K1202" t="s">
        <v>181</v>
      </c>
      <c r="L1202" t="s">
        <v>32</v>
      </c>
      <c r="M1202" t="s">
        <v>33</v>
      </c>
      <c r="N1202" t="s">
        <v>169</v>
      </c>
      <c r="O1202" t="s">
        <v>169</v>
      </c>
      <c r="P1202" t="s">
        <v>34</v>
      </c>
      <c r="Q1202" t="s">
        <v>35</v>
      </c>
      <c r="S1202" t="s">
        <v>30</v>
      </c>
      <c r="T1202" t="s">
        <v>1133</v>
      </c>
      <c r="U1202" t="s">
        <v>1134</v>
      </c>
      <c r="V1202" t="s">
        <v>39</v>
      </c>
      <c r="W1202" s="1">
        <v>1</v>
      </c>
    </row>
    <row r="1203" spans="1:23" x14ac:dyDescent="0.2">
      <c r="A1203" t="s">
        <v>23</v>
      </c>
      <c r="B1203" t="s">
        <v>1108</v>
      </c>
      <c r="C1203" t="s">
        <v>1109</v>
      </c>
      <c r="D1203" t="s">
        <v>1110</v>
      </c>
      <c r="E1203" t="s">
        <v>1131</v>
      </c>
      <c r="F1203" t="s">
        <v>1132</v>
      </c>
      <c r="G1203" t="s">
        <v>29</v>
      </c>
      <c r="H1203" t="s">
        <v>30</v>
      </c>
      <c r="I1203" t="s">
        <v>30</v>
      </c>
      <c r="J1203" t="s">
        <v>128</v>
      </c>
      <c r="K1203" t="s">
        <v>181</v>
      </c>
      <c r="L1203" t="s">
        <v>32</v>
      </c>
      <c r="M1203" t="s">
        <v>33</v>
      </c>
      <c r="N1203" t="s">
        <v>169</v>
      </c>
      <c r="O1203" t="s">
        <v>169</v>
      </c>
      <c r="P1203" t="s">
        <v>34</v>
      </c>
      <c r="Q1203" t="s">
        <v>35</v>
      </c>
      <c r="S1203" t="s">
        <v>30</v>
      </c>
      <c r="T1203" t="s">
        <v>1133</v>
      </c>
      <c r="U1203" t="s">
        <v>1134</v>
      </c>
      <c r="V1203" t="s">
        <v>40</v>
      </c>
      <c r="W1203" s="1">
        <v>1275000</v>
      </c>
    </row>
    <row r="1204" spans="1:23" x14ac:dyDescent="0.2">
      <c r="A1204" t="s">
        <v>23</v>
      </c>
      <c r="B1204" t="s">
        <v>1108</v>
      </c>
      <c r="C1204" t="s">
        <v>1109</v>
      </c>
      <c r="D1204" t="s">
        <v>1110</v>
      </c>
      <c r="E1204" t="s">
        <v>1131</v>
      </c>
      <c r="F1204" t="s">
        <v>1132</v>
      </c>
      <c r="G1204" t="s">
        <v>29</v>
      </c>
      <c r="H1204" t="s">
        <v>30</v>
      </c>
      <c r="I1204" t="s">
        <v>30</v>
      </c>
      <c r="J1204" t="s">
        <v>128</v>
      </c>
      <c r="K1204" t="s">
        <v>181</v>
      </c>
      <c r="L1204" t="s">
        <v>32</v>
      </c>
      <c r="M1204" t="s">
        <v>176</v>
      </c>
      <c r="N1204" t="s">
        <v>176</v>
      </c>
      <c r="O1204" t="s">
        <v>176</v>
      </c>
      <c r="P1204" t="s">
        <v>34</v>
      </c>
      <c r="Q1204" t="s">
        <v>35</v>
      </c>
      <c r="S1204" t="s">
        <v>30</v>
      </c>
      <c r="T1204" t="s">
        <v>1133</v>
      </c>
      <c r="U1204" t="s">
        <v>1134</v>
      </c>
      <c r="V1204" t="s">
        <v>39</v>
      </c>
      <c r="W1204" s="1">
        <v>2</v>
      </c>
    </row>
    <row r="1205" spans="1:23" x14ac:dyDescent="0.2">
      <c r="A1205" t="s">
        <v>23</v>
      </c>
      <c r="B1205" t="s">
        <v>1108</v>
      </c>
      <c r="C1205" t="s">
        <v>1109</v>
      </c>
      <c r="D1205" t="s">
        <v>1110</v>
      </c>
      <c r="E1205" t="s">
        <v>1131</v>
      </c>
      <c r="F1205" t="s">
        <v>1132</v>
      </c>
      <c r="G1205" t="s">
        <v>29</v>
      </c>
      <c r="H1205" t="s">
        <v>30</v>
      </c>
      <c r="I1205" t="s">
        <v>30</v>
      </c>
      <c r="J1205" t="s">
        <v>128</v>
      </c>
      <c r="K1205" t="s">
        <v>181</v>
      </c>
      <c r="L1205" t="s">
        <v>32</v>
      </c>
      <c r="M1205" t="s">
        <v>176</v>
      </c>
      <c r="N1205" t="s">
        <v>176</v>
      </c>
      <c r="O1205" t="s">
        <v>176</v>
      </c>
      <c r="P1205" t="s">
        <v>34</v>
      </c>
      <c r="Q1205" t="s">
        <v>35</v>
      </c>
      <c r="S1205" t="s">
        <v>30</v>
      </c>
      <c r="T1205" t="s">
        <v>1133</v>
      </c>
      <c r="U1205" t="s">
        <v>1134</v>
      </c>
      <c r="V1205" t="s">
        <v>40</v>
      </c>
      <c r="W1205" s="1">
        <v>2550000</v>
      </c>
    </row>
    <row r="1206" spans="1:23" x14ac:dyDescent="0.2">
      <c r="A1206" t="s">
        <v>23</v>
      </c>
      <c r="B1206" t="s">
        <v>1108</v>
      </c>
      <c r="C1206" t="s">
        <v>1109</v>
      </c>
      <c r="D1206" t="s">
        <v>1110</v>
      </c>
      <c r="E1206" t="s">
        <v>1131</v>
      </c>
      <c r="F1206" t="s">
        <v>1132</v>
      </c>
      <c r="G1206" t="s">
        <v>29</v>
      </c>
      <c r="H1206" t="s">
        <v>30</v>
      </c>
      <c r="I1206" t="s">
        <v>30</v>
      </c>
      <c r="J1206" t="s">
        <v>128</v>
      </c>
      <c r="K1206" t="s">
        <v>181</v>
      </c>
      <c r="L1206" t="s">
        <v>32</v>
      </c>
      <c r="M1206" t="s">
        <v>176</v>
      </c>
      <c r="N1206" t="s">
        <v>195</v>
      </c>
      <c r="O1206" t="s">
        <v>195</v>
      </c>
      <c r="P1206" t="s">
        <v>34</v>
      </c>
      <c r="Q1206" t="s">
        <v>35</v>
      </c>
      <c r="S1206" t="s">
        <v>30</v>
      </c>
      <c r="T1206" t="s">
        <v>1133</v>
      </c>
      <c r="U1206" t="s">
        <v>1134</v>
      </c>
      <c r="V1206" t="s">
        <v>39</v>
      </c>
      <c r="W1206" s="1">
        <v>2</v>
      </c>
    </row>
    <row r="1207" spans="1:23" x14ac:dyDescent="0.2">
      <c r="A1207" t="s">
        <v>23</v>
      </c>
      <c r="B1207" t="s">
        <v>1108</v>
      </c>
      <c r="C1207" t="s">
        <v>1109</v>
      </c>
      <c r="D1207" t="s">
        <v>1110</v>
      </c>
      <c r="E1207" t="s">
        <v>1131</v>
      </c>
      <c r="F1207" t="s">
        <v>1132</v>
      </c>
      <c r="G1207" t="s">
        <v>29</v>
      </c>
      <c r="H1207" t="s">
        <v>30</v>
      </c>
      <c r="I1207" t="s">
        <v>30</v>
      </c>
      <c r="J1207" t="s">
        <v>128</v>
      </c>
      <c r="K1207" t="s">
        <v>181</v>
      </c>
      <c r="L1207" t="s">
        <v>32</v>
      </c>
      <c r="M1207" t="s">
        <v>176</v>
      </c>
      <c r="N1207" t="s">
        <v>195</v>
      </c>
      <c r="O1207" t="s">
        <v>195</v>
      </c>
      <c r="P1207" t="s">
        <v>34</v>
      </c>
      <c r="Q1207" t="s">
        <v>35</v>
      </c>
      <c r="S1207" t="s">
        <v>30</v>
      </c>
      <c r="T1207" t="s">
        <v>1133</v>
      </c>
      <c r="U1207" t="s">
        <v>1134</v>
      </c>
      <c r="V1207" t="s">
        <v>40</v>
      </c>
      <c r="W1207" s="1">
        <v>2550000</v>
      </c>
    </row>
    <row r="1208" spans="1:23" x14ac:dyDescent="0.2">
      <c r="A1208" t="s">
        <v>23</v>
      </c>
      <c r="B1208" t="s">
        <v>1108</v>
      </c>
      <c r="C1208" t="s">
        <v>1109</v>
      </c>
      <c r="D1208" t="s">
        <v>1110</v>
      </c>
      <c r="E1208" t="s">
        <v>1131</v>
      </c>
      <c r="F1208" t="s">
        <v>1132</v>
      </c>
      <c r="G1208" t="s">
        <v>29</v>
      </c>
      <c r="H1208" t="s">
        <v>30</v>
      </c>
      <c r="I1208" t="s">
        <v>30</v>
      </c>
      <c r="J1208" t="s">
        <v>128</v>
      </c>
      <c r="K1208" t="s">
        <v>181</v>
      </c>
      <c r="L1208" t="s">
        <v>32</v>
      </c>
      <c r="M1208" t="s">
        <v>176</v>
      </c>
      <c r="N1208" t="s">
        <v>195</v>
      </c>
      <c r="O1208" t="s">
        <v>195</v>
      </c>
      <c r="P1208" t="s">
        <v>372</v>
      </c>
      <c r="Q1208" t="s">
        <v>373</v>
      </c>
      <c r="S1208" t="s">
        <v>30</v>
      </c>
      <c r="T1208" t="s">
        <v>1133</v>
      </c>
      <c r="U1208" t="s">
        <v>1134</v>
      </c>
      <c r="V1208" t="s">
        <v>39</v>
      </c>
      <c r="W1208" s="1">
        <v>1</v>
      </c>
    </row>
    <row r="1209" spans="1:23" x14ac:dyDescent="0.2">
      <c r="A1209" t="s">
        <v>23</v>
      </c>
      <c r="B1209" t="s">
        <v>1108</v>
      </c>
      <c r="C1209" t="s">
        <v>1109</v>
      </c>
      <c r="D1209" t="s">
        <v>1110</v>
      </c>
      <c r="E1209" t="s">
        <v>1131</v>
      </c>
      <c r="F1209" t="s">
        <v>1132</v>
      </c>
      <c r="G1209" t="s">
        <v>29</v>
      </c>
      <c r="H1209" t="s">
        <v>30</v>
      </c>
      <c r="I1209" t="s">
        <v>30</v>
      </c>
      <c r="J1209" t="s">
        <v>128</v>
      </c>
      <c r="K1209" t="s">
        <v>181</v>
      </c>
      <c r="L1209" t="s">
        <v>32</v>
      </c>
      <c r="M1209" t="s">
        <v>176</v>
      </c>
      <c r="N1209" t="s">
        <v>195</v>
      </c>
      <c r="O1209" t="s">
        <v>195</v>
      </c>
      <c r="P1209" t="s">
        <v>372</v>
      </c>
      <c r="Q1209" t="s">
        <v>373</v>
      </c>
      <c r="S1209" t="s">
        <v>30</v>
      </c>
      <c r="T1209" t="s">
        <v>1133</v>
      </c>
      <c r="U1209" t="s">
        <v>1134</v>
      </c>
      <c r="V1209" t="s">
        <v>40</v>
      </c>
      <c r="W1209" s="1">
        <v>1275000</v>
      </c>
    </row>
    <row r="1210" spans="1:23" x14ac:dyDescent="0.2">
      <c r="A1210" t="s">
        <v>23</v>
      </c>
      <c r="B1210" t="s">
        <v>1108</v>
      </c>
      <c r="C1210" t="s">
        <v>1109</v>
      </c>
      <c r="D1210" t="s">
        <v>1110</v>
      </c>
      <c r="E1210" t="s">
        <v>1131</v>
      </c>
      <c r="F1210" t="s">
        <v>1132</v>
      </c>
      <c r="G1210" t="s">
        <v>29</v>
      </c>
      <c r="H1210" t="s">
        <v>30</v>
      </c>
      <c r="I1210" t="s">
        <v>30</v>
      </c>
      <c r="J1210" t="s">
        <v>128</v>
      </c>
      <c r="K1210" t="s">
        <v>181</v>
      </c>
      <c r="L1210" t="s">
        <v>32</v>
      </c>
      <c r="M1210" t="s">
        <v>195</v>
      </c>
      <c r="N1210" t="s">
        <v>1135</v>
      </c>
      <c r="O1210" t="s">
        <v>1135</v>
      </c>
      <c r="P1210" t="s">
        <v>34</v>
      </c>
      <c r="Q1210" t="s">
        <v>35</v>
      </c>
      <c r="S1210" t="s">
        <v>30</v>
      </c>
      <c r="T1210" t="s">
        <v>1133</v>
      </c>
      <c r="U1210" t="s">
        <v>1134</v>
      </c>
      <c r="V1210" t="s">
        <v>39</v>
      </c>
      <c r="W1210" s="1">
        <v>1</v>
      </c>
    </row>
    <row r="1211" spans="1:23" x14ac:dyDescent="0.2">
      <c r="A1211" t="s">
        <v>23</v>
      </c>
      <c r="B1211" t="s">
        <v>1108</v>
      </c>
      <c r="C1211" t="s">
        <v>1109</v>
      </c>
      <c r="D1211" t="s">
        <v>1110</v>
      </c>
      <c r="E1211" t="s">
        <v>1131</v>
      </c>
      <c r="F1211" t="s">
        <v>1132</v>
      </c>
      <c r="G1211" t="s">
        <v>29</v>
      </c>
      <c r="H1211" t="s">
        <v>30</v>
      </c>
      <c r="I1211" t="s">
        <v>30</v>
      </c>
      <c r="J1211" t="s">
        <v>128</v>
      </c>
      <c r="K1211" t="s">
        <v>181</v>
      </c>
      <c r="L1211" t="s">
        <v>32</v>
      </c>
      <c r="M1211" t="s">
        <v>195</v>
      </c>
      <c r="N1211" t="s">
        <v>1135</v>
      </c>
      <c r="O1211" t="s">
        <v>1135</v>
      </c>
      <c r="P1211" t="s">
        <v>34</v>
      </c>
      <c r="Q1211" t="s">
        <v>35</v>
      </c>
      <c r="S1211" t="s">
        <v>30</v>
      </c>
      <c r="T1211" t="s">
        <v>1133</v>
      </c>
      <c r="U1211" t="s">
        <v>1134</v>
      </c>
      <c r="V1211" t="s">
        <v>40</v>
      </c>
      <c r="W1211" s="1">
        <v>150000</v>
      </c>
    </row>
    <row r="1212" spans="1:23" x14ac:dyDescent="0.2">
      <c r="A1212" t="s">
        <v>23</v>
      </c>
      <c r="B1212" t="s">
        <v>1108</v>
      </c>
      <c r="C1212" t="s">
        <v>1109</v>
      </c>
      <c r="D1212" t="s">
        <v>1110</v>
      </c>
      <c r="E1212" t="s">
        <v>1131</v>
      </c>
      <c r="F1212" t="s">
        <v>1132</v>
      </c>
      <c r="G1212" t="s">
        <v>29</v>
      </c>
      <c r="H1212" t="s">
        <v>30</v>
      </c>
      <c r="I1212" t="s">
        <v>30</v>
      </c>
      <c r="J1212" t="s">
        <v>31</v>
      </c>
      <c r="K1212" t="s">
        <v>32</v>
      </c>
      <c r="L1212" t="s">
        <v>32</v>
      </c>
      <c r="M1212" t="s">
        <v>33</v>
      </c>
      <c r="N1212" t="s">
        <v>33</v>
      </c>
      <c r="O1212" t="s">
        <v>33</v>
      </c>
      <c r="P1212" t="s">
        <v>34</v>
      </c>
      <c r="Q1212" t="s">
        <v>35</v>
      </c>
      <c r="S1212" t="s">
        <v>30</v>
      </c>
      <c r="T1212" t="s">
        <v>1136</v>
      </c>
      <c r="U1212" t="s">
        <v>1137</v>
      </c>
      <c r="V1212" t="s">
        <v>39</v>
      </c>
      <c r="W1212" s="1">
        <v>4</v>
      </c>
    </row>
    <row r="1213" spans="1:23" x14ac:dyDescent="0.2">
      <c r="A1213" t="s">
        <v>23</v>
      </c>
      <c r="B1213" t="s">
        <v>1108</v>
      </c>
      <c r="C1213" t="s">
        <v>1109</v>
      </c>
      <c r="D1213" t="s">
        <v>1110</v>
      </c>
      <c r="E1213" t="s">
        <v>1131</v>
      </c>
      <c r="F1213" t="s">
        <v>1132</v>
      </c>
      <c r="G1213" t="s">
        <v>29</v>
      </c>
      <c r="H1213" t="s">
        <v>30</v>
      </c>
      <c r="I1213" t="s">
        <v>30</v>
      </c>
      <c r="J1213" t="s">
        <v>31</v>
      </c>
      <c r="K1213" t="s">
        <v>32</v>
      </c>
      <c r="L1213" t="s">
        <v>32</v>
      </c>
      <c r="M1213" t="s">
        <v>33</v>
      </c>
      <c r="N1213" t="s">
        <v>33</v>
      </c>
      <c r="O1213" t="s">
        <v>33</v>
      </c>
      <c r="P1213" t="s">
        <v>34</v>
      </c>
      <c r="Q1213" t="s">
        <v>35</v>
      </c>
      <c r="S1213" t="s">
        <v>30</v>
      </c>
      <c r="T1213" t="s">
        <v>1136</v>
      </c>
      <c r="U1213" t="s">
        <v>1137</v>
      </c>
      <c r="V1213" t="s">
        <v>40</v>
      </c>
      <c r="W1213" s="1">
        <v>3590400</v>
      </c>
    </row>
    <row r="1214" spans="1:23" x14ac:dyDescent="0.2">
      <c r="A1214" t="s">
        <v>23</v>
      </c>
      <c r="B1214" t="s">
        <v>1108</v>
      </c>
      <c r="C1214" t="s">
        <v>1109</v>
      </c>
      <c r="D1214" t="s">
        <v>1110</v>
      </c>
      <c r="E1214" t="s">
        <v>1131</v>
      </c>
      <c r="F1214" t="s">
        <v>1132</v>
      </c>
      <c r="G1214" t="s">
        <v>29</v>
      </c>
      <c r="H1214" t="s">
        <v>30</v>
      </c>
      <c r="I1214" t="s">
        <v>30</v>
      </c>
      <c r="J1214" t="s">
        <v>41</v>
      </c>
      <c r="K1214" t="s">
        <v>32</v>
      </c>
      <c r="L1214" t="s">
        <v>32</v>
      </c>
      <c r="M1214" t="s">
        <v>33</v>
      </c>
      <c r="N1214" t="s">
        <v>33</v>
      </c>
      <c r="O1214" t="s">
        <v>33</v>
      </c>
      <c r="P1214" t="s">
        <v>34</v>
      </c>
      <c r="Q1214" t="s">
        <v>35</v>
      </c>
      <c r="S1214" t="s">
        <v>30</v>
      </c>
      <c r="T1214" t="s">
        <v>1138</v>
      </c>
      <c r="U1214" t="s">
        <v>1139</v>
      </c>
      <c r="V1214" t="s">
        <v>39</v>
      </c>
      <c r="W1214" s="1">
        <v>1</v>
      </c>
    </row>
    <row r="1215" spans="1:23" x14ac:dyDescent="0.2">
      <c r="A1215" t="s">
        <v>23</v>
      </c>
      <c r="B1215" t="s">
        <v>1108</v>
      </c>
      <c r="C1215" t="s">
        <v>1109</v>
      </c>
      <c r="D1215" t="s">
        <v>1110</v>
      </c>
      <c r="E1215" t="s">
        <v>1131</v>
      </c>
      <c r="F1215" t="s">
        <v>1132</v>
      </c>
      <c r="G1215" t="s">
        <v>29</v>
      </c>
      <c r="H1215" t="s">
        <v>30</v>
      </c>
      <c r="I1215" t="s">
        <v>30</v>
      </c>
      <c r="J1215" t="s">
        <v>41</v>
      </c>
      <c r="K1215" t="s">
        <v>32</v>
      </c>
      <c r="L1215" t="s">
        <v>32</v>
      </c>
      <c r="M1215" t="s">
        <v>33</v>
      </c>
      <c r="N1215" t="s">
        <v>33</v>
      </c>
      <c r="O1215" t="s">
        <v>33</v>
      </c>
      <c r="P1215" t="s">
        <v>34</v>
      </c>
      <c r="Q1215" t="s">
        <v>35</v>
      </c>
      <c r="S1215" t="s">
        <v>30</v>
      </c>
      <c r="T1215" t="s">
        <v>1138</v>
      </c>
      <c r="U1215" t="s">
        <v>1139</v>
      </c>
      <c r="V1215" t="s">
        <v>40</v>
      </c>
      <c r="W1215" s="1">
        <v>843000</v>
      </c>
    </row>
    <row r="1216" spans="1:23" x14ac:dyDescent="0.2">
      <c r="A1216" t="s">
        <v>23</v>
      </c>
      <c r="B1216" t="s">
        <v>1108</v>
      </c>
      <c r="C1216" t="s">
        <v>1109</v>
      </c>
      <c r="D1216" t="s">
        <v>1110</v>
      </c>
      <c r="E1216" t="s">
        <v>1131</v>
      </c>
      <c r="F1216" t="s">
        <v>1132</v>
      </c>
      <c r="G1216" t="s">
        <v>29</v>
      </c>
      <c r="H1216" t="s">
        <v>30</v>
      </c>
      <c r="I1216" t="s">
        <v>30</v>
      </c>
      <c r="J1216" t="s">
        <v>41</v>
      </c>
      <c r="K1216" t="s">
        <v>32</v>
      </c>
      <c r="L1216" t="s">
        <v>32</v>
      </c>
      <c r="M1216" t="s">
        <v>33</v>
      </c>
      <c r="P1216" t="s">
        <v>34</v>
      </c>
      <c r="Q1216" t="s">
        <v>35</v>
      </c>
      <c r="S1216" t="s">
        <v>30</v>
      </c>
      <c r="T1216" t="s">
        <v>1138</v>
      </c>
      <c r="U1216" t="s">
        <v>1139</v>
      </c>
      <c r="V1216" t="s">
        <v>39</v>
      </c>
      <c r="W1216" s="1">
        <v>3</v>
      </c>
    </row>
    <row r="1217" spans="1:23" x14ac:dyDescent="0.2">
      <c r="A1217" t="s">
        <v>23</v>
      </c>
      <c r="B1217" t="s">
        <v>1108</v>
      </c>
      <c r="C1217" t="s">
        <v>1109</v>
      </c>
      <c r="D1217" t="s">
        <v>1110</v>
      </c>
      <c r="E1217" t="s">
        <v>1131</v>
      </c>
      <c r="F1217" t="s">
        <v>1132</v>
      </c>
      <c r="G1217" t="s">
        <v>29</v>
      </c>
      <c r="H1217" t="s">
        <v>30</v>
      </c>
      <c r="I1217" t="s">
        <v>30</v>
      </c>
      <c r="J1217" t="s">
        <v>41</v>
      </c>
      <c r="K1217" t="s">
        <v>32</v>
      </c>
      <c r="L1217" t="s">
        <v>32</v>
      </c>
      <c r="M1217" t="s">
        <v>33</v>
      </c>
      <c r="P1217" t="s">
        <v>34</v>
      </c>
      <c r="Q1217" t="s">
        <v>35</v>
      </c>
      <c r="S1217" t="s">
        <v>30</v>
      </c>
      <c r="T1217" t="s">
        <v>1138</v>
      </c>
      <c r="U1217" t="s">
        <v>1139</v>
      </c>
      <c r="V1217" t="s">
        <v>40</v>
      </c>
      <c r="W1217" s="1">
        <v>2529000</v>
      </c>
    </row>
    <row r="1218" spans="1:23" x14ac:dyDescent="0.2">
      <c r="A1218" t="s">
        <v>23</v>
      </c>
      <c r="B1218" t="s">
        <v>1108</v>
      </c>
      <c r="C1218" t="s">
        <v>1109</v>
      </c>
      <c r="D1218" t="s">
        <v>1110</v>
      </c>
      <c r="E1218" t="s">
        <v>1131</v>
      </c>
      <c r="F1218" t="s">
        <v>1132</v>
      </c>
      <c r="G1218" t="s">
        <v>49</v>
      </c>
      <c r="H1218" t="s">
        <v>30</v>
      </c>
      <c r="I1218" t="s">
        <v>30</v>
      </c>
      <c r="J1218" t="s">
        <v>31</v>
      </c>
      <c r="K1218" t="s">
        <v>32</v>
      </c>
      <c r="L1218" t="s">
        <v>32</v>
      </c>
      <c r="M1218" t="s">
        <v>33</v>
      </c>
      <c r="P1218" t="s">
        <v>34</v>
      </c>
      <c r="Q1218" t="s">
        <v>35</v>
      </c>
      <c r="S1218" t="s">
        <v>52</v>
      </c>
      <c r="T1218" t="s">
        <v>1140</v>
      </c>
      <c r="U1218" t="s">
        <v>1141</v>
      </c>
      <c r="V1218" t="s">
        <v>39</v>
      </c>
      <c r="W1218" s="1">
        <v>0</v>
      </c>
    </row>
    <row r="1219" spans="1:23" x14ac:dyDescent="0.2">
      <c r="A1219" t="s">
        <v>23</v>
      </c>
      <c r="B1219" t="s">
        <v>1108</v>
      </c>
      <c r="C1219" t="s">
        <v>1109</v>
      </c>
      <c r="D1219" t="s">
        <v>1110</v>
      </c>
      <c r="E1219" t="s">
        <v>1131</v>
      </c>
      <c r="F1219" t="s">
        <v>1132</v>
      </c>
      <c r="G1219" t="s">
        <v>49</v>
      </c>
      <c r="H1219" t="s">
        <v>30</v>
      </c>
      <c r="I1219" t="s">
        <v>30</v>
      </c>
      <c r="J1219" t="s">
        <v>31</v>
      </c>
      <c r="K1219" t="s">
        <v>32</v>
      </c>
      <c r="L1219" t="s">
        <v>32</v>
      </c>
      <c r="M1219" t="s">
        <v>33</v>
      </c>
      <c r="P1219" t="s">
        <v>34</v>
      </c>
      <c r="Q1219" t="s">
        <v>35</v>
      </c>
      <c r="S1219" t="s">
        <v>52</v>
      </c>
      <c r="T1219" t="s">
        <v>1140</v>
      </c>
      <c r="U1219" t="s">
        <v>1141</v>
      </c>
      <c r="V1219" t="s">
        <v>40</v>
      </c>
      <c r="W1219" s="1">
        <v>2205000</v>
      </c>
    </row>
    <row r="1220" spans="1:23" x14ac:dyDescent="0.2">
      <c r="A1220" t="s">
        <v>23</v>
      </c>
      <c r="B1220" t="s">
        <v>1108</v>
      </c>
      <c r="C1220" t="s">
        <v>1109</v>
      </c>
      <c r="D1220" t="s">
        <v>1110</v>
      </c>
      <c r="E1220" t="s">
        <v>1131</v>
      </c>
      <c r="F1220" t="s">
        <v>1132</v>
      </c>
      <c r="G1220" t="s">
        <v>49</v>
      </c>
      <c r="H1220" t="s">
        <v>30</v>
      </c>
      <c r="I1220" t="s">
        <v>30</v>
      </c>
      <c r="J1220" t="s">
        <v>31</v>
      </c>
      <c r="K1220" t="s">
        <v>32</v>
      </c>
      <c r="L1220" t="s">
        <v>32</v>
      </c>
      <c r="M1220" t="s">
        <v>33</v>
      </c>
      <c r="P1220" t="s">
        <v>34</v>
      </c>
      <c r="Q1220" t="s">
        <v>35</v>
      </c>
      <c r="S1220" t="s">
        <v>52</v>
      </c>
      <c r="T1220" t="s">
        <v>1142</v>
      </c>
      <c r="U1220" t="s">
        <v>1143</v>
      </c>
      <c r="V1220" t="s">
        <v>39</v>
      </c>
      <c r="W1220" s="1">
        <v>0</v>
      </c>
    </row>
    <row r="1221" spans="1:23" x14ac:dyDescent="0.2">
      <c r="A1221" t="s">
        <v>23</v>
      </c>
      <c r="B1221" t="s">
        <v>1108</v>
      </c>
      <c r="C1221" t="s">
        <v>1109</v>
      </c>
      <c r="D1221" t="s">
        <v>1110</v>
      </c>
      <c r="E1221" t="s">
        <v>1131</v>
      </c>
      <c r="F1221" t="s">
        <v>1132</v>
      </c>
      <c r="G1221" t="s">
        <v>49</v>
      </c>
      <c r="H1221" t="s">
        <v>30</v>
      </c>
      <c r="I1221" t="s">
        <v>30</v>
      </c>
      <c r="J1221" t="s">
        <v>31</v>
      </c>
      <c r="K1221" t="s">
        <v>32</v>
      </c>
      <c r="L1221" t="s">
        <v>32</v>
      </c>
      <c r="M1221" t="s">
        <v>33</v>
      </c>
      <c r="P1221" t="s">
        <v>34</v>
      </c>
      <c r="Q1221" t="s">
        <v>35</v>
      </c>
      <c r="S1221" t="s">
        <v>52</v>
      </c>
      <c r="T1221" t="s">
        <v>1142</v>
      </c>
      <c r="U1221" t="s">
        <v>1143</v>
      </c>
      <c r="V1221" t="s">
        <v>40</v>
      </c>
      <c r="W1221" s="1">
        <v>10485800</v>
      </c>
    </row>
    <row r="1222" spans="1:23" x14ac:dyDescent="0.2">
      <c r="A1222" t="s">
        <v>23</v>
      </c>
      <c r="B1222" t="s">
        <v>1108</v>
      </c>
      <c r="C1222" t="s">
        <v>1109</v>
      </c>
      <c r="D1222" t="s">
        <v>1110</v>
      </c>
      <c r="E1222" t="s">
        <v>1131</v>
      </c>
      <c r="F1222" t="s">
        <v>1132</v>
      </c>
      <c r="G1222" t="s">
        <v>49</v>
      </c>
      <c r="H1222" t="s">
        <v>30</v>
      </c>
      <c r="I1222" t="s">
        <v>30</v>
      </c>
      <c r="J1222" t="s">
        <v>31</v>
      </c>
      <c r="K1222" t="s">
        <v>32</v>
      </c>
      <c r="L1222" t="s">
        <v>32</v>
      </c>
      <c r="M1222" t="s">
        <v>33</v>
      </c>
      <c r="P1222" t="s">
        <v>34</v>
      </c>
      <c r="Q1222" t="s">
        <v>35</v>
      </c>
      <c r="S1222" t="s">
        <v>52</v>
      </c>
      <c r="T1222" t="s">
        <v>1144</v>
      </c>
      <c r="U1222" t="s">
        <v>1145</v>
      </c>
      <c r="V1222" t="s">
        <v>39</v>
      </c>
      <c r="W1222" s="1">
        <v>0</v>
      </c>
    </row>
    <row r="1223" spans="1:23" x14ac:dyDescent="0.2">
      <c r="A1223" t="s">
        <v>23</v>
      </c>
      <c r="B1223" t="s">
        <v>1108</v>
      </c>
      <c r="C1223" t="s">
        <v>1109</v>
      </c>
      <c r="D1223" t="s">
        <v>1110</v>
      </c>
      <c r="E1223" t="s">
        <v>1131</v>
      </c>
      <c r="F1223" t="s">
        <v>1132</v>
      </c>
      <c r="G1223" t="s">
        <v>49</v>
      </c>
      <c r="H1223" t="s">
        <v>30</v>
      </c>
      <c r="I1223" t="s">
        <v>30</v>
      </c>
      <c r="J1223" t="s">
        <v>31</v>
      </c>
      <c r="K1223" t="s">
        <v>32</v>
      </c>
      <c r="L1223" t="s">
        <v>32</v>
      </c>
      <c r="M1223" t="s">
        <v>33</v>
      </c>
      <c r="P1223" t="s">
        <v>34</v>
      </c>
      <c r="Q1223" t="s">
        <v>35</v>
      </c>
      <c r="S1223" t="s">
        <v>52</v>
      </c>
      <c r="T1223" t="s">
        <v>1144</v>
      </c>
      <c r="U1223" t="s">
        <v>1145</v>
      </c>
      <c r="V1223" t="s">
        <v>40</v>
      </c>
      <c r="W1223" s="1">
        <v>11005800</v>
      </c>
    </row>
    <row r="1224" spans="1:23" x14ac:dyDescent="0.2">
      <c r="A1224" t="s">
        <v>23</v>
      </c>
      <c r="B1224" t="s">
        <v>1108</v>
      </c>
      <c r="C1224" t="s">
        <v>1109</v>
      </c>
      <c r="D1224" t="s">
        <v>1110</v>
      </c>
      <c r="E1224" t="s">
        <v>1131</v>
      </c>
      <c r="F1224" t="s">
        <v>1132</v>
      </c>
      <c r="G1224" t="s">
        <v>61</v>
      </c>
      <c r="H1224" t="s">
        <v>52</v>
      </c>
      <c r="I1224" t="s">
        <v>52</v>
      </c>
      <c r="J1224" t="s">
        <v>128</v>
      </c>
      <c r="K1224" t="s">
        <v>135</v>
      </c>
      <c r="L1224" t="s">
        <v>32</v>
      </c>
      <c r="M1224" t="s">
        <v>33</v>
      </c>
      <c r="P1224" t="s">
        <v>34</v>
      </c>
      <c r="Q1224" t="s">
        <v>35</v>
      </c>
      <c r="S1224" t="s">
        <v>52</v>
      </c>
      <c r="T1224" t="s">
        <v>1146</v>
      </c>
      <c r="U1224" t="s">
        <v>1147</v>
      </c>
      <c r="V1224" t="s">
        <v>39</v>
      </c>
      <c r="W1224" s="1">
        <v>0</v>
      </c>
    </row>
    <row r="1225" spans="1:23" x14ac:dyDescent="0.2">
      <c r="A1225" t="s">
        <v>23</v>
      </c>
      <c r="B1225" t="s">
        <v>1108</v>
      </c>
      <c r="C1225" t="s">
        <v>1109</v>
      </c>
      <c r="D1225" t="s">
        <v>1110</v>
      </c>
      <c r="E1225" t="s">
        <v>1131</v>
      </c>
      <c r="F1225" t="s">
        <v>1132</v>
      </c>
      <c r="G1225" t="s">
        <v>61</v>
      </c>
      <c r="H1225" t="s">
        <v>52</v>
      </c>
      <c r="I1225" t="s">
        <v>52</v>
      </c>
      <c r="J1225" t="s">
        <v>128</v>
      </c>
      <c r="K1225" t="s">
        <v>135</v>
      </c>
      <c r="L1225" t="s">
        <v>32</v>
      </c>
      <c r="M1225" t="s">
        <v>33</v>
      </c>
      <c r="P1225" t="s">
        <v>34</v>
      </c>
      <c r="Q1225" t="s">
        <v>35</v>
      </c>
      <c r="S1225" t="s">
        <v>52</v>
      </c>
      <c r="T1225" t="s">
        <v>1146</v>
      </c>
      <c r="U1225" t="s">
        <v>1147</v>
      </c>
      <c r="V1225" t="s">
        <v>40</v>
      </c>
      <c r="W1225" s="1">
        <v>1372000</v>
      </c>
    </row>
    <row r="1226" spans="1:23" x14ac:dyDescent="0.2">
      <c r="A1226" t="s">
        <v>23</v>
      </c>
      <c r="B1226" t="s">
        <v>1108</v>
      </c>
      <c r="C1226" t="s">
        <v>1109</v>
      </c>
      <c r="D1226" t="s">
        <v>1110</v>
      </c>
      <c r="E1226" t="s">
        <v>1131</v>
      </c>
      <c r="F1226" t="s">
        <v>1132</v>
      </c>
      <c r="G1226" t="s">
        <v>61</v>
      </c>
      <c r="H1226" t="s">
        <v>52</v>
      </c>
      <c r="I1226" t="s">
        <v>52</v>
      </c>
      <c r="J1226" t="s">
        <v>41</v>
      </c>
      <c r="K1226" t="s">
        <v>32</v>
      </c>
      <c r="L1226" t="s">
        <v>32</v>
      </c>
      <c r="M1226" t="s">
        <v>33</v>
      </c>
      <c r="N1226" t="s">
        <v>33</v>
      </c>
      <c r="O1226" t="s">
        <v>33</v>
      </c>
      <c r="P1226" t="s">
        <v>34</v>
      </c>
      <c r="Q1226" t="s">
        <v>35</v>
      </c>
      <c r="R1226" t="s">
        <v>68</v>
      </c>
      <c r="S1226" t="s">
        <v>30</v>
      </c>
      <c r="T1226" t="s">
        <v>1148</v>
      </c>
      <c r="U1226" t="s">
        <v>1149</v>
      </c>
      <c r="V1226" t="s">
        <v>39</v>
      </c>
      <c r="W1226" s="1">
        <v>2</v>
      </c>
    </row>
    <row r="1227" spans="1:23" x14ac:dyDescent="0.2">
      <c r="A1227" t="s">
        <v>23</v>
      </c>
      <c r="B1227" t="s">
        <v>1108</v>
      </c>
      <c r="C1227" t="s">
        <v>1109</v>
      </c>
      <c r="D1227" t="s">
        <v>1110</v>
      </c>
      <c r="E1227" t="s">
        <v>1131</v>
      </c>
      <c r="F1227" t="s">
        <v>1132</v>
      </c>
      <c r="G1227" t="s">
        <v>61</v>
      </c>
      <c r="H1227" t="s">
        <v>52</v>
      </c>
      <c r="I1227" t="s">
        <v>52</v>
      </c>
      <c r="J1227" t="s">
        <v>41</v>
      </c>
      <c r="K1227" t="s">
        <v>32</v>
      </c>
      <c r="L1227" t="s">
        <v>32</v>
      </c>
      <c r="M1227" t="s">
        <v>33</v>
      </c>
      <c r="N1227" t="s">
        <v>33</v>
      </c>
      <c r="O1227" t="s">
        <v>33</v>
      </c>
      <c r="P1227" t="s">
        <v>34</v>
      </c>
      <c r="Q1227" t="s">
        <v>35</v>
      </c>
      <c r="R1227" t="s">
        <v>68</v>
      </c>
      <c r="S1227" t="s">
        <v>30</v>
      </c>
      <c r="T1227" t="s">
        <v>1148</v>
      </c>
      <c r="U1227" t="s">
        <v>1149</v>
      </c>
      <c r="V1227" t="s">
        <v>40</v>
      </c>
      <c r="W1227" s="1">
        <v>3198000</v>
      </c>
    </row>
    <row r="1228" spans="1:23" x14ac:dyDescent="0.2">
      <c r="A1228" t="s">
        <v>23</v>
      </c>
      <c r="B1228" t="s">
        <v>1108</v>
      </c>
      <c r="C1228" t="s">
        <v>1109</v>
      </c>
      <c r="D1228" t="s">
        <v>1110</v>
      </c>
      <c r="E1228" t="s">
        <v>1131</v>
      </c>
      <c r="F1228" t="s">
        <v>1132</v>
      </c>
      <c r="G1228" t="s">
        <v>64</v>
      </c>
      <c r="H1228" t="s">
        <v>30</v>
      </c>
      <c r="I1228" t="s">
        <v>52</v>
      </c>
      <c r="J1228" t="s">
        <v>31</v>
      </c>
      <c r="K1228" t="s">
        <v>32</v>
      </c>
      <c r="L1228" t="s">
        <v>32</v>
      </c>
      <c r="M1228" t="s">
        <v>33</v>
      </c>
      <c r="N1228" t="s">
        <v>33</v>
      </c>
      <c r="O1228" t="s">
        <v>33</v>
      </c>
      <c r="P1228" t="s">
        <v>34</v>
      </c>
      <c r="Q1228" t="s">
        <v>35</v>
      </c>
      <c r="S1228" t="s">
        <v>30</v>
      </c>
      <c r="T1228" t="s">
        <v>1150</v>
      </c>
      <c r="U1228" t="s">
        <v>1151</v>
      </c>
      <c r="V1228" t="s">
        <v>39</v>
      </c>
      <c r="W1228" s="1">
        <v>2</v>
      </c>
    </row>
    <row r="1229" spans="1:23" x14ac:dyDescent="0.2">
      <c r="A1229" t="s">
        <v>23</v>
      </c>
      <c r="B1229" t="s">
        <v>1108</v>
      </c>
      <c r="C1229" t="s">
        <v>1109</v>
      </c>
      <c r="D1229" t="s">
        <v>1110</v>
      </c>
      <c r="E1229" t="s">
        <v>1131</v>
      </c>
      <c r="F1229" t="s">
        <v>1132</v>
      </c>
      <c r="G1229" t="s">
        <v>64</v>
      </c>
      <c r="H1229" t="s">
        <v>30</v>
      </c>
      <c r="I1229" t="s">
        <v>52</v>
      </c>
      <c r="J1229" t="s">
        <v>31</v>
      </c>
      <c r="K1229" t="s">
        <v>32</v>
      </c>
      <c r="L1229" t="s">
        <v>32</v>
      </c>
      <c r="M1229" t="s">
        <v>33</v>
      </c>
      <c r="N1229" t="s">
        <v>33</v>
      </c>
      <c r="O1229" t="s">
        <v>33</v>
      </c>
      <c r="P1229" t="s">
        <v>34</v>
      </c>
      <c r="Q1229" t="s">
        <v>35</v>
      </c>
      <c r="S1229" t="s">
        <v>30</v>
      </c>
      <c r="T1229" t="s">
        <v>1150</v>
      </c>
      <c r="U1229" t="s">
        <v>1151</v>
      </c>
      <c r="V1229" t="s">
        <v>40</v>
      </c>
      <c r="W1229" s="1">
        <v>2136000</v>
      </c>
    </row>
    <row r="1230" spans="1:23" x14ac:dyDescent="0.2">
      <c r="A1230" t="s">
        <v>23</v>
      </c>
      <c r="B1230" t="s">
        <v>1108</v>
      </c>
      <c r="C1230" t="s">
        <v>1109</v>
      </c>
      <c r="D1230" t="s">
        <v>1110</v>
      </c>
      <c r="E1230" t="s">
        <v>1131</v>
      </c>
      <c r="F1230" t="s">
        <v>1132</v>
      </c>
      <c r="G1230" t="s">
        <v>64</v>
      </c>
      <c r="H1230" t="s">
        <v>30</v>
      </c>
      <c r="I1230" t="s">
        <v>52</v>
      </c>
      <c r="J1230" t="s">
        <v>31</v>
      </c>
      <c r="K1230" t="s">
        <v>32</v>
      </c>
      <c r="L1230" t="s">
        <v>32</v>
      </c>
      <c r="M1230" t="s">
        <v>33</v>
      </c>
      <c r="P1230" t="s">
        <v>34</v>
      </c>
      <c r="Q1230" t="s">
        <v>35</v>
      </c>
      <c r="S1230" t="s">
        <v>30</v>
      </c>
      <c r="T1230" t="s">
        <v>1140</v>
      </c>
      <c r="U1230" t="s">
        <v>1152</v>
      </c>
      <c r="V1230" t="s">
        <v>39</v>
      </c>
      <c r="W1230" s="1">
        <v>3</v>
      </c>
    </row>
    <row r="1231" spans="1:23" x14ac:dyDescent="0.2">
      <c r="A1231" t="s">
        <v>23</v>
      </c>
      <c r="B1231" t="s">
        <v>1108</v>
      </c>
      <c r="C1231" t="s">
        <v>1109</v>
      </c>
      <c r="D1231" t="s">
        <v>1110</v>
      </c>
      <c r="E1231" t="s">
        <v>1131</v>
      </c>
      <c r="F1231" t="s">
        <v>1132</v>
      </c>
      <c r="G1231" t="s">
        <v>64</v>
      </c>
      <c r="H1231" t="s">
        <v>30</v>
      </c>
      <c r="I1231" t="s">
        <v>52</v>
      </c>
      <c r="J1231" t="s">
        <v>31</v>
      </c>
      <c r="K1231" t="s">
        <v>32</v>
      </c>
      <c r="L1231" t="s">
        <v>32</v>
      </c>
      <c r="M1231" t="s">
        <v>33</v>
      </c>
      <c r="P1231" t="s">
        <v>34</v>
      </c>
      <c r="Q1231" t="s">
        <v>35</v>
      </c>
      <c r="S1231" t="s">
        <v>30</v>
      </c>
      <c r="T1231" t="s">
        <v>1140</v>
      </c>
      <c r="U1231" t="s">
        <v>1152</v>
      </c>
      <c r="V1231" t="s">
        <v>40</v>
      </c>
      <c r="W1231" s="1">
        <v>2205000</v>
      </c>
    </row>
    <row r="1232" spans="1:23" x14ac:dyDescent="0.2">
      <c r="A1232" t="s">
        <v>23</v>
      </c>
      <c r="B1232" t="s">
        <v>1108</v>
      </c>
      <c r="C1232" t="s">
        <v>1109</v>
      </c>
      <c r="D1232" t="s">
        <v>1110</v>
      </c>
      <c r="E1232" t="s">
        <v>1131</v>
      </c>
      <c r="F1232" t="s">
        <v>1132</v>
      </c>
      <c r="G1232" t="s">
        <v>64</v>
      </c>
      <c r="H1232" t="s">
        <v>30</v>
      </c>
      <c r="I1232" t="s">
        <v>52</v>
      </c>
      <c r="J1232" t="s">
        <v>31</v>
      </c>
      <c r="K1232" t="s">
        <v>32</v>
      </c>
      <c r="L1232" t="s">
        <v>32</v>
      </c>
      <c r="M1232" t="s">
        <v>33</v>
      </c>
      <c r="P1232" t="s">
        <v>34</v>
      </c>
      <c r="Q1232" t="s">
        <v>35</v>
      </c>
      <c r="S1232" t="s">
        <v>52</v>
      </c>
      <c r="T1232" t="s">
        <v>1140</v>
      </c>
      <c r="U1232" t="s">
        <v>1153</v>
      </c>
      <c r="V1232" t="s">
        <v>39</v>
      </c>
      <c r="W1232" s="1">
        <v>0</v>
      </c>
    </row>
    <row r="1233" spans="1:23" x14ac:dyDescent="0.2">
      <c r="A1233" t="s">
        <v>23</v>
      </c>
      <c r="B1233" t="s">
        <v>1108</v>
      </c>
      <c r="C1233" t="s">
        <v>1109</v>
      </c>
      <c r="D1233" t="s">
        <v>1110</v>
      </c>
      <c r="E1233" t="s">
        <v>1131</v>
      </c>
      <c r="F1233" t="s">
        <v>1132</v>
      </c>
      <c r="G1233" t="s">
        <v>64</v>
      </c>
      <c r="H1233" t="s">
        <v>30</v>
      </c>
      <c r="I1233" t="s">
        <v>52</v>
      </c>
      <c r="J1233" t="s">
        <v>31</v>
      </c>
      <c r="K1233" t="s">
        <v>32</v>
      </c>
      <c r="L1233" t="s">
        <v>32</v>
      </c>
      <c r="M1233" t="s">
        <v>33</v>
      </c>
      <c r="P1233" t="s">
        <v>34</v>
      </c>
      <c r="Q1233" t="s">
        <v>35</v>
      </c>
      <c r="S1233" t="s">
        <v>52</v>
      </c>
      <c r="T1233" t="s">
        <v>1140</v>
      </c>
      <c r="U1233" t="s">
        <v>1153</v>
      </c>
      <c r="V1233" t="s">
        <v>40</v>
      </c>
      <c r="W1233" s="1">
        <v>2205000</v>
      </c>
    </row>
    <row r="1234" spans="1:23" x14ac:dyDescent="0.2">
      <c r="A1234" t="s">
        <v>23</v>
      </c>
      <c r="B1234" t="s">
        <v>1108</v>
      </c>
      <c r="C1234" t="s">
        <v>1109</v>
      </c>
      <c r="D1234" t="s">
        <v>1110</v>
      </c>
      <c r="E1234" t="s">
        <v>1131</v>
      </c>
      <c r="F1234" t="s">
        <v>1132</v>
      </c>
      <c r="G1234" t="s">
        <v>64</v>
      </c>
      <c r="H1234" t="s">
        <v>30</v>
      </c>
      <c r="I1234" t="s">
        <v>52</v>
      </c>
      <c r="J1234" t="s">
        <v>31</v>
      </c>
      <c r="K1234" t="s">
        <v>32</v>
      </c>
      <c r="L1234" t="s">
        <v>32</v>
      </c>
      <c r="M1234" t="s">
        <v>33</v>
      </c>
      <c r="P1234" t="s">
        <v>34</v>
      </c>
      <c r="Q1234" t="s">
        <v>35</v>
      </c>
      <c r="S1234" t="s">
        <v>52</v>
      </c>
      <c r="T1234" t="s">
        <v>1140</v>
      </c>
      <c r="U1234" t="s">
        <v>1154</v>
      </c>
      <c r="V1234" t="s">
        <v>39</v>
      </c>
      <c r="W1234" s="1">
        <v>0</v>
      </c>
    </row>
    <row r="1235" spans="1:23" x14ac:dyDescent="0.2">
      <c r="A1235" t="s">
        <v>23</v>
      </c>
      <c r="B1235" t="s">
        <v>1108</v>
      </c>
      <c r="C1235" t="s">
        <v>1109</v>
      </c>
      <c r="D1235" t="s">
        <v>1110</v>
      </c>
      <c r="E1235" t="s">
        <v>1131</v>
      </c>
      <c r="F1235" t="s">
        <v>1132</v>
      </c>
      <c r="G1235" t="s">
        <v>64</v>
      </c>
      <c r="H1235" t="s">
        <v>30</v>
      </c>
      <c r="I1235" t="s">
        <v>52</v>
      </c>
      <c r="J1235" t="s">
        <v>31</v>
      </c>
      <c r="K1235" t="s">
        <v>32</v>
      </c>
      <c r="L1235" t="s">
        <v>32</v>
      </c>
      <c r="M1235" t="s">
        <v>33</v>
      </c>
      <c r="P1235" t="s">
        <v>34</v>
      </c>
      <c r="Q1235" t="s">
        <v>35</v>
      </c>
      <c r="S1235" t="s">
        <v>52</v>
      </c>
      <c r="T1235" t="s">
        <v>1140</v>
      </c>
      <c r="U1235" t="s">
        <v>1154</v>
      </c>
      <c r="V1235" t="s">
        <v>40</v>
      </c>
      <c r="W1235" s="1">
        <v>2205000</v>
      </c>
    </row>
    <row r="1236" spans="1:23" x14ac:dyDescent="0.2">
      <c r="A1236" t="s">
        <v>23</v>
      </c>
      <c r="B1236" t="s">
        <v>1108</v>
      </c>
      <c r="C1236" t="s">
        <v>1109</v>
      </c>
      <c r="D1236" t="s">
        <v>1110</v>
      </c>
      <c r="E1236" t="s">
        <v>1131</v>
      </c>
      <c r="F1236" t="s">
        <v>1132</v>
      </c>
      <c r="G1236" t="s">
        <v>67</v>
      </c>
      <c r="H1236" t="s">
        <v>30</v>
      </c>
      <c r="I1236" t="s">
        <v>30</v>
      </c>
      <c r="J1236" t="s">
        <v>211</v>
      </c>
      <c r="K1236" t="s">
        <v>181</v>
      </c>
      <c r="L1236" t="s">
        <v>32</v>
      </c>
      <c r="M1236" t="s">
        <v>33</v>
      </c>
      <c r="N1236" t="s">
        <v>33</v>
      </c>
      <c r="O1236" t="s">
        <v>33</v>
      </c>
      <c r="P1236" t="s">
        <v>34</v>
      </c>
      <c r="Q1236" t="s">
        <v>35</v>
      </c>
      <c r="R1236" t="s">
        <v>215</v>
      </c>
      <c r="S1236" t="s">
        <v>30</v>
      </c>
      <c r="T1236" t="s">
        <v>1155</v>
      </c>
      <c r="U1236" t="s">
        <v>1156</v>
      </c>
      <c r="V1236" t="s">
        <v>39</v>
      </c>
      <c r="W1236" s="1">
        <v>2</v>
      </c>
    </row>
    <row r="1237" spans="1:23" x14ac:dyDescent="0.2">
      <c r="A1237" t="s">
        <v>23</v>
      </c>
      <c r="B1237" t="s">
        <v>1108</v>
      </c>
      <c r="C1237" t="s">
        <v>1109</v>
      </c>
      <c r="D1237" t="s">
        <v>1110</v>
      </c>
      <c r="E1237" t="s">
        <v>1131</v>
      </c>
      <c r="F1237" t="s">
        <v>1132</v>
      </c>
      <c r="G1237" t="s">
        <v>67</v>
      </c>
      <c r="H1237" t="s">
        <v>30</v>
      </c>
      <c r="I1237" t="s">
        <v>30</v>
      </c>
      <c r="J1237" t="s">
        <v>211</v>
      </c>
      <c r="K1237" t="s">
        <v>181</v>
      </c>
      <c r="L1237" t="s">
        <v>32</v>
      </c>
      <c r="M1237" t="s">
        <v>33</v>
      </c>
      <c r="N1237" t="s">
        <v>33</v>
      </c>
      <c r="O1237" t="s">
        <v>33</v>
      </c>
      <c r="P1237" t="s">
        <v>34</v>
      </c>
      <c r="Q1237" t="s">
        <v>35</v>
      </c>
      <c r="R1237" t="s">
        <v>215</v>
      </c>
      <c r="S1237" t="s">
        <v>30</v>
      </c>
      <c r="T1237" t="s">
        <v>1155</v>
      </c>
      <c r="U1237" t="s">
        <v>1156</v>
      </c>
      <c r="V1237" t="s">
        <v>40</v>
      </c>
      <c r="W1237" s="1">
        <v>0</v>
      </c>
    </row>
    <row r="1238" spans="1:23" x14ac:dyDescent="0.2">
      <c r="A1238" t="s">
        <v>23</v>
      </c>
      <c r="B1238" t="s">
        <v>1108</v>
      </c>
      <c r="C1238" t="s">
        <v>1109</v>
      </c>
      <c r="D1238" t="s">
        <v>1110</v>
      </c>
      <c r="E1238" t="s">
        <v>1131</v>
      </c>
      <c r="F1238" t="s">
        <v>1132</v>
      </c>
      <c r="G1238" t="s">
        <v>67</v>
      </c>
      <c r="H1238" t="s">
        <v>30</v>
      </c>
      <c r="I1238" t="s">
        <v>30</v>
      </c>
      <c r="J1238" t="s">
        <v>211</v>
      </c>
      <c r="K1238" t="s">
        <v>181</v>
      </c>
      <c r="L1238" t="s">
        <v>32</v>
      </c>
      <c r="M1238" t="s">
        <v>33</v>
      </c>
      <c r="N1238" t="s">
        <v>33</v>
      </c>
      <c r="O1238" t="s">
        <v>33</v>
      </c>
      <c r="P1238" t="s">
        <v>34</v>
      </c>
      <c r="Q1238" t="s">
        <v>35</v>
      </c>
      <c r="R1238" t="s">
        <v>215</v>
      </c>
      <c r="S1238" t="s">
        <v>30</v>
      </c>
      <c r="T1238" t="s">
        <v>1157</v>
      </c>
      <c r="U1238" t="s">
        <v>1158</v>
      </c>
      <c r="V1238" t="s">
        <v>39</v>
      </c>
      <c r="W1238" s="1">
        <v>1</v>
      </c>
    </row>
    <row r="1239" spans="1:23" x14ac:dyDescent="0.2">
      <c r="A1239" t="s">
        <v>23</v>
      </c>
      <c r="B1239" t="s">
        <v>1108</v>
      </c>
      <c r="C1239" t="s">
        <v>1109</v>
      </c>
      <c r="D1239" t="s">
        <v>1110</v>
      </c>
      <c r="E1239" t="s">
        <v>1131</v>
      </c>
      <c r="F1239" t="s">
        <v>1132</v>
      </c>
      <c r="G1239" t="s">
        <v>67</v>
      </c>
      <c r="H1239" t="s">
        <v>30</v>
      </c>
      <c r="I1239" t="s">
        <v>30</v>
      </c>
      <c r="J1239" t="s">
        <v>211</v>
      </c>
      <c r="K1239" t="s">
        <v>181</v>
      </c>
      <c r="L1239" t="s">
        <v>32</v>
      </c>
      <c r="M1239" t="s">
        <v>33</v>
      </c>
      <c r="N1239" t="s">
        <v>33</v>
      </c>
      <c r="O1239" t="s">
        <v>33</v>
      </c>
      <c r="P1239" t="s">
        <v>34</v>
      </c>
      <c r="Q1239" t="s">
        <v>35</v>
      </c>
      <c r="R1239" t="s">
        <v>215</v>
      </c>
      <c r="S1239" t="s">
        <v>30</v>
      </c>
      <c r="T1239" t="s">
        <v>1157</v>
      </c>
      <c r="U1239" t="s">
        <v>1158</v>
      </c>
      <c r="V1239" t="s">
        <v>40</v>
      </c>
      <c r="W1239" s="1">
        <v>0</v>
      </c>
    </row>
    <row r="1240" spans="1:23" x14ac:dyDescent="0.2">
      <c r="A1240" t="s">
        <v>23</v>
      </c>
      <c r="B1240" t="s">
        <v>1108</v>
      </c>
      <c r="C1240" t="s">
        <v>1109</v>
      </c>
      <c r="D1240" t="s">
        <v>1110</v>
      </c>
      <c r="E1240" t="s">
        <v>1131</v>
      </c>
      <c r="F1240" t="s">
        <v>1132</v>
      </c>
      <c r="G1240" t="s">
        <v>67</v>
      </c>
      <c r="H1240" t="s">
        <v>30</v>
      </c>
      <c r="I1240" t="s">
        <v>30</v>
      </c>
      <c r="J1240" t="s">
        <v>211</v>
      </c>
      <c r="K1240" t="s">
        <v>181</v>
      </c>
      <c r="L1240" t="s">
        <v>32</v>
      </c>
      <c r="M1240" t="s">
        <v>33</v>
      </c>
      <c r="P1240" t="s">
        <v>34</v>
      </c>
      <c r="Q1240" t="s">
        <v>35</v>
      </c>
      <c r="R1240" t="s">
        <v>215</v>
      </c>
      <c r="S1240" t="s">
        <v>52</v>
      </c>
      <c r="T1240" t="s">
        <v>1155</v>
      </c>
      <c r="U1240" t="s">
        <v>1156</v>
      </c>
      <c r="V1240" t="s">
        <v>39</v>
      </c>
      <c r="W1240" s="1">
        <v>0</v>
      </c>
    </row>
    <row r="1241" spans="1:23" x14ac:dyDescent="0.2">
      <c r="A1241" t="s">
        <v>23</v>
      </c>
      <c r="B1241" t="s">
        <v>1108</v>
      </c>
      <c r="C1241" t="s">
        <v>1109</v>
      </c>
      <c r="D1241" t="s">
        <v>1110</v>
      </c>
      <c r="E1241" t="s">
        <v>1131</v>
      </c>
      <c r="F1241" t="s">
        <v>1132</v>
      </c>
      <c r="G1241" t="s">
        <v>67</v>
      </c>
      <c r="H1241" t="s">
        <v>30</v>
      </c>
      <c r="I1241" t="s">
        <v>30</v>
      </c>
      <c r="J1241" t="s">
        <v>211</v>
      </c>
      <c r="K1241" t="s">
        <v>181</v>
      </c>
      <c r="L1241" t="s">
        <v>32</v>
      </c>
      <c r="M1241" t="s">
        <v>33</v>
      </c>
      <c r="P1241" t="s">
        <v>34</v>
      </c>
      <c r="Q1241" t="s">
        <v>35</v>
      </c>
      <c r="R1241" t="s">
        <v>215</v>
      </c>
      <c r="S1241" t="s">
        <v>52</v>
      </c>
      <c r="T1241" t="s">
        <v>1155</v>
      </c>
      <c r="U1241" t="s">
        <v>1156</v>
      </c>
      <c r="V1241" t="s">
        <v>40</v>
      </c>
      <c r="W1241" s="1">
        <v>0</v>
      </c>
    </row>
    <row r="1242" spans="1:23" x14ac:dyDescent="0.2">
      <c r="A1242" t="s">
        <v>23</v>
      </c>
      <c r="B1242" t="s">
        <v>1108</v>
      </c>
      <c r="C1242" t="s">
        <v>1109</v>
      </c>
      <c r="D1242" t="s">
        <v>1110</v>
      </c>
      <c r="E1242" t="s">
        <v>1131</v>
      </c>
      <c r="F1242" t="s">
        <v>1132</v>
      </c>
      <c r="G1242" t="s">
        <v>67</v>
      </c>
      <c r="H1242" t="s">
        <v>30</v>
      </c>
      <c r="I1242" t="s">
        <v>30</v>
      </c>
      <c r="J1242" t="s">
        <v>128</v>
      </c>
      <c r="K1242" t="s">
        <v>135</v>
      </c>
      <c r="L1242" t="s">
        <v>32</v>
      </c>
      <c r="M1242" t="s">
        <v>33</v>
      </c>
      <c r="N1242" t="s">
        <v>33</v>
      </c>
      <c r="O1242" t="s">
        <v>33</v>
      </c>
      <c r="P1242" t="s">
        <v>34</v>
      </c>
      <c r="Q1242" t="s">
        <v>35</v>
      </c>
      <c r="R1242" t="s">
        <v>1159</v>
      </c>
      <c r="S1242" t="s">
        <v>30</v>
      </c>
      <c r="T1242" t="s">
        <v>1160</v>
      </c>
      <c r="U1242" t="s">
        <v>1161</v>
      </c>
      <c r="V1242" t="s">
        <v>39</v>
      </c>
      <c r="W1242" s="1">
        <v>2</v>
      </c>
    </row>
    <row r="1243" spans="1:23" x14ac:dyDescent="0.2">
      <c r="A1243" t="s">
        <v>23</v>
      </c>
      <c r="B1243" t="s">
        <v>1108</v>
      </c>
      <c r="C1243" t="s">
        <v>1109</v>
      </c>
      <c r="D1243" t="s">
        <v>1110</v>
      </c>
      <c r="E1243" t="s">
        <v>1131</v>
      </c>
      <c r="F1243" t="s">
        <v>1132</v>
      </c>
      <c r="G1243" t="s">
        <v>67</v>
      </c>
      <c r="H1243" t="s">
        <v>30</v>
      </c>
      <c r="I1243" t="s">
        <v>30</v>
      </c>
      <c r="J1243" t="s">
        <v>128</v>
      </c>
      <c r="K1243" t="s">
        <v>135</v>
      </c>
      <c r="L1243" t="s">
        <v>32</v>
      </c>
      <c r="M1243" t="s">
        <v>33</v>
      </c>
      <c r="N1243" t="s">
        <v>33</v>
      </c>
      <c r="O1243" t="s">
        <v>33</v>
      </c>
      <c r="P1243" t="s">
        <v>34</v>
      </c>
      <c r="Q1243" t="s">
        <v>35</v>
      </c>
      <c r="R1243" t="s">
        <v>1159</v>
      </c>
      <c r="S1243" t="s">
        <v>30</v>
      </c>
      <c r="T1243" t="s">
        <v>1160</v>
      </c>
      <c r="U1243" t="s">
        <v>1161</v>
      </c>
      <c r="V1243" t="s">
        <v>40</v>
      </c>
      <c r="W1243" s="1">
        <v>888000</v>
      </c>
    </row>
    <row r="1244" spans="1:23" x14ac:dyDescent="0.2">
      <c r="A1244" t="s">
        <v>23</v>
      </c>
      <c r="B1244" t="s">
        <v>1108</v>
      </c>
      <c r="C1244" t="s">
        <v>1109</v>
      </c>
      <c r="D1244" t="s">
        <v>1110</v>
      </c>
      <c r="E1244" t="s">
        <v>1131</v>
      </c>
      <c r="F1244" t="s">
        <v>1132</v>
      </c>
      <c r="G1244" t="s">
        <v>67</v>
      </c>
      <c r="H1244" t="s">
        <v>30</v>
      </c>
      <c r="I1244" t="s">
        <v>30</v>
      </c>
      <c r="J1244" t="s">
        <v>31</v>
      </c>
      <c r="K1244" t="s">
        <v>32</v>
      </c>
      <c r="L1244" t="s">
        <v>32</v>
      </c>
      <c r="M1244" t="s">
        <v>33</v>
      </c>
      <c r="N1244" t="s">
        <v>33</v>
      </c>
      <c r="O1244" t="s">
        <v>33</v>
      </c>
      <c r="P1244" t="s">
        <v>34</v>
      </c>
      <c r="Q1244" t="s">
        <v>35</v>
      </c>
      <c r="S1244" t="s">
        <v>30</v>
      </c>
      <c r="T1244" t="s">
        <v>1162</v>
      </c>
      <c r="U1244" t="s">
        <v>1163</v>
      </c>
      <c r="V1244" t="s">
        <v>39</v>
      </c>
      <c r="W1244" s="1">
        <v>2</v>
      </c>
    </row>
    <row r="1245" spans="1:23" x14ac:dyDescent="0.2">
      <c r="A1245" t="s">
        <v>23</v>
      </c>
      <c r="B1245" t="s">
        <v>1108</v>
      </c>
      <c r="C1245" t="s">
        <v>1109</v>
      </c>
      <c r="D1245" t="s">
        <v>1110</v>
      </c>
      <c r="E1245" t="s">
        <v>1131</v>
      </c>
      <c r="F1245" t="s">
        <v>1132</v>
      </c>
      <c r="G1245" t="s">
        <v>67</v>
      </c>
      <c r="H1245" t="s">
        <v>30</v>
      </c>
      <c r="I1245" t="s">
        <v>30</v>
      </c>
      <c r="J1245" t="s">
        <v>31</v>
      </c>
      <c r="K1245" t="s">
        <v>32</v>
      </c>
      <c r="L1245" t="s">
        <v>32</v>
      </c>
      <c r="M1245" t="s">
        <v>33</v>
      </c>
      <c r="N1245" t="s">
        <v>33</v>
      </c>
      <c r="O1245" t="s">
        <v>33</v>
      </c>
      <c r="P1245" t="s">
        <v>34</v>
      </c>
      <c r="Q1245" t="s">
        <v>35</v>
      </c>
      <c r="S1245" t="s">
        <v>30</v>
      </c>
      <c r="T1245" t="s">
        <v>1162</v>
      </c>
      <c r="U1245" t="s">
        <v>1163</v>
      </c>
      <c r="V1245" t="s">
        <v>40</v>
      </c>
      <c r="W1245" s="1">
        <v>2278600</v>
      </c>
    </row>
    <row r="1246" spans="1:23" x14ac:dyDescent="0.2">
      <c r="A1246" t="s">
        <v>23</v>
      </c>
      <c r="B1246" t="s">
        <v>1108</v>
      </c>
      <c r="C1246" t="s">
        <v>1109</v>
      </c>
      <c r="D1246" t="s">
        <v>1110</v>
      </c>
      <c r="E1246" t="s">
        <v>1131</v>
      </c>
      <c r="F1246" t="s">
        <v>1132</v>
      </c>
      <c r="G1246" t="s">
        <v>67</v>
      </c>
      <c r="H1246" t="s">
        <v>30</v>
      </c>
      <c r="I1246" t="s">
        <v>30</v>
      </c>
      <c r="J1246" t="s">
        <v>31</v>
      </c>
      <c r="K1246" t="s">
        <v>32</v>
      </c>
      <c r="L1246" t="s">
        <v>32</v>
      </c>
      <c r="M1246" t="s">
        <v>33</v>
      </c>
      <c r="N1246" t="s">
        <v>169</v>
      </c>
      <c r="O1246" t="s">
        <v>169</v>
      </c>
      <c r="P1246" t="s">
        <v>34</v>
      </c>
      <c r="Q1246" t="s">
        <v>35</v>
      </c>
      <c r="S1246" t="s">
        <v>30</v>
      </c>
      <c r="T1246" t="s">
        <v>1162</v>
      </c>
      <c r="U1246" t="s">
        <v>1163</v>
      </c>
      <c r="V1246" t="s">
        <v>39</v>
      </c>
      <c r="W1246" s="1">
        <v>1</v>
      </c>
    </row>
    <row r="1247" spans="1:23" x14ac:dyDescent="0.2">
      <c r="A1247" t="s">
        <v>23</v>
      </c>
      <c r="B1247" t="s">
        <v>1108</v>
      </c>
      <c r="C1247" t="s">
        <v>1109</v>
      </c>
      <c r="D1247" t="s">
        <v>1110</v>
      </c>
      <c r="E1247" t="s">
        <v>1131</v>
      </c>
      <c r="F1247" t="s">
        <v>1132</v>
      </c>
      <c r="G1247" t="s">
        <v>67</v>
      </c>
      <c r="H1247" t="s">
        <v>30</v>
      </c>
      <c r="I1247" t="s">
        <v>30</v>
      </c>
      <c r="J1247" t="s">
        <v>31</v>
      </c>
      <c r="K1247" t="s">
        <v>32</v>
      </c>
      <c r="L1247" t="s">
        <v>32</v>
      </c>
      <c r="M1247" t="s">
        <v>33</v>
      </c>
      <c r="N1247" t="s">
        <v>169</v>
      </c>
      <c r="O1247" t="s">
        <v>169</v>
      </c>
      <c r="P1247" t="s">
        <v>34</v>
      </c>
      <c r="Q1247" t="s">
        <v>35</v>
      </c>
      <c r="S1247" t="s">
        <v>30</v>
      </c>
      <c r="T1247" t="s">
        <v>1162</v>
      </c>
      <c r="U1247" t="s">
        <v>1163</v>
      </c>
      <c r="V1247" t="s">
        <v>40</v>
      </c>
      <c r="W1247" s="1">
        <v>1139300</v>
      </c>
    </row>
    <row r="1248" spans="1:23" x14ac:dyDescent="0.2">
      <c r="A1248" t="s">
        <v>23</v>
      </c>
      <c r="B1248" t="s">
        <v>1108</v>
      </c>
      <c r="C1248" t="s">
        <v>1109</v>
      </c>
      <c r="D1248" t="s">
        <v>1110</v>
      </c>
      <c r="E1248" t="s">
        <v>1131</v>
      </c>
      <c r="F1248" t="s">
        <v>1132</v>
      </c>
      <c r="G1248" t="s">
        <v>67</v>
      </c>
      <c r="H1248" t="s">
        <v>30</v>
      </c>
      <c r="I1248" t="s">
        <v>30</v>
      </c>
      <c r="J1248" t="s">
        <v>41</v>
      </c>
      <c r="K1248" t="s">
        <v>181</v>
      </c>
      <c r="L1248" t="s">
        <v>32</v>
      </c>
      <c r="M1248" t="s">
        <v>33</v>
      </c>
      <c r="N1248" t="s">
        <v>33</v>
      </c>
      <c r="O1248" t="s">
        <v>33</v>
      </c>
      <c r="P1248" t="s">
        <v>34</v>
      </c>
      <c r="Q1248" t="s">
        <v>35</v>
      </c>
      <c r="S1248" t="s">
        <v>30</v>
      </c>
      <c r="T1248" t="s">
        <v>1164</v>
      </c>
      <c r="U1248" t="s">
        <v>1165</v>
      </c>
      <c r="V1248" t="s">
        <v>39</v>
      </c>
      <c r="W1248" s="1">
        <v>2</v>
      </c>
    </row>
    <row r="1249" spans="1:23" x14ac:dyDescent="0.2">
      <c r="A1249" t="s">
        <v>23</v>
      </c>
      <c r="B1249" t="s">
        <v>1108</v>
      </c>
      <c r="C1249" t="s">
        <v>1109</v>
      </c>
      <c r="D1249" t="s">
        <v>1110</v>
      </c>
      <c r="E1249" t="s">
        <v>1131</v>
      </c>
      <c r="F1249" t="s">
        <v>1132</v>
      </c>
      <c r="G1249" t="s">
        <v>67</v>
      </c>
      <c r="H1249" t="s">
        <v>30</v>
      </c>
      <c r="I1249" t="s">
        <v>30</v>
      </c>
      <c r="J1249" t="s">
        <v>41</v>
      </c>
      <c r="K1249" t="s">
        <v>181</v>
      </c>
      <c r="L1249" t="s">
        <v>32</v>
      </c>
      <c r="M1249" t="s">
        <v>33</v>
      </c>
      <c r="N1249" t="s">
        <v>33</v>
      </c>
      <c r="O1249" t="s">
        <v>33</v>
      </c>
      <c r="P1249" t="s">
        <v>34</v>
      </c>
      <c r="Q1249" t="s">
        <v>35</v>
      </c>
      <c r="S1249" t="s">
        <v>30</v>
      </c>
      <c r="T1249" t="s">
        <v>1164</v>
      </c>
      <c r="U1249" t="s">
        <v>1165</v>
      </c>
      <c r="V1249" t="s">
        <v>40</v>
      </c>
      <c r="W1249" s="1">
        <v>400000</v>
      </c>
    </row>
    <row r="1250" spans="1:23" x14ac:dyDescent="0.2">
      <c r="A1250" t="s">
        <v>23</v>
      </c>
      <c r="B1250" t="s">
        <v>1108</v>
      </c>
      <c r="C1250" t="s">
        <v>1109</v>
      </c>
      <c r="D1250" t="s">
        <v>1110</v>
      </c>
      <c r="E1250" t="s">
        <v>1131</v>
      </c>
      <c r="F1250" t="s">
        <v>1132</v>
      </c>
      <c r="G1250" t="s">
        <v>89</v>
      </c>
      <c r="H1250" t="s">
        <v>30</v>
      </c>
      <c r="I1250" t="s">
        <v>30</v>
      </c>
      <c r="J1250" t="s">
        <v>128</v>
      </c>
      <c r="K1250" t="s">
        <v>135</v>
      </c>
      <c r="L1250" t="s">
        <v>32</v>
      </c>
      <c r="M1250" t="s">
        <v>33</v>
      </c>
      <c r="N1250" t="s">
        <v>33</v>
      </c>
      <c r="O1250" t="s">
        <v>33</v>
      </c>
      <c r="P1250" t="s">
        <v>34</v>
      </c>
      <c r="Q1250" t="s">
        <v>35</v>
      </c>
      <c r="R1250" t="s">
        <v>136</v>
      </c>
      <c r="S1250" t="s">
        <v>30</v>
      </c>
      <c r="T1250" t="s">
        <v>1166</v>
      </c>
      <c r="U1250" t="s">
        <v>1167</v>
      </c>
      <c r="V1250" t="s">
        <v>39</v>
      </c>
      <c r="W1250" s="1">
        <v>3</v>
      </c>
    </row>
    <row r="1251" spans="1:23" x14ac:dyDescent="0.2">
      <c r="A1251" t="s">
        <v>23</v>
      </c>
      <c r="B1251" t="s">
        <v>1108</v>
      </c>
      <c r="C1251" t="s">
        <v>1109</v>
      </c>
      <c r="D1251" t="s">
        <v>1110</v>
      </c>
      <c r="E1251" t="s">
        <v>1131</v>
      </c>
      <c r="F1251" t="s">
        <v>1132</v>
      </c>
      <c r="G1251" t="s">
        <v>89</v>
      </c>
      <c r="H1251" t="s">
        <v>30</v>
      </c>
      <c r="I1251" t="s">
        <v>30</v>
      </c>
      <c r="J1251" t="s">
        <v>128</v>
      </c>
      <c r="K1251" t="s">
        <v>135</v>
      </c>
      <c r="L1251" t="s">
        <v>32</v>
      </c>
      <c r="M1251" t="s">
        <v>33</v>
      </c>
      <c r="N1251" t="s">
        <v>33</v>
      </c>
      <c r="O1251" t="s">
        <v>33</v>
      </c>
      <c r="P1251" t="s">
        <v>34</v>
      </c>
      <c r="Q1251" t="s">
        <v>35</v>
      </c>
      <c r="R1251" t="s">
        <v>136</v>
      </c>
      <c r="S1251" t="s">
        <v>30</v>
      </c>
      <c r="T1251" t="s">
        <v>1166</v>
      </c>
      <c r="U1251" t="s">
        <v>1167</v>
      </c>
      <c r="V1251" t="s">
        <v>40</v>
      </c>
      <c r="W1251" s="1">
        <v>3408000</v>
      </c>
    </row>
    <row r="1252" spans="1:23" x14ac:dyDescent="0.2">
      <c r="A1252" t="s">
        <v>23</v>
      </c>
      <c r="B1252" t="s">
        <v>1108</v>
      </c>
      <c r="C1252" t="s">
        <v>1109</v>
      </c>
      <c r="D1252" t="s">
        <v>1110</v>
      </c>
      <c r="E1252" t="s">
        <v>1131</v>
      </c>
      <c r="F1252" t="s">
        <v>1132</v>
      </c>
      <c r="G1252" t="s">
        <v>89</v>
      </c>
      <c r="H1252" t="s">
        <v>30</v>
      </c>
      <c r="I1252" t="s">
        <v>30</v>
      </c>
      <c r="J1252" t="s">
        <v>128</v>
      </c>
      <c r="K1252" t="s">
        <v>135</v>
      </c>
      <c r="L1252" t="s">
        <v>32</v>
      </c>
      <c r="M1252" t="s">
        <v>33</v>
      </c>
      <c r="N1252" t="s">
        <v>33</v>
      </c>
      <c r="O1252" t="s">
        <v>33</v>
      </c>
      <c r="P1252" t="s">
        <v>34</v>
      </c>
      <c r="Q1252" t="s">
        <v>35</v>
      </c>
      <c r="R1252" t="s">
        <v>319</v>
      </c>
      <c r="S1252" t="s">
        <v>30</v>
      </c>
      <c r="T1252" t="s">
        <v>1168</v>
      </c>
      <c r="U1252" t="s">
        <v>1169</v>
      </c>
      <c r="V1252" t="s">
        <v>39</v>
      </c>
      <c r="W1252" s="1">
        <v>2</v>
      </c>
    </row>
    <row r="1253" spans="1:23" x14ac:dyDescent="0.2">
      <c r="A1253" t="s">
        <v>23</v>
      </c>
      <c r="B1253" t="s">
        <v>1108</v>
      </c>
      <c r="C1253" t="s">
        <v>1109</v>
      </c>
      <c r="D1253" t="s">
        <v>1110</v>
      </c>
      <c r="E1253" t="s">
        <v>1131</v>
      </c>
      <c r="F1253" t="s">
        <v>1132</v>
      </c>
      <c r="G1253" t="s">
        <v>89</v>
      </c>
      <c r="H1253" t="s">
        <v>30</v>
      </c>
      <c r="I1253" t="s">
        <v>30</v>
      </c>
      <c r="J1253" t="s">
        <v>128</v>
      </c>
      <c r="K1253" t="s">
        <v>135</v>
      </c>
      <c r="L1253" t="s">
        <v>32</v>
      </c>
      <c r="M1253" t="s">
        <v>33</v>
      </c>
      <c r="N1253" t="s">
        <v>33</v>
      </c>
      <c r="O1253" t="s">
        <v>33</v>
      </c>
      <c r="P1253" t="s">
        <v>34</v>
      </c>
      <c r="Q1253" t="s">
        <v>35</v>
      </c>
      <c r="R1253" t="s">
        <v>319</v>
      </c>
      <c r="S1253" t="s">
        <v>30</v>
      </c>
      <c r="T1253" t="s">
        <v>1168</v>
      </c>
      <c r="U1253" t="s">
        <v>1169</v>
      </c>
      <c r="V1253" t="s">
        <v>40</v>
      </c>
      <c r="W1253" s="1">
        <v>4750800</v>
      </c>
    </row>
    <row r="1254" spans="1:23" x14ac:dyDescent="0.2">
      <c r="A1254" t="s">
        <v>23</v>
      </c>
      <c r="B1254" t="s">
        <v>1108</v>
      </c>
      <c r="C1254" t="s">
        <v>1109</v>
      </c>
      <c r="D1254" t="s">
        <v>1110</v>
      </c>
      <c r="E1254" t="s">
        <v>1131</v>
      </c>
      <c r="F1254" t="s">
        <v>1132</v>
      </c>
      <c r="G1254" t="s">
        <v>89</v>
      </c>
      <c r="H1254" t="s">
        <v>30</v>
      </c>
      <c r="I1254" t="s">
        <v>30</v>
      </c>
      <c r="J1254" t="s">
        <v>41</v>
      </c>
      <c r="K1254" t="s">
        <v>32</v>
      </c>
      <c r="L1254" t="s">
        <v>32</v>
      </c>
      <c r="M1254" t="s">
        <v>33</v>
      </c>
      <c r="N1254" t="s">
        <v>33</v>
      </c>
      <c r="O1254" t="s">
        <v>33</v>
      </c>
      <c r="P1254" t="s">
        <v>34</v>
      </c>
      <c r="Q1254" t="s">
        <v>35</v>
      </c>
      <c r="R1254" t="s">
        <v>68</v>
      </c>
      <c r="S1254" t="s">
        <v>30</v>
      </c>
      <c r="T1254" t="s">
        <v>1170</v>
      </c>
      <c r="U1254" t="s">
        <v>1171</v>
      </c>
      <c r="V1254" t="s">
        <v>39</v>
      </c>
      <c r="W1254" s="1">
        <v>2</v>
      </c>
    </row>
    <row r="1255" spans="1:23" x14ac:dyDescent="0.2">
      <c r="A1255" t="s">
        <v>23</v>
      </c>
      <c r="B1255" t="s">
        <v>1108</v>
      </c>
      <c r="C1255" t="s">
        <v>1109</v>
      </c>
      <c r="D1255" t="s">
        <v>1110</v>
      </c>
      <c r="E1255" t="s">
        <v>1131</v>
      </c>
      <c r="F1255" t="s">
        <v>1132</v>
      </c>
      <c r="G1255" t="s">
        <v>89</v>
      </c>
      <c r="H1255" t="s">
        <v>30</v>
      </c>
      <c r="I1255" t="s">
        <v>30</v>
      </c>
      <c r="J1255" t="s">
        <v>41</v>
      </c>
      <c r="K1255" t="s">
        <v>32</v>
      </c>
      <c r="L1255" t="s">
        <v>32</v>
      </c>
      <c r="M1255" t="s">
        <v>33</v>
      </c>
      <c r="N1255" t="s">
        <v>33</v>
      </c>
      <c r="O1255" t="s">
        <v>33</v>
      </c>
      <c r="P1255" t="s">
        <v>34</v>
      </c>
      <c r="Q1255" t="s">
        <v>35</v>
      </c>
      <c r="R1255" t="s">
        <v>68</v>
      </c>
      <c r="S1255" t="s">
        <v>30</v>
      </c>
      <c r="T1255" t="s">
        <v>1170</v>
      </c>
      <c r="U1255" t="s">
        <v>1171</v>
      </c>
      <c r="V1255" t="s">
        <v>40</v>
      </c>
      <c r="W1255" s="1">
        <v>2578000</v>
      </c>
    </row>
    <row r="1256" spans="1:23" x14ac:dyDescent="0.2">
      <c r="A1256" t="s">
        <v>23</v>
      </c>
      <c r="B1256" t="s">
        <v>1108</v>
      </c>
      <c r="C1256" t="s">
        <v>1109</v>
      </c>
      <c r="D1256" t="s">
        <v>1110</v>
      </c>
      <c r="E1256" t="s">
        <v>1131</v>
      </c>
      <c r="F1256" t="s">
        <v>1132</v>
      </c>
      <c r="G1256" t="s">
        <v>89</v>
      </c>
      <c r="H1256" t="s">
        <v>30</v>
      </c>
      <c r="I1256" t="s">
        <v>30</v>
      </c>
      <c r="J1256" t="s">
        <v>41</v>
      </c>
      <c r="K1256" t="s">
        <v>32</v>
      </c>
      <c r="L1256" t="s">
        <v>32</v>
      </c>
      <c r="M1256" t="s">
        <v>33</v>
      </c>
      <c r="N1256" t="s">
        <v>33</v>
      </c>
      <c r="O1256" t="s">
        <v>33</v>
      </c>
      <c r="P1256" t="s">
        <v>34</v>
      </c>
      <c r="Q1256" t="s">
        <v>35</v>
      </c>
      <c r="S1256" t="s">
        <v>30</v>
      </c>
      <c r="T1256" t="s">
        <v>1172</v>
      </c>
      <c r="U1256" t="s">
        <v>1173</v>
      </c>
      <c r="V1256" t="s">
        <v>39</v>
      </c>
      <c r="W1256" s="1">
        <v>4</v>
      </c>
    </row>
    <row r="1257" spans="1:23" x14ac:dyDescent="0.2">
      <c r="A1257" t="s">
        <v>23</v>
      </c>
      <c r="B1257" t="s">
        <v>1108</v>
      </c>
      <c r="C1257" t="s">
        <v>1109</v>
      </c>
      <c r="D1257" t="s">
        <v>1110</v>
      </c>
      <c r="E1257" t="s">
        <v>1131</v>
      </c>
      <c r="F1257" t="s">
        <v>1132</v>
      </c>
      <c r="G1257" t="s">
        <v>89</v>
      </c>
      <c r="H1257" t="s">
        <v>30</v>
      </c>
      <c r="I1257" t="s">
        <v>30</v>
      </c>
      <c r="J1257" t="s">
        <v>41</v>
      </c>
      <c r="K1257" t="s">
        <v>32</v>
      </c>
      <c r="L1257" t="s">
        <v>32</v>
      </c>
      <c r="M1257" t="s">
        <v>33</v>
      </c>
      <c r="N1257" t="s">
        <v>33</v>
      </c>
      <c r="O1257" t="s">
        <v>33</v>
      </c>
      <c r="P1257" t="s">
        <v>34</v>
      </c>
      <c r="Q1257" t="s">
        <v>35</v>
      </c>
      <c r="S1257" t="s">
        <v>30</v>
      </c>
      <c r="T1257" t="s">
        <v>1172</v>
      </c>
      <c r="U1257" t="s">
        <v>1173</v>
      </c>
      <c r="V1257" t="s">
        <v>40</v>
      </c>
      <c r="W1257" s="1">
        <v>5236400</v>
      </c>
    </row>
    <row r="1258" spans="1:23" x14ac:dyDescent="0.2">
      <c r="A1258" t="s">
        <v>23</v>
      </c>
      <c r="B1258" t="s">
        <v>1108</v>
      </c>
      <c r="C1258" t="s">
        <v>1109</v>
      </c>
      <c r="D1258" t="s">
        <v>1110</v>
      </c>
      <c r="E1258" t="s">
        <v>1131</v>
      </c>
      <c r="F1258" t="s">
        <v>1132</v>
      </c>
      <c r="G1258" t="s">
        <v>89</v>
      </c>
      <c r="H1258" t="s">
        <v>30</v>
      </c>
      <c r="I1258" t="s">
        <v>30</v>
      </c>
      <c r="J1258" t="s">
        <v>41</v>
      </c>
      <c r="K1258" t="s">
        <v>32</v>
      </c>
      <c r="L1258" t="s">
        <v>32</v>
      </c>
      <c r="M1258" t="s">
        <v>33</v>
      </c>
      <c r="N1258" t="s">
        <v>33</v>
      </c>
      <c r="O1258" t="s">
        <v>33</v>
      </c>
      <c r="P1258" t="s">
        <v>34</v>
      </c>
      <c r="Q1258" t="s">
        <v>35</v>
      </c>
      <c r="S1258" t="s">
        <v>30</v>
      </c>
      <c r="T1258" t="s">
        <v>1174</v>
      </c>
      <c r="U1258" t="s">
        <v>1175</v>
      </c>
      <c r="V1258" t="s">
        <v>39</v>
      </c>
      <c r="W1258" s="1">
        <v>2</v>
      </c>
    </row>
    <row r="1259" spans="1:23" x14ac:dyDescent="0.2">
      <c r="A1259" t="s">
        <v>23</v>
      </c>
      <c r="B1259" t="s">
        <v>1108</v>
      </c>
      <c r="C1259" t="s">
        <v>1109</v>
      </c>
      <c r="D1259" t="s">
        <v>1110</v>
      </c>
      <c r="E1259" t="s">
        <v>1131</v>
      </c>
      <c r="F1259" t="s">
        <v>1132</v>
      </c>
      <c r="G1259" t="s">
        <v>89</v>
      </c>
      <c r="H1259" t="s">
        <v>30</v>
      </c>
      <c r="I1259" t="s">
        <v>30</v>
      </c>
      <c r="J1259" t="s">
        <v>41</v>
      </c>
      <c r="K1259" t="s">
        <v>32</v>
      </c>
      <c r="L1259" t="s">
        <v>32</v>
      </c>
      <c r="M1259" t="s">
        <v>33</v>
      </c>
      <c r="N1259" t="s">
        <v>33</v>
      </c>
      <c r="O1259" t="s">
        <v>33</v>
      </c>
      <c r="P1259" t="s">
        <v>34</v>
      </c>
      <c r="Q1259" t="s">
        <v>35</v>
      </c>
      <c r="S1259" t="s">
        <v>30</v>
      </c>
      <c r="T1259" t="s">
        <v>1174</v>
      </c>
      <c r="U1259" t="s">
        <v>1175</v>
      </c>
      <c r="V1259" t="s">
        <v>40</v>
      </c>
      <c r="W1259" s="1">
        <v>1780000</v>
      </c>
    </row>
    <row r="1260" spans="1:23" x14ac:dyDescent="0.2">
      <c r="A1260" t="s">
        <v>23</v>
      </c>
      <c r="B1260" t="s">
        <v>1108</v>
      </c>
      <c r="C1260" t="s">
        <v>1109</v>
      </c>
      <c r="D1260" t="s">
        <v>1110</v>
      </c>
      <c r="E1260" t="s">
        <v>1131</v>
      </c>
      <c r="F1260" t="s">
        <v>1132</v>
      </c>
      <c r="G1260" t="s">
        <v>89</v>
      </c>
      <c r="H1260" t="s">
        <v>30</v>
      </c>
      <c r="I1260" t="s">
        <v>30</v>
      </c>
      <c r="J1260" t="s">
        <v>41</v>
      </c>
      <c r="K1260" t="s">
        <v>32</v>
      </c>
      <c r="L1260" t="s">
        <v>32</v>
      </c>
      <c r="M1260" t="s">
        <v>33</v>
      </c>
      <c r="P1260" t="s">
        <v>34</v>
      </c>
      <c r="Q1260" t="s">
        <v>35</v>
      </c>
      <c r="R1260" t="s">
        <v>68</v>
      </c>
      <c r="S1260" t="s">
        <v>30</v>
      </c>
      <c r="T1260" t="s">
        <v>1170</v>
      </c>
      <c r="U1260" t="s">
        <v>1171</v>
      </c>
      <c r="V1260" t="s">
        <v>39</v>
      </c>
      <c r="W1260" s="1">
        <v>1</v>
      </c>
    </row>
    <row r="1261" spans="1:23" x14ac:dyDescent="0.2">
      <c r="A1261" t="s">
        <v>23</v>
      </c>
      <c r="B1261" t="s">
        <v>1108</v>
      </c>
      <c r="C1261" t="s">
        <v>1109</v>
      </c>
      <c r="D1261" t="s">
        <v>1110</v>
      </c>
      <c r="E1261" t="s">
        <v>1131</v>
      </c>
      <c r="F1261" t="s">
        <v>1132</v>
      </c>
      <c r="G1261" t="s">
        <v>89</v>
      </c>
      <c r="H1261" t="s">
        <v>30</v>
      </c>
      <c r="I1261" t="s">
        <v>30</v>
      </c>
      <c r="J1261" t="s">
        <v>41</v>
      </c>
      <c r="K1261" t="s">
        <v>32</v>
      </c>
      <c r="L1261" t="s">
        <v>32</v>
      </c>
      <c r="M1261" t="s">
        <v>33</v>
      </c>
      <c r="P1261" t="s">
        <v>34</v>
      </c>
      <c r="Q1261" t="s">
        <v>35</v>
      </c>
      <c r="R1261" t="s">
        <v>68</v>
      </c>
      <c r="S1261" t="s">
        <v>30</v>
      </c>
      <c r="T1261" t="s">
        <v>1170</v>
      </c>
      <c r="U1261" t="s">
        <v>1171</v>
      </c>
      <c r="V1261" t="s">
        <v>40</v>
      </c>
      <c r="W1261" s="1">
        <v>1289000</v>
      </c>
    </row>
    <row r="1262" spans="1:23" x14ac:dyDescent="0.2">
      <c r="A1262" t="s">
        <v>23</v>
      </c>
      <c r="B1262" t="s">
        <v>1108</v>
      </c>
      <c r="C1262" t="s">
        <v>1109</v>
      </c>
      <c r="D1262" t="s">
        <v>1110</v>
      </c>
      <c r="E1262" t="s">
        <v>1131</v>
      </c>
      <c r="F1262" t="s">
        <v>1132</v>
      </c>
      <c r="G1262" t="s">
        <v>89</v>
      </c>
      <c r="H1262" t="s">
        <v>30</v>
      </c>
      <c r="I1262" t="s">
        <v>30</v>
      </c>
      <c r="J1262" t="s">
        <v>41</v>
      </c>
      <c r="K1262" t="s">
        <v>32</v>
      </c>
      <c r="L1262" t="s">
        <v>32</v>
      </c>
      <c r="M1262" t="s">
        <v>33</v>
      </c>
      <c r="P1262" t="s">
        <v>34</v>
      </c>
      <c r="Q1262" t="s">
        <v>35</v>
      </c>
      <c r="R1262" t="s">
        <v>54</v>
      </c>
      <c r="S1262" t="s">
        <v>52</v>
      </c>
      <c r="T1262" t="s">
        <v>1176</v>
      </c>
      <c r="U1262" t="s">
        <v>1177</v>
      </c>
      <c r="V1262" t="s">
        <v>39</v>
      </c>
      <c r="W1262" s="1">
        <v>0</v>
      </c>
    </row>
    <row r="1263" spans="1:23" x14ac:dyDescent="0.2">
      <c r="A1263" t="s">
        <v>23</v>
      </c>
      <c r="B1263" t="s">
        <v>1108</v>
      </c>
      <c r="C1263" t="s">
        <v>1109</v>
      </c>
      <c r="D1263" t="s">
        <v>1110</v>
      </c>
      <c r="E1263" t="s">
        <v>1131</v>
      </c>
      <c r="F1263" t="s">
        <v>1132</v>
      </c>
      <c r="G1263" t="s">
        <v>89</v>
      </c>
      <c r="H1263" t="s">
        <v>30</v>
      </c>
      <c r="I1263" t="s">
        <v>30</v>
      </c>
      <c r="J1263" t="s">
        <v>41</v>
      </c>
      <c r="K1263" t="s">
        <v>32</v>
      </c>
      <c r="L1263" t="s">
        <v>32</v>
      </c>
      <c r="M1263" t="s">
        <v>33</v>
      </c>
      <c r="P1263" t="s">
        <v>34</v>
      </c>
      <c r="Q1263" t="s">
        <v>35</v>
      </c>
      <c r="R1263" t="s">
        <v>54</v>
      </c>
      <c r="S1263" t="s">
        <v>52</v>
      </c>
      <c r="T1263" t="s">
        <v>1176</v>
      </c>
      <c r="U1263" t="s">
        <v>1177</v>
      </c>
      <c r="V1263" t="s">
        <v>40</v>
      </c>
      <c r="W1263" s="1">
        <v>8952600</v>
      </c>
    </row>
    <row r="1264" spans="1:23" x14ac:dyDescent="0.2">
      <c r="A1264" t="s">
        <v>23</v>
      </c>
      <c r="B1264" t="s">
        <v>1108</v>
      </c>
      <c r="C1264" t="s">
        <v>1109</v>
      </c>
      <c r="D1264" t="s">
        <v>1110</v>
      </c>
      <c r="E1264" t="s">
        <v>1131</v>
      </c>
      <c r="F1264" t="s">
        <v>1132</v>
      </c>
      <c r="G1264" t="s">
        <v>106</v>
      </c>
      <c r="H1264" t="s">
        <v>30</v>
      </c>
      <c r="I1264" t="s">
        <v>30</v>
      </c>
      <c r="J1264" t="s">
        <v>128</v>
      </c>
      <c r="K1264" t="s">
        <v>135</v>
      </c>
      <c r="L1264" t="s">
        <v>32</v>
      </c>
      <c r="M1264" t="s">
        <v>33</v>
      </c>
      <c r="P1264" t="s">
        <v>34</v>
      </c>
      <c r="Q1264" t="s">
        <v>35</v>
      </c>
      <c r="R1264" t="s">
        <v>136</v>
      </c>
      <c r="S1264" t="s">
        <v>30</v>
      </c>
      <c r="T1264" t="s">
        <v>1178</v>
      </c>
      <c r="U1264" t="s">
        <v>1179</v>
      </c>
      <c r="V1264" t="s">
        <v>39</v>
      </c>
      <c r="W1264" s="1">
        <v>17</v>
      </c>
    </row>
    <row r="1265" spans="1:23" x14ac:dyDescent="0.2">
      <c r="A1265" t="s">
        <v>23</v>
      </c>
      <c r="B1265" t="s">
        <v>1108</v>
      </c>
      <c r="C1265" t="s">
        <v>1109</v>
      </c>
      <c r="D1265" t="s">
        <v>1110</v>
      </c>
      <c r="E1265" t="s">
        <v>1131</v>
      </c>
      <c r="F1265" t="s">
        <v>1132</v>
      </c>
      <c r="G1265" t="s">
        <v>106</v>
      </c>
      <c r="H1265" t="s">
        <v>30</v>
      </c>
      <c r="I1265" t="s">
        <v>30</v>
      </c>
      <c r="J1265" t="s">
        <v>128</v>
      </c>
      <c r="K1265" t="s">
        <v>135</v>
      </c>
      <c r="L1265" t="s">
        <v>32</v>
      </c>
      <c r="M1265" t="s">
        <v>33</v>
      </c>
      <c r="P1265" t="s">
        <v>34</v>
      </c>
      <c r="Q1265" t="s">
        <v>35</v>
      </c>
      <c r="R1265" t="s">
        <v>136</v>
      </c>
      <c r="S1265" t="s">
        <v>30</v>
      </c>
      <c r="T1265" t="s">
        <v>1178</v>
      </c>
      <c r="U1265" t="s">
        <v>1179</v>
      </c>
      <c r="V1265" t="s">
        <v>40</v>
      </c>
      <c r="W1265" s="1">
        <v>16449200</v>
      </c>
    </row>
    <row r="1266" spans="1:23" x14ac:dyDescent="0.2">
      <c r="A1266" t="s">
        <v>23</v>
      </c>
      <c r="B1266" t="s">
        <v>1108</v>
      </c>
      <c r="C1266" t="s">
        <v>1109</v>
      </c>
      <c r="D1266" t="s">
        <v>1110</v>
      </c>
      <c r="E1266" t="s">
        <v>1131</v>
      </c>
      <c r="F1266" t="s">
        <v>1132</v>
      </c>
      <c r="G1266" t="s">
        <v>106</v>
      </c>
      <c r="H1266" t="s">
        <v>30</v>
      </c>
      <c r="I1266" t="s">
        <v>30</v>
      </c>
      <c r="J1266" t="s">
        <v>128</v>
      </c>
      <c r="K1266" t="s">
        <v>181</v>
      </c>
      <c r="L1266" t="s">
        <v>32</v>
      </c>
      <c r="M1266" t="s">
        <v>33</v>
      </c>
      <c r="P1266" t="s">
        <v>34</v>
      </c>
      <c r="Q1266" t="s">
        <v>35</v>
      </c>
      <c r="S1266" t="s">
        <v>30</v>
      </c>
      <c r="T1266" t="s">
        <v>1180</v>
      </c>
      <c r="U1266" t="s">
        <v>1181</v>
      </c>
      <c r="V1266" t="s">
        <v>39</v>
      </c>
      <c r="W1266" s="1">
        <v>14</v>
      </c>
    </row>
    <row r="1267" spans="1:23" x14ac:dyDescent="0.2">
      <c r="A1267" t="s">
        <v>23</v>
      </c>
      <c r="B1267" t="s">
        <v>1108</v>
      </c>
      <c r="C1267" t="s">
        <v>1109</v>
      </c>
      <c r="D1267" t="s">
        <v>1110</v>
      </c>
      <c r="E1267" t="s">
        <v>1131</v>
      </c>
      <c r="F1267" t="s">
        <v>1132</v>
      </c>
      <c r="G1267" t="s">
        <v>106</v>
      </c>
      <c r="H1267" t="s">
        <v>30</v>
      </c>
      <c r="I1267" t="s">
        <v>30</v>
      </c>
      <c r="J1267" t="s">
        <v>128</v>
      </c>
      <c r="K1267" t="s">
        <v>181</v>
      </c>
      <c r="L1267" t="s">
        <v>32</v>
      </c>
      <c r="M1267" t="s">
        <v>33</v>
      </c>
      <c r="P1267" t="s">
        <v>34</v>
      </c>
      <c r="Q1267" t="s">
        <v>35</v>
      </c>
      <c r="S1267" t="s">
        <v>30</v>
      </c>
      <c r="T1267" t="s">
        <v>1180</v>
      </c>
      <c r="U1267" t="s">
        <v>1181</v>
      </c>
      <c r="V1267" t="s">
        <v>40</v>
      </c>
      <c r="W1267" s="1">
        <v>17990000</v>
      </c>
    </row>
    <row r="1268" spans="1:23" x14ac:dyDescent="0.2">
      <c r="A1268" t="s">
        <v>23</v>
      </c>
      <c r="B1268" t="s">
        <v>1108</v>
      </c>
      <c r="C1268" t="s">
        <v>1109</v>
      </c>
      <c r="D1268" t="s">
        <v>1110</v>
      </c>
      <c r="E1268" t="s">
        <v>1131</v>
      </c>
      <c r="F1268" t="s">
        <v>1132</v>
      </c>
      <c r="G1268" t="s">
        <v>106</v>
      </c>
      <c r="H1268" t="s">
        <v>30</v>
      </c>
      <c r="I1268" t="s">
        <v>30</v>
      </c>
      <c r="J1268" t="s">
        <v>57</v>
      </c>
      <c r="K1268" t="s">
        <v>32</v>
      </c>
      <c r="L1268" t="s">
        <v>32</v>
      </c>
      <c r="M1268" t="s">
        <v>33</v>
      </c>
      <c r="P1268" t="s">
        <v>34</v>
      </c>
      <c r="Q1268" t="s">
        <v>35</v>
      </c>
      <c r="R1268" t="s">
        <v>294</v>
      </c>
      <c r="S1268" t="s">
        <v>52</v>
      </c>
      <c r="T1268" t="s">
        <v>1182</v>
      </c>
      <c r="U1268" t="s">
        <v>1183</v>
      </c>
      <c r="V1268" t="s">
        <v>39</v>
      </c>
      <c r="W1268" s="1">
        <v>0</v>
      </c>
    </row>
    <row r="1269" spans="1:23" x14ac:dyDescent="0.2">
      <c r="A1269" t="s">
        <v>23</v>
      </c>
      <c r="B1269" t="s">
        <v>1108</v>
      </c>
      <c r="C1269" t="s">
        <v>1109</v>
      </c>
      <c r="D1269" t="s">
        <v>1110</v>
      </c>
      <c r="E1269" t="s">
        <v>1131</v>
      </c>
      <c r="F1269" t="s">
        <v>1132</v>
      </c>
      <c r="G1269" t="s">
        <v>106</v>
      </c>
      <c r="H1269" t="s">
        <v>30</v>
      </c>
      <c r="I1269" t="s">
        <v>30</v>
      </c>
      <c r="J1269" t="s">
        <v>57</v>
      </c>
      <c r="K1269" t="s">
        <v>32</v>
      </c>
      <c r="L1269" t="s">
        <v>32</v>
      </c>
      <c r="M1269" t="s">
        <v>33</v>
      </c>
      <c r="P1269" t="s">
        <v>34</v>
      </c>
      <c r="Q1269" t="s">
        <v>35</v>
      </c>
      <c r="R1269" t="s">
        <v>294</v>
      </c>
      <c r="S1269" t="s">
        <v>52</v>
      </c>
      <c r="T1269" t="s">
        <v>1182</v>
      </c>
      <c r="U1269" t="s">
        <v>1183</v>
      </c>
      <c r="V1269" t="s">
        <v>40</v>
      </c>
      <c r="W1269" s="1">
        <v>8928000</v>
      </c>
    </row>
    <row r="1270" spans="1:23" x14ac:dyDescent="0.2">
      <c r="A1270" t="s">
        <v>23</v>
      </c>
      <c r="B1270" t="s">
        <v>1108</v>
      </c>
      <c r="C1270" t="s">
        <v>1109</v>
      </c>
      <c r="D1270" t="s">
        <v>1110</v>
      </c>
      <c r="E1270" t="s">
        <v>1131</v>
      </c>
      <c r="F1270" t="s">
        <v>1132</v>
      </c>
      <c r="G1270" t="s">
        <v>106</v>
      </c>
      <c r="H1270" t="s">
        <v>30</v>
      </c>
      <c r="I1270" t="s">
        <v>30</v>
      </c>
      <c r="J1270" t="s">
        <v>57</v>
      </c>
      <c r="K1270" t="s">
        <v>32</v>
      </c>
      <c r="L1270" t="s">
        <v>32</v>
      </c>
      <c r="M1270" t="s">
        <v>176</v>
      </c>
      <c r="P1270" t="s">
        <v>34</v>
      </c>
      <c r="Q1270" t="s">
        <v>35</v>
      </c>
      <c r="R1270" t="s">
        <v>294</v>
      </c>
      <c r="S1270" t="s">
        <v>52</v>
      </c>
      <c r="T1270" t="s">
        <v>1182</v>
      </c>
      <c r="U1270" t="s">
        <v>1183</v>
      </c>
      <c r="V1270" t="s">
        <v>39</v>
      </c>
      <c r="W1270" s="1">
        <v>0</v>
      </c>
    </row>
    <row r="1271" spans="1:23" x14ac:dyDescent="0.2">
      <c r="A1271" t="s">
        <v>23</v>
      </c>
      <c r="B1271" t="s">
        <v>1108</v>
      </c>
      <c r="C1271" t="s">
        <v>1109</v>
      </c>
      <c r="D1271" t="s">
        <v>1110</v>
      </c>
      <c r="E1271" t="s">
        <v>1131</v>
      </c>
      <c r="F1271" t="s">
        <v>1132</v>
      </c>
      <c r="G1271" t="s">
        <v>106</v>
      </c>
      <c r="H1271" t="s">
        <v>30</v>
      </c>
      <c r="I1271" t="s">
        <v>30</v>
      </c>
      <c r="J1271" t="s">
        <v>57</v>
      </c>
      <c r="K1271" t="s">
        <v>32</v>
      </c>
      <c r="L1271" t="s">
        <v>32</v>
      </c>
      <c r="M1271" t="s">
        <v>176</v>
      </c>
      <c r="P1271" t="s">
        <v>34</v>
      </c>
      <c r="Q1271" t="s">
        <v>35</v>
      </c>
      <c r="R1271" t="s">
        <v>294</v>
      </c>
      <c r="S1271" t="s">
        <v>52</v>
      </c>
      <c r="T1271" t="s">
        <v>1182</v>
      </c>
      <c r="U1271" t="s">
        <v>1183</v>
      </c>
      <c r="V1271" t="s">
        <v>40</v>
      </c>
      <c r="W1271" s="1">
        <v>3444000</v>
      </c>
    </row>
    <row r="1272" spans="1:23" x14ac:dyDescent="0.2">
      <c r="A1272" t="s">
        <v>23</v>
      </c>
      <c r="B1272" t="s">
        <v>1108</v>
      </c>
      <c r="C1272" t="s">
        <v>1109</v>
      </c>
      <c r="D1272" t="s">
        <v>1110</v>
      </c>
      <c r="E1272" t="s">
        <v>1131</v>
      </c>
      <c r="F1272" t="s">
        <v>1132</v>
      </c>
      <c r="G1272" t="s">
        <v>119</v>
      </c>
      <c r="H1272" t="s">
        <v>30</v>
      </c>
      <c r="I1272" t="s">
        <v>52</v>
      </c>
      <c r="J1272" t="s">
        <v>31</v>
      </c>
      <c r="K1272" t="s">
        <v>32</v>
      </c>
      <c r="L1272" t="s">
        <v>32</v>
      </c>
      <c r="M1272" t="s">
        <v>33</v>
      </c>
      <c r="N1272" t="s">
        <v>33</v>
      </c>
      <c r="O1272" t="s">
        <v>33</v>
      </c>
      <c r="P1272" t="s">
        <v>34</v>
      </c>
      <c r="Q1272" t="s">
        <v>35</v>
      </c>
      <c r="S1272" t="s">
        <v>30</v>
      </c>
      <c r="T1272" t="s">
        <v>1184</v>
      </c>
      <c r="U1272" t="s">
        <v>1185</v>
      </c>
      <c r="V1272" t="s">
        <v>39</v>
      </c>
      <c r="W1272" s="1">
        <v>2</v>
      </c>
    </row>
    <row r="1273" spans="1:23" x14ac:dyDescent="0.2">
      <c r="A1273" t="s">
        <v>23</v>
      </c>
      <c r="B1273" t="s">
        <v>1108</v>
      </c>
      <c r="C1273" t="s">
        <v>1109</v>
      </c>
      <c r="D1273" t="s">
        <v>1110</v>
      </c>
      <c r="E1273" t="s">
        <v>1131</v>
      </c>
      <c r="F1273" t="s">
        <v>1132</v>
      </c>
      <c r="G1273" t="s">
        <v>119</v>
      </c>
      <c r="H1273" t="s">
        <v>30</v>
      </c>
      <c r="I1273" t="s">
        <v>52</v>
      </c>
      <c r="J1273" t="s">
        <v>31</v>
      </c>
      <c r="K1273" t="s">
        <v>32</v>
      </c>
      <c r="L1273" t="s">
        <v>32</v>
      </c>
      <c r="M1273" t="s">
        <v>33</v>
      </c>
      <c r="N1273" t="s">
        <v>33</v>
      </c>
      <c r="O1273" t="s">
        <v>33</v>
      </c>
      <c r="P1273" t="s">
        <v>34</v>
      </c>
      <c r="Q1273" t="s">
        <v>35</v>
      </c>
      <c r="S1273" t="s">
        <v>30</v>
      </c>
      <c r="T1273" t="s">
        <v>1184</v>
      </c>
      <c r="U1273" t="s">
        <v>1185</v>
      </c>
      <c r="V1273" t="s">
        <v>40</v>
      </c>
      <c r="W1273" s="1">
        <v>3534400</v>
      </c>
    </row>
    <row r="1274" spans="1:23" x14ac:dyDescent="0.2">
      <c r="A1274" t="s">
        <v>23</v>
      </c>
      <c r="B1274" t="s">
        <v>1108</v>
      </c>
      <c r="C1274" t="s">
        <v>1109</v>
      </c>
      <c r="D1274" t="s">
        <v>1110</v>
      </c>
      <c r="E1274" t="s">
        <v>1131</v>
      </c>
      <c r="F1274" t="s">
        <v>1132</v>
      </c>
      <c r="G1274" t="s">
        <v>119</v>
      </c>
      <c r="H1274" t="s">
        <v>30</v>
      </c>
      <c r="I1274" t="s">
        <v>52</v>
      </c>
      <c r="J1274" t="s">
        <v>31</v>
      </c>
      <c r="K1274" t="s">
        <v>32</v>
      </c>
      <c r="L1274" t="s">
        <v>32</v>
      </c>
      <c r="M1274" t="s">
        <v>33</v>
      </c>
      <c r="N1274" t="s">
        <v>169</v>
      </c>
      <c r="O1274" t="s">
        <v>169</v>
      </c>
      <c r="P1274" t="s">
        <v>34</v>
      </c>
      <c r="Q1274" t="s">
        <v>35</v>
      </c>
      <c r="S1274" t="s">
        <v>30</v>
      </c>
      <c r="T1274" t="s">
        <v>1184</v>
      </c>
      <c r="U1274" t="s">
        <v>1185</v>
      </c>
      <c r="V1274" t="s">
        <v>39</v>
      </c>
      <c r="W1274" s="1">
        <v>1</v>
      </c>
    </row>
    <row r="1275" spans="1:23" x14ac:dyDescent="0.2">
      <c r="A1275" t="s">
        <v>23</v>
      </c>
      <c r="B1275" t="s">
        <v>1108</v>
      </c>
      <c r="C1275" t="s">
        <v>1109</v>
      </c>
      <c r="D1275" t="s">
        <v>1110</v>
      </c>
      <c r="E1275" t="s">
        <v>1131</v>
      </c>
      <c r="F1275" t="s">
        <v>1132</v>
      </c>
      <c r="G1275" t="s">
        <v>119</v>
      </c>
      <c r="H1275" t="s">
        <v>30</v>
      </c>
      <c r="I1275" t="s">
        <v>52</v>
      </c>
      <c r="J1275" t="s">
        <v>31</v>
      </c>
      <c r="K1275" t="s">
        <v>32</v>
      </c>
      <c r="L1275" t="s">
        <v>32</v>
      </c>
      <c r="M1275" t="s">
        <v>33</v>
      </c>
      <c r="N1275" t="s">
        <v>169</v>
      </c>
      <c r="O1275" t="s">
        <v>169</v>
      </c>
      <c r="P1275" t="s">
        <v>34</v>
      </c>
      <c r="Q1275" t="s">
        <v>35</v>
      </c>
      <c r="S1275" t="s">
        <v>30</v>
      </c>
      <c r="T1275" t="s">
        <v>1184</v>
      </c>
      <c r="U1275" t="s">
        <v>1185</v>
      </c>
      <c r="V1275" t="s">
        <v>40</v>
      </c>
      <c r="W1275" s="1">
        <v>1767200</v>
      </c>
    </row>
    <row r="1276" spans="1:23" x14ac:dyDescent="0.2">
      <c r="A1276" t="s">
        <v>23</v>
      </c>
      <c r="B1276" t="s">
        <v>1108</v>
      </c>
      <c r="C1276" t="s">
        <v>1109</v>
      </c>
      <c r="D1276" t="s">
        <v>1110</v>
      </c>
      <c r="E1276" t="s">
        <v>1131</v>
      </c>
      <c r="F1276" t="s">
        <v>1132</v>
      </c>
      <c r="G1276" t="s">
        <v>127</v>
      </c>
      <c r="H1276" t="s">
        <v>52</v>
      </c>
      <c r="I1276" t="s">
        <v>30</v>
      </c>
      <c r="J1276" t="s">
        <v>31</v>
      </c>
      <c r="K1276" t="s">
        <v>32</v>
      </c>
      <c r="L1276" t="s">
        <v>32</v>
      </c>
      <c r="M1276" t="s">
        <v>33</v>
      </c>
      <c r="N1276" t="s">
        <v>33</v>
      </c>
      <c r="O1276" t="s">
        <v>33</v>
      </c>
      <c r="P1276" t="s">
        <v>34</v>
      </c>
      <c r="Q1276" t="s">
        <v>35</v>
      </c>
      <c r="S1276" t="s">
        <v>30</v>
      </c>
      <c r="T1276" t="s">
        <v>1186</v>
      </c>
      <c r="U1276" t="s">
        <v>1187</v>
      </c>
      <c r="V1276" t="s">
        <v>39</v>
      </c>
      <c r="W1276" s="1">
        <v>2</v>
      </c>
    </row>
    <row r="1277" spans="1:23" x14ac:dyDescent="0.2">
      <c r="A1277" t="s">
        <v>23</v>
      </c>
      <c r="B1277" t="s">
        <v>1108</v>
      </c>
      <c r="C1277" t="s">
        <v>1109</v>
      </c>
      <c r="D1277" t="s">
        <v>1110</v>
      </c>
      <c r="E1277" t="s">
        <v>1131</v>
      </c>
      <c r="F1277" t="s">
        <v>1132</v>
      </c>
      <c r="G1277" t="s">
        <v>127</v>
      </c>
      <c r="H1277" t="s">
        <v>52</v>
      </c>
      <c r="I1277" t="s">
        <v>30</v>
      </c>
      <c r="J1277" t="s">
        <v>31</v>
      </c>
      <c r="K1277" t="s">
        <v>32</v>
      </c>
      <c r="L1277" t="s">
        <v>32</v>
      </c>
      <c r="M1277" t="s">
        <v>33</v>
      </c>
      <c r="N1277" t="s">
        <v>33</v>
      </c>
      <c r="O1277" t="s">
        <v>33</v>
      </c>
      <c r="P1277" t="s">
        <v>34</v>
      </c>
      <c r="Q1277" t="s">
        <v>35</v>
      </c>
      <c r="S1277" t="s">
        <v>30</v>
      </c>
      <c r="T1277" t="s">
        <v>1186</v>
      </c>
      <c r="U1277" t="s">
        <v>1187</v>
      </c>
      <c r="V1277" t="s">
        <v>40</v>
      </c>
      <c r="W1277" s="1">
        <v>2734400</v>
      </c>
    </row>
    <row r="1278" spans="1:23" x14ac:dyDescent="0.2">
      <c r="A1278" t="s">
        <v>23</v>
      </c>
      <c r="B1278" t="s">
        <v>1108</v>
      </c>
      <c r="C1278" t="s">
        <v>1109</v>
      </c>
      <c r="D1278" t="s">
        <v>1110</v>
      </c>
      <c r="E1278" t="s">
        <v>1131</v>
      </c>
      <c r="F1278" t="s">
        <v>1132</v>
      </c>
      <c r="G1278" t="s">
        <v>139</v>
      </c>
      <c r="H1278" t="s">
        <v>30</v>
      </c>
      <c r="I1278" t="s">
        <v>30</v>
      </c>
      <c r="J1278" t="s">
        <v>31</v>
      </c>
      <c r="K1278" t="s">
        <v>32</v>
      </c>
      <c r="L1278" t="s">
        <v>32</v>
      </c>
      <c r="M1278" t="s">
        <v>33</v>
      </c>
      <c r="N1278" t="s">
        <v>33</v>
      </c>
      <c r="O1278" t="s">
        <v>33</v>
      </c>
      <c r="P1278" t="s">
        <v>34</v>
      </c>
      <c r="Q1278" t="s">
        <v>35</v>
      </c>
      <c r="S1278" t="s">
        <v>30</v>
      </c>
      <c r="T1278" t="s">
        <v>1186</v>
      </c>
      <c r="U1278" t="s">
        <v>1187</v>
      </c>
      <c r="V1278" t="s">
        <v>39</v>
      </c>
      <c r="W1278" s="1">
        <v>2</v>
      </c>
    </row>
    <row r="1279" spans="1:23" x14ac:dyDescent="0.2">
      <c r="A1279" t="s">
        <v>23</v>
      </c>
      <c r="B1279" t="s">
        <v>1108</v>
      </c>
      <c r="C1279" t="s">
        <v>1109</v>
      </c>
      <c r="D1279" t="s">
        <v>1110</v>
      </c>
      <c r="E1279" t="s">
        <v>1131</v>
      </c>
      <c r="F1279" t="s">
        <v>1132</v>
      </c>
      <c r="G1279" t="s">
        <v>139</v>
      </c>
      <c r="H1279" t="s">
        <v>30</v>
      </c>
      <c r="I1279" t="s">
        <v>30</v>
      </c>
      <c r="J1279" t="s">
        <v>31</v>
      </c>
      <c r="K1279" t="s">
        <v>32</v>
      </c>
      <c r="L1279" t="s">
        <v>32</v>
      </c>
      <c r="M1279" t="s">
        <v>33</v>
      </c>
      <c r="N1279" t="s">
        <v>33</v>
      </c>
      <c r="O1279" t="s">
        <v>33</v>
      </c>
      <c r="P1279" t="s">
        <v>34</v>
      </c>
      <c r="Q1279" t="s">
        <v>35</v>
      </c>
      <c r="S1279" t="s">
        <v>30</v>
      </c>
      <c r="T1279" t="s">
        <v>1186</v>
      </c>
      <c r="U1279" t="s">
        <v>1187</v>
      </c>
      <c r="V1279" t="s">
        <v>40</v>
      </c>
      <c r="W1279" s="1">
        <v>2734400</v>
      </c>
    </row>
    <row r="1280" spans="1:23" x14ac:dyDescent="0.2">
      <c r="A1280" t="s">
        <v>23</v>
      </c>
      <c r="B1280" t="s">
        <v>1108</v>
      </c>
      <c r="C1280" t="s">
        <v>1109</v>
      </c>
      <c r="D1280" t="s">
        <v>1110</v>
      </c>
      <c r="E1280" t="s">
        <v>1131</v>
      </c>
      <c r="F1280" t="s">
        <v>1132</v>
      </c>
      <c r="G1280" t="s">
        <v>139</v>
      </c>
      <c r="H1280" t="s">
        <v>30</v>
      </c>
      <c r="I1280" t="s">
        <v>30</v>
      </c>
      <c r="J1280" t="s">
        <v>31</v>
      </c>
      <c r="K1280" t="s">
        <v>32</v>
      </c>
      <c r="L1280" t="s">
        <v>32</v>
      </c>
      <c r="M1280" t="s">
        <v>33</v>
      </c>
      <c r="N1280" t="s">
        <v>33</v>
      </c>
      <c r="O1280" t="s">
        <v>33</v>
      </c>
      <c r="P1280" t="s">
        <v>34</v>
      </c>
      <c r="Q1280" t="s">
        <v>35</v>
      </c>
      <c r="S1280" t="s">
        <v>30</v>
      </c>
      <c r="T1280" t="s">
        <v>1188</v>
      </c>
      <c r="U1280" t="s">
        <v>1189</v>
      </c>
      <c r="V1280" t="s">
        <v>39</v>
      </c>
      <c r="W1280" s="1">
        <v>2</v>
      </c>
    </row>
    <row r="1281" spans="1:23" x14ac:dyDescent="0.2">
      <c r="A1281" t="s">
        <v>23</v>
      </c>
      <c r="B1281" t="s">
        <v>1108</v>
      </c>
      <c r="C1281" t="s">
        <v>1109</v>
      </c>
      <c r="D1281" t="s">
        <v>1110</v>
      </c>
      <c r="E1281" t="s">
        <v>1131</v>
      </c>
      <c r="F1281" t="s">
        <v>1132</v>
      </c>
      <c r="G1281" t="s">
        <v>139</v>
      </c>
      <c r="H1281" t="s">
        <v>30</v>
      </c>
      <c r="I1281" t="s">
        <v>30</v>
      </c>
      <c r="J1281" t="s">
        <v>31</v>
      </c>
      <c r="K1281" t="s">
        <v>32</v>
      </c>
      <c r="L1281" t="s">
        <v>32</v>
      </c>
      <c r="M1281" t="s">
        <v>33</v>
      </c>
      <c r="N1281" t="s">
        <v>33</v>
      </c>
      <c r="O1281" t="s">
        <v>33</v>
      </c>
      <c r="P1281" t="s">
        <v>34</v>
      </c>
      <c r="Q1281" t="s">
        <v>35</v>
      </c>
      <c r="S1281" t="s">
        <v>30</v>
      </c>
      <c r="T1281" t="s">
        <v>1188</v>
      </c>
      <c r="U1281" t="s">
        <v>1189</v>
      </c>
      <c r="V1281" t="s">
        <v>40</v>
      </c>
      <c r="W1281" s="1">
        <v>2934400</v>
      </c>
    </row>
    <row r="1282" spans="1:23" x14ac:dyDescent="0.2">
      <c r="A1282" t="s">
        <v>23</v>
      </c>
      <c r="B1282" t="s">
        <v>1108</v>
      </c>
      <c r="C1282" t="s">
        <v>1109</v>
      </c>
      <c r="D1282" t="s">
        <v>1110</v>
      </c>
      <c r="E1282" t="s">
        <v>1131</v>
      </c>
      <c r="F1282" t="s">
        <v>1132</v>
      </c>
      <c r="G1282" t="s">
        <v>139</v>
      </c>
      <c r="H1282" t="s">
        <v>30</v>
      </c>
      <c r="I1282" t="s">
        <v>30</v>
      </c>
      <c r="J1282" t="s">
        <v>31</v>
      </c>
      <c r="K1282" t="s">
        <v>32</v>
      </c>
      <c r="L1282" t="s">
        <v>32</v>
      </c>
      <c r="M1282" t="s">
        <v>33</v>
      </c>
      <c r="N1282" t="s">
        <v>169</v>
      </c>
      <c r="O1282" t="s">
        <v>169</v>
      </c>
      <c r="P1282" t="s">
        <v>34</v>
      </c>
      <c r="Q1282" t="s">
        <v>35</v>
      </c>
      <c r="S1282" t="s">
        <v>30</v>
      </c>
      <c r="T1282" t="s">
        <v>1188</v>
      </c>
      <c r="U1282" t="s">
        <v>1189</v>
      </c>
      <c r="V1282" t="s">
        <v>39</v>
      </c>
      <c r="W1282" s="1">
        <v>1</v>
      </c>
    </row>
    <row r="1283" spans="1:23" x14ac:dyDescent="0.2">
      <c r="A1283" t="s">
        <v>23</v>
      </c>
      <c r="B1283" t="s">
        <v>1108</v>
      </c>
      <c r="C1283" t="s">
        <v>1109</v>
      </c>
      <c r="D1283" t="s">
        <v>1110</v>
      </c>
      <c r="E1283" t="s">
        <v>1131</v>
      </c>
      <c r="F1283" t="s">
        <v>1132</v>
      </c>
      <c r="G1283" t="s">
        <v>139</v>
      </c>
      <c r="H1283" t="s">
        <v>30</v>
      </c>
      <c r="I1283" t="s">
        <v>30</v>
      </c>
      <c r="J1283" t="s">
        <v>31</v>
      </c>
      <c r="K1283" t="s">
        <v>32</v>
      </c>
      <c r="L1283" t="s">
        <v>32</v>
      </c>
      <c r="M1283" t="s">
        <v>33</v>
      </c>
      <c r="N1283" t="s">
        <v>169</v>
      </c>
      <c r="O1283" t="s">
        <v>169</v>
      </c>
      <c r="P1283" t="s">
        <v>34</v>
      </c>
      <c r="Q1283" t="s">
        <v>35</v>
      </c>
      <c r="S1283" t="s">
        <v>30</v>
      </c>
      <c r="T1283" t="s">
        <v>1188</v>
      </c>
      <c r="U1283" t="s">
        <v>1189</v>
      </c>
      <c r="V1283" t="s">
        <v>40</v>
      </c>
      <c r="W1283" s="1">
        <v>1467200</v>
      </c>
    </row>
    <row r="1284" spans="1:23" x14ac:dyDescent="0.2">
      <c r="A1284" t="s">
        <v>23</v>
      </c>
      <c r="B1284" t="s">
        <v>1108</v>
      </c>
      <c r="C1284" t="s">
        <v>1109</v>
      </c>
      <c r="D1284" t="s">
        <v>1110</v>
      </c>
      <c r="E1284" t="s">
        <v>1131</v>
      </c>
      <c r="F1284" t="s">
        <v>1132</v>
      </c>
      <c r="G1284" t="s">
        <v>139</v>
      </c>
      <c r="H1284" t="s">
        <v>30</v>
      </c>
      <c r="I1284" t="s">
        <v>30</v>
      </c>
      <c r="J1284" t="s">
        <v>233</v>
      </c>
      <c r="K1284" t="s">
        <v>181</v>
      </c>
      <c r="L1284" t="s">
        <v>332</v>
      </c>
      <c r="M1284" t="s">
        <v>33</v>
      </c>
      <c r="N1284" t="s">
        <v>33</v>
      </c>
      <c r="O1284" t="s">
        <v>33</v>
      </c>
      <c r="P1284" t="s">
        <v>34</v>
      </c>
      <c r="Q1284" t="s">
        <v>35</v>
      </c>
      <c r="R1284" t="s">
        <v>693</v>
      </c>
      <c r="S1284" t="s">
        <v>30</v>
      </c>
      <c r="T1284" t="s">
        <v>1190</v>
      </c>
      <c r="U1284" t="s">
        <v>1191</v>
      </c>
      <c r="V1284" t="s">
        <v>39</v>
      </c>
      <c r="W1284" s="1">
        <v>1</v>
      </c>
    </row>
    <row r="1285" spans="1:23" x14ac:dyDescent="0.2">
      <c r="A1285" t="s">
        <v>23</v>
      </c>
      <c r="B1285" t="s">
        <v>1108</v>
      </c>
      <c r="C1285" t="s">
        <v>1109</v>
      </c>
      <c r="D1285" t="s">
        <v>1110</v>
      </c>
      <c r="E1285" t="s">
        <v>1131</v>
      </c>
      <c r="F1285" t="s">
        <v>1132</v>
      </c>
      <c r="G1285" t="s">
        <v>139</v>
      </c>
      <c r="H1285" t="s">
        <v>30</v>
      </c>
      <c r="I1285" t="s">
        <v>30</v>
      </c>
      <c r="J1285" t="s">
        <v>233</v>
      </c>
      <c r="K1285" t="s">
        <v>181</v>
      </c>
      <c r="L1285" t="s">
        <v>332</v>
      </c>
      <c r="M1285" t="s">
        <v>33</v>
      </c>
      <c r="N1285" t="s">
        <v>33</v>
      </c>
      <c r="O1285" t="s">
        <v>33</v>
      </c>
      <c r="P1285" t="s">
        <v>34</v>
      </c>
      <c r="Q1285" t="s">
        <v>35</v>
      </c>
      <c r="R1285" t="s">
        <v>693</v>
      </c>
      <c r="S1285" t="s">
        <v>30</v>
      </c>
      <c r="T1285" t="s">
        <v>1190</v>
      </c>
      <c r="U1285" t="s">
        <v>1191</v>
      </c>
      <c r="V1285" t="s">
        <v>40</v>
      </c>
      <c r="W1285" s="1">
        <v>858000</v>
      </c>
    </row>
    <row r="1286" spans="1:23" x14ac:dyDescent="0.2">
      <c r="A1286" t="s">
        <v>23</v>
      </c>
      <c r="B1286" t="s">
        <v>1108</v>
      </c>
      <c r="C1286" t="s">
        <v>1109</v>
      </c>
      <c r="D1286" t="s">
        <v>1110</v>
      </c>
      <c r="E1286" t="s">
        <v>1131</v>
      </c>
      <c r="F1286" t="s">
        <v>1132</v>
      </c>
      <c r="G1286" t="s">
        <v>139</v>
      </c>
      <c r="H1286" t="s">
        <v>30</v>
      </c>
      <c r="I1286" t="s">
        <v>30</v>
      </c>
      <c r="J1286" t="s">
        <v>233</v>
      </c>
      <c r="K1286" t="s">
        <v>181</v>
      </c>
      <c r="L1286" t="s">
        <v>32</v>
      </c>
      <c r="M1286" t="s">
        <v>33</v>
      </c>
      <c r="N1286" t="s">
        <v>33</v>
      </c>
      <c r="O1286" t="s">
        <v>33</v>
      </c>
      <c r="P1286" t="s">
        <v>34</v>
      </c>
      <c r="Q1286" t="s">
        <v>35</v>
      </c>
      <c r="R1286" t="s">
        <v>693</v>
      </c>
      <c r="S1286" t="s">
        <v>30</v>
      </c>
      <c r="T1286" t="s">
        <v>1190</v>
      </c>
      <c r="U1286" t="s">
        <v>1191</v>
      </c>
      <c r="V1286" t="s">
        <v>39</v>
      </c>
      <c r="W1286" s="1">
        <v>2</v>
      </c>
    </row>
    <row r="1287" spans="1:23" x14ac:dyDescent="0.2">
      <c r="A1287" t="s">
        <v>23</v>
      </c>
      <c r="B1287" t="s">
        <v>1108</v>
      </c>
      <c r="C1287" t="s">
        <v>1109</v>
      </c>
      <c r="D1287" t="s">
        <v>1110</v>
      </c>
      <c r="E1287" t="s">
        <v>1131</v>
      </c>
      <c r="F1287" t="s">
        <v>1132</v>
      </c>
      <c r="G1287" t="s">
        <v>139</v>
      </c>
      <c r="H1287" t="s">
        <v>30</v>
      </c>
      <c r="I1287" t="s">
        <v>30</v>
      </c>
      <c r="J1287" t="s">
        <v>233</v>
      </c>
      <c r="K1287" t="s">
        <v>181</v>
      </c>
      <c r="L1287" t="s">
        <v>32</v>
      </c>
      <c r="M1287" t="s">
        <v>33</v>
      </c>
      <c r="N1287" t="s">
        <v>33</v>
      </c>
      <c r="O1287" t="s">
        <v>33</v>
      </c>
      <c r="P1287" t="s">
        <v>34</v>
      </c>
      <c r="Q1287" t="s">
        <v>35</v>
      </c>
      <c r="R1287" t="s">
        <v>693</v>
      </c>
      <c r="S1287" t="s">
        <v>30</v>
      </c>
      <c r="T1287" t="s">
        <v>1190</v>
      </c>
      <c r="U1287" t="s">
        <v>1191</v>
      </c>
      <c r="V1287" t="s">
        <v>40</v>
      </c>
      <c r="W1287" s="1">
        <v>2834800</v>
      </c>
    </row>
    <row r="1288" spans="1:23" x14ac:dyDescent="0.2">
      <c r="A1288" t="s">
        <v>23</v>
      </c>
      <c r="B1288" t="s">
        <v>1108</v>
      </c>
      <c r="C1288" t="s">
        <v>1109</v>
      </c>
      <c r="D1288" t="s">
        <v>1110</v>
      </c>
      <c r="E1288" t="s">
        <v>1192</v>
      </c>
      <c r="F1288" t="s">
        <v>1193</v>
      </c>
      <c r="G1288" t="s">
        <v>170</v>
      </c>
      <c r="H1288" t="s">
        <v>52</v>
      </c>
      <c r="I1288" t="s">
        <v>30</v>
      </c>
      <c r="J1288" t="s">
        <v>31</v>
      </c>
      <c r="K1288" t="s">
        <v>32</v>
      </c>
      <c r="L1288" t="s">
        <v>32</v>
      </c>
      <c r="M1288" t="s">
        <v>33</v>
      </c>
      <c r="P1288" t="s">
        <v>34</v>
      </c>
      <c r="Q1288" t="s">
        <v>35</v>
      </c>
      <c r="S1288" t="s">
        <v>30</v>
      </c>
      <c r="T1288" t="s">
        <v>1194</v>
      </c>
      <c r="U1288" t="s">
        <v>1195</v>
      </c>
      <c r="V1288" t="s">
        <v>39</v>
      </c>
      <c r="W1288" s="1">
        <v>4</v>
      </c>
    </row>
    <row r="1289" spans="1:23" x14ac:dyDescent="0.2">
      <c r="A1289" t="s">
        <v>23</v>
      </c>
      <c r="B1289" t="s">
        <v>1108</v>
      </c>
      <c r="C1289" t="s">
        <v>1109</v>
      </c>
      <c r="D1289" t="s">
        <v>1110</v>
      </c>
      <c r="E1289" t="s">
        <v>1192</v>
      </c>
      <c r="F1289" t="s">
        <v>1193</v>
      </c>
      <c r="G1289" t="s">
        <v>170</v>
      </c>
      <c r="H1289" t="s">
        <v>52</v>
      </c>
      <c r="I1289" t="s">
        <v>30</v>
      </c>
      <c r="J1289" t="s">
        <v>31</v>
      </c>
      <c r="K1289" t="s">
        <v>32</v>
      </c>
      <c r="L1289" t="s">
        <v>32</v>
      </c>
      <c r="M1289" t="s">
        <v>33</v>
      </c>
      <c r="P1289" t="s">
        <v>34</v>
      </c>
      <c r="Q1289" t="s">
        <v>35</v>
      </c>
      <c r="S1289" t="s">
        <v>30</v>
      </c>
      <c r="T1289" t="s">
        <v>1194</v>
      </c>
      <c r="U1289" t="s">
        <v>1195</v>
      </c>
      <c r="V1289" t="s">
        <v>40</v>
      </c>
      <c r="W1289" s="1">
        <v>2636000</v>
      </c>
    </row>
    <row r="1290" spans="1:23" x14ac:dyDescent="0.2">
      <c r="A1290" t="s">
        <v>23</v>
      </c>
      <c r="B1290" t="s">
        <v>1108</v>
      </c>
      <c r="C1290" t="s">
        <v>1109</v>
      </c>
      <c r="D1290" t="s">
        <v>1110</v>
      </c>
      <c r="E1290" t="s">
        <v>1192</v>
      </c>
      <c r="F1290" t="s">
        <v>1193</v>
      </c>
      <c r="G1290" t="s">
        <v>119</v>
      </c>
      <c r="H1290" t="s">
        <v>30</v>
      </c>
      <c r="I1290" t="s">
        <v>52</v>
      </c>
      <c r="J1290" t="s">
        <v>356</v>
      </c>
      <c r="K1290" t="s">
        <v>357</v>
      </c>
      <c r="L1290" t="s">
        <v>32</v>
      </c>
      <c r="M1290" t="s">
        <v>33</v>
      </c>
      <c r="N1290" t="s">
        <v>33</v>
      </c>
      <c r="O1290" t="s">
        <v>33</v>
      </c>
      <c r="P1290" t="s">
        <v>34</v>
      </c>
      <c r="Q1290" t="s">
        <v>35</v>
      </c>
      <c r="S1290" t="s">
        <v>30</v>
      </c>
      <c r="T1290" t="s">
        <v>1196</v>
      </c>
      <c r="U1290" t="s">
        <v>1197</v>
      </c>
      <c r="V1290" t="s">
        <v>39</v>
      </c>
      <c r="W1290" s="1">
        <v>2</v>
      </c>
    </row>
    <row r="1291" spans="1:23" x14ac:dyDescent="0.2">
      <c r="A1291" t="s">
        <v>23</v>
      </c>
      <c r="B1291" t="s">
        <v>1108</v>
      </c>
      <c r="C1291" t="s">
        <v>1109</v>
      </c>
      <c r="D1291" t="s">
        <v>1110</v>
      </c>
      <c r="E1291" t="s">
        <v>1192</v>
      </c>
      <c r="F1291" t="s">
        <v>1193</v>
      </c>
      <c r="G1291" t="s">
        <v>119</v>
      </c>
      <c r="H1291" t="s">
        <v>30</v>
      </c>
      <c r="I1291" t="s">
        <v>52</v>
      </c>
      <c r="J1291" t="s">
        <v>356</v>
      </c>
      <c r="K1291" t="s">
        <v>357</v>
      </c>
      <c r="L1291" t="s">
        <v>32</v>
      </c>
      <c r="M1291" t="s">
        <v>33</v>
      </c>
      <c r="N1291" t="s">
        <v>33</v>
      </c>
      <c r="O1291" t="s">
        <v>33</v>
      </c>
      <c r="P1291" t="s">
        <v>34</v>
      </c>
      <c r="Q1291" t="s">
        <v>35</v>
      </c>
      <c r="S1291" t="s">
        <v>30</v>
      </c>
      <c r="T1291" t="s">
        <v>1196</v>
      </c>
      <c r="U1291" t="s">
        <v>1197</v>
      </c>
      <c r="V1291" t="s">
        <v>40</v>
      </c>
      <c r="W1291" s="1">
        <v>5914000</v>
      </c>
    </row>
    <row r="1292" spans="1:23" x14ac:dyDescent="0.2">
      <c r="A1292" t="s">
        <v>23</v>
      </c>
      <c r="B1292" t="s">
        <v>1108</v>
      </c>
      <c r="C1292" t="s">
        <v>1109</v>
      </c>
      <c r="D1292" t="s">
        <v>1110</v>
      </c>
      <c r="E1292" t="s">
        <v>1198</v>
      </c>
      <c r="F1292" t="s">
        <v>1199</v>
      </c>
      <c r="G1292" t="s">
        <v>29</v>
      </c>
      <c r="H1292" t="s">
        <v>30</v>
      </c>
      <c r="I1292" t="s">
        <v>30</v>
      </c>
      <c r="J1292" t="s">
        <v>31</v>
      </c>
      <c r="K1292" t="s">
        <v>32</v>
      </c>
      <c r="L1292" t="s">
        <v>32</v>
      </c>
      <c r="M1292" t="s">
        <v>33</v>
      </c>
      <c r="N1292" t="s">
        <v>33</v>
      </c>
      <c r="O1292" t="s">
        <v>33</v>
      </c>
      <c r="P1292" t="s">
        <v>34</v>
      </c>
      <c r="Q1292" t="s">
        <v>35</v>
      </c>
      <c r="S1292" t="s">
        <v>30</v>
      </c>
      <c r="T1292" t="s">
        <v>1200</v>
      </c>
      <c r="U1292" t="s">
        <v>1201</v>
      </c>
      <c r="V1292" t="s">
        <v>39</v>
      </c>
      <c r="W1292" s="1">
        <v>1</v>
      </c>
    </row>
    <row r="1293" spans="1:23" x14ac:dyDescent="0.2">
      <c r="A1293" t="s">
        <v>23</v>
      </c>
      <c r="B1293" t="s">
        <v>1108</v>
      </c>
      <c r="C1293" t="s">
        <v>1109</v>
      </c>
      <c r="D1293" t="s">
        <v>1110</v>
      </c>
      <c r="E1293" t="s">
        <v>1198</v>
      </c>
      <c r="F1293" t="s">
        <v>1199</v>
      </c>
      <c r="G1293" t="s">
        <v>29</v>
      </c>
      <c r="H1293" t="s">
        <v>30</v>
      </c>
      <c r="I1293" t="s">
        <v>30</v>
      </c>
      <c r="J1293" t="s">
        <v>31</v>
      </c>
      <c r="K1293" t="s">
        <v>32</v>
      </c>
      <c r="L1293" t="s">
        <v>32</v>
      </c>
      <c r="M1293" t="s">
        <v>33</v>
      </c>
      <c r="N1293" t="s">
        <v>33</v>
      </c>
      <c r="O1293" t="s">
        <v>33</v>
      </c>
      <c r="P1293" t="s">
        <v>34</v>
      </c>
      <c r="Q1293" t="s">
        <v>35</v>
      </c>
      <c r="S1293" t="s">
        <v>30</v>
      </c>
      <c r="T1293" t="s">
        <v>1200</v>
      </c>
      <c r="U1293" t="s">
        <v>1201</v>
      </c>
      <c r="V1293" t="s">
        <v>40</v>
      </c>
      <c r="W1293" s="1">
        <v>1179900</v>
      </c>
    </row>
    <row r="1294" spans="1:23" x14ac:dyDescent="0.2">
      <c r="A1294" t="s">
        <v>23</v>
      </c>
      <c r="B1294" t="s">
        <v>1108</v>
      </c>
      <c r="C1294" t="s">
        <v>1109</v>
      </c>
      <c r="D1294" t="s">
        <v>1110</v>
      </c>
      <c r="E1294" t="s">
        <v>1198</v>
      </c>
      <c r="F1294" t="s">
        <v>1199</v>
      </c>
      <c r="G1294" t="s">
        <v>29</v>
      </c>
      <c r="H1294" t="s">
        <v>30</v>
      </c>
      <c r="I1294" t="s">
        <v>30</v>
      </c>
      <c r="J1294" t="s">
        <v>31</v>
      </c>
      <c r="K1294" t="s">
        <v>32</v>
      </c>
      <c r="L1294" t="s">
        <v>32</v>
      </c>
      <c r="M1294" t="s">
        <v>33</v>
      </c>
      <c r="N1294" t="s">
        <v>176</v>
      </c>
      <c r="O1294" t="s">
        <v>176</v>
      </c>
      <c r="P1294" t="s">
        <v>34</v>
      </c>
      <c r="Q1294" t="s">
        <v>35</v>
      </c>
      <c r="S1294" t="s">
        <v>30</v>
      </c>
      <c r="T1294" t="s">
        <v>1200</v>
      </c>
      <c r="U1294" t="s">
        <v>1201</v>
      </c>
      <c r="V1294" t="s">
        <v>39</v>
      </c>
      <c r="W1294" s="1">
        <v>1</v>
      </c>
    </row>
    <row r="1295" spans="1:23" x14ac:dyDescent="0.2">
      <c r="A1295" t="s">
        <v>23</v>
      </c>
      <c r="B1295" t="s">
        <v>1108</v>
      </c>
      <c r="C1295" t="s">
        <v>1109</v>
      </c>
      <c r="D1295" t="s">
        <v>1110</v>
      </c>
      <c r="E1295" t="s">
        <v>1198</v>
      </c>
      <c r="F1295" t="s">
        <v>1199</v>
      </c>
      <c r="G1295" t="s">
        <v>29</v>
      </c>
      <c r="H1295" t="s">
        <v>30</v>
      </c>
      <c r="I1295" t="s">
        <v>30</v>
      </c>
      <c r="J1295" t="s">
        <v>31</v>
      </c>
      <c r="K1295" t="s">
        <v>32</v>
      </c>
      <c r="L1295" t="s">
        <v>32</v>
      </c>
      <c r="M1295" t="s">
        <v>33</v>
      </c>
      <c r="N1295" t="s">
        <v>176</v>
      </c>
      <c r="O1295" t="s">
        <v>176</v>
      </c>
      <c r="P1295" t="s">
        <v>34</v>
      </c>
      <c r="Q1295" t="s">
        <v>35</v>
      </c>
      <c r="S1295" t="s">
        <v>30</v>
      </c>
      <c r="T1295" t="s">
        <v>1200</v>
      </c>
      <c r="U1295" t="s">
        <v>1201</v>
      </c>
      <c r="V1295" t="s">
        <v>40</v>
      </c>
      <c r="W1295" s="1">
        <v>1179900</v>
      </c>
    </row>
    <row r="1296" spans="1:23" x14ac:dyDescent="0.2">
      <c r="A1296" t="s">
        <v>23</v>
      </c>
      <c r="B1296" t="s">
        <v>1108</v>
      </c>
      <c r="C1296" t="s">
        <v>1109</v>
      </c>
      <c r="D1296" t="s">
        <v>1110</v>
      </c>
      <c r="E1296" t="s">
        <v>1198</v>
      </c>
      <c r="F1296" t="s">
        <v>1199</v>
      </c>
      <c r="G1296" t="s">
        <v>29</v>
      </c>
      <c r="H1296" t="s">
        <v>30</v>
      </c>
      <c r="I1296" t="s">
        <v>30</v>
      </c>
      <c r="J1296" t="s">
        <v>31</v>
      </c>
      <c r="K1296" t="s">
        <v>32</v>
      </c>
      <c r="L1296" t="s">
        <v>32</v>
      </c>
      <c r="M1296" t="s">
        <v>33</v>
      </c>
      <c r="N1296" t="s">
        <v>169</v>
      </c>
      <c r="O1296" t="s">
        <v>169</v>
      </c>
      <c r="P1296" t="s">
        <v>34</v>
      </c>
      <c r="Q1296" t="s">
        <v>35</v>
      </c>
      <c r="S1296" t="s">
        <v>30</v>
      </c>
      <c r="T1296" t="s">
        <v>1200</v>
      </c>
      <c r="U1296" t="s">
        <v>1201</v>
      </c>
      <c r="V1296" t="s">
        <v>39</v>
      </c>
      <c r="W1296" s="1">
        <v>1</v>
      </c>
    </row>
    <row r="1297" spans="1:23" x14ac:dyDescent="0.2">
      <c r="A1297" t="s">
        <v>23</v>
      </c>
      <c r="B1297" t="s">
        <v>1108</v>
      </c>
      <c r="C1297" t="s">
        <v>1109</v>
      </c>
      <c r="D1297" t="s">
        <v>1110</v>
      </c>
      <c r="E1297" t="s">
        <v>1198</v>
      </c>
      <c r="F1297" t="s">
        <v>1199</v>
      </c>
      <c r="G1297" t="s">
        <v>29</v>
      </c>
      <c r="H1297" t="s">
        <v>30</v>
      </c>
      <c r="I1297" t="s">
        <v>30</v>
      </c>
      <c r="J1297" t="s">
        <v>31</v>
      </c>
      <c r="K1297" t="s">
        <v>32</v>
      </c>
      <c r="L1297" t="s">
        <v>32</v>
      </c>
      <c r="M1297" t="s">
        <v>33</v>
      </c>
      <c r="N1297" t="s">
        <v>169</v>
      </c>
      <c r="O1297" t="s">
        <v>169</v>
      </c>
      <c r="P1297" t="s">
        <v>34</v>
      </c>
      <c r="Q1297" t="s">
        <v>35</v>
      </c>
      <c r="S1297" t="s">
        <v>30</v>
      </c>
      <c r="T1297" t="s">
        <v>1200</v>
      </c>
      <c r="U1297" t="s">
        <v>1201</v>
      </c>
      <c r="V1297" t="s">
        <v>40</v>
      </c>
      <c r="W1297" s="1">
        <v>1179900</v>
      </c>
    </row>
    <row r="1298" spans="1:23" x14ac:dyDescent="0.2">
      <c r="A1298" t="s">
        <v>23</v>
      </c>
      <c r="B1298" t="s">
        <v>1108</v>
      </c>
      <c r="C1298" t="s">
        <v>1109</v>
      </c>
      <c r="D1298" t="s">
        <v>1110</v>
      </c>
      <c r="E1298" t="s">
        <v>1198</v>
      </c>
      <c r="F1298" t="s">
        <v>1199</v>
      </c>
      <c r="G1298" t="s">
        <v>29</v>
      </c>
      <c r="H1298" t="s">
        <v>30</v>
      </c>
      <c r="I1298" t="s">
        <v>30</v>
      </c>
      <c r="J1298" t="s">
        <v>31</v>
      </c>
      <c r="K1298" t="s">
        <v>32</v>
      </c>
      <c r="L1298" t="s">
        <v>32</v>
      </c>
      <c r="M1298" t="s">
        <v>33</v>
      </c>
      <c r="P1298" t="s">
        <v>34</v>
      </c>
      <c r="Q1298" t="s">
        <v>35</v>
      </c>
      <c r="S1298" t="s">
        <v>52</v>
      </c>
      <c r="T1298" t="s">
        <v>1202</v>
      </c>
      <c r="U1298" t="s">
        <v>1203</v>
      </c>
      <c r="V1298" t="s">
        <v>39</v>
      </c>
      <c r="W1298" s="1">
        <v>0</v>
      </c>
    </row>
    <row r="1299" spans="1:23" x14ac:dyDescent="0.2">
      <c r="A1299" t="s">
        <v>23</v>
      </c>
      <c r="B1299" t="s">
        <v>1108</v>
      </c>
      <c r="C1299" t="s">
        <v>1109</v>
      </c>
      <c r="D1299" t="s">
        <v>1110</v>
      </c>
      <c r="E1299" t="s">
        <v>1198</v>
      </c>
      <c r="F1299" t="s">
        <v>1199</v>
      </c>
      <c r="G1299" t="s">
        <v>29</v>
      </c>
      <c r="H1299" t="s">
        <v>30</v>
      </c>
      <c r="I1299" t="s">
        <v>30</v>
      </c>
      <c r="J1299" t="s">
        <v>31</v>
      </c>
      <c r="K1299" t="s">
        <v>32</v>
      </c>
      <c r="L1299" t="s">
        <v>32</v>
      </c>
      <c r="M1299" t="s">
        <v>33</v>
      </c>
      <c r="P1299" t="s">
        <v>34</v>
      </c>
      <c r="Q1299" t="s">
        <v>35</v>
      </c>
      <c r="S1299" t="s">
        <v>52</v>
      </c>
      <c r="T1299" t="s">
        <v>1202</v>
      </c>
      <c r="U1299" t="s">
        <v>1203</v>
      </c>
      <c r="V1299" t="s">
        <v>40</v>
      </c>
      <c r="W1299" s="1">
        <v>2046800</v>
      </c>
    </row>
    <row r="1300" spans="1:23" x14ac:dyDescent="0.2">
      <c r="A1300" t="s">
        <v>23</v>
      </c>
      <c r="B1300" t="s">
        <v>1108</v>
      </c>
      <c r="C1300" t="s">
        <v>1109</v>
      </c>
      <c r="D1300" t="s">
        <v>1110</v>
      </c>
      <c r="E1300" t="s">
        <v>1198</v>
      </c>
      <c r="F1300" t="s">
        <v>1199</v>
      </c>
      <c r="G1300" t="s">
        <v>67</v>
      </c>
      <c r="H1300" t="s">
        <v>30</v>
      </c>
      <c r="I1300" t="s">
        <v>30</v>
      </c>
      <c r="J1300" t="s">
        <v>31</v>
      </c>
      <c r="K1300" t="s">
        <v>32</v>
      </c>
      <c r="L1300" t="s">
        <v>32</v>
      </c>
      <c r="M1300" t="s">
        <v>33</v>
      </c>
      <c r="N1300" t="s">
        <v>33</v>
      </c>
      <c r="O1300" t="s">
        <v>33</v>
      </c>
      <c r="P1300" t="s">
        <v>34</v>
      </c>
      <c r="Q1300" t="s">
        <v>35</v>
      </c>
      <c r="S1300" t="s">
        <v>30</v>
      </c>
      <c r="T1300" t="s">
        <v>1204</v>
      </c>
      <c r="U1300" t="s">
        <v>1205</v>
      </c>
      <c r="V1300" t="s">
        <v>39</v>
      </c>
      <c r="W1300" s="1">
        <v>2</v>
      </c>
    </row>
    <row r="1301" spans="1:23" x14ac:dyDescent="0.2">
      <c r="A1301" t="s">
        <v>23</v>
      </c>
      <c r="B1301" t="s">
        <v>1108</v>
      </c>
      <c r="C1301" t="s">
        <v>1109</v>
      </c>
      <c r="D1301" t="s">
        <v>1110</v>
      </c>
      <c r="E1301" t="s">
        <v>1198</v>
      </c>
      <c r="F1301" t="s">
        <v>1199</v>
      </c>
      <c r="G1301" t="s">
        <v>67</v>
      </c>
      <c r="H1301" t="s">
        <v>30</v>
      </c>
      <c r="I1301" t="s">
        <v>30</v>
      </c>
      <c r="J1301" t="s">
        <v>31</v>
      </c>
      <c r="K1301" t="s">
        <v>32</v>
      </c>
      <c r="L1301" t="s">
        <v>32</v>
      </c>
      <c r="M1301" t="s">
        <v>33</v>
      </c>
      <c r="N1301" t="s">
        <v>33</v>
      </c>
      <c r="O1301" t="s">
        <v>33</v>
      </c>
      <c r="P1301" t="s">
        <v>34</v>
      </c>
      <c r="Q1301" t="s">
        <v>35</v>
      </c>
      <c r="S1301" t="s">
        <v>30</v>
      </c>
      <c r="T1301" t="s">
        <v>1204</v>
      </c>
      <c r="U1301" t="s">
        <v>1205</v>
      </c>
      <c r="V1301" t="s">
        <v>40</v>
      </c>
      <c r="W1301" s="1">
        <v>3898000</v>
      </c>
    </row>
    <row r="1302" spans="1:23" x14ac:dyDescent="0.2">
      <c r="A1302" t="s">
        <v>23</v>
      </c>
      <c r="B1302" t="s">
        <v>1108</v>
      </c>
      <c r="C1302" t="s">
        <v>1109</v>
      </c>
      <c r="D1302" t="s">
        <v>1110</v>
      </c>
      <c r="E1302" t="s">
        <v>1198</v>
      </c>
      <c r="F1302" t="s">
        <v>1199</v>
      </c>
      <c r="G1302" t="s">
        <v>67</v>
      </c>
      <c r="H1302" t="s">
        <v>30</v>
      </c>
      <c r="I1302" t="s">
        <v>30</v>
      </c>
      <c r="J1302" t="s">
        <v>41</v>
      </c>
      <c r="K1302" t="s">
        <v>32</v>
      </c>
      <c r="L1302" t="s">
        <v>32</v>
      </c>
      <c r="M1302" t="s">
        <v>33</v>
      </c>
      <c r="N1302" t="s">
        <v>33</v>
      </c>
      <c r="O1302" t="s">
        <v>33</v>
      </c>
      <c r="P1302" t="s">
        <v>34</v>
      </c>
      <c r="Q1302" t="s">
        <v>35</v>
      </c>
      <c r="R1302" t="s">
        <v>73</v>
      </c>
      <c r="S1302" t="s">
        <v>30</v>
      </c>
      <c r="T1302" t="s">
        <v>1206</v>
      </c>
      <c r="U1302" t="s">
        <v>1207</v>
      </c>
      <c r="V1302" t="s">
        <v>39</v>
      </c>
      <c r="W1302" s="1">
        <v>2</v>
      </c>
    </row>
    <row r="1303" spans="1:23" x14ac:dyDescent="0.2">
      <c r="A1303" t="s">
        <v>23</v>
      </c>
      <c r="B1303" t="s">
        <v>1108</v>
      </c>
      <c r="C1303" t="s">
        <v>1109</v>
      </c>
      <c r="D1303" t="s">
        <v>1110</v>
      </c>
      <c r="E1303" t="s">
        <v>1198</v>
      </c>
      <c r="F1303" t="s">
        <v>1199</v>
      </c>
      <c r="G1303" t="s">
        <v>67</v>
      </c>
      <c r="H1303" t="s">
        <v>30</v>
      </c>
      <c r="I1303" t="s">
        <v>30</v>
      </c>
      <c r="J1303" t="s">
        <v>41</v>
      </c>
      <c r="K1303" t="s">
        <v>32</v>
      </c>
      <c r="L1303" t="s">
        <v>32</v>
      </c>
      <c r="M1303" t="s">
        <v>33</v>
      </c>
      <c r="N1303" t="s">
        <v>33</v>
      </c>
      <c r="O1303" t="s">
        <v>33</v>
      </c>
      <c r="P1303" t="s">
        <v>34</v>
      </c>
      <c r="Q1303" t="s">
        <v>35</v>
      </c>
      <c r="R1303" t="s">
        <v>73</v>
      </c>
      <c r="S1303" t="s">
        <v>30</v>
      </c>
      <c r="T1303" t="s">
        <v>1206</v>
      </c>
      <c r="U1303" t="s">
        <v>1207</v>
      </c>
      <c r="V1303" t="s">
        <v>40</v>
      </c>
      <c r="W1303" s="1">
        <v>2819800</v>
      </c>
    </row>
    <row r="1304" spans="1:23" x14ac:dyDescent="0.2">
      <c r="A1304" t="s">
        <v>23</v>
      </c>
      <c r="B1304" t="s">
        <v>1108</v>
      </c>
      <c r="C1304" t="s">
        <v>1109</v>
      </c>
      <c r="D1304" t="s">
        <v>1110</v>
      </c>
      <c r="E1304" t="s">
        <v>1198</v>
      </c>
      <c r="F1304" t="s">
        <v>1199</v>
      </c>
      <c r="G1304" t="s">
        <v>67</v>
      </c>
      <c r="H1304" t="s">
        <v>30</v>
      </c>
      <c r="I1304" t="s">
        <v>30</v>
      </c>
      <c r="J1304" t="s">
        <v>41</v>
      </c>
      <c r="K1304" t="s">
        <v>32</v>
      </c>
      <c r="L1304" t="s">
        <v>32</v>
      </c>
      <c r="M1304" t="s">
        <v>33</v>
      </c>
      <c r="P1304" t="s">
        <v>34</v>
      </c>
      <c r="Q1304" t="s">
        <v>35</v>
      </c>
      <c r="R1304" t="s">
        <v>184</v>
      </c>
      <c r="S1304" t="s">
        <v>52</v>
      </c>
      <c r="T1304" t="s">
        <v>1208</v>
      </c>
      <c r="U1304" t="s">
        <v>1209</v>
      </c>
      <c r="V1304" t="s">
        <v>39</v>
      </c>
      <c r="W1304" s="1">
        <v>0</v>
      </c>
    </row>
    <row r="1305" spans="1:23" x14ac:dyDescent="0.2">
      <c r="A1305" t="s">
        <v>23</v>
      </c>
      <c r="B1305" t="s">
        <v>1108</v>
      </c>
      <c r="C1305" t="s">
        <v>1109</v>
      </c>
      <c r="D1305" t="s">
        <v>1110</v>
      </c>
      <c r="E1305" t="s">
        <v>1198</v>
      </c>
      <c r="F1305" t="s">
        <v>1199</v>
      </c>
      <c r="G1305" t="s">
        <v>67</v>
      </c>
      <c r="H1305" t="s">
        <v>30</v>
      </c>
      <c r="I1305" t="s">
        <v>30</v>
      </c>
      <c r="J1305" t="s">
        <v>41</v>
      </c>
      <c r="K1305" t="s">
        <v>32</v>
      </c>
      <c r="L1305" t="s">
        <v>32</v>
      </c>
      <c r="M1305" t="s">
        <v>33</v>
      </c>
      <c r="P1305" t="s">
        <v>34</v>
      </c>
      <c r="Q1305" t="s">
        <v>35</v>
      </c>
      <c r="R1305" t="s">
        <v>184</v>
      </c>
      <c r="S1305" t="s">
        <v>52</v>
      </c>
      <c r="T1305" t="s">
        <v>1208</v>
      </c>
      <c r="U1305" t="s">
        <v>1209</v>
      </c>
      <c r="V1305" t="s">
        <v>40</v>
      </c>
      <c r="W1305" s="1">
        <v>2056000</v>
      </c>
    </row>
    <row r="1306" spans="1:23" x14ac:dyDescent="0.2">
      <c r="A1306" t="s">
        <v>23</v>
      </c>
      <c r="B1306" t="s">
        <v>1108</v>
      </c>
      <c r="C1306" t="s">
        <v>1109</v>
      </c>
      <c r="D1306" t="s">
        <v>1110</v>
      </c>
      <c r="E1306" t="s">
        <v>1198</v>
      </c>
      <c r="F1306" t="s">
        <v>1199</v>
      </c>
      <c r="G1306" t="s">
        <v>89</v>
      </c>
      <c r="H1306" t="s">
        <v>30</v>
      </c>
      <c r="I1306" t="s">
        <v>30</v>
      </c>
      <c r="J1306" t="s">
        <v>41</v>
      </c>
      <c r="K1306" t="s">
        <v>32</v>
      </c>
      <c r="L1306" t="s">
        <v>32</v>
      </c>
      <c r="M1306" t="s">
        <v>33</v>
      </c>
      <c r="N1306" t="s">
        <v>33</v>
      </c>
      <c r="O1306" t="s">
        <v>33</v>
      </c>
      <c r="P1306" t="s">
        <v>34</v>
      </c>
      <c r="Q1306" t="s">
        <v>35</v>
      </c>
      <c r="S1306" t="s">
        <v>30</v>
      </c>
      <c r="T1306" t="s">
        <v>1210</v>
      </c>
      <c r="U1306" t="s">
        <v>1211</v>
      </c>
      <c r="V1306" t="s">
        <v>39</v>
      </c>
      <c r="W1306" s="1">
        <v>2</v>
      </c>
    </row>
    <row r="1307" spans="1:23" x14ac:dyDescent="0.2">
      <c r="A1307" t="s">
        <v>23</v>
      </c>
      <c r="B1307" t="s">
        <v>1108</v>
      </c>
      <c r="C1307" t="s">
        <v>1109</v>
      </c>
      <c r="D1307" t="s">
        <v>1110</v>
      </c>
      <c r="E1307" t="s">
        <v>1198</v>
      </c>
      <c r="F1307" t="s">
        <v>1199</v>
      </c>
      <c r="G1307" t="s">
        <v>89</v>
      </c>
      <c r="H1307" t="s">
        <v>30</v>
      </c>
      <c r="I1307" t="s">
        <v>30</v>
      </c>
      <c r="J1307" t="s">
        <v>41</v>
      </c>
      <c r="K1307" t="s">
        <v>32</v>
      </c>
      <c r="L1307" t="s">
        <v>32</v>
      </c>
      <c r="M1307" t="s">
        <v>33</v>
      </c>
      <c r="N1307" t="s">
        <v>33</v>
      </c>
      <c r="O1307" t="s">
        <v>33</v>
      </c>
      <c r="P1307" t="s">
        <v>34</v>
      </c>
      <c r="Q1307" t="s">
        <v>35</v>
      </c>
      <c r="S1307" t="s">
        <v>30</v>
      </c>
      <c r="T1307" t="s">
        <v>1210</v>
      </c>
      <c r="U1307" t="s">
        <v>1211</v>
      </c>
      <c r="V1307" t="s">
        <v>40</v>
      </c>
      <c r="W1307" s="1">
        <v>1698000</v>
      </c>
    </row>
    <row r="1308" spans="1:23" x14ac:dyDescent="0.2">
      <c r="A1308" t="s">
        <v>23</v>
      </c>
      <c r="B1308" t="s">
        <v>1108</v>
      </c>
      <c r="C1308" t="s">
        <v>1109</v>
      </c>
      <c r="D1308" t="s">
        <v>1110</v>
      </c>
      <c r="E1308" t="s">
        <v>1198</v>
      </c>
      <c r="F1308" t="s">
        <v>1199</v>
      </c>
      <c r="G1308" t="s">
        <v>106</v>
      </c>
      <c r="H1308" t="s">
        <v>30</v>
      </c>
      <c r="I1308" t="s">
        <v>30</v>
      </c>
      <c r="J1308" t="s">
        <v>31</v>
      </c>
      <c r="K1308" t="s">
        <v>32</v>
      </c>
      <c r="L1308" t="s">
        <v>32</v>
      </c>
      <c r="M1308" t="s">
        <v>33</v>
      </c>
      <c r="N1308" t="s">
        <v>33</v>
      </c>
      <c r="O1308" t="s">
        <v>33</v>
      </c>
      <c r="P1308" t="s">
        <v>34</v>
      </c>
      <c r="Q1308" t="s">
        <v>35</v>
      </c>
      <c r="S1308" t="s">
        <v>30</v>
      </c>
      <c r="T1308" t="s">
        <v>1212</v>
      </c>
      <c r="U1308" t="s">
        <v>1213</v>
      </c>
      <c r="V1308" t="s">
        <v>39</v>
      </c>
      <c r="W1308" s="1">
        <v>3</v>
      </c>
    </row>
    <row r="1309" spans="1:23" x14ac:dyDescent="0.2">
      <c r="A1309" t="s">
        <v>23</v>
      </c>
      <c r="B1309" t="s">
        <v>1108</v>
      </c>
      <c r="C1309" t="s">
        <v>1109</v>
      </c>
      <c r="D1309" t="s">
        <v>1110</v>
      </c>
      <c r="E1309" t="s">
        <v>1198</v>
      </c>
      <c r="F1309" t="s">
        <v>1199</v>
      </c>
      <c r="G1309" t="s">
        <v>106</v>
      </c>
      <c r="H1309" t="s">
        <v>30</v>
      </c>
      <c r="I1309" t="s">
        <v>30</v>
      </c>
      <c r="J1309" t="s">
        <v>31</v>
      </c>
      <c r="K1309" t="s">
        <v>32</v>
      </c>
      <c r="L1309" t="s">
        <v>32</v>
      </c>
      <c r="M1309" t="s">
        <v>33</v>
      </c>
      <c r="N1309" t="s">
        <v>33</v>
      </c>
      <c r="O1309" t="s">
        <v>33</v>
      </c>
      <c r="P1309" t="s">
        <v>34</v>
      </c>
      <c r="Q1309" t="s">
        <v>35</v>
      </c>
      <c r="S1309" t="s">
        <v>30</v>
      </c>
      <c r="T1309" t="s">
        <v>1212</v>
      </c>
      <c r="U1309" t="s">
        <v>1213</v>
      </c>
      <c r="V1309" t="s">
        <v>40</v>
      </c>
      <c r="W1309" s="1">
        <v>4401600</v>
      </c>
    </row>
    <row r="1310" spans="1:23" x14ac:dyDescent="0.2">
      <c r="A1310" t="s">
        <v>23</v>
      </c>
      <c r="B1310" t="s">
        <v>1108</v>
      </c>
      <c r="C1310" t="s">
        <v>1109</v>
      </c>
      <c r="D1310" t="s">
        <v>1110</v>
      </c>
      <c r="E1310" t="s">
        <v>1198</v>
      </c>
      <c r="F1310" t="s">
        <v>1199</v>
      </c>
      <c r="G1310" t="s">
        <v>106</v>
      </c>
      <c r="H1310" t="s">
        <v>30</v>
      </c>
      <c r="I1310" t="s">
        <v>30</v>
      </c>
      <c r="J1310" t="s">
        <v>31</v>
      </c>
      <c r="K1310" t="s">
        <v>32</v>
      </c>
      <c r="L1310" t="s">
        <v>32</v>
      </c>
      <c r="M1310" t="s">
        <v>33</v>
      </c>
      <c r="P1310" t="s">
        <v>34</v>
      </c>
      <c r="Q1310" t="s">
        <v>35</v>
      </c>
      <c r="S1310" t="s">
        <v>30</v>
      </c>
      <c r="T1310" t="s">
        <v>1214</v>
      </c>
      <c r="U1310" t="s">
        <v>1215</v>
      </c>
      <c r="V1310" t="s">
        <v>39</v>
      </c>
      <c r="W1310" s="1">
        <v>7</v>
      </c>
    </row>
    <row r="1311" spans="1:23" x14ac:dyDescent="0.2">
      <c r="A1311" t="s">
        <v>23</v>
      </c>
      <c r="B1311" t="s">
        <v>1108</v>
      </c>
      <c r="C1311" t="s">
        <v>1109</v>
      </c>
      <c r="D1311" t="s">
        <v>1110</v>
      </c>
      <c r="E1311" t="s">
        <v>1198</v>
      </c>
      <c r="F1311" t="s">
        <v>1199</v>
      </c>
      <c r="G1311" t="s">
        <v>106</v>
      </c>
      <c r="H1311" t="s">
        <v>30</v>
      </c>
      <c r="I1311" t="s">
        <v>30</v>
      </c>
      <c r="J1311" t="s">
        <v>31</v>
      </c>
      <c r="K1311" t="s">
        <v>32</v>
      </c>
      <c r="L1311" t="s">
        <v>32</v>
      </c>
      <c r="M1311" t="s">
        <v>33</v>
      </c>
      <c r="P1311" t="s">
        <v>34</v>
      </c>
      <c r="Q1311" t="s">
        <v>35</v>
      </c>
      <c r="S1311" t="s">
        <v>30</v>
      </c>
      <c r="T1311" t="s">
        <v>1214</v>
      </c>
      <c r="U1311" t="s">
        <v>1215</v>
      </c>
      <c r="V1311" t="s">
        <v>40</v>
      </c>
      <c r="W1311" s="1">
        <v>6749400</v>
      </c>
    </row>
    <row r="1312" spans="1:23" x14ac:dyDescent="0.2">
      <c r="A1312" t="s">
        <v>23</v>
      </c>
      <c r="B1312" t="s">
        <v>1108</v>
      </c>
      <c r="C1312" t="s">
        <v>1109</v>
      </c>
      <c r="D1312" t="s">
        <v>1110</v>
      </c>
      <c r="E1312" t="s">
        <v>1198</v>
      </c>
      <c r="F1312" t="s">
        <v>1199</v>
      </c>
      <c r="G1312" t="s">
        <v>106</v>
      </c>
      <c r="H1312" t="s">
        <v>30</v>
      </c>
      <c r="I1312" t="s">
        <v>30</v>
      </c>
      <c r="J1312" t="s">
        <v>41</v>
      </c>
      <c r="K1312" t="s">
        <v>32</v>
      </c>
      <c r="L1312" t="s">
        <v>32</v>
      </c>
      <c r="M1312" t="s">
        <v>33</v>
      </c>
      <c r="N1312" t="s">
        <v>33</v>
      </c>
      <c r="O1312" t="s">
        <v>33</v>
      </c>
      <c r="P1312" t="s">
        <v>34</v>
      </c>
      <c r="Q1312" t="s">
        <v>35</v>
      </c>
      <c r="R1312" t="s">
        <v>184</v>
      </c>
      <c r="S1312" t="s">
        <v>30</v>
      </c>
      <c r="T1312" t="s">
        <v>1216</v>
      </c>
      <c r="U1312" t="s">
        <v>1217</v>
      </c>
      <c r="V1312" t="s">
        <v>39</v>
      </c>
      <c r="W1312" s="1">
        <v>2</v>
      </c>
    </row>
    <row r="1313" spans="1:23" x14ac:dyDescent="0.2">
      <c r="A1313" t="s">
        <v>23</v>
      </c>
      <c r="B1313" t="s">
        <v>1108</v>
      </c>
      <c r="C1313" t="s">
        <v>1109</v>
      </c>
      <c r="D1313" t="s">
        <v>1110</v>
      </c>
      <c r="E1313" t="s">
        <v>1198</v>
      </c>
      <c r="F1313" t="s">
        <v>1199</v>
      </c>
      <c r="G1313" t="s">
        <v>106</v>
      </c>
      <c r="H1313" t="s">
        <v>30</v>
      </c>
      <c r="I1313" t="s">
        <v>30</v>
      </c>
      <c r="J1313" t="s">
        <v>41</v>
      </c>
      <c r="K1313" t="s">
        <v>32</v>
      </c>
      <c r="L1313" t="s">
        <v>32</v>
      </c>
      <c r="M1313" t="s">
        <v>33</v>
      </c>
      <c r="N1313" t="s">
        <v>33</v>
      </c>
      <c r="O1313" t="s">
        <v>33</v>
      </c>
      <c r="P1313" t="s">
        <v>34</v>
      </c>
      <c r="Q1313" t="s">
        <v>35</v>
      </c>
      <c r="R1313" t="s">
        <v>184</v>
      </c>
      <c r="S1313" t="s">
        <v>30</v>
      </c>
      <c r="T1313" t="s">
        <v>1216</v>
      </c>
      <c r="U1313" t="s">
        <v>1217</v>
      </c>
      <c r="V1313" t="s">
        <v>40</v>
      </c>
      <c r="W1313" s="1">
        <v>2236000</v>
      </c>
    </row>
    <row r="1314" spans="1:23" x14ac:dyDescent="0.2">
      <c r="A1314" t="s">
        <v>23</v>
      </c>
      <c r="B1314" t="s">
        <v>1108</v>
      </c>
      <c r="C1314" t="s">
        <v>1109</v>
      </c>
      <c r="D1314" t="s">
        <v>1110</v>
      </c>
      <c r="E1314" t="s">
        <v>1198</v>
      </c>
      <c r="F1314" t="s">
        <v>1199</v>
      </c>
      <c r="G1314" t="s">
        <v>106</v>
      </c>
      <c r="H1314" t="s">
        <v>30</v>
      </c>
      <c r="I1314" t="s">
        <v>30</v>
      </c>
      <c r="J1314" t="s">
        <v>41</v>
      </c>
      <c r="K1314" t="s">
        <v>32</v>
      </c>
      <c r="L1314" t="s">
        <v>32</v>
      </c>
      <c r="M1314" t="s">
        <v>33</v>
      </c>
      <c r="P1314" t="s">
        <v>34</v>
      </c>
      <c r="Q1314" t="s">
        <v>35</v>
      </c>
      <c r="R1314" t="s">
        <v>184</v>
      </c>
      <c r="S1314" t="s">
        <v>30</v>
      </c>
      <c r="T1314" t="s">
        <v>1216</v>
      </c>
      <c r="U1314" t="s">
        <v>1217</v>
      </c>
      <c r="V1314" t="s">
        <v>39</v>
      </c>
      <c r="W1314" s="1">
        <v>2</v>
      </c>
    </row>
    <row r="1315" spans="1:23" x14ac:dyDescent="0.2">
      <c r="A1315" t="s">
        <v>23</v>
      </c>
      <c r="B1315" t="s">
        <v>1108</v>
      </c>
      <c r="C1315" t="s">
        <v>1109</v>
      </c>
      <c r="D1315" t="s">
        <v>1110</v>
      </c>
      <c r="E1315" t="s">
        <v>1198</v>
      </c>
      <c r="F1315" t="s">
        <v>1199</v>
      </c>
      <c r="G1315" t="s">
        <v>106</v>
      </c>
      <c r="H1315" t="s">
        <v>30</v>
      </c>
      <c r="I1315" t="s">
        <v>30</v>
      </c>
      <c r="J1315" t="s">
        <v>41</v>
      </c>
      <c r="K1315" t="s">
        <v>32</v>
      </c>
      <c r="L1315" t="s">
        <v>32</v>
      </c>
      <c r="M1315" t="s">
        <v>33</v>
      </c>
      <c r="P1315" t="s">
        <v>34</v>
      </c>
      <c r="Q1315" t="s">
        <v>35</v>
      </c>
      <c r="R1315" t="s">
        <v>184</v>
      </c>
      <c r="S1315" t="s">
        <v>30</v>
      </c>
      <c r="T1315" t="s">
        <v>1216</v>
      </c>
      <c r="U1315" t="s">
        <v>1217</v>
      </c>
      <c r="V1315" t="s">
        <v>40</v>
      </c>
      <c r="W1315" s="1">
        <v>2236000</v>
      </c>
    </row>
    <row r="1316" spans="1:23" x14ac:dyDescent="0.2">
      <c r="A1316" t="s">
        <v>23</v>
      </c>
      <c r="B1316" t="s">
        <v>1108</v>
      </c>
      <c r="C1316" t="s">
        <v>1109</v>
      </c>
      <c r="D1316" t="s">
        <v>1110</v>
      </c>
      <c r="E1316" t="s">
        <v>1198</v>
      </c>
      <c r="F1316" t="s">
        <v>1199</v>
      </c>
      <c r="G1316" t="s">
        <v>106</v>
      </c>
      <c r="H1316" t="s">
        <v>30</v>
      </c>
      <c r="I1316" t="s">
        <v>30</v>
      </c>
      <c r="J1316" t="s">
        <v>41</v>
      </c>
      <c r="K1316" t="s">
        <v>32</v>
      </c>
      <c r="L1316" t="s">
        <v>32</v>
      </c>
      <c r="M1316" t="s">
        <v>33</v>
      </c>
      <c r="P1316" t="s">
        <v>34</v>
      </c>
      <c r="Q1316" t="s">
        <v>35</v>
      </c>
      <c r="S1316" t="s">
        <v>30</v>
      </c>
      <c r="T1316" t="s">
        <v>1218</v>
      </c>
      <c r="U1316" t="s">
        <v>1219</v>
      </c>
      <c r="V1316" t="s">
        <v>39</v>
      </c>
      <c r="W1316" s="1">
        <v>4</v>
      </c>
    </row>
    <row r="1317" spans="1:23" x14ac:dyDescent="0.2">
      <c r="A1317" t="s">
        <v>23</v>
      </c>
      <c r="B1317" t="s">
        <v>1108</v>
      </c>
      <c r="C1317" t="s">
        <v>1109</v>
      </c>
      <c r="D1317" t="s">
        <v>1110</v>
      </c>
      <c r="E1317" t="s">
        <v>1198</v>
      </c>
      <c r="F1317" t="s">
        <v>1199</v>
      </c>
      <c r="G1317" t="s">
        <v>106</v>
      </c>
      <c r="H1317" t="s">
        <v>30</v>
      </c>
      <c r="I1317" t="s">
        <v>30</v>
      </c>
      <c r="J1317" t="s">
        <v>41</v>
      </c>
      <c r="K1317" t="s">
        <v>32</v>
      </c>
      <c r="L1317" t="s">
        <v>32</v>
      </c>
      <c r="M1317" t="s">
        <v>33</v>
      </c>
      <c r="P1317" t="s">
        <v>34</v>
      </c>
      <c r="Q1317" t="s">
        <v>35</v>
      </c>
      <c r="S1317" t="s">
        <v>30</v>
      </c>
      <c r="T1317" t="s">
        <v>1218</v>
      </c>
      <c r="U1317" t="s">
        <v>1219</v>
      </c>
      <c r="V1317" t="s">
        <v>40</v>
      </c>
      <c r="W1317" s="1">
        <v>6759200</v>
      </c>
    </row>
    <row r="1318" spans="1:23" x14ac:dyDescent="0.2">
      <c r="A1318" t="s">
        <v>23</v>
      </c>
      <c r="B1318" t="s">
        <v>1108</v>
      </c>
      <c r="C1318" t="s">
        <v>1109</v>
      </c>
      <c r="D1318" t="s">
        <v>1110</v>
      </c>
      <c r="E1318" t="s">
        <v>1198</v>
      </c>
      <c r="F1318" t="s">
        <v>1199</v>
      </c>
      <c r="G1318" t="s">
        <v>119</v>
      </c>
      <c r="H1318" t="s">
        <v>30</v>
      </c>
      <c r="I1318" t="s">
        <v>52</v>
      </c>
      <c r="J1318" t="s">
        <v>31</v>
      </c>
      <c r="K1318" t="s">
        <v>32</v>
      </c>
      <c r="L1318" t="s">
        <v>32</v>
      </c>
      <c r="M1318" t="s">
        <v>33</v>
      </c>
      <c r="P1318" t="s">
        <v>34</v>
      </c>
      <c r="Q1318" t="s">
        <v>35</v>
      </c>
      <c r="S1318" t="s">
        <v>52</v>
      </c>
      <c r="T1318" t="s">
        <v>1220</v>
      </c>
      <c r="U1318" t="s">
        <v>1221</v>
      </c>
      <c r="V1318" t="s">
        <v>39</v>
      </c>
      <c r="W1318" s="1">
        <v>0</v>
      </c>
    </row>
    <row r="1319" spans="1:23" x14ac:dyDescent="0.2">
      <c r="A1319" t="s">
        <v>23</v>
      </c>
      <c r="B1319" t="s">
        <v>1108</v>
      </c>
      <c r="C1319" t="s">
        <v>1109</v>
      </c>
      <c r="D1319" t="s">
        <v>1110</v>
      </c>
      <c r="E1319" t="s">
        <v>1198</v>
      </c>
      <c r="F1319" t="s">
        <v>1199</v>
      </c>
      <c r="G1319" t="s">
        <v>119</v>
      </c>
      <c r="H1319" t="s">
        <v>30</v>
      </c>
      <c r="I1319" t="s">
        <v>52</v>
      </c>
      <c r="J1319" t="s">
        <v>31</v>
      </c>
      <c r="K1319" t="s">
        <v>32</v>
      </c>
      <c r="L1319" t="s">
        <v>32</v>
      </c>
      <c r="M1319" t="s">
        <v>33</v>
      </c>
      <c r="P1319" t="s">
        <v>34</v>
      </c>
      <c r="Q1319" t="s">
        <v>35</v>
      </c>
      <c r="S1319" t="s">
        <v>52</v>
      </c>
      <c r="T1319" t="s">
        <v>1220</v>
      </c>
      <c r="U1319" t="s">
        <v>1221</v>
      </c>
      <c r="V1319" t="s">
        <v>40</v>
      </c>
      <c r="W1319" s="1">
        <v>7560000</v>
      </c>
    </row>
    <row r="1320" spans="1:23" x14ac:dyDescent="0.2">
      <c r="A1320" t="s">
        <v>23</v>
      </c>
      <c r="B1320" t="s">
        <v>1108</v>
      </c>
      <c r="C1320" t="s">
        <v>1109</v>
      </c>
      <c r="D1320" t="s">
        <v>1110</v>
      </c>
      <c r="E1320" t="s">
        <v>1198</v>
      </c>
      <c r="F1320" t="s">
        <v>1199</v>
      </c>
      <c r="G1320" t="s">
        <v>127</v>
      </c>
      <c r="H1320" t="s">
        <v>52</v>
      </c>
      <c r="I1320" t="s">
        <v>30</v>
      </c>
      <c r="J1320" t="s">
        <v>41</v>
      </c>
      <c r="K1320" t="s">
        <v>32</v>
      </c>
      <c r="L1320" t="s">
        <v>32</v>
      </c>
      <c r="M1320" t="s">
        <v>33</v>
      </c>
      <c r="N1320" t="s">
        <v>33</v>
      </c>
      <c r="O1320" t="s">
        <v>33</v>
      </c>
      <c r="P1320" t="s">
        <v>34</v>
      </c>
      <c r="Q1320" t="s">
        <v>35</v>
      </c>
      <c r="R1320" t="s">
        <v>68</v>
      </c>
      <c r="S1320" t="s">
        <v>30</v>
      </c>
      <c r="T1320" t="s">
        <v>1222</v>
      </c>
      <c r="U1320" t="s">
        <v>1223</v>
      </c>
      <c r="V1320" t="s">
        <v>39</v>
      </c>
      <c r="W1320" s="1">
        <v>2</v>
      </c>
    </row>
    <row r="1321" spans="1:23" x14ac:dyDescent="0.2">
      <c r="A1321" t="s">
        <v>23</v>
      </c>
      <c r="B1321" t="s">
        <v>1108</v>
      </c>
      <c r="C1321" t="s">
        <v>1109</v>
      </c>
      <c r="D1321" t="s">
        <v>1110</v>
      </c>
      <c r="E1321" t="s">
        <v>1198</v>
      </c>
      <c r="F1321" t="s">
        <v>1199</v>
      </c>
      <c r="G1321" t="s">
        <v>127</v>
      </c>
      <c r="H1321" t="s">
        <v>52</v>
      </c>
      <c r="I1321" t="s">
        <v>30</v>
      </c>
      <c r="J1321" t="s">
        <v>41</v>
      </c>
      <c r="K1321" t="s">
        <v>32</v>
      </c>
      <c r="L1321" t="s">
        <v>32</v>
      </c>
      <c r="M1321" t="s">
        <v>33</v>
      </c>
      <c r="N1321" t="s">
        <v>33</v>
      </c>
      <c r="O1321" t="s">
        <v>33</v>
      </c>
      <c r="P1321" t="s">
        <v>34</v>
      </c>
      <c r="Q1321" t="s">
        <v>35</v>
      </c>
      <c r="R1321" t="s">
        <v>68</v>
      </c>
      <c r="S1321" t="s">
        <v>30</v>
      </c>
      <c r="T1321" t="s">
        <v>1222</v>
      </c>
      <c r="U1321" t="s">
        <v>1223</v>
      </c>
      <c r="V1321" t="s">
        <v>40</v>
      </c>
      <c r="W1321" s="1">
        <v>3598000</v>
      </c>
    </row>
    <row r="1322" spans="1:23" x14ac:dyDescent="0.2">
      <c r="A1322" t="s">
        <v>23</v>
      </c>
      <c r="B1322" t="s">
        <v>1108</v>
      </c>
      <c r="C1322" t="s">
        <v>1109</v>
      </c>
      <c r="D1322" t="s">
        <v>1110</v>
      </c>
      <c r="E1322" t="s">
        <v>1198</v>
      </c>
      <c r="F1322" t="s">
        <v>1199</v>
      </c>
      <c r="G1322" t="s">
        <v>127</v>
      </c>
      <c r="H1322" t="s">
        <v>52</v>
      </c>
      <c r="I1322" t="s">
        <v>30</v>
      </c>
      <c r="J1322" t="s">
        <v>41</v>
      </c>
      <c r="K1322" t="s">
        <v>32</v>
      </c>
      <c r="L1322" t="s">
        <v>32</v>
      </c>
      <c r="M1322" t="s">
        <v>33</v>
      </c>
      <c r="P1322" t="s">
        <v>34</v>
      </c>
      <c r="Q1322" t="s">
        <v>35</v>
      </c>
      <c r="R1322" t="s">
        <v>285</v>
      </c>
      <c r="S1322" t="s">
        <v>30</v>
      </c>
      <c r="T1322" t="s">
        <v>1224</v>
      </c>
      <c r="U1322" t="s">
        <v>1225</v>
      </c>
      <c r="V1322" t="s">
        <v>39</v>
      </c>
      <c r="W1322" s="1">
        <v>3</v>
      </c>
    </row>
    <row r="1323" spans="1:23" x14ac:dyDescent="0.2">
      <c r="A1323" t="s">
        <v>23</v>
      </c>
      <c r="B1323" t="s">
        <v>1108</v>
      </c>
      <c r="C1323" t="s">
        <v>1109</v>
      </c>
      <c r="D1323" t="s">
        <v>1110</v>
      </c>
      <c r="E1323" t="s">
        <v>1198</v>
      </c>
      <c r="F1323" t="s">
        <v>1199</v>
      </c>
      <c r="G1323" t="s">
        <v>127</v>
      </c>
      <c r="H1323" t="s">
        <v>52</v>
      </c>
      <c r="I1323" t="s">
        <v>30</v>
      </c>
      <c r="J1323" t="s">
        <v>41</v>
      </c>
      <c r="K1323" t="s">
        <v>32</v>
      </c>
      <c r="L1323" t="s">
        <v>32</v>
      </c>
      <c r="M1323" t="s">
        <v>33</v>
      </c>
      <c r="P1323" t="s">
        <v>34</v>
      </c>
      <c r="Q1323" t="s">
        <v>35</v>
      </c>
      <c r="R1323" t="s">
        <v>285</v>
      </c>
      <c r="S1323" t="s">
        <v>30</v>
      </c>
      <c r="T1323" t="s">
        <v>1224</v>
      </c>
      <c r="U1323" t="s">
        <v>1225</v>
      </c>
      <c r="V1323" t="s">
        <v>40</v>
      </c>
      <c r="W1323" s="1">
        <v>4469400</v>
      </c>
    </row>
    <row r="1324" spans="1:23" x14ac:dyDescent="0.2">
      <c r="A1324" t="s">
        <v>23</v>
      </c>
      <c r="B1324" t="s">
        <v>1108</v>
      </c>
      <c r="C1324" t="s">
        <v>1109</v>
      </c>
      <c r="D1324" t="s">
        <v>1110</v>
      </c>
      <c r="E1324" t="s">
        <v>1198</v>
      </c>
      <c r="F1324" t="s">
        <v>1199</v>
      </c>
      <c r="G1324" t="s">
        <v>134</v>
      </c>
      <c r="H1324" t="s">
        <v>52</v>
      </c>
      <c r="I1324" t="s">
        <v>30</v>
      </c>
      <c r="J1324" t="s">
        <v>41</v>
      </c>
      <c r="K1324" t="s">
        <v>32</v>
      </c>
      <c r="L1324" t="s">
        <v>32</v>
      </c>
      <c r="M1324" t="s">
        <v>33</v>
      </c>
      <c r="N1324" t="s">
        <v>33</v>
      </c>
      <c r="O1324" t="s">
        <v>33</v>
      </c>
      <c r="P1324" t="s">
        <v>34</v>
      </c>
      <c r="Q1324" t="s">
        <v>35</v>
      </c>
      <c r="R1324" t="s">
        <v>184</v>
      </c>
      <c r="S1324" t="s">
        <v>30</v>
      </c>
      <c r="T1324" t="s">
        <v>1226</v>
      </c>
      <c r="U1324" t="s">
        <v>1227</v>
      </c>
      <c r="V1324" t="s">
        <v>39</v>
      </c>
      <c r="W1324" s="1">
        <v>2</v>
      </c>
    </row>
    <row r="1325" spans="1:23" x14ac:dyDescent="0.2">
      <c r="A1325" t="s">
        <v>23</v>
      </c>
      <c r="B1325" t="s">
        <v>1108</v>
      </c>
      <c r="C1325" t="s">
        <v>1109</v>
      </c>
      <c r="D1325" t="s">
        <v>1110</v>
      </c>
      <c r="E1325" t="s">
        <v>1198</v>
      </c>
      <c r="F1325" t="s">
        <v>1199</v>
      </c>
      <c r="G1325" t="s">
        <v>134</v>
      </c>
      <c r="H1325" t="s">
        <v>52</v>
      </c>
      <c r="I1325" t="s">
        <v>30</v>
      </c>
      <c r="J1325" t="s">
        <v>41</v>
      </c>
      <c r="K1325" t="s">
        <v>32</v>
      </c>
      <c r="L1325" t="s">
        <v>32</v>
      </c>
      <c r="M1325" t="s">
        <v>33</v>
      </c>
      <c r="N1325" t="s">
        <v>33</v>
      </c>
      <c r="O1325" t="s">
        <v>33</v>
      </c>
      <c r="P1325" t="s">
        <v>34</v>
      </c>
      <c r="Q1325" t="s">
        <v>35</v>
      </c>
      <c r="R1325" t="s">
        <v>184</v>
      </c>
      <c r="S1325" t="s">
        <v>30</v>
      </c>
      <c r="T1325" t="s">
        <v>1226</v>
      </c>
      <c r="U1325" t="s">
        <v>1227</v>
      </c>
      <c r="V1325" t="s">
        <v>40</v>
      </c>
      <c r="W1325" s="1">
        <v>2564000</v>
      </c>
    </row>
    <row r="1326" spans="1:23" x14ac:dyDescent="0.2">
      <c r="A1326" t="s">
        <v>23</v>
      </c>
      <c r="B1326" t="s">
        <v>1108</v>
      </c>
      <c r="C1326" t="s">
        <v>1109</v>
      </c>
      <c r="D1326" t="s">
        <v>1110</v>
      </c>
      <c r="E1326" t="s">
        <v>1198</v>
      </c>
      <c r="F1326" t="s">
        <v>1199</v>
      </c>
      <c r="G1326" t="s">
        <v>134</v>
      </c>
      <c r="H1326" t="s">
        <v>52</v>
      </c>
      <c r="I1326" t="s">
        <v>30</v>
      </c>
      <c r="J1326" t="s">
        <v>41</v>
      </c>
      <c r="K1326" t="s">
        <v>32</v>
      </c>
      <c r="L1326" t="s">
        <v>32</v>
      </c>
      <c r="M1326" t="s">
        <v>33</v>
      </c>
      <c r="N1326" t="s">
        <v>169</v>
      </c>
      <c r="O1326" t="s">
        <v>169</v>
      </c>
      <c r="P1326" t="s">
        <v>34</v>
      </c>
      <c r="Q1326" t="s">
        <v>35</v>
      </c>
      <c r="R1326" t="s">
        <v>184</v>
      </c>
      <c r="S1326" t="s">
        <v>30</v>
      </c>
      <c r="T1326" t="s">
        <v>1226</v>
      </c>
      <c r="U1326" t="s">
        <v>1227</v>
      </c>
      <c r="V1326" t="s">
        <v>39</v>
      </c>
      <c r="W1326" s="1">
        <v>2</v>
      </c>
    </row>
    <row r="1327" spans="1:23" x14ac:dyDescent="0.2">
      <c r="A1327" t="s">
        <v>23</v>
      </c>
      <c r="B1327" t="s">
        <v>1108</v>
      </c>
      <c r="C1327" t="s">
        <v>1109</v>
      </c>
      <c r="D1327" t="s">
        <v>1110</v>
      </c>
      <c r="E1327" t="s">
        <v>1198</v>
      </c>
      <c r="F1327" t="s">
        <v>1199</v>
      </c>
      <c r="G1327" t="s">
        <v>134</v>
      </c>
      <c r="H1327" t="s">
        <v>52</v>
      </c>
      <c r="I1327" t="s">
        <v>30</v>
      </c>
      <c r="J1327" t="s">
        <v>41</v>
      </c>
      <c r="K1327" t="s">
        <v>32</v>
      </c>
      <c r="L1327" t="s">
        <v>32</v>
      </c>
      <c r="M1327" t="s">
        <v>33</v>
      </c>
      <c r="N1327" t="s">
        <v>169</v>
      </c>
      <c r="O1327" t="s">
        <v>169</v>
      </c>
      <c r="P1327" t="s">
        <v>34</v>
      </c>
      <c r="Q1327" t="s">
        <v>35</v>
      </c>
      <c r="R1327" t="s">
        <v>184</v>
      </c>
      <c r="S1327" t="s">
        <v>30</v>
      </c>
      <c r="T1327" t="s">
        <v>1226</v>
      </c>
      <c r="U1327" t="s">
        <v>1227</v>
      </c>
      <c r="V1327" t="s">
        <v>40</v>
      </c>
      <c r="W1327" s="1">
        <v>2564000</v>
      </c>
    </row>
    <row r="1328" spans="1:23" x14ac:dyDescent="0.2">
      <c r="A1328" t="s">
        <v>23</v>
      </c>
      <c r="B1328" t="s">
        <v>1108</v>
      </c>
      <c r="C1328" t="s">
        <v>1109</v>
      </c>
      <c r="D1328" t="s">
        <v>1110</v>
      </c>
      <c r="E1328" t="s">
        <v>1198</v>
      </c>
      <c r="F1328" t="s">
        <v>1199</v>
      </c>
      <c r="G1328" t="s">
        <v>139</v>
      </c>
      <c r="H1328" t="s">
        <v>30</v>
      </c>
      <c r="I1328" t="s">
        <v>30</v>
      </c>
      <c r="J1328" t="s">
        <v>31</v>
      </c>
      <c r="K1328" t="s">
        <v>32</v>
      </c>
      <c r="L1328" t="s">
        <v>32</v>
      </c>
      <c r="M1328" t="s">
        <v>33</v>
      </c>
      <c r="N1328" t="s">
        <v>33</v>
      </c>
      <c r="O1328" t="s">
        <v>33</v>
      </c>
      <c r="P1328" t="s">
        <v>34</v>
      </c>
      <c r="Q1328" t="s">
        <v>35</v>
      </c>
      <c r="S1328" t="s">
        <v>30</v>
      </c>
      <c r="T1328" t="s">
        <v>1228</v>
      </c>
      <c r="U1328" t="s">
        <v>1229</v>
      </c>
      <c r="V1328" t="s">
        <v>39</v>
      </c>
      <c r="W1328" s="1">
        <v>2</v>
      </c>
    </row>
    <row r="1329" spans="1:23" x14ac:dyDescent="0.2">
      <c r="A1329" t="s">
        <v>23</v>
      </c>
      <c r="B1329" t="s">
        <v>1108</v>
      </c>
      <c r="C1329" t="s">
        <v>1109</v>
      </c>
      <c r="D1329" t="s">
        <v>1110</v>
      </c>
      <c r="E1329" t="s">
        <v>1198</v>
      </c>
      <c r="F1329" t="s">
        <v>1199</v>
      </c>
      <c r="G1329" t="s">
        <v>139</v>
      </c>
      <c r="H1329" t="s">
        <v>30</v>
      </c>
      <c r="I1329" t="s">
        <v>30</v>
      </c>
      <c r="J1329" t="s">
        <v>31</v>
      </c>
      <c r="K1329" t="s">
        <v>32</v>
      </c>
      <c r="L1329" t="s">
        <v>32</v>
      </c>
      <c r="M1329" t="s">
        <v>33</v>
      </c>
      <c r="N1329" t="s">
        <v>33</v>
      </c>
      <c r="O1329" t="s">
        <v>33</v>
      </c>
      <c r="P1329" t="s">
        <v>34</v>
      </c>
      <c r="Q1329" t="s">
        <v>35</v>
      </c>
      <c r="S1329" t="s">
        <v>30</v>
      </c>
      <c r="T1329" t="s">
        <v>1228</v>
      </c>
      <c r="U1329" t="s">
        <v>1229</v>
      </c>
      <c r="V1329" t="s">
        <v>40</v>
      </c>
      <c r="W1329" s="1">
        <v>1398000</v>
      </c>
    </row>
    <row r="1330" spans="1:23" x14ac:dyDescent="0.2">
      <c r="A1330" t="s">
        <v>23</v>
      </c>
      <c r="B1330" t="s">
        <v>1108</v>
      </c>
      <c r="C1330" t="s">
        <v>1109</v>
      </c>
      <c r="D1330" t="s">
        <v>1110</v>
      </c>
      <c r="E1330" t="s">
        <v>1198</v>
      </c>
      <c r="F1330" t="s">
        <v>1199</v>
      </c>
      <c r="G1330" t="s">
        <v>139</v>
      </c>
      <c r="H1330" t="s">
        <v>30</v>
      </c>
      <c r="I1330" t="s">
        <v>30</v>
      </c>
      <c r="J1330" t="s">
        <v>31</v>
      </c>
      <c r="K1330" t="s">
        <v>32</v>
      </c>
      <c r="L1330" t="s">
        <v>32</v>
      </c>
      <c r="M1330" t="s">
        <v>33</v>
      </c>
      <c r="N1330" t="s">
        <v>169</v>
      </c>
      <c r="O1330" t="s">
        <v>169</v>
      </c>
      <c r="P1330" t="s">
        <v>34</v>
      </c>
      <c r="Q1330" t="s">
        <v>35</v>
      </c>
      <c r="S1330" t="s">
        <v>30</v>
      </c>
      <c r="T1330" t="s">
        <v>1228</v>
      </c>
      <c r="U1330" t="s">
        <v>1229</v>
      </c>
      <c r="V1330" t="s">
        <v>39</v>
      </c>
      <c r="W1330" s="1">
        <v>2</v>
      </c>
    </row>
    <row r="1331" spans="1:23" x14ac:dyDescent="0.2">
      <c r="A1331" t="s">
        <v>23</v>
      </c>
      <c r="B1331" t="s">
        <v>1108</v>
      </c>
      <c r="C1331" t="s">
        <v>1109</v>
      </c>
      <c r="D1331" t="s">
        <v>1110</v>
      </c>
      <c r="E1331" t="s">
        <v>1198</v>
      </c>
      <c r="F1331" t="s">
        <v>1199</v>
      </c>
      <c r="G1331" t="s">
        <v>139</v>
      </c>
      <c r="H1331" t="s">
        <v>30</v>
      </c>
      <c r="I1331" t="s">
        <v>30</v>
      </c>
      <c r="J1331" t="s">
        <v>31</v>
      </c>
      <c r="K1331" t="s">
        <v>32</v>
      </c>
      <c r="L1331" t="s">
        <v>32</v>
      </c>
      <c r="M1331" t="s">
        <v>33</v>
      </c>
      <c r="N1331" t="s">
        <v>169</v>
      </c>
      <c r="O1331" t="s">
        <v>169</v>
      </c>
      <c r="P1331" t="s">
        <v>34</v>
      </c>
      <c r="Q1331" t="s">
        <v>35</v>
      </c>
      <c r="S1331" t="s">
        <v>30</v>
      </c>
      <c r="T1331" t="s">
        <v>1228</v>
      </c>
      <c r="U1331" t="s">
        <v>1229</v>
      </c>
      <c r="V1331" t="s">
        <v>40</v>
      </c>
      <c r="W1331" s="1">
        <v>1398000</v>
      </c>
    </row>
    <row r="1332" spans="1:23" x14ac:dyDescent="0.2">
      <c r="A1332" t="s">
        <v>23</v>
      </c>
      <c r="B1332" t="s">
        <v>1108</v>
      </c>
      <c r="C1332" t="s">
        <v>1109</v>
      </c>
      <c r="D1332" t="s">
        <v>1110</v>
      </c>
      <c r="E1332" t="s">
        <v>1198</v>
      </c>
      <c r="F1332" t="s">
        <v>1199</v>
      </c>
      <c r="G1332" t="s">
        <v>139</v>
      </c>
      <c r="H1332" t="s">
        <v>30</v>
      </c>
      <c r="I1332" t="s">
        <v>30</v>
      </c>
      <c r="J1332" t="s">
        <v>41</v>
      </c>
      <c r="K1332" t="s">
        <v>32</v>
      </c>
      <c r="L1332" t="s">
        <v>32</v>
      </c>
      <c r="M1332" t="s">
        <v>33</v>
      </c>
      <c r="P1332" t="s">
        <v>34</v>
      </c>
      <c r="Q1332" t="s">
        <v>35</v>
      </c>
      <c r="R1332" t="s">
        <v>54</v>
      </c>
      <c r="S1332" t="s">
        <v>30</v>
      </c>
      <c r="T1332" t="s">
        <v>1230</v>
      </c>
      <c r="U1332" t="s">
        <v>1231</v>
      </c>
      <c r="V1332" t="s">
        <v>39</v>
      </c>
      <c r="W1332" s="1">
        <v>6</v>
      </c>
    </row>
    <row r="1333" spans="1:23" x14ac:dyDescent="0.2">
      <c r="A1333" t="s">
        <v>23</v>
      </c>
      <c r="B1333" t="s">
        <v>1108</v>
      </c>
      <c r="C1333" t="s">
        <v>1109</v>
      </c>
      <c r="D1333" t="s">
        <v>1110</v>
      </c>
      <c r="E1333" t="s">
        <v>1198</v>
      </c>
      <c r="F1333" t="s">
        <v>1199</v>
      </c>
      <c r="G1333" t="s">
        <v>139</v>
      </c>
      <c r="H1333" t="s">
        <v>30</v>
      </c>
      <c r="I1333" t="s">
        <v>30</v>
      </c>
      <c r="J1333" t="s">
        <v>41</v>
      </c>
      <c r="K1333" t="s">
        <v>32</v>
      </c>
      <c r="L1333" t="s">
        <v>32</v>
      </c>
      <c r="M1333" t="s">
        <v>33</v>
      </c>
      <c r="P1333" t="s">
        <v>34</v>
      </c>
      <c r="Q1333" t="s">
        <v>35</v>
      </c>
      <c r="R1333" t="s">
        <v>54</v>
      </c>
      <c r="S1333" t="s">
        <v>30</v>
      </c>
      <c r="T1333" t="s">
        <v>1230</v>
      </c>
      <c r="U1333" t="s">
        <v>1231</v>
      </c>
      <c r="V1333" t="s">
        <v>40</v>
      </c>
      <c r="W1333" s="1">
        <v>10026600</v>
      </c>
    </row>
    <row r="1334" spans="1:23" x14ac:dyDescent="0.2">
      <c r="A1334" t="s">
        <v>23</v>
      </c>
      <c r="B1334" t="s">
        <v>1108</v>
      </c>
      <c r="C1334" t="s">
        <v>1109</v>
      </c>
      <c r="D1334" t="s">
        <v>1110</v>
      </c>
      <c r="E1334" t="s">
        <v>1198</v>
      </c>
      <c r="F1334" t="s">
        <v>1199</v>
      </c>
      <c r="G1334" t="s">
        <v>139</v>
      </c>
      <c r="H1334" t="s">
        <v>30</v>
      </c>
      <c r="I1334" t="s">
        <v>30</v>
      </c>
      <c r="J1334" t="s">
        <v>41</v>
      </c>
      <c r="K1334" t="s">
        <v>32</v>
      </c>
      <c r="L1334" t="s">
        <v>32</v>
      </c>
      <c r="M1334" t="s">
        <v>33</v>
      </c>
      <c r="P1334" t="s">
        <v>34</v>
      </c>
      <c r="Q1334" t="s">
        <v>35</v>
      </c>
      <c r="S1334" t="s">
        <v>30</v>
      </c>
      <c r="T1334" t="s">
        <v>1232</v>
      </c>
      <c r="U1334" t="s">
        <v>1233</v>
      </c>
      <c r="V1334" t="s">
        <v>39</v>
      </c>
      <c r="W1334" s="1">
        <v>7</v>
      </c>
    </row>
    <row r="1335" spans="1:23" x14ac:dyDescent="0.2">
      <c r="A1335" t="s">
        <v>23</v>
      </c>
      <c r="B1335" t="s">
        <v>1108</v>
      </c>
      <c r="C1335" t="s">
        <v>1109</v>
      </c>
      <c r="D1335" t="s">
        <v>1110</v>
      </c>
      <c r="E1335" t="s">
        <v>1198</v>
      </c>
      <c r="F1335" t="s">
        <v>1199</v>
      </c>
      <c r="G1335" t="s">
        <v>139</v>
      </c>
      <c r="H1335" t="s">
        <v>30</v>
      </c>
      <c r="I1335" t="s">
        <v>30</v>
      </c>
      <c r="J1335" t="s">
        <v>41</v>
      </c>
      <c r="K1335" t="s">
        <v>32</v>
      </c>
      <c r="L1335" t="s">
        <v>32</v>
      </c>
      <c r="M1335" t="s">
        <v>33</v>
      </c>
      <c r="P1335" t="s">
        <v>34</v>
      </c>
      <c r="Q1335" t="s">
        <v>35</v>
      </c>
      <c r="S1335" t="s">
        <v>30</v>
      </c>
      <c r="T1335" t="s">
        <v>1232</v>
      </c>
      <c r="U1335" t="s">
        <v>1233</v>
      </c>
      <c r="V1335" t="s">
        <v>40</v>
      </c>
      <c r="W1335" s="1">
        <v>8211000</v>
      </c>
    </row>
    <row r="1336" spans="1:23" x14ac:dyDescent="0.2">
      <c r="A1336" t="s">
        <v>23</v>
      </c>
      <c r="B1336" t="s">
        <v>1108</v>
      </c>
      <c r="C1336" t="s">
        <v>1109</v>
      </c>
      <c r="D1336" t="s">
        <v>1110</v>
      </c>
      <c r="E1336" t="s">
        <v>1198</v>
      </c>
      <c r="F1336" t="s">
        <v>1199</v>
      </c>
      <c r="G1336" t="s">
        <v>139</v>
      </c>
      <c r="H1336" t="s">
        <v>30</v>
      </c>
      <c r="I1336" t="s">
        <v>30</v>
      </c>
      <c r="J1336" t="s">
        <v>41</v>
      </c>
      <c r="K1336" t="s">
        <v>32</v>
      </c>
      <c r="L1336" t="s">
        <v>32</v>
      </c>
      <c r="M1336" t="s">
        <v>176</v>
      </c>
      <c r="P1336" t="s">
        <v>34</v>
      </c>
      <c r="Q1336" t="s">
        <v>35</v>
      </c>
      <c r="S1336" t="s">
        <v>30</v>
      </c>
      <c r="T1336" t="s">
        <v>1232</v>
      </c>
      <c r="U1336" t="s">
        <v>1233</v>
      </c>
      <c r="V1336" t="s">
        <v>39</v>
      </c>
      <c r="W1336" s="1">
        <v>3</v>
      </c>
    </row>
    <row r="1337" spans="1:23" x14ac:dyDescent="0.2">
      <c r="A1337" t="s">
        <v>23</v>
      </c>
      <c r="B1337" t="s">
        <v>1108</v>
      </c>
      <c r="C1337" t="s">
        <v>1109</v>
      </c>
      <c r="D1337" t="s">
        <v>1110</v>
      </c>
      <c r="E1337" t="s">
        <v>1198</v>
      </c>
      <c r="F1337" t="s">
        <v>1199</v>
      </c>
      <c r="G1337" t="s">
        <v>139</v>
      </c>
      <c r="H1337" t="s">
        <v>30</v>
      </c>
      <c r="I1337" t="s">
        <v>30</v>
      </c>
      <c r="J1337" t="s">
        <v>41</v>
      </c>
      <c r="K1337" t="s">
        <v>32</v>
      </c>
      <c r="L1337" t="s">
        <v>32</v>
      </c>
      <c r="M1337" t="s">
        <v>176</v>
      </c>
      <c r="P1337" t="s">
        <v>34</v>
      </c>
      <c r="Q1337" t="s">
        <v>35</v>
      </c>
      <c r="S1337" t="s">
        <v>30</v>
      </c>
      <c r="T1337" t="s">
        <v>1232</v>
      </c>
      <c r="U1337" t="s">
        <v>1233</v>
      </c>
      <c r="V1337" t="s">
        <v>40</v>
      </c>
      <c r="W1337" s="1">
        <v>3167100</v>
      </c>
    </row>
    <row r="1338" spans="1:23" x14ac:dyDescent="0.2">
      <c r="A1338" t="s">
        <v>23</v>
      </c>
      <c r="B1338" t="s">
        <v>1108</v>
      </c>
      <c r="C1338" t="s">
        <v>1109</v>
      </c>
      <c r="D1338" t="s">
        <v>1234</v>
      </c>
      <c r="E1338" t="s">
        <v>1235</v>
      </c>
      <c r="F1338" t="s">
        <v>1236</v>
      </c>
      <c r="G1338" t="s">
        <v>29</v>
      </c>
      <c r="H1338" t="s">
        <v>30</v>
      </c>
      <c r="I1338" t="s">
        <v>30</v>
      </c>
      <c r="J1338" t="s">
        <v>31</v>
      </c>
      <c r="K1338" t="s">
        <v>32</v>
      </c>
      <c r="L1338" t="s">
        <v>32</v>
      </c>
      <c r="M1338" t="s">
        <v>33</v>
      </c>
      <c r="N1338" t="s">
        <v>33</v>
      </c>
      <c r="O1338" t="s">
        <v>33</v>
      </c>
      <c r="P1338" t="s">
        <v>34</v>
      </c>
      <c r="Q1338" t="s">
        <v>35</v>
      </c>
      <c r="S1338" t="s">
        <v>30</v>
      </c>
      <c r="T1338" t="s">
        <v>1186</v>
      </c>
      <c r="U1338" t="s">
        <v>1237</v>
      </c>
      <c r="V1338" t="s">
        <v>39</v>
      </c>
      <c r="W1338" s="1">
        <v>4</v>
      </c>
    </row>
    <row r="1339" spans="1:23" x14ac:dyDescent="0.2">
      <c r="A1339" t="s">
        <v>23</v>
      </c>
      <c r="B1339" t="s">
        <v>1108</v>
      </c>
      <c r="C1339" t="s">
        <v>1109</v>
      </c>
      <c r="D1339" t="s">
        <v>1234</v>
      </c>
      <c r="E1339" t="s">
        <v>1235</v>
      </c>
      <c r="F1339" t="s">
        <v>1236</v>
      </c>
      <c r="G1339" t="s">
        <v>29</v>
      </c>
      <c r="H1339" t="s">
        <v>30</v>
      </c>
      <c r="I1339" t="s">
        <v>30</v>
      </c>
      <c r="J1339" t="s">
        <v>31</v>
      </c>
      <c r="K1339" t="s">
        <v>32</v>
      </c>
      <c r="L1339" t="s">
        <v>32</v>
      </c>
      <c r="M1339" t="s">
        <v>33</v>
      </c>
      <c r="N1339" t="s">
        <v>33</v>
      </c>
      <c r="O1339" t="s">
        <v>33</v>
      </c>
      <c r="P1339" t="s">
        <v>34</v>
      </c>
      <c r="Q1339" t="s">
        <v>35</v>
      </c>
      <c r="S1339" t="s">
        <v>30</v>
      </c>
      <c r="T1339" t="s">
        <v>1186</v>
      </c>
      <c r="U1339" t="s">
        <v>1237</v>
      </c>
      <c r="V1339" t="s">
        <v>40</v>
      </c>
      <c r="W1339" s="1">
        <v>4978400</v>
      </c>
    </row>
    <row r="1340" spans="1:23" x14ac:dyDescent="0.2">
      <c r="A1340" t="s">
        <v>23</v>
      </c>
      <c r="B1340" t="s">
        <v>1108</v>
      </c>
      <c r="C1340" t="s">
        <v>1109</v>
      </c>
      <c r="D1340" t="s">
        <v>1234</v>
      </c>
      <c r="E1340" t="s">
        <v>1235</v>
      </c>
      <c r="F1340" t="s">
        <v>1236</v>
      </c>
      <c r="G1340" t="s">
        <v>29</v>
      </c>
      <c r="H1340" t="s">
        <v>30</v>
      </c>
      <c r="I1340" t="s">
        <v>30</v>
      </c>
      <c r="J1340" t="s">
        <v>41</v>
      </c>
      <c r="K1340" t="s">
        <v>32</v>
      </c>
      <c r="L1340" t="s">
        <v>32</v>
      </c>
      <c r="M1340" t="s">
        <v>33</v>
      </c>
      <c r="P1340" t="s">
        <v>34</v>
      </c>
      <c r="Q1340" t="s">
        <v>35</v>
      </c>
      <c r="S1340" t="s">
        <v>52</v>
      </c>
      <c r="T1340" t="s">
        <v>1238</v>
      </c>
      <c r="U1340" t="s">
        <v>1239</v>
      </c>
      <c r="V1340" t="s">
        <v>39</v>
      </c>
      <c r="W1340" s="1">
        <v>0</v>
      </c>
    </row>
    <row r="1341" spans="1:23" x14ac:dyDescent="0.2">
      <c r="A1341" t="s">
        <v>23</v>
      </c>
      <c r="B1341" t="s">
        <v>1108</v>
      </c>
      <c r="C1341" t="s">
        <v>1109</v>
      </c>
      <c r="D1341" t="s">
        <v>1234</v>
      </c>
      <c r="E1341" t="s">
        <v>1235</v>
      </c>
      <c r="F1341" t="s">
        <v>1236</v>
      </c>
      <c r="G1341" t="s">
        <v>29</v>
      </c>
      <c r="H1341" t="s">
        <v>30</v>
      </c>
      <c r="I1341" t="s">
        <v>30</v>
      </c>
      <c r="J1341" t="s">
        <v>41</v>
      </c>
      <c r="K1341" t="s">
        <v>32</v>
      </c>
      <c r="L1341" t="s">
        <v>32</v>
      </c>
      <c r="M1341" t="s">
        <v>33</v>
      </c>
      <c r="P1341" t="s">
        <v>34</v>
      </c>
      <c r="Q1341" t="s">
        <v>35</v>
      </c>
      <c r="S1341" t="s">
        <v>52</v>
      </c>
      <c r="T1341" t="s">
        <v>1238</v>
      </c>
      <c r="U1341" t="s">
        <v>1239</v>
      </c>
      <c r="V1341" t="s">
        <v>40</v>
      </c>
      <c r="W1341" s="1">
        <v>25620000</v>
      </c>
    </row>
    <row r="1342" spans="1:23" x14ac:dyDescent="0.2">
      <c r="A1342" t="s">
        <v>23</v>
      </c>
      <c r="B1342" t="s">
        <v>1108</v>
      </c>
      <c r="C1342" t="s">
        <v>1109</v>
      </c>
      <c r="D1342" t="s">
        <v>1234</v>
      </c>
      <c r="E1342" t="s">
        <v>1235</v>
      </c>
      <c r="F1342" t="s">
        <v>1236</v>
      </c>
      <c r="G1342" t="s">
        <v>49</v>
      </c>
      <c r="H1342" t="s">
        <v>30</v>
      </c>
      <c r="I1342" t="s">
        <v>30</v>
      </c>
      <c r="J1342" t="s">
        <v>41</v>
      </c>
      <c r="K1342" t="s">
        <v>32</v>
      </c>
      <c r="L1342" t="s">
        <v>32</v>
      </c>
      <c r="M1342" t="s">
        <v>33</v>
      </c>
      <c r="N1342" t="s">
        <v>33</v>
      </c>
      <c r="O1342" t="s">
        <v>33</v>
      </c>
      <c r="P1342" t="s">
        <v>34</v>
      </c>
      <c r="Q1342" t="s">
        <v>35</v>
      </c>
      <c r="R1342" t="s">
        <v>54</v>
      </c>
      <c r="S1342" t="s">
        <v>30</v>
      </c>
      <c r="T1342" t="s">
        <v>1240</v>
      </c>
      <c r="U1342" t="s">
        <v>1241</v>
      </c>
      <c r="V1342" t="s">
        <v>39</v>
      </c>
      <c r="W1342" s="1">
        <v>5</v>
      </c>
    </row>
    <row r="1343" spans="1:23" x14ac:dyDescent="0.2">
      <c r="A1343" t="s">
        <v>23</v>
      </c>
      <c r="B1343" t="s">
        <v>1108</v>
      </c>
      <c r="C1343" t="s">
        <v>1109</v>
      </c>
      <c r="D1343" t="s">
        <v>1234</v>
      </c>
      <c r="E1343" t="s">
        <v>1235</v>
      </c>
      <c r="F1343" t="s">
        <v>1236</v>
      </c>
      <c r="G1343" t="s">
        <v>49</v>
      </c>
      <c r="H1343" t="s">
        <v>30</v>
      </c>
      <c r="I1343" t="s">
        <v>30</v>
      </c>
      <c r="J1343" t="s">
        <v>41</v>
      </c>
      <c r="K1343" t="s">
        <v>32</v>
      </c>
      <c r="L1343" t="s">
        <v>32</v>
      </c>
      <c r="M1343" t="s">
        <v>33</v>
      </c>
      <c r="N1343" t="s">
        <v>33</v>
      </c>
      <c r="O1343" t="s">
        <v>33</v>
      </c>
      <c r="P1343" t="s">
        <v>34</v>
      </c>
      <c r="Q1343" t="s">
        <v>35</v>
      </c>
      <c r="R1343" t="s">
        <v>54</v>
      </c>
      <c r="S1343" t="s">
        <v>30</v>
      </c>
      <c r="T1343" t="s">
        <v>1240</v>
      </c>
      <c r="U1343" t="s">
        <v>1241</v>
      </c>
      <c r="V1343" t="s">
        <v>40</v>
      </c>
      <c r="W1343" s="1">
        <v>4695000</v>
      </c>
    </row>
    <row r="1344" spans="1:23" x14ac:dyDescent="0.2">
      <c r="A1344" t="s">
        <v>23</v>
      </c>
      <c r="B1344" t="s">
        <v>1108</v>
      </c>
      <c r="C1344" t="s">
        <v>1109</v>
      </c>
      <c r="D1344" t="s">
        <v>1234</v>
      </c>
      <c r="E1344" t="s">
        <v>1235</v>
      </c>
      <c r="F1344" t="s">
        <v>1236</v>
      </c>
      <c r="G1344" t="s">
        <v>49</v>
      </c>
      <c r="H1344" t="s">
        <v>30</v>
      </c>
      <c r="I1344" t="s">
        <v>30</v>
      </c>
      <c r="J1344" t="s">
        <v>41</v>
      </c>
      <c r="K1344" t="s">
        <v>32</v>
      </c>
      <c r="L1344" t="s">
        <v>32</v>
      </c>
      <c r="M1344" t="s">
        <v>176</v>
      </c>
      <c r="N1344" t="s">
        <v>176</v>
      </c>
      <c r="O1344" t="s">
        <v>176</v>
      </c>
      <c r="P1344" t="s">
        <v>34</v>
      </c>
      <c r="Q1344" t="s">
        <v>35</v>
      </c>
      <c r="R1344" t="s">
        <v>54</v>
      </c>
      <c r="S1344" t="s">
        <v>30</v>
      </c>
      <c r="T1344" t="s">
        <v>1240</v>
      </c>
      <c r="U1344" t="s">
        <v>1241</v>
      </c>
      <c r="V1344" t="s">
        <v>39</v>
      </c>
      <c r="W1344" s="1">
        <v>2</v>
      </c>
    </row>
    <row r="1345" spans="1:23" x14ac:dyDescent="0.2">
      <c r="A1345" t="s">
        <v>23</v>
      </c>
      <c r="B1345" t="s">
        <v>1108</v>
      </c>
      <c r="C1345" t="s">
        <v>1109</v>
      </c>
      <c r="D1345" t="s">
        <v>1234</v>
      </c>
      <c r="E1345" t="s">
        <v>1235</v>
      </c>
      <c r="F1345" t="s">
        <v>1236</v>
      </c>
      <c r="G1345" t="s">
        <v>49</v>
      </c>
      <c r="H1345" t="s">
        <v>30</v>
      </c>
      <c r="I1345" t="s">
        <v>30</v>
      </c>
      <c r="J1345" t="s">
        <v>41</v>
      </c>
      <c r="K1345" t="s">
        <v>32</v>
      </c>
      <c r="L1345" t="s">
        <v>32</v>
      </c>
      <c r="M1345" t="s">
        <v>176</v>
      </c>
      <c r="N1345" t="s">
        <v>176</v>
      </c>
      <c r="O1345" t="s">
        <v>176</v>
      </c>
      <c r="P1345" t="s">
        <v>34</v>
      </c>
      <c r="Q1345" t="s">
        <v>35</v>
      </c>
      <c r="R1345" t="s">
        <v>54</v>
      </c>
      <c r="S1345" t="s">
        <v>30</v>
      </c>
      <c r="T1345" t="s">
        <v>1240</v>
      </c>
      <c r="U1345" t="s">
        <v>1241</v>
      </c>
      <c r="V1345" t="s">
        <v>40</v>
      </c>
      <c r="W1345" s="1">
        <v>1784100</v>
      </c>
    </row>
    <row r="1346" spans="1:23" x14ac:dyDescent="0.2">
      <c r="A1346" t="s">
        <v>23</v>
      </c>
      <c r="B1346" t="s">
        <v>1108</v>
      </c>
      <c r="C1346" t="s">
        <v>1109</v>
      </c>
      <c r="D1346" t="s">
        <v>1234</v>
      </c>
      <c r="E1346" t="s">
        <v>1235</v>
      </c>
      <c r="F1346" t="s">
        <v>1236</v>
      </c>
      <c r="G1346" t="s">
        <v>61</v>
      </c>
      <c r="H1346" t="s">
        <v>52</v>
      </c>
      <c r="I1346" t="s">
        <v>52</v>
      </c>
      <c r="J1346" t="s">
        <v>31</v>
      </c>
      <c r="K1346" t="s">
        <v>32</v>
      </c>
      <c r="L1346" t="s">
        <v>32</v>
      </c>
      <c r="M1346" t="s">
        <v>33</v>
      </c>
      <c r="N1346" t="s">
        <v>33</v>
      </c>
      <c r="O1346" t="s">
        <v>33</v>
      </c>
      <c r="P1346" t="s">
        <v>34</v>
      </c>
      <c r="Q1346" t="s">
        <v>35</v>
      </c>
      <c r="S1346" t="s">
        <v>30</v>
      </c>
      <c r="T1346" t="s">
        <v>120</v>
      </c>
      <c r="U1346" t="s">
        <v>1242</v>
      </c>
      <c r="V1346" t="s">
        <v>39</v>
      </c>
      <c r="W1346" s="1">
        <v>3</v>
      </c>
    </row>
    <row r="1347" spans="1:23" x14ac:dyDescent="0.2">
      <c r="A1347" t="s">
        <v>23</v>
      </c>
      <c r="B1347" t="s">
        <v>1108</v>
      </c>
      <c r="C1347" t="s">
        <v>1109</v>
      </c>
      <c r="D1347" t="s">
        <v>1234</v>
      </c>
      <c r="E1347" t="s">
        <v>1235</v>
      </c>
      <c r="F1347" t="s">
        <v>1236</v>
      </c>
      <c r="G1347" t="s">
        <v>61</v>
      </c>
      <c r="H1347" t="s">
        <v>52</v>
      </c>
      <c r="I1347" t="s">
        <v>52</v>
      </c>
      <c r="J1347" t="s">
        <v>31</v>
      </c>
      <c r="K1347" t="s">
        <v>32</v>
      </c>
      <c r="L1347" t="s">
        <v>32</v>
      </c>
      <c r="M1347" t="s">
        <v>33</v>
      </c>
      <c r="N1347" t="s">
        <v>33</v>
      </c>
      <c r="O1347" t="s">
        <v>33</v>
      </c>
      <c r="P1347" t="s">
        <v>34</v>
      </c>
      <c r="Q1347" t="s">
        <v>35</v>
      </c>
      <c r="S1347" t="s">
        <v>30</v>
      </c>
      <c r="T1347" t="s">
        <v>120</v>
      </c>
      <c r="U1347" t="s">
        <v>1242</v>
      </c>
      <c r="V1347" t="s">
        <v>40</v>
      </c>
      <c r="W1347" s="1">
        <v>2999700</v>
      </c>
    </row>
    <row r="1348" spans="1:23" x14ac:dyDescent="0.2">
      <c r="A1348" t="s">
        <v>23</v>
      </c>
      <c r="B1348" t="s">
        <v>1108</v>
      </c>
      <c r="C1348" t="s">
        <v>1109</v>
      </c>
      <c r="D1348" t="s">
        <v>1234</v>
      </c>
      <c r="E1348" t="s">
        <v>1235</v>
      </c>
      <c r="F1348" t="s">
        <v>1236</v>
      </c>
      <c r="G1348" t="s">
        <v>61</v>
      </c>
      <c r="H1348" t="s">
        <v>52</v>
      </c>
      <c r="I1348" t="s">
        <v>52</v>
      </c>
      <c r="J1348" t="s">
        <v>31</v>
      </c>
      <c r="K1348" t="s">
        <v>32</v>
      </c>
      <c r="L1348" t="s">
        <v>32</v>
      </c>
      <c r="M1348" t="s">
        <v>33</v>
      </c>
      <c r="N1348" t="s">
        <v>33</v>
      </c>
      <c r="O1348" t="s">
        <v>33</v>
      </c>
      <c r="P1348" t="s">
        <v>34</v>
      </c>
      <c r="Q1348" t="s">
        <v>35</v>
      </c>
      <c r="S1348" t="s">
        <v>30</v>
      </c>
      <c r="T1348" t="s">
        <v>1243</v>
      </c>
      <c r="U1348" t="s">
        <v>1244</v>
      </c>
      <c r="V1348" t="s">
        <v>39</v>
      </c>
      <c r="W1348" s="1">
        <v>1</v>
      </c>
    </row>
    <row r="1349" spans="1:23" x14ac:dyDescent="0.2">
      <c r="A1349" t="s">
        <v>23</v>
      </c>
      <c r="B1349" t="s">
        <v>1108</v>
      </c>
      <c r="C1349" t="s">
        <v>1109</v>
      </c>
      <c r="D1349" t="s">
        <v>1234</v>
      </c>
      <c r="E1349" t="s">
        <v>1235</v>
      </c>
      <c r="F1349" t="s">
        <v>1236</v>
      </c>
      <c r="G1349" t="s">
        <v>61</v>
      </c>
      <c r="H1349" t="s">
        <v>52</v>
      </c>
      <c r="I1349" t="s">
        <v>52</v>
      </c>
      <c r="J1349" t="s">
        <v>31</v>
      </c>
      <c r="K1349" t="s">
        <v>32</v>
      </c>
      <c r="L1349" t="s">
        <v>32</v>
      </c>
      <c r="M1349" t="s">
        <v>33</v>
      </c>
      <c r="N1349" t="s">
        <v>33</v>
      </c>
      <c r="O1349" t="s">
        <v>33</v>
      </c>
      <c r="P1349" t="s">
        <v>34</v>
      </c>
      <c r="Q1349" t="s">
        <v>35</v>
      </c>
      <c r="S1349" t="s">
        <v>30</v>
      </c>
      <c r="T1349" t="s">
        <v>1243</v>
      </c>
      <c r="U1349" t="s">
        <v>1244</v>
      </c>
      <c r="V1349" t="s">
        <v>40</v>
      </c>
      <c r="W1349" s="1">
        <v>1269200</v>
      </c>
    </row>
    <row r="1350" spans="1:23" x14ac:dyDescent="0.2">
      <c r="A1350" t="s">
        <v>23</v>
      </c>
      <c r="B1350" t="s">
        <v>1108</v>
      </c>
      <c r="C1350" t="s">
        <v>1109</v>
      </c>
      <c r="D1350" t="s">
        <v>1234</v>
      </c>
      <c r="E1350" t="s">
        <v>1235</v>
      </c>
      <c r="F1350" t="s">
        <v>1236</v>
      </c>
      <c r="G1350" t="s">
        <v>61</v>
      </c>
      <c r="H1350" t="s">
        <v>52</v>
      </c>
      <c r="I1350" t="s">
        <v>52</v>
      </c>
      <c r="J1350" t="s">
        <v>31</v>
      </c>
      <c r="K1350" t="s">
        <v>32</v>
      </c>
      <c r="L1350" t="s">
        <v>32</v>
      </c>
      <c r="M1350" t="s">
        <v>33</v>
      </c>
      <c r="N1350" t="s">
        <v>169</v>
      </c>
      <c r="O1350" t="s">
        <v>169</v>
      </c>
      <c r="P1350" t="s">
        <v>34</v>
      </c>
      <c r="Q1350" t="s">
        <v>35</v>
      </c>
      <c r="S1350" t="s">
        <v>30</v>
      </c>
      <c r="T1350" t="s">
        <v>1243</v>
      </c>
      <c r="U1350" t="s">
        <v>1244</v>
      </c>
      <c r="V1350" t="s">
        <v>39</v>
      </c>
      <c r="W1350" s="1">
        <v>1</v>
      </c>
    </row>
    <row r="1351" spans="1:23" x14ac:dyDescent="0.2">
      <c r="A1351" t="s">
        <v>23</v>
      </c>
      <c r="B1351" t="s">
        <v>1108</v>
      </c>
      <c r="C1351" t="s">
        <v>1109</v>
      </c>
      <c r="D1351" t="s">
        <v>1234</v>
      </c>
      <c r="E1351" t="s">
        <v>1235</v>
      </c>
      <c r="F1351" t="s">
        <v>1236</v>
      </c>
      <c r="G1351" t="s">
        <v>61</v>
      </c>
      <c r="H1351" t="s">
        <v>52</v>
      </c>
      <c r="I1351" t="s">
        <v>52</v>
      </c>
      <c r="J1351" t="s">
        <v>31</v>
      </c>
      <c r="K1351" t="s">
        <v>32</v>
      </c>
      <c r="L1351" t="s">
        <v>32</v>
      </c>
      <c r="M1351" t="s">
        <v>33</v>
      </c>
      <c r="N1351" t="s">
        <v>169</v>
      </c>
      <c r="O1351" t="s">
        <v>169</v>
      </c>
      <c r="P1351" t="s">
        <v>34</v>
      </c>
      <c r="Q1351" t="s">
        <v>35</v>
      </c>
      <c r="S1351" t="s">
        <v>30</v>
      </c>
      <c r="T1351" t="s">
        <v>1243</v>
      </c>
      <c r="U1351" t="s">
        <v>1244</v>
      </c>
      <c r="V1351" t="s">
        <v>40</v>
      </c>
      <c r="W1351" s="1">
        <v>1269200</v>
      </c>
    </row>
    <row r="1352" spans="1:23" x14ac:dyDescent="0.2">
      <c r="A1352" t="s">
        <v>23</v>
      </c>
      <c r="B1352" t="s">
        <v>1108</v>
      </c>
      <c r="C1352" t="s">
        <v>1109</v>
      </c>
      <c r="D1352" t="s">
        <v>1234</v>
      </c>
      <c r="E1352" t="s">
        <v>1235</v>
      </c>
      <c r="F1352" t="s">
        <v>1236</v>
      </c>
      <c r="G1352" t="s">
        <v>64</v>
      </c>
      <c r="H1352" t="s">
        <v>30</v>
      </c>
      <c r="I1352" t="s">
        <v>52</v>
      </c>
      <c r="J1352" t="s">
        <v>31</v>
      </c>
      <c r="K1352" t="s">
        <v>32</v>
      </c>
      <c r="L1352" t="s">
        <v>32</v>
      </c>
      <c r="M1352" t="s">
        <v>33</v>
      </c>
      <c r="N1352" t="s">
        <v>33</v>
      </c>
      <c r="O1352" t="s">
        <v>33</v>
      </c>
      <c r="P1352" t="s">
        <v>34</v>
      </c>
      <c r="Q1352" t="s">
        <v>35</v>
      </c>
      <c r="S1352" t="s">
        <v>30</v>
      </c>
      <c r="T1352" t="s">
        <v>1245</v>
      </c>
      <c r="U1352" t="s">
        <v>1246</v>
      </c>
      <c r="V1352" t="s">
        <v>39</v>
      </c>
      <c r="W1352" s="1">
        <v>6</v>
      </c>
    </row>
    <row r="1353" spans="1:23" x14ac:dyDescent="0.2">
      <c r="A1353" t="s">
        <v>23</v>
      </c>
      <c r="B1353" t="s">
        <v>1108</v>
      </c>
      <c r="C1353" t="s">
        <v>1109</v>
      </c>
      <c r="D1353" t="s">
        <v>1234</v>
      </c>
      <c r="E1353" t="s">
        <v>1235</v>
      </c>
      <c r="F1353" t="s">
        <v>1236</v>
      </c>
      <c r="G1353" t="s">
        <v>64</v>
      </c>
      <c r="H1353" t="s">
        <v>30</v>
      </c>
      <c r="I1353" t="s">
        <v>52</v>
      </c>
      <c r="J1353" t="s">
        <v>31</v>
      </c>
      <c r="K1353" t="s">
        <v>32</v>
      </c>
      <c r="L1353" t="s">
        <v>32</v>
      </c>
      <c r="M1353" t="s">
        <v>33</v>
      </c>
      <c r="N1353" t="s">
        <v>33</v>
      </c>
      <c r="O1353" t="s">
        <v>33</v>
      </c>
      <c r="P1353" t="s">
        <v>34</v>
      </c>
      <c r="Q1353" t="s">
        <v>35</v>
      </c>
      <c r="S1353" t="s">
        <v>30</v>
      </c>
      <c r="T1353" t="s">
        <v>1245</v>
      </c>
      <c r="U1353" t="s">
        <v>1246</v>
      </c>
      <c r="V1353" t="s">
        <v>40</v>
      </c>
      <c r="W1353" s="1">
        <v>5935200</v>
      </c>
    </row>
    <row r="1354" spans="1:23" x14ac:dyDescent="0.2">
      <c r="A1354" t="s">
        <v>23</v>
      </c>
      <c r="B1354" t="s">
        <v>1108</v>
      </c>
      <c r="C1354" t="s">
        <v>1109</v>
      </c>
      <c r="D1354" t="s">
        <v>1234</v>
      </c>
      <c r="E1354" t="s">
        <v>1235</v>
      </c>
      <c r="F1354" t="s">
        <v>1236</v>
      </c>
      <c r="G1354" t="s">
        <v>64</v>
      </c>
      <c r="H1354" t="s">
        <v>30</v>
      </c>
      <c r="I1354" t="s">
        <v>52</v>
      </c>
      <c r="J1354" t="s">
        <v>31</v>
      </c>
      <c r="K1354" t="s">
        <v>32</v>
      </c>
      <c r="L1354" t="s">
        <v>32</v>
      </c>
      <c r="M1354" t="s">
        <v>33</v>
      </c>
      <c r="N1354" t="s">
        <v>169</v>
      </c>
      <c r="O1354" t="s">
        <v>169</v>
      </c>
      <c r="P1354" t="s">
        <v>34</v>
      </c>
      <c r="Q1354" t="s">
        <v>35</v>
      </c>
      <c r="S1354" t="s">
        <v>30</v>
      </c>
      <c r="T1354" t="s">
        <v>1245</v>
      </c>
      <c r="U1354" t="s">
        <v>1246</v>
      </c>
      <c r="V1354" t="s">
        <v>39</v>
      </c>
      <c r="W1354" s="1">
        <v>2</v>
      </c>
    </row>
    <row r="1355" spans="1:23" x14ac:dyDescent="0.2">
      <c r="A1355" t="s">
        <v>23</v>
      </c>
      <c r="B1355" t="s">
        <v>1108</v>
      </c>
      <c r="C1355" t="s">
        <v>1109</v>
      </c>
      <c r="D1355" t="s">
        <v>1234</v>
      </c>
      <c r="E1355" t="s">
        <v>1235</v>
      </c>
      <c r="F1355" t="s">
        <v>1236</v>
      </c>
      <c r="G1355" t="s">
        <v>64</v>
      </c>
      <c r="H1355" t="s">
        <v>30</v>
      </c>
      <c r="I1355" t="s">
        <v>52</v>
      </c>
      <c r="J1355" t="s">
        <v>31</v>
      </c>
      <c r="K1355" t="s">
        <v>32</v>
      </c>
      <c r="L1355" t="s">
        <v>32</v>
      </c>
      <c r="M1355" t="s">
        <v>33</v>
      </c>
      <c r="N1355" t="s">
        <v>169</v>
      </c>
      <c r="O1355" t="s">
        <v>169</v>
      </c>
      <c r="P1355" t="s">
        <v>34</v>
      </c>
      <c r="Q1355" t="s">
        <v>35</v>
      </c>
      <c r="S1355" t="s">
        <v>30</v>
      </c>
      <c r="T1355" t="s">
        <v>1245</v>
      </c>
      <c r="U1355" t="s">
        <v>1246</v>
      </c>
      <c r="V1355" t="s">
        <v>40</v>
      </c>
      <c r="W1355" s="1">
        <v>1978400</v>
      </c>
    </row>
    <row r="1356" spans="1:23" x14ac:dyDescent="0.2">
      <c r="A1356" t="s">
        <v>23</v>
      </c>
      <c r="B1356" t="s">
        <v>1108</v>
      </c>
      <c r="C1356" t="s">
        <v>1109</v>
      </c>
      <c r="D1356" t="s">
        <v>1234</v>
      </c>
      <c r="E1356" t="s">
        <v>1235</v>
      </c>
      <c r="F1356" t="s">
        <v>1236</v>
      </c>
      <c r="G1356" t="s">
        <v>64</v>
      </c>
      <c r="H1356" t="s">
        <v>30</v>
      </c>
      <c r="I1356" t="s">
        <v>52</v>
      </c>
      <c r="J1356" t="s">
        <v>31</v>
      </c>
      <c r="K1356" t="s">
        <v>32</v>
      </c>
      <c r="L1356" t="s">
        <v>32</v>
      </c>
      <c r="M1356" t="s">
        <v>176</v>
      </c>
      <c r="N1356" t="s">
        <v>176</v>
      </c>
      <c r="O1356" t="s">
        <v>176</v>
      </c>
      <c r="P1356" t="s">
        <v>34</v>
      </c>
      <c r="Q1356" t="s">
        <v>35</v>
      </c>
      <c r="S1356" t="s">
        <v>30</v>
      </c>
      <c r="T1356" t="s">
        <v>1245</v>
      </c>
      <c r="U1356" t="s">
        <v>1246</v>
      </c>
      <c r="V1356" t="s">
        <v>39</v>
      </c>
      <c r="W1356" s="1">
        <v>3</v>
      </c>
    </row>
    <row r="1357" spans="1:23" x14ac:dyDescent="0.2">
      <c r="A1357" t="s">
        <v>23</v>
      </c>
      <c r="B1357" t="s">
        <v>1108</v>
      </c>
      <c r="C1357" t="s">
        <v>1109</v>
      </c>
      <c r="D1357" t="s">
        <v>1234</v>
      </c>
      <c r="E1357" t="s">
        <v>1235</v>
      </c>
      <c r="F1357" t="s">
        <v>1236</v>
      </c>
      <c r="G1357" t="s">
        <v>64</v>
      </c>
      <c r="H1357" t="s">
        <v>30</v>
      </c>
      <c r="I1357" t="s">
        <v>52</v>
      </c>
      <c r="J1357" t="s">
        <v>31</v>
      </c>
      <c r="K1357" t="s">
        <v>32</v>
      </c>
      <c r="L1357" t="s">
        <v>32</v>
      </c>
      <c r="M1357" t="s">
        <v>176</v>
      </c>
      <c r="N1357" t="s">
        <v>176</v>
      </c>
      <c r="O1357" t="s">
        <v>176</v>
      </c>
      <c r="P1357" t="s">
        <v>34</v>
      </c>
      <c r="Q1357" t="s">
        <v>35</v>
      </c>
      <c r="S1357" t="s">
        <v>30</v>
      </c>
      <c r="T1357" t="s">
        <v>1245</v>
      </c>
      <c r="U1357" t="s">
        <v>1246</v>
      </c>
      <c r="V1357" t="s">
        <v>40</v>
      </c>
      <c r="W1357" s="1">
        <v>2967600</v>
      </c>
    </row>
    <row r="1358" spans="1:23" x14ac:dyDescent="0.2">
      <c r="A1358" t="s">
        <v>23</v>
      </c>
      <c r="B1358" t="s">
        <v>1108</v>
      </c>
      <c r="C1358" t="s">
        <v>1109</v>
      </c>
      <c r="D1358" t="s">
        <v>1234</v>
      </c>
      <c r="E1358" t="s">
        <v>1235</v>
      </c>
      <c r="F1358" t="s">
        <v>1236</v>
      </c>
      <c r="G1358" t="s">
        <v>67</v>
      </c>
      <c r="H1358" t="s">
        <v>30</v>
      </c>
      <c r="I1358" t="s">
        <v>30</v>
      </c>
      <c r="J1358" t="s">
        <v>31</v>
      </c>
      <c r="K1358" t="s">
        <v>32</v>
      </c>
      <c r="L1358" t="s">
        <v>32</v>
      </c>
      <c r="M1358" t="s">
        <v>33</v>
      </c>
      <c r="N1358" t="s">
        <v>33</v>
      </c>
      <c r="O1358" t="s">
        <v>33</v>
      </c>
      <c r="P1358" t="s">
        <v>34</v>
      </c>
      <c r="Q1358" t="s">
        <v>35</v>
      </c>
      <c r="S1358" t="s">
        <v>30</v>
      </c>
      <c r="T1358" t="s">
        <v>1247</v>
      </c>
      <c r="U1358" t="s">
        <v>1248</v>
      </c>
      <c r="V1358" t="s">
        <v>39</v>
      </c>
      <c r="W1358" s="1">
        <v>2</v>
      </c>
    </row>
    <row r="1359" spans="1:23" x14ac:dyDescent="0.2">
      <c r="A1359" t="s">
        <v>23</v>
      </c>
      <c r="B1359" t="s">
        <v>1108</v>
      </c>
      <c r="C1359" t="s">
        <v>1109</v>
      </c>
      <c r="D1359" t="s">
        <v>1234</v>
      </c>
      <c r="E1359" t="s">
        <v>1235</v>
      </c>
      <c r="F1359" t="s">
        <v>1236</v>
      </c>
      <c r="G1359" t="s">
        <v>67</v>
      </c>
      <c r="H1359" t="s">
        <v>30</v>
      </c>
      <c r="I1359" t="s">
        <v>30</v>
      </c>
      <c r="J1359" t="s">
        <v>31</v>
      </c>
      <c r="K1359" t="s">
        <v>32</v>
      </c>
      <c r="L1359" t="s">
        <v>32</v>
      </c>
      <c r="M1359" t="s">
        <v>33</v>
      </c>
      <c r="N1359" t="s">
        <v>33</v>
      </c>
      <c r="O1359" t="s">
        <v>33</v>
      </c>
      <c r="P1359" t="s">
        <v>34</v>
      </c>
      <c r="Q1359" t="s">
        <v>35</v>
      </c>
      <c r="S1359" t="s">
        <v>30</v>
      </c>
      <c r="T1359" t="s">
        <v>1247</v>
      </c>
      <c r="U1359" t="s">
        <v>1248</v>
      </c>
      <c r="V1359" t="s">
        <v>40</v>
      </c>
      <c r="W1359" s="1">
        <v>1999800</v>
      </c>
    </row>
    <row r="1360" spans="1:23" x14ac:dyDescent="0.2">
      <c r="A1360" t="s">
        <v>23</v>
      </c>
      <c r="B1360" t="s">
        <v>1108</v>
      </c>
      <c r="C1360" t="s">
        <v>1109</v>
      </c>
      <c r="D1360" t="s">
        <v>1234</v>
      </c>
      <c r="E1360" t="s">
        <v>1235</v>
      </c>
      <c r="F1360" t="s">
        <v>1236</v>
      </c>
      <c r="G1360" t="s">
        <v>67</v>
      </c>
      <c r="H1360" t="s">
        <v>30</v>
      </c>
      <c r="I1360" t="s">
        <v>30</v>
      </c>
      <c r="J1360" t="s">
        <v>31</v>
      </c>
      <c r="K1360" t="s">
        <v>32</v>
      </c>
      <c r="L1360" t="s">
        <v>32</v>
      </c>
      <c r="M1360" t="s">
        <v>33</v>
      </c>
      <c r="N1360" t="s">
        <v>33</v>
      </c>
      <c r="O1360" t="s">
        <v>33</v>
      </c>
      <c r="P1360" t="s">
        <v>34</v>
      </c>
      <c r="Q1360" t="s">
        <v>35</v>
      </c>
      <c r="S1360" t="s">
        <v>30</v>
      </c>
      <c r="T1360" t="s">
        <v>1249</v>
      </c>
      <c r="U1360" t="s">
        <v>1250</v>
      </c>
      <c r="V1360" t="s">
        <v>39</v>
      </c>
      <c r="W1360" s="1">
        <v>2</v>
      </c>
    </row>
    <row r="1361" spans="1:23" x14ac:dyDescent="0.2">
      <c r="A1361" t="s">
        <v>23</v>
      </c>
      <c r="B1361" t="s">
        <v>1108</v>
      </c>
      <c r="C1361" t="s">
        <v>1109</v>
      </c>
      <c r="D1361" t="s">
        <v>1234</v>
      </c>
      <c r="E1361" t="s">
        <v>1235</v>
      </c>
      <c r="F1361" t="s">
        <v>1236</v>
      </c>
      <c r="G1361" t="s">
        <v>67</v>
      </c>
      <c r="H1361" t="s">
        <v>30</v>
      </c>
      <c r="I1361" t="s">
        <v>30</v>
      </c>
      <c r="J1361" t="s">
        <v>31</v>
      </c>
      <c r="K1361" t="s">
        <v>32</v>
      </c>
      <c r="L1361" t="s">
        <v>32</v>
      </c>
      <c r="M1361" t="s">
        <v>33</v>
      </c>
      <c r="N1361" t="s">
        <v>33</v>
      </c>
      <c r="O1361" t="s">
        <v>33</v>
      </c>
      <c r="P1361" t="s">
        <v>34</v>
      </c>
      <c r="Q1361" t="s">
        <v>35</v>
      </c>
      <c r="S1361" t="s">
        <v>30</v>
      </c>
      <c r="T1361" t="s">
        <v>1249</v>
      </c>
      <c r="U1361" t="s">
        <v>1250</v>
      </c>
      <c r="V1361" t="s">
        <v>40</v>
      </c>
      <c r="W1361" s="1">
        <v>1679800</v>
      </c>
    </row>
    <row r="1362" spans="1:23" x14ac:dyDescent="0.2">
      <c r="A1362" t="s">
        <v>23</v>
      </c>
      <c r="B1362" t="s">
        <v>1108</v>
      </c>
      <c r="C1362" t="s">
        <v>1109</v>
      </c>
      <c r="D1362" t="s">
        <v>1234</v>
      </c>
      <c r="E1362" t="s">
        <v>1235</v>
      </c>
      <c r="F1362" t="s">
        <v>1236</v>
      </c>
      <c r="G1362" t="s">
        <v>67</v>
      </c>
      <c r="H1362" t="s">
        <v>30</v>
      </c>
      <c r="I1362" t="s">
        <v>30</v>
      </c>
      <c r="J1362" t="s">
        <v>31</v>
      </c>
      <c r="K1362" t="s">
        <v>181</v>
      </c>
      <c r="L1362" t="s">
        <v>32</v>
      </c>
      <c r="M1362" t="s">
        <v>33</v>
      </c>
      <c r="P1362" t="s">
        <v>34</v>
      </c>
      <c r="Q1362" t="s">
        <v>35</v>
      </c>
      <c r="S1362" t="s">
        <v>30</v>
      </c>
      <c r="T1362" t="s">
        <v>1251</v>
      </c>
      <c r="U1362" t="s">
        <v>1252</v>
      </c>
      <c r="V1362" t="s">
        <v>39</v>
      </c>
      <c r="W1362" s="1">
        <v>30</v>
      </c>
    </row>
    <row r="1363" spans="1:23" x14ac:dyDescent="0.2">
      <c r="A1363" t="s">
        <v>23</v>
      </c>
      <c r="B1363" t="s">
        <v>1108</v>
      </c>
      <c r="C1363" t="s">
        <v>1109</v>
      </c>
      <c r="D1363" t="s">
        <v>1234</v>
      </c>
      <c r="E1363" t="s">
        <v>1235</v>
      </c>
      <c r="F1363" t="s">
        <v>1236</v>
      </c>
      <c r="G1363" t="s">
        <v>67</v>
      </c>
      <c r="H1363" t="s">
        <v>30</v>
      </c>
      <c r="I1363" t="s">
        <v>30</v>
      </c>
      <c r="J1363" t="s">
        <v>31</v>
      </c>
      <c r="K1363" t="s">
        <v>181</v>
      </c>
      <c r="L1363" t="s">
        <v>32</v>
      </c>
      <c r="M1363" t="s">
        <v>33</v>
      </c>
      <c r="P1363" t="s">
        <v>34</v>
      </c>
      <c r="Q1363" t="s">
        <v>35</v>
      </c>
      <c r="S1363" t="s">
        <v>30</v>
      </c>
      <c r="T1363" t="s">
        <v>1251</v>
      </c>
      <c r="U1363" t="s">
        <v>1252</v>
      </c>
      <c r="V1363" t="s">
        <v>40</v>
      </c>
      <c r="W1363" s="1">
        <v>0</v>
      </c>
    </row>
    <row r="1364" spans="1:23" x14ac:dyDescent="0.2">
      <c r="A1364" t="s">
        <v>23</v>
      </c>
      <c r="B1364" t="s">
        <v>1108</v>
      </c>
      <c r="C1364" t="s">
        <v>1109</v>
      </c>
      <c r="D1364" t="s">
        <v>1234</v>
      </c>
      <c r="E1364" t="s">
        <v>1235</v>
      </c>
      <c r="F1364" t="s">
        <v>1236</v>
      </c>
      <c r="G1364" t="s">
        <v>67</v>
      </c>
      <c r="H1364" t="s">
        <v>30</v>
      </c>
      <c r="I1364" t="s">
        <v>30</v>
      </c>
      <c r="J1364" t="s">
        <v>31</v>
      </c>
      <c r="K1364" t="s">
        <v>181</v>
      </c>
      <c r="L1364" t="s">
        <v>32</v>
      </c>
      <c r="M1364" t="s">
        <v>33</v>
      </c>
      <c r="P1364" t="s">
        <v>34</v>
      </c>
      <c r="Q1364" t="s">
        <v>35</v>
      </c>
      <c r="S1364" t="s">
        <v>52</v>
      </c>
      <c r="T1364" t="s">
        <v>1251</v>
      </c>
      <c r="U1364" t="s">
        <v>1253</v>
      </c>
      <c r="V1364" t="s">
        <v>39</v>
      </c>
      <c r="W1364" s="1">
        <v>0</v>
      </c>
    </row>
    <row r="1365" spans="1:23" x14ac:dyDescent="0.2">
      <c r="A1365" t="s">
        <v>23</v>
      </c>
      <c r="B1365" t="s">
        <v>1108</v>
      </c>
      <c r="C1365" t="s">
        <v>1109</v>
      </c>
      <c r="D1365" t="s">
        <v>1234</v>
      </c>
      <c r="E1365" t="s">
        <v>1235</v>
      </c>
      <c r="F1365" t="s">
        <v>1236</v>
      </c>
      <c r="G1365" t="s">
        <v>67</v>
      </c>
      <c r="H1365" t="s">
        <v>30</v>
      </c>
      <c r="I1365" t="s">
        <v>30</v>
      </c>
      <c r="J1365" t="s">
        <v>31</v>
      </c>
      <c r="K1365" t="s">
        <v>181</v>
      </c>
      <c r="L1365" t="s">
        <v>32</v>
      </c>
      <c r="M1365" t="s">
        <v>33</v>
      </c>
      <c r="P1365" t="s">
        <v>34</v>
      </c>
      <c r="Q1365" t="s">
        <v>35</v>
      </c>
      <c r="S1365" t="s">
        <v>52</v>
      </c>
      <c r="T1365" t="s">
        <v>1251</v>
      </c>
      <c r="U1365" t="s">
        <v>1253</v>
      </c>
      <c r="V1365" t="s">
        <v>40</v>
      </c>
      <c r="W1365" s="1">
        <v>0</v>
      </c>
    </row>
    <row r="1366" spans="1:23" x14ac:dyDescent="0.2">
      <c r="A1366" t="s">
        <v>23</v>
      </c>
      <c r="B1366" t="s">
        <v>1108</v>
      </c>
      <c r="C1366" t="s">
        <v>1109</v>
      </c>
      <c r="D1366" t="s">
        <v>1234</v>
      </c>
      <c r="E1366" t="s">
        <v>1235</v>
      </c>
      <c r="F1366" t="s">
        <v>1236</v>
      </c>
      <c r="G1366" t="s">
        <v>67</v>
      </c>
      <c r="H1366" t="s">
        <v>30</v>
      </c>
      <c r="I1366" t="s">
        <v>30</v>
      </c>
      <c r="J1366" t="s">
        <v>41</v>
      </c>
      <c r="K1366" t="s">
        <v>32</v>
      </c>
      <c r="L1366" t="s">
        <v>32</v>
      </c>
      <c r="M1366" t="s">
        <v>33</v>
      </c>
      <c r="N1366" t="s">
        <v>33</v>
      </c>
      <c r="O1366" t="s">
        <v>33</v>
      </c>
      <c r="P1366" t="s">
        <v>34</v>
      </c>
      <c r="Q1366" t="s">
        <v>35</v>
      </c>
      <c r="R1366" t="s">
        <v>54</v>
      </c>
      <c r="S1366" t="s">
        <v>30</v>
      </c>
      <c r="T1366" t="s">
        <v>1254</v>
      </c>
      <c r="U1366" t="s">
        <v>1255</v>
      </c>
      <c r="V1366" t="s">
        <v>39</v>
      </c>
      <c r="W1366" s="1">
        <v>2</v>
      </c>
    </row>
    <row r="1367" spans="1:23" x14ac:dyDescent="0.2">
      <c r="A1367" t="s">
        <v>23</v>
      </c>
      <c r="B1367" t="s">
        <v>1108</v>
      </c>
      <c r="C1367" t="s">
        <v>1109</v>
      </c>
      <c r="D1367" t="s">
        <v>1234</v>
      </c>
      <c r="E1367" t="s">
        <v>1235</v>
      </c>
      <c r="F1367" t="s">
        <v>1236</v>
      </c>
      <c r="G1367" t="s">
        <v>67</v>
      </c>
      <c r="H1367" t="s">
        <v>30</v>
      </c>
      <c r="I1367" t="s">
        <v>30</v>
      </c>
      <c r="J1367" t="s">
        <v>41</v>
      </c>
      <c r="K1367" t="s">
        <v>32</v>
      </c>
      <c r="L1367" t="s">
        <v>32</v>
      </c>
      <c r="M1367" t="s">
        <v>33</v>
      </c>
      <c r="N1367" t="s">
        <v>33</v>
      </c>
      <c r="O1367" t="s">
        <v>33</v>
      </c>
      <c r="P1367" t="s">
        <v>34</v>
      </c>
      <c r="Q1367" t="s">
        <v>35</v>
      </c>
      <c r="R1367" t="s">
        <v>54</v>
      </c>
      <c r="S1367" t="s">
        <v>30</v>
      </c>
      <c r="T1367" t="s">
        <v>1254</v>
      </c>
      <c r="U1367" t="s">
        <v>1255</v>
      </c>
      <c r="V1367" t="s">
        <v>40</v>
      </c>
      <c r="W1367" s="1">
        <v>2640200</v>
      </c>
    </row>
    <row r="1368" spans="1:23" x14ac:dyDescent="0.2">
      <c r="A1368" t="s">
        <v>23</v>
      </c>
      <c r="B1368" t="s">
        <v>1108</v>
      </c>
      <c r="C1368" t="s">
        <v>1109</v>
      </c>
      <c r="D1368" t="s">
        <v>1234</v>
      </c>
      <c r="E1368" t="s">
        <v>1235</v>
      </c>
      <c r="F1368" t="s">
        <v>1236</v>
      </c>
      <c r="G1368" t="s">
        <v>89</v>
      </c>
      <c r="H1368" t="s">
        <v>30</v>
      </c>
      <c r="I1368" t="s">
        <v>30</v>
      </c>
      <c r="J1368" t="s">
        <v>31</v>
      </c>
      <c r="K1368" t="s">
        <v>32</v>
      </c>
      <c r="L1368" t="s">
        <v>32</v>
      </c>
      <c r="M1368" t="s">
        <v>33</v>
      </c>
      <c r="P1368" t="s">
        <v>34</v>
      </c>
      <c r="Q1368" t="s">
        <v>35</v>
      </c>
      <c r="S1368" t="s">
        <v>30</v>
      </c>
      <c r="T1368" t="s">
        <v>1256</v>
      </c>
      <c r="U1368" t="s">
        <v>1257</v>
      </c>
      <c r="V1368" t="s">
        <v>39</v>
      </c>
      <c r="W1368" s="1">
        <v>8</v>
      </c>
    </row>
    <row r="1369" spans="1:23" x14ac:dyDescent="0.2">
      <c r="A1369" t="s">
        <v>23</v>
      </c>
      <c r="B1369" t="s">
        <v>1108</v>
      </c>
      <c r="C1369" t="s">
        <v>1109</v>
      </c>
      <c r="D1369" t="s">
        <v>1234</v>
      </c>
      <c r="E1369" t="s">
        <v>1235</v>
      </c>
      <c r="F1369" t="s">
        <v>1236</v>
      </c>
      <c r="G1369" t="s">
        <v>89</v>
      </c>
      <c r="H1369" t="s">
        <v>30</v>
      </c>
      <c r="I1369" t="s">
        <v>30</v>
      </c>
      <c r="J1369" t="s">
        <v>31</v>
      </c>
      <c r="K1369" t="s">
        <v>32</v>
      </c>
      <c r="L1369" t="s">
        <v>32</v>
      </c>
      <c r="M1369" t="s">
        <v>33</v>
      </c>
      <c r="P1369" t="s">
        <v>34</v>
      </c>
      <c r="Q1369" t="s">
        <v>35</v>
      </c>
      <c r="S1369" t="s">
        <v>30</v>
      </c>
      <c r="T1369" t="s">
        <v>1256</v>
      </c>
      <c r="U1369" t="s">
        <v>1257</v>
      </c>
      <c r="V1369" t="s">
        <v>40</v>
      </c>
      <c r="W1369" s="1">
        <v>8098400</v>
      </c>
    </row>
    <row r="1370" spans="1:23" x14ac:dyDescent="0.2">
      <c r="A1370" t="s">
        <v>23</v>
      </c>
      <c r="B1370" t="s">
        <v>1108</v>
      </c>
      <c r="C1370" t="s">
        <v>1109</v>
      </c>
      <c r="D1370" t="s">
        <v>1234</v>
      </c>
      <c r="E1370" t="s">
        <v>1235</v>
      </c>
      <c r="F1370" t="s">
        <v>1236</v>
      </c>
      <c r="G1370" t="s">
        <v>89</v>
      </c>
      <c r="H1370" t="s">
        <v>30</v>
      </c>
      <c r="I1370" t="s">
        <v>30</v>
      </c>
      <c r="J1370" t="s">
        <v>41</v>
      </c>
      <c r="K1370" t="s">
        <v>32</v>
      </c>
      <c r="L1370" t="s">
        <v>32</v>
      </c>
      <c r="M1370" t="s">
        <v>33</v>
      </c>
      <c r="N1370" t="s">
        <v>33</v>
      </c>
      <c r="O1370" t="s">
        <v>33</v>
      </c>
      <c r="P1370" t="s">
        <v>34</v>
      </c>
      <c r="Q1370" t="s">
        <v>35</v>
      </c>
      <c r="S1370" t="s">
        <v>30</v>
      </c>
      <c r="T1370" t="s">
        <v>1258</v>
      </c>
      <c r="U1370" t="s">
        <v>1259</v>
      </c>
      <c r="V1370" t="s">
        <v>39</v>
      </c>
      <c r="W1370" s="1">
        <v>1</v>
      </c>
    </row>
    <row r="1371" spans="1:23" x14ac:dyDescent="0.2">
      <c r="A1371" t="s">
        <v>23</v>
      </c>
      <c r="B1371" t="s">
        <v>1108</v>
      </c>
      <c r="C1371" t="s">
        <v>1109</v>
      </c>
      <c r="D1371" t="s">
        <v>1234</v>
      </c>
      <c r="E1371" t="s">
        <v>1235</v>
      </c>
      <c r="F1371" t="s">
        <v>1236</v>
      </c>
      <c r="G1371" t="s">
        <v>89</v>
      </c>
      <c r="H1371" t="s">
        <v>30</v>
      </c>
      <c r="I1371" t="s">
        <v>30</v>
      </c>
      <c r="J1371" t="s">
        <v>41</v>
      </c>
      <c r="K1371" t="s">
        <v>32</v>
      </c>
      <c r="L1371" t="s">
        <v>32</v>
      </c>
      <c r="M1371" t="s">
        <v>33</v>
      </c>
      <c r="N1371" t="s">
        <v>33</v>
      </c>
      <c r="O1371" t="s">
        <v>33</v>
      </c>
      <c r="P1371" t="s">
        <v>34</v>
      </c>
      <c r="Q1371" t="s">
        <v>35</v>
      </c>
      <c r="S1371" t="s">
        <v>30</v>
      </c>
      <c r="T1371" t="s">
        <v>1258</v>
      </c>
      <c r="U1371" t="s">
        <v>1259</v>
      </c>
      <c r="V1371" t="s">
        <v>40</v>
      </c>
      <c r="W1371" s="1">
        <v>1005000</v>
      </c>
    </row>
    <row r="1372" spans="1:23" x14ac:dyDescent="0.2">
      <c r="A1372" t="s">
        <v>23</v>
      </c>
      <c r="B1372" t="s">
        <v>1108</v>
      </c>
      <c r="C1372" t="s">
        <v>1109</v>
      </c>
      <c r="D1372" t="s">
        <v>1234</v>
      </c>
      <c r="E1372" t="s">
        <v>1235</v>
      </c>
      <c r="F1372" t="s">
        <v>1236</v>
      </c>
      <c r="G1372" t="s">
        <v>89</v>
      </c>
      <c r="H1372" t="s">
        <v>30</v>
      </c>
      <c r="I1372" t="s">
        <v>30</v>
      </c>
      <c r="J1372" t="s">
        <v>41</v>
      </c>
      <c r="K1372" t="s">
        <v>32</v>
      </c>
      <c r="L1372" t="s">
        <v>32</v>
      </c>
      <c r="M1372" t="s">
        <v>33</v>
      </c>
      <c r="N1372" t="s">
        <v>33</v>
      </c>
      <c r="O1372" t="s">
        <v>33</v>
      </c>
      <c r="P1372" t="s">
        <v>34</v>
      </c>
      <c r="Q1372" t="s">
        <v>35</v>
      </c>
      <c r="S1372" t="s">
        <v>30</v>
      </c>
      <c r="T1372" t="s">
        <v>1260</v>
      </c>
      <c r="U1372" t="s">
        <v>1261</v>
      </c>
      <c r="V1372" t="s">
        <v>39</v>
      </c>
      <c r="W1372" s="1">
        <v>4</v>
      </c>
    </row>
    <row r="1373" spans="1:23" x14ac:dyDescent="0.2">
      <c r="A1373" t="s">
        <v>23</v>
      </c>
      <c r="B1373" t="s">
        <v>1108</v>
      </c>
      <c r="C1373" t="s">
        <v>1109</v>
      </c>
      <c r="D1373" t="s">
        <v>1234</v>
      </c>
      <c r="E1373" t="s">
        <v>1235</v>
      </c>
      <c r="F1373" t="s">
        <v>1236</v>
      </c>
      <c r="G1373" t="s">
        <v>89</v>
      </c>
      <c r="H1373" t="s">
        <v>30</v>
      </c>
      <c r="I1373" t="s">
        <v>30</v>
      </c>
      <c r="J1373" t="s">
        <v>41</v>
      </c>
      <c r="K1373" t="s">
        <v>32</v>
      </c>
      <c r="L1373" t="s">
        <v>32</v>
      </c>
      <c r="M1373" t="s">
        <v>33</v>
      </c>
      <c r="N1373" t="s">
        <v>33</v>
      </c>
      <c r="O1373" t="s">
        <v>33</v>
      </c>
      <c r="P1373" t="s">
        <v>34</v>
      </c>
      <c r="Q1373" t="s">
        <v>35</v>
      </c>
      <c r="S1373" t="s">
        <v>30</v>
      </c>
      <c r="T1373" t="s">
        <v>1260</v>
      </c>
      <c r="U1373" t="s">
        <v>1261</v>
      </c>
      <c r="V1373" t="s">
        <v>40</v>
      </c>
      <c r="W1373" s="1">
        <v>4060000</v>
      </c>
    </row>
    <row r="1374" spans="1:23" x14ac:dyDescent="0.2">
      <c r="A1374" t="s">
        <v>23</v>
      </c>
      <c r="B1374" t="s">
        <v>1108</v>
      </c>
      <c r="C1374" t="s">
        <v>1109</v>
      </c>
      <c r="D1374" t="s">
        <v>1234</v>
      </c>
      <c r="E1374" t="s">
        <v>1235</v>
      </c>
      <c r="F1374" t="s">
        <v>1236</v>
      </c>
      <c r="G1374" t="s">
        <v>89</v>
      </c>
      <c r="H1374" t="s">
        <v>30</v>
      </c>
      <c r="I1374" t="s">
        <v>30</v>
      </c>
      <c r="J1374" t="s">
        <v>41</v>
      </c>
      <c r="K1374" t="s">
        <v>32</v>
      </c>
      <c r="L1374" t="s">
        <v>32</v>
      </c>
      <c r="M1374" t="s">
        <v>33</v>
      </c>
      <c r="P1374" t="s">
        <v>34</v>
      </c>
      <c r="Q1374" t="s">
        <v>35</v>
      </c>
      <c r="S1374" t="s">
        <v>30</v>
      </c>
      <c r="T1374" t="s">
        <v>1258</v>
      </c>
      <c r="U1374" t="s">
        <v>1259</v>
      </c>
      <c r="V1374" t="s">
        <v>39</v>
      </c>
      <c r="W1374" s="1">
        <v>4</v>
      </c>
    </row>
    <row r="1375" spans="1:23" x14ac:dyDescent="0.2">
      <c r="A1375" t="s">
        <v>23</v>
      </c>
      <c r="B1375" t="s">
        <v>1108</v>
      </c>
      <c r="C1375" t="s">
        <v>1109</v>
      </c>
      <c r="D1375" t="s">
        <v>1234</v>
      </c>
      <c r="E1375" t="s">
        <v>1235</v>
      </c>
      <c r="F1375" t="s">
        <v>1236</v>
      </c>
      <c r="G1375" t="s">
        <v>89</v>
      </c>
      <c r="H1375" t="s">
        <v>30</v>
      </c>
      <c r="I1375" t="s">
        <v>30</v>
      </c>
      <c r="J1375" t="s">
        <v>41</v>
      </c>
      <c r="K1375" t="s">
        <v>32</v>
      </c>
      <c r="L1375" t="s">
        <v>32</v>
      </c>
      <c r="M1375" t="s">
        <v>33</v>
      </c>
      <c r="P1375" t="s">
        <v>34</v>
      </c>
      <c r="Q1375" t="s">
        <v>35</v>
      </c>
      <c r="S1375" t="s">
        <v>30</v>
      </c>
      <c r="T1375" t="s">
        <v>1258</v>
      </c>
      <c r="U1375" t="s">
        <v>1259</v>
      </c>
      <c r="V1375" t="s">
        <v>40</v>
      </c>
      <c r="W1375" s="1">
        <v>4020000</v>
      </c>
    </row>
    <row r="1376" spans="1:23" x14ac:dyDescent="0.2">
      <c r="A1376" t="s">
        <v>23</v>
      </c>
      <c r="B1376" t="s">
        <v>1108</v>
      </c>
      <c r="C1376" t="s">
        <v>1109</v>
      </c>
      <c r="D1376" t="s">
        <v>1234</v>
      </c>
      <c r="E1376" t="s">
        <v>1235</v>
      </c>
      <c r="F1376" t="s">
        <v>1236</v>
      </c>
      <c r="G1376" t="s">
        <v>89</v>
      </c>
      <c r="H1376" t="s">
        <v>30</v>
      </c>
      <c r="I1376" t="s">
        <v>30</v>
      </c>
      <c r="J1376" t="s">
        <v>41</v>
      </c>
      <c r="K1376" t="s">
        <v>32</v>
      </c>
      <c r="L1376" t="s">
        <v>32</v>
      </c>
      <c r="M1376" t="s">
        <v>176</v>
      </c>
      <c r="P1376" t="s">
        <v>34</v>
      </c>
      <c r="Q1376" t="s">
        <v>35</v>
      </c>
      <c r="S1376" t="s">
        <v>30</v>
      </c>
      <c r="T1376" t="s">
        <v>1258</v>
      </c>
      <c r="U1376" t="s">
        <v>1259</v>
      </c>
      <c r="V1376" t="s">
        <v>39</v>
      </c>
      <c r="W1376" s="1">
        <v>1</v>
      </c>
    </row>
    <row r="1377" spans="1:23" x14ac:dyDescent="0.2">
      <c r="A1377" t="s">
        <v>23</v>
      </c>
      <c r="B1377" t="s">
        <v>1108</v>
      </c>
      <c r="C1377" t="s">
        <v>1109</v>
      </c>
      <c r="D1377" t="s">
        <v>1234</v>
      </c>
      <c r="E1377" t="s">
        <v>1235</v>
      </c>
      <c r="F1377" t="s">
        <v>1236</v>
      </c>
      <c r="G1377" t="s">
        <v>89</v>
      </c>
      <c r="H1377" t="s">
        <v>30</v>
      </c>
      <c r="I1377" t="s">
        <v>30</v>
      </c>
      <c r="J1377" t="s">
        <v>41</v>
      </c>
      <c r="K1377" t="s">
        <v>32</v>
      </c>
      <c r="L1377" t="s">
        <v>32</v>
      </c>
      <c r="M1377" t="s">
        <v>176</v>
      </c>
      <c r="P1377" t="s">
        <v>34</v>
      </c>
      <c r="Q1377" t="s">
        <v>35</v>
      </c>
      <c r="S1377" t="s">
        <v>30</v>
      </c>
      <c r="T1377" t="s">
        <v>1258</v>
      </c>
      <c r="U1377" t="s">
        <v>1259</v>
      </c>
      <c r="V1377" t="s">
        <v>40</v>
      </c>
      <c r="W1377" s="1">
        <v>904500</v>
      </c>
    </row>
    <row r="1378" spans="1:23" x14ac:dyDescent="0.2">
      <c r="A1378" t="s">
        <v>23</v>
      </c>
      <c r="B1378" t="s">
        <v>1108</v>
      </c>
      <c r="C1378" t="s">
        <v>1109</v>
      </c>
      <c r="D1378" t="s">
        <v>1234</v>
      </c>
      <c r="E1378" t="s">
        <v>1235</v>
      </c>
      <c r="F1378" t="s">
        <v>1236</v>
      </c>
      <c r="G1378" t="s">
        <v>106</v>
      </c>
      <c r="H1378" t="s">
        <v>30</v>
      </c>
      <c r="I1378" t="s">
        <v>30</v>
      </c>
      <c r="J1378" t="s">
        <v>31</v>
      </c>
      <c r="K1378" t="s">
        <v>32</v>
      </c>
      <c r="L1378" t="s">
        <v>32</v>
      </c>
      <c r="M1378" t="s">
        <v>33</v>
      </c>
      <c r="N1378" t="s">
        <v>33</v>
      </c>
      <c r="O1378" t="s">
        <v>33</v>
      </c>
      <c r="P1378" t="s">
        <v>34</v>
      </c>
      <c r="Q1378" t="s">
        <v>35</v>
      </c>
      <c r="S1378" t="s">
        <v>30</v>
      </c>
      <c r="T1378" t="s">
        <v>1262</v>
      </c>
      <c r="U1378" t="s">
        <v>1263</v>
      </c>
      <c r="V1378" t="s">
        <v>39</v>
      </c>
      <c r="W1378" s="1">
        <v>2</v>
      </c>
    </row>
    <row r="1379" spans="1:23" x14ac:dyDescent="0.2">
      <c r="A1379" t="s">
        <v>23</v>
      </c>
      <c r="B1379" t="s">
        <v>1108</v>
      </c>
      <c r="C1379" t="s">
        <v>1109</v>
      </c>
      <c r="D1379" t="s">
        <v>1234</v>
      </c>
      <c r="E1379" t="s">
        <v>1235</v>
      </c>
      <c r="F1379" t="s">
        <v>1236</v>
      </c>
      <c r="G1379" t="s">
        <v>106</v>
      </c>
      <c r="H1379" t="s">
        <v>30</v>
      </c>
      <c r="I1379" t="s">
        <v>30</v>
      </c>
      <c r="J1379" t="s">
        <v>31</v>
      </c>
      <c r="K1379" t="s">
        <v>32</v>
      </c>
      <c r="L1379" t="s">
        <v>32</v>
      </c>
      <c r="M1379" t="s">
        <v>33</v>
      </c>
      <c r="N1379" t="s">
        <v>33</v>
      </c>
      <c r="O1379" t="s">
        <v>33</v>
      </c>
      <c r="P1379" t="s">
        <v>34</v>
      </c>
      <c r="Q1379" t="s">
        <v>35</v>
      </c>
      <c r="S1379" t="s">
        <v>30</v>
      </c>
      <c r="T1379" t="s">
        <v>1262</v>
      </c>
      <c r="U1379" t="s">
        <v>1263</v>
      </c>
      <c r="V1379" t="s">
        <v>40</v>
      </c>
      <c r="W1379" s="1">
        <v>2499800</v>
      </c>
    </row>
    <row r="1380" spans="1:23" x14ac:dyDescent="0.2">
      <c r="A1380" t="s">
        <v>23</v>
      </c>
      <c r="B1380" t="s">
        <v>1108</v>
      </c>
      <c r="C1380" t="s">
        <v>1109</v>
      </c>
      <c r="D1380" t="s">
        <v>1234</v>
      </c>
      <c r="E1380" t="s">
        <v>1235</v>
      </c>
      <c r="F1380" t="s">
        <v>1236</v>
      </c>
      <c r="G1380" t="s">
        <v>106</v>
      </c>
      <c r="H1380" t="s">
        <v>30</v>
      </c>
      <c r="I1380" t="s">
        <v>30</v>
      </c>
      <c r="J1380" t="s">
        <v>41</v>
      </c>
      <c r="K1380" t="s">
        <v>32</v>
      </c>
      <c r="L1380" t="s">
        <v>32</v>
      </c>
      <c r="M1380" t="s">
        <v>33</v>
      </c>
      <c r="P1380" t="s">
        <v>34</v>
      </c>
      <c r="Q1380" t="s">
        <v>35</v>
      </c>
      <c r="R1380" t="s">
        <v>54</v>
      </c>
      <c r="S1380" t="s">
        <v>30</v>
      </c>
      <c r="T1380" t="s">
        <v>1264</v>
      </c>
      <c r="U1380" t="s">
        <v>1265</v>
      </c>
      <c r="V1380" t="s">
        <v>39</v>
      </c>
      <c r="W1380" s="1">
        <v>3</v>
      </c>
    </row>
    <row r="1381" spans="1:23" x14ac:dyDescent="0.2">
      <c r="A1381" t="s">
        <v>23</v>
      </c>
      <c r="B1381" t="s">
        <v>1108</v>
      </c>
      <c r="C1381" t="s">
        <v>1109</v>
      </c>
      <c r="D1381" t="s">
        <v>1234</v>
      </c>
      <c r="E1381" t="s">
        <v>1235</v>
      </c>
      <c r="F1381" t="s">
        <v>1236</v>
      </c>
      <c r="G1381" t="s">
        <v>106</v>
      </c>
      <c r="H1381" t="s">
        <v>30</v>
      </c>
      <c r="I1381" t="s">
        <v>30</v>
      </c>
      <c r="J1381" t="s">
        <v>41</v>
      </c>
      <c r="K1381" t="s">
        <v>32</v>
      </c>
      <c r="L1381" t="s">
        <v>32</v>
      </c>
      <c r="M1381" t="s">
        <v>33</v>
      </c>
      <c r="P1381" t="s">
        <v>34</v>
      </c>
      <c r="Q1381" t="s">
        <v>35</v>
      </c>
      <c r="R1381" t="s">
        <v>54</v>
      </c>
      <c r="S1381" t="s">
        <v>30</v>
      </c>
      <c r="T1381" t="s">
        <v>1264</v>
      </c>
      <c r="U1381" t="s">
        <v>1265</v>
      </c>
      <c r="V1381" t="s">
        <v>40</v>
      </c>
      <c r="W1381" s="1">
        <v>4669800</v>
      </c>
    </row>
    <row r="1382" spans="1:23" x14ac:dyDescent="0.2">
      <c r="A1382" t="s">
        <v>23</v>
      </c>
      <c r="B1382" t="s">
        <v>1108</v>
      </c>
      <c r="C1382" t="s">
        <v>1109</v>
      </c>
      <c r="D1382" t="s">
        <v>1234</v>
      </c>
      <c r="E1382" t="s">
        <v>1235</v>
      </c>
      <c r="F1382" t="s">
        <v>1236</v>
      </c>
      <c r="G1382" t="s">
        <v>119</v>
      </c>
      <c r="H1382" t="s">
        <v>30</v>
      </c>
      <c r="I1382" t="s">
        <v>52</v>
      </c>
      <c r="J1382" t="s">
        <v>31</v>
      </c>
      <c r="K1382" t="s">
        <v>32</v>
      </c>
      <c r="L1382" t="s">
        <v>32</v>
      </c>
      <c r="M1382" t="s">
        <v>33</v>
      </c>
      <c r="P1382" t="s">
        <v>34</v>
      </c>
      <c r="Q1382" t="s">
        <v>35</v>
      </c>
      <c r="S1382" t="s">
        <v>30</v>
      </c>
      <c r="T1382" t="s">
        <v>1266</v>
      </c>
      <c r="U1382" t="s">
        <v>1267</v>
      </c>
      <c r="V1382" t="s">
        <v>39</v>
      </c>
      <c r="W1382" s="1">
        <v>8</v>
      </c>
    </row>
    <row r="1383" spans="1:23" x14ac:dyDescent="0.2">
      <c r="A1383" t="s">
        <v>23</v>
      </c>
      <c r="B1383" t="s">
        <v>1108</v>
      </c>
      <c r="C1383" t="s">
        <v>1109</v>
      </c>
      <c r="D1383" t="s">
        <v>1234</v>
      </c>
      <c r="E1383" t="s">
        <v>1235</v>
      </c>
      <c r="F1383" t="s">
        <v>1236</v>
      </c>
      <c r="G1383" t="s">
        <v>119</v>
      </c>
      <c r="H1383" t="s">
        <v>30</v>
      </c>
      <c r="I1383" t="s">
        <v>52</v>
      </c>
      <c r="J1383" t="s">
        <v>31</v>
      </c>
      <c r="K1383" t="s">
        <v>32</v>
      </c>
      <c r="L1383" t="s">
        <v>32</v>
      </c>
      <c r="M1383" t="s">
        <v>33</v>
      </c>
      <c r="P1383" t="s">
        <v>34</v>
      </c>
      <c r="Q1383" t="s">
        <v>35</v>
      </c>
      <c r="S1383" t="s">
        <v>30</v>
      </c>
      <c r="T1383" t="s">
        <v>1266</v>
      </c>
      <c r="U1383" t="s">
        <v>1267</v>
      </c>
      <c r="V1383" t="s">
        <v>40</v>
      </c>
      <c r="W1383" s="1">
        <v>6900800</v>
      </c>
    </row>
    <row r="1384" spans="1:23" x14ac:dyDescent="0.2">
      <c r="A1384" t="s">
        <v>23</v>
      </c>
      <c r="B1384" t="s">
        <v>1108</v>
      </c>
      <c r="C1384" t="s">
        <v>1109</v>
      </c>
      <c r="D1384" t="s">
        <v>1234</v>
      </c>
      <c r="E1384" t="s">
        <v>1235</v>
      </c>
      <c r="F1384" t="s">
        <v>1236</v>
      </c>
      <c r="G1384" t="s">
        <v>139</v>
      </c>
      <c r="H1384" t="s">
        <v>30</v>
      </c>
      <c r="I1384" t="s">
        <v>30</v>
      </c>
      <c r="J1384" t="s">
        <v>31</v>
      </c>
      <c r="K1384" t="s">
        <v>32</v>
      </c>
      <c r="L1384" t="s">
        <v>32</v>
      </c>
      <c r="M1384" t="s">
        <v>33</v>
      </c>
      <c r="N1384" t="s">
        <v>33</v>
      </c>
      <c r="O1384" t="s">
        <v>33</v>
      </c>
      <c r="P1384" t="s">
        <v>34</v>
      </c>
      <c r="Q1384" t="s">
        <v>35</v>
      </c>
      <c r="R1384" t="s">
        <v>173</v>
      </c>
      <c r="S1384" t="s">
        <v>30</v>
      </c>
      <c r="T1384" t="s">
        <v>1268</v>
      </c>
      <c r="U1384" t="s">
        <v>1269</v>
      </c>
      <c r="V1384" t="s">
        <v>39</v>
      </c>
      <c r="W1384" s="1">
        <v>1</v>
      </c>
    </row>
    <row r="1385" spans="1:23" x14ac:dyDescent="0.2">
      <c r="A1385" t="s">
        <v>23</v>
      </c>
      <c r="B1385" t="s">
        <v>1108</v>
      </c>
      <c r="C1385" t="s">
        <v>1109</v>
      </c>
      <c r="D1385" t="s">
        <v>1234</v>
      </c>
      <c r="E1385" t="s">
        <v>1235</v>
      </c>
      <c r="F1385" t="s">
        <v>1236</v>
      </c>
      <c r="G1385" t="s">
        <v>139</v>
      </c>
      <c r="H1385" t="s">
        <v>30</v>
      </c>
      <c r="I1385" t="s">
        <v>30</v>
      </c>
      <c r="J1385" t="s">
        <v>31</v>
      </c>
      <c r="K1385" t="s">
        <v>32</v>
      </c>
      <c r="L1385" t="s">
        <v>32</v>
      </c>
      <c r="M1385" t="s">
        <v>33</v>
      </c>
      <c r="N1385" t="s">
        <v>33</v>
      </c>
      <c r="O1385" t="s">
        <v>33</v>
      </c>
      <c r="P1385" t="s">
        <v>34</v>
      </c>
      <c r="Q1385" t="s">
        <v>35</v>
      </c>
      <c r="R1385" t="s">
        <v>173</v>
      </c>
      <c r="S1385" t="s">
        <v>30</v>
      </c>
      <c r="T1385" t="s">
        <v>1268</v>
      </c>
      <c r="U1385" t="s">
        <v>1269</v>
      </c>
      <c r="V1385" t="s">
        <v>40</v>
      </c>
      <c r="W1385" s="1">
        <v>404400</v>
      </c>
    </row>
    <row r="1386" spans="1:23" x14ac:dyDescent="0.2">
      <c r="A1386" t="s">
        <v>23</v>
      </c>
      <c r="B1386" t="s">
        <v>1108</v>
      </c>
      <c r="C1386" t="s">
        <v>1109</v>
      </c>
      <c r="D1386" t="s">
        <v>1234</v>
      </c>
      <c r="E1386" t="s">
        <v>1235</v>
      </c>
      <c r="F1386" t="s">
        <v>1236</v>
      </c>
      <c r="G1386" t="s">
        <v>139</v>
      </c>
      <c r="H1386" t="s">
        <v>30</v>
      </c>
      <c r="I1386" t="s">
        <v>30</v>
      </c>
      <c r="J1386" t="s">
        <v>31</v>
      </c>
      <c r="K1386" t="s">
        <v>32</v>
      </c>
      <c r="L1386" t="s">
        <v>32</v>
      </c>
      <c r="M1386" t="s">
        <v>33</v>
      </c>
      <c r="N1386" t="s">
        <v>33</v>
      </c>
      <c r="O1386" t="s">
        <v>33</v>
      </c>
      <c r="P1386" t="s">
        <v>34</v>
      </c>
      <c r="Q1386" t="s">
        <v>35</v>
      </c>
      <c r="R1386" t="s">
        <v>36</v>
      </c>
      <c r="S1386" t="s">
        <v>30</v>
      </c>
      <c r="T1386" t="s">
        <v>1270</v>
      </c>
      <c r="U1386" t="s">
        <v>1271</v>
      </c>
      <c r="V1386" t="s">
        <v>39</v>
      </c>
      <c r="W1386" s="1">
        <v>3</v>
      </c>
    </row>
    <row r="1387" spans="1:23" x14ac:dyDescent="0.2">
      <c r="A1387" t="s">
        <v>23</v>
      </c>
      <c r="B1387" t="s">
        <v>1108</v>
      </c>
      <c r="C1387" t="s">
        <v>1109</v>
      </c>
      <c r="D1387" t="s">
        <v>1234</v>
      </c>
      <c r="E1387" t="s">
        <v>1235</v>
      </c>
      <c r="F1387" t="s">
        <v>1236</v>
      </c>
      <c r="G1387" t="s">
        <v>139</v>
      </c>
      <c r="H1387" t="s">
        <v>30</v>
      </c>
      <c r="I1387" t="s">
        <v>30</v>
      </c>
      <c r="J1387" t="s">
        <v>31</v>
      </c>
      <c r="K1387" t="s">
        <v>32</v>
      </c>
      <c r="L1387" t="s">
        <v>32</v>
      </c>
      <c r="M1387" t="s">
        <v>33</v>
      </c>
      <c r="N1387" t="s">
        <v>33</v>
      </c>
      <c r="O1387" t="s">
        <v>33</v>
      </c>
      <c r="P1387" t="s">
        <v>34</v>
      </c>
      <c r="Q1387" t="s">
        <v>35</v>
      </c>
      <c r="R1387" t="s">
        <v>36</v>
      </c>
      <c r="S1387" t="s">
        <v>30</v>
      </c>
      <c r="T1387" t="s">
        <v>1270</v>
      </c>
      <c r="U1387" t="s">
        <v>1271</v>
      </c>
      <c r="V1387" t="s">
        <v>40</v>
      </c>
      <c r="W1387" s="1">
        <v>2393100</v>
      </c>
    </row>
    <row r="1388" spans="1:23" x14ac:dyDescent="0.2">
      <c r="A1388" t="s">
        <v>23</v>
      </c>
      <c r="B1388" t="s">
        <v>1108</v>
      </c>
      <c r="C1388" t="s">
        <v>1109</v>
      </c>
      <c r="D1388" t="s">
        <v>1234</v>
      </c>
      <c r="E1388" t="s">
        <v>1235</v>
      </c>
      <c r="F1388" t="s">
        <v>1236</v>
      </c>
      <c r="G1388" t="s">
        <v>139</v>
      </c>
      <c r="H1388" t="s">
        <v>30</v>
      </c>
      <c r="I1388" t="s">
        <v>30</v>
      </c>
      <c r="J1388" t="s">
        <v>31</v>
      </c>
      <c r="K1388" t="s">
        <v>32</v>
      </c>
      <c r="L1388" t="s">
        <v>32</v>
      </c>
      <c r="M1388" t="s">
        <v>33</v>
      </c>
      <c r="P1388" t="s">
        <v>34</v>
      </c>
      <c r="Q1388" t="s">
        <v>35</v>
      </c>
      <c r="R1388" t="s">
        <v>162</v>
      </c>
      <c r="S1388" t="s">
        <v>30</v>
      </c>
      <c r="T1388" t="s">
        <v>1272</v>
      </c>
      <c r="U1388" t="s">
        <v>1273</v>
      </c>
      <c r="V1388" t="s">
        <v>39</v>
      </c>
      <c r="W1388" s="1">
        <v>3</v>
      </c>
    </row>
    <row r="1389" spans="1:23" x14ac:dyDescent="0.2">
      <c r="A1389" t="s">
        <v>23</v>
      </c>
      <c r="B1389" t="s">
        <v>1108</v>
      </c>
      <c r="C1389" t="s">
        <v>1109</v>
      </c>
      <c r="D1389" t="s">
        <v>1234</v>
      </c>
      <c r="E1389" t="s">
        <v>1235</v>
      </c>
      <c r="F1389" t="s">
        <v>1236</v>
      </c>
      <c r="G1389" t="s">
        <v>139</v>
      </c>
      <c r="H1389" t="s">
        <v>30</v>
      </c>
      <c r="I1389" t="s">
        <v>30</v>
      </c>
      <c r="J1389" t="s">
        <v>31</v>
      </c>
      <c r="K1389" t="s">
        <v>32</v>
      </c>
      <c r="L1389" t="s">
        <v>32</v>
      </c>
      <c r="M1389" t="s">
        <v>33</v>
      </c>
      <c r="P1389" t="s">
        <v>34</v>
      </c>
      <c r="Q1389" t="s">
        <v>35</v>
      </c>
      <c r="R1389" t="s">
        <v>162</v>
      </c>
      <c r="S1389" t="s">
        <v>30</v>
      </c>
      <c r="T1389" t="s">
        <v>1272</v>
      </c>
      <c r="U1389" t="s">
        <v>1273</v>
      </c>
      <c r="V1389" t="s">
        <v>40</v>
      </c>
      <c r="W1389" s="1">
        <v>6017400</v>
      </c>
    </row>
    <row r="1390" spans="1:23" x14ac:dyDescent="0.2">
      <c r="A1390" t="s">
        <v>23</v>
      </c>
      <c r="B1390" t="s">
        <v>1108</v>
      </c>
      <c r="C1390" t="s">
        <v>1109</v>
      </c>
      <c r="D1390" t="s">
        <v>1234</v>
      </c>
      <c r="E1390" t="s">
        <v>1235</v>
      </c>
      <c r="F1390" t="s">
        <v>1236</v>
      </c>
      <c r="G1390" t="s">
        <v>139</v>
      </c>
      <c r="H1390" t="s">
        <v>30</v>
      </c>
      <c r="I1390" t="s">
        <v>30</v>
      </c>
      <c r="J1390" t="s">
        <v>31</v>
      </c>
      <c r="K1390" t="s">
        <v>32</v>
      </c>
      <c r="L1390" t="s">
        <v>32</v>
      </c>
      <c r="M1390" t="s">
        <v>33</v>
      </c>
      <c r="P1390" t="s">
        <v>34</v>
      </c>
      <c r="Q1390" t="s">
        <v>35</v>
      </c>
      <c r="R1390" t="s">
        <v>173</v>
      </c>
      <c r="S1390" t="s">
        <v>52</v>
      </c>
      <c r="T1390" t="s">
        <v>1268</v>
      </c>
      <c r="U1390" t="s">
        <v>1274</v>
      </c>
      <c r="V1390" t="s">
        <v>39</v>
      </c>
      <c r="W1390" s="1">
        <v>0</v>
      </c>
    </row>
    <row r="1391" spans="1:23" x14ac:dyDescent="0.2">
      <c r="A1391" t="s">
        <v>23</v>
      </c>
      <c r="B1391" t="s">
        <v>1108</v>
      </c>
      <c r="C1391" t="s">
        <v>1109</v>
      </c>
      <c r="D1391" t="s">
        <v>1234</v>
      </c>
      <c r="E1391" t="s">
        <v>1235</v>
      </c>
      <c r="F1391" t="s">
        <v>1236</v>
      </c>
      <c r="G1391" t="s">
        <v>139</v>
      </c>
      <c r="H1391" t="s">
        <v>30</v>
      </c>
      <c r="I1391" t="s">
        <v>30</v>
      </c>
      <c r="J1391" t="s">
        <v>31</v>
      </c>
      <c r="K1391" t="s">
        <v>32</v>
      </c>
      <c r="L1391" t="s">
        <v>32</v>
      </c>
      <c r="M1391" t="s">
        <v>33</v>
      </c>
      <c r="P1391" t="s">
        <v>34</v>
      </c>
      <c r="Q1391" t="s">
        <v>35</v>
      </c>
      <c r="R1391" t="s">
        <v>173</v>
      </c>
      <c r="S1391" t="s">
        <v>52</v>
      </c>
      <c r="T1391" t="s">
        <v>1268</v>
      </c>
      <c r="U1391" t="s">
        <v>1274</v>
      </c>
      <c r="V1391" t="s">
        <v>40</v>
      </c>
      <c r="W1391" s="1">
        <v>404400</v>
      </c>
    </row>
    <row r="1392" spans="1:23" x14ac:dyDescent="0.2">
      <c r="A1392" t="s">
        <v>23</v>
      </c>
      <c r="B1392" t="s">
        <v>1108</v>
      </c>
      <c r="C1392" t="s">
        <v>1109</v>
      </c>
      <c r="D1392" t="s">
        <v>1234</v>
      </c>
      <c r="E1392" t="s">
        <v>1235</v>
      </c>
      <c r="F1392" t="s">
        <v>1236</v>
      </c>
      <c r="G1392" t="s">
        <v>139</v>
      </c>
      <c r="H1392" t="s">
        <v>30</v>
      </c>
      <c r="I1392" t="s">
        <v>30</v>
      </c>
      <c r="J1392" t="s">
        <v>41</v>
      </c>
      <c r="K1392" t="s">
        <v>32</v>
      </c>
      <c r="L1392" t="s">
        <v>32</v>
      </c>
      <c r="M1392" t="s">
        <v>33</v>
      </c>
      <c r="N1392" t="s">
        <v>33</v>
      </c>
      <c r="O1392" t="s">
        <v>33</v>
      </c>
      <c r="P1392" t="s">
        <v>34</v>
      </c>
      <c r="Q1392" t="s">
        <v>35</v>
      </c>
      <c r="R1392" t="s">
        <v>54</v>
      </c>
      <c r="S1392" t="s">
        <v>30</v>
      </c>
      <c r="T1392" t="s">
        <v>1275</v>
      </c>
      <c r="U1392" t="s">
        <v>1276</v>
      </c>
      <c r="V1392" t="s">
        <v>39</v>
      </c>
      <c r="W1392" s="1">
        <v>6</v>
      </c>
    </row>
    <row r="1393" spans="1:23" x14ac:dyDescent="0.2">
      <c r="A1393" t="s">
        <v>23</v>
      </c>
      <c r="B1393" t="s">
        <v>1108</v>
      </c>
      <c r="C1393" t="s">
        <v>1109</v>
      </c>
      <c r="D1393" t="s">
        <v>1234</v>
      </c>
      <c r="E1393" t="s">
        <v>1235</v>
      </c>
      <c r="F1393" t="s">
        <v>1236</v>
      </c>
      <c r="G1393" t="s">
        <v>139</v>
      </c>
      <c r="H1393" t="s">
        <v>30</v>
      </c>
      <c r="I1393" t="s">
        <v>30</v>
      </c>
      <c r="J1393" t="s">
        <v>41</v>
      </c>
      <c r="K1393" t="s">
        <v>32</v>
      </c>
      <c r="L1393" t="s">
        <v>32</v>
      </c>
      <c r="M1393" t="s">
        <v>33</v>
      </c>
      <c r="N1393" t="s">
        <v>33</v>
      </c>
      <c r="O1393" t="s">
        <v>33</v>
      </c>
      <c r="P1393" t="s">
        <v>34</v>
      </c>
      <c r="Q1393" t="s">
        <v>35</v>
      </c>
      <c r="R1393" t="s">
        <v>54</v>
      </c>
      <c r="S1393" t="s">
        <v>30</v>
      </c>
      <c r="T1393" t="s">
        <v>1275</v>
      </c>
      <c r="U1393" t="s">
        <v>1276</v>
      </c>
      <c r="V1393" t="s">
        <v>40</v>
      </c>
      <c r="W1393" s="1">
        <v>5949600</v>
      </c>
    </row>
    <row r="1394" spans="1:23" x14ac:dyDescent="0.2">
      <c r="A1394" t="s">
        <v>23</v>
      </c>
      <c r="B1394" t="s">
        <v>1108</v>
      </c>
      <c r="C1394" t="s">
        <v>1109</v>
      </c>
      <c r="D1394" t="s">
        <v>1234</v>
      </c>
      <c r="E1394" t="s">
        <v>1235</v>
      </c>
      <c r="F1394" t="s">
        <v>1236</v>
      </c>
      <c r="G1394" t="s">
        <v>139</v>
      </c>
      <c r="H1394" t="s">
        <v>30</v>
      </c>
      <c r="I1394" t="s">
        <v>30</v>
      </c>
      <c r="J1394" t="s">
        <v>41</v>
      </c>
      <c r="K1394" t="s">
        <v>32</v>
      </c>
      <c r="L1394" t="s">
        <v>32</v>
      </c>
      <c r="M1394" t="s">
        <v>33</v>
      </c>
      <c r="N1394" t="s">
        <v>33</v>
      </c>
      <c r="O1394" t="s">
        <v>33</v>
      </c>
      <c r="P1394" t="s">
        <v>34</v>
      </c>
      <c r="Q1394" t="s">
        <v>35</v>
      </c>
      <c r="R1394" t="s">
        <v>36</v>
      </c>
      <c r="S1394" t="s">
        <v>30</v>
      </c>
      <c r="T1394" t="s">
        <v>1277</v>
      </c>
      <c r="U1394" t="s">
        <v>1278</v>
      </c>
      <c r="V1394" t="s">
        <v>39</v>
      </c>
      <c r="W1394" s="1">
        <v>4</v>
      </c>
    </row>
    <row r="1395" spans="1:23" x14ac:dyDescent="0.2">
      <c r="A1395" t="s">
        <v>23</v>
      </c>
      <c r="B1395" t="s">
        <v>1108</v>
      </c>
      <c r="C1395" t="s">
        <v>1109</v>
      </c>
      <c r="D1395" t="s">
        <v>1234</v>
      </c>
      <c r="E1395" t="s">
        <v>1235</v>
      </c>
      <c r="F1395" t="s">
        <v>1236</v>
      </c>
      <c r="G1395" t="s">
        <v>139</v>
      </c>
      <c r="H1395" t="s">
        <v>30</v>
      </c>
      <c r="I1395" t="s">
        <v>30</v>
      </c>
      <c r="J1395" t="s">
        <v>41</v>
      </c>
      <c r="K1395" t="s">
        <v>32</v>
      </c>
      <c r="L1395" t="s">
        <v>32</v>
      </c>
      <c r="M1395" t="s">
        <v>33</v>
      </c>
      <c r="N1395" t="s">
        <v>33</v>
      </c>
      <c r="O1395" t="s">
        <v>33</v>
      </c>
      <c r="P1395" t="s">
        <v>34</v>
      </c>
      <c r="Q1395" t="s">
        <v>35</v>
      </c>
      <c r="R1395" t="s">
        <v>36</v>
      </c>
      <c r="S1395" t="s">
        <v>30</v>
      </c>
      <c r="T1395" t="s">
        <v>1277</v>
      </c>
      <c r="U1395" t="s">
        <v>1278</v>
      </c>
      <c r="V1395" t="s">
        <v>40</v>
      </c>
      <c r="W1395" s="1">
        <v>4396800</v>
      </c>
    </row>
    <row r="1396" spans="1:23" x14ac:dyDescent="0.2">
      <c r="A1396" t="s">
        <v>23</v>
      </c>
      <c r="B1396" t="s">
        <v>1108</v>
      </c>
      <c r="C1396" t="s">
        <v>1109</v>
      </c>
      <c r="D1396" t="s">
        <v>1234</v>
      </c>
      <c r="E1396" t="s">
        <v>1235</v>
      </c>
      <c r="F1396" t="s">
        <v>1236</v>
      </c>
      <c r="G1396" t="s">
        <v>139</v>
      </c>
      <c r="H1396" t="s">
        <v>30</v>
      </c>
      <c r="I1396" t="s">
        <v>30</v>
      </c>
      <c r="J1396" t="s">
        <v>41</v>
      </c>
      <c r="K1396" t="s">
        <v>32</v>
      </c>
      <c r="L1396" t="s">
        <v>32</v>
      </c>
      <c r="M1396" t="s">
        <v>176</v>
      </c>
      <c r="N1396" t="s">
        <v>176</v>
      </c>
      <c r="O1396" t="s">
        <v>176</v>
      </c>
      <c r="P1396" t="s">
        <v>34</v>
      </c>
      <c r="Q1396" t="s">
        <v>35</v>
      </c>
      <c r="R1396" t="s">
        <v>54</v>
      </c>
      <c r="S1396" t="s">
        <v>30</v>
      </c>
      <c r="T1396" t="s">
        <v>1275</v>
      </c>
      <c r="U1396" t="s">
        <v>1276</v>
      </c>
      <c r="V1396" t="s">
        <v>39</v>
      </c>
      <c r="W1396" s="1">
        <v>3</v>
      </c>
    </row>
    <row r="1397" spans="1:23" x14ac:dyDescent="0.2">
      <c r="A1397" t="s">
        <v>23</v>
      </c>
      <c r="B1397" t="s">
        <v>1108</v>
      </c>
      <c r="C1397" t="s">
        <v>1109</v>
      </c>
      <c r="D1397" t="s">
        <v>1234</v>
      </c>
      <c r="E1397" t="s">
        <v>1235</v>
      </c>
      <c r="F1397" t="s">
        <v>1236</v>
      </c>
      <c r="G1397" t="s">
        <v>139</v>
      </c>
      <c r="H1397" t="s">
        <v>30</v>
      </c>
      <c r="I1397" t="s">
        <v>30</v>
      </c>
      <c r="J1397" t="s">
        <v>41</v>
      </c>
      <c r="K1397" t="s">
        <v>32</v>
      </c>
      <c r="L1397" t="s">
        <v>32</v>
      </c>
      <c r="M1397" t="s">
        <v>176</v>
      </c>
      <c r="N1397" t="s">
        <v>176</v>
      </c>
      <c r="O1397" t="s">
        <v>176</v>
      </c>
      <c r="P1397" t="s">
        <v>34</v>
      </c>
      <c r="Q1397" t="s">
        <v>35</v>
      </c>
      <c r="R1397" t="s">
        <v>54</v>
      </c>
      <c r="S1397" t="s">
        <v>30</v>
      </c>
      <c r="T1397" t="s">
        <v>1275</v>
      </c>
      <c r="U1397" t="s">
        <v>1276</v>
      </c>
      <c r="V1397" t="s">
        <v>40</v>
      </c>
      <c r="W1397" s="1">
        <v>2974800</v>
      </c>
    </row>
    <row r="1398" spans="1:23" x14ac:dyDescent="0.2">
      <c r="A1398" t="s">
        <v>23</v>
      </c>
      <c r="B1398" t="s">
        <v>1108</v>
      </c>
      <c r="C1398" t="s">
        <v>1109</v>
      </c>
      <c r="D1398" t="s">
        <v>1234</v>
      </c>
      <c r="E1398" t="s">
        <v>1235</v>
      </c>
      <c r="F1398" t="s">
        <v>1236</v>
      </c>
      <c r="G1398" t="s">
        <v>139</v>
      </c>
      <c r="H1398" t="s">
        <v>30</v>
      </c>
      <c r="I1398" t="s">
        <v>30</v>
      </c>
      <c r="J1398" t="s">
        <v>41</v>
      </c>
      <c r="K1398" t="s">
        <v>32</v>
      </c>
      <c r="L1398" t="s">
        <v>32</v>
      </c>
      <c r="M1398" t="s">
        <v>176</v>
      </c>
      <c r="N1398" t="s">
        <v>195</v>
      </c>
      <c r="O1398" t="s">
        <v>195</v>
      </c>
      <c r="P1398" t="s">
        <v>34</v>
      </c>
      <c r="Q1398" t="s">
        <v>35</v>
      </c>
      <c r="R1398" t="s">
        <v>54</v>
      </c>
      <c r="S1398" t="s">
        <v>30</v>
      </c>
      <c r="T1398" t="s">
        <v>1275</v>
      </c>
      <c r="U1398" t="s">
        <v>1276</v>
      </c>
      <c r="V1398" t="s">
        <v>39</v>
      </c>
      <c r="W1398" s="1">
        <v>1</v>
      </c>
    </row>
    <row r="1399" spans="1:23" x14ac:dyDescent="0.2">
      <c r="A1399" t="s">
        <v>23</v>
      </c>
      <c r="B1399" t="s">
        <v>1108</v>
      </c>
      <c r="C1399" t="s">
        <v>1109</v>
      </c>
      <c r="D1399" t="s">
        <v>1234</v>
      </c>
      <c r="E1399" t="s">
        <v>1235</v>
      </c>
      <c r="F1399" t="s">
        <v>1236</v>
      </c>
      <c r="G1399" t="s">
        <v>139</v>
      </c>
      <c r="H1399" t="s">
        <v>30</v>
      </c>
      <c r="I1399" t="s">
        <v>30</v>
      </c>
      <c r="J1399" t="s">
        <v>41</v>
      </c>
      <c r="K1399" t="s">
        <v>32</v>
      </c>
      <c r="L1399" t="s">
        <v>32</v>
      </c>
      <c r="M1399" t="s">
        <v>176</v>
      </c>
      <c r="N1399" t="s">
        <v>195</v>
      </c>
      <c r="O1399" t="s">
        <v>195</v>
      </c>
      <c r="P1399" t="s">
        <v>34</v>
      </c>
      <c r="Q1399" t="s">
        <v>35</v>
      </c>
      <c r="R1399" t="s">
        <v>54</v>
      </c>
      <c r="S1399" t="s">
        <v>30</v>
      </c>
      <c r="T1399" t="s">
        <v>1275</v>
      </c>
      <c r="U1399" t="s">
        <v>1276</v>
      </c>
      <c r="V1399" t="s">
        <v>40</v>
      </c>
      <c r="W1399" s="1">
        <v>937440</v>
      </c>
    </row>
    <row r="1400" spans="1:23" x14ac:dyDescent="0.2">
      <c r="A1400" t="s">
        <v>23</v>
      </c>
      <c r="B1400" t="s">
        <v>1108</v>
      </c>
      <c r="C1400" t="s">
        <v>1109</v>
      </c>
      <c r="D1400" t="s">
        <v>1234</v>
      </c>
      <c r="E1400" t="s">
        <v>1279</v>
      </c>
      <c r="F1400" t="s">
        <v>1280</v>
      </c>
      <c r="G1400" t="s">
        <v>29</v>
      </c>
      <c r="H1400" t="s">
        <v>30</v>
      </c>
      <c r="I1400" t="s">
        <v>30</v>
      </c>
      <c r="J1400" t="s">
        <v>211</v>
      </c>
      <c r="K1400" t="s">
        <v>212</v>
      </c>
      <c r="L1400" t="s">
        <v>32</v>
      </c>
      <c r="M1400" t="s">
        <v>33</v>
      </c>
      <c r="N1400" t="s">
        <v>33</v>
      </c>
      <c r="O1400" t="s">
        <v>33</v>
      </c>
      <c r="P1400" t="s">
        <v>34</v>
      </c>
      <c r="Q1400" t="s">
        <v>35</v>
      </c>
      <c r="R1400" t="s">
        <v>242</v>
      </c>
      <c r="S1400" t="s">
        <v>30</v>
      </c>
      <c r="T1400" t="s">
        <v>1281</v>
      </c>
      <c r="U1400" t="s">
        <v>1282</v>
      </c>
      <c r="V1400" t="s">
        <v>39</v>
      </c>
      <c r="W1400" s="1">
        <v>6</v>
      </c>
    </row>
    <row r="1401" spans="1:23" x14ac:dyDescent="0.2">
      <c r="A1401" t="s">
        <v>23</v>
      </c>
      <c r="B1401" t="s">
        <v>1108</v>
      </c>
      <c r="C1401" t="s">
        <v>1109</v>
      </c>
      <c r="D1401" t="s">
        <v>1234</v>
      </c>
      <c r="E1401" t="s">
        <v>1279</v>
      </c>
      <c r="F1401" t="s">
        <v>1280</v>
      </c>
      <c r="G1401" t="s">
        <v>29</v>
      </c>
      <c r="H1401" t="s">
        <v>30</v>
      </c>
      <c r="I1401" t="s">
        <v>30</v>
      </c>
      <c r="J1401" t="s">
        <v>211</v>
      </c>
      <c r="K1401" t="s">
        <v>212</v>
      </c>
      <c r="L1401" t="s">
        <v>32</v>
      </c>
      <c r="M1401" t="s">
        <v>33</v>
      </c>
      <c r="N1401" t="s">
        <v>33</v>
      </c>
      <c r="O1401" t="s">
        <v>33</v>
      </c>
      <c r="P1401" t="s">
        <v>34</v>
      </c>
      <c r="Q1401" t="s">
        <v>35</v>
      </c>
      <c r="R1401" t="s">
        <v>242</v>
      </c>
      <c r="S1401" t="s">
        <v>30</v>
      </c>
      <c r="T1401" t="s">
        <v>1281</v>
      </c>
      <c r="U1401" t="s">
        <v>1282</v>
      </c>
      <c r="V1401" t="s">
        <v>40</v>
      </c>
      <c r="W1401" s="1">
        <v>2454000</v>
      </c>
    </row>
    <row r="1402" spans="1:23" x14ac:dyDescent="0.2">
      <c r="A1402" t="s">
        <v>23</v>
      </c>
      <c r="B1402" t="s">
        <v>1108</v>
      </c>
      <c r="C1402" t="s">
        <v>1109</v>
      </c>
      <c r="D1402" t="s">
        <v>1234</v>
      </c>
      <c r="E1402" t="s">
        <v>1279</v>
      </c>
      <c r="F1402" t="s">
        <v>1280</v>
      </c>
      <c r="G1402" t="s">
        <v>49</v>
      </c>
      <c r="H1402" t="s">
        <v>30</v>
      </c>
      <c r="I1402" t="s">
        <v>30</v>
      </c>
      <c r="J1402" t="s">
        <v>31</v>
      </c>
      <c r="K1402" t="s">
        <v>32</v>
      </c>
      <c r="L1402" t="s">
        <v>32</v>
      </c>
      <c r="M1402" t="s">
        <v>33</v>
      </c>
      <c r="N1402" t="s">
        <v>33</v>
      </c>
      <c r="O1402" t="s">
        <v>33</v>
      </c>
      <c r="P1402" t="s">
        <v>34</v>
      </c>
      <c r="Q1402" t="s">
        <v>35</v>
      </c>
      <c r="R1402" t="s">
        <v>96</v>
      </c>
      <c r="S1402" t="s">
        <v>30</v>
      </c>
      <c r="T1402" t="s">
        <v>1283</v>
      </c>
      <c r="U1402" t="s">
        <v>1284</v>
      </c>
      <c r="V1402" t="s">
        <v>39</v>
      </c>
      <c r="W1402" s="1">
        <v>2</v>
      </c>
    </row>
    <row r="1403" spans="1:23" x14ac:dyDescent="0.2">
      <c r="A1403" t="s">
        <v>23</v>
      </c>
      <c r="B1403" t="s">
        <v>1108</v>
      </c>
      <c r="C1403" t="s">
        <v>1109</v>
      </c>
      <c r="D1403" t="s">
        <v>1234</v>
      </c>
      <c r="E1403" t="s">
        <v>1279</v>
      </c>
      <c r="F1403" t="s">
        <v>1280</v>
      </c>
      <c r="G1403" t="s">
        <v>49</v>
      </c>
      <c r="H1403" t="s">
        <v>30</v>
      </c>
      <c r="I1403" t="s">
        <v>30</v>
      </c>
      <c r="J1403" t="s">
        <v>31</v>
      </c>
      <c r="K1403" t="s">
        <v>32</v>
      </c>
      <c r="L1403" t="s">
        <v>32</v>
      </c>
      <c r="M1403" t="s">
        <v>33</v>
      </c>
      <c r="N1403" t="s">
        <v>33</v>
      </c>
      <c r="O1403" t="s">
        <v>33</v>
      </c>
      <c r="P1403" t="s">
        <v>34</v>
      </c>
      <c r="Q1403" t="s">
        <v>35</v>
      </c>
      <c r="R1403" t="s">
        <v>96</v>
      </c>
      <c r="S1403" t="s">
        <v>30</v>
      </c>
      <c r="T1403" t="s">
        <v>1283</v>
      </c>
      <c r="U1403" t="s">
        <v>1284</v>
      </c>
      <c r="V1403" t="s">
        <v>40</v>
      </c>
      <c r="W1403" s="1">
        <v>5145800</v>
      </c>
    </row>
    <row r="1404" spans="1:23" x14ac:dyDescent="0.2">
      <c r="A1404" t="s">
        <v>23</v>
      </c>
      <c r="B1404" t="s">
        <v>1108</v>
      </c>
      <c r="C1404" t="s">
        <v>1109</v>
      </c>
      <c r="D1404" t="s">
        <v>1234</v>
      </c>
      <c r="E1404" t="s">
        <v>1279</v>
      </c>
      <c r="F1404" t="s">
        <v>1280</v>
      </c>
      <c r="G1404" t="s">
        <v>49</v>
      </c>
      <c r="H1404" t="s">
        <v>30</v>
      </c>
      <c r="I1404" t="s">
        <v>30</v>
      </c>
      <c r="J1404" t="s">
        <v>31</v>
      </c>
      <c r="K1404" t="s">
        <v>32</v>
      </c>
      <c r="L1404" t="s">
        <v>32</v>
      </c>
      <c r="M1404" t="s">
        <v>33</v>
      </c>
      <c r="N1404" t="s">
        <v>176</v>
      </c>
      <c r="O1404" t="s">
        <v>169</v>
      </c>
      <c r="P1404" t="s">
        <v>34</v>
      </c>
      <c r="Q1404" t="s">
        <v>35</v>
      </c>
      <c r="R1404" t="s">
        <v>96</v>
      </c>
      <c r="S1404" t="s">
        <v>30</v>
      </c>
      <c r="T1404" t="s">
        <v>1283</v>
      </c>
      <c r="U1404" t="s">
        <v>1284</v>
      </c>
      <c r="V1404" t="s">
        <v>39</v>
      </c>
      <c r="W1404" s="1">
        <v>1</v>
      </c>
    </row>
    <row r="1405" spans="1:23" x14ac:dyDescent="0.2">
      <c r="A1405" t="s">
        <v>23</v>
      </c>
      <c r="B1405" t="s">
        <v>1108</v>
      </c>
      <c r="C1405" t="s">
        <v>1109</v>
      </c>
      <c r="D1405" t="s">
        <v>1234</v>
      </c>
      <c r="E1405" t="s">
        <v>1279</v>
      </c>
      <c r="F1405" t="s">
        <v>1280</v>
      </c>
      <c r="G1405" t="s">
        <v>49</v>
      </c>
      <c r="H1405" t="s">
        <v>30</v>
      </c>
      <c r="I1405" t="s">
        <v>30</v>
      </c>
      <c r="J1405" t="s">
        <v>31</v>
      </c>
      <c r="K1405" t="s">
        <v>32</v>
      </c>
      <c r="L1405" t="s">
        <v>32</v>
      </c>
      <c r="M1405" t="s">
        <v>33</v>
      </c>
      <c r="N1405" t="s">
        <v>176</v>
      </c>
      <c r="O1405" t="s">
        <v>169</v>
      </c>
      <c r="P1405" t="s">
        <v>34</v>
      </c>
      <c r="Q1405" t="s">
        <v>35</v>
      </c>
      <c r="R1405" t="s">
        <v>96</v>
      </c>
      <c r="S1405" t="s">
        <v>30</v>
      </c>
      <c r="T1405" t="s">
        <v>1283</v>
      </c>
      <c r="U1405" t="s">
        <v>1284</v>
      </c>
      <c r="V1405" t="s">
        <v>40</v>
      </c>
      <c r="W1405" s="1">
        <v>2572900</v>
      </c>
    </row>
    <row r="1406" spans="1:23" x14ac:dyDescent="0.2">
      <c r="A1406" t="s">
        <v>23</v>
      </c>
      <c r="B1406" t="s">
        <v>1108</v>
      </c>
      <c r="C1406" t="s">
        <v>1109</v>
      </c>
      <c r="D1406" t="s">
        <v>1234</v>
      </c>
      <c r="E1406" t="s">
        <v>1279</v>
      </c>
      <c r="F1406" t="s">
        <v>1280</v>
      </c>
      <c r="G1406" t="s">
        <v>49</v>
      </c>
      <c r="H1406" t="s">
        <v>30</v>
      </c>
      <c r="I1406" t="s">
        <v>30</v>
      </c>
      <c r="J1406" t="s">
        <v>31</v>
      </c>
      <c r="K1406" t="s">
        <v>32</v>
      </c>
      <c r="L1406" t="s">
        <v>32</v>
      </c>
      <c r="M1406" t="s">
        <v>33</v>
      </c>
      <c r="P1406" t="s">
        <v>34</v>
      </c>
      <c r="Q1406" t="s">
        <v>35</v>
      </c>
      <c r="R1406" t="s">
        <v>96</v>
      </c>
      <c r="S1406" t="s">
        <v>52</v>
      </c>
      <c r="T1406" t="s">
        <v>1283</v>
      </c>
      <c r="U1406" t="s">
        <v>1284</v>
      </c>
      <c r="V1406" t="s">
        <v>39</v>
      </c>
      <c r="W1406" s="1">
        <v>0</v>
      </c>
    </row>
    <row r="1407" spans="1:23" x14ac:dyDescent="0.2">
      <c r="A1407" t="s">
        <v>23</v>
      </c>
      <c r="B1407" t="s">
        <v>1108</v>
      </c>
      <c r="C1407" t="s">
        <v>1109</v>
      </c>
      <c r="D1407" t="s">
        <v>1234</v>
      </c>
      <c r="E1407" t="s">
        <v>1279</v>
      </c>
      <c r="F1407" t="s">
        <v>1280</v>
      </c>
      <c r="G1407" t="s">
        <v>49</v>
      </c>
      <c r="H1407" t="s">
        <v>30</v>
      </c>
      <c r="I1407" t="s">
        <v>30</v>
      </c>
      <c r="J1407" t="s">
        <v>31</v>
      </c>
      <c r="K1407" t="s">
        <v>32</v>
      </c>
      <c r="L1407" t="s">
        <v>32</v>
      </c>
      <c r="M1407" t="s">
        <v>33</v>
      </c>
      <c r="P1407" t="s">
        <v>34</v>
      </c>
      <c r="Q1407" t="s">
        <v>35</v>
      </c>
      <c r="R1407" t="s">
        <v>96</v>
      </c>
      <c r="S1407" t="s">
        <v>52</v>
      </c>
      <c r="T1407" t="s">
        <v>1283</v>
      </c>
      <c r="U1407" t="s">
        <v>1284</v>
      </c>
      <c r="V1407" t="s">
        <v>40</v>
      </c>
      <c r="W1407" s="1">
        <v>2572900</v>
      </c>
    </row>
    <row r="1408" spans="1:23" x14ac:dyDescent="0.2">
      <c r="A1408" t="s">
        <v>23</v>
      </c>
      <c r="B1408" t="s">
        <v>1108</v>
      </c>
      <c r="C1408" t="s">
        <v>1109</v>
      </c>
      <c r="D1408" t="s">
        <v>1234</v>
      </c>
      <c r="E1408" t="s">
        <v>1279</v>
      </c>
      <c r="F1408" t="s">
        <v>1280</v>
      </c>
      <c r="G1408" t="s">
        <v>89</v>
      </c>
      <c r="H1408" t="s">
        <v>30</v>
      </c>
      <c r="I1408" t="s">
        <v>30</v>
      </c>
      <c r="J1408" t="s">
        <v>41</v>
      </c>
      <c r="K1408" t="s">
        <v>32</v>
      </c>
      <c r="L1408" t="s">
        <v>32</v>
      </c>
      <c r="M1408" t="s">
        <v>33</v>
      </c>
      <c r="N1408" t="s">
        <v>33</v>
      </c>
      <c r="O1408" t="s">
        <v>33</v>
      </c>
      <c r="P1408" t="s">
        <v>34</v>
      </c>
      <c r="Q1408" t="s">
        <v>35</v>
      </c>
      <c r="R1408" t="s">
        <v>173</v>
      </c>
      <c r="S1408" t="s">
        <v>30</v>
      </c>
      <c r="T1408" t="s">
        <v>1285</v>
      </c>
      <c r="U1408" t="s">
        <v>1286</v>
      </c>
      <c r="V1408" t="s">
        <v>39</v>
      </c>
      <c r="W1408" s="1">
        <v>2</v>
      </c>
    </row>
    <row r="1409" spans="1:23" x14ac:dyDescent="0.2">
      <c r="A1409" t="s">
        <v>23</v>
      </c>
      <c r="B1409" t="s">
        <v>1108</v>
      </c>
      <c r="C1409" t="s">
        <v>1109</v>
      </c>
      <c r="D1409" t="s">
        <v>1234</v>
      </c>
      <c r="E1409" t="s">
        <v>1279</v>
      </c>
      <c r="F1409" t="s">
        <v>1280</v>
      </c>
      <c r="G1409" t="s">
        <v>89</v>
      </c>
      <c r="H1409" t="s">
        <v>30</v>
      </c>
      <c r="I1409" t="s">
        <v>30</v>
      </c>
      <c r="J1409" t="s">
        <v>41</v>
      </c>
      <c r="K1409" t="s">
        <v>32</v>
      </c>
      <c r="L1409" t="s">
        <v>32</v>
      </c>
      <c r="M1409" t="s">
        <v>33</v>
      </c>
      <c r="N1409" t="s">
        <v>33</v>
      </c>
      <c r="O1409" t="s">
        <v>33</v>
      </c>
      <c r="P1409" t="s">
        <v>34</v>
      </c>
      <c r="Q1409" t="s">
        <v>35</v>
      </c>
      <c r="R1409" t="s">
        <v>173</v>
      </c>
      <c r="S1409" t="s">
        <v>30</v>
      </c>
      <c r="T1409" t="s">
        <v>1285</v>
      </c>
      <c r="U1409" t="s">
        <v>1286</v>
      </c>
      <c r="V1409" t="s">
        <v>40</v>
      </c>
      <c r="W1409" s="1">
        <v>2058400</v>
      </c>
    </row>
    <row r="1410" spans="1:23" x14ac:dyDescent="0.2">
      <c r="A1410" t="s">
        <v>23</v>
      </c>
      <c r="B1410" t="s">
        <v>1108</v>
      </c>
      <c r="C1410" t="s">
        <v>1109</v>
      </c>
      <c r="D1410" t="s">
        <v>1234</v>
      </c>
      <c r="E1410" t="s">
        <v>1279</v>
      </c>
      <c r="F1410" t="s">
        <v>1280</v>
      </c>
      <c r="G1410" t="s">
        <v>106</v>
      </c>
      <c r="H1410" t="s">
        <v>30</v>
      </c>
      <c r="I1410" t="s">
        <v>30</v>
      </c>
      <c r="J1410" t="s">
        <v>31</v>
      </c>
      <c r="K1410" t="s">
        <v>32</v>
      </c>
      <c r="L1410" t="s">
        <v>32</v>
      </c>
      <c r="M1410" t="s">
        <v>33</v>
      </c>
      <c r="P1410" t="s">
        <v>34</v>
      </c>
      <c r="Q1410" t="s">
        <v>35</v>
      </c>
      <c r="S1410" t="s">
        <v>30</v>
      </c>
      <c r="T1410" t="s">
        <v>1287</v>
      </c>
      <c r="U1410" t="s">
        <v>1288</v>
      </c>
      <c r="V1410" t="s">
        <v>39</v>
      </c>
      <c r="W1410" s="1">
        <v>9</v>
      </c>
    </row>
    <row r="1411" spans="1:23" x14ac:dyDescent="0.2">
      <c r="A1411" t="s">
        <v>23</v>
      </c>
      <c r="B1411" t="s">
        <v>1108</v>
      </c>
      <c r="C1411" t="s">
        <v>1109</v>
      </c>
      <c r="D1411" t="s">
        <v>1234</v>
      </c>
      <c r="E1411" t="s">
        <v>1279</v>
      </c>
      <c r="F1411" t="s">
        <v>1280</v>
      </c>
      <c r="G1411" t="s">
        <v>106</v>
      </c>
      <c r="H1411" t="s">
        <v>30</v>
      </c>
      <c r="I1411" t="s">
        <v>30</v>
      </c>
      <c r="J1411" t="s">
        <v>31</v>
      </c>
      <c r="K1411" t="s">
        <v>32</v>
      </c>
      <c r="L1411" t="s">
        <v>32</v>
      </c>
      <c r="M1411" t="s">
        <v>33</v>
      </c>
      <c r="P1411" t="s">
        <v>34</v>
      </c>
      <c r="Q1411" t="s">
        <v>35</v>
      </c>
      <c r="S1411" t="s">
        <v>30</v>
      </c>
      <c r="T1411" t="s">
        <v>1287</v>
      </c>
      <c r="U1411" t="s">
        <v>1288</v>
      </c>
      <c r="V1411" t="s">
        <v>40</v>
      </c>
      <c r="W1411" s="1">
        <v>2131200</v>
      </c>
    </row>
    <row r="1412" spans="1:23" x14ac:dyDescent="0.2">
      <c r="A1412" t="s">
        <v>23</v>
      </c>
      <c r="B1412" t="s">
        <v>1108</v>
      </c>
      <c r="C1412" t="s">
        <v>1109</v>
      </c>
      <c r="D1412" t="s">
        <v>1234</v>
      </c>
      <c r="E1412" t="s">
        <v>1279</v>
      </c>
      <c r="F1412" t="s">
        <v>1280</v>
      </c>
      <c r="G1412" t="s">
        <v>139</v>
      </c>
      <c r="H1412" t="s">
        <v>30</v>
      </c>
      <c r="I1412" t="s">
        <v>30</v>
      </c>
      <c r="J1412" t="s">
        <v>31</v>
      </c>
      <c r="K1412" t="s">
        <v>32</v>
      </c>
      <c r="L1412" t="s">
        <v>32</v>
      </c>
      <c r="M1412" t="s">
        <v>33</v>
      </c>
      <c r="P1412" t="s">
        <v>34</v>
      </c>
      <c r="Q1412" t="s">
        <v>35</v>
      </c>
      <c r="R1412" t="s">
        <v>228</v>
      </c>
      <c r="S1412" t="s">
        <v>30</v>
      </c>
      <c r="T1412" t="s">
        <v>1289</v>
      </c>
      <c r="U1412" t="s">
        <v>1290</v>
      </c>
      <c r="V1412" t="s">
        <v>39</v>
      </c>
      <c r="W1412" s="1">
        <v>5</v>
      </c>
    </row>
    <row r="1413" spans="1:23" x14ac:dyDescent="0.2">
      <c r="A1413" t="s">
        <v>23</v>
      </c>
      <c r="B1413" t="s">
        <v>1108</v>
      </c>
      <c r="C1413" t="s">
        <v>1109</v>
      </c>
      <c r="D1413" t="s">
        <v>1234</v>
      </c>
      <c r="E1413" t="s">
        <v>1279</v>
      </c>
      <c r="F1413" t="s">
        <v>1280</v>
      </c>
      <c r="G1413" t="s">
        <v>139</v>
      </c>
      <c r="H1413" t="s">
        <v>30</v>
      </c>
      <c r="I1413" t="s">
        <v>30</v>
      </c>
      <c r="J1413" t="s">
        <v>31</v>
      </c>
      <c r="K1413" t="s">
        <v>32</v>
      </c>
      <c r="L1413" t="s">
        <v>32</v>
      </c>
      <c r="M1413" t="s">
        <v>33</v>
      </c>
      <c r="P1413" t="s">
        <v>34</v>
      </c>
      <c r="Q1413" t="s">
        <v>35</v>
      </c>
      <c r="R1413" t="s">
        <v>228</v>
      </c>
      <c r="S1413" t="s">
        <v>30</v>
      </c>
      <c r="T1413" t="s">
        <v>1289</v>
      </c>
      <c r="U1413" t="s">
        <v>1290</v>
      </c>
      <c r="V1413" t="s">
        <v>40</v>
      </c>
      <c r="W1413" s="1">
        <v>4750000</v>
      </c>
    </row>
    <row r="1414" spans="1:23" x14ac:dyDescent="0.2">
      <c r="A1414" t="s">
        <v>23</v>
      </c>
      <c r="B1414" t="s">
        <v>1108</v>
      </c>
      <c r="C1414" t="s">
        <v>1109</v>
      </c>
      <c r="D1414" t="s">
        <v>1234</v>
      </c>
      <c r="E1414" t="s">
        <v>1291</v>
      </c>
      <c r="F1414" t="s">
        <v>1292</v>
      </c>
      <c r="G1414" t="s">
        <v>67</v>
      </c>
      <c r="H1414" t="s">
        <v>30</v>
      </c>
      <c r="I1414" t="s">
        <v>30</v>
      </c>
      <c r="J1414" t="s">
        <v>128</v>
      </c>
      <c r="K1414" t="s">
        <v>181</v>
      </c>
      <c r="L1414" t="s">
        <v>32</v>
      </c>
      <c r="M1414" t="s">
        <v>33</v>
      </c>
      <c r="N1414" t="s">
        <v>33</v>
      </c>
      <c r="O1414" t="s">
        <v>33</v>
      </c>
      <c r="P1414" t="s">
        <v>34</v>
      </c>
      <c r="Q1414" t="s">
        <v>35</v>
      </c>
      <c r="S1414" t="s">
        <v>30</v>
      </c>
      <c r="T1414" t="s">
        <v>1293</v>
      </c>
      <c r="U1414" t="s">
        <v>1294</v>
      </c>
      <c r="V1414" t="s">
        <v>39</v>
      </c>
      <c r="W1414" s="1">
        <v>1</v>
      </c>
    </row>
    <row r="1415" spans="1:23" x14ac:dyDescent="0.2">
      <c r="A1415" t="s">
        <v>23</v>
      </c>
      <c r="B1415" t="s">
        <v>1108</v>
      </c>
      <c r="C1415" t="s">
        <v>1109</v>
      </c>
      <c r="D1415" t="s">
        <v>1234</v>
      </c>
      <c r="E1415" t="s">
        <v>1291</v>
      </c>
      <c r="F1415" t="s">
        <v>1292</v>
      </c>
      <c r="G1415" t="s">
        <v>67</v>
      </c>
      <c r="H1415" t="s">
        <v>30</v>
      </c>
      <c r="I1415" t="s">
        <v>30</v>
      </c>
      <c r="J1415" t="s">
        <v>128</v>
      </c>
      <c r="K1415" t="s">
        <v>181</v>
      </c>
      <c r="L1415" t="s">
        <v>32</v>
      </c>
      <c r="M1415" t="s">
        <v>33</v>
      </c>
      <c r="N1415" t="s">
        <v>33</v>
      </c>
      <c r="O1415" t="s">
        <v>33</v>
      </c>
      <c r="P1415" t="s">
        <v>34</v>
      </c>
      <c r="Q1415" t="s">
        <v>35</v>
      </c>
      <c r="S1415" t="s">
        <v>30</v>
      </c>
      <c r="T1415" t="s">
        <v>1293</v>
      </c>
      <c r="U1415" t="s">
        <v>1294</v>
      </c>
      <c r="V1415" t="s">
        <v>40</v>
      </c>
      <c r="W1415" s="1">
        <v>1100000</v>
      </c>
    </row>
    <row r="1416" spans="1:23" x14ac:dyDescent="0.2">
      <c r="A1416" t="s">
        <v>23</v>
      </c>
      <c r="B1416" t="s">
        <v>1108</v>
      </c>
      <c r="C1416" t="s">
        <v>1109</v>
      </c>
      <c r="D1416" t="s">
        <v>1234</v>
      </c>
      <c r="E1416" t="s">
        <v>1291</v>
      </c>
      <c r="F1416" t="s">
        <v>1292</v>
      </c>
      <c r="G1416" t="s">
        <v>106</v>
      </c>
      <c r="H1416" t="s">
        <v>30</v>
      </c>
      <c r="I1416" t="s">
        <v>30</v>
      </c>
      <c r="J1416" t="s">
        <v>31</v>
      </c>
      <c r="K1416" t="s">
        <v>32</v>
      </c>
      <c r="L1416" t="s">
        <v>32</v>
      </c>
      <c r="M1416" t="s">
        <v>33</v>
      </c>
      <c r="N1416" t="s">
        <v>33</v>
      </c>
      <c r="O1416" t="s">
        <v>33</v>
      </c>
      <c r="P1416" t="s">
        <v>34</v>
      </c>
      <c r="Q1416" t="s">
        <v>35</v>
      </c>
      <c r="S1416" t="s">
        <v>30</v>
      </c>
      <c r="T1416" t="s">
        <v>1295</v>
      </c>
      <c r="U1416" t="s">
        <v>1296</v>
      </c>
      <c r="V1416" t="s">
        <v>39</v>
      </c>
      <c r="W1416" s="1">
        <v>2</v>
      </c>
    </row>
    <row r="1417" spans="1:23" x14ac:dyDescent="0.2">
      <c r="A1417" t="s">
        <v>23</v>
      </c>
      <c r="B1417" t="s">
        <v>1108</v>
      </c>
      <c r="C1417" t="s">
        <v>1109</v>
      </c>
      <c r="D1417" t="s">
        <v>1234</v>
      </c>
      <c r="E1417" t="s">
        <v>1291</v>
      </c>
      <c r="F1417" t="s">
        <v>1292</v>
      </c>
      <c r="G1417" t="s">
        <v>106</v>
      </c>
      <c r="H1417" t="s">
        <v>30</v>
      </c>
      <c r="I1417" t="s">
        <v>30</v>
      </c>
      <c r="J1417" t="s">
        <v>31</v>
      </c>
      <c r="K1417" t="s">
        <v>32</v>
      </c>
      <c r="L1417" t="s">
        <v>32</v>
      </c>
      <c r="M1417" t="s">
        <v>33</v>
      </c>
      <c r="N1417" t="s">
        <v>33</v>
      </c>
      <c r="O1417" t="s">
        <v>33</v>
      </c>
      <c r="P1417" t="s">
        <v>34</v>
      </c>
      <c r="Q1417" t="s">
        <v>35</v>
      </c>
      <c r="S1417" t="s">
        <v>30</v>
      </c>
      <c r="T1417" t="s">
        <v>1295</v>
      </c>
      <c r="U1417" t="s">
        <v>1296</v>
      </c>
      <c r="V1417" t="s">
        <v>40</v>
      </c>
      <c r="W1417" s="1">
        <v>2013000</v>
      </c>
    </row>
    <row r="1418" spans="1:23" x14ac:dyDescent="0.2">
      <c r="A1418" t="s">
        <v>23</v>
      </c>
      <c r="B1418" t="s">
        <v>1108</v>
      </c>
      <c r="C1418" t="s">
        <v>1109</v>
      </c>
      <c r="D1418" t="s">
        <v>1234</v>
      </c>
      <c r="E1418" t="s">
        <v>1291</v>
      </c>
      <c r="F1418" t="s">
        <v>1292</v>
      </c>
      <c r="G1418" t="s">
        <v>106</v>
      </c>
      <c r="H1418" t="s">
        <v>30</v>
      </c>
      <c r="I1418" t="s">
        <v>30</v>
      </c>
      <c r="J1418" t="s">
        <v>31</v>
      </c>
      <c r="K1418" t="s">
        <v>32</v>
      </c>
      <c r="L1418" t="s">
        <v>32</v>
      </c>
      <c r="M1418" t="s">
        <v>33</v>
      </c>
      <c r="N1418" t="s">
        <v>33</v>
      </c>
      <c r="O1418" t="s">
        <v>33</v>
      </c>
      <c r="P1418" t="s">
        <v>34</v>
      </c>
      <c r="Q1418" t="s">
        <v>35</v>
      </c>
      <c r="S1418" t="s">
        <v>30</v>
      </c>
      <c r="T1418" t="s">
        <v>1297</v>
      </c>
      <c r="U1418" t="s">
        <v>1298</v>
      </c>
      <c r="V1418" t="s">
        <v>39</v>
      </c>
      <c r="W1418" s="1">
        <v>1</v>
      </c>
    </row>
    <row r="1419" spans="1:23" x14ac:dyDescent="0.2">
      <c r="A1419" t="s">
        <v>23</v>
      </c>
      <c r="B1419" t="s">
        <v>1108</v>
      </c>
      <c r="C1419" t="s">
        <v>1109</v>
      </c>
      <c r="D1419" t="s">
        <v>1234</v>
      </c>
      <c r="E1419" t="s">
        <v>1291</v>
      </c>
      <c r="F1419" t="s">
        <v>1292</v>
      </c>
      <c r="G1419" t="s">
        <v>106</v>
      </c>
      <c r="H1419" t="s">
        <v>30</v>
      </c>
      <c r="I1419" t="s">
        <v>30</v>
      </c>
      <c r="J1419" t="s">
        <v>31</v>
      </c>
      <c r="K1419" t="s">
        <v>32</v>
      </c>
      <c r="L1419" t="s">
        <v>32</v>
      </c>
      <c r="M1419" t="s">
        <v>33</v>
      </c>
      <c r="N1419" t="s">
        <v>33</v>
      </c>
      <c r="O1419" t="s">
        <v>33</v>
      </c>
      <c r="P1419" t="s">
        <v>34</v>
      </c>
      <c r="Q1419" t="s">
        <v>35</v>
      </c>
      <c r="S1419" t="s">
        <v>30</v>
      </c>
      <c r="T1419" t="s">
        <v>1297</v>
      </c>
      <c r="U1419" t="s">
        <v>1298</v>
      </c>
      <c r="V1419" t="s">
        <v>40</v>
      </c>
      <c r="W1419" s="1">
        <v>1718000</v>
      </c>
    </row>
    <row r="1420" spans="1:23" x14ac:dyDescent="0.2">
      <c r="A1420" t="s">
        <v>23</v>
      </c>
      <c r="B1420" t="s">
        <v>1108</v>
      </c>
      <c r="C1420" t="s">
        <v>1109</v>
      </c>
      <c r="D1420" t="s">
        <v>1234</v>
      </c>
      <c r="E1420" t="s">
        <v>1291</v>
      </c>
      <c r="F1420" t="s">
        <v>1292</v>
      </c>
      <c r="G1420" t="s">
        <v>106</v>
      </c>
      <c r="H1420" t="s">
        <v>30</v>
      </c>
      <c r="I1420" t="s">
        <v>30</v>
      </c>
      <c r="J1420" t="s">
        <v>31</v>
      </c>
      <c r="K1420" t="s">
        <v>32</v>
      </c>
      <c r="L1420" t="s">
        <v>32</v>
      </c>
      <c r="M1420" t="s">
        <v>33</v>
      </c>
      <c r="P1420" t="s">
        <v>34</v>
      </c>
      <c r="Q1420" t="s">
        <v>35</v>
      </c>
      <c r="S1420" t="s">
        <v>30</v>
      </c>
      <c r="T1420" t="s">
        <v>1299</v>
      </c>
      <c r="U1420" t="s">
        <v>1300</v>
      </c>
      <c r="V1420" t="s">
        <v>39</v>
      </c>
      <c r="W1420" s="1">
        <v>4</v>
      </c>
    </row>
    <row r="1421" spans="1:23" x14ac:dyDescent="0.2">
      <c r="A1421" t="s">
        <v>23</v>
      </c>
      <c r="B1421" t="s">
        <v>1108</v>
      </c>
      <c r="C1421" t="s">
        <v>1109</v>
      </c>
      <c r="D1421" t="s">
        <v>1234</v>
      </c>
      <c r="E1421" t="s">
        <v>1291</v>
      </c>
      <c r="F1421" t="s">
        <v>1292</v>
      </c>
      <c r="G1421" t="s">
        <v>106</v>
      </c>
      <c r="H1421" t="s">
        <v>30</v>
      </c>
      <c r="I1421" t="s">
        <v>30</v>
      </c>
      <c r="J1421" t="s">
        <v>31</v>
      </c>
      <c r="K1421" t="s">
        <v>32</v>
      </c>
      <c r="L1421" t="s">
        <v>32</v>
      </c>
      <c r="M1421" t="s">
        <v>33</v>
      </c>
      <c r="P1421" t="s">
        <v>34</v>
      </c>
      <c r="Q1421" t="s">
        <v>35</v>
      </c>
      <c r="S1421" t="s">
        <v>30</v>
      </c>
      <c r="T1421" t="s">
        <v>1299</v>
      </c>
      <c r="U1421" t="s">
        <v>1300</v>
      </c>
      <c r="V1421" t="s">
        <v>40</v>
      </c>
      <c r="W1421" s="1">
        <v>4275600</v>
      </c>
    </row>
    <row r="1422" spans="1:23" x14ac:dyDescent="0.2">
      <c r="A1422" t="s">
        <v>23</v>
      </c>
      <c r="B1422" t="s">
        <v>1108</v>
      </c>
      <c r="C1422" t="s">
        <v>1109</v>
      </c>
      <c r="D1422" t="s">
        <v>1234</v>
      </c>
      <c r="E1422" t="s">
        <v>1291</v>
      </c>
      <c r="F1422" t="s">
        <v>1292</v>
      </c>
      <c r="G1422" t="s">
        <v>106</v>
      </c>
      <c r="H1422" t="s">
        <v>30</v>
      </c>
      <c r="I1422" t="s">
        <v>30</v>
      </c>
      <c r="J1422" t="s">
        <v>31</v>
      </c>
      <c r="K1422" t="s">
        <v>32</v>
      </c>
      <c r="L1422" t="s">
        <v>32</v>
      </c>
      <c r="M1422" t="s">
        <v>33</v>
      </c>
      <c r="P1422" t="s">
        <v>34</v>
      </c>
      <c r="Q1422" t="s">
        <v>35</v>
      </c>
      <c r="S1422" t="s">
        <v>30</v>
      </c>
      <c r="T1422" t="s">
        <v>1297</v>
      </c>
      <c r="U1422" t="s">
        <v>1298</v>
      </c>
      <c r="V1422" t="s">
        <v>39</v>
      </c>
      <c r="W1422" s="1">
        <v>1</v>
      </c>
    </row>
    <row r="1423" spans="1:23" x14ac:dyDescent="0.2">
      <c r="A1423" t="s">
        <v>23</v>
      </c>
      <c r="B1423" t="s">
        <v>1108</v>
      </c>
      <c r="C1423" t="s">
        <v>1109</v>
      </c>
      <c r="D1423" t="s">
        <v>1234</v>
      </c>
      <c r="E1423" t="s">
        <v>1291</v>
      </c>
      <c r="F1423" t="s">
        <v>1292</v>
      </c>
      <c r="G1423" t="s">
        <v>106</v>
      </c>
      <c r="H1423" t="s">
        <v>30</v>
      </c>
      <c r="I1423" t="s">
        <v>30</v>
      </c>
      <c r="J1423" t="s">
        <v>31</v>
      </c>
      <c r="K1423" t="s">
        <v>32</v>
      </c>
      <c r="L1423" t="s">
        <v>32</v>
      </c>
      <c r="M1423" t="s">
        <v>33</v>
      </c>
      <c r="P1423" t="s">
        <v>34</v>
      </c>
      <c r="Q1423" t="s">
        <v>35</v>
      </c>
      <c r="S1423" t="s">
        <v>30</v>
      </c>
      <c r="T1423" t="s">
        <v>1297</v>
      </c>
      <c r="U1423" t="s">
        <v>1298</v>
      </c>
      <c r="V1423" t="s">
        <v>40</v>
      </c>
      <c r="W1423" s="1">
        <v>1718000</v>
      </c>
    </row>
    <row r="1424" spans="1:23" x14ac:dyDescent="0.2">
      <c r="A1424" t="s">
        <v>23</v>
      </c>
      <c r="B1424" t="s">
        <v>1108</v>
      </c>
      <c r="C1424" t="s">
        <v>1109</v>
      </c>
      <c r="D1424" t="s">
        <v>1234</v>
      </c>
      <c r="E1424" t="s">
        <v>1291</v>
      </c>
      <c r="F1424" t="s">
        <v>1292</v>
      </c>
      <c r="G1424" t="s">
        <v>106</v>
      </c>
      <c r="H1424" t="s">
        <v>30</v>
      </c>
      <c r="I1424" t="s">
        <v>30</v>
      </c>
      <c r="J1424" t="s">
        <v>41</v>
      </c>
      <c r="K1424" t="s">
        <v>32</v>
      </c>
      <c r="L1424" t="s">
        <v>32</v>
      </c>
      <c r="M1424" t="s">
        <v>33</v>
      </c>
      <c r="P1424" t="s">
        <v>34</v>
      </c>
      <c r="Q1424" t="s">
        <v>35</v>
      </c>
      <c r="S1424" t="s">
        <v>52</v>
      </c>
      <c r="T1424" t="s">
        <v>1301</v>
      </c>
      <c r="U1424" t="s">
        <v>1302</v>
      </c>
      <c r="V1424" t="s">
        <v>39</v>
      </c>
      <c r="W1424" s="1">
        <v>0</v>
      </c>
    </row>
    <row r="1425" spans="1:23" x14ac:dyDescent="0.2">
      <c r="A1425" t="s">
        <v>23</v>
      </c>
      <c r="B1425" t="s">
        <v>1108</v>
      </c>
      <c r="C1425" t="s">
        <v>1109</v>
      </c>
      <c r="D1425" t="s">
        <v>1234</v>
      </c>
      <c r="E1425" t="s">
        <v>1291</v>
      </c>
      <c r="F1425" t="s">
        <v>1292</v>
      </c>
      <c r="G1425" t="s">
        <v>106</v>
      </c>
      <c r="H1425" t="s">
        <v>30</v>
      </c>
      <c r="I1425" t="s">
        <v>30</v>
      </c>
      <c r="J1425" t="s">
        <v>41</v>
      </c>
      <c r="K1425" t="s">
        <v>32</v>
      </c>
      <c r="L1425" t="s">
        <v>32</v>
      </c>
      <c r="M1425" t="s">
        <v>33</v>
      </c>
      <c r="P1425" t="s">
        <v>34</v>
      </c>
      <c r="Q1425" t="s">
        <v>35</v>
      </c>
      <c r="S1425" t="s">
        <v>52</v>
      </c>
      <c r="T1425" t="s">
        <v>1301</v>
      </c>
      <c r="U1425" t="s">
        <v>1302</v>
      </c>
      <c r="V1425" t="s">
        <v>40</v>
      </c>
      <c r="W1425" s="1">
        <v>3196000</v>
      </c>
    </row>
    <row r="1426" spans="1:23" x14ac:dyDescent="0.2">
      <c r="A1426" t="s">
        <v>23</v>
      </c>
      <c r="B1426" t="s">
        <v>1108</v>
      </c>
      <c r="C1426" t="s">
        <v>1109</v>
      </c>
      <c r="D1426" t="s">
        <v>1234</v>
      </c>
      <c r="E1426" t="s">
        <v>1291</v>
      </c>
      <c r="F1426" t="s">
        <v>1292</v>
      </c>
      <c r="G1426" t="s">
        <v>139</v>
      </c>
      <c r="H1426" t="s">
        <v>30</v>
      </c>
      <c r="I1426" t="s">
        <v>30</v>
      </c>
      <c r="J1426" t="s">
        <v>41</v>
      </c>
      <c r="K1426" t="s">
        <v>32</v>
      </c>
      <c r="L1426" t="s">
        <v>32</v>
      </c>
      <c r="M1426" t="s">
        <v>33</v>
      </c>
      <c r="N1426" t="s">
        <v>33</v>
      </c>
      <c r="O1426" t="s">
        <v>33</v>
      </c>
      <c r="P1426" t="s">
        <v>34</v>
      </c>
      <c r="Q1426" t="s">
        <v>35</v>
      </c>
      <c r="S1426" t="s">
        <v>30</v>
      </c>
      <c r="T1426" t="s">
        <v>1303</v>
      </c>
      <c r="U1426" t="s">
        <v>1304</v>
      </c>
      <c r="V1426" t="s">
        <v>39</v>
      </c>
      <c r="W1426" s="1">
        <v>3</v>
      </c>
    </row>
    <row r="1427" spans="1:23" x14ac:dyDescent="0.2">
      <c r="A1427" t="s">
        <v>23</v>
      </c>
      <c r="B1427" t="s">
        <v>1108</v>
      </c>
      <c r="C1427" t="s">
        <v>1109</v>
      </c>
      <c r="D1427" t="s">
        <v>1234</v>
      </c>
      <c r="E1427" t="s">
        <v>1291</v>
      </c>
      <c r="F1427" t="s">
        <v>1292</v>
      </c>
      <c r="G1427" t="s">
        <v>139</v>
      </c>
      <c r="H1427" t="s">
        <v>30</v>
      </c>
      <c r="I1427" t="s">
        <v>30</v>
      </c>
      <c r="J1427" t="s">
        <v>41</v>
      </c>
      <c r="K1427" t="s">
        <v>32</v>
      </c>
      <c r="L1427" t="s">
        <v>32</v>
      </c>
      <c r="M1427" t="s">
        <v>33</v>
      </c>
      <c r="N1427" t="s">
        <v>33</v>
      </c>
      <c r="O1427" t="s">
        <v>33</v>
      </c>
      <c r="P1427" t="s">
        <v>34</v>
      </c>
      <c r="Q1427" t="s">
        <v>35</v>
      </c>
      <c r="S1427" t="s">
        <v>30</v>
      </c>
      <c r="T1427" t="s">
        <v>1303</v>
      </c>
      <c r="U1427" t="s">
        <v>1304</v>
      </c>
      <c r="V1427" t="s">
        <v>40</v>
      </c>
      <c r="W1427" s="1">
        <v>2669700</v>
      </c>
    </row>
    <row r="1428" spans="1:23" x14ac:dyDescent="0.2">
      <c r="A1428" t="s">
        <v>23</v>
      </c>
      <c r="B1428" t="s">
        <v>1108</v>
      </c>
      <c r="C1428" t="s">
        <v>1109</v>
      </c>
      <c r="D1428" t="s">
        <v>1234</v>
      </c>
      <c r="E1428" t="s">
        <v>1305</v>
      </c>
      <c r="F1428" t="s">
        <v>1306</v>
      </c>
      <c r="G1428" t="s">
        <v>29</v>
      </c>
      <c r="H1428" t="s">
        <v>30</v>
      </c>
      <c r="I1428" t="s">
        <v>30</v>
      </c>
      <c r="J1428" t="s">
        <v>41</v>
      </c>
      <c r="K1428" t="s">
        <v>32</v>
      </c>
      <c r="L1428" t="s">
        <v>32</v>
      </c>
      <c r="M1428" t="s">
        <v>33</v>
      </c>
      <c r="N1428" t="s">
        <v>33</v>
      </c>
      <c r="O1428" t="s">
        <v>33</v>
      </c>
      <c r="P1428" t="s">
        <v>34</v>
      </c>
      <c r="Q1428" t="s">
        <v>35</v>
      </c>
      <c r="S1428" t="s">
        <v>30</v>
      </c>
      <c r="T1428" t="s">
        <v>1307</v>
      </c>
      <c r="U1428" t="s">
        <v>1308</v>
      </c>
      <c r="V1428" t="s">
        <v>39</v>
      </c>
      <c r="W1428" s="1">
        <v>3</v>
      </c>
    </row>
    <row r="1429" spans="1:23" x14ac:dyDescent="0.2">
      <c r="A1429" t="s">
        <v>23</v>
      </c>
      <c r="B1429" t="s">
        <v>1108</v>
      </c>
      <c r="C1429" t="s">
        <v>1109</v>
      </c>
      <c r="D1429" t="s">
        <v>1234</v>
      </c>
      <c r="E1429" t="s">
        <v>1305</v>
      </c>
      <c r="F1429" t="s">
        <v>1306</v>
      </c>
      <c r="G1429" t="s">
        <v>29</v>
      </c>
      <c r="H1429" t="s">
        <v>30</v>
      </c>
      <c r="I1429" t="s">
        <v>30</v>
      </c>
      <c r="J1429" t="s">
        <v>41</v>
      </c>
      <c r="K1429" t="s">
        <v>32</v>
      </c>
      <c r="L1429" t="s">
        <v>32</v>
      </c>
      <c r="M1429" t="s">
        <v>33</v>
      </c>
      <c r="N1429" t="s">
        <v>33</v>
      </c>
      <c r="O1429" t="s">
        <v>33</v>
      </c>
      <c r="P1429" t="s">
        <v>34</v>
      </c>
      <c r="Q1429" t="s">
        <v>35</v>
      </c>
      <c r="S1429" t="s">
        <v>30</v>
      </c>
      <c r="T1429" t="s">
        <v>1307</v>
      </c>
      <c r="U1429" t="s">
        <v>1308</v>
      </c>
      <c r="V1429" t="s">
        <v>40</v>
      </c>
      <c r="W1429" s="1">
        <v>2895000</v>
      </c>
    </row>
    <row r="1430" spans="1:23" x14ac:dyDescent="0.2">
      <c r="A1430" t="s">
        <v>23</v>
      </c>
      <c r="B1430" t="s">
        <v>1108</v>
      </c>
      <c r="C1430" t="s">
        <v>1109</v>
      </c>
      <c r="D1430" t="s">
        <v>1234</v>
      </c>
      <c r="E1430" t="s">
        <v>1305</v>
      </c>
      <c r="F1430" t="s">
        <v>1306</v>
      </c>
      <c r="G1430" t="s">
        <v>49</v>
      </c>
      <c r="H1430" t="s">
        <v>30</v>
      </c>
      <c r="I1430" t="s">
        <v>30</v>
      </c>
      <c r="J1430" t="s">
        <v>211</v>
      </c>
      <c r="K1430" t="s">
        <v>181</v>
      </c>
      <c r="L1430" t="s">
        <v>332</v>
      </c>
      <c r="M1430" t="s">
        <v>33</v>
      </c>
      <c r="P1430" t="s">
        <v>34</v>
      </c>
      <c r="Q1430" t="s">
        <v>35</v>
      </c>
      <c r="R1430" t="s">
        <v>215</v>
      </c>
      <c r="S1430" t="s">
        <v>52</v>
      </c>
      <c r="T1430" t="s">
        <v>1309</v>
      </c>
      <c r="U1430" t="s">
        <v>1310</v>
      </c>
      <c r="V1430" t="s">
        <v>39</v>
      </c>
      <c r="W1430" s="1">
        <v>0</v>
      </c>
    </row>
    <row r="1431" spans="1:23" x14ac:dyDescent="0.2">
      <c r="A1431" t="s">
        <v>23</v>
      </c>
      <c r="B1431" t="s">
        <v>1108</v>
      </c>
      <c r="C1431" t="s">
        <v>1109</v>
      </c>
      <c r="D1431" t="s">
        <v>1234</v>
      </c>
      <c r="E1431" t="s">
        <v>1305</v>
      </c>
      <c r="F1431" t="s">
        <v>1306</v>
      </c>
      <c r="G1431" t="s">
        <v>49</v>
      </c>
      <c r="H1431" t="s">
        <v>30</v>
      </c>
      <c r="I1431" t="s">
        <v>30</v>
      </c>
      <c r="J1431" t="s">
        <v>211</v>
      </c>
      <c r="K1431" t="s">
        <v>181</v>
      </c>
      <c r="L1431" t="s">
        <v>332</v>
      </c>
      <c r="M1431" t="s">
        <v>33</v>
      </c>
      <c r="P1431" t="s">
        <v>34</v>
      </c>
      <c r="Q1431" t="s">
        <v>35</v>
      </c>
      <c r="R1431" t="s">
        <v>215</v>
      </c>
      <c r="S1431" t="s">
        <v>52</v>
      </c>
      <c r="T1431" t="s">
        <v>1309</v>
      </c>
      <c r="U1431" t="s">
        <v>1310</v>
      </c>
      <c r="V1431" t="s">
        <v>40</v>
      </c>
      <c r="W1431" s="1">
        <v>0</v>
      </c>
    </row>
    <row r="1432" spans="1:23" x14ac:dyDescent="0.2">
      <c r="A1432" t="s">
        <v>23</v>
      </c>
      <c r="B1432" t="s">
        <v>1108</v>
      </c>
      <c r="C1432" t="s">
        <v>1109</v>
      </c>
      <c r="D1432" t="s">
        <v>1234</v>
      </c>
      <c r="E1432" t="s">
        <v>1305</v>
      </c>
      <c r="F1432" t="s">
        <v>1306</v>
      </c>
      <c r="G1432" t="s">
        <v>49</v>
      </c>
      <c r="H1432" t="s">
        <v>30</v>
      </c>
      <c r="I1432" t="s">
        <v>30</v>
      </c>
      <c r="J1432" t="s">
        <v>211</v>
      </c>
      <c r="K1432" t="s">
        <v>181</v>
      </c>
      <c r="L1432" t="s">
        <v>32</v>
      </c>
      <c r="M1432" t="s">
        <v>33</v>
      </c>
      <c r="N1432" t="s">
        <v>33</v>
      </c>
      <c r="O1432" t="s">
        <v>33</v>
      </c>
      <c r="P1432" t="s">
        <v>34</v>
      </c>
      <c r="Q1432" t="s">
        <v>35</v>
      </c>
      <c r="R1432" t="s">
        <v>215</v>
      </c>
      <c r="S1432" t="s">
        <v>30</v>
      </c>
      <c r="T1432" t="s">
        <v>1309</v>
      </c>
      <c r="U1432" t="s">
        <v>1310</v>
      </c>
      <c r="V1432" t="s">
        <v>39</v>
      </c>
      <c r="W1432" s="1">
        <v>9</v>
      </c>
    </row>
    <row r="1433" spans="1:23" x14ac:dyDescent="0.2">
      <c r="A1433" t="s">
        <v>23</v>
      </c>
      <c r="B1433" t="s">
        <v>1108</v>
      </c>
      <c r="C1433" t="s">
        <v>1109</v>
      </c>
      <c r="D1433" t="s">
        <v>1234</v>
      </c>
      <c r="E1433" t="s">
        <v>1305</v>
      </c>
      <c r="F1433" t="s">
        <v>1306</v>
      </c>
      <c r="G1433" t="s">
        <v>49</v>
      </c>
      <c r="H1433" t="s">
        <v>30</v>
      </c>
      <c r="I1433" t="s">
        <v>30</v>
      </c>
      <c r="J1433" t="s">
        <v>211</v>
      </c>
      <c r="K1433" t="s">
        <v>181</v>
      </c>
      <c r="L1433" t="s">
        <v>32</v>
      </c>
      <c r="M1433" t="s">
        <v>33</v>
      </c>
      <c r="N1433" t="s">
        <v>33</v>
      </c>
      <c r="O1433" t="s">
        <v>33</v>
      </c>
      <c r="P1433" t="s">
        <v>34</v>
      </c>
      <c r="Q1433" t="s">
        <v>35</v>
      </c>
      <c r="R1433" t="s">
        <v>215</v>
      </c>
      <c r="S1433" t="s">
        <v>30</v>
      </c>
      <c r="T1433" t="s">
        <v>1309</v>
      </c>
      <c r="U1433" t="s">
        <v>1310</v>
      </c>
      <c r="V1433" t="s">
        <v>40</v>
      </c>
      <c r="W1433" s="1">
        <v>0</v>
      </c>
    </row>
    <row r="1434" spans="1:23" x14ac:dyDescent="0.2">
      <c r="A1434" t="s">
        <v>23</v>
      </c>
      <c r="B1434" t="s">
        <v>1108</v>
      </c>
      <c r="C1434" t="s">
        <v>1109</v>
      </c>
      <c r="D1434" t="s">
        <v>1234</v>
      </c>
      <c r="E1434" t="s">
        <v>1305</v>
      </c>
      <c r="F1434" t="s">
        <v>1306</v>
      </c>
      <c r="G1434" t="s">
        <v>49</v>
      </c>
      <c r="H1434" t="s">
        <v>30</v>
      </c>
      <c r="I1434" t="s">
        <v>30</v>
      </c>
      <c r="J1434" t="s">
        <v>211</v>
      </c>
      <c r="K1434" t="s">
        <v>181</v>
      </c>
      <c r="L1434" t="s">
        <v>32</v>
      </c>
      <c r="M1434" t="s">
        <v>33</v>
      </c>
      <c r="P1434" t="s">
        <v>34</v>
      </c>
      <c r="Q1434" t="s">
        <v>35</v>
      </c>
      <c r="R1434" t="s">
        <v>215</v>
      </c>
      <c r="S1434" t="s">
        <v>30</v>
      </c>
      <c r="T1434" t="s">
        <v>1309</v>
      </c>
      <c r="U1434" t="s">
        <v>1310</v>
      </c>
      <c r="V1434" t="s">
        <v>39</v>
      </c>
      <c r="W1434" s="1">
        <v>4</v>
      </c>
    </row>
    <row r="1435" spans="1:23" x14ac:dyDescent="0.2">
      <c r="A1435" t="s">
        <v>23</v>
      </c>
      <c r="B1435" t="s">
        <v>1108</v>
      </c>
      <c r="C1435" t="s">
        <v>1109</v>
      </c>
      <c r="D1435" t="s">
        <v>1234</v>
      </c>
      <c r="E1435" t="s">
        <v>1305</v>
      </c>
      <c r="F1435" t="s">
        <v>1306</v>
      </c>
      <c r="G1435" t="s">
        <v>49</v>
      </c>
      <c r="H1435" t="s">
        <v>30</v>
      </c>
      <c r="I1435" t="s">
        <v>30</v>
      </c>
      <c r="J1435" t="s">
        <v>211</v>
      </c>
      <c r="K1435" t="s">
        <v>181</v>
      </c>
      <c r="L1435" t="s">
        <v>32</v>
      </c>
      <c r="M1435" t="s">
        <v>33</v>
      </c>
      <c r="P1435" t="s">
        <v>34</v>
      </c>
      <c r="Q1435" t="s">
        <v>35</v>
      </c>
      <c r="R1435" t="s">
        <v>215</v>
      </c>
      <c r="S1435" t="s">
        <v>30</v>
      </c>
      <c r="T1435" t="s">
        <v>1309</v>
      </c>
      <c r="U1435" t="s">
        <v>1310</v>
      </c>
      <c r="V1435" t="s">
        <v>40</v>
      </c>
      <c r="W1435" s="1">
        <v>0</v>
      </c>
    </row>
    <row r="1436" spans="1:23" x14ac:dyDescent="0.2">
      <c r="A1436" t="s">
        <v>23</v>
      </c>
      <c r="B1436" t="s">
        <v>1108</v>
      </c>
      <c r="C1436" t="s">
        <v>1109</v>
      </c>
      <c r="D1436" t="s">
        <v>1234</v>
      </c>
      <c r="E1436" t="s">
        <v>1305</v>
      </c>
      <c r="F1436" t="s">
        <v>1306</v>
      </c>
      <c r="G1436" t="s">
        <v>49</v>
      </c>
      <c r="H1436" t="s">
        <v>30</v>
      </c>
      <c r="I1436" t="s">
        <v>30</v>
      </c>
      <c r="J1436" t="s">
        <v>211</v>
      </c>
      <c r="K1436" t="s">
        <v>181</v>
      </c>
      <c r="L1436" t="s">
        <v>32</v>
      </c>
      <c r="M1436" t="s">
        <v>33</v>
      </c>
      <c r="P1436" t="s">
        <v>34</v>
      </c>
      <c r="Q1436" t="s">
        <v>35</v>
      </c>
      <c r="R1436" t="s">
        <v>215</v>
      </c>
      <c r="S1436" t="s">
        <v>52</v>
      </c>
      <c r="T1436" t="s">
        <v>1309</v>
      </c>
      <c r="U1436" t="s">
        <v>1310</v>
      </c>
      <c r="V1436" t="s">
        <v>39</v>
      </c>
      <c r="W1436" s="1">
        <v>0</v>
      </c>
    </row>
    <row r="1437" spans="1:23" x14ac:dyDescent="0.2">
      <c r="A1437" t="s">
        <v>23</v>
      </c>
      <c r="B1437" t="s">
        <v>1108</v>
      </c>
      <c r="C1437" t="s">
        <v>1109</v>
      </c>
      <c r="D1437" t="s">
        <v>1234</v>
      </c>
      <c r="E1437" t="s">
        <v>1305</v>
      </c>
      <c r="F1437" t="s">
        <v>1306</v>
      </c>
      <c r="G1437" t="s">
        <v>49</v>
      </c>
      <c r="H1437" t="s">
        <v>30</v>
      </c>
      <c r="I1437" t="s">
        <v>30</v>
      </c>
      <c r="J1437" t="s">
        <v>211</v>
      </c>
      <c r="K1437" t="s">
        <v>181</v>
      </c>
      <c r="L1437" t="s">
        <v>32</v>
      </c>
      <c r="M1437" t="s">
        <v>33</v>
      </c>
      <c r="P1437" t="s">
        <v>34</v>
      </c>
      <c r="Q1437" t="s">
        <v>35</v>
      </c>
      <c r="R1437" t="s">
        <v>215</v>
      </c>
      <c r="S1437" t="s">
        <v>52</v>
      </c>
      <c r="T1437" t="s">
        <v>1309</v>
      </c>
      <c r="U1437" t="s">
        <v>1310</v>
      </c>
      <c r="V1437" t="s">
        <v>40</v>
      </c>
      <c r="W1437" s="1">
        <v>0</v>
      </c>
    </row>
    <row r="1438" spans="1:23" x14ac:dyDescent="0.2">
      <c r="A1438" t="s">
        <v>23</v>
      </c>
      <c r="B1438" t="s">
        <v>1108</v>
      </c>
      <c r="C1438" t="s">
        <v>1109</v>
      </c>
      <c r="D1438" t="s">
        <v>1234</v>
      </c>
      <c r="E1438" t="s">
        <v>1305</v>
      </c>
      <c r="F1438" t="s">
        <v>1306</v>
      </c>
      <c r="G1438" t="s">
        <v>67</v>
      </c>
      <c r="H1438" t="s">
        <v>30</v>
      </c>
      <c r="I1438" t="s">
        <v>30</v>
      </c>
      <c r="J1438" t="s">
        <v>31</v>
      </c>
      <c r="K1438" t="s">
        <v>32</v>
      </c>
      <c r="L1438" t="s">
        <v>32</v>
      </c>
      <c r="M1438" t="s">
        <v>33</v>
      </c>
      <c r="N1438" t="s">
        <v>33</v>
      </c>
      <c r="O1438" t="s">
        <v>33</v>
      </c>
      <c r="P1438" t="s">
        <v>34</v>
      </c>
      <c r="Q1438" t="s">
        <v>35</v>
      </c>
      <c r="S1438" t="s">
        <v>30</v>
      </c>
      <c r="T1438" t="s">
        <v>1311</v>
      </c>
      <c r="U1438" t="s">
        <v>1312</v>
      </c>
      <c r="V1438" t="s">
        <v>39</v>
      </c>
      <c r="W1438" s="1">
        <v>11</v>
      </c>
    </row>
    <row r="1439" spans="1:23" x14ac:dyDescent="0.2">
      <c r="A1439" t="s">
        <v>23</v>
      </c>
      <c r="B1439" t="s">
        <v>1108</v>
      </c>
      <c r="C1439" t="s">
        <v>1109</v>
      </c>
      <c r="D1439" t="s">
        <v>1234</v>
      </c>
      <c r="E1439" t="s">
        <v>1305</v>
      </c>
      <c r="F1439" t="s">
        <v>1306</v>
      </c>
      <c r="G1439" t="s">
        <v>67</v>
      </c>
      <c r="H1439" t="s">
        <v>30</v>
      </c>
      <c r="I1439" t="s">
        <v>30</v>
      </c>
      <c r="J1439" t="s">
        <v>31</v>
      </c>
      <c r="K1439" t="s">
        <v>32</v>
      </c>
      <c r="L1439" t="s">
        <v>32</v>
      </c>
      <c r="M1439" t="s">
        <v>33</v>
      </c>
      <c r="N1439" t="s">
        <v>33</v>
      </c>
      <c r="O1439" t="s">
        <v>33</v>
      </c>
      <c r="P1439" t="s">
        <v>34</v>
      </c>
      <c r="Q1439" t="s">
        <v>35</v>
      </c>
      <c r="S1439" t="s">
        <v>30</v>
      </c>
      <c r="T1439" t="s">
        <v>1311</v>
      </c>
      <c r="U1439" t="s">
        <v>1312</v>
      </c>
      <c r="V1439" t="s">
        <v>40</v>
      </c>
      <c r="W1439" s="1">
        <v>7755000</v>
      </c>
    </row>
    <row r="1440" spans="1:23" x14ac:dyDescent="0.2">
      <c r="A1440" t="s">
        <v>23</v>
      </c>
      <c r="B1440" t="s">
        <v>1108</v>
      </c>
      <c r="C1440" t="s">
        <v>1109</v>
      </c>
      <c r="D1440" t="s">
        <v>1234</v>
      </c>
      <c r="E1440" t="s">
        <v>1305</v>
      </c>
      <c r="F1440" t="s">
        <v>1306</v>
      </c>
      <c r="G1440" t="s">
        <v>67</v>
      </c>
      <c r="H1440" t="s">
        <v>30</v>
      </c>
      <c r="I1440" t="s">
        <v>30</v>
      </c>
      <c r="J1440" t="s">
        <v>31</v>
      </c>
      <c r="K1440" t="s">
        <v>32</v>
      </c>
      <c r="L1440" t="s">
        <v>32</v>
      </c>
      <c r="M1440" t="s">
        <v>33</v>
      </c>
      <c r="N1440" t="s">
        <v>176</v>
      </c>
      <c r="O1440" t="s">
        <v>176</v>
      </c>
      <c r="P1440" t="s">
        <v>34</v>
      </c>
      <c r="Q1440" t="s">
        <v>35</v>
      </c>
      <c r="S1440" t="s">
        <v>30</v>
      </c>
      <c r="T1440" t="s">
        <v>1311</v>
      </c>
      <c r="U1440" t="s">
        <v>1312</v>
      </c>
      <c r="V1440" t="s">
        <v>39</v>
      </c>
      <c r="W1440" s="1">
        <v>1</v>
      </c>
    </row>
    <row r="1441" spans="1:23" x14ac:dyDescent="0.2">
      <c r="A1441" t="s">
        <v>23</v>
      </c>
      <c r="B1441" t="s">
        <v>1108</v>
      </c>
      <c r="C1441" t="s">
        <v>1109</v>
      </c>
      <c r="D1441" t="s">
        <v>1234</v>
      </c>
      <c r="E1441" t="s">
        <v>1305</v>
      </c>
      <c r="F1441" t="s">
        <v>1306</v>
      </c>
      <c r="G1441" t="s">
        <v>67</v>
      </c>
      <c r="H1441" t="s">
        <v>30</v>
      </c>
      <c r="I1441" t="s">
        <v>30</v>
      </c>
      <c r="J1441" t="s">
        <v>31</v>
      </c>
      <c r="K1441" t="s">
        <v>32</v>
      </c>
      <c r="L1441" t="s">
        <v>32</v>
      </c>
      <c r="M1441" t="s">
        <v>33</v>
      </c>
      <c r="N1441" t="s">
        <v>176</v>
      </c>
      <c r="O1441" t="s">
        <v>176</v>
      </c>
      <c r="P1441" t="s">
        <v>34</v>
      </c>
      <c r="Q1441" t="s">
        <v>35</v>
      </c>
      <c r="S1441" t="s">
        <v>30</v>
      </c>
      <c r="T1441" t="s">
        <v>1311</v>
      </c>
      <c r="U1441" t="s">
        <v>1312</v>
      </c>
      <c r="V1441" t="s">
        <v>40</v>
      </c>
      <c r="W1441" s="1">
        <v>705000</v>
      </c>
    </row>
    <row r="1442" spans="1:23" x14ac:dyDescent="0.2">
      <c r="A1442" t="s">
        <v>23</v>
      </c>
      <c r="B1442" t="s">
        <v>1108</v>
      </c>
      <c r="C1442" t="s">
        <v>1109</v>
      </c>
      <c r="D1442" t="s">
        <v>1234</v>
      </c>
      <c r="E1442" t="s">
        <v>1305</v>
      </c>
      <c r="F1442" t="s">
        <v>1306</v>
      </c>
      <c r="G1442" t="s">
        <v>67</v>
      </c>
      <c r="H1442" t="s">
        <v>30</v>
      </c>
      <c r="I1442" t="s">
        <v>30</v>
      </c>
      <c r="J1442" t="s">
        <v>31</v>
      </c>
      <c r="K1442" t="s">
        <v>32</v>
      </c>
      <c r="L1442" t="s">
        <v>32</v>
      </c>
      <c r="M1442" t="s">
        <v>33</v>
      </c>
      <c r="P1442" t="s">
        <v>34</v>
      </c>
      <c r="Q1442" t="s">
        <v>35</v>
      </c>
      <c r="R1442" t="s">
        <v>148</v>
      </c>
      <c r="S1442" t="s">
        <v>52</v>
      </c>
      <c r="T1442" t="s">
        <v>1313</v>
      </c>
      <c r="U1442" t="s">
        <v>1314</v>
      </c>
      <c r="V1442" t="s">
        <v>39</v>
      </c>
      <c r="W1442" s="1">
        <v>0</v>
      </c>
    </row>
    <row r="1443" spans="1:23" x14ac:dyDescent="0.2">
      <c r="A1443" t="s">
        <v>23</v>
      </c>
      <c r="B1443" t="s">
        <v>1108</v>
      </c>
      <c r="C1443" t="s">
        <v>1109</v>
      </c>
      <c r="D1443" t="s">
        <v>1234</v>
      </c>
      <c r="E1443" t="s">
        <v>1305</v>
      </c>
      <c r="F1443" t="s">
        <v>1306</v>
      </c>
      <c r="G1443" t="s">
        <v>67</v>
      </c>
      <c r="H1443" t="s">
        <v>30</v>
      </c>
      <c r="I1443" t="s">
        <v>30</v>
      </c>
      <c r="J1443" t="s">
        <v>31</v>
      </c>
      <c r="K1443" t="s">
        <v>32</v>
      </c>
      <c r="L1443" t="s">
        <v>32</v>
      </c>
      <c r="M1443" t="s">
        <v>33</v>
      </c>
      <c r="P1443" t="s">
        <v>34</v>
      </c>
      <c r="Q1443" t="s">
        <v>35</v>
      </c>
      <c r="R1443" t="s">
        <v>148</v>
      </c>
      <c r="S1443" t="s">
        <v>52</v>
      </c>
      <c r="T1443" t="s">
        <v>1313</v>
      </c>
      <c r="U1443" t="s">
        <v>1314</v>
      </c>
      <c r="V1443" t="s">
        <v>40</v>
      </c>
      <c r="W1443" s="1">
        <v>1468000</v>
      </c>
    </row>
    <row r="1444" spans="1:23" x14ac:dyDescent="0.2">
      <c r="A1444" t="s">
        <v>23</v>
      </c>
      <c r="B1444" t="s">
        <v>1108</v>
      </c>
      <c r="C1444" t="s">
        <v>1109</v>
      </c>
      <c r="D1444" t="s">
        <v>1234</v>
      </c>
      <c r="E1444" t="s">
        <v>1305</v>
      </c>
      <c r="F1444" t="s">
        <v>1306</v>
      </c>
      <c r="G1444" t="s">
        <v>67</v>
      </c>
      <c r="H1444" t="s">
        <v>30</v>
      </c>
      <c r="I1444" t="s">
        <v>30</v>
      </c>
      <c r="J1444" t="s">
        <v>31</v>
      </c>
      <c r="K1444" t="s">
        <v>32</v>
      </c>
      <c r="L1444" t="s">
        <v>32</v>
      </c>
      <c r="M1444" t="s">
        <v>176</v>
      </c>
      <c r="N1444" t="s">
        <v>176</v>
      </c>
      <c r="O1444" t="s">
        <v>176</v>
      </c>
      <c r="P1444" t="s">
        <v>34</v>
      </c>
      <c r="Q1444" t="s">
        <v>35</v>
      </c>
      <c r="S1444" t="s">
        <v>30</v>
      </c>
      <c r="T1444" t="s">
        <v>1311</v>
      </c>
      <c r="U1444" t="s">
        <v>1312</v>
      </c>
      <c r="V1444" t="s">
        <v>39</v>
      </c>
      <c r="W1444" s="1">
        <v>3</v>
      </c>
    </row>
    <row r="1445" spans="1:23" x14ac:dyDescent="0.2">
      <c r="A1445" t="s">
        <v>23</v>
      </c>
      <c r="B1445" t="s">
        <v>1108</v>
      </c>
      <c r="C1445" t="s">
        <v>1109</v>
      </c>
      <c r="D1445" t="s">
        <v>1234</v>
      </c>
      <c r="E1445" t="s">
        <v>1305</v>
      </c>
      <c r="F1445" t="s">
        <v>1306</v>
      </c>
      <c r="G1445" t="s">
        <v>67</v>
      </c>
      <c r="H1445" t="s">
        <v>30</v>
      </c>
      <c r="I1445" t="s">
        <v>30</v>
      </c>
      <c r="J1445" t="s">
        <v>31</v>
      </c>
      <c r="K1445" t="s">
        <v>32</v>
      </c>
      <c r="L1445" t="s">
        <v>32</v>
      </c>
      <c r="M1445" t="s">
        <v>176</v>
      </c>
      <c r="N1445" t="s">
        <v>176</v>
      </c>
      <c r="O1445" t="s">
        <v>176</v>
      </c>
      <c r="P1445" t="s">
        <v>34</v>
      </c>
      <c r="Q1445" t="s">
        <v>35</v>
      </c>
      <c r="S1445" t="s">
        <v>30</v>
      </c>
      <c r="T1445" t="s">
        <v>1311</v>
      </c>
      <c r="U1445" t="s">
        <v>1312</v>
      </c>
      <c r="V1445" t="s">
        <v>40</v>
      </c>
      <c r="W1445" s="1">
        <v>2115000</v>
      </c>
    </row>
    <row r="1446" spans="1:23" x14ac:dyDescent="0.2">
      <c r="A1446" t="s">
        <v>23</v>
      </c>
      <c r="B1446" t="s">
        <v>1108</v>
      </c>
      <c r="C1446" t="s">
        <v>1109</v>
      </c>
      <c r="D1446" t="s">
        <v>1234</v>
      </c>
      <c r="E1446" t="s">
        <v>1305</v>
      </c>
      <c r="F1446" t="s">
        <v>1306</v>
      </c>
      <c r="G1446" t="s">
        <v>89</v>
      </c>
      <c r="H1446" t="s">
        <v>30</v>
      </c>
      <c r="I1446" t="s">
        <v>30</v>
      </c>
      <c r="J1446" t="s">
        <v>211</v>
      </c>
      <c r="K1446" t="s">
        <v>181</v>
      </c>
      <c r="L1446" t="s">
        <v>32</v>
      </c>
      <c r="M1446" t="s">
        <v>33</v>
      </c>
      <c r="N1446" t="s">
        <v>33</v>
      </c>
      <c r="O1446" t="s">
        <v>33</v>
      </c>
      <c r="P1446" t="s">
        <v>34</v>
      </c>
      <c r="Q1446" t="s">
        <v>35</v>
      </c>
      <c r="R1446" t="s">
        <v>215</v>
      </c>
      <c r="S1446" t="s">
        <v>30</v>
      </c>
      <c r="T1446" t="s">
        <v>1315</v>
      </c>
      <c r="U1446" t="s">
        <v>1316</v>
      </c>
      <c r="V1446" t="s">
        <v>39</v>
      </c>
      <c r="W1446" s="1">
        <v>4</v>
      </c>
    </row>
    <row r="1447" spans="1:23" x14ac:dyDescent="0.2">
      <c r="A1447" t="s">
        <v>23</v>
      </c>
      <c r="B1447" t="s">
        <v>1108</v>
      </c>
      <c r="C1447" t="s">
        <v>1109</v>
      </c>
      <c r="D1447" t="s">
        <v>1234</v>
      </c>
      <c r="E1447" t="s">
        <v>1305</v>
      </c>
      <c r="F1447" t="s">
        <v>1306</v>
      </c>
      <c r="G1447" t="s">
        <v>89</v>
      </c>
      <c r="H1447" t="s">
        <v>30</v>
      </c>
      <c r="I1447" t="s">
        <v>30</v>
      </c>
      <c r="J1447" t="s">
        <v>211</v>
      </c>
      <c r="K1447" t="s">
        <v>181</v>
      </c>
      <c r="L1447" t="s">
        <v>32</v>
      </c>
      <c r="M1447" t="s">
        <v>33</v>
      </c>
      <c r="N1447" t="s">
        <v>33</v>
      </c>
      <c r="O1447" t="s">
        <v>33</v>
      </c>
      <c r="P1447" t="s">
        <v>34</v>
      </c>
      <c r="Q1447" t="s">
        <v>35</v>
      </c>
      <c r="R1447" t="s">
        <v>215</v>
      </c>
      <c r="S1447" t="s">
        <v>30</v>
      </c>
      <c r="T1447" t="s">
        <v>1315</v>
      </c>
      <c r="U1447" t="s">
        <v>1316</v>
      </c>
      <c r="V1447" t="s">
        <v>40</v>
      </c>
      <c r="W1447" s="1">
        <v>0</v>
      </c>
    </row>
    <row r="1448" spans="1:23" x14ac:dyDescent="0.2">
      <c r="A1448" t="s">
        <v>23</v>
      </c>
      <c r="B1448" t="s">
        <v>1108</v>
      </c>
      <c r="C1448" t="s">
        <v>1109</v>
      </c>
      <c r="D1448" t="s">
        <v>1234</v>
      </c>
      <c r="E1448" t="s">
        <v>1305</v>
      </c>
      <c r="F1448" t="s">
        <v>1306</v>
      </c>
      <c r="G1448" t="s">
        <v>119</v>
      </c>
      <c r="H1448" t="s">
        <v>30</v>
      </c>
      <c r="I1448" t="s">
        <v>52</v>
      </c>
      <c r="J1448" t="s">
        <v>31</v>
      </c>
      <c r="K1448" t="s">
        <v>32</v>
      </c>
      <c r="L1448" t="s">
        <v>32</v>
      </c>
      <c r="M1448" t="s">
        <v>33</v>
      </c>
      <c r="N1448" t="s">
        <v>33</v>
      </c>
      <c r="O1448" t="s">
        <v>33</v>
      </c>
      <c r="P1448" t="s">
        <v>34</v>
      </c>
      <c r="Q1448" t="s">
        <v>35</v>
      </c>
      <c r="R1448" t="s">
        <v>44</v>
      </c>
      <c r="S1448" t="s">
        <v>30</v>
      </c>
      <c r="T1448" t="s">
        <v>1317</v>
      </c>
      <c r="U1448" t="s">
        <v>1318</v>
      </c>
      <c r="V1448" t="s">
        <v>39</v>
      </c>
      <c r="W1448" s="1">
        <v>2</v>
      </c>
    </row>
    <row r="1449" spans="1:23" x14ac:dyDescent="0.2">
      <c r="A1449" t="s">
        <v>23</v>
      </c>
      <c r="B1449" t="s">
        <v>1108</v>
      </c>
      <c r="C1449" t="s">
        <v>1109</v>
      </c>
      <c r="D1449" t="s">
        <v>1234</v>
      </c>
      <c r="E1449" t="s">
        <v>1305</v>
      </c>
      <c r="F1449" t="s">
        <v>1306</v>
      </c>
      <c r="G1449" t="s">
        <v>119</v>
      </c>
      <c r="H1449" t="s">
        <v>30</v>
      </c>
      <c r="I1449" t="s">
        <v>52</v>
      </c>
      <c r="J1449" t="s">
        <v>31</v>
      </c>
      <c r="K1449" t="s">
        <v>32</v>
      </c>
      <c r="L1449" t="s">
        <v>32</v>
      </c>
      <c r="M1449" t="s">
        <v>33</v>
      </c>
      <c r="N1449" t="s">
        <v>33</v>
      </c>
      <c r="O1449" t="s">
        <v>33</v>
      </c>
      <c r="P1449" t="s">
        <v>34</v>
      </c>
      <c r="Q1449" t="s">
        <v>35</v>
      </c>
      <c r="R1449" t="s">
        <v>44</v>
      </c>
      <c r="S1449" t="s">
        <v>30</v>
      </c>
      <c r="T1449" t="s">
        <v>1317</v>
      </c>
      <c r="U1449" t="s">
        <v>1318</v>
      </c>
      <c r="V1449" t="s">
        <v>40</v>
      </c>
      <c r="W1449" s="1">
        <v>2480200</v>
      </c>
    </row>
    <row r="1450" spans="1:23" x14ac:dyDescent="0.2">
      <c r="A1450" t="s">
        <v>23</v>
      </c>
      <c r="B1450" t="s">
        <v>1108</v>
      </c>
      <c r="C1450" t="s">
        <v>1109</v>
      </c>
      <c r="D1450" t="s">
        <v>1234</v>
      </c>
      <c r="E1450" t="s">
        <v>1305</v>
      </c>
      <c r="F1450" t="s">
        <v>1306</v>
      </c>
      <c r="G1450" t="s">
        <v>119</v>
      </c>
      <c r="H1450" t="s">
        <v>30</v>
      </c>
      <c r="I1450" t="s">
        <v>52</v>
      </c>
      <c r="J1450" t="s">
        <v>31</v>
      </c>
      <c r="K1450" t="s">
        <v>32</v>
      </c>
      <c r="L1450" t="s">
        <v>32</v>
      </c>
      <c r="M1450" t="s">
        <v>33</v>
      </c>
      <c r="N1450" t="s">
        <v>169</v>
      </c>
      <c r="O1450" t="s">
        <v>169</v>
      </c>
      <c r="P1450" t="s">
        <v>34</v>
      </c>
      <c r="Q1450" t="s">
        <v>35</v>
      </c>
      <c r="R1450" t="s">
        <v>44</v>
      </c>
      <c r="S1450" t="s">
        <v>30</v>
      </c>
      <c r="T1450" t="s">
        <v>1317</v>
      </c>
      <c r="U1450" t="s">
        <v>1318</v>
      </c>
      <c r="V1450" t="s">
        <v>39</v>
      </c>
      <c r="W1450" s="1">
        <v>1</v>
      </c>
    </row>
    <row r="1451" spans="1:23" x14ac:dyDescent="0.2">
      <c r="A1451" t="s">
        <v>23</v>
      </c>
      <c r="B1451" t="s">
        <v>1108</v>
      </c>
      <c r="C1451" t="s">
        <v>1109</v>
      </c>
      <c r="D1451" t="s">
        <v>1234</v>
      </c>
      <c r="E1451" t="s">
        <v>1305</v>
      </c>
      <c r="F1451" t="s">
        <v>1306</v>
      </c>
      <c r="G1451" t="s">
        <v>119</v>
      </c>
      <c r="H1451" t="s">
        <v>30</v>
      </c>
      <c r="I1451" t="s">
        <v>52</v>
      </c>
      <c r="J1451" t="s">
        <v>31</v>
      </c>
      <c r="K1451" t="s">
        <v>32</v>
      </c>
      <c r="L1451" t="s">
        <v>32</v>
      </c>
      <c r="M1451" t="s">
        <v>33</v>
      </c>
      <c r="N1451" t="s">
        <v>169</v>
      </c>
      <c r="O1451" t="s">
        <v>169</v>
      </c>
      <c r="P1451" t="s">
        <v>34</v>
      </c>
      <c r="Q1451" t="s">
        <v>35</v>
      </c>
      <c r="R1451" t="s">
        <v>44</v>
      </c>
      <c r="S1451" t="s">
        <v>30</v>
      </c>
      <c r="T1451" t="s">
        <v>1317</v>
      </c>
      <c r="U1451" t="s">
        <v>1318</v>
      </c>
      <c r="V1451" t="s">
        <v>40</v>
      </c>
      <c r="W1451" s="1">
        <v>1240100</v>
      </c>
    </row>
    <row r="1452" spans="1:23" x14ac:dyDescent="0.2">
      <c r="A1452" t="s">
        <v>23</v>
      </c>
      <c r="B1452" t="s">
        <v>1108</v>
      </c>
      <c r="C1452" t="s">
        <v>1109</v>
      </c>
      <c r="D1452" t="s">
        <v>1234</v>
      </c>
      <c r="E1452" t="s">
        <v>1305</v>
      </c>
      <c r="F1452" t="s">
        <v>1306</v>
      </c>
      <c r="G1452" t="s">
        <v>119</v>
      </c>
      <c r="H1452" t="s">
        <v>30</v>
      </c>
      <c r="I1452" t="s">
        <v>52</v>
      </c>
      <c r="J1452" t="s">
        <v>31</v>
      </c>
      <c r="K1452" t="s">
        <v>32</v>
      </c>
      <c r="L1452" t="s">
        <v>32</v>
      </c>
      <c r="M1452" t="s">
        <v>33</v>
      </c>
      <c r="P1452" t="s">
        <v>34</v>
      </c>
      <c r="Q1452" t="s">
        <v>35</v>
      </c>
      <c r="R1452" t="s">
        <v>44</v>
      </c>
      <c r="S1452" t="s">
        <v>30</v>
      </c>
      <c r="T1452" t="s">
        <v>1317</v>
      </c>
      <c r="U1452" t="s">
        <v>1318</v>
      </c>
      <c r="V1452" t="s">
        <v>39</v>
      </c>
      <c r="W1452" s="1">
        <v>4</v>
      </c>
    </row>
    <row r="1453" spans="1:23" x14ac:dyDescent="0.2">
      <c r="A1453" t="s">
        <v>23</v>
      </c>
      <c r="B1453" t="s">
        <v>1108</v>
      </c>
      <c r="C1453" t="s">
        <v>1109</v>
      </c>
      <c r="D1453" t="s">
        <v>1234</v>
      </c>
      <c r="E1453" t="s">
        <v>1305</v>
      </c>
      <c r="F1453" t="s">
        <v>1306</v>
      </c>
      <c r="G1453" t="s">
        <v>119</v>
      </c>
      <c r="H1453" t="s">
        <v>30</v>
      </c>
      <c r="I1453" t="s">
        <v>52</v>
      </c>
      <c r="J1453" t="s">
        <v>31</v>
      </c>
      <c r="K1453" t="s">
        <v>32</v>
      </c>
      <c r="L1453" t="s">
        <v>32</v>
      </c>
      <c r="M1453" t="s">
        <v>33</v>
      </c>
      <c r="P1453" t="s">
        <v>34</v>
      </c>
      <c r="Q1453" t="s">
        <v>35</v>
      </c>
      <c r="R1453" t="s">
        <v>44</v>
      </c>
      <c r="S1453" t="s">
        <v>30</v>
      </c>
      <c r="T1453" t="s">
        <v>1317</v>
      </c>
      <c r="U1453" t="s">
        <v>1318</v>
      </c>
      <c r="V1453" t="s">
        <v>40</v>
      </c>
      <c r="W1453" s="1">
        <v>4960400</v>
      </c>
    </row>
    <row r="1454" spans="1:23" x14ac:dyDescent="0.2">
      <c r="A1454" t="s">
        <v>23</v>
      </c>
      <c r="B1454" t="s">
        <v>1108</v>
      </c>
      <c r="C1454" t="s">
        <v>1109</v>
      </c>
      <c r="D1454" t="s">
        <v>1234</v>
      </c>
      <c r="E1454" t="s">
        <v>1305</v>
      </c>
      <c r="F1454" t="s">
        <v>1306</v>
      </c>
      <c r="G1454" t="s">
        <v>119</v>
      </c>
      <c r="H1454" t="s">
        <v>30</v>
      </c>
      <c r="I1454" t="s">
        <v>52</v>
      </c>
      <c r="J1454" t="s">
        <v>31</v>
      </c>
      <c r="K1454" t="s">
        <v>32</v>
      </c>
      <c r="L1454" t="s">
        <v>32</v>
      </c>
      <c r="M1454" t="s">
        <v>33</v>
      </c>
      <c r="P1454" t="s">
        <v>34</v>
      </c>
      <c r="Q1454" t="s">
        <v>35</v>
      </c>
      <c r="S1454" t="s">
        <v>30</v>
      </c>
      <c r="T1454" t="s">
        <v>1319</v>
      </c>
      <c r="U1454" t="s">
        <v>1320</v>
      </c>
      <c r="V1454" t="s">
        <v>39</v>
      </c>
      <c r="W1454" s="1">
        <v>3</v>
      </c>
    </row>
    <row r="1455" spans="1:23" x14ac:dyDescent="0.2">
      <c r="A1455" t="s">
        <v>23</v>
      </c>
      <c r="B1455" t="s">
        <v>1108</v>
      </c>
      <c r="C1455" t="s">
        <v>1109</v>
      </c>
      <c r="D1455" t="s">
        <v>1234</v>
      </c>
      <c r="E1455" t="s">
        <v>1305</v>
      </c>
      <c r="F1455" t="s">
        <v>1306</v>
      </c>
      <c r="G1455" t="s">
        <v>119</v>
      </c>
      <c r="H1455" t="s">
        <v>30</v>
      </c>
      <c r="I1455" t="s">
        <v>52</v>
      </c>
      <c r="J1455" t="s">
        <v>31</v>
      </c>
      <c r="K1455" t="s">
        <v>32</v>
      </c>
      <c r="L1455" t="s">
        <v>32</v>
      </c>
      <c r="M1455" t="s">
        <v>33</v>
      </c>
      <c r="P1455" t="s">
        <v>34</v>
      </c>
      <c r="Q1455" t="s">
        <v>35</v>
      </c>
      <c r="S1455" t="s">
        <v>30</v>
      </c>
      <c r="T1455" t="s">
        <v>1319</v>
      </c>
      <c r="U1455" t="s">
        <v>1320</v>
      </c>
      <c r="V1455" t="s">
        <v>40</v>
      </c>
      <c r="W1455" s="1">
        <v>3674400</v>
      </c>
    </row>
    <row r="1456" spans="1:23" x14ac:dyDescent="0.2">
      <c r="A1456" t="s">
        <v>23</v>
      </c>
      <c r="B1456" t="s">
        <v>1108</v>
      </c>
      <c r="C1456" t="s">
        <v>1109</v>
      </c>
      <c r="D1456" t="s">
        <v>1234</v>
      </c>
      <c r="E1456" t="s">
        <v>1305</v>
      </c>
      <c r="F1456" t="s">
        <v>1306</v>
      </c>
      <c r="G1456" t="s">
        <v>119</v>
      </c>
      <c r="H1456" t="s">
        <v>30</v>
      </c>
      <c r="I1456" t="s">
        <v>52</v>
      </c>
      <c r="J1456" t="s">
        <v>31</v>
      </c>
      <c r="K1456" t="s">
        <v>32</v>
      </c>
      <c r="L1456" t="s">
        <v>32</v>
      </c>
      <c r="M1456" t="s">
        <v>176</v>
      </c>
      <c r="P1456" t="s">
        <v>34</v>
      </c>
      <c r="Q1456" t="s">
        <v>35</v>
      </c>
      <c r="R1456" t="s">
        <v>44</v>
      </c>
      <c r="S1456" t="s">
        <v>30</v>
      </c>
      <c r="T1456" t="s">
        <v>1317</v>
      </c>
      <c r="U1456" t="s">
        <v>1318</v>
      </c>
      <c r="V1456" t="s">
        <v>39</v>
      </c>
      <c r="W1456" s="1">
        <v>1</v>
      </c>
    </row>
    <row r="1457" spans="1:23" x14ac:dyDescent="0.2">
      <c r="A1457" t="s">
        <v>23</v>
      </c>
      <c r="B1457" t="s">
        <v>1108</v>
      </c>
      <c r="C1457" t="s">
        <v>1109</v>
      </c>
      <c r="D1457" t="s">
        <v>1234</v>
      </c>
      <c r="E1457" t="s">
        <v>1305</v>
      </c>
      <c r="F1457" t="s">
        <v>1306</v>
      </c>
      <c r="G1457" t="s">
        <v>119</v>
      </c>
      <c r="H1457" t="s">
        <v>30</v>
      </c>
      <c r="I1457" t="s">
        <v>52</v>
      </c>
      <c r="J1457" t="s">
        <v>31</v>
      </c>
      <c r="K1457" t="s">
        <v>32</v>
      </c>
      <c r="L1457" t="s">
        <v>32</v>
      </c>
      <c r="M1457" t="s">
        <v>176</v>
      </c>
      <c r="P1457" t="s">
        <v>34</v>
      </c>
      <c r="Q1457" t="s">
        <v>35</v>
      </c>
      <c r="R1457" t="s">
        <v>44</v>
      </c>
      <c r="S1457" t="s">
        <v>30</v>
      </c>
      <c r="T1457" t="s">
        <v>1317</v>
      </c>
      <c r="U1457" t="s">
        <v>1318</v>
      </c>
      <c r="V1457" t="s">
        <v>40</v>
      </c>
      <c r="W1457" s="1">
        <v>1240100</v>
      </c>
    </row>
    <row r="1458" spans="1:23" x14ac:dyDescent="0.2">
      <c r="A1458" t="s">
        <v>23</v>
      </c>
      <c r="B1458" t="s">
        <v>1108</v>
      </c>
      <c r="C1458" t="s">
        <v>1109</v>
      </c>
      <c r="D1458" t="s">
        <v>1234</v>
      </c>
      <c r="E1458" t="s">
        <v>1305</v>
      </c>
      <c r="F1458" t="s">
        <v>1306</v>
      </c>
      <c r="G1458" t="s">
        <v>139</v>
      </c>
      <c r="H1458" t="s">
        <v>30</v>
      </c>
      <c r="I1458" t="s">
        <v>30</v>
      </c>
      <c r="J1458" t="s">
        <v>211</v>
      </c>
      <c r="K1458" t="s">
        <v>181</v>
      </c>
      <c r="L1458" t="s">
        <v>332</v>
      </c>
      <c r="M1458" t="s">
        <v>33</v>
      </c>
      <c r="N1458" t="s">
        <v>33</v>
      </c>
      <c r="O1458" t="s">
        <v>33</v>
      </c>
      <c r="P1458" t="s">
        <v>34</v>
      </c>
      <c r="Q1458" t="s">
        <v>35</v>
      </c>
      <c r="R1458" t="s">
        <v>215</v>
      </c>
      <c r="S1458" t="s">
        <v>30</v>
      </c>
      <c r="T1458" t="s">
        <v>1321</v>
      </c>
      <c r="U1458" t="s">
        <v>1322</v>
      </c>
      <c r="V1458" t="s">
        <v>39</v>
      </c>
      <c r="W1458" s="1">
        <v>2</v>
      </c>
    </row>
    <row r="1459" spans="1:23" x14ac:dyDescent="0.2">
      <c r="A1459" t="s">
        <v>23</v>
      </c>
      <c r="B1459" t="s">
        <v>1108</v>
      </c>
      <c r="C1459" t="s">
        <v>1109</v>
      </c>
      <c r="D1459" t="s">
        <v>1234</v>
      </c>
      <c r="E1459" t="s">
        <v>1305</v>
      </c>
      <c r="F1459" t="s">
        <v>1306</v>
      </c>
      <c r="G1459" t="s">
        <v>139</v>
      </c>
      <c r="H1459" t="s">
        <v>30</v>
      </c>
      <c r="I1459" t="s">
        <v>30</v>
      </c>
      <c r="J1459" t="s">
        <v>211</v>
      </c>
      <c r="K1459" t="s">
        <v>181</v>
      </c>
      <c r="L1459" t="s">
        <v>332</v>
      </c>
      <c r="M1459" t="s">
        <v>33</v>
      </c>
      <c r="N1459" t="s">
        <v>33</v>
      </c>
      <c r="O1459" t="s">
        <v>33</v>
      </c>
      <c r="P1459" t="s">
        <v>34</v>
      </c>
      <c r="Q1459" t="s">
        <v>35</v>
      </c>
      <c r="R1459" t="s">
        <v>215</v>
      </c>
      <c r="S1459" t="s">
        <v>30</v>
      </c>
      <c r="T1459" t="s">
        <v>1321</v>
      </c>
      <c r="U1459" t="s">
        <v>1322</v>
      </c>
      <c r="V1459" t="s">
        <v>40</v>
      </c>
      <c r="W1459" s="1">
        <v>0</v>
      </c>
    </row>
    <row r="1460" spans="1:23" x14ac:dyDescent="0.2">
      <c r="A1460" t="s">
        <v>23</v>
      </c>
      <c r="B1460" t="s">
        <v>1108</v>
      </c>
      <c r="C1460" t="s">
        <v>1109</v>
      </c>
      <c r="D1460" t="s">
        <v>1234</v>
      </c>
      <c r="E1460" t="s">
        <v>1305</v>
      </c>
      <c r="F1460" t="s">
        <v>1306</v>
      </c>
      <c r="G1460" t="s">
        <v>139</v>
      </c>
      <c r="H1460" t="s">
        <v>30</v>
      </c>
      <c r="I1460" t="s">
        <v>30</v>
      </c>
      <c r="J1460" t="s">
        <v>211</v>
      </c>
      <c r="K1460" t="s">
        <v>181</v>
      </c>
      <c r="L1460" t="s">
        <v>32</v>
      </c>
      <c r="M1460" t="s">
        <v>33</v>
      </c>
      <c r="N1460" t="s">
        <v>33</v>
      </c>
      <c r="O1460" t="s">
        <v>33</v>
      </c>
      <c r="P1460" t="s">
        <v>34</v>
      </c>
      <c r="Q1460" t="s">
        <v>35</v>
      </c>
      <c r="R1460" t="s">
        <v>215</v>
      </c>
      <c r="S1460" t="s">
        <v>30</v>
      </c>
      <c r="T1460" t="s">
        <v>1321</v>
      </c>
      <c r="U1460" t="s">
        <v>1322</v>
      </c>
      <c r="V1460" t="s">
        <v>39</v>
      </c>
      <c r="W1460" s="1">
        <v>2</v>
      </c>
    </row>
    <row r="1461" spans="1:23" x14ac:dyDescent="0.2">
      <c r="A1461" t="s">
        <v>23</v>
      </c>
      <c r="B1461" t="s">
        <v>1108</v>
      </c>
      <c r="C1461" t="s">
        <v>1109</v>
      </c>
      <c r="D1461" t="s">
        <v>1234</v>
      </c>
      <c r="E1461" t="s">
        <v>1305</v>
      </c>
      <c r="F1461" t="s">
        <v>1306</v>
      </c>
      <c r="G1461" t="s">
        <v>139</v>
      </c>
      <c r="H1461" t="s">
        <v>30</v>
      </c>
      <c r="I1461" t="s">
        <v>30</v>
      </c>
      <c r="J1461" t="s">
        <v>211</v>
      </c>
      <c r="K1461" t="s">
        <v>181</v>
      </c>
      <c r="L1461" t="s">
        <v>32</v>
      </c>
      <c r="M1461" t="s">
        <v>33</v>
      </c>
      <c r="N1461" t="s">
        <v>33</v>
      </c>
      <c r="O1461" t="s">
        <v>33</v>
      </c>
      <c r="P1461" t="s">
        <v>34</v>
      </c>
      <c r="Q1461" t="s">
        <v>35</v>
      </c>
      <c r="R1461" t="s">
        <v>215</v>
      </c>
      <c r="S1461" t="s">
        <v>30</v>
      </c>
      <c r="T1461" t="s">
        <v>1321</v>
      </c>
      <c r="U1461" t="s">
        <v>1322</v>
      </c>
      <c r="V1461" t="s">
        <v>40</v>
      </c>
      <c r="W1461" s="1">
        <v>0</v>
      </c>
    </row>
    <row r="1462" spans="1:23" x14ac:dyDescent="0.2">
      <c r="A1462" t="s">
        <v>23</v>
      </c>
      <c r="B1462" t="s">
        <v>1108</v>
      </c>
      <c r="C1462" t="s">
        <v>1109</v>
      </c>
      <c r="D1462" t="s">
        <v>1234</v>
      </c>
      <c r="E1462" t="s">
        <v>1305</v>
      </c>
      <c r="F1462" t="s">
        <v>1306</v>
      </c>
      <c r="G1462" t="s">
        <v>139</v>
      </c>
      <c r="H1462" t="s">
        <v>30</v>
      </c>
      <c r="I1462" t="s">
        <v>30</v>
      </c>
      <c r="J1462" t="s">
        <v>128</v>
      </c>
      <c r="K1462" t="s">
        <v>135</v>
      </c>
      <c r="L1462" t="s">
        <v>32</v>
      </c>
      <c r="M1462" t="s">
        <v>33</v>
      </c>
      <c r="N1462" t="s">
        <v>33</v>
      </c>
      <c r="O1462" t="s">
        <v>33</v>
      </c>
      <c r="P1462" t="s">
        <v>213</v>
      </c>
      <c r="Q1462" t="s">
        <v>214</v>
      </c>
      <c r="R1462" t="s">
        <v>274</v>
      </c>
      <c r="S1462" t="s">
        <v>30</v>
      </c>
      <c r="T1462" t="s">
        <v>1323</v>
      </c>
      <c r="U1462" t="s">
        <v>1324</v>
      </c>
      <c r="V1462" t="s">
        <v>39</v>
      </c>
      <c r="W1462" s="1">
        <v>7</v>
      </c>
    </row>
    <row r="1463" spans="1:23" x14ac:dyDescent="0.2">
      <c r="A1463" t="s">
        <v>23</v>
      </c>
      <c r="B1463" t="s">
        <v>1108</v>
      </c>
      <c r="C1463" t="s">
        <v>1109</v>
      </c>
      <c r="D1463" t="s">
        <v>1234</v>
      </c>
      <c r="E1463" t="s">
        <v>1305</v>
      </c>
      <c r="F1463" t="s">
        <v>1306</v>
      </c>
      <c r="G1463" t="s">
        <v>139</v>
      </c>
      <c r="H1463" t="s">
        <v>30</v>
      </c>
      <c r="I1463" t="s">
        <v>30</v>
      </c>
      <c r="J1463" t="s">
        <v>128</v>
      </c>
      <c r="K1463" t="s">
        <v>135</v>
      </c>
      <c r="L1463" t="s">
        <v>32</v>
      </c>
      <c r="M1463" t="s">
        <v>33</v>
      </c>
      <c r="N1463" t="s">
        <v>33</v>
      </c>
      <c r="O1463" t="s">
        <v>33</v>
      </c>
      <c r="P1463" t="s">
        <v>213</v>
      </c>
      <c r="Q1463" t="s">
        <v>214</v>
      </c>
      <c r="R1463" t="s">
        <v>274</v>
      </c>
      <c r="S1463" t="s">
        <v>30</v>
      </c>
      <c r="T1463" t="s">
        <v>1323</v>
      </c>
      <c r="U1463" t="s">
        <v>1324</v>
      </c>
      <c r="V1463" t="s">
        <v>40</v>
      </c>
      <c r="W1463" s="1">
        <v>3507700</v>
      </c>
    </row>
    <row r="1464" spans="1:23" x14ac:dyDescent="0.2">
      <c r="A1464" t="s">
        <v>23</v>
      </c>
      <c r="B1464" t="s">
        <v>1108</v>
      </c>
      <c r="C1464" t="s">
        <v>1109</v>
      </c>
      <c r="D1464" t="s">
        <v>1234</v>
      </c>
      <c r="E1464" t="s">
        <v>1305</v>
      </c>
      <c r="F1464" t="s">
        <v>1306</v>
      </c>
      <c r="G1464" t="s">
        <v>139</v>
      </c>
      <c r="H1464" t="s">
        <v>30</v>
      </c>
      <c r="I1464" t="s">
        <v>30</v>
      </c>
      <c r="J1464" t="s">
        <v>128</v>
      </c>
      <c r="K1464" t="s">
        <v>135</v>
      </c>
      <c r="L1464" t="s">
        <v>32</v>
      </c>
      <c r="M1464" t="s">
        <v>33</v>
      </c>
      <c r="N1464" t="s">
        <v>169</v>
      </c>
      <c r="O1464" t="s">
        <v>169</v>
      </c>
      <c r="P1464" t="s">
        <v>213</v>
      </c>
      <c r="Q1464" t="s">
        <v>214</v>
      </c>
      <c r="R1464" t="s">
        <v>274</v>
      </c>
      <c r="S1464" t="s">
        <v>30</v>
      </c>
      <c r="T1464" t="s">
        <v>1323</v>
      </c>
      <c r="U1464" t="s">
        <v>1324</v>
      </c>
      <c r="V1464" t="s">
        <v>39</v>
      </c>
      <c r="W1464" s="1">
        <v>1</v>
      </c>
    </row>
    <row r="1465" spans="1:23" x14ac:dyDescent="0.2">
      <c r="A1465" t="s">
        <v>23</v>
      </c>
      <c r="B1465" t="s">
        <v>1108</v>
      </c>
      <c r="C1465" t="s">
        <v>1109</v>
      </c>
      <c r="D1465" t="s">
        <v>1234</v>
      </c>
      <c r="E1465" t="s">
        <v>1305</v>
      </c>
      <c r="F1465" t="s">
        <v>1306</v>
      </c>
      <c r="G1465" t="s">
        <v>139</v>
      </c>
      <c r="H1465" t="s">
        <v>30</v>
      </c>
      <c r="I1465" t="s">
        <v>30</v>
      </c>
      <c r="J1465" t="s">
        <v>128</v>
      </c>
      <c r="K1465" t="s">
        <v>135</v>
      </c>
      <c r="L1465" t="s">
        <v>32</v>
      </c>
      <c r="M1465" t="s">
        <v>33</v>
      </c>
      <c r="N1465" t="s">
        <v>169</v>
      </c>
      <c r="O1465" t="s">
        <v>169</v>
      </c>
      <c r="P1465" t="s">
        <v>213</v>
      </c>
      <c r="Q1465" t="s">
        <v>214</v>
      </c>
      <c r="R1465" t="s">
        <v>274</v>
      </c>
      <c r="S1465" t="s">
        <v>30</v>
      </c>
      <c r="T1465" t="s">
        <v>1323</v>
      </c>
      <c r="U1465" t="s">
        <v>1324</v>
      </c>
      <c r="V1465" t="s">
        <v>40</v>
      </c>
      <c r="W1465" s="1">
        <v>501100</v>
      </c>
    </row>
    <row r="1466" spans="1:23" x14ac:dyDescent="0.2">
      <c r="A1466" t="s">
        <v>23</v>
      </c>
      <c r="B1466" t="s">
        <v>1108</v>
      </c>
      <c r="C1466" t="s">
        <v>1109</v>
      </c>
      <c r="D1466" t="s">
        <v>1234</v>
      </c>
      <c r="E1466" t="s">
        <v>1305</v>
      </c>
      <c r="F1466" t="s">
        <v>1306</v>
      </c>
      <c r="G1466" t="s">
        <v>139</v>
      </c>
      <c r="H1466" t="s">
        <v>30</v>
      </c>
      <c r="I1466" t="s">
        <v>30</v>
      </c>
      <c r="J1466" t="s">
        <v>233</v>
      </c>
      <c r="K1466" t="s">
        <v>181</v>
      </c>
      <c r="L1466" t="s">
        <v>32</v>
      </c>
      <c r="M1466" t="s">
        <v>33</v>
      </c>
      <c r="P1466" t="s">
        <v>34</v>
      </c>
      <c r="Q1466" t="s">
        <v>35</v>
      </c>
      <c r="R1466" t="s">
        <v>693</v>
      </c>
      <c r="S1466" t="s">
        <v>30</v>
      </c>
      <c r="T1466" t="s">
        <v>1325</v>
      </c>
      <c r="U1466" t="s">
        <v>1326</v>
      </c>
      <c r="V1466" t="s">
        <v>39</v>
      </c>
      <c r="W1466" s="1">
        <v>7</v>
      </c>
    </row>
    <row r="1467" spans="1:23" x14ac:dyDescent="0.2">
      <c r="A1467" t="s">
        <v>23</v>
      </c>
      <c r="B1467" t="s">
        <v>1108</v>
      </c>
      <c r="C1467" t="s">
        <v>1109</v>
      </c>
      <c r="D1467" t="s">
        <v>1234</v>
      </c>
      <c r="E1467" t="s">
        <v>1305</v>
      </c>
      <c r="F1467" t="s">
        <v>1306</v>
      </c>
      <c r="G1467" t="s">
        <v>139</v>
      </c>
      <c r="H1467" t="s">
        <v>30</v>
      </c>
      <c r="I1467" t="s">
        <v>30</v>
      </c>
      <c r="J1467" t="s">
        <v>233</v>
      </c>
      <c r="K1467" t="s">
        <v>181</v>
      </c>
      <c r="L1467" t="s">
        <v>32</v>
      </c>
      <c r="M1467" t="s">
        <v>33</v>
      </c>
      <c r="P1467" t="s">
        <v>34</v>
      </c>
      <c r="Q1467" t="s">
        <v>35</v>
      </c>
      <c r="R1467" t="s">
        <v>693</v>
      </c>
      <c r="S1467" t="s">
        <v>30</v>
      </c>
      <c r="T1467" t="s">
        <v>1325</v>
      </c>
      <c r="U1467" t="s">
        <v>1326</v>
      </c>
      <c r="V1467" t="s">
        <v>40</v>
      </c>
      <c r="W1467" s="1">
        <v>0</v>
      </c>
    </row>
    <row r="1468" spans="1:23" x14ac:dyDescent="0.2">
      <c r="A1468" t="s">
        <v>23</v>
      </c>
      <c r="B1468" t="s">
        <v>1108</v>
      </c>
      <c r="C1468" t="s">
        <v>1109</v>
      </c>
      <c r="D1468" t="s">
        <v>1234</v>
      </c>
      <c r="E1468" t="s">
        <v>1327</v>
      </c>
      <c r="F1468" t="s">
        <v>1328</v>
      </c>
      <c r="G1468" t="s">
        <v>64</v>
      </c>
      <c r="H1468" t="s">
        <v>30</v>
      </c>
      <c r="I1468" t="s">
        <v>52</v>
      </c>
      <c r="J1468" t="s">
        <v>31</v>
      </c>
      <c r="K1468" t="s">
        <v>32</v>
      </c>
      <c r="L1468" t="s">
        <v>32</v>
      </c>
      <c r="M1468" t="s">
        <v>33</v>
      </c>
      <c r="N1468" t="s">
        <v>33</v>
      </c>
      <c r="O1468" t="s">
        <v>33</v>
      </c>
      <c r="P1468" t="s">
        <v>34</v>
      </c>
      <c r="Q1468" t="s">
        <v>35</v>
      </c>
      <c r="R1468" t="s">
        <v>285</v>
      </c>
      <c r="S1468" t="s">
        <v>30</v>
      </c>
      <c r="T1468" t="s">
        <v>1329</v>
      </c>
      <c r="U1468" t="s">
        <v>1330</v>
      </c>
      <c r="V1468" t="s">
        <v>39</v>
      </c>
      <c r="W1468" s="1">
        <v>1</v>
      </c>
    </row>
    <row r="1469" spans="1:23" x14ac:dyDescent="0.2">
      <c r="A1469" t="s">
        <v>23</v>
      </c>
      <c r="B1469" t="s">
        <v>1108</v>
      </c>
      <c r="C1469" t="s">
        <v>1109</v>
      </c>
      <c r="D1469" t="s">
        <v>1234</v>
      </c>
      <c r="E1469" t="s">
        <v>1327</v>
      </c>
      <c r="F1469" t="s">
        <v>1328</v>
      </c>
      <c r="G1469" t="s">
        <v>64</v>
      </c>
      <c r="H1469" t="s">
        <v>30</v>
      </c>
      <c r="I1469" t="s">
        <v>52</v>
      </c>
      <c r="J1469" t="s">
        <v>31</v>
      </c>
      <c r="K1469" t="s">
        <v>32</v>
      </c>
      <c r="L1469" t="s">
        <v>32</v>
      </c>
      <c r="M1469" t="s">
        <v>33</v>
      </c>
      <c r="N1469" t="s">
        <v>33</v>
      </c>
      <c r="O1469" t="s">
        <v>33</v>
      </c>
      <c r="P1469" t="s">
        <v>34</v>
      </c>
      <c r="Q1469" t="s">
        <v>35</v>
      </c>
      <c r="R1469" t="s">
        <v>285</v>
      </c>
      <c r="S1469" t="s">
        <v>30</v>
      </c>
      <c r="T1469" t="s">
        <v>1329</v>
      </c>
      <c r="U1469" t="s">
        <v>1330</v>
      </c>
      <c r="V1469" t="s">
        <v>40</v>
      </c>
      <c r="W1469" s="1">
        <v>984500</v>
      </c>
    </row>
    <row r="1470" spans="1:23" x14ac:dyDescent="0.2">
      <c r="A1470" t="s">
        <v>23</v>
      </c>
      <c r="B1470" t="s">
        <v>1108</v>
      </c>
      <c r="C1470" t="s">
        <v>1109</v>
      </c>
      <c r="D1470" t="s">
        <v>1234</v>
      </c>
      <c r="E1470" t="s">
        <v>1327</v>
      </c>
      <c r="F1470" t="s">
        <v>1328</v>
      </c>
      <c r="G1470" t="s">
        <v>64</v>
      </c>
      <c r="H1470" t="s">
        <v>30</v>
      </c>
      <c r="I1470" t="s">
        <v>52</v>
      </c>
      <c r="J1470" t="s">
        <v>31</v>
      </c>
      <c r="K1470" t="s">
        <v>32</v>
      </c>
      <c r="L1470" t="s">
        <v>32</v>
      </c>
      <c r="M1470" t="s">
        <v>33</v>
      </c>
      <c r="N1470" t="s">
        <v>33</v>
      </c>
      <c r="O1470" t="s">
        <v>33</v>
      </c>
      <c r="P1470" t="s">
        <v>34</v>
      </c>
      <c r="Q1470" t="s">
        <v>35</v>
      </c>
      <c r="S1470" t="s">
        <v>30</v>
      </c>
      <c r="T1470" t="s">
        <v>586</v>
      </c>
      <c r="U1470" t="s">
        <v>1331</v>
      </c>
      <c r="V1470" t="s">
        <v>39</v>
      </c>
      <c r="W1470" s="1">
        <v>1</v>
      </c>
    </row>
    <row r="1471" spans="1:23" x14ac:dyDescent="0.2">
      <c r="A1471" t="s">
        <v>23</v>
      </c>
      <c r="B1471" t="s">
        <v>1108</v>
      </c>
      <c r="C1471" t="s">
        <v>1109</v>
      </c>
      <c r="D1471" t="s">
        <v>1234</v>
      </c>
      <c r="E1471" t="s">
        <v>1327</v>
      </c>
      <c r="F1471" t="s">
        <v>1328</v>
      </c>
      <c r="G1471" t="s">
        <v>64</v>
      </c>
      <c r="H1471" t="s">
        <v>30</v>
      </c>
      <c r="I1471" t="s">
        <v>52</v>
      </c>
      <c r="J1471" t="s">
        <v>31</v>
      </c>
      <c r="K1471" t="s">
        <v>32</v>
      </c>
      <c r="L1471" t="s">
        <v>32</v>
      </c>
      <c r="M1471" t="s">
        <v>33</v>
      </c>
      <c r="N1471" t="s">
        <v>33</v>
      </c>
      <c r="O1471" t="s">
        <v>33</v>
      </c>
      <c r="P1471" t="s">
        <v>34</v>
      </c>
      <c r="Q1471" t="s">
        <v>35</v>
      </c>
      <c r="S1471" t="s">
        <v>30</v>
      </c>
      <c r="T1471" t="s">
        <v>586</v>
      </c>
      <c r="U1471" t="s">
        <v>1331</v>
      </c>
      <c r="V1471" t="s">
        <v>40</v>
      </c>
      <c r="W1471" s="1">
        <v>1425800</v>
      </c>
    </row>
    <row r="1472" spans="1:23" x14ac:dyDescent="0.2">
      <c r="A1472" t="s">
        <v>23</v>
      </c>
      <c r="B1472" t="s">
        <v>1108</v>
      </c>
      <c r="C1472" t="s">
        <v>1109</v>
      </c>
      <c r="D1472" t="s">
        <v>1234</v>
      </c>
      <c r="E1472" t="s">
        <v>1327</v>
      </c>
      <c r="F1472" t="s">
        <v>1328</v>
      </c>
      <c r="G1472" t="s">
        <v>64</v>
      </c>
      <c r="H1472" t="s">
        <v>30</v>
      </c>
      <c r="I1472" t="s">
        <v>52</v>
      </c>
      <c r="J1472" t="s">
        <v>31</v>
      </c>
      <c r="K1472" t="s">
        <v>32</v>
      </c>
      <c r="L1472" t="s">
        <v>32</v>
      </c>
      <c r="M1472" t="s">
        <v>33</v>
      </c>
      <c r="P1472" t="s">
        <v>34</v>
      </c>
      <c r="Q1472" t="s">
        <v>35</v>
      </c>
      <c r="R1472" t="s">
        <v>148</v>
      </c>
      <c r="S1472" t="s">
        <v>30</v>
      </c>
      <c r="T1472" t="s">
        <v>1332</v>
      </c>
      <c r="U1472" t="s">
        <v>1333</v>
      </c>
      <c r="V1472" t="s">
        <v>39</v>
      </c>
      <c r="W1472" s="1">
        <v>12</v>
      </c>
    </row>
    <row r="1473" spans="1:23" x14ac:dyDescent="0.2">
      <c r="A1473" t="s">
        <v>23</v>
      </c>
      <c r="B1473" t="s">
        <v>1108</v>
      </c>
      <c r="C1473" t="s">
        <v>1109</v>
      </c>
      <c r="D1473" t="s">
        <v>1234</v>
      </c>
      <c r="E1473" t="s">
        <v>1327</v>
      </c>
      <c r="F1473" t="s">
        <v>1328</v>
      </c>
      <c r="G1473" t="s">
        <v>64</v>
      </c>
      <c r="H1473" t="s">
        <v>30</v>
      </c>
      <c r="I1473" t="s">
        <v>52</v>
      </c>
      <c r="J1473" t="s">
        <v>31</v>
      </c>
      <c r="K1473" t="s">
        <v>32</v>
      </c>
      <c r="L1473" t="s">
        <v>32</v>
      </c>
      <c r="M1473" t="s">
        <v>33</v>
      </c>
      <c r="P1473" t="s">
        <v>34</v>
      </c>
      <c r="Q1473" t="s">
        <v>35</v>
      </c>
      <c r="R1473" t="s">
        <v>148</v>
      </c>
      <c r="S1473" t="s">
        <v>30</v>
      </c>
      <c r="T1473" t="s">
        <v>1332</v>
      </c>
      <c r="U1473" t="s">
        <v>1333</v>
      </c>
      <c r="V1473" t="s">
        <v>40</v>
      </c>
      <c r="W1473" s="1">
        <v>5484000</v>
      </c>
    </row>
    <row r="1474" spans="1:23" x14ac:dyDescent="0.2">
      <c r="A1474" t="s">
        <v>23</v>
      </c>
      <c r="B1474" t="s">
        <v>1108</v>
      </c>
      <c r="C1474" t="s">
        <v>1109</v>
      </c>
      <c r="D1474" t="s">
        <v>1234</v>
      </c>
      <c r="E1474" t="s">
        <v>1327</v>
      </c>
      <c r="F1474" t="s">
        <v>1328</v>
      </c>
      <c r="G1474" t="s">
        <v>64</v>
      </c>
      <c r="H1474" t="s">
        <v>30</v>
      </c>
      <c r="I1474" t="s">
        <v>52</v>
      </c>
      <c r="J1474" t="s">
        <v>31</v>
      </c>
      <c r="K1474" t="s">
        <v>32</v>
      </c>
      <c r="L1474" t="s">
        <v>32</v>
      </c>
      <c r="M1474" t="s">
        <v>33</v>
      </c>
      <c r="P1474" t="s">
        <v>34</v>
      </c>
      <c r="Q1474" t="s">
        <v>35</v>
      </c>
      <c r="R1474" t="s">
        <v>148</v>
      </c>
      <c r="S1474" t="s">
        <v>52</v>
      </c>
      <c r="T1474" t="s">
        <v>1332</v>
      </c>
      <c r="U1474" t="s">
        <v>1333</v>
      </c>
      <c r="V1474" t="s">
        <v>39</v>
      </c>
      <c r="W1474" s="1">
        <v>0</v>
      </c>
    </row>
    <row r="1475" spans="1:23" x14ac:dyDescent="0.2">
      <c r="A1475" t="s">
        <v>23</v>
      </c>
      <c r="B1475" t="s">
        <v>1108</v>
      </c>
      <c r="C1475" t="s">
        <v>1109</v>
      </c>
      <c r="D1475" t="s">
        <v>1234</v>
      </c>
      <c r="E1475" t="s">
        <v>1327</v>
      </c>
      <c r="F1475" t="s">
        <v>1328</v>
      </c>
      <c r="G1475" t="s">
        <v>64</v>
      </c>
      <c r="H1475" t="s">
        <v>30</v>
      </c>
      <c r="I1475" t="s">
        <v>52</v>
      </c>
      <c r="J1475" t="s">
        <v>31</v>
      </c>
      <c r="K1475" t="s">
        <v>32</v>
      </c>
      <c r="L1475" t="s">
        <v>32</v>
      </c>
      <c r="M1475" t="s">
        <v>33</v>
      </c>
      <c r="P1475" t="s">
        <v>34</v>
      </c>
      <c r="Q1475" t="s">
        <v>35</v>
      </c>
      <c r="R1475" t="s">
        <v>148</v>
      </c>
      <c r="S1475" t="s">
        <v>52</v>
      </c>
      <c r="T1475" t="s">
        <v>1332</v>
      </c>
      <c r="U1475" t="s">
        <v>1333</v>
      </c>
      <c r="V1475" t="s">
        <v>40</v>
      </c>
      <c r="W1475" s="1">
        <v>1371000</v>
      </c>
    </row>
    <row r="1476" spans="1:23" x14ac:dyDescent="0.2">
      <c r="A1476" t="s">
        <v>23</v>
      </c>
      <c r="B1476" t="s">
        <v>1108</v>
      </c>
      <c r="C1476" t="s">
        <v>1109</v>
      </c>
      <c r="D1476" t="s">
        <v>1234</v>
      </c>
      <c r="E1476" t="s">
        <v>1327</v>
      </c>
      <c r="F1476" t="s">
        <v>1328</v>
      </c>
      <c r="G1476" t="s">
        <v>64</v>
      </c>
      <c r="H1476" t="s">
        <v>30</v>
      </c>
      <c r="I1476" t="s">
        <v>52</v>
      </c>
      <c r="J1476" t="s">
        <v>31</v>
      </c>
      <c r="K1476" t="s">
        <v>32</v>
      </c>
      <c r="L1476" t="s">
        <v>32</v>
      </c>
      <c r="M1476" t="s">
        <v>33</v>
      </c>
      <c r="P1476" t="s">
        <v>34</v>
      </c>
      <c r="Q1476" t="s">
        <v>35</v>
      </c>
      <c r="R1476" t="s">
        <v>285</v>
      </c>
      <c r="S1476" t="s">
        <v>30</v>
      </c>
      <c r="T1476" t="s">
        <v>1329</v>
      </c>
      <c r="U1476" t="s">
        <v>1330</v>
      </c>
      <c r="V1476" t="s">
        <v>39</v>
      </c>
      <c r="W1476" s="1">
        <v>4</v>
      </c>
    </row>
    <row r="1477" spans="1:23" x14ac:dyDescent="0.2">
      <c r="A1477" t="s">
        <v>23</v>
      </c>
      <c r="B1477" t="s">
        <v>1108</v>
      </c>
      <c r="C1477" t="s">
        <v>1109</v>
      </c>
      <c r="D1477" t="s">
        <v>1234</v>
      </c>
      <c r="E1477" t="s">
        <v>1327</v>
      </c>
      <c r="F1477" t="s">
        <v>1328</v>
      </c>
      <c r="G1477" t="s">
        <v>64</v>
      </c>
      <c r="H1477" t="s">
        <v>30</v>
      </c>
      <c r="I1477" t="s">
        <v>52</v>
      </c>
      <c r="J1477" t="s">
        <v>31</v>
      </c>
      <c r="K1477" t="s">
        <v>32</v>
      </c>
      <c r="L1477" t="s">
        <v>32</v>
      </c>
      <c r="M1477" t="s">
        <v>33</v>
      </c>
      <c r="P1477" t="s">
        <v>34</v>
      </c>
      <c r="Q1477" t="s">
        <v>35</v>
      </c>
      <c r="R1477" t="s">
        <v>285</v>
      </c>
      <c r="S1477" t="s">
        <v>30</v>
      </c>
      <c r="T1477" t="s">
        <v>1329</v>
      </c>
      <c r="U1477" t="s">
        <v>1330</v>
      </c>
      <c r="V1477" t="s">
        <v>40</v>
      </c>
      <c r="W1477" s="1">
        <v>3938000</v>
      </c>
    </row>
    <row r="1478" spans="1:23" x14ac:dyDescent="0.2">
      <c r="A1478" t="s">
        <v>23</v>
      </c>
      <c r="B1478" t="s">
        <v>1108</v>
      </c>
      <c r="C1478" t="s">
        <v>1109</v>
      </c>
      <c r="D1478" t="s">
        <v>1234</v>
      </c>
      <c r="E1478" t="s">
        <v>1327</v>
      </c>
      <c r="F1478" t="s">
        <v>1328</v>
      </c>
      <c r="G1478" t="s">
        <v>64</v>
      </c>
      <c r="H1478" t="s">
        <v>30</v>
      </c>
      <c r="I1478" t="s">
        <v>52</v>
      </c>
      <c r="J1478" t="s">
        <v>31</v>
      </c>
      <c r="K1478" t="s">
        <v>32</v>
      </c>
      <c r="L1478" t="s">
        <v>32</v>
      </c>
      <c r="M1478" t="s">
        <v>33</v>
      </c>
      <c r="P1478" t="s">
        <v>34</v>
      </c>
      <c r="Q1478" t="s">
        <v>35</v>
      </c>
      <c r="S1478" t="s">
        <v>30</v>
      </c>
      <c r="T1478" t="s">
        <v>586</v>
      </c>
      <c r="U1478" t="s">
        <v>1331</v>
      </c>
      <c r="V1478" t="s">
        <v>39</v>
      </c>
      <c r="W1478" s="1">
        <v>2</v>
      </c>
    </row>
    <row r="1479" spans="1:23" x14ac:dyDescent="0.2">
      <c r="A1479" t="s">
        <v>23</v>
      </c>
      <c r="B1479" t="s">
        <v>1108</v>
      </c>
      <c r="C1479" t="s">
        <v>1109</v>
      </c>
      <c r="D1479" t="s">
        <v>1234</v>
      </c>
      <c r="E1479" t="s">
        <v>1327</v>
      </c>
      <c r="F1479" t="s">
        <v>1328</v>
      </c>
      <c r="G1479" t="s">
        <v>64</v>
      </c>
      <c r="H1479" t="s">
        <v>30</v>
      </c>
      <c r="I1479" t="s">
        <v>52</v>
      </c>
      <c r="J1479" t="s">
        <v>31</v>
      </c>
      <c r="K1479" t="s">
        <v>32</v>
      </c>
      <c r="L1479" t="s">
        <v>32</v>
      </c>
      <c r="M1479" t="s">
        <v>33</v>
      </c>
      <c r="P1479" t="s">
        <v>34</v>
      </c>
      <c r="Q1479" t="s">
        <v>35</v>
      </c>
      <c r="S1479" t="s">
        <v>30</v>
      </c>
      <c r="T1479" t="s">
        <v>586</v>
      </c>
      <c r="U1479" t="s">
        <v>1331</v>
      </c>
      <c r="V1479" t="s">
        <v>40</v>
      </c>
      <c r="W1479" s="1">
        <v>2851600</v>
      </c>
    </row>
    <row r="1480" spans="1:23" x14ac:dyDescent="0.2">
      <c r="A1480" t="s">
        <v>23</v>
      </c>
      <c r="B1480" t="s">
        <v>1108</v>
      </c>
      <c r="C1480" t="s">
        <v>1109</v>
      </c>
      <c r="D1480" t="s">
        <v>1234</v>
      </c>
      <c r="E1480" t="s">
        <v>1327</v>
      </c>
      <c r="F1480" t="s">
        <v>1328</v>
      </c>
      <c r="G1480" t="s">
        <v>64</v>
      </c>
      <c r="H1480" t="s">
        <v>30</v>
      </c>
      <c r="I1480" t="s">
        <v>52</v>
      </c>
      <c r="J1480" t="s">
        <v>31</v>
      </c>
      <c r="K1480" t="s">
        <v>32</v>
      </c>
      <c r="L1480" t="s">
        <v>32</v>
      </c>
      <c r="M1480" t="s">
        <v>33</v>
      </c>
      <c r="P1480" t="s">
        <v>34</v>
      </c>
      <c r="Q1480" t="s">
        <v>35</v>
      </c>
      <c r="S1480" t="s">
        <v>52</v>
      </c>
      <c r="T1480" t="s">
        <v>586</v>
      </c>
      <c r="U1480" t="s">
        <v>1331</v>
      </c>
      <c r="V1480" t="s">
        <v>39</v>
      </c>
      <c r="W1480" s="1">
        <v>0</v>
      </c>
    </row>
    <row r="1481" spans="1:23" x14ac:dyDescent="0.2">
      <c r="A1481" t="s">
        <v>23</v>
      </c>
      <c r="B1481" t="s">
        <v>1108</v>
      </c>
      <c r="C1481" t="s">
        <v>1109</v>
      </c>
      <c r="D1481" t="s">
        <v>1234</v>
      </c>
      <c r="E1481" t="s">
        <v>1327</v>
      </c>
      <c r="F1481" t="s">
        <v>1328</v>
      </c>
      <c r="G1481" t="s">
        <v>64</v>
      </c>
      <c r="H1481" t="s">
        <v>30</v>
      </c>
      <c r="I1481" t="s">
        <v>52</v>
      </c>
      <c r="J1481" t="s">
        <v>31</v>
      </c>
      <c r="K1481" t="s">
        <v>32</v>
      </c>
      <c r="L1481" t="s">
        <v>32</v>
      </c>
      <c r="M1481" t="s">
        <v>33</v>
      </c>
      <c r="P1481" t="s">
        <v>34</v>
      </c>
      <c r="Q1481" t="s">
        <v>35</v>
      </c>
      <c r="S1481" t="s">
        <v>52</v>
      </c>
      <c r="T1481" t="s">
        <v>586</v>
      </c>
      <c r="U1481" t="s">
        <v>1331</v>
      </c>
      <c r="V1481" t="s">
        <v>40</v>
      </c>
      <c r="W1481" s="1">
        <v>1425800</v>
      </c>
    </row>
    <row r="1482" spans="1:23" x14ac:dyDescent="0.2">
      <c r="A1482" t="s">
        <v>23</v>
      </c>
      <c r="B1482" t="s">
        <v>1108</v>
      </c>
      <c r="C1482" t="s">
        <v>1109</v>
      </c>
      <c r="D1482" t="s">
        <v>1234</v>
      </c>
      <c r="E1482" t="s">
        <v>1327</v>
      </c>
      <c r="F1482" t="s">
        <v>1328</v>
      </c>
      <c r="G1482" t="s">
        <v>89</v>
      </c>
      <c r="H1482" t="s">
        <v>30</v>
      </c>
      <c r="I1482" t="s">
        <v>30</v>
      </c>
      <c r="J1482" t="s">
        <v>41</v>
      </c>
      <c r="K1482" t="s">
        <v>32</v>
      </c>
      <c r="L1482" t="s">
        <v>332</v>
      </c>
      <c r="M1482" t="s">
        <v>33</v>
      </c>
      <c r="N1482" t="s">
        <v>33</v>
      </c>
      <c r="O1482" t="s">
        <v>33</v>
      </c>
      <c r="P1482" t="s">
        <v>34</v>
      </c>
      <c r="Q1482" t="s">
        <v>35</v>
      </c>
      <c r="S1482" t="s">
        <v>30</v>
      </c>
      <c r="T1482" t="s">
        <v>1334</v>
      </c>
      <c r="U1482" t="s">
        <v>1335</v>
      </c>
      <c r="V1482" t="s">
        <v>39</v>
      </c>
      <c r="W1482" s="1">
        <v>1</v>
      </c>
    </row>
    <row r="1483" spans="1:23" x14ac:dyDescent="0.2">
      <c r="A1483" t="s">
        <v>23</v>
      </c>
      <c r="B1483" t="s">
        <v>1108</v>
      </c>
      <c r="C1483" t="s">
        <v>1109</v>
      </c>
      <c r="D1483" t="s">
        <v>1234</v>
      </c>
      <c r="E1483" t="s">
        <v>1327</v>
      </c>
      <c r="F1483" t="s">
        <v>1328</v>
      </c>
      <c r="G1483" t="s">
        <v>89</v>
      </c>
      <c r="H1483" t="s">
        <v>30</v>
      </c>
      <c r="I1483" t="s">
        <v>30</v>
      </c>
      <c r="J1483" t="s">
        <v>41</v>
      </c>
      <c r="K1483" t="s">
        <v>32</v>
      </c>
      <c r="L1483" t="s">
        <v>332</v>
      </c>
      <c r="M1483" t="s">
        <v>33</v>
      </c>
      <c r="N1483" t="s">
        <v>33</v>
      </c>
      <c r="O1483" t="s">
        <v>33</v>
      </c>
      <c r="P1483" t="s">
        <v>34</v>
      </c>
      <c r="Q1483" t="s">
        <v>35</v>
      </c>
      <c r="S1483" t="s">
        <v>30</v>
      </c>
      <c r="T1483" t="s">
        <v>1334</v>
      </c>
      <c r="U1483" t="s">
        <v>1335</v>
      </c>
      <c r="V1483" t="s">
        <v>40</v>
      </c>
      <c r="W1483" s="1">
        <v>1147700</v>
      </c>
    </row>
    <row r="1484" spans="1:23" x14ac:dyDescent="0.2">
      <c r="A1484" t="s">
        <v>23</v>
      </c>
      <c r="B1484" t="s">
        <v>1108</v>
      </c>
      <c r="C1484" t="s">
        <v>1109</v>
      </c>
      <c r="D1484" t="s">
        <v>1234</v>
      </c>
      <c r="E1484" t="s">
        <v>1327</v>
      </c>
      <c r="F1484" t="s">
        <v>1328</v>
      </c>
      <c r="G1484" t="s">
        <v>89</v>
      </c>
      <c r="H1484" t="s">
        <v>30</v>
      </c>
      <c r="I1484" t="s">
        <v>30</v>
      </c>
      <c r="J1484" t="s">
        <v>41</v>
      </c>
      <c r="K1484" t="s">
        <v>32</v>
      </c>
      <c r="L1484" t="s">
        <v>32</v>
      </c>
      <c r="M1484" t="s">
        <v>33</v>
      </c>
      <c r="P1484" t="s">
        <v>34</v>
      </c>
      <c r="Q1484" t="s">
        <v>35</v>
      </c>
      <c r="S1484" t="s">
        <v>30</v>
      </c>
      <c r="T1484" t="s">
        <v>1336</v>
      </c>
      <c r="U1484" t="s">
        <v>1337</v>
      </c>
      <c r="V1484" t="s">
        <v>39</v>
      </c>
      <c r="W1484" s="1">
        <v>1</v>
      </c>
    </row>
    <row r="1485" spans="1:23" x14ac:dyDescent="0.2">
      <c r="A1485" t="s">
        <v>23</v>
      </c>
      <c r="B1485" t="s">
        <v>1108</v>
      </c>
      <c r="C1485" t="s">
        <v>1109</v>
      </c>
      <c r="D1485" t="s">
        <v>1234</v>
      </c>
      <c r="E1485" t="s">
        <v>1327</v>
      </c>
      <c r="F1485" t="s">
        <v>1328</v>
      </c>
      <c r="G1485" t="s">
        <v>89</v>
      </c>
      <c r="H1485" t="s">
        <v>30</v>
      </c>
      <c r="I1485" t="s">
        <v>30</v>
      </c>
      <c r="J1485" t="s">
        <v>41</v>
      </c>
      <c r="K1485" t="s">
        <v>32</v>
      </c>
      <c r="L1485" t="s">
        <v>32</v>
      </c>
      <c r="M1485" t="s">
        <v>33</v>
      </c>
      <c r="P1485" t="s">
        <v>34</v>
      </c>
      <c r="Q1485" t="s">
        <v>35</v>
      </c>
      <c r="S1485" t="s">
        <v>30</v>
      </c>
      <c r="T1485" t="s">
        <v>1336</v>
      </c>
      <c r="U1485" t="s">
        <v>1337</v>
      </c>
      <c r="V1485" t="s">
        <v>40</v>
      </c>
      <c r="W1485" s="1">
        <v>1137900</v>
      </c>
    </row>
    <row r="1486" spans="1:23" x14ac:dyDescent="0.2">
      <c r="A1486" t="s">
        <v>23</v>
      </c>
      <c r="B1486" t="s">
        <v>1108</v>
      </c>
      <c r="C1486" t="s">
        <v>1109</v>
      </c>
      <c r="D1486" t="s">
        <v>1234</v>
      </c>
      <c r="E1486" t="s">
        <v>1327</v>
      </c>
      <c r="F1486" t="s">
        <v>1328</v>
      </c>
      <c r="G1486" t="s">
        <v>106</v>
      </c>
      <c r="H1486" t="s">
        <v>30</v>
      </c>
      <c r="I1486" t="s">
        <v>30</v>
      </c>
      <c r="J1486" t="s">
        <v>31</v>
      </c>
      <c r="K1486" t="s">
        <v>32</v>
      </c>
      <c r="L1486" t="s">
        <v>32</v>
      </c>
      <c r="M1486" t="s">
        <v>33</v>
      </c>
      <c r="P1486" t="s">
        <v>34</v>
      </c>
      <c r="Q1486" t="s">
        <v>35</v>
      </c>
      <c r="R1486" t="s">
        <v>353</v>
      </c>
      <c r="S1486" t="s">
        <v>52</v>
      </c>
      <c r="T1486" t="s">
        <v>1338</v>
      </c>
      <c r="U1486" t="s">
        <v>1339</v>
      </c>
      <c r="V1486" t="s">
        <v>39</v>
      </c>
      <c r="W1486" s="1">
        <v>0</v>
      </c>
    </row>
    <row r="1487" spans="1:23" x14ac:dyDescent="0.2">
      <c r="A1487" t="s">
        <v>23</v>
      </c>
      <c r="B1487" t="s">
        <v>1108</v>
      </c>
      <c r="C1487" t="s">
        <v>1109</v>
      </c>
      <c r="D1487" t="s">
        <v>1234</v>
      </c>
      <c r="E1487" t="s">
        <v>1327</v>
      </c>
      <c r="F1487" t="s">
        <v>1328</v>
      </c>
      <c r="G1487" t="s">
        <v>106</v>
      </c>
      <c r="H1487" t="s">
        <v>30</v>
      </c>
      <c r="I1487" t="s">
        <v>30</v>
      </c>
      <c r="J1487" t="s">
        <v>31</v>
      </c>
      <c r="K1487" t="s">
        <v>32</v>
      </c>
      <c r="L1487" t="s">
        <v>32</v>
      </c>
      <c r="M1487" t="s">
        <v>33</v>
      </c>
      <c r="P1487" t="s">
        <v>34</v>
      </c>
      <c r="Q1487" t="s">
        <v>35</v>
      </c>
      <c r="R1487" t="s">
        <v>353</v>
      </c>
      <c r="S1487" t="s">
        <v>52</v>
      </c>
      <c r="T1487" t="s">
        <v>1338</v>
      </c>
      <c r="U1487" t="s">
        <v>1339</v>
      </c>
      <c r="V1487" t="s">
        <v>40</v>
      </c>
      <c r="W1487" s="1">
        <v>1067400</v>
      </c>
    </row>
    <row r="1488" spans="1:23" x14ac:dyDescent="0.2">
      <c r="A1488" t="s">
        <v>23</v>
      </c>
      <c r="B1488" t="s">
        <v>1108</v>
      </c>
      <c r="C1488" t="s">
        <v>1109</v>
      </c>
      <c r="D1488" t="s">
        <v>1234</v>
      </c>
      <c r="E1488" t="s">
        <v>1327</v>
      </c>
      <c r="F1488" t="s">
        <v>1328</v>
      </c>
      <c r="G1488" t="s">
        <v>127</v>
      </c>
      <c r="H1488" t="s">
        <v>52</v>
      </c>
      <c r="I1488" t="s">
        <v>30</v>
      </c>
      <c r="J1488" t="s">
        <v>31</v>
      </c>
      <c r="K1488" t="s">
        <v>32</v>
      </c>
      <c r="L1488" t="s">
        <v>32</v>
      </c>
      <c r="M1488" t="s">
        <v>33</v>
      </c>
      <c r="N1488" t="s">
        <v>33</v>
      </c>
      <c r="O1488" t="s">
        <v>33</v>
      </c>
      <c r="P1488" t="s">
        <v>34</v>
      </c>
      <c r="Q1488" t="s">
        <v>35</v>
      </c>
      <c r="S1488" t="s">
        <v>30</v>
      </c>
      <c r="T1488" t="s">
        <v>719</v>
      </c>
      <c r="U1488" t="s">
        <v>1340</v>
      </c>
      <c r="V1488" t="s">
        <v>39</v>
      </c>
      <c r="W1488" s="1">
        <v>2</v>
      </c>
    </row>
    <row r="1489" spans="1:23" x14ac:dyDescent="0.2">
      <c r="A1489" t="s">
        <v>23</v>
      </c>
      <c r="B1489" t="s">
        <v>1108</v>
      </c>
      <c r="C1489" t="s">
        <v>1109</v>
      </c>
      <c r="D1489" t="s">
        <v>1234</v>
      </c>
      <c r="E1489" t="s">
        <v>1327</v>
      </c>
      <c r="F1489" t="s">
        <v>1328</v>
      </c>
      <c r="G1489" t="s">
        <v>127</v>
      </c>
      <c r="H1489" t="s">
        <v>52</v>
      </c>
      <c r="I1489" t="s">
        <v>30</v>
      </c>
      <c r="J1489" t="s">
        <v>31</v>
      </c>
      <c r="K1489" t="s">
        <v>32</v>
      </c>
      <c r="L1489" t="s">
        <v>32</v>
      </c>
      <c r="M1489" t="s">
        <v>33</v>
      </c>
      <c r="N1489" t="s">
        <v>33</v>
      </c>
      <c r="O1489" t="s">
        <v>33</v>
      </c>
      <c r="P1489" t="s">
        <v>34</v>
      </c>
      <c r="Q1489" t="s">
        <v>35</v>
      </c>
      <c r="S1489" t="s">
        <v>30</v>
      </c>
      <c r="T1489" t="s">
        <v>719</v>
      </c>
      <c r="U1489" t="s">
        <v>1340</v>
      </c>
      <c r="V1489" t="s">
        <v>40</v>
      </c>
      <c r="W1489" s="1">
        <v>2138400</v>
      </c>
    </row>
    <row r="1490" spans="1:23" x14ac:dyDescent="0.2">
      <c r="A1490" t="s">
        <v>23</v>
      </c>
      <c r="B1490" t="s">
        <v>1108</v>
      </c>
      <c r="C1490" t="s">
        <v>1109</v>
      </c>
      <c r="D1490" t="s">
        <v>1234</v>
      </c>
      <c r="E1490" t="s">
        <v>1327</v>
      </c>
      <c r="F1490" t="s">
        <v>1328</v>
      </c>
      <c r="G1490" t="s">
        <v>127</v>
      </c>
      <c r="H1490" t="s">
        <v>52</v>
      </c>
      <c r="I1490" t="s">
        <v>30</v>
      </c>
      <c r="J1490" t="s">
        <v>31</v>
      </c>
      <c r="K1490" t="s">
        <v>32</v>
      </c>
      <c r="L1490" t="s">
        <v>32</v>
      </c>
      <c r="M1490" t="s">
        <v>33</v>
      </c>
      <c r="P1490" t="s">
        <v>34</v>
      </c>
      <c r="Q1490" t="s">
        <v>35</v>
      </c>
      <c r="S1490" t="s">
        <v>30</v>
      </c>
      <c r="T1490" t="s">
        <v>719</v>
      </c>
      <c r="U1490" t="s">
        <v>1340</v>
      </c>
      <c r="V1490" t="s">
        <v>39</v>
      </c>
      <c r="W1490" s="1">
        <v>2</v>
      </c>
    </row>
    <row r="1491" spans="1:23" x14ac:dyDescent="0.2">
      <c r="A1491" t="s">
        <v>23</v>
      </c>
      <c r="B1491" t="s">
        <v>1108</v>
      </c>
      <c r="C1491" t="s">
        <v>1109</v>
      </c>
      <c r="D1491" t="s">
        <v>1234</v>
      </c>
      <c r="E1491" t="s">
        <v>1327</v>
      </c>
      <c r="F1491" t="s">
        <v>1328</v>
      </c>
      <c r="G1491" t="s">
        <v>127</v>
      </c>
      <c r="H1491" t="s">
        <v>52</v>
      </c>
      <c r="I1491" t="s">
        <v>30</v>
      </c>
      <c r="J1491" t="s">
        <v>31</v>
      </c>
      <c r="K1491" t="s">
        <v>32</v>
      </c>
      <c r="L1491" t="s">
        <v>32</v>
      </c>
      <c r="M1491" t="s">
        <v>33</v>
      </c>
      <c r="P1491" t="s">
        <v>34</v>
      </c>
      <c r="Q1491" t="s">
        <v>35</v>
      </c>
      <c r="S1491" t="s">
        <v>30</v>
      </c>
      <c r="T1491" t="s">
        <v>719</v>
      </c>
      <c r="U1491" t="s">
        <v>1340</v>
      </c>
      <c r="V1491" t="s">
        <v>40</v>
      </c>
      <c r="W1491" s="1">
        <v>2138400</v>
      </c>
    </row>
    <row r="1492" spans="1:23" x14ac:dyDescent="0.2">
      <c r="A1492" t="s">
        <v>23</v>
      </c>
      <c r="B1492" t="s">
        <v>1108</v>
      </c>
      <c r="C1492" t="s">
        <v>1109</v>
      </c>
      <c r="D1492" t="s">
        <v>1234</v>
      </c>
      <c r="E1492" t="s">
        <v>1327</v>
      </c>
      <c r="F1492" t="s">
        <v>1328</v>
      </c>
      <c r="G1492" t="s">
        <v>127</v>
      </c>
      <c r="H1492" t="s">
        <v>52</v>
      </c>
      <c r="I1492" t="s">
        <v>30</v>
      </c>
      <c r="J1492" t="s">
        <v>31</v>
      </c>
      <c r="K1492" t="s">
        <v>32</v>
      </c>
      <c r="L1492" t="s">
        <v>32</v>
      </c>
      <c r="M1492" t="s">
        <v>33</v>
      </c>
      <c r="P1492" t="s">
        <v>34</v>
      </c>
      <c r="Q1492" t="s">
        <v>35</v>
      </c>
      <c r="S1492" t="s">
        <v>52</v>
      </c>
      <c r="T1492" t="s">
        <v>1341</v>
      </c>
      <c r="U1492" t="s">
        <v>1342</v>
      </c>
      <c r="V1492" t="s">
        <v>39</v>
      </c>
      <c r="W1492" s="1">
        <v>0</v>
      </c>
    </row>
    <row r="1493" spans="1:23" x14ac:dyDescent="0.2">
      <c r="A1493" t="s">
        <v>23</v>
      </c>
      <c r="B1493" t="s">
        <v>1108</v>
      </c>
      <c r="C1493" t="s">
        <v>1109</v>
      </c>
      <c r="D1493" t="s">
        <v>1234</v>
      </c>
      <c r="E1493" t="s">
        <v>1327</v>
      </c>
      <c r="F1493" t="s">
        <v>1328</v>
      </c>
      <c r="G1493" t="s">
        <v>127</v>
      </c>
      <c r="H1493" t="s">
        <v>52</v>
      </c>
      <c r="I1493" t="s">
        <v>30</v>
      </c>
      <c r="J1493" t="s">
        <v>31</v>
      </c>
      <c r="K1493" t="s">
        <v>32</v>
      </c>
      <c r="L1493" t="s">
        <v>32</v>
      </c>
      <c r="M1493" t="s">
        <v>33</v>
      </c>
      <c r="P1493" t="s">
        <v>34</v>
      </c>
      <c r="Q1493" t="s">
        <v>35</v>
      </c>
      <c r="S1493" t="s">
        <v>52</v>
      </c>
      <c r="T1493" t="s">
        <v>1341</v>
      </c>
      <c r="U1493" t="s">
        <v>1342</v>
      </c>
      <c r="V1493" t="s">
        <v>40</v>
      </c>
      <c r="W1493" s="1">
        <v>4632000</v>
      </c>
    </row>
    <row r="1494" spans="1:23" x14ac:dyDescent="0.2">
      <c r="A1494" t="s">
        <v>23</v>
      </c>
      <c r="B1494" t="s">
        <v>1108</v>
      </c>
      <c r="C1494" t="s">
        <v>1109</v>
      </c>
      <c r="D1494" t="s">
        <v>1234</v>
      </c>
      <c r="E1494" t="s">
        <v>1327</v>
      </c>
      <c r="F1494" t="s">
        <v>1328</v>
      </c>
      <c r="G1494" t="s">
        <v>134</v>
      </c>
      <c r="H1494" t="s">
        <v>52</v>
      </c>
      <c r="I1494" t="s">
        <v>30</v>
      </c>
      <c r="J1494" t="s">
        <v>31</v>
      </c>
      <c r="K1494" t="s">
        <v>32</v>
      </c>
      <c r="L1494" t="s">
        <v>32</v>
      </c>
      <c r="M1494" t="s">
        <v>33</v>
      </c>
      <c r="N1494" t="s">
        <v>33</v>
      </c>
      <c r="O1494" t="s">
        <v>33</v>
      </c>
      <c r="P1494" t="s">
        <v>34</v>
      </c>
      <c r="Q1494" t="s">
        <v>35</v>
      </c>
      <c r="R1494" t="s">
        <v>353</v>
      </c>
      <c r="S1494" t="s">
        <v>30</v>
      </c>
      <c r="T1494" t="s">
        <v>1338</v>
      </c>
      <c r="U1494" t="s">
        <v>1343</v>
      </c>
      <c r="V1494" t="s">
        <v>39</v>
      </c>
      <c r="W1494" s="1">
        <v>4</v>
      </c>
    </row>
    <row r="1495" spans="1:23" x14ac:dyDescent="0.2">
      <c r="A1495" t="s">
        <v>23</v>
      </c>
      <c r="B1495" t="s">
        <v>1108</v>
      </c>
      <c r="C1495" t="s">
        <v>1109</v>
      </c>
      <c r="D1495" t="s">
        <v>1234</v>
      </c>
      <c r="E1495" t="s">
        <v>1327</v>
      </c>
      <c r="F1495" t="s">
        <v>1328</v>
      </c>
      <c r="G1495" t="s">
        <v>134</v>
      </c>
      <c r="H1495" t="s">
        <v>52</v>
      </c>
      <c r="I1495" t="s">
        <v>30</v>
      </c>
      <c r="J1495" t="s">
        <v>31</v>
      </c>
      <c r="K1495" t="s">
        <v>32</v>
      </c>
      <c r="L1495" t="s">
        <v>32</v>
      </c>
      <c r="M1495" t="s">
        <v>33</v>
      </c>
      <c r="N1495" t="s">
        <v>33</v>
      </c>
      <c r="O1495" t="s">
        <v>33</v>
      </c>
      <c r="P1495" t="s">
        <v>34</v>
      </c>
      <c r="Q1495" t="s">
        <v>35</v>
      </c>
      <c r="R1495" t="s">
        <v>353</v>
      </c>
      <c r="S1495" t="s">
        <v>30</v>
      </c>
      <c r="T1495" t="s">
        <v>1338</v>
      </c>
      <c r="U1495" t="s">
        <v>1343</v>
      </c>
      <c r="V1495" t="s">
        <v>40</v>
      </c>
      <c r="W1495" s="1">
        <v>711600</v>
      </c>
    </row>
    <row r="1496" spans="1:23" x14ac:dyDescent="0.2">
      <c r="A1496" t="s">
        <v>23</v>
      </c>
      <c r="B1496" t="s">
        <v>1108</v>
      </c>
      <c r="C1496" t="s">
        <v>1109</v>
      </c>
      <c r="D1496" t="s">
        <v>1234</v>
      </c>
      <c r="E1496" t="s">
        <v>1327</v>
      </c>
      <c r="F1496" t="s">
        <v>1328</v>
      </c>
      <c r="G1496" t="s">
        <v>134</v>
      </c>
      <c r="H1496" t="s">
        <v>52</v>
      </c>
      <c r="I1496" t="s">
        <v>30</v>
      </c>
      <c r="J1496" t="s">
        <v>31</v>
      </c>
      <c r="K1496" t="s">
        <v>32</v>
      </c>
      <c r="L1496" t="s">
        <v>32</v>
      </c>
      <c r="M1496" t="s">
        <v>33</v>
      </c>
      <c r="N1496" t="s">
        <v>169</v>
      </c>
      <c r="O1496" t="s">
        <v>169</v>
      </c>
      <c r="P1496" t="s">
        <v>34</v>
      </c>
      <c r="Q1496" t="s">
        <v>35</v>
      </c>
      <c r="R1496" t="s">
        <v>353</v>
      </c>
      <c r="S1496" t="s">
        <v>30</v>
      </c>
      <c r="T1496" t="s">
        <v>1338</v>
      </c>
      <c r="U1496" t="s">
        <v>1343</v>
      </c>
      <c r="V1496" t="s">
        <v>39</v>
      </c>
      <c r="W1496" s="1">
        <v>1</v>
      </c>
    </row>
    <row r="1497" spans="1:23" x14ac:dyDescent="0.2">
      <c r="A1497" t="s">
        <v>23</v>
      </c>
      <c r="B1497" t="s">
        <v>1108</v>
      </c>
      <c r="C1497" t="s">
        <v>1109</v>
      </c>
      <c r="D1497" t="s">
        <v>1234</v>
      </c>
      <c r="E1497" t="s">
        <v>1327</v>
      </c>
      <c r="F1497" t="s">
        <v>1328</v>
      </c>
      <c r="G1497" t="s">
        <v>134</v>
      </c>
      <c r="H1497" t="s">
        <v>52</v>
      </c>
      <c r="I1497" t="s">
        <v>30</v>
      </c>
      <c r="J1497" t="s">
        <v>31</v>
      </c>
      <c r="K1497" t="s">
        <v>32</v>
      </c>
      <c r="L1497" t="s">
        <v>32</v>
      </c>
      <c r="M1497" t="s">
        <v>33</v>
      </c>
      <c r="N1497" t="s">
        <v>169</v>
      </c>
      <c r="O1497" t="s">
        <v>169</v>
      </c>
      <c r="P1497" t="s">
        <v>34</v>
      </c>
      <c r="Q1497" t="s">
        <v>35</v>
      </c>
      <c r="R1497" t="s">
        <v>353</v>
      </c>
      <c r="S1497" t="s">
        <v>30</v>
      </c>
      <c r="T1497" t="s">
        <v>1338</v>
      </c>
      <c r="U1497" t="s">
        <v>1343</v>
      </c>
      <c r="V1497" t="s">
        <v>40</v>
      </c>
      <c r="W1497" s="1">
        <v>177900</v>
      </c>
    </row>
    <row r="1498" spans="1:23" x14ac:dyDescent="0.2">
      <c r="A1498" t="s">
        <v>23</v>
      </c>
      <c r="B1498" t="s">
        <v>1108</v>
      </c>
      <c r="C1498" t="s">
        <v>1109</v>
      </c>
      <c r="D1498" t="s">
        <v>1234</v>
      </c>
      <c r="E1498" t="s">
        <v>1327</v>
      </c>
      <c r="F1498" t="s">
        <v>1328</v>
      </c>
      <c r="G1498" t="s">
        <v>139</v>
      </c>
      <c r="H1498" t="s">
        <v>30</v>
      </c>
      <c r="I1498" t="s">
        <v>30</v>
      </c>
      <c r="J1498" t="s">
        <v>31</v>
      </c>
      <c r="K1498" t="s">
        <v>32</v>
      </c>
      <c r="L1498" t="s">
        <v>32</v>
      </c>
      <c r="M1498" t="s">
        <v>33</v>
      </c>
      <c r="N1498" t="s">
        <v>33</v>
      </c>
      <c r="O1498" t="s">
        <v>33</v>
      </c>
      <c r="P1498" t="s">
        <v>34</v>
      </c>
      <c r="Q1498" t="s">
        <v>35</v>
      </c>
      <c r="R1498" t="s">
        <v>184</v>
      </c>
      <c r="S1498" t="s">
        <v>30</v>
      </c>
      <c r="T1498" t="s">
        <v>1344</v>
      </c>
      <c r="U1498" t="s">
        <v>1345</v>
      </c>
      <c r="V1498" t="s">
        <v>39</v>
      </c>
      <c r="W1498" s="1">
        <v>2</v>
      </c>
    </row>
    <row r="1499" spans="1:23" x14ac:dyDescent="0.2">
      <c r="A1499" t="s">
        <v>23</v>
      </c>
      <c r="B1499" t="s">
        <v>1108</v>
      </c>
      <c r="C1499" t="s">
        <v>1109</v>
      </c>
      <c r="D1499" t="s">
        <v>1234</v>
      </c>
      <c r="E1499" t="s">
        <v>1327</v>
      </c>
      <c r="F1499" t="s">
        <v>1328</v>
      </c>
      <c r="G1499" t="s">
        <v>139</v>
      </c>
      <c r="H1499" t="s">
        <v>30</v>
      </c>
      <c r="I1499" t="s">
        <v>30</v>
      </c>
      <c r="J1499" t="s">
        <v>31</v>
      </c>
      <c r="K1499" t="s">
        <v>32</v>
      </c>
      <c r="L1499" t="s">
        <v>32</v>
      </c>
      <c r="M1499" t="s">
        <v>33</v>
      </c>
      <c r="N1499" t="s">
        <v>33</v>
      </c>
      <c r="O1499" t="s">
        <v>33</v>
      </c>
      <c r="P1499" t="s">
        <v>34</v>
      </c>
      <c r="Q1499" t="s">
        <v>35</v>
      </c>
      <c r="R1499" t="s">
        <v>184</v>
      </c>
      <c r="S1499" t="s">
        <v>30</v>
      </c>
      <c r="T1499" t="s">
        <v>1344</v>
      </c>
      <c r="U1499" t="s">
        <v>1345</v>
      </c>
      <c r="V1499" t="s">
        <v>40</v>
      </c>
      <c r="W1499" s="1">
        <v>2118600</v>
      </c>
    </row>
    <row r="1500" spans="1:23" x14ac:dyDescent="0.2">
      <c r="A1500" t="s">
        <v>23</v>
      </c>
      <c r="B1500" t="s">
        <v>1108</v>
      </c>
      <c r="C1500" t="s">
        <v>1109</v>
      </c>
      <c r="D1500" t="s">
        <v>1234</v>
      </c>
      <c r="E1500" t="s">
        <v>1346</v>
      </c>
      <c r="F1500" t="s">
        <v>1347</v>
      </c>
      <c r="G1500" t="s">
        <v>29</v>
      </c>
      <c r="H1500" t="s">
        <v>30</v>
      </c>
      <c r="I1500" t="s">
        <v>30</v>
      </c>
      <c r="J1500" t="s">
        <v>31</v>
      </c>
      <c r="K1500" t="s">
        <v>32</v>
      </c>
      <c r="L1500" t="s">
        <v>32</v>
      </c>
      <c r="M1500" t="s">
        <v>33</v>
      </c>
      <c r="N1500" t="s">
        <v>33</v>
      </c>
      <c r="O1500" t="s">
        <v>33</v>
      </c>
      <c r="P1500" t="s">
        <v>34</v>
      </c>
      <c r="Q1500" t="s">
        <v>35</v>
      </c>
      <c r="R1500" t="s">
        <v>184</v>
      </c>
      <c r="S1500" t="s">
        <v>30</v>
      </c>
      <c r="T1500" t="s">
        <v>1344</v>
      </c>
      <c r="U1500" t="s">
        <v>1348</v>
      </c>
      <c r="V1500" t="s">
        <v>39</v>
      </c>
      <c r="W1500" s="1">
        <v>2</v>
      </c>
    </row>
    <row r="1501" spans="1:23" x14ac:dyDescent="0.2">
      <c r="A1501" t="s">
        <v>23</v>
      </c>
      <c r="B1501" t="s">
        <v>1108</v>
      </c>
      <c r="C1501" t="s">
        <v>1109</v>
      </c>
      <c r="D1501" t="s">
        <v>1234</v>
      </c>
      <c r="E1501" t="s">
        <v>1346</v>
      </c>
      <c r="F1501" t="s">
        <v>1347</v>
      </c>
      <c r="G1501" t="s">
        <v>29</v>
      </c>
      <c r="H1501" t="s">
        <v>30</v>
      </c>
      <c r="I1501" t="s">
        <v>30</v>
      </c>
      <c r="J1501" t="s">
        <v>31</v>
      </c>
      <c r="K1501" t="s">
        <v>32</v>
      </c>
      <c r="L1501" t="s">
        <v>32</v>
      </c>
      <c r="M1501" t="s">
        <v>33</v>
      </c>
      <c r="N1501" t="s">
        <v>33</v>
      </c>
      <c r="O1501" t="s">
        <v>33</v>
      </c>
      <c r="P1501" t="s">
        <v>34</v>
      </c>
      <c r="Q1501" t="s">
        <v>35</v>
      </c>
      <c r="R1501" t="s">
        <v>184</v>
      </c>
      <c r="S1501" t="s">
        <v>30</v>
      </c>
      <c r="T1501" t="s">
        <v>1344</v>
      </c>
      <c r="U1501" t="s">
        <v>1348</v>
      </c>
      <c r="V1501" t="s">
        <v>40</v>
      </c>
      <c r="W1501" s="1">
        <v>2058600</v>
      </c>
    </row>
    <row r="1502" spans="1:23" x14ac:dyDescent="0.2">
      <c r="A1502" t="s">
        <v>23</v>
      </c>
      <c r="B1502" t="s">
        <v>1108</v>
      </c>
      <c r="C1502" t="s">
        <v>1109</v>
      </c>
      <c r="D1502" t="s">
        <v>1234</v>
      </c>
      <c r="E1502" t="s">
        <v>1346</v>
      </c>
      <c r="F1502" t="s">
        <v>1347</v>
      </c>
      <c r="G1502" t="s">
        <v>29</v>
      </c>
      <c r="H1502" t="s">
        <v>30</v>
      </c>
      <c r="I1502" t="s">
        <v>30</v>
      </c>
      <c r="J1502" t="s">
        <v>41</v>
      </c>
      <c r="K1502" t="s">
        <v>32</v>
      </c>
      <c r="L1502" t="s">
        <v>32</v>
      </c>
      <c r="M1502" t="s">
        <v>33</v>
      </c>
      <c r="N1502" t="s">
        <v>33</v>
      </c>
      <c r="O1502" t="s">
        <v>33</v>
      </c>
      <c r="P1502" t="s">
        <v>34</v>
      </c>
      <c r="Q1502" t="s">
        <v>35</v>
      </c>
      <c r="R1502" t="s">
        <v>353</v>
      </c>
      <c r="S1502" t="s">
        <v>30</v>
      </c>
      <c r="T1502" t="s">
        <v>1349</v>
      </c>
      <c r="U1502" t="s">
        <v>1350</v>
      </c>
      <c r="V1502" t="s">
        <v>39</v>
      </c>
      <c r="W1502" s="1">
        <v>1</v>
      </c>
    </row>
    <row r="1503" spans="1:23" x14ac:dyDescent="0.2">
      <c r="A1503" t="s">
        <v>23</v>
      </c>
      <c r="B1503" t="s">
        <v>1108</v>
      </c>
      <c r="C1503" t="s">
        <v>1109</v>
      </c>
      <c r="D1503" t="s">
        <v>1234</v>
      </c>
      <c r="E1503" t="s">
        <v>1346</v>
      </c>
      <c r="F1503" t="s">
        <v>1347</v>
      </c>
      <c r="G1503" t="s">
        <v>29</v>
      </c>
      <c r="H1503" t="s">
        <v>30</v>
      </c>
      <c r="I1503" t="s">
        <v>30</v>
      </c>
      <c r="J1503" t="s">
        <v>41</v>
      </c>
      <c r="K1503" t="s">
        <v>32</v>
      </c>
      <c r="L1503" t="s">
        <v>32</v>
      </c>
      <c r="M1503" t="s">
        <v>33</v>
      </c>
      <c r="N1503" t="s">
        <v>33</v>
      </c>
      <c r="O1503" t="s">
        <v>33</v>
      </c>
      <c r="P1503" t="s">
        <v>34</v>
      </c>
      <c r="Q1503" t="s">
        <v>35</v>
      </c>
      <c r="R1503" t="s">
        <v>353</v>
      </c>
      <c r="S1503" t="s">
        <v>30</v>
      </c>
      <c r="T1503" t="s">
        <v>1349</v>
      </c>
      <c r="U1503" t="s">
        <v>1350</v>
      </c>
      <c r="V1503" t="s">
        <v>40</v>
      </c>
      <c r="W1503" s="1">
        <v>5355000</v>
      </c>
    </row>
    <row r="1504" spans="1:23" x14ac:dyDescent="0.2">
      <c r="A1504" t="s">
        <v>23</v>
      </c>
      <c r="B1504" t="s">
        <v>1108</v>
      </c>
      <c r="C1504" t="s">
        <v>1109</v>
      </c>
      <c r="D1504" t="s">
        <v>1234</v>
      </c>
      <c r="E1504" t="s">
        <v>1346</v>
      </c>
      <c r="F1504" t="s">
        <v>1347</v>
      </c>
      <c r="G1504" t="s">
        <v>29</v>
      </c>
      <c r="H1504" t="s">
        <v>30</v>
      </c>
      <c r="I1504" t="s">
        <v>30</v>
      </c>
      <c r="J1504" t="s">
        <v>41</v>
      </c>
      <c r="K1504" t="s">
        <v>32</v>
      </c>
      <c r="L1504" t="s">
        <v>32</v>
      </c>
      <c r="M1504" t="s">
        <v>33</v>
      </c>
      <c r="P1504" t="s">
        <v>34</v>
      </c>
      <c r="Q1504" t="s">
        <v>35</v>
      </c>
      <c r="R1504" t="s">
        <v>54</v>
      </c>
      <c r="S1504" t="s">
        <v>30</v>
      </c>
      <c r="T1504" t="s">
        <v>1351</v>
      </c>
      <c r="U1504" t="s">
        <v>1352</v>
      </c>
      <c r="V1504" t="s">
        <v>39</v>
      </c>
      <c r="W1504" s="1">
        <v>4</v>
      </c>
    </row>
    <row r="1505" spans="1:23" x14ac:dyDescent="0.2">
      <c r="A1505" t="s">
        <v>23</v>
      </c>
      <c r="B1505" t="s">
        <v>1108</v>
      </c>
      <c r="C1505" t="s">
        <v>1109</v>
      </c>
      <c r="D1505" t="s">
        <v>1234</v>
      </c>
      <c r="E1505" t="s">
        <v>1346</v>
      </c>
      <c r="F1505" t="s">
        <v>1347</v>
      </c>
      <c r="G1505" t="s">
        <v>29</v>
      </c>
      <c r="H1505" t="s">
        <v>30</v>
      </c>
      <c r="I1505" t="s">
        <v>30</v>
      </c>
      <c r="J1505" t="s">
        <v>41</v>
      </c>
      <c r="K1505" t="s">
        <v>32</v>
      </c>
      <c r="L1505" t="s">
        <v>32</v>
      </c>
      <c r="M1505" t="s">
        <v>33</v>
      </c>
      <c r="P1505" t="s">
        <v>34</v>
      </c>
      <c r="Q1505" t="s">
        <v>35</v>
      </c>
      <c r="R1505" t="s">
        <v>54</v>
      </c>
      <c r="S1505" t="s">
        <v>30</v>
      </c>
      <c r="T1505" t="s">
        <v>1351</v>
      </c>
      <c r="U1505" t="s">
        <v>1352</v>
      </c>
      <c r="V1505" t="s">
        <v>40</v>
      </c>
      <c r="W1505" s="1">
        <v>4936800</v>
      </c>
    </row>
    <row r="1506" spans="1:23" x14ac:dyDescent="0.2">
      <c r="A1506" t="s">
        <v>23</v>
      </c>
      <c r="B1506" t="s">
        <v>1108</v>
      </c>
      <c r="C1506" t="s">
        <v>1109</v>
      </c>
      <c r="D1506" t="s">
        <v>1234</v>
      </c>
      <c r="E1506" t="s">
        <v>1346</v>
      </c>
      <c r="F1506" t="s">
        <v>1347</v>
      </c>
      <c r="G1506" t="s">
        <v>29</v>
      </c>
      <c r="H1506" t="s">
        <v>30</v>
      </c>
      <c r="I1506" t="s">
        <v>30</v>
      </c>
      <c r="J1506" t="s">
        <v>41</v>
      </c>
      <c r="K1506" t="s">
        <v>32</v>
      </c>
      <c r="L1506" t="s">
        <v>32</v>
      </c>
      <c r="M1506" t="s">
        <v>33</v>
      </c>
      <c r="P1506" t="s">
        <v>34</v>
      </c>
      <c r="Q1506" t="s">
        <v>35</v>
      </c>
      <c r="R1506" t="s">
        <v>54</v>
      </c>
      <c r="S1506" t="s">
        <v>30</v>
      </c>
      <c r="T1506" t="s">
        <v>1353</v>
      </c>
      <c r="U1506" t="s">
        <v>1354</v>
      </c>
      <c r="V1506" t="s">
        <v>39</v>
      </c>
      <c r="W1506" s="1">
        <v>4</v>
      </c>
    </row>
    <row r="1507" spans="1:23" x14ac:dyDescent="0.2">
      <c r="A1507" t="s">
        <v>23</v>
      </c>
      <c r="B1507" t="s">
        <v>1108</v>
      </c>
      <c r="C1507" t="s">
        <v>1109</v>
      </c>
      <c r="D1507" t="s">
        <v>1234</v>
      </c>
      <c r="E1507" t="s">
        <v>1346</v>
      </c>
      <c r="F1507" t="s">
        <v>1347</v>
      </c>
      <c r="G1507" t="s">
        <v>29</v>
      </c>
      <c r="H1507" t="s">
        <v>30</v>
      </c>
      <c r="I1507" t="s">
        <v>30</v>
      </c>
      <c r="J1507" t="s">
        <v>41</v>
      </c>
      <c r="K1507" t="s">
        <v>32</v>
      </c>
      <c r="L1507" t="s">
        <v>32</v>
      </c>
      <c r="M1507" t="s">
        <v>33</v>
      </c>
      <c r="P1507" t="s">
        <v>34</v>
      </c>
      <c r="Q1507" t="s">
        <v>35</v>
      </c>
      <c r="R1507" t="s">
        <v>54</v>
      </c>
      <c r="S1507" t="s">
        <v>30</v>
      </c>
      <c r="T1507" t="s">
        <v>1353</v>
      </c>
      <c r="U1507" t="s">
        <v>1354</v>
      </c>
      <c r="V1507" t="s">
        <v>40</v>
      </c>
      <c r="W1507" s="1">
        <v>6831600</v>
      </c>
    </row>
    <row r="1508" spans="1:23" x14ac:dyDescent="0.2">
      <c r="A1508" t="s">
        <v>23</v>
      </c>
      <c r="B1508" t="s">
        <v>1108</v>
      </c>
      <c r="C1508" t="s">
        <v>1109</v>
      </c>
      <c r="D1508" t="s">
        <v>1234</v>
      </c>
      <c r="E1508" t="s">
        <v>1346</v>
      </c>
      <c r="F1508" t="s">
        <v>1347</v>
      </c>
      <c r="G1508" t="s">
        <v>29</v>
      </c>
      <c r="H1508" t="s">
        <v>30</v>
      </c>
      <c r="I1508" t="s">
        <v>30</v>
      </c>
      <c r="J1508" t="s">
        <v>610</v>
      </c>
      <c r="K1508" t="s">
        <v>611</v>
      </c>
      <c r="L1508" t="s">
        <v>32</v>
      </c>
      <c r="M1508" t="s">
        <v>33</v>
      </c>
      <c r="N1508" t="s">
        <v>33</v>
      </c>
      <c r="O1508" t="s">
        <v>33</v>
      </c>
      <c r="P1508" t="s">
        <v>34</v>
      </c>
      <c r="Q1508" t="s">
        <v>35</v>
      </c>
      <c r="R1508" t="s">
        <v>1355</v>
      </c>
      <c r="S1508" t="s">
        <v>30</v>
      </c>
      <c r="T1508" t="s">
        <v>1356</v>
      </c>
      <c r="U1508" t="s">
        <v>1357</v>
      </c>
      <c r="V1508" t="s">
        <v>39</v>
      </c>
      <c r="W1508" s="1">
        <v>2</v>
      </c>
    </row>
    <row r="1509" spans="1:23" x14ac:dyDescent="0.2">
      <c r="A1509" t="s">
        <v>23</v>
      </c>
      <c r="B1509" t="s">
        <v>1108</v>
      </c>
      <c r="C1509" t="s">
        <v>1109</v>
      </c>
      <c r="D1509" t="s">
        <v>1234</v>
      </c>
      <c r="E1509" t="s">
        <v>1346</v>
      </c>
      <c r="F1509" t="s">
        <v>1347</v>
      </c>
      <c r="G1509" t="s">
        <v>29</v>
      </c>
      <c r="H1509" t="s">
        <v>30</v>
      </c>
      <c r="I1509" t="s">
        <v>30</v>
      </c>
      <c r="J1509" t="s">
        <v>610</v>
      </c>
      <c r="K1509" t="s">
        <v>611</v>
      </c>
      <c r="L1509" t="s">
        <v>32</v>
      </c>
      <c r="M1509" t="s">
        <v>33</v>
      </c>
      <c r="N1509" t="s">
        <v>33</v>
      </c>
      <c r="O1509" t="s">
        <v>33</v>
      </c>
      <c r="P1509" t="s">
        <v>34</v>
      </c>
      <c r="Q1509" t="s">
        <v>35</v>
      </c>
      <c r="R1509" t="s">
        <v>1355</v>
      </c>
      <c r="S1509" t="s">
        <v>30</v>
      </c>
      <c r="T1509" t="s">
        <v>1356</v>
      </c>
      <c r="U1509" t="s">
        <v>1357</v>
      </c>
      <c r="V1509" t="s">
        <v>40</v>
      </c>
      <c r="W1509" s="1">
        <v>222000</v>
      </c>
    </row>
    <row r="1510" spans="1:23" x14ac:dyDescent="0.2">
      <c r="A1510" t="s">
        <v>23</v>
      </c>
      <c r="B1510" t="s">
        <v>1108</v>
      </c>
      <c r="C1510" t="s">
        <v>1109</v>
      </c>
      <c r="D1510" t="s">
        <v>1234</v>
      </c>
      <c r="E1510" t="s">
        <v>1346</v>
      </c>
      <c r="F1510" t="s">
        <v>1347</v>
      </c>
      <c r="G1510" t="s">
        <v>61</v>
      </c>
      <c r="H1510" t="s">
        <v>52</v>
      </c>
      <c r="I1510" t="s">
        <v>52</v>
      </c>
      <c r="J1510" t="s">
        <v>41</v>
      </c>
      <c r="K1510" t="s">
        <v>32</v>
      </c>
      <c r="L1510" t="s">
        <v>32</v>
      </c>
      <c r="M1510" t="s">
        <v>33</v>
      </c>
      <c r="P1510" t="s">
        <v>34</v>
      </c>
      <c r="Q1510" t="s">
        <v>35</v>
      </c>
      <c r="S1510" t="s">
        <v>52</v>
      </c>
      <c r="T1510" t="s">
        <v>1358</v>
      </c>
      <c r="U1510" t="s">
        <v>1359</v>
      </c>
      <c r="V1510" t="s">
        <v>39</v>
      </c>
      <c r="W1510" s="1">
        <v>0</v>
      </c>
    </row>
    <row r="1511" spans="1:23" x14ac:dyDescent="0.2">
      <c r="A1511" t="s">
        <v>23</v>
      </c>
      <c r="B1511" t="s">
        <v>1108</v>
      </c>
      <c r="C1511" t="s">
        <v>1109</v>
      </c>
      <c r="D1511" t="s">
        <v>1234</v>
      </c>
      <c r="E1511" t="s">
        <v>1346</v>
      </c>
      <c r="F1511" t="s">
        <v>1347</v>
      </c>
      <c r="G1511" t="s">
        <v>61</v>
      </c>
      <c r="H1511" t="s">
        <v>52</v>
      </c>
      <c r="I1511" t="s">
        <v>52</v>
      </c>
      <c r="J1511" t="s">
        <v>41</v>
      </c>
      <c r="K1511" t="s">
        <v>32</v>
      </c>
      <c r="L1511" t="s">
        <v>32</v>
      </c>
      <c r="M1511" t="s">
        <v>33</v>
      </c>
      <c r="P1511" t="s">
        <v>34</v>
      </c>
      <c r="Q1511" t="s">
        <v>35</v>
      </c>
      <c r="S1511" t="s">
        <v>52</v>
      </c>
      <c r="T1511" t="s">
        <v>1358</v>
      </c>
      <c r="U1511" t="s">
        <v>1359</v>
      </c>
      <c r="V1511" t="s">
        <v>40</v>
      </c>
      <c r="W1511" s="1">
        <v>4716000</v>
      </c>
    </row>
    <row r="1512" spans="1:23" x14ac:dyDescent="0.2">
      <c r="A1512" t="s">
        <v>23</v>
      </c>
      <c r="B1512" t="s">
        <v>1108</v>
      </c>
      <c r="C1512" t="s">
        <v>1109</v>
      </c>
      <c r="D1512" t="s">
        <v>1234</v>
      </c>
      <c r="E1512" t="s">
        <v>1346</v>
      </c>
      <c r="F1512" t="s">
        <v>1347</v>
      </c>
      <c r="G1512" t="s">
        <v>64</v>
      </c>
      <c r="H1512" t="s">
        <v>30</v>
      </c>
      <c r="I1512" t="s">
        <v>52</v>
      </c>
      <c r="J1512" t="s">
        <v>41</v>
      </c>
      <c r="K1512" t="s">
        <v>32</v>
      </c>
      <c r="L1512" t="s">
        <v>32</v>
      </c>
      <c r="M1512" t="s">
        <v>33</v>
      </c>
      <c r="N1512" t="s">
        <v>33</v>
      </c>
      <c r="O1512" t="s">
        <v>33</v>
      </c>
      <c r="P1512" t="s">
        <v>34</v>
      </c>
      <c r="Q1512" t="s">
        <v>35</v>
      </c>
      <c r="S1512" t="s">
        <v>30</v>
      </c>
      <c r="T1512" t="s">
        <v>1360</v>
      </c>
      <c r="U1512" t="s">
        <v>1361</v>
      </c>
      <c r="V1512" t="s">
        <v>39</v>
      </c>
      <c r="W1512" s="1">
        <v>3</v>
      </c>
    </row>
    <row r="1513" spans="1:23" x14ac:dyDescent="0.2">
      <c r="A1513" t="s">
        <v>23</v>
      </c>
      <c r="B1513" t="s">
        <v>1108</v>
      </c>
      <c r="C1513" t="s">
        <v>1109</v>
      </c>
      <c r="D1513" t="s">
        <v>1234</v>
      </c>
      <c r="E1513" t="s">
        <v>1346</v>
      </c>
      <c r="F1513" t="s">
        <v>1347</v>
      </c>
      <c r="G1513" t="s">
        <v>64</v>
      </c>
      <c r="H1513" t="s">
        <v>30</v>
      </c>
      <c r="I1513" t="s">
        <v>52</v>
      </c>
      <c r="J1513" t="s">
        <v>41</v>
      </c>
      <c r="K1513" t="s">
        <v>32</v>
      </c>
      <c r="L1513" t="s">
        <v>32</v>
      </c>
      <c r="M1513" t="s">
        <v>33</v>
      </c>
      <c r="N1513" t="s">
        <v>33</v>
      </c>
      <c r="O1513" t="s">
        <v>33</v>
      </c>
      <c r="P1513" t="s">
        <v>34</v>
      </c>
      <c r="Q1513" t="s">
        <v>35</v>
      </c>
      <c r="S1513" t="s">
        <v>30</v>
      </c>
      <c r="T1513" t="s">
        <v>1360</v>
      </c>
      <c r="U1513" t="s">
        <v>1361</v>
      </c>
      <c r="V1513" t="s">
        <v>40</v>
      </c>
      <c r="W1513" s="1">
        <v>4332600</v>
      </c>
    </row>
    <row r="1514" spans="1:23" x14ac:dyDescent="0.2">
      <c r="A1514" t="s">
        <v>23</v>
      </c>
      <c r="B1514" t="s">
        <v>1108</v>
      </c>
      <c r="C1514" t="s">
        <v>1109</v>
      </c>
      <c r="D1514" t="s">
        <v>1234</v>
      </c>
      <c r="E1514" t="s">
        <v>1346</v>
      </c>
      <c r="F1514" t="s">
        <v>1347</v>
      </c>
      <c r="G1514" t="s">
        <v>67</v>
      </c>
      <c r="H1514" t="s">
        <v>30</v>
      </c>
      <c r="I1514" t="s">
        <v>30</v>
      </c>
      <c r="J1514" t="s">
        <v>128</v>
      </c>
      <c r="K1514" t="s">
        <v>135</v>
      </c>
      <c r="L1514" t="s">
        <v>32</v>
      </c>
      <c r="M1514" t="s">
        <v>33</v>
      </c>
      <c r="N1514" t="s">
        <v>33</v>
      </c>
      <c r="O1514" t="s">
        <v>33</v>
      </c>
      <c r="P1514" t="s">
        <v>34</v>
      </c>
      <c r="Q1514" t="s">
        <v>35</v>
      </c>
      <c r="S1514" t="s">
        <v>30</v>
      </c>
      <c r="T1514" t="s">
        <v>1362</v>
      </c>
      <c r="U1514" t="s">
        <v>1363</v>
      </c>
      <c r="V1514" t="s">
        <v>39</v>
      </c>
      <c r="W1514" s="1">
        <v>2</v>
      </c>
    </row>
    <row r="1515" spans="1:23" x14ac:dyDescent="0.2">
      <c r="A1515" t="s">
        <v>23</v>
      </c>
      <c r="B1515" t="s">
        <v>1108</v>
      </c>
      <c r="C1515" t="s">
        <v>1109</v>
      </c>
      <c r="D1515" t="s">
        <v>1234</v>
      </c>
      <c r="E1515" t="s">
        <v>1346</v>
      </c>
      <c r="F1515" t="s">
        <v>1347</v>
      </c>
      <c r="G1515" t="s">
        <v>67</v>
      </c>
      <c r="H1515" t="s">
        <v>30</v>
      </c>
      <c r="I1515" t="s">
        <v>30</v>
      </c>
      <c r="J1515" t="s">
        <v>128</v>
      </c>
      <c r="K1515" t="s">
        <v>135</v>
      </c>
      <c r="L1515" t="s">
        <v>32</v>
      </c>
      <c r="M1515" t="s">
        <v>33</v>
      </c>
      <c r="N1515" t="s">
        <v>33</v>
      </c>
      <c r="O1515" t="s">
        <v>33</v>
      </c>
      <c r="P1515" t="s">
        <v>34</v>
      </c>
      <c r="Q1515" t="s">
        <v>35</v>
      </c>
      <c r="S1515" t="s">
        <v>30</v>
      </c>
      <c r="T1515" t="s">
        <v>1362</v>
      </c>
      <c r="U1515" t="s">
        <v>1363</v>
      </c>
      <c r="V1515" t="s">
        <v>40</v>
      </c>
      <c r="W1515" s="1">
        <v>871800</v>
      </c>
    </row>
    <row r="1516" spans="1:23" x14ac:dyDescent="0.2">
      <c r="A1516" t="s">
        <v>23</v>
      </c>
      <c r="B1516" t="s">
        <v>1108</v>
      </c>
      <c r="C1516" t="s">
        <v>1109</v>
      </c>
      <c r="D1516" t="s">
        <v>1234</v>
      </c>
      <c r="E1516" t="s">
        <v>1346</v>
      </c>
      <c r="F1516" t="s">
        <v>1347</v>
      </c>
      <c r="G1516" t="s">
        <v>67</v>
      </c>
      <c r="H1516" t="s">
        <v>30</v>
      </c>
      <c r="I1516" t="s">
        <v>30</v>
      </c>
      <c r="J1516" t="s">
        <v>31</v>
      </c>
      <c r="K1516" t="s">
        <v>32</v>
      </c>
      <c r="L1516" t="s">
        <v>32</v>
      </c>
      <c r="M1516" t="s">
        <v>33</v>
      </c>
      <c r="P1516" t="s">
        <v>34</v>
      </c>
      <c r="Q1516" t="s">
        <v>35</v>
      </c>
      <c r="S1516" t="s">
        <v>52</v>
      </c>
      <c r="T1516" t="s">
        <v>1364</v>
      </c>
      <c r="U1516" t="s">
        <v>1365</v>
      </c>
      <c r="V1516" t="s">
        <v>39</v>
      </c>
      <c r="W1516" s="1">
        <v>0</v>
      </c>
    </row>
    <row r="1517" spans="1:23" x14ac:dyDescent="0.2">
      <c r="A1517" t="s">
        <v>23</v>
      </c>
      <c r="B1517" t="s">
        <v>1108</v>
      </c>
      <c r="C1517" t="s">
        <v>1109</v>
      </c>
      <c r="D1517" t="s">
        <v>1234</v>
      </c>
      <c r="E1517" t="s">
        <v>1346</v>
      </c>
      <c r="F1517" t="s">
        <v>1347</v>
      </c>
      <c r="G1517" t="s">
        <v>67</v>
      </c>
      <c r="H1517" t="s">
        <v>30</v>
      </c>
      <c r="I1517" t="s">
        <v>30</v>
      </c>
      <c r="J1517" t="s">
        <v>31</v>
      </c>
      <c r="K1517" t="s">
        <v>32</v>
      </c>
      <c r="L1517" t="s">
        <v>32</v>
      </c>
      <c r="M1517" t="s">
        <v>33</v>
      </c>
      <c r="P1517" t="s">
        <v>34</v>
      </c>
      <c r="Q1517" t="s">
        <v>35</v>
      </c>
      <c r="S1517" t="s">
        <v>52</v>
      </c>
      <c r="T1517" t="s">
        <v>1364</v>
      </c>
      <c r="U1517" t="s">
        <v>1365</v>
      </c>
      <c r="V1517" t="s">
        <v>40</v>
      </c>
      <c r="W1517" s="1">
        <v>4519600</v>
      </c>
    </row>
    <row r="1518" spans="1:23" x14ac:dyDescent="0.2">
      <c r="A1518" t="s">
        <v>23</v>
      </c>
      <c r="B1518" t="s">
        <v>1108</v>
      </c>
      <c r="C1518" t="s">
        <v>1109</v>
      </c>
      <c r="D1518" t="s">
        <v>1234</v>
      </c>
      <c r="E1518" t="s">
        <v>1346</v>
      </c>
      <c r="F1518" t="s">
        <v>1347</v>
      </c>
      <c r="G1518" t="s">
        <v>67</v>
      </c>
      <c r="H1518" t="s">
        <v>30</v>
      </c>
      <c r="I1518" t="s">
        <v>30</v>
      </c>
      <c r="J1518" t="s">
        <v>41</v>
      </c>
      <c r="K1518" t="s">
        <v>32</v>
      </c>
      <c r="L1518" t="s">
        <v>32</v>
      </c>
      <c r="M1518" t="s">
        <v>33</v>
      </c>
      <c r="P1518" t="s">
        <v>34</v>
      </c>
      <c r="Q1518" t="s">
        <v>35</v>
      </c>
      <c r="R1518" t="s">
        <v>173</v>
      </c>
      <c r="S1518" t="s">
        <v>30</v>
      </c>
      <c r="T1518" t="s">
        <v>1366</v>
      </c>
      <c r="U1518" t="s">
        <v>1367</v>
      </c>
      <c r="V1518" t="s">
        <v>39</v>
      </c>
      <c r="W1518" s="1">
        <v>2</v>
      </c>
    </row>
    <row r="1519" spans="1:23" x14ac:dyDescent="0.2">
      <c r="A1519" t="s">
        <v>23</v>
      </c>
      <c r="B1519" t="s">
        <v>1108</v>
      </c>
      <c r="C1519" t="s">
        <v>1109</v>
      </c>
      <c r="D1519" t="s">
        <v>1234</v>
      </c>
      <c r="E1519" t="s">
        <v>1346</v>
      </c>
      <c r="F1519" t="s">
        <v>1347</v>
      </c>
      <c r="G1519" t="s">
        <v>67</v>
      </c>
      <c r="H1519" t="s">
        <v>30</v>
      </c>
      <c r="I1519" t="s">
        <v>30</v>
      </c>
      <c r="J1519" t="s">
        <v>41</v>
      </c>
      <c r="K1519" t="s">
        <v>32</v>
      </c>
      <c r="L1519" t="s">
        <v>32</v>
      </c>
      <c r="M1519" t="s">
        <v>33</v>
      </c>
      <c r="P1519" t="s">
        <v>34</v>
      </c>
      <c r="Q1519" t="s">
        <v>35</v>
      </c>
      <c r="R1519" t="s">
        <v>173</v>
      </c>
      <c r="S1519" t="s">
        <v>30</v>
      </c>
      <c r="T1519" t="s">
        <v>1366</v>
      </c>
      <c r="U1519" t="s">
        <v>1367</v>
      </c>
      <c r="V1519" t="s">
        <v>40</v>
      </c>
      <c r="W1519" s="1">
        <v>4155200</v>
      </c>
    </row>
    <row r="1520" spans="1:23" x14ac:dyDescent="0.2">
      <c r="A1520" t="s">
        <v>23</v>
      </c>
      <c r="B1520" t="s">
        <v>1108</v>
      </c>
      <c r="C1520" t="s">
        <v>1109</v>
      </c>
      <c r="D1520" t="s">
        <v>1234</v>
      </c>
      <c r="E1520" t="s">
        <v>1346</v>
      </c>
      <c r="F1520" t="s">
        <v>1347</v>
      </c>
      <c r="G1520" t="s">
        <v>89</v>
      </c>
      <c r="H1520" t="s">
        <v>30</v>
      </c>
      <c r="I1520" t="s">
        <v>30</v>
      </c>
      <c r="J1520" t="s">
        <v>31</v>
      </c>
      <c r="K1520" t="s">
        <v>32</v>
      </c>
      <c r="L1520" t="s">
        <v>32</v>
      </c>
      <c r="M1520" t="s">
        <v>33</v>
      </c>
      <c r="N1520" t="s">
        <v>33</v>
      </c>
      <c r="O1520" t="s">
        <v>33</v>
      </c>
      <c r="P1520" t="s">
        <v>34</v>
      </c>
      <c r="Q1520" t="s">
        <v>35</v>
      </c>
      <c r="S1520" t="s">
        <v>30</v>
      </c>
      <c r="T1520" t="s">
        <v>1368</v>
      </c>
      <c r="U1520" t="s">
        <v>1369</v>
      </c>
      <c r="V1520" t="s">
        <v>39</v>
      </c>
      <c r="W1520" s="1">
        <v>4</v>
      </c>
    </row>
    <row r="1521" spans="1:23" x14ac:dyDescent="0.2">
      <c r="A1521" t="s">
        <v>23</v>
      </c>
      <c r="B1521" t="s">
        <v>1108</v>
      </c>
      <c r="C1521" t="s">
        <v>1109</v>
      </c>
      <c r="D1521" t="s">
        <v>1234</v>
      </c>
      <c r="E1521" t="s">
        <v>1346</v>
      </c>
      <c r="F1521" t="s">
        <v>1347</v>
      </c>
      <c r="G1521" t="s">
        <v>89</v>
      </c>
      <c r="H1521" t="s">
        <v>30</v>
      </c>
      <c r="I1521" t="s">
        <v>30</v>
      </c>
      <c r="J1521" t="s">
        <v>31</v>
      </c>
      <c r="K1521" t="s">
        <v>32</v>
      </c>
      <c r="L1521" t="s">
        <v>32</v>
      </c>
      <c r="M1521" t="s">
        <v>33</v>
      </c>
      <c r="N1521" t="s">
        <v>33</v>
      </c>
      <c r="O1521" t="s">
        <v>33</v>
      </c>
      <c r="P1521" t="s">
        <v>34</v>
      </c>
      <c r="Q1521" t="s">
        <v>35</v>
      </c>
      <c r="S1521" t="s">
        <v>30</v>
      </c>
      <c r="T1521" t="s">
        <v>1368</v>
      </c>
      <c r="U1521" t="s">
        <v>1369</v>
      </c>
      <c r="V1521" t="s">
        <v>40</v>
      </c>
      <c r="W1521" s="1">
        <v>3879600</v>
      </c>
    </row>
    <row r="1522" spans="1:23" x14ac:dyDescent="0.2">
      <c r="A1522" t="s">
        <v>23</v>
      </c>
      <c r="B1522" t="s">
        <v>1108</v>
      </c>
      <c r="C1522" t="s">
        <v>1109</v>
      </c>
      <c r="D1522" t="s">
        <v>1234</v>
      </c>
      <c r="E1522" t="s">
        <v>1346</v>
      </c>
      <c r="F1522" t="s">
        <v>1347</v>
      </c>
      <c r="G1522" t="s">
        <v>89</v>
      </c>
      <c r="H1522" t="s">
        <v>30</v>
      </c>
      <c r="I1522" t="s">
        <v>30</v>
      </c>
      <c r="J1522" t="s">
        <v>31</v>
      </c>
      <c r="K1522" t="s">
        <v>32</v>
      </c>
      <c r="L1522" t="s">
        <v>32</v>
      </c>
      <c r="M1522" t="s">
        <v>33</v>
      </c>
      <c r="N1522" t="s">
        <v>33</v>
      </c>
      <c r="O1522" t="s">
        <v>33</v>
      </c>
      <c r="P1522" t="s">
        <v>34</v>
      </c>
      <c r="Q1522" t="s">
        <v>35</v>
      </c>
      <c r="S1522" t="s">
        <v>30</v>
      </c>
      <c r="T1522" t="s">
        <v>1370</v>
      </c>
      <c r="U1522" t="s">
        <v>1371</v>
      </c>
      <c r="V1522" t="s">
        <v>39</v>
      </c>
      <c r="W1522" s="1">
        <v>2</v>
      </c>
    </row>
    <row r="1523" spans="1:23" x14ac:dyDescent="0.2">
      <c r="A1523" t="s">
        <v>23</v>
      </c>
      <c r="B1523" t="s">
        <v>1108</v>
      </c>
      <c r="C1523" t="s">
        <v>1109</v>
      </c>
      <c r="D1523" t="s">
        <v>1234</v>
      </c>
      <c r="E1523" t="s">
        <v>1346</v>
      </c>
      <c r="F1523" t="s">
        <v>1347</v>
      </c>
      <c r="G1523" t="s">
        <v>89</v>
      </c>
      <c r="H1523" t="s">
        <v>30</v>
      </c>
      <c r="I1523" t="s">
        <v>30</v>
      </c>
      <c r="J1523" t="s">
        <v>31</v>
      </c>
      <c r="K1523" t="s">
        <v>32</v>
      </c>
      <c r="L1523" t="s">
        <v>32</v>
      </c>
      <c r="M1523" t="s">
        <v>33</v>
      </c>
      <c r="N1523" t="s">
        <v>33</v>
      </c>
      <c r="O1523" t="s">
        <v>33</v>
      </c>
      <c r="P1523" t="s">
        <v>34</v>
      </c>
      <c r="Q1523" t="s">
        <v>35</v>
      </c>
      <c r="S1523" t="s">
        <v>30</v>
      </c>
      <c r="T1523" t="s">
        <v>1370</v>
      </c>
      <c r="U1523" t="s">
        <v>1371</v>
      </c>
      <c r="V1523" t="s">
        <v>40</v>
      </c>
      <c r="W1523" s="1">
        <v>1738400</v>
      </c>
    </row>
    <row r="1524" spans="1:23" x14ac:dyDescent="0.2">
      <c r="A1524" t="s">
        <v>23</v>
      </c>
      <c r="B1524" t="s">
        <v>1108</v>
      </c>
      <c r="C1524" t="s">
        <v>1109</v>
      </c>
      <c r="D1524" t="s">
        <v>1234</v>
      </c>
      <c r="E1524" t="s">
        <v>1346</v>
      </c>
      <c r="F1524" t="s">
        <v>1347</v>
      </c>
      <c r="G1524" t="s">
        <v>89</v>
      </c>
      <c r="H1524" t="s">
        <v>30</v>
      </c>
      <c r="I1524" t="s">
        <v>30</v>
      </c>
      <c r="J1524" t="s">
        <v>31</v>
      </c>
      <c r="K1524" t="s">
        <v>32</v>
      </c>
      <c r="L1524" t="s">
        <v>32</v>
      </c>
      <c r="M1524" t="s">
        <v>33</v>
      </c>
      <c r="P1524" t="s">
        <v>34</v>
      </c>
      <c r="Q1524" t="s">
        <v>35</v>
      </c>
      <c r="R1524" t="s">
        <v>73</v>
      </c>
      <c r="S1524" t="s">
        <v>52</v>
      </c>
      <c r="T1524" t="s">
        <v>1372</v>
      </c>
      <c r="U1524" t="s">
        <v>1373</v>
      </c>
      <c r="V1524" t="s">
        <v>39</v>
      </c>
      <c r="W1524" s="1">
        <v>0</v>
      </c>
    </row>
    <row r="1525" spans="1:23" x14ac:dyDescent="0.2">
      <c r="A1525" t="s">
        <v>23</v>
      </c>
      <c r="B1525" t="s">
        <v>1108</v>
      </c>
      <c r="C1525" t="s">
        <v>1109</v>
      </c>
      <c r="D1525" t="s">
        <v>1234</v>
      </c>
      <c r="E1525" t="s">
        <v>1346</v>
      </c>
      <c r="F1525" t="s">
        <v>1347</v>
      </c>
      <c r="G1525" t="s">
        <v>89</v>
      </c>
      <c r="H1525" t="s">
        <v>30</v>
      </c>
      <c r="I1525" t="s">
        <v>30</v>
      </c>
      <c r="J1525" t="s">
        <v>31</v>
      </c>
      <c r="K1525" t="s">
        <v>32</v>
      </c>
      <c r="L1525" t="s">
        <v>32</v>
      </c>
      <c r="M1525" t="s">
        <v>33</v>
      </c>
      <c r="P1525" t="s">
        <v>34</v>
      </c>
      <c r="Q1525" t="s">
        <v>35</v>
      </c>
      <c r="R1525" t="s">
        <v>73</v>
      </c>
      <c r="S1525" t="s">
        <v>52</v>
      </c>
      <c r="T1525" t="s">
        <v>1372</v>
      </c>
      <c r="U1525" t="s">
        <v>1373</v>
      </c>
      <c r="V1525" t="s">
        <v>40</v>
      </c>
      <c r="W1525" s="1">
        <v>3999600</v>
      </c>
    </row>
    <row r="1526" spans="1:23" x14ac:dyDescent="0.2">
      <c r="A1526" t="s">
        <v>23</v>
      </c>
      <c r="B1526" t="s">
        <v>1108</v>
      </c>
      <c r="C1526" t="s">
        <v>1109</v>
      </c>
      <c r="D1526" t="s">
        <v>1234</v>
      </c>
      <c r="E1526" t="s">
        <v>1346</v>
      </c>
      <c r="F1526" t="s">
        <v>1347</v>
      </c>
      <c r="G1526" t="s">
        <v>89</v>
      </c>
      <c r="H1526" t="s">
        <v>30</v>
      </c>
      <c r="I1526" t="s">
        <v>30</v>
      </c>
      <c r="J1526" t="s">
        <v>31</v>
      </c>
      <c r="K1526" t="s">
        <v>32</v>
      </c>
      <c r="L1526" t="s">
        <v>32</v>
      </c>
      <c r="M1526" t="s">
        <v>33</v>
      </c>
      <c r="P1526" t="s">
        <v>34</v>
      </c>
      <c r="Q1526" t="s">
        <v>35</v>
      </c>
      <c r="S1526" t="s">
        <v>52</v>
      </c>
      <c r="T1526" t="s">
        <v>1374</v>
      </c>
      <c r="U1526" t="s">
        <v>1375</v>
      </c>
      <c r="V1526" t="s">
        <v>39</v>
      </c>
      <c r="W1526" s="1">
        <v>0</v>
      </c>
    </row>
    <row r="1527" spans="1:23" x14ac:dyDescent="0.2">
      <c r="A1527" t="s">
        <v>23</v>
      </c>
      <c r="B1527" t="s">
        <v>1108</v>
      </c>
      <c r="C1527" t="s">
        <v>1109</v>
      </c>
      <c r="D1527" t="s">
        <v>1234</v>
      </c>
      <c r="E1527" t="s">
        <v>1346</v>
      </c>
      <c r="F1527" t="s">
        <v>1347</v>
      </c>
      <c r="G1527" t="s">
        <v>89</v>
      </c>
      <c r="H1527" t="s">
        <v>30</v>
      </c>
      <c r="I1527" t="s">
        <v>30</v>
      </c>
      <c r="J1527" t="s">
        <v>31</v>
      </c>
      <c r="K1527" t="s">
        <v>32</v>
      </c>
      <c r="L1527" t="s">
        <v>32</v>
      </c>
      <c r="M1527" t="s">
        <v>33</v>
      </c>
      <c r="P1527" t="s">
        <v>34</v>
      </c>
      <c r="Q1527" t="s">
        <v>35</v>
      </c>
      <c r="S1527" t="s">
        <v>52</v>
      </c>
      <c r="T1527" t="s">
        <v>1374</v>
      </c>
      <c r="U1527" t="s">
        <v>1375</v>
      </c>
      <c r="V1527" t="s">
        <v>40</v>
      </c>
      <c r="W1527" s="1">
        <v>998000</v>
      </c>
    </row>
    <row r="1528" spans="1:23" x14ac:dyDescent="0.2">
      <c r="A1528" t="s">
        <v>23</v>
      </c>
      <c r="B1528" t="s">
        <v>1108</v>
      </c>
      <c r="C1528" t="s">
        <v>1109</v>
      </c>
      <c r="D1528" t="s">
        <v>1234</v>
      </c>
      <c r="E1528" t="s">
        <v>1346</v>
      </c>
      <c r="F1528" t="s">
        <v>1347</v>
      </c>
      <c r="G1528" t="s">
        <v>106</v>
      </c>
      <c r="H1528" t="s">
        <v>30</v>
      </c>
      <c r="I1528" t="s">
        <v>30</v>
      </c>
      <c r="J1528" t="s">
        <v>128</v>
      </c>
      <c r="K1528" t="s">
        <v>181</v>
      </c>
      <c r="L1528" t="s">
        <v>32</v>
      </c>
      <c r="M1528" t="s">
        <v>33</v>
      </c>
      <c r="N1528" t="s">
        <v>33</v>
      </c>
      <c r="O1528" t="s">
        <v>33</v>
      </c>
      <c r="P1528" t="s">
        <v>34</v>
      </c>
      <c r="Q1528" t="s">
        <v>35</v>
      </c>
      <c r="S1528" t="s">
        <v>30</v>
      </c>
      <c r="T1528" t="s">
        <v>1376</v>
      </c>
      <c r="U1528" t="s">
        <v>1377</v>
      </c>
      <c r="V1528" t="s">
        <v>39</v>
      </c>
      <c r="W1528" s="1">
        <v>6</v>
      </c>
    </row>
    <row r="1529" spans="1:23" x14ac:dyDescent="0.2">
      <c r="A1529" t="s">
        <v>23</v>
      </c>
      <c r="B1529" t="s">
        <v>1108</v>
      </c>
      <c r="C1529" t="s">
        <v>1109</v>
      </c>
      <c r="D1529" t="s">
        <v>1234</v>
      </c>
      <c r="E1529" t="s">
        <v>1346</v>
      </c>
      <c r="F1529" t="s">
        <v>1347</v>
      </c>
      <c r="G1529" t="s">
        <v>106</v>
      </c>
      <c r="H1529" t="s">
        <v>30</v>
      </c>
      <c r="I1529" t="s">
        <v>30</v>
      </c>
      <c r="J1529" t="s">
        <v>128</v>
      </c>
      <c r="K1529" t="s">
        <v>181</v>
      </c>
      <c r="L1529" t="s">
        <v>32</v>
      </c>
      <c r="M1529" t="s">
        <v>33</v>
      </c>
      <c r="N1529" t="s">
        <v>33</v>
      </c>
      <c r="O1529" t="s">
        <v>33</v>
      </c>
      <c r="P1529" t="s">
        <v>34</v>
      </c>
      <c r="Q1529" t="s">
        <v>35</v>
      </c>
      <c r="S1529" t="s">
        <v>30</v>
      </c>
      <c r="T1529" t="s">
        <v>1376</v>
      </c>
      <c r="U1529" t="s">
        <v>1377</v>
      </c>
      <c r="V1529" t="s">
        <v>40</v>
      </c>
      <c r="W1529" s="1">
        <v>7621200</v>
      </c>
    </row>
    <row r="1530" spans="1:23" x14ac:dyDescent="0.2">
      <c r="A1530" t="s">
        <v>23</v>
      </c>
      <c r="B1530" t="s">
        <v>1108</v>
      </c>
      <c r="C1530" t="s">
        <v>1109</v>
      </c>
      <c r="D1530" t="s">
        <v>1234</v>
      </c>
      <c r="E1530" t="s">
        <v>1346</v>
      </c>
      <c r="F1530" t="s">
        <v>1347</v>
      </c>
      <c r="G1530" t="s">
        <v>106</v>
      </c>
      <c r="H1530" t="s">
        <v>30</v>
      </c>
      <c r="I1530" t="s">
        <v>30</v>
      </c>
      <c r="J1530" t="s">
        <v>128</v>
      </c>
      <c r="K1530" t="s">
        <v>181</v>
      </c>
      <c r="L1530" t="s">
        <v>32</v>
      </c>
      <c r="M1530" t="s">
        <v>33</v>
      </c>
      <c r="P1530" t="s">
        <v>34</v>
      </c>
      <c r="Q1530" t="s">
        <v>35</v>
      </c>
      <c r="S1530" t="s">
        <v>30</v>
      </c>
      <c r="T1530" t="s">
        <v>1376</v>
      </c>
      <c r="U1530" t="s">
        <v>1377</v>
      </c>
      <c r="V1530" t="s">
        <v>39</v>
      </c>
      <c r="W1530" s="1">
        <v>5</v>
      </c>
    </row>
    <row r="1531" spans="1:23" x14ac:dyDescent="0.2">
      <c r="A1531" t="s">
        <v>23</v>
      </c>
      <c r="B1531" t="s">
        <v>1108</v>
      </c>
      <c r="C1531" t="s">
        <v>1109</v>
      </c>
      <c r="D1531" t="s">
        <v>1234</v>
      </c>
      <c r="E1531" t="s">
        <v>1346</v>
      </c>
      <c r="F1531" t="s">
        <v>1347</v>
      </c>
      <c r="G1531" t="s">
        <v>106</v>
      </c>
      <c r="H1531" t="s">
        <v>30</v>
      </c>
      <c r="I1531" t="s">
        <v>30</v>
      </c>
      <c r="J1531" t="s">
        <v>128</v>
      </c>
      <c r="K1531" t="s">
        <v>181</v>
      </c>
      <c r="L1531" t="s">
        <v>32</v>
      </c>
      <c r="M1531" t="s">
        <v>33</v>
      </c>
      <c r="P1531" t="s">
        <v>34</v>
      </c>
      <c r="Q1531" t="s">
        <v>35</v>
      </c>
      <c r="S1531" t="s">
        <v>30</v>
      </c>
      <c r="T1531" t="s">
        <v>1376</v>
      </c>
      <c r="U1531" t="s">
        <v>1377</v>
      </c>
      <c r="V1531" t="s">
        <v>40</v>
      </c>
      <c r="W1531" s="1">
        <v>6513500</v>
      </c>
    </row>
    <row r="1532" spans="1:23" x14ac:dyDescent="0.2">
      <c r="A1532" t="s">
        <v>23</v>
      </c>
      <c r="B1532" t="s">
        <v>1108</v>
      </c>
      <c r="C1532" t="s">
        <v>1109</v>
      </c>
      <c r="D1532" t="s">
        <v>1234</v>
      </c>
      <c r="E1532" t="s">
        <v>1346</v>
      </c>
      <c r="F1532" t="s">
        <v>1347</v>
      </c>
      <c r="G1532" t="s">
        <v>106</v>
      </c>
      <c r="H1532" t="s">
        <v>30</v>
      </c>
      <c r="I1532" t="s">
        <v>30</v>
      </c>
      <c r="J1532" t="s">
        <v>128</v>
      </c>
      <c r="K1532" t="s">
        <v>181</v>
      </c>
      <c r="L1532" t="s">
        <v>32</v>
      </c>
      <c r="M1532" t="s">
        <v>33</v>
      </c>
      <c r="P1532" t="s">
        <v>34</v>
      </c>
      <c r="Q1532" t="s">
        <v>35</v>
      </c>
      <c r="S1532" t="s">
        <v>52</v>
      </c>
      <c r="T1532" t="s">
        <v>1376</v>
      </c>
      <c r="U1532" t="s">
        <v>1377</v>
      </c>
      <c r="V1532" t="s">
        <v>39</v>
      </c>
      <c r="W1532" s="1">
        <v>0</v>
      </c>
    </row>
    <row r="1533" spans="1:23" x14ac:dyDescent="0.2">
      <c r="A1533" t="s">
        <v>23</v>
      </c>
      <c r="B1533" t="s">
        <v>1108</v>
      </c>
      <c r="C1533" t="s">
        <v>1109</v>
      </c>
      <c r="D1533" t="s">
        <v>1234</v>
      </c>
      <c r="E1533" t="s">
        <v>1346</v>
      </c>
      <c r="F1533" t="s">
        <v>1347</v>
      </c>
      <c r="G1533" t="s">
        <v>106</v>
      </c>
      <c r="H1533" t="s">
        <v>30</v>
      </c>
      <c r="I1533" t="s">
        <v>30</v>
      </c>
      <c r="J1533" t="s">
        <v>128</v>
      </c>
      <c r="K1533" t="s">
        <v>181</v>
      </c>
      <c r="L1533" t="s">
        <v>32</v>
      </c>
      <c r="M1533" t="s">
        <v>33</v>
      </c>
      <c r="P1533" t="s">
        <v>34</v>
      </c>
      <c r="Q1533" t="s">
        <v>35</v>
      </c>
      <c r="S1533" t="s">
        <v>52</v>
      </c>
      <c r="T1533" t="s">
        <v>1376</v>
      </c>
      <c r="U1533" t="s">
        <v>1377</v>
      </c>
      <c r="V1533" t="s">
        <v>40</v>
      </c>
      <c r="W1533" s="1">
        <v>0</v>
      </c>
    </row>
    <row r="1534" spans="1:23" x14ac:dyDescent="0.2">
      <c r="A1534" t="s">
        <v>23</v>
      </c>
      <c r="B1534" t="s">
        <v>1108</v>
      </c>
      <c r="C1534" t="s">
        <v>1109</v>
      </c>
      <c r="D1534" t="s">
        <v>1234</v>
      </c>
      <c r="E1534" t="s">
        <v>1346</v>
      </c>
      <c r="F1534" t="s">
        <v>1347</v>
      </c>
      <c r="G1534" t="s">
        <v>119</v>
      </c>
      <c r="H1534" t="s">
        <v>30</v>
      </c>
      <c r="I1534" t="s">
        <v>52</v>
      </c>
      <c r="J1534" t="s">
        <v>41</v>
      </c>
      <c r="K1534" t="s">
        <v>32</v>
      </c>
      <c r="L1534" t="s">
        <v>32</v>
      </c>
      <c r="M1534" t="s">
        <v>33</v>
      </c>
      <c r="P1534" t="s">
        <v>34</v>
      </c>
      <c r="Q1534" t="s">
        <v>35</v>
      </c>
      <c r="R1534" t="s">
        <v>294</v>
      </c>
      <c r="S1534" t="s">
        <v>52</v>
      </c>
      <c r="T1534" t="s">
        <v>295</v>
      </c>
      <c r="U1534" t="s">
        <v>1378</v>
      </c>
      <c r="V1534" t="s">
        <v>39</v>
      </c>
      <c r="W1534" s="1">
        <v>0</v>
      </c>
    </row>
    <row r="1535" spans="1:23" x14ac:dyDescent="0.2">
      <c r="A1535" t="s">
        <v>23</v>
      </c>
      <c r="B1535" t="s">
        <v>1108</v>
      </c>
      <c r="C1535" t="s">
        <v>1109</v>
      </c>
      <c r="D1535" t="s">
        <v>1234</v>
      </c>
      <c r="E1535" t="s">
        <v>1346</v>
      </c>
      <c r="F1535" t="s">
        <v>1347</v>
      </c>
      <c r="G1535" t="s">
        <v>119</v>
      </c>
      <c r="H1535" t="s">
        <v>30</v>
      </c>
      <c r="I1535" t="s">
        <v>52</v>
      </c>
      <c r="J1535" t="s">
        <v>41</v>
      </c>
      <c r="K1535" t="s">
        <v>32</v>
      </c>
      <c r="L1535" t="s">
        <v>32</v>
      </c>
      <c r="M1535" t="s">
        <v>33</v>
      </c>
      <c r="P1535" t="s">
        <v>34</v>
      </c>
      <c r="Q1535" t="s">
        <v>35</v>
      </c>
      <c r="R1535" t="s">
        <v>294</v>
      </c>
      <c r="S1535" t="s">
        <v>52</v>
      </c>
      <c r="T1535" t="s">
        <v>295</v>
      </c>
      <c r="U1535" t="s">
        <v>1378</v>
      </c>
      <c r="V1535" t="s">
        <v>40</v>
      </c>
      <c r="W1535" s="1">
        <v>3626800</v>
      </c>
    </row>
    <row r="1536" spans="1:23" x14ac:dyDescent="0.2">
      <c r="A1536" t="s">
        <v>23</v>
      </c>
      <c r="B1536" t="s">
        <v>1108</v>
      </c>
      <c r="C1536" t="s">
        <v>1109</v>
      </c>
      <c r="D1536" t="s">
        <v>1234</v>
      </c>
      <c r="E1536" t="s">
        <v>1346</v>
      </c>
      <c r="F1536" t="s">
        <v>1347</v>
      </c>
      <c r="G1536" t="s">
        <v>119</v>
      </c>
      <c r="H1536" t="s">
        <v>30</v>
      </c>
      <c r="I1536" t="s">
        <v>52</v>
      </c>
      <c r="J1536" t="s">
        <v>41</v>
      </c>
      <c r="K1536" t="s">
        <v>32</v>
      </c>
      <c r="L1536" t="s">
        <v>32</v>
      </c>
      <c r="M1536" t="s">
        <v>33</v>
      </c>
      <c r="P1536" t="s">
        <v>34</v>
      </c>
      <c r="Q1536" t="s">
        <v>35</v>
      </c>
      <c r="S1536" t="s">
        <v>52</v>
      </c>
      <c r="T1536" t="s">
        <v>1379</v>
      </c>
      <c r="U1536" t="s">
        <v>1380</v>
      </c>
      <c r="V1536" t="s">
        <v>39</v>
      </c>
      <c r="W1536" s="1">
        <v>0</v>
      </c>
    </row>
    <row r="1537" spans="1:23" x14ac:dyDescent="0.2">
      <c r="A1537" t="s">
        <v>23</v>
      </c>
      <c r="B1537" t="s">
        <v>1108</v>
      </c>
      <c r="C1537" t="s">
        <v>1109</v>
      </c>
      <c r="D1537" t="s">
        <v>1234</v>
      </c>
      <c r="E1537" t="s">
        <v>1346</v>
      </c>
      <c r="F1537" t="s">
        <v>1347</v>
      </c>
      <c r="G1537" t="s">
        <v>119</v>
      </c>
      <c r="H1537" t="s">
        <v>30</v>
      </c>
      <c r="I1537" t="s">
        <v>52</v>
      </c>
      <c r="J1537" t="s">
        <v>41</v>
      </c>
      <c r="K1537" t="s">
        <v>32</v>
      </c>
      <c r="L1537" t="s">
        <v>32</v>
      </c>
      <c r="M1537" t="s">
        <v>33</v>
      </c>
      <c r="P1537" t="s">
        <v>34</v>
      </c>
      <c r="Q1537" t="s">
        <v>35</v>
      </c>
      <c r="S1537" t="s">
        <v>52</v>
      </c>
      <c r="T1537" t="s">
        <v>1379</v>
      </c>
      <c r="U1537" t="s">
        <v>1380</v>
      </c>
      <c r="V1537" t="s">
        <v>40</v>
      </c>
      <c r="W1537" s="1">
        <v>4158000</v>
      </c>
    </row>
    <row r="1538" spans="1:23" x14ac:dyDescent="0.2">
      <c r="A1538" t="s">
        <v>23</v>
      </c>
      <c r="B1538" t="s">
        <v>1108</v>
      </c>
      <c r="C1538" t="s">
        <v>1109</v>
      </c>
      <c r="D1538" t="s">
        <v>1234</v>
      </c>
      <c r="E1538" t="s">
        <v>1346</v>
      </c>
      <c r="F1538" t="s">
        <v>1347</v>
      </c>
      <c r="G1538" t="s">
        <v>127</v>
      </c>
      <c r="H1538" t="s">
        <v>52</v>
      </c>
      <c r="I1538" t="s">
        <v>30</v>
      </c>
      <c r="J1538" t="s">
        <v>41</v>
      </c>
      <c r="K1538" t="s">
        <v>32</v>
      </c>
      <c r="L1538" t="s">
        <v>32</v>
      </c>
      <c r="M1538" t="s">
        <v>33</v>
      </c>
      <c r="P1538" t="s">
        <v>34</v>
      </c>
      <c r="Q1538" t="s">
        <v>35</v>
      </c>
      <c r="R1538" t="s">
        <v>162</v>
      </c>
      <c r="S1538" t="s">
        <v>52</v>
      </c>
      <c r="T1538" t="s">
        <v>1381</v>
      </c>
      <c r="U1538" t="s">
        <v>1382</v>
      </c>
      <c r="V1538" t="s">
        <v>39</v>
      </c>
      <c r="W1538" s="1">
        <v>0</v>
      </c>
    </row>
    <row r="1539" spans="1:23" x14ac:dyDescent="0.2">
      <c r="A1539" t="s">
        <v>23</v>
      </c>
      <c r="B1539" t="s">
        <v>1108</v>
      </c>
      <c r="C1539" t="s">
        <v>1109</v>
      </c>
      <c r="D1539" t="s">
        <v>1234</v>
      </c>
      <c r="E1539" t="s">
        <v>1346</v>
      </c>
      <c r="F1539" t="s">
        <v>1347</v>
      </c>
      <c r="G1539" t="s">
        <v>127</v>
      </c>
      <c r="H1539" t="s">
        <v>52</v>
      </c>
      <c r="I1539" t="s">
        <v>30</v>
      </c>
      <c r="J1539" t="s">
        <v>41</v>
      </c>
      <c r="K1539" t="s">
        <v>32</v>
      </c>
      <c r="L1539" t="s">
        <v>32</v>
      </c>
      <c r="M1539" t="s">
        <v>33</v>
      </c>
      <c r="P1539" t="s">
        <v>34</v>
      </c>
      <c r="Q1539" t="s">
        <v>35</v>
      </c>
      <c r="R1539" t="s">
        <v>162</v>
      </c>
      <c r="S1539" t="s">
        <v>52</v>
      </c>
      <c r="T1539" t="s">
        <v>1381</v>
      </c>
      <c r="U1539" t="s">
        <v>1382</v>
      </c>
      <c r="V1539" t="s">
        <v>40</v>
      </c>
      <c r="W1539" s="1">
        <v>16786400</v>
      </c>
    </row>
    <row r="1540" spans="1:23" x14ac:dyDescent="0.2">
      <c r="A1540" t="s">
        <v>23</v>
      </c>
      <c r="B1540" t="s">
        <v>1108</v>
      </c>
      <c r="C1540" t="s">
        <v>1109</v>
      </c>
      <c r="D1540" t="s">
        <v>1234</v>
      </c>
      <c r="E1540" t="s">
        <v>1346</v>
      </c>
      <c r="F1540" t="s">
        <v>1347</v>
      </c>
      <c r="G1540" t="s">
        <v>139</v>
      </c>
      <c r="H1540" t="s">
        <v>30</v>
      </c>
      <c r="I1540" t="s">
        <v>30</v>
      </c>
      <c r="J1540" t="s">
        <v>128</v>
      </c>
      <c r="K1540" t="s">
        <v>181</v>
      </c>
      <c r="L1540" t="s">
        <v>32</v>
      </c>
      <c r="M1540" t="s">
        <v>33</v>
      </c>
      <c r="N1540" t="s">
        <v>33</v>
      </c>
      <c r="O1540" t="s">
        <v>33</v>
      </c>
      <c r="P1540" t="s">
        <v>34</v>
      </c>
      <c r="Q1540" t="s">
        <v>35</v>
      </c>
      <c r="S1540" t="s">
        <v>30</v>
      </c>
      <c r="T1540" t="s">
        <v>1376</v>
      </c>
      <c r="U1540" t="s">
        <v>1377</v>
      </c>
      <c r="V1540" t="s">
        <v>39</v>
      </c>
      <c r="W1540" s="1">
        <v>1</v>
      </c>
    </row>
    <row r="1541" spans="1:23" x14ac:dyDescent="0.2">
      <c r="A1541" t="s">
        <v>23</v>
      </c>
      <c r="B1541" t="s">
        <v>1108</v>
      </c>
      <c r="C1541" t="s">
        <v>1109</v>
      </c>
      <c r="D1541" t="s">
        <v>1234</v>
      </c>
      <c r="E1541" t="s">
        <v>1346</v>
      </c>
      <c r="F1541" t="s">
        <v>1347</v>
      </c>
      <c r="G1541" t="s">
        <v>139</v>
      </c>
      <c r="H1541" t="s">
        <v>30</v>
      </c>
      <c r="I1541" t="s">
        <v>30</v>
      </c>
      <c r="J1541" t="s">
        <v>128</v>
      </c>
      <c r="K1541" t="s">
        <v>181</v>
      </c>
      <c r="L1541" t="s">
        <v>32</v>
      </c>
      <c r="M1541" t="s">
        <v>33</v>
      </c>
      <c r="N1541" t="s">
        <v>33</v>
      </c>
      <c r="O1541" t="s">
        <v>33</v>
      </c>
      <c r="P1541" t="s">
        <v>34</v>
      </c>
      <c r="Q1541" t="s">
        <v>35</v>
      </c>
      <c r="S1541" t="s">
        <v>30</v>
      </c>
      <c r="T1541" t="s">
        <v>1376</v>
      </c>
      <c r="U1541" t="s">
        <v>1377</v>
      </c>
      <c r="V1541" t="s">
        <v>40</v>
      </c>
      <c r="W1541" s="1">
        <v>0</v>
      </c>
    </row>
    <row r="1542" spans="1:23" x14ac:dyDescent="0.2">
      <c r="A1542" t="s">
        <v>23</v>
      </c>
      <c r="B1542" t="s">
        <v>1108</v>
      </c>
      <c r="C1542" t="s">
        <v>1109</v>
      </c>
      <c r="D1542" t="s">
        <v>1234</v>
      </c>
      <c r="E1542" t="s">
        <v>1346</v>
      </c>
      <c r="F1542" t="s">
        <v>1347</v>
      </c>
      <c r="G1542" t="s">
        <v>139</v>
      </c>
      <c r="H1542" t="s">
        <v>30</v>
      </c>
      <c r="I1542" t="s">
        <v>30</v>
      </c>
      <c r="J1542" t="s">
        <v>41</v>
      </c>
      <c r="K1542" t="s">
        <v>32</v>
      </c>
      <c r="L1542" t="s">
        <v>32</v>
      </c>
      <c r="M1542" t="s">
        <v>33</v>
      </c>
      <c r="P1542" t="s">
        <v>34</v>
      </c>
      <c r="Q1542" t="s">
        <v>35</v>
      </c>
      <c r="S1542" t="s">
        <v>30</v>
      </c>
      <c r="T1542" t="s">
        <v>1383</v>
      </c>
      <c r="U1542" t="s">
        <v>1384</v>
      </c>
      <c r="V1542" t="s">
        <v>39</v>
      </c>
      <c r="W1542" s="1">
        <v>2</v>
      </c>
    </row>
    <row r="1543" spans="1:23" x14ac:dyDescent="0.2">
      <c r="A1543" t="s">
        <v>23</v>
      </c>
      <c r="B1543" t="s">
        <v>1108</v>
      </c>
      <c r="C1543" t="s">
        <v>1109</v>
      </c>
      <c r="D1543" t="s">
        <v>1234</v>
      </c>
      <c r="E1543" t="s">
        <v>1346</v>
      </c>
      <c r="F1543" t="s">
        <v>1347</v>
      </c>
      <c r="G1543" t="s">
        <v>139</v>
      </c>
      <c r="H1543" t="s">
        <v>30</v>
      </c>
      <c r="I1543" t="s">
        <v>30</v>
      </c>
      <c r="J1543" t="s">
        <v>41</v>
      </c>
      <c r="K1543" t="s">
        <v>32</v>
      </c>
      <c r="L1543" t="s">
        <v>32</v>
      </c>
      <c r="M1543" t="s">
        <v>33</v>
      </c>
      <c r="P1543" t="s">
        <v>34</v>
      </c>
      <c r="Q1543" t="s">
        <v>35</v>
      </c>
      <c r="S1543" t="s">
        <v>30</v>
      </c>
      <c r="T1543" t="s">
        <v>1383</v>
      </c>
      <c r="U1543" t="s">
        <v>1384</v>
      </c>
      <c r="V1543" t="s">
        <v>40</v>
      </c>
      <c r="W1543" s="1">
        <v>1840000</v>
      </c>
    </row>
    <row r="1544" spans="1:23" x14ac:dyDescent="0.2">
      <c r="A1544" t="s">
        <v>23</v>
      </c>
      <c r="B1544" t="s">
        <v>1108</v>
      </c>
      <c r="C1544" t="s">
        <v>1109</v>
      </c>
      <c r="D1544" t="s">
        <v>1234</v>
      </c>
      <c r="E1544" t="s">
        <v>1385</v>
      </c>
      <c r="F1544" t="s">
        <v>1386</v>
      </c>
      <c r="G1544" t="s">
        <v>29</v>
      </c>
      <c r="H1544" t="s">
        <v>30</v>
      </c>
      <c r="I1544" t="s">
        <v>30</v>
      </c>
      <c r="J1544" t="s">
        <v>31</v>
      </c>
      <c r="K1544" t="s">
        <v>32</v>
      </c>
      <c r="L1544" t="s">
        <v>32</v>
      </c>
      <c r="M1544" t="s">
        <v>33</v>
      </c>
      <c r="N1544" t="s">
        <v>33</v>
      </c>
      <c r="O1544" t="s">
        <v>33</v>
      </c>
      <c r="P1544" t="s">
        <v>34</v>
      </c>
      <c r="Q1544" t="s">
        <v>35</v>
      </c>
      <c r="S1544" t="s">
        <v>30</v>
      </c>
      <c r="T1544" t="s">
        <v>1387</v>
      </c>
      <c r="U1544" t="s">
        <v>1388</v>
      </c>
      <c r="V1544" t="s">
        <v>39</v>
      </c>
      <c r="W1544" s="1">
        <v>2</v>
      </c>
    </row>
    <row r="1545" spans="1:23" x14ac:dyDescent="0.2">
      <c r="A1545" t="s">
        <v>23</v>
      </c>
      <c r="B1545" t="s">
        <v>1108</v>
      </c>
      <c r="C1545" t="s">
        <v>1109</v>
      </c>
      <c r="D1545" t="s">
        <v>1234</v>
      </c>
      <c r="E1545" t="s">
        <v>1385</v>
      </c>
      <c r="F1545" t="s">
        <v>1386</v>
      </c>
      <c r="G1545" t="s">
        <v>29</v>
      </c>
      <c r="H1545" t="s">
        <v>30</v>
      </c>
      <c r="I1545" t="s">
        <v>30</v>
      </c>
      <c r="J1545" t="s">
        <v>31</v>
      </c>
      <c r="K1545" t="s">
        <v>32</v>
      </c>
      <c r="L1545" t="s">
        <v>32</v>
      </c>
      <c r="M1545" t="s">
        <v>33</v>
      </c>
      <c r="N1545" t="s">
        <v>33</v>
      </c>
      <c r="O1545" t="s">
        <v>33</v>
      </c>
      <c r="P1545" t="s">
        <v>34</v>
      </c>
      <c r="Q1545" t="s">
        <v>35</v>
      </c>
      <c r="S1545" t="s">
        <v>30</v>
      </c>
      <c r="T1545" t="s">
        <v>1387</v>
      </c>
      <c r="U1545" t="s">
        <v>1388</v>
      </c>
      <c r="V1545" t="s">
        <v>40</v>
      </c>
      <c r="W1545" s="1">
        <v>333600</v>
      </c>
    </row>
    <row r="1546" spans="1:23" x14ac:dyDescent="0.2">
      <c r="A1546" t="s">
        <v>23</v>
      </c>
      <c r="B1546" t="s">
        <v>1108</v>
      </c>
      <c r="C1546" t="s">
        <v>1109</v>
      </c>
      <c r="D1546" t="s">
        <v>1234</v>
      </c>
      <c r="E1546" t="s">
        <v>1385</v>
      </c>
      <c r="F1546" t="s">
        <v>1386</v>
      </c>
      <c r="G1546" t="s">
        <v>29</v>
      </c>
      <c r="H1546" t="s">
        <v>30</v>
      </c>
      <c r="I1546" t="s">
        <v>30</v>
      </c>
      <c r="J1546" t="s">
        <v>31</v>
      </c>
      <c r="K1546" t="s">
        <v>32</v>
      </c>
      <c r="L1546" t="s">
        <v>32</v>
      </c>
      <c r="M1546" t="s">
        <v>176</v>
      </c>
      <c r="N1546" t="s">
        <v>176</v>
      </c>
      <c r="O1546" t="s">
        <v>176</v>
      </c>
      <c r="P1546" t="s">
        <v>34</v>
      </c>
      <c r="Q1546" t="s">
        <v>35</v>
      </c>
      <c r="S1546" t="s">
        <v>30</v>
      </c>
      <c r="T1546" t="s">
        <v>1387</v>
      </c>
      <c r="U1546" t="s">
        <v>1388</v>
      </c>
      <c r="V1546" t="s">
        <v>39</v>
      </c>
      <c r="W1546" s="1">
        <v>1</v>
      </c>
    </row>
    <row r="1547" spans="1:23" x14ac:dyDescent="0.2">
      <c r="A1547" t="s">
        <v>23</v>
      </c>
      <c r="B1547" t="s">
        <v>1108</v>
      </c>
      <c r="C1547" t="s">
        <v>1109</v>
      </c>
      <c r="D1547" t="s">
        <v>1234</v>
      </c>
      <c r="E1547" t="s">
        <v>1385</v>
      </c>
      <c r="F1547" t="s">
        <v>1386</v>
      </c>
      <c r="G1547" t="s">
        <v>29</v>
      </c>
      <c r="H1547" t="s">
        <v>30</v>
      </c>
      <c r="I1547" t="s">
        <v>30</v>
      </c>
      <c r="J1547" t="s">
        <v>31</v>
      </c>
      <c r="K1547" t="s">
        <v>32</v>
      </c>
      <c r="L1547" t="s">
        <v>32</v>
      </c>
      <c r="M1547" t="s">
        <v>176</v>
      </c>
      <c r="N1547" t="s">
        <v>176</v>
      </c>
      <c r="O1547" t="s">
        <v>176</v>
      </c>
      <c r="P1547" t="s">
        <v>34</v>
      </c>
      <c r="Q1547" t="s">
        <v>35</v>
      </c>
      <c r="S1547" t="s">
        <v>30</v>
      </c>
      <c r="T1547" t="s">
        <v>1387</v>
      </c>
      <c r="U1547" t="s">
        <v>1388</v>
      </c>
      <c r="V1547" t="s">
        <v>40</v>
      </c>
      <c r="W1547" s="1">
        <v>166800</v>
      </c>
    </row>
    <row r="1548" spans="1:23" x14ac:dyDescent="0.2">
      <c r="A1548" t="s">
        <v>23</v>
      </c>
      <c r="B1548" t="s">
        <v>1108</v>
      </c>
      <c r="C1548" t="s">
        <v>1109</v>
      </c>
      <c r="D1548" t="s">
        <v>1234</v>
      </c>
      <c r="E1548" t="s">
        <v>1385</v>
      </c>
      <c r="F1548" t="s">
        <v>1386</v>
      </c>
      <c r="G1548" t="s">
        <v>61</v>
      </c>
      <c r="H1548" t="s">
        <v>52</v>
      </c>
      <c r="I1548" t="s">
        <v>52</v>
      </c>
      <c r="J1548" t="s">
        <v>356</v>
      </c>
      <c r="K1548" t="s">
        <v>357</v>
      </c>
      <c r="L1548" t="s">
        <v>32</v>
      </c>
      <c r="M1548" t="s">
        <v>33</v>
      </c>
      <c r="N1548" t="s">
        <v>33</v>
      </c>
      <c r="O1548" t="s">
        <v>33</v>
      </c>
      <c r="P1548" t="s">
        <v>34</v>
      </c>
      <c r="Q1548" t="s">
        <v>35</v>
      </c>
      <c r="S1548" t="s">
        <v>30</v>
      </c>
      <c r="T1548" t="s">
        <v>1389</v>
      </c>
      <c r="U1548" t="s">
        <v>1390</v>
      </c>
      <c r="V1548" t="s">
        <v>39</v>
      </c>
      <c r="W1548" s="1">
        <v>2</v>
      </c>
    </row>
    <row r="1549" spans="1:23" x14ac:dyDescent="0.2">
      <c r="A1549" t="s">
        <v>23</v>
      </c>
      <c r="B1549" t="s">
        <v>1108</v>
      </c>
      <c r="C1549" t="s">
        <v>1109</v>
      </c>
      <c r="D1549" t="s">
        <v>1234</v>
      </c>
      <c r="E1549" t="s">
        <v>1385</v>
      </c>
      <c r="F1549" t="s">
        <v>1386</v>
      </c>
      <c r="G1549" t="s">
        <v>61</v>
      </c>
      <c r="H1549" t="s">
        <v>52</v>
      </c>
      <c r="I1549" t="s">
        <v>52</v>
      </c>
      <c r="J1549" t="s">
        <v>356</v>
      </c>
      <c r="K1549" t="s">
        <v>357</v>
      </c>
      <c r="L1549" t="s">
        <v>32</v>
      </c>
      <c r="M1549" t="s">
        <v>33</v>
      </c>
      <c r="N1549" t="s">
        <v>33</v>
      </c>
      <c r="O1549" t="s">
        <v>33</v>
      </c>
      <c r="P1549" t="s">
        <v>34</v>
      </c>
      <c r="Q1549" t="s">
        <v>35</v>
      </c>
      <c r="S1549" t="s">
        <v>30</v>
      </c>
      <c r="T1549" t="s">
        <v>1389</v>
      </c>
      <c r="U1549" t="s">
        <v>1390</v>
      </c>
      <c r="V1549" t="s">
        <v>40</v>
      </c>
      <c r="W1549" s="1">
        <v>4188400</v>
      </c>
    </row>
    <row r="1550" spans="1:23" x14ac:dyDescent="0.2">
      <c r="A1550" t="s">
        <v>23</v>
      </c>
      <c r="B1550" t="s">
        <v>1108</v>
      </c>
      <c r="C1550" t="s">
        <v>1109</v>
      </c>
      <c r="D1550" t="s">
        <v>1234</v>
      </c>
      <c r="E1550" t="s">
        <v>1385</v>
      </c>
      <c r="F1550" t="s">
        <v>1386</v>
      </c>
      <c r="G1550" t="s">
        <v>64</v>
      </c>
      <c r="H1550" t="s">
        <v>30</v>
      </c>
      <c r="I1550" t="s">
        <v>52</v>
      </c>
      <c r="J1550" t="s">
        <v>41</v>
      </c>
      <c r="K1550" t="s">
        <v>32</v>
      </c>
      <c r="L1550" t="s">
        <v>32</v>
      </c>
      <c r="M1550" t="s">
        <v>33</v>
      </c>
      <c r="N1550" t="s">
        <v>33</v>
      </c>
      <c r="O1550" t="s">
        <v>33</v>
      </c>
      <c r="P1550" t="s">
        <v>34</v>
      </c>
      <c r="Q1550" t="s">
        <v>35</v>
      </c>
      <c r="S1550" t="s">
        <v>30</v>
      </c>
      <c r="T1550" t="s">
        <v>1391</v>
      </c>
      <c r="U1550" t="s">
        <v>1392</v>
      </c>
      <c r="V1550" t="s">
        <v>39</v>
      </c>
      <c r="W1550" s="1">
        <v>2</v>
      </c>
    </row>
    <row r="1551" spans="1:23" x14ac:dyDescent="0.2">
      <c r="A1551" t="s">
        <v>23</v>
      </c>
      <c r="B1551" t="s">
        <v>1108</v>
      </c>
      <c r="C1551" t="s">
        <v>1109</v>
      </c>
      <c r="D1551" t="s">
        <v>1234</v>
      </c>
      <c r="E1551" t="s">
        <v>1385</v>
      </c>
      <c r="F1551" t="s">
        <v>1386</v>
      </c>
      <c r="G1551" t="s">
        <v>64</v>
      </c>
      <c r="H1551" t="s">
        <v>30</v>
      </c>
      <c r="I1551" t="s">
        <v>52</v>
      </c>
      <c r="J1551" t="s">
        <v>41</v>
      </c>
      <c r="K1551" t="s">
        <v>32</v>
      </c>
      <c r="L1551" t="s">
        <v>32</v>
      </c>
      <c r="M1551" t="s">
        <v>33</v>
      </c>
      <c r="N1551" t="s">
        <v>33</v>
      </c>
      <c r="O1551" t="s">
        <v>33</v>
      </c>
      <c r="P1551" t="s">
        <v>34</v>
      </c>
      <c r="Q1551" t="s">
        <v>35</v>
      </c>
      <c r="S1551" t="s">
        <v>30</v>
      </c>
      <c r="T1551" t="s">
        <v>1391</v>
      </c>
      <c r="U1551" t="s">
        <v>1392</v>
      </c>
      <c r="V1551" t="s">
        <v>40</v>
      </c>
      <c r="W1551" s="1">
        <v>5993200</v>
      </c>
    </row>
    <row r="1552" spans="1:23" x14ac:dyDescent="0.2">
      <c r="A1552" t="s">
        <v>23</v>
      </c>
      <c r="B1552" t="s">
        <v>1108</v>
      </c>
      <c r="C1552" t="s">
        <v>1109</v>
      </c>
      <c r="D1552" t="s">
        <v>1234</v>
      </c>
      <c r="E1552" t="s">
        <v>1385</v>
      </c>
      <c r="F1552" t="s">
        <v>1386</v>
      </c>
      <c r="G1552" t="s">
        <v>119</v>
      </c>
      <c r="H1552" t="s">
        <v>30</v>
      </c>
      <c r="I1552" t="s">
        <v>52</v>
      </c>
      <c r="J1552" t="s">
        <v>128</v>
      </c>
      <c r="K1552" t="s">
        <v>181</v>
      </c>
      <c r="L1552" t="s">
        <v>32</v>
      </c>
      <c r="M1552" t="s">
        <v>33</v>
      </c>
      <c r="N1552" t="s">
        <v>33</v>
      </c>
      <c r="O1552" t="s">
        <v>33</v>
      </c>
      <c r="P1552" t="s">
        <v>34</v>
      </c>
      <c r="Q1552" t="s">
        <v>35</v>
      </c>
      <c r="R1552" t="s">
        <v>151</v>
      </c>
      <c r="S1552" t="s">
        <v>30</v>
      </c>
      <c r="T1552" t="s">
        <v>1393</v>
      </c>
      <c r="U1552" t="s">
        <v>1394</v>
      </c>
      <c r="V1552" t="s">
        <v>39</v>
      </c>
      <c r="W1552" s="1">
        <v>10</v>
      </c>
    </row>
    <row r="1553" spans="1:23" x14ac:dyDescent="0.2">
      <c r="A1553" t="s">
        <v>23</v>
      </c>
      <c r="B1553" t="s">
        <v>1108</v>
      </c>
      <c r="C1553" t="s">
        <v>1109</v>
      </c>
      <c r="D1553" t="s">
        <v>1234</v>
      </c>
      <c r="E1553" t="s">
        <v>1385</v>
      </c>
      <c r="F1553" t="s">
        <v>1386</v>
      </c>
      <c r="G1553" t="s">
        <v>119</v>
      </c>
      <c r="H1553" t="s">
        <v>30</v>
      </c>
      <c r="I1553" t="s">
        <v>52</v>
      </c>
      <c r="J1553" t="s">
        <v>128</v>
      </c>
      <c r="K1553" t="s">
        <v>181</v>
      </c>
      <c r="L1553" t="s">
        <v>32</v>
      </c>
      <c r="M1553" t="s">
        <v>33</v>
      </c>
      <c r="N1553" t="s">
        <v>33</v>
      </c>
      <c r="O1553" t="s">
        <v>33</v>
      </c>
      <c r="P1553" t="s">
        <v>34</v>
      </c>
      <c r="Q1553" t="s">
        <v>35</v>
      </c>
      <c r="R1553" t="s">
        <v>151</v>
      </c>
      <c r="S1553" t="s">
        <v>30</v>
      </c>
      <c r="T1553" t="s">
        <v>1393</v>
      </c>
      <c r="U1553" t="s">
        <v>1394</v>
      </c>
      <c r="V1553" t="s">
        <v>40</v>
      </c>
      <c r="W1553" s="1">
        <v>0</v>
      </c>
    </row>
    <row r="1554" spans="1:23" x14ac:dyDescent="0.2">
      <c r="A1554" t="s">
        <v>23</v>
      </c>
      <c r="B1554" t="s">
        <v>1108</v>
      </c>
      <c r="C1554" t="s">
        <v>1109</v>
      </c>
      <c r="D1554" t="s">
        <v>1234</v>
      </c>
      <c r="E1554" t="s">
        <v>1385</v>
      </c>
      <c r="F1554" t="s">
        <v>1386</v>
      </c>
      <c r="G1554" t="s">
        <v>127</v>
      </c>
      <c r="H1554" t="s">
        <v>52</v>
      </c>
      <c r="I1554" t="s">
        <v>30</v>
      </c>
      <c r="J1554" t="s">
        <v>31</v>
      </c>
      <c r="K1554" t="s">
        <v>32</v>
      </c>
      <c r="L1554" t="s">
        <v>32</v>
      </c>
      <c r="M1554" t="s">
        <v>33</v>
      </c>
      <c r="N1554" t="s">
        <v>33</v>
      </c>
      <c r="O1554" t="s">
        <v>33</v>
      </c>
      <c r="P1554" t="s">
        <v>34</v>
      </c>
      <c r="Q1554" t="s">
        <v>35</v>
      </c>
      <c r="S1554" t="s">
        <v>30</v>
      </c>
      <c r="T1554" t="s">
        <v>1395</v>
      </c>
      <c r="U1554" t="s">
        <v>1396</v>
      </c>
      <c r="V1554" t="s">
        <v>39</v>
      </c>
      <c r="W1554" s="1">
        <v>2</v>
      </c>
    </row>
    <row r="1555" spans="1:23" x14ac:dyDescent="0.2">
      <c r="A1555" t="s">
        <v>23</v>
      </c>
      <c r="B1555" t="s">
        <v>1108</v>
      </c>
      <c r="C1555" t="s">
        <v>1109</v>
      </c>
      <c r="D1555" t="s">
        <v>1234</v>
      </c>
      <c r="E1555" t="s">
        <v>1385</v>
      </c>
      <c r="F1555" t="s">
        <v>1386</v>
      </c>
      <c r="G1555" t="s">
        <v>127</v>
      </c>
      <c r="H1555" t="s">
        <v>52</v>
      </c>
      <c r="I1555" t="s">
        <v>30</v>
      </c>
      <c r="J1555" t="s">
        <v>31</v>
      </c>
      <c r="K1555" t="s">
        <v>32</v>
      </c>
      <c r="L1555" t="s">
        <v>32</v>
      </c>
      <c r="M1555" t="s">
        <v>33</v>
      </c>
      <c r="N1555" t="s">
        <v>33</v>
      </c>
      <c r="O1555" t="s">
        <v>33</v>
      </c>
      <c r="P1555" t="s">
        <v>34</v>
      </c>
      <c r="Q1555" t="s">
        <v>35</v>
      </c>
      <c r="S1555" t="s">
        <v>30</v>
      </c>
      <c r="T1555" t="s">
        <v>1395</v>
      </c>
      <c r="U1555" t="s">
        <v>1396</v>
      </c>
      <c r="V1555" t="s">
        <v>40</v>
      </c>
      <c r="W1555" s="1">
        <v>1216000</v>
      </c>
    </row>
    <row r="1556" spans="1:23" x14ac:dyDescent="0.2">
      <c r="A1556" t="s">
        <v>23</v>
      </c>
      <c r="B1556" t="s">
        <v>1108</v>
      </c>
      <c r="C1556" t="s">
        <v>1109</v>
      </c>
      <c r="D1556" t="s">
        <v>1397</v>
      </c>
      <c r="E1556" t="s">
        <v>1398</v>
      </c>
      <c r="F1556" t="s">
        <v>1399</v>
      </c>
      <c r="G1556" t="s">
        <v>29</v>
      </c>
      <c r="H1556" t="s">
        <v>30</v>
      </c>
      <c r="I1556" t="s">
        <v>30</v>
      </c>
      <c r="J1556" t="s">
        <v>41</v>
      </c>
      <c r="K1556" t="s">
        <v>32</v>
      </c>
      <c r="L1556" t="s">
        <v>32</v>
      </c>
      <c r="M1556" t="s">
        <v>33</v>
      </c>
      <c r="N1556" t="s">
        <v>33</v>
      </c>
      <c r="O1556" t="s">
        <v>33</v>
      </c>
      <c r="P1556" t="s">
        <v>34</v>
      </c>
      <c r="Q1556" t="s">
        <v>35</v>
      </c>
      <c r="S1556" t="s">
        <v>30</v>
      </c>
      <c r="T1556" t="s">
        <v>104</v>
      </c>
      <c r="U1556" t="s">
        <v>1400</v>
      </c>
      <c r="V1556" t="s">
        <v>39</v>
      </c>
      <c r="W1556" s="1">
        <v>2</v>
      </c>
    </row>
    <row r="1557" spans="1:23" x14ac:dyDescent="0.2">
      <c r="A1557" t="s">
        <v>23</v>
      </c>
      <c r="B1557" t="s">
        <v>1108</v>
      </c>
      <c r="C1557" t="s">
        <v>1109</v>
      </c>
      <c r="D1557" t="s">
        <v>1397</v>
      </c>
      <c r="E1557" t="s">
        <v>1398</v>
      </c>
      <c r="F1557" t="s">
        <v>1399</v>
      </c>
      <c r="G1557" t="s">
        <v>29</v>
      </c>
      <c r="H1557" t="s">
        <v>30</v>
      </c>
      <c r="I1557" t="s">
        <v>30</v>
      </c>
      <c r="J1557" t="s">
        <v>41</v>
      </c>
      <c r="K1557" t="s">
        <v>32</v>
      </c>
      <c r="L1557" t="s">
        <v>32</v>
      </c>
      <c r="M1557" t="s">
        <v>33</v>
      </c>
      <c r="N1557" t="s">
        <v>33</v>
      </c>
      <c r="O1557" t="s">
        <v>33</v>
      </c>
      <c r="P1557" t="s">
        <v>34</v>
      </c>
      <c r="Q1557" t="s">
        <v>35</v>
      </c>
      <c r="S1557" t="s">
        <v>30</v>
      </c>
      <c r="T1557" t="s">
        <v>104</v>
      </c>
      <c r="U1557" t="s">
        <v>1400</v>
      </c>
      <c r="V1557" t="s">
        <v>40</v>
      </c>
      <c r="W1557" s="1">
        <v>7910000</v>
      </c>
    </row>
    <row r="1558" spans="1:23" x14ac:dyDescent="0.2">
      <c r="A1558" t="s">
        <v>23</v>
      </c>
      <c r="B1558" t="s">
        <v>1108</v>
      </c>
      <c r="C1558" t="s">
        <v>1109</v>
      </c>
      <c r="D1558" t="s">
        <v>1397</v>
      </c>
      <c r="E1558" t="s">
        <v>1398</v>
      </c>
      <c r="F1558" t="s">
        <v>1399</v>
      </c>
      <c r="G1558" t="s">
        <v>49</v>
      </c>
      <c r="H1558" t="s">
        <v>30</v>
      </c>
      <c r="I1558" t="s">
        <v>30</v>
      </c>
      <c r="J1558" t="s">
        <v>41</v>
      </c>
      <c r="K1558" t="s">
        <v>32</v>
      </c>
      <c r="L1558" t="s">
        <v>32</v>
      </c>
      <c r="M1558" t="s">
        <v>33</v>
      </c>
      <c r="N1558" t="s">
        <v>33</v>
      </c>
      <c r="O1558" t="s">
        <v>33</v>
      </c>
      <c r="P1558" t="s">
        <v>34</v>
      </c>
      <c r="Q1558" t="s">
        <v>35</v>
      </c>
      <c r="R1558" t="s">
        <v>285</v>
      </c>
      <c r="S1558" t="s">
        <v>30</v>
      </c>
      <c r="T1558" t="s">
        <v>1401</v>
      </c>
      <c r="U1558" t="s">
        <v>1402</v>
      </c>
      <c r="V1558" t="s">
        <v>39</v>
      </c>
      <c r="W1558" s="1">
        <v>3</v>
      </c>
    </row>
    <row r="1559" spans="1:23" x14ac:dyDescent="0.2">
      <c r="A1559" t="s">
        <v>23</v>
      </c>
      <c r="B1559" t="s">
        <v>1108</v>
      </c>
      <c r="C1559" t="s">
        <v>1109</v>
      </c>
      <c r="D1559" t="s">
        <v>1397</v>
      </c>
      <c r="E1559" t="s">
        <v>1398</v>
      </c>
      <c r="F1559" t="s">
        <v>1399</v>
      </c>
      <c r="G1559" t="s">
        <v>49</v>
      </c>
      <c r="H1559" t="s">
        <v>30</v>
      </c>
      <c r="I1559" t="s">
        <v>30</v>
      </c>
      <c r="J1559" t="s">
        <v>41</v>
      </c>
      <c r="K1559" t="s">
        <v>32</v>
      </c>
      <c r="L1559" t="s">
        <v>32</v>
      </c>
      <c r="M1559" t="s">
        <v>33</v>
      </c>
      <c r="N1559" t="s">
        <v>33</v>
      </c>
      <c r="O1559" t="s">
        <v>33</v>
      </c>
      <c r="P1559" t="s">
        <v>34</v>
      </c>
      <c r="Q1559" t="s">
        <v>35</v>
      </c>
      <c r="R1559" t="s">
        <v>285</v>
      </c>
      <c r="S1559" t="s">
        <v>30</v>
      </c>
      <c r="T1559" t="s">
        <v>1401</v>
      </c>
      <c r="U1559" t="s">
        <v>1402</v>
      </c>
      <c r="V1559" t="s">
        <v>40</v>
      </c>
      <c r="W1559" s="1">
        <v>4284000</v>
      </c>
    </row>
    <row r="1560" spans="1:23" x14ac:dyDescent="0.2">
      <c r="A1560" t="s">
        <v>23</v>
      </c>
      <c r="B1560" t="s">
        <v>1108</v>
      </c>
      <c r="C1560" t="s">
        <v>1109</v>
      </c>
      <c r="D1560" t="s">
        <v>1397</v>
      </c>
      <c r="E1560" t="s">
        <v>1398</v>
      </c>
      <c r="F1560" t="s">
        <v>1399</v>
      </c>
      <c r="G1560" t="s">
        <v>64</v>
      </c>
      <c r="H1560" t="s">
        <v>30</v>
      </c>
      <c r="I1560" t="s">
        <v>52</v>
      </c>
      <c r="J1560" t="s">
        <v>41</v>
      </c>
      <c r="K1560" t="s">
        <v>32</v>
      </c>
      <c r="L1560" t="s">
        <v>32</v>
      </c>
      <c r="M1560" t="s">
        <v>33</v>
      </c>
      <c r="N1560" t="s">
        <v>33</v>
      </c>
      <c r="O1560" t="s">
        <v>33</v>
      </c>
      <c r="P1560" t="s">
        <v>34</v>
      </c>
      <c r="Q1560" t="s">
        <v>35</v>
      </c>
      <c r="S1560" t="s">
        <v>30</v>
      </c>
      <c r="T1560" t="s">
        <v>1403</v>
      </c>
      <c r="U1560" t="s">
        <v>1404</v>
      </c>
      <c r="V1560" t="s">
        <v>39</v>
      </c>
      <c r="W1560" s="1">
        <v>2</v>
      </c>
    </row>
    <row r="1561" spans="1:23" x14ac:dyDescent="0.2">
      <c r="A1561" t="s">
        <v>23</v>
      </c>
      <c r="B1561" t="s">
        <v>1108</v>
      </c>
      <c r="C1561" t="s">
        <v>1109</v>
      </c>
      <c r="D1561" t="s">
        <v>1397</v>
      </c>
      <c r="E1561" t="s">
        <v>1398</v>
      </c>
      <c r="F1561" t="s">
        <v>1399</v>
      </c>
      <c r="G1561" t="s">
        <v>64</v>
      </c>
      <c r="H1561" t="s">
        <v>30</v>
      </c>
      <c r="I1561" t="s">
        <v>52</v>
      </c>
      <c r="J1561" t="s">
        <v>41</v>
      </c>
      <c r="K1561" t="s">
        <v>32</v>
      </c>
      <c r="L1561" t="s">
        <v>32</v>
      </c>
      <c r="M1561" t="s">
        <v>33</v>
      </c>
      <c r="N1561" t="s">
        <v>33</v>
      </c>
      <c r="O1561" t="s">
        <v>33</v>
      </c>
      <c r="P1561" t="s">
        <v>34</v>
      </c>
      <c r="Q1561" t="s">
        <v>35</v>
      </c>
      <c r="S1561" t="s">
        <v>30</v>
      </c>
      <c r="T1561" t="s">
        <v>1403</v>
      </c>
      <c r="U1561" t="s">
        <v>1404</v>
      </c>
      <c r="V1561" t="s">
        <v>40</v>
      </c>
      <c r="W1561" s="1">
        <v>2364800</v>
      </c>
    </row>
    <row r="1562" spans="1:23" x14ac:dyDescent="0.2">
      <c r="A1562" t="s">
        <v>23</v>
      </c>
      <c r="B1562" t="s">
        <v>1108</v>
      </c>
      <c r="C1562" t="s">
        <v>1109</v>
      </c>
      <c r="D1562" t="s">
        <v>1397</v>
      </c>
      <c r="E1562" t="s">
        <v>1398</v>
      </c>
      <c r="F1562" t="s">
        <v>1399</v>
      </c>
      <c r="G1562" t="s">
        <v>64</v>
      </c>
      <c r="H1562" t="s">
        <v>30</v>
      </c>
      <c r="I1562" t="s">
        <v>52</v>
      </c>
      <c r="J1562" t="s">
        <v>41</v>
      </c>
      <c r="K1562" t="s">
        <v>32</v>
      </c>
      <c r="L1562" t="s">
        <v>32</v>
      </c>
      <c r="M1562" t="s">
        <v>33</v>
      </c>
      <c r="P1562" t="s">
        <v>34</v>
      </c>
      <c r="Q1562" t="s">
        <v>35</v>
      </c>
      <c r="R1562" t="s">
        <v>294</v>
      </c>
      <c r="S1562" t="s">
        <v>30</v>
      </c>
      <c r="T1562" t="s">
        <v>1405</v>
      </c>
      <c r="U1562" t="s">
        <v>1406</v>
      </c>
      <c r="V1562" t="s">
        <v>39</v>
      </c>
      <c r="W1562" s="1">
        <v>2</v>
      </c>
    </row>
    <row r="1563" spans="1:23" x14ac:dyDescent="0.2">
      <c r="A1563" t="s">
        <v>23</v>
      </c>
      <c r="B1563" t="s">
        <v>1108</v>
      </c>
      <c r="C1563" t="s">
        <v>1109</v>
      </c>
      <c r="D1563" t="s">
        <v>1397</v>
      </c>
      <c r="E1563" t="s">
        <v>1398</v>
      </c>
      <c r="F1563" t="s">
        <v>1399</v>
      </c>
      <c r="G1563" t="s">
        <v>64</v>
      </c>
      <c r="H1563" t="s">
        <v>30</v>
      </c>
      <c r="I1563" t="s">
        <v>52</v>
      </c>
      <c r="J1563" t="s">
        <v>41</v>
      </c>
      <c r="K1563" t="s">
        <v>32</v>
      </c>
      <c r="L1563" t="s">
        <v>32</v>
      </c>
      <c r="M1563" t="s">
        <v>33</v>
      </c>
      <c r="P1563" t="s">
        <v>34</v>
      </c>
      <c r="Q1563" t="s">
        <v>35</v>
      </c>
      <c r="R1563" t="s">
        <v>294</v>
      </c>
      <c r="S1563" t="s">
        <v>30</v>
      </c>
      <c r="T1563" t="s">
        <v>1405</v>
      </c>
      <c r="U1563" t="s">
        <v>1406</v>
      </c>
      <c r="V1563" t="s">
        <v>40</v>
      </c>
      <c r="W1563" s="1">
        <v>2986800</v>
      </c>
    </row>
    <row r="1564" spans="1:23" x14ac:dyDescent="0.2">
      <c r="A1564" t="s">
        <v>23</v>
      </c>
      <c r="B1564" t="s">
        <v>1108</v>
      </c>
      <c r="C1564" t="s">
        <v>1109</v>
      </c>
      <c r="D1564" t="s">
        <v>1397</v>
      </c>
      <c r="E1564" t="s">
        <v>1398</v>
      </c>
      <c r="F1564" t="s">
        <v>1399</v>
      </c>
      <c r="G1564" t="s">
        <v>89</v>
      </c>
      <c r="H1564" t="s">
        <v>30</v>
      </c>
      <c r="I1564" t="s">
        <v>30</v>
      </c>
      <c r="J1564" t="s">
        <v>31</v>
      </c>
      <c r="K1564" t="s">
        <v>32</v>
      </c>
      <c r="L1564" t="s">
        <v>32</v>
      </c>
      <c r="M1564" t="s">
        <v>33</v>
      </c>
      <c r="N1564" t="s">
        <v>33</v>
      </c>
      <c r="O1564" t="s">
        <v>33</v>
      </c>
      <c r="P1564" t="s">
        <v>34</v>
      </c>
      <c r="Q1564" t="s">
        <v>35</v>
      </c>
      <c r="R1564" t="s">
        <v>73</v>
      </c>
      <c r="S1564" t="s">
        <v>30</v>
      </c>
      <c r="T1564" t="s">
        <v>1407</v>
      </c>
      <c r="U1564" t="s">
        <v>1408</v>
      </c>
      <c r="V1564" t="s">
        <v>39</v>
      </c>
      <c r="W1564" s="1">
        <v>4</v>
      </c>
    </row>
    <row r="1565" spans="1:23" x14ac:dyDescent="0.2">
      <c r="A1565" t="s">
        <v>23</v>
      </c>
      <c r="B1565" t="s">
        <v>1108</v>
      </c>
      <c r="C1565" t="s">
        <v>1109</v>
      </c>
      <c r="D1565" t="s">
        <v>1397</v>
      </c>
      <c r="E1565" t="s">
        <v>1398</v>
      </c>
      <c r="F1565" t="s">
        <v>1399</v>
      </c>
      <c r="G1565" t="s">
        <v>89</v>
      </c>
      <c r="H1565" t="s">
        <v>30</v>
      </c>
      <c r="I1565" t="s">
        <v>30</v>
      </c>
      <c r="J1565" t="s">
        <v>31</v>
      </c>
      <c r="K1565" t="s">
        <v>32</v>
      </c>
      <c r="L1565" t="s">
        <v>32</v>
      </c>
      <c r="M1565" t="s">
        <v>33</v>
      </c>
      <c r="N1565" t="s">
        <v>33</v>
      </c>
      <c r="O1565" t="s">
        <v>33</v>
      </c>
      <c r="P1565" t="s">
        <v>34</v>
      </c>
      <c r="Q1565" t="s">
        <v>35</v>
      </c>
      <c r="R1565" t="s">
        <v>73</v>
      </c>
      <c r="S1565" t="s">
        <v>30</v>
      </c>
      <c r="T1565" t="s">
        <v>1407</v>
      </c>
      <c r="U1565" t="s">
        <v>1408</v>
      </c>
      <c r="V1565" t="s">
        <v>40</v>
      </c>
      <c r="W1565" s="1">
        <v>4239600</v>
      </c>
    </row>
    <row r="1566" spans="1:23" x14ac:dyDescent="0.2">
      <c r="A1566" t="s">
        <v>23</v>
      </c>
      <c r="B1566" t="s">
        <v>1108</v>
      </c>
      <c r="C1566" t="s">
        <v>1109</v>
      </c>
      <c r="D1566" t="s">
        <v>1397</v>
      </c>
      <c r="E1566" t="s">
        <v>1398</v>
      </c>
      <c r="F1566" t="s">
        <v>1399</v>
      </c>
      <c r="G1566" t="s">
        <v>89</v>
      </c>
      <c r="H1566" t="s">
        <v>30</v>
      </c>
      <c r="I1566" t="s">
        <v>30</v>
      </c>
      <c r="J1566" t="s">
        <v>31</v>
      </c>
      <c r="K1566" t="s">
        <v>32</v>
      </c>
      <c r="L1566" t="s">
        <v>32</v>
      </c>
      <c r="M1566" t="s">
        <v>33</v>
      </c>
      <c r="P1566" t="s">
        <v>34</v>
      </c>
      <c r="Q1566" t="s">
        <v>35</v>
      </c>
      <c r="R1566" t="s">
        <v>73</v>
      </c>
      <c r="S1566" t="s">
        <v>30</v>
      </c>
      <c r="T1566" t="s">
        <v>1407</v>
      </c>
      <c r="U1566" t="s">
        <v>1408</v>
      </c>
      <c r="V1566" t="s">
        <v>39</v>
      </c>
      <c r="W1566" s="1">
        <v>1</v>
      </c>
    </row>
    <row r="1567" spans="1:23" x14ac:dyDescent="0.2">
      <c r="A1567" t="s">
        <v>23</v>
      </c>
      <c r="B1567" t="s">
        <v>1108</v>
      </c>
      <c r="C1567" t="s">
        <v>1109</v>
      </c>
      <c r="D1567" t="s">
        <v>1397</v>
      </c>
      <c r="E1567" t="s">
        <v>1398</v>
      </c>
      <c r="F1567" t="s">
        <v>1399</v>
      </c>
      <c r="G1567" t="s">
        <v>89</v>
      </c>
      <c r="H1567" t="s">
        <v>30</v>
      </c>
      <c r="I1567" t="s">
        <v>30</v>
      </c>
      <c r="J1567" t="s">
        <v>31</v>
      </c>
      <c r="K1567" t="s">
        <v>32</v>
      </c>
      <c r="L1567" t="s">
        <v>32</v>
      </c>
      <c r="M1567" t="s">
        <v>33</v>
      </c>
      <c r="P1567" t="s">
        <v>34</v>
      </c>
      <c r="Q1567" t="s">
        <v>35</v>
      </c>
      <c r="R1567" t="s">
        <v>73</v>
      </c>
      <c r="S1567" t="s">
        <v>30</v>
      </c>
      <c r="T1567" t="s">
        <v>1407</v>
      </c>
      <c r="U1567" t="s">
        <v>1408</v>
      </c>
      <c r="V1567" t="s">
        <v>40</v>
      </c>
      <c r="W1567" s="1">
        <v>1059900</v>
      </c>
    </row>
    <row r="1568" spans="1:23" x14ac:dyDescent="0.2">
      <c r="A1568" t="s">
        <v>23</v>
      </c>
      <c r="B1568" t="s">
        <v>1108</v>
      </c>
      <c r="C1568" t="s">
        <v>1109</v>
      </c>
      <c r="D1568" t="s">
        <v>1397</v>
      </c>
      <c r="E1568" t="s">
        <v>1398</v>
      </c>
      <c r="F1568" t="s">
        <v>1399</v>
      </c>
      <c r="G1568" t="s">
        <v>89</v>
      </c>
      <c r="H1568" t="s">
        <v>30</v>
      </c>
      <c r="I1568" t="s">
        <v>30</v>
      </c>
      <c r="J1568" t="s">
        <v>41</v>
      </c>
      <c r="K1568" t="s">
        <v>32</v>
      </c>
      <c r="L1568" t="s">
        <v>32</v>
      </c>
      <c r="M1568" t="s">
        <v>33</v>
      </c>
      <c r="N1568" t="s">
        <v>33</v>
      </c>
      <c r="O1568" t="s">
        <v>33</v>
      </c>
      <c r="P1568" t="s">
        <v>34</v>
      </c>
      <c r="Q1568" t="s">
        <v>35</v>
      </c>
      <c r="R1568" t="s">
        <v>173</v>
      </c>
      <c r="S1568" t="s">
        <v>30</v>
      </c>
      <c r="T1568" t="s">
        <v>1285</v>
      </c>
      <c r="U1568" t="s">
        <v>1409</v>
      </c>
      <c r="V1568" t="s">
        <v>39</v>
      </c>
      <c r="W1568" s="1">
        <v>2</v>
      </c>
    </row>
    <row r="1569" spans="1:23" x14ac:dyDescent="0.2">
      <c r="A1569" t="s">
        <v>23</v>
      </c>
      <c r="B1569" t="s">
        <v>1108</v>
      </c>
      <c r="C1569" t="s">
        <v>1109</v>
      </c>
      <c r="D1569" t="s">
        <v>1397</v>
      </c>
      <c r="E1569" t="s">
        <v>1398</v>
      </c>
      <c r="F1569" t="s">
        <v>1399</v>
      </c>
      <c r="G1569" t="s">
        <v>89</v>
      </c>
      <c r="H1569" t="s">
        <v>30</v>
      </c>
      <c r="I1569" t="s">
        <v>30</v>
      </c>
      <c r="J1569" t="s">
        <v>41</v>
      </c>
      <c r="K1569" t="s">
        <v>32</v>
      </c>
      <c r="L1569" t="s">
        <v>32</v>
      </c>
      <c r="M1569" t="s">
        <v>33</v>
      </c>
      <c r="N1569" t="s">
        <v>33</v>
      </c>
      <c r="O1569" t="s">
        <v>33</v>
      </c>
      <c r="P1569" t="s">
        <v>34</v>
      </c>
      <c r="Q1569" t="s">
        <v>35</v>
      </c>
      <c r="R1569" t="s">
        <v>173</v>
      </c>
      <c r="S1569" t="s">
        <v>30</v>
      </c>
      <c r="T1569" t="s">
        <v>1285</v>
      </c>
      <c r="U1569" t="s">
        <v>1409</v>
      </c>
      <c r="V1569" t="s">
        <v>40</v>
      </c>
      <c r="W1569" s="1">
        <v>2058400</v>
      </c>
    </row>
    <row r="1570" spans="1:23" x14ac:dyDescent="0.2">
      <c r="A1570" t="s">
        <v>23</v>
      </c>
      <c r="B1570" t="s">
        <v>1108</v>
      </c>
      <c r="C1570" t="s">
        <v>1109</v>
      </c>
      <c r="D1570" t="s">
        <v>1397</v>
      </c>
      <c r="E1570" t="s">
        <v>1398</v>
      </c>
      <c r="F1570" t="s">
        <v>1399</v>
      </c>
      <c r="G1570" t="s">
        <v>127</v>
      </c>
      <c r="H1570" t="s">
        <v>52</v>
      </c>
      <c r="I1570" t="s">
        <v>30</v>
      </c>
      <c r="J1570" t="s">
        <v>31</v>
      </c>
      <c r="K1570" t="s">
        <v>32</v>
      </c>
      <c r="L1570" t="s">
        <v>32</v>
      </c>
      <c r="M1570" t="s">
        <v>33</v>
      </c>
      <c r="N1570" t="s">
        <v>33</v>
      </c>
      <c r="O1570" t="s">
        <v>33</v>
      </c>
      <c r="P1570" t="s">
        <v>34</v>
      </c>
      <c r="Q1570" t="s">
        <v>35</v>
      </c>
      <c r="S1570" t="s">
        <v>30</v>
      </c>
      <c r="T1570" t="s">
        <v>1410</v>
      </c>
      <c r="U1570" t="s">
        <v>1411</v>
      </c>
      <c r="V1570" t="s">
        <v>39</v>
      </c>
      <c r="W1570" s="1">
        <v>2</v>
      </c>
    </row>
    <row r="1571" spans="1:23" x14ac:dyDescent="0.2">
      <c r="A1571" t="s">
        <v>23</v>
      </c>
      <c r="B1571" t="s">
        <v>1108</v>
      </c>
      <c r="C1571" t="s">
        <v>1109</v>
      </c>
      <c r="D1571" t="s">
        <v>1397</v>
      </c>
      <c r="E1571" t="s">
        <v>1398</v>
      </c>
      <c r="F1571" t="s">
        <v>1399</v>
      </c>
      <c r="G1571" t="s">
        <v>127</v>
      </c>
      <c r="H1571" t="s">
        <v>52</v>
      </c>
      <c r="I1571" t="s">
        <v>30</v>
      </c>
      <c r="J1571" t="s">
        <v>31</v>
      </c>
      <c r="K1571" t="s">
        <v>32</v>
      </c>
      <c r="L1571" t="s">
        <v>32</v>
      </c>
      <c r="M1571" t="s">
        <v>33</v>
      </c>
      <c r="N1571" t="s">
        <v>33</v>
      </c>
      <c r="O1571" t="s">
        <v>33</v>
      </c>
      <c r="P1571" t="s">
        <v>34</v>
      </c>
      <c r="Q1571" t="s">
        <v>35</v>
      </c>
      <c r="S1571" t="s">
        <v>30</v>
      </c>
      <c r="T1571" t="s">
        <v>1410</v>
      </c>
      <c r="U1571" t="s">
        <v>1411</v>
      </c>
      <c r="V1571" t="s">
        <v>40</v>
      </c>
      <c r="W1571" s="1">
        <v>1340200</v>
      </c>
    </row>
    <row r="1572" spans="1:23" x14ac:dyDescent="0.2">
      <c r="A1572" t="s">
        <v>23</v>
      </c>
      <c r="B1572" t="s">
        <v>1108</v>
      </c>
      <c r="C1572" t="s">
        <v>1109</v>
      </c>
      <c r="D1572" t="s">
        <v>1397</v>
      </c>
      <c r="E1572" t="s">
        <v>1398</v>
      </c>
      <c r="F1572" t="s">
        <v>1399</v>
      </c>
      <c r="G1572" t="s">
        <v>139</v>
      </c>
      <c r="H1572" t="s">
        <v>30</v>
      </c>
      <c r="I1572" t="s">
        <v>30</v>
      </c>
      <c r="J1572" t="s">
        <v>107</v>
      </c>
      <c r="K1572" t="s">
        <v>32</v>
      </c>
      <c r="L1572" t="s">
        <v>32</v>
      </c>
      <c r="M1572" t="s">
        <v>33</v>
      </c>
      <c r="N1572" t="s">
        <v>33</v>
      </c>
      <c r="O1572" t="s">
        <v>33</v>
      </c>
      <c r="P1572" t="s">
        <v>34</v>
      </c>
      <c r="Q1572" t="s">
        <v>35</v>
      </c>
      <c r="R1572" t="s">
        <v>108</v>
      </c>
      <c r="S1572" t="s">
        <v>30</v>
      </c>
      <c r="T1572" t="s">
        <v>1412</v>
      </c>
      <c r="U1572" t="s">
        <v>1413</v>
      </c>
      <c r="V1572" t="s">
        <v>39</v>
      </c>
      <c r="W1572" s="1">
        <v>2</v>
      </c>
    </row>
    <row r="1573" spans="1:23" x14ac:dyDescent="0.2">
      <c r="A1573" t="s">
        <v>23</v>
      </c>
      <c r="B1573" t="s">
        <v>1108</v>
      </c>
      <c r="C1573" t="s">
        <v>1109</v>
      </c>
      <c r="D1573" t="s">
        <v>1397</v>
      </c>
      <c r="E1573" t="s">
        <v>1398</v>
      </c>
      <c r="F1573" t="s">
        <v>1399</v>
      </c>
      <c r="G1573" t="s">
        <v>139</v>
      </c>
      <c r="H1573" t="s">
        <v>30</v>
      </c>
      <c r="I1573" t="s">
        <v>30</v>
      </c>
      <c r="J1573" t="s">
        <v>107</v>
      </c>
      <c r="K1573" t="s">
        <v>32</v>
      </c>
      <c r="L1573" t="s">
        <v>32</v>
      </c>
      <c r="M1573" t="s">
        <v>33</v>
      </c>
      <c r="N1573" t="s">
        <v>33</v>
      </c>
      <c r="O1573" t="s">
        <v>33</v>
      </c>
      <c r="P1573" t="s">
        <v>34</v>
      </c>
      <c r="Q1573" t="s">
        <v>35</v>
      </c>
      <c r="R1573" t="s">
        <v>108</v>
      </c>
      <c r="S1573" t="s">
        <v>30</v>
      </c>
      <c r="T1573" t="s">
        <v>1412</v>
      </c>
      <c r="U1573" t="s">
        <v>1413</v>
      </c>
      <c r="V1573" t="s">
        <v>40</v>
      </c>
      <c r="W1573" s="1">
        <v>1520000</v>
      </c>
    </row>
    <row r="1574" spans="1:23" x14ac:dyDescent="0.2">
      <c r="A1574" t="s">
        <v>23</v>
      </c>
      <c r="B1574" t="s">
        <v>1108</v>
      </c>
      <c r="C1574" t="s">
        <v>1109</v>
      </c>
      <c r="D1574" t="s">
        <v>1397</v>
      </c>
      <c r="E1574" t="s">
        <v>1398</v>
      </c>
      <c r="F1574" t="s">
        <v>1399</v>
      </c>
      <c r="G1574" t="s">
        <v>139</v>
      </c>
      <c r="H1574" t="s">
        <v>30</v>
      </c>
      <c r="I1574" t="s">
        <v>30</v>
      </c>
      <c r="J1574" t="s">
        <v>107</v>
      </c>
      <c r="K1574" t="s">
        <v>32</v>
      </c>
      <c r="L1574" t="s">
        <v>32</v>
      </c>
      <c r="M1574" t="s">
        <v>33</v>
      </c>
      <c r="P1574" t="s">
        <v>34</v>
      </c>
      <c r="Q1574" t="s">
        <v>35</v>
      </c>
      <c r="R1574" t="s">
        <v>108</v>
      </c>
      <c r="S1574" t="s">
        <v>52</v>
      </c>
      <c r="T1574" t="s">
        <v>1412</v>
      </c>
      <c r="U1574" t="s">
        <v>1413</v>
      </c>
      <c r="V1574" t="s">
        <v>39</v>
      </c>
      <c r="W1574" s="1">
        <v>0</v>
      </c>
    </row>
    <row r="1575" spans="1:23" x14ac:dyDescent="0.2">
      <c r="A1575" t="s">
        <v>23</v>
      </c>
      <c r="B1575" t="s">
        <v>1108</v>
      </c>
      <c r="C1575" t="s">
        <v>1109</v>
      </c>
      <c r="D1575" t="s">
        <v>1397</v>
      </c>
      <c r="E1575" t="s">
        <v>1398</v>
      </c>
      <c r="F1575" t="s">
        <v>1399</v>
      </c>
      <c r="G1575" t="s">
        <v>139</v>
      </c>
      <c r="H1575" t="s">
        <v>30</v>
      </c>
      <c r="I1575" t="s">
        <v>30</v>
      </c>
      <c r="J1575" t="s">
        <v>107</v>
      </c>
      <c r="K1575" t="s">
        <v>32</v>
      </c>
      <c r="L1575" t="s">
        <v>32</v>
      </c>
      <c r="M1575" t="s">
        <v>33</v>
      </c>
      <c r="P1575" t="s">
        <v>34</v>
      </c>
      <c r="Q1575" t="s">
        <v>35</v>
      </c>
      <c r="R1575" t="s">
        <v>108</v>
      </c>
      <c r="S1575" t="s">
        <v>52</v>
      </c>
      <c r="T1575" t="s">
        <v>1412</v>
      </c>
      <c r="U1575" t="s">
        <v>1413</v>
      </c>
      <c r="V1575" t="s">
        <v>40</v>
      </c>
      <c r="W1575" s="1">
        <v>760000</v>
      </c>
    </row>
    <row r="1576" spans="1:23" x14ac:dyDescent="0.2">
      <c r="A1576" t="s">
        <v>23</v>
      </c>
      <c r="B1576" t="s">
        <v>1108</v>
      </c>
      <c r="C1576" t="s">
        <v>1109</v>
      </c>
      <c r="D1576" t="s">
        <v>1397</v>
      </c>
      <c r="E1576" t="s">
        <v>1398</v>
      </c>
      <c r="F1576" t="s">
        <v>1399</v>
      </c>
      <c r="G1576" t="s">
        <v>139</v>
      </c>
      <c r="H1576" t="s">
        <v>30</v>
      </c>
      <c r="I1576" t="s">
        <v>30</v>
      </c>
      <c r="J1576" t="s">
        <v>107</v>
      </c>
      <c r="K1576" t="s">
        <v>32</v>
      </c>
      <c r="L1576" t="s">
        <v>32</v>
      </c>
      <c r="M1576" t="s">
        <v>33</v>
      </c>
      <c r="P1576" t="s">
        <v>34</v>
      </c>
      <c r="Q1576" t="s">
        <v>35</v>
      </c>
      <c r="R1576" t="s">
        <v>108</v>
      </c>
      <c r="S1576" t="s">
        <v>52</v>
      </c>
      <c r="T1576" t="s">
        <v>1412</v>
      </c>
      <c r="U1576" t="s">
        <v>1414</v>
      </c>
      <c r="V1576" t="s">
        <v>39</v>
      </c>
      <c r="W1576" s="1">
        <v>0</v>
      </c>
    </row>
    <row r="1577" spans="1:23" x14ac:dyDescent="0.2">
      <c r="A1577" t="s">
        <v>23</v>
      </c>
      <c r="B1577" t="s">
        <v>1108</v>
      </c>
      <c r="C1577" t="s">
        <v>1109</v>
      </c>
      <c r="D1577" t="s">
        <v>1397</v>
      </c>
      <c r="E1577" t="s">
        <v>1398</v>
      </c>
      <c r="F1577" t="s">
        <v>1399</v>
      </c>
      <c r="G1577" t="s">
        <v>139</v>
      </c>
      <c r="H1577" t="s">
        <v>30</v>
      </c>
      <c r="I1577" t="s">
        <v>30</v>
      </c>
      <c r="J1577" t="s">
        <v>107</v>
      </c>
      <c r="K1577" t="s">
        <v>32</v>
      </c>
      <c r="L1577" t="s">
        <v>32</v>
      </c>
      <c r="M1577" t="s">
        <v>33</v>
      </c>
      <c r="P1577" t="s">
        <v>34</v>
      </c>
      <c r="Q1577" t="s">
        <v>35</v>
      </c>
      <c r="R1577" t="s">
        <v>108</v>
      </c>
      <c r="S1577" t="s">
        <v>52</v>
      </c>
      <c r="T1577" t="s">
        <v>1412</v>
      </c>
      <c r="U1577" t="s">
        <v>1414</v>
      </c>
      <c r="V1577" t="s">
        <v>40</v>
      </c>
      <c r="W1577" s="1">
        <v>1520000</v>
      </c>
    </row>
    <row r="1578" spans="1:23" x14ac:dyDescent="0.2">
      <c r="A1578" t="s">
        <v>23</v>
      </c>
      <c r="B1578" t="s">
        <v>1108</v>
      </c>
      <c r="C1578" t="s">
        <v>1109</v>
      </c>
      <c r="D1578" t="s">
        <v>1397</v>
      </c>
      <c r="E1578" t="s">
        <v>1398</v>
      </c>
      <c r="F1578" t="s">
        <v>1399</v>
      </c>
      <c r="G1578" t="s">
        <v>139</v>
      </c>
      <c r="H1578" t="s">
        <v>30</v>
      </c>
      <c r="I1578" t="s">
        <v>30</v>
      </c>
      <c r="J1578" t="s">
        <v>31</v>
      </c>
      <c r="K1578" t="s">
        <v>32</v>
      </c>
      <c r="L1578" t="s">
        <v>32</v>
      </c>
      <c r="M1578" t="s">
        <v>33</v>
      </c>
      <c r="P1578" t="s">
        <v>34</v>
      </c>
      <c r="Q1578" t="s">
        <v>35</v>
      </c>
      <c r="S1578" t="s">
        <v>52</v>
      </c>
      <c r="T1578" t="s">
        <v>1415</v>
      </c>
      <c r="U1578" t="s">
        <v>1416</v>
      </c>
      <c r="V1578" t="s">
        <v>39</v>
      </c>
      <c r="W1578" s="1">
        <v>0</v>
      </c>
    </row>
    <row r="1579" spans="1:23" x14ac:dyDescent="0.2">
      <c r="A1579" t="s">
        <v>23</v>
      </c>
      <c r="B1579" t="s">
        <v>1108</v>
      </c>
      <c r="C1579" t="s">
        <v>1109</v>
      </c>
      <c r="D1579" t="s">
        <v>1397</v>
      </c>
      <c r="E1579" t="s">
        <v>1398</v>
      </c>
      <c r="F1579" t="s">
        <v>1399</v>
      </c>
      <c r="G1579" t="s">
        <v>139</v>
      </c>
      <c r="H1579" t="s">
        <v>30</v>
      </c>
      <c r="I1579" t="s">
        <v>30</v>
      </c>
      <c r="J1579" t="s">
        <v>31</v>
      </c>
      <c r="K1579" t="s">
        <v>32</v>
      </c>
      <c r="L1579" t="s">
        <v>32</v>
      </c>
      <c r="M1579" t="s">
        <v>33</v>
      </c>
      <c r="P1579" t="s">
        <v>34</v>
      </c>
      <c r="Q1579" t="s">
        <v>35</v>
      </c>
      <c r="S1579" t="s">
        <v>52</v>
      </c>
      <c r="T1579" t="s">
        <v>1415</v>
      </c>
      <c r="U1579" t="s">
        <v>1416</v>
      </c>
      <c r="V1579" t="s">
        <v>40</v>
      </c>
      <c r="W1579" s="1">
        <v>2140200</v>
      </c>
    </row>
    <row r="1580" spans="1:23" x14ac:dyDescent="0.2">
      <c r="A1580" t="s">
        <v>23</v>
      </c>
      <c r="B1580" t="s">
        <v>1108</v>
      </c>
      <c r="C1580" t="s">
        <v>1109</v>
      </c>
      <c r="D1580" t="s">
        <v>1397</v>
      </c>
      <c r="E1580" t="s">
        <v>1417</v>
      </c>
      <c r="F1580" t="s">
        <v>1418</v>
      </c>
      <c r="G1580" t="s">
        <v>29</v>
      </c>
      <c r="H1580" t="s">
        <v>30</v>
      </c>
      <c r="I1580" t="s">
        <v>30</v>
      </c>
      <c r="J1580" t="s">
        <v>41</v>
      </c>
      <c r="K1580" t="s">
        <v>32</v>
      </c>
      <c r="L1580" t="s">
        <v>32</v>
      </c>
      <c r="M1580" t="s">
        <v>33</v>
      </c>
      <c r="N1580" t="s">
        <v>33</v>
      </c>
      <c r="O1580" t="s">
        <v>33</v>
      </c>
      <c r="P1580" t="s">
        <v>34</v>
      </c>
      <c r="Q1580" t="s">
        <v>35</v>
      </c>
      <c r="R1580" t="s">
        <v>294</v>
      </c>
      <c r="S1580" t="s">
        <v>30</v>
      </c>
      <c r="T1580" t="s">
        <v>1419</v>
      </c>
      <c r="U1580" t="s">
        <v>1420</v>
      </c>
      <c r="V1580" t="s">
        <v>39</v>
      </c>
      <c r="W1580" s="1">
        <v>2</v>
      </c>
    </row>
    <row r="1581" spans="1:23" x14ac:dyDescent="0.2">
      <c r="A1581" t="s">
        <v>23</v>
      </c>
      <c r="B1581" t="s">
        <v>1108</v>
      </c>
      <c r="C1581" t="s">
        <v>1109</v>
      </c>
      <c r="D1581" t="s">
        <v>1397</v>
      </c>
      <c r="E1581" t="s">
        <v>1417</v>
      </c>
      <c r="F1581" t="s">
        <v>1418</v>
      </c>
      <c r="G1581" t="s">
        <v>29</v>
      </c>
      <c r="H1581" t="s">
        <v>30</v>
      </c>
      <c r="I1581" t="s">
        <v>30</v>
      </c>
      <c r="J1581" t="s">
        <v>41</v>
      </c>
      <c r="K1581" t="s">
        <v>32</v>
      </c>
      <c r="L1581" t="s">
        <v>32</v>
      </c>
      <c r="M1581" t="s">
        <v>33</v>
      </c>
      <c r="N1581" t="s">
        <v>33</v>
      </c>
      <c r="O1581" t="s">
        <v>33</v>
      </c>
      <c r="P1581" t="s">
        <v>34</v>
      </c>
      <c r="Q1581" t="s">
        <v>35</v>
      </c>
      <c r="R1581" t="s">
        <v>294</v>
      </c>
      <c r="S1581" t="s">
        <v>30</v>
      </c>
      <c r="T1581" t="s">
        <v>1419</v>
      </c>
      <c r="U1581" t="s">
        <v>1420</v>
      </c>
      <c r="V1581" t="s">
        <v>40</v>
      </c>
      <c r="W1581" s="1">
        <v>2298000</v>
      </c>
    </row>
    <row r="1582" spans="1:23" x14ac:dyDescent="0.2">
      <c r="A1582" t="s">
        <v>23</v>
      </c>
      <c r="B1582" t="s">
        <v>1108</v>
      </c>
      <c r="C1582" t="s">
        <v>1109</v>
      </c>
      <c r="D1582" t="s">
        <v>1397</v>
      </c>
      <c r="E1582" t="s">
        <v>1417</v>
      </c>
      <c r="F1582" t="s">
        <v>1418</v>
      </c>
      <c r="G1582" t="s">
        <v>49</v>
      </c>
      <c r="H1582" t="s">
        <v>30</v>
      </c>
      <c r="I1582" t="s">
        <v>30</v>
      </c>
      <c r="J1582" t="s">
        <v>107</v>
      </c>
      <c r="K1582" t="s">
        <v>32</v>
      </c>
      <c r="L1582" t="s">
        <v>32</v>
      </c>
      <c r="M1582" t="s">
        <v>33</v>
      </c>
      <c r="P1582" t="s">
        <v>34</v>
      </c>
      <c r="Q1582" t="s">
        <v>35</v>
      </c>
      <c r="R1582" t="s">
        <v>108</v>
      </c>
      <c r="S1582" t="s">
        <v>52</v>
      </c>
      <c r="T1582" t="s">
        <v>1421</v>
      </c>
      <c r="U1582" t="s">
        <v>1422</v>
      </c>
      <c r="V1582" t="s">
        <v>39</v>
      </c>
      <c r="W1582" s="1">
        <v>0</v>
      </c>
    </row>
    <row r="1583" spans="1:23" x14ac:dyDescent="0.2">
      <c r="A1583" t="s">
        <v>23</v>
      </c>
      <c r="B1583" t="s">
        <v>1108</v>
      </c>
      <c r="C1583" t="s">
        <v>1109</v>
      </c>
      <c r="D1583" t="s">
        <v>1397</v>
      </c>
      <c r="E1583" t="s">
        <v>1417</v>
      </c>
      <c r="F1583" t="s">
        <v>1418</v>
      </c>
      <c r="G1583" t="s">
        <v>49</v>
      </c>
      <c r="H1583" t="s">
        <v>30</v>
      </c>
      <c r="I1583" t="s">
        <v>30</v>
      </c>
      <c r="J1583" t="s">
        <v>107</v>
      </c>
      <c r="K1583" t="s">
        <v>32</v>
      </c>
      <c r="L1583" t="s">
        <v>32</v>
      </c>
      <c r="M1583" t="s">
        <v>33</v>
      </c>
      <c r="P1583" t="s">
        <v>34</v>
      </c>
      <c r="Q1583" t="s">
        <v>35</v>
      </c>
      <c r="R1583" t="s">
        <v>108</v>
      </c>
      <c r="S1583" t="s">
        <v>52</v>
      </c>
      <c r="T1583" t="s">
        <v>1421</v>
      </c>
      <c r="U1583" t="s">
        <v>1422</v>
      </c>
      <c r="V1583" t="s">
        <v>40</v>
      </c>
      <c r="W1583" s="1">
        <v>3320000</v>
      </c>
    </row>
    <row r="1584" spans="1:23" x14ac:dyDescent="0.2">
      <c r="A1584" t="s">
        <v>23</v>
      </c>
      <c r="B1584" t="s">
        <v>1108</v>
      </c>
      <c r="C1584" t="s">
        <v>1109</v>
      </c>
      <c r="D1584" t="s">
        <v>1397</v>
      </c>
      <c r="E1584" t="s">
        <v>1417</v>
      </c>
      <c r="F1584" t="s">
        <v>1418</v>
      </c>
      <c r="G1584" t="s">
        <v>49</v>
      </c>
      <c r="H1584" t="s">
        <v>30</v>
      </c>
      <c r="I1584" t="s">
        <v>30</v>
      </c>
      <c r="J1584" t="s">
        <v>41</v>
      </c>
      <c r="K1584" t="s">
        <v>32</v>
      </c>
      <c r="L1584" t="s">
        <v>32</v>
      </c>
      <c r="M1584" t="s">
        <v>33</v>
      </c>
      <c r="N1584" t="s">
        <v>33</v>
      </c>
      <c r="O1584" t="s">
        <v>33</v>
      </c>
      <c r="P1584" t="s">
        <v>34</v>
      </c>
      <c r="Q1584" t="s">
        <v>35</v>
      </c>
      <c r="R1584" t="s">
        <v>54</v>
      </c>
      <c r="S1584" t="s">
        <v>30</v>
      </c>
      <c r="T1584" t="s">
        <v>1423</v>
      </c>
      <c r="U1584" t="s">
        <v>1424</v>
      </c>
      <c r="V1584" t="s">
        <v>39</v>
      </c>
      <c r="W1584" s="1">
        <v>11</v>
      </c>
    </row>
    <row r="1585" spans="1:23" x14ac:dyDescent="0.2">
      <c r="A1585" t="s">
        <v>23</v>
      </c>
      <c r="B1585" t="s">
        <v>1108</v>
      </c>
      <c r="C1585" t="s">
        <v>1109</v>
      </c>
      <c r="D1585" t="s">
        <v>1397</v>
      </c>
      <c r="E1585" t="s">
        <v>1417</v>
      </c>
      <c r="F1585" t="s">
        <v>1418</v>
      </c>
      <c r="G1585" t="s">
        <v>49</v>
      </c>
      <c r="H1585" t="s">
        <v>30</v>
      </c>
      <c r="I1585" t="s">
        <v>30</v>
      </c>
      <c r="J1585" t="s">
        <v>41</v>
      </c>
      <c r="K1585" t="s">
        <v>32</v>
      </c>
      <c r="L1585" t="s">
        <v>32</v>
      </c>
      <c r="M1585" t="s">
        <v>33</v>
      </c>
      <c r="N1585" t="s">
        <v>33</v>
      </c>
      <c r="O1585" t="s">
        <v>33</v>
      </c>
      <c r="P1585" t="s">
        <v>34</v>
      </c>
      <c r="Q1585" t="s">
        <v>35</v>
      </c>
      <c r="R1585" t="s">
        <v>54</v>
      </c>
      <c r="S1585" t="s">
        <v>30</v>
      </c>
      <c r="T1585" t="s">
        <v>1423</v>
      </c>
      <c r="U1585" t="s">
        <v>1424</v>
      </c>
      <c r="V1585" t="s">
        <v>40</v>
      </c>
      <c r="W1585" s="1">
        <v>14422100</v>
      </c>
    </row>
    <row r="1586" spans="1:23" x14ac:dyDescent="0.2">
      <c r="A1586" t="s">
        <v>23</v>
      </c>
      <c r="B1586" t="s">
        <v>1108</v>
      </c>
      <c r="C1586" t="s">
        <v>1109</v>
      </c>
      <c r="D1586" t="s">
        <v>1397</v>
      </c>
      <c r="E1586" t="s">
        <v>1417</v>
      </c>
      <c r="F1586" t="s">
        <v>1418</v>
      </c>
      <c r="G1586" t="s">
        <v>49</v>
      </c>
      <c r="H1586" t="s">
        <v>30</v>
      </c>
      <c r="I1586" t="s">
        <v>30</v>
      </c>
      <c r="J1586" t="s">
        <v>57</v>
      </c>
      <c r="K1586" t="s">
        <v>32</v>
      </c>
      <c r="L1586" t="s">
        <v>32</v>
      </c>
      <c r="M1586" t="s">
        <v>33</v>
      </c>
      <c r="N1586" t="s">
        <v>33</v>
      </c>
      <c r="O1586" t="s">
        <v>33</v>
      </c>
      <c r="P1586" t="s">
        <v>34</v>
      </c>
      <c r="Q1586" t="s">
        <v>35</v>
      </c>
      <c r="R1586" t="s">
        <v>58</v>
      </c>
      <c r="S1586" t="s">
        <v>30</v>
      </c>
      <c r="T1586" t="s">
        <v>1425</v>
      </c>
      <c r="U1586" t="s">
        <v>1426</v>
      </c>
      <c r="V1586" t="s">
        <v>39</v>
      </c>
      <c r="W1586" s="1">
        <v>2</v>
      </c>
    </row>
    <row r="1587" spans="1:23" x14ac:dyDescent="0.2">
      <c r="A1587" t="s">
        <v>23</v>
      </c>
      <c r="B1587" t="s">
        <v>1108</v>
      </c>
      <c r="C1587" t="s">
        <v>1109</v>
      </c>
      <c r="D1587" t="s">
        <v>1397</v>
      </c>
      <c r="E1587" t="s">
        <v>1417</v>
      </c>
      <c r="F1587" t="s">
        <v>1418</v>
      </c>
      <c r="G1587" t="s">
        <v>49</v>
      </c>
      <c r="H1587" t="s">
        <v>30</v>
      </c>
      <c r="I1587" t="s">
        <v>30</v>
      </c>
      <c r="J1587" t="s">
        <v>57</v>
      </c>
      <c r="K1587" t="s">
        <v>32</v>
      </c>
      <c r="L1587" t="s">
        <v>32</v>
      </c>
      <c r="M1587" t="s">
        <v>33</v>
      </c>
      <c r="N1587" t="s">
        <v>33</v>
      </c>
      <c r="O1587" t="s">
        <v>33</v>
      </c>
      <c r="P1587" t="s">
        <v>34</v>
      </c>
      <c r="Q1587" t="s">
        <v>35</v>
      </c>
      <c r="R1587" t="s">
        <v>58</v>
      </c>
      <c r="S1587" t="s">
        <v>30</v>
      </c>
      <c r="T1587" t="s">
        <v>1425</v>
      </c>
      <c r="U1587" t="s">
        <v>1426</v>
      </c>
      <c r="V1587" t="s">
        <v>40</v>
      </c>
      <c r="W1587" s="1">
        <v>14998000</v>
      </c>
    </row>
    <row r="1588" spans="1:23" x14ac:dyDescent="0.2">
      <c r="A1588" t="s">
        <v>23</v>
      </c>
      <c r="B1588" t="s">
        <v>1108</v>
      </c>
      <c r="C1588" t="s">
        <v>1109</v>
      </c>
      <c r="D1588" t="s">
        <v>1397</v>
      </c>
      <c r="E1588" t="s">
        <v>1417</v>
      </c>
      <c r="F1588" t="s">
        <v>1418</v>
      </c>
      <c r="G1588" t="s">
        <v>61</v>
      </c>
      <c r="H1588" t="s">
        <v>52</v>
      </c>
      <c r="I1588" t="s">
        <v>52</v>
      </c>
      <c r="J1588" t="s">
        <v>31</v>
      </c>
      <c r="K1588" t="s">
        <v>32</v>
      </c>
      <c r="L1588" t="s">
        <v>32</v>
      </c>
      <c r="M1588" t="s">
        <v>33</v>
      </c>
      <c r="N1588" t="s">
        <v>33</v>
      </c>
      <c r="O1588" t="s">
        <v>33</v>
      </c>
      <c r="P1588" t="s">
        <v>34</v>
      </c>
      <c r="Q1588" t="s">
        <v>35</v>
      </c>
      <c r="R1588" t="s">
        <v>148</v>
      </c>
      <c r="S1588" t="s">
        <v>30</v>
      </c>
      <c r="T1588" t="s">
        <v>1427</v>
      </c>
      <c r="U1588" t="s">
        <v>1428</v>
      </c>
      <c r="V1588" t="s">
        <v>39</v>
      </c>
      <c r="W1588" s="1">
        <v>2</v>
      </c>
    </row>
    <row r="1589" spans="1:23" x14ac:dyDescent="0.2">
      <c r="A1589" t="s">
        <v>23</v>
      </c>
      <c r="B1589" t="s">
        <v>1108</v>
      </c>
      <c r="C1589" t="s">
        <v>1109</v>
      </c>
      <c r="D1589" t="s">
        <v>1397</v>
      </c>
      <c r="E1589" t="s">
        <v>1417</v>
      </c>
      <c r="F1589" t="s">
        <v>1418</v>
      </c>
      <c r="G1589" t="s">
        <v>61</v>
      </c>
      <c r="H1589" t="s">
        <v>52</v>
      </c>
      <c r="I1589" t="s">
        <v>52</v>
      </c>
      <c r="J1589" t="s">
        <v>31</v>
      </c>
      <c r="K1589" t="s">
        <v>32</v>
      </c>
      <c r="L1589" t="s">
        <v>32</v>
      </c>
      <c r="M1589" t="s">
        <v>33</v>
      </c>
      <c r="N1589" t="s">
        <v>33</v>
      </c>
      <c r="O1589" t="s">
        <v>33</v>
      </c>
      <c r="P1589" t="s">
        <v>34</v>
      </c>
      <c r="Q1589" t="s">
        <v>35</v>
      </c>
      <c r="R1589" t="s">
        <v>148</v>
      </c>
      <c r="S1589" t="s">
        <v>30</v>
      </c>
      <c r="T1589" t="s">
        <v>1427</v>
      </c>
      <c r="U1589" t="s">
        <v>1428</v>
      </c>
      <c r="V1589" t="s">
        <v>40</v>
      </c>
      <c r="W1589" s="1">
        <v>4193200</v>
      </c>
    </row>
    <row r="1590" spans="1:23" x14ac:dyDescent="0.2">
      <c r="A1590" t="s">
        <v>23</v>
      </c>
      <c r="B1590" t="s">
        <v>1108</v>
      </c>
      <c r="C1590" t="s">
        <v>1109</v>
      </c>
      <c r="D1590" t="s">
        <v>1397</v>
      </c>
      <c r="E1590" t="s">
        <v>1417</v>
      </c>
      <c r="F1590" t="s">
        <v>1418</v>
      </c>
      <c r="G1590" t="s">
        <v>61</v>
      </c>
      <c r="H1590" t="s">
        <v>52</v>
      </c>
      <c r="I1590" t="s">
        <v>52</v>
      </c>
      <c r="J1590" t="s">
        <v>31</v>
      </c>
      <c r="K1590" t="s">
        <v>32</v>
      </c>
      <c r="L1590" t="s">
        <v>32</v>
      </c>
      <c r="M1590" t="s">
        <v>33</v>
      </c>
      <c r="N1590" t="s">
        <v>169</v>
      </c>
      <c r="O1590" t="s">
        <v>169</v>
      </c>
      <c r="P1590" t="s">
        <v>34</v>
      </c>
      <c r="Q1590" t="s">
        <v>35</v>
      </c>
      <c r="R1590" t="s">
        <v>148</v>
      </c>
      <c r="S1590" t="s">
        <v>30</v>
      </c>
      <c r="T1590" t="s">
        <v>1427</v>
      </c>
      <c r="U1590" t="s">
        <v>1428</v>
      </c>
      <c r="V1590" t="s">
        <v>39</v>
      </c>
      <c r="W1590" s="1">
        <v>1</v>
      </c>
    </row>
    <row r="1591" spans="1:23" x14ac:dyDescent="0.2">
      <c r="A1591" t="s">
        <v>23</v>
      </c>
      <c r="B1591" t="s">
        <v>1108</v>
      </c>
      <c r="C1591" t="s">
        <v>1109</v>
      </c>
      <c r="D1591" t="s">
        <v>1397</v>
      </c>
      <c r="E1591" t="s">
        <v>1417</v>
      </c>
      <c r="F1591" t="s">
        <v>1418</v>
      </c>
      <c r="G1591" t="s">
        <v>61</v>
      </c>
      <c r="H1591" t="s">
        <v>52</v>
      </c>
      <c r="I1591" t="s">
        <v>52</v>
      </c>
      <c r="J1591" t="s">
        <v>31</v>
      </c>
      <c r="K1591" t="s">
        <v>32</v>
      </c>
      <c r="L1591" t="s">
        <v>32</v>
      </c>
      <c r="M1591" t="s">
        <v>33</v>
      </c>
      <c r="N1591" t="s">
        <v>169</v>
      </c>
      <c r="O1591" t="s">
        <v>169</v>
      </c>
      <c r="P1591" t="s">
        <v>34</v>
      </c>
      <c r="Q1591" t="s">
        <v>35</v>
      </c>
      <c r="R1591" t="s">
        <v>148</v>
      </c>
      <c r="S1591" t="s">
        <v>30</v>
      </c>
      <c r="T1591" t="s">
        <v>1427</v>
      </c>
      <c r="U1591" t="s">
        <v>1428</v>
      </c>
      <c r="V1591" t="s">
        <v>40</v>
      </c>
      <c r="W1591" s="1">
        <v>2096600</v>
      </c>
    </row>
    <row r="1592" spans="1:23" x14ac:dyDescent="0.2">
      <c r="A1592" t="s">
        <v>23</v>
      </c>
      <c r="B1592" t="s">
        <v>1108</v>
      </c>
      <c r="C1592" t="s">
        <v>1109</v>
      </c>
      <c r="D1592" t="s">
        <v>1397</v>
      </c>
      <c r="E1592" t="s">
        <v>1417</v>
      </c>
      <c r="F1592" t="s">
        <v>1418</v>
      </c>
      <c r="G1592" t="s">
        <v>61</v>
      </c>
      <c r="H1592" t="s">
        <v>52</v>
      </c>
      <c r="I1592" t="s">
        <v>52</v>
      </c>
      <c r="J1592" t="s">
        <v>31</v>
      </c>
      <c r="K1592" t="s">
        <v>32</v>
      </c>
      <c r="L1592" t="s">
        <v>32</v>
      </c>
      <c r="M1592" t="s">
        <v>176</v>
      </c>
      <c r="N1592" t="s">
        <v>176</v>
      </c>
      <c r="O1592" t="s">
        <v>176</v>
      </c>
      <c r="P1592" t="s">
        <v>34</v>
      </c>
      <c r="Q1592" t="s">
        <v>35</v>
      </c>
      <c r="R1592" t="s">
        <v>148</v>
      </c>
      <c r="S1592" t="s">
        <v>30</v>
      </c>
      <c r="T1592" t="s">
        <v>1427</v>
      </c>
      <c r="U1592" t="s">
        <v>1428</v>
      </c>
      <c r="V1592" t="s">
        <v>39</v>
      </c>
      <c r="W1592" s="1">
        <v>1</v>
      </c>
    </row>
    <row r="1593" spans="1:23" x14ac:dyDescent="0.2">
      <c r="A1593" t="s">
        <v>23</v>
      </c>
      <c r="B1593" t="s">
        <v>1108</v>
      </c>
      <c r="C1593" t="s">
        <v>1109</v>
      </c>
      <c r="D1593" t="s">
        <v>1397</v>
      </c>
      <c r="E1593" t="s">
        <v>1417</v>
      </c>
      <c r="F1593" t="s">
        <v>1418</v>
      </c>
      <c r="G1593" t="s">
        <v>61</v>
      </c>
      <c r="H1593" t="s">
        <v>52</v>
      </c>
      <c r="I1593" t="s">
        <v>52</v>
      </c>
      <c r="J1593" t="s">
        <v>31</v>
      </c>
      <c r="K1593" t="s">
        <v>32</v>
      </c>
      <c r="L1593" t="s">
        <v>32</v>
      </c>
      <c r="M1593" t="s">
        <v>176</v>
      </c>
      <c r="N1593" t="s">
        <v>176</v>
      </c>
      <c r="O1593" t="s">
        <v>176</v>
      </c>
      <c r="P1593" t="s">
        <v>34</v>
      </c>
      <c r="Q1593" t="s">
        <v>35</v>
      </c>
      <c r="R1593" t="s">
        <v>148</v>
      </c>
      <c r="S1593" t="s">
        <v>30</v>
      </c>
      <c r="T1593" t="s">
        <v>1427</v>
      </c>
      <c r="U1593" t="s">
        <v>1428</v>
      </c>
      <c r="V1593" t="s">
        <v>40</v>
      </c>
      <c r="W1593" s="1">
        <v>1991770</v>
      </c>
    </row>
    <row r="1594" spans="1:23" x14ac:dyDescent="0.2">
      <c r="A1594" t="s">
        <v>23</v>
      </c>
      <c r="B1594" t="s">
        <v>1108</v>
      </c>
      <c r="C1594" t="s">
        <v>1109</v>
      </c>
      <c r="D1594" t="s">
        <v>1397</v>
      </c>
      <c r="E1594" t="s">
        <v>1417</v>
      </c>
      <c r="F1594" t="s">
        <v>1418</v>
      </c>
      <c r="G1594" t="s">
        <v>61</v>
      </c>
      <c r="H1594" t="s">
        <v>52</v>
      </c>
      <c r="I1594" t="s">
        <v>52</v>
      </c>
      <c r="J1594" t="s">
        <v>41</v>
      </c>
      <c r="K1594" t="s">
        <v>32</v>
      </c>
      <c r="L1594" t="s">
        <v>32</v>
      </c>
      <c r="M1594" t="s">
        <v>33</v>
      </c>
      <c r="N1594" t="s">
        <v>33</v>
      </c>
      <c r="O1594" t="s">
        <v>33</v>
      </c>
      <c r="P1594" t="s">
        <v>34</v>
      </c>
      <c r="Q1594" t="s">
        <v>35</v>
      </c>
      <c r="R1594" t="s">
        <v>96</v>
      </c>
      <c r="S1594" t="s">
        <v>30</v>
      </c>
      <c r="T1594" t="s">
        <v>1429</v>
      </c>
      <c r="U1594" t="s">
        <v>1430</v>
      </c>
      <c r="V1594" t="s">
        <v>39</v>
      </c>
      <c r="W1594" s="1">
        <v>1</v>
      </c>
    </row>
    <row r="1595" spans="1:23" x14ac:dyDescent="0.2">
      <c r="A1595" t="s">
        <v>23</v>
      </c>
      <c r="B1595" t="s">
        <v>1108</v>
      </c>
      <c r="C1595" t="s">
        <v>1109</v>
      </c>
      <c r="D1595" t="s">
        <v>1397</v>
      </c>
      <c r="E1595" t="s">
        <v>1417</v>
      </c>
      <c r="F1595" t="s">
        <v>1418</v>
      </c>
      <c r="G1595" t="s">
        <v>61</v>
      </c>
      <c r="H1595" t="s">
        <v>52</v>
      </c>
      <c r="I1595" t="s">
        <v>52</v>
      </c>
      <c r="J1595" t="s">
        <v>41</v>
      </c>
      <c r="K1595" t="s">
        <v>32</v>
      </c>
      <c r="L1595" t="s">
        <v>32</v>
      </c>
      <c r="M1595" t="s">
        <v>33</v>
      </c>
      <c r="N1595" t="s">
        <v>33</v>
      </c>
      <c r="O1595" t="s">
        <v>33</v>
      </c>
      <c r="P1595" t="s">
        <v>34</v>
      </c>
      <c r="Q1595" t="s">
        <v>35</v>
      </c>
      <c r="R1595" t="s">
        <v>96</v>
      </c>
      <c r="S1595" t="s">
        <v>30</v>
      </c>
      <c r="T1595" t="s">
        <v>1429</v>
      </c>
      <c r="U1595" t="s">
        <v>1430</v>
      </c>
      <c r="V1595" t="s">
        <v>40</v>
      </c>
      <c r="W1595" s="1">
        <v>4898800</v>
      </c>
    </row>
    <row r="1596" spans="1:23" x14ac:dyDescent="0.2">
      <c r="A1596" t="s">
        <v>23</v>
      </c>
      <c r="B1596" t="s">
        <v>1108</v>
      </c>
      <c r="C1596" t="s">
        <v>1109</v>
      </c>
      <c r="D1596" t="s">
        <v>1397</v>
      </c>
      <c r="E1596" t="s">
        <v>1417</v>
      </c>
      <c r="F1596" t="s">
        <v>1418</v>
      </c>
      <c r="G1596" t="s">
        <v>64</v>
      </c>
      <c r="H1596" t="s">
        <v>30</v>
      </c>
      <c r="I1596" t="s">
        <v>52</v>
      </c>
      <c r="J1596" t="s">
        <v>41</v>
      </c>
      <c r="K1596" t="s">
        <v>32</v>
      </c>
      <c r="L1596" t="s">
        <v>32</v>
      </c>
      <c r="M1596" t="s">
        <v>33</v>
      </c>
      <c r="P1596" t="s">
        <v>34</v>
      </c>
      <c r="Q1596" t="s">
        <v>35</v>
      </c>
      <c r="S1596" t="s">
        <v>52</v>
      </c>
      <c r="T1596" t="s">
        <v>1431</v>
      </c>
      <c r="U1596" t="s">
        <v>1432</v>
      </c>
      <c r="V1596" t="s">
        <v>39</v>
      </c>
      <c r="W1596" s="1">
        <v>0</v>
      </c>
    </row>
    <row r="1597" spans="1:23" x14ac:dyDescent="0.2">
      <c r="A1597" t="s">
        <v>23</v>
      </c>
      <c r="B1597" t="s">
        <v>1108</v>
      </c>
      <c r="C1597" t="s">
        <v>1109</v>
      </c>
      <c r="D1597" t="s">
        <v>1397</v>
      </c>
      <c r="E1597" t="s">
        <v>1417</v>
      </c>
      <c r="F1597" t="s">
        <v>1418</v>
      </c>
      <c r="G1597" t="s">
        <v>64</v>
      </c>
      <c r="H1597" t="s">
        <v>30</v>
      </c>
      <c r="I1597" t="s">
        <v>52</v>
      </c>
      <c r="J1597" t="s">
        <v>41</v>
      </c>
      <c r="K1597" t="s">
        <v>32</v>
      </c>
      <c r="L1597" t="s">
        <v>32</v>
      </c>
      <c r="M1597" t="s">
        <v>33</v>
      </c>
      <c r="P1597" t="s">
        <v>34</v>
      </c>
      <c r="Q1597" t="s">
        <v>35</v>
      </c>
      <c r="S1597" t="s">
        <v>52</v>
      </c>
      <c r="T1597" t="s">
        <v>1431</v>
      </c>
      <c r="U1597" t="s">
        <v>1432</v>
      </c>
      <c r="V1597" t="s">
        <v>40</v>
      </c>
      <c r="W1597" s="1">
        <v>12393200</v>
      </c>
    </row>
    <row r="1598" spans="1:23" x14ac:dyDescent="0.2">
      <c r="A1598" t="s">
        <v>23</v>
      </c>
      <c r="B1598" t="s">
        <v>1108</v>
      </c>
      <c r="C1598" t="s">
        <v>1109</v>
      </c>
      <c r="D1598" t="s">
        <v>1397</v>
      </c>
      <c r="E1598" t="s">
        <v>1417</v>
      </c>
      <c r="F1598" t="s">
        <v>1418</v>
      </c>
      <c r="G1598" t="s">
        <v>67</v>
      </c>
      <c r="H1598" t="s">
        <v>30</v>
      </c>
      <c r="I1598" t="s">
        <v>30</v>
      </c>
      <c r="J1598" t="s">
        <v>41</v>
      </c>
      <c r="K1598" t="s">
        <v>32</v>
      </c>
      <c r="L1598" t="s">
        <v>32</v>
      </c>
      <c r="M1598" t="s">
        <v>33</v>
      </c>
      <c r="P1598" t="s">
        <v>34</v>
      </c>
      <c r="Q1598" t="s">
        <v>35</v>
      </c>
      <c r="S1598" t="s">
        <v>30</v>
      </c>
      <c r="T1598" t="s">
        <v>1433</v>
      </c>
      <c r="U1598" t="s">
        <v>1434</v>
      </c>
      <c r="V1598" t="s">
        <v>39</v>
      </c>
      <c r="W1598" s="1">
        <v>2</v>
      </c>
    </row>
    <row r="1599" spans="1:23" x14ac:dyDescent="0.2">
      <c r="A1599" t="s">
        <v>23</v>
      </c>
      <c r="B1599" t="s">
        <v>1108</v>
      </c>
      <c r="C1599" t="s">
        <v>1109</v>
      </c>
      <c r="D1599" t="s">
        <v>1397</v>
      </c>
      <c r="E1599" t="s">
        <v>1417</v>
      </c>
      <c r="F1599" t="s">
        <v>1418</v>
      </c>
      <c r="G1599" t="s">
        <v>67</v>
      </c>
      <c r="H1599" t="s">
        <v>30</v>
      </c>
      <c r="I1599" t="s">
        <v>30</v>
      </c>
      <c r="J1599" t="s">
        <v>41</v>
      </c>
      <c r="K1599" t="s">
        <v>32</v>
      </c>
      <c r="L1599" t="s">
        <v>32</v>
      </c>
      <c r="M1599" t="s">
        <v>33</v>
      </c>
      <c r="P1599" t="s">
        <v>34</v>
      </c>
      <c r="Q1599" t="s">
        <v>35</v>
      </c>
      <c r="S1599" t="s">
        <v>30</v>
      </c>
      <c r="T1599" t="s">
        <v>1433</v>
      </c>
      <c r="U1599" t="s">
        <v>1434</v>
      </c>
      <c r="V1599" t="s">
        <v>40</v>
      </c>
      <c r="W1599" s="1">
        <v>10910000</v>
      </c>
    </row>
    <row r="1600" spans="1:23" x14ac:dyDescent="0.2">
      <c r="A1600" t="s">
        <v>23</v>
      </c>
      <c r="B1600" t="s">
        <v>1108</v>
      </c>
      <c r="C1600" t="s">
        <v>1109</v>
      </c>
      <c r="D1600" t="s">
        <v>1397</v>
      </c>
      <c r="E1600" t="s">
        <v>1417</v>
      </c>
      <c r="F1600" t="s">
        <v>1418</v>
      </c>
      <c r="G1600" t="s">
        <v>67</v>
      </c>
      <c r="H1600" t="s">
        <v>30</v>
      </c>
      <c r="I1600" t="s">
        <v>30</v>
      </c>
      <c r="J1600" t="s">
        <v>57</v>
      </c>
      <c r="K1600" t="s">
        <v>32</v>
      </c>
      <c r="L1600" t="s">
        <v>32</v>
      </c>
      <c r="M1600" t="s">
        <v>33</v>
      </c>
      <c r="P1600" t="s">
        <v>34</v>
      </c>
      <c r="Q1600" t="s">
        <v>35</v>
      </c>
      <c r="R1600" t="s">
        <v>58</v>
      </c>
      <c r="S1600" t="s">
        <v>30</v>
      </c>
      <c r="T1600" t="s">
        <v>1435</v>
      </c>
      <c r="U1600" t="s">
        <v>1436</v>
      </c>
      <c r="V1600" t="s">
        <v>39</v>
      </c>
      <c r="W1600" s="1">
        <v>2</v>
      </c>
    </row>
    <row r="1601" spans="1:23" x14ac:dyDescent="0.2">
      <c r="A1601" t="s">
        <v>23</v>
      </c>
      <c r="B1601" t="s">
        <v>1108</v>
      </c>
      <c r="C1601" t="s">
        <v>1109</v>
      </c>
      <c r="D1601" t="s">
        <v>1397</v>
      </c>
      <c r="E1601" t="s">
        <v>1417</v>
      </c>
      <c r="F1601" t="s">
        <v>1418</v>
      </c>
      <c r="G1601" t="s">
        <v>67</v>
      </c>
      <c r="H1601" t="s">
        <v>30</v>
      </c>
      <c r="I1601" t="s">
        <v>30</v>
      </c>
      <c r="J1601" t="s">
        <v>57</v>
      </c>
      <c r="K1601" t="s">
        <v>32</v>
      </c>
      <c r="L1601" t="s">
        <v>32</v>
      </c>
      <c r="M1601" t="s">
        <v>33</v>
      </c>
      <c r="P1601" t="s">
        <v>34</v>
      </c>
      <c r="Q1601" t="s">
        <v>35</v>
      </c>
      <c r="R1601" t="s">
        <v>58</v>
      </c>
      <c r="S1601" t="s">
        <v>30</v>
      </c>
      <c r="T1601" t="s">
        <v>1435</v>
      </c>
      <c r="U1601" t="s">
        <v>1436</v>
      </c>
      <c r="V1601" t="s">
        <v>40</v>
      </c>
      <c r="W1601" s="1">
        <v>15198000</v>
      </c>
    </row>
    <row r="1602" spans="1:23" x14ac:dyDescent="0.2">
      <c r="A1602" t="s">
        <v>23</v>
      </c>
      <c r="B1602" t="s">
        <v>1108</v>
      </c>
      <c r="C1602" t="s">
        <v>1109</v>
      </c>
      <c r="D1602" t="s">
        <v>1397</v>
      </c>
      <c r="E1602" t="s">
        <v>1417</v>
      </c>
      <c r="F1602" t="s">
        <v>1418</v>
      </c>
      <c r="G1602" t="s">
        <v>89</v>
      </c>
      <c r="H1602" t="s">
        <v>30</v>
      </c>
      <c r="I1602" t="s">
        <v>30</v>
      </c>
      <c r="J1602" t="s">
        <v>41</v>
      </c>
      <c r="K1602" t="s">
        <v>32</v>
      </c>
      <c r="L1602" t="s">
        <v>32</v>
      </c>
      <c r="M1602" t="s">
        <v>33</v>
      </c>
      <c r="N1602" t="s">
        <v>33</v>
      </c>
      <c r="O1602" t="s">
        <v>33</v>
      </c>
      <c r="P1602" t="s">
        <v>34</v>
      </c>
      <c r="Q1602" t="s">
        <v>35</v>
      </c>
      <c r="R1602" t="s">
        <v>36</v>
      </c>
      <c r="S1602" t="s">
        <v>30</v>
      </c>
      <c r="T1602" t="s">
        <v>1437</v>
      </c>
      <c r="U1602" t="s">
        <v>1438</v>
      </c>
      <c r="V1602" t="s">
        <v>39</v>
      </c>
      <c r="W1602" s="1">
        <v>4</v>
      </c>
    </row>
    <row r="1603" spans="1:23" x14ac:dyDescent="0.2">
      <c r="A1603" t="s">
        <v>23</v>
      </c>
      <c r="B1603" t="s">
        <v>1108</v>
      </c>
      <c r="C1603" t="s">
        <v>1109</v>
      </c>
      <c r="D1603" t="s">
        <v>1397</v>
      </c>
      <c r="E1603" t="s">
        <v>1417</v>
      </c>
      <c r="F1603" t="s">
        <v>1418</v>
      </c>
      <c r="G1603" t="s">
        <v>89</v>
      </c>
      <c r="H1603" t="s">
        <v>30</v>
      </c>
      <c r="I1603" t="s">
        <v>30</v>
      </c>
      <c r="J1603" t="s">
        <v>41</v>
      </c>
      <c r="K1603" t="s">
        <v>32</v>
      </c>
      <c r="L1603" t="s">
        <v>32</v>
      </c>
      <c r="M1603" t="s">
        <v>33</v>
      </c>
      <c r="N1603" t="s">
        <v>33</v>
      </c>
      <c r="O1603" t="s">
        <v>33</v>
      </c>
      <c r="P1603" t="s">
        <v>34</v>
      </c>
      <c r="Q1603" t="s">
        <v>35</v>
      </c>
      <c r="R1603" t="s">
        <v>36</v>
      </c>
      <c r="S1603" t="s">
        <v>30</v>
      </c>
      <c r="T1603" t="s">
        <v>1437</v>
      </c>
      <c r="U1603" t="s">
        <v>1438</v>
      </c>
      <c r="V1603" t="s">
        <v>40</v>
      </c>
      <c r="W1603" s="1">
        <v>5269600</v>
      </c>
    </row>
    <row r="1604" spans="1:23" x14ac:dyDescent="0.2">
      <c r="A1604" t="s">
        <v>23</v>
      </c>
      <c r="B1604" t="s">
        <v>1108</v>
      </c>
      <c r="C1604" t="s">
        <v>1109</v>
      </c>
      <c r="D1604" t="s">
        <v>1397</v>
      </c>
      <c r="E1604" t="s">
        <v>1417</v>
      </c>
      <c r="F1604" t="s">
        <v>1418</v>
      </c>
      <c r="G1604" t="s">
        <v>89</v>
      </c>
      <c r="H1604" t="s">
        <v>30</v>
      </c>
      <c r="I1604" t="s">
        <v>30</v>
      </c>
      <c r="J1604" t="s">
        <v>41</v>
      </c>
      <c r="K1604" t="s">
        <v>32</v>
      </c>
      <c r="L1604" t="s">
        <v>32</v>
      </c>
      <c r="M1604" t="s">
        <v>33</v>
      </c>
      <c r="P1604" t="s">
        <v>34</v>
      </c>
      <c r="Q1604" t="s">
        <v>35</v>
      </c>
      <c r="R1604" t="s">
        <v>36</v>
      </c>
      <c r="S1604" t="s">
        <v>30</v>
      </c>
      <c r="T1604" t="s">
        <v>1439</v>
      </c>
      <c r="U1604" t="s">
        <v>1440</v>
      </c>
      <c r="V1604" t="s">
        <v>39</v>
      </c>
      <c r="W1604" s="1">
        <v>4</v>
      </c>
    </row>
    <row r="1605" spans="1:23" x14ac:dyDescent="0.2">
      <c r="A1605" t="s">
        <v>23</v>
      </c>
      <c r="B1605" t="s">
        <v>1108</v>
      </c>
      <c r="C1605" t="s">
        <v>1109</v>
      </c>
      <c r="D1605" t="s">
        <v>1397</v>
      </c>
      <c r="E1605" t="s">
        <v>1417</v>
      </c>
      <c r="F1605" t="s">
        <v>1418</v>
      </c>
      <c r="G1605" t="s">
        <v>89</v>
      </c>
      <c r="H1605" t="s">
        <v>30</v>
      </c>
      <c r="I1605" t="s">
        <v>30</v>
      </c>
      <c r="J1605" t="s">
        <v>41</v>
      </c>
      <c r="K1605" t="s">
        <v>32</v>
      </c>
      <c r="L1605" t="s">
        <v>32</v>
      </c>
      <c r="M1605" t="s">
        <v>33</v>
      </c>
      <c r="P1605" t="s">
        <v>34</v>
      </c>
      <c r="Q1605" t="s">
        <v>35</v>
      </c>
      <c r="R1605" t="s">
        <v>36</v>
      </c>
      <c r="S1605" t="s">
        <v>30</v>
      </c>
      <c r="T1605" t="s">
        <v>1439</v>
      </c>
      <c r="U1605" t="s">
        <v>1440</v>
      </c>
      <c r="V1605" t="s">
        <v>40</v>
      </c>
      <c r="W1605" s="1">
        <v>5069600</v>
      </c>
    </row>
    <row r="1606" spans="1:23" x14ac:dyDescent="0.2">
      <c r="A1606" t="s">
        <v>23</v>
      </c>
      <c r="B1606" t="s">
        <v>1108</v>
      </c>
      <c r="C1606" t="s">
        <v>1109</v>
      </c>
      <c r="D1606" t="s">
        <v>1397</v>
      </c>
      <c r="E1606" t="s">
        <v>1417</v>
      </c>
      <c r="F1606" t="s">
        <v>1418</v>
      </c>
      <c r="G1606" t="s">
        <v>89</v>
      </c>
      <c r="H1606" t="s">
        <v>30</v>
      </c>
      <c r="I1606" t="s">
        <v>30</v>
      </c>
      <c r="J1606" t="s">
        <v>41</v>
      </c>
      <c r="K1606" t="s">
        <v>32</v>
      </c>
      <c r="L1606" t="s">
        <v>32</v>
      </c>
      <c r="M1606" t="s">
        <v>33</v>
      </c>
      <c r="P1606" t="s">
        <v>34</v>
      </c>
      <c r="Q1606" t="s">
        <v>35</v>
      </c>
      <c r="R1606" t="s">
        <v>36</v>
      </c>
      <c r="S1606" t="s">
        <v>52</v>
      </c>
      <c r="T1606" t="s">
        <v>1441</v>
      </c>
      <c r="U1606" t="s">
        <v>1442</v>
      </c>
      <c r="V1606" t="s">
        <v>39</v>
      </c>
      <c r="W1606" s="1">
        <v>0</v>
      </c>
    </row>
    <row r="1607" spans="1:23" x14ac:dyDescent="0.2">
      <c r="A1607" t="s">
        <v>23</v>
      </c>
      <c r="B1607" t="s">
        <v>1108</v>
      </c>
      <c r="C1607" t="s">
        <v>1109</v>
      </c>
      <c r="D1607" t="s">
        <v>1397</v>
      </c>
      <c r="E1607" t="s">
        <v>1417</v>
      </c>
      <c r="F1607" t="s">
        <v>1418</v>
      </c>
      <c r="G1607" t="s">
        <v>89</v>
      </c>
      <c r="H1607" t="s">
        <v>30</v>
      </c>
      <c r="I1607" t="s">
        <v>30</v>
      </c>
      <c r="J1607" t="s">
        <v>41</v>
      </c>
      <c r="K1607" t="s">
        <v>32</v>
      </c>
      <c r="L1607" t="s">
        <v>32</v>
      </c>
      <c r="M1607" t="s">
        <v>33</v>
      </c>
      <c r="P1607" t="s">
        <v>34</v>
      </c>
      <c r="Q1607" t="s">
        <v>35</v>
      </c>
      <c r="R1607" t="s">
        <v>36</v>
      </c>
      <c r="S1607" t="s">
        <v>52</v>
      </c>
      <c r="T1607" t="s">
        <v>1441</v>
      </c>
      <c r="U1607" t="s">
        <v>1442</v>
      </c>
      <c r="V1607" t="s">
        <v>40</v>
      </c>
      <c r="W1607" s="1">
        <v>4869600</v>
      </c>
    </row>
    <row r="1608" spans="1:23" x14ac:dyDescent="0.2">
      <c r="A1608" t="s">
        <v>23</v>
      </c>
      <c r="B1608" t="s">
        <v>1108</v>
      </c>
      <c r="C1608" t="s">
        <v>1109</v>
      </c>
      <c r="D1608" t="s">
        <v>1397</v>
      </c>
      <c r="E1608" t="s">
        <v>1417</v>
      </c>
      <c r="F1608" t="s">
        <v>1418</v>
      </c>
      <c r="G1608" t="s">
        <v>106</v>
      </c>
      <c r="H1608" t="s">
        <v>30</v>
      </c>
      <c r="I1608" t="s">
        <v>30</v>
      </c>
      <c r="J1608" t="s">
        <v>128</v>
      </c>
      <c r="K1608" t="s">
        <v>32</v>
      </c>
      <c r="L1608" t="s">
        <v>32</v>
      </c>
      <c r="M1608" t="s">
        <v>33</v>
      </c>
      <c r="P1608" t="s">
        <v>34</v>
      </c>
      <c r="Q1608" t="s">
        <v>35</v>
      </c>
      <c r="R1608" t="s">
        <v>129</v>
      </c>
      <c r="S1608" t="s">
        <v>52</v>
      </c>
      <c r="T1608" t="s">
        <v>1443</v>
      </c>
      <c r="U1608" t="s">
        <v>1444</v>
      </c>
      <c r="V1608" t="s">
        <v>39</v>
      </c>
      <c r="W1608" s="1">
        <v>0</v>
      </c>
    </row>
    <row r="1609" spans="1:23" x14ac:dyDescent="0.2">
      <c r="A1609" t="s">
        <v>23</v>
      </c>
      <c r="B1609" t="s">
        <v>1108</v>
      </c>
      <c r="C1609" t="s">
        <v>1109</v>
      </c>
      <c r="D1609" t="s">
        <v>1397</v>
      </c>
      <c r="E1609" t="s">
        <v>1417</v>
      </c>
      <c r="F1609" t="s">
        <v>1418</v>
      </c>
      <c r="G1609" t="s">
        <v>106</v>
      </c>
      <c r="H1609" t="s">
        <v>30</v>
      </c>
      <c r="I1609" t="s">
        <v>30</v>
      </c>
      <c r="J1609" t="s">
        <v>128</v>
      </c>
      <c r="K1609" t="s">
        <v>32</v>
      </c>
      <c r="L1609" t="s">
        <v>32</v>
      </c>
      <c r="M1609" t="s">
        <v>33</v>
      </c>
      <c r="P1609" t="s">
        <v>34</v>
      </c>
      <c r="Q1609" t="s">
        <v>35</v>
      </c>
      <c r="R1609" t="s">
        <v>129</v>
      </c>
      <c r="S1609" t="s">
        <v>52</v>
      </c>
      <c r="T1609" t="s">
        <v>1443</v>
      </c>
      <c r="U1609" t="s">
        <v>1444</v>
      </c>
      <c r="V1609" t="s">
        <v>40</v>
      </c>
      <c r="W1609" s="1">
        <v>1074000</v>
      </c>
    </row>
    <row r="1610" spans="1:23" x14ac:dyDescent="0.2">
      <c r="A1610" t="s">
        <v>23</v>
      </c>
      <c r="B1610" t="s">
        <v>1108</v>
      </c>
      <c r="C1610" t="s">
        <v>1109</v>
      </c>
      <c r="D1610" t="s">
        <v>1397</v>
      </c>
      <c r="E1610" t="s">
        <v>1417</v>
      </c>
      <c r="F1610" t="s">
        <v>1418</v>
      </c>
      <c r="G1610" t="s">
        <v>106</v>
      </c>
      <c r="H1610" t="s">
        <v>30</v>
      </c>
      <c r="I1610" t="s">
        <v>30</v>
      </c>
      <c r="J1610" t="s">
        <v>41</v>
      </c>
      <c r="K1610" t="s">
        <v>32</v>
      </c>
      <c r="L1610" t="s">
        <v>32</v>
      </c>
      <c r="M1610" t="s">
        <v>33</v>
      </c>
      <c r="N1610" t="s">
        <v>33</v>
      </c>
      <c r="O1610" t="s">
        <v>33</v>
      </c>
      <c r="P1610" t="s">
        <v>34</v>
      </c>
      <c r="Q1610" t="s">
        <v>35</v>
      </c>
      <c r="R1610" t="s">
        <v>36</v>
      </c>
      <c r="S1610" t="s">
        <v>30</v>
      </c>
      <c r="T1610" t="s">
        <v>1445</v>
      </c>
      <c r="U1610" t="s">
        <v>1446</v>
      </c>
      <c r="V1610" t="s">
        <v>39</v>
      </c>
      <c r="W1610" s="1">
        <v>1</v>
      </c>
    </row>
    <row r="1611" spans="1:23" x14ac:dyDescent="0.2">
      <c r="A1611" t="s">
        <v>23</v>
      </c>
      <c r="B1611" t="s">
        <v>1108</v>
      </c>
      <c r="C1611" t="s">
        <v>1109</v>
      </c>
      <c r="D1611" t="s">
        <v>1397</v>
      </c>
      <c r="E1611" t="s">
        <v>1417</v>
      </c>
      <c r="F1611" t="s">
        <v>1418</v>
      </c>
      <c r="G1611" t="s">
        <v>106</v>
      </c>
      <c r="H1611" t="s">
        <v>30</v>
      </c>
      <c r="I1611" t="s">
        <v>30</v>
      </c>
      <c r="J1611" t="s">
        <v>41</v>
      </c>
      <c r="K1611" t="s">
        <v>32</v>
      </c>
      <c r="L1611" t="s">
        <v>32</v>
      </c>
      <c r="M1611" t="s">
        <v>33</v>
      </c>
      <c r="N1611" t="s">
        <v>33</v>
      </c>
      <c r="O1611" t="s">
        <v>33</v>
      </c>
      <c r="P1611" t="s">
        <v>34</v>
      </c>
      <c r="Q1611" t="s">
        <v>35</v>
      </c>
      <c r="R1611" t="s">
        <v>36</v>
      </c>
      <c r="S1611" t="s">
        <v>30</v>
      </c>
      <c r="T1611" t="s">
        <v>1445</v>
      </c>
      <c r="U1611" t="s">
        <v>1446</v>
      </c>
      <c r="V1611" t="s">
        <v>40</v>
      </c>
      <c r="W1611" s="1">
        <v>1099000</v>
      </c>
    </row>
    <row r="1612" spans="1:23" x14ac:dyDescent="0.2">
      <c r="A1612" t="s">
        <v>23</v>
      </c>
      <c r="B1612" t="s">
        <v>1108</v>
      </c>
      <c r="C1612" t="s">
        <v>1109</v>
      </c>
      <c r="D1612" t="s">
        <v>1397</v>
      </c>
      <c r="E1612" t="s">
        <v>1417</v>
      </c>
      <c r="F1612" t="s">
        <v>1418</v>
      </c>
      <c r="G1612" t="s">
        <v>106</v>
      </c>
      <c r="H1612" t="s">
        <v>30</v>
      </c>
      <c r="I1612" t="s">
        <v>30</v>
      </c>
      <c r="J1612" t="s">
        <v>41</v>
      </c>
      <c r="K1612" t="s">
        <v>32</v>
      </c>
      <c r="L1612" t="s">
        <v>32</v>
      </c>
      <c r="M1612" t="s">
        <v>33</v>
      </c>
      <c r="N1612" t="s">
        <v>33</v>
      </c>
      <c r="O1612" t="s">
        <v>33</v>
      </c>
      <c r="P1612" t="s">
        <v>34</v>
      </c>
      <c r="Q1612" t="s">
        <v>35</v>
      </c>
      <c r="R1612" t="s">
        <v>36</v>
      </c>
      <c r="S1612" t="s">
        <v>30</v>
      </c>
      <c r="T1612" t="s">
        <v>1447</v>
      </c>
      <c r="U1612" t="s">
        <v>1448</v>
      </c>
      <c r="V1612" t="s">
        <v>39</v>
      </c>
      <c r="W1612" s="1">
        <v>2</v>
      </c>
    </row>
    <row r="1613" spans="1:23" x14ac:dyDescent="0.2">
      <c r="A1613" t="s">
        <v>23</v>
      </c>
      <c r="B1613" t="s">
        <v>1108</v>
      </c>
      <c r="C1613" t="s">
        <v>1109</v>
      </c>
      <c r="D1613" t="s">
        <v>1397</v>
      </c>
      <c r="E1613" t="s">
        <v>1417</v>
      </c>
      <c r="F1613" t="s">
        <v>1418</v>
      </c>
      <c r="G1613" t="s">
        <v>106</v>
      </c>
      <c r="H1613" t="s">
        <v>30</v>
      </c>
      <c r="I1613" t="s">
        <v>30</v>
      </c>
      <c r="J1613" t="s">
        <v>41</v>
      </c>
      <c r="K1613" t="s">
        <v>32</v>
      </c>
      <c r="L1613" t="s">
        <v>32</v>
      </c>
      <c r="M1613" t="s">
        <v>33</v>
      </c>
      <c r="N1613" t="s">
        <v>33</v>
      </c>
      <c r="O1613" t="s">
        <v>33</v>
      </c>
      <c r="P1613" t="s">
        <v>34</v>
      </c>
      <c r="Q1613" t="s">
        <v>35</v>
      </c>
      <c r="R1613" t="s">
        <v>36</v>
      </c>
      <c r="S1613" t="s">
        <v>30</v>
      </c>
      <c r="T1613" t="s">
        <v>1447</v>
      </c>
      <c r="U1613" t="s">
        <v>1448</v>
      </c>
      <c r="V1613" t="s">
        <v>40</v>
      </c>
      <c r="W1613" s="1">
        <v>2340400</v>
      </c>
    </row>
    <row r="1614" spans="1:23" x14ac:dyDescent="0.2">
      <c r="A1614" t="s">
        <v>23</v>
      </c>
      <c r="B1614" t="s">
        <v>1108</v>
      </c>
      <c r="C1614" t="s">
        <v>1109</v>
      </c>
      <c r="D1614" t="s">
        <v>1397</v>
      </c>
      <c r="E1614" t="s">
        <v>1417</v>
      </c>
      <c r="F1614" t="s">
        <v>1418</v>
      </c>
      <c r="G1614" t="s">
        <v>106</v>
      </c>
      <c r="H1614" t="s">
        <v>30</v>
      </c>
      <c r="I1614" t="s">
        <v>30</v>
      </c>
      <c r="J1614" t="s">
        <v>41</v>
      </c>
      <c r="K1614" t="s">
        <v>32</v>
      </c>
      <c r="L1614" t="s">
        <v>32</v>
      </c>
      <c r="M1614" t="s">
        <v>33</v>
      </c>
      <c r="N1614" t="s">
        <v>176</v>
      </c>
      <c r="O1614" t="s">
        <v>176</v>
      </c>
      <c r="P1614" t="s">
        <v>34</v>
      </c>
      <c r="Q1614" t="s">
        <v>35</v>
      </c>
      <c r="R1614" t="s">
        <v>36</v>
      </c>
      <c r="S1614" t="s">
        <v>30</v>
      </c>
      <c r="T1614" t="s">
        <v>1447</v>
      </c>
      <c r="U1614" t="s">
        <v>1448</v>
      </c>
      <c r="V1614" t="s">
        <v>39</v>
      </c>
      <c r="W1614" s="1">
        <v>1</v>
      </c>
    </row>
    <row r="1615" spans="1:23" x14ac:dyDescent="0.2">
      <c r="A1615" t="s">
        <v>23</v>
      </c>
      <c r="B1615" t="s">
        <v>1108</v>
      </c>
      <c r="C1615" t="s">
        <v>1109</v>
      </c>
      <c r="D1615" t="s">
        <v>1397</v>
      </c>
      <c r="E1615" t="s">
        <v>1417</v>
      </c>
      <c r="F1615" t="s">
        <v>1418</v>
      </c>
      <c r="G1615" t="s">
        <v>106</v>
      </c>
      <c r="H1615" t="s">
        <v>30</v>
      </c>
      <c r="I1615" t="s">
        <v>30</v>
      </c>
      <c r="J1615" t="s">
        <v>41</v>
      </c>
      <c r="K1615" t="s">
        <v>32</v>
      </c>
      <c r="L1615" t="s">
        <v>32</v>
      </c>
      <c r="M1615" t="s">
        <v>33</v>
      </c>
      <c r="N1615" t="s">
        <v>176</v>
      </c>
      <c r="O1615" t="s">
        <v>176</v>
      </c>
      <c r="P1615" t="s">
        <v>34</v>
      </c>
      <c r="Q1615" t="s">
        <v>35</v>
      </c>
      <c r="R1615" t="s">
        <v>36</v>
      </c>
      <c r="S1615" t="s">
        <v>30</v>
      </c>
      <c r="T1615" t="s">
        <v>1447</v>
      </c>
      <c r="U1615" t="s">
        <v>1448</v>
      </c>
      <c r="V1615" t="s">
        <v>40</v>
      </c>
      <c r="W1615" s="1">
        <v>1170200</v>
      </c>
    </row>
    <row r="1616" spans="1:23" x14ac:dyDescent="0.2">
      <c r="A1616" t="s">
        <v>23</v>
      </c>
      <c r="B1616" t="s">
        <v>1108</v>
      </c>
      <c r="C1616" t="s">
        <v>1109</v>
      </c>
      <c r="D1616" t="s">
        <v>1397</v>
      </c>
      <c r="E1616" t="s">
        <v>1417</v>
      </c>
      <c r="F1616" t="s">
        <v>1418</v>
      </c>
      <c r="G1616" t="s">
        <v>106</v>
      </c>
      <c r="H1616" t="s">
        <v>30</v>
      </c>
      <c r="I1616" t="s">
        <v>30</v>
      </c>
      <c r="J1616" t="s">
        <v>41</v>
      </c>
      <c r="K1616" t="s">
        <v>32</v>
      </c>
      <c r="L1616" t="s">
        <v>32</v>
      </c>
      <c r="M1616" t="s">
        <v>33</v>
      </c>
      <c r="P1616" t="s">
        <v>34</v>
      </c>
      <c r="Q1616" t="s">
        <v>35</v>
      </c>
      <c r="R1616" t="s">
        <v>294</v>
      </c>
      <c r="S1616" t="s">
        <v>30</v>
      </c>
      <c r="T1616" t="s">
        <v>1449</v>
      </c>
      <c r="U1616" t="s">
        <v>1450</v>
      </c>
      <c r="V1616" t="s">
        <v>39</v>
      </c>
      <c r="W1616" s="1">
        <v>2</v>
      </c>
    </row>
    <row r="1617" spans="1:23" x14ac:dyDescent="0.2">
      <c r="A1617" t="s">
        <v>23</v>
      </c>
      <c r="B1617" t="s">
        <v>1108</v>
      </c>
      <c r="C1617" t="s">
        <v>1109</v>
      </c>
      <c r="D1617" t="s">
        <v>1397</v>
      </c>
      <c r="E1617" t="s">
        <v>1417</v>
      </c>
      <c r="F1617" t="s">
        <v>1418</v>
      </c>
      <c r="G1617" t="s">
        <v>106</v>
      </c>
      <c r="H1617" t="s">
        <v>30</v>
      </c>
      <c r="I1617" t="s">
        <v>30</v>
      </c>
      <c r="J1617" t="s">
        <v>41</v>
      </c>
      <c r="K1617" t="s">
        <v>32</v>
      </c>
      <c r="L1617" t="s">
        <v>32</v>
      </c>
      <c r="M1617" t="s">
        <v>33</v>
      </c>
      <c r="P1617" t="s">
        <v>34</v>
      </c>
      <c r="Q1617" t="s">
        <v>35</v>
      </c>
      <c r="R1617" t="s">
        <v>294</v>
      </c>
      <c r="S1617" t="s">
        <v>30</v>
      </c>
      <c r="T1617" t="s">
        <v>1449</v>
      </c>
      <c r="U1617" t="s">
        <v>1450</v>
      </c>
      <c r="V1617" t="s">
        <v>40</v>
      </c>
      <c r="W1617" s="1">
        <v>2138000</v>
      </c>
    </row>
    <row r="1618" spans="1:23" x14ac:dyDescent="0.2">
      <c r="A1618" t="s">
        <v>23</v>
      </c>
      <c r="B1618" t="s">
        <v>1108</v>
      </c>
      <c r="C1618" t="s">
        <v>1109</v>
      </c>
      <c r="D1618" t="s">
        <v>1397</v>
      </c>
      <c r="E1618" t="s">
        <v>1417</v>
      </c>
      <c r="F1618" t="s">
        <v>1418</v>
      </c>
      <c r="G1618" t="s">
        <v>127</v>
      </c>
      <c r="H1618" t="s">
        <v>52</v>
      </c>
      <c r="I1618" t="s">
        <v>30</v>
      </c>
      <c r="J1618" t="s">
        <v>57</v>
      </c>
      <c r="K1618" t="s">
        <v>32</v>
      </c>
      <c r="L1618" t="s">
        <v>32</v>
      </c>
      <c r="M1618" t="s">
        <v>33</v>
      </c>
      <c r="N1618" t="s">
        <v>33</v>
      </c>
      <c r="O1618" t="s">
        <v>33</v>
      </c>
      <c r="P1618" t="s">
        <v>34</v>
      </c>
      <c r="Q1618" t="s">
        <v>35</v>
      </c>
      <c r="R1618" t="s">
        <v>294</v>
      </c>
      <c r="S1618" t="s">
        <v>30</v>
      </c>
      <c r="T1618" t="s">
        <v>1451</v>
      </c>
      <c r="U1618" t="s">
        <v>1452</v>
      </c>
      <c r="V1618" t="s">
        <v>39</v>
      </c>
      <c r="W1618" s="1">
        <v>2</v>
      </c>
    </row>
    <row r="1619" spans="1:23" x14ac:dyDescent="0.2">
      <c r="A1619" t="s">
        <v>23</v>
      </c>
      <c r="B1619" t="s">
        <v>1108</v>
      </c>
      <c r="C1619" t="s">
        <v>1109</v>
      </c>
      <c r="D1619" t="s">
        <v>1397</v>
      </c>
      <c r="E1619" t="s">
        <v>1417</v>
      </c>
      <c r="F1619" t="s">
        <v>1418</v>
      </c>
      <c r="G1619" t="s">
        <v>127</v>
      </c>
      <c r="H1619" t="s">
        <v>52</v>
      </c>
      <c r="I1619" t="s">
        <v>30</v>
      </c>
      <c r="J1619" t="s">
        <v>57</v>
      </c>
      <c r="K1619" t="s">
        <v>32</v>
      </c>
      <c r="L1619" t="s">
        <v>32</v>
      </c>
      <c r="M1619" t="s">
        <v>33</v>
      </c>
      <c r="N1619" t="s">
        <v>33</v>
      </c>
      <c r="O1619" t="s">
        <v>33</v>
      </c>
      <c r="P1619" t="s">
        <v>34</v>
      </c>
      <c r="Q1619" t="s">
        <v>35</v>
      </c>
      <c r="R1619" t="s">
        <v>294</v>
      </c>
      <c r="S1619" t="s">
        <v>30</v>
      </c>
      <c r="T1619" t="s">
        <v>1451</v>
      </c>
      <c r="U1619" t="s">
        <v>1452</v>
      </c>
      <c r="V1619" t="s">
        <v>40</v>
      </c>
      <c r="W1619" s="1">
        <v>2944000</v>
      </c>
    </row>
    <row r="1620" spans="1:23" x14ac:dyDescent="0.2">
      <c r="A1620" t="s">
        <v>23</v>
      </c>
      <c r="B1620" t="s">
        <v>1108</v>
      </c>
      <c r="C1620" t="s">
        <v>1109</v>
      </c>
      <c r="D1620" t="s">
        <v>1397</v>
      </c>
      <c r="E1620" t="s">
        <v>1417</v>
      </c>
      <c r="F1620" t="s">
        <v>1418</v>
      </c>
      <c r="G1620" t="s">
        <v>127</v>
      </c>
      <c r="H1620" t="s">
        <v>52</v>
      </c>
      <c r="I1620" t="s">
        <v>30</v>
      </c>
      <c r="J1620" t="s">
        <v>57</v>
      </c>
      <c r="K1620" t="s">
        <v>32</v>
      </c>
      <c r="L1620" t="s">
        <v>32</v>
      </c>
      <c r="M1620" t="s">
        <v>33</v>
      </c>
      <c r="N1620" t="s">
        <v>176</v>
      </c>
      <c r="O1620" t="s">
        <v>176</v>
      </c>
      <c r="P1620" t="s">
        <v>34</v>
      </c>
      <c r="Q1620" t="s">
        <v>35</v>
      </c>
      <c r="R1620" t="s">
        <v>294</v>
      </c>
      <c r="S1620" t="s">
        <v>30</v>
      </c>
      <c r="T1620" t="s">
        <v>1451</v>
      </c>
      <c r="U1620" t="s">
        <v>1452</v>
      </c>
      <c r="V1620" t="s">
        <v>39</v>
      </c>
      <c r="W1620" s="1">
        <v>1</v>
      </c>
    </row>
    <row r="1621" spans="1:23" x14ac:dyDescent="0.2">
      <c r="A1621" t="s">
        <v>23</v>
      </c>
      <c r="B1621" t="s">
        <v>1108</v>
      </c>
      <c r="C1621" t="s">
        <v>1109</v>
      </c>
      <c r="D1621" t="s">
        <v>1397</v>
      </c>
      <c r="E1621" t="s">
        <v>1417</v>
      </c>
      <c r="F1621" t="s">
        <v>1418</v>
      </c>
      <c r="G1621" t="s">
        <v>127</v>
      </c>
      <c r="H1621" t="s">
        <v>52</v>
      </c>
      <c r="I1621" t="s">
        <v>30</v>
      </c>
      <c r="J1621" t="s">
        <v>57</v>
      </c>
      <c r="K1621" t="s">
        <v>32</v>
      </c>
      <c r="L1621" t="s">
        <v>32</v>
      </c>
      <c r="M1621" t="s">
        <v>33</v>
      </c>
      <c r="N1621" t="s">
        <v>176</v>
      </c>
      <c r="O1621" t="s">
        <v>176</v>
      </c>
      <c r="P1621" t="s">
        <v>34</v>
      </c>
      <c r="Q1621" t="s">
        <v>35</v>
      </c>
      <c r="R1621" t="s">
        <v>294</v>
      </c>
      <c r="S1621" t="s">
        <v>30</v>
      </c>
      <c r="T1621" t="s">
        <v>1451</v>
      </c>
      <c r="U1621" t="s">
        <v>1452</v>
      </c>
      <c r="V1621" t="s">
        <v>40</v>
      </c>
      <c r="W1621" s="1">
        <v>1472000</v>
      </c>
    </row>
    <row r="1622" spans="1:23" x14ac:dyDescent="0.2">
      <c r="A1622" t="s">
        <v>23</v>
      </c>
      <c r="B1622" t="s">
        <v>1108</v>
      </c>
      <c r="C1622" t="s">
        <v>1109</v>
      </c>
      <c r="D1622" t="s">
        <v>1397</v>
      </c>
      <c r="E1622" t="s">
        <v>1417</v>
      </c>
      <c r="F1622" t="s">
        <v>1418</v>
      </c>
      <c r="G1622" t="s">
        <v>127</v>
      </c>
      <c r="H1622" t="s">
        <v>52</v>
      </c>
      <c r="I1622" t="s">
        <v>30</v>
      </c>
      <c r="J1622" t="s">
        <v>57</v>
      </c>
      <c r="K1622" t="s">
        <v>32</v>
      </c>
      <c r="L1622" t="s">
        <v>32</v>
      </c>
      <c r="M1622" t="s">
        <v>176</v>
      </c>
      <c r="N1622" t="s">
        <v>176</v>
      </c>
      <c r="O1622" t="s">
        <v>176</v>
      </c>
      <c r="P1622" t="s">
        <v>34</v>
      </c>
      <c r="Q1622" t="s">
        <v>35</v>
      </c>
      <c r="R1622" t="s">
        <v>294</v>
      </c>
      <c r="S1622" t="s">
        <v>30</v>
      </c>
      <c r="T1622" t="s">
        <v>1451</v>
      </c>
      <c r="U1622" t="s">
        <v>1452</v>
      </c>
      <c r="V1622" t="s">
        <v>39</v>
      </c>
      <c r="W1622" s="1">
        <v>2</v>
      </c>
    </row>
    <row r="1623" spans="1:23" x14ac:dyDescent="0.2">
      <c r="A1623" t="s">
        <v>23</v>
      </c>
      <c r="B1623" t="s">
        <v>1108</v>
      </c>
      <c r="C1623" t="s">
        <v>1109</v>
      </c>
      <c r="D1623" t="s">
        <v>1397</v>
      </c>
      <c r="E1623" t="s">
        <v>1417</v>
      </c>
      <c r="F1623" t="s">
        <v>1418</v>
      </c>
      <c r="G1623" t="s">
        <v>127</v>
      </c>
      <c r="H1623" t="s">
        <v>52</v>
      </c>
      <c r="I1623" t="s">
        <v>30</v>
      </c>
      <c r="J1623" t="s">
        <v>57</v>
      </c>
      <c r="K1623" t="s">
        <v>32</v>
      </c>
      <c r="L1623" t="s">
        <v>32</v>
      </c>
      <c r="M1623" t="s">
        <v>176</v>
      </c>
      <c r="N1623" t="s">
        <v>176</v>
      </c>
      <c r="O1623" t="s">
        <v>176</v>
      </c>
      <c r="P1623" t="s">
        <v>34</v>
      </c>
      <c r="Q1623" t="s">
        <v>35</v>
      </c>
      <c r="R1623" t="s">
        <v>294</v>
      </c>
      <c r="S1623" t="s">
        <v>30</v>
      </c>
      <c r="T1623" t="s">
        <v>1451</v>
      </c>
      <c r="U1623" t="s">
        <v>1452</v>
      </c>
      <c r="V1623" t="s">
        <v>40</v>
      </c>
      <c r="W1623" s="1">
        <v>2534000</v>
      </c>
    </row>
    <row r="1624" spans="1:23" x14ac:dyDescent="0.2">
      <c r="A1624" t="s">
        <v>23</v>
      </c>
      <c r="B1624" t="s">
        <v>1108</v>
      </c>
      <c r="C1624" t="s">
        <v>1109</v>
      </c>
      <c r="D1624" t="s">
        <v>1397</v>
      </c>
      <c r="E1624" t="s">
        <v>1417</v>
      </c>
      <c r="F1624" t="s">
        <v>1418</v>
      </c>
      <c r="G1624" t="s">
        <v>139</v>
      </c>
      <c r="H1624" t="s">
        <v>30</v>
      </c>
      <c r="I1624" t="s">
        <v>30</v>
      </c>
      <c r="J1624" t="s">
        <v>41</v>
      </c>
      <c r="K1624" t="s">
        <v>32</v>
      </c>
      <c r="L1624" t="s">
        <v>32</v>
      </c>
      <c r="M1624" t="s">
        <v>33</v>
      </c>
      <c r="N1624" t="s">
        <v>33</v>
      </c>
      <c r="O1624" t="s">
        <v>33</v>
      </c>
      <c r="P1624" t="s">
        <v>34</v>
      </c>
      <c r="Q1624" t="s">
        <v>35</v>
      </c>
      <c r="R1624" t="s">
        <v>58</v>
      </c>
      <c r="S1624" t="s">
        <v>30</v>
      </c>
      <c r="T1624" t="s">
        <v>569</v>
      </c>
      <c r="U1624" t="s">
        <v>1453</v>
      </c>
      <c r="V1624" t="s">
        <v>39</v>
      </c>
      <c r="W1624" s="1">
        <v>2</v>
      </c>
    </row>
    <row r="1625" spans="1:23" x14ac:dyDescent="0.2">
      <c r="A1625" t="s">
        <v>23</v>
      </c>
      <c r="B1625" t="s">
        <v>1108</v>
      </c>
      <c r="C1625" t="s">
        <v>1109</v>
      </c>
      <c r="D1625" t="s">
        <v>1397</v>
      </c>
      <c r="E1625" t="s">
        <v>1417</v>
      </c>
      <c r="F1625" t="s">
        <v>1418</v>
      </c>
      <c r="G1625" t="s">
        <v>139</v>
      </c>
      <c r="H1625" t="s">
        <v>30</v>
      </c>
      <c r="I1625" t="s">
        <v>30</v>
      </c>
      <c r="J1625" t="s">
        <v>41</v>
      </c>
      <c r="K1625" t="s">
        <v>32</v>
      </c>
      <c r="L1625" t="s">
        <v>32</v>
      </c>
      <c r="M1625" t="s">
        <v>33</v>
      </c>
      <c r="N1625" t="s">
        <v>33</v>
      </c>
      <c r="O1625" t="s">
        <v>33</v>
      </c>
      <c r="P1625" t="s">
        <v>34</v>
      </c>
      <c r="Q1625" t="s">
        <v>35</v>
      </c>
      <c r="R1625" t="s">
        <v>58</v>
      </c>
      <c r="S1625" t="s">
        <v>30</v>
      </c>
      <c r="T1625" t="s">
        <v>569</v>
      </c>
      <c r="U1625" t="s">
        <v>1453</v>
      </c>
      <c r="V1625" t="s">
        <v>40</v>
      </c>
      <c r="W1625" s="1">
        <v>2299800</v>
      </c>
    </row>
    <row r="1626" spans="1:23" x14ac:dyDescent="0.2">
      <c r="A1626" t="s">
        <v>23</v>
      </c>
      <c r="B1626" t="s">
        <v>1108</v>
      </c>
      <c r="C1626" t="s">
        <v>1109</v>
      </c>
      <c r="D1626" t="s">
        <v>1397</v>
      </c>
      <c r="E1626" t="s">
        <v>1454</v>
      </c>
      <c r="F1626" t="s">
        <v>1455</v>
      </c>
      <c r="G1626" t="s">
        <v>61</v>
      </c>
      <c r="H1626" t="s">
        <v>52</v>
      </c>
      <c r="I1626" t="s">
        <v>52</v>
      </c>
      <c r="J1626" t="s">
        <v>31</v>
      </c>
      <c r="K1626" t="s">
        <v>32</v>
      </c>
      <c r="L1626" t="s">
        <v>32</v>
      </c>
      <c r="M1626" t="s">
        <v>33</v>
      </c>
      <c r="N1626" t="s">
        <v>33</v>
      </c>
      <c r="O1626" t="s">
        <v>33</v>
      </c>
      <c r="P1626" t="s">
        <v>34</v>
      </c>
      <c r="Q1626" t="s">
        <v>35</v>
      </c>
      <c r="S1626" t="s">
        <v>30</v>
      </c>
      <c r="T1626" t="s">
        <v>1456</v>
      </c>
      <c r="U1626" t="s">
        <v>1457</v>
      </c>
      <c r="V1626" t="s">
        <v>39</v>
      </c>
      <c r="W1626" s="1">
        <v>2</v>
      </c>
    </row>
    <row r="1627" spans="1:23" x14ac:dyDescent="0.2">
      <c r="A1627" t="s">
        <v>23</v>
      </c>
      <c r="B1627" t="s">
        <v>1108</v>
      </c>
      <c r="C1627" t="s">
        <v>1109</v>
      </c>
      <c r="D1627" t="s">
        <v>1397</v>
      </c>
      <c r="E1627" t="s">
        <v>1454</v>
      </c>
      <c r="F1627" t="s">
        <v>1455</v>
      </c>
      <c r="G1627" t="s">
        <v>61</v>
      </c>
      <c r="H1627" t="s">
        <v>52</v>
      </c>
      <c r="I1627" t="s">
        <v>52</v>
      </c>
      <c r="J1627" t="s">
        <v>31</v>
      </c>
      <c r="K1627" t="s">
        <v>32</v>
      </c>
      <c r="L1627" t="s">
        <v>32</v>
      </c>
      <c r="M1627" t="s">
        <v>33</v>
      </c>
      <c r="N1627" t="s">
        <v>33</v>
      </c>
      <c r="O1627" t="s">
        <v>33</v>
      </c>
      <c r="P1627" t="s">
        <v>34</v>
      </c>
      <c r="Q1627" t="s">
        <v>35</v>
      </c>
      <c r="S1627" t="s">
        <v>30</v>
      </c>
      <c r="T1627" t="s">
        <v>1456</v>
      </c>
      <c r="U1627" t="s">
        <v>1457</v>
      </c>
      <c r="V1627" t="s">
        <v>40</v>
      </c>
      <c r="W1627" s="1">
        <v>334000</v>
      </c>
    </row>
    <row r="1628" spans="1:23" x14ac:dyDescent="0.2">
      <c r="A1628" t="s">
        <v>23</v>
      </c>
      <c r="B1628" t="s">
        <v>1108</v>
      </c>
      <c r="C1628" t="s">
        <v>1109</v>
      </c>
      <c r="D1628" t="s">
        <v>1397</v>
      </c>
      <c r="E1628" t="s">
        <v>1454</v>
      </c>
      <c r="F1628" t="s">
        <v>1455</v>
      </c>
      <c r="G1628" t="s">
        <v>61</v>
      </c>
      <c r="H1628" t="s">
        <v>52</v>
      </c>
      <c r="I1628" t="s">
        <v>52</v>
      </c>
      <c r="J1628" t="s">
        <v>41</v>
      </c>
      <c r="K1628" t="s">
        <v>32</v>
      </c>
      <c r="L1628" t="s">
        <v>32</v>
      </c>
      <c r="M1628" t="s">
        <v>33</v>
      </c>
      <c r="N1628" t="s">
        <v>33</v>
      </c>
      <c r="O1628" t="s">
        <v>33</v>
      </c>
      <c r="P1628" t="s">
        <v>34</v>
      </c>
      <c r="Q1628" t="s">
        <v>35</v>
      </c>
      <c r="R1628" t="s">
        <v>162</v>
      </c>
      <c r="S1628" t="s">
        <v>30</v>
      </c>
      <c r="T1628" t="s">
        <v>1458</v>
      </c>
      <c r="U1628" t="s">
        <v>1459</v>
      </c>
      <c r="V1628" t="s">
        <v>39</v>
      </c>
      <c r="W1628" s="1">
        <v>3</v>
      </c>
    </row>
    <row r="1629" spans="1:23" x14ac:dyDescent="0.2">
      <c r="A1629" t="s">
        <v>23</v>
      </c>
      <c r="B1629" t="s">
        <v>1108</v>
      </c>
      <c r="C1629" t="s">
        <v>1109</v>
      </c>
      <c r="D1629" t="s">
        <v>1397</v>
      </c>
      <c r="E1629" t="s">
        <v>1454</v>
      </c>
      <c r="F1629" t="s">
        <v>1455</v>
      </c>
      <c r="G1629" t="s">
        <v>61</v>
      </c>
      <c r="H1629" t="s">
        <v>52</v>
      </c>
      <c r="I1629" t="s">
        <v>52</v>
      </c>
      <c r="J1629" t="s">
        <v>41</v>
      </c>
      <c r="K1629" t="s">
        <v>32</v>
      </c>
      <c r="L1629" t="s">
        <v>32</v>
      </c>
      <c r="M1629" t="s">
        <v>33</v>
      </c>
      <c r="N1629" t="s">
        <v>33</v>
      </c>
      <c r="O1629" t="s">
        <v>33</v>
      </c>
      <c r="P1629" t="s">
        <v>34</v>
      </c>
      <c r="Q1629" t="s">
        <v>35</v>
      </c>
      <c r="R1629" t="s">
        <v>162</v>
      </c>
      <c r="S1629" t="s">
        <v>30</v>
      </c>
      <c r="T1629" t="s">
        <v>1458</v>
      </c>
      <c r="U1629" t="s">
        <v>1459</v>
      </c>
      <c r="V1629" t="s">
        <v>40</v>
      </c>
      <c r="W1629" s="1">
        <v>12165000</v>
      </c>
    </row>
    <row r="1630" spans="1:23" x14ac:dyDescent="0.2">
      <c r="A1630" t="s">
        <v>23</v>
      </c>
      <c r="B1630" t="s">
        <v>1108</v>
      </c>
      <c r="C1630" t="s">
        <v>1109</v>
      </c>
      <c r="D1630" t="s">
        <v>1397</v>
      </c>
      <c r="E1630" t="s">
        <v>1454</v>
      </c>
      <c r="F1630" t="s">
        <v>1455</v>
      </c>
      <c r="G1630" t="s">
        <v>64</v>
      </c>
      <c r="H1630" t="s">
        <v>30</v>
      </c>
      <c r="I1630" t="s">
        <v>52</v>
      </c>
      <c r="J1630" t="s">
        <v>31</v>
      </c>
      <c r="K1630" t="s">
        <v>32</v>
      </c>
      <c r="L1630" t="s">
        <v>32</v>
      </c>
      <c r="M1630" t="s">
        <v>33</v>
      </c>
      <c r="N1630" t="s">
        <v>33</v>
      </c>
      <c r="O1630" t="s">
        <v>33</v>
      </c>
      <c r="P1630" t="s">
        <v>34</v>
      </c>
      <c r="Q1630" t="s">
        <v>35</v>
      </c>
      <c r="S1630" t="s">
        <v>30</v>
      </c>
      <c r="T1630" t="s">
        <v>1460</v>
      </c>
      <c r="U1630" t="s">
        <v>1461</v>
      </c>
      <c r="V1630" t="s">
        <v>39</v>
      </c>
      <c r="W1630" s="1">
        <v>1</v>
      </c>
    </row>
    <row r="1631" spans="1:23" x14ac:dyDescent="0.2">
      <c r="A1631" t="s">
        <v>23</v>
      </c>
      <c r="B1631" t="s">
        <v>1108</v>
      </c>
      <c r="C1631" t="s">
        <v>1109</v>
      </c>
      <c r="D1631" t="s">
        <v>1397</v>
      </c>
      <c r="E1631" t="s">
        <v>1454</v>
      </c>
      <c r="F1631" t="s">
        <v>1455</v>
      </c>
      <c r="G1631" t="s">
        <v>64</v>
      </c>
      <c r="H1631" t="s">
        <v>30</v>
      </c>
      <c r="I1631" t="s">
        <v>52</v>
      </c>
      <c r="J1631" t="s">
        <v>31</v>
      </c>
      <c r="K1631" t="s">
        <v>32</v>
      </c>
      <c r="L1631" t="s">
        <v>32</v>
      </c>
      <c r="M1631" t="s">
        <v>33</v>
      </c>
      <c r="N1631" t="s">
        <v>33</v>
      </c>
      <c r="O1631" t="s">
        <v>33</v>
      </c>
      <c r="P1631" t="s">
        <v>34</v>
      </c>
      <c r="Q1631" t="s">
        <v>35</v>
      </c>
      <c r="S1631" t="s">
        <v>30</v>
      </c>
      <c r="T1631" t="s">
        <v>1460</v>
      </c>
      <c r="U1631" t="s">
        <v>1461</v>
      </c>
      <c r="V1631" t="s">
        <v>40</v>
      </c>
      <c r="W1631" s="1">
        <v>917400</v>
      </c>
    </row>
    <row r="1632" spans="1:23" x14ac:dyDescent="0.2">
      <c r="A1632" t="s">
        <v>23</v>
      </c>
      <c r="B1632" t="s">
        <v>1108</v>
      </c>
      <c r="C1632" t="s">
        <v>1109</v>
      </c>
      <c r="D1632" t="s">
        <v>1397</v>
      </c>
      <c r="E1632" t="s">
        <v>1454</v>
      </c>
      <c r="F1632" t="s">
        <v>1455</v>
      </c>
      <c r="G1632" t="s">
        <v>64</v>
      </c>
      <c r="H1632" t="s">
        <v>30</v>
      </c>
      <c r="I1632" t="s">
        <v>52</v>
      </c>
      <c r="J1632" t="s">
        <v>41</v>
      </c>
      <c r="K1632" t="s">
        <v>32</v>
      </c>
      <c r="L1632" t="s">
        <v>32</v>
      </c>
      <c r="M1632" t="s">
        <v>33</v>
      </c>
      <c r="N1632" t="s">
        <v>33</v>
      </c>
      <c r="O1632" t="s">
        <v>33</v>
      </c>
      <c r="P1632" t="s">
        <v>34</v>
      </c>
      <c r="Q1632" t="s">
        <v>35</v>
      </c>
      <c r="R1632" t="s">
        <v>162</v>
      </c>
      <c r="S1632" t="s">
        <v>30</v>
      </c>
      <c r="T1632" t="s">
        <v>1462</v>
      </c>
      <c r="U1632" t="s">
        <v>1463</v>
      </c>
      <c r="V1632" t="s">
        <v>39</v>
      </c>
      <c r="W1632" s="1">
        <v>2</v>
      </c>
    </row>
    <row r="1633" spans="1:23" x14ac:dyDescent="0.2">
      <c r="A1633" t="s">
        <v>23</v>
      </c>
      <c r="B1633" t="s">
        <v>1108</v>
      </c>
      <c r="C1633" t="s">
        <v>1109</v>
      </c>
      <c r="D1633" t="s">
        <v>1397</v>
      </c>
      <c r="E1633" t="s">
        <v>1454</v>
      </c>
      <c r="F1633" t="s">
        <v>1455</v>
      </c>
      <c r="G1633" t="s">
        <v>64</v>
      </c>
      <c r="H1633" t="s">
        <v>30</v>
      </c>
      <c r="I1633" t="s">
        <v>52</v>
      </c>
      <c r="J1633" t="s">
        <v>41</v>
      </c>
      <c r="K1633" t="s">
        <v>32</v>
      </c>
      <c r="L1633" t="s">
        <v>32</v>
      </c>
      <c r="M1633" t="s">
        <v>33</v>
      </c>
      <c r="N1633" t="s">
        <v>33</v>
      </c>
      <c r="O1633" t="s">
        <v>33</v>
      </c>
      <c r="P1633" t="s">
        <v>34</v>
      </c>
      <c r="Q1633" t="s">
        <v>35</v>
      </c>
      <c r="R1633" t="s">
        <v>162</v>
      </c>
      <c r="S1633" t="s">
        <v>30</v>
      </c>
      <c r="T1633" t="s">
        <v>1462</v>
      </c>
      <c r="U1633" t="s">
        <v>1463</v>
      </c>
      <c r="V1633" t="s">
        <v>40</v>
      </c>
      <c r="W1633" s="1">
        <v>4998000</v>
      </c>
    </row>
    <row r="1634" spans="1:23" x14ac:dyDescent="0.2">
      <c r="A1634" t="s">
        <v>23</v>
      </c>
      <c r="B1634" t="s">
        <v>1108</v>
      </c>
      <c r="C1634" t="s">
        <v>1109</v>
      </c>
      <c r="D1634" t="s">
        <v>1397</v>
      </c>
      <c r="E1634" t="s">
        <v>1454</v>
      </c>
      <c r="F1634" t="s">
        <v>1455</v>
      </c>
      <c r="G1634" t="s">
        <v>106</v>
      </c>
      <c r="H1634" t="s">
        <v>30</v>
      </c>
      <c r="I1634" t="s">
        <v>30</v>
      </c>
      <c r="J1634" t="s">
        <v>31</v>
      </c>
      <c r="K1634" t="s">
        <v>32</v>
      </c>
      <c r="L1634" t="s">
        <v>32</v>
      </c>
      <c r="M1634" t="s">
        <v>33</v>
      </c>
      <c r="P1634" t="s">
        <v>34</v>
      </c>
      <c r="Q1634" t="s">
        <v>35</v>
      </c>
      <c r="S1634" t="s">
        <v>52</v>
      </c>
      <c r="T1634" t="s">
        <v>1464</v>
      </c>
      <c r="U1634" t="s">
        <v>1465</v>
      </c>
      <c r="V1634" t="s">
        <v>39</v>
      </c>
      <c r="W1634" s="1">
        <v>0</v>
      </c>
    </row>
    <row r="1635" spans="1:23" x14ac:dyDescent="0.2">
      <c r="A1635" t="s">
        <v>23</v>
      </c>
      <c r="B1635" t="s">
        <v>1108</v>
      </c>
      <c r="C1635" t="s">
        <v>1109</v>
      </c>
      <c r="D1635" t="s">
        <v>1397</v>
      </c>
      <c r="E1635" t="s">
        <v>1454</v>
      </c>
      <c r="F1635" t="s">
        <v>1455</v>
      </c>
      <c r="G1635" t="s">
        <v>106</v>
      </c>
      <c r="H1635" t="s">
        <v>30</v>
      </c>
      <c r="I1635" t="s">
        <v>30</v>
      </c>
      <c r="J1635" t="s">
        <v>31</v>
      </c>
      <c r="K1635" t="s">
        <v>32</v>
      </c>
      <c r="L1635" t="s">
        <v>32</v>
      </c>
      <c r="M1635" t="s">
        <v>33</v>
      </c>
      <c r="P1635" t="s">
        <v>34</v>
      </c>
      <c r="Q1635" t="s">
        <v>35</v>
      </c>
      <c r="S1635" t="s">
        <v>52</v>
      </c>
      <c r="T1635" t="s">
        <v>1464</v>
      </c>
      <c r="U1635" t="s">
        <v>1465</v>
      </c>
      <c r="V1635" t="s">
        <v>40</v>
      </c>
      <c r="W1635" s="1">
        <v>8210000</v>
      </c>
    </row>
    <row r="1636" spans="1:23" x14ac:dyDescent="0.2">
      <c r="A1636" t="s">
        <v>23</v>
      </c>
      <c r="B1636" t="s">
        <v>1108</v>
      </c>
      <c r="C1636" t="s">
        <v>1109</v>
      </c>
      <c r="D1636" t="s">
        <v>1397</v>
      </c>
      <c r="E1636" t="s">
        <v>1454</v>
      </c>
      <c r="F1636" t="s">
        <v>1455</v>
      </c>
      <c r="G1636" t="s">
        <v>127</v>
      </c>
      <c r="H1636" t="s">
        <v>52</v>
      </c>
      <c r="I1636" t="s">
        <v>30</v>
      </c>
      <c r="J1636" t="s">
        <v>107</v>
      </c>
      <c r="K1636" t="s">
        <v>32</v>
      </c>
      <c r="L1636" t="s">
        <v>32</v>
      </c>
      <c r="M1636" t="s">
        <v>33</v>
      </c>
      <c r="N1636" t="s">
        <v>33</v>
      </c>
      <c r="O1636" t="s">
        <v>33</v>
      </c>
      <c r="P1636" t="s">
        <v>34</v>
      </c>
      <c r="Q1636" t="s">
        <v>35</v>
      </c>
      <c r="R1636" t="s">
        <v>108</v>
      </c>
      <c r="S1636" t="s">
        <v>30</v>
      </c>
      <c r="T1636" t="s">
        <v>1466</v>
      </c>
      <c r="U1636" t="s">
        <v>1467</v>
      </c>
      <c r="V1636" t="s">
        <v>39</v>
      </c>
      <c r="W1636" s="1">
        <v>2</v>
      </c>
    </row>
    <row r="1637" spans="1:23" x14ac:dyDescent="0.2">
      <c r="A1637" t="s">
        <v>23</v>
      </c>
      <c r="B1637" t="s">
        <v>1108</v>
      </c>
      <c r="C1637" t="s">
        <v>1109</v>
      </c>
      <c r="D1637" t="s">
        <v>1397</v>
      </c>
      <c r="E1637" t="s">
        <v>1454</v>
      </c>
      <c r="F1637" t="s">
        <v>1455</v>
      </c>
      <c r="G1637" t="s">
        <v>127</v>
      </c>
      <c r="H1637" t="s">
        <v>52</v>
      </c>
      <c r="I1637" t="s">
        <v>30</v>
      </c>
      <c r="J1637" t="s">
        <v>107</v>
      </c>
      <c r="K1637" t="s">
        <v>32</v>
      </c>
      <c r="L1637" t="s">
        <v>32</v>
      </c>
      <c r="M1637" t="s">
        <v>33</v>
      </c>
      <c r="N1637" t="s">
        <v>33</v>
      </c>
      <c r="O1637" t="s">
        <v>33</v>
      </c>
      <c r="P1637" t="s">
        <v>34</v>
      </c>
      <c r="Q1637" t="s">
        <v>35</v>
      </c>
      <c r="R1637" t="s">
        <v>108</v>
      </c>
      <c r="S1637" t="s">
        <v>30</v>
      </c>
      <c r="T1637" t="s">
        <v>1466</v>
      </c>
      <c r="U1637" t="s">
        <v>1467</v>
      </c>
      <c r="V1637" t="s">
        <v>40</v>
      </c>
      <c r="W1637" s="1">
        <v>1560000</v>
      </c>
    </row>
    <row r="1638" spans="1:23" x14ac:dyDescent="0.2">
      <c r="A1638" t="s">
        <v>23</v>
      </c>
      <c r="B1638" t="s">
        <v>1108</v>
      </c>
      <c r="C1638" t="s">
        <v>1109</v>
      </c>
      <c r="D1638" t="s">
        <v>1397</v>
      </c>
      <c r="E1638" t="s">
        <v>1454</v>
      </c>
      <c r="F1638" t="s">
        <v>1455</v>
      </c>
      <c r="G1638" t="s">
        <v>127</v>
      </c>
      <c r="H1638" t="s">
        <v>52</v>
      </c>
      <c r="I1638" t="s">
        <v>30</v>
      </c>
      <c r="J1638" t="s">
        <v>31</v>
      </c>
      <c r="K1638" t="s">
        <v>32</v>
      </c>
      <c r="L1638" t="s">
        <v>32</v>
      </c>
      <c r="M1638" t="s">
        <v>33</v>
      </c>
      <c r="P1638" t="s">
        <v>34</v>
      </c>
      <c r="Q1638" t="s">
        <v>35</v>
      </c>
      <c r="R1638" t="s">
        <v>173</v>
      </c>
      <c r="S1638" t="s">
        <v>30</v>
      </c>
      <c r="T1638" t="s">
        <v>1468</v>
      </c>
      <c r="U1638" t="s">
        <v>1469</v>
      </c>
      <c r="V1638" t="s">
        <v>39</v>
      </c>
      <c r="W1638" s="1">
        <v>6</v>
      </c>
    </row>
    <row r="1639" spans="1:23" x14ac:dyDescent="0.2">
      <c r="A1639" t="s">
        <v>23</v>
      </c>
      <c r="B1639" t="s">
        <v>1108</v>
      </c>
      <c r="C1639" t="s">
        <v>1109</v>
      </c>
      <c r="D1639" t="s">
        <v>1397</v>
      </c>
      <c r="E1639" t="s">
        <v>1454</v>
      </c>
      <c r="F1639" t="s">
        <v>1455</v>
      </c>
      <c r="G1639" t="s">
        <v>127</v>
      </c>
      <c r="H1639" t="s">
        <v>52</v>
      </c>
      <c r="I1639" t="s">
        <v>30</v>
      </c>
      <c r="J1639" t="s">
        <v>31</v>
      </c>
      <c r="K1639" t="s">
        <v>32</v>
      </c>
      <c r="L1639" t="s">
        <v>32</v>
      </c>
      <c r="M1639" t="s">
        <v>33</v>
      </c>
      <c r="P1639" t="s">
        <v>34</v>
      </c>
      <c r="Q1639" t="s">
        <v>35</v>
      </c>
      <c r="R1639" t="s">
        <v>173</v>
      </c>
      <c r="S1639" t="s">
        <v>30</v>
      </c>
      <c r="T1639" t="s">
        <v>1468</v>
      </c>
      <c r="U1639" t="s">
        <v>1469</v>
      </c>
      <c r="V1639" t="s">
        <v>40</v>
      </c>
      <c r="W1639" s="1">
        <v>4706400</v>
      </c>
    </row>
    <row r="1640" spans="1:23" x14ac:dyDescent="0.2">
      <c r="A1640" t="s">
        <v>23</v>
      </c>
      <c r="B1640" t="s">
        <v>1108</v>
      </c>
      <c r="C1640" t="s">
        <v>1109</v>
      </c>
      <c r="D1640" t="s">
        <v>1397</v>
      </c>
      <c r="E1640" t="s">
        <v>1470</v>
      </c>
      <c r="F1640" t="s">
        <v>1471</v>
      </c>
      <c r="G1640" t="s">
        <v>61</v>
      </c>
      <c r="H1640" t="s">
        <v>52</v>
      </c>
      <c r="I1640" t="s">
        <v>52</v>
      </c>
      <c r="J1640" t="s">
        <v>128</v>
      </c>
      <c r="K1640" t="s">
        <v>32</v>
      </c>
      <c r="L1640" t="s">
        <v>32</v>
      </c>
      <c r="M1640" t="s">
        <v>33</v>
      </c>
      <c r="N1640" t="s">
        <v>33</v>
      </c>
      <c r="O1640" t="s">
        <v>33</v>
      </c>
      <c r="P1640" t="s">
        <v>34</v>
      </c>
      <c r="Q1640" t="s">
        <v>35</v>
      </c>
      <c r="R1640" t="s">
        <v>129</v>
      </c>
      <c r="S1640" t="s">
        <v>30</v>
      </c>
      <c r="T1640" t="s">
        <v>1472</v>
      </c>
      <c r="U1640" t="s">
        <v>1473</v>
      </c>
      <c r="V1640" t="s">
        <v>39</v>
      </c>
      <c r="W1640" s="1">
        <v>2</v>
      </c>
    </row>
    <row r="1641" spans="1:23" x14ac:dyDescent="0.2">
      <c r="A1641" t="s">
        <v>23</v>
      </c>
      <c r="B1641" t="s">
        <v>1108</v>
      </c>
      <c r="C1641" t="s">
        <v>1109</v>
      </c>
      <c r="D1641" t="s">
        <v>1397</v>
      </c>
      <c r="E1641" t="s">
        <v>1470</v>
      </c>
      <c r="F1641" t="s">
        <v>1471</v>
      </c>
      <c r="G1641" t="s">
        <v>61</v>
      </c>
      <c r="H1641" t="s">
        <v>52</v>
      </c>
      <c r="I1641" t="s">
        <v>52</v>
      </c>
      <c r="J1641" t="s">
        <v>128</v>
      </c>
      <c r="K1641" t="s">
        <v>32</v>
      </c>
      <c r="L1641" t="s">
        <v>32</v>
      </c>
      <c r="M1641" t="s">
        <v>33</v>
      </c>
      <c r="N1641" t="s">
        <v>33</v>
      </c>
      <c r="O1641" t="s">
        <v>33</v>
      </c>
      <c r="P1641" t="s">
        <v>34</v>
      </c>
      <c r="Q1641" t="s">
        <v>35</v>
      </c>
      <c r="R1641" t="s">
        <v>129</v>
      </c>
      <c r="S1641" t="s">
        <v>30</v>
      </c>
      <c r="T1641" t="s">
        <v>1472</v>
      </c>
      <c r="U1641" t="s">
        <v>1473</v>
      </c>
      <c r="V1641" t="s">
        <v>40</v>
      </c>
      <c r="W1641" s="1">
        <v>864000</v>
      </c>
    </row>
    <row r="1642" spans="1:23" x14ac:dyDescent="0.2">
      <c r="A1642" t="s">
        <v>23</v>
      </c>
      <c r="B1642" t="s">
        <v>1108</v>
      </c>
      <c r="C1642" t="s">
        <v>1109</v>
      </c>
      <c r="D1642" t="s">
        <v>1397</v>
      </c>
      <c r="E1642" t="s">
        <v>1470</v>
      </c>
      <c r="F1642" t="s">
        <v>1471</v>
      </c>
      <c r="G1642" t="s">
        <v>170</v>
      </c>
      <c r="H1642" t="s">
        <v>52</v>
      </c>
      <c r="I1642" t="s">
        <v>30</v>
      </c>
      <c r="J1642" t="s">
        <v>31</v>
      </c>
      <c r="K1642" t="s">
        <v>32</v>
      </c>
      <c r="L1642" t="s">
        <v>32</v>
      </c>
      <c r="M1642" t="s">
        <v>33</v>
      </c>
      <c r="N1642" t="s">
        <v>33</v>
      </c>
      <c r="O1642" t="s">
        <v>33</v>
      </c>
      <c r="P1642" t="s">
        <v>34</v>
      </c>
      <c r="Q1642" t="s">
        <v>35</v>
      </c>
      <c r="S1642" t="s">
        <v>30</v>
      </c>
      <c r="T1642" t="s">
        <v>1474</v>
      </c>
      <c r="U1642" t="s">
        <v>1475</v>
      </c>
      <c r="V1642" t="s">
        <v>39</v>
      </c>
      <c r="W1642" s="1">
        <v>2</v>
      </c>
    </row>
    <row r="1643" spans="1:23" x14ac:dyDescent="0.2">
      <c r="A1643" t="s">
        <v>23</v>
      </c>
      <c r="B1643" t="s">
        <v>1108</v>
      </c>
      <c r="C1643" t="s">
        <v>1109</v>
      </c>
      <c r="D1643" t="s">
        <v>1397</v>
      </c>
      <c r="E1643" t="s">
        <v>1470</v>
      </c>
      <c r="F1643" t="s">
        <v>1471</v>
      </c>
      <c r="G1643" t="s">
        <v>170</v>
      </c>
      <c r="H1643" t="s">
        <v>52</v>
      </c>
      <c r="I1643" t="s">
        <v>30</v>
      </c>
      <c r="J1643" t="s">
        <v>31</v>
      </c>
      <c r="K1643" t="s">
        <v>32</v>
      </c>
      <c r="L1643" t="s">
        <v>32</v>
      </c>
      <c r="M1643" t="s">
        <v>33</v>
      </c>
      <c r="N1643" t="s">
        <v>33</v>
      </c>
      <c r="O1643" t="s">
        <v>33</v>
      </c>
      <c r="P1643" t="s">
        <v>34</v>
      </c>
      <c r="Q1643" t="s">
        <v>35</v>
      </c>
      <c r="S1643" t="s">
        <v>30</v>
      </c>
      <c r="T1643" t="s">
        <v>1474</v>
      </c>
      <c r="U1643" t="s">
        <v>1475</v>
      </c>
      <c r="V1643" t="s">
        <v>40</v>
      </c>
      <c r="W1643" s="1">
        <v>383200</v>
      </c>
    </row>
    <row r="1644" spans="1:23" x14ac:dyDescent="0.2">
      <c r="A1644" t="s">
        <v>23</v>
      </c>
      <c r="B1644" t="s">
        <v>1108</v>
      </c>
      <c r="C1644" t="s">
        <v>1109</v>
      </c>
      <c r="D1644" t="s">
        <v>1397</v>
      </c>
      <c r="E1644" t="s">
        <v>1470</v>
      </c>
      <c r="F1644" t="s">
        <v>1471</v>
      </c>
      <c r="G1644" t="s">
        <v>170</v>
      </c>
      <c r="H1644" t="s">
        <v>52</v>
      </c>
      <c r="I1644" t="s">
        <v>30</v>
      </c>
      <c r="J1644" t="s">
        <v>41</v>
      </c>
      <c r="K1644" t="s">
        <v>32</v>
      </c>
      <c r="L1644" t="s">
        <v>32</v>
      </c>
      <c r="M1644" t="s">
        <v>33</v>
      </c>
      <c r="N1644" t="s">
        <v>33</v>
      </c>
      <c r="O1644" t="s">
        <v>33</v>
      </c>
      <c r="P1644" t="s">
        <v>34</v>
      </c>
      <c r="Q1644" t="s">
        <v>35</v>
      </c>
      <c r="R1644" t="s">
        <v>73</v>
      </c>
      <c r="S1644" t="s">
        <v>30</v>
      </c>
      <c r="T1644" t="s">
        <v>1476</v>
      </c>
      <c r="U1644" t="s">
        <v>1477</v>
      </c>
      <c r="V1644" t="s">
        <v>39</v>
      </c>
      <c r="W1644" s="1">
        <v>2</v>
      </c>
    </row>
    <row r="1645" spans="1:23" x14ac:dyDescent="0.2">
      <c r="A1645" t="s">
        <v>23</v>
      </c>
      <c r="B1645" t="s">
        <v>1108</v>
      </c>
      <c r="C1645" t="s">
        <v>1109</v>
      </c>
      <c r="D1645" t="s">
        <v>1397</v>
      </c>
      <c r="E1645" t="s">
        <v>1470</v>
      </c>
      <c r="F1645" t="s">
        <v>1471</v>
      </c>
      <c r="G1645" t="s">
        <v>170</v>
      </c>
      <c r="H1645" t="s">
        <v>52</v>
      </c>
      <c r="I1645" t="s">
        <v>30</v>
      </c>
      <c r="J1645" t="s">
        <v>41</v>
      </c>
      <c r="K1645" t="s">
        <v>32</v>
      </c>
      <c r="L1645" t="s">
        <v>32</v>
      </c>
      <c r="M1645" t="s">
        <v>33</v>
      </c>
      <c r="N1645" t="s">
        <v>33</v>
      </c>
      <c r="O1645" t="s">
        <v>33</v>
      </c>
      <c r="P1645" t="s">
        <v>34</v>
      </c>
      <c r="Q1645" t="s">
        <v>35</v>
      </c>
      <c r="R1645" t="s">
        <v>73</v>
      </c>
      <c r="S1645" t="s">
        <v>30</v>
      </c>
      <c r="T1645" t="s">
        <v>1476</v>
      </c>
      <c r="U1645" t="s">
        <v>1477</v>
      </c>
      <c r="V1645" t="s">
        <v>40</v>
      </c>
      <c r="W1645" s="1">
        <v>3199800</v>
      </c>
    </row>
    <row r="1646" spans="1:23" x14ac:dyDescent="0.2">
      <c r="A1646" t="s">
        <v>23</v>
      </c>
      <c r="B1646" t="s">
        <v>1108</v>
      </c>
      <c r="C1646" t="s">
        <v>1109</v>
      </c>
      <c r="D1646" t="s">
        <v>1397</v>
      </c>
      <c r="E1646" t="s">
        <v>1470</v>
      </c>
      <c r="F1646" t="s">
        <v>1471</v>
      </c>
      <c r="G1646" t="s">
        <v>170</v>
      </c>
      <c r="H1646" t="s">
        <v>52</v>
      </c>
      <c r="I1646" t="s">
        <v>30</v>
      </c>
      <c r="J1646" t="s">
        <v>41</v>
      </c>
      <c r="K1646" t="s">
        <v>32</v>
      </c>
      <c r="L1646" t="s">
        <v>32</v>
      </c>
      <c r="M1646" t="s">
        <v>33</v>
      </c>
      <c r="N1646" t="s">
        <v>33</v>
      </c>
      <c r="O1646" t="s">
        <v>33</v>
      </c>
      <c r="P1646" t="s">
        <v>34</v>
      </c>
      <c r="Q1646" t="s">
        <v>35</v>
      </c>
      <c r="R1646" t="s">
        <v>184</v>
      </c>
      <c r="S1646" t="s">
        <v>30</v>
      </c>
      <c r="T1646" t="s">
        <v>1478</v>
      </c>
      <c r="U1646" t="s">
        <v>1479</v>
      </c>
      <c r="V1646" t="s">
        <v>39</v>
      </c>
      <c r="W1646" s="1">
        <v>2</v>
      </c>
    </row>
    <row r="1647" spans="1:23" x14ac:dyDescent="0.2">
      <c r="A1647" t="s">
        <v>23</v>
      </c>
      <c r="B1647" t="s">
        <v>1108</v>
      </c>
      <c r="C1647" t="s">
        <v>1109</v>
      </c>
      <c r="D1647" t="s">
        <v>1397</v>
      </c>
      <c r="E1647" t="s">
        <v>1470</v>
      </c>
      <c r="F1647" t="s">
        <v>1471</v>
      </c>
      <c r="G1647" t="s">
        <v>170</v>
      </c>
      <c r="H1647" t="s">
        <v>52</v>
      </c>
      <c r="I1647" t="s">
        <v>30</v>
      </c>
      <c r="J1647" t="s">
        <v>41</v>
      </c>
      <c r="K1647" t="s">
        <v>32</v>
      </c>
      <c r="L1647" t="s">
        <v>32</v>
      </c>
      <c r="M1647" t="s">
        <v>33</v>
      </c>
      <c r="N1647" t="s">
        <v>33</v>
      </c>
      <c r="O1647" t="s">
        <v>33</v>
      </c>
      <c r="P1647" t="s">
        <v>34</v>
      </c>
      <c r="Q1647" t="s">
        <v>35</v>
      </c>
      <c r="R1647" t="s">
        <v>184</v>
      </c>
      <c r="S1647" t="s">
        <v>30</v>
      </c>
      <c r="T1647" t="s">
        <v>1478</v>
      </c>
      <c r="U1647" t="s">
        <v>1479</v>
      </c>
      <c r="V1647" t="s">
        <v>40</v>
      </c>
      <c r="W1647" s="1">
        <v>4178000</v>
      </c>
    </row>
    <row r="1648" spans="1:23" x14ac:dyDescent="0.2">
      <c r="A1648" t="s">
        <v>23</v>
      </c>
      <c r="B1648" t="s">
        <v>1108</v>
      </c>
      <c r="C1648" t="s">
        <v>1109</v>
      </c>
      <c r="D1648" t="s">
        <v>1397</v>
      </c>
      <c r="E1648" t="s">
        <v>1470</v>
      </c>
      <c r="F1648" t="s">
        <v>1471</v>
      </c>
      <c r="G1648" t="s">
        <v>64</v>
      </c>
      <c r="H1648" t="s">
        <v>30</v>
      </c>
      <c r="I1648" t="s">
        <v>52</v>
      </c>
      <c r="J1648" t="s">
        <v>41</v>
      </c>
      <c r="K1648" t="s">
        <v>32</v>
      </c>
      <c r="L1648" t="s">
        <v>32</v>
      </c>
      <c r="M1648" t="s">
        <v>33</v>
      </c>
      <c r="P1648" t="s">
        <v>34</v>
      </c>
      <c r="Q1648" t="s">
        <v>35</v>
      </c>
      <c r="R1648" t="s">
        <v>58</v>
      </c>
      <c r="S1648" t="s">
        <v>52</v>
      </c>
      <c r="T1648" t="s">
        <v>1480</v>
      </c>
      <c r="U1648" t="s">
        <v>1481</v>
      </c>
      <c r="V1648" t="s">
        <v>39</v>
      </c>
      <c r="W1648" s="1">
        <v>0</v>
      </c>
    </row>
    <row r="1649" spans="1:23" x14ac:dyDescent="0.2">
      <c r="A1649" t="s">
        <v>23</v>
      </c>
      <c r="B1649" t="s">
        <v>1108</v>
      </c>
      <c r="C1649" t="s">
        <v>1109</v>
      </c>
      <c r="D1649" t="s">
        <v>1397</v>
      </c>
      <c r="E1649" t="s">
        <v>1470</v>
      </c>
      <c r="F1649" t="s">
        <v>1471</v>
      </c>
      <c r="G1649" t="s">
        <v>64</v>
      </c>
      <c r="H1649" t="s">
        <v>30</v>
      </c>
      <c r="I1649" t="s">
        <v>52</v>
      </c>
      <c r="J1649" t="s">
        <v>41</v>
      </c>
      <c r="K1649" t="s">
        <v>32</v>
      </c>
      <c r="L1649" t="s">
        <v>32</v>
      </c>
      <c r="M1649" t="s">
        <v>33</v>
      </c>
      <c r="P1649" t="s">
        <v>34</v>
      </c>
      <c r="Q1649" t="s">
        <v>35</v>
      </c>
      <c r="R1649" t="s">
        <v>58</v>
      </c>
      <c r="S1649" t="s">
        <v>52</v>
      </c>
      <c r="T1649" t="s">
        <v>1480</v>
      </c>
      <c r="U1649" t="s">
        <v>1481</v>
      </c>
      <c r="V1649" t="s">
        <v>40</v>
      </c>
      <c r="W1649" s="1">
        <v>2598000</v>
      </c>
    </row>
    <row r="1650" spans="1:23" x14ac:dyDescent="0.2">
      <c r="A1650" t="s">
        <v>23</v>
      </c>
      <c r="B1650" t="s">
        <v>1108</v>
      </c>
      <c r="C1650" t="s">
        <v>1109</v>
      </c>
      <c r="D1650" t="s">
        <v>1397</v>
      </c>
      <c r="E1650" t="s">
        <v>1470</v>
      </c>
      <c r="F1650" t="s">
        <v>1471</v>
      </c>
      <c r="G1650" t="s">
        <v>67</v>
      </c>
      <c r="H1650" t="s">
        <v>30</v>
      </c>
      <c r="I1650" t="s">
        <v>30</v>
      </c>
      <c r="J1650" t="s">
        <v>31</v>
      </c>
      <c r="K1650" t="s">
        <v>32</v>
      </c>
      <c r="L1650" t="s">
        <v>32</v>
      </c>
      <c r="M1650" t="s">
        <v>33</v>
      </c>
      <c r="N1650" t="s">
        <v>33</v>
      </c>
      <c r="O1650" t="s">
        <v>33</v>
      </c>
      <c r="P1650" t="s">
        <v>34</v>
      </c>
      <c r="Q1650" t="s">
        <v>35</v>
      </c>
      <c r="S1650" t="s">
        <v>30</v>
      </c>
      <c r="T1650" t="s">
        <v>1482</v>
      </c>
      <c r="U1650" t="s">
        <v>1483</v>
      </c>
      <c r="V1650" t="s">
        <v>39</v>
      </c>
      <c r="W1650" s="1">
        <v>2</v>
      </c>
    </row>
    <row r="1651" spans="1:23" x14ac:dyDescent="0.2">
      <c r="A1651" t="s">
        <v>23</v>
      </c>
      <c r="B1651" t="s">
        <v>1108</v>
      </c>
      <c r="C1651" t="s">
        <v>1109</v>
      </c>
      <c r="D1651" t="s">
        <v>1397</v>
      </c>
      <c r="E1651" t="s">
        <v>1470</v>
      </c>
      <c r="F1651" t="s">
        <v>1471</v>
      </c>
      <c r="G1651" t="s">
        <v>67</v>
      </c>
      <c r="H1651" t="s">
        <v>30</v>
      </c>
      <c r="I1651" t="s">
        <v>30</v>
      </c>
      <c r="J1651" t="s">
        <v>31</v>
      </c>
      <c r="K1651" t="s">
        <v>32</v>
      </c>
      <c r="L1651" t="s">
        <v>32</v>
      </c>
      <c r="M1651" t="s">
        <v>33</v>
      </c>
      <c r="N1651" t="s">
        <v>33</v>
      </c>
      <c r="O1651" t="s">
        <v>33</v>
      </c>
      <c r="P1651" t="s">
        <v>34</v>
      </c>
      <c r="Q1651" t="s">
        <v>35</v>
      </c>
      <c r="S1651" t="s">
        <v>30</v>
      </c>
      <c r="T1651" t="s">
        <v>1482</v>
      </c>
      <c r="U1651" t="s">
        <v>1483</v>
      </c>
      <c r="V1651" t="s">
        <v>40</v>
      </c>
      <c r="W1651" s="1">
        <v>1204800</v>
      </c>
    </row>
    <row r="1652" spans="1:23" x14ac:dyDescent="0.2">
      <c r="A1652" t="s">
        <v>23</v>
      </c>
      <c r="B1652" t="s">
        <v>1108</v>
      </c>
      <c r="C1652" t="s">
        <v>1109</v>
      </c>
      <c r="D1652" t="s">
        <v>1397</v>
      </c>
      <c r="E1652" t="s">
        <v>1470</v>
      </c>
      <c r="F1652" t="s">
        <v>1471</v>
      </c>
      <c r="G1652" t="s">
        <v>67</v>
      </c>
      <c r="H1652" t="s">
        <v>30</v>
      </c>
      <c r="I1652" t="s">
        <v>30</v>
      </c>
      <c r="J1652" t="s">
        <v>31</v>
      </c>
      <c r="K1652" t="s">
        <v>32</v>
      </c>
      <c r="L1652" t="s">
        <v>32</v>
      </c>
      <c r="M1652" t="s">
        <v>33</v>
      </c>
      <c r="P1652" t="s">
        <v>34</v>
      </c>
      <c r="Q1652" t="s">
        <v>35</v>
      </c>
      <c r="S1652" t="s">
        <v>52</v>
      </c>
      <c r="T1652" t="s">
        <v>1484</v>
      </c>
      <c r="U1652" t="s">
        <v>1485</v>
      </c>
      <c r="V1652" t="s">
        <v>39</v>
      </c>
      <c r="W1652" s="1">
        <v>0</v>
      </c>
    </row>
    <row r="1653" spans="1:23" x14ac:dyDescent="0.2">
      <c r="A1653" t="s">
        <v>23</v>
      </c>
      <c r="B1653" t="s">
        <v>1108</v>
      </c>
      <c r="C1653" t="s">
        <v>1109</v>
      </c>
      <c r="D1653" t="s">
        <v>1397</v>
      </c>
      <c r="E1653" t="s">
        <v>1470</v>
      </c>
      <c r="F1653" t="s">
        <v>1471</v>
      </c>
      <c r="G1653" t="s">
        <v>67</v>
      </c>
      <c r="H1653" t="s">
        <v>30</v>
      </c>
      <c r="I1653" t="s">
        <v>30</v>
      </c>
      <c r="J1653" t="s">
        <v>31</v>
      </c>
      <c r="K1653" t="s">
        <v>32</v>
      </c>
      <c r="L1653" t="s">
        <v>32</v>
      </c>
      <c r="M1653" t="s">
        <v>33</v>
      </c>
      <c r="P1653" t="s">
        <v>34</v>
      </c>
      <c r="Q1653" t="s">
        <v>35</v>
      </c>
      <c r="S1653" t="s">
        <v>52</v>
      </c>
      <c r="T1653" t="s">
        <v>1484</v>
      </c>
      <c r="U1653" t="s">
        <v>1485</v>
      </c>
      <c r="V1653" t="s">
        <v>40</v>
      </c>
      <c r="W1653" s="1">
        <v>5349400</v>
      </c>
    </row>
    <row r="1654" spans="1:23" x14ac:dyDescent="0.2">
      <c r="A1654" t="s">
        <v>23</v>
      </c>
      <c r="B1654" t="s">
        <v>1108</v>
      </c>
      <c r="C1654" t="s">
        <v>1109</v>
      </c>
      <c r="D1654" t="s">
        <v>1397</v>
      </c>
      <c r="E1654" t="s">
        <v>1470</v>
      </c>
      <c r="F1654" t="s">
        <v>1471</v>
      </c>
      <c r="G1654" t="s">
        <v>67</v>
      </c>
      <c r="H1654" t="s">
        <v>30</v>
      </c>
      <c r="I1654" t="s">
        <v>30</v>
      </c>
      <c r="J1654" t="s">
        <v>31</v>
      </c>
      <c r="K1654" t="s">
        <v>32</v>
      </c>
      <c r="L1654" t="s">
        <v>32</v>
      </c>
      <c r="M1654" t="s">
        <v>176</v>
      </c>
      <c r="N1654" t="s">
        <v>176</v>
      </c>
      <c r="O1654" t="s">
        <v>176</v>
      </c>
      <c r="P1654" t="s">
        <v>34</v>
      </c>
      <c r="Q1654" t="s">
        <v>35</v>
      </c>
      <c r="S1654" t="s">
        <v>30</v>
      </c>
      <c r="T1654" t="s">
        <v>1482</v>
      </c>
      <c r="U1654" t="s">
        <v>1483</v>
      </c>
      <c r="V1654" t="s">
        <v>39</v>
      </c>
      <c r="W1654" s="1">
        <v>1</v>
      </c>
    </row>
    <row r="1655" spans="1:23" x14ac:dyDescent="0.2">
      <c r="A1655" t="s">
        <v>23</v>
      </c>
      <c r="B1655" t="s">
        <v>1108</v>
      </c>
      <c r="C1655" t="s">
        <v>1109</v>
      </c>
      <c r="D1655" t="s">
        <v>1397</v>
      </c>
      <c r="E1655" t="s">
        <v>1470</v>
      </c>
      <c r="F1655" t="s">
        <v>1471</v>
      </c>
      <c r="G1655" t="s">
        <v>67</v>
      </c>
      <c r="H1655" t="s">
        <v>30</v>
      </c>
      <c r="I1655" t="s">
        <v>30</v>
      </c>
      <c r="J1655" t="s">
        <v>31</v>
      </c>
      <c r="K1655" t="s">
        <v>32</v>
      </c>
      <c r="L1655" t="s">
        <v>32</v>
      </c>
      <c r="M1655" t="s">
        <v>176</v>
      </c>
      <c r="N1655" t="s">
        <v>176</v>
      </c>
      <c r="O1655" t="s">
        <v>176</v>
      </c>
      <c r="P1655" t="s">
        <v>34</v>
      </c>
      <c r="Q1655" t="s">
        <v>35</v>
      </c>
      <c r="S1655" t="s">
        <v>30</v>
      </c>
      <c r="T1655" t="s">
        <v>1482</v>
      </c>
      <c r="U1655" t="s">
        <v>1483</v>
      </c>
      <c r="V1655" t="s">
        <v>40</v>
      </c>
      <c r="W1655" s="1">
        <v>232400</v>
      </c>
    </row>
    <row r="1656" spans="1:23" x14ac:dyDescent="0.2">
      <c r="A1656" t="s">
        <v>23</v>
      </c>
      <c r="B1656" t="s">
        <v>1108</v>
      </c>
      <c r="C1656" t="s">
        <v>1109</v>
      </c>
      <c r="D1656" t="s">
        <v>1397</v>
      </c>
      <c r="E1656" t="s">
        <v>1470</v>
      </c>
      <c r="F1656" t="s">
        <v>1471</v>
      </c>
      <c r="G1656" t="s">
        <v>67</v>
      </c>
      <c r="H1656" t="s">
        <v>30</v>
      </c>
      <c r="I1656" t="s">
        <v>30</v>
      </c>
      <c r="J1656" t="s">
        <v>41</v>
      </c>
      <c r="K1656" t="s">
        <v>32</v>
      </c>
      <c r="L1656" t="s">
        <v>32</v>
      </c>
      <c r="M1656" t="s">
        <v>33</v>
      </c>
      <c r="N1656" t="s">
        <v>33</v>
      </c>
      <c r="O1656" t="s">
        <v>33</v>
      </c>
      <c r="P1656" t="s">
        <v>34</v>
      </c>
      <c r="Q1656" t="s">
        <v>35</v>
      </c>
      <c r="R1656" t="s">
        <v>54</v>
      </c>
      <c r="S1656" t="s">
        <v>30</v>
      </c>
      <c r="T1656" t="s">
        <v>851</v>
      </c>
      <c r="U1656" t="s">
        <v>1486</v>
      </c>
      <c r="V1656" t="s">
        <v>39</v>
      </c>
      <c r="W1656" s="1">
        <v>2</v>
      </c>
    </row>
    <row r="1657" spans="1:23" x14ac:dyDescent="0.2">
      <c r="A1657" t="s">
        <v>23</v>
      </c>
      <c r="B1657" t="s">
        <v>1108</v>
      </c>
      <c r="C1657" t="s">
        <v>1109</v>
      </c>
      <c r="D1657" t="s">
        <v>1397</v>
      </c>
      <c r="E1657" t="s">
        <v>1470</v>
      </c>
      <c r="F1657" t="s">
        <v>1471</v>
      </c>
      <c r="G1657" t="s">
        <v>67</v>
      </c>
      <c r="H1657" t="s">
        <v>30</v>
      </c>
      <c r="I1657" t="s">
        <v>30</v>
      </c>
      <c r="J1657" t="s">
        <v>41</v>
      </c>
      <c r="K1657" t="s">
        <v>32</v>
      </c>
      <c r="L1657" t="s">
        <v>32</v>
      </c>
      <c r="M1657" t="s">
        <v>33</v>
      </c>
      <c r="N1657" t="s">
        <v>33</v>
      </c>
      <c r="O1657" t="s">
        <v>33</v>
      </c>
      <c r="P1657" t="s">
        <v>34</v>
      </c>
      <c r="Q1657" t="s">
        <v>35</v>
      </c>
      <c r="R1657" t="s">
        <v>54</v>
      </c>
      <c r="S1657" t="s">
        <v>30</v>
      </c>
      <c r="T1657" t="s">
        <v>851</v>
      </c>
      <c r="U1657" t="s">
        <v>1486</v>
      </c>
      <c r="V1657" t="s">
        <v>40</v>
      </c>
      <c r="W1657" s="1">
        <v>2313200</v>
      </c>
    </row>
    <row r="1658" spans="1:23" x14ac:dyDescent="0.2">
      <c r="A1658" t="s">
        <v>23</v>
      </c>
      <c r="B1658" t="s">
        <v>1108</v>
      </c>
      <c r="C1658" t="s">
        <v>1109</v>
      </c>
      <c r="D1658" t="s">
        <v>1397</v>
      </c>
      <c r="E1658" t="s">
        <v>1470</v>
      </c>
      <c r="F1658" t="s">
        <v>1471</v>
      </c>
      <c r="G1658" t="s">
        <v>89</v>
      </c>
      <c r="H1658" t="s">
        <v>30</v>
      </c>
      <c r="I1658" t="s">
        <v>30</v>
      </c>
      <c r="J1658" t="s">
        <v>233</v>
      </c>
      <c r="K1658" t="s">
        <v>181</v>
      </c>
      <c r="L1658" t="s">
        <v>32</v>
      </c>
      <c r="M1658" t="s">
        <v>33</v>
      </c>
      <c r="P1658" t="s">
        <v>34</v>
      </c>
      <c r="Q1658" t="s">
        <v>35</v>
      </c>
      <c r="R1658" t="s">
        <v>693</v>
      </c>
      <c r="S1658" t="s">
        <v>52</v>
      </c>
      <c r="T1658" t="s">
        <v>1487</v>
      </c>
      <c r="U1658" t="s">
        <v>1488</v>
      </c>
      <c r="V1658" t="s">
        <v>39</v>
      </c>
      <c r="W1658" s="1">
        <v>0</v>
      </c>
    </row>
    <row r="1659" spans="1:23" x14ac:dyDescent="0.2">
      <c r="A1659" t="s">
        <v>23</v>
      </c>
      <c r="B1659" t="s">
        <v>1108</v>
      </c>
      <c r="C1659" t="s">
        <v>1109</v>
      </c>
      <c r="D1659" t="s">
        <v>1397</v>
      </c>
      <c r="E1659" t="s">
        <v>1470</v>
      </c>
      <c r="F1659" t="s">
        <v>1471</v>
      </c>
      <c r="G1659" t="s">
        <v>89</v>
      </c>
      <c r="H1659" t="s">
        <v>30</v>
      </c>
      <c r="I1659" t="s">
        <v>30</v>
      </c>
      <c r="J1659" t="s">
        <v>233</v>
      </c>
      <c r="K1659" t="s">
        <v>181</v>
      </c>
      <c r="L1659" t="s">
        <v>32</v>
      </c>
      <c r="M1659" t="s">
        <v>33</v>
      </c>
      <c r="P1659" t="s">
        <v>34</v>
      </c>
      <c r="Q1659" t="s">
        <v>35</v>
      </c>
      <c r="R1659" t="s">
        <v>693</v>
      </c>
      <c r="S1659" t="s">
        <v>52</v>
      </c>
      <c r="T1659" t="s">
        <v>1487</v>
      </c>
      <c r="U1659" t="s">
        <v>1488</v>
      </c>
      <c r="V1659" t="s">
        <v>40</v>
      </c>
      <c r="W1659" s="1">
        <v>0</v>
      </c>
    </row>
    <row r="1660" spans="1:23" x14ac:dyDescent="0.2">
      <c r="A1660" t="s">
        <v>23</v>
      </c>
      <c r="B1660" t="s">
        <v>1108</v>
      </c>
      <c r="C1660" t="s">
        <v>1109</v>
      </c>
      <c r="D1660" t="s">
        <v>1397</v>
      </c>
      <c r="E1660" t="s">
        <v>1470</v>
      </c>
      <c r="F1660" t="s">
        <v>1471</v>
      </c>
      <c r="G1660" t="s">
        <v>89</v>
      </c>
      <c r="H1660" t="s">
        <v>30</v>
      </c>
      <c r="I1660" t="s">
        <v>30</v>
      </c>
      <c r="J1660" t="s">
        <v>233</v>
      </c>
      <c r="K1660" t="s">
        <v>181</v>
      </c>
      <c r="L1660" t="s">
        <v>32</v>
      </c>
      <c r="M1660" t="s">
        <v>176</v>
      </c>
      <c r="P1660" t="s">
        <v>34</v>
      </c>
      <c r="Q1660" t="s">
        <v>35</v>
      </c>
      <c r="R1660" t="s">
        <v>693</v>
      </c>
      <c r="S1660" t="s">
        <v>52</v>
      </c>
      <c r="T1660" t="s">
        <v>1487</v>
      </c>
      <c r="U1660" t="s">
        <v>1488</v>
      </c>
      <c r="V1660" t="s">
        <v>39</v>
      </c>
      <c r="W1660" s="1">
        <v>0</v>
      </c>
    </row>
    <row r="1661" spans="1:23" x14ac:dyDescent="0.2">
      <c r="A1661" t="s">
        <v>23</v>
      </c>
      <c r="B1661" t="s">
        <v>1108</v>
      </c>
      <c r="C1661" t="s">
        <v>1109</v>
      </c>
      <c r="D1661" t="s">
        <v>1397</v>
      </c>
      <c r="E1661" t="s">
        <v>1470</v>
      </c>
      <c r="F1661" t="s">
        <v>1471</v>
      </c>
      <c r="G1661" t="s">
        <v>89</v>
      </c>
      <c r="H1661" t="s">
        <v>30</v>
      </c>
      <c r="I1661" t="s">
        <v>30</v>
      </c>
      <c r="J1661" t="s">
        <v>233</v>
      </c>
      <c r="K1661" t="s">
        <v>181</v>
      </c>
      <c r="L1661" t="s">
        <v>32</v>
      </c>
      <c r="M1661" t="s">
        <v>176</v>
      </c>
      <c r="P1661" t="s">
        <v>34</v>
      </c>
      <c r="Q1661" t="s">
        <v>35</v>
      </c>
      <c r="R1661" t="s">
        <v>693</v>
      </c>
      <c r="S1661" t="s">
        <v>52</v>
      </c>
      <c r="T1661" t="s">
        <v>1487</v>
      </c>
      <c r="U1661" t="s">
        <v>1488</v>
      </c>
      <c r="V1661" t="s">
        <v>40</v>
      </c>
      <c r="W1661" s="1">
        <v>0</v>
      </c>
    </row>
    <row r="1662" spans="1:23" x14ac:dyDescent="0.2">
      <c r="A1662" t="s">
        <v>23</v>
      </c>
      <c r="B1662" t="s">
        <v>1108</v>
      </c>
      <c r="C1662" t="s">
        <v>1109</v>
      </c>
      <c r="D1662" t="s">
        <v>1397</v>
      </c>
      <c r="E1662" t="s">
        <v>1470</v>
      </c>
      <c r="F1662" t="s">
        <v>1471</v>
      </c>
      <c r="G1662" t="s">
        <v>127</v>
      </c>
      <c r="H1662" t="s">
        <v>52</v>
      </c>
      <c r="I1662" t="s">
        <v>30</v>
      </c>
      <c r="J1662" t="s">
        <v>31</v>
      </c>
      <c r="K1662" t="s">
        <v>32</v>
      </c>
      <c r="L1662" t="s">
        <v>32</v>
      </c>
      <c r="M1662" t="s">
        <v>33</v>
      </c>
      <c r="N1662" t="s">
        <v>33</v>
      </c>
      <c r="O1662" t="s">
        <v>33</v>
      </c>
      <c r="P1662" t="s">
        <v>34</v>
      </c>
      <c r="Q1662" t="s">
        <v>35</v>
      </c>
      <c r="R1662" t="s">
        <v>228</v>
      </c>
      <c r="S1662" t="s">
        <v>30</v>
      </c>
      <c r="T1662" t="s">
        <v>1489</v>
      </c>
      <c r="U1662" t="s">
        <v>1490</v>
      </c>
      <c r="V1662" t="s">
        <v>39</v>
      </c>
      <c r="W1662" s="1">
        <v>4</v>
      </c>
    </row>
    <row r="1663" spans="1:23" x14ac:dyDescent="0.2">
      <c r="A1663" t="s">
        <v>23</v>
      </c>
      <c r="B1663" t="s">
        <v>1108</v>
      </c>
      <c r="C1663" t="s">
        <v>1109</v>
      </c>
      <c r="D1663" t="s">
        <v>1397</v>
      </c>
      <c r="E1663" t="s">
        <v>1470</v>
      </c>
      <c r="F1663" t="s">
        <v>1471</v>
      </c>
      <c r="G1663" t="s">
        <v>127</v>
      </c>
      <c r="H1663" t="s">
        <v>52</v>
      </c>
      <c r="I1663" t="s">
        <v>30</v>
      </c>
      <c r="J1663" t="s">
        <v>31</v>
      </c>
      <c r="K1663" t="s">
        <v>32</v>
      </c>
      <c r="L1663" t="s">
        <v>32</v>
      </c>
      <c r="M1663" t="s">
        <v>33</v>
      </c>
      <c r="N1663" t="s">
        <v>33</v>
      </c>
      <c r="O1663" t="s">
        <v>33</v>
      </c>
      <c r="P1663" t="s">
        <v>34</v>
      </c>
      <c r="Q1663" t="s">
        <v>35</v>
      </c>
      <c r="R1663" t="s">
        <v>228</v>
      </c>
      <c r="S1663" t="s">
        <v>30</v>
      </c>
      <c r="T1663" t="s">
        <v>1489</v>
      </c>
      <c r="U1663" t="s">
        <v>1490</v>
      </c>
      <c r="V1663" t="s">
        <v>40</v>
      </c>
      <c r="W1663" s="1">
        <v>908000</v>
      </c>
    </row>
    <row r="1664" spans="1:23" x14ac:dyDescent="0.2">
      <c r="A1664" t="s">
        <v>23</v>
      </c>
      <c r="B1664" t="s">
        <v>1108</v>
      </c>
      <c r="C1664" t="s">
        <v>1109</v>
      </c>
      <c r="D1664" t="s">
        <v>1397</v>
      </c>
      <c r="E1664" t="s">
        <v>1470</v>
      </c>
      <c r="F1664" t="s">
        <v>1471</v>
      </c>
      <c r="G1664" t="s">
        <v>127</v>
      </c>
      <c r="H1664" t="s">
        <v>52</v>
      </c>
      <c r="I1664" t="s">
        <v>30</v>
      </c>
      <c r="J1664" t="s">
        <v>31</v>
      </c>
      <c r="K1664" t="s">
        <v>32</v>
      </c>
      <c r="L1664" t="s">
        <v>32</v>
      </c>
      <c r="M1664" t="s">
        <v>33</v>
      </c>
      <c r="N1664" t="s">
        <v>33</v>
      </c>
      <c r="O1664" t="s">
        <v>33</v>
      </c>
      <c r="P1664" t="s">
        <v>34</v>
      </c>
      <c r="Q1664" t="s">
        <v>35</v>
      </c>
      <c r="R1664" t="s">
        <v>228</v>
      </c>
      <c r="S1664" t="s">
        <v>30</v>
      </c>
      <c r="T1664" t="s">
        <v>1491</v>
      </c>
      <c r="U1664" t="s">
        <v>1492</v>
      </c>
      <c r="V1664" t="s">
        <v>39</v>
      </c>
      <c r="W1664" s="1">
        <v>2</v>
      </c>
    </row>
    <row r="1665" spans="1:23" x14ac:dyDescent="0.2">
      <c r="A1665" t="s">
        <v>23</v>
      </c>
      <c r="B1665" t="s">
        <v>1108</v>
      </c>
      <c r="C1665" t="s">
        <v>1109</v>
      </c>
      <c r="D1665" t="s">
        <v>1397</v>
      </c>
      <c r="E1665" t="s">
        <v>1470</v>
      </c>
      <c r="F1665" t="s">
        <v>1471</v>
      </c>
      <c r="G1665" t="s">
        <v>127</v>
      </c>
      <c r="H1665" t="s">
        <v>52</v>
      </c>
      <c r="I1665" t="s">
        <v>30</v>
      </c>
      <c r="J1665" t="s">
        <v>31</v>
      </c>
      <c r="K1665" t="s">
        <v>32</v>
      </c>
      <c r="L1665" t="s">
        <v>32</v>
      </c>
      <c r="M1665" t="s">
        <v>33</v>
      </c>
      <c r="N1665" t="s">
        <v>33</v>
      </c>
      <c r="O1665" t="s">
        <v>33</v>
      </c>
      <c r="P1665" t="s">
        <v>34</v>
      </c>
      <c r="Q1665" t="s">
        <v>35</v>
      </c>
      <c r="R1665" t="s">
        <v>228</v>
      </c>
      <c r="S1665" t="s">
        <v>30</v>
      </c>
      <c r="T1665" t="s">
        <v>1491</v>
      </c>
      <c r="U1665" t="s">
        <v>1492</v>
      </c>
      <c r="V1665" t="s">
        <v>40</v>
      </c>
      <c r="W1665" s="1">
        <v>1458000</v>
      </c>
    </row>
    <row r="1666" spans="1:23" x14ac:dyDescent="0.2">
      <c r="A1666" t="s">
        <v>23</v>
      </c>
      <c r="B1666" t="s">
        <v>1108</v>
      </c>
      <c r="C1666" t="s">
        <v>1109</v>
      </c>
      <c r="D1666" t="s">
        <v>1397</v>
      </c>
      <c r="E1666" t="s">
        <v>1470</v>
      </c>
      <c r="F1666" t="s">
        <v>1471</v>
      </c>
      <c r="G1666" t="s">
        <v>127</v>
      </c>
      <c r="H1666" t="s">
        <v>52</v>
      </c>
      <c r="I1666" t="s">
        <v>30</v>
      </c>
      <c r="J1666" t="s">
        <v>41</v>
      </c>
      <c r="K1666" t="s">
        <v>32</v>
      </c>
      <c r="L1666" t="s">
        <v>32</v>
      </c>
      <c r="M1666" t="s">
        <v>33</v>
      </c>
      <c r="P1666" t="s">
        <v>34</v>
      </c>
      <c r="Q1666" t="s">
        <v>35</v>
      </c>
      <c r="R1666" t="s">
        <v>54</v>
      </c>
      <c r="S1666" t="s">
        <v>30</v>
      </c>
      <c r="T1666" t="s">
        <v>1493</v>
      </c>
      <c r="U1666" t="s">
        <v>1494</v>
      </c>
      <c r="V1666" t="s">
        <v>39</v>
      </c>
      <c r="W1666" s="1">
        <v>11</v>
      </c>
    </row>
    <row r="1667" spans="1:23" x14ac:dyDescent="0.2">
      <c r="A1667" t="s">
        <v>23</v>
      </c>
      <c r="B1667" t="s">
        <v>1108</v>
      </c>
      <c r="C1667" t="s">
        <v>1109</v>
      </c>
      <c r="D1667" t="s">
        <v>1397</v>
      </c>
      <c r="E1667" t="s">
        <v>1470</v>
      </c>
      <c r="F1667" t="s">
        <v>1471</v>
      </c>
      <c r="G1667" t="s">
        <v>127</v>
      </c>
      <c r="H1667" t="s">
        <v>52</v>
      </c>
      <c r="I1667" t="s">
        <v>30</v>
      </c>
      <c r="J1667" t="s">
        <v>41</v>
      </c>
      <c r="K1667" t="s">
        <v>32</v>
      </c>
      <c r="L1667" t="s">
        <v>32</v>
      </c>
      <c r="M1667" t="s">
        <v>33</v>
      </c>
      <c r="P1667" t="s">
        <v>34</v>
      </c>
      <c r="Q1667" t="s">
        <v>35</v>
      </c>
      <c r="R1667" t="s">
        <v>54</v>
      </c>
      <c r="S1667" t="s">
        <v>30</v>
      </c>
      <c r="T1667" t="s">
        <v>1493</v>
      </c>
      <c r="U1667" t="s">
        <v>1494</v>
      </c>
      <c r="V1667" t="s">
        <v>40</v>
      </c>
      <c r="W1667" s="1">
        <v>13739000</v>
      </c>
    </row>
    <row r="1668" spans="1:23" x14ac:dyDescent="0.2">
      <c r="A1668" t="s">
        <v>23</v>
      </c>
      <c r="B1668" t="s">
        <v>1108</v>
      </c>
      <c r="C1668" t="s">
        <v>1109</v>
      </c>
      <c r="D1668" t="s">
        <v>1397</v>
      </c>
      <c r="E1668" t="s">
        <v>1470</v>
      </c>
      <c r="F1668" t="s">
        <v>1471</v>
      </c>
      <c r="G1668" t="s">
        <v>139</v>
      </c>
      <c r="H1668" t="s">
        <v>30</v>
      </c>
      <c r="I1668" t="s">
        <v>30</v>
      </c>
      <c r="J1668" t="s">
        <v>31</v>
      </c>
      <c r="K1668" t="s">
        <v>32</v>
      </c>
      <c r="L1668" t="s">
        <v>32</v>
      </c>
      <c r="M1668" t="s">
        <v>33</v>
      </c>
      <c r="P1668" t="s">
        <v>34</v>
      </c>
      <c r="Q1668" t="s">
        <v>35</v>
      </c>
      <c r="R1668" t="s">
        <v>228</v>
      </c>
      <c r="S1668" t="s">
        <v>30</v>
      </c>
      <c r="T1668" t="s">
        <v>1491</v>
      </c>
      <c r="U1668" t="s">
        <v>1492</v>
      </c>
      <c r="V1668" t="s">
        <v>39</v>
      </c>
      <c r="W1668" s="1">
        <v>2</v>
      </c>
    </row>
    <row r="1669" spans="1:23" x14ac:dyDescent="0.2">
      <c r="A1669" t="s">
        <v>23</v>
      </c>
      <c r="B1669" t="s">
        <v>1108</v>
      </c>
      <c r="C1669" t="s">
        <v>1109</v>
      </c>
      <c r="D1669" t="s">
        <v>1397</v>
      </c>
      <c r="E1669" t="s">
        <v>1470</v>
      </c>
      <c r="F1669" t="s">
        <v>1471</v>
      </c>
      <c r="G1669" t="s">
        <v>139</v>
      </c>
      <c r="H1669" t="s">
        <v>30</v>
      </c>
      <c r="I1669" t="s">
        <v>30</v>
      </c>
      <c r="J1669" t="s">
        <v>31</v>
      </c>
      <c r="K1669" t="s">
        <v>32</v>
      </c>
      <c r="L1669" t="s">
        <v>32</v>
      </c>
      <c r="M1669" t="s">
        <v>33</v>
      </c>
      <c r="P1669" t="s">
        <v>34</v>
      </c>
      <c r="Q1669" t="s">
        <v>35</v>
      </c>
      <c r="R1669" t="s">
        <v>228</v>
      </c>
      <c r="S1669" t="s">
        <v>30</v>
      </c>
      <c r="T1669" t="s">
        <v>1491</v>
      </c>
      <c r="U1669" t="s">
        <v>1492</v>
      </c>
      <c r="V1669" t="s">
        <v>40</v>
      </c>
      <c r="W1669" s="1">
        <v>1398000</v>
      </c>
    </row>
    <row r="1670" spans="1:23" x14ac:dyDescent="0.2">
      <c r="A1670" t="s">
        <v>23</v>
      </c>
      <c r="B1670" t="s">
        <v>1108</v>
      </c>
      <c r="C1670" t="s">
        <v>1495</v>
      </c>
      <c r="D1670" t="s">
        <v>1496</v>
      </c>
      <c r="E1670" t="s">
        <v>1497</v>
      </c>
      <c r="F1670" t="s">
        <v>1498</v>
      </c>
      <c r="G1670" t="s">
        <v>49</v>
      </c>
      <c r="H1670" t="s">
        <v>30</v>
      </c>
      <c r="I1670" t="s">
        <v>30</v>
      </c>
      <c r="J1670" t="s">
        <v>41</v>
      </c>
      <c r="K1670" t="s">
        <v>32</v>
      </c>
      <c r="L1670" t="s">
        <v>32</v>
      </c>
      <c r="M1670" t="s">
        <v>33</v>
      </c>
      <c r="N1670" t="s">
        <v>33</v>
      </c>
      <c r="O1670" t="s">
        <v>33</v>
      </c>
      <c r="P1670" t="s">
        <v>34</v>
      </c>
      <c r="Q1670" t="s">
        <v>35</v>
      </c>
      <c r="S1670" t="s">
        <v>30</v>
      </c>
      <c r="T1670" t="s">
        <v>1499</v>
      </c>
      <c r="U1670" t="s">
        <v>1500</v>
      </c>
      <c r="V1670" t="s">
        <v>39</v>
      </c>
      <c r="W1670" s="1">
        <v>5</v>
      </c>
    </row>
    <row r="1671" spans="1:23" x14ac:dyDescent="0.2">
      <c r="A1671" t="s">
        <v>23</v>
      </c>
      <c r="B1671" t="s">
        <v>1108</v>
      </c>
      <c r="C1671" t="s">
        <v>1495</v>
      </c>
      <c r="D1671" t="s">
        <v>1496</v>
      </c>
      <c r="E1671" t="s">
        <v>1497</v>
      </c>
      <c r="F1671" t="s">
        <v>1498</v>
      </c>
      <c r="G1671" t="s">
        <v>49</v>
      </c>
      <c r="H1671" t="s">
        <v>30</v>
      </c>
      <c r="I1671" t="s">
        <v>30</v>
      </c>
      <c r="J1671" t="s">
        <v>41</v>
      </c>
      <c r="K1671" t="s">
        <v>32</v>
      </c>
      <c r="L1671" t="s">
        <v>32</v>
      </c>
      <c r="M1671" t="s">
        <v>33</v>
      </c>
      <c r="N1671" t="s">
        <v>33</v>
      </c>
      <c r="O1671" t="s">
        <v>33</v>
      </c>
      <c r="P1671" t="s">
        <v>34</v>
      </c>
      <c r="Q1671" t="s">
        <v>35</v>
      </c>
      <c r="S1671" t="s">
        <v>30</v>
      </c>
      <c r="T1671" t="s">
        <v>1499</v>
      </c>
      <c r="U1671" t="s">
        <v>1500</v>
      </c>
      <c r="V1671" t="s">
        <v>40</v>
      </c>
      <c r="W1671" s="1">
        <v>5725000</v>
      </c>
    </row>
    <row r="1672" spans="1:23" x14ac:dyDescent="0.2">
      <c r="A1672" t="s">
        <v>23</v>
      </c>
      <c r="B1672" t="s">
        <v>1108</v>
      </c>
      <c r="C1672" t="s">
        <v>1495</v>
      </c>
      <c r="D1672" t="s">
        <v>1496</v>
      </c>
      <c r="E1672" t="s">
        <v>1497</v>
      </c>
      <c r="F1672" t="s">
        <v>1498</v>
      </c>
      <c r="G1672" t="s">
        <v>49</v>
      </c>
      <c r="H1672" t="s">
        <v>30</v>
      </c>
      <c r="I1672" t="s">
        <v>30</v>
      </c>
      <c r="J1672" t="s">
        <v>41</v>
      </c>
      <c r="K1672" t="s">
        <v>32</v>
      </c>
      <c r="L1672" t="s">
        <v>32</v>
      </c>
      <c r="M1672" t="s">
        <v>33</v>
      </c>
      <c r="N1672" t="s">
        <v>33</v>
      </c>
      <c r="O1672" t="s">
        <v>33</v>
      </c>
      <c r="P1672" t="s">
        <v>34</v>
      </c>
      <c r="Q1672" t="s">
        <v>35</v>
      </c>
      <c r="S1672" t="s">
        <v>30</v>
      </c>
      <c r="T1672" t="s">
        <v>506</v>
      </c>
      <c r="U1672" t="s">
        <v>1501</v>
      </c>
      <c r="V1672" t="s">
        <v>39</v>
      </c>
      <c r="W1672" s="1">
        <v>3</v>
      </c>
    </row>
    <row r="1673" spans="1:23" x14ac:dyDescent="0.2">
      <c r="A1673" t="s">
        <v>23</v>
      </c>
      <c r="B1673" t="s">
        <v>1108</v>
      </c>
      <c r="C1673" t="s">
        <v>1495</v>
      </c>
      <c r="D1673" t="s">
        <v>1496</v>
      </c>
      <c r="E1673" t="s">
        <v>1497</v>
      </c>
      <c r="F1673" t="s">
        <v>1498</v>
      </c>
      <c r="G1673" t="s">
        <v>49</v>
      </c>
      <c r="H1673" t="s">
        <v>30</v>
      </c>
      <c r="I1673" t="s">
        <v>30</v>
      </c>
      <c r="J1673" t="s">
        <v>41</v>
      </c>
      <c r="K1673" t="s">
        <v>32</v>
      </c>
      <c r="L1673" t="s">
        <v>32</v>
      </c>
      <c r="M1673" t="s">
        <v>33</v>
      </c>
      <c r="N1673" t="s">
        <v>33</v>
      </c>
      <c r="O1673" t="s">
        <v>33</v>
      </c>
      <c r="P1673" t="s">
        <v>34</v>
      </c>
      <c r="Q1673" t="s">
        <v>35</v>
      </c>
      <c r="S1673" t="s">
        <v>30</v>
      </c>
      <c r="T1673" t="s">
        <v>506</v>
      </c>
      <c r="U1673" t="s">
        <v>1501</v>
      </c>
      <c r="V1673" t="s">
        <v>40</v>
      </c>
      <c r="W1673" s="1">
        <v>5547000</v>
      </c>
    </row>
    <row r="1674" spans="1:23" x14ac:dyDescent="0.2">
      <c r="A1674" t="s">
        <v>23</v>
      </c>
      <c r="B1674" t="s">
        <v>1108</v>
      </c>
      <c r="C1674" t="s">
        <v>1495</v>
      </c>
      <c r="D1674" t="s">
        <v>1496</v>
      </c>
      <c r="E1674" t="s">
        <v>1497</v>
      </c>
      <c r="F1674" t="s">
        <v>1498</v>
      </c>
      <c r="G1674" t="s">
        <v>49</v>
      </c>
      <c r="H1674" t="s">
        <v>30</v>
      </c>
      <c r="I1674" t="s">
        <v>30</v>
      </c>
      <c r="J1674" t="s">
        <v>41</v>
      </c>
      <c r="K1674" t="s">
        <v>32</v>
      </c>
      <c r="L1674" t="s">
        <v>32</v>
      </c>
      <c r="M1674" t="s">
        <v>33</v>
      </c>
      <c r="P1674" t="s">
        <v>34</v>
      </c>
      <c r="Q1674" t="s">
        <v>35</v>
      </c>
      <c r="R1674" t="s">
        <v>124</v>
      </c>
      <c r="S1674" t="s">
        <v>52</v>
      </c>
      <c r="T1674" t="s">
        <v>1502</v>
      </c>
      <c r="U1674" t="s">
        <v>1503</v>
      </c>
      <c r="V1674" t="s">
        <v>39</v>
      </c>
      <c r="W1674" s="1">
        <v>0</v>
      </c>
    </row>
    <row r="1675" spans="1:23" x14ac:dyDescent="0.2">
      <c r="A1675" t="s">
        <v>23</v>
      </c>
      <c r="B1675" t="s">
        <v>1108</v>
      </c>
      <c r="C1675" t="s">
        <v>1495</v>
      </c>
      <c r="D1675" t="s">
        <v>1496</v>
      </c>
      <c r="E1675" t="s">
        <v>1497</v>
      </c>
      <c r="F1675" t="s">
        <v>1498</v>
      </c>
      <c r="G1675" t="s">
        <v>49</v>
      </c>
      <c r="H1675" t="s">
        <v>30</v>
      </c>
      <c r="I1675" t="s">
        <v>30</v>
      </c>
      <c r="J1675" t="s">
        <v>41</v>
      </c>
      <c r="K1675" t="s">
        <v>32</v>
      </c>
      <c r="L1675" t="s">
        <v>32</v>
      </c>
      <c r="M1675" t="s">
        <v>33</v>
      </c>
      <c r="P1675" t="s">
        <v>34</v>
      </c>
      <c r="Q1675" t="s">
        <v>35</v>
      </c>
      <c r="R1675" t="s">
        <v>124</v>
      </c>
      <c r="S1675" t="s">
        <v>52</v>
      </c>
      <c r="T1675" t="s">
        <v>1502</v>
      </c>
      <c r="U1675" t="s">
        <v>1503</v>
      </c>
      <c r="V1675" t="s">
        <v>40</v>
      </c>
      <c r="W1675" s="1">
        <v>60000</v>
      </c>
    </row>
    <row r="1676" spans="1:23" x14ac:dyDescent="0.2">
      <c r="A1676" t="s">
        <v>23</v>
      </c>
      <c r="B1676" t="s">
        <v>1108</v>
      </c>
      <c r="C1676" t="s">
        <v>1495</v>
      </c>
      <c r="D1676" t="s">
        <v>1496</v>
      </c>
      <c r="E1676" t="s">
        <v>1497</v>
      </c>
      <c r="F1676" t="s">
        <v>1498</v>
      </c>
      <c r="G1676" t="s">
        <v>49</v>
      </c>
      <c r="H1676" t="s">
        <v>30</v>
      </c>
      <c r="I1676" t="s">
        <v>30</v>
      </c>
      <c r="J1676" t="s">
        <v>57</v>
      </c>
      <c r="K1676" t="s">
        <v>32</v>
      </c>
      <c r="L1676" t="s">
        <v>32</v>
      </c>
      <c r="M1676" t="s">
        <v>33</v>
      </c>
      <c r="N1676" t="s">
        <v>33</v>
      </c>
      <c r="O1676" t="s">
        <v>33</v>
      </c>
      <c r="P1676" t="s">
        <v>34</v>
      </c>
      <c r="Q1676" t="s">
        <v>35</v>
      </c>
      <c r="R1676" t="s">
        <v>294</v>
      </c>
      <c r="S1676" t="s">
        <v>30</v>
      </c>
      <c r="T1676" t="s">
        <v>1504</v>
      </c>
      <c r="U1676" t="s">
        <v>1505</v>
      </c>
      <c r="V1676" t="s">
        <v>39</v>
      </c>
      <c r="W1676" s="1">
        <v>4</v>
      </c>
    </row>
    <row r="1677" spans="1:23" x14ac:dyDescent="0.2">
      <c r="A1677" t="s">
        <v>23</v>
      </c>
      <c r="B1677" t="s">
        <v>1108</v>
      </c>
      <c r="C1677" t="s">
        <v>1495</v>
      </c>
      <c r="D1677" t="s">
        <v>1496</v>
      </c>
      <c r="E1677" t="s">
        <v>1497</v>
      </c>
      <c r="F1677" t="s">
        <v>1498</v>
      </c>
      <c r="G1677" t="s">
        <v>49</v>
      </c>
      <c r="H1677" t="s">
        <v>30</v>
      </c>
      <c r="I1677" t="s">
        <v>30</v>
      </c>
      <c r="J1677" t="s">
        <v>57</v>
      </c>
      <c r="K1677" t="s">
        <v>32</v>
      </c>
      <c r="L1677" t="s">
        <v>32</v>
      </c>
      <c r="M1677" t="s">
        <v>33</v>
      </c>
      <c r="N1677" t="s">
        <v>33</v>
      </c>
      <c r="O1677" t="s">
        <v>33</v>
      </c>
      <c r="P1677" t="s">
        <v>34</v>
      </c>
      <c r="Q1677" t="s">
        <v>35</v>
      </c>
      <c r="R1677" t="s">
        <v>294</v>
      </c>
      <c r="S1677" t="s">
        <v>30</v>
      </c>
      <c r="T1677" t="s">
        <v>1504</v>
      </c>
      <c r="U1677" t="s">
        <v>1505</v>
      </c>
      <c r="V1677" t="s">
        <v>40</v>
      </c>
      <c r="W1677" s="1">
        <v>6032000</v>
      </c>
    </row>
    <row r="1678" spans="1:23" x14ac:dyDescent="0.2">
      <c r="A1678" t="s">
        <v>23</v>
      </c>
      <c r="B1678" t="s">
        <v>1108</v>
      </c>
      <c r="C1678" t="s">
        <v>1495</v>
      </c>
      <c r="D1678" t="s">
        <v>1496</v>
      </c>
      <c r="E1678" t="s">
        <v>1497</v>
      </c>
      <c r="F1678" t="s">
        <v>1498</v>
      </c>
      <c r="G1678" t="s">
        <v>61</v>
      </c>
      <c r="H1678" t="s">
        <v>52</v>
      </c>
      <c r="I1678" t="s">
        <v>52</v>
      </c>
      <c r="J1678" t="s">
        <v>41</v>
      </c>
      <c r="K1678" t="s">
        <v>32</v>
      </c>
      <c r="L1678" t="s">
        <v>32</v>
      </c>
      <c r="M1678" t="s">
        <v>33</v>
      </c>
      <c r="N1678" t="s">
        <v>33</v>
      </c>
      <c r="O1678" t="s">
        <v>33</v>
      </c>
      <c r="P1678" t="s">
        <v>34</v>
      </c>
      <c r="Q1678" t="s">
        <v>35</v>
      </c>
      <c r="R1678" t="s">
        <v>54</v>
      </c>
      <c r="S1678" t="s">
        <v>30</v>
      </c>
      <c r="T1678" t="s">
        <v>1506</v>
      </c>
      <c r="U1678" t="s">
        <v>1507</v>
      </c>
      <c r="V1678" t="s">
        <v>39</v>
      </c>
      <c r="W1678" s="1">
        <v>3</v>
      </c>
    </row>
    <row r="1679" spans="1:23" x14ac:dyDescent="0.2">
      <c r="A1679" t="s">
        <v>23</v>
      </c>
      <c r="B1679" t="s">
        <v>1108</v>
      </c>
      <c r="C1679" t="s">
        <v>1495</v>
      </c>
      <c r="D1679" t="s">
        <v>1496</v>
      </c>
      <c r="E1679" t="s">
        <v>1497</v>
      </c>
      <c r="F1679" t="s">
        <v>1498</v>
      </c>
      <c r="G1679" t="s">
        <v>61</v>
      </c>
      <c r="H1679" t="s">
        <v>52</v>
      </c>
      <c r="I1679" t="s">
        <v>52</v>
      </c>
      <c r="J1679" t="s">
        <v>41</v>
      </c>
      <c r="K1679" t="s">
        <v>32</v>
      </c>
      <c r="L1679" t="s">
        <v>32</v>
      </c>
      <c r="M1679" t="s">
        <v>33</v>
      </c>
      <c r="N1679" t="s">
        <v>33</v>
      </c>
      <c r="O1679" t="s">
        <v>33</v>
      </c>
      <c r="P1679" t="s">
        <v>34</v>
      </c>
      <c r="Q1679" t="s">
        <v>35</v>
      </c>
      <c r="R1679" t="s">
        <v>54</v>
      </c>
      <c r="S1679" t="s">
        <v>30</v>
      </c>
      <c r="T1679" t="s">
        <v>1506</v>
      </c>
      <c r="U1679" t="s">
        <v>1507</v>
      </c>
      <c r="V1679" t="s">
        <v>40</v>
      </c>
      <c r="W1679" s="1">
        <v>3447000</v>
      </c>
    </row>
    <row r="1680" spans="1:23" x14ac:dyDescent="0.2">
      <c r="A1680" t="s">
        <v>23</v>
      </c>
      <c r="B1680" t="s">
        <v>1108</v>
      </c>
      <c r="C1680" t="s">
        <v>1495</v>
      </c>
      <c r="D1680" t="s">
        <v>1496</v>
      </c>
      <c r="E1680" t="s">
        <v>1497</v>
      </c>
      <c r="F1680" t="s">
        <v>1498</v>
      </c>
      <c r="G1680" t="s">
        <v>61</v>
      </c>
      <c r="H1680" t="s">
        <v>52</v>
      </c>
      <c r="I1680" t="s">
        <v>52</v>
      </c>
      <c r="J1680" t="s">
        <v>41</v>
      </c>
      <c r="K1680" t="s">
        <v>32</v>
      </c>
      <c r="L1680" t="s">
        <v>32</v>
      </c>
      <c r="M1680" t="s">
        <v>176</v>
      </c>
      <c r="N1680" t="s">
        <v>176</v>
      </c>
      <c r="O1680" t="s">
        <v>176</v>
      </c>
      <c r="P1680" t="s">
        <v>34</v>
      </c>
      <c r="Q1680" t="s">
        <v>35</v>
      </c>
      <c r="R1680" t="s">
        <v>54</v>
      </c>
      <c r="S1680" t="s">
        <v>30</v>
      </c>
      <c r="T1680" t="s">
        <v>1506</v>
      </c>
      <c r="U1680" t="s">
        <v>1507</v>
      </c>
      <c r="V1680" t="s">
        <v>39</v>
      </c>
      <c r="W1680" s="1">
        <v>1</v>
      </c>
    </row>
    <row r="1681" spans="1:23" x14ac:dyDescent="0.2">
      <c r="A1681" t="s">
        <v>23</v>
      </c>
      <c r="B1681" t="s">
        <v>1108</v>
      </c>
      <c r="C1681" t="s">
        <v>1495</v>
      </c>
      <c r="D1681" t="s">
        <v>1496</v>
      </c>
      <c r="E1681" t="s">
        <v>1497</v>
      </c>
      <c r="F1681" t="s">
        <v>1498</v>
      </c>
      <c r="G1681" t="s">
        <v>61</v>
      </c>
      <c r="H1681" t="s">
        <v>52</v>
      </c>
      <c r="I1681" t="s">
        <v>52</v>
      </c>
      <c r="J1681" t="s">
        <v>41</v>
      </c>
      <c r="K1681" t="s">
        <v>32</v>
      </c>
      <c r="L1681" t="s">
        <v>32</v>
      </c>
      <c r="M1681" t="s">
        <v>176</v>
      </c>
      <c r="N1681" t="s">
        <v>176</v>
      </c>
      <c r="O1681" t="s">
        <v>176</v>
      </c>
      <c r="P1681" t="s">
        <v>34</v>
      </c>
      <c r="Q1681" t="s">
        <v>35</v>
      </c>
      <c r="R1681" t="s">
        <v>54</v>
      </c>
      <c r="S1681" t="s">
        <v>30</v>
      </c>
      <c r="T1681" t="s">
        <v>1506</v>
      </c>
      <c r="U1681" t="s">
        <v>1507</v>
      </c>
      <c r="V1681" t="s">
        <v>40</v>
      </c>
      <c r="W1681" s="1">
        <v>1034100</v>
      </c>
    </row>
    <row r="1682" spans="1:23" x14ac:dyDescent="0.2">
      <c r="A1682" t="s">
        <v>23</v>
      </c>
      <c r="B1682" t="s">
        <v>1108</v>
      </c>
      <c r="C1682" t="s">
        <v>1495</v>
      </c>
      <c r="D1682" t="s">
        <v>1496</v>
      </c>
      <c r="E1682" t="s">
        <v>1497</v>
      </c>
      <c r="F1682" t="s">
        <v>1498</v>
      </c>
      <c r="G1682" t="s">
        <v>67</v>
      </c>
      <c r="H1682" t="s">
        <v>30</v>
      </c>
      <c r="I1682" t="s">
        <v>30</v>
      </c>
      <c r="J1682" t="s">
        <v>41</v>
      </c>
      <c r="K1682" t="s">
        <v>32</v>
      </c>
      <c r="L1682" t="s">
        <v>32</v>
      </c>
      <c r="M1682" t="s">
        <v>33</v>
      </c>
      <c r="N1682" t="s">
        <v>33</v>
      </c>
      <c r="O1682" t="s">
        <v>33</v>
      </c>
      <c r="P1682" t="s">
        <v>34</v>
      </c>
      <c r="Q1682" t="s">
        <v>35</v>
      </c>
      <c r="R1682" t="s">
        <v>96</v>
      </c>
      <c r="S1682" t="s">
        <v>30</v>
      </c>
      <c r="T1682" t="s">
        <v>1508</v>
      </c>
      <c r="U1682" t="s">
        <v>1509</v>
      </c>
      <c r="V1682" t="s">
        <v>39</v>
      </c>
      <c r="W1682" s="1">
        <v>1</v>
      </c>
    </row>
    <row r="1683" spans="1:23" x14ac:dyDescent="0.2">
      <c r="A1683" t="s">
        <v>23</v>
      </c>
      <c r="B1683" t="s">
        <v>1108</v>
      </c>
      <c r="C1683" t="s">
        <v>1495</v>
      </c>
      <c r="D1683" t="s">
        <v>1496</v>
      </c>
      <c r="E1683" t="s">
        <v>1497</v>
      </c>
      <c r="F1683" t="s">
        <v>1498</v>
      </c>
      <c r="G1683" t="s">
        <v>67</v>
      </c>
      <c r="H1683" t="s">
        <v>30</v>
      </c>
      <c r="I1683" t="s">
        <v>30</v>
      </c>
      <c r="J1683" t="s">
        <v>41</v>
      </c>
      <c r="K1683" t="s">
        <v>32</v>
      </c>
      <c r="L1683" t="s">
        <v>32</v>
      </c>
      <c r="M1683" t="s">
        <v>33</v>
      </c>
      <c r="N1683" t="s">
        <v>33</v>
      </c>
      <c r="O1683" t="s">
        <v>33</v>
      </c>
      <c r="P1683" t="s">
        <v>34</v>
      </c>
      <c r="Q1683" t="s">
        <v>35</v>
      </c>
      <c r="R1683" t="s">
        <v>96</v>
      </c>
      <c r="S1683" t="s">
        <v>30</v>
      </c>
      <c r="T1683" t="s">
        <v>1508</v>
      </c>
      <c r="U1683" t="s">
        <v>1509</v>
      </c>
      <c r="V1683" t="s">
        <v>40</v>
      </c>
      <c r="W1683" s="1">
        <v>3349000</v>
      </c>
    </row>
    <row r="1684" spans="1:23" x14ac:dyDescent="0.2">
      <c r="A1684" t="s">
        <v>23</v>
      </c>
      <c r="B1684" t="s">
        <v>1108</v>
      </c>
      <c r="C1684" t="s">
        <v>1495</v>
      </c>
      <c r="D1684" t="s">
        <v>1496</v>
      </c>
      <c r="E1684" t="s">
        <v>1497</v>
      </c>
      <c r="F1684" t="s">
        <v>1498</v>
      </c>
      <c r="G1684" t="s">
        <v>67</v>
      </c>
      <c r="H1684" t="s">
        <v>30</v>
      </c>
      <c r="I1684" t="s">
        <v>30</v>
      </c>
      <c r="J1684" t="s">
        <v>41</v>
      </c>
      <c r="K1684" t="s">
        <v>32</v>
      </c>
      <c r="L1684" t="s">
        <v>32</v>
      </c>
      <c r="M1684" t="s">
        <v>33</v>
      </c>
      <c r="P1684" t="s">
        <v>34</v>
      </c>
      <c r="Q1684" t="s">
        <v>35</v>
      </c>
      <c r="S1684" t="s">
        <v>52</v>
      </c>
      <c r="T1684" t="s">
        <v>506</v>
      </c>
      <c r="U1684" t="s">
        <v>1501</v>
      </c>
      <c r="V1684" t="s">
        <v>39</v>
      </c>
      <c r="W1684" s="1">
        <v>0</v>
      </c>
    </row>
    <row r="1685" spans="1:23" x14ac:dyDescent="0.2">
      <c r="A1685" t="s">
        <v>23</v>
      </c>
      <c r="B1685" t="s">
        <v>1108</v>
      </c>
      <c r="C1685" t="s">
        <v>1495</v>
      </c>
      <c r="D1685" t="s">
        <v>1496</v>
      </c>
      <c r="E1685" t="s">
        <v>1497</v>
      </c>
      <c r="F1685" t="s">
        <v>1498</v>
      </c>
      <c r="G1685" t="s">
        <v>67</v>
      </c>
      <c r="H1685" t="s">
        <v>30</v>
      </c>
      <c r="I1685" t="s">
        <v>30</v>
      </c>
      <c r="J1685" t="s">
        <v>41</v>
      </c>
      <c r="K1685" t="s">
        <v>32</v>
      </c>
      <c r="L1685" t="s">
        <v>32</v>
      </c>
      <c r="M1685" t="s">
        <v>33</v>
      </c>
      <c r="P1685" t="s">
        <v>34</v>
      </c>
      <c r="Q1685" t="s">
        <v>35</v>
      </c>
      <c r="S1685" t="s">
        <v>52</v>
      </c>
      <c r="T1685" t="s">
        <v>506</v>
      </c>
      <c r="U1685" t="s">
        <v>1501</v>
      </c>
      <c r="V1685" t="s">
        <v>40</v>
      </c>
      <c r="W1685" s="1">
        <v>100000</v>
      </c>
    </row>
    <row r="1686" spans="1:23" x14ac:dyDescent="0.2">
      <c r="A1686" t="s">
        <v>23</v>
      </c>
      <c r="B1686" t="s">
        <v>1108</v>
      </c>
      <c r="C1686" t="s">
        <v>1495</v>
      </c>
      <c r="D1686" t="s">
        <v>1496</v>
      </c>
      <c r="E1686" t="s">
        <v>1497</v>
      </c>
      <c r="F1686" t="s">
        <v>1498</v>
      </c>
      <c r="G1686" t="s">
        <v>67</v>
      </c>
      <c r="H1686" t="s">
        <v>30</v>
      </c>
      <c r="I1686" t="s">
        <v>30</v>
      </c>
      <c r="J1686" t="s">
        <v>57</v>
      </c>
      <c r="K1686" t="s">
        <v>32</v>
      </c>
      <c r="L1686" t="s">
        <v>32</v>
      </c>
      <c r="M1686" t="s">
        <v>33</v>
      </c>
      <c r="N1686" t="s">
        <v>33</v>
      </c>
      <c r="O1686" t="s">
        <v>33</v>
      </c>
      <c r="P1686" t="s">
        <v>34</v>
      </c>
      <c r="Q1686" t="s">
        <v>35</v>
      </c>
      <c r="S1686" t="s">
        <v>30</v>
      </c>
      <c r="T1686" t="s">
        <v>1510</v>
      </c>
      <c r="U1686" t="s">
        <v>1511</v>
      </c>
      <c r="V1686" t="s">
        <v>39</v>
      </c>
      <c r="W1686" s="1">
        <v>5</v>
      </c>
    </row>
    <row r="1687" spans="1:23" x14ac:dyDescent="0.2">
      <c r="A1687" t="s">
        <v>23</v>
      </c>
      <c r="B1687" t="s">
        <v>1108</v>
      </c>
      <c r="C1687" t="s">
        <v>1495</v>
      </c>
      <c r="D1687" t="s">
        <v>1496</v>
      </c>
      <c r="E1687" t="s">
        <v>1497</v>
      </c>
      <c r="F1687" t="s">
        <v>1498</v>
      </c>
      <c r="G1687" t="s">
        <v>67</v>
      </c>
      <c r="H1687" t="s">
        <v>30</v>
      </c>
      <c r="I1687" t="s">
        <v>30</v>
      </c>
      <c r="J1687" t="s">
        <v>57</v>
      </c>
      <c r="K1687" t="s">
        <v>32</v>
      </c>
      <c r="L1687" t="s">
        <v>32</v>
      </c>
      <c r="M1687" t="s">
        <v>33</v>
      </c>
      <c r="N1687" t="s">
        <v>33</v>
      </c>
      <c r="O1687" t="s">
        <v>33</v>
      </c>
      <c r="P1687" t="s">
        <v>34</v>
      </c>
      <c r="Q1687" t="s">
        <v>35</v>
      </c>
      <c r="S1687" t="s">
        <v>30</v>
      </c>
      <c r="T1687" t="s">
        <v>1510</v>
      </c>
      <c r="U1687" t="s">
        <v>1511</v>
      </c>
      <c r="V1687" t="s">
        <v>40</v>
      </c>
      <c r="W1687" s="1">
        <v>7045000</v>
      </c>
    </row>
    <row r="1688" spans="1:23" x14ac:dyDescent="0.2">
      <c r="A1688" t="s">
        <v>23</v>
      </c>
      <c r="B1688" t="s">
        <v>1108</v>
      </c>
      <c r="C1688" t="s">
        <v>1495</v>
      </c>
      <c r="D1688" t="s">
        <v>1496</v>
      </c>
      <c r="E1688" t="s">
        <v>1497</v>
      </c>
      <c r="F1688" t="s">
        <v>1498</v>
      </c>
      <c r="G1688" t="s">
        <v>89</v>
      </c>
      <c r="H1688" t="s">
        <v>30</v>
      </c>
      <c r="I1688" t="s">
        <v>30</v>
      </c>
      <c r="J1688" t="s">
        <v>41</v>
      </c>
      <c r="K1688" t="s">
        <v>32</v>
      </c>
      <c r="L1688" t="s">
        <v>32</v>
      </c>
      <c r="M1688" t="s">
        <v>33</v>
      </c>
      <c r="N1688" t="s">
        <v>33</v>
      </c>
      <c r="O1688" t="s">
        <v>33</v>
      </c>
      <c r="P1688" t="s">
        <v>34</v>
      </c>
      <c r="Q1688" t="s">
        <v>35</v>
      </c>
      <c r="R1688" t="s">
        <v>294</v>
      </c>
      <c r="S1688" t="s">
        <v>30</v>
      </c>
      <c r="T1688" t="s">
        <v>1512</v>
      </c>
      <c r="U1688" t="s">
        <v>1513</v>
      </c>
      <c r="V1688" t="s">
        <v>39</v>
      </c>
      <c r="W1688" s="1">
        <v>2</v>
      </c>
    </row>
    <row r="1689" spans="1:23" x14ac:dyDescent="0.2">
      <c r="A1689" t="s">
        <v>23</v>
      </c>
      <c r="B1689" t="s">
        <v>1108</v>
      </c>
      <c r="C1689" t="s">
        <v>1495</v>
      </c>
      <c r="D1689" t="s">
        <v>1496</v>
      </c>
      <c r="E1689" t="s">
        <v>1497</v>
      </c>
      <c r="F1689" t="s">
        <v>1498</v>
      </c>
      <c r="G1689" t="s">
        <v>89</v>
      </c>
      <c r="H1689" t="s">
        <v>30</v>
      </c>
      <c r="I1689" t="s">
        <v>30</v>
      </c>
      <c r="J1689" t="s">
        <v>41</v>
      </c>
      <c r="K1689" t="s">
        <v>32</v>
      </c>
      <c r="L1689" t="s">
        <v>32</v>
      </c>
      <c r="M1689" t="s">
        <v>33</v>
      </c>
      <c r="N1689" t="s">
        <v>33</v>
      </c>
      <c r="O1689" t="s">
        <v>33</v>
      </c>
      <c r="P1689" t="s">
        <v>34</v>
      </c>
      <c r="Q1689" t="s">
        <v>35</v>
      </c>
      <c r="R1689" t="s">
        <v>294</v>
      </c>
      <c r="S1689" t="s">
        <v>30</v>
      </c>
      <c r="T1689" t="s">
        <v>1512</v>
      </c>
      <c r="U1689" t="s">
        <v>1513</v>
      </c>
      <c r="V1689" t="s">
        <v>40</v>
      </c>
      <c r="W1689" s="1">
        <v>2038000</v>
      </c>
    </row>
    <row r="1690" spans="1:23" x14ac:dyDescent="0.2">
      <c r="A1690" t="s">
        <v>23</v>
      </c>
      <c r="B1690" t="s">
        <v>1108</v>
      </c>
      <c r="C1690" t="s">
        <v>1495</v>
      </c>
      <c r="D1690" t="s">
        <v>1496</v>
      </c>
      <c r="E1690" t="s">
        <v>1497</v>
      </c>
      <c r="F1690" t="s">
        <v>1498</v>
      </c>
      <c r="G1690" t="s">
        <v>106</v>
      </c>
      <c r="H1690" t="s">
        <v>30</v>
      </c>
      <c r="I1690" t="s">
        <v>30</v>
      </c>
      <c r="J1690" t="s">
        <v>31</v>
      </c>
      <c r="K1690" t="s">
        <v>32</v>
      </c>
      <c r="L1690" t="s">
        <v>332</v>
      </c>
      <c r="M1690" t="s">
        <v>33</v>
      </c>
      <c r="P1690" t="s">
        <v>34</v>
      </c>
      <c r="Q1690" t="s">
        <v>35</v>
      </c>
      <c r="R1690" t="s">
        <v>173</v>
      </c>
      <c r="S1690" t="s">
        <v>52</v>
      </c>
      <c r="T1690" t="s">
        <v>1514</v>
      </c>
      <c r="U1690" t="s">
        <v>1515</v>
      </c>
      <c r="V1690" t="s">
        <v>39</v>
      </c>
      <c r="W1690" s="1">
        <v>0</v>
      </c>
    </row>
    <row r="1691" spans="1:23" x14ac:dyDescent="0.2">
      <c r="A1691" t="s">
        <v>23</v>
      </c>
      <c r="B1691" t="s">
        <v>1108</v>
      </c>
      <c r="C1691" t="s">
        <v>1495</v>
      </c>
      <c r="D1691" t="s">
        <v>1496</v>
      </c>
      <c r="E1691" t="s">
        <v>1497</v>
      </c>
      <c r="F1691" t="s">
        <v>1498</v>
      </c>
      <c r="G1691" t="s">
        <v>106</v>
      </c>
      <c r="H1691" t="s">
        <v>30</v>
      </c>
      <c r="I1691" t="s">
        <v>30</v>
      </c>
      <c r="J1691" t="s">
        <v>31</v>
      </c>
      <c r="K1691" t="s">
        <v>32</v>
      </c>
      <c r="L1691" t="s">
        <v>332</v>
      </c>
      <c r="M1691" t="s">
        <v>33</v>
      </c>
      <c r="P1691" t="s">
        <v>34</v>
      </c>
      <c r="Q1691" t="s">
        <v>35</v>
      </c>
      <c r="R1691" t="s">
        <v>173</v>
      </c>
      <c r="S1691" t="s">
        <v>52</v>
      </c>
      <c r="T1691" t="s">
        <v>1514</v>
      </c>
      <c r="U1691" t="s">
        <v>1515</v>
      </c>
      <c r="V1691" t="s">
        <v>40</v>
      </c>
      <c r="W1691" s="1">
        <v>2100000</v>
      </c>
    </row>
    <row r="1692" spans="1:23" x14ac:dyDescent="0.2">
      <c r="A1692" t="s">
        <v>23</v>
      </c>
      <c r="B1692" t="s">
        <v>1108</v>
      </c>
      <c r="C1692" t="s">
        <v>1495</v>
      </c>
      <c r="D1692" t="s">
        <v>1496</v>
      </c>
      <c r="E1692" t="s">
        <v>1497</v>
      </c>
      <c r="F1692" t="s">
        <v>1498</v>
      </c>
      <c r="G1692" t="s">
        <v>106</v>
      </c>
      <c r="H1692" t="s">
        <v>30</v>
      </c>
      <c r="I1692" t="s">
        <v>30</v>
      </c>
      <c r="J1692" t="s">
        <v>31</v>
      </c>
      <c r="K1692" t="s">
        <v>32</v>
      </c>
      <c r="L1692" t="s">
        <v>32</v>
      </c>
      <c r="M1692" t="s">
        <v>33</v>
      </c>
      <c r="P1692" t="s">
        <v>34</v>
      </c>
      <c r="Q1692" t="s">
        <v>35</v>
      </c>
      <c r="R1692" t="s">
        <v>173</v>
      </c>
      <c r="S1692" t="s">
        <v>52</v>
      </c>
      <c r="T1692" t="s">
        <v>1514</v>
      </c>
      <c r="U1692" t="s">
        <v>1515</v>
      </c>
      <c r="V1692" t="s">
        <v>39</v>
      </c>
      <c r="W1692" s="1">
        <v>0</v>
      </c>
    </row>
    <row r="1693" spans="1:23" x14ac:dyDescent="0.2">
      <c r="A1693" t="s">
        <v>23</v>
      </c>
      <c r="B1693" t="s">
        <v>1108</v>
      </c>
      <c r="C1693" t="s">
        <v>1495</v>
      </c>
      <c r="D1693" t="s">
        <v>1496</v>
      </c>
      <c r="E1693" t="s">
        <v>1497</v>
      </c>
      <c r="F1693" t="s">
        <v>1498</v>
      </c>
      <c r="G1693" t="s">
        <v>106</v>
      </c>
      <c r="H1693" t="s">
        <v>30</v>
      </c>
      <c r="I1693" t="s">
        <v>30</v>
      </c>
      <c r="J1693" t="s">
        <v>31</v>
      </c>
      <c r="K1693" t="s">
        <v>32</v>
      </c>
      <c r="L1693" t="s">
        <v>32</v>
      </c>
      <c r="M1693" t="s">
        <v>33</v>
      </c>
      <c r="P1693" t="s">
        <v>34</v>
      </c>
      <c r="Q1693" t="s">
        <v>35</v>
      </c>
      <c r="R1693" t="s">
        <v>173</v>
      </c>
      <c r="S1693" t="s">
        <v>52</v>
      </c>
      <c r="T1693" t="s">
        <v>1514</v>
      </c>
      <c r="U1693" t="s">
        <v>1515</v>
      </c>
      <c r="V1693" t="s">
        <v>40</v>
      </c>
      <c r="W1693" s="1">
        <v>1799800</v>
      </c>
    </row>
    <row r="1694" spans="1:23" x14ac:dyDescent="0.2">
      <c r="A1694" t="s">
        <v>23</v>
      </c>
      <c r="B1694" t="s">
        <v>1108</v>
      </c>
      <c r="C1694" t="s">
        <v>1495</v>
      </c>
      <c r="D1694" t="s">
        <v>1496</v>
      </c>
      <c r="E1694" t="s">
        <v>1497</v>
      </c>
      <c r="F1694" t="s">
        <v>1498</v>
      </c>
      <c r="G1694" t="s">
        <v>106</v>
      </c>
      <c r="H1694" t="s">
        <v>30</v>
      </c>
      <c r="I1694" t="s">
        <v>30</v>
      </c>
      <c r="J1694" t="s">
        <v>41</v>
      </c>
      <c r="K1694" t="s">
        <v>32</v>
      </c>
      <c r="L1694" t="s">
        <v>32</v>
      </c>
      <c r="M1694" t="s">
        <v>33</v>
      </c>
      <c r="N1694" t="s">
        <v>33</v>
      </c>
      <c r="O1694" t="s">
        <v>33</v>
      </c>
      <c r="P1694" t="s">
        <v>34</v>
      </c>
      <c r="Q1694" t="s">
        <v>35</v>
      </c>
      <c r="R1694" t="s">
        <v>124</v>
      </c>
      <c r="S1694" t="s">
        <v>30</v>
      </c>
      <c r="T1694" t="s">
        <v>1516</v>
      </c>
      <c r="U1694" t="s">
        <v>1517</v>
      </c>
      <c r="V1694" t="s">
        <v>39</v>
      </c>
      <c r="W1694" s="1">
        <v>2</v>
      </c>
    </row>
    <row r="1695" spans="1:23" x14ac:dyDescent="0.2">
      <c r="A1695" t="s">
        <v>23</v>
      </c>
      <c r="B1695" t="s">
        <v>1108</v>
      </c>
      <c r="C1695" t="s">
        <v>1495</v>
      </c>
      <c r="D1695" t="s">
        <v>1496</v>
      </c>
      <c r="E1695" t="s">
        <v>1497</v>
      </c>
      <c r="F1695" t="s">
        <v>1498</v>
      </c>
      <c r="G1695" t="s">
        <v>106</v>
      </c>
      <c r="H1695" t="s">
        <v>30</v>
      </c>
      <c r="I1695" t="s">
        <v>30</v>
      </c>
      <c r="J1695" t="s">
        <v>41</v>
      </c>
      <c r="K1695" t="s">
        <v>32</v>
      </c>
      <c r="L1695" t="s">
        <v>32</v>
      </c>
      <c r="M1695" t="s">
        <v>33</v>
      </c>
      <c r="N1695" t="s">
        <v>33</v>
      </c>
      <c r="O1695" t="s">
        <v>33</v>
      </c>
      <c r="P1695" t="s">
        <v>34</v>
      </c>
      <c r="Q1695" t="s">
        <v>35</v>
      </c>
      <c r="R1695" t="s">
        <v>124</v>
      </c>
      <c r="S1695" t="s">
        <v>30</v>
      </c>
      <c r="T1695" t="s">
        <v>1516</v>
      </c>
      <c r="U1695" t="s">
        <v>1517</v>
      </c>
      <c r="V1695" t="s">
        <v>40</v>
      </c>
      <c r="W1695" s="1">
        <v>1158400</v>
      </c>
    </row>
    <row r="1696" spans="1:23" x14ac:dyDescent="0.2">
      <c r="A1696" t="s">
        <v>23</v>
      </c>
      <c r="B1696" t="s">
        <v>1108</v>
      </c>
      <c r="C1696" t="s">
        <v>1495</v>
      </c>
      <c r="D1696" t="s">
        <v>1496</v>
      </c>
      <c r="E1696" t="s">
        <v>1497</v>
      </c>
      <c r="F1696" t="s">
        <v>1498</v>
      </c>
      <c r="G1696" t="s">
        <v>106</v>
      </c>
      <c r="H1696" t="s">
        <v>30</v>
      </c>
      <c r="I1696" t="s">
        <v>30</v>
      </c>
      <c r="J1696" t="s">
        <v>57</v>
      </c>
      <c r="K1696" t="s">
        <v>32</v>
      </c>
      <c r="L1696" t="s">
        <v>32</v>
      </c>
      <c r="M1696" t="s">
        <v>33</v>
      </c>
      <c r="N1696" t="s">
        <v>33</v>
      </c>
      <c r="O1696" t="s">
        <v>33</v>
      </c>
      <c r="P1696" t="s">
        <v>34</v>
      </c>
      <c r="Q1696" t="s">
        <v>35</v>
      </c>
      <c r="R1696" t="s">
        <v>294</v>
      </c>
      <c r="S1696" t="s">
        <v>30</v>
      </c>
      <c r="T1696" t="s">
        <v>1518</v>
      </c>
      <c r="U1696" t="s">
        <v>1519</v>
      </c>
      <c r="V1696" t="s">
        <v>39</v>
      </c>
      <c r="W1696" s="1">
        <v>5</v>
      </c>
    </row>
    <row r="1697" spans="1:23" x14ac:dyDescent="0.2">
      <c r="A1697" t="s">
        <v>23</v>
      </c>
      <c r="B1697" t="s">
        <v>1108</v>
      </c>
      <c r="C1697" t="s">
        <v>1495</v>
      </c>
      <c r="D1697" t="s">
        <v>1496</v>
      </c>
      <c r="E1697" t="s">
        <v>1497</v>
      </c>
      <c r="F1697" t="s">
        <v>1498</v>
      </c>
      <c r="G1697" t="s">
        <v>106</v>
      </c>
      <c r="H1697" t="s">
        <v>30</v>
      </c>
      <c r="I1697" t="s">
        <v>30</v>
      </c>
      <c r="J1697" t="s">
        <v>57</v>
      </c>
      <c r="K1697" t="s">
        <v>32</v>
      </c>
      <c r="L1697" t="s">
        <v>32</v>
      </c>
      <c r="M1697" t="s">
        <v>33</v>
      </c>
      <c r="N1697" t="s">
        <v>33</v>
      </c>
      <c r="O1697" t="s">
        <v>33</v>
      </c>
      <c r="P1697" t="s">
        <v>34</v>
      </c>
      <c r="Q1697" t="s">
        <v>35</v>
      </c>
      <c r="R1697" t="s">
        <v>294</v>
      </c>
      <c r="S1697" t="s">
        <v>30</v>
      </c>
      <c r="T1697" t="s">
        <v>1518</v>
      </c>
      <c r="U1697" t="s">
        <v>1519</v>
      </c>
      <c r="V1697" t="s">
        <v>40</v>
      </c>
      <c r="W1697" s="1">
        <v>6390000</v>
      </c>
    </row>
    <row r="1698" spans="1:23" x14ac:dyDescent="0.2">
      <c r="A1698" t="s">
        <v>23</v>
      </c>
      <c r="B1698" t="s">
        <v>1108</v>
      </c>
      <c r="C1698" t="s">
        <v>1495</v>
      </c>
      <c r="D1698" t="s">
        <v>1496</v>
      </c>
      <c r="E1698" t="s">
        <v>1497</v>
      </c>
      <c r="F1698" t="s">
        <v>1498</v>
      </c>
      <c r="G1698" t="s">
        <v>119</v>
      </c>
      <c r="H1698" t="s">
        <v>30</v>
      </c>
      <c r="I1698" t="s">
        <v>52</v>
      </c>
      <c r="J1698" t="s">
        <v>41</v>
      </c>
      <c r="K1698" t="s">
        <v>32</v>
      </c>
      <c r="L1698" t="s">
        <v>32</v>
      </c>
      <c r="M1698" t="s">
        <v>33</v>
      </c>
      <c r="P1698" t="s">
        <v>34</v>
      </c>
      <c r="Q1698" t="s">
        <v>35</v>
      </c>
      <c r="R1698" t="s">
        <v>36</v>
      </c>
      <c r="S1698" t="s">
        <v>30</v>
      </c>
      <c r="T1698" t="s">
        <v>1520</v>
      </c>
      <c r="U1698" t="s">
        <v>1521</v>
      </c>
      <c r="V1698" t="s">
        <v>39</v>
      </c>
      <c r="W1698" s="1">
        <v>5</v>
      </c>
    </row>
    <row r="1699" spans="1:23" x14ac:dyDescent="0.2">
      <c r="A1699" t="s">
        <v>23</v>
      </c>
      <c r="B1699" t="s">
        <v>1108</v>
      </c>
      <c r="C1699" t="s">
        <v>1495</v>
      </c>
      <c r="D1699" t="s">
        <v>1496</v>
      </c>
      <c r="E1699" t="s">
        <v>1497</v>
      </c>
      <c r="F1699" t="s">
        <v>1498</v>
      </c>
      <c r="G1699" t="s">
        <v>119</v>
      </c>
      <c r="H1699" t="s">
        <v>30</v>
      </c>
      <c r="I1699" t="s">
        <v>52</v>
      </c>
      <c r="J1699" t="s">
        <v>41</v>
      </c>
      <c r="K1699" t="s">
        <v>32</v>
      </c>
      <c r="L1699" t="s">
        <v>32</v>
      </c>
      <c r="M1699" t="s">
        <v>33</v>
      </c>
      <c r="P1699" t="s">
        <v>34</v>
      </c>
      <c r="Q1699" t="s">
        <v>35</v>
      </c>
      <c r="R1699" t="s">
        <v>36</v>
      </c>
      <c r="S1699" t="s">
        <v>30</v>
      </c>
      <c r="T1699" t="s">
        <v>1520</v>
      </c>
      <c r="U1699" t="s">
        <v>1521</v>
      </c>
      <c r="V1699" t="s">
        <v>40</v>
      </c>
      <c r="W1699" s="1">
        <v>4890500</v>
      </c>
    </row>
    <row r="1700" spans="1:23" x14ac:dyDescent="0.2">
      <c r="A1700" t="s">
        <v>23</v>
      </c>
      <c r="B1700" t="s">
        <v>1108</v>
      </c>
      <c r="C1700" t="s">
        <v>1495</v>
      </c>
      <c r="D1700" t="s">
        <v>1496</v>
      </c>
      <c r="E1700" t="s">
        <v>1522</v>
      </c>
      <c r="F1700" t="s">
        <v>1523</v>
      </c>
      <c r="G1700" t="s">
        <v>29</v>
      </c>
      <c r="H1700" t="s">
        <v>30</v>
      </c>
      <c r="I1700" t="s">
        <v>30</v>
      </c>
      <c r="J1700" t="s">
        <v>31</v>
      </c>
      <c r="K1700" t="s">
        <v>32</v>
      </c>
      <c r="L1700" t="s">
        <v>32</v>
      </c>
      <c r="M1700" t="s">
        <v>33</v>
      </c>
      <c r="N1700" t="s">
        <v>33</v>
      </c>
      <c r="O1700" t="s">
        <v>33</v>
      </c>
      <c r="P1700" t="s">
        <v>34</v>
      </c>
      <c r="Q1700" t="s">
        <v>35</v>
      </c>
      <c r="R1700" t="s">
        <v>184</v>
      </c>
      <c r="S1700" t="s">
        <v>30</v>
      </c>
      <c r="T1700" t="s">
        <v>1524</v>
      </c>
      <c r="U1700" t="s">
        <v>1525</v>
      </c>
      <c r="V1700" t="s">
        <v>39</v>
      </c>
      <c r="W1700" s="1">
        <v>2</v>
      </c>
    </row>
    <row r="1701" spans="1:23" x14ac:dyDescent="0.2">
      <c r="A1701" t="s">
        <v>23</v>
      </c>
      <c r="B1701" t="s">
        <v>1108</v>
      </c>
      <c r="C1701" t="s">
        <v>1495</v>
      </c>
      <c r="D1701" t="s">
        <v>1496</v>
      </c>
      <c r="E1701" t="s">
        <v>1522</v>
      </c>
      <c r="F1701" t="s">
        <v>1523</v>
      </c>
      <c r="G1701" t="s">
        <v>29</v>
      </c>
      <c r="H1701" t="s">
        <v>30</v>
      </c>
      <c r="I1701" t="s">
        <v>30</v>
      </c>
      <c r="J1701" t="s">
        <v>31</v>
      </c>
      <c r="K1701" t="s">
        <v>32</v>
      </c>
      <c r="L1701" t="s">
        <v>32</v>
      </c>
      <c r="M1701" t="s">
        <v>33</v>
      </c>
      <c r="N1701" t="s">
        <v>33</v>
      </c>
      <c r="O1701" t="s">
        <v>33</v>
      </c>
      <c r="P1701" t="s">
        <v>34</v>
      </c>
      <c r="Q1701" t="s">
        <v>35</v>
      </c>
      <c r="R1701" t="s">
        <v>184</v>
      </c>
      <c r="S1701" t="s">
        <v>30</v>
      </c>
      <c r="T1701" t="s">
        <v>1524</v>
      </c>
      <c r="U1701" t="s">
        <v>1525</v>
      </c>
      <c r="V1701" t="s">
        <v>40</v>
      </c>
      <c r="W1701" s="1">
        <v>2075400</v>
      </c>
    </row>
    <row r="1702" spans="1:23" x14ac:dyDescent="0.2">
      <c r="A1702" t="s">
        <v>23</v>
      </c>
      <c r="B1702" t="s">
        <v>1108</v>
      </c>
      <c r="C1702" t="s">
        <v>1495</v>
      </c>
      <c r="D1702" t="s">
        <v>1496</v>
      </c>
      <c r="E1702" t="s">
        <v>1522</v>
      </c>
      <c r="F1702" t="s">
        <v>1523</v>
      </c>
      <c r="G1702" t="s">
        <v>29</v>
      </c>
      <c r="H1702" t="s">
        <v>30</v>
      </c>
      <c r="I1702" t="s">
        <v>30</v>
      </c>
      <c r="J1702" t="s">
        <v>31</v>
      </c>
      <c r="K1702" t="s">
        <v>32</v>
      </c>
      <c r="L1702" t="s">
        <v>32</v>
      </c>
      <c r="M1702" t="s">
        <v>33</v>
      </c>
      <c r="N1702" t="s">
        <v>33</v>
      </c>
      <c r="O1702" t="s">
        <v>33</v>
      </c>
      <c r="P1702" t="s">
        <v>34</v>
      </c>
      <c r="Q1702" t="s">
        <v>35</v>
      </c>
      <c r="S1702" t="s">
        <v>30</v>
      </c>
      <c r="T1702" t="s">
        <v>438</v>
      </c>
      <c r="U1702" t="s">
        <v>1526</v>
      </c>
      <c r="V1702" t="s">
        <v>39</v>
      </c>
      <c r="W1702" s="1">
        <v>2</v>
      </c>
    </row>
    <row r="1703" spans="1:23" x14ac:dyDescent="0.2">
      <c r="A1703" t="s">
        <v>23</v>
      </c>
      <c r="B1703" t="s">
        <v>1108</v>
      </c>
      <c r="C1703" t="s">
        <v>1495</v>
      </c>
      <c r="D1703" t="s">
        <v>1496</v>
      </c>
      <c r="E1703" t="s">
        <v>1522</v>
      </c>
      <c r="F1703" t="s">
        <v>1523</v>
      </c>
      <c r="G1703" t="s">
        <v>29</v>
      </c>
      <c r="H1703" t="s">
        <v>30</v>
      </c>
      <c r="I1703" t="s">
        <v>30</v>
      </c>
      <c r="J1703" t="s">
        <v>31</v>
      </c>
      <c r="K1703" t="s">
        <v>32</v>
      </c>
      <c r="L1703" t="s">
        <v>32</v>
      </c>
      <c r="M1703" t="s">
        <v>33</v>
      </c>
      <c r="N1703" t="s">
        <v>33</v>
      </c>
      <c r="O1703" t="s">
        <v>33</v>
      </c>
      <c r="P1703" t="s">
        <v>34</v>
      </c>
      <c r="Q1703" t="s">
        <v>35</v>
      </c>
      <c r="S1703" t="s">
        <v>30</v>
      </c>
      <c r="T1703" t="s">
        <v>438</v>
      </c>
      <c r="U1703" t="s">
        <v>1526</v>
      </c>
      <c r="V1703" t="s">
        <v>40</v>
      </c>
      <c r="W1703" s="1">
        <v>2349200</v>
      </c>
    </row>
    <row r="1704" spans="1:23" x14ac:dyDescent="0.2">
      <c r="A1704" t="s">
        <v>23</v>
      </c>
      <c r="B1704" t="s">
        <v>1108</v>
      </c>
      <c r="C1704" t="s">
        <v>1495</v>
      </c>
      <c r="D1704" t="s">
        <v>1496</v>
      </c>
      <c r="E1704" t="s">
        <v>1522</v>
      </c>
      <c r="F1704" t="s">
        <v>1523</v>
      </c>
      <c r="G1704" t="s">
        <v>29</v>
      </c>
      <c r="H1704" t="s">
        <v>30</v>
      </c>
      <c r="I1704" t="s">
        <v>30</v>
      </c>
      <c r="J1704" t="s">
        <v>31</v>
      </c>
      <c r="K1704" t="s">
        <v>32</v>
      </c>
      <c r="L1704" t="s">
        <v>32</v>
      </c>
      <c r="M1704" t="s">
        <v>33</v>
      </c>
      <c r="N1704" t="s">
        <v>33</v>
      </c>
      <c r="O1704" t="s">
        <v>33</v>
      </c>
      <c r="P1704" t="s">
        <v>42</v>
      </c>
      <c r="Q1704" t="s">
        <v>43</v>
      </c>
      <c r="R1704" t="s">
        <v>73</v>
      </c>
      <c r="S1704" t="s">
        <v>30</v>
      </c>
      <c r="T1704" t="s">
        <v>1527</v>
      </c>
      <c r="U1704" t="s">
        <v>1528</v>
      </c>
      <c r="V1704" t="s">
        <v>39</v>
      </c>
      <c r="W1704" s="1">
        <v>1</v>
      </c>
    </row>
    <row r="1705" spans="1:23" x14ac:dyDescent="0.2">
      <c r="A1705" t="s">
        <v>23</v>
      </c>
      <c r="B1705" t="s">
        <v>1108</v>
      </c>
      <c r="C1705" t="s">
        <v>1495</v>
      </c>
      <c r="D1705" t="s">
        <v>1496</v>
      </c>
      <c r="E1705" t="s">
        <v>1522</v>
      </c>
      <c r="F1705" t="s">
        <v>1523</v>
      </c>
      <c r="G1705" t="s">
        <v>29</v>
      </c>
      <c r="H1705" t="s">
        <v>30</v>
      </c>
      <c r="I1705" t="s">
        <v>30</v>
      </c>
      <c r="J1705" t="s">
        <v>31</v>
      </c>
      <c r="K1705" t="s">
        <v>32</v>
      </c>
      <c r="L1705" t="s">
        <v>32</v>
      </c>
      <c r="M1705" t="s">
        <v>33</v>
      </c>
      <c r="N1705" t="s">
        <v>33</v>
      </c>
      <c r="O1705" t="s">
        <v>33</v>
      </c>
      <c r="P1705" t="s">
        <v>42</v>
      </c>
      <c r="Q1705" t="s">
        <v>43</v>
      </c>
      <c r="R1705" t="s">
        <v>73</v>
      </c>
      <c r="S1705" t="s">
        <v>30</v>
      </c>
      <c r="T1705" t="s">
        <v>1527</v>
      </c>
      <c r="U1705" t="s">
        <v>1528</v>
      </c>
      <c r="V1705" t="s">
        <v>40</v>
      </c>
      <c r="W1705" s="1">
        <v>1099900</v>
      </c>
    </row>
    <row r="1706" spans="1:23" x14ac:dyDescent="0.2">
      <c r="A1706" t="s">
        <v>23</v>
      </c>
      <c r="B1706" t="s">
        <v>1108</v>
      </c>
      <c r="C1706" t="s">
        <v>1495</v>
      </c>
      <c r="D1706" t="s">
        <v>1496</v>
      </c>
      <c r="E1706" t="s">
        <v>1522</v>
      </c>
      <c r="F1706" t="s">
        <v>1523</v>
      </c>
      <c r="G1706" t="s">
        <v>29</v>
      </c>
      <c r="H1706" t="s">
        <v>30</v>
      </c>
      <c r="I1706" t="s">
        <v>30</v>
      </c>
      <c r="J1706" t="s">
        <v>31</v>
      </c>
      <c r="K1706" t="s">
        <v>32</v>
      </c>
      <c r="L1706" t="s">
        <v>32</v>
      </c>
      <c r="M1706" t="s">
        <v>33</v>
      </c>
      <c r="N1706" t="s">
        <v>176</v>
      </c>
      <c r="O1706" t="s">
        <v>169</v>
      </c>
      <c r="P1706" t="s">
        <v>42</v>
      </c>
      <c r="Q1706" t="s">
        <v>43</v>
      </c>
      <c r="R1706" t="s">
        <v>73</v>
      </c>
      <c r="S1706" t="s">
        <v>30</v>
      </c>
      <c r="T1706" t="s">
        <v>1527</v>
      </c>
      <c r="U1706" t="s">
        <v>1528</v>
      </c>
      <c r="V1706" t="s">
        <v>39</v>
      </c>
      <c r="W1706" s="1">
        <v>1</v>
      </c>
    </row>
    <row r="1707" spans="1:23" x14ac:dyDescent="0.2">
      <c r="A1707" t="s">
        <v>23</v>
      </c>
      <c r="B1707" t="s">
        <v>1108</v>
      </c>
      <c r="C1707" t="s">
        <v>1495</v>
      </c>
      <c r="D1707" t="s">
        <v>1496</v>
      </c>
      <c r="E1707" t="s">
        <v>1522</v>
      </c>
      <c r="F1707" t="s">
        <v>1523</v>
      </c>
      <c r="G1707" t="s">
        <v>29</v>
      </c>
      <c r="H1707" t="s">
        <v>30</v>
      </c>
      <c r="I1707" t="s">
        <v>30</v>
      </c>
      <c r="J1707" t="s">
        <v>31</v>
      </c>
      <c r="K1707" t="s">
        <v>32</v>
      </c>
      <c r="L1707" t="s">
        <v>32</v>
      </c>
      <c r="M1707" t="s">
        <v>33</v>
      </c>
      <c r="N1707" t="s">
        <v>176</v>
      </c>
      <c r="O1707" t="s">
        <v>169</v>
      </c>
      <c r="P1707" t="s">
        <v>42</v>
      </c>
      <c r="Q1707" t="s">
        <v>43</v>
      </c>
      <c r="R1707" t="s">
        <v>73</v>
      </c>
      <c r="S1707" t="s">
        <v>30</v>
      </c>
      <c r="T1707" t="s">
        <v>1527</v>
      </c>
      <c r="U1707" t="s">
        <v>1528</v>
      </c>
      <c r="V1707" t="s">
        <v>40</v>
      </c>
      <c r="W1707" s="1">
        <v>1099900</v>
      </c>
    </row>
    <row r="1708" spans="1:23" x14ac:dyDescent="0.2">
      <c r="A1708" t="s">
        <v>23</v>
      </c>
      <c r="B1708" t="s">
        <v>1108</v>
      </c>
      <c r="C1708" t="s">
        <v>1495</v>
      </c>
      <c r="D1708" t="s">
        <v>1496</v>
      </c>
      <c r="E1708" t="s">
        <v>1522</v>
      </c>
      <c r="F1708" t="s">
        <v>1523</v>
      </c>
      <c r="G1708" t="s">
        <v>29</v>
      </c>
      <c r="H1708" t="s">
        <v>30</v>
      </c>
      <c r="I1708" t="s">
        <v>30</v>
      </c>
      <c r="J1708" t="s">
        <v>31</v>
      </c>
      <c r="K1708" t="s">
        <v>32</v>
      </c>
      <c r="L1708" t="s">
        <v>32</v>
      </c>
      <c r="M1708" t="s">
        <v>33</v>
      </c>
      <c r="N1708" t="s">
        <v>169</v>
      </c>
      <c r="O1708" t="s">
        <v>169</v>
      </c>
      <c r="P1708" t="s">
        <v>42</v>
      </c>
      <c r="Q1708" t="s">
        <v>43</v>
      </c>
      <c r="R1708" t="s">
        <v>73</v>
      </c>
      <c r="S1708" t="s">
        <v>30</v>
      </c>
      <c r="T1708" t="s">
        <v>1527</v>
      </c>
      <c r="U1708" t="s">
        <v>1528</v>
      </c>
      <c r="V1708" t="s">
        <v>39</v>
      </c>
      <c r="W1708" s="1">
        <v>1</v>
      </c>
    </row>
    <row r="1709" spans="1:23" x14ac:dyDescent="0.2">
      <c r="A1709" t="s">
        <v>23</v>
      </c>
      <c r="B1709" t="s">
        <v>1108</v>
      </c>
      <c r="C1709" t="s">
        <v>1495</v>
      </c>
      <c r="D1709" t="s">
        <v>1496</v>
      </c>
      <c r="E1709" t="s">
        <v>1522</v>
      </c>
      <c r="F1709" t="s">
        <v>1523</v>
      </c>
      <c r="G1709" t="s">
        <v>29</v>
      </c>
      <c r="H1709" t="s">
        <v>30</v>
      </c>
      <c r="I1709" t="s">
        <v>30</v>
      </c>
      <c r="J1709" t="s">
        <v>31</v>
      </c>
      <c r="K1709" t="s">
        <v>32</v>
      </c>
      <c r="L1709" t="s">
        <v>32</v>
      </c>
      <c r="M1709" t="s">
        <v>33</v>
      </c>
      <c r="N1709" t="s">
        <v>169</v>
      </c>
      <c r="O1709" t="s">
        <v>169</v>
      </c>
      <c r="P1709" t="s">
        <v>42</v>
      </c>
      <c r="Q1709" t="s">
        <v>43</v>
      </c>
      <c r="R1709" t="s">
        <v>73</v>
      </c>
      <c r="S1709" t="s">
        <v>30</v>
      </c>
      <c r="T1709" t="s">
        <v>1527</v>
      </c>
      <c r="U1709" t="s">
        <v>1528</v>
      </c>
      <c r="V1709" t="s">
        <v>40</v>
      </c>
      <c r="W1709" s="1">
        <v>1099900</v>
      </c>
    </row>
    <row r="1710" spans="1:23" x14ac:dyDescent="0.2">
      <c r="A1710" t="s">
        <v>23</v>
      </c>
      <c r="B1710" t="s">
        <v>1108</v>
      </c>
      <c r="C1710" t="s">
        <v>1495</v>
      </c>
      <c r="D1710" t="s">
        <v>1496</v>
      </c>
      <c r="E1710" t="s">
        <v>1522</v>
      </c>
      <c r="F1710" t="s">
        <v>1523</v>
      </c>
      <c r="G1710" t="s">
        <v>29</v>
      </c>
      <c r="H1710" t="s">
        <v>30</v>
      </c>
      <c r="I1710" t="s">
        <v>30</v>
      </c>
      <c r="J1710" t="s">
        <v>41</v>
      </c>
      <c r="K1710" t="s">
        <v>32</v>
      </c>
      <c r="L1710" t="s">
        <v>32</v>
      </c>
      <c r="M1710" t="s">
        <v>33</v>
      </c>
      <c r="N1710" t="s">
        <v>33</v>
      </c>
      <c r="O1710" t="s">
        <v>33</v>
      </c>
      <c r="P1710" t="s">
        <v>42</v>
      </c>
      <c r="Q1710" t="s">
        <v>43</v>
      </c>
      <c r="S1710" t="s">
        <v>30</v>
      </c>
      <c r="T1710" t="s">
        <v>1529</v>
      </c>
      <c r="U1710" t="s">
        <v>1530</v>
      </c>
      <c r="V1710" t="s">
        <v>39</v>
      </c>
      <c r="W1710" s="1">
        <v>2</v>
      </c>
    </row>
    <row r="1711" spans="1:23" x14ac:dyDescent="0.2">
      <c r="A1711" t="s">
        <v>23</v>
      </c>
      <c r="B1711" t="s">
        <v>1108</v>
      </c>
      <c r="C1711" t="s">
        <v>1495</v>
      </c>
      <c r="D1711" t="s">
        <v>1496</v>
      </c>
      <c r="E1711" t="s">
        <v>1522</v>
      </c>
      <c r="F1711" t="s">
        <v>1523</v>
      </c>
      <c r="G1711" t="s">
        <v>29</v>
      </c>
      <c r="H1711" t="s">
        <v>30</v>
      </c>
      <c r="I1711" t="s">
        <v>30</v>
      </c>
      <c r="J1711" t="s">
        <v>41</v>
      </c>
      <c r="K1711" t="s">
        <v>32</v>
      </c>
      <c r="L1711" t="s">
        <v>32</v>
      </c>
      <c r="M1711" t="s">
        <v>33</v>
      </c>
      <c r="N1711" t="s">
        <v>33</v>
      </c>
      <c r="O1711" t="s">
        <v>33</v>
      </c>
      <c r="P1711" t="s">
        <v>42</v>
      </c>
      <c r="Q1711" t="s">
        <v>43</v>
      </c>
      <c r="S1711" t="s">
        <v>30</v>
      </c>
      <c r="T1711" t="s">
        <v>1529</v>
      </c>
      <c r="U1711" t="s">
        <v>1530</v>
      </c>
      <c r="V1711" t="s">
        <v>40</v>
      </c>
      <c r="W1711" s="1">
        <v>9598000</v>
      </c>
    </row>
    <row r="1712" spans="1:23" x14ac:dyDescent="0.2">
      <c r="A1712" t="s">
        <v>23</v>
      </c>
      <c r="B1712" t="s">
        <v>1108</v>
      </c>
      <c r="C1712" t="s">
        <v>1495</v>
      </c>
      <c r="D1712" t="s">
        <v>1496</v>
      </c>
      <c r="E1712" t="s">
        <v>1522</v>
      </c>
      <c r="F1712" t="s">
        <v>1523</v>
      </c>
      <c r="G1712" t="s">
        <v>29</v>
      </c>
      <c r="H1712" t="s">
        <v>30</v>
      </c>
      <c r="I1712" t="s">
        <v>30</v>
      </c>
      <c r="J1712" t="s">
        <v>41</v>
      </c>
      <c r="K1712" t="s">
        <v>32</v>
      </c>
      <c r="L1712" t="s">
        <v>32</v>
      </c>
      <c r="M1712" t="s">
        <v>33</v>
      </c>
      <c r="P1712" t="s">
        <v>34</v>
      </c>
      <c r="Q1712" t="s">
        <v>35</v>
      </c>
      <c r="R1712" t="s">
        <v>54</v>
      </c>
      <c r="S1712" t="s">
        <v>52</v>
      </c>
      <c r="T1712" t="s">
        <v>1531</v>
      </c>
      <c r="U1712" t="s">
        <v>1532</v>
      </c>
      <c r="V1712" t="s">
        <v>39</v>
      </c>
      <c r="W1712" s="1">
        <v>0</v>
      </c>
    </row>
    <row r="1713" spans="1:23" x14ac:dyDescent="0.2">
      <c r="A1713" t="s">
        <v>23</v>
      </c>
      <c r="B1713" t="s">
        <v>1108</v>
      </c>
      <c r="C1713" t="s">
        <v>1495</v>
      </c>
      <c r="D1713" t="s">
        <v>1496</v>
      </c>
      <c r="E1713" t="s">
        <v>1522</v>
      </c>
      <c r="F1713" t="s">
        <v>1523</v>
      </c>
      <c r="G1713" t="s">
        <v>29</v>
      </c>
      <c r="H1713" t="s">
        <v>30</v>
      </c>
      <c r="I1713" t="s">
        <v>30</v>
      </c>
      <c r="J1713" t="s">
        <v>41</v>
      </c>
      <c r="K1713" t="s">
        <v>32</v>
      </c>
      <c r="L1713" t="s">
        <v>32</v>
      </c>
      <c r="M1713" t="s">
        <v>33</v>
      </c>
      <c r="P1713" t="s">
        <v>34</v>
      </c>
      <c r="Q1713" t="s">
        <v>35</v>
      </c>
      <c r="R1713" t="s">
        <v>54</v>
      </c>
      <c r="S1713" t="s">
        <v>52</v>
      </c>
      <c r="T1713" t="s">
        <v>1531</v>
      </c>
      <c r="U1713" t="s">
        <v>1532</v>
      </c>
      <c r="V1713" t="s">
        <v>40</v>
      </c>
      <c r="W1713" s="1">
        <v>1414000</v>
      </c>
    </row>
    <row r="1714" spans="1:23" x14ac:dyDescent="0.2">
      <c r="A1714" t="s">
        <v>23</v>
      </c>
      <c r="B1714" t="s">
        <v>1108</v>
      </c>
      <c r="C1714" t="s">
        <v>1495</v>
      </c>
      <c r="D1714" t="s">
        <v>1496</v>
      </c>
      <c r="E1714" t="s">
        <v>1522</v>
      </c>
      <c r="F1714" t="s">
        <v>1523</v>
      </c>
      <c r="G1714" t="s">
        <v>29</v>
      </c>
      <c r="H1714" t="s">
        <v>30</v>
      </c>
      <c r="I1714" t="s">
        <v>30</v>
      </c>
      <c r="J1714" t="s">
        <v>41</v>
      </c>
      <c r="K1714" t="s">
        <v>32</v>
      </c>
      <c r="L1714" t="s">
        <v>32</v>
      </c>
      <c r="M1714" t="s">
        <v>33</v>
      </c>
      <c r="P1714" t="s">
        <v>34</v>
      </c>
      <c r="Q1714" t="s">
        <v>35</v>
      </c>
      <c r="R1714" t="s">
        <v>54</v>
      </c>
      <c r="S1714" t="s">
        <v>52</v>
      </c>
      <c r="T1714" t="s">
        <v>1533</v>
      </c>
      <c r="U1714" t="s">
        <v>1534</v>
      </c>
      <c r="V1714" t="s">
        <v>39</v>
      </c>
      <c r="W1714" s="1">
        <v>0</v>
      </c>
    </row>
    <row r="1715" spans="1:23" x14ac:dyDescent="0.2">
      <c r="A1715" t="s">
        <v>23</v>
      </c>
      <c r="B1715" t="s">
        <v>1108</v>
      </c>
      <c r="C1715" t="s">
        <v>1495</v>
      </c>
      <c r="D1715" t="s">
        <v>1496</v>
      </c>
      <c r="E1715" t="s">
        <v>1522</v>
      </c>
      <c r="F1715" t="s">
        <v>1523</v>
      </c>
      <c r="G1715" t="s">
        <v>29</v>
      </c>
      <c r="H1715" t="s">
        <v>30</v>
      </c>
      <c r="I1715" t="s">
        <v>30</v>
      </c>
      <c r="J1715" t="s">
        <v>41</v>
      </c>
      <c r="K1715" t="s">
        <v>32</v>
      </c>
      <c r="L1715" t="s">
        <v>32</v>
      </c>
      <c r="M1715" t="s">
        <v>33</v>
      </c>
      <c r="P1715" t="s">
        <v>34</v>
      </c>
      <c r="Q1715" t="s">
        <v>35</v>
      </c>
      <c r="R1715" t="s">
        <v>54</v>
      </c>
      <c r="S1715" t="s">
        <v>52</v>
      </c>
      <c r="T1715" t="s">
        <v>1533</v>
      </c>
      <c r="U1715" t="s">
        <v>1534</v>
      </c>
      <c r="V1715" t="s">
        <v>40</v>
      </c>
      <c r="W1715" s="1">
        <v>1858000</v>
      </c>
    </row>
    <row r="1716" spans="1:23" x14ac:dyDescent="0.2">
      <c r="A1716" t="s">
        <v>23</v>
      </c>
      <c r="B1716" t="s">
        <v>1108</v>
      </c>
      <c r="C1716" t="s">
        <v>1495</v>
      </c>
      <c r="D1716" t="s">
        <v>1496</v>
      </c>
      <c r="E1716" t="s">
        <v>1522</v>
      </c>
      <c r="F1716" t="s">
        <v>1523</v>
      </c>
      <c r="G1716" t="s">
        <v>29</v>
      </c>
      <c r="H1716" t="s">
        <v>30</v>
      </c>
      <c r="I1716" t="s">
        <v>30</v>
      </c>
      <c r="J1716" t="s">
        <v>57</v>
      </c>
      <c r="K1716" t="s">
        <v>32</v>
      </c>
      <c r="L1716" t="s">
        <v>32</v>
      </c>
      <c r="M1716" t="s">
        <v>33</v>
      </c>
      <c r="N1716" t="s">
        <v>33</v>
      </c>
      <c r="O1716" t="s">
        <v>33</v>
      </c>
      <c r="P1716" t="s">
        <v>42</v>
      </c>
      <c r="Q1716" t="s">
        <v>43</v>
      </c>
      <c r="R1716" t="s">
        <v>294</v>
      </c>
      <c r="S1716" t="s">
        <v>30</v>
      </c>
      <c r="T1716" t="s">
        <v>1535</v>
      </c>
      <c r="U1716" t="s">
        <v>1536</v>
      </c>
      <c r="V1716" t="s">
        <v>39</v>
      </c>
      <c r="W1716" s="1">
        <v>2</v>
      </c>
    </row>
    <row r="1717" spans="1:23" x14ac:dyDescent="0.2">
      <c r="A1717" t="s">
        <v>23</v>
      </c>
      <c r="B1717" t="s">
        <v>1108</v>
      </c>
      <c r="C1717" t="s">
        <v>1495</v>
      </c>
      <c r="D1717" t="s">
        <v>1496</v>
      </c>
      <c r="E1717" t="s">
        <v>1522</v>
      </c>
      <c r="F1717" t="s">
        <v>1523</v>
      </c>
      <c r="G1717" t="s">
        <v>29</v>
      </c>
      <c r="H1717" t="s">
        <v>30</v>
      </c>
      <c r="I1717" t="s">
        <v>30</v>
      </c>
      <c r="J1717" t="s">
        <v>57</v>
      </c>
      <c r="K1717" t="s">
        <v>32</v>
      </c>
      <c r="L1717" t="s">
        <v>32</v>
      </c>
      <c r="M1717" t="s">
        <v>33</v>
      </c>
      <c r="N1717" t="s">
        <v>33</v>
      </c>
      <c r="O1717" t="s">
        <v>33</v>
      </c>
      <c r="P1717" t="s">
        <v>42</v>
      </c>
      <c r="Q1717" t="s">
        <v>43</v>
      </c>
      <c r="R1717" t="s">
        <v>294</v>
      </c>
      <c r="S1717" t="s">
        <v>30</v>
      </c>
      <c r="T1717" t="s">
        <v>1535</v>
      </c>
      <c r="U1717" t="s">
        <v>1536</v>
      </c>
      <c r="V1717" t="s">
        <v>40</v>
      </c>
      <c r="W1717" s="1">
        <v>3646000</v>
      </c>
    </row>
    <row r="1718" spans="1:23" x14ac:dyDescent="0.2">
      <c r="A1718" t="s">
        <v>23</v>
      </c>
      <c r="B1718" t="s">
        <v>1108</v>
      </c>
      <c r="C1718" t="s">
        <v>1495</v>
      </c>
      <c r="D1718" t="s">
        <v>1496</v>
      </c>
      <c r="E1718" t="s">
        <v>1522</v>
      </c>
      <c r="F1718" t="s">
        <v>1523</v>
      </c>
      <c r="G1718" t="s">
        <v>49</v>
      </c>
      <c r="H1718" t="s">
        <v>30</v>
      </c>
      <c r="I1718" t="s">
        <v>30</v>
      </c>
      <c r="J1718" t="s">
        <v>128</v>
      </c>
      <c r="K1718" t="s">
        <v>181</v>
      </c>
      <c r="L1718" t="s">
        <v>32</v>
      </c>
      <c r="M1718" t="s">
        <v>33</v>
      </c>
      <c r="N1718" t="s">
        <v>33</v>
      </c>
      <c r="O1718" t="s">
        <v>33</v>
      </c>
      <c r="P1718" t="s">
        <v>34</v>
      </c>
      <c r="Q1718" t="s">
        <v>35</v>
      </c>
      <c r="S1718" t="s">
        <v>30</v>
      </c>
      <c r="T1718" t="s">
        <v>1537</v>
      </c>
      <c r="U1718" t="s">
        <v>1538</v>
      </c>
      <c r="V1718" t="s">
        <v>39</v>
      </c>
      <c r="W1718" s="1">
        <v>1</v>
      </c>
    </row>
    <row r="1719" spans="1:23" x14ac:dyDescent="0.2">
      <c r="A1719" t="s">
        <v>23</v>
      </c>
      <c r="B1719" t="s">
        <v>1108</v>
      </c>
      <c r="C1719" t="s">
        <v>1495</v>
      </c>
      <c r="D1719" t="s">
        <v>1496</v>
      </c>
      <c r="E1719" t="s">
        <v>1522</v>
      </c>
      <c r="F1719" t="s">
        <v>1523</v>
      </c>
      <c r="G1719" t="s">
        <v>49</v>
      </c>
      <c r="H1719" t="s">
        <v>30</v>
      </c>
      <c r="I1719" t="s">
        <v>30</v>
      </c>
      <c r="J1719" t="s">
        <v>128</v>
      </c>
      <c r="K1719" t="s">
        <v>181</v>
      </c>
      <c r="L1719" t="s">
        <v>32</v>
      </c>
      <c r="M1719" t="s">
        <v>33</v>
      </c>
      <c r="N1719" t="s">
        <v>33</v>
      </c>
      <c r="O1719" t="s">
        <v>33</v>
      </c>
      <c r="P1719" t="s">
        <v>34</v>
      </c>
      <c r="Q1719" t="s">
        <v>35</v>
      </c>
      <c r="S1719" t="s">
        <v>30</v>
      </c>
      <c r="T1719" t="s">
        <v>1537</v>
      </c>
      <c r="U1719" t="s">
        <v>1538</v>
      </c>
      <c r="V1719" t="s">
        <v>40</v>
      </c>
      <c r="W1719" s="1">
        <v>975900</v>
      </c>
    </row>
    <row r="1720" spans="1:23" x14ac:dyDescent="0.2">
      <c r="A1720" t="s">
        <v>23</v>
      </c>
      <c r="B1720" t="s">
        <v>1108</v>
      </c>
      <c r="C1720" t="s">
        <v>1495</v>
      </c>
      <c r="D1720" t="s">
        <v>1496</v>
      </c>
      <c r="E1720" t="s">
        <v>1522</v>
      </c>
      <c r="F1720" t="s">
        <v>1523</v>
      </c>
      <c r="G1720" t="s">
        <v>49</v>
      </c>
      <c r="H1720" t="s">
        <v>30</v>
      </c>
      <c r="I1720" t="s">
        <v>30</v>
      </c>
      <c r="J1720" t="s">
        <v>128</v>
      </c>
      <c r="K1720" t="s">
        <v>181</v>
      </c>
      <c r="L1720" t="s">
        <v>32</v>
      </c>
      <c r="M1720" t="s">
        <v>33</v>
      </c>
      <c r="N1720" t="s">
        <v>33</v>
      </c>
      <c r="O1720" t="s">
        <v>33</v>
      </c>
      <c r="P1720" t="s">
        <v>34</v>
      </c>
      <c r="Q1720" t="s">
        <v>35</v>
      </c>
      <c r="S1720" t="s">
        <v>30</v>
      </c>
      <c r="T1720" t="s">
        <v>1539</v>
      </c>
      <c r="U1720" t="s">
        <v>1540</v>
      </c>
      <c r="V1720" t="s">
        <v>39</v>
      </c>
      <c r="W1720" s="1">
        <v>2</v>
      </c>
    </row>
    <row r="1721" spans="1:23" x14ac:dyDescent="0.2">
      <c r="A1721" t="s">
        <v>23</v>
      </c>
      <c r="B1721" t="s">
        <v>1108</v>
      </c>
      <c r="C1721" t="s">
        <v>1495</v>
      </c>
      <c r="D1721" t="s">
        <v>1496</v>
      </c>
      <c r="E1721" t="s">
        <v>1522</v>
      </c>
      <c r="F1721" t="s">
        <v>1523</v>
      </c>
      <c r="G1721" t="s">
        <v>49</v>
      </c>
      <c r="H1721" t="s">
        <v>30</v>
      </c>
      <c r="I1721" t="s">
        <v>30</v>
      </c>
      <c r="J1721" t="s">
        <v>128</v>
      </c>
      <c r="K1721" t="s">
        <v>181</v>
      </c>
      <c r="L1721" t="s">
        <v>32</v>
      </c>
      <c r="M1721" t="s">
        <v>33</v>
      </c>
      <c r="N1721" t="s">
        <v>33</v>
      </c>
      <c r="O1721" t="s">
        <v>33</v>
      </c>
      <c r="P1721" t="s">
        <v>34</v>
      </c>
      <c r="Q1721" t="s">
        <v>35</v>
      </c>
      <c r="S1721" t="s">
        <v>30</v>
      </c>
      <c r="T1721" t="s">
        <v>1539</v>
      </c>
      <c r="U1721" t="s">
        <v>1540</v>
      </c>
      <c r="V1721" t="s">
        <v>40</v>
      </c>
      <c r="W1721" s="1">
        <v>1949200</v>
      </c>
    </row>
    <row r="1722" spans="1:23" x14ac:dyDescent="0.2">
      <c r="A1722" t="s">
        <v>23</v>
      </c>
      <c r="B1722" t="s">
        <v>1108</v>
      </c>
      <c r="C1722" t="s">
        <v>1495</v>
      </c>
      <c r="D1722" t="s">
        <v>1496</v>
      </c>
      <c r="E1722" t="s">
        <v>1522</v>
      </c>
      <c r="F1722" t="s">
        <v>1523</v>
      </c>
      <c r="G1722" t="s">
        <v>49</v>
      </c>
      <c r="H1722" t="s">
        <v>30</v>
      </c>
      <c r="I1722" t="s">
        <v>30</v>
      </c>
      <c r="J1722" t="s">
        <v>31</v>
      </c>
      <c r="K1722" t="s">
        <v>32</v>
      </c>
      <c r="L1722" t="s">
        <v>32</v>
      </c>
      <c r="M1722" t="s">
        <v>33</v>
      </c>
      <c r="N1722" t="s">
        <v>33</v>
      </c>
      <c r="O1722" t="s">
        <v>33</v>
      </c>
      <c r="P1722" t="s">
        <v>42</v>
      </c>
      <c r="Q1722" t="s">
        <v>43</v>
      </c>
      <c r="S1722" t="s">
        <v>30</v>
      </c>
      <c r="T1722" t="s">
        <v>1541</v>
      </c>
      <c r="U1722" t="s">
        <v>1542</v>
      </c>
      <c r="V1722" t="s">
        <v>39</v>
      </c>
      <c r="W1722" s="1">
        <v>6</v>
      </c>
    </row>
    <row r="1723" spans="1:23" x14ac:dyDescent="0.2">
      <c r="A1723" t="s">
        <v>23</v>
      </c>
      <c r="B1723" t="s">
        <v>1108</v>
      </c>
      <c r="C1723" t="s">
        <v>1495</v>
      </c>
      <c r="D1723" t="s">
        <v>1496</v>
      </c>
      <c r="E1723" t="s">
        <v>1522</v>
      </c>
      <c r="F1723" t="s">
        <v>1523</v>
      </c>
      <c r="G1723" t="s">
        <v>49</v>
      </c>
      <c r="H1723" t="s">
        <v>30</v>
      </c>
      <c r="I1723" t="s">
        <v>30</v>
      </c>
      <c r="J1723" t="s">
        <v>31</v>
      </c>
      <c r="K1723" t="s">
        <v>32</v>
      </c>
      <c r="L1723" t="s">
        <v>32</v>
      </c>
      <c r="M1723" t="s">
        <v>33</v>
      </c>
      <c r="N1723" t="s">
        <v>33</v>
      </c>
      <c r="O1723" t="s">
        <v>33</v>
      </c>
      <c r="P1723" t="s">
        <v>42</v>
      </c>
      <c r="Q1723" t="s">
        <v>43</v>
      </c>
      <c r="S1723" t="s">
        <v>30</v>
      </c>
      <c r="T1723" t="s">
        <v>1541</v>
      </c>
      <c r="U1723" t="s">
        <v>1542</v>
      </c>
      <c r="V1723" t="s">
        <v>40</v>
      </c>
      <c r="W1723" s="1">
        <v>5820600</v>
      </c>
    </row>
    <row r="1724" spans="1:23" x14ac:dyDescent="0.2">
      <c r="A1724" t="s">
        <v>23</v>
      </c>
      <c r="B1724" t="s">
        <v>1108</v>
      </c>
      <c r="C1724" t="s">
        <v>1495</v>
      </c>
      <c r="D1724" t="s">
        <v>1496</v>
      </c>
      <c r="E1724" t="s">
        <v>1522</v>
      </c>
      <c r="F1724" t="s">
        <v>1523</v>
      </c>
      <c r="G1724" t="s">
        <v>49</v>
      </c>
      <c r="H1724" t="s">
        <v>30</v>
      </c>
      <c r="I1724" t="s">
        <v>30</v>
      </c>
      <c r="J1724" t="s">
        <v>31</v>
      </c>
      <c r="K1724" t="s">
        <v>32</v>
      </c>
      <c r="L1724" t="s">
        <v>32</v>
      </c>
      <c r="M1724" t="s">
        <v>33</v>
      </c>
      <c r="P1724" t="s">
        <v>34</v>
      </c>
      <c r="Q1724" t="s">
        <v>35</v>
      </c>
      <c r="R1724" t="s">
        <v>184</v>
      </c>
      <c r="S1724" t="s">
        <v>52</v>
      </c>
      <c r="T1724" t="s">
        <v>1543</v>
      </c>
      <c r="U1724" t="s">
        <v>1544</v>
      </c>
      <c r="V1724" t="s">
        <v>39</v>
      </c>
      <c r="W1724" s="1">
        <v>0</v>
      </c>
    </row>
    <row r="1725" spans="1:23" x14ac:dyDescent="0.2">
      <c r="A1725" t="s">
        <v>23</v>
      </c>
      <c r="B1725" t="s">
        <v>1108</v>
      </c>
      <c r="C1725" t="s">
        <v>1495</v>
      </c>
      <c r="D1725" t="s">
        <v>1496</v>
      </c>
      <c r="E1725" t="s">
        <v>1522</v>
      </c>
      <c r="F1725" t="s">
        <v>1523</v>
      </c>
      <c r="G1725" t="s">
        <v>49</v>
      </c>
      <c r="H1725" t="s">
        <v>30</v>
      </c>
      <c r="I1725" t="s">
        <v>30</v>
      </c>
      <c r="J1725" t="s">
        <v>31</v>
      </c>
      <c r="K1725" t="s">
        <v>32</v>
      </c>
      <c r="L1725" t="s">
        <v>32</v>
      </c>
      <c r="M1725" t="s">
        <v>33</v>
      </c>
      <c r="P1725" t="s">
        <v>34</v>
      </c>
      <c r="Q1725" t="s">
        <v>35</v>
      </c>
      <c r="R1725" t="s">
        <v>184</v>
      </c>
      <c r="S1725" t="s">
        <v>52</v>
      </c>
      <c r="T1725" t="s">
        <v>1543</v>
      </c>
      <c r="U1725" t="s">
        <v>1544</v>
      </c>
      <c r="V1725" t="s">
        <v>40</v>
      </c>
      <c r="W1725" s="1">
        <v>2019800</v>
      </c>
    </row>
    <row r="1726" spans="1:23" x14ac:dyDescent="0.2">
      <c r="A1726" t="s">
        <v>23</v>
      </c>
      <c r="B1726" t="s">
        <v>1108</v>
      </c>
      <c r="C1726" t="s">
        <v>1495</v>
      </c>
      <c r="D1726" t="s">
        <v>1496</v>
      </c>
      <c r="E1726" t="s">
        <v>1522</v>
      </c>
      <c r="F1726" t="s">
        <v>1523</v>
      </c>
      <c r="G1726" t="s">
        <v>49</v>
      </c>
      <c r="H1726" t="s">
        <v>30</v>
      </c>
      <c r="I1726" t="s">
        <v>30</v>
      </c>
      <c r="J1726" t="s">
        <v>31</v>
      </c>
      <c r="K1726" t="s">
        <v>32</v>
      </c>
      <c r="L1726" t="s">
        <v>32</v>
      </c>
      <c r="M1726" t="s">
        <v>33</v>
      </c>
      <c r="P1726" t="s">
        <v>34</v>
      </c>
      <c r="Q1726" t="s">
        <v>35</v>
      </c>
      <c r="R1726" t="s">
        <v>184</v>
      </c>
      <c r="S1726" t="s">
        <v>52</v>
      </c>
      <c r="T1726" t="s">
        <v>1543</v>
      </c>
      <c r="U1726" t="s">
        <v>1545</v>
      </c>
      <c r="V1726" t="s">
        <v>39</v>
      </c>
      <c r="W1726" s="1">
        <v>0</v>
      </c>
    </row>
    <row r="1727" spans="1:23" x14ac:dyDescent="0.2">
      <c r="A1727" t="s">
        <v>23</v>
      </c>
      <c r="B1727" t="s">
        <v>1108</v>
      </c>
      <c r="C1727" t="s">
        <v>1495</v>
      </c>
      <c r="D1727" t="s">
        <v>1496</v>
      </c>
      <c r="E1727" t="s">
        <v>1522</v>
      </c>
      <c r="F1727" t="s">
        <v>1523</v>
      </c>
      <c r="G1727" t="s">
        <v>49</v>
      </c>
      <c r="H1727" t="s">
        <v>30</v>
      </c>
      <c r="I1727" t="s">
        <v>30</v>
      </c>
      <c r="J1727" t="s">
        <v>31</v>
      </c>
      <c r="K1727" t="s">
        <v>32</v>
      </c>
      <c r="L1727" t="s">
        <v>32</v>
      </c>
      <c r="M1727" t="s">
        <v>33</v>
      </c>
      <c r="P1727" t="s">
        <v>34</v>
      </c>
      <c r="Q1727" t="s">
        <v>35</v>
      </c>
      <c r="R1727" t="s">
        <v>184</v>
      </c>
      <c r="S1727" t="s">
        <v>52</v>
      </c>
      <c r="T1727" t="s">
        <v>1543</v>
      </c>
      <c r="U1727" t="s">
        <v>1545</v>
      </c>
      <c r="V1727" t="s">
        <v>40</v>
      </c>
      <c r="W1727" s="1">
        <v>2019800</v>
      </c>
    </row>
    <row r="1728" spans="1:23" x14ac:dyDescent="0.2">
      <c r="A1728" t="s">
        <v>23</v>
      </c>
      <c r="B1728" t="s">
        <v>1108</v>
      </c>
      <c r="C1728" t="s">
        <v>1495</v>
      </c>
      <c r="D1728" t="s">
        <v>1496</v>
      </c>
      <c r="E1728" t="s">
        <v>1522</v>
      </c>
      <c r="F1728" t="s">
        <v>1523</v>
      </c>
      <c r="G1728" t="s">
        <v>49</v>
      </c>
      <c r="H1728" t="s">
        <v>30</v>
      </c>
      <c r="I1728" t="s">
        <v>30</v>
      </c>
      <c r="J1728" t="s">
        <v>31</v>
      </c>
      <c r="K1728" t="s">
        <v>32</v>
      </c>
      <c r="L1728" t="s">
        <v>32</v>
      </c>
      <c r="M1728" t="s">
        <v>33</v>
      </c>
      <c r="P1728" t="s">
        <v>34</v>
      </c>
      <c r="Q1728" t="s">
        <v>35</v>
      </c>
      <c r="R1728" t="s">
        <v>36</v>
      </c>
      <c r="S1728" t="s">
        <v>52</v>
      </c>
      <c r="T1728" t="s">
        <v>1546</v>
      </c>
      <c r="U1728" t="s">
        <v>1547</v>
      </c>
      <c r="V1728" t="s">
        <v>39</v>
      </c>
      <c r="W1728" s="1">
        <v>0</v>
      </c>
    </row>
    <row r="1729" spans="1:23" x14ac:dyDescent="0.2">
      <c r="A1729" t="s">
        <v>23</v>
      </c>
      <c r="B1729" t="s">
        <v>1108</v>
      </c>
      <c r="C1729" t="s">
        <v>1495</v>
      </c>
      <c r="D1729" t="s">
        <v>1496</v>
      </c>
      <c r="E1729" t="s">
        <v>1522</v>
      </c>
      <c r="F1729" t="s">
        <v>1523</v>
      </c>
      <c r="G1729" t="s">
        <v>49</v>
      </c>
      <c r="H1729" t="s">
        <v>30</v>
      </c>
      <c r="I1729" t="s">
        <v>30</v>
      </c>
      <c r="J1729" t="s">
        <v>31</v>
      </c>
      <c r="K1729" t="s">
        <v>32</v>
      </c>
      <c r="L1729" t="s">
        <v>32</v>
      </c>
      <c r="M1729" t="s">
        <v>33</v>
      </c>
      <c r="P1729" t="s">
        <v>34</v>
      </c>
      <c r="Q1729" t="s">
        <v>35</v>
      </c>
      <c r="R1729" t="s">
        <v>36</v>
      </c>
      <c r="S1729" t="s">
        <v>52</v>
      </c>
      <c r="T1729" t="s">
        <v>1546</v>
      </c>
      <c r="U1729" t="s">
        <v>1547</v>
      </c>
      <c r="V1729" t="s">
        <v>40</v>
      </c>
      <c r="W1729" s="1">
        <v>6039600</v>
      </c>
    </row>
    <row r="1730" spans="1:23" x14ac:dyDescent="0.2">
      <c r="A1730" t="s">
        <v>23</v>
      </c>
      <c r="B1730" t="s">
        <v>1108</v>
      </c>
      <c r="C1730" t="s">
        <v>1495</v>
      </c>
      <c r="D1730" t="s">
        <v>1496</v>
      </c>
      <c r="E1730" t="s">
        <v>1522</v>
      </c>
      <c r="F1730" t="s">
        <v>1523</v>
      </c>
      <c r="G1730" t="s">
        <v>49</v>
      </c>
      <c r="H1730" t="s">
        <v>30</v>
      </c>
      <c r="I1730" t="s">
        <v>30</v>
      </c>
      <c r="J1730" t="s">
        <v>31</v>
      </c>
      <c r="K1730" t="s">
        <v>32</v>
      </c>
      <c r="L1730" t="s">
        <v>32</v>
      </c>
      <c r="M1730" t="s">
        <v>33</v>
      </c>
      <c r="P1730" t="s">
        <v>34</v>
      </c>
      <c r="Q1730" t="s">
        <v>35</v>
      </c>
      <c r="S1730" t="s">
        <v>52</v>
      </c>
      <c r="T1730" t="s">
        <v>1548</v>
      </c>
      <c r="U1730" t="s">
        <v>1549</v>
      </c>
      <c r="V1730" t="s">
        <v>39</v>
      </c>
      <c r="W1730" s="1">
        <v>0</v>
      </c>
    </row>
    <row r="1731" spans="1:23" x14ac:dyDescent="0.2">
      <c r="A1731" t="s">
        <v>23</v>
      </c>
      <c r="B1731" t="s">
        <v>1108</v>
      </c>
      <c r="C1731" t="s">
        <v>1495</v>
      </c>
      <c r="D1731" t="s">
        <v>1496</v>
      </c>
      <c r="E1731" t="s">
        <v>1522</v>
      </c>
      <c r="F1731" t="s">
        <v>1523</v>
      </c>
      <c r="G1731" t="s">
        <v>49</v>
      </c>
      <c r="H1731" t="s">
        <v>30</v>
      </c>
      <c r="I1731" t="s">
        <v>30</v>
      </c>
      <c r="J1731" t="s">
        <v>31</v>
      </c>
      <c r="K1731" t="s">
        <v>32</v>
      </c>
      <c r="L1731" t="s">
        <v>32</v>
      </c>
      <c r="M1731" t="s">
        <v>33</v>
      </c>
      <c r="P1731" t="s">
        <v>34</v>
      </c>
      <c r="Q1731" t="s">
        <v>35</v>
      </c>
      <c r="S1731" t="s">
        <v>52</v>
      </c>
      <c r="T1731" t="s">
        <v>1548</v>
      </c>
      <c r="U1731" t="s">
        <v>1549</v>
      </c>
      <c r="V1731" t="s">
        <v>40</v>
      </c>
      <c r="W1731" s="1">
        <v>2349200</v>
      </c>
    </row>
    <row r="1732" spans="1:23" x14ac:dyDescent="0.2">
      <c r="A1732" t="s">
        <v>23</v>
      </c>
      <c r="B1732" t="s">
        <v>1108</v>
      </c>
      <c r="C1732" t="s">
        <v>1495</v>
      </c>
      <c r="D1732" t="s">
        <v>1496</v>
      </c>
      <c r="E1732" t="s">
        <v>1522</v>
      </c>
      <c r="F1732" t="s">
        <v>1523</v>
      </c>
      <c r="G1732" t="s">
        <v>49</v>
      </c>
      <c r="H1732" t="s">
        <v>30</v>
      </c>
      <c r="I1732" t="s">
        <v>30</v>
      </c>
      <c r="J1732" t="s">
        <v>41</v>
      </c>
      <c r="K1732" t="s">
        <v>32</v>
      </c>
      <c r="L1732" t="s">
        <v>32</v>
      </c>
      <c r="M1732" t="s">
        <v>33</v>
      </c>
      <c r="N1732" t="s">
        <v>33</v>
      </c>
      <c r="O1732" t="s">
        <v>33</v>
      </c>
      <c r="P1732" t="s">
        <v>34</v>
      </c>
      <c r="Q1732" t="s">
        <v>35</v>
      </c>
      <c r="S1732" t="s">
        <v>30</v>
      </c>
      <c r="T1732" t="s">
        <v>1550</v>
      </c>
      <c r="U1732" t="s">
        <v>1551</v>
      </c>
      <c r="V1732" t="s">
        <v>39</v>
      </c>
      <c r="W1732" s="1">
        <v>2</v>
      </c>
    </row>
    <row r="1733" spans="1:23" x14ac:dyDescent="0.2">
      <c r="A1733" t="s">
        <v>23</v>
      </c>
      <c r="B1733" t="s">
        <v>1108</v>
      </c>
      <c r="C1733" t="s">
        <v>1495</v>
      </c>
      <c r="D1733" t="s">
        <v>1496</v>
      </c>
      <c r="E1733" t="s">
        <v>1522</v>
      </c>
      <c r="F1733" t="s">
        <v>1523</v>
      </c>
      <c r="G1733" t="s">
        <v>49</v>
      </c>
      <c r="H1733" t="s">
        <v>30</v>
      </c>
      <c r="I1733" t="s">
        <v>30</v>
      </c>
      <c r="J1733" t="s">
        <v>41</v>
      </c>
      <c r="K1733" t="s">
        <v>32</v>
      </c>
      <c r="L1733" t="s">
        <v>32</v>
      </c>
      <c r="M1733" t="s">
        <v>33</v>
      </c>
      <c r="N1733" t="s">
        <v>33</v>
      </c>
      <c r="O1733" t="s">
        <v>33</v>
      </c>
      <c r="P1733" t="s">
        <v>34</v>
      </c>
      <c r="Q1733" t="s">
        <v>35</v>
      </c>
      <c r="S1733" t="s">
        <v>30</v>
      </c>
      <c r="T1733" t="s">
        <v>1550</v>
      </c>
      <c r="U1733" t="s">
        <v>1551</v>
      </c>
      <c r="V1733" t="s">
        <v>40</v>
      </c>
      <c r="W1733" s="1">
        <v>8998000</v>
      </c>
    </row>
    <row r="1734" spans="1:23" x14ac:dyDescent="0.2">
      <c r="A1734" t="s">
        <v>23</v>
      </c>
      <c r="B1734" t="s">
        <v>1108</v>
      </c>
      <c r="C1734" t="s">
        <v>1495</v>
      </c>
      <c r="D1734" t="s">
        <v>1496</v>
      </c>
      <c r="E1734" t="s">
        <v>1522</v>
      </c>
      <c r="F1734" t="s">
        <v>1523</v>
      </c>
      <c r="G1734" t="s">
        <v>49</v>
      </c>
      <c r="H1734" t="s">
        <v>30</v>
      </c>
      <c r="I1734" t="s">
        <v>30</v>
      </c>
      <c r="J1734" t="s">
        <v>41</v>
      </c>
      <c r="K1734" t="s">
        <v>32</v>
      </c>
      <c r="L1734" t="s">
        <v>32</v>
      </c>
      <c r="M1734" t="s">
        <v>33</v>
      </c>
      <c r="P1734" t="s">
        <v>34</v>
      </c>
      <c r="Q1734" t="s">
        <v>35</v>
      </c>
      <c r="S1734" t="s">
        <v>30</v>
      </c>
      <c r="T1734" t="s">
        <v>1552</v>
      </c>
      <c r="U1734" t="s">
        <v>1553</v>
      </c>
      <c r="V1734" t="s">
        <v>39</v>
      </c>
      <c r="W1734" s="1">
        <v>2</v>
      </c>
    </row>
    <row r="1735" spans="1:23" x14ac:dyDescent="0.2">
      <c r="A1735" t="s">
        <v>23</v>
      </c>
      <c r="B1735" t="s">
        <v>1108</v>
      </c>
      <c r="C1735" t="s">
        <v>1495</v>
      </c>
      <c r="D1735" t="s">
        <v>1496</v>
      </c>
      <c r="E1735" t="s">
        <v>1522</v>
      </c>
      <c r="F1735" t="s">
        <v>1523</v>
      </c>
      <c r="G1735" t="s">
        <v>49</v>
      </c>
      <c r="H1735" t="s">
        <v>30</v>
      </c>
      <c r="I1735" t="s">
        <v>30</v>
      </c>
      <c r="J1735" t="s">
        <v>41</v>
      </c>
      <c r="K1735" t="s">
        <v>32</v>
      </c>
      <c r="L1735" t="s">
        <v>32</v>
      </c>
      <c r="M1735" t="s">
        <v>33</v>
      </c>
      <c r="P1735" t="s">
        <v>34</v>
      </c>
      <c r="Q1735" t="s">
        <v>35</v>
      </c>
      <c r="S1735" t="s">
        <v>30</v>
      </c>
      <c r="T1735" t="s">
        <v>1552</v>
      </c>
      <c r="U1735" t="s">
        <v>1553</v>
      </c>
      <c r="V1735" t="s">
        <v>40</v>
      </c>
      <c r="W1735" s="1">
        <v>11598000</v>
      </c>
    </row>
    <row r="1736" spans="1:23" x14ac:dyDescent="0.2">
      <c r="A1736" t="s">
        <v>23</v>
      </c>
      <c r="B1736" t="s">
        <v>1108</v>
      </c>
      <c r="C1736" t="s">
        <v>1495</v>
      </c>
      <c r="D1736" t="s">
        <v>1496</v>
      </c>
      <c r="E1736" t="s">
        <v>1522</v>
      </c>
      <c r="F1736" t="s">
        <v>1523</v>
      </c>
      <c r="G1736" t="s">
        <v>49</v>
      </c>
      <c r="H1736" t="s">
        <v>30</v>
      </c>
      <c r="I1736" t="s">
        <v>30</v>
      </c>
      <c r="J1736" t="s">
        <v>41</v>
      </c>
      <c r="K1736" t="s">
        <v>32</v>
      </c>
      <c r="L1736" t="s">
        <v>32</v>
      </c>
      <c r="M1736" t="s">
        <v>33</v>
      </c>
      <c r="P1736" t="s">
        <v>42</v>
      </c>
      <c r="Q1736" t="s">
        <v>43</v>
      </c>
      <c r="S1736" t="s">
        <v>52</v>
      </c>
      <c r="T1736" t="s">
        <v>1550</v>
      </c>
      <c r="U1736" t="s">
        <v>1554</v>
      </c>
      <c r="V1736" t="s">
        <v>39</v>
      </c>
      <c r="W1736" s="1">
        <v>0</v>
      </c>
    </row>
    <row r="1737" spans="1:23" x14ac:dyDescent="0.2">
      <c r="A1737" t="s">
        <v>23</v>
      </c>
      <c r="B1737" t="s">
        <v>1108</v>
      </c>
      <c r="C1737" t="s">
        <v>1495</v>
      </c>
      <c r="D1737" t="s">
        <v>1496</v>
      </c>
      <c r="E1737" t="s">
        <v>1522</v>
      </c>
      <c r="F1737" t="s">
        <v>1523</v>
      </c>
      <c r="G1737" t="s">
        <v>49</v>
      </c>
      <c r="H1737" t="s">
        <v>30</v>
      </c>
      <c r="I1737" t="s">
        <v>30</v>
      </c>
      <c r="J1737" t="s">
        <v>41</v>
      </c>
      <c r="K1737" t="s">
        <v>32</v>
      </c>
      <c r="L1737" t="s">
        <v>32</v>
      </c>
      <c r="M1737" t="s">
        <v>33</v>
      </c>
      <c r="P1737" t="s">
        <v>42</v>
      </c>
      <c r="Q1737" t="s">
        <v>43</v>
      </c>
      <c r="S1737" t="s">
        <v>52</v>
      </c>
      <c r="T1737" t="s">
        <v>1550</v>
      </c>
      <c r="U1737" t="s">
        <v>1554</v>
      </c>
      <c r="V1737" t="s">
        <v>40</v>
      </c>
      <c r="W1737" s="1">
        <v>8998000</v>
      </c>
    </row>
    <row r="1738" spans="1:23" x14ac:dyDescent="0.2">
      <c r="A1738" t="s">
        <v>23</v>
      </c>
      <c r="B1738" t="s">
        <v>1108</v>
      </c>
      <c r="C1738" t="s">
        <v>1495</v>
      </c>
      <c r="D1738" t="s">
        <v>1496</v>
      </c>
      <c r="E1738" t="s">
        <v>1522</v>
      </c>
      <c r="F1738" t="s">
        <v>1523</v>
      </c>
      <c r="G1738" t="s">
        <v>61</v>
      </c>
      <c r="H1738" t="s">
        <v>52</v>
      </c>
      <c r="I1738" t="s">
        <v>52</v>
      </c>
      <c r="J1738" t="s">
        <v>31</v>
      </c>
      <c r="K1738" t="s">
        <v>32</v>
      </c>
      <c r="L1738" t="s">
        <v>32</v>
      </c>
      <c r="M1738" t="s">
        <v>33</v>
      </c>
      <c r="N1738" t="s">
        <v>33</v>
      </c>
      <c r="O1738" t="s">
        <v>33</v>
      </c>
      <c r="P1738" t="s">
        <v>34</v>
      </c>
      <c r="Q1738" t="s">
        <v>35</v>
      </c>
      <c r="S1738" t="s">
        <v>30</v>
      </c>
      <c r="T1738" t="s">
        <v>1555</v>
      </c>
      <c r="U1738" t="s">
        <v>1556</v>
      </c>
      <c r="V1738" t="s">
        <v>39</v>
      </c>
      <c r="W1738" s="1">
        <v>2</v>
      </c>
    </row>
    <row r="1739" spans="1:23" x14ac:dyDescent="0.2">
      <c r="A1739" t="s">
        <v>23</v>
      </c>
      <c r="B1739" t="s">
        <v>1108</v>
      </c>
      <c r="C1739" t="s">
        <v>1495</v>
      </c>
      <c r="D1739" t="s">
        <v>1496</v>
      </c>
      <c r="E1739" t="s">
        <v>1522</v>
      </c>
      <c r="F1739" t="s">
        <v>1523</v>
      </c>
      <c r="G1739" t="s">
        <v>61</v>
      </c>
      <c r="H1739" t="s">
        <v>52</v>
      </c>
      <c r="I1739" t="s">
        <v>52</v>
      </c>
      <c r="J1739" t="s">
        <v>31</v>
      </c>
      <c r="K1739" t="s">
        <v>32</v>
      </c>
      <c r="L1739" t="s">
        <v>32</v>
      </c>
      <c r="M1739" t="s">
        <v>33</v>
      </c>
      <c r="N1739" t="s">
        <v>33</v>
      </c>
      <c r="O1739" t="s">
        <v>33</v>
      </c>
      <c r="P1739" t="s">
        <v>34</v>
      </c>
      <c r="Q1739" t="s">
        <v>35</v>
      </c>
      <c r="S1739" t="s">
        <v>30</v>
      </c>
      <c r="T1739" t="s">
        <v>1555</v>
      </c>
      <c r="U1739" t="s">
        <v>1556</v>
      </c>
      <c r="V1739" t="s">
        <v>40</v>
      </c>
      <c r="W1739" s="1">
        <v>493600</v>
      </c>
    </row>
    <row r="1740" spans="1:23" x14ac:dyDescent="0.2">
      <c r="A1740" t="s">
        <v>23</v>
      </c>
      <c r="B1740" t="s">
        <v>1108</v>
      </c>
      <c r="C1740" t="s">
        <v>1495</v>
      </c>
      <c r="D1740" t="s">
        <v>1496</v>
      </c>
      <c r="E1740" t="s">
        <v>1522</v>
      </c>
      <c r="F1740" t="s">
        <v>1523</v>
      </c>
      <c r="G1740" t="s">
        <v>61</v>
      </c>
      <c r="H1740" t="s">
        <v>52</v>
      </c>
      <c r="I1740" t="s">
        <v>52</v>
      </c>
      <c r="J1740" t="s">
        <v>31</v>
      </c>
      <c r="K1740" t="s">
        <v>32</v>
      </c>
      <c r="L1740" t="s">
        <v>32</v>
      </c>
      <c r="M1740" t="s">
        <v>33</v>
      </c>
      <c r="N1740" t="s">
        <v>33</v>
      </c>
      <c r="O1740" t="s">
        <v>33</v>
      </c>
      <c r="P1740" t="s">
        <v>42</v>
      </c>
      <c r="Q1740" t="s">
        <v>43</v>
      </c>
      <c r="R1740" t="s">
        <v>184</v>
      </c>
      <c r="S1740" t="s">
        <v>30</v>
      </c>
      <c r="T1740" t="s">
        <v>1557</v>
      </c>
      <c r="U1740" t="s">
        <v>1558</v>
      </c>
      <c r="V1740" t="s">
        <v>39</v>
      </c>
      <c r="W1740" s="1">
        <v>2</v>
      </c>
    </row>
    <row r="1741" spans="1:23" x14ac:dyDescent="0.2">
      <c r="A1741" t="s">
        <v>23</v>
      </c>
      <c r="B1741" t="s">
        <v>1108</v>
      </c>
      <c r="C1741" t="s">
        <v>1495</v>
      </c>
      <c r="D1741" t="s">
        <v>1496</v>
      </c>
      <c r="E1741" t="s">
        <v>1522</v>
      </c>
      <c r="F1741" t="s">
        <v>1523</v>
      </c>
      <c r="G1741" t="s">
        <v>61</v>
      </c>
      <c r="H1741" t="s">
        <v>52</v>
      </c>
      <c r="I1741" t="s">
        <v>52</v>
      </c>
      <c r="J1741" t="s">
        <v>31</v>
      </c>
      <c r="K1741" t="s">
        <v>32</v>
      </c>
      <c r="L1741" t="s">
        <v>32</v>
      </c>
      <c r="M1741" t="s">
        <v>33</v>
      </c>
      <c r="N1741" t="s">
        <v>33</v>
      </c>
      <c r="O1741" t="s">
        <v>33</v>
      </c>
      <c r="P1741" t="s">
        <v>42</v>
      </c>
      <c r="Q1741" t="s">
        <v>43</v>
      </c>
      <c r="R1741" t="s">
        <v>184</v>
      </c>
      <c r="S1741" t="s">
        <v>30</v>
      </c>
      <c r="T1741" t="s">
        <v>1557</v>
      </c>
      <c r="U1741" t="s">
        <v>1558</v>
      </c>
      <c r="V1741" t="s">
        <v>40</v>
      </c>
      <c r="W1741" s="1">
        <v>2742200</v>
      </c>
    </row>
    <row r="1742" spans="1:23" x14ac:dyDescent="0.2">
      <c r="A1742" t="s">
        <v>23</v>
      </c>
      <c r="B1742" t="s">
        <v>1108</v>
      </c>
      <c r="C1742" t="s">
        <v>1495</v>
      </c>
      <c r="D1742" t="s">
        <v>1496</v>
      </c>
      <c r="E1742" t="s">
        <v>1522</v>
      </c>
      <c r="F1742" t="s">
        <v>1523</v>
      </c>
      <c r="G1742" t="s">
        <v>61</v>
      </c>
      <c r="H1742" t="s">
        <v>52</v>
      </c>
      <c r="I1742" t="s">
        <v>52</v>
      </c>
      <c r="J1742" t="s">
        <v>31</v>
      </c>
      <c r="K1742" t="s">
        <v>32</v>
      </c>
      <c r="L1742" t="s">
        <v>32</v>
      </c>
      <c r="M1742" t="s">
        <v>33</v>
      </c>
      <c r="P1742" t="s">
        <v>34</v>
      </c>
      <c r="Q1742" t="s">
        <v>35</v>
      </c>
      <c r="S1742" t="s">
        <v>30</v>
      </c>
      <c r="T1742" t="s">
        <v>1555</v>
      </c>
      <c r="U1742" t="s">
        <v>1556</v>
      </c>
      <c r="V1742" t="s">
        <v>39</v>
      </c>
      <c r="W1742" s="1">
        <v>1</v>
      </c>
    </row>
    <row r="1743" spans="1:23" x14ac:dyDescent="0.2">
      <c r="A1743" t="s">
        <v>23</v>
      </c>
      <c r="B1743" t="s">
        <v>1108</v>
      </c>
      <c r="C1743" t="s">
        <v>1495</v>
      </c>
      <c r="D1743" t="s">
        <v>1496</v>
      </c>
      <c r="E1743" t="s">
        <v>1522</v>
      </c>
      <c r="F1743" t="s">
        <v>1523</v>
      </c>
      <c r="G1743" t="s">
        <v>61</v>
      </c>
      <c r="H1743" t="s">
        <v>52</v>
      </c>
      <c r="I1743" t="s">
        <v>52</v>
      </c>
      <c r="J1743" t="s">
        <v>31</v>
      </c>
      <c r="K1743" t="s">
        <v>32</v>
      </c>
      <c r="L1743" t="s">
        <v>32</v>
      </c>
      <c r="M1743" t="s">
        <v>33</v>
      </c>
      <c r="P1743" t="s">
        <v>34</v>
      </c>
      <c r="Q1743" t="s">
        <v>35</v>
      </c>
      <c r="S1743" t="s">
        <v>30</v>
      </c>
      <c r="T1743" t="s">
        <v>1555</v>
      </c>
      <c r="U1743" t="s">
        <v>1556</v>
      </c>
      <c r="V1743" t="s">
        <v>40</v>
      </c>
      <c r="W1743" s="1">
        <v>246800</v>
      </c>
    </row>
    <row r="1744" spans="1:23" x14ac:dyDescent="0.2">
      <c r="A1744" t="s">
        <v>23</v>
      </c>
      <c r="B1744" t="s">
        <v>1108</v>
      </c>
      <c r="C1744" t="s">
        <v>1495</v>
      </c>
      <c r="D1744" t="s">
        <v>1496</v>
      </c>
      <c r="E1744" t="s">
        <v>1522</v>
      </c>
      <c r="F1744" t="s">
        <v>1523</v>
      </c>
      <c r="G1744" t="s">
        <v>61</v>
      </c>
      <c r="H1744" t="s">
        <v>52</v>
      </c>
      <c r="I1744" t="s">
        <v>52</v>
      </c>
      <c r="J1744" t="s">
        <v>31</v>
      </c>
      <c r="K1744" t="s">
        <v>32</v>
      </c>
      <c r="L1744" t="s">
        <v>32</v>
      </c>
      <c r="M1744" t="s">
        <v>176</v>
      </c>
      <c r="N1744" t="s">
        <v>176</v>
      </c>
      <c r="O1744" t="s">
        <v>176</v>
      </c>
      <c r="P1744" t="s">
        <v>42</v>
      </c>
      <c r="Q1744" t="s">
        <v>43</v>
      </c>
      <c r="R1744" t="s">
        <v>184</v>
      </c>
      <c r="S1744" t="s">
        <v>30</v>
      </c>
      <c r="T1744" t="s">
        <v>1557</v>
      </c>
      <c r="U1744" t="s">
        <v>1558</v>
      </c>
      <c r="V1744" t="s">
        <v>39</v>
      </c>
      <c r="W1744" s="1">
        <v>1</v>
      </c>
    </row>
    <row r="1745" spans="1:23" x14ac:dyDescent="0.2">
      <c r="A1745" t="s">
        <v>23</v>
      </c>
      <c r="B1745" t="s">
        <v>1108</v>
      </c>
      <c r="C1745" t="s">
        <v>1495</v>
      </c>
      <c r="D1745" t="s">
        <v>1496</v>
      </c>
      <c r="E1745" t="s">
        <v>1522</v>
      </c>
      <c r="F1745" t="s">
        <v>1523</v>
      </c>
      <c r="G1745" t="s">
        <v>61</v>
      </c>
      <c r="H1745" t="s">
        <v>52</v>
      </c>
      <c r="I1745" t="s">
        <v>52</v>
      </c>
      <c r="J1745" t="s">
        <v>31</v>
      </c>
      <c r="K1745" t="s">
        <v>32</v>
      </c>
      <c r="L1745" t="s">
        <v>32</v>
      </c>
      <c r="M1745" t="s">
        <v>176</v>
      </c>
      <c r="N1745" t="s">
        <v>176</v>
      </c>
      <c r="O1745" t="s">
        <v>176</v>
      </c>
      <c r="P1745" t="s">
        <v>42</v>
      </c>
      <c r="Q1745" t="s">
        <v>43</v>
      </c>
      <c r="R1745" t="s">
        <v>184</v>
      </c>
      <c r="S1745" t="s">
        <v>30</v>
      </c>
      <c r="T1745" t="s">
        <v>1557</v>
      </c>
      <c r="U1745" t="s">
        <v>1558</v>
      </c>
      <c r="V1745" t="s">
        <v>40</v>
      </c>
      <c r="W1745" s="1">
        <v>1233990</v>
      </c>
    </row>
    <row r="1746" spans="1:23" x14ac:dyDescent="0.2">
      <c r="A1746" t="s">
        <v>23</v>
      </c>
      <c r="B1746" t="s">
        <v>1108</v>
      </c>
      <c r="C1746" t="s">
        <v>1495</v>
      </c>
      <c r="D1746" t="s">
        <v>1496</v>
      </c>
      <c r="E1746" t="s">
        <v>1522</v>
      </c>
      <c r="F1746" t="s">
        <v>1523</v>
      </c>
      <c r="G1746" t="s">
        <v>61</v>
      </c>
      <c r="H1746" t="s">
        <v>52</v>
      </c>
      <c r="I1746" t="s">
        <v>52</v>
      </c>
      <c r="J1746" t="s">
        <v>41</v>
      </c>
      <c r="K1746" t="s">
        <v>32</v>
      </c>
      <c r="L1746" t="s">
        <v>32</v>
      </c>
      <c r="M1746" t="s">
        <v>33</v>
      </c>
      <c r="N1746" t="s">
        <v>33</v>
      </c>
      <c r="O1746" t="s">
        <v>33</v>
      </c>
      <c r="P1746" t="s">
        <v>34</v>
      </c>
      <c r="Q1746" t="s">
        <v>35</v>
      </c>
      <c r="S1746" t="s">
        <v>30</v>
      </c>
      <c r="T1746" t="s">
        <v>1559</v>
      </c>
      <c r="U1746" t="s">
        <v>1560</v>
      </c>
      <c r="V1746" t="s">
        <v>39</v>
      </c>
      <c r="W1746" s="1">
        <v>1</v>
      </c>
    </row>
    <row r="1747" spans="1:23" x14ac:dyDescent="0.2">
      <c r="A1747" t="s">
        <v>23</v>
      </c>
      <c r="B1747" t="s">
        <v>1108</v>
      </c>
      <c r="C1747" t="s">
        <v>1495</v>
      </c>
      <c r="D1747" t="s">
        <v>1496</v>
      </c>
      <c r="E1747" t="s">
        <v>1522</v>
      </c>
      <c r="F1747" t="s">
        <v>1523</v>
      </c>
      <c r="G1747" t="s">
        <v>61</v>
      </c>
      <c r="H1747" t="s">
        <v>52</v>
      </c>
      <c r="I1747" t="s">
        <v>52</v>
      </c>
      <c r="J1747" t="s">
        <v>41</v>
      </c>
      <c r="K1747" t="s">
        <v>32</v>
      </c>
      <c r="L1747" t="s">
        <v>32</v>
      </c>
      <c r="M1747" t="s">
        <v>33</v>
      </c>
      <c r="N1747" t="s">
        <v>33</v>
      </c>
      <c r="O1747" t="s">
        <v>33</v>
      </c>
      <c r="P1747" t="s">
        <v>34</v>
      </c>
      <c r="Q1747" t="s">
        <v>35</v>
      </c>
      <c r="S1747" t="s">
        <v>30</v>
      </c>
      <c r="T1747" t="s">
        <v>1559</v>
      </c>
      <c r="U1747" t="s">
        <v>1560</v>
      </c>
      <c r="V1747" t="s">
        <v>40</v>
      </c>
      <c r="W1747" s="1">
        <v>1249000</v>
      </c>
    </row>
    <row r="1748" spans="1:23" x14ac:dyDescent="0.2">
      <c r="A1748" t="s">
        <v>23</v>
      </c>
      <c r="B1748" t="s">
        <v>1108</v>
      </c>
      <c r="C1748" t="s">
        <v>1495</v>
      </c>
      <c r="D1748" t="s">
        <v>1496</v>
      </c>
      <c r="E1748" t="s">
        <v>1522</v>
      </c>
      <c r="F1748" t="s">
        <v>1523</v>
      </c>
      <c r="G1748" t="s">
        <v>61</v>
      </c>
      <c r="H1748" t="s">
        <v>52</v>
      </c>
      <c r="I1748" t="s">
        <v>52</v>
      </c>
      <c r="J1748" t="s">
        <v>41</v>
      </c>
      <c r="K1748" t="s">
        <v>32</v>
      </c>
      <c r="L1748" t="s">
        <v>32</v>
      </c>
      <c r="M1748" t="s">
        <v>33</v>
      </c>
      <c r="P1748" t="s">
        <v>34</v>
      </c>
      <c r="Q1748" t="s">
        <v>35</v>
      </c>
      <c r="S1748" t="s">
        <v>30</v>
      </c>
      <c r="T1748" t="s">
        <v>1559</v>
      </c>
      <c r="U1748" t="s">
        <v>1560</v>
      </c>
      <c r="V1748" t="s">
        <v>39</v>
      </c>
      <c r="W1748" s="1">
        <v>3</v>
      </c>
    </row>
    <row r="1749" spans="1:23" x14ac:dyDescent="0.2">
      <c r="A1749" t="s">
        <v>23</v>
      </c>
      <c r="B1749" t="s">
        <v>1108</v>
      </c>
      <c r="C1749" t="s">
        <v>1495</v>
      </c>
      <c r="D1749" t="s">
        <v>1496</v>
      </c>
      <c r="E1749" t="s">
        <v>1522</v>
      </c>
      <c r="F1749" t="s">
        <v>1523</v>
      </c>
      <c r="G1749" t="s">
        <v>61</v>
      </c>
      <c r="H1749" t="s">
        <v>52</v>
      </c>
      <c r="I1749" t="s">
        <v>52</v>
      </c>
      <c r="J1749" t="s">
        <v>41</v>
      </c>
      <c r="K1749" t="s">
        <v>32</v>
      </c>
      <c r="L1749" t="s">
        <v>32</v>
      </c>
      <c r="M1749" t="s">
        <v>33</v>
      </c>
      <c r="P1749" t="s">
        <v>34</v>
      </c>
      <c r="Q1749" t="s">
        <v>35</v>
      </c>
      <c r="S1749" t="s">
        <v>30</v>
      </c>
      <c r="T1749" t="s">
        <v>1559</v>
      </c>
      <c r="U1749" t="s">
        <v>1560</v>
      </c>
      <c r="V1749" t="s">
        <v>40</v>
      </c>
      <c r="W1749" s="1">
        <v>3747000</v>
      </c>
    </row>
    <row r="1750" spans="1:23" x14ac:dyDescent="0.2">
      <c r="A1750" t="s">
        <v>23</v>
      </c>
      <c r="B1750" t="s">
        <v>1108</v>
      </c>
      <c r="C1750" t="s">
        <v>1495</v>
      </c>
      <c r="D1750" t="s">
        <v>1496</v>
      </c>
      <c r="E1750" t="s">
        <v>1522</v>
      </c>
      <c r="F1750" t="s">
        <v>1523</v>
      </c>
      <c r="G1750" t="s">
        <v>61</v>
      </c>
      <c r="H1750" t="s">
        <v>52</v>
      </c>
      <c r="I1750" t="s">
        <v>52</v>
      </c>
      <c r="J1750" t="s">
        <v>41</v>
      </c>
      <c r="K1750" t="s">
        <v>32</v>
      </c>
      <c r="L1750" t="s">
        <v>32</v>
      </c>
      <c r="M1750" t="s">
        <v>33</v>
      </c>
      <c r="P1750" t="s">
        <v>42</v>
      </c>
      <c r="Q1750" t="s">
        <v>43</v>
      </c>
      <c r="S1750" t="s">
        <v>52</v>
      </c>
      <c r="T1750" t="s">
        <v>1561</v>
      </c>
      <c r="U1750" t="s">
        <v>1562</v>
      </c>
      <c r="V1750" t="s">
        <v>39</v>
      </c>
      <c r="W1750" s="1">
        <v>0</v>
      </c>
    </row>
    <row r="1751" spans="1:23" x14ac:dyDescent="0.2">
      <c r="A1751" t="s">
        <v>23</v>
      </c>
      <c r="B1751" t="s">
        <v>1108</v>
      </c>
      <c r="C1751" t="s">
        <v>1495</v>
      </c>
      <c r="D1751" t="s">
        <v>1496</v>
      </c>
      <c r="E1751" t="s">
        <v>1522</v>
      </c>
      <c r="F1751" t="s">
        <v>1523</v>
      </c>
      <c r="G1751" t="s">
        <v>61</v>
      </c>
      <c r="H1751" t="s">
        <v>52</v>
      </c>
      <c r="I1751" t="s">
        <v>52</v>
      </c>
      <c r="J1751" t="s">
        <v>41</v>
      </c>
      <c r="K1751" t="s">
        <v>32</v>
      </c>
      <c r="L1751" t="s">
        <v>32</v>
      </c>
      <c r="M1751" t="s">
        <v>33</v>
      </c>
      <c r="P1751" t="s">
        <v>42</v>
      </c>
      <c r="Q1751" t="s">
        <v>43</v>
      </c>
      <c r="S1751" t="s">
        <v>52</v>
      </c>
      <c r="T1751" t="s">
        <v>1561</v>
      </c>
      <c r="U1751" t="s">
        <v>1562</v>
      </c>
      <c r="V1751" t="s">
        <v>40</v>
      </c>
      <c r="W1751" s="1">
        <v>1933800</v>
      </c>
    </row>
    <row r="1752" spans="1:23" x14ac:dyDescent="0.2">
      <c r="A1752" t="s">
        <v>23</v>
      </c>
      <c r="B1752" t="s">
        <v>1108</v>
      </c>
      <c r="C1752" t="s">
        <v>1495</v>
      </c>
      <c r="D1752" t="s">
        <v>1496</v>
      </c>
      <c r="E1752" t="s">
        <v>1522</v>
      </c>
      <c r="F1752" t="s">
        <v>1523</v>
      </c>
      <c r="G1752" t="s">
        <v>64</v>
      </c>
      <c r="H1752" t="s">
        <v>30</v>
      </c>
      <c r="I1752" t="s">
        <v>52</v>
      </c>
      <c r="J1752" t="s">
        <v>31</v>
      </c>
      <c r="K1752" t="s">
        <v>32</v>
      </c>
      <c r="L1752" t="s">
        <v>32</v>
      </c>
      <c r="M1752" t="s">
        <v>33</v>
      </c>
      <c r="N1752" t="s">
        <v>33</v>
      </c>
      <c r="O1752" t="s">
        <v>33</v>
      </c>
      <c r="P1752" t="s">
        <v>42</v>
      </c>
      <c r="Q1752" t="s">
        <v>43</v>
      </c>
      <c r="R1752" t="s">
        <v>162</v>
      </c>
      <c r="S1752" t="s">
        <v>30</v>
      </c>
      <c r="T1752" t="s">
        <v>1563</v>
      </c>
      <c r="U1752" t="s">
        <v>1564</v>
      </c>
      <c r="V1752" t="s">
        <v>39</v>
      </c>
      <c r="W1752" s="1">
        <v>2</v>
      </c>
    </row>
    <row r="1753" spans="1:23" x14ac:dyDescent="0.2">
      <c r="A1753" t="s">
        <v>23</v>
      </c>
      <c r="B1753" t="s">
        <v>1108</v>
      </c>
      <c r="C1753" t="s">
        <v>1495</v>
      </c>
      <c r="D1753" t="s">
        <v>1496</v>
      </c>
      <c r="E1753" t="s">
        <v>1522</v>
      </c>
      <c r="F1753" t="s">
        <v>1523</v>
      </c>
      <c r="G1753" t="s">
        <v>64</v>
      </c>
      <c r="H1753" t="s">
        <v>30</v>
      </c>
      <c r="I1753" t="s">
        <v>52</v>
      </c>
      <c r="J1753" t="s">
        <v>31</v>
      </c>
      <c r="K1753" t="s">
        <v>32</v>
      </c>
      <c r="L1753" t="s">
        <v>32</v>
      </c>
      <c r="M1753" t="s">
        <v>33</v>
      </c>
      <c r="N1753" t="s">
        <v>33</v>
      </c>
      <c r="O1753" t="s">
        <v>33</v>
      </c>
      <c r="P1753" t="s">
        <v>42</v>
      </c>
      <c r="Q1753" t="s">
        <v>43</v>
      </c>
      <c r="R1753" t="s">
        <v>162</v>
      </c>
      <c r="S1753" t="s">
        <v>30</v>
      </c>
      <c r="T1753" t="s">
        <v>1563</v>
      </c>
      <c r="U1753" t="s">
        <v>1564</v>
      </c>
      <c r="V1753" t="s">
        <v>40</v>
      </c>
      <c r="W1753" s="1">
        <v>2690800</v>
      </c>
    </row>
    <row r="1754" spans="1:23" x14ac:dyDescent="0.2">
      <c r="A1754" t="s">
        <v>23</v>
      </c>
      <c r="B1754" t="s">
        <v>1108</v>
      </c>
      <c r="C1754" t="s">
        <v>1495</v>
      </c>
      <c r="D1754" t="s">
        <v>1496</v>
      </c>
      <c r="E1754" t="s">
        <v>1522</v>
      </c>
      <c r="F1754" t="s">
        <v>1523</v>
      </c>
      <c r="G1754" t="s">
        <v>67</v>
      </c>
      <c r="H1754" t="s">
        <v>30</v>
      </c>
      <c r="I1754" t="s">
        <v>30</v>
      </c>
      <c r="J1754" t="s">
        <v>31</v>
      </c>
      <c r="K1754" t="s">
        <v>32</v>
      </c>
      <c r="L1754" t="s">
        <v>32</v>
      </c>
      <c r="M1754" t="s">
        <v>33</v>
      </c>
      <c r="P1754" t="s">
        <v>34</v>
      </c>
      <c r="Q1754" t="s">
        <v>35</v>
      </c>
      <c r="S1754" t="s">
        <v>52</v>
      </c>
      <c r="T1754" t="s">
        <v>1565</v>
      </c>
      <c r="U1754" t="s">
        <v>1566</v>
      </c>
      <c r="V1754" t="s">
        <v>39</v>
      </c>
      <c r="W1754" s="1">
        <v>0</v>
      </c>
    </row>
    <row r="1755" spans="1:23" x14ac:dyDescent="0.2">
      <c r="A1755" t="s">
        <v>23</v>
      </c>
      <c r="B1755" t="s">
        <v>1108</v>
      </c>
      <c r="C1755" t="s">
        <v>1495</v>
      </c>
      <c r="D1755" t="s">
        <v>1496</v>
      </c>
      <c r="E1755" t="s">
        <v>1522</v>
      </c>
      <c r="F1755" t="s">
        <v>1523</v>
      </c>
      <c r="G1755" t="s">
        <v>67</v>
      </c>
      <c r="H1755" t="s">
        <v>30</v>
      </c>
      <c r="I1755" t="s">
        <v>30</v>
      </c>
      <c r="J1755" t="s">
        <v>31</v>
      </c>
      <c r="K1755" t="s">
        <v>32</v>
      </c>
      <c r="L1755" t="s">
        <v>32</v>
      </c>
      <c r="M1755" t="s">
        <v>33</v>
      </c>
      <c r="P1755" t="s">
        <v>34</v>
      </c>
      <c r="Q1755" t="s">
        <v>35</v>
      </c>
      <c r="S1755" t="s">
        <v>52</v>
      </c>
      <c r="T1755" t="s">
        <v>1565</v>
      </c>
      <c r="U1755" t="s">
        <v>1566</v>
      </c>
      <c r="V1755" t="s">
        <v>40</v>
      </c>
      <c r="W1755" s="1">
        <v>19025000</v>
      </c>
    </row>
    <row r="1756" spans="1:23" x14ac:dyDescent="0.2">
      <c r="A1756" t="s">
        <v>23</v>
      </c>
      <c r="B1756" t="s">
        <v>1108</v>
      </c>
      <c r="C1756" t="s">
        <v>1495</v>
      </c>
      <c r="D1756" t="s">
        <v>1496</v>
      </c>
      <c r="E1756" t="s">
        <v>1522</v>
      </c>
      <c r="F1756" t="s">
        <v>1523</v>
      </c>
      <c r="G1756" t="s">
        <v>67</v>
      </c>
      <c r="H1756" t="s">
        <v>30</v>
      </c>
      <c r="I1756" t="s">
        <v>30</v>
      </c>
      <c r="J1756" t="s">
        <v>31</v>
      </c>
      <c r="K1756" t="s">
        <v>32</v>
      </c>
      <c r="L1756" t="s">
        <v>32</v>
      </c>
      <c r="M1756" t="s">
        <v>33</v>
      </c>
      <c r="P1756" t="s">
        <v>42</v>
      </c>
      <c r="Q1756" t="s">
        <v>43</v>
      </c>
      <c r="R1756" t="s">
        <v>184</v>
      </c>
      <c r="S1756" t="s">
        <v>52</v>
      </c>
      <c r="T1756" t="s">
        <v>1567</v>
      </c>
      <c r="U1756" t="s">
        <v>1568</v>
      </c>
      <c r="V1756" t="s">
        <v>39</v>
      </c>
      <c r="W1756" s="1">
        <v>0</v>
      </c>
    </row>
    <row r="1757" spans="1:23" x14ac:dyDescent="0.2">
      <c r="A1757" t="s">
        <v>23</v>
      </c>
      <c r="B1757" t="s">
        <v>1108</v>
      </c>
      <c r="C1757" t="s">
        <v>1495</v>
      </c>
      <c r="D1757" t="s">
        <v>1496</v>
      </c>
      <c r="E1757" t="s">
        <v>1522</v>
      </c>
      <c r="F1757" t="s">
        <v>1523</v>
      </c>
      <c r="G1757" t="s">
        <v>67</v>
      </c>
      <c r="H1757" t="s">
        <v>30</v>
      </c>
      <c r="I1757" t="s">
        <v>30</v>
      </c>
      <c r="J1757" t="s">
        <v>31</v>
      </c>
      <c r="K1757" t="s">
        <v>32</v>
      </c>
      <c r="L1757" t="s">
        <v>32</v>
      </c>
      <c r="M1757" t="s">
        <v>33</v>
      </c>
      <c r="P1757" t="s">
        <v>42</v>
      </c>
      <c r="Q1757" t="s">
        <v>43</v>
      </c>
      <c r="R1757" t="s">
        <v>184</v>
      </c>
      <c r="S1757" t="s">
        <v>52</v>
      </c>
      <c r="T1757" t="s">
        <v>1567</v>
      </c>
      <c r="U1757" t="s">
        <v>1568</v>
      </c>
      <c r="V1757" t="s">
        <v>40</v>
      </c>
      <c r="W1757" s="1">
        <v>4303600</v>
      </c>
    </row>
    <row r="1758" spans="1:23" x14ac:dyDescent="0.2">
      <c r="A1758" t="s">
        <v>23</v>
      </c>
      <c r="B1758" t="s">
        <v>1108</v>
      </c>
      <c r="C1758" t="s">
        <v>1495</v>
      </c>
      <c r="D1758" t="s">
        <v>1496</v>
      </c>
      <c r="E1758" t="s">
        <v>1522</v>
      </c>
      <c r="F1758" t="s">
        <v>1523</v>
      </c>
      <c r="G1758" t="s">
        <v>67</v>
      </c>
      <c r="H1758" t="s">
        <v>30</v>
      </c>
      <c r="I1758" t="s">
        <v>30</v>
      </c>
      <c r="J1758" t="s">
        <v>41</v>
      </c>
      <c r="K1758" t="s">
        <v>32</v>
      </c>
      <c r="L1758" t="s">
        <v>32</v>
      </c>
      <c r="M1758" t="s">
        <v>33</v>
      </c>
      <c r="N1758" t="s">
        <v>33</v>
      </c>
      <c r="O1758" t="s">
        <v>33</v>
      </c>
      <c r="P1758" t="s">
        <v>34</v>
      </c>
      <c r="Q1758" t="s">
        <v>35</v>
      </c>
      <c r="S1758" t="s">
        <v>30</v>
      </c>
      <c r="T1758" t="s">
        <v>1569</v>
      </c>
      <c r="U1758" t="s">
        <v>1570</v>
      </c>
      <c r="V1758" t="s">
        <v>39</v>
      </c>
      <c r="W1758" s="1">
        <v>4</v>
      </c>
    </row>
    <row r="1759" spans="1:23" x14ac:dyDescent="0.2">
      <c r="A1759" t="s">
        <v>23</v>
      </c>
      <c r="B1759" t="s">
        <v>1108</v>
      </c>
      <c r="C1759" t="s">
        <v>1495</v>
      </c>
      <c r="D1759" t="s">
        <v>1496</v>
      </c>
      <c r="E1759" t="s">
        <v>1522</v>
      </c>
      <c r="F1759" t="s">
        <v>1523</v>
      </c>
      <c r="G1759" t="s">
        <v>67</v>
      </c>
      <c r="H1759" t="s">
        <v>30</v>
      </c>
      <c r="I1759" t="s">
        <v>30</v>
      </c>
      <c r="J1759" t="s">
        <v>41</v>
      </c>
      <c r="K1759" t="s">
        <v>32</v>
      </c>
      <c r="L1759" t="s">
        <v>32</v>
      </c>
      <c r="M1759" t="s">
        <v>33</v>
      </c>
      <c r="N1759" t="s">
        <v>33</v>
      </c>
      <c r="O1759" t="s">
        <v>33</v>
      </c>
      <c r="P1759" t="s">
        <v>34</v>
      </c>
      <c r="Q1759" t="s">
        <v>35</v>
      </c>
      <c r="S1759" t="s">
        <v>30</v>
      </c>
      <c r="T1759" t="s">
        <v>1569</v>
      </c>
      <c r="U1759" t="s">
        <v>1570</v>
      </c>
      <c r="V1759" t="s">
        <v>40</v>
      </c>
      <c r="W1759" s="1">
        <v>6396000</v>
      </c>
    </row>
    <row r="1760" spans="1:23" x14ac:dyDescent="0.2">
      <c r="A1760" t="s">
        <v>23</v>
      </c>
      <c r="B1760" t="s">
        <v>1108</v>
      </c>
      <c r="C1760" t="s">
        <v>1495</v>
      </c>
      <c r="D1760" t="s">
        <v>1496</v>
      </c>
      <c r="E1760" t="s">
        <v>1522</v>
      </c>
      <c r="F1760" t="s">
        <v>1523</v>
      </c>
      <c r="G1760" t="s">
        <v>67</v>
      </c>
      <c r="H1760" t="s">
        <v>30</v>
      </c>
      <c r="I1760" t="s">
        <v>30</v>
      </c>
      <c r="J1760" t="s">
        <v>41</v>
      </c>
      <c r="K1760" t="s">
        <v>32</v>
      </c>
      <c r="L1760" t="s">
        <v>32</v>
      </c>
      <c r="M1760" t="s">
        <v>33</v>
      </c>
      <c r="P1760" t="s">
        <v>34</v>
      </c>
      <c r="Q1760" t="s">
        <v>35</v>
      </c>
      <c r="R1760" t="s">
        <v>68</v>
      </c>
      <c r="S1760" t="s">
        <v>52</v>
      </c>
      <c r="T1760" t="s">
        <v>1571</v>
      </c>
      <c r="U1760" t="s">
        <v>1572</v>
      </c>
      <c r="V1760" t="s">
        <v>39</v>
      </c>
      <c r="W1760" s="1">
        <v>0</v>
      </c>
    </row>
    <row r="1761" spans="1:23" x14ac:dyDescent="0.2">
      <c r="A1761" t="s">
        <v>23</v>
      </c>
      <c r="B1761" t="s">
        <v>1108</v>
      </c>
      <c r="C1761" t="s">
        <v>1495</v>
      </c>
      <c r="D1761" t="s">
        <v>1496</v>
      </c>
      <c r="E1761" t="s">
        <v>1522</v>
      </c>
      <c r="F1761" t="s">
        <v>1523</v>
      </c>
      <c r="G1761" t="s">
        <v>67</v>
      </c>
      <c r="H1761" t="s">
        <v>30</v>
      </c>
      <c r="I1761" t="s">
        <v>30</v>
      </c>
      <c r="J1761" t="s">
        <v>41</v>
      </c>
      <c r="K1761" t="s">
        <v>32</v>
      </c>
      <c r="L1761" t="s">
        <v>32</v>
      </c>
      <c r="M1761" t="s">
        <v>33</v>
      </c>
      <c r="P1761" t="s">
        <v>34</v>
      </c>
      <c r="Q1761" t="s">
        <v>35</v>
      </c>
      <c r="R1761" t="s">
        <v>68</v>
      </c>
      <c r="S1761" t="s">
        <v>52</v>
      </c>
      <c r="T1761" t="s">
        <v>1571</v>
      </c>
      <c r="U1761" t="s">
        <v>1572</v>
      </c>
      <c r="V1761" t="s">
        <v>40</v>
      </c>
      <c r="W1761" s="1">
        <v>3398000</v>
      </c>
    </row>
    <row r="1762" spans="1:23" x14ac:dyDescent="0.2">
      <c r="A1762" t="s">
        <v>23</v>
      </c>
      <c r="B1762" t="s">
        <v>1108</v>
      </c>
      <c r="C1762" t="s">
        <v>1495</v>
      </c>
      <c r="D1762" t="s">
        <v>1496</v>
      </c>
      <c r="E1762" t="s">
        <v>1522</v>
      </c>
      <c r="F1762" t="s">
        <v>1523</v>
      </c>
      <c r="G1762" t="s">
        <v>89</v>
      </c>
      <c r="H1762" t="s">
        <v>30</v>
      </c>
      <c r="I1762" t="s">
        <v>30</v>
      </c>
      <c r="J1762" t="s">
        <v>31</v>
      </c>
      <c r="K1762" t="s">
        <v>32</v>
      </c>
      <c r="L1762" t="s">
        <v>32</v>
      </c>
      <c r="M1762" t="s">
        <v>33</v>
      </c>
      <c r="N1762" t="s">
        <v>33</v>
      </c>
      <c r="O1762" t="s">
        <v>33</v>
      </c>
      <c r="P1762" t="s">
        <v>34</v>
      </c>
      <c r="Q1762" t="s">
        <v>35</v>
      </c>
      <c r="S1762" t="s">
        <v>30</v>
      </c>
      <c r="T1762" t="s">
        <v>1573</v>
      </c>
      <c r="U1762" t="s">
        <v>1574</v>
      </c>
      <c r="V1762" t="s">
        <v>39</v>
      </c>
      <c r="W1762" s="1">
        <v>6</v>
      </c>
    </row>
    <row r="1763" spans="1:23" x14ac:dyDescent="0.2">
      <c r="A1763" t="s">
        <v>23</v>
      </c>
      <c r="B1763" t="s">
        <v>1108</v>
      </c>
      <c r="C1763" t="s">
        <v>1495</v>
      </c>
      <c r="D1763" t="s">
        <v>1496</v>
      </c>
      <c r="E1763" t="s">
        <v>1522</v>
      </c>
      <c r="F1763" t="s">
        <v>1523</v>
      </c>
      <c r="G1763" t="s">
        <v>89</v>
      </c>
      <c r="H1763" t="s">
        <v>30</v>
      </c>
      <c r="I1763" t="s">
        <v>30</v>
      </c>
      <c r="J1763" t="s">
        <v>31</v>
      </c>
      <c r="K1763" t="s">
        <v>32</v>
      </c>
      <c r="L1763" t="s">
        <v>32</v>
      </c>
      <c r="M1763" t="s">
        <v>33</v>
      </c>
      <c r="N1763" t="s">
        <v>33</v>
      </c>
      <c r="O1763" t="s">
        <v>33</v>
      </c>
      <c r="P1763" t="s">
        <v>34</v>
      </c>
      <c r="Q1763" t="s">
        <v>35</v>
      </c>
      <c r="S1763" t="s">
        <v>30</v>
      </c>
      <c r="T1763" t="s">
        <v>1573</v>
      </c>
      <c r="U1763" t="s">
        <v>1574</v>
      </c>
      <c r="V1763" t="s">
        <v>40</v>
      </c>
      <c r="W1763" s="1">
        <v>8194800</v>
      </c>
    </row>
    <row r="1764" spans="1:23" x14ac:dyDescent="0.2">
      <c r="A1764" t="s">
        <v>23</v>
      </c>
      <c r="B1764" t="s">
        <v>1108</v>
      </c>
      <c r="C1764" t="s">
        <v>1495</v>
      </c>
      <c r="D1764" t="s">
        <v>1496</v>
      </c>
      <c r="E1764" t="s">
        <v>1522</v>
      </c>
      <c r="F1764" t="s">
        <v>1523</v>
      </c>
      <c r="G1764" t="s">
        <v>89</v>
      </c>
      <c r="H1764" t="s">
        <v>30</v>
      </c>
      <c r="I1764" t="s">
        <v>30</v>
      </c>
      <c r="J1764" t="s">
        <v>31</v>
      </c>
      <c r="K1764" t="s">
        <v>32</v>
      </c>
      <c r="L1764" t="s">
        <v>32</v>
      </c>
      <c r="M1764" t="s">
        <v>33</v>
      </c>
      <c r="N1764" t="s">
        <v>33</v>
      </c>
      <c r="O1764" t="s">
        <v>33</v>
      </c>
      <c r="P1764" t="s">
        <v>42</v>
      </c>
      <c r="Q1764" t="s">
        <v>43</v>
      </c>
      <c r="S1764" t="s">
        <v>30</v>
      </c>
      <c r="T1764" t="s">
        <v>1575</v>
      </c>
      <c r="U1764" t="s">
        <v>1576</v>
      </c>
      <c r="V1764" t="s">
        <v>39</v>
      </c>
      <c r="W1764" s="1">
        <v>2</v>
      </c>
    </row>
    <row r="1765" spans="1:23" x14ac:dyDescent="0.2">
      <c r="A1765" t="s">
        <v>23</v>
      </c>
      <c r="B1765" t="s">
        <v>1108</v>
      </c>
      <c r="C1765" t="s">
        <v>1495</v>
      </c>
      <c r="D1765" t="s">
        <v>1496</v>
      </c>
      <c r="E1765" t="s">
        <v>1522</v>
      </c>
      <c r="F1765" t="s">
        <v>1523</v>
      </c>
      <c r="G1765" t="s">
        <v>89</v>
      </c>
      <c r="H1765" t="s">
        <v>30</v>
      </c>
      <c r="I1765" t="s">
        <v>30</v>
      </c>
      <c r="J1765" t="s">
        <v>31</v>
      </c>
      <c r="K1765" t="s">
        <v>32</v>
      </c>
      <c r="L1765" t="s">
        <v>32</v>
      </c>
      <c r="M1765" t="s">
        <v>33</v>
      </c>
      <c r="N1765" t="s">
        <v>33</v>
      </c>
      <c r="O1765" t="s">
        <v>33</v>
      </c>
      <c r="P1765" t="s">
        <v>42</v>
      </c>
      <c r="Q1765" t="s">
        <v>43</v>
      </c>
      <c r="S1765" t="s">
        <v>30</v>
      </c>
      <c r="T1765" t="s">
        <v>1575</v>
      </c>
      <c r="U1765" t="s">
        <v>1576</v>
      </c>
      <c r="V1765" t="s">
        <v>40</v>
      </c>
      <c r="W1765" s="1">
        <v>1298000</v>
      </c>
    </row>
    <row r="1766" spans="1:23" x14ac:dyDescent="0.2">
      <c r="A1766" t="s">
        <v>23</v>
      </c>
      <c r="B1766" t="s">
        <v>1108</v>
      </c>
      <c r="C1766" t="s">
        <v>1495</v>
      </c>
      <c r="D1766" t="s">
        <v>1496</v>
      </c>
      <c r="E1766" t="s">
        <v>1522</v>
      </c>
      <c r="F1766" t="s">
        <v>1523</v>
      </c>
      <c r="G1766" t="s">
        <v>89</v>
      </c>
      <c r="H1766" t="s">
        <v>30</v>
      </c>
      <c r="I1766" t="s">
        <v>30</v>
      </c>
      <c r="J1766" t="s">
        <v>41</v>
      </c>
      <c r="K1766" t="s">
        <v>32</v>
      </c>
      <c r="L1766" t="s">
        <v>32</v>
      </c>
      <c r="M1766" t="s">
        <v>33</v>
      </c>
      <c r="P1766" t="s">
        <v>34</v>
      </c>
      <c r="Q1766" t="s">
        <v>35</v>
      </c>
      <c r="S1766" t="s">
        <v>52</v>
      </c>
      <c r="T1766" t="s">
        <v>1577</v>
      </c>
      <c r="U1766" t="s">
        <v>1578</v>
      </c>
      <c r="V1766" t="s">
        <v>39</v>
      </c>
      <c r="W1766" s="1">
        <v>0</v>
      </c>
    </row>
    <row r="1767" spans="1:23" x14ac:dyDescent="0.2">
      <c r="A1767" t="s">
        <v>23</v>
      </c>
      <c r="B1767" t="s">
        <v>1108</v>
      </c>
      <c r="C1767" t="s">
        <v>1495</v>
      </c>
      <c r="D1767" t="s">
        <v>1496</v>
      </c>
      <c r="E1767" t="s">
        <v>1522</v>
      </c>
      <c r="F1767" t="s">
        <v>1523</v>
      </c>
      <c r="G1767" t="s">
        <v>89</v>
      </c>
      <c r="H1767" t="s">
        <v>30</v>
      </c>
      <c r="I1767" t="s">
        <v>30</v>
      </c>
      <c r="J1767" t="s">
        <v>41</v>
      </c>
      <c r="K1767" t="s">
        <v>32</v>
      </c>
      <c r="L1767" t="s">
        <v>32</v>
      </c>
      <c r="M1767" t="s">
        <v>33</v>
      </c>
      <c r="P1767" t="s">
        <v>34</v>
      </c>
      <c r="Q1767" t="s">
        <v>35</v>
      </c>
      <c r="S1767" t="s">
        <v>52</v>
      </c>
      <c r="T1767" t="s">
        <v>1577</v>
      </c>
      <c r="U1767" t="s">
        <v>1578</v>
      </c>
      <c r="V1767" t="s">
        <v>40</v>
      </c>
      <c r="W1767" s="1">
        <v>2110000</v>
      </c>
    </row>
    <row r="1768" spans="1:23" x14ac:dyDescent="0.2">
      <c r="A1768" t="s">
        <v>23</v>
      </c>
      <c r="B1768" t="s">
        <v>1108</v>
      </c>
      <c r="C1768" t="s">
        <v>1495</v>
      </c>
      <c r="D1768" t="s">
        <v>1496</v>
      </c>
      <c r="E1768" t="s">
        <v>1522</v>
      </c>
      <c r="F1768" t="s">
        <v>1523</v>
      </c>
      <c r="G1768" t="s">
        <v>106</v>
      </c>
      <c r="H1768" t="s">
        <v>30</v>
      </c>
      <c r="I1768" t="s">
        <v>30</v>
      </c>
      <c r="J1768" t="s">
        <v>128</v>
      </c>
      <c r="K1768" t="s">
        <v>135</v>
      </c>
      <c r="L1768" t="s">
        <v>32</v>
      </c>
      <c r="M1768" t="s">
        <v>33</v>
      </c>
      <c r="N1768" t="s">
        <v>33</v>
      </c>
      <c r="O1768" t="s">
        <v>33</v>
      </c>
      <c r="P1768" t="s">
        <v>34</v>
      </c>
      <c r="Q1768" t="s">
        <v>35</v>
      </c>
      <c r="S1768" t="s">
        <v>30</v>
      </c>
      <c r="T1768" t="s">
        <v>1579</v>
      </c>
      <c r="U1768" t="s">
        <v>1580</v>
      </c>
      <c r="V1768" t="s">
        <v>39</v>
      </c>
      <c r="W1768" s="1">
        <v>2</v>
      </c>
    </row>
    <row r="1769" spans="1:23" x14ac:dyDescent="0.2">
      <c r="A1769" t="s">
        <v>23</v>
      </c>
      <c r="B1769" t="s">
        <v>1108</v>
      </c>
      <c r="C1769" t="s">
        <v>1495</v>
      </c>
      <c r="D1769" t="s">
        <v>1496</v>
      </c>
      <c r="E1769" t="s">
        <v>1522</v>
      </c>
      <c r="F1769" t="s">
        <v>1523</v>
      </c>
      <c r="G1769" t="s">
        <v>106</v>
      </c>
      <c r="H1769" t="s">
        <v>30</v>
      </c>
      <c r="I1769" t="s">
        <v>30</v>
      </c>
      <c r="J1769" t="s">
        <v>128</v>
      </c>
      <c r="K1769" t="s">
        <v>135</v>
      </c>
      <c r="L1769" t="s">
        <v>32</v>
      </c>
      <c r="M1769" t="s">
        <v>33</v>
      </c>
      <c r="N1769" t="s">
        <v>33</v>
      </c>
      <c r="O1769" t="s">
        <v>33</v>
      </c>
      <c r="P1769" t="s">
        <v>34</v>
      </c>
      <c r="Q1769" t="s">
        <v>35</v>
      </c>
      <c r="S1769" t="s">
        <v>30</v>
      </c>
      <c r="T1769" t="s">
        <v>1579</v>
      </c>
      <c r="U1769" t="s">
        <v>1580</v>
      </c>
      <c r="V1769" t="s">
        <v>40</v>
      </c>
      <c r="W1769" s="1">
        <v>945800</v>
      </c>
    </row>
    <row r="1770" spans="1:23" x14ac:dyDescent="0.2">
      <c r="A1770" t="s">
        <v>23</v>
      </c>
      <c r="B1770" t="s">
        <v>1108</v>
      </c>
      <c r="C1770" t="s">
        <v>1495</v>
      </c>
      <c r="D1770" t="s">
        <v>1496</v>
      </c>
      <c r="E1770" t="s">
        <v>1522</v>
      </c>
      <c r="F1770" t="s">
        <v>1523</v>
      </c>
      <c r="G1770" t="s">
        <v>106</v>
      </c>
      <c r="H1770" t="s">
        <v>30</v>
      </c>
      <c r="I1770" t="s">
        <v>30</v>
      </c>
      <c r="J1770" t="s">
        <v>128</v>
      </c>
      <c r="K1770" t="s">
        <v>135</v>
      </c>
      <c r="L1770" t="s">
        <v>32</v>
      </c>
      <c r="M1770" t="s">
        <v>176</v>
      </c>
      <c r="N1770" t="s">
        <v>195</v>
      </c>
      <c r="O1770" t="s">
        <v>195</v>
      </c>
      <c r="P1770" t="s">
        <v>34</v>
      </c>
      <c r="Q1770" t="s">
        <v>35</v>
      </c>
      <c r="S1770" t="s">
        <v>30</v>
      </c>
      <c r="T1770" t="s">
        <v>1579</v>
      </c>
      <c r="U1770" t="s">
        <v>1580</v>
      </c>
      <c r="V1770" t="s">
        <v>39</v>
      </c>
      <c r="W1770" s="1">
        <v>1</v>
      </c>
    </row>
    <row r="1771" spans="1:23" x14ac:dyDescent="0.2">
      <c r="A1771" t="s">
        <v>23</v>
      </c>
      <c r="B1771" t="s">
        <v>1108</v>
      </c>
      <c r="C1771" t="s">
        <v>1495</v>
      </c>
      <c r="D1771" t="s">
        <v>1496</v>
      </c>
      <c r="E1771" t="s">
        <v>1522</v>
      </c>
      <c r="F1771" t="s">
        <v>1523</v>
      </c>
      <c r="G1771" t="s">
        <v>106</v>
      </c>
      <c r="H1771" t="s">
        <v>30</v>
      </c>
      <c r="I1771" t="s">
        <v>30</v>
      </c>
      <c r="J1771" t="s">
        <v>128</v>
      </c>
      <c r="K1771" t="s">
        <v>135</v>
      </c>
      <c r="L1771" t="s">
        <v>32</v>
      </c>
      <c r="M1771" t="s">
        <v>176</v>
      </c>
      <c r="N1771" t="s">
        <v>195</v>
      </c>
      <c r="O1771" t="s">
        <v>195</v>
      </c>
      <c r="P1771" t="s">
        <v>34</v>
      </c>
      <c r="Q1771" t="s">
        <v>35</v>
      </c>
      <c r="S1771" t="s">
        <v>30</v>
      </c>
      <c r="T1771" t="s">
        <v>1579</v>
      </c>
      <c r="U1771" t="s">
        <v>1580</v>
      </c>
      <c r="V1771" t="s">
        <v>40</v>
      </c>
      <c r="W1771" s="1">
        <v>472900</v>
      </c>
    </row>
    <row r="1772" spans="1:23" x14ac:dyDescent="0.2">
      <c r="A1772" t="s">
        <v>23</v>
      </c>
      <c r="B1772" t="s">
        <v>1108</v>
      </c>
      <c r="C1772" t="s">
        <v>1495</v>
      </c>
      <c r="D1772" t="s">
        <v>1496</v>
      </c>
      <c r="E1772" t="s">
        <v>1522</v>
      </c>
      <c r="F1772" t="s">
        <v>1523</v>
      </c>
      <c r="G1772" t="s">
        <v>106</v>
      </c>
      <c r="H1772" t="s">
        <v>30</v>
      </c>
      <c r="I1772" t="s">
        <v>30</v>
      </c>
      <c r="J1772" t="s">
        <v>128</v>
      </c>
      <c r="K1772" t="s">
        <v>32</v>
      </c>
      <c r="L1772" t="s">
        <v>32</v>
      </c>
      <c r="M1772" t="s">
        <v>33</v>
      </c>
      <c r="N1772" t="s">
        <v>33</v>
      </c>
      <c r="O1772" t="s">
        <v>33</v>
      </c>
      <c r="P1772" t="s">
        <v>34</v>
      </c>
      <c r="Q1772" t="s">
        <v>35</v>
      </c>
      <c r="R1772" t="s">
        <v>129</v>
      </c>
      <c r="S1772" t="s">
        <v>30</v>
      </c>
      <c r="T1772" t="s">
        <v>1581</v>
      </c>
      <c r="U1772" t="s">
        <v>1582</v>
      </c>
      <c r="V1772" t="s">
        <v>39</v>
      </c>
      <c r="W1772" s="1">
        <v>1</v>
      </c>
    </row>
    <row r="1773" spans="1:23" x14ac:dyDescent="0.2">
      <c r="A1773" t="s">
        <v>23</v>
      </c>
      <c r="B1773" t="s">
        <v>1108</v>
      </c>
      <c r="C1773" t="s">
        <v>1495</v>
      </c>
      <c r="D1773" t="s">
        <v>1496</v>
      </c>
      <c r="E1773" t="s">
        <v>1522</v>
      </c>
      <c r="F1773" t="s">
        <v>1523</v>
      </c>
      <c r="G1773" t="s">
        <v>106</v>
      </c>
      <c r="H1773" t="s">
        <v>30</v>
      </c>
      <c r="I1773" t="s">
        <v>30</v>
      </c>
      <c r="J1773" t="s">
        <v>128</v>
      </c>
      <c r="K1773" t="s">
        <v>32</v>
      </c>
      <c r="L1773" t="s">
        <v>32</v>
      </c>
      <c r="M1773" t="s">
        <v>33</v>
      </c>
      <c r="N1773" t="s">
        <v>33</v>
      </c>
      <c r="O1773" t="s">
        <v>33</v>
      </c>
      <c r="P1773" t="s">
        <v>34</v>
      </c>
      <c r="Q1773" t="s">
        <v>35</v>
      </c>
      <c r="R1773" t="s">
        <v>129</v>
      </c>
      <c r="S1773" t="s">
        <v>30</v>
      </c>
      <c r="T1773" t="s">
        <v>1581</v>
      </c>
      <c r="U1773" t="s">
        <v>1582</v>
      </c>
      <c r="V1773" t="s">
        <v>40</v>
      </c>
      <c r="W1773" s="1">
        <v>469900</v>
      </c>
    </row>
    <row r="1774" spans="1:23" x14ac:dyDescent="0.2">
      <c r="A1774" t="s">
        <v>23</v>
      </c>
      <c r="B1774" t="s">
        <v>1108</v>
      </c>
      <c r="C1774" t="s">
        <v>1495</v>
      </c>
      <c r="D1774" t="s">
        <v>1496</v>
      </c>
      <c r="E1774" t="s">
        <v>1522</v>
      </c>
      <c r="F1774" t="s">
        <v>1523</v>
      </c>
      <c r="G1774" t="s">
        <v>119</v>
      </c>
      <c r="H1774" t="s">
        <v>30</v>
      </c>
      <c r="I1774" t="s">
        <v>52</v>
      </c>
      <c r="J1774" t="s">
        <v>128</v>
      </c>
      <c r="K1774" t="s">
        <v>32</v>
      </c>
      <c r="L1774" t="s">
        <v>32</v>
      </c>
      <c r="M1774" t="s">
        <v>33</v>
      </c>
      <c r="N1774" t="s">
        <v>33</v>
      </c>
      <c r="O1774" t="s">
        <v>33</v>
      </c>
      <c r="P1774" t="s">
        <v>42</v>
      </c>
      <c r="Q1774" t="s">
        <v>43</v>
      </c>
      <c r="R1774" t="s">
        <v>129</v>
      </c>
      <c r="S1774" t="s">
        <v>30</v>
      </c>
      <c r="T1774" t="s">
        <v>1583</v>
      </c>
      <c r="U1774" t="s">
        <v>1584</v>
      </c>
      <c r="V1774" t="s">
        <v>39</v>
      </c>
      <c r="W1774" s="1">
        <v>8</v>
      </c>
    </row>
    <row r="1775" spans="1:23" x14ac:dyDescent="0.2">
      <c r="A1775" t="s">
        <v>23</v>
      </c>
      <c r="B1775" t="s">
        <v>1108</v>
      </c>
      <c r="C1775" t="s">
        <v>1495</v>
      </c>
      <c r="D1775" t="s">
        <v>1496</v>
      </c>
      <c r="E1775" t="s">
        <v>1522</v>
      </c>
      <c r="F1775" t="s">
        <v>1523</v>
      </c>
      <c r="G1775" t="s">
        <v>119</v>
      </c>
      <c r="H1775" t="s">
        <v>30</v>
      </c>
      <c r="I1775" t="s">
        <v>52</v>
      </c>
      <c r="J1775" t="s">
        <v>128</v>
      </c>
      <c r="K1775" t="s">
        <v>32</v>
      </c>
      <c r="L1775" t="s">
        <v>32</v>
      </c>
      <c r="M1775" t="s">
        <v>33</v>
      </c>
      <c r="N1775" t="s">
        <v>33</v>
      </c>
      <c r="O1775" t="s">
        <v>33</v>
      </c>
      <c r="P1775" t="s">
        <v>42</v>
      </c>
      <c r="Q1775" t="s">
        <v>43</v>
      </c>
      <c r="R1775" t="s">
        <v>129</v>
      </c>
      <c r="S1775" t="s">
        <v>30</v>
      </c>
      <c r="T1775" t="s">
        <v>1583</v>
      </c>
      <c r="U1775" t="s">
        <v>1584</v>
      </c>
      <c r="V1775" t="s">
        <v>40</v>
      </c>
      <c r="W1775" s="1">
        <v>4560000</v>
      </c>
    </row>
    <row r="1776" spans="1:23" x14ac:dyDescent="0.2">
      <c r="A1776" t="s">
        <v>23</v>
      </c>
      <c r="B1776" t="s">
        <v>1108</v>
      </c>
      <c r="C1776" t="s">
        <v>1495</v>
      </c>
      <c r="D1776" t="s">
        <v>1496</v>
      </c>
      <c r="E1776" t="s">
        <v>1522</v>
      </c>
      <c r="F1776" t="s">
        <v>1523</v>
      </c>
      <c r="G1776" t="s">
        <v>119</v>
      </c>
      <c r="H1776" t="s">
        <v>30</v>
      </c>
      <c r="I1776" t="s">
        <v>52</v>
      </c>
      <c r="J1776" t="s">
        <v>128</v>
      </c>
      <c r="K1776" t="s">
        <v>32</v>
      </c>
      <c r="L1776" t="s">
        <v>32</v>
      </c>
      <c r="M1776" t="s">
        <v>33</v>
      </c>
      <c r="P1776" t="s">
        <v>42</v>
      </c>
      <c r="Q1776" t="s">
        <v>43</v>
      </c>
      <c r="R1776" t="s">
        <v>129</v>
      </c>
      <c r="S1776" t="s">
        <v>52</v>
      </c>
      <c r="T1776" t="s">
        <v>1583</v>
      </c>
      <c r="U1776" t="s">
        <v>1584</v>
      </c>
      <c r="V1776" t="s">
        <v>39</v>
      </c>
      <c r="W1776" s="1">
        <v>0</v>
      </c>
    </row>
    <row r="1777" spans="1:23" x14ac:dyDescent="0.2">
      <c r="A1777" t="s">
        <v>23</v>
      </c>
      <c r="B1777" t="s">
        <v>1108</v>
      </c>
      <c r="C1777" t="s">
        <v>1495</v>
      </c>
      <c r="D1777" t="s">
        <v>1496</v>
      </c>
      <c r="E1777" t="s">
        <v>1522</v>
      </c>
      <c r="F1777" t="s">
        <v>1523</v>
      </c>
      <c r="G1777" t="s">
        <v>119</v>
      </c>
      <c r="H1777" t="s">
        <v>30</v>
      </c>
      <c r="I1777" t="s">
        <v>52</v>
      </c>
      <c r="J1777" t="s">
        <v>128</v>
      </c>
      <c r="K1777" t="s">
        <v>32</v>
      </c>
      <c r="L1777" t="s">
        <v>32</v>
      </c>
      <c r="M1777" t="s">
        <v>33</v>
      </c>
      <c r="P1777" t="s">
        <v>42</v>
      </c>
      <c r="Q1777" t="s">
        <v>43</v>
      </c>
      <c r="R1777" t="s">
        <v>129</v>
      </c>
      <c r="S1777" t="s">
        <v>52</v>
      </c>
      <c r="T1777" t="s">
        <v>1583</v>
      </c>
      <c r="U1777" t="s">
        <v>1584</v>
      </c>
      <c r="V1777" t="s">
        <v>40</v>
      </c>
      <c r="W1777" s="1">
        <v>1140000</v>
      </c>
    </row>
    <row r="1778" spans="1:23" x14ac:dyDescent="0.2">
      <c r="A1778" t="s">
        <v>23</v>
      </c>
      <c r="B1778" t="s">
        <v>1108</v>
      </c>
      <c r="C1778" t="s">
        <v>1495</v>
      </c>
      <c r="D1778" t="s">
        <v>1496</v>
      </c>
      <c r="E1778" t="s">
        <v>1522</v>
      </c>
      <c r="F1778" t="s">
        <v>1523</v>
      </c>
      <c r="G1778" t="s">
        <v>119</v>
      </c>
      <c r="H1778" t="s">
        <v>30</v>
      </c>
      <c r="I1778" t="s">
        <v>52</v>
      </c>
      <c r="J1778" t="s">
        <v>31</v>
      </c>
      <c r="K1778" t="s">
        <v>32</v>
      </c>
      <c r="L1778" t="s">
        <v>32</v>
      </c>
      <c r="M1778" t="s">
        <v>33</v>
      </c>
      <c r="N1778" t="s">
        <v>33</v>
      </c>
      <c r="O1778" t="s">
        <v>33</v>
      </c>
      <c r="P1778" t="s">
        <v>34</v>
      </c>
      <c r="Q1778" t="s">
        <v>35</v>
      </c>
      <c r="S1778" t="s">
        <v>30</v>
      </c>
      <c r="T1778" t="s">
        <v>1585</v>
      </c>
      <c r="U1778" t="s">
        <v>1586</v>
      </c>
      <c r="V1778" t="s">
        <v>39</v>
      </c>
      <c r="W1778" s="1">
        <v>1</v>
      </c>
    </row>
    <row r="1779" spans="1:23" x14ac:dyDescent="0.2">
      <c r="A1779" t="s">
        <v>23</v>
      </c>
      <c r="B1779" t="s">
        <v>1108</v>
      </c>
      <c r="C1779" t="s">
        <v>1495</v>
      </c>
      <c r="D1779" t="s">
        <v>1496</v>
      </c>
      <c r="E1779" t="s">
        <v>1522</v>
      </c>
      <c r="F1779" t="s">
        <v>1523</v>
      </c>
      <c r="G1779" t="s">
        <v>119</v>
      </c>
      <c r="H1779" t="s">
        <v>30</v>
      </c>
      <c r="I1779" t="s">
        <v>52</v>
      </c>
      <c r="J1779" t="s">
        <v>31</v>
      </c>
      <c r="K1779" t="s">
        <v>32</v>
      </c>
      <c r="L1779" t="s">
        <v>32</v>
      </c>
      <c r="M1779" t="s">
        <v>33</v>
      </c>
      <c r="N1779" t="s">
        <v>33</v>
      </c>
      <c r="O1779" t="s">
        <v>33</v>
      </c>
      <c r="P1779" t="s">
        <v>34</v>
      </c>
      <c r="Q1779" t="s">
        <v>35</v>
      </c>
      <c r="S1779" t="s">
        <v>30</v>
      </c>
      <c r="T1779" t="s">
        <v>1585</v>
      </c>
      <c r="U1779" t="s">
        <v>1586</v>
      </c>
      <c r="V1779" t="s">
        <v>40</v>
      </c>
      <c r="W1779" s="1">
        <v>1649000</v>
      </c>
    </row>
    <row r="1780" spans="1:23" x14ac:dyDescent="0.2">
      <c r="A1780" t="s">
        <v>23</v>
      </c>
      <c r="B1780" t="s">
        <v>1108</v>
      </c>
      <c r="C1780" t="s">
        <v>1495</v>
      </c>
      <c r="D1780" t="s">
        <v>1496</v>
      </c>
      <c r="E1780" t="s">
        <v>1522</v>
      </c>
      <c r="F1780" t="s">
        <v>1523</v>
      </c>
      <c r="G1780" t="s">
        <v>119</v>
      </c>
      <c r="H1780" t="s">
        <v>30</v>
      </c>
      <c r="I1780" t="s">
        <v>52</v>
      </c>
      <c r="J1780" t="s">
        <v>31</v>
      </c>
      <c r="K1780" t="s">
        <v>32</v>
      </c>
      <c r="L1780" t="s">
        <v>32</v>
      </c>
      <c r="M1780" t="s">
        <v>33</v>
      </c>
      <c r="N1780" t="s">
        <v>33</v>
      </c>
      <c r="O1780" t="s">
        <v>33</v>
      </c>
      <c r="P1780" t="s">
        <v>42</v>
      </c>
      <c r="Q1780" t="s">
        <v>43</v>
      </c>
      <c r="R1780" t="s">
        <v>162</v>
      </c>
      <c r="S1780" t="s">
        <v>30</v>
      </c>
      <c r="T1780" t="s">
        <v>1587</v>
      </c>
      <c r="U1780" t="s">
        <v>1588</v>
      </c>
      <c r="V1780" t="s">
        <v>39</v>
      </c>
      <c r="W1780" s="1">
        <v>4</v>
      </c>
    </row>
    <row r="1781" spans="1:23" x14ac:dyDescent="0.2">
      <c r="A1781" t="s">
        <v>23</v>
      </c>
      <c r="B1781" t="s">
        <v>1108</v>
      </c>
      <c r="C1781" t="s">
        <v>1495</v>
      </c>
      <c r="D1781" t="s">
        <v>1496</v>
      </c>
      <c r="E1781" t="s">
        <v>1522</v>
      </c>
      <c r="F1781" t="s">
        <v>1523</v>
      </c>
      <c r="G1781" t="s">
        <v>119</v>
      </c>
      <c r="H1781" t="s">
        <v>30</v>
      </c>
      <c r="I1781" t="s">
        <v>52</v>
      </c>
      <c r="J1781" t="s">
        <v>31</v>
      </c>
      <c r="K1781" t="s">
        <v>32</v>
      </c>
      <c r="L1781" t="s">
        <v>32</v>
      </c>
      <c r="M1781" t="s">
        <v>33</v>
      </c>
      <c r="N1781" t="s">
        <v>33</v>
      </c>
      <c r="O1781" t="s">
        <v>33</v>
      </c>
      <c r="P1781" t="s">
        <v>42</v>
      </c>
      <c r="Q1781" t="s">
        <v>43</v>
      </c>
      <c r="R1781" t="s">
        <v>162</v>
      </c>
      <c r="S1781" t="s">
        <v>30</v>
      </c>
      <c r="T1781" t="s">
        <v>1587</v>
      </c>
      <c r="U1781" t="s">
        <v>1588</v>
      </c>
      <c r="V1781" t="s">
        <v>40</v>
      </c>
      <c r="W1781" s="1">
        <v>3596000</v>
      </c>
    </row>
    <row r="1782" spans="1:23" x14ac:dyDescent="0.2">
      <c r="A1782" t="s">
        <v>23</v>
      </c>
      <c r="B1782" t="s">
        <v>1108</v>
      </c>
      <c r="C1782" t="s">
        <v>1495</v>
      </c>
      <c r="D1782" t="s">
        <v>1496</v>
      </c>
      <c r="E1782" t="s">
        <v>1522</v>
      </c>
      <c r="F1782" t="s">
        <v>1523</v>
      </c>
      <c r="G1782" t="s">
        <v>119</v>
      </c>
      <c r="H1782" t="s">
        <v>30</v>
      </c>
      <c r="I1782" t="s">
        <v>52</v>
      </c>
      <c r="J1782" t="s">
        <v>31</v>
      </c>
      <c r="K1782" t="s">
        <v>32</v>
      </c>
      <c r="L1782" t="s">
        <v>32</v>
      </c>
      <c r="M1782" t="s">
        <v>33</v>
      </c>
      <c r="N1782" t="s">
        <v>33</v>
      </c>
      <c r="O1782" t="s">
        <v>33</v>
      </c>
      <c r="P1782" t="s">
        <v>42</v>
      </c>
      <c r="Q1782" t="s">
        <v>43</v>
      </c>
      <c r="S1782" t="s">
        <v>30</v>
      </c>
      <c r="T1782" t="s">
        <v>1589</v>
      </c>
      <c r="U1782" t="s">
        <v>1590</v>
      </c>
      <c r="V1782" t="s">
        <v>39</v>
      </c>
      <c r="W1782" s="1">
        <v>3</v>
      </c>
    </row>
    <row r="1783" spans="1:23" x14ac:dyDescent="0.2">
      <c r="A1783" t="s">
        <v>23</v>
      </c>
      <c r="B1783" t="s">
        <v>1108</v>
      </c>
      <c r="C1783" t="s">
        <v>1495</v>
      </c>
      <c r="D1783" t="s">
        <v>1496</v>
      </c>
      <c r="E1783" t="s">
        <v>1522</v>
      </c>
      <c r="F1783" t="s">
        <v>1523</v>
      </c>
      <c r="G1783" t="s">
        <v>119</v>
      </c>
      <c r="H1783" t="s">
        <v>30</v>
      </c>
      <c r="I1783" t="s">
        <v>52</v>
      </c>
      <c r="J1783" t="s">
        <v>31</v>
      </c>
      <c r="K1783" t="s">
        <v>32</v>
      </c>
      <c r="L1783" t="s">
        <v>32</v>
      </c>
      <c r="M1783" t="s">
        <v>33</v>
      </c>
      <c r="N1783" t="s">
        <v>33</v>
      </c>
      <c r="O1783" t="s">
        <v>33</v>
      </c>
      <c r="P1783" t="s">
        <v>42</v>
      </c>
      <c r="Q1783" t="s">
        <v>43</v>
      </c>
      <c r="S1783" t="s">
        <v>30</v>
      </c>
      <c r="T1783" t="s">
        <v>1589</v>
      </c>
      <c r="U1783" t="s">
        <v>1590</v>
      </c>
      <c r="V1783" t="s">
        <v>40</v>
      </c>
      <c r="W1783" s="1">
        <v>5185800</v>
      </c>
    </row>
    <row r="1784" spans="1:23" x14ac:dyDescent="0.2">
      <c r="A1784" t="s">
        <v>23</v>
      </c>
      <c r="B1784" t="s">
        <v>1108</v>
      </c>
      <c r="C1784" t="s">
        <v>1495</v>
      </c>
      <c r="D1784" t="s">
        <v>1496</v>
      </c>
      <c r="E1784" t="s">
        <v>1522</v>
      </c>
      <c r="F1784" t="s">
        <v>1523</v>
      </c>
      <c r="G1784" t="s">
        <v>119</v>
      </c>
      <c r="H1784" t="s">
        <v>30</v>
      </c>
      <c r="I1784" t="s">
        <v>52</v>
      </c>
      <c r="J1784" t="s">
        <v>31</v>
      </c>
      <c r="K1784" t="s">
        <v>32</v>
      </c>
      <c r="L1784" t="s">
        <v>32</v>
      </c>
      <c r="M1784" t="s">
        <v>33</v>
      </c>
      <c r="P1784" t="s">
        <v>34</v>
      </c>
      <c r="Q1784" t="s">
        <v>35</v>
      </c>
      <c r="S1784" t="s">
        <v>30</v>
      </c>
      <c r="T1784" t="s">
        <v>1585</v>
      </c>
      <c r="U1784" t="s">
        <v>1586</v>
      </c>
      <c r="V1784" t="s">
        <v>39</v>
      </c>
      <c r="W1784" s="1">
        <v>1</v>
      </c>
    </row>
    <row r="1785" spans="1:23" x14ac:dyDescent="0.2">
      <c r="A1785" t="s">
        <v>23</v>
      </c>
      <c r="B1785" t="s">
        <v>1108</v>
      </c>
      <c r="C1785" t="s">
        <v>1495</v>
      </c>
      <c r="D1785" t="s">
        <v>1496</v>
      </c>
      <c r="E1785" t="s">
        <v>1522</v>
      </c>
      <c r="F1785" t="s">
        <v>1523</v>
      </c>
      <c r="G1785" t="s">
        <v>119</v>
      </c>
      <c r="H1785" t="s">
        <v>30</v>
      </c>
      <c r="I1785" t="s">
        <v>52</v>
      </c>
      <c r="J1785" t="s">
        <v>31</v>
      </c>
      <c r="K1785" t="s">
        <v>32</v>
      </c>
      <c r="L1785" t="s">
        <v>32</v>
      </c>
      <c r="M1785" t="s">
        <v>33</v>
      </c>
      <c r="P1785" t="s">
        <v>34</v>
      </c>
      <c r="Q1785" t="s">
        <v>35</v>
      </c>
      <c r="S1785" t="s">
        <v>30</v>
      </c>
      <c r="T1785" t="s">
        <v>1585</v>
      </c>
      <c r="U1785" t="s">
        <v>1586</v>
      </c>
      <c r="V1785" t="s">
        <v>40</v>
      </c>
      <c r="W1785" s="1">
        <v>1649000</v>
      </c>
    </row>
    <row r="1786" spans="1:23" x14ac:dyDescent="0.2">
      <c r="A1786" t="s">
        <v>23</v>
      </c>
      <c r="B1786" t="s">
        <v>1108</v>
      </c>
      <c r="C1786" t="s">
        <v>1495</v>
      </c>
      <c r="D1786" t="s">
        <v>1496</v>
      </c>
      <c r="E1786" t="s">
        <v>1522</v>
      </c>
      <c r="F1786" t="s">
        <v>1523</v>
      </c>
      <c r="G1786" t="s">
        <v>119</v>
      </c>
      <c r="H1786" t="s">
        <v>30</v>
      </c>
      <c r="I1786" t="s">
        <v>52</v>
      </c>
      <c r="J1786" t="s">
        <v>41</v>
      </c>
      <c r="K1786" t="s">
        <v>32</v>
      </c>
      <c r="L1786" t="s">
        <v>32</v>
      </c>
      <c r="M1786" t="s">
        <v>33</v>
      </c>
      <c r="N1786" t="s">
        <v>33</v>
      </c>
      <c r="O1786" t="s">
        <v>33</v>
      </c>
      <c r="P1786" t="s">
        <v>34</v>
      </c>
      <c r="Q1786" t="s">
        <v>35</v>
      </c>
      <c r="S1786" t="s">
        <v>30</v>
      </c>
      <c r="T1786" t="s">
        <v>1591</v>
      </c>
      <c r="U1786" t="s">
        <v>1592</v>
      </c>
      <c r="V1786" t="s">
        <v>39</v>
      </c>
      <c r="W1786" s="1">
        <v>2</v>
      </c>
    </row>
    <row r="1787" spans="1:23" x14ac:dyDescent="0.2">
      <c r="A1787" t="s">
        <v>23</v>
      </c>
      <c r="B1787" t="s">
        <v>1108</v>
      </c>
      <c r="C1787" t="s">
        <v>1495</v>
      </c>
      <c r="D1787" t="s">
        <v>1496</v>
      </c>
      <c r="E1787" t="s">
        <v>1522</v>
      </c>
      <c r="F1787" t="s">
        <v>1523</v>
      </c>
      <c r="G1787" t="s">
        <v>119</v>
      </c>
      <c r="H1787" t="s">
        <v>30</v>
      </c>
      <c r="I1787" t="s">
        <v>52</v>
      </c>
      <c r="J1787" t="s">
        <v>41</v>
      </c>
      <c r="K1787" t="s">
        <v>32</v>
      </c>
      <c r="L1787" t="s">
        <v>32</v>
      </c>
      <c r="M1787" t="s">
        <v>33</v>
      </c>
      <c r="N1787" t="s">
        <v>33</v>
      </c>
      <c r="O1787" t="s">
        <v>33</v>
      </c>
      <c r="P1787" t="s">
        <v>34</v>
      </c>
      <c r="Q1787" t="s">
        <v>35</v>
      </c>
      <c r="S1787" t="s">
        <v>30</v>
      </c>
      <c r="T1787" t="s">
        <v>1591</v>
      </c>
      <c r="U1787" t="s">
        <v>1592</v>
      </c>
      <c r="V1787" t="s">
        <v>40</v>
      </c>
      <c r="W1787" s="1">
        <v>1434800</v>
      </c>
    </row>
    <row r="1788" spans="1:23" x14ac:dyDescent="0.2">
      <c r="A1788" t="s">
        <v>23</v>
      </c>
      <c r="B1788" t="s">
        <v>1108</v>
      </c>
      <c r="C1788" t="s">
        <v>1495</v>
      </c>
      <c r="D1788" t="s">
        <v>1496</v>
      </c>
      <c r="E1788" t="s">
        <v>1522</v>
      </c>
      <c r="F1788" t="s">
        <v>1523</v>
      </c>
      <c r="G1788" t="s">
        <v>119</v>
      </c>
      <c r="H1788" t="s">
        <v>30</v>
      </c>
      <c r="I1788" t="s">
        <v>52</v>
      </c>
      <c r="J1788" t="s">
        <v>41</v>
      </c>
      <c r="K1788" t="s">
        <v>32</v>
      </c>
      <c r="L1788" t="s">
        <v>32</v>
      </c>
      <c r="M1788" t="s">
        <v>33</v>
      </c>
      <c r="N1788" t="s">
        <v>33</v>
      </c>
      <c r="O1788" t="s">
        <v>33</v>
      </c>
      <c r="P1788" t="s">
        <v>42</v>
      </c>
      <c r="Q1788" t="s">
        <v>43</v>
      </c>
      <c r="R1788" t="s">
        <v>73</v>
      </c>
      <c r="S1788" t="s">
        <v>30</v>
      </c>
      <c r="T1788" t="s">
        <v>1593</v>
      </c>
      <c r="U1788" t="s">
        <v>1594</v>
      </c>
      <c r="V1788" t="s">
        <v>39</v>
      </c>
      <c r="W1788" s="1">
        <v>4</v>
      </c>
    </row>
    <row r="1789" spans="1:23" x14ac:dyDescent="0.2">
      <c r="A1789" t="s">
        <v>23</v>
      </c>
      <c r="B1789" t="s">
        <v>1108</v>
      </c>
      <c r="C1789" t="s">
        <v>1495</v>
      </c>
      <c r="D1789" t="s">
        <v>1496</v>
      </c>
      <c r="E1789" t="s">
        <v>1522</v>
      </c>
      <c r="F1789" t="s">
        <v>1523</v>
      </c>
      <c r="G1789" t="s">
        <v>119</v>
      </c>
      <c r="H1789" t="s">
        <v>30</v>
      </c>
      <c r="I1789" t="s">
        <v>52</v>
      </c>
      <c r="J1789" t="s">
        <v>41</v>
      </c>
      <c r="K1789" t="s">
        <v>32</v>
      </c>
      <c r="L1789" t="s">
        <v>32</v>
      </c>
      <c r="M1789" t="s">
        <v>33</v>
      </c>
      <c r="N1789" t="s">
        <v>33</v>
      </c>
      <c r="O1789" t="s">
        <v>33</v>
      </c>
      <c r="P1789" t="s">
        <v>42</v>
      </c>
      <c r="Q1789" t="s">
        <v>43</v>
      </c>
      <c r="R1789" t="s">
        <v>73</v>
      </c>
      <c r="S1789" t="s">
        <v>30</v>
      </c>
      <c r="T1789" t="s">
        <v>1593</v>
      </c>
      <c r="U1789" t="s">
        <v>1594</v>
      </c>
      <c r="V1789" t="s">
        <v>40</v>
      </c>
      <c r="W1789" s="1">
        <v>3999600</v>
      </c>
    </row>
    <row r="1790" spans="1:23" x14ac:dyDescent="0.2">
      <c r="A1790" t="s">
        <v>23</v>
      </c>
      <c r="B1790" t="s">
        <v>1108</v>
      </c>
      <c r="C1790" t="s">
        <v>1495</v>
      </c>
      <c r="D1790" t="s">
        <v>1496</v>
      </c>
      <c r="E1790" t="s">
        <v>1522</v>
      </c>
      <c r="F1790" t="s">
        <v>1523</v>
      </c>
      <c r="G1790" t="s">
        <v>119</v>
      </c>
      <c r="H1790" t="s">
        <v>30</v>
      </c>
      <c r="I1790" t="s">
        <v>52</v>
      </c>
      <c r="J1790" t="s">
        <v>41</v>
      </c>
      <c r="K1790" t="s">
        <v>32</v>
      </c>
      <c r="L1790" t="s">
        <v>32</v>
      </c>
      <c r="M1790" t="s">
        <v>33</v>
      </c>
      <c r="P1790" t="s">
        <v>34</v>
      </c>
      <c r="Q1790" t="s">
        <v>35</v>
      </c>
      <c r="S1790" t="s">
        <v>30</v>
      </c>
      <c r="T1790" t="s">
        <v>982</v>
      </c>
      <c r="U1790" t="s">
        <v>1595</v>
      </c>
      <c r="V1790" t="s">
        <v>39</v>
      </c>
      <c r="W1790" s="1">
        <v>4</v>
      </c>
    </row>
    <row r="1791" spans="1:23" x14ac:dyDescent="0.2">
      <c r="A1791" t="s">
        <v>23</v>
      </c>
      <c r="B1791" t="s">
        <v>1108</v>
      </c>
      <c r="C1791" t="s">
        <v>1495</v>
      </c>
      <c r="D1791" t="s">
        <v>1496</v>
      </c>
      <c r="E1791" t="s">
        <v>1522</v>
      </c>
      <c r="F1791" t="s">
        <v>1523</v>
      </c>
      <c r="G1791" t="s">
        <v>119</v>
      </c>
      <c r="H1791" t="s">
        <v>30</v>
      </c>
      <c r="I1791" t="s">
        <v>52</v>
      </c>
      <c r="J1791" t="s">
        <v>41</v>
      </c>
      <c r="K1791" t="s">
        <v>32</v>
      </c>
      <c r="L1791" t="s">
        <v>32</v>
      </c>
      <c r="M1791" t="s">
        <v>33</v>
      </c>
      <c r="P1791" t="s">
        <v>34</v>
      </c>
      <c r="Q1791" t="s">
        <v>35</v>
      </c>
      <c r="S1791" t="s">
        <v>30</v>
      </c>
      <c r="T1791" t="s">
        <v>982</v>
      </c>
      <c r="U1791" t="s">
        <v>1595</v>
      </c>
      <c r="V1791" t="s">
        <v>40</v>
      </c>
      <c r="W1791" s="1">
        <v>4089200</v>
      </c>
    </row>
    <row r="1792" spans="1:23" x14ac:dyDescent="0.2">
      <c r="A1792" t="s">
        <v>23</v>
      </c>
      <c r="B1792" t="s">
        <v>1108</v>
      </c>
      <c r="C1792" t="s">
        <v>1495</v>
      </c>
      <c r="D1792" t="s">
        <v>1496</v>
      </c>
      <c r="E1792" t="s">
        <v>1522</v>
      </c>
      <c r="F1792" t="s">
        <v>1523</v>
      </c>
      <c r="G1792" t="s">
        <v>119</v>
      </c>
      <c r="H1792" t="s">
        <v>30</v>
      </c>
      <c r="I1792" t="s">
        <v>52</v>
      </c>
      <c r="J1792" t="s">
        <v>41</v>
      </c>
      <c r="K1792" t="s">
        <v>32</v>
      </c>
      <c r="L1792" t="s">
        <v>32</v>
      </c>
      <c r="M1792" t="s">
        <v>33</v>
      </c>
      <c r="P1792" t="s">
        <v>34</v>
      </c>
      <c r="Q1792" t="s">
        <v>35</v>
      </c>
      <c r="S1792" t="s">
        <v>30</v>
      </c>
      <c r="T1792" t="s">
        <v>1596</v>
      </c>
      <c r="U1792" t="s">
        <v>1597</v>
      </c>
      <c r="V1792" t="s">
        <v>39</v>
      </c>
      <c r="W1792" s="1">
        <v>4</v>
      </c>
    </row>
    <row r="1793" spans="1:23" x14ac:dyDescent="0.2">
      <c r="A1793" t="s">
        <v>23</v>
      </c>
      <c r="B1793" t="s">
        <v>1108</v>
      </c>
      <c r="C1793" t="s">
        <v>1495</v>
      </c>
      <c r="D1793" t="s">
        <v>1496</v>
      </c>
      <c r="E1793" t="s">
        <v>1522</v>
      </c>
      <c r="F1793" t="s">
        <v>1523</v>
      </c>
      <c r="G1793" t="s">
        <v>119</v>
      </c>
      <c r="H1793" t="s">
        <v>30</v>
      </c>
      <c r="I1793" t="s">
        <v>52</v>
      </c>
      <c r="J1793" t="s">
        <v>41</v>
      </c>
      <c r="K1793" t="s">
        <v>32</v>
      </c>
      <c r="L1793" t="s">
        <v>32</v>
      </c>
      <c r="M1793" t="s">
        <v>33</v>
      </c>
      <c r="P1793" t="s">
        <v>34</v>
      </c>
      <c r="Q1793" t="s">
        <v>35</v>
      </c>
      <c r="S1793" t="s">
        <v>30</v>
      </c>
      <c r="T1793" t="s">
        <v>1596</v>
      </c>
      <c r="U1793" t="s">
        <v>1597</v>
      </c>
      <c r="V1793" t="s">
        <v>40</v>
      </c>
      <c r="W1793" s="1">
        <v>13186400</v>
      </c>
    </row>
    <row r="1794" spans="1:23" x14ac:dyDescent="0.2">
      <c r="A1794" t="s">
        <v>23</v>
      </c>
      <c r="B1794" t="s">
        <v>1108</v>
      </c>
      <c r="C1794" t="s">
        <v>1495</v>
      </c>
      <c r="D1794" t="s">
        <v>1496</v>
      </c>
      <c r="E1794" t="s">
        <v>1522</v>
      </c>
      <c r="F1794" t="s">
        <v>1523</v>
      </c>
      <c r="G1794" t="s">
        <v>127</v>
      </c>
      <c r="H1794" t="s">
        <v>52</v>
      </c>
      <c r="I1794" t="s">
        <v>30</v>
      </c>
      <c r="J1794" t="s">
        <v>128</v>
      </c>
      <c r="K1794" t="s">
        <v>135</v>
      </c>
      <c r="L1794" t="s">
        <v>32</v>
      </c>
      <c r="M1794" t="s">
        <v>33</v>
      </c>
      <c r="P1794" t="s">
        <v>34</v>
      </c>
      <c r="Q1794" t="s">
        <v>35</v>
      </c>
      <c r="R1794" t="s">
        <v>1598</v>
      </c>
      <c r="S1794" t="s">
        <v>30</v>
      </c>
      <c r="T1794" t="s">
        <v>1599</v>
      </c>
      <c r="U1794" t="s">
        <v>1600</v>
      </c>
      <c r="V1794" t="s">
        <v>39</v>
      </c>
      <c r="W1794" s="1">
        <v>2</v>
      </c>
    </row>
    <row r="1795" spans="1:23" x14ac:dyDescent="0.2">
      <c r="A1795" t="s">
        <v>23</v>
      </c>
      <c r="B1795" t="s">
        <v>1108</v>
      </c>
      <c r="C1795" t="s">
        <v>1495</v>
      </c>
      <c r="D1795" t="s">
        <v>1496</v>
      </c>
      <c r="E1795" t="s">
        <v>1522</v>
      </c>
      <c r="F1795" t="s">
        <v>1523</v>
      </c>
      <c r="G1795" t="s">
        <v>127</v>
      </c>
      <c r="H1795" t="s">
        <v>52</v>
      </c>
      <c r="I1795" t="s">
        <v>30</v>
      </c>
      <c r="J1795" t="s">
        <v>128</v>
      </c>
      <c r="K1795" t="s">
        <v>135</v>
      </c>
      <c r="L1795" t="s">
        <v>32</v>
      </c>
      <c r="M1795" t="s">
        <v>33</v>
      </c>
      <c r="P1795" t="s">
        <v>34</v>
      </c>
      <c r="Q1795" t="s">
        <v>35</v>
      </c>
      <c r="R1795" t="s">
        <v>1598</v>
      </c>
      <c r="S1795" t="s">
        <v>30</v>
      </c>
      <c r="T1795" t="s">
        <v>1599</v>
      </c>
      <c r="U1795" t="s">
        <v>1600</v>
      </c>
      <c r="V1795" t="s">
        <v>40</v>
      </c>
      <c r="W1795" s="1">
        <v>614000</v>
      </c>
    </row>
    <row r="1796" spans="1:23" x14ac:dyDescent="0.2">
      <c r="A1796" t="s">
        <v>23</v>
      </c>
      <c r="B1796" t="s">
        <v>1108</v>
      </c>
      <c r="C1796" t="s">
        <v>1495</v>
      </c>
      <c r="D1796" t="s">
        <v>1496</v>
      </c>
      <c r="E1796" t="s">
        <v>1522</v>
      </c>
      <c r="F1796" t="s">
        <v>1523</v>
      </c>
      <c r="G1796" t="s">
        <v>127</v>
      </c>
      <c r="H1796" t="s">
        <v>52</v>
      </c>
      <c r="I1796" t="s">
        <v>30</v>
      </c>
      <c r="J1796" t="s">
        <v>31</v>
      </c>
      <c r="K1796" t="s">
        <v>32</v>
      </c>
      <c r="L1796" t="s">
        <v>32</v>
      </c>
      <c r="M1796" t="s">
        <v>33</v>
      </c>
      <c r="N1796" t="s">
        <v>33</v>
      </c>
      <c r="O1796" t="s">
        <v>33</v>
      </c>
      <c r="P1796" t="s">
        <v>34</v>
      </c>
      <c r="Q1796" t="s">
        <v>35</v>
      </c>
      <c r="R1796" t="s">
        <v>184</v>
      </c>
      <c r="S1796" t="s">
        <v>30</v>
      </c>
      <c r="T1796" t="s">
        <v>1601</v>
      </c>
      <c r="U1796" t="s">
        <v>1602</v>
      </c>
      <c r="V1796" t="s">
        <v>39</v>
      </c>
      <c r="W1796" s="1">
        <v>1</v>
      </c>
    </row>
    <row r="1797" spans="1:23" x14ac:dyDescent="0.2">
      <c r="A1797" t="s">
        <v>23</v>
      </c>
      <c r="B1797" t="s">
        <v>1108</v>
      </c>
      <c r="C1797" t="s">
        <v>1495</v>
      </c>
      <c r="D1797" t="s">
        <v>1496</v>
      </c>
      <c r="E1797" t="s">
        <v>1522</v>
      </c>
      <c r="F1797" t="s">
        <v>1523</v>
      </c>
      <c r="G1797" t="s">
        <v>127</v>
      </c>
      <c r="H1797" t="s">
        <v>52</v>
      </c>
      <c r="I1797" t="s">
        <v>30</v>
      </c>
      <c r="J1797" t="s">
        <v>31</v>
      </c>
      <c r="K1797" t="s">
        <v>32</v>
      </c>
      <c r="L1797" t="s">
        <v>32</v>
      </c>
      <c r="M1797" t="s">
        <v>33</v>
      </c>
      <c r="N1797" t="s">
        <v>33</v>
      </c>
      <c r="O1797" t="s">
        <v>33</v>
      </c>
      <c r="P1797" t="s">
        <v>34</v>
      </c>
      <c r="Q1797" t="s">
        <v>35</v>
      </c>
      <c r="R1797" t="s">
        <v>184</v>
      </c>
      <c r="S1797" t="s">
        <v>30</v>
      </c>
      <c r="T1797" t="s">
        <v>1601</v>
      </c>
      <c r="U1797" t="s">
        <v>1602</v>
      </c>
      <c r="V1797" t="s">
        <v>40</v>
      </c>
      <c r="W1797" s="1">
        <v>1170100</v>
      </c>
    </row>
    <row r="1798" spans="1:23" x14ac:dyDescent="0.2">
      <c r="A1798" t="s">
        <v>23</v>
      </c>
      <c r="B1798" t="s">
        <v>1108</v>
      </c>
      <c r="C1798" t="s">
        <v>1495</v>
      </c>
      <c r="D1798" t="s">
        <v>1496</v>
      </c>
      <c r="E1798" t="s">
        <v>1522</v>
      </c>
      <c r="F1798" t="s">
        <v>1523</v>
      </c>
      <c r="G1798" t="s">
        <v>127</v>
      </c>
      <c r="H1798" t="s">
        <v>52</v>
      </c>
      <c r="I1798" t="s">
        <v>30</v>
      </c>
      <c r="J1798" t="s">
        <v>31</v>
      </c>
      <c r="K1798" t="s">
        <v>32</v>
      </c>
      <c r="L1798" t="s">
        <v>32</v>
      </c>
      <c r="M1798" t="s">
        <v>33</v>
      </c>
      <c r="N1798" t="s">
        <v>33</v>
      </c>
      <c r="O1798" t="s">
        <v>33</v>
      </c>
      <c r="P1798" t="s">
        <v>34</v>
      </c>
      <c r="Q1798" t="s">
        <v>35</v>
      </c>
      <c r="S1798" t="s">
        <v>30</v>
      </c>
      <c r="T1798" t="s">
        <v>1603</v>
      </c>
      <c r="U1798" t="s">
        <v>1604</v>
      </c>
      <c r="V1798" t="s">
        <v>39</v>
      </c>
      <c r="W1798" s="1">
        <v>1</v>
      </c>
    </row>
    <row r="1799" spans="1:23" x14ac:dyDescent="0.2">
      <c r="A1799" t="s">
        <v>23</v>
      </c>
      <c r="B1799" t="s">
        <v>1108</v>
      </c>
      <c r="C1799" t="s">
        <v>1495</v>
      </c>
      <c r="D1799" t="s">
        <v>1496</v>
      </c>
      <c r="E1799" t="s">
        <v>1522</v>
      </c>
      <c r="F1799" t="s">
        <v>1523</v>
      </c>
      <c r="G1799" t="s">
        <v>127</v>
      </c>
      <c r="H1799" t="s">
        <v>52</v>
      </c>
      <c r="I1799" t="s">
        <v>30</v>
      </c>
      <c r="J1799" t="s">
        <v>31</v>
      </c>
      <c r="K1799" t="s">
        <v>32</v>
      </c>
      <c r="L1799" t="s">
        <v>32</v>
      </c>
      <c r="M1799" t="s">
        <v>33</v>
      </c>
      <c r="N1799" t="s">
        <v>33</v>
      </c>
      <c r="O1799" t="s">
        <v>33</v>
      </c>
      <c r="P1799" t="s">
        <v>34</v>
      </c>
      <c r="Q1799" t="s">
        <v>35</v>
      </c>
      <c r="S1799" t="s">
        <v>30</v>
      </c>
      <c r="T1799" t="s">
        <v>1603</v>
      </c>
      <c r="U1799" t="s">
        <v>1604</v>
      </c>
      <c r="V1799" t="s">
        <v>40</v>
      </c>
      <c r="W1799" s="1">
        <v>399000</v>
      </c>
    </row>
    <row r="1800" spans="1:23" x14ac:dyDescent="0.2">
      <c r="A1800" t="s">
        <v>23</v>
      </c>
      <c r="B1800" t="s">
        <v>1108</v>
      </c>
      <c r="C1800" t="s">
        <v>1495</v>
      </c>
      <c r="D1800" t="s">
        <v>1496</v>
      </c>
      <c r="E1800" t="s">
        <v>1522</v>
      </c>
      <c r="F1800" t="s">
        <v>1523</v>
      </c>
      <c r="G1800" t="s">
        <v>127</v>
      </c>
      <c r="H1800" t="s">
        <v>52</v>
      </c>
      <c r="I1800" t="s">
        <v>30</v>
      </c>
      <c r="J1800" t="s">
        <v>31</v>
      </c>
      <c r="K1800" t="s">
        <v>32</v>
      </c>
      <c r="L1800" t="s">
        <v>32</v>
      </c>
      <c r="M1800" t="s">
        <v>33</v>
      </c>
      <c r="N1800" t="s">
        <v>33</v>
      </c>
      <c r="O1800" t="s">
        <v>33</v>
      </c>
      <c r="P1800" t="s">
        <v>34</v>
      </c>
      <c r="Q1800" t="s">
        <v>35</v>
      </c>
      <c r="S1800" t="s">
        <v>30</v>
      </c>
      <c r="T1800" t="s">
        <v>1605</v>
      </c>
      <c r="U1800" t="s">
        <v>1606</v>
      </c>
      <c r="V1800" t="s">
        <v>39</v>
      </c>
      <c r="W1800" s="1">
        <v>1</v>
      </c>
    </row>
    <row r="1801" spans="1:23" x14ac:dyDescent="0.2">
      <c r="A1801" t="s">
        <v>23</v>
      </c>
      <c r="B1801" t="s">
        <v>1108</v>
      </c>
      <c r="C1801" t="s">
        <v>1495</v>
      </c>
      <c r="D1801" t="s">
        <v>1496</v>
      </c>
      <c r="E1801" t="s">
        <v>1522</v>
      </c>
      <c r="F1801" t="s">
        <v>1523</v>
      </c>
      <c r="G1801" t="s">
        <v>127</v>
      </c>
      <c r="H1801" t="s">
        <v>52</v>
      </c>
      <c r="I1801" t="s">
        <v>30</v>
      </c>
      <c r="J1801" t="s">
        <v>31</v>
      </c>
      <c r="K1801" t="s">
        <v>32</v>
      </c>
      <c r="L1801" t="s">
        <v>32</v>
      </c>
      <c r="M1801" t="s">
        <v>33</v>
      </c>
      <c r="N1801" t="s">
        <v>33</v>
      </c>
      <c r="O1801" t="s">
        <v>33</v>
      </c>
      <c r="P1801" t="s">
        <v>34</v>
      </c>
      <c r="Q1801" t="s">
        <v>35</v>
      </c>
      <c r="S1801" t="s">
        <v>30</v>
      </c>
      <c r="T1801" t="s">
        <v>1605</v>
      </c>
      <c r="U1801" t="s">
        <v>1606</v>
      </c>
      <c r="V1801" t="s">
        <v>40</v>
      </c>
      <c r="W1801" s="1">
        <v>1199000</v>
      </c>
    </row>
    <row r="1802" spans="1:23" x14ac:dyDescent="0.2">
      <c r="A1802" t="s">
        <v>23</v>
      </c>
      <c r="B1802" t="s">
        <v>1108</v>
      </c>
      <c r="C1802" t="s">
        <v>1495</v>
      </c>
      <c r="D1802" t="s">
        <v>1496</v>
      </c>
      <c r="E1802" t="s">
        <v>1522</v>
      </c>
      <c r="F1802" t="s">
        <v>1523</v>
      </c>
      <c r="G1802" t="s">
        <v>127</v>
      </c>
      <c r="H1802" t="s">
        <v>52</v>
      </c>
      <c r="I1802" t="s">
        <v>30</v>
      </c>
      <c r="J1802" t="s">
        <v>31</v>
      </c>
      <c r="K1802" t="s">
        <v>32</v>
      </c>
      <c r="L1802" t="s">
        <v>32</v>
      </c>
      <c r="M1802" t="s">
        <v>33</v>
      </c>
      <c r="P1802" t="s">
        <v>34</v>
      </c>
      <c r="Q1802" t="s">
        <v>35</v>
      </c>
      <c r="R1802" t="s">
        <v>184</v>
      </c>
      <c r="S1802" t="s">
        <v>30</v>
      </c>
      <c r="T1802" t="s">
        <v>1607</v>
      </c>
      <c r="U1802" t="s">
        <v>1608</v>
      </c>
      <c r="V1802" t="s">
        <v>39</v>
      </c>
      <c r="W1802" s="1">
        <v>5</v>
      </c>
    </row>
    <row r="1803" spans="1:23" x14ac:dyDescent="0.2">
      <c r="A1803" t="s">
        <v>23</v>
      </c>
      <c r="B1803" t="s">
        <v>1108</v>
      </c>
      <c r="C1803" t="s">
        <v>1495</v>
      </c>
      <c r="D1803" t="s">
        <v>1496</v>
      </c>
      <c r="E1803" t="s">
        <v>1522</v>
      </c>
      <c r="F1803" t="s">
        <v>1523</v>
      </c>
      <c r="G1803" t="s">
        <v>127</v>
      </c>
      <c r="H1803" t="s">
        <v>52</v>
      </c>
      <c r="I1803" t="s">
        <v>30</v>
      </c>
      <c r="J1803" t="s">
        <v>31</v>
      </c>
      <c r="K1803" t="s">
        <v>32</v>
      </c>
      <c r="L1803" t="s">
        <v>32</v>
      </c>
      <c r="M1803" t="s">
        <v>33</v>
      </c>
      <c r="P1803" t="s">
        <v>34</v>
      </c>
      <c r="Q1803" t="s">
        <v>35</v>
      </c>
      <c r="R1803" t="s">
        <v>184</v>
      </c>
      <c r="S1803" t="s">
        <v>30</v>
      </c>
      <c r="T1803" t="s">
        <v>1607</v>
      </c>
      <c r="U1803" t="s">
        <v>1608</v>
      </c>
      <c r="V1803" t="s">
        <v>40</v>
      </c>
      <c r="W1803" s="1">
        <v>4629500</v>
      </c>
    </row>
    <row r="1804" spans="1:23" x14ac:dyDescent="0.2">
      <c r="A1804" t="s">
        <v>23</v>
      </c>
      <c r="B1804" t="s">
        <v>1108</v>
      </c>
      <c r="C1804" t="s">
        <v>1495</v>
      </c>
      <c r="D1804" t="s">
        <v>1496</v>
      </c>
      <c r="E1804" t="s">
        <v>1522</v>
      </c>
      <c r="F1804" t="s">
        <v>1523</v>
      </c>
      <c r="G1804" t="s">
        <v>127</v>
      </c>
      <c r="H1804" t="s">
        <v>52</v>
      </c>
      <c r="I1804" t="s">
        <v>30</v>
      </c>
      <c r="J1804" t="s">
        <v>31</v>
      </c>
      <c r="K1804" t="s">
        <v>32</v>
      </c>
      <c r="L1804" t="s">
        <v>32</v>
      </c>
      <c r="M1804" t="s">
        <v>33</v>
      </c>
      <c r="P1804" t="s">
        <v>34</v>
      </c>
      <c r="Q1804" t="s">
        <v>35</v>
      </c>
      <c r="S1804" t="s">
        <v>30</v>
      </c>
      <c r="T1804" t="s">
        <v>1603</v>
      </c>
      <c r="U1804" t="s">
        <v>1604</v>
      </c>
      <c r="V1804" t="s">
        <v>39</v>
      </c>
      <c r="W1804" s="1">
        <v>6</v>
      </c>
    </row>
    <row r="1805" spans="1:23" x14ac:dyDescent="0.2">
      <c r="A1805" t="s">
        <v>23</v>
      </c>
      <c r="B1805" t="s">
        <v>1108</v>
      </c>
      <c r="C1805" t="s">
        <v>1495</v>
      </c>
      <c r="D1805" t="s">
        <v>1496</v>
      </c>
      <c r="E1805" t="s">
        <v>1522</v>
      </c>
      <c r="F1805" t="s">
        <v>1523</v>
      </c>
      <c r="G1805" t="s">
        <v>127</v>
      </c>
      <c r="H1805" t="s">
        <v>52</v>
      </c>
      <c r="I1805" t="s">
        <v>30</v>
      </c>
      <c r="J1805" t="s">
        <v>31</v>
      </c>
      <c r="K1805" t="s">
        <v>32</v>
      </c>
      <c r="L1805" t="s">
        <v>32</v>
      </c>
      <c r="M1805" t="s">
        <v>33</v>
      </c>
      <c r="P1805" t="s">
        <v>34</v>
      </c>
      <c r="Q1805" t="s">
        <v>35</v>
      </c>
      <c r="S1805" t="s">
        <v>30</v>
      </c>
      <c r="T1805" t="s">
        <v>1603</v>
      </c>
      <c r="U1805" t="s">
        <v>1604</v>
      </c>
      <c r="V1805" t="s">
        <v>40</v>
      </c>
      <c r="W1805" s="1">
        <v>2394000</v>
      </c>
    </row>
    <row r="1806" spans="1:23" x14ac:dyDescent="0.2">
      <c r="A1806" t="s">
        <v>23</v>
      </c>
      <c r="B1806" t="s">
        <v>1108</v>
      </c>
      <c r="C1806" t="s">
        <v>1495</v>
      </c>
      <c r="D1806" t="s">
        <v>1496</v>
      </c>
      <c r="E1806" t="s">
        <v>1522</v>
      </c>
      <c r="F1806" t="s">
        <v>1523</v>
      </c>
      <c r="G1806" t="s">
        <v>127</v>
      </c>
      <c r="H1806" t="s">
        <v>52</v>
      </c>
      <c r="I1806" t="s">
        <v>30</v>
      </c>
      <c r="J1806" t="s">
        <v>31</v>
      </c>
      <c r="K1806" t="s">
        <v>32</v>
      </c>
      <c r="L1806" t="s">
        <v>32</v>
      </c>
      <c r="M1806" t="s">
        <v>33</v>
      </c>
      <c r="P1806" t="s">
        <v>34</v>
      </c>
      <c r="Q1806" t="s">
        <v>35</v>
      </c>
      <c r="S1806" t="s">
        <v>30</v>
      </c>
      <c r="T1806" t="s">
        <v>1609</v>
      </c>
      <c r="U1806" t="s">
        <v>1610</v>
      </c>
      <c r="V1806" t="s">
        <v>39</v>
      </c>
      <c r="W1806" s="1">
        <v>8</v>
      </c>
    </row>
    <row r="1807" spans="1:23" x14ac:dyDescent="0.2">
      <c r="A1807" t="s">
        <v>23</v>
      </c>
      <c r="B1807" t="s">
        <v>1108</v>
      </c>
      <c r="C1807" t="s">
        <v>1495</v>
      </c>
      <c r="D1807" t="s">
        <v>1496</v>
      </c>
      <c r="E1807" t="s">
        <v>1522</v>
      </c>
      <c r="F1807" t="s">
        <v>1523</v>
      </c>
      <c r="G1807" t="s">
        <v>127</v>
      </c>
      <c r="H1807" t="s">
        <v>52</v>
      </c>
      <c r="I1807" t="s">
        <v>30</v>
      </c>
      <c r="J1807" t="s">
        <v>31</v>
      </c>
      <c r="K1807" t="s">
        <v>32</v>
      </c>
      <c r="L1807" t="s">
        <v>32</v>
      </c>
      <c r="M1807" t="s">
        <v>33</v>
      </c>
      <c r="P1807" t="s">
        <v>34</v>
      </c>
      <c r="Q1807" t="s">
        <v>35</v>
      </c>
      <c r="S1807" t="s">
        <v>30</v>
      </c>
      <c r="T1807" t="s">
        <v>1609</v>
      </c>
      <c r="U1807" t="s">
        <v>1610</v>
      </c>
      <c r="V1807" t="s">
        <v>40</v>
      </c>
      <c r="W1807" s="1">
        <v>10392000</v>
      </c>
    </row>
    <row r="1808" spans="1:23" x14ac:dyDescent="0.2">
      <c r="A1808" t="s">
        <v>23</v>
      </c>
      <c r="B1808" t="s">
        <v>1108</v>
      </c>
      <c r="C1808" t="s">
        <v>1495</v>
      </c>
      <c r="D1808" t="s">
        <v>1496</v>
      </c>
      <c r="E1808" t="s">
        <v>1522</v>
      </c>
      <c r="F1808" t="s">
        <v>1523</v>
      </c>
      <c r="G1808" t="s">
        <v>127</v>
      </c>
      <c r="H1808" t="s">
        <v>52</v>
      </c>
      <c r="I1808" t="s">
        <v>30</v>
      </c>
      <c r="J1808" t="s">
        <v>31</v>
      </c>
      <c r="K1808" t="s">
        <v>32</v>
      </c>
      <c r="L1808" t="s">
        <v>32</v>
      </c>
      <c r="M1808" t="s">
        <v>33</v>
      </c>
      <c r="P1808" t="s">
        <v>34</v>
      </c>
      <c r="Q1808" t="s">
        <v>35</v>
      </c>
      <c r="S1808" t="s">
        <v>30</v>
      </c>
      <c r="T1808" t="s">
        <v>1605</v>
      </c>
      <c r="U1808" t="s">
        <v>1606</v>
      </c>
      <c r="V1808" t="s">
        <v>39</v>
      </c>
      <c r="W1808" s="1">
        <v>7</v>
      </c>
    </row>
    <row r="1809" spans="1:23" x14ac:dyDescent="0.2">
      <c r="A1809" t="s">
        <v>23</v>
      </c>
      <c r="B1809" t="s">
        <v>1108</v>
      </c>
      <c r="C1809" t="s">
        <v>1495</v>
      </c>
      <c r="D1809" t="s">
        <v>1496</v>
      </c>
      <c r="E1809" t="s">
        <v>1522</v>
      </c>
      <c r="F1809" t="s">
        <v>1523</v>
      </c>
      <c r="G1809" t="s">
        <v>127</v>
      </c>
      <c r="H1809" t="s">
        <v>52</v>
      </c>
      <c r="I1809" t="s">
        <v>30</v>
      </c>
      <c r="J1809" t="s">
        <v>31</v>
      </c>
      <c r="K1809" t="s">
        <v>32</v>
      </c>
      <c r="L1809" t="s">
        <v>32</v>
      </c>
      <c r="M1809" t="s">
        <v>33</v>
      </c>
      <c r="P1809" t="s">
        <v>34</v>
      </c>
      <c r="Q1809" t="s">
        <v>35</v>
      </c>
      <c r="S1809" t="s">
        <v>30</v>
      </c>
      <c r="T1809" t="s">
        <v>1605</v>
      </c>
      <c r="U1809" t="s">
        <v>1606</v>
      </c>
      <c r="V1809" t="s">
        <v>40</v>
      </c>
      <c r="W1809" s="1">
        <v>8393000</v>
      </c>
    </row>
    <row r="1810" spans="1:23" x14ac:dyDescent="0.2">
      <c r="A1810" t="s">
        <v>23</v>
      </c>
      <c r="B1810" t="s">
        <v>1108</v>
      </c>
      <c r="C1810" t="s">
        <v>1495</v>
      </c>
      <c r="D1810" t="s">
        <v>1496</v>
      </c>
      <c r="E1810" t="s">
        <v>1522</v>
      </c>
      <c r="F1810" t="s">
        <v>1523</v>
      </c>
      <c r="G1810" t="s">
        <v>127</v>
      </c>
      <c r="H1810" t="s">
        <v>52</v>
      </c>
      <c r="I1810" t="s">
        <v>30</v>
      </c>
      <c r="J1810" t="s">
        <v>31</v>
      </c>
      <c r="K1810" t="s">
        <v>32</v>
      </c>
      <c r="L1810" t="s">
        <v>32</v>
      </c>
      <c r="M1810" t="s">
        <v>33</v>
      </c>
      <c r="P1810" t="s">
        <v>34</v>
      </c>
      <c r="Q1810" t="s">
        <v>35</v>
      </c>
      <c r="S1810" t="s">
        <v>30</v>
      </c>
      <c r="T1810" t="s">
        <v>1611</v>
      </c>
      <c r="U1810" t="s">
        <v>1612</v>
      </c>
      <c r="V1810" t="s">
        <v>39</v>
      </c>
      <c r="W1810" s="1">
        <v>4</v>
      </c>
    </row>
    <row r="1811" spans="1:23" x14ac:dyDescent="0.2">
      <c r="A1811" t="s">
        <v>23</v>
      </c>
      <c r="B1811" t="s">
        <v>1108</v>
      </c>
      <c r="C1811" t="s">
        <v>1495</v>
      </c>
      <c r="D1811" t="s">
        <v>1496</v>
      </c>
      <c r="E1811" t="s">
        <v>1522</v>
      </c>
      <c r="F1811" t="s">
        <v>1523</v>
      </c>
      <c r="G1811" t="s">
        <v>127</v>
      </c>
      <c r="H1811" t="s">
        <v>52</v>
      </c>
      <c r="I1811" t="s">
        <v>30</v>
      </c>
      <c r="J1811" t="s">
        <v>31</v>
      </c>
      <c r="K1811" t="s">
        <v>32</v>
      </c>
      <c r="L1811" t="s">
        <v>32</v>
      </c>
      <c r="M1811" t="s">
        <v>33</v>
      </c>
      <c r="P1811" t="s">
        <v>34</v>
      </c>
      <c r="Q1811" t="s">
        <v>35</v>
      </c>
      <c r="S1811" t="s">
        <v>30</v>
      </c>
      <c r="T1811" t="s">
        <v>1611</v>
      </c>
      <c r="U1811" t="s">
        <v>1612</v>
      </c>
      <c r="V1811" t="s">
        <v>40</v>
      </c>
      <c r="W1811" s="1">
        <v>7420000</v>
      </c>
    </row>
    <row r="1812" spans="1:23" x14ac:dyDescent="0.2">
      <c r="A1812" t="s">
        <v>23</v>
      </c>
      <c r="B1812" t="s">
        <v>1108</v>
      </c>
      <c r="C1812" t="s">
        <v>1495</v>
      </c>
      <c r="D1812" t="s">
        <v>1496</v>
      </c>
      <c r="E1812" t="s">
        <v>1522</v>
      </c>
      <c r="F1812" t="s">
        <v>1523</v>
      </c>
      <c r="G1812" t="s">
        <v>127</v>
      </c>
      <c r="H1812" t="s">
        <v>52</v>
      </c>
      <c r="I1812" t="s">
        <v>30</v>
      </c>
      <c r="J1812" t="s">
        <v>31</v>
      </c>
      <c r="K1812" t="s">
        <v>32</v>
      </c>
      <c r="L1812" t="s">
        <v>32</v>
      </c>
      <c r="M1812" t="s">
        <v>33</v>
      </c>
      <c r="P1812" t="s">
        <v>34</v>
      </c>
      <c r="Q1812" t="s">
        <v>35</v>
      </c>
      <c r="S1812" t="s">
        <v>52</v>
      </c>
      <c r="T1812" t="s">
        <v>1613</v>
      </c>
      <c r="U1812" t="s">
        <v>1614</v>
      </c>
      <c r="V1812" t="s">
        <v>39</v>
      </c>
      <c r="W1812" s="1">
        <v>0</v>
      </c>
    </row>
    <row r="1813" spans="1:23" x14ac:dyDescent="0.2">
      <c r="A1813" t="s">
        <v>23</v>
      </c>
      <c r="B1813" t="s">
        <v>1108</v>
      </c>
      <c r="C1813" t="s">
        <v>1495</v>
      </c>
      <c r="D1813" t="s">
        <v>1496</v>
      </c>
      <c r="E1813" t="s">
        <v>1522</v>
      </c>
      <c r="F1813" t="s">
        <v>1523</v>
      </c>
      <c r="G1813" t="s">
        <v>127</v>
      </c>
      <c r="H1813" t="s">
        <v>52</v>
      </c>
      <c r="I1813" t="s">
        <v>30</v>
      </c>
      <c r="J1813" t="s">
        <v>31</v>
      </c>
      <c r="K1813" t="s">
        <v>32</v>
      </c>
      <c r="L1813" t="s">
        <v>32</v>
      </c>
      <c r="M1813" t="s">
        <v>33</v>
      </c>
      <c r="P1813" t="s">
        <v>34</v>
      </c>
      <c r="Q1813" t="s">
        <v>35</v>
      </c>
      <c r="S1813" t="s">
        <v>52</v>
      </c>
      <c r="T1813" t="s">
        <v>1613</v>
      </c>
      <c r="U1813" t="s">
        <v>1614</v>
      </c>
      <c r="V1813" t="s">
        <v>40</v>
      </c>
      <c r="W1813" s="1">
        <v>2040200</v>
      </c>
    </row>
    <row r="1814" spans="1:23" x14ac:dyDescent="0.2">
      <c r="A1814" t="s">
        <v>23</v>
      </c>
      <c r="B1814" t="s">
        <v>1108</v>
      </c>
      <c r="C1814" t="s">
        <v>1495</v>
      </c>
      <c r="D1814" t="s">
        <v>1496</v>
      </c>
      <c r="E1814" t="s">
        <v>1522</v>
      </c>
      <c r="F1814" t="s">
        <v>1523</v>
      </c>
      <c r="G1814" t="s">
        <v>127</v>
      </c>
      <c r="H1814" t="s">
        <v>52</v>
      </c>
      <c r="I1814" t="s">
        <v>30</v>
      </c>
      <c r="J1814" t="s">
        <v>31</v>
      </c>
      <c r="K1814" t="s">
        <v>32</v>
      </c>
      <c r="L1814" t="s">
        <v>32</v>
      </c>
      <c r="M1814" t="s">
        <v>176</v>
      </c>
      <c r="N1814" t="s">
        <v>176</v>
      </c>
      <c r="O1814" t="s">
        <v>176</v>
      </c>
      <c r="P1814" t="s">
        <v>34</v>
      </c>
      <c r="Q1814" t="s">
        <v>35</v>
      </c>
      <c r="R1814" t="s">
        <v>184</v>
      </c>
      <c r="S1814" t="s">
        <v>30</v>
      </c>
      <c r="T1814" t="s">
        <v>1601</v>
      </c>
      <c r="U1814" t="s">
        <v>1602</v>
      </c>
      <c r="V1814" t="s">
        <v>39</v>
      </c>
      <c r="W1814" s="1">
        <v>1</v>
      </c>
    </row>
    <row r="1815" spans="1:23" x14ac:dyDescent="0.2">
      <c r="A1815" t="s">
        <v>23</v>
      </c>
      <c r="B1815" t="s">
        <v>1108</v>
      </c>
      <c r="C1815" t="s">
        <v>1495</v>
      </c>
      <c r="D1815" t="s">
        <v>1496</v>
      </c>
      <c r="E1815" t="s">
        <v>1522</v>
      </c>
      <c r="F1815" t="s">
        <v>1523</v>
      </c>
      <c r="G1815" t="s">
        <v>127</v>
      </c>
      <c r="H1815" t="s">
        <v>52</v>
      </c>
      <c r="I1815" t="s">
        <v>30</v>
      </c>
      <c r="J1815" t="s">
        <v>31</v>
      </c>
      <c r="K1815" t="s">
        <v>32</v>
      </c>
      <c r="L1815" t="s">
        <v>32</v>
      </c>
      <c r="M1815" t="s">
        <v>176</v>
      </c>
      <c r="N1815" t="s">
        <v>176</v>
      </c>
      <c r="O1815" t="s">
        <v>176</v>
      </c>
      <c r="P1815" t="s">
        <v>34</v>
      </c>
      <c r="Q1815" t="s">
        <v>35</v>
      </c>
      <c r="R1815" t="s">
        <v>184</v>
      </c>
      <c r="S1815" t="s">
        <v>30</v>
      </c>
      <c r="T1815" t="s">
        <v>1601</v>
      </c>
      <c r="U1815" t="s">
        <v>1602</v>
      </c>
      <c r="V1815" t="s">
        <v>40</v>
      </c>
      <c r="W1815" s="1">
        <v>1170100</v>
      </c>
    </row>
    <row r="1816" spans="1:23" x14ac:dyDescent="0.2">
      <c r="A1816" t="s">
        <v>23</v>
      </c>
      <c r="B1816" t="s">
        <v>1108</v>
      </c>
      <c r="C1816" t="s">
        <v>1495</v>
      </c>
      <c r="D1816" t="s">
        <v>1496</v>
      </c>
      <c r="E1816" t="s">
        <v>1522</v>
      </c>
      <c r="F1816" t="s">
        <v>1523</v>
      </c>
      <c r="G1816" t="s">
        <v>127</v>
      </c>
      <c r="H1816" t="s">
        <v>52</v>
      </c>
      <c r="I1816" t="s">
        <v>30</v>
      </c>
      <c r="J1816" t="s">
        <v>41</v>
      </c>
      <c r="K1816" t="s">
        <v>32</v>
      </c>
      <c r="L1816" t="s">
        <v>32</v>
      </c>
      <c r="M1816" t="s">
        <v>33</v>
      </c>
      <c r="N1816" t="s">
        <v>33</v>
      </c>
      <c r="O1816" t="s">
        <v>33</v>
      </c>
      <c r="P1816" t="s">
        <v>42</v>
      </c>
      <c r="Q1816" t="s">
        <v>43</v>
      </c>
      <c r="S1816" t="s">
        <v>30</v>
      </c>
      <c r="T1816" t="s">
        <v>1561</v>
      </c>
      <c r="U1816" t="s">
        <v>1615</v>
      </c>
      <c r="V1816" t="s">
        <v>39</v>
      </c>
      <c r="W1816" s="1">
        <v>2</v>
      </c>
    </row>
    <row r="1817" spans="1:23" x14ac:dyDescent="0.2">
      <c r="A1817" t="s">
        <v>23</v>
      </c>
      <c r="B1817" t="s">
        <v>1108</v>
      </c>
      <c r="C1817" t="s">
        <v>1495</v>
      </c>
      <c r="D1817" t="s">
        <v>1496</v>
      </c>
      <c r="E1817" t="s">
        <v>1522</v>
      </c>
      <c r="F1817" t="s">
        <v>1523</v>
      </c>
      <c r="G1817" t="s">
        <v>127</v>
      </c>
      <c r="H1817" t="s">
        <v>52</v>
      </c>
      <c r="I1817" t="s">
        <v>30</v>
      </c>
      <c r="J1817" t="s">
        <v>41</v>
      </c>
      <c r="K1817" t="s">
        <v>32</v>
      </c>
      <c r="L1817" t="s">
        <v>32</v>
      </c>
      <c r="M1817" t="s">
        <v>33</v>
      </c>
      <c r="N1817" t="s">
        <v>33</v>
      </c>
      <c r="O1817" t="s">
        <v>33</v>
      </c>
      <c r="P1817" t="s">
        <v>42</v>
      </c>
      <c r="Q1817" t="s">
        <v>43</v>
      </c>
      <c r="S1817" t="s">
        <v>30</v>
      </c>
      <c r="T1817" t="s">
        <v>1561</v>
      </c>
      <c r="U1817" t="s">
        <v>1615</v>
      </c>
      <c r="V1817" t="s">
        <v>40</v>
      </c>
      <c r="W1817" s="1">
        <v>1933800</v>
      </c>
    </row>
    <row r="1818" spans="1:23" x14ac:dyDescent="0.2">
      <c r="A1818" t="s">
        <v>23</v>
      </c>
      <c r="B1818" t="s">
        <v>1108</v>
      </c>
      <c r="C1818" t="s">
        <v>1495</v>
      </c>
      <c r="D1818" t="s">
        <v>1496</v>
      </c>
      <c r="E1818" t="s">
        <v>1522</v>
      </c>
      <c r="F1818" t="s">
        <v>1523</v>
      </c>
      <c r="G1818" t="s">
        <v>127</v>
      </c>
      <c r="H1818" t="s">
        <v>52</v>
      </c>
      <c r="I1818" t="s">
        <v>30</v>
      </c>
      <c r="J1818" t="s">
        <v>41</v>
      </c>
      <c r="K1818" t="s">
        <v>32</v>
      </c>
      <c r="L1818" t="s">
        <v>32</v>
      </c>
      <c r="M1818" t="s">
        <v>33</v>
      </c>
      <c r="P1818" t="s">
        <v>34</v>
      </c>
      <c r="Q1818" t="s">
        <v>35</v>
      </c>
      <c r="S1818" t="s">
        <v>30</v>
      </c>
      <c r="T1818" t="s">
        <v>1616</v>
      </c>
      <c r="U1818" t="s">
        <v>1617</v>
      </c>
      <c r="V1818" t="s">
        <v>39</v>
      </c>
      <c r="W1818" s="1">
        <v>4</v>
      </c>
    </row>
    <row r="1819" spans="1:23" x14ac:dyDescent="0.2">
      <c r="A1819" t="s">
        <v>23</v>
      </c>
      <c r="B1819" t="s">
        <v>1108</v>
      </c>
      <c r="C1819" t="s">
        <v>1495</v>
      </c>
      <c r="D1819" t="s">
        <v>1496</v>
      </c>
      <c r="E1819" t="s">
        <v>1522</v>
      </c>
      <c r="F1819" t="s">
        <v>1523</v>
      </c>
      <c r="G1819" t="s">
        <v>127</v>
      </c>
      <c r="H1819" t="s">
        <v>52</v>
      </c>
      <c r="I1819" t="s">
        <v>30</v>
      </c>
      <c r="J1819" t="s">
        <v>41</v>
      </c>
      <c r="K1819" t="s">
        <v>32</v>
      </c>
      <c r="L1819" t="s">
        <v>32</v>
      </c>
      <c r="M1819" t="s">
        <v>33</v>
      </c>
      <c r="P1819" t="s">
        <v>34</v>
      </c>
      <c r="Q1819" t="s">
        <v>35</v>
      </c>
      <c r="S1819" t="s">
        <v>30</v>
      </c>
      <c r="T1819" t="s">
        <v>1616</v>
      </c>
      <c r="U1819" t="s">
        <v>1617</v>
      </c>
      <c r="V1819" t="s">
        <v>40</v>
      </c>
      <c r="W1819" s="1">
        <v>5796000</v>
      </c>
    </row>
    <row r="1820" spans="1:23" x14ac:dyDescent="0.2">
      <c r="A1820" t="s">
        <v>23</v>
      </c>
      <c r="B1820" t="s">
        <v>1108</v>
      </c>
      <c r="C1820" t="s">
        <v>1495</v>
      </c>
      <c r="D1820" t="s">
        <v>1496</v>
      </c>
      <c r="E1820" t="s">
        <v>1522</v>
      </c>
      <c r="F1820" t="s">
        <v>1523</v>
      </c>
      <c r="G1820" t="s">
        <v>134</v>
      </c>
      <c r="H1820" t="s">
        <v>52</v>
      </c>
      <c r="I1820" t="s">
        <v>30</v>
      </c>
      <c r="J1820" t="s">
        <v>41</v>
      </c>
      <c r="K1820" t="s">
        <v>32</v>
      </c>
      <c r="L1820" t="s">
        <v>32</v>
      </c>
      <c r="M1820" t="s">
        <v>33</v>
      </c>
      <c r="N1820" t="s">
        <v>33</v>
      </c>
      <c r="O1820" t="s">
        <v>33</v>
      </c>
      <c r="P1820" t="s">
        <v>42</v>
      </c>
      <c r="Q1820" t="s">
        <v>43</v>
      </c>
      <c r="R1820" t="s">
        <v>319</v>
      </c>
      <c r="S1820" t="s">
        <v>30</v>
      </c>
      <c r="T1820" t="s">
        <v>1618</v>
      </c>
      <c r="U1820" t="s">
        <v>1619</v>
      </c>
      <c r="V1820" t="s">
        <v>39</v>
      </c>
      <c r="W1820" s="1">
        <v>2</v>
      </c>
    </row>
    <row r="1821" spans="1:23" x14ac:dyDescent="0.2">
      <c r="A1821" t="s">
        <v>23</v>
      </c>
      <c r="B1821" t="s">
        <v>1108</v>
      </c>
      <c r="C1821" t="s">
        <v>1495</v>
      </c>
      <c r="D1821" t="s">
        <v>1496</v>
      </c>
      <c r="E1821" t="s">
        <v>1522</v>
      </c>
      <c r="F1821" t="s">
        <v>1523</v>
      </c>
      <c r="G1821" t="s">
        <v>134</v>
      </c>
      <c r="H1821" t="s">
        <v>52</v>
      </c>
      <c r="I1821" t="s">
        <v>30</v>
      </c>
      <c r="J1821" t="s">
        <v>41</v>
      </c>
      <c r="K1821" t="s">
        <v>32</v>
      </c>
      <c r="L1821" t="s">
        <v>32</v>
      </c>
      <c r="M1821" t="s">
        <v>33</v>
      </c>
      <c r="N1821" t="s">
        <v>33</v>
      </c>
      <c r="O1821" t="s">
        <v>33</v>
      </c>
      <c r="P1821" t="s">
        <v>42</v>
      </c>
      <c r="Q1821" t="s">
        <v>43</v>
      </c>
      <c r="R1821" t="s">
        <v>319</v>
      </c>
      <c r="S1821" t="s">
        <v>30</v>
      </c>
      <c r="T1821" t="s">
        <v>1618</v>
      </c>
      <c r="U1821" t="s">
        <v>1619</v>
      </c>
      <c r="V1821" t="s">
        <v>40</v>
      </c>
      <c r="W1821" s="1">
        <v>7618000</v>
      </c>
    </row>
    <row r="1822" spans="1:23" x14ac:dyDescent="0.2">
      <c r="A1822" t="s">
        <v>23</v>
      </c>
      <c r="B1822" t="s">
        <v>1108</v>
      </c>
      <c r="C1822" t="s">
        <v>1495</v>
      </c>
      <c r="D1822" t="s">
        <v>1496</v>
      </c>
      <c r="E1822" t="s">
        <v>1522</v>
      </c>
      <c r="F1822" t="s">
        <v>1523</v>
      </c>
      <c r="G1822" t="s">
        <v>139</v>
      </c>
      <c r="H1822" t="s">
        <v>30</v>
      </c>
      <c r="I1822" t="s">
        <v>30</v>
      </c>
      <c r="J1822" t="s">
        <v>128</v>
      </c>
      <c r="K1822" t="s">
        <v>135</v>
      </c>
      <c r="L1822" t="s">
        <v>32</v>
      </c>
      <c r="M1822" t="s">
        <v>33</v>
      </c>
      <c r="N1822" t="s">
        <v>169</v>
      </c>
      <c r="O1822" t="s">
        <v>169</v>
      </c>
      <c r="P1822" t="s">
        <v>34</v>
      </c>
      <c r="Q1822" t="s">
        <v>35</v>
      </c>
      <c r="S1822" t="s">
        <v>30</v>
      </c>
      <c r="T1822" t="s">
        <v>1579</v>
      </c>
      <c r="U1822" t="s">
        <v>1580</v>
      </c>
      <c r="V1822" t="s">
        <v>39</v>
      </c>
      <c r="W1822" s="1">
        <v>1</v>
      </c>
    </row>
    <row r="1823" spans="1:23" x14ac:dyDescent="0.2">
      <c r="A1823" t="s">
        <v>23</v>
      </c>
      <c r="B1823" t="s">
        <v>1108</v>
      </c>
      <c r="C1823" t="s">
        <v>1495</v>
      </c>
      <c r="D1823" t="s">
        <v>1496</v>
      </c>
      <c r="E1823" t="s">
        <v>1522</v>
      </c>
      <c r="F1823" t="s">
        <v>1523</v>
      </c>
      <c r="G1823" t="s">
        <v>139</v>
      </c>
      <c r="H1823" t="s">
        <v>30</v>
      </c>
      <c r="I1823" t="s">
        <v>30</v>
      </c>
      <c r="J1823" t="s">
        <v>128</v>
      </c>
      <c r="K1823" t="s">
        <v>135</v>
      </c>
      <c r="L1823" t="s">
        <v>32</v>
      </c>
      <c r="M1823" t="s">
        <v>33</v>
      </c>
      <c r="N1823" t="s">
        <v>169</v>
      </c>
      <c r="O1823" t="s">
        <v>169</v>
      </c>
      <c r="P1823" t="s">
        <v>34</v>
      </c>
      <c r="Q1823" t="s">
        <v>35</v>
      </c>
      <c r="S1823" t="s">
        <v>30</v>
      </c>
      <c r="T1823" t="s">
        <v>1579</v>
      </c>
      <c r="U1823" t="s">
        <v>1580</v>
      </c>
      <c r="V1823" t="s">
        <v>40</v>
      </c>
      <c r="W1823" s="1">
        <v>472900</v>
      </c>
    </row>
    <row r="1824" spans="1:23" x14ac:dyDescent="0.2">
      <c r="A1824" t="s">
        <v>23</v>
      </c>
      <c r="B1824" t="s">
        <v>1108</v>
      </c>
      <c r="C1824" t="s">
        <v>1495</v>
      </c>
      <c r="D1824" t="s">
        <v>1496</v>
      </c>
      <c r="E1824" t="s">
        <v>1522</v>
      </c>
      <c r="F1824" t="s">
        <v>1523</v>
      </c>
      <c r="G1824" t="s">
        <v>139</v>
      </c>
      <c r="H1824" t="s">
        <v>30</v>
      </c>
      <c r="I1824" t="s">
        <v>30</v>
      </c>
      <c r="J1824" t="s">
        <v>31</v>
      </c>
      <c r="K1824" t="s">
        <v>32</v>
      </c>
      <c r="L1824" t="s">
        <v>32</v>
      </c>
      <c r="M1824" t="s">
        <v>33</v>
      </c>
      <c r="N1824" t="s">
        <v>33</v>
      </c>
      <c r="O1824" t="s">
        <v>33</v>
      </c>
      <c r="P1824" t="s">
        <v>34</v>
      </c>
      <c r="Q1824" t="s">
        <v>35</v>
      </c>
      <c r="S1824" t="s">
        <v>30</v>
      </c>
      <c r="T1824" t="s">
        <v>1620</v>
      </c>
      <c r="U1824" t="s">
        <v>1621</v>
      </c>
      <c r="V1824" t="s">
        <v>39</v>
      </c>
      <c r="W1824" s="1">
        <v>2</v>
      </c>
    </row>
    <row r="1825" spans="1:23" x14ac:dyDescent="0.2">
      <c r="A1825" t="s">
        <v>23</v>
      </c>
      <c r="B1825" t="s">
        <v>1108</v>
      </c>
      <c r="C1825" t="s">
        <v>1495</v>
      </c>
      <c r="D1825" t="s">
        <v>1496</v>
      </c>
      <c r="E1825" t="s">
        <v>1522</v>
      </c>
      <c r="F1825" t="s">
        <v>1523</v>
      </c>
      <c r="G1825" t="s">
        <v>139</v>
      </c>
      <c r="H1825" t="s">
        <v>30</v>
      </c>
      <c r="I1825" t="s">
        <v>30</v>
      </c>
      <c r="J1825" t="s">
        <v>31</v>
      </c>
      <c r="K1825" t="s">
        <v>32</v>
      </c>
      <c r="L1825" t="s">
        <v>32</v>
      </c>
      <c r="M1825" t="s">
        <v>33</v>
      </c>
      <c r="N1825" t="s">
        <v>33</v>
      </c>
      <c r="O1825" t="s">
        <v>33</v>
      </c>
      <c r="P1825" t="s">
        <v>34</v>
      </c>
      <c r="Q1825" t="s">
        <v>35</v>
      </c>
      <c r="S1825" t="s">
        <v>30</v>
      </c>
      <c r="T1825" t="s">
        <v>1620</v>
      </c>
      <c r="U1825" t="s">
        <v>1621</v>
      </c>
      <c r="V1825" t="s">
        <v>40</v>
      </c>
      <c r="W1825" s="1">
        <v>238000</v>
      </c>
    </row>
    <row r="1826" spans="1:23" x14ac:dyDescent="0.2">
      <c r="A1826" t="s">
        <v>23</v>
      </c>
      <c r="B1826" t="s">
        <v>1108</v>
      </c>
      <c r="C1826" t="s">
        <v>1495</v>
      </c>
      <c r="D1826" t="s">
        <v>1496</v>
      </c>
      <c r="E1826" t="s">
        <v>1522</v>
      </c>
      <c r="F1826" t="s">
        <v>1523</v>
      </c>
      <c r="G1826" t="s">
        <v>139</v>
      </c>
      <c r="H1826" t="s">
        <v>30</v>
      </c>
      <c r="I1826" t="s">
        <v>30</v>
      </c>
      <c r="J1826" t="s">
        <v>31</v>
      </c>
      <c r="K1826" t="s">
        <v>32</v>
      </c>
      <c r="L1826" t="s">
        <v>32</v>
      </c>
      <c r="M1826" t="s">
        <v>33</v>
      </c>
      <c r="P1826" t="s">
        <v>34</v>
      </c>
      <c r="Q1826" t="s">
        <v>35</v>
      </c>
      <c r="R1826" t="s">
        <v>184</v>
      </c>
      <c r="S1826" t="s">
        <v>30</v>
      </c>
      <c r="T1826" t="s">
        <v>1607</v>
      </c>
      <c r="U1826" t="s">
        <v>1608</v>
      </c>
      <c r="V1826" t="s">
        <v>39</v>
      </c>
      <c r="W1826" s="1">
        <v>3</v>
      </c>
    </row>
    <row r="1827" spans="1:23" x14ac:dyDescent="0.2">
      <c r="A1827" t="s">
        <v>23</v>
      </c>
      <c r="B1827" t="s">
        <v>1108</v>
      </c>
      <c r="C1827" t="s">
        <v>1495</v>
      </c>
      <c r="D1827" t="s">
        <v>1496</v>
      </c>
      <c r="E1827" t="s">
        <v>1522</v>
      </c>
      <c r="F1827" t="s">
        <v>1523</v>
      </c>
      <c r="G1827" t="s">
        <v>139</v>
      </c>
      <c r="H1827" t="s">
        <v>30</v>
      </c>
      <c r="I1827" t="s">
        <v>30</v>
      </c>
      <c r="J1827" t="s">
        <v>31</v>
      </c>
      <c r="K1827" t="s">
        <v>32</v>
      </c>
      <c r="L1827" t="s">
        <v>32</v>
      </c>
      <c r="M1827" t="s">
        <v>33</v>
      </c>
      <c r="P1827" t="s">
        <v>34</v>
      </c>
      <c r="Q1827" t="s">
        <v>35</v>
      </c>
      <c r="R1827" t="s">
        <v>184</v>
      </c>
      <c r="S1827" t="s">
        <v>30</v>
      </c>
      <c r="T1827" t="s">
        <v>1607</v>
      </c>
      <c r="U1827" t="s">
        <v>1608</v>
      </c>
      <c r="V1827" t="s">
        <v>40</v>
      </c>
      <c r="W1827" s="1">
        <v>2777700</v>
      </c>
    </row>
    <row r="1828" spans="1:23" x14ac:dyDescent="0.2">
      <c r="A1828" t="s">
        <v>23</v>
      </c>
      <c r="B1828" t="s">
        <v>1108</v>
      </c>
      <c r="C1828" t="s">
        <v>1495</v>
      </c>
      <c r="D1828" t="s">
        <v>1496</v>
      </c>
      <c r="E1828" t="s">
        <v>1522</v>
      </c>
      <c r="F1828" t="s">
        <v>1523</v>
      </c>
      <c r="G1828" t="s">
        <v>139</v>
      </c>
      <c r="H1828" t="s">
        <v>30</v>
      </c>
      <c r="I1828" t="s">
        <v>30</v>
      </c>
      <c r="J1828" t="s">
        <v>41</v>
      </c>
      <c r="K1828" t="s">
        <v>32</v>
      </c>
      <c r="L1828" t="s">
        <v>32</v>
      </c>
      <c r="M1828" t="s">
        <v>33</v>
      </c>
      <c r="N1828" t="s">
        <v>33</v>
      </c>
      <c r="O1828" t="s">
        <v>33</v>
      </c>
      <c r="P1828" t="s">
        <v>34</v>
      </c>
      <c r="Q1828" t="s">
        <v>35</v>
      </c>
      <c r="S1828" t="s">
        <v>30</v>
      </c>
      <c r="T1828" t="s">
        <v>1622</v>
      </c>
      <c r="U1828" t="s">
        <v>1623</v>
      </c>
      <c r="V1828" t="s">
        <v>39</v>
      </c>
      <c r="W1828" s="1">
        <v>4</v>
      </c>
    </row>
    <row r="1829" spans="1:23" x14ac:dyDescent="0.2">
      <c r="A1829" t="s">
        <v>23</v>
      </c>
      <c r="B1829" t="s">
        <v>1108</v>
      </c>
      <c r="C1829" t="s">
        <v>1495</v>
      </c>
      <c r="D1829" t="s">
        <v>1496</v>
      </c>
      <c r="E1829" t="s">
        <v>1522</v>
      </c>
      <c r="F1829" t="s">
        <v>1523</v>
      </c>
      <c r="G1829" t="s">
        <v>139</v>
      </c>
      <c r="H1829" t="s">
        <v>30</v>
      </c>
      <c r="I1829" t="s">
        <v>30</v>
      </c>
      <c r="J1829" t="s">
        <v>41</v>
      </c>
      <c r="K1829" t="s">
        <v>32</v>
      </c>
      <c r="L1829" t="s">
        <v>32</v>
      </c>
      <c r="M1829" t="s">
        <v>33</v>
      </c>
      <c r="N1829" t="s">
        <v>33</v>
      </c>
      <c r="O1829" t="s">
        <v>33</v>
      </c>
      <c r="P1829" t="s">
        <v>34</v>
      </c>
      <c r="Q1829" t="s">
        <v>35</v>
      </c>
      <c r="S1829" t="s">
        <v>30</v>
      </c>
      <c r="T1829" t="s">
        <v>1622</v>
      </c>
      <c r="U1829" t="s">
        <v>1623</v>
      </c>
      <c r="V1829" t="s">
        <v>40</v>
      </c>
      <c r="W1829" s="1">
        <v>2612000</v>
      </c>
    </row>
    <row r="1830" spans="1:23" x14ac:dyDescent="0.2">
      <c r="A1830" t="s">
        <v>23</v>
      </c>
      <c r="B1830" t="s">
        <v>1108</v>
      </c>
      <c r="C1830" t="s">
        <v>1495</v>
      </c>
      <c r="D1830" t="s">
        <v>1496</v>
      </c>
      <c r="E1830" t="s">
        <v>1522</v>
      </c>
      <c r="F1830" t="s">
        <v>1523</v>
      </c>
      <c r="G1830" t="s">
        <v>139</v>
      </c>
      <c r="H1830" t="s">
        <v>30</v>
      </c>
      <c r="I1830" t="s">
        <v>30</v>
      </c>
      <c r="J1830" t="s">
        <v>41</v>
      </c>
      <c r="K1830" t="s">
        <v>32</v>
      </c>
      <c r="L1830" t="s">
        <v>32</v>
      </c>
      <c r="M1830" t="s">
        <v>33</v>
      </c>
      <c r="P1830" t="s">
        <v>34</v>
      </c>
      <c r="Q1830" t="s">
        <v>35</v>
      </c>
      <c r="S1830" t="s">
        <v>30</v>
      </c>
      <c r="T1830" t="s">
        <v>1624</v>
      </c>
      <c r="U1830" t="s">
        <v>1625</v>
      </c>
      <c r="V1830" t="s">
        <v>39</v>
      </c>
      <c r="W1830" s="1">
        <v>5</v>
      </c>
    </row>
    <row r="1831" spans="1:23" x14ac:dyDescent="0.2">
      <c r="A1831" t="s">
        <v>23</v>
      </c>
      <c r="B1831" t="s">
        <v>1108</v>
      </c>
      <c r="C1831" t="s">
        <v>1495</v>
      </c>
      <c r="D1831" t="s">
        <v>1496</v>
      </c>
      <c r="E1831" t="s">
        <v>1522</v>
      </c>
      <c r="F1831" t="s">
        <v>1523</v>
      </c>
      <c r="G1831" t="s">
        <v>139</v>
      </c>
      <c r="H1831" t="s">
        <v>30</v>
      </c>
      <c r="I1831" t="s">
        <v>30</v>
      </c>
      <c r="J1831" t="s">
        <v>41</v>
      </c>
      <c r="K1831" t="s">
        <v>32</v>
      </c>
      <c r="L1831" t="s">
        <v>32</v>
      </c>
      <c r="M1831" t="s">
        <v>33</v>
      </c>
      <c r="P1831" t="s">
        <v>34</v>
      </c>
      <c r="Q1831" t="s">
        <v>35</v>
      </c>
      <c r="S1831" t="s">
        <v>30</v>
      </c>
      <c r="T1831" t="s">
        <v>1624</v>
      </c>
      <c r="U1831" t="s">
        <v>1625</v>
      </c>
      <c r="V1831" t="s">
        <v>40</v>
      </c>
      <c r="W1831" s="1">
        <v>6090500</v>
      </c>
    </row>
    <row r="1832" spans="1:23" x14ac:dyDescent="0.2">
      <c r="A1832" t="s">
        <v>23</v>
      </c>
      <c r="B1832" t="s">
        <v>1108</v>
      </c>
      <c r="C1832" t="s">
        <v>1495</v>
      </c>
      <c r="D1832" t="s">
        <v>1496</v>
      </c>
      <c r="E1832" t="s">
        <v>1522</v>
      </c>
      <c r="F1832" t="s">
        <v>1523</v>
      </c>
      <c r="G1832" t="s">
        <v>139</v>
      </c>
      <c r="H1832" t="s">
        <v>30</v>
      </c>
      <c r="I1832" t="s">
        <v>30</v>
      </c>
      <c r="J1832" t="s">
        <v>57</v>
      </c>
      <c r="K1832" t="s">
        <v>32</v>
      </c>
      <c r="L1832" t="s">
        <v>32</v>
      </c>
      <c r="M1832" t="s">
        <v>33</v>
      </c>
      <c r="N1832" t="s">
        <v>33</v>
      </c>
      <c r="O1832" t="s">
        <v>33</v>
      </c>
      <c r="P1832" t="s">
        <v>42</v>
      </c>
      <c r="Q1832" t="s">
        <v>43</v>
      </c>
      <c r="R1832" t="s">
        <v>1355</v>
      </c>
      <c r="S1832" t="s">
        <v>30</v>
      </c>
      <c r="T1832" t="s">
        <v>1626</v>
      </c>
      <c r="U1832" t="s">
        <v>1627</v>
      </c>
      <c r="V1832" t="s">
        <v>39</v>
      </c>
      <c r="W1832" s="1">
        <v>2</v>
      </c>
    </row>
    <row r="1833" spans="1:23" x14ac:dyDescent="0.2">
      <c r="A1833" t="s">
        <v>23</v>
      </c>
      <c r="B1833" t="s">
        <v>1108</v>
      </c>
      <c r="C1833" t="s">
        <v>1495</v>
      </c>
      <c r="D1833" t="s">
        <v>1496</v>
      </c>
      <c r="E1833" t="s">
        <v>1522</v>
      </c>
      <c r="F1833" t="s">
        <v>1523</v>
      </c>
      <c r="G1833" t="s">
        <v>139</v>
      </c>
      <c r="H1833" t="s">
        <v>30</v>
      </c>
      <c r="I1833" t="s">
        <v>30</v>
      </c>
      <c r="J1833" t="s">
        <v>57</v>
      </c>
      <c r="K1833" t="s">
        <v>32</v>
      </c>
      <c r="L1833" t="s">
        <v>32</v>
      </c>
      <c r="M1833" t="s">
        <v>33</v>
      </c>
      <c r="N1833" t="s">
        <v>33</v>
      </c>
      <c r="O1833" t="s">
        <v>33</v>
      </c>
      <c r="P1833" t="s">
        <v>42</v>
      </c>
      <c r="Q1833" t="s">
        <v>43</v>
      </c>
      <c r="R1833" t="s">
        <v>1355</v>
      </c>
      <c r="S1833" t="s">
        <v>30</v>
      </c>
      <c r="T1833" t="s">
        <v>1626</v>
      </c>
      <c r="U1833" t="s">
        <v>1627</v>
      </c>
      <c r="V1833" t="s">
        <v>40</v>
      </c>
      <c r="W1833" s="1">
        <v>3075800</v>
      </c>
    </row>
    <row r="1834" spans="1:23" x14ac:dyDescent="0.2">
      <c r="A1834" t="s">
        <v>23</v>
      </c>
      <c r="B1834" t="s">
        <v>1108</v>
      </c>
      <c r="C1834" t="s">
        <v>1495</v>
      </c>
      <c r="D1834" t="s">
        <v>1496</v>
      </c>
      <c r="E1834" t="s">
        <v>1522</v>
      </c>
      <c r="F1834" t="s">
        <v>1523</v>
      </c>
      <c r="G1834" t="s">
        <v>139</v>
      </c>
      <c r="H1834" t="s">
        <v>30</v>
      </c>
      <c r="I1834" t="s">
        <v>30</v>
      </c>
      <c r="J1834" t="s">
        <v>57</v>
      </c>
      <c r="K1834" t="s">
        <v>32</v>
      </c>
      <c r="L1834" t="s">
        <v>32</v>
      </c>
      <c r="M1834" t="s">
        <v>33</v>
      </c>
      <c r="N1834" t="s">
        <v>33</v>
      </c>
      <c r="O1834" t="s">
        <v>33</v>
      </c>
      <c r="P1834" t="s">
        <v>42</v>
      </c>
      <c r="Q1834" t="s">
        <v>43</v>
      </c>
      <c r="R1834" t="s">
        <v>1355</v>
      </c>
      <c r="S1834" t="s">
        <v>30</v>
      </c>
      <c r="T1834" t="s">
        <v>1628</v>
      </c>
      <c r="U1834" t="s">
        <v>1629</v>
      </c>
      <c r="V1834" t="s">
        <v>39</v>
      </c>
      <c r="W1834" s="1">
        <v>2</v>
      </c>
    </row>
    <row r="1835" spans="1:23" x14ac:dyDescent="0.2">
      <c r="A1835" t="s">
        <v>23</v>
      </c>
      <c r="B1835" t="s">
        <v>1108</v>
      </c>
      <c r="C1835" t="s">
        <v>1495</v>
      </c>
      <c r="D1835" t="s">
        <v>1496</v>
      </c>
      <c r="E1835" t="s">
        <v>1522</v>
      </c>
      <c r="F1835" t="s">
        <v>1523</v>
      </c>
      <c r="G1835" t="s">
        <v>139</v>
      </c>
      <c r="H1835" t="s">
        <v>30</v>
      </c>
      <c r="I1835" t="s">
        <v>30</v>
      </c>
      <c r="J1835" t="s">
        <v>57</v>
      </c>
      <c r="K1835" t="s">
        <v>32</v>
      </c>
      <c r="L1835" t="s">
        <v>32</v>
      </c>
      <c r="M1835" t="s">
        <v>33</v>
      </c>
      <c r="N1835" t="s">
        <v>33</v>
      </c>
      <c r="O1835" t="s">
        <v>33</v>
      </c>
      <c r="P1835" t="s">
        <v>42</v>
      </c>
      <c r="Q1835" t="s">
        <v>43</v>
      </c>
      <c r="R1835" t="s">
        <v>1355</v>
      </c>
      <c r="S1835" t="s">
        <v>30</v>
      </c>
      <c r="T1835" t="s">
        <v>1628</v>
      </c>
      <c r="U1835" t="s">
        <v>1629</v>
      </c>
      <c r="V1835" t="s">
        <v>40</v>
      </c>
      <c r="W1835" s="1">
        <v>2975800</v>
      </c>
    </row>
    <row r="1836" spans="1:23" x14ac:dyDescent="0.2">
      <c r="A1836" t="s">
        <v>23</v>
      </c>
      <c r="B1836" t="s">
        <v>1108</v>
      </c>
      <c r="C1836" t="s">
        <v>1495</v>
      </c>
      <c r="D1836" t="s">
        <v>1496</v>
      </c>
      <c r="E1836" t="s">
        <v>1522</v>
      </c>
      <c r="F1836" t="s">
        <v>1523</v>
      </c>
      <c r="G1836" t="s">
        <v>139</v>
      </c>
      <c r="H1836" t="s">
        <v>30</v>
      </c>
      <c r="I1836" t="s">
        <v>30</v>
      </c>
      <c r="J1836" t="s">
        <v>610</v>
      </c>
      <c r="K1836" t="s">
        <v>611</v>
      </c>
      <c r="L1836" t="s">
        <v>32</v>
      </c>
      <c r="M1836" t="s">
        <v>33</v>
      </c>
      <c r="N1836" t="s">
        <v>33</v>
      </c>
      <c r="O1836" t="s">
        <v>33</v>
      </c>
      <c r="P1836" t="s">
        <v>34</v>
      </c>
      <c r="Q1836" t="s">
        <v>35</v>
      </c>
      <c r="S1836" t="s">
        <v>30</v>
      </c>
      <c r="T1836" t="s">
        <v>1630</v>
      </c>
      <c r="U1836" t="s">
        <v>1631</v>
      </c>
      <c r="V1836" t="s">
        <v>39</v>
      </c>
      <c r="W1836" s="1">
        <v>1</v>
      </c>
    </row>
    <row r="1837" spans="1:23" x14ac:dyDescent="0.2">
      <c r="A1837" t="s">
        <v>23</v>
      </c>
      <c r="B1837" t="s">
        <v>1108</v>
      </c>
      <c r="C1837" t="s">
        <v>1495</v>
      </c>
      <c r="D1837" t="s">
        <v>1496</v>
      </c>
      <c r="E1837" t="s">
        <v>1522</v>
      </c>
      <c r="F1837" t="s">
        <v>1523</v>
      </c>
      <c r="G1837" t="s">
        <v>139</v>
      </c>
      <c r="H1837" t="s">
        <v>30</v>
      </c>
      <c r="I1837" t="s">
        <v>30</v>
      </c>
      <c r="J1837" t="s">
        <v>610</v>
      </c>
      <c r="K1837" t="s">
        <v>611</v>
      </c>
      <c r="L1837" t="s">
        <v>32</v>
      </c>
      <c r="M1837" t="s">
        <v>33</v>
      </c>
      <c r="N1837" t="s">
        <v>33</v>
      </c>
      <c r="O1837" t="s">
        <v>33</v>
      </c>
      <c r="P1837" t="s">
        <v>34</v>
      </c>
      <c r="Q1837" t="s">
        <v>35</v>
      </c>
      <c r="S1837" t="s">
        <v>30</v>
      </c>
      <c r="T1837" t="s">
        <v>1630</v>
      </c>
      <c r="U1837" t="s">
        <v>1631</v>
      </c>
      <c r="V1837" t="s">
        <v>40</v>
      </c>
      <c r="W1837" s="1">
        <v>99000</v>
      </c>
    </row>
    <row r="1838" spans="1:23" x14ac:dyDescent="0.2">
      <c r="A1838" t="s">
        <v>23</v>
      </c>
      <c r="B1838" t="s">
        <v>1108</v>
      </c>
      <c r="C1838" t="s">
        <v>1495</v>
      </c>
      <c r="D1838" t="s">
        <v>1496</v>
      </c>
      <c r="E1838" t="s">
        <v>1522</v>
      </c>
      <c r="F1838" t="s">
        <v>1523</v>
      </c>
      <c r="G1838" t="s">
        <v>139</v>
      </c>
      <c r="H1838" t="s">
        <v>30</v>
      </c>
      <c r="I1838" t="s">
        <v>30</v>
      </c>
      <c r="J1838" t="s">
        <v>610</v>
      </c>
      <c r="K1838" t="s">
        <v>611</v>
      </c>
      <c r="L1838" t="s">
        <v>32</v>
      </c>
      <c r="M1838" t="s">
        <v>33</v>
      </c>
      <c r="N1838" t="s">
        <v>33</v>
      </c>
      <c r="O1838" t="s">
        <v>33</v>
      </c>
      <c r="P1838" t="s">
        <v>42</v>
      </c>
      <c r="Q1838" t="s">
        <v>43</v>
      </c>
      <c r="R1838" t="s">
        <v>1632</v>
      </c>
      <c r="S1838" t="s">
        <v>30</v>
      </c>
      <c r="T1838" t="s">
        <v>1633</v>
      </c>
      <c r="U1838" t="s">
        <v>1634</v>
      </c>
      <c r="V1838" t="s">
        <v>39</v>
      </c>
      <c r="W1838" s="1">
        <v>2</v>
      </c>
    </row>
    <row r="1839" spans="1:23" x14ac:dyDescent="0.2">
      <c r="A1839" t="s">
        <v>23</v>
      </c>
      <c r="B1839" t="s">
        <v>1108</v>
      </c>
      <c r="C1839" t="s">
        <v>1495</v>
      </c>
      <c r="D1839" t="s">
        <v>1496</v>
      </c>
      <c r="E1839" t="s">
        <v>1522</v>
      </c>
      <c r="F1839" t="s">
        <v>1523</v>
      </c>
      <c r="G1839" t="s">
        <v>139</v>
      </c>
      <c r="H1839" t="s">
        <v>30</v>
      </c>
      <c r="I1839" t="s">
        <v>30</v>
      </c>
      <c r="J1839" t="s">
        <v>610</v>
      </c>
      <c r="K1839" t="s">
        <v>611</v>
      </c>
      <c r="L1839" t="s">
        <v>32</v>
      </c>
      <c r="M1839" t="s">
        <v>33</v>
      </c>
      <c r="N1839" t="s">
        <v>33</v>
      </c>
      <c r="O1839" t="s">
        <v>33</v>
      </c>
      <c r="P1839" t="s">
        <v>42</v>
      </c>
      <c r="Q1839" t="s">
        <v>43</v>
      </c>
      <c r="R1839" t="s">
        <v>1632</v>
      </c>
      <c r="S1839" t="s">
        <v>30</v>
      </c>
      <c r="T1839" t="s">
        <v>1633</v>
      </c>
      <c r="U1839" t="s">
        <v>1634</v>
      </c>
      <c r="V1839" t="s">
        <v>40</v>
      </c>
      <c r="W1839" s="1">
        <v>98000</v>
      </c>
    </row>
    <row r="1840" spans="1:23" x14ac:dyDescent="0.2">
      <c r="A1840" t="s">
        <v>23</v>
      </c>
      <c r="B1840" t="s">
        <v>1108</v>
      </c>
      <c r="C1840" t="s">
        <v>1495</v>
      </c>
      <c r="D1840" t="s">
        <v>1496</v>
      </c>
      <c r="E1840" t="s">
        <v>1522</v>
      </c>
      <c r="F1840" t="s">
        <v>1523</v>
      </c>
      <c r="G1840" t="s">
        <v>139</v>
      </c>
      <c r="H1840" t="s">
        <v>30</v>
      </c>
      <c r="I1840" t="s">
        <v>30</v>
      </c>
      <c r="J1840" t="s">
        <v>610</v>
      </c>
      <c r="K1840" t="s">
        <v>611</v>
      </c>
      <c r="L1840" t="s">
        <v>32</v>
      </c>
      <c r="M1840" t="s">
        <v>33</v>
      </c>
      <c r="N1840" t="s">
        <v>33</v>
      </c>
      <c r="O1840" t="s">
        <v>33</v>
      </c>
      <c r="P1840" t="s">
        <v>42</v>
      </c>
      <c r="Q1840" t="s">
        <v>43</v>
      </c>
      <c r="R1840" t="s">
        <v>1632</v>
      </c>
      <c r="S1840" t="s">
        <v>30</v>
      </c>
      <c r="T1840" t="s">
        <v>1635</v>
      </c>
      <c r="U1840" t="s">
        <v>1636</v>
      </c>
      <c r="V1840" t="s">
        <v>39</v>
      </c>
      <c r="W1840" s="1">
        <v>5</v>
      </c>
    </row>
    <row r="1841" spans="1:23" x14ac:dyDescent="0.2">
      <c r="A1841" t="s">
        <v>23</v>
      </c>
      <c r="B1841" t="s">
        <v>1108</v>
      </c>
      <c r="C1841" t="s">
        <v>1495</v>
      </c>
      <c r="D1841" t="s">
        <v>1496</v>
      </c>
      <c r="E1841" t="s">
        <v>1522</v>
      </c>
      <c r="F1841" t="s">
        <v>1523</v>
      </c>
      <c r="G1841" t="s">
        <v>139</v>
      </c>
      <c r="H1841" t="s">
        <v>30</v>
      </c>
      <c r="I1841" t="s">
        <v>30</v>
      </c>
      <c r="J1841" t="s">
        <v>610</v>
      </c>
      <c r="K1841" t="s">
        <v>611</v>
      </c>
      <c r="L1841" t="s">
        <v>32</v>
      </c>
      <c r="M1841" t="s">
        <v>33</v>
      </c>
      <c r="N1841" t="s">
        <v>33</v>
      </c>
      <c r="O1841" t="s">
        <v>33</v>
      </c>
      <c r="P1841" t="s">
        <v>42</v>
      </c>
      <c r="Q1841" t="s">
        <v>43</v>
      </c>
      <c r="R1841" t="s">
        <v>1632</v>
      </c>
      <c r="S1841" t="s">
        <v>30</v>
      </c>
      <c r="T1841" t="s">
        <v>1635</v>
      </c>
      <c r="U1841" t="s">
        <v>1636</v>
      </c>
      <c r="V1841" t="s">
        <v>40</v>
      </c>
      <c r="W1841" s="1">
        <v>245000</v>
      </c>
    </row>
    <row r="1842" spans="1:23" x14ac:dyDescent="0.2">
      <c r="A1842" t="s">
        <v>23</v>
      </c>
      <c r="B1842" t="s">
        <v>1108</v>
      </c>
      <c r="C1842" t="s">
        <v>1495</v>
      </c>
      <c r="D1842" t="s">
        <v>1496</v>
      </c>
      <c r="E1842" t="s">
        <v>1522</v>
      </c>
      <c r="F1842" t="s">
        <v>1523</v>
      </c>
      <c r="G1842" t="s">
        <v>139</v>
      </c>
      <c r="H1842" t="s">
        <v>30</v>
      </c>
      <c r="I1842" t="s">
        <v>30</v>
      </c>
      <c r="J1842" t="s">
        <v>610</v>
      </c>
      <c r="K1842" t="s">
        <v>611</v>
      </c>
      <c r="L1842" t="s">
        <v>32</v>
      </c>
      <c r="M1842" t="s">
        <v>33</v>
      </c>
      <c r="N1842" t="s">
        <v>33</v>
      </c>
      <c r="P1842" t="s">
        <v>34</v>
      </c>
      <c r="Q1842" t="s">
        <v>35</v>
      </c>
      <c r="S1842" t="s">
        <v>30</v>
      </c>
      <c r="T1842" t="s">
        <v>1630</v>
      </c>
      <c r="U1842" t="s">
        <v>1631</v>
      </c>
      <c r="V1842" t="s">
        <v>39</v>
      </c>
      <c r="W1842" s="1">
        <v>1</v>
      </c>
    </row>
    <row r="1843" spans="1:23" x14ac:dyDescent="0.2">
      <c r="A1843" t="s">
        <v>23</v>
      </c>
      <c r="B1843" t="s">
        <v>1108</v>
      </c>
      <c r="C1843" t="s">
        <v>1495</v>
      </c>
      <c r="D1843" t="s">
        <v>1496</v>
      </c>
      <c r="E1843" t="s">
        <v>1522</v>
      </c>
      <c r="F1843" t="s">
        <v>1523</v>
      </c>
      <c r="G1843" t="s">
        <v>139</v>
      </c>
      <c r="H1843" t="s">
        <v>30</v>
      </c>
      <c r="I1843" t="s">
        <v>30</v>
      </c>
      <c r="J1843" t="s">
        <v>610</v>
      </c>
      <c r="K1843" t="s">
        <v>611</v>
      </c>
      <c r="L1843" t="s">
        <v>32</v>
      </c>
      <c r="M1843" t="s">
        <v>33</v>
      </c>
      <c r="N1843" t="s">
        <v>33</v>
      </c>
      <c r="P1843" t="s">
        <v>34</v>
      </c>
      <c r="Q1843" t="s">
        <v>35</v>
      </c>
      <c r="S1843" t="s">
        <v>30</v>
      </c>
      <c r="T1843" t="s">
        <v>1630</v>
      </c>
      <c r="U1843" t="s">
        <v>1631</v>
      </c>
      <c r="V1843" t="s">
        <v>40</v>
      </c>
      <c r="W1843" s="1">
        <v>99000</v>
      </c>
    </row>
    <row r="1844" spans="1:23" x14ac:dyDescent="0.2">
      <c r="A1844" t="s">
        <v>23</v>
      </c>
      <c r="B1844" t="s">
        <v>1108</v>
      </c>
      <c r="C1844" t="s">
        <v>1495</v>
      </c>
      <c r="D1844" t="s">
        <v>1496</v>
      </c>
      <c r="E1844" t="s">
        <v>1522</v>
      </c>
      <c r="F1844" t="s">
        <v>1523</v>
      </c>
      <c r="G1844" t="s">
        <v>139</v>
      </c>
      <c r="H1844" t="s">
        <v>30</v>
      </c>
      <c r="I1844" t="s">
        <v>30</v>
      </c>
      <c r="J1844" t="s">
        <v>610</v>
      </c>
      <c r="K1844" t="s">
        <v>611</v>
      </c>
      <c r="L1844" t="s">
        <v>32</v>
      </c>
      <c r="M1844" t="s">
        <v>33</v>
      </c>
      <c r="N1844" t="s">
        <v>169</v>
      </c>
      <c r="O1844" t="s">
        <v>169</v>
      </c>
      <c r="P1844" t="s">
        <v>42</v>
      </c>
      <c r="Q1844" t="s">
        <v>43</v>
      </c>
      <c r="R1844" t="s">
        <v>1632</v>
      </c>
      <c r="S1844" t="s">
        <v>30</v>
      </c>
      <c r="T1844" t="s">
        <v>1635</v>
      </c>
      <c r="U1844" t="s">
        <v>1636</v>
      </c>
      <c r="V1844" t="s">
        <v>39</v>
      </c>
      <c r="W1844" s="1">
        <v>2</v>
      </c>
    </row>
    <row r="1845" spans="1:23" x14ac:dyDescent="0.2">
      <c r="A1845" t="s">
        <v>23</v>
      </c>
      <c r="B1845" t="s">
        <v>1108</v>
      </c>
      <c r="C1845" t="s">
        <v>1495</v>
      </c>
      <c r="D1845" t="s">
        <v>1496</v>
      </c>
      <c r="E1845" t="s">
        <v>1522</v>
      </c>
      <c r="F1845" t="s">
        <v>1523</v>
      </c>
      <c r="G1845" t="s">
        <v>139</v>
      </c>
      <c r="H1845" t="s">
        <v>30</v>
      </c>
      <c r="I1845" t="s">
        <v>30</v>
      </c>
      <c r="J1845" t="s">
        <v>610</v>
      </c>
      <c r="K1845" t="s">
        <v>611</v>
      </c>
      <c r="L1845" t="s">
        <v>32</v>
      </c>
      <c r="M1845" t="s">
        <v>33</v>
      </c>
      <c r="N1845" t="s">
        <v>169</v>
      </c>
      <c r="O1845" t="s">
        <v>169</v>
      </c>
      <c r="P1845" t="s">
        <v>42</v>
      </c>
      <c r="Q1845" t="s">
        <v>43</v>
      </c>
      <c r="R1845" t="s">
        <v>1632</v>
      </c>
      <c r="S1845" t="s">
        <v>30</v>
      </c>
      <c r="T1845" t="s">
        <v>1635</v>
      </c>
      <c r="U1845" t="s">
        <v>1636</v>
      </c>
      <c r="V1845" t="s">
        <v>40</v>
      </c>
      <c r="W1845" s="1">
        <v>98000</v>
      </c>
    </row>
    <row r="1846" spans="1:23" x14ac:dyDescent="0.2">
      <c r="A1846" t="s">
        <v>23</v>
      </c>
      <c r="B1846" t="s">
        <v>1108</v>
      </c>
      <c r="C1846" t="s">
        <v>1495</v>
      </c>
      <c r="D1846" t="s">
        <v>1496</v>
      </c>
      <c r="E1846" t="s">
        <v>1522</v>
      </c>
      <c r="F1846" t="s">
        <v>1523</v>
      </c>
      <c r="G1846" t="s">
        <v>139</v>
      </c>
      <c r="H1846" t="s">
        <v>30</v>
      </c>
      <c r="I1846" t="s">
        <v>30</v>
      </c>
      <c r="J1846" t="s">
        <v>610</v>
      </c>
      <c r="K1846" t="s">
        <v>611</v>
      </c>
      <c r="L1846" t="s">
        <v>32</v>
      </c>
      <c r="M1846" t="s">
        <v>176</v>
      </c>
      <c r="N1846" t="s">
        <v>176</v>
      </c>
      <c r="O1846" t="s">
        <v>176</v>
      </c>
      <c r="P1846" t="s">
        <v>42</v>
      </c>
      <c r="Q1846" t="s">
        <v>43</v>
      </c>
      <c r="R1846" t="s">
        <v>1632</v>
      </c>
      <c r="S1846" t="s">
        <v>30</v>
      </c>
      <c r="T1846" t="s">
        <v>1635</v>
      </c>
      <c r="U1846" t="s">
        <v>1636</v>
      </c>
      <c r="V1846" t="s">
        <v>39</v>
      </c>
      <c r="W1846" s="1">
        <v>1</v>
      </c>
    </row>
    <row r="1847" spans="1:23" x14ac:dyDescent="0.2">
      <c r="A1847" t="s">
        <v>23</v>
      </c>
      <c r="B1847" t="s">
        <v>1108</v>
      </c>
      <c r="C1847" t="s">
        <v>1495</v>
      </c>
      <c r="D1847" t="s">
        <v>1496</v>
      </c>
      <c r="E1847" t="s">
        <v>1522</v>
      </c>
      <c r="F1847" t="s">
        <v>1523</v>
      </c>
      <c r="G1847" t="s">
        <v>139</v>
      </c>
      <c r="H1847" t="s">
        <v>30</v>
      </c>
      <c r="I1847" t="s">
        <v>30</v>
      </c>
      <c r="J1847" t="s">
        <v>610</v>
      </c>
      <c r="K1847" t="s">
        <v>611</v>
      </c>
      <c r="L1847" t="s">
        <v>32</v>
      </c>
      <c r="M1847" t="s">
        <v>176</v>
      </c>
      <c r="N1847" t="s">
        <v>176</v>
      </c>
      <c r="O1847" t="s">
        <v>176</v>
      </c>
      <c r="P1847" t="s">
        <v>42</v>
      </c>
      <c r="Q1847" t="s">
        <v>43</v>
      </c>
      <c r="R1847" t="s">
        <v>1632</v>
      </c>
      <c r="S1847" t="s">
        <v>30</v>
      </c>
      <c r="T1847" t="s">
        <v>1635</v>
      </c>
      <c r="U1847" t="s">
        <v>1636</v>
      </c>
      <c r="V1847" t="s">
        <v>40</v>
      </c>
      <c r="W1847" s="1">
        <v>36000</v>
      </c>
    </row>
    <row r="1848" spans="1:23" x14ac:dyDescent="0.2">
      <c r="A1848" t="s">
        <v>23</v>
      </c>
      <c r="B1848" t="s">
        <v>1108</v>
      </c>
      <c r="C1848" t="s">
        <v>1495</v>
      </c>
      <c r="D1848" t="s">
        <v>1637</v>
      </c>
      <c r="E1848" t="s">
        <v>1638</v>
      </c>
      <c r="F1848" t="s">
        <v>1639</v>
      </c>
      <c r="G1848" t="s">
        <v>29</v>
      </c>
      <c r="H1848" t="s">
        <v>30</v>
      </c>
      <c r="I1848" t="s">
        <v>30</v>
      </c>
      <c r="J1848" t="s">
        <v>31</v>
      </c>
      <c r="K1848" t="s">
        <v>32</v>
      </c>
      <c r="L1848" t="s">
        <v>32</v>
      </c>
      <c r="M1848" t="s">
        <v>33</v>
      </c>
      <c r="N1848" t="s">
        <v>33</v>
      </c>
      <c r="O1848" t="s">
        <v>33</v>
      </c>
      <c r="P1848" t="s">
        <v>34</v>
      </c>
      <c r="Q1848" t="s">
        <v>35</v>
      </c>
      <c r="R1848" t="s">
        <v>228</v>
      </c>
      <c r="S1848" t="s">
        <v>30</v>
      </c>
      <c r="T1848" t="s">
        <v>1640</v>
      </c>
      <c r="U1848" t="s">
        <v>1641</v>
      </c>
      <c r="V1848" t="s">
        <v>39</v>
      </c>
      <c r="W1848" s="1">
        <v>2</v>
      </c>
    </row>
    <row r="1849" spans="1:23" x14ac:dyDescent="0.2">
      <c r="A1849" t="s">
        <v>23</v>
      </c>
      <c r="B1849" t="s">
        <v>1108</v>
      </c>
      <c r="C1849" t="s">
        <v>1495</v>
      </c>
      <c r="D1849" t="s">
        <v>1637</v>
      </c>
      <c r="E1849" t="s">
        <v>1638</v>
      </c>
      <c r="F1849" t="s">
        <v>1639</v>
      </c>
      <c r="G1849" t="s">
        <v>29</v>
      </c>
      <c r="H1849" t="s">
        <v>30</v>
      </c>
      <c r="I1849" t="s">
        <v>30</v>
      </c>
      <c r="J1849" t="s">
        <v>31</v>
      </c>
      <c r="K1849" t="s">
        <v>32</v>
      </c>
      <c r="L1849" t="s">
        <v>32</v>
      </c>
      <c r="M1849" t="s">
        <v>33</v>
      </c>
      <c r="N1849" t="s">
        <v>33</v>
      </c>
      <c r="O1849" t="s">
        <v>33</v>
      </c>
      <c r="P1849" t="s">
        <v>34</v>
      </c>
      <c r="Q1849" t="s">
        <v>35</v>
      </c>
      <c r="R1849" t="s">
        <v>228</v>
      </c>
      <c r="S1849" t="s">
        <v>30</v>
      </c>
      <c r="T1849" t="s">
        <v>1640</v>
      </c>
      <c r="U1849" t="s">
        <v>1641</v>
      </c>
      <c r="V1849" t="s">
        <v>40</v>
      </c>
      <c r="W1849" s="1">
        <v>916200</v>
      </c>
    </row>
    <row r="1850" spans="1:23" x14ac:dyDescent="0.2">
      <c r="A1850" t="s">
        <v>23</v>
      </c>
      <c r="B1850" t="s">
        <v>1108</v>
      </c>
      <c r="C1850" t="s">
        <v>1495</v>
      </c>
      <c r="D1850" t="s">
        <v>1637</v>
      </c>
      <c r="E1850" t="s">
        <v>1638</v>
      </c>
      <c r="F1850" t="s">
        <v>1639</v>
      </c>
      <c r="G1850" t="s">
        <v>29</v>
      </c>
      <c r="H1850" t="s">
        <v>30</v>
      </c>
      <c r="I1850" t="s">
        <v>30</v>
      </c>
      <c r="J1850" t="s">
        <v>31</v>
      </c>
      <c r="K1850" t="s">
        <v>32</v>
      </c>
      <c r="L1850" t="s">
        <v>32</v>
      </c>
      <c r="M1850" t="s">
        <v>33</v>
      </c>
      <c r="P1850" t="s">
        <v>34</v>
      </c>
      <c r="Q1850" t="s">
        <v>35</v>
      </c>
      <c r="R1850" t="s">
        <v>228</v>
      </c>
      <c r="S1850" t="s">
        <v>52</v>
      </c>
      <c r="T1850" t="s">
        <v>1640</v>
      </c>
      <c r="U1850" t="s">
        <v>1642</v>
      </c>
      <c r="V1850" t="s">
        <v>39</v>
      </c>
      <c r="W1850" s="1">
        <v>0</v>
      </c>
    </row>
    <row r="1851" spans="1:23" x14ac:dyDescent="0.2">
      <c r="A1851" t="s">
        <v>23</v>
      </c>
      <c r="B1851" t="s">
        <v>1108</v>
      </c>
      <c r="C1851" t="s">
        <v>1495</v>
      </c>
      <c r="D1851" t="s">
        <v>1637</v>
      </c>
      <c r="E1851" t="s">
        <v>1638</v>
      </c>
      <c r="F1851" t="s">
        <v>1639</v>
      </c>
      <c r="G1851" t="s">
        <v>29</v>
      </c>
      <c r="H1851" t="s">
        <v>30</v>
      </c>
      <c r="I1851" t="s">
        <v>30</v>
      </c>
      <c r="J1851" t="s">
        <v>31</v>
      </c>
      <c r="K1851" t="s">
        <v>32</v>
      </c>
      <c r="L1851" t="s">
        <v>32</v>
      </c>
      <c r="M1851" t="s">
        <v>33</v>
      </c>
      <c r="P1851" t="s">
        <v>34</v>
      </c>
      <c r="Q1851" t="s">
        <v>35</v>
      </c>
      <c r="R1851" t="s">
        <v>228</v>
      </c>
      <c r="S1851" t="s">
        <v>52</v>
      </c>
      <c r="T1851" t="s">
        <v>1640</v>
      </c>
      <c r="U1851" t="s">
        <v>1642</v>
      </c>
      <c r="V1851" t="s">
        <v>40</v>
      </c>
      <c r="W1851" s="1">
        <v>916200</v>
      </c>
    </row>
    <row r="1852" spans="1:23" x14ac:dyDescent="0.2">
      <c r="A1852" t="s">
        <v>23</v>
      </c>
      <c r="B1852" t="s">
        <v>1108</v>
      </c>
      <c r="C1852" t="s">
        <v>1495</v>
      </c>
      <c r="D1852" t="s">
        <v>1637</v>
      </c>
      <c r="E1852" t="s">
        <v>1638</v>
      </c>
      <c r="F1852" t="s">
        <v>1639</v>
      </c>
      <c r="G1852" t="s">
        <v>29</v>
      </c>
      <c r="H1852" t="s">
        <v>30</v>
      </c>
      <c r="I1852" t="s">
        <v>30</v>
      </c>
      <c r="J1852" t="s">
        <v>41</v>
      </c>
      <c r="K1852" t="s">
        <v>32</v>
      </c>
      <c r="L1852" t="s">
        <v>32</v>
      </c>
      <c r="M1852" t="s">
        <v>33</v>
      </c>
      <c r="N1852" t="s">
        <v>33</v>
      </c>
      <c r="O1852" t="s">
        <v>33</v>
      </c>
      <c r="P1852" t="s">
        <v>34</v>
      </c>
      <c r="Q1852" t="s">
        <v>35</v>
      </c>
      <c r="S1852" t="s">
        <v>30</v>
      </c>
      <c r="T1852" t="s">
        <v>1643</v>
      </c>
      <c r="U1852" t="s">
        <v>1644</v>
      </c>
      <c r="V1852" t="s">
        <v>39</v>
      </c>
      <c r="W1852" s="1">
        <v>4</v>
      </c>
    </row>
    <row r="1853" spans="1:23" x14ac:dyDescent="0.2">
      <c r="A1853" t="s">
        <v>23</v>
      </c>
      <c r="B1853" t="s">
        <v>1108</v>
      </c>
      <c r="C1853" t="s">
        <v>1495</v>
      </c>
      <c r="D1853" t="s">
        <v>1637</v>
      </c>
      <c r="E1853" t="s">
        <v>1638</v>
      </c>
      <c r="F1853" t="s">
        <v>1639</v>
      </c>
      <c r="G1853" t="s">
        <v>29</v>
      </c>
      <c r="H1853" t="s">
        <v>30</v>
      </c>
      <c r="I1853" t="s">
        <v>30</v>
      </c>
      <c r="J1853" t="s">
        <v>41</v>
      </c>
      <c r="K1853" t="s">
        <v>32</v>
      </c>
      <c r="L1853" t="s">
        <v>32</v>
      </c>
      <c r="M1853" t="s">
        <v>33</v>
      </c>
      <c r="N1853" t="s">
        <v>33</v>
      </c>
      <c r="O1853" t="s">
        <v>33</v>
      </c>
      <c r="P1853" t="s">
        <v>34</v>
      </c>
      <c r="Q1853" t="s">
        <v>35</v>
      </c>
      <c r="S1853" t="s">
        <v>30</v>
      </c>
      <c r="T1853" t="s">
        <v>1643</v>
      </c>
      <c r="U1853" t="s">
        <v>1644</v>
      </c>
      <c r="V1853" t="s">
        <v>40</v>
      </c>
      <c r="W1853" s="1">
        <v>3980000</v>
      </c>
    </row>
    <row r="1854" spans="1:23" x14ac:dyDescent="0.2">
      <c r="A1854" t="s">
        <v>23</v>
      </c>
      <c r="B1854" t="s">
        <v>1108</v>
      </c>
      <c r="C1854" t="s">
        <v>1495</v>
      </c>
      <c r="D1854" t="s">
        <v>1637</v>
      </c>
      <c r="E1854" t="s">
        <v>1638</v>
      </c>
      <c r="F1854" t="s">
        <v>1639</v>
      </c>
      <c r="G1854" t="s">
        <v>29</v>
      </c>
      <c r="H1854" t="s">
        <v>30</v>
      </c>
      <c r="I1854" t="s">
        <v>30</v>
      </c>
      <c r="J1854" t="s">
        <v>57</v>
      </c>
      <c r="K1854" t="s">
        <v>32</v>
      </c>
      <c r="L1854" t="s">
        <v>32</v>
      </c>
      <c r="M1854" t="s">
        <v>33</v>
      </c>
      <c r="N1854" t="s">
        <v>33</v>
      </c>
      <c r="O1854" t="s">
        <v>33</v>
      </c>
      <c r="P1854" t="s">
        <v>34</v>
      </c>
      <c r="Q1854" t="s">
        <v>35</v>
      </c>
      <c r="R1854" t="s">
        <v>294</v>
      </c>
      <c r="S1854" t="s">
        <v>30</v>
      </c>
      <c r="T1854" t="s">
        <v>1645</v>
      </c>
      <c r="U1854" t="s">
        <v>1646</v>
      </c>
      <c r="V1854" t="s">
        <v>39</v>
      </c>
      <c r="W1854" s="1">
        <v>2</v>
      </c>
    </row>
    <row r="1855" spans="1:23" x14ac:dyDescent="0.2">
      <c r="A1855" t="s">
        <v>23</v>
      </c>
      <c r="B1855" t="s">
        <v>1108</v>
      </c>
      <c r="C1855" t="s">
        <v>1495</v>
      </c>
      <c r="D1855" t="s">
        <v>1637</v>
      </c>
      <c r="E1855" t="s">
        <v>1638</v>
      </c>
      <c r="F1855" t="s">
        <v>1639</v>
      </c>
      <c r="G1855" t="s">
        <v>29</v>
      </c>
      <c r="H1855" t="s">
        <v>30</v>
      </c>
      <c r="I1855" t="s">
        <v>30</v>
      </c>
      <c r="J1855" t="s">
        <v>57</v>
      </c>
      <c r="K1855" t="s">
        <v>32</v>
      </c>
      <c r="L1855" t="s">
        <v>32</v>
      </c>
      <c r="M1855" t="s">
        <v>33</v>
      </c>
      <c r="N1855" t="s">
        <v>33</v>
      </c>
      <c r="O1855" t="s">
        <v>33</v>
      </c>
      <c r="P1855" t="s">
        <v>34</v>
      </c>
      <c r="Q1855" t="s">
        <v>35</v>
      </c>
      <c r="R1855" t="s">
        <v>294</v>
      </c>
      <c r="S1855" t="s">
        <v>30</v>
      </c>
      <c r="T1855" t="s">
        <v>1645</v>
      </c>
      <c r="U1855" t="s">
        <v>1646</v>
      </c>
      <c r="V1855" t="s">
        <v>40</v>
      </c>
      <c r="W1855" s="1">
        <v>2880400</v>
      </c>
    </row>
    <row r="1856" spans="1:23" x14ac:dyDescent="0.2">
      <c r="A1856" t="s">
        <v>23</v>
      </c>
      <c r="B1856" t="s">
        <v>1108</v>
      </c>
      <c r="C1856" t="s">
        <v>1495</v>
      </c>
      <c r="D1856" t="s">
        <v>1637</v>
      </c>
      <c r="E1856" t="s">
        <v>1638</v>
      </c>
      <c r="F1856" t="s">
        <v>1639</v>
      </c>
      <c r="G1856" t="s">
        <v>29</v>
      </c>
      <c r="H1856" t="s">
        <v>30</v>
      </c>
      <c r="I1856" t="s">
        <v>30</v>
      </c>
      <c r="J1856" t="s">
        <v>57</v>
      </c>
      <c r="K1856" t="s">
        <v>32</v>
      </c>
      <c r="L1856" t="s">
        <v>32</v>
      </c>
      <c r="M1856" t="s">
        <v>33</v>
      </c>
      <c r="P1856" t="s">
        <v>34</v>
      </c>
      <c r="Q1856" t="s">
        <v>35</v>
      </c>
      <c r="R1856" t="s">
        <v>294</v>
      </c>
      <c r="S1856" t="s">
        <v>30</v>
      </c>
      <c r="T1856" t="s">
        <v>1645</v>
      </c>
      <c r="U1856" t="s">
        <v>1646</v>
      </c>
      <c r="V1856" t="s">
        <v>39</v>
      </c>
      <c r="W1856" s="1">
        <v>5</v>
      </c>
    </row>
    <row r="1857" spans="1:23" x14ac:dyDescent="0.2">
      <c r="A1857" t="s">
        <v>23</v>
      </c>
      <c r="B1857" t="s">
        <v>1108</v>
      </c>
      <c r="C1857" t="s">
        <v>1495</v>
      </c>
      <c r="D1857" t="s">
        <v>1637</v>
      </c>
      <c r="E1857" t="s">
        <v>1638</v>
      </c>
      <c r="F1857" t="s">
        <v>1639</v>
      </c>
      <c r="G1857" t="s">
        <v>29</v>
      </c>
      <c r="H1857" t="s">
        <v>30</v>
      </c>
      <c r="I1857" t="s">
        <v>30</v>
      </c>
      <c r="J1857" t="s">
        <v>57</v>
      </c>
      <c r="K1857" t="s">
        <v>32</v>
      </c>
      <c r="L1857" t="s">
        <v>32</v>
      </c>
      <c r="M1857" t="s">
        <v>33</v>
      </c>
      <c r="P1857" t="s">
        <v>34</v>
      </c>
      <c r="Q1857" t="s">
        <v>35</v>
      </c>
      <c r="R1857" t="s">
        <v>294</v>
      </c>
      <c r="S1857" t="s">
        <v>30</v>
      </c>
      <c r="T1857" t="s">
        <v>1645</v>
      </c>
      <c r="U1857" t="s">
        <v>1646</v>
      </c>
      <c r="V1857" t="s">
        <v>40</v>
      </c>
      <c r="W1857" s="1">
        <v>7201000</v>
      </c>
    </row>
    <row r="1858" spans="1:23" x14ac:dyDescent="0.2">
      <c r="A1858" t="s">
        <v>23</v>
      </c>
      <c r="B1858" t="s">
        <v>1108</v>
      </c>
      <c r="C1858" t="s">
        <v>1495</v>
      </c>
      <c r="D1858" t="s">
        <v>1637</v>
      </c>
      <c r="E1858" t="s">
        <v>1638</v>
      </c>
      <c r="F1858" t="s">
        <v>1639</v>
      </c>
      <c r="G1858" t="s">
        <v>67</v>
      </c>
      <c r="H1858" t="s">
        <v>30</v>
      </c>
      <c r="I1858" t="s">
        <v>30</v>
      </c>
      <c r="J1858" t="s">
        <v>31</v>
      </c>
      <c r="K1858" t="s">
        <v>32</v>
      </c>
      <c r="L1858" t="s">
        <v>32</v>
      </c>
      <c r="M1858" t="s">
        <v>33</v>
      </c>
      <c r="N1858" t="s">
        <v>33</v>
      </c>
      <c r="O1858" t="s">
        <v>33</v>
      </c>
      <c r="P1858" t="s">
        <v>34</v>
      </c>
      <c r="Q1858" t="s">
        <v>35</v>
      </c>
      <c r="S1858" t="s">
        <v>30</v>
      </c>
      <c r="T1858" t="s">
        <v>1647</v>
      </c>
      <c r="U1858" t="s">
        <v>1648</v>
      </c>
      <c r="V1858" t="s">
        <v>39</v>
      </c>
      <c r="W1858" s="1">
        <v>2</v>
      </c>
    </row>
    <row r="1859" spans="1:23" x14ac:dyDescent="0.2">
      <c r="A1859" t="s">
        <v>23</v>
      </c>
      <c r="B1859" t="s">
        <v>1108</v>
      </c>
      <c r="C1859" t="s">
        <v>1495</v>
      </c>
      <c r="D1859" t="s">
        <v>1637</v>
      </c>
      <c r="E1859" t="s">
        <v>1638</v>
      </c>
      <c r="F1859" t="s">
        <v>1639</v>
      </c>
      <c r="G1859" t="s">
        <v>67</v>
      </c>
      <c r="H1859" t="s">
        <v>30</v>
      </c>
      <c r="I1859" t="s">
        <v>30</v>
      </c>
      <c r="J1859" t="s">
        <v>31</v>
      </c>
      <c r="K1859" t="s">
        <v>32</v>
      </c>
      <c r="L1859" t="s">
        <v>32</v>
      </c>
      <c r="M1859" t="s">
        <v>33</v>
      </c>
      <c r="N1859" t="s">
        <v>33</v>
      </c>
      <c r="O1859" t="s">
        <v>33</v>
      </c>
      <c r="P1859" t="s">
        <v>34</v>
      </c>
      <c r="Q1859" t="s">
        <v>35</v>
      </c>
      <c r="S1859" t="s">
        <v>30</v>
      </c>
      <c r="T1859" t="s">
        <v>1647</v>
      </c>
      <c r="U1859" t="s">
        <v>1648</v>
      </c>
      <c r="V1859" t="s">
        <v>40</v>
      </c>
      <c r="W1859" s="1">
        <v>3820400</v>
      </c>
    </row>
    <row r="1860" spans="1:23" x14ac:dyDescent="0.2">
      <c r="A1860" t="s">
        <v>23</v>
      </c>
      <c r="B1860" t="s">
        <v>1108</v>
      </c>
      <c r="C1860" t="s">
        <v>1495</v>
      </c>
      <c r="D1860" t="s">
        <v>1637</v>
      </c>
      <c r="E1860" t="s">
        <v>1638</v>
      </c>
      <c r="F1860" t="s">
        <v>1639</v>
      </c>
      <c r="G1860" t="s">
        <v>67</v>
      </c>
      <c r="H1860" t="s">
        <v>30</v>
      </c>
      <c r="I1860" t="s">
        <v>30</v>
      </c>
      <c r="J1860" t="s">
        <v>41</v>
      </c>
      <c r="K1860" t="s">
        <v>32</v>
      </c>
      <c r="L1860" t="s">
        <v>32</v>
      </c>
      <c r="M1860" t="s">
        <v>33</v>
      </c>
      <c r="N1860" t="s">
        <v>33</v>
      </c>
      <c r="O1860" t="s">
        <v>33</v>
      </c>
      <c r="P1860" t="s">
        <v>34</v>
      </c>
      <c r="Q1860" t="s">
        <v>35</v>
      </c>
      <c r="S1860" t="s">
        <v>30</v>
      </c>
      <c r="T1860" t="s">
        <v>1649</v>
      </c>
      <c r="U1860" t="s">
        <v>1650</v>
      </c>
      <c r="V1860" t="s">
        <v>39</v>
      </c>
      <c r="W1860" s="1">
        <v>3</v>
      </c>
    </row>
    <row r="1861" spans="1:23" x14ac:dyDescent="0.2">
      <c r="A1861" t="s">
        <v>23</v>
      </c>
      <c r="B1861" t="s">
        <v>1108</v>
      </c>
      <c r="C1861" t="s">
        <v>1495</v>
      </c>
      <c r="D1861" t="s">
        <v>1637</v>
      </c>
      <c r="E1861" t="s">
        <v>1638</v>
      </c>
      <c r="F1861" t="s">
        <v>1639</v>
      </c>
      <c r="G1861" t="s">
        <v>67</v>
      </c>
      <c r="H1861" t="s">
        <v>30</v>
      </c>
      <c r="I1861" t="s">
        <v>30</v>
      </c>
      <c r="J1861" t="s">
        <v>41</v>
      </c>
      <c r="K1861" t="s">
        <v>32</v>
      </c>
      <c r="L1861" t="s">
        <v>32</v>
      </c>
      <c r="M1861" t="s">
        <v>33</v>
      </c>
      <c r="N1861" t="s">
        <v>33</v>
      </c>
      <c r="O1861" t="s">
        <v>33</v>
      </c>
      <c r="P1861" t="s">
        <v>34</v>
      </c>
      <c r="Q1861" t="s">
        <v>35</v>
      </c>
      <c r="S1861" t="s">
        <v>30</v>
      </c>
      <c r="T1861" t="s">
        <v>1649</v>
      </c>
      <c r="U1861" t="s">
        <v>1650</v>
      </c>
      <c r="V1861" t="s">
        <v>40</v>
      </c>
      <c r="W1861" s="1">
        <v>3285000</v>
      </c>
    </row>
    <row r="1862" spans="1:23" x14ac:dyDescent="0.2">
      <c r="A1862" t="s">
        <v>23</v>
      </c>
      <c r="B1862" t="s">
        <v>1108</v>
      </c>
      <c r="C1862" t="s">
        <v>1495</v>
      </c>
      <c r="D1862" t="s">
        <v>1637</v>
      </c>
      <c r="E1862" t="s">
        <v>1638</v>
      </c>
      <c r="F1862" t="s">
        <v>1639</v>
      </c>
      <c r="G1862" t="s">
        <v>67</v>
      </c>
      <c r="H1862" t="s">
        <v>30</v>
      </c>
      <c r="I1862" t="s">
        <v>30</v>
      </c>
      <c r="J1862" t="s">
        <v>57</v>
      </c>
      <c r="K1862" t="s">
        <v>32</v>
      </c>
      <c r="L1862" t="s">
        <v>32</v>
      </c>
      <c r="M1862" t="s">
        <v>33</v>
      </c>
      <c r="N1862" t="s">
        <v>33</v>
      </c>
      <c r="O1862" t="s">
        <v>33</v>
      </c>
      <c r="P1862" t="s">
        <v>34</v>
      </c>
      <c r="Q1862" t="s">
        <v>35</v>
      </c>
      <c r="R1862" t="s">
        <v>319</v>
      </c>
      <c r="S1862" t="s">
        <v>30</v>
      </c>
      <c r="T1862" t="s">
        <v>1651</v>
      </c>
      <c r="U1862" t="s">
        <v>1652</v>
      </c>
      <c r="V1862" t="s">
        <v>39</v>
      </c>
      <c r="W1862" s="1">
        <v>2</v>
      </c>
    </row>
    <row r="1863" spans="1:23" x14ac:dyDescent="0.2">
      <c r="A1863" t="s">
        <v>23</v>
      </c>
      <c r="B1863" t="s">
        <v>1108</v>
      </c>
      <c r="C1863" t="s">
        <v>1495</v>
      </c>
      <c r="D1863" t="s">
        <v>1637</v>
      </c>
      <c r="E1863" t="s">
        <v>1638</v>
      </c>
      <c r="F1863" t="s">
        <v>1639</v>
      </c>
      <c r="G1863" t="s">
        <v>67</v>
      </c>
      <c r="H1863" t="s">
        <v>30</v>
      </c>
      <c r="I1863" t="s">
        <v>30</v>
      </c>
      <c r="J1863" t="s">
        <v>57</v>
      </c>
      <c r="K1863" t="s">
        <v>32</v>
      </c>
      <c r="L1863" t="s">
        <v>32</v>
      </c>
      <c r="M1863" t="s">
        <v>33</v>
      </c>
      <c r="N1863" t="s">
        <v>33</v>
      </c>
      <c r="O1863" t="s">
        <v>33</v>
      </c>
      <c r="P1863" t="s">
        <v>34</v>
      </c>
      <c r="Q1863" t="s">
        <v>35</v>
      </c>
      <c r="R1863" t="s">
        <v>319</v>
      </c>
      <c r="S1863" t="s">
        <v>30</v>
      </c>
      <c r="T1863" t="s">
        <v>1651</v>
      </c>
      <c r="U1863" t="s">
        <v>1652</v>
      </c>
      <c r="V1863" t="s">
        <v>40</v>
      </c>
      <c r="W1863" s="1">
        <v>5555200</v>
      </c>
    </row>
    <row r="1864" spans="1:23" x14ac:dyDescent="0.2">
      <c r="A1864" t="s">
        <v>23</v>
      </c>
      <c r="B1864" t="s">
        <v>1108</v>
      </c>
      <c r="C1864" t="s">
        <v>1495</v>
      </c>
      <c r="D1864" t="s">
        <v>1637</v>
      </c>
      <c r="E1864" t="s">
        <v>1638</v>
      </c>
      <c r="F1864" t="s">
        <v>1639</v>
      </c>
      <c r="G1864" t="s">
        <v>67</v>
      </c>
      <c r="H1864" t="s">
        <v>30</v>
      </c>
      <c r="I1864" t="s">
        <v>30</v>
      </c>
      <c r="J1864" t="s">
        <v>57</v>
      </c>
      <c r="K1864" t="s">
        <v>32</v>
      </c>
      <c r="L1864" t="s">
        <v>32</v>
      </c>
      <c r="M1864" t="s">
        <v>33</v>
      </c>
      <c r="P1864" t="s">
        <v>34</v>
      </c>
      <c r="Q1864" t="s">
        <v>35</v>
      </c>
      <c r="R1864" t="s">
        <v>319</v>
      </c>
      <c r="S1864" t="s">
        <v>30</v>
      </c>
      <c r="T1864" t="s">
        <v>1651</v>
      </c>
      <c r="U1864" t="s">
        <v>1652</v>
      </c>
      <c r="V1864" t="s">
        <v>39</v>
      </c>
      <c r="W1864" s="1">
        <v>1</v>
      </c>
    </row>
    <row r="1865" spans="1:23" x14ac:dyDescent="0.2">
      <c r="A1865" t="s">
        <v>23</v>
      </c>
      <c r="B1865" t="s">
        <v>1108</v>
      </c>
      <c r="C1865" t="s">
        <v>1495</v>
      </c>
      <c r="D1865" t="s">
        <v>1637</v>
      </c>
      <c r="E1865" t="s">
        <v>1638</v>
      </c>
      <c r="F1865" t="s">
        <v>1639</v>
      </c>
      <c r="G1865" t="s">
        <v>67</v>
      </c>
      <c r="H1865" t="s">
        <v>30</v>
      </c>
      <c r="I1865" t="s">
        <v>30</v>
      </c>
      <c r="J1865" t="s">
        <v>57</v>
      </c>
      <c r="K1865" t="s">
        <v>32</v>
      </c>
      <c r="L1865" t="s">
        <v>32</v>
      </c>
      <c r="M1865" t="s">
        <v>33</v>
      </c>
      <c r="P1865" t="s">
        <v>34</v>
      </c>
      <c r="Q1865" t="s">
        <v>35</v>
      </c>
      <c r="R1865" t="s">
        <v>319</v>
      </c>
      <c r="S1865" t="s">
        <v>30</v>
      </c>
      <c r="T1865" t="s">
        <v>1651</v>
      </c>
      <c r="U1865" t="s">
        <v>1652</v>
      </c>
      <c r="V1865" t="s">
        <v>40</v>
      </c>
      <c r="W1865" s="1">
        <v>2777600</v>
      </c>
    </row>
    <row r="1866" spans="1:23" x14ac:dyDescent="0.2">
      <c r="A1866" t="s">
        <v>23</v>
      </c>
      <c r="B1866" t="s">
        <v>1108</v>
      </c>
      <c r="C1866" t="s">
        <v>1495</v>
      </c>
      <c r="D1866" t="s">
        <v>1637</v>
      </c>
      <c r="E1866" t="s">
        <v>1638</v>
      </c>
      <c r="F1866" t="s">
        <v>1639</v>
      </c>
      <c r="G1866" t="s">
        <v>106</v>
      </c>
      <c r="H1866" t="s">
        <v>30</v>
      </c>
      <c r="I1866" t="s">
        <v>30</v>
      </c>
      <c r="J1866" t="s">
        <v>128</v>
      </c>
      <c r="K1866" t="s">
        <v>181</v>
      </c>
      <c r="L1866" t="s">
        <v>32</v>
      </c>
      <c r="M1866" t="s">
        <v>33</v>
      </c>
      <c r="P1866" t="s">
        <v>34</v>
      </c>
      <c r="Q1866" t="s">
        <v>35</v>
      </c>
      <c r="S1866" t="s">
        <v>30</v>
      </c>
      <c r="T1866" t="s">
        <v>1653</v>
      </c>
      <c r="U1866" t="s">
        <v>1654</v>
      </c>
      <c r="V1866" t="s">
        <v>39</v>
      </c>
      <c r="W1866" s="1">
        <v>35</v>
      </c>
    </row>
    <row r="1867" spans="1:23" x14ac:dyDescent="0.2">
      <c r="A1867" t="s">
        <v>23</v>
      </c>
      <c r="B1867" t="s">
        <v>1108</v>
      </c>
      <c r="C1867" t="s">
        <v>1495</v>
      </c>
      <c r="D1867" t="s">
        <v>1637</v>
      </c>
      <c r="E1867" t="s">
        <v>1638</v>
      </c>
      <c r="F1867" t="s">
        <v>1639</v>
      </c>
      <c r="G1867" t="s">
        <v>106</v>
      </c>
      <c r="H1867" t="s">
        <v>30</v>
      </c>
      <c r="I1867" t="s">
        <v>30</v>
      </c>
      <c r="J1867" t="s">
        <v>128</v>
      </c>
      <c r="K1867" t="s">
        <v>181</v>
      </c>
      <c r="L1867" t="s">
        <v>32</v>
      </c>
      <c r="M1867" t="s">
        <v>33</v>
      </c>
      <c r="P1867" t="s">
        <v>34</v>
      </c>
      <c r="Q1867" t="s">
        <v>35</v>
      </c>
      <c r="S1867" t="s">
        <v>30</v>
      </c>
      <c r="T1867" t="s">
        <v>1653</v>
      </c>
      <c r="U1867" t="s">
        <v>1654</v>
      </c>
      <c r="V1867" t="s">
        <v>40</v>
      </c>
      <c r="W1867" s="1">
        <v>0</v>
      </c>
    </row>
    <row r="1868" spans="1:23" x14ac:dyDescent="0.2">
      <c r="A1868" t="s">
        <v>23</v>
      </c>
      <c r="B1868" t="s">
        <v>1108</v>
      </c>
      <c r="C1868" t="s">
        <v>1495</v>
      </c>
      <c r="D1868" t="s">
        <v>1637</v>
      </c>
      <c r="E1868" t="s">
        <v>1655</v>
      </c>
      <c r="F1868" t="s">
        <v>1656</v>
      </c>
      <c r="G1868" t="s">
        <v>49</v>
      </c>
      <c r="H1868" t="s">
        <v>30</v>
      </c>
      <c r="I1868" t="s">
        <v>30</v>
      </c>
      <c r="J1868" t="s">
        <v>57</v>
      </c>
      <c r="K1868" t="s">
        <v>32</v>
      </c>
      <c r="L1868" t="s">
        <v>32</v>
      </c>
      <c r="M1868" t="s">
        <v>33</v>
      </c>
      <c r="N1868" t="s">
        <v>33</v>
      </c>
      <c r="O1868" t="s">
        <v>33</v>
      </c>
      <c r="P1868" t="s">
        <v>34</v>
      </c>
      <c r="Q1868" t="s">
        <v>35</v>
      </c>
      <c r="R1868" t="s">
        <v>741</v>
      </c>
      <c r="S1868" t="s">
        <v>30</v>
      </c>
      <c r="T1868" t="s">
        <v>1657</v>
      </c>
      <c r="U1868" t="s">
        <v>1658</v>
      </c>
      <c r="V1868" t="s">
        <v>39</v>
      </c>
      <c r="W1868" s="1">
        <v>6</v>
      </c>
    </row>
    <row r="1869" spans="1:23" x14ac:dyDescent="0.2">
      <c r="A1869" t="s">
        <v>23</v>
      </c>
      <c r="B1869" t="s">
        <v>1108</v>
      </c>
      <c r="C1869" t="s">
        <v>1495</v>
      </c>
      <c r="D1869" t="s">
        <v>1637</v>
      </c>
      <c r="E1869" t="s">
        <v>1655</v>
      </c>
      <c r="F1869" t="s">
        <v>1656</v>
      </c>
      <c r="G1869" t="s">
        <v>49</v>
      </c>
      <c r="H1869" t="s">
        <v>30</v>
      </c>
      <c r="I1869" t="s">
        <v>30</v>
      </c>
      <c r="J1869" t="s">
        <v>57</v>
      </c>
      <c r="K1869" t="s">
        <v>32</v>
      </c>
      <c r="L1869" t="s">
        <v>32</v>
      </c>
      <c r="M1869" t="s">
        <v>33</v>
      </c>
      <c r="N1869" t="s">
        <v>33</v>
      </c>
      <c r="O1869" t="s">
        <v>33</v>
      </c>
      <c r="P1869" t="s">
        <v>34</v>
      </c>
      <c r="Q1869" t="s">
        <v>35</v>
      </c>
      <c r="R1869" t="s">
        <v>741</v>
      </c>
      <c r="S1869" t="s">
        <v>30</v>
      </c>
      <c r="T1869" t="s">
        <v>1657</v>
      </c>
      <c r="U1869" t="s">
        <v>1658</v>
      </c>
      <c r="V1869" t="s">
        <v>40</v>
      </c>
      <c r="W1869" s="1">
        <v>23259400</v>
      </c>
    </row>
    <row r="1870" spans="1:23" x14ac:dyDescent="0.2">
      <c r="A1870" t="s">
        <v>23</v>
      </c>
      <c r="B1870" t="s">
        <v>1108</v>
      </c>
      <c r="C1870" t="s">
        <v>1495</v>
      </c>
      <c r="D1870" t="s">
        <v>1637</v>
      </c>
      <c r="E1870" t="s">
        <v>1655</v>
      </c>
      <c r="F1870" t="s">
        <v>1656</v>
      </c>
      <c r="G1870" t="s">
        <v>67</v>
      </c>
      <c r="H1870" t="s">
        <v>30</v>
      </c>
      <c r="I1870" t="s">
        <v>30</v>
      </c>
      <c r="J1870" t="s">
        <v>128</v>
      </c>
      <c r="K1870" t="s">
        <v>181</v>
      </c>
      <c r="L1870" t="s">
        <v>32</v>
      </c>
      <c r="M1870" t="s">
        <v>33</v>
      </c>
      <c r="N1870" t="s">
        <v>33</v>
      </c>
      <c r="O1870" t="s">
        <v>33</v>
      </c>
      <c r="P1870" t="s">
        <v>34</v>
      </c>
      <c r="Q1870" t="s">
        <v>35</v>
      </c>
      <c r="S1870" t="s">
        <v>30</v>
      </c>
      <c r="T1870" t="s">
        <v>1659</v>
      </c>
      <c r="U1870" t="s">
        <v>1660</v>
      </c>
      <c r="V1870" t="s">
        <v>39</v>
      </c>
      <c r="W1870" s="1">
        <v>1</v>
      </c>
    </row>
    <row r="1871" spans="1:23" x14ac:dyDescent="0.2">
      <c r="A1871" t="s">
        <v>23</v>
      </c>
      <c r="B1871" t="s">
        <v>1108</v>
      </c>
      <c r="C1871" t="s">
        <v>1495</v>
      </c>
      <c r="D1871" t="s">
        <v>1637</v>
      </c>
      <c r="E1871" t="s">
        <v>1655</v>
      </c>
      <c r="F1871" t="s">
        <v>1656</v>
      </c>
      <c r="G1871" t="s">
        <v>67</v>
      </c>
      <c r="H1871" t="s">
        <v>30</v>
      </c>
      <c r="I1871" t="s">
        <v>30</v>
      </c>
      <c r="J1871" t="s">
        <v>128</v>
      </c>
      <c r="K1871" t="s">
        <v>181</v>
      </c>
      <c r="L1871" t="s">
        <v>32</v>
      </c>
      <c r="M1871" t="s">
        <v>33</v>
      </c>
      <c r="N1871" t="s">
        <v>33</v>
      </c>
      <c r="O1871" t="s">
        <v>33</v>
      </c>
      <c r="P1871" t="s">
        <v>34</v>
      </c>
      <c r="Q1871" t="s">
        <v>35</v>
      </c>
      <c r="S1871" t="s">
        <v>30</v>
      </c>
      <c r="T1871" t="s">
        <v>1659</v>
      </c>
      <c r="U1871" t="s">
        <v>1660</v>
      </c>
      <c r="V1871" t="s">
        <v>40</v>
      </c>
      <c r="W1871" s="1">
        <v>0</v>
      </c>
    </row>
    <row r="1872" spans="1:23" x14ac:dyDescent="0.2">
      <c r="A1872" t="s">
        <v>23</v>
      </c>
      <c r="B1872" t="s">
        <v>1108</v>
      </c>
      <c r="C1872" t="s">
        <v>1495</v>
      </c>
      <c r="D1872" t="s">
        <v>1637</v>
      </c>
      <c r="E1872" t="s">
        <v>1655</v>
      </c>
      <c r="F1872" t="s">
        <v>1656</v>
      </c>
      <c r="G1872" t="s">
        <v>89</v>
      </c>
      <c r="H1872" t="s">
        <v>30</v>
      </c>
      <c r="I1872" t="s">
        <v>30</v>
      </c>
      <c r="J1872" t="s">
        <v>128</v>
      </c>
      <c r="K1872" t="s">
        <v>181</v>
      </c>
      <c r="L1872" t="s">
        <v>32</v>
      </c>
      <c r="M1872" t="s">
        <v>33</v>
      </c>
      <c r="P1872" t="s">
        <v>34</v>
      </c>
      <c r="Q1872" t="s">
        <v>35</v>
      </c>
      <c r="S1872" t="s">
        <v>30</v>
      </c>
      <c r="T1872" t="s">
        <v>1661</v>
      </c>
      <c r="U1872" t="s">
        <v>1662</v>
      </c>
      <c r="V1872" t="s">
        <v>39</v>
      </c>
      <c r="W1872" s="1">
        <v>50</v>
      </c>
    </row>
    <row r="1873" spans="1:23" x14ac:dyDescent="0.2">
      <c r="A1873" t="s">
        <v>23</v>
      </c>
      <c r="B1873" t="s">
        <v>1108</v>
      </c>
      <c r="C1873" t="s">
        <v>1495</v>
      </c>
      <c r="D1873" t="s">
        <v>1637</v>
      </c>
      <c r="E1873" t="s">
        <v>1655</v>
      </c>
      <c r="F1873" t="s">
        <v>1656</v>
      </c>
      <c r="G1873" t="s">
        <v>89</v>
      </c>
      <c r="H1873" t="s">
        <v>30</v>
      </c>
      <c r="I1873" t="s">
        <v>30</v>
      </c>
      <c r="J1873" t="s">
        <v>128</v>
      </c>
      <c r="K1873" t="s">
        <v>181</v>
      </c>
      <c r="L1873" t="s">
        <v>32</v>
      </c>
      <c r="M1873" t="s">
        <v>33</v>
      </c>
      <c r="P1873" t="s">
        <v>34</v>
      </c>
      <c r="Q1873" t="s">
        <v>35</v>
      </c>
      <c r="S1873" t="s">
        <v>30</v>
      </c>
      <c r="T1873" t="s">
        <v>1661</v>
      </c>
      <c r="U1873" t="s">
        <v>1662</v>
      </c>
      <c r="V1873" t="s">
        <v>40</v>
      </c>
      <c r="W1873" s="1">
        <v>0</v>
      </c>
    </row>
    <row r="1874" spans="1:23" x14ac:dyDescent="0.2">
      <c r="A1874" t="s">
        <v>23</v>
      </c>
      <c r="B1874" t="s">
        <v>1108</v>
      </c>
      <c r="C1874" t="s">
        <v>1495</v>
      </c>
      <c r="D1874" t="s">
        <v>1637</v>
      </c>
      <c r="E1874" t="s">
        <v>1655</v>
      </c>
      <c r="F1874" t="s">
        <v>1656</v>
      </c>
      <c r="G1874" t="s">
        <v>139</v>
      </c>
      <c r="H1874" t="s">
        <v>30</v>
      </c>
      <c r="I1874" t="s">
        <v>30</v>
      </c>
      <c r="J1874" t="s">
        <v>128</v>
      </c>
      <c r="K1874" t="s">
        <v>32</v>
      </c>
      <c r="L1874" t="s">
        <v>32</v>
      </c>
      <c r="M1874" t="s">
        <v>33</v>
      </c>
      <c r="N1874" t="s">
        <v>33</v>
      </c>
      <c r="O1874" t="s">
        <v>33</v>
      </c>
      <c r="P1874" t="s">
        <v>34</v>
      </c>
      <c r="Q1874" t="s">
        <v>35</v>
      </c>
      <c r="R1874" t="s">
        <v>129</v>
      </c>
      <c r="S1874" t="s">
        <v>30</v>
      </c>
      <c r="T1874" t="s">
        <v>1663</v>
      </c>
      <c r="U1874" t="s">
        <v>1664</v>
      </c>
      <c r="V1874" t="s">
        <v>39</v>
      </c>
      <c r="W1874" s="1">
        <v>1</v>
      </c>
    </row>
    <row r="1875" spans="1:23" x14ac:dyDescent="0.2">
      <c r="A1875" t="s">
        <v>23</v>
      </c>
      <c r="B1875" t="s">
        <v>1108</v>
      </c>
      <c r="C1875" t="s">
        <v>1495</v>
      </c>
      <c r="D1875" t="s">
        <v>1637</v>
      </c>
      <c r="E1875" t="s">
        <v>1655</v>
      </c>
      <c r="F1875" t="s">
        <v>1656</v>
      </c>
      <c r="G1875" t="s">
        <v>139</v>
      </c>
      <c r="H1875" t="s">
        <v>30</v>
      </c>
      <c r="I1875" t="s">
        <v>30</v>
      </c>
      <c r="J1875" t="s">
        <v>128</v>
      </c>
      <c r="K1875" t="s">
        <v>32</v>
      </c>
      <c r="L1875" t="s">
        <v>32</v>
      </c>
      <c r="M1875" t="s">
        <v>33</v>
      </c>
      <c r="N1875" t="s">
        <v>33</v>
      </c>
      <c r="O1875" t="s">
        <v>33</v>
      </c>
      <c r="P1875" t="s">
        <v>34</v>
      </c>
      <c r="Q1875" t="s">
        <v>35</v>
      </c>
      <c r="R1875" t="s">
        <v>129</v>
      </c>
      <c r="S1875" t="s">
        <v>30</v>
      </c>
      <c r="T1875" t="s">
        <v>1663</v>
      </c>
      <c r="U1875" t="s">
        <v>1664</v>
      </c>
      <c r="V1875" t="s">
        <v>40</v>
      </c>
      <c r="W1875" s="1">
        <v>50000</v>
      </c>
    </row>
    <row r="1876" spans="1:23" x14ac:dyDescent="0.2">
      <c r="A1876" t="s">
        <v>23</v>
      </c>
      <c r="B1876" t="s">
        <v>1108</v>
      </c>
      <c r="C1876" t="s">
        <v>1495</v>
      </c>
      <c r="D1876" t="s">
        <v>1637</v>
      </c>
      <c r="E1876" t="s">
        <v>1655</v>
      </c>
      <c r="F1876" t="s">
        <v>1656</v>
      </c>
      <c r="G1876" t="s">
        <v>139</v>
      </c>
      <c r="H1876" t="s">
        <v>30</v>
      </c>
      <c r="I1876" t="s">
        <v>30</v>
      </c>
      <c r="J1876" t="s">
        <v>128</v>
      </c>
      <c r="K1876" t="s">
        <v>32</v>
      </c>
      <c r="L1876" t="s">
        <v>32</v>
      </c>
      <c r="M1876" t="s">
        <v>33</v>
      </c>
      <c r="P1876" t="s">
        <v>34</v>
      </c>
      <c r="Q1876" t="s">
        <v>35</v>
      </c>
      <c r="R1876" t="s">
        <v>129</v>
      </c>
      <c r="S1876" t="s">
        <v>30</v>
      </c>
      <c r="T1876" t="s">
        <v>1663</v>
      </c>
      <c r="U1876" t="s">
        <v>1664</v>
      </c>
      <c r="V1876" t="s">
        <v>39</v>
      </c>
      <c r="W1876" s="1">
        <v>2</v>
      </c>
    </row>
    <row r="1877" spans="1:23" x14ac:dyDescent="0.2">
      <c r="A1877" t="s">
        <v>23</v>
      </c>
      <c r="B1877" t="s">
        <v>1108</v>
      </c>
      <c r="C1877" t="s">
        <v>1495</v>
      </c>
      <c r="D1877" t="s">
        <v>1637</v>
      </c>
      <c r="E1877" t="s">
        <v>1655</v>
      </c>
      <c r="F1877" t="s">
        <v>1656</v>
      </c>
      <c r="G1877" t="s">
        <v>139</v>
      </c>
      <c r="H1877" t="s">
        <v>30</v>
      </c>
      <c r="I1877" t="s">
        <v>30</v>
      </c>
      <c r="J1877" t="s">
        <v>128</v>
      </c>
      <c r="K1877" t="s">
        <v>32</v>
      </c>
      <c r="L1877" t="s">
        <v>32</v>
      </c>
      <c r="M1877" t="s">
        <v>33</v>
      </c>
      <c r="P1877" t="s">
        <v>34</v>
      </c>
      <c r="Q1877" t="s">
        <v>35</v>
      </c>
      <c r="R1877" t="s">
        <v>129</v>
      </c>
      <c r="S1877" t="s">
        <v>30</v>
      </c>
      <c r="T1877" t="s">
        <v>1663</v>
      </c>
      <c r="U1877" t="s">
        <v>1664</v>
      </c>
      <c r="V1877" t="s">
        <v>40</v>
      </c>
      <c r="W1877" s="1">
        <v>100000</v>
      </c>
    </row>
    <row r="1878" spans="1:23" x14ac:dyDescent="0.2">
      <c r="A1878" t="s">
        <v>23</v>
      </c>
      <c r="B1878" t="s">
        <v>1108</v>
      </c>
      <c r="C1878" t="s">
        <v>1495</v>
      </c>
      <c r="D1878" t="s">
        <v>1637</v>
      </c>
      <c r="E1878" t="s">
        <v>1655</v>
      </c>
      <c r="F1878" t="s">
        <v>1656</v>
      </c>
      <c r="G1878" t="s">
        <v>139</v>
      </c>
      <c r="H1878" t="s">
        <v>30</v>
      </c>
      <c r="I1878" t="s">
        <v>30</v>
      </c>
      <c r="J1878" t="s">
        <v>31</v>
      </c>
      <c r="K1878" t="s">
        <v>32</v>
      </c>
      <c r="L1878" t="s">
        <v>32</v>
      </c>
      <c r="M1878" t="s">
        <v>33</v>
      </c>
      <c r="N1878" t="s">
        <v>33</v>
      </c>
      <c r="O1878" t="s">
        <v>33</v>
      </c>
      <c r="P1878" t="s">
        <v>34</v>
      </c>
      <c r="Q1878" t="s">
        <v>35</v>
      </c>
      <c r="S1878" t="s">
        <v>30</v>
      </c>
      <c r="T1878" t="s">
        <v>1665</v>
      </c>
      <c r="U1878" t="s">
        <v>1666</v>
      </c>
      <c r="V1878" t="s">
        <v>39</v>
      </c>
      <c r="W1878" s="1">
        <v>2</v>
      </c>
    </row>
    <row r="1879" spans="1:23" x14ac:dyDescent="0.2">
      <c r="A1879" t="s">
        <v>23</v>
      </c>
      <c r="B1879" t="s">
        <v>1108</v>
      </c>
      <c r="C1879" t="s">
        <v>1495</v>
      </c>
      <c r="D1879" t="s">
        <v>1637</v>
      </c>
      <c r="E1879" t="s">
        <v>1655</v>
      </c>
      <c r="F1879" t="s">
        <v>1656</v>
      </c>
      <c r="G1879" t="s">
        <v>139</v>
      </c>
      <c r="H1879" t="s">
        <v>30</v>
      </c>
      <c r="I1879" t="s">
        <v>30</v>
      </c>
      <c r="J1879" t="s">
        <v>31</v>
      </c>
      <c r="K1879" t="s">
        <v>32</v>
      </c>
      <c r="L1879" t="s">
        <v>32</v>
      </c>
      <c r="M1879" t="s">
        <v>33</v>
      </c>
      <c r="N1879" t="s">
        <v>33</v>
      </c>
      <c r="O1879" t="s">
        <v>33</v>
      </c>
      <c r="P1879" t="s">
        <v>34</v>
      </c>
      <c r="Q1879" t="s">
        <v>35</v>
      </c>
      <c r="S1879" t="s">
        <v>30</v>
      </c>
      <c r="T1879" t="s">
        <v>1665</v>
      </c>
      <c r="U1879" t="s">
        <v>1666</v>
      </c>
      <c r="V1879" t="s">
        <v>40</v>
      </c>
      <c r="W1879" s="1">
        <v>1536000</v>
      </c>
    </row>
    <row r="1880" spans="1:23" x14ac:dyDescent="0.2">
      <c r="A1880" t="s">
        <v>23</v>
      </c>
      <c r="B1880" t="s">
        <v>1108</v>
      </c>
      <c r="C1880" t="s">
        <v>1495</v>
      </c>
      <c r="D1880" t="s">
        <v>1667</v>
      </c>
      <c r="E1880" t="s">
        <v>1668</v>
      </c>
      <c r="F1880" t="s">
        <v>1669</v>
      </c>
      <c r="G1880" t="s">
        <v>49</v>
      </c>
      <c r="H1880" t="s">
        <v>30</v>
      </c>
      <c r="I1880" t="s">
        <v>30</v>
      </c>
      <c r="J1880" t="s">
        <v>41</v>
      </c>
      <c r="K1880" t="s">
        <v>32</v>
      </c>
      <c r="L1880" t="s">
        <v>32</v>
      </c>
      <c r="M1880" t="s">
        <v>33</v>
      </c>
      <c r="N1880" t="s">
        <v>33</v>
      </c>
      <c r="O1880" t="s">
        <v>33</v>
      </c>
      <c r="P1880" t="s">
        <v>34</v>
      </c>
      <c r="Q1880" t="s">
        <v>35</v>
      </c>
      <c r="S1880" t="s">
        <v>30</v>
      </c>
      <c r="T1880" t="s">
        <v>1670</v>
      </c>
      <c r="U1880" t="s">
        <v>1671</v>
      </c>
      <c r="V1880" t="s">
        <v>39</v>
      </c>
      <c r="W1880" s="1">
        <v>4</v>
      </c>
    </row>
    <row r="1881" spans="1:23" x14ac:dyDescent="0.2">
      <c r="A1881" t="s">
        <v>23</v>
      </c>
      <c r="B1881" t="s">
        <v>1108</v>
      </c>
      <c r="C1881" t="s">
        <v>1495</v>
      </c>
      <c r="D1881" t="s">
        <v>1667</v>
      </c>
      <c r="E1881" t="s">
        <v>1668</v>
      </c>
      <c r="F1881" t="s">
        <v>1669</v>
      </c>
      <c r="G1881" t="s">
        <v>49</v>
      </c>
      <c r="H1881" t="s">
        <v>30</v>
      </c>
      <c r="I1881" t="s">
        <v>30</v>
      </c>
      <c r="J1881" t="s">
        <v>41</v>
      </c>
      <c r="K1881" t="s">
        <v>32</v>
      </c>
      <c r="L1881" t="s">
        <v>32</v>
      </c>
      <c r="M1881" t="s">
        <v>33</v>
      </c>
      <c r="N1881" t="s">
        <v>33</v>
      </c>
      <c r="O1881" t="s">
        <v>33</v>
      </c>
      <c r="P1881" t="s">
        <v>34</v>
      </c>
      <c r="Q1881" t="s">
        <v>35</v>
      </c>
      <c r="S1881" t="s">
        <v>30</v>
      </c>
      <c r="T1881" t="s">
        <v>1670</v>
      </c>
      <c r="U1881" t="s">
        <v>1671</v>
      </c>
      <c r="V1881" t="s">
        <v>40</v>
      </c>
      <c r="W1881" s="1">
        <v>5116000</v>
      </c>
    </row>
    <row r="1882" spans="1:23" x14ac:dyDescent="0.2">
      <c r="A1882" t="s">
        <v>23</v>
      </c>
      <c r="B1882" t="s">
        <v>1108</v>
      </c>
      <c r="C1882" t="s">
        <v>1495</v>
      </c>
      <c r="D1882" t="s">
        <v>1667</v>
      </c>
      <c r="E1882" t="s">
        <v>1672</v>
      </c>
      <c r="F1882" t="s">
        <v>1673</v>
      </c>
      <c r="G1882" t="s">
        <v>49</v>
      </c>
      <c r="H1882" t="s">
        <v>30</v>
      </c>
      <c r="I1882" t="s">
        <v>30</v>
      </c>
      <c r="J1882" t="s">
        <v>107</v>
      </c>
      <c r="K1882" t="s">
        <v>32</v>
      </c>
      <c r="L1882" t="s">
        <v>32</v>
      </c>
      <c r="M1882" t="s">
        <v>33</v>
      </c>
      <c r="N1882" t="s">
        <v>33</v>
      </c>
      <c r="O1882" t="s">
        <v>33</v>
      </c>
      <c r="P1882" t="s">
        <v>34</v>
      </c>
      <c r="Q1882" t="s">
        <v>35</v>
      </c>
      <c r="R1882" t="s">
        <v>108</v>
      </c>
      <c r="S1882" t="s">
        <v>30</v>
      </c>
      <c r="T1882" t="s">
        <v>1674</v>
      </c>
      <c r="U1882" t="s">
        <v>1675</v>
      </c>
      <c r="V1882" t="s">
        <v>39</v>
      </c>
      <c r="W1882" s="1">
        <v>3</v>
      </c>
    </row>
    <row r="1883" spans="1:23" x14ac:dyDescent="0.2">
      <c r="A1883" t="s">
        <v>23</v>
      </c>
      <c r="B1883" t="s">
        <v>1108</v>
      </c>
      <c r="C1883" t="s">
        <v>1495</v>
      </c>
      <c r="D1883" t="s">
        <v>1667</v>
      </c>
      <c r="E1883" t="s">
        <v>1672</v>
      </c>
      <c r="F1883" t="s">
        <v>1673</v>
      </c>
      <c r="G1883" t="s">
        <v>49</v>
      </c>
      <c r="H1883" t="s">
        <v>30</v>
      </c>
      <c r="I1883" t="s">
        <v>30</v>
      </c>
      <c r="J1883" t="s">
        <v>107</v>
      </c>
      <c r="K1883" t="s">
        <v>32</v>
      </c>
      <c r="L1883" t="s">
        <v>32</v>
      </c>
      <c r="M1883" t="s">
        <v>33</v>
      </c>
      <c r="N1883" t="s">
        <v>33</v>
      </c>
      <c r="O1883" t="s">
        <v>33</v>
      </c>
      <c r="P1883" t="s">
        <v>34</v>
      </c>
      <c r="Q1883" t="s">
        <v>35</v>
      </c>
      <c r="R1883" t="s">
        <v>108</v>
      </c>
      <c r="S1883" t="s">
        <v>30</v>
      </c>
      <c r="T1883" t="s">
        <v>1674</v>
      </c>
      <c r="U1883" t="s">
        <v>1675</v>
      </c>
      <c r="V1883" t="s">
        <v>40</v>
      </c>
      <c r="W1883" s="1">
        <v>6420000</v>
      </c>
    </row>
    <row r="1884" spans="1:23" x14ac:dyDescent="0.2">
      <c r="A1884" t="s">
        <v>23</v>
      </c>
      <c r="B1884" t="s">
        <v>1108</v>
      </c>
      <c r="C1884" t="s">
        <v>1495</v>
      </c>
      <c r="D1884" t="s">
        <v>1667</v>
      </c>
      <c r="E1884" t="s">
        <v>1672</v>
      </c>
      <c r="F1884" t="s">
        <v>1673</v>
      </c>
      <c r="G1884" t="s">
        <v>49</v>
      </c>
      <c r="H1884" t="s">
        <v>30</v>
      </c>
      <c r="I1884" t="s">
        <v>30</v>
      </c>
      <c r="J1884" t="s">
        <v>128</v>
      </c>
      <c r="K1884" t="s">
        <v>135</v>
      </c>
      <c r="L1884" t="s">
        <v>32</v>
      </c>
      <c r="M1884" t="s">
        <v>33</v>
      </c>
      <c r="P1884" t="s">
        <v>34</v>
      </c>
      <c r="Q1884" t="s">
        <v>35</v>
      </c>
      <c r="R1884" t="s">
        <v>136</v>
      </c>
      <c r="S1884" t="s">
        <v>30</v>
      </c>
      <c r="T1884" t="s">
        <v>1676</v>
      </c>
      <c r="U1884" t="s">
        <v>1677</v>
      </c>
      <c r="V1884" t="s">
        <v>39</v>
      </c>
      <c r="W1884" s="1">
        <v>8</v>
      </c>
    </row>
    <row r="1885" spans="1:23" x14ac:dyDescent="0.2">
      <c r="A1885" t="s">
        <v>23</v>
      </c>
      <c r="B1885" t="s">
        <v>1108</v>
      </c>
      <c r="C1885" t="s">
        <v>1495</v>
      </c>
      <c r="D1885" t="s">
        <v>1667</v>
      </c>
      <c r="E1885" t="s">
        <v>1672</v>
      </c>
      <c r="F1885" t="s">
        <v>1673</v>
      </c>
      <c r="G1885" t="s">
        <v>49</v>
      </c>
      <c r="H1885" t="s">
        <v>30</v>
      </c>
      <c r="I1885" t="s">
        <v>30</v>
      </c>
      <c r="J1885" t="s">
        <v>128</v>
      </c>
      <c r="K1885" t="s">
        <v>135</v>
      </c>
      <c r="L1885" t="s">
        <v>32</v>
      </c>
      <c r="M1885" t="s">
        <v>33</v>
      </c>
      <c r="P1885" t="s">
        <v>34</v>
      </c>
      <c r="Q1885" t="s">
        <v>35</v>
      </c>
      <c r="R1885" t="s">
        <v>136</v>
      </c>
      <c r="S1885" t="s">
        <v>30</v>
      </c>
      <c r="T1885" t="s">
        <v>1676</v>
      </c>
      <c r="U1885" t="s">
        <v>1677</v>
      </c>
      <c r="V1885" t="s">
        <v>40</v>
      </c>
      <c r="W1885" s="1">
        <v>13648000</v>
      </c>
    </row>
    <row r="1886" spans="1:23" x14ac:dyDescent="0.2">
      <c r="A1886" t="s">
        <v>23</v>
      </c>
      <c r="B1886" t="s">
        <v>1108</v>
      </c>
      <c r="C1886" t="s">
        <v>1495</v>
      </c>
      <c r="D1886" t="s">
        <v>1667</v>
      </c>
      <c r="E1886" t="s">
        <v>1672</v>
      </c>
      <c r="F1886" t="s">
        <v>1673</v>
      </c>
      <c r="G1886" t="s">
        <v>49</v>
      </c>
      <c r="H1886" t="s">
        <v>30</v>
      </c>
      <c r="I1886" t="s">
        <v>30</v>
      </c>
      <c r="J1886" t="s">
        <v>128</v>
      </c>
      <c r="K1886" t="s">
        <v>135</v>
      </c>
      <c r="L1886" t="s">
        <v>32</v>
      </c>
      <c r="M1886" t="s">
        <v>176</v>
      </c>
      <c r="P1886" t="s">
        <v>34</v>
      </c>
      <c r="Q1886" t="s">
        <v>35</v>
      </c>
      <c r="R1886" t="s">
        <v>136</v>
      </c>
      <c r="S1886" t="s">
        <v>30</v>
      </c>
      <c r="T1886" t="s">
        <v>1676</v>
      </c>
      <c r="U1886" t="s">
        <v>1677</v>
      </c>
      <c r="V1886" t="s">
        <v>39</v>
      </c>
      <c r="W1886" s="1">
        <v>2</v>
      </c>
    </row>
    <row r="1887" spans="1:23" x14ac:dyDescent="0.2">
      <c r="A1887" t="s">
        <v>23</v>
      </c>
      <c r="B1887" t="s">
        <v>1108</v>
      </c>
      <c r="C1887" t="s">
        <v>1495</v>
      </c>
      <c r="D1887" t="s">
        <v>1667</v>
      </c>
      <c r="E1887" t="s">
        <v>1672</v>
      </c>
      <c r="F1887" t="s">
        <v>1673</v>
      </c>
      <c r="G1887" t="s">
        <v>49</v>
      </c>
      <c r="H1887" t="s">
        <v>30</v>
      </c>
      <c r="I1887" t="s">
        <v>30</v>
      </c>
      <c r="J1887" t="s">
        <v>128</v>
      </c>
      <c r="K1887" t="s">
        <v>135</v>
      </c>
      <c r="L1887" t="s">
        <v>32</v>
      </c>
      <c r="M1887" t="s">
        <v>176</v>
      </c>
      <c r="P1887" t="s">
        <v>34</v>
      </c>
      <c r="Q1887" t="s">
        <v>35</v>
      </c>
      <c r="R1887" t="s">
        <v>136</v>
      </c>
      <c r="S1887" t="s">
        <v>30</v>
      </c>
      <c r="T1887" t="s">
        <v>1676</v>
      </c>
      <c r="U1887" t="s">
        <v>1677</v>
      </c>
      <c r="V1887" t="s">
        <v>40</v>
      </c>
      <c r="W1887" s="1">
        <v>2729600</v>
      </c>
    </row>
    <row r="1888" spans="1:23" x14ac:dyDescent="0.2">
      <c r="A1888" t="s">
        <v>23</v>
      </c>
      <c r="B1888" t="s">
        <v>1108</v>
      </c>
      <c r="C1888" t="s">
        <v>1495</v>
      </c>
      <c r="D1888" t="s">
        <v>1667</v>
      </c>
      <c r="E1888" t="s">
        <v>1672</v>
      </c>
      <c r="F1888" t="s">
        <v>1673</v>
      </c>
      <c r="G1888" t="s">
        <v>61</v>
      </c>
      <c r="H1888" t="s">
        <v>52</v>
      </c>
      <c r="I1888" t="s">
        <v>52</v>
      </c>
      <c r="J1888" t="s">
        <v>31</v>
      </c>
      <c r="K1888" t="s">
        <v>32</v>
      </c>
      <c r="L1888" t="s">
        <v>32</v>
      </c>
      <c r="M1888" t="s">
        <v>33</v>
      </c>
      <c r="N1888" t="s">
        <v>33</v>
      </c>
      <c r="O1888" t="s">
        <v>33</v>
      </c>
      <c r="P1888" t="s">
        <v>34</v>
      </c>
      <c r="Q1888" t="s">
        <v>35</v>
      </c>
      <c r="R1888" t="s">
        <v>184</v>
      </c>
      <c r="S1888" t="s">
        <v>30</v>
      </c>
      <c r="T1888" t="s">
        <v>1678</v>
      </c>
      <c r="U1888" t="s">
        <v>1679</v>
      </c>
      <c r="V1888" t="s">
        <v>39</v>
      </c>
      <c r="W1888" s="1">
        <v>3</v>
      </c>
    </row>
    <row r="1889" spans="1:23" x14ac:dyDescent="0.2">
      <c r="A1889" t="s">
        <v>23</v>
      </c>
      <c r="B1889" t="s">
        <v>1108</v>
      </c>
      <c r="C1889" t="s">
        <v>1495</v>
      </c>
      <c r="D1889" t="s">
        <v>1667</v>
      </c>
      <c r="E1889" t="s">
        <v>1672</v>
      </c>
      <c r="F1889" t="s">
        <v>1673</v>
      </c>
      <c r="G1889" t="s">
        <v>61</v>
      </c>
      <c r="H1889" t="s">
        <v>52</v>
      </c>
      <c r="I1889" t="s">
        <v>52</v>
      </c>
      <c r="J1889" t="s">
        <v>31</v>
      </c>
      <c r="K1889" t="s">
        <v>32</v>
      </c>
      <c r="L1889" t="s">
        <v>32</v>
      </c>
      <c r="M1889" t="s">
        <v>33</v>
      </c>
      <c r="N1889" t="s">
        <v>33</v>
      </c>
      <c r="O1889" t="s">
        <v>33</v>
      </c>
      <c r="P1889" t="s">
        <v>34</v>
      </c>
      <c r="Q1889" t="s">
        <v>35</v>
      </c>
      <c r="R1889" t="s">
        <v>184</v>
      </c>
      <c r="S1889" t="s">
        <v>30</v>
      </c>
      <c r="T1889" t="s">
        <v>1678</v>
      </c>
      <c r="U1889" t="s">
        <v>1679</v>
      </c>
      <c r="V1889" t="s">
        <v>40</v>
      </c>
      <c r="W1889" s="1">
        <v>3023100</v>
      </c>
    </row>
    <row r="1890" spans="1:23" x14ac:dyDescent="0.2">
      <c r="A1890" t="s">
        <v>23</v>
      </c>
      <c r="B1890" t="s">
        <v>1108</v>
      </c>
      <c r="C1890" t="s">
        <v>1495</v>
      </c>
      <c r="D1890" t="s">
        <v>1667</v>
      </c>
      <c r="E1890" t="s">
        <v>1672</v>
      </c>
      <c r="F1890" t="s">
        <v>1673</v>
      </c>
      <c r="G1890" t="s">
        <v>61</v>
      </c>
      <c r="H1890" t="s">
        <v>52</v>
      </c>
      <c r="I1890" t="s">
        <v>52</v>
      </c>
      <c r="J1890" t="s">
        <v>41</v>
      </c>
      <c r="K1890" t="s">
        <v>32</v>
      </c>
      <c r="L1890" t="s">
        <v>32</v>
      </c>
      <c r="M1890" t="s">
        <v>33</v>
      </c>
      <c r="P1890" t="s">
        <v>34</v>
      </c>
      <c r="Q1890" t="s">
        <v>35</v>
      </c>
      <c r="R1890" t="s">
        <v>58</v>
      </c>
      <c r="S1890" t="s">
        <v>52</v>
      </c>
      <c r="T1890" t="s">
        <v>1680</v>
      </c>
      <c r="U1890" t="s">
        <v>1681</v>
      </c>
      <c r="V1890" t="s">
        <v>39</v>
      </c>
      <c r="W1890" s="1">
        <v>0</v>
      </c>
    </row>
    <row r="1891" spans="1:23" x14ac:dyDescent="0.2">
      <c r="A1891" t="s">
        <v>23</v>
      </c>
      <c r="B1891" t="s">
        <v>1108</v>
      </c>
      <c r="C1891" t="s">
        <v>1495</v>
      </c>
      <c r="D1891" t="s">
        <v>1667</v>
      </c>
      <c r="E1891" t="s">
        <v>1672</v>
      </c>
      <c r="F1891" t="s">
        <v>1673</v>
      </c>
      <c r="G1891" t="s">
        <v>61</v>
      </c>
      <c r="H1891" t="s">
        <v>52</v>
      </c>
      <c r="I1891" t="s">
        <v>52</v>
      </c>
      <c r="J1891" t="s">
        <v>41</v>
      </c>
      <c r="K1891" t="s">
        <v>32</v>
      </c>
      <c r="L1891" t="s">
        <v>32</v>
      </c>
      <c r="M1891" t="s">
        <v>33</v>
      </c>
      <c r="P1891" t="s">
        <v>34</v>
      </c>
      <c r="Q1891" t="s">
        <v>35</v>
      </c>
      <c r="R1891" t="s">
        <v>58</v>
      </c>
      <c r="S1891" t="s">
        <v>52</v>
      </c>
      <c r="T1891" t="s">
        <v>1680</v>
      </c>
      <c r="U1891" t="s">
        <v>1681</v>
      </c>
      <c r="V1891" t="s">
        <v>40</v>
      </c>
      <c r="W1891" s="1">
        <v>4577700</v>
      </c>
    </row>
    <row r="1892" spans="1:23" x14ac:dyDescent="0.2">
      <c r="A1892" t="s">
        <v>23</v>
      </c>
      <c r="B1892" t="s">
        <v>1108</v>
      </c>
      <c r="C1892" t="s">
        <v>1495</v>
      </c>
      <c r="D1892" t="s">
        <v>1667</v>
      </c>
      <c r="E1892" t="s">
        <v>1672</v>
      </c>
      <c r="F1892" t="s">
        <v>1673</v>
      </c>
      <c r="G1892" t="s">
        <v>64</v>
      </c>
      <c r="H1892" t="s">
        <v>30</v>
      </c>
      <c r="I1892" t="s">
        <v>52</v>
      </c>
      <c r="J1892" t="s">
        <v>41</v>
      </c>
      <c r="K1892" t="s">
        <v>32</v>
      </c>
      <c r="L1892" t="s">
        <v>332</v>
      </c>
      <c r="M1892" t="s">
        <v>33</v>
      </c>
      <c r="N1892" t="s">
        <v>33</v>
      </c>
      <c r="O1892" t="s">
        <v>33</v>
      </c>
      <c r="P1892" t="s">
        <v>34</v>
      </c>
      <c r="Q1892" t="s">
        <v>35</v>
      </c>
      <c r="R1892" t="s">
        <v>162</v>
      </c>
      <c r="S1892" t="s">
        <v>30</v>
      </c>
      <c r="T1892" t="s">
        <v>1682</v>
      </c>
      <c r="U1892" t="s">
        <v>1683</v>
      </c>
      <c r="V1892" t="s">
        <v>39</v>
      </c>
      <c r="W1892" s="1">
        <v>2</v>
      </c>
    </row>
    <row r="1893" spans="1:23" x14ac:dyDescent="0.2">
      <c r="A1893" t="s">
        <v>23</v>
      </c>
      <c r="B1893" t="s">
        <v>1108</v>
      </c>
      <c r="C1893" t="s">
        <v>1495</v>
      </c>
      <c r="D1893" t="s">
        <v>1667</v>
      </c>
      <c r="E1893" t="s">
        <v>1672</v>
      </c>
      <c r="F1893" t="s">
        <v>1673</v>
      </c>
      <c r="G1893" t="s">
        <v>64</v>
      </c>
      <c r="H1893" t="s">
        <v>30</v>
      </c>
      <c r="I1893" t="s">
        <v>52</v>
      </c>
      <c r="J1893" t="s">
        <v>41</v>
      </c>
      <c r="K1893" t="s">
        <v>32</v>
      </c>
      <c r="L1893" t="s">
        <v>332</v>
      </c>
      <c r="M1893" t="s">
        <v>33</v>
      </c>
      <c r="N1893" t="s">
        <v>33</v>
      </c>
      <c r="O1893" t="s">
        <v>33</v>
      </c>
      <c r="P1893" t="s">
        <v>34</v>
      </c>
      <c r="Q1893" t="s">
        <v>35</v>
      </c>
      <c r="R1893" t="s">
        <v>162</v>
      </c>
      <c r="S1893" t="s">
        <v>30</v>
      </c>
      <c r="T1893" t="s">
        <v>1682</v>
      </c>
      <c r="U1893" t="s">
        <v>1683</v>
      </c>
      <c r="V1893" t="s">
        <v>40</v>
      </c>
      <c r="W1893" s="1">
        <v>4780000</v>
      </c>
    </row>
    <row r="1894" spans="1:23" x14ac:dyDescent="0.2">
      <c r="A1894" t="s">
        <v>23</v>
      </c>
      <c r="B1894" t="s">
        <v>1108</v>
      </c>
      <c r="C1894" t="s">
        <v>1495</v>
      </c>
      <c r="D1894" t="s">
        <v>1667</v>
      </c>
      <c r="E1894" t="s">
        <v>1672</v>
      </c>
      <c r="F1894" t="s">
        <v>1673</v>
      </c>
      <c r="G1894" t="s">
        <v>67</v>
      </c>
      <c r="H1894" t="s">
        <v>30</v>
      </c>
      <c r="I1894" t="s">
        <v>30</v>
      </c>
      <c r="J1894" t="s">
        <v>41</v>
      </c>
      <c r="K1894" t="s">
        <v>32</v>
      </c>
      <c r="L1894" t="s">
        <v>32</v>
      </c>
      <c r="M1894" t="s">
        <v>33</v>
      </c>
      <c r="N1894" t="s">
        <v>33</v>
      </c>
      <c r="O1894" t="s">
        <v>33</v>
      </c>
      <c r="P1894" t="s">
        <v>34</v>
      </c>
      <c r="Q1894" t="s">
        <v>35</v>
      </c>
      <c r="R1894" t="s">
        <v>294</v>
      </c>
      <c r="S1894" t="s">
        <v>30</v>
      </c>
      <c r="T1894" t="s">
        <v>1684</v>
      </c>
      <c r="U1894" t="s">
        <v>1685</v>
      </c>
      <c r="V1894" t="s">
        <v>39</v>
      </c>
      <c r="W1894" s="1">
        <v>2</v>
      </c>
    </row>
    <row r="1895" spans="1:23" x14ac:dyDescent="0.2">
      <c r="A1895" t="s">
        <v>23</v>
      </c>
      <c r="B1895" t="s">
        <v>1108</v>
      </c>
      <c r="C1895" t="s">
        <v>1495</v>
      </c>
      <c r="D1895" t="s">
        <v>1667</v>
      </c>
      <c r="E1895" t="s">
        <v>1672</v>
      </c>
      <c r="F1895" t="s">
        <v>1673</v>
      </c>
      <c r="G1895" t="s">
        <v>67</v>
      </c>
      <c r="H1895" t="s">
        <v>30</v>
      </c>
      <c r="I1895" t="s">
        <v>30</v>
      </c>
      <c r="J1895" t="s">
        <v>41</v>
      </c>
      <c r="K1895" t="s">
        <v>32</v>
      </c>
      <c r="L1895" t="s">
        <v>32</v>
      </c>
      <c r="M1895" t="s">
        <v>33</v>
      </c>
      <c r="N1895" t="s">
        <v>33</v>
      </c>
      <c r="O1895" t="s">
        <v>33</v>
      </c>
      <c r="P1895" t="s">
        <v>34</v>
      </c>
      <c r="Q1895" t="s">
        <v>35</v>
      </c>
      <c r="R1895" t="s">
        <v>294</v>
      </c>
      <c r="S1895" t="s">
        <v>30</v>
      </c>
      <c r="T1895" t="s">
        <v>1684</v>
      </c>
      <c r="U1895" t="s">
        <v>1685</v>
      </c>
      <c r="V1895" t="s">
        <v>40</v>
      </c>
      <c r="W1895" s="1">
        <v>2038000</v>
      </c>
    </row>
    <row r="1896" spans="1:23" x14ac:dyDescent="0.2">
      <c r="A1896" t="s">
        <v>23</v>
      </c>
      <c r="B1896" t="s">
        <v>1108</v>
      </c>
      <c r="C1896" t="s">
        <v>1495</v>
      </c>
      <c r="D1896" t="s">
        <v>1667</v>
      </c>
      <c r="E1896" t="s">
        <v>1672</v>
      </c>
      <c r="F1896" t="s">
        <v>1673</v>
      </c>
      <c r="G1896" t="s">
        <v>67</v>
      </c>
      <c r="H1896" t="s">
        <v>30</v>
      </c>
      <c r="I1896" t="s">
        <v>30</v>
      </c>
      <c r="J1896" t="s">
        <v>41</v>
      </c>
      <c r="K1896" t="s">
        <v>32</v>
      </c>
      <c r="L1896" t="s">
        <v>32</v>
      </c>
      <c r="M1896" t="s">
        <v>33</v>
      </c>
      <c r="N1896" t="s">
        <v>33</v>
      </c>
      <c r="O1896" t="s">
        <v>33</v>
      </c>
      <c r="P1896" t="s">
        <v>34</v>
      </c>
      <c r="Q1896" t="s">
        <v>35</v>
      </c>
      <c r="R1896" t="s">
        <v>54</v>
      </c>
      <c r="S1896" t="s">
        <v>30</v>
      </c>
      <c r="T1896" t="s">
        <v>1686</v>
      </c>
      <c r="U1896" t="s">
        <v>1687</v>
      </c>
      <c r="V1896" t="s">
        <v>39</v>
      </c>
      <c r="W1896" s="1">
        <v>4</v>
      </c>
    </row>
    <row r="1897" spans="1:23" x14ac:dyDescent="0.2">
      <c r="A1897" t="s">
        <v>23</v>
      </c>
      <c r="B1897" t="s">
        <v>1108</v>
      </c>
      <c r="C1897" t="s">
        <v>1495</v>
      </c>
      <c r="D1897" t="s">
        <v>1667</v>
      </c>
      <c r="E1897" t="s">
        <v>1672</v>
      </c>
      <c r="F1897" t="s">
        <v>1673</v>
      </c>
      <c r="G1897" t="s">
        <v>67</v>
      </c>
      <c r="H1897" t="s">
        <v>30</v>
      </c>
      <c r="I1897" t="s">
        <v>30</v>
      </c>
      <c r="J1897" t="s">
        <v>41</v>
      </c>
      <c r="K1897" t="s">
        <v>32</v>
      </c>
      <c r="L1897" t="s">
        <v>32</v>
      </c>
      <c r="M1897" t="s">
        <v>33</v>
      </c>
      <c r="N1897" t="s">
        <v>33</v>
      </c>
      <c r="O1897" t="s">
        <v>33</v>
      </c>
      <c r="P1897" t="s">
        <v>34</v>
      </c>
      <c r="Q1897" t="s">
        <v>35</v>
      </c>
      <c r="R1897" t="s">
        <v>54</v>
      </c>
      <c r="S1897" t="s">
        <v>30</v>
      </c>
      <c r="T1897" t="s">
        <v>1686</v>
      </c>
      <c r="U1897" t="s">
        <v>1687</v>
      </c>
      <c r="V1897" t="s">
        <v>40</v>
      </c>
      <c r="W1897" s="1">
        <v>2498400</v>
      </c>
    </row>
    <row r="1898" spans="1:23" x14ac:dyDescent="0.2">
      <c r="A1898" t="s">
        <v>23</v>
      </c>
      <c r="B1898" t="s">
        <v>1108</v>
      </c>
      <c r="C1898" t="s">
        <v>1495</v>
      </c>
      <c r="D1898" t="s">
        <v>1667</v>
      </c>
      <c r="E1898" t="s">
        <v>1672</v>
      </c>
      <c r="F1898" t="s">
        <v>1673</v>
      </c>
      <c r="G1898" t="s">
        <v>89</v>
      </c>
      <c r="H1898" t="s">
        <v>30</v>
      </c>
      <c r="I1898" t="s">
        <v>30</v>
      </c>
      <c r="J1898" t="s">
        <v>57</v>
      </c>
      <c r="K1898" t="s">
        <v>32</v>
      </c>
      <c r="L1898" t="s">
        <v>32</v>
      </c>
      <c r="M1898" t="s">
        <v>33</v>
      </c>
      <c r="N1898" t="s">
        <v>33</v>
      </c>
      <c r="O1898" t="s">
        <v>33</v>
      </c>
      <c r="P1898" t="s">
        <v>34</v>
      </c>
      <c r="Q1898" t="s">
        <v>35</v>
      </c>
      <c r="R1898" t="s">
        <v>124</v>
      </c>
      <c r="S1898" t="s">
        <v>30</v>
      </c>
      <c r="T1898" t="s">
        <v>1688</v>
      </c>
      <c r="U1898" t="s">
        <v>1689</v>
      </c>
      <c r="V1898" t="s">
        <v>39</v>
      </c>
      <c r="W1898" s="1">
        <v>2</v>
      </c>
    </row>
    <row r="1899" spans="1:23" x14ac:dyDescent="0.2">
      <c r="A1899" t="s">
        <v>23</v>
      </c>
      <c r="B1899" t="s">
        <v>1108</v>
      </c>
      <c r="C1899" t="s">
        <v>1495</v>
      </c>
      <c r="D1899" t="s">
        <v>1667</v>
      </c>
      <c r="E1899" t="s">
        <v>1672</v>
      </c>
      <c r="F1899" t="s">
        <v>1673</v>
      </c>
      <c r="G1899" t="s">
        <v>89</v>
      </c>
      <c r="H1899" t="s">
        <v>30</v>
      </c>
      <c r="I1899" t="s">
        <v>30</v>
      </c>
      <c r="J1899" t="s">
        <v>57</v>
      </c>
      <c r="K1899" t="s">
        <v>32</v>
      </c>
      <c r="L1899" t="s">
        <v>32</v>
      </c>
      <c r="M1899" t="s">
        <v>33</v>
      </c>
      <c r="N1899" t="s">
        <v>33</v>
      </c>
      <c r="O1899" t="s">
        <v>33</v>
      </c>
      <c r="P1899" t="s">
        <v>34</v>
      </c>
      <c r="Q1899" t="s">
        <v>35</v>
      </c>
      <c r="R1899" t="s">
        <v>124</v>
      </c>
      <c r="S1899" t="s">
        <v>30</v>
      </c>
      <c r="T1899" t="s">
        <v>1688</v>
      </c>
      <c r="U1899" t="s">
        <v>1689</v>
      </c>
      <c r="V1899" t="s">
        <v>40</v>
      </c>
      <c r="W1899" s="1">
        <v>2838000</v>
      </c>
    </row>
    <row r="1900" spans="1:23" x14ac:dyDescent="0.2">
      <c r="A1900" t="s">
        <v>23</v>
      </c>
      <c r="B1900" t="s">
        <v>1108</v>
      </c>
      <c r="C1900" t="s">
        <v>1495</v>
      </c>
      <c r="D1900" t="s">
        <v>1667</v>
      </c>
      <c r="E1900" t="s">
        <v>1672</v>
      </c>
      <c r="F1900" t="s">
        <v>1673</v>
      </c>
      <c r="G1900" t="s">
        <v>106</v>
      </c>
      <c r="H1900" t="s">
        <v>30</v>
      </c>
      <c r="I1900" t="s">
        <v>30</v>
      </c>
      <c r="J1900" t="s">
        <v>41</v>
      </c>
      <c r="K1900" t="s">
        <v>32</v>
      </c>
      <c r="L1900" t="s">
        <v>32</v>
      </c>
      <c r="M1900" t="s">
        <v>33</v>
      </c>
      <c r="N1900" t="s">
        <v>33</v>
      </c>
      <c r="O1900" t="s">
        <v>33</v>
      </c>
      <c r="P1900" t="s">
        <v>213</v>
      </c>
      <c r="Q1900" t="s">
        <v>214</v>
      </c>
      <c r="R1900" t="s">
        <v>54</v>
      </c>
      <c r="S1900" t="s">
        <v>30</v>
      </c>
      <c r="T1900" t="s">
        <v>1690</v>
      </c>
      <c r="U1900" t="s">
        <v>1691</v>
      </c>
      <c r="V1900" t="s">
        <v>39</v>
      </c>
      <c r="W1900" s="1">
        <v>2</v>
      </c>
    </row>
    <row r="1901" spans="1:23" x14ac:dyDescent="0.2">
      <c r="A1901" t="s">
        <v>23</v>
      </c>
      <c r="B1901" t="s">
        <v>1108</v>
      </c>
      <c r="C1901" t="s">
        <v>1495</v>
      </c>
      <c r="D1901" t="s">
        <v>1667</v>
      </c>
      <c r="E1901" t="s">
        <v>1672</v>
      </c>
      <c r="F1901" t="s">
        <v>1673</v>
      </c>
      <c r="G1901" t="s">
        <v>106</v>
      </c>
      <c r="H1901" t="s">
        <v>30</v>
      </c>
      <c r="I1901" t="s">
        <v>30</v>
      </c>
      <c r="J1901" t="s">
        <v>41</v>
      </c>
      <c r="K1901" t="s">
        <v>32</v>
      </c>
      <c r="L1901" t="s">
        <v>32</v>
      </c>
      <c r="M1901" t="s">
        <v>33</v>
      </c>
      <c r="N1901" t="s">
        <v>33</v>
      </c>
      <c r="O1901" t="s">
        <v>33</v>
      </c>
      <c r="P1901" t="s">
        <v>213</v>
      </c>
      <c r="Q1901" t="s">
        <v>214</v>
      </c>
      <c r="R1901" t="s">
        <v>54</v>
      </c>
      <c r="S1901" t="s">
        <v>30</v>
      </c>
      <c r="T1901" t="s">
        <v>1690</v>
      </c>
      <c r="U1901" t="s">
        <v>1691</v>
      </c>
      <c r="V1901" t="s">
        <v>40</v>
      </c>
      <c r="W1901" s="1">
        <v>3599800</v>
      </c>
    </row>
    <row r="1902" spans="1:23" x14ac:dyDescent="0.2">
      <c r="A1902" t="s">
        <v>23</v>
      </c>
      <c r="B1902" t="s">
        <v>1108</v>
      </c>
      <c r="C1902" t="s">
        <v>1495</v>
      </c>
      <c r="D1902" t="s">
        <v>1667</v>
      </c>
      <c r="E1902" t="s">
        <v>1672</v>
      </c>
      <c r="F1902" t="s">
        <v>1673</v>
      </c>
      <c r="G1902" t="s">
        <v>106</v>
      </c>
      <c r="H1902" t="s">
        <v>30</v>
      </c>
      <c r="I1902" t="s">
        <v>30</v>
      </c>
      <c r="J1902" t="s">
        <v>41</v>
      </c>
      <c r="K1902" t="s">
        <v>32</v>
      </c>
      <c r="L1902" t="s">
        <v>32</v>
      </c>
      <c r="M1902" t="s">
        <v>33</v>
      </c>
      <c r="N1902" t="s">
        <v>33</v>
      </c>
      <c r="O1902" t="s">
        <v>33</v>
      </c>
      <c r="P1902" t="s">
        <v>34</v>
      </c>
      <c r="Q1902" t="s">
        <v>35</v>
      </c>
      <c r="R1902" t="s">
        <v>54</v>
      </c>
      <c r="S1902" t="s">
        <v>30</v>
      </c>
      <c r="T1902" t="s">
        <v>1692</v>
      </c>
      <c r="U1902" t="s">
        <v>1693</v>
      </c>
      <c r="V1902" t="s">
        <v>39</v>
      </c>
      <c r="W1902" s="1">
        <v>2</v>
      </c>
    </row>
    <row r="1903" spans="1:23" x14ac:dyDescent="0.2">
      <c r="A1903" t="s">
        <v>23</v>
      </c>
      <c r="B1903" t="s">
        <v>1108</v>
      </c>
      <c r="C1903" t="s">
        <v>1495</v>
      </c>
      <c r="D1903" t="s">
        <v>1667</v>
      </c>
      <c r="E1903" t="s">
        <v>1672</v>
      </c>
      <c r="F1903" t="s">
        <v>1673</v>
      </c>
      <c r="G1903" t="s">
        <v>106</v>
      </c>
      <c r="H1903" t="s">
        <v>30</v>
      </c>
      <c r="I1903" t="s">
        <v>30</v>
      </c>
      <c r="J1903" t="s">
        <v>41</v>
      </c>
      <c r="K1903" t="s">
        <v>32</v>
      </c>
      <c r="L1903" t="s">
        <v>32</v>
      </c>
      <c r="M1903" t="s">
        <v>33</v>
      </c>
      <c r="N1903" t="s">
        <v>33</v>
      </c>
      <c r="O1903" t="s">
        <v>33</v>
      </c>
      <c r="P1903" t="s">
        <v>34</v>
      </c>
      <c r="Q1903" t="s">
        <v>35</v>
      </c>
      <c r="R1903" t="s">
        <v>54</v>
      </c>
      <c r="S1903" t="s">
        <v>30</v>
      </c>
      <c r="T1903" t="s">
        <v>1692</v>
      </c>
      <c r="U1903" t="s">
        <v>1693</v>
      </c>
      <c r="V1903" t="s">
        <v>40</v>
      </c>
      <c r="W1903" s="1">
        <v>2262200</v>
      </c>
    </row>
    <row r="1904" spans="1:23" x14ac:dyDescent="0.2">
      <c r="A1904" t="s">
        <v>23</v>
      </c>
      <c r="B1904" t="s">
        <v>1108</v>
      </c>
      <c r="C1904" t="s">
        <v>1495</v>
      </c>
      <c r="D1904" t="s">
        <v>1667</v>
      </c>
      <c r="E1904" t="s">
        <v>1672</v>
      </c>
      <c r="F1904" t="s">
        <v>1673</v>
      </c>
      <c r="G1904" t="s">
        <v>106</v>
      </c>
      <c r="H1904" t="s">
        <v>30</v>
      </c>
      <c r="I1904" t="s">
        <v>30</v>
      </c>
      <c r="J1904" t="s">
        <v>41</v>
      </c>
      <c r="K1904" t="s">
        <v>32</v>
      </c>
      <c r="L1904" t="s">
        <v>32</v>
      </c>
      <c r="M1904" t="s">
        <v>33</v>
      </c>
      <c r="P1904" t="s">
        <v>213</v>
      </c>
      <c r="Q1904" t="s">
        <v>214</v>
      </c>
      <c r="R1904" t="s">
        <v>54</v>
      </c>
      <c r="S1904" t="s">
        <v>52</v>
      </c>
      <c r="T1904" t="s">
        <v>1694</v>
      </c>
      <c r="U1904" t="s">
        <v>1695</v>
      </c>
      <c r="V1904" t="s">
        <v>39</v>
      </c>
      <c r="W1904" s="1">
        <v>0</v>
      </c>
    </row>
    <row r="1905" spans="1:23" x14ac:dyDescent="0.2">
      <c r="A1905" t="s">
        <v>23</v>
      </c>
      <c r="B1905" t="s">
        <v>1108</v>
      </c>
      <c r="C1905" t="s">
        <v>1495</v>
      </c>
      <c r="D1905" t="s">
        <v>1667</v>
      </c>
      <c r="E1905" t="s">
        <v>1672</v>
      </c>
      <c r="F1905" t="s">
        <v>1673</v>
      </c>
      <c r="G1905" t="s">
        <v>106</v>
      </c>
      <c r="H1905" t="s">
        <v>30</v>
      </c>
      <c r="I1905" t="s">
        <v>30</v>
      </c>
      <c r="J1905" t="s">
        <v>41</v>
      </c>
      <c r="K1905" t="s">
        <v>32</v>
      </c>
      <c r="L1905" t="s">
        <v>32</v>
      </c>
      <c r="M1905" t="s">
        <v>33</v>
      </c>
      <c r="P1905" t="s">
        <v>213</v>
      </c>
      <c r="Q1905" t="s">
        <v>214</v>
      </c>
      <c r="R1905" t="s">
        <v>54</v>
      </c>
      <c r="S1905" t="s">
        <v>52</v>
      </c>
      <c r="T1905" t="s">
        <v>1694</v>
      </c>
      <c r="U1905" t="s">
        <v>1695</v>
      </c>
      <c r="V1905" t="s">
        <v>40</v>
      </c>
      <c r="W1905" s="1">
        <v>27518000</v>
      </c>
    </row>
    <row r="1906" spans="1:23" x14ac:dyDescent="0.2">
      <c r="A1906" t="s">
        <v>23</v>
      </c>
      <c r="B1906" t="s">
        <v>1108</v>
      </c>
      <c r="C1906" t="s">
        <v>1495</v>
      </c>
      <c r="D1906" t="s">
        <v>1667</v>
      </c>
      <c r="E1906" t="s">
        <v>1672</v>
      </c>
      <c r="F1906" t="s">
        <v>1673</v>
      </c>
      <c r="G1906" t="s">
        <v>106</v>
      </c>
      <c r="H1906" t="s">
        <v>30</v>
      </c>
      <c r="I1906" t="s">
        <v>30</v>
      </c>
      <c r="J1906" t="s">
        <v>41</v>
      </c>
      <c r="K1906" t="s">
        <v>32</v>
      </c>
      <c r="L1906" t="s">
        <v>32</v>
      </c>
      <c r="M1906" t="s">
        <v>33</v>
      </c>
      <c r="P1906" t="s">
        <v>34</v>
      </c>
      <c r="Q1906" t="s">
        <v>35</v>
      </c>
      <c r="R1906" t="s">
        <v>54</v>
      </c>
      <c r="S1906" t="s">
        <v>52</v>
      </c>
      <c r="T1906" t="s">
        <v>1696</v>
      </c>
      <c r="U1906" t="s">
        <v>1697</v>
      </c>
      <c r="V1906" t="s">
        <v>39</v>
      </c>
      <c r="W1906" s="1">
        <v>0</v>
      </c>
    </row>
    <row r="1907" spans="1:23" x14ac:dyDescent="0.2">
      <c r="A1907" t="s">
        <v>23</v>
      </c>
      <c r="B1907" t="s">
        <v>1108</v>
      </c>
      <c r="C1907" t="s">
        <v>1495</v>
      </c>
      <c r="D1907" t="s">
        <v>1667</v>
      </c>
      <c r="E1907" t="s">
        <v>1672</v>
      </c>
      <c r="F1907" t="s">
        <v>1673</v>
      </c>
      <c r="G1907" t="s">
        <v>106</v>
      </c>
      <c r="H1907" t="s">
        <v>30</v>
      </c>
      <c r="I1907" t="s">
        <v>30</v>
      </c>
      <c r="J1907" t="s">
        <v>41</v>
      </c>
      <c r="K1907" t="s">
        <v>32</v>
      </c>
      <c r="L1907" t="s">
        <v>32</v>
      </c>
      <c r="M1907" t="s">
        <v>33</v>
      </c>
      <c r="P1907" t="s">
        <v>34</v>
      </c>
      <c r="Q1907" t="s">
        <v>35</v>
      </c>
      <c r="R1907" t="s">
        <v>54</v>
      </c>
      <c r="S1907" t="s">
        <v>52</v>
      </c>
      <c r="T1907" t="s">
        <v>1696</v>
      </c>
      <c r="U1907" t="s">
        <v>1697</v>
      </c>
      <c r="V1907" t="s">
        <v>40</v>
      </c>
      <c r="W1907" s="1">
        <v>3559800</v>
      </c>
    </row>
    <row r="1908" spans="1:23" x14ac:dyDescent="0.2">
      <c r="A1908" t="s">
        <v>23</v>
      </c>
      <c r="B1908" t="s">
        <v>1108</v>
      </c>
      <c r="C1908" t="s">
        <v>1495</v>
      </c>
      <c r="D1908" t="s">
        <v>1667</v>
      </c>
      <c r="E1908" t="s">
        <v>1672</v>
      </c>
      <c r="F1908" t="s">
        <v>1673</v>
      </c>
      <c r="G1908" t="s">
        <v>139</v>
      </c>
      <c r="H1908" t="s">
        <v>30</v>
      </c>
      <c r="I1908" t="s">
        <v>30</v>
      </c>
      <c r="J1908" t="s">
        <v>128</v>
      </c>
      <c r="K1908" t="s">
        <v>135</v>
      </c>
      <c r="L1908" t="s">
        <v>32</v>
      </c>
      <c r="M1908" t="s">
        <v>33</v>
      </c>
      <c r="N1908" t="s">
        <v>33</v>
      </c>
      <c r="O1908" t="s">
        <v>33</v>
      </c>
      <c r="P1908" t="s">
        <v>34</v>
      </c>
      <c r="Q1908" t="s">
        <v>35</v>
      </c>
      <c r="R1908" t="s">
        <v>136</v>
      </c>
      <c r="S1908" t="s">
        <v>30</v>
      </c>
      <c r="T1908" t="s">
        <v>1698</v>
      </c>
      <c r="U1908" t="s">
        <v>1699</v>
      </c>
      <c r="V1908" t="s">
        <v>39</v>
      </c>
      <c r="W1908" s="1">
        <v>2</v>
      </c>
    </row>
    <row r="1909" spans="1:23" x14ac:dyDescent="0.2">
      <c r="A1909" t="s">
        <v>23</v>
      </c>
      <c r="B1909" t="s">
        <v>1108</v>
      </c>
      <c r="C1909" t="s">
        <v>1495</v>
      </c>
      <c r="D1909" t="s">
        <v>1667</v>
      </c>
      <c r="E1909" t="s">
        <v>1672</v>
      </c>
      <c r="F1909" t="s">
        <v>1673</v>
      </c>
      <c r="G1909" t="s">
        <v>139</v>
      </c>
      <c r="H1909" t="s">
        <v>30</v>
      </c>
      <c r="I1909" t="s">
        <v>30</v>
      </c>
      <c r="J1909" t="s">
        <v>128</v>
      </c>
      <c r="K1909" t="s">
        <v>135</v>
      </c>
      <c r="L1909" t="s">
        <v>32</v>
      </c>
      <c r="M1909" t="s">
        <v>33</v>
      </c>
      <c r="N1909" t="s">
        <v>33</v>
      </c>
      <c r="O1909" t="s">
        <v>33</v>
      </c>
      <c r="P1909" t="s">
        <v>34</v>
      </c>
      <c r="Q1909" t="s">
        <v>35</v>
      </c>
      <c r="R1909" t="s">
        <v>136</v>
      </c>
      <c r="S1909" t="s">
        <v>30</v>
      </c>
      <c r="T1909" t="s">
        <v>1698</v>
      </c>
      <c r="U1909" t="s">
        <v>1699</v>
      </c>
      <c r="V1909" t="s">
        <v>40</v>
      </c>
      <c r="W1909" s="1">
        <v>1180800</v>
      </c>
    </row>
    <row r="1910" spans="1:23" x14ac:dyDescent="0.2">
      <c r="A1910" t="s">
        <v>23</v>
      </c>
      <c r="B1910" t="s">
        <v>1108</v>
      </c>
      <c r="C1910" t="s">
        <v>1495</v>
      </c>
      <c r="D1910" t="s">
        <v>1667</v>
      </c>
      <c r="E1910" t="s">
        <v>1672</v>
      </c>
      <c r="F1910" t="s">
        <v>1673</v>
      </c>
      <c r="G1910" t="s">
        <v>139</v>
      </c>
      <c r="H1910" t="s">
        <v>30</v>
      </c>
      <c r="I1910" t="s">
        <v>30</v>
      </c>
      <c r="J1910" t="s">
        <v>128</v>
      </c>
      <c r="K1910" t="s">
        <v>181</v>
      </c>
      <c r="L1910" t="s">
        <v>32</v>
      </c>
      <c r="M1910" t="s">
        <v>33</v>
      </c>
      <c r="N1910" t="s">
        <v>33</v>
      </c>
      <c r="O1910" t="s">
        <v>33</v>
      </c>
      <c r="P1910" t="s">
        <v>213</v>
      </c>
      <c r="Q1910" t="s">
        <v>214</v>
      </c>
      <c r="S1910" t="s">
        <v>30</v>
      </c>
      <c r="T1910" t="s">
        <v>1700</v>
      </c>
      <c r="U1910" t="s">
        <v>1701</v>
      </c>
      <c r="V1910" t="s">
        <v>39</v>
      </c>
      <c r="W1910" s="1">
        <v>1</v>
      </c>
    </row>
    <row r="1911" spans="1:23" x14ac:dyDescent="0.2">
      <c r="A1911" t="s">
        <v>23</v>
      </c>
      <c r="B1911" t="s">
        <v>1108</v>
      </c>
      <c r="C1911" t="s">
        <v>1495</v>
      </c>
      <c r="D1911" t="s">
        <v>1667</v>
      </c>
      <c r="E1911" t="s">
        <v>1672</v>
      </c>
      <c r="F1911" t="s">
        <v>1673</v>
      </c>
      <c r="G1911" t="s">
        <v>139</v>
      </c>
      <c r="H1911" t="s">
        <v>30</v>
      </c>
      <c r="I1911" t="s">
        <v>30</v>
      </c>
      <c r="J1911" t="s">
        <v>128</v>
      </c>
      <c r="K1911" t="s">
        <v>181</v>
      </c>
      <c r="L1911" t="s">
        <v>32</v>
      </c>
      <c r="M1911" t="s">
        <v>33</v>
      </c>
      <c r="N1911" t="s">
        <v>33</v>
      </c>
      <c r="O1911" t="s">
        <v>33</v>
      </c>
      <c r="P1911" t="s">
        <v>213</v>
      </c>
      <c r="Q1911" t="s">
        <v>214</v>
      </c>
      <c r="S1911" t="s">
        <v>30</v>
      </c>
      <c r="T1911" t="s">
        <v>1700</v>
      </c>
      <c r="U1911" t="s">
        <v>1701</v>
      </c>
      <c r="V1911" t="s">
        <v>40</v>
      </c>
      <c r="W1911" s="1">
        <v>1700000</v>
      </c>
    </row>
    <row r="1912" spans="1:23" x14ac:dyDescent="0.2">
      <c r="A1912" t="s">
        <v>23</v>
      </c>
      <c r="B1912" t="s">
        <v>1108</v>
      </c>
      <c r="C1912" t="s">
        <v>1495</v>
      </c>
      <c r="D1912" t="s">
        <v>1667</v>
      </c>
      <c r="E1912" t="s">
        <v>1672</v>
      </c>
      <c r="F1912" t="s">
        <v>1673</v>
      </c>
      <c r="G1912" t="s">
        <v>139</v>
      </c>
      <c r="H1912" t="s">
        <v>30</v>
      </c>
      <c r="I1912" t="s">
        <v>30</v>
      </c>
      <c r="J1912" t="s">
        <v>128</v>
      </c>
      <c r="K1912" t="s">
        <v>181</v>
      </c>
      <c r="L1912" t="s">
        <v>32</v>
      </c>
      <c r="M1912" t="s">
        <v>176</v>
      </c>
      <c r="N1912" t="s">
        <v>195</v>
      </c>
      <c r="O1912" t="s">
        <v>195</v>
      </c>
      <c r="P1912" t="s">
        <v>213</v>
      </c>
      <c r="Q1912" t="s">
        <v>214</v>
      </c>
      <c r="S1912" t="s">
        <v>30</v>
      </c>
      <c r="T1912" t="s">
        <v>1700</v>
      </c>
      <c r="U1912" t="s">
        <v>1701</v>
      </c>
      <c r="V1912" t="s">
        <v>39</v>
      </c>
      <c r="W1912" s="1">
        <v>2</v>
      </c>
    </row>
    <row r="1913" spans="1:23" x14ac:dyDescent="0.2">
      <c r="A1913" t="s">
        <v>23</v>
      </c>
      <c r="B1913" t="s">
        <v>1108</v>
      </c>
      <c r="C1913" t="s">
        <v>1495</v>
      </c>
      <c r="D1913" t="s">
        <v>1667</v>
      </c>
      <c r="E1913" t="s">
        <v>1672</v>
      </c>
      <c r="F1913" t="s">
        <v>1673</v>
      </c>
      <c r="G1913" t="s">
        <v>139</v>
      </c>
      <c r="H1913" t="s">
        <v>30</v>
      </c>
      <c r="I1913" t="s">
        <v>30</v>
      </c>
      <c r="J1913" t="s">
        <v>128</v>
      </c>
      <c r="K1913" t="s">
        <v>181</v>
      </c>
      <c r="L1913" t="s">
        <v>32</v>
      </c>
      <c r="M1913" t="s">
        <v>176</v>
      </c>
      <c r="N1913" t="s">
        <v>195</v>
      </c>
      <c r="O1913" t="s">
        <v>195</v>
      </c>
      <c r="P1913" t="s">
        <v>213</v>
      </c>
      <c r="Q1913" t="s">
        <v>214</v>
      </c>
      <c r="S1913" t="s">
        <v>30</v>
      </c>
      <c r="T1913" t="s">
        <v>1700</v>
      </c>
      <c r="U1913" t="s">
        <v>1701</v>
      </c>
      <c r="V1913" t="s">
        <v>40</v>
      </c>
      <c r="W1913" s="1">
        <v>0</v>
      </c>
    </row>
    <row r="1914" spans="1:23" x14ac:dyDescent="0.2">
      <c r="A1914" t="s">
        <v>23</v>
      </c>
      <c r="B1914" t="s">
        <v>1108</v>
      </c>
      <c r="C1914" t="s">
        <v>1495</v>
      </c>
      <c r="D1914" t="s">
        <v>1667</v>
      </c>
      <c r="E1914" t="s">
        <v>1702</v>
      </c>
      <c r="F1914" t="s">
        <v>1703</v>
      </c>
      <c r="G1914" t="s">
        <v>29</v>
      </c>
      <c r="H1914" t="s">
        <v>30</v>
      </c>
      <c r="I1914" t="s">
        <v>30</v>
      </c>
      <c r="J1914" t="s">
        <v>31</v>
      </c>
      <c r="K1914" t="s">
        <v>32</v>
      </c>
      <c r="L1914" t="s">
        <v>32</v>
      </c>
      <c r="M1914" t="s">
        <v>33</v>
      </c>
      <c r="P1914" t="s">
        <v>34</v>
      </c>
      <c r="Q1914" t="s">
        <v>35</v>
      </c>
      <c r="S1914" t="s">
        <v>52</v>
      </c>
      <c r="T1914" t="s">
        <v>1704</v>
      </c>
      <c r="U1914" t="s">
        <v>1705</v>
      </c>
      <c r="V1914" t="s">
        <v>39</v>
      </c>
      <c r="W1914" s="1">
        <v>0</v>
      </c>
    </row>
    <row r="1915" spans="1:23" x14ac:dyDescent="0.2">
      <c r="A1915" t="s">
        <v>23</v>
      </c>
      <c r="B1915" t="s">
        <v>1108</v>
      </c>
      <c r="C1915" t="s">
        <v>1495</v>
      </c>
      <c r="D1915" t="s">
        <v>1667</v>
      </c>
      <c r="E1915" t="s">
        <v>1702</v>
      </c>
      <c r="F1915" t="s">
        <v>1703</v>
      </c>
      <c r="G1915" t="s">
        <v>29</v>
      </c>
      <c r="H1915" t="s">
        <v>30</v>
      </c>
      <c r="I1915" t="s">
        <v>30</v>
      </c>
      <c r="J1915" t="s">
        <v>31</v>
      </c>
      <c r="K1915" t="s">
        <v>32</v>
      </c>
      <c r="L1915" t="s">
        <v>32</v>
      </c>
      <c r="M1915" t="s">
        <v>33</v>
      </c>
      <c r="P1915" t="s">
        <v>34</v>
      </c>
      <c r="Q1915" t="s">
        <v>35</v>
      </c>
      <c r="S1915" t="s">
        <v>52</v>
      </c>
      <c r="T1915" t="s">
        <v>1704</v>
      </c>
      <c r="U1915" t="s">
        <v>1705</v>
      </c>
      <c r="V1915" t="s">
        <v>40</v>
      </c>
      <c r="W1915" s="1">
        <v>9699000</v>
      </c>
    </row>
    <row r="1916" spans="1:23" x14ac:dyDescent="0.2">
      <c r="A1916" t="s">
        <v>23</v>
      </c>
      <c r="B1916" t="s">
        <v>1108</v>
      </c>
      <c r="C1916" t="s">
        <v>1495</v>
      </c>
      <c r="D1916" t="s">
        <v>1667</v>
      </c>
      <c r="E1916" t="s">
        <v>1702</v>
      </c>
      <c r="F1916" t="s">
        <v>1703</v>
      </c>
      <c r="G1916" t="s">
        <v>49</v>
      </c>
      <c r="H1916" t="s">
        <v>30</v>
      </c>
      <c r="I1916" t="s">
        <v>30</v>
      </c>
      <c r="J1916" t="s">
        <v>41</v>
      </c>
      <c r="K1916" t="s">
        <v>32</v>
      </c>
      <c r="L1916" t="s">
        <v>32</v>
      </c>
      <c r="M1916" t="s">
        <v>33</v>
      </c>
      <c r="N1916" t="s">
        <v>33</v>
      </c>
      <c r="O1916" t="s">
        <v>33</v>
      </c>
      <c r="P1916" t="s">
        <v>34</v>
      </c>
      <c r="Q1916" t="s">
        <v>35</v>
      </c>
      <c r="S1916" t="s">
        <v>30</v>
      </c>
      <c r="T1916" t="s">
        <v>1706</v>
      </c>
      <c r="U1916" t="s">
        <v>1707</v>
      </c>
      <c r="V1916" t="s">
        <v>39</v>
      </c>
      <c r="W1916" s="1">
        <v>6</v>
      </c>
    </row>
    <row r="1917" spans="1:23" x14ac:dyDescent="0.2">
      <c r="A1917" t="s">
        <v>23</v>
      </c>
      <c r="B1917" t="s">
        <v>1108</v>
      </c>
      <c r="C1917" t="s">
        <v>1495</v>
      </c>
      <c r="D1917" t="s">
        <v>1667</v>
      </c>
      <c r="E1917" t="s">
        <v>1702</v>
      </c>
      <c r="F1917" t="s">
        <v>1703</v>
      </c>
      <c r="G1917" t="s">
        <v>49</v>
      </c>
      <c r="H1917" t="s">
        <v>30</v>
      </c>
      <c r="I1917" t="s">
        <v>30</v>
      </c>
      <c r="J1917" t="s">
        <v>41</v>
      </c>
      <c r="K1917" t="s">
        <v>32</v>
      </c>
      <c r="L1917" t="s">
        <v>32</v>
      </c>
      <c r="M1917" t="s">
        <v>33</v>
      </c>
      <c r="N1917" t="s">
        <v>33</v>
      </c>
      <c r="O1917" t="s">
        <v>33</v>
      </c>
      <c r="P1917" t="s">
        <v>34</v>
      </c>
      <c r="Q1917" t="s">
        <v>35</v>
      </c>
      <c r="S1917" t="s">
        <v>30</v>
      </c>
      <c r="T1917" t="s">
        <v>1706</v>
      </c>
      <c r="U1917" t="s">
        <v>1707</v>
      </c>
      <c r="V1917" t="s">
        <v>40</v>
      </c>
      <c r="W1917" s="1">
        <v>5365200</v>
      </c>
    </row>
    <row r="1918" spans="1:23" x14ac:dyDescent="0.2">
      <c r="A1918" t="s">
        <v>23</v>
      </c>
      <c r="B1918" t="s">
        <v>1108</v>
      </c>
      <c r="C1918" t="s">
        <v>1495</v>
      </c>
      <c r="D1918" t="s">
        <v>1667</v>
      </c>
      <c r="E1918" t="s">
        <v>1702</v>
      </c>
      <c r="F1918" t="s">
        <v>1703</v>
      </c>
      <c r="G1918" t="s">
        <v>67</v>
      </c>
      <c r="H1918" t="s">
        <v>30</v>
      </c>
      <c r="I1918" t="s">
        <v>30</v>
      </c>
      <c r="J1918" t="s">
        <v>128</v>
      </c>
      <c r="K1918" t="s">
        <v>32</v>
      </c>
      <c r="L1918" t="s">
        <v>32</v>
      </c>
      <c r="M1918" t="s">
        <v>33</v>
      </c>
      <c r="N1918" t="s">
        <v>33</v>
      </c>
      <c r="O1918" t="s">
        <v>33</v>
      </c>
      <c r="P1918" t="s">
        <v>34</v>
      </c>
      <c r="Q1918" t="s">
        <v>35</v>
      </c>
      <c r="R1918" t="s">
        <v>129</v>
      </c>
      <c r="S1918" t="s">
        <v>30</v>
      </c>
      <c r="T1918" t="s">
        <v>1708</v>
      </c>
      <c r="U1918" t="s">
        <v>1709</v>
      </c>
      <c r="V1918" t="s">
        <v>39</v>
      </c>
      <c r="W1918" s="1">
        <v>4</v>
      </c>
    </row>
    <row r="1919" spans="1:23" x14ac:dyDescent="0.2">
      <c r="A1919" t="s">
        <v>23</v>
      </c>
      <c r="B1919" t="s">
        <v>1108</v>
      </c>
      <c r="C1919" t="s">
        <v>1495</v>
      </c>
      <c r="D1919" t="s">
        <v>1667</v>
      </c>
      <c r="E1919" t="s">
        <v>1702</v>
      </c>
      <c r="F1919" t="s">
        <v>1703</v>
      </c>
      <c r="G1919" t="s">
        <v>67</v>
      </c>
      <c r="H1919" t="s">
        <v>30</v>
      </c>
      <c r="I1919" t="s">
        <v>30</v>
      </c>
      <c r="J1919" t="s">
        <v>128</v>
      </c>
      <c r="K1919" t="s">
        <v>32</v>
      </c>
      <c r="L1919" t="s">
        <v>32</v>
      </c>
      <c r="M1919" t="s">
        <v>33</v>
      </c>
      <c r="N1919" t="s">
        <v>33</v>
      </c>
      <c r="O1919" t="s">
        <v>33</v>
      </c>
      <c r="P1919" t="s">
        <v>34</v>
      </c>
      <c r="Q1919" t="s">
        <v>35</v>
      </c>
      <c r="R1919" t="s">
        <v>129</v>
      </c>
      <c r="S1919" t="s">
        <v>30</v>
      </c>
      <c r="T1919" t="s">
        <v>1708</v>
      </c>
      <c r="U1919" t="s">
        <v>1709</v>
      </c>
      <c r="V1919" t="s">
        <v>40</v>
      </c>
      <c r="W1919" s="1">
        <v>696000</v>
      </c>
    </row>
    <row r="1920" spans="1:23" x14ac:dyDescent="0.2">
      <c r="A1920" t="s">
        <v>23</v>
      </c>
      <c r="B1920" t="s">
        <v>1108</v>
      </c>
      <c r="C1920" t="s">
        <v>1495</v>
      </c>
      <c r="D1920" t="s">
        <v>1667</v>
      </c>
      <c r="E1920" t="s">
        <v>1702</v>
      </c>
      <c r="F1920" t="s">
        <v>1703</v>
      </c>
      <c r="G1920" t="s">
        <v>106</v>
      </c>
      <c r="H1920" t="s">
        <v>30</v>
      </c>
      <c r="I1920" t="s">
        <v>30</v>
      </c>
      <c r="J1920" t="s">
        <v>128</v>
      </c>
      <c r="K1920" t="s">
        <v>32</v>
      </c>
      <c r="L1920" t="s">
        <v>32</v>
      </c>
      <c r="M1920" t="s">
        <v>33</v>
      </c>
      <c r="N1920" t="s">
        <v>33</v>
      </c>
      <c r="O1920" t="s">
        <v>33</v>
      </c>
      <c r="P1920" t="s">
        <v>34</v>
      </c>
      <c r="Q1920" t="s">
        <v>35</v>
      </c>
      <c r="R1920" t="s">
        <v>129</v>
      </c>
      <c r="S1920" t="s">
        <v>30</v>
      </c>
      <c r="T1920" t="s">
        <v>1710</v>
      </c>
      <c r="U1920" t="s">
        <v>1711</v>
      </c>
      <c r="V1920" t="s">
        <v>39</v>
      </c>
      <c r="W1920" s="1">
        <v>3</v>
      </c>
    </row>
    <row r="1921" spans="1:23" x14ac:dyDescent="0.2">
      <c r="A1921" t="s">
        <v>23</v>
      </c>
      <c r="B1921" t="s">
        <v>1108</v>
      </c>
      <c r="C1921" t="s">
        <v>1495</v>
      </c>
      <c r="D1921" t="s">
        <v>1667</v>
      </c>
      <c r="E1921" t="s">
        <v>1702</v>
      </c>
      <c r="F1921" t="s">
        <v>1703</v>
      </c>
      <c r="G1921" t="s">
        <v>106</v>
      </c>
      <c r="H1921" t="s">
        <v>30</v>
      </c>
      <c r="I1921" t="s">
        <v>30</v>
      </c>
      <c r="J1921" t="s">
        <v>128</v>
      </c>
      <c r="K1921" t="s">
        <v>32</v>
      </c>
      <c r="L1921" t="s">
        <v>32</v>
      </c>
      <c r="M1921" t="s">
        <v>33</v>
      </c>
      <c r="N1921" t="s">
        <v>33</v>
      </c>
      <c r="O1921" t="s">
        <v>33</v>
      </c>
      <c r="P1921" t="s">
        <v>34</v>
      </c>
      <c r="Q1921" t="s">
        <v>35</v>
      </c>
      <c r="R1921" t="s">
        <v>129</v>
      </c>
      <c r="S1921" t="s">
        <v>30</v>
      </c>
      <c r="T1921" t="s">
        <v>1710</v>
      </c>
      <c r="U1921" t="s">
        <v>1711</v>
      </c>
      <c r="V1921" t="s">
        <v>40</v>
      </c>
      <c r="W1921" s="1">
        <v>1227000</v>
      </c>
    </row>
    <row r="1922" spans="1:23" x14ac:dyDescent="0.2">
      <c r="A1922" t="s">
        <v>23</v>
      </c>
      <c r="B1922" t="s">
        <v>1108</v>
      </c>
      <c r="C1922" t="s">
        <v>1495</v>
      </c>
      <c r="D1922" t="s">
        <v>1667</v>
      </c>
      <c r="E1922" t="s">
        <v>1702</v>
      </c>
      <c r="F1922" t="s">
        <v>1703</v>
      </c>
      <c r="G1922" t="s">
        <v>106</v>
      </c>
      <c r="H1922" t="s">
        <v>30</v>
      </c>
      <c r="I1922" t="s">
        <v>30</v>
      </c>
      <c r="J1922" t="s">
        <v>128</v>
      </c>
      <c r="K1922" t="s">
        <v>32</v>
      </c>
      <c r="L1922" t="s">
        <v>32</v>
      </c>
      <c r="M1922" t="s">
        <v>33</v>
      </c>
      <c r="P1922" t="s">
        <v>34</v>
      </c>
      <c r="Q1922" t="s">
        <v>35</v>
      </c>
      <c r="R1922" t="s">
        <v>129</v>
      </c>
      <c r="S1922" t="s">
        <v>30</v>
      </c>
      <c r="T1922" t="s">
        <v>1710</v>
      </c>
      <c r="U1922" t="s">
        <v>1711</v>
      </c>
      <c r="V1922" t="s">
        <v>39</v>
      </c>
      <c r="W1922" s="1">
        <v>2</v>
      </c>
    </row>
    <row r="1923" spans="1:23" x14ac:dyDescent="0.2">
      <c r="A1923" t="s">
        <v>23</v>
      </c>
      <c r="B1923" t="s">
        <v>1108</v>
      </c>
      <c r="C1923" t="s">
        <v>1495</v>
      </c>
      <c r="D1923" t="s">
        <v>1667</v>
      </c>
      <c r="E1923" t="s">
        <v>1702</v>
      </c>
      <c r="F1923" t="s">
        <v>1703</v>
      </c>
      <c r="G1923" t="s">
        <v>106</v>
      </c>
      <c r="H1923" t="s">
        <v>30</v>
      </c>
      <c r="I1923" t="s">
        <v>30</v>
      </c>
      <c r="J1923" t="s">
        <v>128</v>
      </c>
      <c r="K1923" t="s">
        <v>32</v>
      </c>
      <c r="L1923" t="s">
        <v>32</v>
      </c>
      <c r="M1923" t="s">
        <v>33</v>
      </c>
      <c r="P1923" t="s">
        <v>34</v>
      </c>
      <c r="Q1923" t="s">
        <v>35</v>
      </c>
      <c r="R1923" t="s">
        <v>129</v>
      </c>
      <c r="S1923" t="s">
        <v>30</v>
      </c>
      <c r="T1923" t="s">
        <v>1710</v>
      </c>
      <c r="U1923" t="s">
        <v>1711</v>
      </c>
      <c r="V1923" t="s">
        <v>40</v>
      </c>
      <c r="W1923" s="1">
        <v>818000</v>
      </c>
    </row>
    <row r="1924" spans="1:23" x14ac:dyDescent="0.2">
      <c r="A1924" t="s">
        <v>23</v>
      </c>
      <c r="B1924" t="s">
        <v>1108</v>
      </c>
      <c r="C1924" t="s">
        <v>1495</v>
      </c>
      <c r="D1924" t="s">
        <v>1667</v>
      </c>
      <c r="E1924" t="s">
        <v>1702</v>
      </c>
      <c r="F1924" t="s">
        <v>1703</v>
      </c>
      <c r="G1924" t="s">
        <v>139</v>
      </c>
      <c r="H1924" t="s">
        <v>30</v>
      </c>
      <c r="I1924" t="s">
        <v>30</v>
      </c>
      <c r="J1924" t="s">
        <v>31</v>
      </c>
      <c r="K1924" t="s">
        <v>32</v>
      </c>
      <c r="L1924" t="s">
        <v>32</v>
      </c>
      <c r="M1924" t="s">
        <v>33</v>
      </c>
      <c r="P1924" t="s">
        <v>34</v>
      </c>
      <c r="Q1924" t="s">
        <v>35</v>
      </c>
      <c r="R1924" t="s">
        <v>184</v>
      </c>
      <c r="S1924" t="s">
        <v>30</v>
      </c>
      <c r="T1924" t="s">
        <v>1712</v>
      </c>
      <c r="U1924" t="s">
        <v>1713</v>
      </c>
      <c r="V1924" t="s">
        <v>39</v>
      </c>
      <c r="W1924" s="1">
        <v>3</v>
      </c>
    </row>
    <row r="1925" spans="1:23" x14ac:dyDescent="0.2">
      <c r="A1925" t="s">
        <v>23</v>
      </c>
      <c r="B1925" t="s">
        <v>1108</v>
      </c>
      <c r="C1925" t="s">
        <v>1495</v>
      </c>
      <c r="D1925" t="s">
        <v>1667</v>
      </c>
      <c r="E1925" t="s">
        <v>1702</v>
      </c>
      <c r="F1925" t="s">
        <v>1703</v>
      </c>
      <c r="G1925" t="s">
        <v>139</v>
      </c>
      <c r="H1925" t="s">
        <v>30</v>
      </c>
      <c r="I1925" t="s">
        <v>30</v>
      </c>
      <c r="J1925" t="s">
        <v>31</v>
      </c>
      <c r="K1925" t="s">
        <v>32</v>
      </c>
      <c r="L1925" t="s">
        <v>32</v>
      </c>
      <c r="M1925" t="s">
        <v>33</v>
      </c>
      <c r="P1925" t="s">
        <v>34</v>
      </c>
      <c r="Q1925" t="s">
        <v>35</v>
      </c>
      <c r="R1925" t="s">
        <v>184</v>
      </c>
      <c r="S1925" t="s">
        <v>30</v>
      </c>
      <c r="T1925" t="s">
        <v>1712</v>
      </c>
      <c r="U1925" t="s">
        <v>1713</v>
      </c>
      <c r="V1925" t="s">
        <v>40</v>
      </c>
      <c r="W1925" s="1">
        <v>2993100</v>
      </c>
    </row>
    <row r="1926" spans="1:23" x14ac:dyDescent="0.2">
      <c r="A1926" t="s">
        <v>23</v>
      </c>
      <c r="B1926" t="s">
        <v>1108</v>
      </c>
      <c r="C1926" t="s">
        <v>1495</v>
      </c>
      <c r="D1926" t="s">
        <v>1714</v>
      </c>
      <c r="E1926" t="s">
        <v>1715</v>
      </c>
      <c r="F1926" t="s">
        <v>1716</v>
      </c>
      <c r="G1926" t="s">
        <v>61</v>
      </c>
      <c r="H1926" t="s">
        <v>52</v>
      </c>
      <c r="I1926" t="s">
        <v>52</v>
      </c>
      <c r="J1926" t="s">
        <v>31</v>
      </c>
      <c r="K1926" t="s">
        <v>32</v>
      </c>
      <c r="L1926" t="s">
        <v>32</v>
      </c>
      <c r="M1926" t="s">
        <v>33</v>
      </c>
      <c r="N1926" t="s">
        <v>33</v>
      </c>
      <c r="O1926" t="s">
        <v>33</v>
      </c>
      <c r="P1926" t="s">
        <v>34</v>
      </c>
      <c r="Q1926" t="s">
        <v>35</v>
      </c>
      <c r="S1926" t="s">
        <v>30</v>
      </c>
      <c r="T1926" t="s">
        <v>1717</v>
      </c>
      <c r="U1926" t="s">
        <v>1718</v>
      </c>
      <c r="V1926" t="s">
        <v>39</v>
      </c>
      <c r="W1926" s="1">
        <v>1</v>
      </c>
    </row>
    <row r="1927" spans="1:23" x14ac:dyDescent="0.2">
      <c r="A1927" t="s">
        <v>23</v>
      </c>
      <c r="B1927" t="s">
        <v>1108</v>
      </c>
      <c r="C1927" t="s">
        <v>1495</v>
      </c>
      <c r="D1927" t="s">
        <v>1714</v>
      </c>
      <c r="E1927" t="s">
        <v>1715</v>
      </c>
      <c r="F1927" t="s">
        <v>1716</v>
      </c>
      <c r="G1927" t="s">
        <v>61</v>
      </c>
      <c r="H1927" t="s">
        <v>52</v>
      </c>
      <c r="I1927" t="s">
        <v>52</v>
      </c>
      <c r="J1927" t="s">
        <v>31</v>
      </c>
      <c r="K1927" t="s">
        <v>32</v>
      </c>
      <c r="L1927" t="s">
        <v>32</v>
      </c>
      <c r="M1927" t="s">
        <v>33</v>
      </c>
      <c r="N1927" t="s">
        <v>33</v>
      </c>
      <c r="O1927" t="s">
        <v>33</v>
      </c>
      <c r="P1927" t="s">
        <v>34</v>
      </c>
      <c r="Q1927" t="s">
        <v>35</v>
      </c>
      <c r="S1927" t="s">
        <v>30</v>
      </c>
      <c r="T1927" t="s">
        <v>1717</v>
      </c>
      <c r="U1927" t="s">
        <v>1718</v>
      </c>
      <c r="V1927" t="s">
        <v>40</v>
      </c>
      <c r="W1927" s="1">
        <v>1170100</v>
      </c>
    </row>
    <row r="1928" spans="1:23" x14ac:dyDescent="0.2">
      <c r="A1928" t="s">
        <v>23</v>
      </c>
      <c r="B1928" t="s">
        <v>1108</v>
      </c>
      <c r="C1928" t="s">
        <v>1495</v>
      </c>
      <c r="D1928" t="s">
        <v>1714</v>
      </c>
      <c r="E1928" t="s">
        <v>1715</v>
      </c>
      <c r="F1928" t="s">
        <v>1716</v>
      </c>
      <c r="G1928" t="s">
        <v>61</v>
      </c>
      <c r="H1928" t="s">
        <v>52</v>
      </c>
      <c r="I1928" t="s">
        <v>52</v>
      </c>
      <c r="J1928" t="s">
        <v>31</v>
      </c>
      <c r="K1928" t="s">
        <v>32</v>
      </c>
      <c r="L1928" t="s">
        <v>32</v>
      </c>
      <c r="M1928" t="s">
        <v>33</v>
      </c>
      <c r="P1928" t="s">
        <v>34</v>
      </c>
      <c r="Q1928" t="s">
        <v>35</v>
      </c>
      <c r="S1928" t="s">
        <v>30</v>
      </c>
      <c r="T1928" t="s">
        <v>1717</v>
      </c>
      <c r="U1928" t="s">
        <v>1718</v>
      </c>
      <c r="V1928" t="s">
        <v>39</v>
      </c>
      <c r="W1928" s="1">
        <v>7</v>
      </c>
    </row>
    <row r="1929" spans="1:23" x14ac:dyDescent="0.2">
      <c r="A1929" t="s">
        <v>23</v>
      </c>
      <c r="B1929" t="s">
        <v>1108</v>
      </c>
      <c r="C1929" t="s">
        <v>1495</v>
      </c>
      <c r="D1929" t="s">
        <v>1714</v>
      </c>
      <c r="E1929" t="s">
        <v>1715</v>
      </c>
      <c r="F1929" t="s">
        <v>1716</v>
      </c>
      <c r="G1929" t="s">
        <v>61</v>
      </c>
      <c r="H1929" t="s">
        <v>52</v>
      </c>
      <c r="I1929" t="s">
        <v>52</v>
      </c>
      <c r="J1929" t="s">
        <v>31</v>
      </c>
      <c r="K1929" t="s">
        <v>32</v>
      </c>
      <c r="L1929" t="s">
        <v>32</v>
      </c>
      <c r="M1929" t="s">
        <v>33</v>
      </c>
      <c r="P1929" t="s">
        <v>34</v>
      </c>
      <c r="Q1929" t="s">
        <v>35</v>
      </c>
      <c r="S1929" t="s">
        <v>30</v>
      </c>
      <c r="T1929" t="s">
        <v>1717</v>
      </c>
      <c r="U1929" t="s">
        <v>1718</v>
      </c>
      <c r="V1929" t="s">
        <v>40</v>
      </c>
      <c r="W1929" s="1">
        <v>8190700</v>
      </c>
    </row>
    <row r="1930" spans="1:23" x14ac:dyDescent="0.2">
      <c r="A1930" t="s">
        <v>23</v>
      </c>
      <c r="B1930" t="s">
        <v>1108</v>
      </c>
      <c r="C1930" t="s">
        <v>1495</v>
      </c>
      <c r="D1930" t="s">
        <v>1714</v>
      </c>
      <c r="E1930" t="s">
        <v>1715</v>
      </c>
      <c r="F1930" t="s">
        <v>1716</v>
      </c>
      <c r="G1930" t="s">
        <v>119</v>
      </c>
      <c r="H1930" t="s">
        <v>30</v>
      </c>
      <c r="I1930" t="s">
        <v>52</v>
      </c>
      <c r="J1930" t="s">
        <v>1719</v>
      </c>
      <c r="K1930" t="s">
        <v>1720</v>
      </c>
      <c r="L1930" t="s">
        <v>32</v>
      </c>
      <c r="M1930" t="s">
        <v>33</v>
      </c>
      <c r="N1930" t="s">
        <v>33</v>
      </c>
      <c r="O1930" t="s">
        <v>33</v>
      </c>
      <c r="P1930" t="s">
        <v>34</v>
      </c>
      <c r="Q1930" t="s">
        <v>35</v>
      </c>
      <c r="S1930" t="s">
        <v>30</v>
      </c>
      <c r="T1930" t="s">
        <v>1721</v>
      </c>
      <c r="U1930" t="s">
        <v>1722</v>
      </c>
      <c r="V1930" t="s">
        <v>39</v>
      </c>
      <c r="W1930" s="1">
        <v>4</v>
      </c>
    </row>
    <row r="1931" spans="1:23" x14ac:dyDescent="0.2">
      <c r="A1931" t="s">
        <v>23</v>
      </c>
      <c r="B1931" t="s">
        <v>1108</v>
      </c>
      <c r="C1931" t="s">
        <v>1495</v>
      </c>
      <c r="D1931" t="s">
        <v>1714</v>
      </c>
      <c r="E1931" t="s">
        <v>1715</v>
      </c>
      <c r="F1931" t="s">
        <v>1716</v>
      </c>
      <c r="G1931" t="s">
        <v>119</v>
      </c>
      <c r="H1931" t="s">
        <v>30</v>
      </c>
      <c r="I1931" t="s">
        <v>52</v>
      </c>
      <c r="J1931" t="s">
        <v>1719</v>
      </c>
      <c r="K1931" t="s">
        <v>1720</v>
      </c>
      <c r="L1931" t="s">
        <v>32</v>
      </c>
      <c r="M1931" t="s">
        <v>33</v>
      </c>
      <c r="N1931" t="s">
        <v>33</v>
      </c>
      <c r="O1931" t="s">
        <v>33</v>
      </c>
      <c r="P1931" t="s">
        <v>34</v>
      </c>
      <c r="Q1931" t="s">
        <v>35</v>
      </c>
      <c r="S1931" t="s">
        <v>30</v>
      </c>
      <c r="T1931" t="s">
        <v>1721</v>
      </c>
      <c r="U1931" t="s">
        <v>1722</v>
      </c>
      <c r="V1931" t="s">
        <v>40</v>
      </c>
      <c r="W1931" s="1">
        <v>5224000</v>
      </c>
    </row>
    <row r="1932" spans="1:23" x14ac:dyDescent="0.2">
      <c r="A1932" t="s">
        <v>23</v>
      </c>
      <c r="B1932" t="s">
        <v>1108</v>
      </c>
      <c r="C1932" t="s">
        <v>1495</v>
      </c>
      <c r="D1932" t="s">
        <v>1714</v>
      </c>
      <c r="E1932" t="s">
        <v>1715</v>
      </c>
      <c r="F1932" t="s">
        <v>1716</v>
      </c>
      <c r="G1932" t="s">
        <v>119</v>
      </c>
      <c r="H1932" t="s">
        <v>30</v>
      </c>
      <c r="I1932" t="s">
        <v>52</v>
      </c>
      <c r="J1932" t="s">
        <v>31</v>
      </c>
      <c r="K1932" t="s">
        <v>32</v>
      </c>
      <c r="L1932" t="s">
        <v>32</v>
      </c>
      <c r="M1932" t="s">
        <v>33</v>
      </c>
      <c r="P1932" t="s">
        <v>34</v>
      </c>
      <c r="Q1932" t="s">
        <v>35</v>
      </c>
      <c r="R1932" t="s">
        <v>151</v>
      </c>
      <c r="S1932" t="s">
        <v>52</v>
      </c>
      <c r="T1932" t="s">
        <v>1723</v>
      </c>
      <c r="U1932" t="s">
        <v>1724</v>
      </c>
      <c r="V1932" t="s">
        <v>39</v>
      </c>
      <c r="W1932" s="1">
        <v>0</v>
      </c>
    </row>
    <row r="1933" spans="1:23" x14ac:dyDescent="0.2">
      <c r="A1933" t="s">
        <v>23</v>
      </c>
      <c r="B1933" t="s">
        <v>1108</v>
      </c>
      <c r="C1933" t="s">
        <v>1495</v>
      </c>
      <c r="D1933" t="s">
        <v>1714</v>
      </c>
      <c r="E1933" t="s">
        <v>1715</v>
      </c>
      <c r="F1933" t="s">
        <v>1716</v>
      </c>
      <c r="G1933" t="s">
        <v>119</v>
      </c>
      <c r="H1933" t="s">
        <v>30</v>
      </c>
      <c r="I1933" t="s">
        <v>52</v>
      </c>
      <c r="J1933" t="s">
        <v>31</v>
      </c>
      <c r="K1933" t="s">
        <v>32</v>
      </c>
      <c r="L1933" t="s">
        <v>32</v>
      </c>
      <c r="M1933" t="s">
        <v>33</v>
      </c>
      <c r="P1933" t="s">
        <v>34</v>
      </c>
      <c r="Q1933" t="s">
        <v>35</v>
      </c>
      <c r="R1933" t="s">
        <v>151</v>
      </c>
      <c r="S1933" t="s">
        <v>52</v>
      </c>
      <c r="T1933" t="s">
        <v>1723</v>
      </c>
      <c r="U1933" t="s">
        <v>1724</v>
      </c>
      <c r="V1933" t="s">
        <v>40</v>
      </c>
      <c r="W1933" s="1">
        <v>12319200</v>
      </c>
    </row>
    <row r="1934" spans="1:23" x14ac:dyDescent="0.2">
      <c r="A1934" t="s">
        <v>23</v>
      </c>
      <c r="B1934" t="s">
        <v>1108</v>
      </c>
      <c r="C1934" t="s">
        <v>1725</v>
      </c>
      <c r="D1934" t="s">
        <v>1726</v>
      </c>
      <c r="E1934" t="s">
        <v>1727</v>
      </c>
      <c r="F1934" t="s">
        <v>1728</v>
      </c>
      <c r="G1934" t="s">
        <v>49</v>
      </c>
      <c r="H1934" t="s">
        <v>30</v>
      </c>
      <c r="I1934" t="s">
        <v>30</v>
      </c>
      <c r="J1934" t="s">
        <v>41</v>
      </c>
      <c r="K1934" t="s">
        <v>32</v>
      </c>
      <c r="L1934" t="s">
        <v>32</v>
      </c>
      <c r="M1934" t="s">
        <v>33</v>
      </c>
      <c r="P1934" t="s">
        <v>34</v>
      </c>
      <c r="Q1934" t="s">
        <v>35</v>
      </c>
      <c r="R1934" t="s">
        <v>162</v>
      </c>
      <c r="S1934" t="s">
        <v>52</v>
      </c>
      <c r="T1934" t="s">
        <v>1729</v>
      </c>
      <c r="U1934" t="s">
        <v>1730</v>
      </c>
      <c r="V1934" t="s">
        <v>39</v>
      </c>
      <c r="W1934" s="1">
        <v>0</v>
      </c>
    </row>
    <row r="1935" spans="1:23" x14ac:dyDescent="0.2">
      <c r="A1935" t="s">
        <v>23</v>
      </c>
      <c r="B1935" t="s">
        <v>1108</v>
      </c>
      <c r="C1935" t="s">
        <v>1725</v>
      </c>
      <c r="D1935" t="s">
        <v>1726</v>
      </c>
      <c r="E1935" t="s">
        <v>1727</v>
      </c>
      <c r="F1935" t="s">
        <v>1728</v>
      </c>
      <c r="G1935" t="s">
        <v>49</v>
      </c>
      <c r="H1935" t="s">
        <v>30</v>
      </c>
      <c r="I1935" t="s">
        <v>30</v>
      </c>
      <c r="J1935" t="s">
        <v>41</v>
      </c>
      <c r="K1935" t="s">
        <v>32</v>
      </c>
      <c r="L1935" t="s">
        <v>32</v>
      </c>
      <c r="M1935" t="s">
        <v>33</v>
      </c>
      <c r="P1935" t="s">
        <v>34</v>
      </c>
      <c r="Q1935" t="s">
        <v>35</v>
      </c>
      <c r="R1935" t="s">
        <v>162</v>
      </c>
      <c r="S1935" t="s">
        <v>52</v>
      </c>
      <c r="T1935" t="s">
        <v>1729</v>
      </c>
      <c r="U1935" t="s">
        <v>1730</v>
      </c>
      <c r="V1935" t="s">
        <v>40</v>
      </c>
      <c r="W1935" s="1">
        <v>9198000</v>
      </c>
    </row>
    <row r="1936" spans="1:23" x14ac:dyDescent="0.2">
      <c r="A1936" t="s">
        <v>23</v>
      </c>
      <c r="B1936" t="s">
        <v>1108</v>
      </c>
      <c r="C1936" t="s">
        <v>1725</v>
      </c>
      <c r="D1936" t="s">
        <v>1726</v>
      </c>
      <c r="E1936" t="s">
        <v>1727</v>
      </c>
      <c r="F1936" t="s">
        <v>1728</v>
      </c>
      <c r="G1936" t="s">
        <v>170</v>
      </c>
      <c r="H1936" t="s">
        <v>52</v>
      </c>
      <c r="I1936" t="s">
        <v>30</v>
      </c>
      <c r="J1936" t="s">
        <v>41</v>
      </c>
      <c r="K1936" t="s">
        <v>32</v>
      </c>
      <c r="L1936" t="s">
        <v>32</v>
      </c>
      <c r="M1936" t="s">
        <v>33</v>
      </c>
      <c r="N1936" t="s">
        <v>33</v>
      </c>
      <c r="O1936" t="s">
        <v>33</v>
      </c>
      <c r="P1936" t="s">
        <v>34</v>
      </c>
      <c r="Q1936" t="s">
        <v>35</v>
      </c>
      <c r="S1936" t="s">
        <v>30</v>
      </c>
      <c r="T1936" t="s">
        <v>1731</v>
      </c>
      <c r="U1936" t="s">
        <v>1732</v>
      </c>
      <c r="V1936" t="s">
        <v>39</v>
      </c>
      <c r="W1936" s="1">
        <v>2</v>
      </c>
    </row>
    <row r="1937" spans="1:23" x14ac:dyDescent="0.2">
      <c r="A1937" t="s">
        <v>23</v>
      </c>
      <c r="B1937" t="s">
        <v>1108</v>
      </c>
      <c r="C1937" t="s">
        <v>1725</v>
      </c>
      <c r="D1937" t="s">
        <v>1726</v>
      </c>
      <c r="E1937" t="s">
        <v>1727</v>
      </c>
      <c r="F1937" t="s">
        <v>1728</v>
      </c>
      <c r="G1937" t="s">
        <v>170</v>
      </c>
      <c r="H1937" t="s">
        <v>52</v>
      </c>
      <c r="I1937" t="s">
        <v>30</v>
      </c>
      <c r="J1937" t="s">
        <v>41</v>
      </c>
      <c r="K1937" t="s">
        <v>32</v>
      </c>
      <c r="L1937" t="s">
        <v>32</v>
      </c>
      <c r="M1937" t="s">
        <v>33</v>
      </c>
      <c r="N1937" t="s">
        <v>33</v>
      </c>
      <c r="O1937" t="s">
        <v>33</v>
      </c>
      <c r="P1937" t="s">
        <v>34</v>
      </c>
      <c r="Q1937" t="s">
        <v>35</v>
      </c>
      <c r="S1937" t="s">
        <v>30</v>
      </c>
      <c r="T1937" t="s">
        <v>1731</v>
      </c>
      <c r="U1937" t="s">
        <v>1732</v>
      </c>
      <c r="V1937" t="s">
        <v>40</v>
      </c>
      <c r="W1937" s="1">
        <v>2759800</v>
      </c>
    </row>
    <row r="1938" spans="1:23" x14ac:dyDescent="0.2">
      <c r="A1938" t="s">
        <v>23</v>
      </c>
      <c r="B1938" t="s">
        <v>1108</v>
      </c>
      <c r="C1938" t="s">
        <v>1725</v>
      </c>
      <c r="D1938" t="s">
        <v>1726</v>
      </c>
      <c r="E1938" t="s">
        <v>1727</v>
      </c>
      <c r="F1938" t="s">
        <v>1728</v>
      </c>
      <c r="G1938" t="s">
        <v>170</v>
      </c>
      <c r="H1938" t="s">
        <v>52</v>
      </c>
      <c r="I1938" t="s">
        <v>30</v>
      </c>
      <c r="J1938" t="s">
        <v>356</v>
      </c>
      <c r="K1938" t="s">
        <v>357</v>
      </c>
      <c r="L1938" t="s">
        <v>32</v>
      </c>
      <c r="M1938" t="s">
        <v>33</v>
      </c>
      <c r="N1938" t="s">
        <v>33</v>
      </c>
      <c r="O1938" t="s">
        <v>33</v>
      </c>
      <c r="P1938" t="s">
        <v>34</v>
      </c>
      <c r="Q1938" t="s">
        <v>35</v>
      </c>
      <c r="S1938" t="s">
        <v>30</v>
      </c>
      <c r="T1938" t="s">
        <v>1733</v>
      </c>
      <c r="U1938" t="s">
        <v>1734</v>
      </c>
      <c r="V1938" t="s">
        <v>39</v>
      </c>
      <c r="W1938" s="1">
        <v>2</v>
      </c>
    </row>
    <row r="1939" spans="1:23" x14ac:dyDescent="0.2">
      <c r="A1939" t="s">
        <v>23</v>
      </c>
      <c r="B1939" t="s">
        <v>1108</v>
      </c>
      <c r="C1939" t="s">
        <v>1725</v>
      </c>
      <c r="D1939" t="s">
        <v>1726</v>
      </c>
      <c r="E1939" t="s">
        <v>1727</v>
      </c>
      <c r="F1939" t="s">
        <v>1728</v>
      </c>
      <c r="G1939" t="s">
        <v>170</v>
      </c>
      <c r="H1939" t="s">
        <v>52</v>
      </c>
      <c r="I1939" t="s">
        <v>30</v>
      </c>
      <c r="J1939" t="s">
        <v>356</v>
      </c>
      <c r="K1939" t="s">
        <v>357</v>
      </c>
      <c r="L1939" t="s">
        <v>32</v>
      </c>
      <c r="M1939" t="s">
        <v>33</v>
      </c>
      <c r="N1939" t="s">
        <v>33</v>
      </c>
      <c r="O1939" t="s">
        <v>33</v>
      </c>
      <c r="P1939" t="s">
        <v>34</v>
      </c>
      <c r="Q1939" t="s">
        <v>35</v>
      </c>
      <c r="S1939" t="s">
        <v>30</v>
      </c>
      <c r="T1939" t="s">
        <v>1733</v>
      </c>
      <c r="U1939" t="s">
        <v>1734</v>
      </c>
      <c r="V1939" t="s">
        <v>40</v>
      </c>
      <c r="W1939" s="1">
        <v>10160000</v>
      </c>
    </row>
    <row r="1940" spans="1:23" x14ac:dyDescent="0.2">
      <c r="A1940" t="s">
        <v>23</v>
      </c>
      <c r="B1940" t="s">
        <v>1108</v>
      </c>
      <c r="C1940" t="s">
        <v>1725</v>
      </c>
      <c r="D1940" t="s">
        <v>1726</v>
      </c>
      <c r="E1940" t="s">
        <v>1727</v>
      </c>
      <c r="F1940" t="s">
        <v>1728</v>
      </c>
      <c r="G1940" t="s">
        <v>64</v>
      </c>
      <c r="H1940" t="s">
        <v>30</v>
      </c>
      <c r="I1940" t="s">
        <v>52</v>
      </c>
      <c r="J1940" t="s">
        <v>41</v>
      </c>
      <c r="K1940" t="s">
        <v>32</v>
      </c>
      <c r="L1940" t="s">
        <v>32</v>
      </c>
      <c r="M1940" t="s">
        <v>33</v>
      </c>
      <c r="N1940" t="s">
        <v>33</v>
      </c>
      <c r="O1940" t="s">
        <v>33</v>
      </c>
      <c r="P1940" t="s">
        <v>34</v>
      </c>
      <c r="Q1940" t="s">
        <v>35</v>
      </c>
      <c r="R1940" t="s">
        <v>162</v>
      </c>
      <c r="S1940" t="s">
        <v>30</v>
      </c>
      <c r="T1940" t="s">
        <v>1729</v>
      </c>
      <c r="U1940" t="s">
        <v>1735</v>
      </c>
      <c r="V1940" t="s">
        <v>39</v>
      </c>
      <c r="W1940" s="1">
        <v>2</v>
      </c>
    </row>
    <row r="1941" spans="1:23" x14ac:dyDescent="0.2">
      <c r="A1941" t="s">
        <v>23</v>
      </c>
      <c r="B1941" t="s">
        <v>1108</v>
      </c>
      <c r="C1941" t="s">
        <v>1725</v>
      </c>
      <c r="D1941" t="s">
        <v>1726</v>
      </c>
      <c r="E1941" t="s">
        <v>1727</v>
      </c>
      <c r="F1941" t="s">
        <v>1728</v>
      </c>
      <c r="G1941" t="s">
        <v>64</v>
      </c>
      <c r="H1941" t="s">
        <v>30</v>
      </c>
      <c r="I1941" t="s">
        <v>52</v>
      </c>
      <c r="J1941" t="s">
        <v>41</v>
      </c>
      <c r="K1941" t="s">
        <v>32</v>
      </c>
      <c r="L1941" t="s">
        <v>32</v>
      </c>
      <c r="M1941" t="s">
        <v>33</v>
      </c>
      <c r="N1941" t="s">
        <v>33</v>
      </c>
      <c r="O1941" t="s">
        <v>33</v>
      </c>
      <c r="P1941" t="s">
        <v>34</v>
      </c>
      <c r="Q1941" t="s">
        <v>35</v>
      </c>
      <c r="R1941" t="s">
        <v>162</v>
      </c>
      <c r="S1941" t="s">
        <v>30</v>
      </c>
      <c r="T1941" t="s">
        <v>1729</v>
      </c>
      <c r="U1941" t="s">
        <v>1735</v>
      </c>
      <c r="V1941" t="s">
        <v>40</v>
      </c>
      <c r="W1941" s="1">
        <v>8798000</v>
      </c>
    </row>
    <row r="1942" spans="1:23" x14ac:dyDescent="0.2">
      <c r="A1942" t="s">
        <v>23</v>
      </c>
      <c r="B1942" t="s">
        <v>1108</v>
      </c>
      <c r="C1942" t="s">
        <v>1725</v>
      </c>
      <c r="D1942" t="s">
        <v>1726</v>
      </c>
      <c r="E1942" t="s">
        <v>1727</v>
      </c>
      <c r="F1942" t="s">
        <v>1728</v>
      </c>
      <c r="G1942" t="s">
        <v>64</v>
      </c>
      <c r="H1942" t="s">
        <v>30</v>
      </c>
      <c r="I1942" t="s">
        <v>52</v>
      </c>
      <c r="J1942" t="s">
        <v>41</v>
      </c>
      <c r="K1942" t="s">
        <v>32</v>
      </c>
      <c r="L1942" t="s">
        <v>32</v>
      </c>
      <c r="M1942" t="s">
        <v>33</v>
      </c>
      <c r="P1942" t="s">
        <v>34</v>
      </c>
      <c r="Q1942" t="s">
        <v>35</v>
      </c>
      <c r="R1942" t="s">
        <v>162</v>
      </c>
      <c r="S1942" t="s">
        <v>52</v>
      </c>
      <c r="T1942" t="s">
        <v>1729</v>
      </c>
      <c r="U1942" t="s">
        <v>1736</v>
      </c>
      <c r="V1942" t="s">
        <v>39</v>
      </c>
      <c r="W1942" s="1">
        <v>0</v>
      </c>
    </row>
    <row r="1943" spans="1:23" x14ac:dyDescent="0.2">
      <c r="A1943" t="s">
        <v>23</v>
      </c>
      <c r="B1943" t="s">
        <v>1108</v>
      </c>
      <c r="C1943" t="s">
        <v>1725</v>
      </c>
      <c r="D1943" t="s">
        <v>1726</v>
      </c>
      <c r="E1943" t="s">
        <v>1727</v>
      </c>
      <c r="F1943" t="s">
        <v>1728</v>
      </c>
      <c r="G1943" t="s">
        <v>64</v>
      </c>
      <c r="H1943" t="s">
        <v>30</v>
      </c>
      <c r="I1943" t="s">
        <v>52</v>
      </c>
      <c r="J1943" t="s">
        <v>41</v>
      </c>
      <c r="K1943" t="s">
        <v>32</v>
      </c>
      <c r="L1943" t="s">
        <v>32</v>
      </c>
      <c r="M1943" t="s">
        <v>33</v>
      </c>
      <c r="P1943" t="s">
        <v>34</v>
      </c>
      <c r="Q1943" t="s">
        <v>35</v>
      </c>
      <c r="R1943" t="s">
        <v>162</v>
      </c>
      <c r="S1943" t="s">
        <v>52</v>
      </c>
      <c r="T1943" t="s">
        <v>1729</v>
      </c>
      <c r="U1943" t="s">
        <v>1736</v>
      </c>
      <c r="V1943" t="s">
        <v>40</v>
      </c>
      <c r="W1943" s="1">
        <v>4599000</v>
      </c>
    </row>
    <row r="1944" spans="1:23" x14ac:dyDescent="0.2">
      <c r="A1944" t="s">
        <v>23</v>
      </c>
      <c r="B1944" t="s">
        <v>1108</v>
      </c>
      <c r="C1944" t="s">
        <v>1725</v>
      </c>
      <c r="D1944" t="s">
        <v>1726</v>
      </c>
      <c r="E1944" t="s">
        <v>1727</v>
      </c>
      <c r="F1944" t="s">
        <v>1728</v>
      </c>
      <c r="G1944" t="s">
        <v>67</v>
      </c>
      <c r="H1944" t="s">
        <v>30</v>
      </c>
      <c r="I1944" t="s">
        <v>30</v>
      </c>
      <c r="J1944" t="s">
        <v>128</v>
      </c>
      <c r="K1944" t="s">
        <v>32</v>
      </c>
      <c r="L1944" t="s">
        <v>32</v>
      </c>
      <c r="M1944" t="s">
        <v>33</v>
      </c>
      <c r="N1944" t="s">
        <v>33</v>
      </c>
      <c r="O1944" t="s">
        <v>33</v>
      </c>
      <c r="P1944" t="s">
        <v>34</v>
      </c>
      <c r="Q1944" t="s">
        <v>35</v>
      </c>
      <c r="R1944" t="s">
        <v>129</v>
      </c>
      <c r="S1944" t="s">
        <v>30</v>
      </c>
      <c r="T1944" t="s">
        <v>1737</v>
      </c>
      <c r="U1944" t="s">
        <v>1738</v>
      </c>
      <c r="V1944" t="s">
        <v>39</v>
      </c>
      <c r="W1944" s="1">
        <v>4</v>
      </c>
    </row>
    <row r="1945" spans="1:23" x14ac:dyDescent="0.2">
      <c r="A1945" t="s">
        <v>23</v>
      </c>
      <c r="B1945" t="s">
        <v>1108</v>
      </c>
      <c r="C1945" t="s">
        <v>1725</v>
      </c>
      <c r="D1945" t="s">
        <v>1726</v>
      </c>
      <c r="E1945" t="s">
        <v>1727</v>
      </c>
      <c r="F1945" t="s">
        <v>1728</v>
      </c>
      <c r="G1945" t="s">
        <v>67</v>
      </c>
      <c r="H1945" t="s">
        <v>30</v>
      </c>
      <c r="I1945" t="s">
        <v>30</v>
      </c>
      <c r="J1945" t="s">
        <v>128</v>
      </c>
      <c r="K1945" t="s">
        <v>32</v>
      </c>
      <c r="L1945" t="s">
        <v>32</v>
      </c>
      <c r="M1945" t="s">
        <v>33</v>
      </c>
      <c r="N1945" t="s">
        <v>33</v>
      </c>
      <c r="O1945" t="s">
        <v>33</v>
      </c>
      <c r="P1945" t="s">
        <v>34</v>
      </c>
      <c r="Q1945" t="s">
        <v>35</v>
      </c>
      <c r="R1945" t="s">
        <v>129</v>
      </c>
      <c r="S1945" t="s">
        <v>30</v>
      </c>
      <c r="T1945" t="s">
        <v>1737</v>
      </c>
      <c r="U1945" t="s">
        <v>1738</v>
      </c>
      <c r="V1945" t="s">
        <v>40</v>
      </c>
      <c r="W1945" s="1">
        <v>1796000</v>
      </c>
    </row>
    <row r="1946" spans="1:23" x14ac:dyDescent="0.2">
      <c r="A1946" t="s">
        <v>23</v>
      </c>
      <c r="B1946" t="s">
        <v>1108</v>
      </c>
      <c r="C1946" t="s">
        <v>1725</v>
      </c>
      <c r="D1946" t="s">
        <v>1726</v>
      </c>
      <c r="E1946" t="s">
        <v>1727</v>
      </c>
      <c r="F1946" t="s">
        <v>1728</v>
      </c>
      <c r="G1946" t="s">
        <v>67</v>
      </c>
      <c r="H1946" t="s">
        <v>30</v>
      </c>
      <c r="I1946" t="s">
        <v>30</v>
      </c>
      <c r="J1946" t="s">
        <v>31</v>
      </c>
      <c r="K1946" t="s">
        <v>32</v>
      </c>
      <c r="L1946" t="s">
        <v>32</v>
      </c>
      <c r="M1946" t="s">
        <v>33</v>
      </c>
      <c r="P1946" t="s">
        <v>34</v>
      </c>
      <c r="Q1946" t="s">
        <v>35</v>
      </c>
      <c r="S1946" t="s">
        <v>30</v>
      </c>
      <c r="T1946" t="s">
        <v>1739</v>
      </c>
      <c r="U1946" t="s">
        <v>1740</v>
      </c>
      <c r="V1946" t="s">
        <v>39</v>
      </c>
      <c r="W1946" s="1">
        <v>4</v>
      </c>
    </row>
    <row r="1947" spans="1:23" x14ac:dyDescent="0.2">
      <c r="A1947" t="s">
        <v>23</v>
      </c>
      <c r="B1947" t="s">
        <v>1108</v>
      </c>
      <c r="C1947" t="s">
        <v>1725</v>
      </c>
      <c r="D1947" t="s">
        <v>1726</v>
      </c>
      <c r="E1947" t="s">
        <v>1727</v>
      </c>
      <c r="F1947" t="s">
        <v>1728</v>
      </c>
      <c r="G1947" t="s">
        <v>67</v>
      </c>
      <c r="H1947" t="s">
        <v>30</v>
      </c>
      <c r="I1947" t="s">
        <v>30</v>
      </c>
      <c r="J1947" t="s">
        <v>31</v>
      </c>
      <c r="K1947" t="s">
        <v>32</v>
      </c>
      <c r="L1947" t="s">
        <v>32</v>
      </c>
      <c r="M1947" t="s">
        <v>33</v>
      </c>
      <c r="P1947" t="s">
        <v>34</v>
      </c>
      <c r="Q1947" t="s">
        <v>35</v>
      </c>
      <c r="S1947" t="s">
        <v>30</v>
      </c>
      <c r="T1947" t="s">
        <v>1739</v>
      </c>
      <c r="U1947" t="s">
        <v>1740</v>
      </c>
      <c r="V1947" t="s">
        <v>40</v>
      </c>
      <c r="W1947" s="1">
        <v>4080800</v>
      </c>
    </row>
    <row r="1948" spans="1:23" x14ac:dyDescent="0.2">
      <c r="A1948" t="s">
        <v>23</v>
      </c>
      <c r="B1948" t="s">
        <v>1108</v>
      </c>
      <c r="C1948" t="s">
        <v>1725</v>
      </c>
      <c r="D1948" t="s">
        <v>1726</v>
      </c>
      <c r="E1948" t="s">
        <v>1727</v>
      </c>
      <c r="F1948" t="s">
        <v>1728</v>
      </c>
      <c r="G1948" t="s">
        <v>67</v>
      </c>
      <c r="H1948" t="s">
        <v>30</v>
      </c>
      <c r="I1948" t="s">
        <v>30</v>
      </c>
      <c r="J1948" t="s">
        <v>41</v>
      </c>
      <c r="K1948" t="s">
        <v>32</v>
      </c>
      <c r="L1948" t="s">
        <v>32</v>
      </c>
      <c r="M1948" t="s">
        <v>33</v>
      </c>
      <c r="N1948" t="s">
        <v>33</v>
      </c>
      <c r="O1948" t="s">
        <v>33</v>
      </c>
      <c r="P1948" t="s">
        <v>34</v>
      </c>
      <c r="Q1948" t="s">
        <v>35</v>
      </c>
      <c r="R1948" t="s">
        <v>54</v>
      </c>
      <c r="S1948" t="s">
        <v>30</v>
      </c>
      <c r="T1948" t="s">
        <v>1741</v>
      </c>
      <c r="U1948" t="s">
        <v>1742</v>
      </c>
      <c r="V1948" t="s">
        <v>39</v>
      </c>
      <c r="W1948" s="1">
        <v>3</v>
      </c>
    </row>
    <row r="1949" spans="1:23" x14ac:dyDescent="0.2">
      <c r="A1949" t="s">
        <v>23</v>
      </c>
      <c r="B1949" t="s">
        <v>1108</v>
      </c>
      <c r="C1949" t="s">
        <v>1725</v>
      </c>
      <c r="D1949" t="s">
        <v>1726</v>
      </c>
      <c r="E1949" t="s">
        <v>1727</v>
      </c>
      <c r="F1949" t="s">
        <v>1728</v>
      </c>
      <c r="G1949" t="s">
        <v>67</v>
      </c>
      <c r="H1949" t="s">
        <v>30</v>
      </c>
      <c r="I1949" t="s">
        <v>30</v>
      </c>
      <c r="J1949" t="s">
        <v>41</v>
      </c>
      <c r="K1949" t="s">
        <v>32</v>
      </c>
      <c r="L1949" t="s">
        <v>32</v>
      </c>
      <c r="M1949" t="s">
        <v>33</v>
      </c>
      <c r="N1949" t="s">
        <v>33</v>
      </c>
      <c r="O1949" t="s">
        <v>33</v>
      </c>
      <c r="P1949" t="s">
        <v>34</v>
      </c>
      <c r="Q1949" t="s">
        <v>35</v>
      </c>
      <c r="R1949" t="s">
        <v>54</v>
      </c>
      <c r="S1949" t="s">
        <v>30</v>
      </c>
      <c r="T1949" t="s">
        <v>1741</v>
      </c>
      <c r="U1949" t="s">
        <v>1742</v>
      </c>
      <c r="V1949" t="s">
        <v>40</v>
      </c>
      <c r="W1949" s="1">
        <v>5697000</v>
      </c>
    </row>
    <row r="1950" spans="1:23" x14ac:dyDescent="0.2">
      <c r="A1950" t="s">
        <v>23</v>
      </c>
      <c r="B1950" t="s">
        <v>1108</v>
      </c>
      <c r="C1950" t="s">
        <v>1725</v>
      </c>
      <c r="D1950" t="s">
        <v>1726</v>
      </c>
      <c r="E1950" t="s">
        <v>1727</v>
      </c>
      <c r="F1950" t="s">
        <v>1728</v>
      </c>
      <c r="G1950" t="s">
        <v>106</v>
      </c>
      <c r="H1950" t="s">
        <v>30</v>
      </c>
      <c r="I1950" t="s">
        <v>30</v>
      </c>
      <c r="J1950" t="s">
        <v>31</v>
      </c>
      <c r="K1950" t="s">
        <v>32</v>
      </c>
      <c r="L1950" t="s">
        <v>32</v>
      </c>
      <c r="M1950" t="s">
        <v>33</v>
      </c>
      <c r="N1950" t="s">
        <v>33</v>
      </c>
      <c r="O1950" t="s">
        <v>33</v>
      </c>
      <c r="P1950" t="s">
        <v>34</v>
      </c>
      <c r="Q1950" t="s">
        <v>35</v>
      </c>
      <c r="R1950" t="s">
        <v>173</v>
      </c>
      <c r="S1950" t="s">
        <v>30</v>
      </c>
      <c r="T1950" t="s">
        <v>1514</v>
      </c>
      <c r="U1950" t="s">
        <v>1743</v>
      </c>
      <c r="V1950" t="s">
        <v>39</v>
      </c>
      <c r="W1950" s="1">
        <v>1</v>
      </c>
    </row>
    <row r="1951" spans="1:23" x14ac:dyDescent="0.2">
      <c r="A1951" t="s">
        <v>23</v>
      </c>
      <c r="B1951" t="s">
        <v>1108</v>
      </c>
      <c r="C1951" t="s">
        <v>1725</v>
      </c>
      <c r="D1951" t="s">
        <v>1726</v>
      </c>
      <c r="E1951" t="s">
        <v>1727</v>
      </c>
      <c r="F1951" t="s">
        <v>1728</v>
      </c>
      <c r="G1951" t="s">
        <v>106</v>
      </c>
      <c r="H1951" t="s">
        <v>30</v>
      </c>
      <c r="I1951" t="s">
        <v>30</v>
      </c>
      <c r="J1951" t="s">
        <v>31</v>
      </c>
      <c r="K1951" t="s">
        <v>32</v>
      </c>
      <c r="L1951" t="s">
        <v>32</v>
      </c>
      <c r="M1951" t="s">
        <v>33</v>
      </c>
      <c r="N1951" t="s">
        <v>33</v>
      </c>
      <c r="O1951" t="s">
        <v>33</v>
      </c>
      <c r="P1951" t="s">
        <v>34</v>
      </c>
      <c r="Q1951" t="s">
        <v>35</v>
      </c>
      <c r="R1951" t="s">
        <v>173</v>
      </c>
      <c r="S1951" t="s">
        <v>30</v>
      </c>
      <c r="T1951" t="s">
        <v>1514</v>
      </c>
      <c r="U1951" t="s">
        <v>1743</v>
      </c>
      <c r="V1951" t="s">
        <v>40</v>
      </c>
      <c r="W1951" s="1">
        <v>899900</v>
      </c>
    </row>
    <row r="1952" spans="1:23" x14ac:dyDescent="0.2">
      <c r="A1952" t="s">
        <v>23</v>
      </c>
      <c r="B1952" t="s">
        <v>1108</v>
      </c>
      <c r="C1952" t="s">
        <v>1725</v>
      </c>
      <c r="D1952" t="s">
        <v>1726</v>
      </c>
      <c r="E1952" t="s">
        <v>1727</v>
      </c>
      <c r="F1952" t="s">
        <v>1728</v>
      </c>
      <c r="G1952" t="s">
        <v>106</v>
      </c>
      <c r="H1952" t="s">
        <v>30</v>
      </c>
      <c r="I1952" t="s">
        <v>30</v>
      </c>
      <c r="J1952" t="s">
        <v>31</v>
      </c>
      <c r="K1952" t="s">
        <v>32</v>
      </c>
      <c r="L1952" t="s">
        <v>32</v>
      </c>
      <c r="M1952" t="s">
        <v>33</v>
      </c>
      <c r="P1952" t="s">
        <v>34</v>
      </c>
      <c r="Q1952" t="s">
        <v>35</v>
      </c>
      <c r="R1952" t="s">
        <v>173</v>
      </c>
      <c r="S1952" t="s">
        <v>30</v>
      </c>
      <c r="T1952" t="s">
        <v>1514</v>
      </c>
      <c r="U1952" t="s">
        <v>1743</v>
      </c>
      <c r="V1952" t="s">
        <v>39</v>
      </c>
      <c r="W1952" s="1">
        <v>1</v>
      </c>
    </row>
    <row r="1953" spans="1:23" x14ac:dyDescent="0.2">
      <c r="A1953" t="s">
        <v>23</v>
      </c>
      <c r="B1953" t="s">
        <v>1108</v>
      </c>
      <c r="C1953" t="s">
        <v>1725</v>
      </c>
      <c r="D1953" t="s">
        <v>1726</v>
      </c>
      <c r="E1953" t="s">
        <v>1727</v>
      </c>
      <c r="F1953" t="s">
        <v>1728</v>
      </c>
      <c r="G1953" t="s">
        <v>106</v>
      </c>
      <c r="H1953" t="s">
        <v>30</v>
      </c>
      <c r="I1953" t="s">
        <v>30</v>
      </c>
      <c r="J1953" t="s">
        <v>31</v>
      </c>
      <c r="K1953" t="s">
        <v>32</v>
      </c>
      <c r="L1953" t="s">
        <v>32</v>
      </c>
      <c r="M1953" t="s">
        <v>33</v>
      </c>
      <c r="P1953" t="s">
        <v>34</v>
      </c>
      <c r="Q1953" t="s">
        <v>35</v>
      </c>
      <c r="R1953" t="s">
        <v>173</v>
      </c>
      <c r="S1953" t="s">
        <v>30</v>
      </c>
      <c r="T1953" t="s">
        <v>1514</v>
      </c>
      <c r="U1953" t="s">
        <v>1743</v>
      </c>
      <c r="V1953" t="s">
        <v>40</v>
      </c>
      <c r="W1953" s="1">
        <v>899900</v>
      </c>
    </row>
    <row r="1954" spans="1:23" x14ac:dyDescent="0.2">
      <c r="A1954" t="s">
        <v>23</v>
      </c>
      <c r="B1954" t="s">
        <v>1108</v>
      </c>
      <c r="C1954" t="s">
        <v>1725</v>
      </c>
      <c r="D1954" t="s">
        <v>1726</v>
      </c>
      <c r="E1954" t="s">
        <v>1727</v>
      </c>
      <c r="F1954" t="s">
        <v>1728</v>
      </c>
      <c r="G1954" t="s">
        <v>106</v>
      </c>
      <c r="H1954" t="s">
        <v>30</v>
      </c>
      <c r="I1954" t="s">
        <v>30</v>
      </c>
      <c r="J1954" t="s">
        <v>31</v>
      </c>
      <c r="K1954" t="s">
        <v>32</v>
      </c>
      <c r="L1954" t="s">
        <v>32</v>
      </c>
      <c r="M1954" t="s">
        <v>176</v>
      </c>
      <c r="N1954" t="s">
        <v>176</v>
      </c>
      <c r="O1954" t="s">
        <v>176</v>
      </c>
      <c r="P1954" t="s">
        <v>34</v>
      </c>
      <c r="Q1954" t="s">
        <v>35</v>
      </c>
      <c r="R1954" t="s">
        <v>173</v>
      </c>
      <c r="S1954" t="s">
        <v>30</v>
      </c>
      <c r="T1954" t="s">
        <v>1514</v>
      </c>
      <c r="U1954" t="s">
        <v>1743</v>
      </c>
      <c r="V1954" t="s">
        <v>39</v>
      </c>
      <c r="W1954" s="1">
        <v>1</v>
      </c>
    </row>
    <row r="1955" spans="1:23" x14ac:dyDescent="0.2">
      <c r="A1955" t="s">
        <v>23</v>
      </c>
      <c r="B1955" t="s">
        <v>1108</v>
      </c>
      <c r="C1955" t="s">
        <v>1725</v>
      </c>
      <c r="D1955" t="s">
        <v>1726</v>
      </c>
      <c r="E1955" t="s">
        <v>1727</v>
      </c>
      <c r="F1955" t="s">
        <v>1728</v>
      </c>
      <c r="G1955" t="s">
        <v>106</v>
      </c>
      <c r="H1955" t="s">
        <v>30</v>
      </c>
      <c r="I1955" t="s">
        <v>30</v>
      </c>
      <c r="J1955" t="s">
        <v>31</v>
      </c>
      <c r="K1955" t="s">
        <v>32</v>
      </c>
      <c r="L1955" t="s">
        <v>32</v>
      </c>
      <c r="M1955" t="s">
        <v>176</v>
      </c>
      <c r="N1955" t="s">
        <v>176</v>
      </c>
      <c r="O1955" t="s">
        <v>176</v>
      </c>
      <c r="P1955" t="s">
        <v>34</v>
      </c>
      <c r="Q1955" t="s">
        <v>35</v>
      </c>
      <c r="R1955" t="s">
        <v>173</v>
      </c>
      <c r="S1955" t="s">
        <v>30</v>
      </c>
      <c r="T1955" t="s">
        <v>1514</v>
      </c>
      <c r="U1955" t="s">
        <v>1743</v>
      </c>
      <c r="V1955" t="s">
        <v>40</v>
      </c>
      <c r="W1955" s="1">
        <v>899900</v>
      </c>
    </row>
    <row r="1956" spans="1:23" x14ac:dyDescent="0.2">
      <c r="A1956" t="s">
        <v>23</v>
      </c>
      <c r="B1956" t="s">
        <v>1108</v>
      </c>
      <c r="C1956" t="s">
        <v>1725</v>
      </c>
      <c r="D1956" t="s">
        <v>1726</v>
      </c>
      <c r="E1956" t="s">
        <v>1727</v>
      </c>
      <c r="F1956" t="s">
        <v>1728</v>
      </c>
      <c r="G1956" t="s">
        <v>106</v>
      </c>
      <c r="H1956" t="s">
        <v>30</v>
      </c>
      <c r="I1956" t="s">
        <v>30</v>
      </c>
      <c r="J1956" t="s">
        <v>41</v>
      </c>
      <c r="K1956" t="s">
        <v>32</v>
      </c>
      <c r="L1956" t="s">
        <v>32</v>
      </c>
      <c r="M1956" t="s">
        <v>33</v>
      </c>
      <c r="P1956" t="s">
        <v>34</v>
      </c>
      <c r="Q1956" t="s">
        <v>35</v>
      </c>
      <c r="R1956" t="s">
        <v>96</v>
      </c>
      <c r="S1956" t="s">
        <v>30</v>
      </c>
      <c r="T1956" t="s">
        <v>1744</v>
      </c>
      <c r="U1956" t="s">
        <v>1745</v>
      </c>
      <c r="V1956" t="s">
        <v>39</v>
      </c>
      <c r="W1956" s="1">
        <v>2</v>
      </c>
    </row>
    <row r="1957" spans="1:23" x14ac:dyDescent="0.2">
      <c r="A1957" t="s">
        <v>23</v>
      </c>
      <c r="B1957" t="s">
        <v>1108</v>
      </c>
      <c r="C1957" t="s">
        <v>1725</v>
      </c>
      <c r="D1957" t="s">
        <v>1726</v>
      </c>
      <c r="E1957" t="s">
        <v>1727</v>
      </c>
      <c r="F1957" t="s">
        <v>1728</v>
      </c>
      <c r="G1957" t="s">
        <v>106</v>
      </c>
      <c r="H1957" t="s">
        <v>30</v>
      </c>
      <c r="I1957" t="s">
        <v>30</v>
      </c>
      <c r="J1957" t="s">
        <v>41</v>
      </c>
      <c r="K1957" t="s">
        <v>32</v>
      </c>
      <c r="L1957" t="s">
        <v>32</v>
      </c>
      <c r="M1957" t="s">
        <v>33</v>
      </c>
      <c r="P1957" t="s">
        <v>34</v>
      </c>
      <c r="Q1957" t="s">
        <v>35</v>
      </c>
      <c r="R1957" t="s">
        <v>96</v>
      </c>
      <c r="S1957" t="s">
        <v>30</v>
      </c>
      <c r="T1957" t="s">
        <v>1744</v>
      </c>
      <c r="U1957" t="s">
        <v>1745</v>
      </c>
      <c r="V1957" t="s">
        <v>40</v>
      </c>
      <c r="W1957" s="1">
        <v>8945800</v>
      </c>
    </row>
    <row r="1958" spans="1:23" x14ac:dyDescent="0.2">
      <c r="A1958" t="s">
        <v>23</v>
      </c>
      <c r="B1958" t="s">
        <v>1108</v>
      </c>
      <c r="C1958" t="s">
        <v>1725</v>
      </c>
      <c r="D1958" t="s">
        <v>1726</v>
      </c>
      <c r="E1958" t="s">
        <v>1727</v>
      </c>
      <c r="F1958" t="s">
        <v>1728</v>
      </c>
      <c r="G1958" t="s">
        <v>127</v>
      </c>
      <c r="H1958" t="s">
        <v>52</v>
      </c>
      <c r="I1958" t="s">
        <v>30</v>
      </c>
      <c r="J1958" t="s">
        <v>41</v>
      </c>
      <c r="K1958" t="s">
        <v>32</v>
      </c>
      <c r="L1958" t="s">
        <v>32</v>
      </c>
      <c r="M1958" t="s">
        <v>33</v>
      </c>
      <c r="P1958" t="s">
        <v>34</v>
      </c>
      <c r="Q1958" t="s">
        <v>35</v>
      </c>
      <c r="S1958" t="s">
        <v>30</v>
      </c>
      <c r="T1958" t="s">
        <v>1746</v>
      </c>
      <c r="U1958" t="s">
        <v>1747</v>
      </c>
      <c r="V1958" t="s">
        <v>39</v>
      </c>
      <c r="W1958" s="1">
        <v>1</v>
      </c>
    </row>
    <row r="1959" spans="1:23" x14ac:dyDescent="0.2">
      <c r="A1959" t="s">
        <v>23</v>
      </c>
      <c r="B1959" t="s">
        <v>1108</v>
      </c>
      <c r="C1959" t="s">
        <v>1725</v>
      </c>
      <c r="D1959" t="s">
        <v>1726</v>
      </c>
      <c r="E1959" t="s">
        <v>1727</v>
      </c>
      <c r="F1959" t="s">
        <v>1728</v>
      </c>
      <c r="G1959" t="s">
        <v>127</v>
      </c>
      <c r="H1959" t="s">
        <v>52</v>
      </c>
      <c r="I1959" t="s">
        <v>30</v>
      </c>
      <c r="J1959" t="s">
        <v>41</v>
      </c>
      <c r="K1959" t="s">
        <v>32</v>
      </c>
      <c r="L1959" t="s">
        <v>32</v>
      </c>
      <c r="M1959" t="s">
        <v>33</v>
      </c>
      <c r="P1959" t="s">
        <v>34</v>
      </c>
      <c r="Q1959" t="s">
        <v>35</v>
      </c>
      <c r="S1959" t="s">
        <v>30</v>
      </c>
      <c r="T1959" t="s">
        <v>1746</v>
      </c>
      <c r="U1959" t="s">
        <v>1747</v>
      </c>
      <c r="V1959" t="s">
        <v>40</v>
      </c>
      <c r="W1959" s="1">
        <v>5555400</v>
      </c>
    </row>
    <row r="1960" spans="1:23" x14ac:dyDescent="0.2">
      <c r="A1960" t="s">
        <v>23</v>
      </c>
      <c r="B1960" t="s">
        <v>1108</v>
      </c>
      <c r="C1960" t="s">
        <v>1725</v>
      </c>
      <c r="D1960" t="s">
        <v>1726</v>
      </c>
      <c r="E1960" t="s">
        <v>1727</v>
      </c>
      <c r="F1960" t="s">
        <v>1728</v>
      </c>
      <c r="G1960" t="s">
        <v>127</v>
      </c>
      <c r="H1960" t="s">
        <v>52</v>
      </c>
      <c r="I1960" t="s">
        <v>30</v>
      </c>
      <c r="J1960" t="s">
        <v>41</v>
      </c>
      <c r="K1960" t="s">
        <v>32</v>
      </c>
      <c r="L1960" t="s">
        <v>32</v>
      </c>
      <c r="M1960" t="s">
        <v>176</v>
      </c>
      <c r="N1960" t="s">
        <v>195</v>
      </c>
      <c r="O1960" t="s">
        <v>195</v>
      </c>
      <c r="P1960" t="s">
        <v>34</v>
      </c>
      <c r="Q1960" t="s">
        <v>35</v>
      </c>
      <c r="S1960" t="s">
        <v>30</v>
      </c>
      <c r="T1960" t="s">
        <v>1746</v>
      </c>
      <c r="U1960" t="s">
        <v>1747</v>
      </c>
      <c r="V1960" t="s">
        <v>39</v>
      </c>
      <c r="W1960" s="1">
        <v>1</v>
      </c>
    </row>
    <row r="1961" spans="1:23" x14ac:dyDescent="0.2">
      <c r="A1961" t="s">
        <v>23</v>
      </c>
      <c r="B1961" t="s">
        <v>1108</v>
      </c>
      <c r="C1961" t="s">
        <v>1725</v>
      </c>
      <c r="D1961" t="s">
        <v>1726</v>
      </c>
      <c r="E1961" t="s">
        <v>1727</v>
      </c>
      <c r="F1961" t="s">
        <v>1728</v>
      </c>
      <c r="G1961" t="s">
        <v>127</v>
      </c>
      <c r="H1961" t="s">
        <v>52</v>
      </c>
      <c r="I1961" t="s">
        <v>30</v>
      </c>
      <c r="J1961" t="s">
        <v>41</v>
      </c>
      <c r="K1961" t="s">
        <v>32</v>
      </c>
      <c r="L1961" t="s">
        <v>32</v>
      </c>
      <c r="M1961" t="s">
        <v>176</v>
      </c>
      <c r="N1961" t="s">
        <v>195</v>
      </c>
      <c r="O1961" t="s">
        <v>195</v>
      </c>
      <c r="P1961" t="s">
        <v>34</v>
      </c>
      <c r="Q1961" t="s">
        <v>35</v>
      </c>
      <c r="S1961" t="s">
        <v>30</v>
      </c>
      <c r="T1961" t="s">
        <v>1746</v>
      </c>
      <c r="U1961" t="s">
        <v>1747</v>
      </c>
      <c r="V1961" t="s">
        <v>40</v>
      </c>
      <c r="W1961" s="1">
        <v>4992300</v>
      </c>
    </row>
    <row r="1962" spans="1:23" x14ac:dyDescent="0.2">
      <c r="A1962" t="s">
        <v>23</v>
      </c>
      <c r="B1962" t="s">
        <v>1108</v>
      </c>
      <c r="C1962" t="s">
        <v>1725</v>
      </c>
      <c r="D1962" t="s">
        <v>1726</v>
      </c>
      <c r="E1962" t="s">
        <v>1727</v>
      </c>
      <c r="F1962" t="s">
        <v>1728</v>
      </c>
      <c r="G1962" t="s">
        <v>134</v>
      </c>
      <c r="H1962" t="s">
        <v>52</v>
      </c>
      <c r="I1962" t="s">
        <v>30</v>
      </c>
      <c r="J1962" t="s">
        <v>107</v>
      </c>
      <c r="K1962" t="s">
        <v>32</v>
      </c>
      <c r="L1962" t="s">
        <v>32</v>
      </c>
      <c r="M1962" t="s">
        <v>33</v>
      </c>
      <c r="P1962" t="s">
        <v>34</v>
      </c>
      <c r="Q1962" t="s">
        <v>35</v>
      </c>
      <c r="R1962" t="s">
        <v>108</v>
      </c>
      <c r="S1962" t="s">
        <v>30</v>
      </c>
      <c r="T1962" t="s">
        <v>810</v>
      </c>
      <c r="U1962" t="s">
        <v>1748</v>
      </c>
      <c r="V1962" t="s">
        <v>39</v>
      </c>
      <c r="W1962" s="1">
        <v>2</v>
      </c>
    </row>
    <row r="1963" spans="1:23" x14ac:dyDescent="0.2">
      <c r="A1963" t="s">
        <v>23</v>
      </c>
      <c r="B1963" t="s">
        <v>1108</v>
      </c>
      <c r="C1963" t="s">
        <v>1725</v>
      </c>
      <c r="D1963" t="s">
        <v>1726</v>
      </c>
      <c r="E1963" t="s">
        <v>1727</v>
      </c>
      <c r="F1963" t="s">
        <v>1728</v>
      </c>
      <c r="G1963" t="s">
        <v>134</v>
      </c>
      <c r="H1963" t="s">
        <v>52</v>
      </c>
      <c r="I1963" t="s">
        <v>30</v>
      </c>
      <c r="J1963" t="s">
        <v>107</v>
      </c>
      <c r="K1963" t="s">
        <v>32</v>
      </c>
      <c r="L1963" t="s">
        <v>32</v>
      </c>
      <c r="M1963" t="s">
        <v>33</v>
      </c>
      <c r="P1963" t="s">
        <v>34</v>
      </c>
      <c r="Q1963" t="s">
        <v>35</v>
      </c>
      <c r="R1963" t="s">
        <v>108</v>
      </c>
      <c r="S1963" t="s">
        <v>30</v>
      </c>
      <c r="T1963" t="s">
        <v>810</v>
      </c>
      <c r="U1963" t="s">
        <v>1748</v>
      </c>
      <c r="V1963" t="s">
        <v>40</v>
      </c>
      <c r="W1963" s="1">
        <v>1560000</v>
      </c>
    </row>
    <row r="1964" spans="1:23" x14ac:dyDescent="0.2">
      <c r="A1964" t="s">
        <v>23</v>
      </c>
      <c r="B1964" t="s">
        <v>1108</v>
      </c>
      <c r="C1964" t="s">
        <v>1725</v>
      </c>
      <c r="D1964" t="s">
        <v>1726</v>
      </c>
      <c r="E1964" t="s">
        <v>1727</v>
      </c>
      <c r="F1964" t="s">
        <v>1728</v>
      </c>
      <c r="G1964" t="s">
        <v>139</v>
      </c>
      <c r="H1964" t="s">
        <v>30</v>
      </c>
      <c r="I1964" t="s">
        <v>30</v>
      </c>
      <c r="J1964" t="s">
        <v>31</v>
      </c>
      <c r="K1964" t="s">
        <v>32</v>
      </c>
      <c r="L1964" t="s">
        <v>32</v>
      </c>
      <c r="M1964" t="s">
        <v>33</v>
      </c>
      <c r="N1964" t="s">
        <v>33</v>
      </c>
      <c r="O1964" t="s">
        <v>33</v>
      </c>
      <c r="P1964" t="s">
        <v>34</v>
      </c>
      <c r="Q1964" t="s">
        <v>35</v>
      </c>
      <c r="S1964" t="s">
        <v>30</v>
      </c>
      <c r="T1964" t="s">
        <v>1749</v>
      </c>
      <c r="U1964" t="s">
        <v>1750</v>
      </c>
      <c r="V1964" t="s">
        <v>39</v>
      </c>
      <c r="W1964" s="1">
        <v>2</v>
      </c>
    </row>
    <row r="1965" spans="1:23" x14ac:dyDescent="0.2">
      <c r="A1965" t="s">
        <v>23</v>
      </c>
      <c r="B1965" t="s">
        <v>1108</v>
      </c>
      <c r="C1965" t="s">
        <v>1725</v>
      </c>
      <c r="D1965" t="s">
        <v>1726</v>
      </c>
      <c r="E1965" t="s">
        <v>1727</v>
      </c>
      <c r="F1965" t="s">
        <v>1728</v>
      </c>
      <c r="G1965" t="s">
        <v>139</v>
      </c>
      <c r="H1965" t="s">
        <v>30</v>
      </c>
      <c r="I1965" t="s">
        <v>30</v>
      </c>
      <c r="J1965" t="s">
        <v>31</v>
      </c>
      <c r="K1965" t="s">
        <v>32</v>
      </c>
      <c r="L1965" t="s">
        <v>32</v>
      </c>
      <c r="M1965" t="s">
        <v>33</v>
      </c>
      <c r="N1965" t="s">
        <v>33</v>
      </c>
      <c r="O1965" t="s">
        <v>33</v>
      </c>
      <c r="P1965" t="s">
        <v>34</v>
      </c>
      <c r="Q1965" t="s">
        <v>35</v>
      </c>
      <c r="S1965" t="s">
        <v>30</v>
      </c>
      <c r="T1965" t="s">
        <v>1749</v>
      </c>
      <c r="U1965" t="s">
        <v>1750</v>
      </c>
      <c r="V1965" t="s">
        <v>40</v>
      </c>
      <c r="W1965" s="1">
        <v>1086000</v>
      </c>
    </row>
    <row r="1966" spans="1:23" x14ac:dyDescent="0.2">
      <c r="A1966" t="s">
        <v>23</v>
      </c>
      <c r="B1966" t="s">
        <v>1108</v>
      </c>
      <c r="C1966" t="s">
        <v>1725</v>
      </c>
      <c r="D1966" t="s">
        <v>1726</v>
      </c>
      <c r="E1966" t="s">
        <v>1727</v>
      </c>
      <c r="F1966" t="s">
        <v>1728</v>
      </c>
      <c r="G1966" t="s">
        <v>139</v>
      </c>
      <c r="H1966" t="s">
        <v>30</v>
      </c>
      <c r="I1966" t="s">
        <v>30</v>
      </c>
      <c r="J1966" t="s">
        <v>41</v>
      </c>
      <c r="K1966" t="s">
        <v>32</v>
      </c>
      <c r="L1966" t="s">
        <v>32</v>
      </c>
      <c r="M1966" t="s">
        <v>33</v>
      </c>
      <c r="N1966" t="s">
        <v>33</v>
      </c>
      <c r="O1966" t="s">
        <v>33</v>
      </c>
      <c r="P1966" t="s">
        <v>34</v>
      </c>
      <c r="Q1966" t="s">
        <v>35</v>
      </c>
      <c r="S1966" t="s">
        <v>30</v>
      </c>
      <c r="T1966" t="s">
        <v>1751</v>
      </c>
      <c r="U1966" t="s">
        <v>1752</v>
      </c>
      <c r="V1966" t="s">
        <v>39</v>
      </c>
      <c r="W1966" s="1">
        <v>2</v>
      </c>
    </row>
    <row r="1967" spans="1:23" x14ac:dyDescent="0.2">
      <c r="A1967" t="s">
        <v>23</v>
      </c>
      <c r="B1967" t="s">
        <v>1108</v>
      </c>
      <c r="C1967" t="s">
        <v>1725</v>
      </c>
      <c r="D1967" t="s">
        <v>1726</v>
      </c>
      <c r="E1967" t="s">
        <v>1727</v>
      </c>
      <c r="F1967" t="s">
        <v>1728</v>
      </c>
      <c r="G1967" t="s">
        <v>139</v>
      </c>
      <c r="H1967" t="s">
        <v>30</v>
      </c>
      <c r="I1967" t="s">
        <v>30</v>
      </c>
      <c r="J1967" t="s">
        <v>41</v>
      </c>
      <c r="K1967" t="s">
        <v>32</v>
      </c>
      <c r="L1967" t="s">
        <v>32</v>
      </c>
      <c r="M1967" t="s">
        <v>33</v>
      </c>
      <c r="N1967" t="s">
        <v>33</v>
      </c>
      <c r="O1967" t="s">
        <v>33</v>
      </c>
      <c r="P1967" t="s">
        <v>34</v>
      </c>
      <c r="Q1967" t="s">
        <v>35</v>
      </c>
      <c r="S1967" t="s">
        <v>30</v>
      </c>
      <c r="T1967" t="s">
        <v>1751</v>
      </c>
      <c r="U1967" t="s">
        <v>1752</v>
      </c>
      <c r="V1967" t="s">
        <v>40</v>
      </c>
      <c r="W1967" s="1">
        <v>2310000</v>
      </c>
    </row>
    <row r="1968" spans="1:23" x14ac:dyDescent="0.2">
      <c r="A1968" t="s">
        <v>23</v>
      </c>
      <c r="B1968" t="s">
        <v>1108</v>
      </c>
      <c r="C1968" t="s">
        <v>1725</v>
      </c>
      <c r="D1968" t="s">
        <v>1726</v>
      </c>
      <c r="E1968" t="s">
        <v>1727</v>
      </c>
      <c r="F1968" t="s">
        <v>1728</v>
      </c>
      <c r="G1968" t="s">
        <v>139</v>
      </c>
      <c r="H1968" t="s">
        <v>30</v>
      </c>
      <c r="I1968" t="s">
        <v>30</v>
      </c>
      <c r="J1968" t="s">
        <v>41</v>
      </c>
      <c r="K1968" t="s">
        <v>32</v>
      </c>
      <c r="L1968" t="s">
        <v>32</v>
      </c>
      <c r="M1968" t="s">
        <v>33</v>
      </c>
      <c r="N1968" t="s">
        <v>33</v>
      </c>
      <c r="O1968" t="s">
        <v>33</v>
      </c>
      <c r="P1968" t="s">
        <v>34</v>
      </c>
      <c r="Q1968" t="s">
        <v>35</v>
      </c>
      <c r="S1968" t="s">
        <v>30</v>
      </c>
      <c r="T1968" t="s">
        <v>1753</v>
      </c>
      <c r="U1968" t="s">
        <v>1754</v>
      </c>
      <c r="V1968" t="s">
        <v>39</v>
      </c>
      <c r="W1968" s="1">
        <v>2</v>
      </c>
    </row>
    <row r="1969" spans="1:23" x14ac:dyDescent="0.2">
      <c r="A1969" t="s">
        <v>23</v>
      </c>
      <c r="B1969" t="s">
        <v>1108</v>
      </c>
      <c r="C1969" t="s">
        <v>1725</v>
      </c>
      <c r="D1969" t="s">
        <v>1726</v>
      </c>
      <c r="E1969" t="s">
        <v>1727</v>
      </c>
      <c r="F1969" t="s">
        <v>1728</v>
      </c>
      <c r="G1969" t="s">
        <v>139</v>
      </c>
      <c r="H1969" t="s">
        <v>30</v>
      </c>
      <c r="I1969" t="s">
        <v>30</v>
      </c>
      <c r="J1969" t="s">
        <v>41</v>
      </c>
      <c r="K1969" t="s">
        <v>32</v>
      </c>
      <c r="L1969" t="s">
        <v>32</v>
      </c>
      <c r="M1969" t="s">
        <v>33</v>
      </c>
      <c r="N1969" t="s">
        <v>33</v>
      </c>
      <c r="O1969" t="s">
        <v>33</v>
      </c>
      <c r="P1969" t="s">
        <v>34</v>
      </c>
      <c r="Q1969" t="s">
        <v>35</v>
      </c>
      <c r="S1969" t="s">
        <v>30</v>
      </c>
      <c r="T1969" t="s">
        <v>1753</v>
      </c>
      <c r="U1969" t="s">
        <v>1754</v>
      </c>
      <c r="V1969" t="s">
        <v>40</v>
      </c>
      <c r="W1969" s="1">
        <v>2473200</v>
      </c>
    </row>
    <row r="1970" spans="1:23" x14ac:dyDescent="0.2">
      <c r="A1970" t="s">
        <v>23</v>
      </c>
      <c r="B1970" t="s">
        <v>1108</v>
      </c>
      <c r="C1970" t="s">
        <v>1725</v>
      </c>
      <c r="D1970" t="s">
        <v>1726</v>
      </c>
      <c r="E1970" t="s">
        <v>1727</v>
      </c>
      <c r="F1970" t="s">
        <v>1728</v>
      </c>
      <c r="G1970" t="s">
        <v>139</v>
      </c>
      <c r="H1970" t="s">
        <v>30</v>
      </c>
      <c r="I1970" t="s">
        <v>30</v>
      </c>
      <c r="J1970" t="s">
        <v>41</v>
      </c>
      <c r="K1970" t="s">
        <v>32</v>
      </c>
      <c r="L1970" t="s">
        <v>32</v>
      </c>
      <c r="M1970" t="s">
        <v>33</v>
      </c>
      <c r="P1970" t="s">
        <v>34</v>
      </c>
      <c r="Q1970" t="s">
        <v>35</v>
      </c>
      <c r="S1970" t="s">
        <v>30</v>
      </c>
      <c r="T1970" t="s">
        <v>1755</v>
      </c>
      <c r="U1970" t="s">
        <v>1756</v>
      </c>
      <c r="V1970" t="s">
        <v>39</v>
      </c>
      <c r="W1970" s="1">
        <v>9</v>
      </c>
    </row>
    <row r="1971" spans="1:23" x14ac:dyDescent="0.2">
      <c r="A1971" t="s">
        <v>23</v>
      </c>
      <c r="B1971" t="s">
        <v>1108</v>
      </c>
      <c r="C1971" t="s">
        <v>1725</v>
      </c>
      <c r="D1971" t="s">
        <v>1726</v>
      </c>
      <c r="E1971" t="s">
        <v>1727</v>
      </c>
      <c r="F1971" t="s">
        <v>1728</v>
      </c>
      <c r="G1971" t="s">
        <v>139</v>
      </c>
      <c r="H1971" t="s">
        <v>30</v>
      </c>
      <c r="I1971" t="s">
        <v>30</v>
      </c>
      <c r="J1971" t="s">
        <v>41</v>
      </c>
      <c r="K1971" t="s">
        <v>32</v>
      </c>
      <c r="L1971" t="s">
        <v>32</v>
      </c>
      <c r="M1971" t="s">
        <v>33</v>
      </c>
      <c r="P1971" t="s">
        <v>34</v>
      </c>
      <c r="Q1971" t="s">
        <v>35</v>
      </c>
      <c r="S1971" t="s">
        <v>30</v>
      </c>
      <c r="T1971" t="s">
        <v>1755</v>
      </c>
      <c r="U1971" t="s">
        <v>1756</v>
      </c>
      <c r="V1971" t="s">
        <v>40</v>
      </c>
      <c r="W1971" s="1">
        <v>7356600</v>
      </c>
    </row>
    <row r="1972" spans="1:23" x14ac:dyDescent="0.2">
      <c r="A1972" t="s">
        <v>23</v>
      </c>
      <c r="B1972" t="s">
        <v>1108</v>
      </c>
      <c r="C1972" t="s">
        <v>1725</v>
      </c>
      <c r="D1972" t="s">
        <v>1726</v>
      </c>
      <c r="E1972" t="s">
        <v>1727</v>
      </c>
      <c r="F1972" t="s">
        <v>1728</v>
      </c>
      <c r="G1972" t="s">
        <v>139</v>
      </c>
      <c r="H1972" t="s">
        <v>30</v>
      </c>
      <c r="I1972" t="s">
        <v>30</v>
      </c>
      <c r="J1972" t="s">
        <v>41</v>
      </c>
      <c r="K1972" t="s">
        <v>32</v>
      </c>
      <c r="L1972" t="s">
        <v>32</v>
      </c>
      <c r="M1972" t="s">
        <v>33</v>
      </c>
      <c r="P1972" t="s">
        <v>34</v>
      </c>
      <c r="Q1972" t="s">
        <v>35</v>
      </c>
      <c r="S1972" t="s">
        <v>30</v>
      </c>
      <c r="T1972" t="s">
        <v>1757</v>
      </c>
      <c r="U1972" t="s">
        <v>1758</v>
      </c>
      <c r="V1972" t="s">
        <v>39</v>
      </c>
      <c r="W1972" s="1">
        <v>2</v>
      </c>
    </row>
    <row r="1973" spans="1:23" x14ac:dyDescent="0.2">
      <c r="A1973" t="s">
        <v>23</v>
      </c>
      <c r="B1973" t="s">
        <v>1108</v>
      </c>
      <c r="C1973" t="s">
        <v>1725</v>
      </c>
      <c r="D1973" t="s">
        <v>1726</v>
      </c>
      <c r="E1973" t="s">
        <v>1727</v>
      </c>
      <c r="F1973" t="s">
        <v>1728</v>
      </c>
      <c r="G1973" t="s">
        <v>139</v>
      </c>
      <c r="H1973" t="s">
        <v>30</v>
      </c>
      <c r="I1973" t="s">
        <v>30</v>
      </c>
      <c r="J1973" t="s">
        <v>41</v>
      </c>
      <c r="K1973" t="s">
        <v>32</v>
      </c>
      <c r="L1973" t="s">
        <v>32</v>
      </c>
      <c r="M1973" t="s">
        <v>33</v>
      </c>
      <c r="P1973" t="s">
        <v>34</v>
      </c>
      <c r="Q1973" t="s">
        <v>35</v>
      </c>
      <c r="S1973" t="s">
        <v>30</v>
      </c>
      <c r="T1973" t="s">
        <v>1757</v>
      </c>
      <c r="U1973" t="s">
        <v>1758</v>
      </c>
      <c r="V1973" t="s">
        <v>40</v>
      </c>
      <c r="W1973" s="1">
        <v>6110000</v>
      </c>
    </row>
    <row r="1974" spans="1:23" x14ac:dyDescent="0.2">
      <c r="A1974" t="s">
        <v>23</v>
      </c>
      <c r="B1974" t="s">
        <v>1108</v>
      </c>
      <c r="C1974" t="s">
        <v>1725</v>
      </c>
      <c r="D1974" t="s">
        <v>1759</v>
      </c>
      <c r="E1974" t="s">
        <v>1760</v>
      </c>
      <c r="F1974" t="s">
        <v>1761</v>
      </c>
      <c r="G1974" t="s">
        <v>29</v>
      </c>
      <c r="H1974" t="s">
        <v>30</v>
      </c>
      <c r="I1974" t="s">
        <v>30</v>
      </c>
      <c r="J1974" t="s">
        <v>41</v>
      </c>
      <c r="K1974" t="s">
        <v>32</v>
      </c>
      <c r="L1974" t="s">
        <v>32</v>
      </c>
      <c r="M1974" t="s">
        <v>33</v>
      </c>
      <c r="N1974" t="s">
        <v>33</v>
      </c>
      <c r="O1974" t="s">
        <v>33</v>
      </c>
      <c r="P1974" t="s">
        <v>34</v>
      </c>
      <c r="Q1974" t="s">
        <v>35</v>
      </c>
      <c r="S1974" t="s">
        <v>30</v>
      </c>
      <c r="T1974" t="s">
        <v>1762</v>
      </c>
      <c r="U1974" t="s">
        <v>1763</v>
      </c>
      <c r="V1974" t="s">
        <v>39</v>
      </c>
      <c r="W1974" s="1">
        <v>4</v>
      </c>
    </row>
    <row r="1975" spans="1:23" x14ac:dyDescent="0.2">
      <c r="A1975" t="s">
        <v>23</v>
      </c>
      <c r="B1975" t="s">
        <v>1108</v>
      </c>
      <c r="C1975" t="s">
        <v>1725</v>
      </c>
      <c r="D1975" t="s">
        <v>1759</v>
      </c>
      <c r="E1975" t="s">
        <v>1760</v>
      </c>
      <c r="F1975" t="s">
        <v>1761</v>
      </c>
      <c r="G1975" t="s">
        <v>29</v>
      </c>
      <c r="H1975" t="s">
        <v>30</v>
      </c>
      <c r="I1975" t="s">
        <v>30</v>
      </c>
      <c r="J1975" t="s">
        <v>41</v>
      </c>
      <c r="K1975" t="s">
        <v>32</v>
      </c>
      <c r="L1975" t="s">
        <v>32</v>
      </c>
      <c r="M1975" t="s">
        <v>33</v>
      </c>
      <c r="N1975" t="s">
        <v>33</v>
      </c>
      <c r="O1975" t="s">
        <v>33</v>
      </c>
      <c r="P1975" t="s">
        <v>34</v>
      </c>
      <c r="Q1975" t="s">
        <v>35</v>
      </c>
      <c r="S1975" t="s">
        <v>30</v>
      </c>
      <c r="T1975" t="s">
        <v>1762</v>
      </c>
      <c r="U1975" t="s">
        <v>1763</v>
      </c>
      <c r="V1975" t="s">
        <v>40</v>
      </c>
      <c r="W1975" s="1">
        <v>4156000</v>
      </c>
    </row>
    <row r="1976" spans="1:23" x14ac:dyDescent="0.2">
      <c r="A1976" t="s">
        <v>23</v>
      </c>
      <c r="B1976" t="s">
        <v>1108</v>
      </c>
      <c r="C1976" t="s">
        <v>1725</v>
      </c>
      <c r="D1976" t="s">
        <v>1759</v>
      </c>
      <c r="E1976" t="s">
        <v>1760</v>
      </c>
      <c r="F1976" t="s">
        <v>1761</v>
      </c>
      <c r="G1976" t="s">
        <v>29</v>
      </c>
      <c r="H1976" t="s">
        <v>30</v>
      </c>
      <c r="I1976" t="s">
        <v>30</v>
      </c>
      <c r="J1976" t="s">
        <v>41</v>
      </c>
      <c r="K1976" t="s">
        <v>32</v>
      </c>
      <c r="L1976" t="s">
        <v>32</v>
      </c>
      <c r="M1976" t="s">
        <v>33</v>
      </c>
      <c r="P1976" t="s">
        <v>34</v>
      </c>
      <c r="Q1976" t="s">
        <v>35</v>
      </c>
      <c r="S1976" t="s">
        <v>52</v>
      </c>
      <c r="T1976" t="s">
        <v>1762</v>
      </c>
      <c r="U1976" t="s">
        <v>1764</v>
      </c>
      <c r="V1976" t="s">
        <v>39</v>
      </c>
      <c r="W1976" s="1">
        <v>0</v>
      </c>
    </row>
    <row r="1977" spans="1:23" x14ac:dyDescent="0.2">
      <c r="A1977" t="s">
        <v>23</v>
      </c>
      <c r="B1977" t="s">
        <v>1108</v>
      </c>
      <c r="C1977" t="s">
        <v>1725</v>
      </c>
      <c r="D1977" t="s">
        <v>1759</v>
      </c>
      <c r="E1977" t="s">
        <v>1760</v>
      </c>
      <c r="F1977" t="s">
        <v>1761</v>
      </c>
      <c r="G1977" t="s">
        <v>29</v>
      </c>
      <c r="H1977" t="s">
        <v>30</v>
      </c>
      <c r="I1977" t="s">
        <v>30</v>
      </c>
      <c r="J1977" t="s">
        <v>41</v>
      </c>
      <c r="K1977" t="s">
        <v>32</v>
      </c>
      <c r="L1977" t="s">
        <v>32</v>
      </c>
      <c r="M1977" t="s">
        <v>33</v>
      </c>
      <c r="P1977" t="s">
        <v>34</v>
      </c>
      <c r="Q1977" t="s">
        <v>35</v>
      </c>
      <c r="S1977" t="s">
        <v>52</v>
      </c>
      <c r="T1977" t="s">
        <v>1762</v>
      </c>
      <c r="U1977" t="s">
        <v>1764</v>
      </c>
      <c r="V1977" t="s">
        <v>40</v>
      </c>
      <c r="W1977" s="1">
        <v>4156000</v>
      </c>
    </row>
    <row r="1978" spans="1:23" x14ac:dyDescent="0.2">
      <c r="A1978" t="s">
        <v>23</v>
      </c>
      <c r="B1978" t="s">
        <v>1108</v>
      </c>
      <c r="C1978" t="s">
        <v>1725</v>
      </c>
      <c r="D1978" t="s">
        <v>1759</v>
      </c>
      <c r="E1978" t="s">
        <v>1760</v>
      </c>
      <c r="F1978" t="s">
        <v>1761</v>
      </c>
      <c r="G1978" t="s">
        <v>49</v>
      </c>
      <c r="H1978" t="s">
        <v>30</v>
      </c>
      <c r="I1978" t="s">
        <v>30</v>
      </c>
      <c r="J1978" t="s">
        <v>211</v>
      </c>
      <c r="K1978" t="s">
        <v>212</v>
      </c>
      <c r="L1978" t="s">
        <v>32</v>
      </c>
      <c r="M1978" t="s">
        <v>33</v>
      </c>
      <c r="N1978" t="s">
        <v>33</v>
      </c>
      <c r="O1978" t="s">
        <v>33</v>
      </c>
      <c r="P1978" t="s">
        <v>34</v>
      </c>
      <c r="Q1978" t="s">
        <v>35</v>
      </c>
      <c r="R1978" t="s">
        <v>242</v>
      </c>
      <c r="S1978" t="s">
        <v>30</v>
      </c>
      <c r="T1978" t="s">
        <v>1765</v>
      </c>
      <c r="U1978" t="s">
        <v>1766</v>
      </c>
      <c r="V1978" t="s">
        <v>39</v>
      </c>
      <c r="W1978" s="1">
        <v>1</v>
      </c>
    </row>
    <row r="1979" spans="1:23" x14ac:dyDescent="0.2">
      <c r="A1979" t="s">
        <v>23</v>
      </c>
      <c r="B1979" t="s">
        <v>1108</v>
      </c>
      <c r="C1979" t="s">
        <v>1725</v>
      </c>
      <c r="D1979" t="s">
        <v>1759</v>
      </c>
      <c r="E1979" t="s">
        <v>1760</v>
      </c>
      <c r="F1979" t="s">
        <v>1761</v>
      </c>
      <c r="G1979" t="s">
        <v>49</v>
      </c>
      <c r="H1979" t="s">
        <v>30</v>
      </c>
      <c r="I1979" t="s">
        <v>30</v>
      </c>
      <c r="J1979" t="s">
        <v>211</v>
      </c>
      <c r="K1979" t="s">
        <v>212</v>
      </c>
      <c r="L1979" t="s">
        <v>32</v>
      </c>
      <c r="M1979" t="s">
        <v>33</v>
      </c>
      <c r="N1979" t="s">
        <v>33</v>
      </c>
      <c r="O1979" t="s">
        <v>33</v>
      </c>
      <c r="P1979" t="s">
        <v>34</v>
      </c>
      <c r="Q1979" t="s">
        <v>35</v>
      </c>
      <c r="R1979" t="s">
        <v>242</v>
      </c>
      <c r="S1979" t="s">
        <v>30</v>
      </c>
      <c r="T1979" t="s">
        <v>1765</v>
      </c>
      <c r="U1979" t="s">
        <v>1766</v>
      </c>
      <c r="V1979" t="s">
        <v>40</v>
      </c>
      <c r="W1979" s="1">
        <v>1366000</v>
      </c>
    </row>
    <row r="1980" spans="1:23" x14ac:dyDescent="0.2">
      <c r="A1980" t="s">
        <v>23</v>
      </c>
      <c r="B1980" t="s">
        <v>1108</v>
      </c>
      <c r="C1980" t="s">
        <v>1725</v>
      </c>
      <c r="D1980" t="s">
        <v>1759</v>
      </c>
      <c r="E1980" t="s">
        <v>1760</v>
      </c>
      <c r="F1980" t="s">
        <v>1761</v>
      </c>
      <c r="G1980" t="s">
        <v>49</v>
      </c>
      <c r="H1980" t="s">
        <v>30</v>
      </c>
      <c r="I1980" t="s">
        <v>30</v>
      </c>
      <c r="J1980" t="s">
        <v>211</v>
      </c>
      <c r="K1980" t="s">
        <v>212</v>
      </c>
      <c r="L1980" t="s">
        <v>32</v>
      </c>
      <c r="M1980" t="s">
        <v>33</v>
      </c>
      <c r="N1980" t="s">
        <v>33</v>
      </c>
      <c r="O1980" t="s">
        <v>33</v>
      </c>
      <c r="P1980" t="s">
        <v>34</v>
      </c>
      <c r="Q1980" t="s">
        <v>35</v>
      </c>
      <c r="R1980" t="s">
        <v>242</v>
      </c>
      <c r="S1980" t="s">
        <v>30</v>
      </c>
      <c r="T1980" t="s">
        <v>1767</v>
      </c>
      <c r="U1980" t="s">
        <v>1768</v>
      </c>
      <c r="V1980" t="s">
        <v>39</v>
      </c>
      <c r="W1980" s="1">
        <v>2</v>
      </c>
    </row>
    <row r="1981" spans="1:23" x14ac:dyDescent="0.2">
      <c r="A1981" t="s">
        <v>23</v>
      </c>
      <c r="B1981" t="s">
        <v>1108</v>
      </c>
      <c r="C1981" t="s">
        <v>1725</v>
      </c>
      <c r="D1981" t="s">
        <v>1759</v>
      </c>
      <c r="E1981" t="s">
        <v>1760</v>
      </c>
      <c r="F1981" t="s">
        <v>1761</v>
      </c>
      <c r="G1981" t="s">
        <v>49</v>
      </c>
      <c r="H1981" t="s">
        <v>30</v>
      </c>
      <c r="I1981" t="s">
        <v>30</v>
      </c>
      <c r="J1981" t="s">
        <v>211</v>
      </c>
      <c r="K1981" t="s">
        <v>212</v>
      </c>
      <c r="L1981" t="s">
        <v>32</v>
      </c>
      <c r="M1981" t="s">
        <v>33</v>
      </c>
      <c r="N1981" t="s">
        <v>33</v>
      </c>
      <c r="O1981" t="s">
        <v>33</v>
      </c>
      <c r="P1981" t="s">
        <v>34</v>
      </c>
      <c r="Q1981" t="s">
        <v>35</v>
      </c>
      <c r="R1981" t="s">
        <v>242</v>
      </c>
      <c r="S1981" t="s">
        <v>30</v>
      </c>
      <c r="T1981" t="s">
        <v>1767</v>
      </c>
      <c r="U1981" t="s">
        <v>1768</v>
      </c>
      <c r="V1981" t="s">
        <v>40</v>
      </c>
      <c r="W1981" s="1">
        <v>2578000</v>
      </c>
    </row>
    <row r="1982" spans="1:23" x14ac:dyDescent="0.2">
      <c r="A1982" t="s">
        <v>23</v>
      </c>
      <c r="B1982" t="s">
        <v>1108</v>
      </c>
      <c r="C1982" t="s">
        <v>1725</v>
      </c>
      <c r="D1982" t="s">
        <v>1759</v>
      </c>
      <c r="E1982" t="s">
        <v>1760</v>
      </c>
      <c r="F1982" t="s">
        <v>1761</v>
      </c>
      <c r="G1982" t="s">
        <v>49</v>
      </c>
      <c r="H1982" t="s">
        <v>30</v>
      </c>
      <c r="I1982" t="s">
        <v>30</v>
      </c>
      <c r="J1982" t="s">
        <v>41</v>
      </c>
      <c r="K1982" t="s">
        <v>32</v>
      </c>
      <c r="L1982" t="s">
        <v>32</v>
      </c>
      <c r="M1982" t="s">
        <v>33</v>
      </c>
      <c r="N1982" t="s">
        <v>33</v>
      </c>
      <c r="O1982" t="s">
        <v>33</v>
      </c>
      <c r="P1982" t="s">
        <v>34</v>
      </c>
      <c r="Q1982" t="s">
        <v>35</v>
      </c>
      <c r="R1982" t="s">
        <v>96</v>
      </c>
      <c r="S1982" t="s">
        <v>30</v>
      </c>
      <c r="T1982" t="s">
        <v>1769</v>
      </c>
      <c r="U1982" t="s">
        <v>1770</v>
      </c>
      <c r="V1982" t="s">
        <v>39</v>
      </c>
      <c r="W1982" s="1">
        <v>2</v>
      </c>
    </row>
    <row r="1983" spans="1:23" x14ac:dyDescent="0.2">
      <c r="A1983" t="s">
        <v>23</v>
      </c>
      <c r="B1983" t="s">
        <v>1108</v>
      </c>
      <c r="C1983" t="s">
        <v>1725</v>
      </c>
      <c r="D1983" t="s">
        <v>1759</v>
      </c>
      <c r="E1983" t="s">
        <v>1760</v>
      </c>
      <c r="F1983" t="s">
        <v>1761</v>
      </c>
      <c r="G1983" t="s">
        <v>49</v>
      </c>
      <c r="H1983" t="s">
        <v>30</v>
      </c>
      <c r="I1983" t="s">
        <v>30</v>
      </c>
      <c r="J1983" t="s">
        <v>41</v>
      </c>
      <c r="K1983" t="s">
        <v>32</v>
      </c>
      <c r="L1983" t="s">
        <v>32</v>
      </c>
      <c r="M1983" t="s">
        <v>33</v>
      </c>
      <c r="N1983" t="s">
        <v>33</v>
      </c>
      <c r="O1983" t="s">
        <v>33</v>
      </c>
      <c r="P1983" t="s">
        <v>34</v>
      </c>
      <c r="Q1983" t="s">
        <v>35</v>
      </c>
      <c r="R1983" t="s">
        <v>96</v>
      </c>
      <c r="S1983" t="s">
        <v>30</v>
      </c>
      <c r="T1983" t="s">
        <v>1769</v>
      </c>
      <c r="U1983" t="s">
        <v>1770</v>
      </c>
      <c r="V1983" t="s">
        <v>40</v>
      </c>
      <c r="W1983" s="1">
        <v>11056000</v>
      </c>
    </row>
    <row r="1984" spans="1:23" x14ac:dyDescent="0.2">
      <c r="A1984" t="s">
        <v>23</v>
      </c>
      <c r="B1984" t="s">
        <v>1108</v>
      </c>
      <c r="C1984" t="s">
        <v>1725</v>
      </c>
      <c r="D1984" t="s">
        <v>1759</v>
      </c>
      <c r="E1984" t="s">
        <v>1760</v>
      </c>
      <c r="F1984" t="s">
        <v>1761</v>
      </c>
      <c r="G1984" t="s">
        <v>49</v>
      </c>
      <c r="H1984" t="s">
        <v>30</v>
      </c>
      <c r="I1984" t="s">
        <v>30</v>
      </c>
      <c r="J1984" t="s">
        <v>41</v>
      </c>
      <c r="K1984" t="s">
        <v>32</v>
      </c>
      <c r="L1984" t="s">
        <v>32</v>
      </c>
      <c r="M1984" t="s">
        <v>33</v>
      </c>
      <c r="P1984" t="s">
        <v>34</v>
      </c>
      <c r="Q1984" t="s">
        <v>35</v>
      </c>
      <c r="R1984" t="s">
        <v>68</v>
      </c>
      <c r="S1984" t="s">
        <v>52</v>
      </c>
      <c r="T1984" t="s">
        <v>1771</v>
      </c>
      <c r="U1984" t="s">
        <v>1772</v>
      </c>
      <c r="V1984" t="s">
        <v>39</v>
      </c>
      <c r="W1984" s="1">
        <v>0</v>
      </c>
    </row>
    <row r="1985" spans="1:23" x14ac:dyDescent="0.2">
      <c r="A1985" t="s">
        <v>23</v>
      </c>
      <c r="B1985" t="s">
        <v>1108</v>
      </c>
      <c r="C1985" t="s">
        <v>1725</v>
      </c>
      <c r="D1985" t="s">
        <v>1759</v>
      </c>
      <c r="E1985" t="s">
        <v>1760</v>
      </c>
      <c r="F1985" t="s">
        <v>1761</v>
      </c>
      <c r="G1985" t="s">
        <v>49</v>
      </c>
      <c r="H1985" t="s">
        <v>30</v>
      </c>
      <c r="I1985" t="s">
        <v>30</v>
      </c>
      <c r="J1985" t="s">
        <v>41</v>
      </c>
      <c r="K1985" t="s">
        <v>32</v>
      </c>
      <c r="L1985" t="s">
        <v>32</v>
      </c>
      <c r="M1985" t="s">
        <v>33</v>
      </c>
      <c r="P1985" t="s">
        <v>34</v>
      </c>
      <c r="Q1985" t="s">
        <v>35</v>
      </c>
      <c r="R1985" t="s">
        <v>68</v>
      </c>
      <c r="S1985" t="s">
        <v>52</v>
      </c>
      <c r="T1985" t="s">
        <v>1771</v>
      </c>
      <c r="U1985" t="s">
        <v>1772</v>
      </c>
      <c r="V1985" t="s">
        <v>40</v>
      </c>
      <c r="W1985" s="1">
        <v>0</v>
      </c>
    </row>
    <row r="1986" spans="1:23" x14ac:dyDescent="0.2">
      <c r="A1986" t="s">
        <v>23</v>
      </c>
      <c r="B1986" t="s">
        <v>1108</v>
      </c>
      <c r="C1986" t="s">
        <v>1725</v>
      </c>
      <c r="D1986" t="s">
        <v>1759</v>
      </c>
      <c r="E1986" t="s">
        <v>1760</v>
      </c>
      <c r="F1986" t="s">
        <v>1761</v>
      </c>
      <c r="G1986" t="s">
        <v>49</v>
      </c>
      <c r="H1986" t="s">
        <v>30</v>
      </c>
      <c r="I1986" t="s">
        <v>30</v>
      </c>
      <c r="J1986" t="s">
        <v>41</v>
      </c>
      <c r="K1986" t="s">
        <v>32</v>
      </c>
      <c r="L1986" t="s">
        <v>32</v>
      </c>
      <c r="M1986" t="s">
        <v>33</v>
      </c>
      <c r="P1986" t="s">
        <v>34</v>
      </c>
      <c r="Q1986" t="s">
        <v>35</v>
      </c>
      <c r="S1986" t="s">
        <v>52</v>
      </c>
      <c r="T1986" t="s">
        <v>1773</v>
      </c>
      <c r="U1986" t="s">
        <v>1774</v>
      </c>
      <c r="V1986" t="s">
        <v>39</v>
      </c>
      <c r="W1986" s="1">
        <v>0</v>
      </c>
    </row>
    <row r="1987" spans="1:23" x14ac:dyDescent="0.2">
      <c r="A1987" t="s">
        <v>23</v>
      </c>
      <c r="B1987" t="s">
        <v>1108</v>
      </c>
      <c r="C1987" t="s">
        <v>1725</v>
      </c>
      <c r="D1987" t="s">
        <v>1759</v>
      </c>
      <c r="E1987" t="s">
        <v>1760</v>
      </c>
      <c r="F1987" t="s">
        <v>1761</v>
      </c>
      <c r="G1987" t="s">
        <v>49</v>
      </c>
      <c r="H1987" t="s">
        <v>30</v>
      </c>
      <c r="I1987" t="s">
        <v>30</v>
      </c>
      <c r="J1987" t="s">
        <v>41</v>
      </c>
      <c r="K1987" t="s">
        <v>32</v>
      </c>
      <c r="L1987" t="s">
        <v>32</v>
      </c>
      <c r="M1987" t="s">
        <v>33</v>
      </c>
      <c r="P1987" t="s">
        <v>34</v>
      </c>
      <c r="Q1987" t="s">
        <v>35</v>
      </c>
      <c r="S1987" t="s">
        <v>52</v>
      </c>
      <c r="T1987" t="s">
        <v>1773</v>
      </c>
      <c r="U1987" t="s">
        <v>1774</v>
      </c>
      <c r="V1987" t="s">
        <v>40</v>
      </c>
      <c r="W1987" s="1">
        <v>0</v>
      </c>
    </row>
    <row r="1988" spans="1:23" x14ac:dyDescent="0.2">
      <c r="A1988" t="s">
        <v>23</v>
      </c>
      <c r="B1988" t="s">
        <v>1108</v>
      </c>
      <c r="C1988" t="s">
        <v>1725</v>
      </c>
      <c r="D1988" t="s">
        <v>1759</v>
      </c>
      <c r="E1988" t="s">
        <v>1760</v>
      </c>
      <c r="F1988" t="s">
        <v>1761</v>
      </c>
      <c r="G1988" t="s">
        <v>61</v>
      </c>
      <c r="H1988" t="s">
        <v>52</v>
      </c>
      <c r="I1988" t="s">
        <v>52</v>
      </c>
      <c r="J1988" t="s">
        <v>211</v>
      </c>
      <c r="K1988" t="s">
        <v>212</v>
      </c>
      <c r="L1988" t="s">
        <v>32</v>
      </c>
      <c r="M1988" t="s">
        <v>33</v>
      </c>
      <c r="P1988" t="s">
        <v>34</v>
      </c>
      <c r="Q1988" t="s">
        <v>35</v>
      </c>
      <c r="R1988" t="s">
        <v>242</v>
      </c>
      <c r="S1988" t="s">
        <v>52</v>
      </c>
      <c r="T1988" t="s">
        <v>1767</v>
      </c>
      <c r="U1988" t="s">
        <v>1768</v>
      </c>
      <c r="V1988" t="s">
        <v>39</v>
      </c>
      <c r="W1988" s="1">
        <v>0</v>
      </c>
    </row>
    <row r="1989" spans="1:23" x14ac:dyDescent="0.2">
      <c r="A1989" t="s">
        <v>23</v>
      </c>
      <c r="B1989" t="s">
        <v>1108</v>
      </c>
      <c r="C1989" t="s">
        <v>1725</v>
      </c>
      <c r="D1989" t="s">
        <v>1759</v>
      </c>
      <c r="E1989" t="s">
        <v>1760</v>
      </c>
      <c r="F1989" t="s">
        <v>1761</v>
      </c>
      <c r="G1989" t="s">
        <v>61</v>
      </c>
      <c r="H1989" t="s">
        <v>52</v>
      </c>
      <c r="I1989" t="s">
        <v>52</v>
      </c>
      <c r="J1989" t="s">
        <v>211</v>
      </c>
      <c r="K1989" t="s">
        <v>212</v>
      </c>
      <c r="L1989" t="s">
        <v>32</v>
      </c>
      <c r="M1989" t="s">
        <v>33</v>
      </c>
      <c r="P1989" t="s">
        <v>34</v>
      </c>
      <c r="Q1989" t="s">
        <v>35</v>
      </c>
      <c r="R1989" t="s">
        <v>242</v>
      </c>
      <c r="S1989" t="s">
        <v>52</v>
      </c>
      <c r="T1989" t="s">
        <v>1767</v>
      </c>
      <c r="U1989" t="s">
        <v>1768</v>
      </c>
      <c r="V1989" t="s">
        <v>40</v>
      </c>
      <c r="W1989" s="1">
        <v>0</v>
      </c>
    </row>
    <row r="1990" spans="1:23" x14ac:dyDescent="0.2">
      <c r="A1990" t="s">
        <v>23</v>
      </c>
      <c r="B1990" t="s">
        <v>1108</v>
      </c>
      <c r="C1990" t="s">
        <v>1725</v>
      </c>
      <c r="D1990" t="s">
        <v>1759</v>
      </c>
      <c r="E1990" t="s">
        <v>1760</v>
      </c>
      <c r="F1990" t="s">
        <v>1761</v>
      </c>
      <c r="G1990" t="s">
        <v>170</v>
      </c>
      <c r="H1990" t="s">
        <v>52</v>
      </c>
      <c r="I1990" t="s">
        <v>30</v>
      </c>
      <c r="J1990" t="s">
        <v>31</v>
      </c>
      <c r="K1990" t="s">
        <v>32</v>
      </c>
      <c r="L1990" t="s">
        <v>32</v>
      </c>
      <c r="M1990" t="s">
        <v>33</v>
      </c>
      <c r="P1990" t="s">
        <v>34</v>
      </c>
      <c r="Q1990" t="s">
        <v>35</v>
      </c>
      <c r="R1990" t="s">
        <v>173</v>
      </c>
      <c r="S1990" t="s">
        <v>52</v>
      </c>
      <c r="T1990" t="s">
        <v>1775</v>
      </c>
      <c r="U1990" t="s">
        <v>1776</v>
      </c>
      <c r="V1990" t="s">
        <v>39</v>
      </c>
      <c r="W1990" s="1">
        <v>0</v>
      </c>
    </row>
    <row r="1991" spans="1:23" x14ac:dyDescent="0.2">
      <c r="A1991" t="s">
        <v>23</v>
      </c>
      <c r="B1991" t="s">
        <v>1108</v>
      </c>
      <c r="C1991" t="s">
        <v>1725</v>
      </c>
      <c r="D1991" t="s">
        <v>1759</v>
      </c>
      <c r="E1991" t="s">
        <v>1760</v>
      </c>
      <c r="F1991" t="s">
        <v>1761</v>
      </c>
      <c r="G1991" t="s">
        <v>170</v>
      </c>
      <c r="H1991" t="s">
        <v>52</v>
      </c>
      <c r="I1991" t="s">
        <v>30</v>
      </c>
      <c r="J1991" t="s">
        <v>31</v>
      </c>
      <c r="K1991" t="s">
        <v>32</v>
      </c>
      <c r="L1991" t="s">
        <v>32</v>
      </c>
      <c r="M1991" t="s">
        <v>33</v>
      </c>
      <c r="P1991" t="s">
        <v>34</v>
      </c>
      <c r="Q1991" t="s">
        <v>35</v>
      </c>
      <c r="R1991" t="s">
        <v>173</v>
      </c>
      <c r="S1991" t="s">
        <v>52</v>
      </c>
      <c r="T1991" t="s">
        <v>1775</v>
      </c>
      <c r="U1991" t="s">
        <v>1776</v>
      </c>
      <c r="V1991" t="s">
        <v>40</v>
      </c>
      <c r="W1991" s="1">
        <v>0</v>
      </c>
    </row>
    <row r="1992" spans="1:23" x14ac:dyDescent="0.2">
      <c r="A1992" t="s">
        <v>23</v>
      </c>
      <c r="B1992" t="s">
        <v>1108</v>
      </c>
      <c r="C1992" t="s">
        <v>1725</v>
      </c>
      <c r="D1992" t="s">
        <v>1759</v>
      </c>
      <c r="E1992" t="s">
        <v>1760</v>
      </c>
      <c r="F1992" t="s">
        <v>1761</v>
      </c>
      <c r="G1992" t="s">
        <v>170</v>
      </c>
      <c r="H1992" t="s">
        <v>52</v>
      </c>
      <c r="I1992" t="s">
        <v>30</v>
      </c>
      <c r="J1992" t="s">
        <v>41</v>
      </c>
      <c r="K1992" t="s">
        <v>32</v>
      </c>
      <c r="L1992" t="s">
        <v>32</v>
      </c>
      <c r="M1992" t="s">
        <v>33</v>
      </c>
      <c r="P1992" t="s">
        <v>34</v>
      </c>
      <c r="Q1992" t="s">
        <v>35</v>
      </c>
      <c r="R1992" t="s">
        <v>151</v>
      </c>
      <c r="S1992" t="s">
        <v>52</v>
      </c>
      <c r="T1992" t="s">
        <v>1777</v>
      </c>
      <c r="U1992" t="s">
        <v>1778</v>
      </c>
      <c r="V1992" t="s">
        <v>39</v>
      </c>
      <c r="W1992" s="1">
        <v>0</v>
      </c>
    </row>
    <row r="1993" spans="1:23" x14ac:dyDescent="0.2">
      <c r="A1993" t="s">
        <v>23</v>
      </c>
      <c r="B1993" t="s">
        <v>1108</v>
      </c>
      <c r="C1993" t="s">
        <v>1725</v>
      </c>
      <c r="D1993" t="s">
        <v>1759</v>
      </c>
      <c r="E1993" t="s">
        <v>1760</v>
      </c>
      <c r="F1993" t="s">
        <v>1761</v>
      </c>
      <c r="G1993" t="s">
        <v>170</v>
      </c>
      <c r="H1993" t="s">
        <v>52</v>
      </c>
      <c r="I1993" t="s">
        <v>30</v>
      </c>
      <c r="J1993" t="s">
        <v>41</v>
      </c>
      <c r="K1993" t="s">
        <v>32</v>
      </c>
      <c r="L1993" t="s">
        <v>32</v>
      </c>
      <c r="M1993" t="s">
        <v>33</v>
      </c>
      <c r="P1993" t="s">
        <v>34</v>
      </c>
      <c r="Q1993" t="s">
        <v>35</v>
      </c>
      <c r="R1993" t="s">
        <v>151</v>
      </c>
      <c r="S1993" t="s">
        <v>52</v>
      </c>
      <c r="T1993" t="s">
        <v>1777</v>
      </c>
      <c r="U1993" t="s">
        <v>1778</v>
      </c>
      <c r="V1993" t="s">
        <v>40</v>
      </c>
      <c r="W1993" s="1">
        <v>0</v>
      </c>
    </row>
    <row r="1994" spans="1:23" x14ac:dyDescent="0.2">
      <c r="A1994" t="s">
        <v>23</v>
      </c>
      <c r="B1994" t="s">
        <v>1108</v>
      </c>
      <c r="C1994" t="s">
        <v>1725</v>
      </c>
      <c r="D1994" t="s">
        <v>1759</v>
      </c>
      <c r="E1994" t="s">
        <v>1760</v>
      </c>
      <c r="F1994" t="s">
        <v>1761</v>
      </c>
      <c r="G1994" t="s">
        <v>64</v>
      </c>
      <c r="H1994" t="s">
        <v>30</v>
      </c>
      <c r="I1994" t="s">
        <v>52</v>
      </c>
      <c r="J1994" t="s">
        <v>31</v>
      </c>
      <c r="K1994" t="s">
        <v>32</v>
      </c>
      <c r="L1994" t="s">
        <v>32</v>
      </c>
      <c r="M1994" t="s">
        <v>33</v>
      </c>
      <c r="N1994" t="s">
        <v>33</v>
      </c>
      <c r="O1994" t="s">
        <v>33</v>
      </c>
      <c r="P1994" t="s">
        <v>213</v>
      </c>
      <c r="Q1994" t="s">
        <v>214</v>
      </c>
      <c r="S1994" t="s">
        <v>30</v>
      </c>
      <c r="T1994" t="s">
        <v>1779</v>
      </c>
      <c r="U1994" t="s">
        <v>1780</v>
      </c>
      <c r="V1994" t="s">
        <v>39</v>
      </c>
      <c r="W1994" s="1">
        <v>1</v>
      </c>
    </row>
    <row r="1995" spans="1:23" x14ac:dyDescent="0.2">
      <c r="A1995" t="s">
        <v>23</v>
      </c>
      <c r="B1995" t="s">
        <v>1108</v>
      </c>
      <c r="C1995" t="s">
        <v>1725</v>
      </c>
      <c r="D1995" t="s">
        <v>1759</v>
      </c>
      <c r="E1995" t="s">
        <v>1760</v>
      </c>
      <c r="F1995" t="s">
        <v>1761</v>
      </c>
      <c r="G1995" t="s">
        <v>64</v>
      </c>
      <c r="H1995" t="s">
        <v>30</v>
      </c>
      <c r="I1995" t="s">
        <v>52</v>
      </c>
      <c r="J1995" t="s">
        <v>31</v>
      </c>
      <c r="K1995" t="s">
        <v>32</v>
      </c>
      <c r="L1995" t="s">
        <v>32</v>
      </c>
      <c r="M1995" t="s">
        <v>33</v>
      </c>
      <c r="N1995" t="s">
        <v>33</v>
      </c>
      <c r="O1995" t="s">
        <v>33</v>
      </c>
      <c r="P1995" t="s">
        <v>213</v>
      </c>
      <c r="Q1995" t="s">
        <v>214</v>
      </c>
      <c r="S1995" t="s">
        <v>30</v>
      </c>
      <c r="T1995" t="s">
        <v>1779</v>
      </c>
      <c r="U1995" t="s">
        <v>1780</v>
      </c>
      <c r="V1995" t="s">
        <v>40</v>
      </c>
      <c r="W1995" s="1">
        <v>542900</v>
      </c>
    </row>
    <row r="1996" spans="1:23" x14ac:dyDescent="0.2">
      <c r="A1996" t="s">
        <v>23</v>
      </c>
      <c r="B1996" t="s">
        <v>1108</v>
      </c>
      <c r="C1996" t="s">
        <v>1725</v>
      </c>
      <c r="D1996" t="s">
        <v>1759</v>
      </c>
      <c r="E1996" t="s">
        <v>1760</v>
      </c>
      <c r="F1996" t="s">
        <v>1761</v>
      </c>
      <c r="G1996" t="s">
        <v>64</v>
      </c>
      <c r="H1996" t="s">
        <v>30</v>
      </c>
      <c r="I1996" t="s">
        <v>52</v>
      </c>
      <c r="J1996" t="s">
        <v>31</v>
      </c>
      <c r="K1996" t="s">
        <v>32</v>
      </c>
      <c r="L1996" t="s">
        <v>32</v>
      </c>
      <c r="M1996" t="s">
        <v>33</v>
      </c>
      <c r="P1996" t="s">
        <v>213</v>
      </c>
      <c r="Q1996" t="s">
        <v>214</v>
      </c>
      <c r="R1996" t="s">
        <v>73</v>
      </c>
      <c r="S1996" t="s">
        <v>52</v>
      </c>
      <c r="T1996" t="s">
        <v>1781</v>
      </c>
      <c r="U1996" t="s">
        <v>1782</v>
      </c>
      <c r="V1996" t="s">
        <v>39</v>
      </c>
      <c r="W1996" s="1">
        <v>0</v>
      </c>
    </row>
    <row r="1997" spans="1:23" x14ac:dyDescent="0.2">
      <c r="A1997" t="s">
        <v>23</v>
      </c>
      <c r="B1997" t="s">
        <v>1108</v>
      </c>
      <c r="C1997" t="s">
        <v>1725</v>
      </c>
      <c r="D1997" t="s">
        <v>1759</v>
      </c>
      <c r="E1997" t="s">
        <v>1760</v>
      </c>
      <c r="F1997" t="s">
        <v>1761</v>
      </c>
      <c r="G1997" t="s">
        <v>64</v>
      </c>
      <c r="H1997" t="s">
        <v>30</v>
      </c>
      <c r="I1997" t="s">
        <v>52</v>
      </c>
      <c r="J1997" t="s">
        <v>31</v>
      </c>
      <c r="K1997" t="s">
        <v>32</v>
      </c>
      <c r="L1997" t="s">
        <v>32</v>
      </c>
      <c r="M1997" t="s">
        <v>33</v>
      </c>
      <c r="P1997" t="s">
        <v>213</v>
      </c>
      <c r="Q1997" t="s">
        <v>214</v>
      </c>
      <c r="R1997" t="s">
        <v>73</v>
      </c>
      <c r="S1997" t="s">
        <v>52</v>
      </c>
      <c r="T1997" t="s">
        <v>1781</v>
      </c>
      <c r="U1997" t="s">
        <v>1782</v>
      </c>
      <c r="V1997" t="s">
        <v>40</v>
      </c>
      <c r="W1997" s="1">
        <v>0</v>
      </c>
    </row>
    <row r="1998" spans="1:23" x14ac:dyDescent="0.2">
      <c r="A1998" t="s">
        <v>23</v>
      </c>
      <c r="B1998" t="s">
        <v>1108</v>
      </c>
      <c r="C1998" t="s">
        <v>1725</v>
      </c>
      <c r="D1998" t="s">
        <v>1759</v>
      </c>
      <c r="E1998" t="s">
        <v>1760</v>
      </c>
      <c r="F1998" t="s">
        <v>1761</v>
      </c>
      <c r="G1998" t="s">
        <v>64</v>
      </c>
      <c r="H1998" t="s">
        <v>30</v>
      </c>
      <c r="I1998" t="s">
        <v>52</v>
      </c>
      <c r="J1998" t="s">
        <v>31</v>
      </c>
      <c r="K1998" t="s">
        <v>32</v>
      </c>
      <c r="L1998" t="s">
        <v>32</v>
      </c>
      <c r="M1998" t="s">
        <v>33</v>
      </c>
      <c r="P1998" t="s">
        <v>213</v>
      </c>
      <c r="Q1998" t="s">
        <v>214</v>
      </c>
      <c r="S1998" t="s">
        <v>30</v>
      </c>
      <c r="T1998" t="s">
        <v>1779</v>
      </c>
      <c r="U1998" t="s">
        <v>1780</v>
      </c>
      <c r="V1998" t="s">
        <v>39</v>
      </c>
      <c r="W1998" s="1">
        <v>2</v>
      </c>
    </row>
    <row r="1999" spans="1:23" x14ac:dyDescent="0.2">
      <c r="A1999" t="s">
        <v>23</v>
      </c>
      <c r="B1999" t="s">
        <v>1108</v>
      </c>
      <c r="C1999" t="s">
        <v>1725</v>
      </c>
      <c r="D1999" t="s">
        <v>1759</v>
      </c>
      <c r="E1999" t="s">
        <v>1760</v>
      </c>
      <c r="F1999" t="s">
        <v>1761</v>
      </c>
      <c r="G1999" t="s">
        <v>64</v>
      </c>
      <c r="H1999" t="s">
        <v>30</v>
      </c>
      <c r="I1999" t="s">
        <v>52</v>
      </c>
      <c r="J1999" t="s">
        <v>31</v>
      </c>
      <c r="K1999" t="s">
        <v>32</v>
      </c>
      <c r="L1999" t="s">
        <v>32</v>
      </c>
      <c r="M1999" t="s">
        <v>33</v>
      </c>
      <c r="P1999" t="s">
        <v>213</v>
      </c>
      <c r="Q1999" t="s">
        <v>214</v>
      </c>
      <c r="S1999" t="s">
        <v>30</v>
      </c>
      <c r="T1999" t="s">
        <v>1779</v>
      </c>
      <c r="U1999" t="s">
        <v>1780</v>
      </c>
      <c r="V1999" t="s">
        <v>40</v>
      </c>
      <c r="W1999" s="1">
        <v>1085800</v>
      </c>
    </row>
    <row r="2000" spans="1:23" x14ac:dyDescent="0.2">
      <c r="A2000" t="s">
        <v>23</v>
      </c>
      <c r="B2000" t="s">
        <v>1108</v>
      </c>
      <c r="C2000" t="s">
        <v>1725</v>
      </c>
      <c r="D2000" t="s">
        <v>1759</v>
      </c>
      <c r="E2000" t="s">
        <v>1760</v>
      </c>
      <c r="F2000" t="s">
        <v>1761</v>
      </c>
      <c r="G2000" t="s">
        <v>64</v>
      </c>
      <c r="H2000" t="s">
        <v>30</v>
      </c>
      <c r="I2000" t="s">
        <v>52</v>
      </c>
      <c r="J2000" t="s">
        <v>41</v>
      </c>
      <c r="K2000" t="s">
        <v>32</v>
      </c>
      <c r="L2000" t="s">
        <v>32</v>
      </c>
      <c r="M2000" t="s">
        <v>33</v>
      </c>
      <c r="P2000" t="s">
        <v>213</v>
      </c>
      <c r="Q2000" t="s">
        <v>214</v>
      </c>
      <c r="S2000" t="s">
        <v>52</v>
      </c>
      <c r="T2000" t="s">
        <v>1783</v>
      </c>
      <c r="U2000" t="s">
        <v>1784</v>
      </c>
      <c r="V2000" t="s">
        <v>39</v>
      </c>
      <c r="W2000" s="1">
        <v>0</v>
      </c>
    </row>
    <row r="2001" spans="1:23" x14ac:dyDescent="0.2">
      <c r="A2001" t="s">
        <v>23</v>
      </c>
      <c r="B2001" t="s">
        <v>1108</v>
      </c>
      <c r="C2001" t="s">
        <v>1725</v>
      </c>
      <c r="D2001" t="s">
        <v>1759</v>
      </c>
      <c r="E2001" t="s">
        <v>1760</v>
      </c>
      <c r="F2001" t="s">
        <v>1761</v>
      </c>
      <c r="G2001" t="s">
        <v>64</v>
      </c>
      <c r="H2001" t="s">
        <v>30</v>
      </c>
      <c r="I2001" t="s">
        <v>52</v>
      </c>
      <c r="J2001" t="s">
        <v>41</v>
      </c>
      <c r="K2001" t="s">
        <v>32</v>
      </c>
      <c r="L2001" t="s">
        <v>32</v>
      </c>
      <c r="M2001" t="s">
        <v>33</v>
      </c>
      <c r="P2001" t="s">
        <v>213</v>
      </c>
      <c r="Q2001" t="s">
        <v>214</v>
      </c>
      <c r="S2001" t="s">
        <v>52</v>
      </c>
      <c r="T2001" t="s">
        <v>1783</v>
      </c>
      <c r="U2001" t="s">
        <v>1784</v>
      </c>
      <c r="V2001" t="s">
        <v>40</v>
      </c>
      <c r="W2001" s="1">
        <v>0</v>
      </c>
    </row>
    <row r="2002" spans="1:23" x14ac:dyDescent="0.2">
      <c r="A2002" t="s">
        <v>23</v>
      </c>
      <c r="B2002" t="s">
        <v>1108</v>
      </c>
      <c r="C2002" t="s">
        <v>1725</v>
      </c>
      <c r="D2002" t="s">
        <v>1759</v>
      </c>
      <c r="E2002" t="s">
        <v>1760</v>
      </c>
      <c r="F2002" t="s">
        <v>1761</v>
      </c>
      <c r="G2002" t="s">
        <v>64</v>
      </c>
      <c r="H2002" t="s">
        <v>30</v>
      </c>
      <c r="I2002" t="s">
        <v>52</v>
      </c>
      <c r="J2002" t="s">
        <v>41</v>
      </c>
      <c r="K2002" t="s">
        <v>32</v>
      </c>
      <c r="L2002" t="s">
        <v>32</v>
      </c>
      <c r="M2002" t="s">
        <v>33</v>
      </c>
      <c r="P2002" t="s">
        <v>34</v>
      </c>
      <c r="Q2002" t="s">
        <v>35</v>
      </c>
      <c r="R2002" t="s">
        <v>54</v>
      </c>
      <c r="S2002" t="s">
        <v>30</v>
      </c>
      <c r="T2002" t="s">
        <v>1785</v>
      </c>
      <c r="U2002" t="s">
        <v>1786</v>
      </c>
      <c r="V2002" t="s">
        <v>39</v>
      </c>
      <c r="W2002" s="1">
        <v>4</v>
      </c>
    </row>
    <row r="2003" spans="1:23" x14ac:dyDescent="0.2">
      <c r="A2003" t="s">
        <v>23</v>
      </c>
      <c r="B2003" t="s">
        <v>1108</v>
      </c>
      <c r="C2003" t="s">
        <v>1725</v>
      </c>
      <c r="D2003" t="s">
        <v>1759</v>
      </c>
      <c r="E2003" t="s">
        <v>1760</v>
      </c>
      <c r="F2003" t="s">
        <v>1761</v>
      </c>
      <c r="G2003" t="s">
        <v>64</v>
      </c>
      <c r="H2003" t="s">
        <v>30</v>
      </c>
      <c r="I2003" t="s">
        <v>52</v>
      </c>
      <c r="J2003" t="s">
        <v>41</v>
      </c>
      <c r="K2003" t="s">
        <v>32</v>
      </c>
      <c r="L2003" t="s">
        <v>32</v>
      </c>
      <c r="M2003" t="s">
        <v>33</v>
      </c>
      <c r="P2003" t="s">
        <v>34</v>
      </c>
      <c r="Q2003" t="s">
        <v>35</v>
      </c>
      <c r="R2003" t="s">
        <v>54</v>
      </c>
      <c r="S2003" t="s">
        <v>30</v>
      </c>
      <c r="T2003" t="s">
        <v>1785</v>
      </c>
      <c r="U2003" t="s">
        <v>1786</v>
      </c>
      <c r="V2003" t="s">
        <v>40</v>
      </c>
      <c r="W2003" s="1">
        <v>4599600</v>
      </c>
    </row>
    <row r="2004" spans="1:23" x14ac:dyDescent="0.2">
      <c r="A2004" t="s">
        <v>23</v>
      </c>
      <c r="B2004" t="s">
        <v>1108</v>
      </c>
      <c r="C2004" t="s">
        <v>1725</v>
      </c>
      <c r="D2004" t="s">
        <v>1759</v>
      </c>
      <c r="E2004" t="s">
        <v>1760</v>
      </c>
      <c r="F2004" t="s">
        <v>1761</v>
      </c>
      <c r="G2004" t="s">
        <v>67</v>
      </c>
      <c r="H2004" t="s">
        <v>30</v>
      </c>
      <c r="I2004" t="s">
        <v>30</v>
      </c>
      <c r="J2004" t="s">
        <v>128</v>
      </c>
      <c r="K2004" t="s">
        <v>181</v>
      </c>
      <c r="L2004" t="s">
        <v>32</v>
      </c>
      <c r="M2004" t="s">
        <v>33</v>
      </c>
      <c r="N2004" t="s">
        <v>33</v>
      </c>
      <c r="O2004" t="s">
        <v>33</v>
      </c>
      <c r="P2004" t="s">
        <v>34</v>
      </c>
      <c r="Q2004" t="s">
        <v>35</v>
      </c>
      <c r="S2004" t="s">
        <v>30</v>
      </c>
      <c r="T2004" t="s">
        <v>1787</v>
      </c>
      <c r="U2004" t="s">
        <v>1788</v>
      </c>
      <c r="V2004" t="s">
        <v>39</v>
      </c>
      <c r="W2004" s="1">
        <v>19</v>
      </c>
    </row>
    <row r="2005" spans="1:23" x14ac:dyDescent="0.2">
      <c r="A2005" t="s">
        <v>23</v>
      </c>
      <c r="B2005" t="s">
        <v>1108</v>
      </c>
      <c r="C2005" t="s">
        <v>1725</v>
      </c>
      <c r="D2005" t="s">
        <v>1759</v>
      </c>
      <c r="E2005" t="s">
        <v>1760</v>
      </c>
      <c r="F2005" t="s">
        <v>1761</v>
      </c>
      <c r="G2005" t="s">
        <v>67</v>
      </c>
      <c r="H2005" t="s">
        <v>30</v>
      </c>
      <c r="I2005" t="s">
        <v>30</v>
      </c>
      <c r="J2005" t="s">
        <v>128</v>
      </c>
      <c r="K2005" t="s">
        <v>181</v>
      </c>
      <c r="L2005" t="s">
        <v>32</v>
      </c>
      <c r="M2005" t="s">
        <v>33</v>
      </c>
      <c r="N2005" t="s">
        <v>33</v>
      </c>
      <c r="O2005" t="s">
        <v>33</v>
      </c>
      <c r="P2005" t="s">
        <v>34</v>
      </c>
      <c r="Q2005" t="s">
        <v>35</v>
      </c>
      <c r="S2005" t="s">
        <v>30</v>
      </c>
      <c r="T2005" t="s">
        <v>1787</v>
      </c>
      <c r="U2005" t="s">
        <v>1788</v>
      </c>
      <c r="V2005" t="s">
        <v>40</v>
      </c>
      <c r="W2005" s="1">
        <v>130150000</v>
      </c>
    </row>
    <row r="2006" spans="1:23" x14ac:dyDescent="0.2">
      <c r="A2006" t="s">
        <v>23</v>
      </c>
      <c r="B2006" t="s">
        <v>1108</v>
      </c>
      <c r="C2006" t="s">
        <v>1725</v>
      </c>
      <c r="D2006" t="s">
        <v>1759</v>
      </c>
      <c r="E2006" t="s">
        <v>1760</v>
      </c>
      <c r="F2006" t="s">
        <v>1761</v>
      </c>
      <c r="G2006" t="s">
        <v>67</v>
      </c>
      <c r="H2006" t="s">
        <v>30</v>
      </c>
      <c r="I2006" t="s">
        <v>30</v>
      </c>
      <c r="J2006" t="s">
        <v>31</v>
      </c>
      <c r="K2006" t="s">
        <v>32</v>
      </c>
      <c r="L2006" t="s">
        <v>32</v>
      </c>
      <c r="M2006" t="s">
        <v>33</v>
      </c>
      <c r="P2006" t="s">
        <v>34</v>
      </c>
      <c r="Q2006" t="s">
        <v>35</v>
      </c>
      <c r="R2006" t="s">
        <v>36</v>
      </c>
      <c r="S2006" t="s">
        <v>30</v>
      </c>
      <c r="T2006" t="s">
        <v>1789</v>
      </c>
      <c r="U2006" t="s">
        <v>1790</v>
      </c>
      <c r="V2006" t="s">
        <v>39</v>
      </c>
      <c r="W2006" s="1">
        <v>2</v>
      </c>
    </row>
    <row r="2007" spans="1:23" x14ac:dyDescent="0.2">
      <c r="A2007" t="s">
        <v>23</v>
      </c>
      <c r="B2007" t="s">
        <v>1108</v>
      </c>
      <c r="C2007" t="s">
        <v>1725</v>
      </c>
      <c r="D2007" t="s">
        <v>1759</v>
      </c>
      <c r="E2007" t="s">
        <v>1760</v>
      </c>
      <c r="F2007" t="s">
        <v>1761</v>
      </c>
      <c r="G2007" t="s">
        <v>67</v>
      </c>
      <c r="H2007" t="s">
        <v>30</v>
      </c>
      <c r="I2007" t="s">
        <v>30</v>
      </c>
      <c r="J2007" t="s">
        <v>31</v>
      </c>
      <c r="K2007" t="s">
        <v>32</v>
      </c>
      <c r="L2007" t="s">
        <v>32</v>
      </c>
      <c r="M2007" t="s">
        <v>33</v>
      </c>
      <c r="P2007" t="s">
        <v>34</v>
      </c>
      <c r="Q2007" t="s">
        <v>35</v>
      </c>
      <c r="R2007" t="s">
        <v>36</v>
      </c>
      <c r="S2007" t="s">
        <v>30</v>
      </c>
      <c r="T2007" t="s">
        <v>1789</v>
      </c>
      <c r="U2007" t="s">
        <v>1790</v>
      </c>
      <c r="V2007" t="s">
        <v>40</v>
      </c>
      <c r="W2007" s="1">
        <v>1459800</v>
      </c>
    </row>
    <row r="2008" spans="1:23" x14ac:dyDescent="0.2">
      <c r="A2008" t="s">
        <v>23</v>
      </c>
      <c r="B2008" t="s">
        <v>1108</v>
      </c>
      <c r="C2008" t="s">
        <v>1725</v>
      </c>
      <c r="D2008" t="s">
        <v>1759</v>
      </c>
      <c r="E2008" t="s">
        <v>1760</v>
      </c>
      <c r="F2008" t="s">
        <v>1761</v>
      </c>
      <c r="G2008" t="s">
        <v>89</v>
      </c>
      <c r="H2008" t="s">
        <v>30</v>
      </c>
      <c r="I2008" t="s">
        <v>30</v>
      </c>
      <c r="J2008" t="s">
        <v>41</v>
      </c>
      <c r="K2008" t="s">
        <v>32</v>
      </c>
      <c r="L2008" t="s">
        <v>32</v>
      </c>
      <c r="M2008" t="s">
        <v>33</v>
      </c>
      <c r="N2008" t="s">
        <v>33</v>
      </c>
      <c r="O2008" t="s">
        <v>33</v>
      </c>
      <c r="P2008" t="s">
        <v>34</v>
      </c>
      <c r="Q2008" t="s">
        <v>35</v>
      </c>
      <c r="R2008" t="s">
        <v>274</v>
      </c>
      <c r="S2008" t="s">
        <v>30</v>
      </c>
      <c r="T2008" t="s">
        <v>1791</v>
      </c>
      <c r="U2008" t="s">
        <v>1792</v>
      </c>
      <c r="V2008" t="s">
        <v>39</v>
      </c>
      <c r="W2008" s="1">
        <v>2</v>
      </c>
    </row>
    <row r="2009" spans="1:23" x14ac:dyDescent="0.2">
      <c r="A2009" t="s">
        <v>23</v>
      </c>
      <c r="B2009" t="s">
        <v>1108</v>
      </c>
      <c r="C2009" t="s">
        <v>1725</v>
      </c>
      <c r="D2009" t="s">
        <v>1759</v>
      </c>
      <c r="E2009" t="s">
        <v>1760</v>
      </c>
      <c r="F2009" t="s">
        <v>1761</v>
      </c>
      <c r="G2009" t="s">
        <v>89</v>
      </c>
      <c r="H2009" t="s">
        <v>30</v>
      </c>
      <c r="I2009" t="s">
        <v>30</v>
      </c>
      <c r="J2009" t="s">
        <v>41</v>
      </c>
      <c r="K2009" t="s">
        <v>32</v>
      </c>
      <c r="L2009" t="s">
        <v>32</v>
      </c>
      <c r="M2009" t="s">
        <v>33</v>
      </c>
      <c r="N2009" t="s">
        <v>33</v>
      </c>
      <c r="O2009" t="s">
        <v>33</v>
      </c>
      <c r="P2009" t="s">
        <v>34</v>
      </c>
      <c r="Q2009" t="s">
        <v>35</v>
      </c>
      <c r="R2009" t="s">
        <v>274</v>
      </c>
      <c r="S2009" t="s">
        <v>30</v>
      </c>
      <c r="T2009" t="s">
        <v>1791</v>
      </c>
      <c r="U2009" t="s">
        <v>1792</v>
      </c>
      <c r="V2009" t="s">
        <v>40</v>
      </c>
      <c r="W2009" s="1">
        <v>2299800</v>
      </c>
    </row>
    <row r="2010" spans="1:23" x14ac:dyDescent="0.2">
      <c r="A2010" t="s">
        <v>23</v>
      </c>
      <c r="B2010" t="s">
        <v>1108</v>
      </c>
      <c r="C2010" t="s">
        <v>1725</v>
      </c>
      <c r="D2010" t="s">
        <v>1759</v>
      </c>
      <c r="E2010" t="s">
        <v>1760</v>
      </c>
      <c r="F2010" t="s">
        <v>1761</v>
      </c>
      <c r="G2010" t="s">
        <v>89</v>
      </c>
      <c r="H2010" t="s">
        <v>30</v>
      </c>
      <c r="I2010" t="s">
        <v>30</v>
      </c>
      <c r="J2010" t="s">
        <v>41</v>
      </c>
      <c r="K2010" t="s">
        <v>32</v>
      </c>
      <c r="L2010" t="s">
        <v>32</v>
      </c>
      <c r="M2010" t="s">
        <v>33</v>
      </c>
      <c r="P2010" t="s">
        <v>34</v>
      </c>
      <c r="Q2010" t="s">
        <v>35</v>
      </c>
      <c r="R2010" t="s">
        <v>274</v>
      </c>
      <c r="S2010" t="s">
        <v>52</v>
      </c>
      <c r="T2010" t="s">
        <v>1791</v>
      </c>
      <c r="U2010" t="s">
        <v>1792</v>
      </c>
      <c r="V2010" t="s">
        <v>39</v>
      </c>
      <c r="W2010" s="1">
        <v>0</v>
      </c>
    </row>
    <row r="2011" spans="1:23" x14ac:dyDescent="0.2">
      <c r="A2011" t="s">
        <v>23</v>
      </c>
      <c r="B2011" t="s">
        <v>1108</v>
      </c>
      <c r="C2011" t="s">
        <v>1725</v>
      </c>
      <c r="D2011" t="s">
        <v>1759</v>
      </c>
      <c r="E2011" t="s">
        <v>1760</v>
      </c>
      <c r="F2011" t="s">
        <v>1761</v>
      </c>
      <c r="G2011" t="s">
        <v>89</v>
      </c>
      <c r="H2011" t="s">
        <v>30</v>
      </c>
      <c r="I2011" t="s">
        <v>30</v>
      </c>
      <c r="J2011" t="s">
        <v>41</v>
      </c>
      <c r="K2011" t="s">
        <v>32</v>
      </c>
      <c r="L2011" t="s">
        <v>32</v>
      </c>
      <c r="M2011" t="s">
        <v>33</v>
      </c>
      <c r="P2011" t="s">
        <v>34</v>
      </c>
      <c r="Q2011" t="s">
        <v>35</v>
      </c>
      <c r="R2011" t="s">
        <v>274</v>
      </c>
      <c r="S2011" t="s">
        <v>52</v>
      </c>
      <c r="T2011" t="s">
        <v>1791</v>
      </c>
      <c r="U2011" t="s">
        <v>1792</v>
      </c>
      <c r="V2011" t="s">
        <v>40</v>
      </c>
      <c r="W2011" s="1">
        <v>1149900</v>
      </c>
    </row>
    <row r="2012" spans="1:23" x14ac:dyDescent="0.2">
      <c r="A2012" t="s">
        <v>23</v>
      </c>
      <c r="B2012" t="s">
        <v>1108</v>
      </c>
      <c r="C2012" t="s">
        <v>1725</v>
      </c>
      <c r="D2012" t="s">
        <v>1759</v>
      </c>
      <c r="E2012" t="s">
        <v>1760</v>
      </c>
      <c r="F2012" t="s">
        <v>1761</v>
      </c>
      <c r="G2012" t="s">
        <v>106</v>
      </c>
      <c r="H2012" t="s">
        <v>30</v>
      </c>
      <c r="I2012" t="s">
        <v>30</v>
      </c>
      <c r="J2012" t="s">
        <v>41</v>
      </c>
      <c r="K2012" t="s">
        <v>32</v>
      </c>
      <c r="L2012" t="s">
        <v>332</v>
      </c>
      <c r="M2012" t="s">
        <v>33</v>
      </c>
      <c r="N2012" t="s">
        <v>33</v>
      </c>
      <c r="O2012" t="s">
        <v>33</v>
      </c>
      <c r="P2012" t="s">
        <v>34</v>
      </c>
      <c r="Q2012" t="s">
        <v>35</v>
      </c>
      <c r="S2012" t="s">
        <v>30</v>
      </c>
      <c r="T2012" t="s">
        <v>1793</v>
      </c>
      <c r="U2012" t="s">
        <v>1794</v>
      </c>
      <c r="V2012" t="s">
        <v>39</v>
      </c>
      <c r="W2012" s="1">
        <v>2</v>
      </c>
    </row>
    <row r="2013" spans="1:23" x14ac:dyDescent="0.2">
      <c r="A2013" t="s">
        <v>23</v>
      </c>
      <c r="B2013" t="s">
        <v>1108</v>
      </c>
      <c r="C2013" t="s">
        <v>1725</v>
      </c>
      <c r="D2013" t="s">
        <v>1759</v>
      </c>
      <c r="E2013" t="s">
        <v>1760</v>
      </c>
      <c r="F2013" t="s">
        <v>1761</v>
      </c>
      <c r="G2013" t="s">
        <v>106</v>
      </c>
      <c r="H2013" t="s">
        <v>30</v>
      </c>
      <c r="I2013" t="s">
        <v>30</v>
      </c>
      <c r="J2013" t="s">
        <v>41</v>
      </c>
      <c r="K2013" t="s">
        <v>32</v>
      </c>
      <c r="L2013" t="s">
        <v>332</v>
      </c>
      <c r="M2013" t="s">
        <v>33</v>
      </c>
      <c r="N2013" t="s">
        <v>33</v>
      </c>
      <c r="O2013" t="s">
        <v>33</v>
      </c>
      <c r="P2013" t="s">
        <v>34</v>
      </c>
      <c r="Q2013" t="s">
        <v>35</v>
      </c>
      <c r="S2013" t="s">
        <v>30</v>
      </c>
      <c r="T2013" t="s">
        <v>1793</v>
      </c>
      <c r="U2013" t="s">
        <v>1794</v>
      </c>
      <c r="V2013" t="s">
        <v>40</v>
      </c>
      <c r="W2013" s="1">
        <v>1780000</v>
      </c>
    </row>
    <row r="2014" spans="1:23" x14ac:dyDescent="0.2">
      <c r="A2014" t="s">
        <v>23</v>
      </c>
      <c r="B2014" t="s">
        <v>1108</v>
      </c>
      <c r="C2014" t="s">
        <v>1725</v>
      </c>
      <c r="D2014" t="s">
        <v>1759</v>
      </c>
      <c r="E2014" t="s">
        <v>1760</v>
      </c>
      <c r="F2014" t="s">
        <v>1761</v>
      </c>
      <c r="G2014" t="s">
        <v>106</v>
      </c>
      <c r="H2014" t="s">
        <v>30</v>
      </c>
      <c r="I2014" t="s">
        <v>30</v>
      </c>
      <c r="J2014" t="s">
        <v>41</v>
      </c>
      <c r="K2014" t="s">
        <v>32</v>
      </c>
      <c r="L2014" t="s">
        <v>32</v>
      </c>
      <c r="M2014" t="s">
        <v>33</v>
      </c>
      <c r="N2014" t="s">
        <v>33</v>
      </c>
      <c r="O2014" t="s">
        <v>33</v>
      </c>
      <c r="P2014" t="s">
        <v>34</v>
      </c>
      <c r="Q2014" t="s">
        <v>35</v>
      </c>
      <c r="S2014" t="s">
        <v>30</v>
      </c>
      <c r="T2014" t="s">
        <v>1793</v>
      </c>
      <c r="U2014" t="s">
        <v>1794</v>
      </c>
      <c r="V2014" t="s">
        <v>39</v>
      </c>
      <c r="W2014" s="1">
        <v>3</v>
      </c>
    </row>
    <row r="2015" spans="1:23" x14ac:dyDescent="0.2">
      <c r="A2015" t="s">
        <v>23</v>
      </c>
      <c r="B2015" t="s">
        <v>1108</v>
      </c>
      <c r="C2015" t="s">
        <v>1725</v>
      </c>
      <c r="D2015" t="s">
        <v>1759</v>
      </c>
      <c r="E2015" t="s">
        <v>1760</v>
      </c>
      <c r="F2015" t="s">
        <v>1761</v>
      </c>
      <c r="G2015" t="s">
        <v>106</v>
      </c>
      <c r="H2015" t="s">
        <v>30</v>
      </c>
      <c r="I2015" t="s">
        <v>30</v>
      </c>
      <c r="J2015" t="s">
        <v>41</v>
      </c>
      <c r="K2015" t="s">
        <v>32</v>
      </c>
      <c r="L2015" t="s">
        <v>32</v>
      </c>
      <c r="M2015" t="s">
        <v>33</v>
      </c>
      <c r="N2015" t="s">
        <v>33</v>
      </c>
      <c r="O2015" t="s">
        <v>33</v>
      </c>
      <c r="P2015" t="s">
        <v>34</v>
      </c>
      <c r="Q2015" t="s">
        <v>35</v>
      </c>
      <c r="S2015" t="s">
        <v>30</v>
      </c>
      <c r="T2015" t="s">
        <v>1793</v>
      </c>
      <c r="U2015" t="s">
        <v>1794</v>
      </c>
      <c r="V2015" t="s">
        <v>40</v>
      </c>
      <c r="W2015" s="1">
        <v>3449700</v>
      </c>
    </row>
    <row r="2016" spans="1:23" x14ac:dyDescent="0.2">
      <c r="A2016" t="s">
        <v>23</v>
      </c>
      <c r="B2016" t="s">
        <v>1108</v>
      </c>
      <c r="C2016" t="s">
        <v>1725</v>
      </c>
      <c r="D2016" t="s">
        <v>1759</v>
      </c>
      <c r="E2016" t="s">
        <v>1760</v>
      </c>
      <c r="F2016" t="s">
        <v>1761</v>
      </c>
      <c r="G2016" t="s">
        <v>106</v>
      </c>
      <c r="H2016" t="s">
        <v>30</v>
      </c>
      <c r="I2016" t="s">
        <v>30</v>
      </c>
      <c r="J2016" t="s">
        <v>41</v>
      </c>
      <c r="K2016" t="s">
        <v>32</v>
      </c>
      <c r="L2016" t="s">
        <v>32</v>
      </c>
      <c r="M2016" t="s">
        <v>176</v>
      </c>
      <c r="N2016" t="s">
        <v>176</v>
      </c>
      <c r="O2016" t="s">
        <v>176</v>
      </c>
      <c r="P2016" t="s">
        <v>34</v>
      </c>
      <c r="Q2016" t="s">
        <v>35</v>
      </c>
      <c r="S2016" t="s">
        <v>30</v>
      </c>
      <c r="T2016" t="s">
        <v>1793</v>
      </c>
      <c r="U2016" t="s">
        <v>1794</v>
      </c>
      <c r="V2016" t="s">
        <v>39</v>
      </c>
      <c r="W2016" s="1">
        <v>1</v>
      </c>
    </row>
    <row r="2017" spans="1:23" x14ac:dyDescent="0.2">
      <c r="A2017" t="s">
        <v>23</v>
      </c>
      <c r="B2017" t="s">
        <v>1108</v>
      </c>
      <c r="C2017" t="s">
        <v>1725</v>
      </c>
      <c r="D2017" t="s">
        <v>1759</v>
      </c>
      <c r="E2017" t="s">
        <v>1760</v>
      </c>
      <c r="F2017" t="s">
        <v>1761</v>
      </c>
      <c r="G2017" t="s">
        <v>106</v>
      </c>
      <c r="H2017" t="s">
        <v>30</v>
      </c>
      <c r="I2017" t="s">
        <v>30</v>
      </c>
      <c r="J2017" t="s">
        <v>41</v>
      </c>
      <c r="K2017" t="s">
        <v>32</v>
      </c>
      <c r="L2017" t="s">
        <v>32</v>
      </c>
      <c r="M2017" t="s">
        <v>176</v>
      </c>
      <c r="N2017" t="s">
        <v>176</v>
      </c>
      <c r="O2017" t="s">
        <v>176</v>
      </c>
      <c r="P2017" t="s">
        <v>34</v>
      </c>
      <c r="Q2017" t="s">
        <v>35</v>
      </c>
      <c r="S2017" t="s">
        <v>30</v>
      </c>
      <c r="T2017" t="s">
        <v>1793</v>
      </c>
      <c r="U2017" t="s">
        <v>1794</v>
      </c>
      <c r="V2017" t="s">
        <v>40</v>
      </c>
      <c r="W2017" s="1">
        <v>1034910</v>
      </c>
    </row>
    <row r="2018" spans="1:23" x14ac:dyDescent="0.2">
      <c r="A2018" t="s">
        <v>23</v>
      </c>
      <c r="B2018" t="s">
        <v>1108</v>
      </c>
      <c r="C2018" t="s">
        <v>1725</v>
      </c>
      <c r="D2018" t="s">
        <v>1759</v>
      </c>
      <c r="E2018" t="s">
        <v>1760</v>
      </c>
      <c r="F2018" t="s">
        <v>1761</v>
      </c>
      <c r="G2018" t="s">
        <v>119</v>
      </c>
      <c r="H2018" t="s">
        <v>30</v>
      </c>
      <c r="I2018" t="s">
        <v>52</v>
      </c>
      <c r="J2018" t="s">
        <v>31</v>
      </c>
      <c r="K2018" t="s">
        <v>32</v>
      </c>
      <c r="L2018" t="s">
        <v>32</v>
      </c>
      <c r="M2018" t="s">
        <v>33</v>
      </c>
      <c r="P2018" t="s">
        <v>213</v>
      </c>
      <c r="Q2018" t="s">
        <v>214</v>
      </c>
      <c r="R2018" t="s">
        <v>151</v>
      </c>
      <c r="S2018" t="s">
        <v>52</v>
      </c>
      <c r="T2018" t="s">
        <v>1795</v>
      </c>
      <c r="U2018" t="s">
        <v>1796</v>
      </c>
      <c r="V2018" t="s">
        <v>39</v>
      </c>
      <c r="W2018" s="1">
        <v>0</v>
      </c>
    </row>
    <row r="2019" spans="1:23" x14ac:dyDescent="0.2">
      <c r="A2019" t="s">
        <v>23</v>
      </c>
      <c r="B2019" t="s">
        <v>1108</v>
      </c>
      <c r="C2019" t="s">
        <v>1725</v>
      </c>
      <c r="D2019" t="s">
        <v>1759</v>
      </c>
      <c r="E2019" t="s">
        <v>1760</v>
      </c>
      <c r="F2019" t="s">
        <v>1761</v>
      </c>
      <c r="G2019" t="s">
        <v>119</v>
      </c>
      <c r="H2019" t="s">
        <v>30</v>
      </c>
      <c r="I2019" t="s">
        <v>52</v>
      </c>
      <c r="J2019" t="s">
        <v>31</v>
      </c>
      <c r="K2019" t="s">
        <v>32</v>
      </c>
      <c r="L2019" t="s">
        <v>32</v>
      </c>
      <c r="M2019" t="s">
        <v>33</v>
      </c>
      <c r="P2019" t="s">
        <v>213</v>
      </c>
      <c r="Q2019" t="s">
        <v>214</v>
      </c>
      <c r="R2019" t="s">
        <v>151</v>
      </c>
      <c r="S2019" t="s">
        <v>52</v>
      </c>
      <c r="T2019" t="s">
        <v>1795</v>
      </c>
      <c r="U2019" t="s">
        <v>1796</v>
      </c>
      <c r="V2019" t="s">
        <v>40</v>
      </c>
      <c r="W2019" s="1">
        <v>329000</v>
      </c>
    </row>
    <row r="2020" spans="1:23" x14ac:dyDescent="0.2">
      <c r="A2020" t="s">
        <v>23</v>
      </c>
      <c r="B2020" t="s">
        <v>1108</v>
      </c>
      <c r="C2020" t="s">
        <v>1725</v>
      </c>
      <c r="D2020" t="s">
        <v>1759</v>
      </c>
      <c r="E2020" t="s">
        <v>1760</v>
      </c>
      <c r="F2020" t="s">
        <v>1761</v>
      </c>
      <c r="G2020" t="s">
        <v>119</v>
      </c>
      <c r="H2020" t="s">
        <v>30</v>
      </c>
      <c r="I2020" t="s">
        <v>52</v>
      </c>
      <c r="J2020" t="s">
        <v>41</v>
      </c>
      <c r="K2020" t="s">
        <v>32</v>
      </c>
      <c r="L2020" t="s">
        <v>32</v>
      </c>
      <c r="M2020" t="s">
        <v>33</v>
      </c>
      <c r="N2020" t="s">
        <v>33</v>
      </c>
      <c r="O2020" t="s">
        <v>33</v>
      </c>
      <c r="P2020" t="s">
        <v>34</v>
      </c>
      <c r="Q2020" t="s">
        <v>35</v>
      </c>
      <c r="R2020" t="s">
        <v>285</v>
      </c>
      <c r="S2020" t="s">
        <v>30</v>
      </c>
      <c r="T2020" t="s">
        <v>1797</v>
      </c>
      <c r="U2020" t="s">
        <v>1798</v>
      </c>
      <c r="V2020" t="s">
        <v>39</v>
      </c>
      <c r="W2020" s="1">
        <v>2</v>
      </c>
    </row>
    <row r="2021" spans="1:23" x14ac:dyDescent="0.2">
      <c r="A2021" t="s">
        <v>23</v>
      </c>
      <c r="B2021" t="s">
        <v>1108</v>
      </c>
      <c r="C2021" t="s">
        <v>1725</v>
      </c>
      <c r="D2021" t="s">
        <v>1759</v>
      </c>
      <c r="E2021" t="s">
        <v>1760</v>
      </c>
      <c r="F2021" t="s">
        <v>1761</v>
      </c>
      <c r="G2021" t="s">
        <v>119</v>
      </c>
      <c r="H2021" t="s">
        <v>30</v>
      </c>
      <c r="I2021" t="s">
        <v>52</v>
      </c>
      <c r="J2021" t="s">
        <v>41</v>
      </c>
      <c r="K2021" t="s">
        <v>32</v>
      </c>
      <c r="L2021" t="s">
        <v>32</v>
      </c>
      <c r="M2021" t="s">
        <v>33</v>
      </c>
      <c r="N2021" t="s">
        <v>33</v>
      </c>
      <c r="O2021" t="s">
        <v>33</v>
      </c>
      <c r="P2021" t="s">
        <v>34</v>
      </c>
      <c r="Q2021" t="s">
        <v>35</v>
      </c>
      <c r="R2021" t="s">
        <v>285</v>
      </c>
      <c r="S2021" t="s">
        <v>30</v>
      </c>
      <c r="T2021" t="s">
        <v>1797</v>
      </c>
      <c r="U2021" t="s">
        <v>1798</v>
      </c>
      <c r="V2021" t="s">
        <v>40</v>
      </c>
      <c r="W2021" s="1">
        <v>2779600</v>
      </c>
    </row>
    <row r="2022" spans="1:23" x14ac:dyDescent="0.2">
      <c r="A2022" t="s">
        <v>23</v>
      </c>
      <c r="B2022" t="s">
        <v>1108</v>
      </c>
      <c r="C2022" t="s">
        <v>1725</v>
      </c>
      <c r="D2022" t="s">
        <v>1759</v>
      </c>
      <c r="E2022" t="s">
        <v>1760</v>
      </c>
      <c r="F2022" t="s">
        <v>1761</v>
      </c>
      <c r="G2022" t="s">
        <v>119</v>
      </c>
      <c r="H2022" t="s">
        <v>30</v>
      </c>
      <c r="I2022" t="s">
        <v>52</v>
      </c>
      <c r="J2022" t="s">
        <v>41</v>
      </c>
      <c r="K2022" t="s">
        <v>32</v>
      </c>
      <c r="L2022" t="s">
        <v>32</v>
      </c>
      <c r="M2022" t="s">
        <v>33</v>
      </c>
      <c r="P2022" t="s">
        <v>34</v>
      </c>
      <c r="Q2022" t="s">
        <v>35</v>
      </c>
      <c r="R2022" t="s">
        <v>285</v>
      </c>
      <c r="S2022" t="s">
        <v>52</v>
      </c>
      <c r="T2022" t="s">
        <v>1797</v>
      </c>
      <c r="U2022" t="s">
        <v>1798</v>
      </c>
      <c r="V2022" t="s">
        <v>39</v>
      </c>
      <c r="W2022" s="1">
        <v>0</v>
      </c>
    </row>
    <row r="2023" spans="1:23" x14ac:dyDescent="0.2">
      <c r="A2023" t="s">
        <v>23</v>
      </c>
      <c r="B2023" t="s">
        <v>1108</v>
      </c>
      <c r="C2023" t="s">
        <v>1725</v>
      </c>
      <c r="D2023" t="s">
        <v>1759</v>
      </c>
      <c r="E2023" t="s">
        <v>1760</v>
      </c>
      <c r="F2023" t="s">
        <v>1761</v>
      </c>
      <c r="G2023" t="s">
        <v>119</v>
      </c>
      <c r="H2023" t="s">
        <v>30</v>
      </c>
      <c r="I2023" t="s">
        <v>52</v>
      </c>
      <c r="J2023" t="s">
        <v>41</v>
      </c>
      <c r="K2023" t="s">
        <v>32</v>
      </c>
      <c r="L2023" t="s">
        <v>32</v>
      </c>
      <c r="M2023" t="s">
        <v>33</v>
      </c>
      <c r="P2023" t="s">
        <v>34</v>
      </c>
      <c r="Q2023" t="s">
        <v>35</v>
      </c>
      <c r="R2023" t="s">
        <v>285</v>
      </c>
      <c r="S2023" t="s">
        <v>52</v>
      </c>
      <c r="T2023" t="s">
        <v>1797</v>
      </c>
      <c r="U2023" t="s">
        <v>1798</v>
      </c>
      <c r="V2023" t="s">
        <v>40</v>
      </c>
      <c r="W2023" s="1">
        <v>1389800</v>
      </c>
    </row>
    <row r="2024" spans="1:23" x14ac:dyDescent="0.2">
      <c r="A2024" t="s">
        <v>23</v>
      </c>
      <c r="B2024" t="s">
        <v>1108</v>
      </c>
      <c r="C2024" t="s">
        <v>1725</v>
      </c>
      <c r="D2024" t="s">
        <v>1759</v>
      </c>
      <c r="E2024" t="s">
        <v>1760</v>
      </c>
      <c r="F2024" t="s">
        <v>1761</v>
      </c>
      <c r="G2024" t="s">
        <v>127</v>
      </c>
      <c r="H2024" t="s">
        <v>52</v>
      </c>
      <c r="I2024" t="s">
        <v>30</v>
      </c>
      <c r="J2024" t="s">
        <v>41</v>
      </c>
      <c r="K2024" t="s">
        <v>32</v>
      </c>
      <c r="L2024" t="s">
        <v>32</v>
      </c>
      <c r="M2024" t="s">
        <v>33</v>
      </c>
      <c r="N2024" t="s">
        <v>33</v>
      </c>
      <c r="O2024" t="s">
        <v>33</v>
      </c>
      <c r="P2024" t="s">
        <v>213</v>
      </c>
      <c r="Q2024" t="s">
        <v>214</v>
      </c>
      <c r="S2024" t="s">
        <v>30</v>
      </c>
      <c r="T2024" t="s">
        <v>1799</v>
      </c>
      <c r="U2024" t="s">
        <v>1800</v>
      </c>
      <c r="V2024" t="s">
        <v>39</v>
      </c>
      <c r="W2024" s="1">
        <v>4</v>
      </c>
    </row>
    <row r="2025" spans="1:23" x14ac:dyDescent="0.2">
      <c r="A2025" t="s">
        <v>23</v>
      </c>
      <c r="B2025" t="s">
        <v>1108</v>
      </c>
      <c r="C2025" t="s">
        <v>1725</v>
      </c>
      <c r="D2025" t="s">
        <v>1759</v>
      </c>
      <c r="E2025" t="s">
        <v>1760</v>
      </c>
      <c r="F2025" t="s">
        <v>1761</v>
      </c>
      <c r="G2025" t="s">
        <v>127</v>
      </c>
      <c r="H2025" t="s">
        <v>52</v>
      </c>
      <c r="I2025" t="s">
        <v>30</v>
      </c>
      <c r="J2025" t="s">
        <v>41</v>
      </c>
      <c r="K2025" t="s">
        <v>32</v>
      </c>
      <c r="L2025" t="s">
        <v>32</v>
      </c>
      <c r="M2025" t="s">
        <v>33</v>
      </c>
      <c r="N2025" t="s">
        <v>33</v>
      </c>
      <c r="O2025" t="s">
        <v>33</v>
      </c>
      <c r="P2025" t="s">
        <v>213</v>
      </c>
      <c r="Q2025" t="s">
        <v>214</v>
      </c>
      <c r="S2025" t="s">
        <v>30</v>
      </c>
      <c r="T2025" t="s">
        <v>1799</v>
      </c>
      <c r="U2025" t="s">
        <v>1800</v>
      </c>
      <c r="V2025" t="s">
        <v>40</v>
      </c>
      <c r="W2025" s="1">
        <v>4031600</v>
      </c>
    </row>
    <row r="2026" spans="1:23" x14ac:dyDescent="0.2">
      <c r="A2026" t="s">
        <v>23</v>
      </c>
      <c r="B2026" t="s">
        <v>1108</v>
      </c>
      <c r="C2026" t="s">
        <v>1725</v>
      </c>
      <c r="D2026" t="s">
        <v>1759</v>
      </c>
      <c r="E2026" t="s">
        <v>1760</v>
      </c>
      <c r="F2026" t="s">
        <v>1761</v>
      </c>
      <c r="G2026" t="s">
        <v>127</v>
      </c>
      <c r="H2026" t="s">
        <v>52</v>
      </c>
      <c r="I2026" t="s">
        <v>30</v>
      </c>
      <c r="J2026" t="s">
        <v>41</v>
      </c>
      <c r="K2026" t="s">
        <v>32</v>
      </c>
      <c r="L2026" t="s">
        <v>32</v>
      </c>
      <c r="M2026" t="s">
        <v>33</v>
      </c>
      <c r="N2026" t="s">
        <v>33</v>
      </c>
      <c r="O2026" t="s">
        <v>33</v>
      </c>
      <c r="P2026" t="s">
        <v>213</v>
      </c>
      <c r="Q2026" t="s">
        <v>214</v>
      </c>
      <c r="S2026" t="s">
        <v>30</v>
      </c>
      <c r="T2026" t="s">
        <v>1801</v>
      </c>
      <c r="U2026" t="s">
        <v>1802</v>
      </c>
      <c r="V2026" t="s">
        <v>39</v>
      </c>
      <c r="W2026" s="1">
        <v>2</v>
      </c>
    </row>
    <row r="2027" spans="1:23" x14ac:dyDescent="0.2">
      <c r="A2027" t="s">
        <v>23</v>
      </c>
      <c r="B2027" t="s">
        <v>1108</v>
      </c>
      <c r="C2027" t="s">
        <v>1725</v>
      </c>
      <c r="D2027" t="s">
        <v>1759</v>
      </c>
      <c r="E2027" t="s">
        <v>1760</v>
      </c>
      <c r="F2027" t="s">
        <v>1761</v>
      </c>
      <c r="G2027" t="s">
        <v>127</v>
      </c>
      <c r="H2027" t="s">
        <v>52</v>
      </c>
      <c r="I2027" t="s">
        <v>30</v>
      </c>
      <c r="J2027" t="s">
        <v>41</v>
      </c>
      <c r="K2027" t="s">
        <v>32</v>
      </c>
      <c r="L2027" t="s">
        <v>32</v>
      </c>
      <c r="M2027" t="s">
        <v>33</v>
      </c>
      <c r="N2027" t="s">
        <v>33</v>
      </c>
      <c r="O2027" t="s">
        <v>33</v>
      </c>
      <c r="P2027" t="s">
        <v>213</v>
      </c>
      <c r="Q2027" t="s">
        <v>214</v>
      </c>
      <c r="S2027" t="s">
        <v>30</v>
      </c>
      <c r="T2027" t="s">
        <v>1801</v>
      </c>
      <c r="U2027" t="s">
        <v>1802</v>
      </c>
      <c r="V2027" t="s">
        <v>40</v>
      </c>
      <c r="W2027" s="1">
        <v>13110000</v>
      </c>
    </row>
    <row r="2028" spans="1:23" x14ac:dyDescent="0.2">
      <c r="A2028" t="s">
        <v>23</v>
      </c>
      <c r="B2028" t="s">
        <v>1108</v>
      </c>
      <c r="C2028" t="s">
        <v>1725</v>
      </c>
      <c r="D2028" t="s">
        <v>1759</v>
      </c>
      <c r="E2028" t="s">
        <v>1760</v>
      </c>
      <c r="F2028" t="s">
        <v>1761</v>
      </c>
      <c r="G2028" t="s">
        <v>127</v>
      </c>
      <c r="H2028" t="s">
        <v>52</v>
      </c>
      <c r="I2028" t="s">
        <v>30</v>
      </c>
      <c r="J2028" t="s">
        <v>41</v>
      </c>
      <c r="K2028" t="s">
        <v>32</v>
      </c>
      <c r="L2028" t="s">
        <v>32</v>
      </c>
      <c r="M2028" t="s">
        <v>33</v>
      </c>
      <c r="P2028" t="s">
        <v>213</v>
      </c>
      <c r="Q2028" t="s">
        <v>214</v>
      </c>
      <c r="S2028" t="s">
        <v>52</v>
      </c>
      <c r="T2028" t="s">
        <v>47</v>
      </c>
      <c r="U2028" t="s">
        <v>1803</v>
      </c>
      <c r="V2028" t="s">
        <v>39</v>
      </c>
      <c r="W2028" s="1">
        <v>0</v>
      </c>
    </row>
    <row r="2029" spans="1:23" x14ac:dyDescent="0.2">
      <c r="A2029" t="s">
        <v>23</v>
      </c>
      <c r="B2029" t="s">
        <v>1108</v>
      </c>
      <c r="C2029" t="s">
        <v>1725</v>
      </c>
      <c r="D2029" t="s">
        <v>1759</v>
      </c>
      <c r="E2029" t="s">
        <v>1760</v>
      </c>
      <c r="F2029" t="s">
        <v>1761</v>
      </c>
      <c r="G2029" t="s">
        <v>127</v>
      </c>
      <c r="H2029" t="s">
        <v>52</v>
      </c>
      <c r="I2029" t="s">
        <v>30</v>
      </c>
      <c r="J2029" t="s">
        <v>41</v>
      </c>
      <c r="K2029" t="s">
        <v>32</v>
      </c>
      <c r="L2029" t="s">
        <v>32</v>
      </c>
      <c r="M2029" t="s">
        <v>33</v>
      </c>
      <c r="P2029" t="s">
        <v>213</v>
      </c>
      <c r="Q2029" t="s">
        <v>214</v>
      </c>
      <c r="S2029" t="s">
        <v>52</v>
      </c>
      <c r="T2029" t="s">
        <v>47</v>
      </c>
      <c r="U2029" t="s">
        <v>1803</v>
      </c>
      <c r="V2029" t="s">
        <v>40</v>
      </c>
      <c r="W2029" s="1">
        <v>4031600</v>
      </c>
    </row>
    <row r="2030" spans="1:23" x14ac:dyDescent="0.2">
      <c r="A2030" t="s">
        <v>23</v>
      </c>
      <c r="B2030" t="s">
        <v>1108</v>
      </c>
      <c r="C2030" t="s">
        <v>1725</v>
      </c>
      <c r="D2030" t="s">
        <v>1759</v>
      </c>
      <c r="E2030" t="s">
        <v>1760</v>
      </c>
      <c r="F2030" t="s">
        <v>1761</v>
      </c>
      <c r="G2030" t="s">
        <v>134</v>
      </c>
      <c r="H2030" t="s">
        <v>52</v>
      </c>
      <c r="I2030" t="s">
        <v>30</v>
      </c>
      <c r="J2030" t="s">
        <v>31</v>
      </c>
      <c r="K2030" t="s">
        <v>32</v>
      </c>
      <c r="L2030" t="s">
        <v>32</v>
      </c>
      <c r="M2030" t="s">
        <v>33</v>
      </c>
      <c r="N2030" t="s">
        <v>33</v>
      </c>
      <c r="O2030" t="s">
        <v>33</v>
      </c>
      <c r="P2030" t="s">
        <v>34</v>
      </c>
      <c r="Q2030" t="s">
        <v>35</v>
      </c>
      <c r="R2030" t="s">
        <v>228</v>
      </c>
      <c r="S2030" t="s">
        <v>30</v>
      </c>
      <c r="T2030" t="s">
        <v>1804</v>
      </c>
      <c r="U2030" t="s">
        <v>1805</v>
      </c>
      <c r="V2030" t="s">
        <v>39</v>
      </c>
      <c r="W2030" s="1">
        <v>1</v>
      </c>
    </row>
    <row r="2031" spans="1:23" x14ac:dyDescent="0.2">
      <c r="A2031" t="s">
        <v>23</v>
      </c>
      <c r="B2031" t="s">
        <v>1108</v>
      </c>
      <c r="C2031" t="s">
        <v>1725</v>
      </c>
      <c r="D2031" t="s">
        <v>1759</v>
      </c>
      <c r="E2031" t="s">
        <v>1760</v>
      </c>
      <c r="F2031" t="s">
        <v>1761</v>
      </c>
      <c r="G2031" t="s">
        <v>134</v>
      </c>
      <c r="H2031" t="s">
        <v>52</v>
      </c>
      <c r="I2031" t="s">
        <v>30</v>
      </c>
      <c r="J2031" t="s">
        <v>31</v>
      </c>
      <c r="K2031" t="s">
        <v>32</v>
      </c>
      <c r="L2031" t="s">
        <v>32</v>
      </c>
      <c r="M2031" t="s">
        <v>33</v>
      </c>
      <c r="N2031" t="s">
        <v>33</v>
      </c>
      <c r="O2031" t="s">
        <v>33</v>
      </c>
      <c r="P2031" t="s">
        <v>34</v>
      </c>
      <c r="Q2031" t="s">
        <v>35</v>
      </c>
      <c r="R2031" t="s">
        <v>228</v>
      </c>
      <c r="S2031" t="s">
        <v>30</v>
      </c>
      <c r="T2031" t="s">
        <v>1804</v>
      </c>
      <c r="U2031" t="s">
        <v>1805</v>
      </c>
      <c r="V2031" t="s">
        <v>40</v>
      </c>
      <c r="W2031" s="1">
        <v>912200</v>
      </c>
    </row>
    <row r="2032" spans="1:23" x14ac:dyDescent="0.2">
      <c r="A2032" t="s">
        <v>23</v>
      </c>
      <c r="B2032" t="s">
        <v>1108</v>
      </c>
      <c r="C2032" t="s">
        <v>1725</v>
      </c>
      <c r="D2032" t="s">
        <v>1759</v>
      </c>
      <c r="E2032" t="s">
        <v>1760</v>
      </c>
      <c r="F2032" t="s">
        <v>1761</v>
      </c>
      <c r="G2032" t="s">
        <v>134</v>
      </c>
      <c r="H2032" t="s">
        <v>52</v>
      </c>
      <c r="I2032" t="s">
        <v>30</v>
      </c>
      <c r="J2032" t="s">
        <v>31</v>
      </c>
      <c r="K2032" t="s">
        <v>32</v>
      </c>
      <c r="L2032" t="s">
        <v>32</v>
      </c>
      <c r="M2032" t="s">
        <v>33</v>
      </c>
      <c r="P2032" t="s">
        <v>213</v>
      </c>
      <c r="Q2032" t="s">
        <v>214</v>
      </c>
      <c r="S2032" t="s">
        <v>30</v>
      </c>
      <c r="T2032" t="s">
        <v>1806</v>
      </c>
      <c r="U2032" t="s">
        <v>1807</v>
      </c>
      <c r="V2032" t="s">
        <v>39</v>
      </c>
      <c r="W2032" s="1">
        <v>6</v>
      </c>
    </row>
    <row r="2033" spans="1:23" x14ac:dyDescent="0.2">
      <c r="A2033" t="s">
        <v>23</v>
      </c>
      <c r="B2033" t="s">
        <v>1108</v>
      </c>
      <c r="C2033" t="s">
        <v>1725</v>
      </c>
      <c r="D2033" t="s">
        <v>1759</v>
      </c>
      <c r="E2033" t="s">
        <v>1760</v>
      </c>
      <c r="F2033" t="s">
        <v>1761</v>
      </c>
      <c r="G2033" t="s">
        <v>134</v>
      </c>
      <c r="H2033" t="s">
        <v>52</v>
      </c>
      <c r="I2033" t="s">
        <v>30</v>
      </c>
      <c r="J2033" t="s">
        <v>31</v>
      </c>
      <c r="K2033" t="s">
        <v>32</v>
      </c>
      <c r="L2033" t="s">
        <v>32</v>
      </c>
      <c r="M2033" t="s">
        <v>33</v>
      </c>
      <c r="P2033" t="s">
        <v>213</v>
      </c>
      <c r="Q2033" t="s">
        <v>214</v>
      </c>
      <c r="S2033" t="s">
        <v>30</v>
      </c>
      <c r="T2033" t="s">
        <v>1806</v>
      </c>
      <c r="U2033" t="s">
        <v>1807</v>
      </c>
      <c r="V2033" t="s">
        <v>40</v>
      </c>
      <c r="W2033" s="1">
        <v>6269400</v>
      </c>
    </row>
    <row r="2034" spans="1:23" x14ac:dyDescent="0.2">
      <c r="A2034" t="s">
        <v>23</v>
      </c>
      <c r="B2034" t="s">
        <v>1108</v>
      </c>
      <c r="C2034" t="s">
        <v>1725</v>
      </c>
      <c r="D2034" t="s">
        <v>1759</v>
      </c>
      <c r="E2034" t="s">
        <v>1760</v>
      </c>
      <c r="F2034" t="s">
        <v>1761</v>
      </c>
      <c r="G2034" t="s">
        <v>134</v>
      </c>
      <c r="H2034" t="s">
        <v>52</v>
      </c>
      <c r="I2034" t="s">
        <v>30</v>
      </c>
      <c r="J2034" t="s">
        <v>31</v>
      </c>
      <c r="K2034" t="s">
        <v>32</v>
      </c>
      <c r="L2034" t="s">
        <v>32</v>
      </c>
      <c r="M2034" t="s">
        <v>33</v>
      </c>
      <c r="P2034" t="s">
        <v>34</v>
      </c>
      <c r="Q2034" t="s">
        <v>35</v>
      </c>
      <c r="R2034" t="s">
        <v>228</v>
      </c>
      <c r="S2034" t="s">
        <v>52</v>
      </c>
      <c r="T2034" t="s">
        <v>1804</v>
      </c>
      <c r="U2034" t="s">
        <v>1805</v>
      </c>
      <c r="V2034" t="s">
        <v>39</v>
      </c>
      <c r="W2034" s="1">
        <v>0</v>
      </c>
    </row>
    <row r="2035" spans="1:23" x14ac:dyDescent="0.2">
      <c r="A2035" t="s">
        <v>23</v>
      </c>
      <c r="B2035" t="s">
        <v>1108</v>
      </c>
      <c r="C2035" t="s">
        <v>1725</v>
      </c>
      <c r="D2035" t="s">
        <v>1759</v>
      </c>
      <c r="E2035" t="s">
        <v>1760</v>
      </c>
      <c r="F2035" t="s">
        <v>1761</v>
      </c>
      <c r="G2035" t="s">
        <v>134</v>
      </c>
      <c r="H2035" t="s">
        <v>52</v>
      </c>
      <c r="I2035" t="s">
        <v>30</v>
      </c>
      <c r="J2035" t="s">
        <v>31</v>
      </c>
      <c r="K2035" t="s">
        <v>32</v>
      </c>
      <c r="L2035" t="s">
        <v>32</v>
      </c>
      <c r="M2035" t="s">
        <v>33</v>
      </c>
      <c r="P2035" t="s">
        <v>34</v>
      </c>
      <c r="Q2035" t="s">
        <v>35</v>
      </c>
      <c r="R2035" t="s">
        <v>228</v>
      </c>
      <c r="S2035" t="s">
        <v>52</v>
      </c>
      <c r="T2035" t="s">
        <v>1804</v>
      </c>
      <c r="U2035" t="s">
        <v>1805</v>
      </c>
      <c r="V2035" t="s">
        <v>40</v>
      </c>
      <c r="W2035" s="1">
        <v>912200</v>
      </c>
    </row>
    <row r="2036" spans="1:23" x14ac:dyDescent="0.2">
      <c r="A2036" t="s">
        <v>23</v>
      </c>
      <c r="B2036" t="s">
        <v>1108</v>
      </c>
      <c r="C2036" t="s">
        <v>1808</v>
      </c>
      <c r="D2036" t="s">
        <v>1809</v>
      </c>
      <c r="E2036" t="s">
        <v>1810</v>
      </c>
      <c r="F2036" t="s">
        <v>1811</v>
      </c>
      <c r="G2036" t="s">
        <v>29</v>
      </c>
      <c r="H2036" t="s">
        <v>30</v>
      </c>
      <c r="I2036" t="s">
        <v>30</v>
      </c>
      <c r="J2036" t="s">
        <v>31</v>
      </c>
      <c r="K2036" t="s">
        <v>32</v>
      </c>
      <c r="L2036" t="s">
        <v>32</v>
      </c>
      <c r="M2036" t="s">
        <v>33</v>
      </c>
      <c r="N2036" t="s">
        <v>33</v>
      </c>
      <c r="O2036" t="s">
        <v>33</v>
      </c>
      <c r="P2036" t="s">
        <v>34</v>
      </c>
      <c r="Q2036" t="s">
        <v>35</v>
      </c>
      <c r="S2036" t="s">
        <v>30</v>
      </c>
      <c r="T2036" t="s">
        <v>1812</v>
      </c>
      <c r="U2036" t="s">
        <v>1813</v>
      </c>
      <c r="V2036" t="s">
        <v>39</v>
      </c>
      <c r="W2036" s="1">
        <v>5</v>
      </c>
    </row>
    <row r="2037" spans="1:23" x14ac:dyDescent="0.2">
      <c r="A2037" t="s">
        <v>23</v>
      </c>
      <c r="B2037" t="s">
        <v>1108</v>
      </c>
      <c r="C2037" t="s">
        <v>1808</v>
      </c>
      <c r="D2037" t="s">
        <v>1809</v>
      </c>
      <c r="E2037" t="s">
        <v>1810</v>
      </c>
      <c r="F2037" t="s">
        <v>1811</v>
      </c>
      <c r="G2037" t="s">
        <v>29</v>
      </c>
      <c r="H2037" t="s">
        <v>30</v>
      </c>
      <c r="I2037" t="s">
        <v>30</v>
      </c>
      <c r="J2037" t="s">
        <v>31</v>
      </c>
      <c r="K2037" t="s">
        <v>32</v>
      </c>
      <c r="L2037" t="s">
        <v>32</v>
      </c>
      <c r="M2037" t="s">
        <v>33</v>
      </c>
      <c r="N2037" t="s">
        <v>33</v>
      </c>
      <c r="O2037" t="s">
        <v>33</v>
      </c>
      <c r="P2037" t="s">
        <v>34</v>
      </c>
      <c r="Q2037" t="s">
        <v>35</v>
      </c>
      <c r="S2037" t="s">
        <v>30</v>
      </c>
      <c r="T2037" t="s">
        <v>1812</v>
      </c>
      <c r="U2037" t="s">
        <v>1813</v>
      </c>
      <c r="V2037" t="s">
        <v>40</v>
      </c>
      <c r="W2037" s="1">
        <v>3271000</v>
      </c>
    </row>
    <row r="2038" spans="1:23" x14ac:dyDescent="0.2">
      <c r="A2038" t="s">
        <v>23</v>
      </c>
      <c r="B2038" t="s">
        <v>1108</v>
      </c>
      <c r="C2038" t="s">
        <v>1808</v>
      </c>
      <c r="D2038" t="s">
        <v>1809</v>
      </c>
      <c r="E2038" t="s">
        <v>1810</v>
      </c>
      <c r="F2038" t="s">
        <v>1811</v>
      </c>
      <c r="G2038" t="s">
        <v>64</v>
      </c>
      <c r="H2038" t="s">
        <v>30</v>
      </c>
      <c r="I2038" t="s">
        <v>52</v>
      </c>
      <c r="J2038" t="s">
        <v>41</v>
      </c>
      <c r="K2038" t="s">
        <v>32</v>
      </c>
      <c r="L2038" t="s">
        <v>32</v>
      </c>
      <c r="M2038" t="s">
        <v>33</v>
      </c>
      <c r="P2038" t="s">
        <v>34</v>
      </c>
      <c r="Q2038" t="s">
        <v>35</v>
      </c>
      <c r="R2038" t="s">
        <v>294</v>
      </c>
      <c r="S2038" t="s">
        <v>52</v>
      </c>
      <c r="T2038" t="s">
        <v>1814</v>
      </c>
      <c r="U2038" t="s">
        <v>1815</v>
      </c>
      <c r="V2038" t="s">
        <v>39</v>
      </c>
      <c r="W2038" s="1">
        <v>0</v>
      </c>
    </row>
    <row r="2039" spans="1:23" x14ac:dyDescent="0.2">
      <c r="A2039" t="s">
        <v>23</v>
      </c>
      <c r="B2039" t="s">
        <v>1108</v>
      </c>
      <c r="C2039" t="s">
        <v>1808</v>
      </c>
      <c r="D2039" t="s">
        <v>1809</v>
      </c>
      <c r="E2039" t="s">
        <v>1810</v>
      </c>
      <c r="F2039" t="s">
        <v>1811</v>
      </c>
      <c r="G2039" t="s">
        <v>64</v>
      </c>
      <c r="H2039" t="s">
        <v>30</v>
      </c>
      <c r="I2039" t="s">
        <v>52</v>
      </c>
      <c r="J2039" t="s">
        <v>41</v>
      </c>
      <c r="K2039" t="s">
        <v>32</v>
      </c>
      <c r="L2039" t="s">
        <v>32</v>
      </c>
      <c r="M2039" t="s">
        <v>33</v>
      </c>
      <c r="P2039" t="s">
        <v>34</v>
      </c>
      <c r="Q2039" t="s">
        <v>35</v>
      </c>
      <c r="R2039" t="s">
        <v>294</v>
      </c>
      <c r="S2039" t="s">
        <v>52</v>
      </c>
      <c r="T2039" t="s">
        <v>1814</v>
      </c>
      <c r="U2039" t="s">
        <v>1815</v>
      </c>
      <c r="V2039" t="s">
        <v>40</v>
      </c>
      <c r="W2039" s="1">
        <v>3646800</v>
      </c>
    </row>
    <row r="2040" spans="1:23" x14ac:dyDescent="0.2">
      <c r="A2040" t="s">
        <v>23</v>
      </c>
      <c r="B2040" t="s">
        <v>1108</v>
      </c>
      <c r="C2040" t="s">
        <v>1808</v>
      </c>
      <c r="D2040" t="s">
        <v>1809</v>
      </c>
      <c r="E2040" t="s">
        <v>1810</v>
      </c>
      <c r="F2040" t="s">
        <v>1811</v>
      </c>
      <c r="G2040" t="s">
        <v>67</v>
      </c>
      <c r="H2040" t="s">
        <v>30</v>
      </c>
      <c r="I2040" t="s">
        <v>30</v>
      </c>
      <c r="J2040" t="s">
        <v>41</v>
      </c>
      <c r="K2040" t="s">
        <v>32</v>
      </c>
      <c r="L2040" t="s">
        <v>32</v>
      </c>
      <c r="M2040" t="s">
        <v>33</v>
      </c>
      <c r="N2040" t="s">
        <v>33</v>
      </c>
      <c r="O2040" t="s">
        <v>33</v>
      </c>
      <c r="P2040" t="s">
        <v>34</v>
      </c>
      <c r="Q2040" t="s">
        <v>35</v>
      </c>
      <c r="R2040" t="s">
        <v>294</v>
      </c>
      <c r="S2040" t="s">
        <v>30</v>
      </c>
      <c r="T2040" t="s">
        <v>1816</v>
      </c>
      <c r="U2040" t="s">
        <v>1817</v>
      </c>
      <c r="V2040" t="s">
        <v>39</v>
      </c>
      <c r="W2040" s="1">
        <v>4</v>
      </c>
    </row>
    <row r="2041" spans="1:23" x14ac:dyDescent="0.2">
      <c r="A2041" t="s">
        <v>23</v>
      </c>
      <c r="B2041" t="s">
        <v>1108</v>
      </c>
      <c r="C2041" t="s">
        <v>1808</v>
      </c>
      <c r="D2041" t="s">
        <v>1809</v>
      </c>
      <c r="E2041" t="s">
        <v>1810</v>
      </c>
      <c r="F2041" t="s">
        <v>1811</v>
      </c>
      <c r="G2041" t="s">
        <v>67</v>
      </c>
      <c r="H2041" t="s">
        <v>30</v>
      </c>
      <c r="I2041" t="s">
        <v>30</v>
      </c>
      <c r="J2041" t="s">
        <v>41</v>
      </c>
      <c r="K2041" t="s">
        <v>32</v>
      </c>
      <c r="L2041" t="s">
        <v>32</v>
      </c>
      <c r="M2041" t="s">
        <v>33</v>
      </c>
      <c r="N2041" t="s">
        <v>33</v>
      </c>
      <c r="O2041" t="s">
        <v>33</v>
      </c>
      <c r="P2041" t="s">
        <v>34</v>
      </c>
      <c r="Q2041" t="s">
        <v>35</v>
      </c>
      <c r="R2041" t="s">
        <v>294</v>
      </c>
      <c r="S2041" t="s">
        <v>30</v>
      </c>
      <c r="T2041" t="s">
        <v>1816</v>
      </c>
      <c r="U2041" t="s">
        <v>1817</v>
      </c>
      <c r="V2041" t="s">
        <v>40</v>
      </c>
      <c r="W2041" s="1">
        <v>4596000</v>
      </c>
    </row>
    <row r="2042" spans="1:23" x14ac:dyDescent="0.2">
      <c r="A2042" t="s">
        <v>23</v>
      </c>
      <c r="B2042" t="s">
        <v>1108</v>
      </c>
      <c r="C2042" t="s">
        <v>1808</v>
      </c>
      <c r="D2042" t="s">
        <v>1809</v>
      </c>
      <c r="E2042" t="s">
        <v>1810</v>
      </c>
      <c r="F2042" t="s">
        <v>1811</v>
      </c>
      <c r="G2042" t="s">
        <v>67</v>
      </c>
      <c r="H2042" t="s">
        <v>30</v>
      </c>
      <c r="I2042" t="s">
        <v>30</v>
      </c>
      <c r="J2042" t="s">
        <v>41</v>
      </c>
      <c r="K2042" t="s">
        <v>32</v>
      </c>
      <c r="L2042" t="s">
        <v>32</v>
      </c>
      <c r="M2042" t="s">
        <v>33</v>
      </c>
      <c r="N2042" t="s">
        <v>33</v>
      </c>
      <c r="O2042" t="s">
        <v>33</v>
      </c>
      <c r="P2042" t="s">
        <v>34</v>
      </c>
      <c r="Q2042" t="s">
        <v>35</v>
      </c>
      <c r="R2042" t="s">
        <v>1355</v>
      </c>
      <c r="S2042" t="s">
        <v>30</v>
      </c>
      <c r="T2042" t="s">
        <v>1818</v>
      </c>
      <c r="U2042" t="s">
        <v>1819</v>
      </c>
      <c r="V2042" t="s">
        <v>39</v>
      </c>
      <c r="W2042" s="1">
        <v>4</v>
      </c>
    </row>
    <row r="2043" spans="1:23" x14ac:dyDescent="0.2">
      <c r="A2043" t="s">
        <v>23</v>
      </c>
      <c r="B2043" t="s">
        <v>1108</v>
      </c>
      <c r="C2043" t="s">
        <v>1808</v>
      </c>
      <c r="D2043" t="s">
        <v>1809</v>
      </c>
      <c r="E2043" t="s">
        <v>1810</v>
      </c>
      <c r="F2043" t="s">
        <v>1811</v>
      </c>
      <c r="G2043" t="s">
        <v>67</v>
      </c>
      <c r="H2043" t="s">
        <v>30</v>
      </c>
      <c r="I2043" t="s">
        <v>30</v>
      </c>
      <c r="J2043" t="s">
        <v>41</v>
      </c>
      <c r="K2043" t="s">
        <v>32</v>
      </c>
      <c r="L2043" t="s">
        <v>32</v>
      </c>
      <c r="M2043" t="s">
        <v>33</v>
      </c>
      <c r="N2043" t="s">
        <v>33</v>
      </c>
      <c r="O2043" t="s">
        <v>33</v>
      </c>
      <c r="P2043" t="s">
        <v>34</v>
      </c>
      <c r="Q2043" t="s">
        <v>35</v>
      </c>
      <c r="R2043" t="s">
        <v>1355</v>
      </c>
      <c r="S2043" t="s">
        <v>30</v>
      </c>
      <c r="T2043" t="s">
        <v>1818</v>
      </c>
      <c r="U2043" t="s">
        <v>1819</v>
      </c>
      <c r="V2043" t="s">
        <v>40</v>
      </c>
      <c r="W2043" s="1">
        <v>4369600</v>
      </c>
    </row>
    <row r="2044" spans="1:23" x14ac:dyDescent="0.2">
      <c r="A2044" t="s">
        <v>23</v>
      </c>
      <c r="B2044" t="s">
        <v>1108</v>
      </c>
      <c r="C2044" t="s">
        <v>1808</v>
      </c>
      <c r="D2044" t="s">
        <v>1809</v>
      </c>
      <c r="E2044" t="s">
        <v>1810</v>
      </c>
      <c r="F2044" t="s">
        <v>1811</v>
      </c>
      <c r="G2044" t="s">
        <v>67</v>
      </c>
      <c r="H2044" t="s">
        <v>30</v>
      </c>
      <c r="I2044" t="s">
        <v>30</v>
      </c>
      <c r="J2044" t="s">
        <v>41</v>
      </c>
      <c r="K2044" t="s">
        <v>32</v>
      </c>
      <c r="L2044" t="s">
        <v>32</v>
      </c>
      <c r="M2044" t="s">
        <v>33</v>
      </c>
      <c r="P2044" t="s">
        <v>34</v>
      </c>
      <c r="Q2044" t="s">
        <v>35</v>
      </c>
      <c r="R2044" t="s">
        <v>294</v>
      </c>
      <c r="S2044" t="s">
        <v>30</v>
      </c>
      <c r="T2044" t="s">
        <v>1820</v>
      </c>
      <c r="U2044" t="s">
        <v>1821</v>
      </c>
      <c r="V2044" t="s">
        <v>39</v>
      </c>
      <c r="W2044" s="1">
        <v>10</v>
      </c>
    </row>
    <row r="2045" spans="1:23" x14ac:dyDescent="0.2">
      <c r="A2045" t="s">
        <v>23</v>
      </c>
      <c r="B2045" t="s">
        <v>1108</v>
      </c>
      <c r="C2045" t="s">
        <v>1808</v>
      </c>
      <c r="D2045" t="s">
        <v>1809</v>
      </c>
      <c r="E2045" t="s">
        <v>1810</v>
      </c>
      <c r="F2045" t="s">
        <v>1811</v>
      </c>
      <c r="G2045" t="s">
        <v>67</v>
      </c>
      <c r="H2045" t="s">
        <v>30</v>
      </c>
      <c r="I2045" t="s">
        <v>30</v>
      </c>
      <c r="J2045" t="s">
        <v>41</v>
      </c>
      <c r="K2045" t="s">
        <v>32</v>
      </c>
      <c r="L2045" t="s">
        <v>32</v>
      </c>
      <c r="M2045" t="s">
        <v>33</v>
      </c>
      <c r="P2045" t="s">
        <v>34</v>
      </c>
      <c r="Q2045" t="s">
        <v>35</v>
      </c>
      <c r="R2045" t="s">
        <v>294</v>
      </c>
      <c r="S2045" t="s">
        <v>30</v>
      </c>
      <c r="T2045" t="s">
        <v>1820</v>
      </c>
      <c r="U2045" t="s">
        <v>1821</v>
      </c>
      <c r="V2045" t="s">
        <v>40</v>
      </c>
      <c r="W2045" s="1">
        <v>13234000</v>
      </c>
    </row>
    <row r="2046" spans="1:23" x14ac:dyDescent="0.2">
      <c r="A2046" t="s">
        <v>23</v>
      </c>
      <c r="B2046" t="s">
        <v>1108</v>
      </c>
      <c r="C2046" t="s">
        <v>1808</v>
      </c>
      <c r="D2046" t="s">
        <v>1809</v>
      </c>
      <c r="E2046" t="s">
        <v>1810</v>
      </c>
      <c r="F2046" t="s">
        <v>1811</v>
      </c>
      <c r="G2046" t="s">
        <v>67</v>
      </c>
      <c r="H2046" t="s">
        <v>30</v>
      </c>
      <c r="I2046" t="s">
        <v>30</v>
      </c>
      <c r="J2046" t="s">
        <v>41</v>
      </c>
      <c r="K2046" t="s">
        <v>32</v>
      </c>
      <c r="L2046" t="s">
        <v>32</v>
      </c>
      <c r="M2046" t="s">
        <v>33</v>
      </c>
      <c r="P2046" t="s">
        <v>34</v>
      </c>
      <c r="Q2046" t="s">
        <v>35</v>
      </c>
      <c r="R2046" t="s">
        <v>294</v>
      </c>
      <c r="S2046" t="s">
        <v>30</v>
      </c>
      <c r="T2046" t="s">
        <v>1822</v>
      </c>
      <c r="U2046" t="s">
        <v>1823</v>
      </c>
      <c r="V2046" t="s">
        <v>39</v>
      </c>
      <c r="W2046" s="1">
        <v>10</v>
      </c>
    </row>
    <row r="2047" spans="1:23" x14ac:dyDescent="0.2">
      <c r="A2047" t="s">
        <v>23</v>
      </c>
      <c r="B2047" t="s">
        <v>1108</v>
      </c>
      <c r="C2047" t="s">
        <v>1808</v>
      </c>
      <c r="D2047" t="s">
        <v>1809</v>
      </c>
      <c r="E2047" t="s">
        <v>1810</v>
      </c>
      <c r="F2047" t="s">
        <v>1811</v>
      </c>
      <c r="G2047" t="s">
        <v>67</v>
      </c>
      <c r="H2047" t="s">
        <v>30</v>
      </c>
      <c r="I2047" t="s">
        <v>30</v>
      </c>
      <c r="J2047" t="s">
        <v>41</v>
      </c>
      <c r="K2047" t="s">
        <v>32</v>
      </c>
      <c r="L2047" t="s">
        <v>32</v>
      </c>
      <c r="M2047" t="s">
        <v>33</v>
      </c>
      <c r="P2047" t="s">
        <v>34</v>
      </c>
      <c r="Q2047" t="s">
        <v>35</v>
      </c>
      <c r="R2047" t="s">
        <v>294</v>
      </c>
      <c r="S2047" t="s">
        <v>30</v>
      </c>
      <c r="T2047" t="s">
        <v>1822</v>
      </c>
      <c r="U2047" t="s">
        <v>1823</v>
      </c>
      <c r="V2047" t="s">
        <v>40</v>
      </c>
      <c r="W2047" s="1">
        <v>16234000</v>
      </c>
    </row>
    <row r="2048" spans="1:23" x14ac:dyDescent="0.2">
      <c r="A2048" t="s">
        <v>23</v>
      </c>
      <c r="B2048" t="s">
        <v>1108</v>
      </c>
      <c r="C2048" t="s">
        <v>1808</v>
      </c>
      <c r="D2048" t="s">
        <v>1809</v>
      </c>
      <c r="E2048" t="s">
        <v>1810</v>
      </c>
      <c r="F2048" t="s">
        <v>1811</v>
      </c>
      <c r="G2048" t="s">
        <v>67</v>
      </c>
      <c r="H2048" t="s">
        <v>30</v>
      </c>
      <c r="I2048" t="s">
        <v>30</v>
      </c>
      <c r="J2048" t="s">
        <v>41</v>
      </c>
      <c r="K2048" t="s">
        <v>32</v>
      </c>
      <c r="L2048" t="s">
        <v>32</v>
      </c>
      <c r="M2048" t="s">
        <v>33</v>
      </c>
      <c r="P2048" t="s">
        <v>34</v>
      </c>
      <c r="Q2048" t="s">
        <v>35</v>
      </c>
      <c r="R2048" t="s">
        <v>294</v>
      </c>
      <c r="S2048" t="s">
        <v>52</v>
      </c>
      <c r="T2048" t="s">
        <v>1824</v>
      </c>
      <c r="U2048" t="s">
        <v>1825</v>
      </c>
      <c r="V2048" t="s">
        <v>39</v>
      </c>
      <c r="W2048" s="1">
        <v>0</v>
      </c>
    </row>
    <row r="2049" spans="1:23" x14ac:dyDescent="0.2">
      <c r="A2049" t="s">
        <v>23</v>
      </c>
      <c r="B2049" t="s">
        <v>1108</v>
      </c>
      <c r="C2049" t="s">
        <v>1808</v>
      </c>
      <c r="D2049" t="s">
        <v>1809</v>
      </c>
      <c r="E2049" t="s">
        <v>1810</v>
      </c>
      <c r="F2049" t="s">
        <v>1811</v>
      </c>
      <c r="G2049" t="s">
        <v>67</v>
      </c>
      <c r="H2049" t="s">
        <v>30</v>
      </c>
      <c r="I2049" t="s">
        <v>30</v>
      </c>
      <c r="J2049" t="s">
        <v>41</v>
      </c>
      <c r="K2049" t="s">
        <v>32</v>
      </c>
      <c r="L2049" t="s">
        <v>32</v>
      </c>
      <c r="M2049" t="s">
        <v>33</v>
      </c>
      <c r="P2049" t="s">
        <v>34</v>
      </c>
      <c r="Q2049" t="s">
        <v>35</v>
      </c>
      <c r="R2049" t="s">
        <v>294</v>
      </c>
      <c r="S2049" t="s">
        <v>52</v>
      </c>
      <c r="T2049" t="s">
        <v>1824</v>
      </c>
      <c r="U2049" t="s">
        <v>1825</v>
      </c>
      <c r="V2049" t="s">
        <v>40</v>
      </c>
      <c r="W2049" s="1">
        <v>4596000</v>
      </c>
    </row>
    <row r="2050" spans="1:23" x14ac:dyDescent="0.2">
      <c r="A2050" t="s">
        <v>23</v>
      </c>
      <c r="B2050" t="s">
        <v>1108</v>
      </c>
      <c r="C2050" t="s">
        <v>1808</v>
      </c>
      <c r="D2050" t="s">
        <v>1809</v>
      </c>
      <c r="E2050" t="s">
        <v>1810</v>
      </c>
      <c r="F2050" t="s">
        <v>1811</v>
      </c>
      <c r="G2050" t="s">
        <v>119</v>
      </c>
      <c r="H2050" t="s">
        <v>30</v>
      </c>
      <c r="I2050" t="s">
        <v>52</v>
      </c>
      <c r="J2050" t="s">
        <v>128</v>
      </c>
      <c r="K2050" t="s">
        <v>135</v>
      </c>
      <c r="L2050" t="s">
        <v>32</v>
      </c>
      <c r="M2050" t="s">
        <v>33</v>
      </c>
      <c r="N2050" t="s">
        <v>33</v>
      </c>
      <c r="O2050" t="s">
        <v>33</v>
      </c>
      <c r="P2050" t="s">
        <v>34</v>
      </c>
      <c r="Q2050" t="s">
        <v>35</v>
      </c>
      <c r="R2050" t="s">
        <v>136</v>
      </c>
      <c r="S2050" t="s">
        <v>30</v>
      </c>
      <c r="T2050" t="s">
        <v>1826</v>
      </c>
      <c r="U2050" t="s">
        <v>1827</v>
      </c>
      <c r="V2050" t="s">
        <v>39</v>
      </c>
      <c r="W2050" s="1">
        <v>2</v>
      </c>
    </row>
    <row r="2051" spans="1:23" x14ac:dyDescent="0.2">
      <c r="A2051" t="s">
        <v>23</v>
      </c>
      <c r="B2051" t="s">
        <v>1108</v>
      </c>
      <c r="C2051" t="s">
        <v>1808</v>
      </c>
      <c r="D2051" t="s">
        <v>1809</v>
      </c>
      <c r="E2051" t="s">
        <v>1810</v>
      </c>
      <c r="F2051" t="s">
        <v>1811</v>
      </c>
      <c r="G2051" t="s">
        <v>119</v>
      </c>
      <c r="H2051" t="s">
        <v>30</v>
      </c>
      <c r="I2051" t="s">
        <v>52</v>
      </c>
      <c r="J2051" t="s">
        <v>128</v>
      </c>
      <c r="K2051" t="s">
        <v>135</v>
      </c>
      <c r="L2051" t="s">
        <v>32</v>
      </c>
      <c r="M2051" t="s">
        <v>33</v>
      </c>
      <c r="N2051" t="s">
        <v>33</v>
      </c>
      <c r="O2051" t="s">
        <v>33</v>
      </c>
      <c r="P2051" t="s">
        <v>34</v>
      </c>
      <c r="Q2051" t="s">
        <v>35</v>
      </c>
      <c r="R2051" t="s">
        <v>136</v>
      </c>
      <c r="S2051" t="s">
        <v>30</v>
      </c>
      <c r="T2051" t="s">
        <v>1826</v>
      </c>
      <c r="U2051" t="s">
        <v>1827</v>
      </c>
      <c r="V2051" t="s">
        <v>40</v>
      </c>
      <c r="W2051" s="1">
        <v>1823200</v>
      </c>
    </row>
    <row r="2052" spans="1:23" x14ac:dyDescent="0.2">
      <c r="A2052" t="s">
        <v>23</v>
      </c>
      <c r="B2052" t="s">
        <v>1108</v>
      </c>
      <c r="C2052" t="s">
        <v>1808</v>
      </c>
      <c r="D2052" t="s">
        <v>1809</v>
      </c>
      <c r="E2052" t="s">
        <v>1810</v>
      </c>
      <c r="F2052" t="s">
        <v>1811</v>
      </c>
      <c r="G2052" t="s">
        <v>139</v>
      </c>
      <c r="H2052" t="s">
        <v>30</v>
      </c>
      <c r="I2052" t="s">
        <v>30</v>
      </c>
      <c r="J2052" t="s">
        <v>31</v>
      </c>
      <c r="K2052" t="s">
        <v>32</v>
      </c>
      <c r="L2052" t="s">
        <v>32</v>
      </c>
      <c r="M2052" t="s">
        <v>33</v>
      </c>
      <c r="P2052" t="s">
        <v>34</v>
      </c>
      <c r="Q2052" t="s">
        <v>35</v>
      </c>
      <c r="S2052" t="s">
        <v>30</v>
      </c>
      <c r="T2052" t="s">
        <v>1828</v>
      </c>
      <c r="U2052" t="s">
        <v>1829</v>
      </c>
      <c r="V2052" t="s">
        <v>39</v>
      </c>
      <c r="W2052" s="1">
        <v>15</v>
      </c>
    </row>
    <row r="2053" spans="1:23" x14ac:dyDescent="0.2">
      <c r="A2053" t="s">
        <v>23</v>
      </c>
      <c r="B2053" t="s">
        <v>1108</v>
      </c>
      <c r="C2053" t="s">
        <v>1808</v>
      </c>
      <c r="D2053" t="s">
        <v>1809</v>
      </c>
      <c r="E2053" t="s">
        <v>1810</v>
      </c>
      <c r="F2053" t="s">
        <v>1811</v>
      </c>
      <c r="G2053" t="s">
        <v>139</v>
      </c>
      <c r="H2053" t="s">
        <v>30</v>
      </c>
      <c r="I2053" t="s">
        <v>30</v>
      </c>
      <c r="J2053" t="s">
        <v>31</v>
      </c>
      <c r="K2053" t="s">
        <v>32</v>
      </c>
      <c r="L2053" t="s">
        <v>32</v>
      </c>
      <c r="M2053" t="s">
        <v>33</v>
      </c>
      <c r="P2053" t="s">
        <v>34</v>
      </c>
      <c r="Q2053" t="s">
        <v>35</v>
      </c>
      <c r="S2053" t="s">
        <v>30</v>
      </c>
      <c r="T2053" t="s">
        <v>1828</v>
      </c>
      <c r="U2053" t="s">
        <v>1829</v>
      </c>
      <c r="V2053" t="s">
        <v>40</v>
      </c>
      <c r="W2053" s="1">
        <v>15375000</v>
      </c>
    </row>
    <row r="2054" spans="1:23" x14ac:dyDescent="0.2">
      <c r="A2054" t="s">
        <v>23</v>
      </c>
      <c r="B2054" t="s">
        <v>1108</v>
      </c>
      <c r="C2054" t="s">
        <v>1808</v>
      </c>
      <c r="D2054" t="s">
        <v>1809</v>
      </c>
      <c r="E2054" t="s">
        <v>1810</v>
      </c>
      <c r="F2054" t="s">
        <v>1811</v>
      </c>
      <c r="G2054" t="s">
        <v>139</v>
      </c>
      <c r="H2054" t="s">
        <v>30</v>
      </c>
      <c r="I2054" t="s">
        <v>30</v>
      </c>
      <c r="J2054" t="s">
        <v>41</v>
      </c>
      <c r="K2054" t="s">
        <v>32</v>
      </c>
      <c r="L2054" t="s">
        <v>32</v>
      </c>
      <c r="M2054" t="s">
        <v>33</v>
      </c>
      <c r="P2054" t="s">
        <v>34</v>
      </c>
      <c r="Q2054" t="s">
        <v>35</v>
      </c>
      <c r="R2054" t="s">
        <v>184</v>
      </c>
      <c r="S2054" t="s">
        <v>30</v>
      </c>
      <c r="T2054" t="s">
        <v>1830</v>
      </c>
      <c r="U2054" t="s">
        <v>1831</v>
      </c>
      <c r="V2054" t="s">
        <v>39</v>
      </c>
      <c r="W2054" s="1">
        <v>15</v>
      </c>
    </row>
    <row r="2055" spans="1:23" x14ac:dyDescent="0.2">
      <c r="A2055" t="s">
        <v>23</v>
      </c>
      <c r="B2055" t="s">
        <v>1108</v>
      </c>
      <c r="C2055" t="s">
        <v>1808</v>
      </c>
      <c r="D2055" t="s">
        <v>1809</v>
      </c>
      <c r="E2055" t="s">
        <v>1810</v>
      </c>
      <c r="F2055" t="s">
        <v>1811</v>
      </c>
      <c r="G2055" t="s">
        <v>139</v>
      </c>
      <c r="H2055" t="s">
        <v>30</v>
      </c>
      <c r="I2055" t="s">
        <v>30</v>
      </c>
      <c r="J2055" t="s">
        <v>41</v>
      </c>
      <c r="K2055" t="s">
        <v>32</v>
      </c>
      <c r="L2055" t="s">
        <v>32</v>
      </c>
      <c r="M2055" t="s">
        <v>33</v>
      </c>
      <c r="P2055" t="s">
        <v>34</v>
      </c>
      <c r="Q2055" t="s">
        <v>35</v>
      </c>
      <c r="R2055" t="s">
        <v>184</v>
      </c>
      <c r="S2055" t="s">
        <v>30</v>
      </c>
      <c r="T2055" t="s">
        <v>1830</v>
      </c>
      <c r="U2055" t="s">
        <v>1831</v>
      </c>
      <c r="V2055" t="s">
        <v>40</v>
      </c>
      <c r="W2055" s="1">
        <v>19980000</v>
      </c>
    </row>
    <row r="2056" spans="1:23" x14ac:dyDescent="0.2">
      <c r="A2056" t="s">
        <v>23</v>
      </c>
      <c r="B2056" t="s">
        <v>1108</v>
      </c>
      <c r="C2056" t="s">
        <v>1808</v>
      </c>
      <c r="D2056" t="s">
        <v>1832</v>
      </c>
      <c r="E2056" t="s">
        <v>1833</v>
      </c>
      <c r="F2056" t="s">
        <v>1834</v>
      </c>
      <c r="G2056" t="s">
        <v>49</v>
      </c>
      <c r="H2056" t="s">
        <v>30</v>
      </c>
      <c r="I2056" t="s">
        <v>30</v>
      </c>
      <c r="J2056" t="s">
        <v>211</v>
      </c>
      <c r="K2056" t="s">
        <v>212</v>
      </c>
      <c r="L2056" t="s">
        <v>32</v>
      </c>
      <c r="M2056" t="s">
        <v>33</v>
      </c>
      <c r="N2056" t="s">
        <v>33</v>
      </c>
      <c r="O2056" t="s">
        <v>33</v>
      </c>
      <c r="P2056" t="s">
        <v>34</v>
      </c>
      <c r="Q2056" t="s">
        <v>35</v>
      </c>
      <c r="R2056" t="s">
        <v>215</v>
      </c>
      <c r="S2056" t="s">
        <v>30</v>
      </c>
      <c r="T2056" t="s">
        <v>1835</v>
      </c>
      <c r="U2056" t="s">
        <v>1836</v>
      </c>
      <c r="V2056" t="s">
        <v>39</v>
      </c>
      <c r="W2056" s="1">
        <v>4</v>
      </c>
    </row>
    <row r="2057" spans="1:23" x14ac:dyDescent="0.2">
      <c r="A2057" t="s">
        <v>23</v>
      </c>
      <c r="B2057" t="s">
        <v>1108</v>
      </c>
      <c r="C2057" t="s">
        <v>1808</v>
      </c>
      <c r="D2057" t="s">
        <v>1832</v>
      </c>
      <c r="E2057" t="s">
        <v>1833</v>
      </c>
      <c r="F2057" t="s">
        <v>1834</v>
      </c>
      <c r="G2057" t="s">
        <v>49</v>
      </c>
      <c r="H2057" t="s">
        <v>30</v>
      </c>
      <c r="I2057" t="s">
        <v>30</v>
      </c>
      <c r="J2057" t="s">
        <v>211</v>
      </c>
      <c r="K2057" t="s">
        <v>212</v>
      </c>
      <c r="L2057" t="s">
        <v>32</v>
      </c>
      <c r="M2057" t="s">
        <v>33</v>
      </c>
      <c r="N2057" t="s">
        <v>33</v>
      </c>
      <c r="O2057" t="s">
        <v>33</v>
      </c>
      <c r="P2057" t="s">
        <v>34</v>
      </c>
      <c r="Q2057" t="s">
        <v>35</v>
      </c>
      <c r="R2057" t="s">
        <v>215</v>
      </c>
      <c r="S2057" t="s">
        <v>30</v>
      </c>
      <c r="T2057" t="s">
        <v>1835</v>
      </c>
      <c r="U2057" t="s">
        <v>1836</v>
      </c>
      <c r="V2057" t="s">
        <v>40</v>
      </c>
      <c r="W2057" s="1">
        <v>8356000</v>
      </c>
    </row>
    <row r="2058" spans="1:23" x14ac:dyDescent="0.2">
      <c r="A2058" t="s">
        <v>23</v>
      </c>
      <c r="B2058" t="s">
        <v>1108</v>
      </c>
      <c r="C2058" t="s">
        <v>1808</v>
      </c>
      <c r="D2058" t="s">
        <v>1832</v>
      </c>
      <c r="E2058" t="s">
        <v>1833</v>
      </c>
      <c r="F2058" t="s">
        <v>1834</v>
      </c>
      <c r="G2058" t="s">
        <v>49</v>
      </c>
      <c r="H2058" t="s">
        <v>30</v>
      </c>
      <c r="I2058" t="s">
        <v>30</v>
      </c>
      <c r="J2058" t="s">
        <v>128</v>
      </c>
      <c r="K2058" t="s">
        <v>135</v>
      </c>
      <c r="L2058" t="s">
        <v>32</v>
      </c>
      <c r="M2058" t="s">
        <v>33</v>
      </c>
      <c r="N2058" t="s">
        <v>33</v>
      </c>
      <c r="O2058" t="s">
        <v>33</v>
      </c>
      <c r="P2058" t="s">
        <v>34</v>
      </c>
      <c r="Q2058" t="s">
        <v>35</v>
      </c>
      <c r="R2058" t="s">
        <v>136</v>
      </c>
      <c r="S2058" t="s">
        <v>30</v>
      </c>
      <c r="T2058" t="s">
        <v>1837</v>
      </c>
      <c r="U2058" t="s">
        <v>1838</v>
      </c>
      <c r="V2058" t="s">
        <v>39</v>
      </c>
      <c r="W2058" s="1">
        <v>2</v>
      </c>
    </row>
    <row r="2059" spans="1:23" x14ac:dyDescent="0.2">
      <c r="A2059" t="s">
        <v>23</v>
      </c>
      <c r="B2059" t="s">
        <v>1108</v>
      </c>
      <c r="C2059" t="s">
        <v>1808</v>
      </c>
      <c r="D2059" t="s">
        <v>1832</v>
      </c>
      <c r="E2059" t="s">
        <v>1833</v>
      </c>
      <c r="F2059" t="s">
        <v>1834</v>
      </c>
      <c r="G2059" t="s">
        <v>49</v>
      </c>
      <c r="H2059" t="s">
        <v>30</v>
      </c>
      <c r="I2059" t="s">
        <v>30</v>
      </c>
      <c r="J2059" t="s">
        <v>128</v>
      </c>
      <c r="K2059" t="s">
        <v>135</v>
      </c>
      <c r="L2059" t="s">
        <v>32</v>
      </c>
      <c r="M2059" t="s">
        <v>33</v>
      </c>
      <c r="N2059" t="s">
        <v>33</v>
      </c>
      <c r="O2059" t="s">
        <v>33</v>
      </c>
      <c r="P2059" t="s">
        <v>34</v>
      </c>
      <c r="Q2059" t="s">
        <v>35</v>
      </c>
      <c r="R2059" t="s">
        <v>136</v>
      </c>
      <c r="S2059" t="s">
        <v>30</v>
      </c>
      <c r="T2059" t="s">
        <v>1837</v>
      </c>
      <c r="U2059" t="s">
        <v>1838</v>
      </c>
      <c r="V2059" t="s">
        <v>40</v>
      </c>
      <c r="W2059" s="1">
        <v>1778000</v>
      </c>
    </row>
    <row r="2060" spans="1:23" x14ac:dyDescent="0.2">
      <c r="A2060" t="s">
        <v>23</v>
      </c>
      <c r="B2060" t="s">
        <v>1108</v>
      </c>
      <c r="C2060" t="s">
        <v>1808</v>
      </c>
      <c r="D2060" t="s">
        <v>1832</v>
      </c>
      <c r="E2060" t="s">
        <v>1833</v>
      </c>
      <c r="F2060" t="s">
        <v>1834</v>
      </c>
      <c r="G2060" t="s">
        <v>49</v>
      </c>
      <c r="H2060" t="s">
        <v>30</v>
      </c>
      <c r="I2060" t="s">
        <v>30</v>
      </c>
      <c r="J2060" t="s">
        <v>128</v>
      </c>
      <c r="K2060" t="s">
        <v>135</v>
      </c>
      <c r="L2060" t="s">
        <v>32</v>
      </c>
      <c r="M2060" t="s">
        <v>176</v>
      </c>
      <c r="N2060" t="s">
        <v>176</v>
      </c>
      <c r="O2060" t="s">
        <v>176</v>
      </c>
      <c r="P2060" t="s">
        <v>34</v>
      </c>
      <c r="Q2060" t="s">
        <v>35</v>
      </c>
      <c r="R2060" t="s">
        <v>136</v>
      </c>
      <c r="S2060" t="s">
        <v>30</v>
      </c>
      <c r="T2060" t="s">
        <v>1837</v>
      </c>
      <c r="U2060" t="s">
        <v>1838</v>
      </c>
      <c r="V2060" t="s">
        <v>39</v>
      </c>
      <c r="W2060" s="1">
        <v>2</v>
      </c>
    </row>
    <row r="2061" spans="1:23" x14ac:dyDescent="0.2">
      <c r="A2061" t="s">
        <v>23</v>
      </c>
      <c r="B2061" t="s">
        <v>1108</v>
      </c>
      <c r="C2061" t="s">
        <v>1808</v>
      </c>
      <c r="D2061" t="s">
        <v>1832</v>
      </c>
      <c r="E2061" t="s">
        <v>1833</v>
      </c>
      <c r="F2061" t="s">
        <v>1834</v>
      </c>
      <c r="G2061" t="s">
        <v>49</v>
      </c>
      <c r="H2061" t="s">
        <v>30</v>
      </c>
      <c r="I2061" t="s">
        <v>30</v>
      </c>
      <c r="J2061" t="s">
        <v>128</v>
      </c>
      <c r="K2061" t="s">
        <v>135</v>
      </c>
      <c r="L2061" t="s">
        <v>32</v>
      </c>
      <c r="M2061" t="s">
        <v>176</v>
      </c>
      <c r="N2061" t="s">
        <v>176</v>
      </c>
      <c r="O2061" t="s">
        <v>176</v>
      </c>
      <c r="P2061" t="s">
        <v>34</v>
      </c>
      <c r="Q2061" t="s">
        <v>35</v>
      </c>
      <c r="R2061" t="s">
        <v>136</v>
      </c>
      <c r="S2061" t="s">
        <v>30</v>
      </c>
      <c r="T2061" t="s">
        <v>1837</v>
      </c>
      <c r="U2061" t="s">
        <v>1838</v>
      </c>
      <c r="V2061" t="s">
        <v>40</v>
      </c>
      <c r="W2061" s="1">
        <v>1778000</v>
      </c>
    </row>
    <row r="2062" spans="1:23" x14ac:dyDescent="0.2">
      <c r="A2062" t="s">
        <v>23</v>
      </c>
      <c r="B2062" t="s">
        <v>1108</v>
      </c>
      <c r="C2062" t="s">
        <v>1808</v>
      </c>
      <c r="D2062" t="s">
        <v>1832</v>
      </c>
      <c r="E2062" t="s">
        <v>1833</v>
      </c>
      <c r="F2062" t="s">
        <v>1834</v>
      </c>
      <c r="G2062" t="s">
        <v>61</v>
      </c>
      <c r="H2062" t="s">
        <v>52</v>
      </c>
      <c r="I2062" t="s">
        <v>52</v>
      </c>
      <c r="J2062" t="s">
        <v>41</v>
      </c>
      <c r="K2062" t="s">
        <v>32</v>
      </c>
      <c r="L2062" t="s">
        <v>32</v>
      </c>
      <c r="M2062" t="s">
        <v>33</v>
      </c>
      <c r="N2062" t="s">
        <v>33</v>
      </c>
      <c r="O2062" t="s">
        <v>33</v>
      </c>
      <c r="P2062" t="s">
        <v>34</v>
      </c>
      <c r="Q2062" t="s">
        <v>35</v>
      </c>
      <c r="S2062" t="s">
        <v>30</v>
      </c>
      <c r="T2062" t="s">
        <v>1839</v>
      </c>
      <c r="U2062" t="s">
        <v>1840</v>
      </c>
      <c r="V2062" t="s">
        <v>39</v>
      </c>
      <c r="W2062" s="1">
        <v>2</v>
      </c>
    </row>
    <row r="2063" spans="1:23" x14ac:dyDescent="0.2">
      <c r="A2063" t="s">
        <v>23</v>
      </c>
      <c r="B2063" t="s">
        <v>1108</v>
      </c>
      <c r="C2063" t="s">
        <v>1808</v>
      </c>
      <c r="D2063" t="s">
        <v>1832</v>
      </c>
      <c r="E2063" t="s">
        <v>1833</v>
      </c>
      <c r="F2063" t="s">
        <v>1834</v>
      </c>
      <c r="G2063" t="s">
        <v>61</v>
      </c>
      <c r="H2063" t="s">
        <v>52</v>
      </c>
      <c r="I2063" t="s">
        <v>52</v>
      </c>
      <c r="J2063" t="s">
        <v>41</v>
      </c>
      <c r="K2063" t="s">
        <v>32</v>
      </c>
      <c r="L2063" t="s">
        <v>32</v>
      </c>
      <c r="M2063" t="s">
        <v>33</v>
      </c>
      <c r="N2063" t="s">
        <v>33</v>
      </c>
      <c r="O2063" t="s">
        <v>33</v>
      </c>
      <c r="P2063" t="s">
        <v>34</v>
      </c>
      <c r="Q2063" t="s">
        <v>35</v>
      </c>
      <c r="S2063" t="s">
        <v>30</v>
      </c>
      <c r="T2063" t="s">
        <v>1839</v>
      </c>
      <c r="U2063" t="s">
        <v>1840</v>
      </c>
      <c r="V2063" t="s">
        <v>40</v>
      </c>
      <c r="W2063" s="1">
        <v>2798000</v>
      </c>
    </row>
    <row r="2064" spans="1:23" x14ac:dyDescent="0.2">
      <c r="A2064" t="s">
        <v>23</v>
      </c>
      <c r="B2064" t="s">
        <v>1108</v>
      </c>
      <c r="C2064" t="s">
        <v>1808</v>
      </c>
      <c r="D2064" t="s">
        <v>1832</v>
      </c>
      <c r="E2064" t="s">
        <v>1833</v>
      </c>
      <c r="F2064" t="s">
        <v>1834</v>
      </c>
      <c r="G2064" t="s">
        <v>61</v>
      </c>
      <c r="H2064" t="s">
        <v>52</v>
      </c>
      <c r="I2064" t="s">
        <v>52</v>
      </c>
      <c r="J2064" t="s">
        <v>41</v>
      </c>
      <c r="K2064" t="s">
        <v>32</v>
      </c>
      <c r="L2064" t="s">
        <v>32</v>
      </c>
      <c r="M2064" t="s">
        <v>176</v>
      </c>
      <c r="N2064" t="s">
        <v>176</v>
      </c>
      <c r="O2064" t="s">
        <v>176</v>
      </c>
      <c r="P2064" t="s">
        <v>34</v>
      </c>
      <c r="Q2064" t="s">
        <v>35</v>
      </c>
      <c r="S2064" t="s">
        <v>30</v>
      </c>
      <c r="T2064" t="s">
        <v>1839</v>
      </c>
      <c r="U2064" t="s">
        <v>1840</v>
      </c>
      <c r="V2064" t="s">
        <v>39</v>
      </c>
      <c r="W2064" s="1">
        <v>2</v>
      </c>
    </row>
    <row r="2065" spans="1:23" x14ac:dyDescent="0.2">
      <c r="A2065" t="s">
        <v>23</v>
      </c>
      <c r="B2065" t="s">
        <v>1108</v>
      </c>
      <c r="C2065" t="s">
        <v>1808</v>
      </c>
      <c r="D2065" t="s">
        <v>1832</v>
      </c>
      <c r="E2065" t="s">
        <v>1833</v>
      </c>
      <c r="F2065" t="s">
        <v>1834</v>
      </c>
      <c r="G2065" t="s">
        <v>61</v>
      </c>
      <c r="H2065" t="s">
        <v>52</v>
      </c>
      <c r="I2065" t="s">
        <v>52</v>
      </c>
      <c r="J2065" t="s">
        <v>41</v>
      </c>
      <c r="K2065" t="s">
        <v>32</v>
      </c>
      <c r="L2065" t="s">
        <v>32</v>
      </c>
      <c r="M2065" t="s">
        <v>176</v>
      </c>
      <c r="N2065" t="s">
        <v>176</v>
      </c>
      <c r="O2065" t="s">
        <v>176</v>
      </c>
      <c r="P2065" t="s">
        <v>34</v>
      </c>
      <c r="Q2065" t="s">
        <v>35</v>
      </c>
      <c r="S2065" t="s">
        <v>30</v>
      </c>
      <c r="T2065" t="s">
        <v>1839</v>
      </c>
      <c r="U2065" t="s">
        <v>1840</v>
      </c>
      <c r="V2065" t="s">
        <v>40</v>
      </c>
      <c r="W2065" s="1">
        <v>2798000</v>
      </c>
    </row>
    <row r="2066" spans="1:23" x14ac:dyDescent="0.2">
      <c r="A2066" t="s">
        <v>23</v>
      </c>
      <c r="B2066" t="s">
        <v>1108</v>
      </c>
      <c r="C2066" t="s">
        <v>1808</v>
      </c>
      <c r="D2066" t="s">
        <v>1832</v>
      </c>
      <c r="E2066" t="s">
        <v>1833</v>
      </c>
      <c r="F2066" t="s">
        <v>1834</v>
      </c>
      <c r="G2066" t="s">
        <v>67</v>
      </c>
      <c r="H2066" t="s">
        <v>30</v>
      </c>
      <c r="I2066" t="s">
        <v>30</v>
      </c>
      <c r="J2066" t="s">
        <v>107</v>
      </c>
      <c r="K2066" t="s">
        <v>32</v>
      </c>
      <c r="L2066" t="s">
        <v>32</v>
      </c>
      <c r="M2066" t="s">
        <v>33</v>
      </c>
      <c r="N2066" t="s">
        <v>33</v>
      </c>
      <c r="O2066" t="s">
        <v>33</v>
      </c>
      <c r="P2066" t="s">
        <v>34</v>
      </c>
      <c r="Q2066" t="s">
        <v>35</v>
      </c>
      <c r="R2066" t="s">
        <v>108</v>
      </c>
      <c r="S2066" t="s">
        <v>30</v>
      </c>
      <c r="T2066" t="s">
        <v>1841</v>
      </c>
      <c r="U2066" t="s">
        <v>1842</v>
      </c>
      <c r="V2066" t="s">
        <v>39</v>
      </c>
      <c r="W2066" s="1">
        <v>2</v>
      </c>
    </row>
    <row r="2067" spans="1:23" x14ac:dyDescent="0.2">
      <c r="A2067" t="s">
        <v>23</v>
      </c>
      <c r="B2067" t="s">
        <v>1108</v>
      </c>
      <c r="C2067" t="s">
        <v>1808</v>
      </c>
      <c r="D2067" t="s">
        <v>1832</v>
      </c>
      <c r="E2067" t="s">
        <v>1833</v>
      </c>
      <c r="F2067" t="s">
        <v>1834</v>
      </c>
      <c r="G2067" t="s">
        <v>67</v>
      </c>
      <c r="H2067" t="s">
        <v>30</v>
      </c>
      <c r="I2067" t="s">
        <v>30</v>
      </c>
      <c r="J2067" t="s">
        <v>107</v>
      </c>
      <c r="K2067" t="s">
        <v>32</v>
      </c>
      <c r="L2067" t="s">
        <v>32</v>
      </c>
      <c r="M2067" t="s">
        <v>33</v>
      </c>
      <c r="N2067" t="s">
        <v>33</v>
      </c>
      <c r="O2067" t="s">
        <v>33</v>
      </c>
      <c r="P2067" t="s">
        <v>34</v>
      </c>
      <c r="Q2067" t="s">
        <v>35</v>
      </c>
      <c r="R2067" t="s">
        <v>108</v>
      </c>
      <c r="S2067" t="s">
        <v>30</v>
      </c>
      <c r="T2067" t="s">
        <v>1841</v>
      </c>
      <c r="U2067" t="s">
        <v>1842</v>
      </c>
      <c r="V2067" t="s">
        <v>40</v>
      </c>
      <c r="W2067" s="1">
        <v>4200000</v>
      </c>
    </row>
    <row r="2068" spans="1:23" x14ac:dyDescent="0.2">
      <c r="A2068" t="s">
        <v>23</v>
      </c>
      <c r="B2068" t="s">
        <v>1108</v>
      </c>
      <c r="C2068" t="s">
        <v>1808</v>
      </c>
      <c r="D2068" t="s">
        <v>1832</v>
      </c>
      <c r="E2068" t="s">
        <v>1833</v>
      </c>
      <c r="F2068" t="s">
        <v>1834</v>
      </c>
      <c r="G2068" t="s">
        <v>67</v>
      </c>
      <c r="H2068" t="s">
        <v>30</v>
      </c>
      <c r="I2068" t="s">
        <v>30</v>
      </c>
      <c r="J2068" t="s">
        <v>41</v>
      </c>
      <c r="K2068" t="s">
        <v>32</v>
      </c>
      <c r="L2068" t="s">
        <v>32</v>
      </c>
      <c r="M2068" t="s">
        <v>33</v>
      </c>
      <c r="N2068" t="s">
        <v>33</v>
      </c>
      <c r="O2068" t="s">
        <v>33</v>
      </c>
      <c r="P2068" t="s">
        <v>34</v>
      </c>
      <c r="Q2068" t="s">
        <v>35</v>
      </c>
      <c r="R2068" t="s">
        <v>1843</v>
      </c>
      <c r="S2068" t="s">
        <v>30</v>
      </c>
      <c r="T2068" t="s">
        <v>1844</v>
      </c>
      <c r="U2068" t="s">
        <v>1845</v>
      </c>
      <c r="V2068" t="s">
        <v>39</v>
      </c>
      <c r="W2068" s="1">
        <v>2</v>
      </c>
    </row>
    <row r="2069" spans="1:23" x14ac:dyDescent="0.2">
      <c r="A2069" t="s">
        <v>23</v>
      </c>
      <c r="B2069" t="s">
        <v>1108</v>
      </c>
      <c r="C2069" t="s">
        <v>1808</v>
      </c>
      <c r="D2069" t="s">
        <v>1832</v>
      </c>
      <c r="E2069" t="s">
        <v>1833</v>
      </c>
      <c r="F2069" t="s">
        <v>1834</v>
      </c>
      <c r="G2069" t="s">
        <v>67</v>
      </c>
      <c r="H2069" t="s">
        <v>30</v>
      </c>
      <c r="I2069" t="s">
        <v>30</v>
      </c>
      <c r="J2069" t="s">
        <v>41</v>
      </c>
      <c r="K2069" t="s">
        <v>32</v>
      </c>
      <c r="L2069" t="s">
        <v>32</v>
      </c>
      <c r="M2069" t="s">
        <v>33</v>
      </c>
      <c r="N2069" t="s">
        <v>33</v>
      </c>
      <c r="O2069" t="s">
        <v>33</v>
      </c>
      <c r="P2069" t="s">
        <v>34</v>
      </c>
      <c r="Q2069" t="s">
        <v>35</v>
      </c>
      <c r="R2069" t="s">
        <v>1843</v>
      </c>
      <c r="S2069" t="s">
        <v>30</v>
      </c>
      <c r="T2069" t="s">
        <v>1844</v>
      </c>
      <c r="U2069" t="s">
        <v>1845</v>
      </c>
      <c r="V2069" t="s">
        <v>40</v>
      </c>
      <c r="W2069" s="1">
        <v>2233200</v>
      </c>
    </row>
    <row r="2070" spans="1:23" x14ac:dyDescent="0.2">
      <c r="A2070" t="s">
        <v>23</v>
      </c>
      <c r="B2070" t="s">
        <v>1108</v>
      </c>
      <c r="C2070" t="s">
        <v>1808</v>
      </c>
      <c r="D2070" t="s">
        <v>1832</v>
      </c>
      <c r="E2070" t="s">
        <v>1833</v>
      </c>
      <c r="F2070" t="s">
        <v>1834</v>
      </c>
      <c r="G2070" t="s">
        <v>67</v>
      </c>
      <c r="H2070" t="s">
        <v>30</v>
      </c>
      <c r="I2070" t="s">
        <v>30</v>
      </c>
      <c r="J2070" t="s">
        <v>41</v>
      </c>
      <c r="K2070" t="s">
        <v>32</v>
      </c>
      <c r="L2070" t="s">
        <v>32</v>
      </c>
      <c r="M2070" t="s">
        <v>33</v>
      </c>
      <c r="N2070" t="s">
        <v>169</v>
      </c>
      <c r="O2070" t="s">
        <v>169</v>
      </c>
      <c r="P2070" t="s">
        <v>34</v>
      </c>
      <c r="Q2070" t="s">
        <v>35</v>
      </c>
      <c r="R2070" t="s">
        <v>1843</v>
      </c>
      <c r="S2070" t="s">
        <v>30</v>
      </c>
      <c r="T2070" t="s">
        <v>1844</v>
      </c>
      <c r="U2070" t="s">
        <v>1845</v>
      </c>
      <c r="V2070" t="s">
        <v>39</v>
      </c>
      <c r="W2070" s="1">
        <v>1</v>
      </c>
    </row>
    <row r="2071" spans="1:23" x14ac:dyDescent="0.2">
      <c r="A2071" t="s">
        <v>23</v>
      </c>
      <c r="B2071" t="s">
        <v>1108</v>
      </c>
      <c r="C2071" t="s">
        <v>1808</v>
      </c>
      <c r="D2071" t="s">
        <v>1832</v>
      </c>
      <c r="E2071" t="s">
        <v>1833</v>
      </c>
      <c r="F2071" t="s">
        <v>1834</v>
      </c>
      <c r="G2071" t="s">
        <v>67</v>
      </c>
      <c r="H2071" t="s">
        <v>30</v>
      </c>
      <c r="I2071" t="s">
        <v>30</v>
      </c>
      <c r="J2071" t="s">
        <v>41</v>
      </c>
      <c r="K2071" t="s">
        <v>32</v>
      </c>
      <c r="L2071" t="s">
        <v>32</v>
      </c>
      <c r="M2071" t="s">
        <v>33</v>
      </c>
      <c r="N2071" t="s">
        <v>169</v>
      </c>
      <c r="O2071" t="s">
        <v>169</v>
      </c>
      <c r="P2071" t="s">
        <v>34</v>
      </c>
      <c r="Q2071" t="s">
        <v>35</v>
      </c>
      <c r="R2071" t="s">
        <v>1843</v>
      </c>
      <c r="S2071" t="s">
        <v>30</v>
      </c>
      <c r="T2071" t="s">
        <v>1844</v>
      </c>
      <c r="U2071" t="s">
        <v>1845</v>
      </c>
      <c r="V2071" t="s">
        <v>40</v>
      </c>
      <c r="W2071" s="1">
        <v>1116600</v>
      </c>
    </row>
    <row r="2072" spans="1:23" x14ac:dyDescent="0.2">
      <c r="A2072" t="s">
        <v>23</v>
      </c>
      <c r="B2072" t="s">
        <v>1108</v>
      </c>
      <c r="C2072" t="s">
        <v>1808</v>
      </c>
      <c r="D2072" t="s">
        <v>1832</v>
      </c>
      <c r="E2072" t="s">
        <v>1833</v>
      </c>
      <c r="F2072" t="s">
        <v>1834</v>
      </c>
      <c r="G2072" t="s">
        <v>89</v>
      </c>
      <c r="H2072" t="s">
        <v>30</v>
      </c>
      <c r="I2072" t="s">
        <v>30</v>
      </c>
      <c r="J2072" t="s">
        <v>41</v>
      </c>
      <c r="K2072" t="s">
        <v>32</v>
      </c>
      <c r="L2072" t="s">
        <v>32</v>
      </c>
      <c r="M2072" t="s">
        <v>33</v>
      </c>
      <c r="N2072" t="s">
        <v>33</v>
      </c>
      <c r="O2072" t="s">
        <v>33</v>
      </c>
      <c r="P2072" t="s">
        <v>34</v>
      </c>
      <c r="Q2072" t="s">
        <v>35</v>
      </c>
      <c r="S2072" t="s">
        <v>30</v>
      </c>
      <c r="T2072" t="s">
        <v>1846</v>
      </c>
      <c r="U2072" t="s">
        <v>1847</v>
      </c>
      <c r="V2072" t="s">
        <v>39</v>
      </c>
      <c r="W2072" s="1">
        <v>1</v>
      </c>
    </row>
    <row r="2073" spans="1:23" x14ac:dyDescent="0.2">
      <c r="A2073" t="s">
        <v>23</v>
      </c>
      <c r="B2073" t="s">
        <v>1108</v>
      </c>
      <c r="C2073" t="s">
        <v>1808</v>
      </c>
      <c r="D2073" t="s">
        <v>1832</v>
      </c>
      <c r="E2073" t="s">
        <v>1833</v>
      </c>
      <c r="F2073" t="s">
        <v>1834</v>
      </c>
      <c r="G2073" t="s">
        <v>89</v>
      </c>
      <c r="H2073" t="s">
        <v>30</v>
      </c>
      <c r="I2073" t="s">
        <v>30</v>
      </c>
      <c r="J2073" t="s">
        <v>41</v>
      </c>
      <c r="K2073" t="s">
        <v>32</v>
      </c>
      <c r="L2073" t="s">
        <v>32</v>
      </c>
      <c r="M2073" t="s">
        <v>33</v>
      </c>
      <c r="N2073" t="s">
        <v>33</v>
      </c>
      <c r="O2073" t="s">
        <v>33</v>
      </c>
      <c r="P2073" t="s">
        <v>34</v>
      </c>
      <c r="Q2073" t="s">
        <v>35</v>
      </c>
      <c r="S2073" t="s">
        <v>30</v>
      </c>
      <c r="T2073" t="s">
        <v>1846</v>
      </c>
      <c r="U2073" t="s">
        <v>1847</v>
      </c>
      <c r="V2073" t="s">
        <v>40</v>
      </c>
      <c r="W2073" s="1">
        <v>1979000</v>
      </c>
    </row>
    <row r="2074" spans="1:23" x14ac:dyDescent="0.2">
      <c r="A2074" t="s">
        <v>23</v>
      </c>
      <c r="B2074" t="s">
        <v>1108</v>
      </c>
      <c r="C2074" t="s">
        <v>1808</v>
      </c>
      <c r="D2074" t="s">
        <v>1832</v>
      </c>
      <c r="E2074" t="s">
        <v>1848</v>
      </c>
      <c r="F2074" t="s">
        <v>1849</v>
      </c>
      <c r="G2074" t="s">
        <v>49</v>
      </c>
      <c r="H2074" t="s">
        <v>30</v>
      </c>
      <c r="I2074" t="s">
        <v>30</v>
      </c>
      <c r="J2074" t="s">
        <v>128</v>
      </c>
      <c r="K2074" t="s">
        <v>135</v>
      </c>
      <c r="L2074" t="s">
        <v>32</v>
      </c>
      <c r="M2074" t="s">
        <v>33</v>
      </c>
      <c r="N2074" t="s">
        <v>33</v>
      </c>
      <c r="O2074" t="s">
        <v>33</v>
      </c>
      <c r="P2074" t="s">
        <v>34</v>
      </c>
      <c r="Q2074" t="s">
        <v>35</v>
      </c>
      <c r="R2074" t="s">
        <v>136</v>
      </c>
      <c r="S2074" t="s">
        <v>30</v>
      </c>
      <c r="T2074" t="s">
        <v>1850</v>
      </c>
      <c r="U2074" t="s">
        <v>1851</v>
      </c>
      <c r="V2074" t="s">
        <v>39</v>
      </c>
      <c r="W2074" s="1">
        <v>2</v>
      </c>
    </row>
    <row r="2075" spans="1:23" x14ac:dyDescent="0.2">
      <c r="A2075" t="s">
        <v>23</v>
      </c>
      <c r="B2075" t="s">
        <v>1108</v>
      </c>
      <c r="C2075" t="s">
        <v>1808</v>
      </c>
      <c r="D2075" t="s">
        <v>1832</v>
      </c>
      <c r="E2075" t="s">
        <v>1848</v>
      </c>
      <c r="F2075" t="s">
        <v>1849</v>
      </c>
      <c r="G2075" t="s">
        <v>49</v>
      </c>
      <c r="H2075" t="s">
        <v>30</v>
      </c>
      <c r="I2075" t="s">
        <v>30</v>
      </c>
      <c r="J2075" t="s">
        <v>128</v>
      </c>
      <c r="K2075" t="s">
        <v>135</v>
      </c>
      <c r="L2075" t="s">
        <v>32</v>
      </c>
      <c r="M2075" t="s">
        <v>33</v>
      </c>
      <c r="N2075" t="s">
        <v>33</v>
      </c>
      <c r="O2075" t="s">
        <v>33</v>
      </c>
      <c r="P2075" t="s">
        <v>34</v>
      </c>
      <c r="Q2075" t="s">
        <v>35</v>
      </c>
      <c r="R2075" t="s">
        <v>136</v>
      </c>
      <c r="S2075" t="s">
        <v>30</v>
      </c>
      <c r="T2075" t="s">
        <v>1850</v>
      </c>
      <c r="U2075" t="s">
        <v>1851</v>
      </c>
      <c r="V2075" t="s">
        <v>40</v>
      </c>
      <c r="W2075" s="1">
        <v>865400</v>
      </c>
    </row>
    <row r="2076" spans="1:23" x14ac:dyDescent="0.2">
      <c r="A2076" t="s">
        <v>23</v>
      </c>
      <c r="B2076" t="s">
        <v>1108</v>
      </c>
      <c r="C2076" t="s">
        <v>1808</v>
      </c>
      <c r="D2076" t="s">
        <v>1832</v>
      </c>
      <c r="E2076" t="s">
        <v>1848</v>
      </c>
      <c r="F2076" t="s">
        <v>1849</v>
      </c>
      <c r="G2076" t="s">
        <v>49</v>
      </c>
      <c r="H2076" t="s">
        <v>30</v>
      </c>
      <c r="I2076" t="s">
        <v>30</v>
      </c>
      <c r="J2076" t="s">
        <v>31</v>
      </c>
      <c r="K2076" t="s">
        <v>32</v>
      </c>
      <c r="L2076" t="s">
        <v>32</v>
      </c>
      <c r="M2076" t="s">
        <v>33</v>
      </c>
      <c r="N2076" t="s">
        <v>33</v>
      </c>
      <c r="O2076" t="s">
        <v>33</v>
      </c>
      <c r="P2076" t="s">
        <v>34</v>
      </c>
      <c r="Q2076" t="s">
        <v>35</v>
      </c>
      <c r="R2076" t="s">
        <v>148</v>
      </c>
      <c r="S2076" t="s">
        <v>30</v>
      </c>
      <c r="T2076" t="s">
        <v>1852</v>
      </c>
      <c r="U2076" t="s">
        <v>1853</v>
      </c>
      <c r="V2076" t="s">
        <v>39</v>
      </c>
      <c r="W2076" s="1">
        <v>2</v>
      </c>
    </row>
    <row r="2077" spans="1:23" x14ac:dyDescent="0.2">
      <c r="A2077" t="s">
        <v>23</v>
      </c>
      <c r="B2077" t="s">
        <v>1108</v>
      </c>
      <c r="C2077" t="s">
        <v>1808</v>
      </c>
      <c r="D2077" t="s">
        <v>1832</v>
      </c>
      <c r="E2077" t="s">
        <v>1848</v>
      </c>
      <c r="F2077" t="s">
        <v>1849</v>
      </c>
      <c r="G2077" t="s">
        <v>49</v>
      </c>
      <c r="H2077" t="s">
        <v>30</v>
      </c>
      <c r="I2077" t="s">
        <v>30</v>
      </c>
      <c r="J2077" t="s">
        <v>31</v>
      </c>
      <c r="K2077" t="s">
        <v>32</v>
      </c>
      <c r="L2077" t="s">
        <v>32</v>
      </c>
      <c r="M2077" t="s">
        <v>33</v>
      </c>
      <c r="N2077" t="s">
        <v>33</v>
      </c>
      <c r="O2077" t="s">
        <v>33</v>
      </c>
      <c r="P2077" t="s">
        <v>34</v>
      </c>
      <c r="Q2077" t="s">
        <v>35</v>
      </c>
      <c r="R2077" t="s">
        <v>148</v>
      </c>
      <c r="S2077" t="s">
        <v>30</v>
      </c>
      <c r="T2077" t="s">
        <v>1852</v>
      </c>
      <c r="U2077" t="s">
        <v>1853</v>
      </c>
      <c r="V2077" t="s">
        <v>40</v>
      </c>
      <c r="W2077" s="1">
        <v>3993200</v>
      </c>
    </row>
    <row r="2078" spans="1:23" x14ac:dyDescent="0.2">
      <c r="A2078" t="s">
        <v>23</v>
      </c>
      <c r="B2078" t="s">
        <v>1108</v>
      </c>
      <c r="C2078" t="s">
        <v>1808</v>
      </c>
      <c r="D2078" t="s">
        <v>1832</v>
      </c>
      <c r="E2078" t="s">
        <v>1848</v>
      </c>
      <c r="F2078" t="s">
        <v>1849</v>
      </c>
      <c r="G2078" t="s">
        <v>49</v>
      </c>
      <c r="H2078" t="s">
        <v>30</v>
      </c>
      <c r="I2078" t="s">
        <v>30</v>
      </c>
      <c r="J2078" t="s">
        <v>31</v>
      </c>
      <c r="K2078" t="s">
        <v>32</v>
      </c>
      <c r="L2078" t="s">
        <v>32</v>
      </c>
      <c r="M2078" t="s">
        <v>33</v>
      </c>
      <c r="N2078" t="s">
        <v>33</v>
      </c>
      <c r="O2078" t="s">
        <v>33</v>
      </c>
      <c r="P2078" t="s">
        <v>34</v>
      </c>
      <c r="Q2078" t="s">
        <v>35</v>
      </c>
      <c r="S2078" t="s">
        <v>30</v>
      </c>
      <c r="T2078" t="s">
        <v>1854</v>
      </c>
      <c r="U2078" t="s">
        <v>1855</v>
      </c>
      <c r="V2078" t="s">
        <v>39</v>
      </c>
      <c r="W2078" s="1">
        <v>4</v>
      </c>
    </row>
    <row r="2079" spans="1:23" x14ac:dyDescent="0.2">
      <c r="A2079" t="s">
        <v>23</v>
      </c>
      <c r="B2079" t="s">
        <v>1108</v>
      </c>
      <c r="C2079" t="s">
        <v>1808</v>
      </c>
      <c r="D2079" t="s">
        <v>1832</v>
      </c>
      <c r="E2079" t="s">
        <v>1848</v>
      </c>
      <c r="F2079" t="s">
        <v>1849</v>
      </c>
      <c r="G2079" t="s">
        <v>49</v>
      </c>
      <c r="H2079" t="s">
        <v>30</v>
      </c>
      <c r="I2079" t="s">
        <v>30</v>
      </c>
      <c r="J2079" t="s">
        <v>31</v>
      </c>
      <c r="K2079" t="s">
        <v>32</v>
      </c>
      <c r="L2079" t="s">
        <v>32</v>
      </c>
      <c r="M2079" t="s">
        <v>33</v>
      </c>
      <c r="N2079" t="s">
        <v>33</v>
      </c>
      <c r="O2079" t="s">
        <v>33</v>
      </c>
      <c r="P2079" t="s">
        <v>34</v>
      </c>
      <c r="Q2079" t="s">
        <v>35</v>
      </c>
      <c r="S2079" t="s">
        <v>30</v>
      </c>
      <c r="T2079" t="s">
        <v>1854</v>
      </c>
      <c r="U2079" t="s">
        <v>1855</v>
      </c>
      <c r="V2079" t="s">
        <v>40</v>
      </c>
      <c r="W2079" s="1">
        <v>2676000</v>
      </c>
    </row>
    <row r="2080" spans="1:23" x14ac:dyDescent="0.2">
      <c r="A2080" t="s">
        <v>23</v>
      </c>
      <c r="B2080" t="s">
        <v>1108</v>
      </c>
      <c r="C2080" t="s">
        <v>1808</v>
      </c>
      <c r="D2080" t="s">
        <v>1832</v>
      </c>
      <c r="E2080" t="s">
        <v>1848</v>
      </c>
      <c r="F2080" t="s">
        <v>1849</v>
      </c>
      <c r="G2080" t="s">
        <v>49</v>
      </c>
      <c r="H2080" t="s">
        <v>30</v>
      </c>
      <c r="I2080" t="s">
        <v>30</v>
      </c>
      <c r="J2080" t="s">
        <v>41</v>
      </c>
      <c r="K2080" t="s">
        <v>32</v>
      </c>
      <c r="L2080" t="s">
        <v>32</v>
      </c>
      <c r="M2080" t="s">
        <v>33</v>
      </c>
      <c r="N2080" t="s">
        <v>33</v>
      </c>
      <c r="O2080" t="s">
        <v>33</v>
      </c>
      <c r="P2080" t="s">
        <v>34</v>
      </c>
      <c r="Q2080" t="s">
        <v>35</v>
      </c>
      <c r="R2080" t="s">
        <v>285</v>
      </c>
      <c r="S2080" t="s">
        <v>30</v>
      </c>
      <c r="T2080" t="s">
        <v>1856</v>
      </c>
      <c r="U2080" t="s">
        <v>1857</v>
      </c>
      <c r="V2080" t="s">
        <v>39</v>
      </c>
      <c r="W2080" s="1">
        <v>2</v>
      </c>
    </row>
    <row r="2081" spans="1:23" x14ac:dyDescent="0.2">
      <c r="A2081" t="s">
        <v>23</v>
      </c>
      <c r="B2081" t="s">
        <v>1108</v>
      </c>
      <c r="C2081" t="s">
        <v>1808</v>
      </c>
      <c r="D2081" t="s">
        <v>1832</v>
      </c>
      <c r="E2081" t="s">
        <v>1848</v>
      </c>
      <c r="F2081" t="s">
        <v>1849</v>
      </c>
      <c r="G2081" t="s">
        <v>49</v>
      </c>
      <c r="H2081" t="s">
        <v>30</v>
      </c>
      <c r="I2081" t="s">
        <v>30</v>
      </c>
      <c r="J2081" t="s">
        <v>41</v>
      </c>
      <c r="K2081" t="s">
        <v>32</v>
      </c>
      <c r="L2081" t="s">
        <v>32</v>
      </c>
      <c r="M2081" t="s">
        <v>33</v>
      </c>
      <c r="N2081" t="s">
        <v>33</v>
      </c>
      <c r="O2081" t="s">
        <v>33</v>
      </c>
      <c r="P2081" t="s">
        <v>34</v>
      </c>
      <c r="Q2081" t="s">
        <v>35</v>
      </c>
      <c r="R2081" t="s">
        <v>285</v>
      </c>
      <c r="S2081" t="s">
        <v>30</v>
      </c>
      <c r="T2081" t="s">
        <v>1856</v>
      </c>
      <c r="U2081" t="s">
        <v>1857</v>
      </c>
      <c r="V2081" t="s">
        <v>40</v>
      </c>
      <c r="W2081" s="1">
        <v>3099600</v>
      </c>
    </row>
    <row r="2082" spans="1:23" x14ac:dyDescent="0.2">
      <c r="A2082" t="s">
        <v>23</v>
      </c>
      <c r="B2082" t="s">
        <v>1108</v>
      </c>
      <c r="C2082" t="s">
        <v>1808</v>
      </c>
      <c r="D2082" t="s">
        <v>1832</v>
      </c>
      <c r="E2082" t="s">
        <v>1848</v>
      </c>
      <c r="F2082" t="s">
        <v>1849</v>
      </c>
      <c r="G2082" t="s">
        <v>49</v>
      </c>
      <c r="H2082" t="s">
        <v>30</v>
      </c>
      <c r="I2082" t="s">
        <v>30</v>
      </c>
      <c r="J2082" t="s">
        <v>41</v>
      </c>
      <c r="K2082" t="s">
        <v>32</v>
      </c>
      <c r="L2082" t="s">
        <v>32</v>
      </c>
      <c r="M2082" t="s">
        <v>33</v>
      </c>
      <c r="N2082" t="s">
        <v>33</v>
      </c>
      <c r="O2082" t="s">
        <v>33</v>
      </c>
      <c r="P2082" t="s">
        <v>34</v>
      </c>
      <c r="Q2082" t="s">
        <v>35</v>
      </c>
      <c r="R2082" t="s">
        <v>68</v>
      </c>
      <c r="S2082" t="s">
        <v>30</v>
      </c>
      <c r="T2082" t="s">
        <v>1858</v>
      </c>
      <c r="U2082" t="s">
        <v>1859</v>
      </c>
      <c r="V2082" t="s">
        <v>39</v>
      </c>
      <c r="W2082" s="1">
        <v>2</v>
      </c>
    </row>
    <row r="2083" spans="1:23" x14ac:dyDescent="0.2">
      <c r="A2083" t="s">
        <v>23</v>
      </c>
      <c r="B2083" t="s">
        <v>1108</v>
      </c>
      <c r="C2083" t="s">
        <v>1808</v>
      </c>
      <c r="D2083" t="s">
        <v>1832</v>
      </c>
      <c r="E2083" t="s">
        <v>1848</v>
      </c>
      <c r="F2083" t="s">
        <v>1849</v>
      </c>
      <c r="G2083" t="s">
        <v>49</v>
      </c>
      <c r="H2083" t="s">
        <v>30</v>
      </c>
      <c r="I2083" t="s">
        <v>30</v>
      </c>
      <c r="J2083" t="s">
        <v>41</v>
      </c>
      <c r="K2083" t="s">
        <v>32</v>
      </c>
      <c r="L2083" t="s">
        <v>32</v>
      </c>
      <c r="M2083" t="s">
        <v>33</v>
      </c>
      <c r="N2083" t="s">
        <v>33</v>
      </c>
      <c r="O2083" t="s">
        <v>33</v>
      </c>
      <c r="P2083" t="s">
        <v>34</v>
      </c>
      <c r="Q2083" t="s">
        <v>35</v>
      </c>
      <c r="R2083" t="s">
        <v>68</v>
      </c>
      <c r="S2083" t="s">
        <v>30</v>
      </c>
      <c r="T2083" t="s">
        <v>1858</v>
      </c>
      <c r="U2083" t="s">
        <v>1859</v>
      </c>
      <c r="V2083" t="s">
        <v>40</v>
      </c>
      <c r="W2083" s="1">
        <v>3099600</v>
      </c>
    </row>
    <row r="2084" spans="1:23" x14ac:dyDescent="0.2">
      <c r="A2084" t="s">
        <v>23</v>
      </c>
      <c r="B2084" t="s">
        <v>1108</v>
      </c>
      <c r="C2084" t="s">
        <v>1808</v>
      </c>
      <c r="D2084" t="s">
        <v>1832</v>
      </c>
      <c r="E2084" t="s">
        <v>1848</v>
      </c>
      <c r="F2084" t="s">
        <v>1849</v>
      </c>
      <c r="G2084" t="s">
        <v>49</v>
      </c>
      <c r="H2084" t="s">
        <v>30</v>
      </c>
      <c r="I2084" t="s">
        <v>30</v>
      </c>
      <c r="J2084" t="s">
        <v>41</v>
      </c>
      <c r="K2084" t="s">
        <v>32</v>
      </c>
      <c r="L2084" t="s">
        <v>32</v>
      </c>
      <c r="M2084" t="s">
        <v>33</v>
      </c>
      <c r="N2084" t="s">
        <v>33</v>
      </c>
      <c r="O2084" t="s">
        <v>33</v>
      </c>
      <c r="P2084" t="s">
        <v>34</v>
      </c>
      <c r="Q2084" t="s">
        <v>35</v>
      </c>
      <c r="S2084" t="s">
        <v>30</v>
      </c>
      <c r="T2084" t="s">
        <v>1860</v>
      </c>
      <c r="U2084" t="s">
        <v>1861</v>
      </c>
      <c r="V2084" t="s">
        <v>39</v>
      </c>
      <c r="W2084" s="1">
        <v>2</v>
      </c>
    </row>
    <row r="2085" spans="1:23" x14ac:dyDescent="0.2">
      <c r="A2085" t="s">
        <v>23</v>
      </c>
      <c r="B2085" t="s">
        <v>1108</v>
      </c>
      <c r="C2085" t="s">
        <v>1808</v>
      </c>
      <c r="D2085" t="s">
        <v>1832</v>
      </c>
      <c r="E2085" t="s">
        <v>1848</v>
      </c>
      <c r="F2085" t="s">
        <v>1849</v>
      </c>
      <c r="G2085" t="s">
        <v>49</v>
      </c>
      <c r="H2085" t="s">
        <v>30</v>
      </c>
      <c r="I2085" t="s">
        <v>30</v>
      </c>
      <c r="J2085" t="s">
        <v>41</v>
      </c>
      <c r="K2085" t="s">
        <v>32</v>
      </c>
      <c r="L2085" t="s">
        <v>32</v>
      </c>
      <c r="M2085" t="s">
        <v>33</v>
      </c>
      <c r="N2085" t="s">
        <v>33</v>
      </c>
      <c r="O2085" t="s">
        <v>33</v>
      </c>
      <c r="P2085" t="s">
        <v>34</v>
      </c>
      <c r="Q2085" t="s">
        <v>35</v>
      </c>
      <c r="S2085" t="s">
        <v>30</v>
      </c>
      <c r="T2085" t="s">
        <v>1860</v>
      </c>
      <c r="U2085" t="s">
        <v>1861</v>
      </c>
      <c r="V2085" t="s">
        <v>40</v>
      </c>
      <c r="W2085" s="1">
        <v>1845200</v>
      </c>
    </row>
    <row r="2086" spans="1:23" x14ac:dyDescent="0.2">
      <c r="A2086" t="s">
        <v>23</v>
      </c>
      <c r="B2086" t="s">
        <v>1108</v>
      </c>
      <c r="C2086" t="s">
        <v>1808</v>
      </c>
      <c r="D2086" t="s">
        <v>1832</v>
      </c>
      <c r="E2086" t="s">
        <v>1848</v>
      </c>
      <c r="F2086" t="s">
        <v>1849</v>
      </c>
      <c r="G2086" t="s">
        <v>49</v>
      </c>
      <c r="H2086" t="s">
        <v>30</v>
      </c>
      <c r="I2086" t="s">
        <v>30</v>
      </c>
      <c r="J2086" t="s">
        <v>41</v>
      </c>
      <c r="K2086" t="s">
        <v>32</v>
      </c>
      <c r="L2086" t="s">
        <v>32</v>
      </c>
      <c r="M2086" t="s">
        <v>33</v>
      </c>
      <c r="P2086" t="s">
        <v>34</v>
      </c>
      <c r="Q2086" t="s">
        <v>35</v>
      </c>
      <c r="R2086" t="s">
        <v>285</v>
      </c>
      <c r="S2086" t="s">
        <v>30</v>
      </c>
      <c r="T2086" t="s">
        <v>1856</v>
      </c>
      <c r="U2086" t="s">
        <v>1857</v>
      </c>
      <c r="V2086" t="s">
        <v>39</v>
      </c>
      <c r="W2086" s="1">
        <v>2</v>
      </c>
    </row>
    <row r="2087" spans="1:23" x14ac:dyDescent="0.2">
      <c r="A2087" t="s">
        <v>23</v>
      </c>
      <c r="B2087" t="s">
        <v>1108</v>
      </c>
      <c r="C2087" t="s">
        <v>1808</v>
      </c>
      <c r="D2087" t="s">
        <v>1832</v>
      </c>
      <c r="E2087" t="s">
        <v>1848</v>
      </c>
      <c r="F2087" t="s">
        <v>1849</v>
      </c>
      <c r="G2087" t="s">
        <v>49</v>
      </c>
      <c r="H2087" t="s">
        <v>30</v>
      </c>
      <c r="I2087" t="s">
        <v>30</v>
      </c>
      <c r="J2087" t="s">
        <v>41</v>
      </c>
      <c r="K2087" t="s">
        <v>32</v>
      </c>
      <c r="L2087" t="s">
        <v>32</v>
      </c>
      <c r="M2087" t="s">
        <v>33</v>
      </c>
      <c r="P2087" t="s">
        <v>34</v>
      </c>
      <c r="Q2087" t="s">
        <v>35</v>
      </c>
      <c r="R2087" t="s">
        <v>285</v>
      </c>
      <c r="S2087" t="s">
        <v>30</v>
      </c>
      <c r="T2087" t="s">
        <v>1856</v>
      </c>
      <c r="U2087" t="s">
        <v>1857</v>
      </c>
      <c r="V2087" t="s">
        <v>40</v>
      </c>
      <c r="W2087" s="1">
        <v>3099600</v>
      </c>
    </row>
    <row r="2088" spans="1:23" x14ac:dyDescent="0.2">
      <c r="A2088" t="s">
        <v>23</v>
      </c>
      <c r="B2088" t="s">
        <v>1108</v>
      </c>
      <c r="C2088" t="s">
        <v>1808</v>
      </c>
      <c r="D2088" t="s">
        <v>1832</v>
      </c>
      <c r="E2088" t="s">
        <v>1848</v>
      </c>
      <c r="F2088" t="s">
        <v>1849</v>
      </c>
      <c r="G2088" t="s">
        <v>49</v>
      </c>
      <c r="H2088" t="s">
        <v>30</v>
      </c>
      <c r="I2088" t="s">
        <v>30</v>
      </c>
      <c r="J2088" t="s">
        <v>41</v>
      </c>
      <c r="K2088" t="s">
        <v>32</v>
      </c>
      <c r="L2088" t="s">
        <v>32</v>
      </c>
      <c r="M2088" t="s">
        <v>33</v>
      </c>
      <c r="P2088" t="s">
        <v>34</v>
      </c>
      <c r="Q2088" t="s">
        <v>35</v>
      </c>
      <c r="R2088" t="s">
        <v>68</v>
      </c>
      <c r="S2088" t="s">
        <v>30</v>
      </c>
      <c r="T2088" t="s">
        <v>1858</v>
      </c>
      <c r="U2088" t="s">
        <v>1859</v>
      </c>
      <c r="V2088" t="s">
        <v>39</v>
      </c>
      <c r="W2088" s="1">
        <v>2</v>
      </c>
    </row>
    <row r="2089" spans="1:23" x14ac:dyDescent="0.2">
      <c r="A2089" t="s">
        <v>23</v>
      </c>
      <c r="B2089" t="s">
        <v>1108</v>
      </c>
      <c r="C2089" t="s">
        <v>1808</v>
      </c>
      <c r="D2089" t="s">
        <v>1832</v>
      </c>
      <c r="E2089" t="s">
        <v>1848</v>
      </c>
      <c r="F2089" t="s">
        <v>1849</v>
      </c>
      <c r="G2089" t="s">
        <v>49</v>
      </c>
      <c r="H2089" t="s">
        <v>30</v>
      </c>
      <c r="I2089" t="s">
        <v>30</v>
      </c>
      <c r="J2089" t="s">
        <v>41</v>
      </c>
      <c r="K2089" t="s">
        <v>32</v>
      </c>
      <c r="L2089" t="s">
        <v>32</v>
      </c>
      <c r="M2089" t="s">
        <v>33</v>
      </c>
      <c r="P2089" t="s">
        <v>34</v>
      </c>
      <c r="Q2089" t="s">
        <v>35</v>
      </c>
      <c r="R2089" t="s">
        <v>68</v>
      </c>
      <c r="S2089" t="s">
        <v>30</v>
      </c>
      <c r="T2089" t="s">
        <v>1858</v>
      </c>
      <c r="U2089" t="s">
        <v>1859</v>
      </c>
      <c r="V2089" t="s">
        <v>40</v>
      </c>
      <c r="W2089" s="1">
        <v>3099600</v>
      </c>
    </row>
    <row r="2090" spans="1:23" x14ac:dyDescent="0.2">
      <c r="A2090" t="s">
        <v>23</v>
      </c>
      <c r="B2090" t="s">
        <v>1108</v>
      </c>
      <c r="C2090" t="s">
        <v>1808</v>
      </c>
      <c r="D2090" t="s">
        <v>1832</v>
      </c>
      <c r="E2090" t="s">
        <v>1848</v>
      </c>
      <c r="F2090" t="s">
        <v>1849</v>
      </c>
      <c r="G2090" t="s">
        <v>67</v>
      </c>
      <c r="H2090" t="s">
        <v>30</v>
      </c>
      <c r="I2090" t="s">
        <v>30</v>
      </c>
      <c r="J2090" t="s">
        <v>31</v>
      </c>
      <c r="K2090" t="s">
        <v>32</v>
      </c>
      <c r="L2090" t="s">
        <v>32</v>
      </c>
      <c r="M2090" t="s">
        <v>33</v>
      </c>
      <c r="N2090" t="s">
        <v>33</v>
      </c>
      <c r="O2090" t="s">
        <v>33</v>
      </c>
      <c r="P2090" t="s">
        <v>34</v>
      </c>
      <c r="Q2090" t="s">
        <v>35</v>
      </c>
      <c r="S2090" t="s">
        <v>30</v>
      </c>
      <c r="T2090" t="s">
        <v>1862</v>
      </c>
      <c r="U2090" t="s">
        <v>1863</v>
      </c>
      <c r="V2090" t="s">
        <v>39</v>
      </c>
      <c r="W2090" s="1">
        <v>2</v>
      </c>
    </row>
    <row r="2091" spans="1:23" x14ac:dyDescent="0.2">
      <c r="A2091" t="s">
        <v>23</v>
      </c>
      <c r="B2091" t="s">
        <v>1108</v>
      </c>
      <c r="C2091" t="s">
        <v>1808</v>
      </c>
      <c r="D2091" t="s">
        <v>1832</v>
      </c>
      <c r="E2091" t="s">
        <v>1848</v>
      </c>
      <c r="F2091" t="s">
        <v>1849</v>
      </c>
      <c r="G2091" t="s">
        <v>67</v>
      </c>
      <c r="H2091" t="s">
        <v>30</v>
      </c>
      <c r="I2091" t="s">
        <v>30</v>
      </c>
      <c r="J2091" t="s">
        <v>31</v>
      </c>
      <c r="K2091" t="s">
        <v>32</v>
      </c>
      <c r="L2091" t="s">
        <v>32</v>
      </c>
      <c r="M2091" t="s">
        <v>33</v>
      </c>
      <c r="N2091" t="s">
        <v>33</v>
      </c>
      <c r="O2091" t="s">
        <v>33</v>
      </c>
      <c r="P2091" t="s">
        <v>34</v>
      </c>
      <c r="Q2091" t="s">
        <v>35</v>
      </c>
      <c r="S2091" t="s">
        <v>30</v>
      </c>
      <c r="T2091" t="s">
        <v>1862</v>
      </c>
      <c r="U2091" t="s">
        <v>1863</v>
      </c>
      <c r="V2091" t="s">
        <v>40</v>
      </c>
      <c r="W2091" s="1">
        <v>1868800</v>
      </c>
    </row>
    <row r="2092" spans="1:23" x14ac:dyDescent="0.2">
      <c r="A2092" t="s">
        <v>23</v>
      </c>
      <c r="B2092" t="s">
        <v>1108</v>
      </c>
      <c r="C2092" t="s">
        <v>1808</v>
      </c>
      <c r="D2092" t="s">
        <v>1832</v>
      </c>
      <c r="E2092" t="s">
        <v>1848</v>
      </c>
      <c r="F2092" t="s">
        <v>1849</v>
      </c>
      <c r="G2092" t="s">
        <v>67</v>
      </c>
      <c r="H2092" t="s">
        <v>30</v>
      </c>
      <c r="I2092" t="s">
        <v>30</v>
      </c>
      <c r="J2092" t="s">
        <v>57</v>
      </c>
      <c r="K2092" t="s">
        <v>32</v>
      </c>
      <c r="L2092" t="s">
        <v>32</v>
      </c>
      <c r="M2092" t="s">
        <v>33</v>
      </c>
      <c r="N2092" t="s">
        <v>33</v>
      </c>
      <c r="O2092" t="s">
        <v>33</v>
      </c>
      <c r="P2092" t="s">
        <v>34</v>
      </c>
      <c r="Q2092" t="s">
        <v>35</v>
      </c>
      <c r="S2092" t="s">
        <v>30</v>
      </c>
      <c r="T2092" t="s">
        <v>1864</v>
      </c>
      <c r="U2092" t="s">
        <v>1865</v>
      </c>
      <c r="V2092" t="s">
        <v>39</v>
      </c>
      <c r="W2092" s="1">
        <v>2</v>
      </c>
    </row>
    <row r="2093" spans="1:23" x14ac:dyDescent="0.2">
      <c r="A2093" t="s">
        <v>23</v>
      </c>
      <c r="B2093" t="s">
        <v>1108</v>
      </c>
      <c r="C2093" t="s">
        <v>1808</v>
      </c>
      <c r="D2093" t="s">
        <v>1832</v>
      </c>
      <c r="E2093" t="s">
        <v>1848</v>
      </c>
      <c r="F2093" t="s">
        <v>1849</v>
      </c>
      <c r="G2093" t="s">
        <v>67</v>
      </c>
      <c r="H2093" t="s">
        <v>30</v>
      </c>
      <c r="I2093" t="s">
        <v>30</v>
      </c>
      <c r="J2093" t="s">
        <v>57</v>
      </c>
      <c r="K2093" t="s">
        <v>32</v>
      </c>
      <c r="L2093" t="s">
        <v>32</v>
      </c>
      <c r="M2093" t="s">
        <v>33</v>
      </c>
      <c r="N2093" t="s">
        <v>33</v>
      </c>
      <c r="O2093" t="s">
        <v>33</v>
      </c>
      <c r="P2093" t="s">
        <v>34</v>
      </c>
      <c r="Q2093" t="s">
        <v>35</v>
      </c>
      <c r="S2093" t="s">
        <v>30</v>
      </c>
      <c r="T2093" t="s">
        <v>1864</v>
      </c>
      <c r="U2093" t="s">
        <v>1865</v>
      </c>
      <c r="V2093" t="s">
        <v>40</v>
      </c>
      <c r="W2093" s="1">
        <v>3198000</v>
      </c>
    </row>
    <row r="2094" spans="1:23" x14ac:dyDescent="0.2">
      <c r="A2094" t="s">
        <v>23</v>
      </c>
      <c r="B2094" t="s">
        <v>1108</v>
      </c>
      <c r="C2094" t="s">
        <v>1808</v>
      </c>
      <c r="D2094" t="s">
        <v>1832</v>
      </c>
      <c r="E2094" t="s">
        <v>1848</v>
      </c>
      <c r="F2094" t="s">
        <v>1849</v>
      </c>
      <c r="G2094" t="s">
        <v>127</v>
      </c>
      <c r="H2094" t="s">
        <v>52</v>
      </c>
      <c r="I2094" t="s">
        <v>30</v>
      </c>
      <c r="J2094" t="s">
        <v>41</v>
      </c>
      <c r="K2094" t="s">
        <v>32</v>
      </c>
      <c r="L2094" t="s">
        <v>32</v>
      </c>
      <c r="M2094" t="s">
        <v>33</v>
      </c>
      <c r="N2094" t="s">
        <v>33</v>
      </c>
      <c r="O2094" t="s">
        <v>33</v>
      </c>
      <c r="P2094" t="s">
        <v>34</v>
      </c>
      <c r="Q2094" t="s">
        <v>35</v>
      </c>
      <c r="S2094" t="s">
        <v>30</v>
      </c>
      <c r="T2094" t="s">
        <v>1866</v>
      </c>
      <c r="U2094" t="s">
        <v>1867</v>
      </c>
      <c r="V2094" t="s">
        <v>39</v>
      </c>
      <c r="W2094" s="1">
        <v>5</v>
      </c>
    </row>
    <row r="2095" spans="1:23" x14ac:dyDescent="0.2">
      <c r="A2095" t="s">
        <v>23</v>
      </c>
      <c r="B2095" t="s">
        <v>1108</v>
      </c>
      <c r="C2095" t="s">
        <v>1808</v>
      </c>
      <c r="D2095" t="s">
        <v>1832</v>
      </c>
      <c r="E2095" t="s">
        <v>1848</v>
      </c>
      <c r="F2095" t="s">
        <v>1849</v>
      </c>
      <c r="G2095" t="s">
        <v>127</v>
      </c>
      <c r="H2095" t="s">
        <v>52</v>
      </c>
      <c r="I2095" t="s">
        <v>30</v>
      </c>
      <c r="J2095" t="s">
        <v>41</v>
      </c>
      <c r="K2095" t="s">
        <v>32</v>
      </c>
      <c r="L2095" t="s">
        <v>32</v>
      </c>
      <c r="M2095" t="s">
        <v>33</v>
      </c>
      <c r="N2095" t="s">
        <v>33</v>
      </c>
      <c r="O2095" t="s">
        <v>33</v>
      </c>
      <c r="P2095" t="s">
        <v>34</v>
      </c>
      <c r="Q2095" t="s">
        <v>35</v>
      </c>
      <c r="S2095" t="s">
        <v>30</v>
      </c>
      <c r="T2095" t="s">
        <v>1866</v>
      </c>
      <c r="U2095" t="s">
        <v>1867</v>
      </c>
      <c r="V2095" t="s">
        <v>40</v>
      </c>
      <c r="W2095" s="1">
        <v>4315000</v>
      </c>
    </row>
    <row r="2096" spans="1:23" x14ac:dyDescent="0.2">
      <c r="A2096" t="s">
        <v>23</v>
      </c>
      <c r="B2096" t="s">
        <v>1108</v>
      </c>
      <c r="C2096" t="s">
        <v>1808</v>
      </c>
      <c r="D2096" t="s">
        <v>1832</v>
      </c>
      <c r="E2096" t="s">
        <v>1848</v>
      </c>
      <c r="F2096" t="s">
        <v>1849</v>
      </c>
      <c r="G2096" t="s">
        <v>139</v>
      </c>
      <c r="H2096" t="s">
        <v>30</v>
      </c>
      <c r="I2096" t="s">
        <v>30</v>
      </c>
      <c r="J2096" t="s">
        <v>31</v>
      </c>
      <c r="K2096" t="s">
        <v>32</v>
      </c>
      <c r="L2096" t="s">
        <v>32</v>
      </c>
      <c r="M2096" t="s">
        <v>33</v>
      </c>
      <c r="N2096" t="s">
        <v>33</v>
      </c>
      <c r="O2096" t="s">
        <v>33</v>
      </c>
      <c r="P2096" t="s">
        <v>34</v>
      </c>
      <c r="Q2096" t="s">
        <v>35</v>
      </c>
      <c r="S2096" t="s">
        <v>30</v>
      </c>
      <c r="T2096" t="s">
        <v>1868</v>
      </c>
      <c r="U2096" t="s">
        <v>1869</v>
      </c>
      <c r="V2096" t="s">
        <v>39</v>
      </c>
      <c r="W2096" s="1">
        <v>2</v>
      </c>
    </row>
    <row r="2097" spans="1:23" x14ac:dyDescent="0.2">
      <c r="A2097" t="s">
        <v>23</v>
      </c>
      <c r="B2097" t="s">
        <v>1108</v>
      </c>
      <c r="C2097" t="s">
        <v>1808</v>
      </c>
      <c r="D2097" t="s">
        <v>1832</v>
      </c>
      <c r="E2097" t="s">
        <v>1848</v>
      </c>
      <c r="F2097" t="s">
        <v>1849</v>
      </c>
      <c r="G2097" t="s">
        <v>139</v>
      </c>
      <c r="H2097" t="s">
        <v>30</v>
      </c>
      <c r="I2097" t="s">
        <v>30</v>
      </c>
      <c r="J2097" t="s">
        <v>31</v>
      </c>
      <c r="K2097" t="s">
        <v>32</v>
      </c>
      <c r="L2097" t="s">
        <v>32</v>
      </c>
      <c r="M2097" t="s">
        <v>33</v>
      </c>
      <c r="N2097" t="s">
        <v>33</v>
      </c>
      <c r="O2097" t="s">
        <v>33</v>
      </c>
      <c r="P2097" t="s">
        <v>34</v>
      </c>
      <c r="Q2097" t="s">
        <v>35</v>
      </c>
      <c r="S2097" t="s">
        <v>30</v>
      </c>
      <c r="T2097" t="s">
        <v>1868</v>
      </c>
      <c r="U2097" t="s">
        <v>1869</v>
      </c>
      <c r="V2097" t="s">
        <v>40</v>
      </c>
      <c r="W2097" s="1">
        <v>224800</v>
      </c>
    </row>
    <row r="2098" spans="1:23" x14ac:dyDescent="0.2">
      <c r="A2098" t="s">
        <v>23</v>
      </c>
      <c r="B2098" t="s">
        <v>1108</v>
      </c>
      <c r="C2098" t="s">
        <v>1808</v>
      </c>
      <c r="D2098" t="s">
        <v>1832</v>
      </c>
      <c r="E2098" t="s">
        <v>1848</v>
      </c>
      <c r="F2098" t="s">
        <v>1849</v>
      </c>
      <c r="G2098" t="s">
        <v>139</v>
      </c>
      <c r="H2098" t="s">
        <v>30</v>
      </c>
      <c r="I2098" t="s">
        <v>30</v>
      </c>
      <c r="J2098" t="s">
        <v>41</v>
      </c>
      <c r="K2098" t="s">
        <v>32</v>
      </c>
      <c r="L2098" t="s">
        <v>32</v>
      </c>
      <c r="M2098" t="s">
        <v>33</v>
      </c>
      <c r="N2098" t="s">
        <v>33</v>
      </c>
      <c r="O2098" t="s">
        <v>33</v>
      </c>
      <c r="P2098" t="s">
        <v>34</v>
      </c>
      <c r="Q2098" t="s">
        <v>35</v>
      </c>
      <c r="R2098" t="s">
        <v>36</v>
      </c>
      <c r="S2098" t="s">
        <v>30</v>
      </c>
      <c r="T2098" t="s">
        <v>1870</v>
      </c>
      <c r="U2098" t="s">
        <v>1871</v>
      </c>
      <c r="V2098" t="s">
        <v>39</v>
      </c>
      <c r="W2098" s="1">
        <v>4</v>
      </c>
    </row>
    <row r="2099" spans="1:23" x14ac:dyDescent="0.2">
      <c r="A2099" t="s">
        <v>23</v>
      </c>
      <c r="B2099" t="s">
        <v>1108</v>
      </c>
      <c r="C2099" t="s">
        <v>1808</v>
      </c>
      <c r="D2099" t="s">
        <v>1832</v>
      </c>
      <c r="E2099" t="s">
        <v>1848</v>
      </c>
      <c r="F2099" t="s">
        <v>1849</v>
      </c>
      <c r="G2099" t="s">
        <v>139</v>
      </c>
      <c r="H2099" t="s">
        <v>30</v>
      </c>
      <c r="I2099" t="s">
        <v>30</v>
      </c>
      <c r="J2099" t="s">
        <v>41</v>
      </c>
      <c r="K2099" t="s">
        <v>32</v>
      </c>
      <c r="L2099" t="s">
        <v>32</v>
      </c>
      <c r="M2099" t="s">
        <v>33</v>
      </c>
      <c r="N2099" t="s">
        <v>33</v>
      </c>
      <c r="O2099" t="s">
        <v>33</v>
      </c>
      <c r="P2099" t="s">
        <v>34</v>
      </c>
      <c r="Q2099" t="s">
        <v>35</v>
      </c>
      <c r="R2099" t="s">
        <v>36</v>
      </c>
      <c r="S2099" t="s">
        <v>30</v>
      </c>
      <c r="T2099" t="s">
        <v>1870</v>
      </c>
      <c r="U2099" t="s">
        <v>1871</v>
      </c>
      <c r="V2099" t="s">
        <v>40</v>
      </c>
      <c r="W2099" s="1">
        <v>6612000</v>
      </c>
    </row>
    <row r="2100" spans="1:23" x14ac:dyDescent="0.2">
      <c r="A2100" t="s">
        <v>23</v>
      </c>
      <c r="B2100" t="s">
        <v>1108</v>
      </c>
      <c r="C2100" t="s">
        <v>1808</v>
      </c>
      <c r="D2100" t="s">
        <v>1832</v>
      </c>
      <c r="E2100" t="s">
        <v>1848</v>
      </c>
      <c r="F2100" t="s">
        <v>1849</v>
      </c>
      <c r="G2100" t="s">
        <v>139</v>
      </c>
      <c r="H2100" t="s">
        <v>30</v>
      </c>
      <c r="I2100" t="s">
        <v>30</v>
      </c>
      <c r="J2100" t="s">
        <v>41</v>
      </c>
      <c r="K2100" t="s">
        <v>32</v>
      </c>
      <c r="L2100" t="s">
        <v>32</v>
      </c>
      <c r="M2100" t="s">
        <v>33</v>
      </c>
      <c r="P2100" t="s">
        <v>34</v>
      </c>
      <c r="Q2100" t="s">
        <v>35</v>
      </c>
      <c r="S2100" t="s">
        <v>30</v>
      </c>
      <c r="T2100" t="s">
        <v>1866</v>
      </c>
      <c r="U2100" t="s">
        <v>1867</v>
      </c>
      <c r="V2100" t="s">
        <v>39</v>
      </c>
      <c r="W2100" s="1">
        <v>1</v>
      </c>
    </row>
    <row r="2101" spans="1:23" x14ac:dyDescent="0.2">
      <c r="A2101" t="s">
        <v>23</v>
      </c>
      <c r="B2101" t="s">
        <v>1108</v>
      </c>
      <c r="C2101" t="s">
        <v>1808</v>
      </c>
      <c r="D2101" t="s">
        <v>1832</v>
      </c>
      <c r="E2101" t="s">
        <v>1848</v>
      </c>
      <c r="F2101" t="s">
        <v>1849</v>
      </c>
      <c r="G2101" t="s">
        <v>139</v>
      </c>
      <c r="H2101" t="s">
        <v>30</v>
      </c>
      <c r="I2101" t="s">
        <v>30</v>
      </c>
      <c r="J2101" t="s">
        <v>41</v>
      </c>
      <c r="K2101" t="s">
        <v>32</v>
      </c>
      <c r="L2101" t="s">
        <v>32</v>
      </c>
      <c r="M2101" t="s">
        <v>33</v>
      </c>
      <c r="P2101" t="s">
        <v>34</v>
      </c>
      <c r="Q2101" t="s">
        <v>35</v>
      </c>
      <c r="S2101" t="s">
        <v>30</v>
      </c>
      <c r="T2101" t="s">
        <v>1866</v>
      </c>
      <c r="U2101" t="s">
        <v>1867</v>
      </c>
      <c r="V2101" t="s">
        <v>40</v>
      </c>
      <c r="W2101" s="1">
        <v>863000</v>
      </c>
    </row>
    <row r="2102" spans="1:23" x14ac:dyDescent="0.2">
      <c r="A2102" t="s">
        <v>23</v>
      </c>
      <c r="B2102" t="s">
        <v>1108</v>
      </c>
      <c r="C2102" t="s">
        <v>1808</v>
      </c>
      <c r="D2102" t="s">
        <v>1872</v>
      </c>
      <c r="E2102" t="s">
        <v>1873</v>
      </c>
      <c r="F2102" t="s">
        <v>1874</v>
      </c>
      <c r="G2102" t="s">
        <v>49</v>
      </c>
      <c r="H2102" t="s">
        <v>30</v>
      </c>
      <c r="I2102" t="s">
        <v>30</v>
      </c>
      <c r="J2102" t="s">
        <v>31</v>
      </c>
      <c r="K2102" t="s">
        <v>32</v>
      </c>
      <c r="L2102" t="s">
        <v>32</v>
      </c>
      <c r="M2102" t="s">
        <v>33</v>
      </c>
      <c r="N2102" t="s">
        <v>33</v>
      </c>
      <c r="O2102" t="s">
        <v>33</v>
      </c>
      <c r="P2102" t="s">
        <v>34</v>
      </c>
      <c r="Q2102" t="s">
        <v>35</v>
      </c>
      <c r="R2102" t="s">
        <v>73</v>
      </c>
      <c r="S2102" t="s">
        <v>30</v>
      </c>
      <c r="T2102" t="s">
        <v>1875</v>
      </c>
      <c r="U2102" t="s">
        <v>1876</v>
      </c>
      <c r="V2102" t="s">
        <v>39</v>
      </c>
      <c r="W2102" s="1">
        <v>4</v>
      </c>
    </row>
    <row r="2103" spans="1:23" x14ac:dyDescent="0.2">
      <c r="A2103" t="s">
        <v>23</v>
      </c>
      <c r="B2103" t="s">
        <v>1108</v>
      </c>
      <c r="C2103" t="s">
        <v>1808</v>
      </c>
      <c r="D2103" t="s">
        <v>1872</v>
      </c>
      <c r="E2103" t="s">
        <v>1873</v>
      </c>
      <c r="F2103" t="s">
        <v>1874</v>
      </c>
      <c r="G2103" t="s">
        <v>49</v>
      </c>
      <c r="H2103" t="s">
        <v>30</v>
      </c>
      <c r="I2103" t="s">
        <v>30</v>
      </c>
      <c r="J2103" t="s">
        <v>31</v>
      </c>
      <c r="K2103" t="s">
        <v>32</v>
      </c>
      <c r="L2103" t="s">
        <v>32</v>
      </c>
      <c r="M2103" t="s">
        <v>33</v>
      </c>
      <c r="N2103" t="s">
        <v>33</v>
      </c>
      <c r="O2103" t="s">
        <v>33</v>
      </c>
      <c r="P2103" t="s">
        <v>34</v>
      </c>
      <c r="Q2103" t="s">
        <v>35</v>
      </c>
      <c r="R2103" t="s">
        <v>73</v>
      </c>
      <c r="S2103" t="s">
        <v>30</v>
      </c>
      <c r="T2103" t="s">
        <v>1875</v>
      </c>
      <c r="U2103" t="s">
        <v>1876</v>
      </c>
      <c r="V2103" t="s">
        <v>40</v>
      </c>
      <c r="W2103" s="1">
        <v>3399600</v>
      </c>
    </row>
    <row r="2104" spans="1:23" x14ac:dyDescent="0.2">
      <c r="A2104" t="s">
        <v>23</v>
      </c>
      <c r="B2104" t="s">
        <v>1108</v>
      </c>
      <c r="C2104" t="s">
        <v>1808</v>
      </c>
      <c r="D2104" t="s">
        <v>1872</v>
      </c>
      <c r="E2104" t="s">
        <v>1873</v>
      </c>
      <c r="F2104" t="s">
        <v>1874</v>
      </c>
      <c r="G2104" t="s">
        <v>64</v>
      </c>
      <c r="H2104" t="s">
        <v>30</v>
      </c>
      <c r="I2104" t="s">
        <v>52</v>
      </c>
      <c r="J2104" t="s">
        <v>41</v>
      </c>
      <c r="K2104" t="s">
        <v>32</v>
      </c>
      <c r="L2104" t="s">
        <v>32</v>
      </c>
      <c r="M2104" t="s">
        <v>33</v>
      </c>
      <c r="N2104" t="s">
        <v>33</v>
      </c>
      <c r="O2104" t="s">
        <v>33</v>
      </c>
      <c r="P2104" t="s">
        <v>34</v>
      </c>
      <c r="Q2104" t="s">
        <v>35</v>
      </c>
      <c r="S2104" t="s">
        <v>30</v>
      </c>
      <c r="T2104" t="s">
        <v>804</v>
      </c>
      <c r="U2104" t="s">
        <v>1877</v>
      </c>
      <c r="V2104" t="s">
        <v>39</v>
      </c>
      <c r="W2104" s="1">
        <v>2</v>
      </c>
    </row>
    <row r="2105" spans="1:23" x14ac:dyDescent="0.2">
      <c r="A2105" t="s">
        <v>23</v>
      </c>
      <c r="B2105" t="s">
        <v>1108</v>
      </c>
      <c r="C2105" t="s">
        <v>1808</v>
      </c>
      <c r="D2105" t="s">
        <v>1872</v>
      </c>
      <c r="E2105" t="s">
        <v>1873</v>
      </c>
      <c r="F2105" t="s">
        <v>1874</v>
      </c>
      <c r="G2105" t="s">
        <v>64</v>
      </c>
      <c r="H2105" t="s">
        <v>30</v>
      </c>
      <c r="I2105" t="s">
        <v>52</v>
      </c>
      <c r="J2105" t="s">
        <v>41</v>
      </c>
      <c r="K2105" t="s">
        <v>32</v>
      </c>
      <c r="L2105" t="s">
        <v>32</v>
      </c>
      <c r="M2105" t="s">
        <v>33</v>
      </c>
      <c r="N2105" t="s">
        <v>33</v>
      </c>
      <c r="O2105" t="s">
        <v>33</v>
      </c>
      <c r="P2105" t="s">
        <v>34</v>
      </c>
      <c r="Q2105" t="s">
        <v>35</v>
      </c>
      <c r="S2105" t="s">
        <v>30</v>
      </c>
      <c r="T2105" t="s">
        <v>804</v>
      </c>
      <c r="U2105" t="s">
        <v>1877</v>
      </c>
      <c r="V2105" t="s">
        <v>40</v>
      </c>
      <c r="W2105" s="1">
        <v>3074800</v>
      </c>
    </row>
    <row r="2106" spans="1:23" x14ac:dyDescent="0.2">
      <c r="A2106" t="s">
        <v>23</v>
      </c>
      <c r="B2106" t="s">
        <v>1108</v>
      </c>
      <c r="C2106" t="s">
        <v>1808</v>
      </c>
      <c r="D2106" t="s">
        <v>1872</v>
      </c>
      <c r="E2106" t="s">
        <v>1873</v>
      </c>
      <c r="F2106" t="s">
        <v>1874</v>
      </c>
      <c r="G2106" t="s">
        <v>67</v>
      </c>
      <c r="H2106" t="s">
        <v>30</v>
      </c>
      <c r="I2106" t="s">
        <v>30</v>
      </c>
      <c r="J2106" t="s">
        <v>31</v>
      </c>
      <c r="K2106" t="s">
        <v>32</v>
      </c>
      <c r="L2106" t="s">
        <v>32</v>
      </c>
      <c r="M2106" t="s">
        <v>33</v>
      </c>
      <c r="N2106" t="s">
        <v>33</v>
      </c>
      <c r="O2106" t="s">
        <v>33</v>
      </c>
      <c r="P2106" t="s">
        <v>34</v>
      </c>
      <c r="Q2106" t="s">
        <v>35</v>
      </c>
      <c r="R2106" t="s">
        <v>73</v>
      </c>
      <c r="S2106" t="s">
        <v>30</v>
      </c>
      <c r="T2106" t="s">
        <v>1878</v>
      </c>
      <c r="U2106" t="s">
        <v>1879</v>
      </c>
      <c r="V2106" t="s">
        <v>39</v>
      </c>
      <c r="W2106" s="1">
        <v>7</v>
      </c>
    </row>
    <row r="2107" spans="1:23" x14ac:dyDescent="0.2">
      <c r="A2107" t="s">
        <v>23</v>
      </c>
      <c r="B2107" t="s">
        <v>1108</v>
      </c>
      <c r="C2107" t="s">
        <v>1808</v>
      </c>
      <c r="D2107" t="s">
        <v>1872</v>
      </c>
      <c r="E2107" t="s">
        <v>1873</v>
      </c>
      <c r="F2107" t="s">
        <v>1874</v>
      </c>
      <c r="G2107" t="s">
        <v>67</v>
      </c>
      <c r="H2107" t="s">
        <v>30</v>
      </c>
      <c r="I2107" t="s">
        <v>30</v>
      </c>
      <c r="J2107" t="s">
        <v>31</v>
      </c>
      <c r="K2107" t="s">
        <v>32</v>
      </c>
      <c r="L2107" t="s">
        <v>32</v>
      </c>
      <c r="M2107" t="s">
        <v>33</v>
      </c>
      <c r="N2107" t="s">
        <v>33</v>
      </c>
      <c r="O2107" t="s">
        <v>33</v>
      </c>
      <c r="P2107" t="s">
        <v>34</v>
      </c>
      <c r="Q2107" t="s">
        <v>35</v>
      </c>
      <c r="R2107" t="s">
        <v>73</v>
      </c>
      <c r="S2107" t="s">
        <v>30</v>
      </c>
      <c r="T2107" t="s">
        <v>1878</v>
      </c>
      <c r="U2107" t="s">
        <v>1879</v>
      </c>
      <c r="V2107" t="s">
        <v>40</v>
      </c>
      <c r="W2107" s="1">
        <v>8049300</v>
      </c>
    </row>
    <row r="2108" spans="1:23" x14ac:dyDescent="0.2">
      <c r="A2108" t="s">
        <v>23</v>
      </c>
      <c r="B2108" t="s">
        <v>1108</v>
      </c>
      <c r="C2108" t="s">
        <v>1808</v>
      </c>
      <c r="D2108" t="s">
        <v>1872</v>
      </c>
      <c r="E2108" t="s">
        <v>1873</v>
      </c>
      <c r="F2108" t="s">
        <v>1874</v>
      </c>
      <c r="G2108" t="s">
        <v>67</v>
      </c>
      <c r="H2108" t="s">
        <v>30</v>
      </c>
      <c r="I2108" t="s">
        <v>30</v>
      </c>
      <c r="J2108" t="s">
        <v>41</v>
      </c>
      <c r="K2108" t="s">
        <v>32</v>
      </c>
      <c r="L2108" t="s">
        <v>32</v>
      </c>
      <c r="M2108" t="s">
        <v>33</v>
      </c>
      <c r="N2108" t="s">
        <v>33</v>
      </c>
      <c r="O2108" t="s">
        <v>33</v>
      </c>
      <c r="P2108" t="s">
        <v>34</v>
      </c>
      <c r="Q2108" t="s">
        <v>35</v>
      </c>
      <c r="R2108" t="s">
        <v>124</v>
      </c>
      <c r="S2108" t="s">
        <v>30</v>
      </c>
      <c r="T2108" t="s">
        <v>1880</v>
      </c>
      <c r="U2108" t="s">
        <v>1881</v>
      </c>
      <c r="V2108" t="s">
        <v>39</v>
      </c>
      <c r="W2108" s="1">
        <v>7</v>
      </c>
    </row>
    <row r="2109" spans="1:23" x14ac:dyDescent="0.2">
      <c r="A2109" t="s">
        <v>23</v>
      </c>
      <c r="B2109" t="s">
        <v>1108</v>
      </c>
      <c r="C2109" t="s">
        <v>1808</v>
      </c>
      <c r="D2109" t="s">
        <v>1872</v>
      </c>
      <c r="E2109" t="s">
        <v>1873</v>
      </c>
      <c r="F2109" t="s">
        <v>1874</v>
      </c>
      <c r="G2109" t="s">
        <v>67</v>
      </c>
      <c r="H2109" t="s">
        <v>30</v>
      </c>
      <c r="I2109" t="s">
        <v>30</v>
      </c>
      <c r="J2109" t="s">
        <v>41</v>
      </c>
      <c r="K2109" t="s">
        <v>32</v>
      </c>
      <c r="L2109" t="s">
        <v>32</v>
      </c>
      <c r="M2109" t="s">
        <v>33</v>
      </c>
      <c r="N2109" t="s">
        <v>33</v>
      </c>
      <c r="O2109" t="s">
        <v>33</v>
      </c>
      <c r="P2109" t="s">
        <v>34</v>
      </c>
      <c r="Q2109" t="s">
        <v>35</v>
      </c>
      <c r="R2109" t="s">
        <v>124</v>
      </c>
      <c r="S2109" t="s">
        <v>30</v>
      </c>
      <c r="T2109" t="s">
        <v>1880</v>
      </c>
      <c r="U2109" t="s">
        <v>1881</v>
      </c>
      <c r="V2109" t="s">
        <v>40</v>
      </c>
      <c r="W2109" s="1">
        <v>3984400</v>
      </c>
    </row>
    <row r="2110" spans="1:23" x14ac:dyDescent="0.2">
      <c r="A2110" t="s">
        <v>23</v>
      </c>
      <c r="B2110" t="s">
        <v>1108</v>
      </c>
      <c r="C2110" t="s">
        <v>1808</v>
      </c>
      <c r="D2110" t="s">
        <v>1872</v>
      </c>
      <c r="E2110" t="s">
        <v>1873</v>
      </c>
      <c r="F2110" t="s">
        <v>1874</v>
      </c>
      <c r="G2110" t="s">
        <v>67</v>
      </c>
      <c r="H2110" t="s">
        <v>30</v>
      </c>
      <c r="I2110" t="s">
        <v>30</v>
      </c>
      <c r="J2110" t="s">
        <v>233</v>
      </c>
      <c r="K2110" t="s">
        <v>181</v>
      </c>
      <c r="L2110" t="s">
        <v>32</v>
      </c>
      <c r="M2110" t="s">
        <v>33</v>
      </c>
      <c r="N2110" t="s">
        <v>33</v>
      </c>
      <c r="O2110" t="s">
        <v>33</v>
      </c>
      <c r="P2110" t="s">
        <v>213</v>
      </c>
      <c r="Q2110" t="s">
        <v>214</v>
      </c>
      <c r="R2110" t="s">
        <v>693</v>
      </c>
      <c r="S2110" t="s">
        <v>30</v>
      </c>
      <c r="T2110" t="s">
        <v>1882</v>
      </c>
      <c r="U2110" t="s">
        <v>1883</v>
      </c>
      <c r="V2110" t="s">
        <v>39</v>
      </c>
      <c r="W2110" s="1">
        <v>7</v>
      </c>
    </row>
    <row r="2111" spans="1:23" x14ac:dyDescent="0.2">
      <c r="A2111" t="s">
        <v>23</v>
      </c>
      <c r="B2111" t="s">
        <v>1108</v>
      </c>
      <c r="C2111" t="s">
        <v>1808</v>
      </c>
      <c r="D2111" t="s">
        <v>1872</v>
      </c>
      <c r="E2111" t="s">
        <v>1873</v>
      </c>
      <c r="F2111" t="s">
        <v>1874</v>
      </c>
      <c r="G2111" t="s">
        <v>67</v>
      </c>
      <c r="H2111" t="s">
        <v>30</v>
      </c>
      <c r="I2111" t="s">
        <v>30</v>
      </c>
      <c r="J2111" t="s">
        <v>233</v>
      </c>
      <c r="K2111" t="s">
        <v>181</v>
      </c>
      <c r="L2111" t="s">
        <v>32</v>
      </c>
      <c r="M2111" t="s">
        <v>33</v>
      </c>
      <c r="N2111" t="s">
        <v>33</v>
      </c>
      <c r="O2111" t="s">
        <v>33</v>
      </c>
      <c r="P2111" t="s">
        <v>213</v>
      </c>
      <c r="Q2111" t="s">
        <v>214</v>
      </c>
      <c r="R2111" t="s">
        <v>693</v>
      </c>
      <c r="S2111" t="s">
        <v>30</v>
      </c>
      <c r="T2111" t="s">
        <v>1882</v>
      </c>
      <c r="U2111" t="s">
        <v>1883</v>
      </c>
      <c r="V2111" t="s">
        <v>40</v>
      </c>
      <c r="W2111" s="1">
        <v>15435000</v>
      </c>
    </row>
    <row r="2112" spans="1:23" x14ac:dyDescent="0.2">
      <c r="A2112" t="s">
        <v>23</v>
      </c>
      <c r="B2112" t="s">
        <v>1108</v>
      </c>
      <c r="C2112" t="s">
        <v>1808</v>
      </c>
      <c r="D2112" t="s">
        <v>1872</v>
      </c>
      <c r="E2112" t="s">
        <v>1873</v>
      </c>
      <c r="F2112" t="s">
        <v>1874</v>
      </c>
      <c r="G2112" t="s">
        <v>89</v>
      </c>
      <c r="H2112" t="s">
        <v>30</v>
      </c>
      <c r="I2112" t="s">
        <v>30</v>
      </c>
      <c r="J2112" t="s">
        <v>31</v>
      </c>
      <c r="K2112" t="s">
        <v>32</v>
      </c>
      <c r="L2112" t="s">
        <v>32</v>
      </c>
      <c r="M2112" t="s">
        <v>33</v>
      </c>
      <c r="P2112" t="s">
        <v>34</v>
      </c>
      <c r="Q2112" t="s">
        <v>35</v>
      </c>
      <c r="R2112" t="s">
        <v>162</v>
      </c>
      <c r="S2112" t="s">
        <v>30</v>
      </c>
      <c r="T2112" t="s">
        <v>1884</v>
      </c>
      <c r="U2112" t="s">
        <v>1885</v>
      </c>
      <c r="V2112" t="s">
        <v>39</v>
      </c>
      <c r="W2112" s="1">
        <v>2</v>
      </c>
    </row>
    <row r="2113" spans="1:23" x14ac:dyDescent="0.2">
      <c r="A2113" t="s">
        <v>23</v>
      </c>
      <c r="B2113" t="s">
        <v>1108</v>
      </c>
      <c r="C2113" t="s">
        <v>1808</v>
      </c>
      <c r="D2113" t="s">
        <v>1872</v>
      </c>
      <c r="E2113" t="s">
        <v>1873</v>
      </c>
      <c r="F2113" t="s">
        <v>1874</v>
      </c>
      <c r="G2113" t="s">
        <v>89</v>
      </c>
      <c r="H2113" t="s">
        <v>30</v>
      </c>
      <c r="I2113" t="s">
        <v>30</v>
      </c>
      <c r="J2113" t="s">
        <v>31</v>
      </c>
      <c r="K2113" t="s">
        <v>32</v>
      </c>
      <c r="L2113" t="s">
        <v>32</v>
      </c>
      <c r="M2113" t="s">
        <v>33</v>
      </c>
      <c r="P2113" t="s">
        <v>34</v>
      </c>
      <c r="Q2113" t="s">
        <v>35</v>
      </c>
      <c r="R2113" t="s">
        <v>162</v>
      </c>
      <c r="S2113" t="s">
        <v>30</v>
      </c>
      <c r="T2113" t="s">
        <v>1884</v>
      </c>
      <c r="U2113" t="s">
        <v>1885</v>
      </c>
      <c r="V2113" t="s">
        <v>40</v>
      </c>
      <c r="W2113" s="1">
        <v>1798000</v>
      </c>
    </row>
    <row r="2114" spans="1:23" x14ac:dyDescent="0.2">
      <c r="A2114" t="s">
        <v>23</v>
      </c>
      <c r="B2114" t="s">
        <v>1108</v>
      </c>
      <c r="C2114" t="s">
        <v>1808</v>
      </c>
      <c r="D2114" t="s">
        <v>1872</v>
      </c>
      <c r="E2114" t="s">
        <v>1873</v>
      </c>
      <c r="F2114" t="s">
        <v>1874</v>
      </c>
      <c r="G2114" t="s">
        <v>89</v>
      </c>
      <c r="H2114" t="s">
        <v>30</v>
      </c>
      <c r="I2114" t="s">
        <v>30</v>
      </c>
      <c r="J2114" t="s">
        <v>31</v>
      </c>
      <c r="K2114" t="s">
        <v>32</v>
      </c>
      <c r="L2114" t="s">
        <v>32</v>
      </c>
      <c r="M2114" t="s">
        <v>33</v>
      </c>
      <c r="P2114" t="s">
        <v>34</v>
      </c>
      <c r="Q2114" t="s">
        <v>35</v>
      </c>
      <c r="S2114" t="s">
        <v>52</v>
      </c>
      <c r="T2114" t="s">
        <v>1249</v>
      </c>
      <c r="U2114" t="s">
        <v>1886</v>
      </c>
      <c r="V2114" t="s">
        <v>39</v>
      </c>
      <c r="W2114" s="1">
        <v>0</v>
      </c>
    </row>
    <row r="2115" spans="1:23" x14ac:dyDescent="0.2">
      <c r="A2115" t="s">
        <v>23</v>
      </c>
      <c r="B2115" t="s">
        <v>1108</v>
      </c>
      <c r="C2115" t="s">
        <v>1808</v>
      </c>
      <c r="D2115" t="s">
        <v>1872</v>
      </c>
      <c r="E2115" t="s">
        <v>1873</v>
      </c>
      <c r="F2115" t="s">
        <v>1874</v>
      </c>
      <c r="G2115" t="s">
        <v>89</v>
      </c>
      <c r="H2115" t="s">
        <v>30</v>
      </c>
      <c r="I2115" t="s">
        <v>30</v>
      </c>
      <c r="J2115" t="s">
        <v>31</v>
      </c>
      <c r="K2115" t="s">
        <v>32</v>
      </c>
      <c r="L2115" t="s">
        <v>32</v>
      </c>
      <c r="M2115" t="s">
        <v>33</v>
      </c>
      <c r="P2115" t="s">
        <v>34</v>
      </c>
      <c r="Q2115" t="s">
        <v>35</v>
      </c>
      <c r="S2115" t="s">
        <v>52</v>
      </c>
      <c r="T2115" t="s">
        <v>1249</v>
      </c>
      <c r="U2115" t="s">
        <v>1886</v>
      </c>
      <c r="V2115" t="s">
        <v>40</v>
      </c>
      <c r="W2115" s="1">
        <v>1679800</v>
      </c>
    </row>
    <row r="2116" spans="1:23" x14ac:dyDescent="0.2">
      <c r="A2116" t="s">
        <v>23</v>
      </c>
      <c r="B2116" t="s">
        <v>1108</v>
      </c>
      <c r="C2116" t="s">
        <v>1808</v>
      </c>
      <c r="D2116" t="s">
        <v>1872</v>
      </c>
      <c r="E2116" t="s">
        <v>1873</v>
      </c>
      <c r="F2116" t="s">
        <v>1874</v>
      </c>
      <c r="G2116" t="s">
        <v>106</v>
      </c>
      <c r="H2116" t="s">
        <v>30</v>
      </c>
      <c r="I2116" t="s">
        <v>30</v>
      </c>
      <c r="J2116" t="s">
        <v>31</v>
      </c>
      <c r="K2116" t="s">
        <v>32</v>
      </c>
      <c r="L2116" t="s">
        <v>32</v>
      </c>
      <c r="M2116" t="s">
        <v>33</v>
      </c>
      <c r="N2116" t="s">
        <v>33</v>
      </c>
      <c r="O2116" t="s">
        <v>33</v>
      </c>
      <c r="P2116" t="s">
        <v>34</v>
      </c>
      <c r="Q2116" t="s">
        <v>35</v>
      </c>
      <c r="S2116" t="s">
        <v>30</v>
      </c>
      <c r="T2116" t="s">
        <v>1887</v>
      </c>
      <c r="U2116" t="s">
        <v>1888</v>
      </c>
      <c r="V2116" t="s">
        <v>39</v>
      </c>
      <c r="W2116" s="1">
        <v>2</v>
      </c>
    </row>
    <row r="2117" spans="1:23" x14ac:dyDescent="0.2">
      <c r="A2117" t="s">
        <v>23</v>
      </c>
      <c r="B2117" t="s">
        <v>1108</v>
      </c>
      <c r="C2117" t="s">
        <v>1808</v>
      </c>
      <c r="D2117" t="s">
        <v>1872</v>
      </c>
      <c r="E2117" t="s">
        <v>1873</v>
      </c>
      <c r="F2117" t="s">
        <v>1874</v>
      </c>
      <c r="G2117" t="s">
        <v>106</v>
      </c>
      <c r="H2117" t="s">
        <v>30</v>
      </c>
      <c r="I2117" t="s">
        <v>30</v>
      </c>
      <c r="J2117" t="s">
        <v>31</v>
      </c>
      <c r="K2117" t="s">
        <v>32</v>
      </c>
      <c r="L2117" t="s">
        <v>32</v>
      </c>
      <c r="M2117" t="s">
        <v>33</v>
      </c>
      <c r="N2117" t="s">
        <v>33</v>
      </c>
      <c r="O2117" t="s">
        <v>33</v>
      </c>
      <c r="P2117" t="s">
        <v>34</v>
      </c>
      <c r="Q2117" t="s">
        <v>35</v>
      </c>
      <c r="S2117" t="s">
        <v>30</v>
      </c>
      <c r="T2117" t="s">
        <v>1887</v>
      </c>
      <c r="U2117" t="s">
        <v>1888</v>
      </c>
      <c r="V2117" t="s">
        <v>40</v>
      </c>
      <c r="W2117" s="1">
        <v>1799800</v>
      </c>
    </row>
    <row r="2118" spans="1:23" x14ac:dyDescent="0.2">
      <c r="A2118" t="s">
        <v>23</v>
      </c>
      <c r="B2118" t="s">
        <v>1108</v>
      </c>
      <c r="C2118" t="s">
        <v>1808</v>
      </c>
      <c r="D2118" t="s">
        <v>1872</v>
      </c>
      <c r="E2118" t="s">
        <v>1873</v>
      </c>
      <c r="F2118" t="s">
        <v>1874</v>
      </c>
      <c r="G2118" t="s">
        <v>106</v>
      </c>
      <c r="H2118" t="s">
        <v>30</v>
      </c>
      <c r="I2118" t="s">
        <v>30</v>
      </c>
      <c r="J2118" t="s">
        <v>31</v>
      </c>
      <c r="K2118" t="s">
        <v>32</v>
      </c>
      <c r="L2118" t="s">
        <v>32</v>
      </c>
      <c r="M2118" t="s">
        <v>33</v>
      </c>
      <c r="P2118" t="s">
        <v>34</v>
      </c>
      <c r="Q2118" t="s">
        <v>35</v>
      </c>
      <c r="R2118" t="s">
        <v>184</v>
      </c>
      <c r="S2118" t="s">
        <v>30</v>
      </c>
      <c r="T2118" t="s">
        <v>1889</v>
      </c>
      <c r="U2118" t="s">
        <v>1890</v>
      </c>
      <c r="V2118" t="s">
        <v>39</v>
      </c>
      <c r="W2118" s="1">
        <v>5</v>
      </c>
    </row>
    <row r="2119" spans="1:23" x14ac:dyDescent="0.2">
      <c r="A2119" t="s">
        <v>23</v>
      </c>
      <c r="B2119" t="s">
        <v>1108</v>
      </c>
      <c r="C2119" t="s">
        <v>1808</v>
      </c>
      <c r="D2119" t="s">
        <v>1872</v>
      </c>
      <c r="E2119" t="s">
        <v>1873</v>
      </c>
      <c r="F2119" t="s">
        <v>1874</v>
      </c>
      <c r="G2119" t="s">
        <v>106</v>
      </c>
      <c r="H2119" t="s">
        <v>30</v>
      </c>
      <c r="I2119" t="s">
        <v>30</v>
      </c>
      <c r="J2119" t="s">
        <v>31</v>
      </c>
      <c r="K2119" t="s">
        <v>32</v>
      </c>
      <c r="L2119" t="s">
        <v>32</v>
      </c>
      <c r="M2119" t="s">
        <v>33</v>
      </c>
      <c r="P2119" t="s">
        <v>34</v>
      </c>
      <c r="Q2119" t="s">
        <v>35</v>
      </c>
      <c r="R2119" t="s">
        <v>184</v>
      </c>
      <c r="S2119" t="s">
        <v>30</v>
      </c>
      <c r="T2119" t="s">
        <v>1889</v>
      </c>
      <c r="U2119" t="s">
        <v>1890</v>
      </c>
      <c r="V2119" t="s">
        <v>40</v>
      </c>
      <c r="W2119" s="1">
        <v>4738500</v>
      </c>
    </row>
    <row r="2120" spans="1:23" x14ac:dyDescent="0.2">
      <c r="A2120" t="s">
        <v>23</v>
      </c>
      <c r="B2120" t="s">
        <v>1108</v>
      </c>
      <c r="C2120" t="s">
        <v>1808</v>
      </c>
      <c r="D2120" t="s">
        <v>1872</v>
      </c>
      <c r="E2120" t="s">
        <v>1873</v>
      </c>
      <c r="F2120" t="s">
        <v>1874</v>
      </c>
      <c r="G2120" t="s">
        <v>139</v>
      </c>
      <c r="H2120" t="s">
        <v>30</v>
      </c>
      <c r="I2120" t="s">
        <v>30</v>
      </c>
      <c r="J2120" t="s">
        <v>31</v>
      </c>
      <c r="K2120" t="s">
        <v>32</v>
      </c>
      <c r="L2120" t="s">
        <v>32</v>
      </c>
      <c r="M2120" t="s">
        <v>33</v>
      </c>
      <c r="P2120" t="s">
        <v>34</v>
      </c>
      <c r="Q2120" t="s">
        <v>35</v>
      </c>
      <c r="S2120" t="s">
        <v>30</v>
      </c>
      <c r="T2120" t="s">
        <v>1891</v>
      </c>
      <c r="U2120" t="s">
        <v>1892</v>
      </c>
      <c r="V2120" t="s">
        <v>39</v>
      </c>
      <c r="W2120" s="1">
        <v>2</v>
      </c>
    </row>
    <row r="2121" spans="1:23" x14ac:dyDescent="0.2">
      <c r="A2121" t="s">
        <v>23</v>
      </c>
      <c r="B2121" t="s">
        <v>1108</v>
      </c>
      <c r="C2121" t="s">
        <v>1808</v>
      </c>
      <c r="D2121" t="s">
        <v>1872</v>
      </c>
      <c r="E2121" t="s">
        <v>1873</v>
      </c>
      <c r="F2121" t="s">
        <v>1874</v>
      </c>
      <c r="G2121" t="s">
        <v>139</v>
      </c>
      <c r="H2121" t="s">
        <v>30</v>
      </c>
      <c r="I2121" t="s">
        <v>30</v>
      </c>
      <c r="J2121" t="s">
        <v>31</v>
      </c>
      <c r="K2121" t="s">
        <v>32</v>
      </c>
      <c r="L2121" t="s">
        <v>32</v>
      </c>
      <c r="M2121" t="s">
        <v>33</v>
      </c>
      <c r="P2121" t="s">
        <v>34</v>
      </c>
      <c r="Q2121" t="s">
        <v>35</v>
      </c>
      <c r="S2121" t="s">
        <v>30</v>
      </c>
      <c r="T2121" t="s">
        <v>1891</v>
      </c>
      <c r="U2121" t="s">
        <v>1892</v>
      </c>
      <c r="V2121" t="s">
        <v>40</v>
      </c>
      <c r="W2121" s="1">
        <v>2599800</v>
      </c>
    </row>
    <row r="2122" spans="1:23" x14ac:dyDescent="0.2">
      <c r="A2122" t="s">
        <v>23</v>
      </c>
      <c r="B2122" t="s">
        <v>1108</v>
      </c>
      <c r="C2122" t="s">
        <v>1893</v>
      </c>
      <c r="D2122" t="s">
        <v>1894</v>
      </c>
      <c r="E2122" t="s">
        <v>1895</v>
      </c>
      <c r="F2122" t="s">
        <v>1896</v>
      </c>
      <c r="G2122" t="s">
        <v>67</v>
      </c>
      <c r="H2122" t="s">
        <v>30</v>
      </c>
      <c r="I2122" t="s">
        <v>30</v>
      </c>
      <c r="J2122" t="s">
        <v>31</v>
      </c>
      <c r="K2122" t="s">
        <v>32</v>
      </c>
      <c r="L2122" t="s">
        <v>32</v>
      </c>
      <c r="M2122" t="s">
        <v>33</v>
      </c>
      <c r="N2122" t="s">
        <v>33</v>
      </c>
      <c r="O2122" t="s">
        <v>33</v>
      </c>
      <c r="P2122" t="s">
        <v>34</v>
      </c>
      <c r="Q2122" t="s">
        <v>35</v>
      </c>
      <c r="S2122" t="s">
        <v>30</v>
      </c>
      <c r="T2122" t="s">
        <v>1897</v>
      </c>
      <c r="U2122" t="s">
        <v>1898</v>
      </c>
      <c r="V2122" t="s">
        <v>39</v>
      </c>
      <c r="W2122" s="1">
        <v>3</v>
      </c>
    </row>
    <row r="2123" spans="1:23" x14ac:dyDescent="0.2">
      <c r="A2123" t="s">
        <v>23</v>
      </c>
      <c r="B2123" t="s">
        <v>1108</v>
      </c>
      <c r="C2123" t="s">
        <v>1893</v>
      </c>
      <c r="D2123" t="s">
        <v>1894</v>
      </c>
      <c r="E2123" t="s">
        <v>1895</v>
      </c>
      <c r="F2123" t="s">
        <v>1896</v>
      </c>
      <c r="G2123" t="s">
        <v>67</v>
      </c>
      <c r="H2123" t="s">
        <v>30</v>
      </c>
      <c r="I2123" t="s">
        <v>30</v>
      </c>
      <c r="J2123" t="s">
        <v>31</v>
      </c>
      <c r="K2123" t="s">
        <v>32</v>
      </c>
      <c r="L2123" t="s">
        <v>32</v>
      </c>
      <c r="M2123" t="s">
        <v>33</v>
      </c>
      <c r="N2123" t="s">
        <v>33</v>
      </c>
      <c r="O2123" t="s">
        <v>33</v>
      </c>
      <c r="P2123" t="s">
        <v>34</v>
      </c>
      <c r="Q2123" t="s">
        <v>35</v>
      </c>
      <c r="S2123" t="s">
        <v>30</v>
      </c>
      <c r="T2123" t="s">
        <v>1897</v>
      </c>
      <c r="U2123" t="s">
        <v>1898</v>
      </c>
      <c r="V2123" t="s">
        <v>40</v>
      </c>
      <c r="W2123" s="1">
        <v>3090600</v>
      </c>
    </row>
    <row r="2124" spans="1:23" x14ac:dyDescent="0.2">
      <c r="A2124" t="s">
        <v>23</v>
      </c>
      <c r="B2124" t="s">
        <v>1108</v>
      </c>
      <c r="C2124" t="s">
        <v>1893</v>
      </c>
      <c r="D2124" t="s">
        <v>1894</v>
      </c>
      <c r="E2124" t="s">
        <v>1899</v>
      </c>
      <c r="F2124" t="s">
        <v>1900</v>
      </c>
      <c r="G2124" t="s">
        <v>29</v>
      </c>
      <c r="H2124" t="s">
        <v>30</v>
      </c>
      <c r="I2124" t="s">
        <v>30</v>
      </c>
      <c r="J2124" t="s">
        <v>128</v>
      </c>
      <c r="K2124" t="s">
        <v>135</v>
      </c>
      <c r="L2124" t="s">
        <v>32</v>
      </c>
      <c r="M2124" t="s">
        <v>33</v>
      </c>
      <c r="P2124" t="s">
        <v>34</v>
      </c>
      <c r="Q2124" t="s">
        <v>35</v>
      </c>
      <c r="S2124" t="s">
        <v>52</v>
      </c>
      <c r="T2124" t="s">
        <v>1901</v>
      </c>
      <c r="U2124" t="s">
        <v>1902</v>
      </c>
      <c r="V2124" t="s">
        <v>39</v>
      </c>
      <c r="W2124" s="1">
        <v>0</v>
      </c>
    </row>
    <row r="2125" spans="1:23" x14ac:dyDescent="0.2">
      <c r="A2125" t="s">
        <v>23</v>
      </c>
      <c r="B2125" t="s">
        <v>1108</v>
      </c>
      <c r="C2125" t="s">
        <v>1893</v>
      </c>
      <c r="D2125" t="s">
        <v>1894</v>
      </c>
      <c r="E2125" t="s">
        <v>1899</v>
      </c>
      <c r="F2125" t="s">
        <v>1900</v>
      </c>
      <c r="G2125" t="s">
        <v>29</v>
      </c>
      <c r="H2125" t="s">
        <v>30</v>
      </c>
      <c r="I2125" t="s">
        <v>30</v>
      </c>
      <c r="J2125" t="s">
        <v>128</v>
      </c>
      <c r="K2125" t="s">
        <v>135</v>
      </c>
      <c r="L2125" t="s">
        <v>32</v>
      </c>
      <c r="M2125" t="s">
        <v>33</v>
      </c>
      <c r="P2125" t="s">
        <v>34</v>
      </c>
      <c r="Q2125" t="s">
        <v>35</v>
      </c>
      <c r="S2125" t="s">
        <v>52</v>
      </c>
      <c r="T2125" t="s">
        <v>1901</v>
      </c>
      <c r="U2125" t="s">
        <v>1902</v>
      </c>
      <c r="V2125" t="s">
        <v>40</v>
      </c>
      <c r="W2125" s="1">
        <v>1992000</v>
      </c>
    </row>
    <row r="2126" spans="1:23" x14ac:dyDescent="0.2">
      <c r="A2126" t="s">
        <v>23</v>
      </c>
      <c r="B2126" t="s">
        <v>1108</v>
      </c>
      <c r="C2126" t="s">
        <v>1893</v>
      </c>
      <c r="D2126" t="s">
        <v>1894</v>
      </c>
      <c r="E2126" t="s">
        <v>1899</v>
      </c>
      <c r="F2126" t="s">
        <v>1900</v>
      </c>
      <c r="G2126" t="s">
        <v>29</v>
      </c>
      <c r="H2126" t="s">
        <v>30</v>
      </c>
      <c r="I2126" t="s">
        <v>30</v>
      </c>
      <c r="J2126" t="s">
        <v>41</v>
      </c>
      <c r="K2126" t="s">
        <v>32</v>
      </c>
      <c r="L2126" t="s">
        <v>32</v>
      </c>
      <c r="M2126" t="s">
        <v>33</v>
      </c>
      <c r="N2126" t="s">
        <v>33</v>
      </c>
      <c r="O2126" t="s">
        <v>33</v>
      </c>
      <c r="P2126" t="s">
        <v>34</v>
      </c>
      <c r="Q2126" t="s">
        <v>35</v>
      </c>
      <c r="R2126" t="s">
        <v>184</v>
      </c>
      <c r="S2126" t="s">
        <v>30</v>
      </c>
      <c r="T2126" t="s">
        <v>1903</v>
      </c>
      <c r="U2126" t="s">
        <v>1904</v>
      </c>
      <c r="V2126" t="s">
        <v>39</v>
      </c>
      <c r="W2126" s="1">
        <v>3</v>
      </c>
    </row>
    <row r="2127" spans="1:23" x14ac:dyDescent="0.2">
      <c r="A2127" t="s">
        <v>23</v>
      </c>
      <c r="B2127" t="s">
        <v>1108</v>
      </c>
      <c r="C2127" t="s">
        <v>1893</v>
      </c>
      <c r="D2127" t="s">
        <v>1894</v>
      </c>
      <c r="E2127" t="s">
        <v>1899</v>
      </c>
      <c r="F2127" t="s">
        <v>1900</v>
      </c>
      <c r="G2127" t="s">
        <v>29</v>
      </c>
      <c r="H2127" t="s">
        <v>30</v>
      </c>
      <c r="I2127" t="s">
        <v>30</v>
      </c>
      <c r="J2127" t="s">
        <v>41</v>
      </c>
      <c r="K2127" t="s">
        <v>32</v>
      </c>
      <c r="L2127" t="s">
        <v>32</v>
      </c>
      <c r="M2127" t="s">
        <v>33</v>
      </c>
      <c r="N2127" t="s">
        <v>33</v>
      </c>
      <c r="O2127" t="s">
        <v>33</v>
      </c>
      <c r="P2127" t="s">
        <v>34</v>
      </c>
      <c r="Q2127" t="s">
        <v>35</v>
      </c>
      <c r="R2127" t="s">
        <v>184</v>
      </c>
      <c r="S2127" t="s">
        <v>30</v>
      </c>
      <c r="T2127" t="s">
        <v>1903</v>
      </c>
      <c r="U2127" t="s">
        <v>1904</v>
      </c>
      <c r="V2127" t="s">
        <v>40</v>
      </c>
      <c r="W2127" s="1">
        <v>5693100</v>
      </c>
    </row>
    <row r="2128" spans="1:23" x14ac:dyDescent="0.2">
      <c r="A2128" t="s">
        <v>23</v>
      </c>
      <c r="B2128" t="s">
        <v>1108</v>
      </c>
      <c r="C2128" t="s">
        <v>1893</v>
      </c>
      <c r="D2128" t="s">
        <v>1894</v>
      </c>
      <c r="E2128" t="s">
        <v>1899</v>
      </c>
      <c r="F2128" t="s">
        <v>1900</v>
      </c>
      <c r="G2128" t="s">
        <v>29</v>
      </c>
      <c r="H2128" t="s">
        <v>30</v>
      </c>
      <c r="I2128" t="s">
        <v>30</v>
      </c>
      <c r="J2128" t="s">
        <v>41</v>
      </c>
      <c r="K2128" t="s">
        <v>32</v>
      </c>
      <c r="L2128" t="s">
        <v>32</v>
      </c>
      <c r="M2128" t="s">
        <v>33</v>
      </c>
      <c r="P2128" t="s">
        <v>213</v>
      </c>
      <c r="Q2128" t="s">
        <v>214</v>
      </c>
      <c r="S2128" t="s">
        <v>52</v>
      </c>
      <c r="T2128" t="s">
        <v>1905</v>
      </c>
      <c r="U2128" t="s">
        <v>1906</v>
      </c>
      <c r="V2128" t="s">
        <v>39</v>
      </c>
      <c r="W2128" s="1">
        <v>0</v>
      </c>
    </row>
    <row r="2129" spans="1:23" x14ac:dyDescent="0.2">
      <c r="A2129" t="s">
        <v>23</v>
      </c>
      <c r="B2129" t="s">
        <v>1108</v>
      </c>
      <c r="C2129" t="s">
        <v>1893</v>
      </c>
      <c r="D2129" t="s">
        <v>1894</v>
      </c>
      <c r="E2129" t="s">
        <v>1899</v>
      </c>
      <c r="F2129" t="s">
        <v>1900</v>
      </c>
      <c r="G2129" t="s">
        <v>29</v>
      </c>
      <c r="H2129" t="s">
        <v>30</v>
      </c>
      <c r="I2129" t="s">
        <v>30</v>
      </c>
      <c r="J2129" t="s">
        <v>41</v>
      </c>
      <c r="K2129" t="s">
        <v>32</v>
      </c>
      <c r="L2129" t="s">
        <v>32</v>
      </c>
      <c r="M2129" t="s">
        <v>33</v>
      </c>
      <c r="P2129" t="s">
        <v>213</v>
      </c>
      <c r="Q2129" t="s">
        <v>214</v>
      </c>
      <c r="S2129" t="s">
        <v>52</v>
      </c>
      <c r="T2129" t="s">
        <v>1905</v>
      </c>
      <c r="U2129" t="s">
        <v>1906</v>
      </c>
      <c r="V2129" t="s">
        <v>40</v>
      </c>
      <c r="W2129" s="1">
        <v>2380800</v>
      </c>
    </row>
    <row r="2130" spans="1:23" x14ac:dyDescent="0.2">
      <c r="A2130" t="s">
        <v>23</v>
      </c>
      <c r="B2130" t="s">
        <v>1108</v>
      </c>
      <c r="C2130" t="s">
        <v>1893</v>
      </c>
      <c r="D2130" t="s">
        <v>1894</v>
      </c>
      <c r="E2130" t="s">
        <v>1899</v>
      </c>
      <c r="F2130" t="s">
        <v>1900</v>
      </c>
      <c r="G2130" t="s">
        <v>49</v>
      </c>
      <c r="H2130" t="s">
        <v>30</v>
      </c>
      <c r="I2130" t="s">
        <v>30</v>
      </c>
      <c r="J2130" t="s">
        <v>31</v>
      </c>
      <c r="K2130" t="s">
        <v>32</v>
      </c>
      <c r="L2130" t="s">
        <v>32</v>
      </c>
      <c r="M2130" t="s">
        <v>33</v>
      </c>
      <c r="N2130" t="s">
        <v>33</v>
      </c>
      <c r="O2130" t="s">
        <v>33</v>
      </c>
      <c r="P2130" t="s">
        <v>34</v>
      </c>
      <c r="Q2130" t="s">
        <v>35</v>
      </c>
      <c r="R2130" t="s">
        <v>184</v>
      </c>
      <c r="S2130" t="s">
        <v>30</v>
      </c>
      <c r="T2130" t="s">
        <v>1907</v>
      </c>
      <c r="U2130" t="s">
        <v>1908</v>
      </c>
      <c r="V2130" t="s">
        <v>39</v>
      </c>
      <c r="W2130" s="1">
        <v>2</v>
      </c>
    </row>
    <row r="2131" spans="1:23" x14ac:dyDescent="0.2">
      <c r="A2131" t="s">
        <v>23</v>
      </c>
      <c r="B2131" t="s">
        <v>1108</v>
      </c>
      <c r="C2131" t="s">
        <v>1893</v>
      </c>
      <c r="D2131" t="s">
        <v>1894</v>
      </c>
      <c r="E2131" t="s">
        <v>1899</v>
      </c>
      <c r="F2131" t="s">
        <v>1900</v>
      </c>
      <c r="G2131" t="s">
        <v>49</v>
      </c>
      <c r="H2131" t="s">
        <v>30</v>
      </c>
      <c r="I2131" t="s">
        <v>30</v>
      </c>
      <c r="J2131" t="s">
        <v>31</v>
      </c>
      <c r="K2131" t="s">
        <v>32</v>
      </c>
      <c r="L2131" t="s">
        <v>32</v>
      </c>
      <c r="M2131" t="s">
        <v>33</v>
      </c>
      <c r="N2131" t="s">
        <v>33</v>
      </c>
      <c r="O2131" t="s">
        <v>33</v>
      </c>
      <c r="P2131" t="s">
        <v>34</v>
      </c>
      <c r="Q2131" t="s">
        <v>35</v>
      </c>
      <c r="R2131" t="s">
        <v>184</v>
      </c>
      <c r="S2131" t="s">
        <v>30</v>
      </c>
      <c r="T2131" t="s">
        <v>1907</v>
      </c>
      <c r="U2131" t="s">
        <v>1908</v>
      </c>
      <c r="V2131" t="s">
        <v>40</v>
      </c>
      <c r="W2131" s="1">
        <v>2593800</v>
      </c>
    </row>
    <row r="2132" spans="1:23" x14ac:dyDescent="0.2">
      <c r="A2132" t="s">
        <v>23</v>
      </c>
      <c r="B2132" t="s">
        <v>1108</v>
      </c>
      <c r="C2132" t="s">
        <v>1893</v>
      </c>
      <c r="D2132" t="s">
        <v>1894</v>
      </c>
      <c r="E2132" t="s">
        <v>1899</v>
      </c>
      <c r="F2132" t="s">
        <v>1900</v>
      </c>
      <c r="G2132" t="s">
        <v>49</v>
      </c>
      <c r="H2132" t="s">
        <v>30</v>
      </c>
      <c r="I2132" t="s">
        <v>30</v>
      </c>
      <c r="J2132" t="s">
        <v>41</v>
      </c>
      <c r="K2132" t="s">
        <v>32</v>
      </c>
      <c r="L2132" t="s">
        <v>32</v>
      </c>
      <c r="M2132" t="s">
        <v>33</v>
      </c>
      <c r="P2132" t="s">
        <v>34</v>
      </c>
      <c r="Q2132" t="s">
        <v>35</v>
      </c>
      <c r="R2132" t="s">
        <v>162</v>
      </c>
      <c r="S2132" t="s">
        <v>52</v>
      </c>
      <c r="T2132" t="s">
        <v>1909</v>
      </c>
      <c r="U2132" t="s">
        <v>1910</v>
      </c>
      <c r="V2132" t="s">
        <v>39</v>
      </c>
      <c r="W2132" s="1">
        <v>0</v>
      </c>
    </row>
    <row r="2133" spans="1:23" x14ac:dyDescent="0.2">
      <c r="A2133" t="s">
        <v>23</v>
      </c>
      <c r="B2133" t="s">
        <v>1108</v>
      </c>
      <c r="C2133" t="s">
        <v>1893</v>
      </c>
      <c r="D2133" t="s">
        <v>1894</v>
      </c>
      <c r="E2133" t="s">
        <v>1899</v>
      </c>
      <c r="F2133" t="s">
        <v>1900</v>
      </c>
      <c r="G2133" t="s">
        <v>49</v>
      </c>
      <c r="H2133" t="s">
        <v>30</v>
      </c>
      <c r="I2133" t="s">
        <v>30</v>
      </c>
      <c r="J2133" t="s">
        <v>41</v>
      </c>
      <c r="K2133" t="s">
        <v>32</v>
      </c>
      <c r="L2133" t="s">
        <v>32</v>
      </c>
      <c r="M2133" t="s">
        <v>33</v>
      </c>
      <c r="P2133" t="s">
        <v>34</v>
      </c>
      <c r="Q2133" t="s">
        <v>35</v>
      </c>
      <c r="R2133" t="s">
        <v>162</v>
      </c>
      <c r="S2133" t="s">
        <v>52</v>
      </c>
      <c r="T2133" t="s">
        <v>1909</v>
      </c>
      <c r="U2133" t="s">
        <v>1910</v>
      </c>
      <c r="V2133" t="s">
        <v>40</v>
      </c>
      <c r="W2133" s="1">
        <v>4666800</v>
      </c>
    </row>
    <row r="2134" spans="1:23" x14ac:dyDescent="0.2">
      <c r="A2134" t="s">
        <v>23</v>
      </c>
      <c r="B2134" t="s">
        <v>1108</v>
      </c>
      <c r="C2134" t="s">
        <v>1893</v>
      </c>
      <c r="D2134" t="s">
        <v>1894</v>
      </c>
      <c r="E2134" t="s">
        <v>1899</v>
      </c>
      <c r="F2134" t="s">
        <v>1900</v>
      </c>
      <c r="G2134" t="s">
        <v>49</v>
      </c>
      <c r="H2134" t="s">
        <v>30</v>
      </c>
      <c r="I2134" t="s">
        <v>30</v>
      </c>
      <c r="J2134" t="s">
        <v>57</v>
      </c>
      <c r="K2134" t="s">
        <v>32</v>
      </c>
      <c r="L2134" t="s">
        <v>32</v>
      </c>
      <c r="M2134" t="s">
        <v>33</v>
      </c>
      <c r="N2134" t="s">
        <v>33</v>
      </c>
      <c r="O2134" t="s">
        <v>33</v>
      </c>
      <c r="P2134" t="s">
        <v>34</v>
      </c>
      <c r="Q2134" t="s">
        <v>35</v>
      </c>
      <c r="R2134" t="s">
        <v>294</v>
      </c>
      <c r="S2134" t="s">
        <v>30</v>
      </c>
      <c r="T2134" t="s">
        <v>1911</v>
      </c>
      <c r="U2134" t="s">
        <v>1912</v>
      </c>
      <c r="V2134" t="s">
        <v>39</v>
      </c>
      <c r="W2134" s="1">
        <v>2</v>
      </c>
    </row>
    <row r="2135" spans="1:23" x14ac:dyDescent="0.2">
      <c r="A2135" t="s">
        <v>23</v>
      </c>
      <c r="B2135" t="s">
        <v>1108</v>
      </c>
      <c r="C2135" t="s">
        <v>1893</v>
      </c>
      <c r="D2135" t="s">
        <v>1894</v>
      </c>
      <c r="E2135" t="s">
        <v>1899</v>
      </c>
      <c r="F2135" t="s">
        <v>1900</v>
      </c>
      <c r="G2135" t="s">
        <v>49</v>
      </c>
      <c r="H2135" t="s">
        <v>30</v>
      </c>
      <c r="I2135" t="s">
        <v>30</v>
      </c>
      <c r="J2135" t="s">
        <v>57</v>
      </c>
      <c r="K2135" t="s">
        <v>32</v>
      </c>
      <c r="L2135" t="s">
        <v>32</v>
      </c>
      <c r="M2135" t="s">
        <v>33</v>
      </c>
      <c r="N2135" t="s">
        <v>33</v>
      </c>
      <c r="O2135" t="s">
        <v>33</v>
      </c>
      <c r="P2135" t="s">
        <v>34</v>
      </c>
      <c r="Q2135" t="s">
        <v>35</v>
      </c>
      <c r="R2135" t="s">
        <v>294</v>
      </c>
      <c r="S2135" t="s">
        <v>30</v>
      </c>
      <c r="T2135" t="s">
        <v>1911</v>
      </c>
      <c r="U2135" t="s">
        <v>1912</v>
      </c>
      <c r="V2135" t="s">
        <v>40</v>
      </c>
      <c r="W2135" s="1">
        <v>3840400</v>
      </c>
    </row>
    <row r="2136" spans="1:23" x14ac:dyDescent="0.2">
      <c r="A2136" t="s">
        <v>23</v>
      </c>
      <c r="B2136" t="s">
        <v>1108</v>
      </c>
      <c r="C2136" t="s">
        <v>1893</v>
      </c>
      <c r="D2136" t="s">
        <v>1894</v>
      </c>
      <c r="E2136" t="s">
        <v>1899</v>
      </c>
      <c r="F2136" t="s">
        <v>1900</v>
      </c>
      <c r="G2136" t="s">
        <v>61</v>
      </c>
      <c r="H2136" t="s">
        <v>52</v>
      </c>
      <c r="I2136" t="s">
        <v>52</v>
      </c>
      <c r="J2136" t="s">
        <v>41</v>
      </c>
      <c r="K2136" t="s">
        <v>32</v>
      </c>
      <c r="L2136" t="s">
        <v>32</v>
      </c>
      <c r="M2136" t="s">
        <v>33</v>
      </c>
      <c r="N2136" t="s">
        <v>33</v>
      </c>
      <c r="O2136" t="s">
        <v>33</v>
      </c>
      <c r="P2136" t="s">
        <v>34</v>
      </c>
      <c r="Q2136" t="s">
        <v>35</v>
      </c>
      <c r="S2136" t="s">
        <v>30</v>
      </c>
      <c r="T2136" t="s">
        <v>1913</v>
      </c>
      <c r="U2136" t="s">
        <v>1914</v>
      </c>
      <c r="V2136" t="s">
        <v>39</v>
      </c>
      <c r="W2136" s="1">
        <v>4</v>
      </c>
    </row>
    <row r="2137" spans="1:23" x14ac:dyDescent="0.2">
      <c r="A2137" t="s">
        <v>23</v>
      </c>
      <c r="B2137" t="s">
        <v>1108</v>
      </c>
      <c r="C2137" t="s">
        <v>1893</v>
      </c>
      <c r="D2137" t="s">
        <v>1894</v>
      </c>
      <c r="E2137" t="s">
        <v>1899</v>
      </c>
      <c r="F2137" t="s">
        <v>1900</v>
      </c>
      <c r="G2137" t="s">
        <v>61</v>
      </c>
      <c r="H2137" t="s">
        <v>52</v>
      </c>
      <c r="I2137" t="s">
        <v>52</v>
      </c>
      <c r="J2137" t="s">
        <v>41</v>
      </c>
      <c r="K2137" t="s">
        <v>32</v>
      </c>
      <c r="L2137" t="s">
        <v>32</v>
      </c>
      <c r="M2137" t="s">
        <v>33</v>
      </c>
      <c r="N2137" t="s">
        <v>33</v>
      </c>
      <c r="O2137" t="s">
        <v>33</v>
      </c>
      <c r="P2137" t="s">
        <v>34</v>
      </c>
      <c r="Q2137" t="s">
        <v>35</v>
      </c>
      <c r="S2137" t="s">
        <v>30</v>
      </c>
      <c r="T2137" t="s">
        <v>1913</v>
      </c>
      <c r="U2137" t="s">
        <v>1914</v>
      </c>
      <c r="V2137" t="s">
        <v>40</v>
      </c>
      <c r="W2137" s="1">
        <v>7884400</v>
      </c>
    </row>
    <row r="2138" spans="1:23" x14ac:dyDescent="0.2">
      <c r="A2138" t="s">
        <v>23</v>
      </c>
      <c r="B2138" t="s">
        <v>1108</v>
      </c>
      <c r="C2138" t="s">
        <v>1893</v>
      </c>
      <c r="D2138" t="s">
        <v>1894</v>
      </c>
      <c r="E2138" t="s">
        <v>1899</v>
      </c>
      <c r="F2138" t="s">
        <v>1900</v>
      </c>
      <c r="G2138" t="s">
        <v>61</v>
      </c>
      <c r="H2138" t="s">
        <v>52</v>
      </c>
      <c r="I2138" t="s">
        <v>52</v>
      </c>
      <c r="J2138" t="s">
        <v>41</v>
      </c>
      <c r="K2138" t="s">
        <v>32</v>
      </c>
      <c r="L2138" t="s">
        <v>32</v>
      </c>
      <c r="M2138" t="s">
        <v>33</v>
      </c>
      <c r="N2138" t="s">
        <v>33</v>
      </c>
      <c r="O2138" t="s">
        <v>33</v>
      </c>
      <c r="P2138" t="s">
        <v>34</v>
      </c>
      <c r="Q2138" t="s">
        <v>35</v>
      </c>
      <c r="S2138" t="s">
        <v>30</v>
      </c>
      <c r="T2138" t="s">
        <v>1915</v>
      </c>
      <c r="U2138" t="s">
        <v>1916</v>
      </c>
      <c r="V2138" t="s">
        <v>39</v>
      </c>
      <c r="W2138" s="1">
        <v>3</v>
      </c>
    </row>
    <row r="2139" spans="1:23" x14ac:dyDescent="0.2">
      <c r="A2139" t="s">
        <v>23</v>
      </c>
      <c r="B2139" t="s">
        <v>1108</v>
      </c>
      <c r="C2139" t="s">
        <v>1893</v>
      </c>
      <c r="D2139" t="s">
        <v>1894</v>
      </c>
      <c r="E2139" t="s">
        <v>1899</v>
      </c>
      <c r="F2139" t="s">
        <v>1900</v>
      </c>
      <c r="G2139" t="s">
        <v>61</v>
      </c>
      <c r="H2139" t="s">
        <v>52</v>
      </c>
      <c r="I2139" t="s">
        <v>52</v>
      </c>
      <c r="J2139" t="s">
        <v>41</v>
      </c>
      <c r="K2139" t="s">
        <v>32</v>
      </c>
      <c r="L2139" t="s">
        <v>32</v>
      </c>
      <c r="M2139" t="s">
        <v>33</v>
      </c>
      <c r="N2139" t="s">
        <v>33</v>
      </c>
      <c r="O2139" t="s">
        <v>33</v>
      </c>
      <c r="P2139" t="s">
        <v>34</v>
      </c>
      <c r="Q2139" t="s">
        <v>35</v>
      </c>
      <c r="S2139" t="s">
        <v>30</v>
      </c>
      <c r="T2139" t="s">
        <v>1915</v>
      </c>
      <c r="U2139" t="s">
        <v>1916</v>
      </c>
      <c r="V2139" t="s">
        <v>40</v>
      </c>
      <c r="W2139" s="1">
        <v>5097000</v>
      </c>
    </row>
    <row r="2140" spans="1:23" x14ac:dyDescent="0.2">
      <c r="A2140" t="s">
        <v>23</v>
      </c>
      <c r="B2140" t="s">
        <v>1108</v>
      </c>
      <c r="C2140" t="s">
        <v>1893</v>
      </c>
      <c r="D2140" t="s">
        <v>1894</v>
      </c>
      <c r="E2140" t="s">
        <v>1899</v>
      </c>
      <c r="F2140" t="s">
        <v>1900</v>
      </c>
      <c r="G2140" t="s">
        <v>67</v>
      </c>
      <c r="H2140" t="s">
        <v>30</v>
      </c>
      <c r="I2140" t="s">
        <v>30</v>
      </c>
      <c r="J2140" t="s">
        <v>31</v>
      </c>
      <c r="K2140" t="s">
        <v>32</v>
      </c>
      <c r="L2140" t="s">
        <v>32</v>
      </c>
      <c r="M2140" t="s">
        <v>33</v>
      </c>
      <c r="N2140" t="s">
        <v>33</v>
      </c>
      <c r="O2140" t="s">
        <v>33</v>
      </c>
      <c r="P2140" t="s">
        <v>34</v>
      </c>
      <c r="Q2140" t="s">
        <v>35</v>
      </c>
      <c r="S2140" t="s">
        <v>30</v>
      </c>
      <c r="T2140" t="s">
        <v>1917</v>
      </c>
      <c r="U2140" t="s">
        <v>1918</v>
      </c>
      <c r="V2140" t="s">
        <v>39</v>
      </c>
      <c r="W2140" s="1">
        <v>2</v>
      </c>
    </row>
    <row r="2141" spans="1:23" x14ac:dyDescent="0.2">
      <c r="A2141" t="s">
        <v>23</v>
      </c>
      <c r="B2141" t="s">
        <v>1108</v>
      </c>
      <c r="C2141" t="s">
        <v>1893</v>
      </c>
      <c r="D2141" t="s">
        <v>1894</v>
      </c>
      <c r="E2141" t="s">
        <v>1899</v>
      </c>
      <c r="F2141" t="s">
        <v>1900</v>
      </c>
      <c r="G2141" t="s">
        <v>67</v>
      </c>
      <c r="H2141" t="s">
        <v>30</v>
      </c>
      <c r="I2141" t="s">
        <v>30</v>
      </c>
      <c r="J2141" t="s">
        <v>31</v>
      </c>
      <c r="K2141" t="s">
        <v>32</v>
      </c>
      <c r="L2141" t="s">
        <v>32</v>
      </c>
      <c r="M2141" t="s">
        <v>33</v>
      </c>
      <c r="N2141" t="s">
        <v>33</v>
      </c>
      <c r="O2141" t="s">
        <v>33</v>
      </c>
      <c r="P2141" t="s">
        <v>34</v>
      </c>
      <c r="Q2141" t="s">
        <v>35</v>
      </c>
      <c r="S2141" t="s">
        <v>30</v>
      </c>
      <c r="T2141" t="s">
        <v>1917</v>
      </c>
      <c r="U2141" t="s">
        <v>1918</v>
      </c>
      <c r="V2141" t="s">
        <v>40</v>
      </c>
      <c r="W2141" s="1">
        <v>2199800</v>
      </c>
    </row>
    <row r="2142" spans="1:23" x14ac:dyDescent="0.2">
      <c r="A2142" t="s">
        <v>23</v>
      </c>
      <c r="B2142" t="s">
        <v>1108</v>
      </c>
      <c r="C2142" t="s">
        <v>1893</v>
      </c>
      <c r="D2142" t="s">
        <v>1894</v>
      </c>
      <c r="E2142" t="s">
        <v>1899</v>
      </c>
      <c r="F2142" t="s">
        <v>1900</v>
      </c>
      <c r="G2142" t="s">
        <v>67</v>
      </c>
      <c r="H2142" t="s">
        <v>30</v>
      </c>
      <c r="I2142" t="s">
        <v>30</v>
      </c>
      <c r="J2142" t="s">
        <v>57</v>
      </c>
      <c r="K2142" t="s">
        <v>32</v>
      </c>
      <c r="L2142" t="s">
        <v>32</v>
      </c>
      <c r="M2142" t="s">
        <v>33</v>
      </c>
      <c r="N2142" t="s">
        <v>33</v>
      </c>
      <c r="O2142" t="s">
        <v>33</v>
      </c>
      <c r="P2142" t="s">
        <v>34</v>
      </c>
      <c r="Q2142" t="s">
        <v>35</v>
      </c>
      <c r="R2142" t="s">
        <v>294</v>
      </c>
      <c r="S2142" t="s">
        <v>30</v>
      </c>
      <c r="T2142" t="s">
        <v>1919</v>
      </c>
      <c r="U2142" t="s">
        <v>1920</v>
      </c>
      <c r="V2142" t="s">
        <v>39</v>
      </c>
      <c r="W2142" s="1">
        <v>10</v>
      </c>
    </row>
    <row r="2143" spans="1:23" x14ac:dyDescent="0.2">
      <c r="A2143" t="s">
        <v>23</v>
      </c>
      <c r="B2143" t="s">
        <v>1108</v>
      </c>
      <c r="C2143" t="s">
        <v>1893</v>
      </c>
      <c r="D2143" t="s">
        <v>1894</v>
      </c>
      <c r="E2143" t="s">
        <v>1899</v>
      </c>
      <c r="F2143" t="s">
        <v>1900</v>
      </c>
      <c r="G2143" t="s">
        <v>67</v>
      </c>
      <c r="H2143" t="s">
        <v>30</v>
      </c>
      <c r="I2143" t="s">
        <v>30</v>
      </c>
      <c r="J2143" t="s">
        <v>57</v>
      </c>
      <c r="K2143" t="s">
        <v>32</v>
      </c>
      <c r="L2143" t="s">
        <v>32</v>
      </c>
      <c r="M2143" t="s">
        <v>33</v>
      </c>
      <c r="N2143" t="s">
        <v>33</v>
      </c>
      <c r="O2143" t="s">
        <v>33</v>
      </c>
      <c r="P2143" t="s">
        <v>34</v>
      </c>
      <c r="Q2143" t="s">
        <v>35</v>
      </c>
      <c r="R2143" t="s">
        <v>294</v>
      </c>
      <c r="S2143" t="s">
        <v>30</v>
      </c>
      <c r="T2143" t="s">
        <v>1919</v>
      </c>
      <c r="U2143" t="s">
        <v>1920</v>
      </c>
      <c r="V2143" t="s">
        <v>40</v>
      </c>
      <c r="W2143" s="1">
        <v>14734000</v>
      </c>
    </row>
    <row r="2144" spans="1:23" x14ac:dyDescent="0.2">
      <c r="A2144" t="s">
        <v>23</v>
      </c>
      <c r="B2144" t="s">
        <v>1108</v>
      </c>
      <c r="C2144" t="s">
        <v>1893</v>
      </c>
      <c r="D2144" t="s">
        <v>1894</v>
      </c>
      <c r="E2144" t="s">
        <v>1899</v>
      </c>
      <c r="F2144" t="s">
        <v>1900</v>
      </c>
      <c r="G2144" t="s">
        <v>89</v>
      </c>
      <c r="H2144" t="s">
        <v>30</v>
      </c>
      <c r="I2144" t="s">
        <v>30</v>
      </c>
      <c r="J2144" t="s">
        <v>31</v>
      </c>
      <c r="K2144" t="s">
        <v>32</v>
      </c>
      <c r="L2144" t="s">
        <v>32</v>
      </c>
      <c r="M2144" t="s">
        <v>33</v>
      </c>
      <c r="N2144" t="s">
        <v>33</v>
      </c>
      <c r="O2144" t="s">
        <v>33</v>
      </c>
      <c r="P2144" t="s">
        <v>213</v>
      </c>
      <c r="Q2144" t="s">
        <v>214</v>
      </c>
      <c r="S2144" t="s">
        <v>30</v>
      </c>
      <c r="T2144" t="s">
        <v>1921</v>
      </c>
      <c r="U2144" t="s">
        <v>1922</v>
      </c>
      <c r="V2144" t="s">
        <v>39</v>
      </c>
      <c r="W2144" s="1">
        <v>4</v>
      </c>
    </row>
    <row r="2145" spans="1:23" x14ac:dyDescent="0.2">
      <c r="A2145" t="s">
        <v>23</v>
      </c>
      <c r="B2145" t="s">
        <v>1108</v>
      </c>
      <c r="C2145" t="s">
        <v>1893</v>
      </c>
      <c r="D2145" t="s">
        <v>1894</v>
      </c>
      <c r="E2145" t="s">
        <v>1899</v>
      </c>
      <c r="F2145" t="s">
        <v>1900</v>
      </c>
      <c r="G2145" t="s">
        <v>89</v>
      </c>
      <c r="H2145" t="s">
        <v>30</v>
      </c>
      <c r="I2145" t="s">
        <v>30</v>
      </c>
      <c r="J2145" t="s">
        <v>31</v>
      </c>
      <c r="K2145" t="s">
        <v>32</v>
      </c>
      <c r="L2145" t="s">
        <v>32</v>
      </c>
      <c r="M2145" t="s">
        <v>33</v>
      </c>
      <c r="N2145" t="s">
        <v>33</v>
      </c>
      <c r="O2145" t="s">
        <v>33</v>
      </c>
      <c r="P2145" t="s">
        <v>213</v>
      </c>
      <c r="Q2145" t="s">
        <v>214</v>
      </c>
      <c r="S2145" t="s">
        <v>30</v>
      </c>
      <c r="T2145" t="s">
        <v>1921</v>
      </c>
      <c r="U2145" t="s">
        <v>1922</v>
      </c>
      <c r="V2145" t="s">
        <v>40</v>
      </c>
      <c r="W2145" s="1">
        <v>3712000</v>
      </c>
    </row>
    <row r="2146" spans="1:23" x14ac:dyDescent="0.2">
      <c r="A2146" t="s">
        <v>23</v>
      </c>
      <c r="B2146" t="s">
        <v>1108</v>
      </c>
      <c r="C2146" t="s">
        <v>1893</v>
      </c>
      <c r="D2146" t="s">
        <v>1894</v>
      </c>
      <c r="E2146" t="s">
        <v>1899</v>
      </c>
      <c r="F2146" t="s">
        <v>1900</v>
      </c>
      <c r="G2146" t="s">
        <v>89</v>
      </c>
      <c r="H2146" t="s">
        <v>30</v>
      </c>
      <c r="I2146" t="s">
        <v>30</v>
      </c>
      <c r="J2146" t="s">
        <v>41</v>
      </c>
      <c r="K2146" t="s">
        <v>32</v>
      </c>
      <c r="L2146" t="s">
        <v>32</v>
      </c>
      <c r="M2146" t="s">
        <v>33</v>
      </c>
      <c r="N2146" t="s">
        <v>33</v>
      </c>
      <c r="O2146" t="s">
        <v>33</v>
      </c>
      <c r="P2146" t="s">
        <v>34</v>
      </c>
      <c r="Q2146" t="s">
        <v>35</v>
      </c>
      <c r="S2146" t="s">
        <v>30</v>
      </c>
      <c r="T2146" t="s">
        <v>1923</v>
      </c>
      <c r="U2146" t="s">
        <v>1924</v>
      </c>
      <c r="V2146" t="s">
        <v>39</v>
      </c>
      <c r="W2146" s="1">
        <v>2</v>
      </c>
    </row>
    <row r="2147" spans="1:23" x14ac:dyDescent="0.2">
      <c r="A2147" t="s">
        <v>23</v>
      </c>
      <c r="B2147" t="s">
        <v>1108</v>
      </c>
      <c r="C2147" t="s">
        <v>1893</v>
      </c>
      <c r="D2147" t="s">
        <v>1894</v>
      </c>
      <c r="E2147" t="s">
        <v>1899</v>
      </c>
      <c r="F2147" t="s">
        <v>1900</v>
      </c>
      <c r="G2147" t="s">
        <v>89</v>
      </c>
      <c r="H2147" t="s">
        <v>30</v>
      </c>
      <c r="I2147" t="s">
        <v>30</v>
      </c>
      <c r="J2147" t="s">
        <v>41</v>
      </c>
      <c r="K2147" t="s">
        <v>32</v>
      </c>
      <c r="L2147" t="s">
        <v>32</v>
      </c>
      <c r="M2147" t="s">
        <v>33</v>
      </c>
      <c r="N2147" t="s">
        <v>33</v>
      </c>
      <c r="O2147" t="s">
        <v>33</v>
      </c>
      <c r="P2147" t="s">
        <v>34</v>
      </c>
      <c r="Q2147" t="s">
        <v>35</v>
      </c>
      <c r="S2147" t="s">
        <v>30</v>
      </c>
      <c r="T2147" t="s">
        <v>1923</v>
      </c>
      <c r="U2147" t="s">
        <v>1924</v>
      </c>
      <c r="V2147" t="s">
        <v>40</v>
      </c>
      <c r="W2147" s="1">
        <v>3049200</v>
      </c>
    </row>
    <row r="2148" spans="1:23" x14ac:dyDescent="0.2">
      <c r="A2148" t="s">
        <v>23</v>
      </c>
      <c r="B2148" t="s">
        <v>1108</v>
      </c>
      <c r="C2148" t="s">
        <v>1893</v>
      </c>
      <c r="D2148" t="s">
        <v>1894</v>
      </c>
      <c r="E2148" t="s">
        <v>1899</v>
      </c>
      <c r="F2148" t="s">
        <v>1900</v>
      </c>
      <c r="G2148" t="s">
        <v>106</v>
      </c>
      <c r="H2148" t="s">
        <v>30</v>
      </c>
      <c r="I2148" t="s">
        <v>30</v>
      </c>
      <c r="J2148" t="s">
        <v>31</v>
      </c>
      <c r="K2148" t="s">
        <v>32</v>
      </c>
      <c r="L2148" t="s">
        <v>32</v>
      </c>
      <c r="M2148" t="s">
        <v>33</v>
      </c>
      <c r="N2148" t="s">
        <v>33</v>
      </c>
      <c r="O2148" t="s">
        <v>33</v>
      </c>
      <c r="P2148" t="s">
        <v>34</v>
      </c>
      <c r="Q2148" t="s">
        <v>35</v>
      </c>
      <c r="S2148" t="s">
        <v>30</v>
      </c>
      <c r="T2148" t="s">
        <v>1925</v>
      </c>
      <c r="U2148" t="s">
        <v>1926</v>
      </c>
      <c r="V2148" t="s">
        <v>39</v>
      </c>
      <c r="W2148" s="1">
        <v>1</v>
      </c>
    </row>
    <row r="2149" spans="1:23" x14ac:dyDescent="0.2">
      <c r="A2149" t="s">
        <v>23</v>
      </c>
      <c r="B2149" t="s">
        <v>1108</v>
      </c>
      <c r="C2149" t="s">
        <v>1893</v>
      </c>
      <c r="D2149" t="s">
        <v>1894</v>
      </c>
      <c r="E2149" t="s">
        <v>1899</v>
      </c>
      <c r="F2149" t="s">
        <v>1900</v>
      </c>
      <c r="G2149" t="s">
        <v>106</v>
      </c>
      <c r="H2149" t="s">
        <v>30</v>
      </c>
      <c r="I2149" t="s">
        <v>30</v>
      </c>
      <c r="J2149" t="s">
        <v>31</v>
      </c>
      <c r="K2149" t="s">
        <v>32</v>
      </c>
      <c r="L2149" t="s">
        <v>32</v>
      </c>
      <c r="M2149" t="s">
        <v>33</v>
      </c>
      <c r="N2149" t="s">
        <v>33</v>
      </c>
      <c r="O2149" t="s">
        <v>33</v>
      </c>
      <c r="P2149" t="s">
        <v>34</v>
      </c>
      <c r="Q2149" t="s">
        <v>35</v>
      </c>
      <c r="S2149" t="s">
        <v>30</v>
      </c>
      <c r="T2149" t="s">
        <v>1925</v>
      </c>
      <c r="U2149" t="s">
        <v>1926</v>
      </c>
      <c r="V2149" t="s">
        <v>40</v>
      </c>
      <c r="W2149" s="1">
        <v>1338100</v>
      </c>
    </row>
    <row r="2150" spans="1:23" x14ac:dyDescent="0.2">
      <c r="A2150" t="s">
        <v>23</v>
      </c>
      <c r="B2150" t="s">
        <v>1108</v>
      </c>
      <c r="C2150" t="s">
        <v>1893</v>
      </c>
      <c r="D2150" t="s">
        <v>1894</v>
      </c>
      <c r="E2150" t="s">
        <v>1899</v>
      </c>
      <c r="F2150" t="s">
        <v>1900</v>
      </c>
      <c r="G2150" t="s">
        <v>106</v>
      </c>
      <c r="H2150" t="s">
        <v>30</v>
      </c>
      <c r="I2150" t="s">
        <v>30</v>
      </c>
      <c r="J2150" t="s">
        <v>31</v>
      </c>
      <c r="K2150" t="s">
        <v>32</v>
      </c>
      <c r="L2150" t="s">
        <v>32</v>
      </c>
      <c r="M2150" t="s">
        <v>33</v>
      </c>
      <c r="N2150" t="s">
        <v>169</v>
      </c>
      <c r="O2150" t="s">
        <v>169</v>
      </c>
      <c r="P2150" t="s">
        <v>34</v>
      </c>
      <c r="Q2150" t="s">
        <v>35</v>
      </c>
      <c r="S2150" t="s">
        <v>30</v>
      </c>
      <c r="T2150" t="s">
        <v>1925</v>
      </c>
      <c r="U2150" t="s">
        <v>1926</v>
      </c>
      <c r="V2150" t="s">
        <v>39</v>
      </c>
      <c r="W2150" s="1">
        <v>1</v>
      </c>
    </row>
    <row r="2151" spans="1:23" x14ac:dyDescent="0.2">
      <c r="A2151" t="s">
        <v>23</v>
      </c>
      <c r="B2151" t="s">
        <v>1108</v>
      </c>
      <c r="C2151" t="s">
        <v>1893</v>
      </c>
      <c r="D2151" t="s">
        <v>1894</v>
      </c>
      <c r="E2151" t="s">
        <v>1899</v>
      </c>
      <c r="F2151" t="s">
        <v>1900</v>
      </c>
      <c r="G2151" t="s">
        <v>106</v>
      </c>
      <c r="H2151" t="s">
        <v>30</v>
      </c>
      <c r="I2151" t="s">
        <v>30</v>
      </c>
      <c r="J2151" t="s">
        <v>31</v>
      </c>
      <c r="K2151" t="s">
        <v>32</v>
      </c>
      <c r="L2151" t="s">
        <v>32</v>
      </c>
      <c r="M2151" t="s">
        <v>33</v>
      </c>
      <c r="N2151" t="s">
        <v>169</v>
      </c>
      <c r="O2151" t="s">
        <v>169</v>
      </c>
      <c r="P2151" t="s">
        <v>34</v>
      </c>
      <c r="Q2151" t="s">
        <v>35</v>
      </c>
      <c r="S2151" t="s">
        <v>30</v>
      </c>
      <c r="T2151" t="s">
        <v>1925</v>
      </c>
      <c r="U2151" t="s">
        <v>1926</v>
      </c>
      <c r="V2151" t="s">
        <v>40</v>
      </c>
      <c r="W2151" s="1">
        <v>1338100</v>
      </c>
    </row>
    <row r="2152" spans="1:23" x14ac:dyDescent="0.2">
      <c r="A2152" t="s">
        <v>23</v>
      </c>
      <c r="B2152" t="s">
        <v>1108</v>
      </c>
      <c r="C2152" t="s">
        <v>1893</v>
      </c>
      <c r="D2152" t="s">
        <v>1894</v>
      </c>
      <c r="E2152" t="s">
        <v>1899</v>
      </c>
      <c r="F2152" t="s">
        <v>1900</v>
      </c>
      <c r="G2152" t="s">
        <v>106</v>
      </c>
      <c r="H2152" t="s">
        <v>30</v>
      </c>
      <c r="I2152" t="s">
        <v>30</v>
      </c>
      <c r="J2152" t="s">
        <v>41</v>
      </c>
      <c r="K2152" t="s">
        <v>32</v>
      </c>
      <c r="L2152" t="s">
        <v>32</v>
      </c>
      <c r="M2152" t="s">
        <v>33</v>
      </c>
      <c r="P2152" t="s">
        <v>213</v>
      </c>
      <c r="Q2152" t="s">
        <v>214</v>
      </c>
      <c r="S2152" t="s">
        <v>30</v>
      </c>
      <c r="T2152" t="s">
        <v>1755</v>
      </c>
      <c r="U2152" t="s">
        <v>1927</v>
      </c>
      <c r="V2152" t="s">
        <v>39</v>
      </c>
      <c r="W2152" s="1">
        <v>2</v>
      </c>
    </row>
    <row r="2153" spans="1:23" x14ac:dyDescent="0.2">
      <c r="A2153" t="s">
        <v>23</v>
      </c>
      <c r="B2153" t="s">
        <v>1108</v>
      </c>
      <c r="C2153" t="s">
        <v>1893</v>
      </c>
      <c r="D2153" t="s">
        <v>1894</v>
      </c>
      <c r="E2153" t="s">
        <v>1899</v>
      </c>
      <c r="F2153" t="s">
        <v>1900</v>
      </c>
      <c r="G2153" t="s">
        <v>106</v>
      </c>
      <c r="H2153" t="s">
        <v>30</v>
      </c>
      <c r="I2153" t="s">
        <v>30</v>
      </c>
      <c r="J2153" t="s">
        <v>41</v>
      </c>
      <c r="K2153" t="s">
        <v>32</v>
      </c>
      <c r="L2153" t="s">
        <v>32</v>
      </c>
      <c r="M2153" t="s">
        <v>33</v>
      </c>
      <c r="P2153" t="s">
        <v>213</v>
      </c>
      <c r="Q2153" t="s">
        <v>214</v>
      </c>
      <c r="S2153" t="s">
        <v>30</v>
      </c>
      <c r="T2153" t="s">
        <v>1755</v>
      </c>
      <c r="U2153" t="s">
        <v>1927</v>
      </c>
      <c r="V2153" t="s">
        <v>40</v>
      </c>
      <c r="W2153" s="1">
        <v>1634800</v>
      </c>
    </row>
    <row r="2154" spans="1:23" x14ac:dyDescent="0.2">
      <c r="A2154" t="s">
        <v>23</v>
      </c>
      <c r="B2154" t="s">
        <v>1108</v>
      </c>
      <c r="C2154" t="s">
        <v>1893</v>
      </c>
      <c r="D2154" t="s">
        <v>1894</v>
      </c>
      <c r="E2154" t="s">
        <v>1899</v>
      </c>
      <c r="F2154" t="s">
        <v>1900</v>
      </c>
      <c r="G2154" t="s">
        <v>134</v>
      </c>
      <c r="H2154" t="s">
        <v>52</v>
      </c>
      <c r="I2154" t="s">
        <v>30</v>
      </c>
      <c r="J2154" t="s">
        <v>41</v>
      </c>
      <c r="K2154" t="s">
        <v>32</v>
      </c>
      <c r="L2154" t="s">
        <v>32</v>
      </c>
      <c r="M2154" t="s">
        <v>33</v>
      </c>
      <c r="N2154" t="s">
        <v>33</v>
      </c>
      <c r="O2154" t="s">
        <v>33</v>
      </c>
      <c r="P2154" t="s">
        <v>34</v>
      </c>
      <c r="Q2154" t="s">
        <v>35</v>
      </c>
      <c r="R2154" t="s">
        <v>58</v>
      </c>
      <c r="S2154" t="s">
        <v>30</v>
      </c>
      <c r="T2154" t="s">
        <v>1928</v>
      </c>
      <c r="U2154" t="s">
        <v>1929</v>
      </c>
      <c r="V2154" t="s">
        <v>39</v>
      </c>
      <c r="W2154" s="1">
        <v>2</v>
      </c>
    </row>
    <row r="2155" spans="1:23" x14ac:dyDescent="0.2">
      <c r="A2155" t="s">
        <v>23</v>
      </c>
      <c r="B2155" t="s">
        <v>1108</v>
      </c>
      <c r="C2155" t="s">
        <v>1893</v>
      </c>
      <c r="D2155" t="s">
        <v>1894</v>
      </c>
      <c r="E2155" t="s">
        <v>1899</v>
      </c>
      <c r="F2155" t="s">
        <v>1900</v>
      </c>
      <c r="G2155" t="s">
        <v>134</v>
      </c>
      <c r="H2155" t="s">
        <v>52</v>
      </c>
      <c r="I2155" t="s">
        <v>30</v>
      </c>
      <c r="J2155" t="s">
        <v>41</v>
      </c>
      <c r="K2155" t="s">
        <v>32</v>
      </c>
      <c r="L2155" t="s">
        <v>32</v>
      </c>
      <c r="M2155" t="s">
        <v>33</v>
      </c>
      <c r="N2155" t="s">
        <v>33</v>
      </c>
      <c r="O2155" t="s">
        <v>33</v>
      </c>
      <c r="P2155" t="s">
        <v>34</v>
      </c>
      <c r="Q2155" t="s">
        <v>35</v>
      </c>
      <c r="R2155" t="s">
        <v>58</v>
      </c>
      <c r="S2155" t="s">
        <v>30</v>
      </c>
      <c r="T2155" t="s">
        <v>1928</v>
      </c>
      <c r="U2155" t="s">
        <v>1929</v>
      </c>
      <c r="V2155" t="s">
        <v>40</v>
      </c>
      <c r="W2155" s="1">
        <v>3599800</v>
      </c>
    </row>
    <row r="2156" spans="1:23" x14ac:dyDescent="0.2">
      <c r="A2156" t="s">
        <v>23</v>
      </c>
      <c r="B2156" t="s">
        <v>1108</v>
      </c>
      <c r="C2156" t="s">
        <v>1893</v>
      </c>
      <c r="D2156" t="s">
        <v>1894</v>
      </c>
      <c r="E2156" t="s">
        <v>1899</v>
      </c>
      <c r="F2156" t="s">
        <v>1900</v>
      </c>
      <c r="G2156" t="s">
        <v>134</v>
      </c>
      <c r="H2156" t="s">
        <v>52</v>
      </c>
      <c r="I2156" t="s">
        <v>30</v>
      </c>
      <c r="J2156" t="s">
        <v>41</v>
      </c>
      <c r="K2156" t="s">
        <v>32</v>
      </c>
      <c r="L2156" t="s">
        <v>32</v>
      </c>
      <c r="M2156" t="s">
        <v>33</v>
      </c>
      <c r="N2156" t="s">
        <v>33</v>
      </c>
      <c r="O2156" t="s">
        <v>33</v>
      </c>
      <c r="P2156" t="s">
        <v>34</v>
      </c>
      <c r="Q2156" t="s">
        <v>35</v>
      </c>
      <c r="S2156" t="s">
        <v>30</v>
      </c>
      <c r="T2156" t="s">
        <v>1930</v>
      </c>
      <c r="U2156" t="s">
        <v>1931</v>
      </c>
      <c r="V2156" t="s">
        <v>39</v>
      </c>
      <c r="W2156" s="1">
        <v>2</v>
      </c>
    </row>
    <row r="2157" spans="1:23" x14ac:dyDescent="0.2">
      <c r="A2157" t="s">
        <v>23</v>
      </c>
      <c r="B2157" t="s">
        <v>1108</v>
      </c>
      <c r="C2157" t="s">
        <v>1893</v>
      </c>
      <c r="D2157" t="s">
        <v>1894</v>
      </c>
      <c r="E2157" t="s">
        <v>1899</v>
      </c>
      <c r="F2157" t="s">
        <v>1900</v>
      </c>
      <c r="G2157" t="s">
        <v>134</v>
      </c>
      <c r="H2157" t="s">
        <v>52</v>
      </c>
      <c r="I2157" t="s">
        <v>30</v>
      </c>
      <c r="J2157" t="s">
        <v>41</v>
      </c>
      <c r="K2157" t="s">
        <v>32</v>
      </c>
      <c r="L2157" t="s">
        <v>32</v>
      </c>
      <c r="M2157" t="s">
        <v>33</v>
      </c>
      <c r="N2157" t="s">
        <v>33</v>
      </c>
      <c r="O2157" t="s">
        <v>33</v>
      </c>
      <c r="P2157" t="s">
        <v>34</v>
      </c>
      <c r="Q2157" t="s">
        <v>35</v>
      </c>
      <c r="S2157" t="s">
        <v>30</v>
      </c>
      <c r="T2157" t="s">
        <v>1930</v>
      </c>
      <c r="U2157" t="s">
        <v>1931</v>
      </c>
      <c r="V2157" t="s">
        <v>40</v>
      </c>
      <c r="W2157" s="1">
        <v>7310000</v>
      </c>
    </row>
    <row r="2158" spans="1:23" x14ac:dyDescent="0.2">
      <c r="A2158" t="s">
        <v>23</v>
      </c>
      <c r="B2158" t="s">
        <v>1108</v>
      </c>
      <c r="C2158" t="s">
        <v>1893</v>
      </c>
      <c r="D2158" t="s">
        <v>1894</v>
      </c>
      <c r="E2158" t="s">
        <v>1899</v>
      </c>
      <c r="F2158" t="s">
        <v>1900</v>
      </c>
      <c r="G2158" t="s">
        <v>134</v>
      </c>
      <c r="H2158" t="s">
        <v>52</v>
      </c>
      <c r="I2158" t="s">
        <v>30</v>
      </c>
      <c r="J2158" t="s">
        <v>41</v>
      </c>
      <c r="K2158" t="s">
        <v>32</v>
      </c>
      <c r="L2158" t="s">
        <v>32</v>
      </c>
      <c r="M2158" t="s">
        <v>33</v>
      </c>
      <c r="P2158" t="s">
        <v>34</v>
      </c>
      <c r="Q2158" t="s">
        <v>35</v>
      </c>
      <c r="R2158" t="s">
        <v>58</v>
      </c>
      <c r="S2158" t="s">
        <v>52</v>
      </c>
      <c r="T2158" t="s">
        <v>1932</v>
      </c>
      <c r="U2158" t="s">
        <v>1933</v>
      </c>
      <c r="V2158" t="s">
        <v>39</v>
      </c>
      <c r="W2158" s="1">
        <v>0</v>
      </c>
    </row>
    <row r="2159" spans="1:23" x14ac:dyDescent="0.2">
      <c r="A2159" t="s">
        <v>23</v>
      </c>
      <c r="B2159" t="s">
        <v>1108</v>
      </c>
      <c r="C2159" t="s">
        <v>1893</v>
      </c>
      <c r="D2159" t="s">
        <v>1894</v>
      </c>
      <c r="E2159" t="s">
        <v>1899</v>
      </c>
      <c r="F2159" t="s">
        <v>1900</v>
      </c>
      <c r="G2159" t="s">
        <v>134</v>
      </c>
      <c r="H2159" t="s">
        <v>52</v>
      </c>
      <c r="I2159" t="s">
        <v>30</v>
      </c>
      <c r="J2159" t="s">
        <v>41</v>
      </c>
      <c r="K2159" t="s">
        <v>32</v>
      </c>
      <c r="L2159" t="s">
        <v>32</v>
      </c>
      <c r="M2159" t="s">
        <v>33</v>
      </c>
      <c r="P2159" t="s">
        <v>34</v>
      </c>
      <c r="Q2159" t="s">
        <v>35</v>
      </c>
      <c r="R2159" t="s">
        <v>58</v>
      </c>
      <c r="S2159" t="s">
        <v>52</v>
      </c>
      <c r="T2159" t="s">
        <v>1932</v>
      </c>
      <c r="U2159" t="s">
        <v>1933</v>
      </c>
      <c r="V2159" t="s">
        <v>40</v>
      </c>
      <c r="W2159" s="1">
        <v>3899800</v>
      </c>
    </row>
    <row r="2160" spans="1:23" x14ac:dyDescent="0.2">
      <c r="A2160" t="s">
        <v>23</v>
      </c>
      <c r="B2160" t="s">
        <v>1108</v>
      </c>
      <c r="C2160" t="s">
        <v>1893</v>
      </c>
      <c r="D2160" t="s">
        <v>1894</v>
      </c>
      <c r="E2160" t="s">
        <v>1899</v>
      </c>
      <c r="F2160" t="s">
        <v>1900</v>
      </c>
      <c r="G2160" t="s">
        <v>139</v>
      </c>
      <c r="H2160" t="s">
        <v>30</v>
      </c>
      <c r="I2160" t="s">
        <v>30</v>
      </c>
      <c r="J2160" t="s">
        <v>41</v>
      </c>
      <c r="K2160" t="s">
        <v>32</v>
      </c>
      <c r="L2160" t="s">
        <v>332</v>
      </c>
      <c r="M2160" t="s">
        <v>33</v>
      </c>
      <c r="N2160" t="s">
        <v>33</v>
      </c>
      <c r="O2160" t="s">
        <v>33</v>
      </c>
      <c r="P2160" t="s">
        <v>34</v>
      </c>
      <c r="Q2160" t="s">
        <v>35</v>
      </c>
      <c r="R2160" t="s">
        <v>54</v>
      </c>
      <c r="S2160" t="s">
        <v>30</v>
      </c>
      <c r="T2160" t="s">
        <v>1934</v>
      </c>
      <c r="U2160" t="s">
        <v>1935</v>
      </c>
      <c r="V2160" t="s">
        <v>39</v>
      </c>
      <c r="W2160" s="1">
        <v>2</v>
      </c>
    </row>
    <row r="2161" spans="1:23" x14ac:dyDescent="0.2">
      <c r="A2161" t="s">
        <v>23</v>
      </c>
      <c r="B2161" t="s">
        <v>1108</v>
      </c>
      <c r="C2161" t="s">
        <v>1893</v>
      </c>
      <c r="D2161" t="s">
        <v>1894</v>
      </c>
      <c r="E2161" t="s">
        <v>1899</v>
      </c>
      <c r="F2161" t="s">
        <v>1900</v>
      </c>
      <c r="G2161" t="s">
        <v>139</v>
      </c>
      <c r="H2161" t="s">
        <v>30</v>
      </c>
      <c r="I2161" t="s">
        <v>30</v>
      </c>
      <c r="J2161" t="s">
        <v>41</v>
      </c>
      <c r="K2161" t="s">
        <v>32</v>
      </c>
      <c r="L2161" t="s">
        <v>332</v>
      </c>
      <c r="M2161" t="s">
        <v>33</v>
      </c>
      <c r="N2161" t="s">
        <v>33</v>
      </c>
      <c r="O2161" t="s">
        <v>33</v>
      </c>
      <c r="P2161" t="s">
        <v>34</v>
      </c>
      <c r="Q2161" t="s">
        <v>35</v>
      </c>
      <c r="R2161" t="s">
        <v>54</v>
      </c>
      <c r="S2161" t="s">
        <v>30</v>
      </c>
      <c r="T2161" t="s">
        <v>1934</v>
      </c>
      <c r="U2161" t="s">
        <v>1935</v>
      </c>
      <c r="V2161" t="s">
        <v>40</v>
      </c>
      <c r="W2161" s="1">
        <v>2580000</v>
      </c>
    </row>
    <row r="2162" spans="1:23" x14ac:dyDescent="0.2">
      <c r="A2162" t="s">
        <v>23</v>
      </c>
      <c r="B2162" t="s">
        <v>1108</v>
      </c>
      <c r="C2162" t="s">
        <v>1893</v>
      </c>
      <c r="D2162" t="s">
        <v>1894</v>
      </c>
      <c r="E2162" t="s">
        <v>1936</v>
      </c>
      <c r="F2162" t="s">
        <v>1937</v>
      </c>
      <c r="G2162" t="s">
        <v>67</v>
      </c>
      <c r="H2162" t="s">
        <v>30</v>
      </c>
      <c r="I2162" t="s">
        <v>30</v>
      </c>
      <c r="J2162" t="s">
        <v>41</v>
      </c>
      <c r="K2162" t="s">
        <v>32</v>
      </c>
      <c r="L2162" t="s">
        <v>32</v>
      </c>
      <c r="M2162" t="s">
        <v>33</v>
      </c>
      <c r="N2162" t="s">
        <v>33</v>
      </c>
      <c r="O2162" t="s">
        <v>33</v>
      </c>
      <c r="P2162" t="s">
        <v>34</v>
      </c>
      <c r="Q2162" t="s">
        <v>35</v>
      </c>
      <c r="R2162" t="s">
        <v>173</v>
      </c>
      <c r="S2162" t="s">
        <v>30</v>
      </c>
      <c r="T2162" t="s">
        <v>1938</v>
      </c>
      <c r="U2162" t="s">
        <v>1939</v>
      </c>
      <c r="V2162" t="s">
        <v>39</v>
      </c>
      <c r="W2162" s="1">
        <v>2</v>
      </c>
    </row>
    <row r="2163" spans="1:23" x14ac:dyDescent="0.2">
      <c r="A2163" t="s">
        <v>23</v>
      </c>
      <c r="B2163" t="s">
        <v>1108</v>
      </c>
      <c r="C2163" t="s">
        <v>1893</v>
      </c>
      <c r="D2163" t="s">
        <v>1894</v>
      </c>
      <c r="E2163" t="s">
        <v>1936</v>
      </c>
      <c r="F2163" t="s">
        <v>1937</v>
      </c>
      <c r="G2163" t="s">
        <v>67</v>
      </c>
      <c r="H2163" t="s">
        <v>30</v>
      </c>
      <c r="I2163" t="s">
        <v>30</v>
      </c>
      <c r="J2163" t="s">
        <v>41</v>
      </c>
      <c r="K2163" t="s">
        <v>32</v>
      </c>
      <c r="L2163" t="s">
        <v>32</v>
      </c>
      <c r="M2163" t="s">
        <v>33</v>
      </c>
      <c r="N2163" t="s">
        <v>33</v>
      </c>
      <c r="O2163" t="s">
        <v>33</v>
      </c>
      <c r="P2163" t="s">
        <v>34</v>
      </c>
      <c r="Q2163" t="s">
        <v>35</v>
      </c>
      <c r="R2163" t="s">
        <v>173</v>
      </c>
      <c r="S2163" t="s">
        <v>30</v>
      </c>
      <c r="T2163" t="s">
        <v>1938</v>
      </c>
      <c r="U2163" t="s">
        <v>1939</v>
      </c>
      <c r="V2163" t="s">
        <v>40</v>
      </c>
      <c r="W2163" s="1">
        <v>2582000</v>
      </c>
    </row>
    <row r="2164" spans="1:23" x14ac:dyDescent="0.2">
      <c r="A2164" t="s">
        <v>23</v>
      </c>
      <c r="B2164" t="s">
        <v>1108</v>
      </c>
      <c r="C2164" t="s">
        <v>1893</v>
      </c>
      <c r="D2164" t="s">
        <v>1894</v>
      </c>
      <c r="E2164" t="s">
        <v>1940</v>
      </c>
      <c r="F2164" t="s">
        <v>1941</v>
      </c>
      <c r="G2164" t="s">
        <v>29</v>
      </c>
      <c r="H2164" t="s">
        <v>30</v>
      </c>
      <c r="I2164" t="s">
        <v>30</v>
      </c>
      <c r="J2164" t="s">
        <v>31</v>
      </c>
      <c r="K2164" t="s">
        <v>32</v>
      </c>
      <c r="L2164" t="s">
        <v>32</v>
      </c>
      <c r="M2164" t="s">
        <v>33</v>
      </c>
      <c r="N2164" t="s">
        <v>33</v>
      </c>
      <c r="O2164" t="s">
        <v>33</v>
      </c>
      <c r="P2164" t="s">
        <v>34</v>
      </c>
      <c r="Q2164" t="s">
        <v>35</v>
      </c>
      <c r="R2164" t="s">
        <v>497</v>
      </c>
      <c r="S2164" t="s">
        <v>30</v>
      </c>
      <c r="T2164" t="s">
        <v>1942</v>
      </c>
      <c r="U2164" t="s">
        <v>1943</v>
      </c>
      <c r="V2164" t="s">
        <v>39</v>
      </c>
      <c r="W2164" s="1">
        <v>2</v>
      </c>
    </row>
    <row r="2165" spans="1:23" x14ac:dyDescent="0.2">
      <c r="A2165" t="s">
        <v>23</v>
      </c>
      <c r="B2165" t="s">
        <v>1108</v>
      </c>
      <c r="C2165" t="s">
        <v>1893</v>
      </c>
      <c r="D2165" t="s">
        <v>1894</v>
      </c>
      <c r="E2165" t="s">
        <v>1940</v>
      </c>
      <c r="F2165" t="s">
        <v>1941</v>
      </c>
      <c r="G2165" t="s">
        <v>29</v>
      </c>
      <c r="H2165" t="s">
        <v>30</v>
      </c>
      <c r="I2165" t="s">
        <v>30</v>
      </c>
      <c r="J2165" t="s">
        <v>31</v>
      </c>
      <c r="K2165" t="s">
        <v>32</v>
      </c>
      <c r="L2165" t="s">
        <v>32</v>
      </c>
      <c r="M2165" t="s">
        <v>33</v>
      </c>
      <c r="N2165" t="s">
        <v>33</v>
      </c>
      <c r="O2165" t="s">
        <v>33</v>
      </c>
      <c r="P2165" t="s">
        <v>34</v>
      </c>
      <c r="Q2165" t="s">
        <v>35</v>
      </c>
      <c r="R2165" t="s">
        <v>497</v>
      </c>
      <c r="S2165" t="s">
        <v>30</v>
      </c>
      <c r="T2165" t="s">
        <v>1942</v>
      </c>
      <c r="U2165" t="s">
        <v>1943</v>
      </c>
      <c r="V2165" t="s">
        <v>40</v>
      </c>
      <c r="W2165" s="1">
        <v>7916000</v>
      </c>
    </row>
    <row r="2166" spans="1:23" x14ac:dyDescent="0.2">
      <c r="A2166" t="s">
        <v>23</v>
      </c>
      <c r="B2166" t="s">
        <v>1108</v>
      </c>
      <c r="C2166" t="s">
        <v>1893</v>
      </c>
      <c r="D2166" t="s">
        <v>1894</v>
      </c>
      <c r="E2166" t="s">
        <v>1940</v>
      </c>
      <c r="F2166" t="s">
        <v>1941</v>
      </c>
      <c r="G2166" t="s">
        <v>29</v>
      </c>
      <c r="H2166" t="s">
        <v>30</v>
      </c>
      <c r="I2166" t="s">
        <v>30</v>
      </c>
      <c r="J2166" t="s">
        <v>31</v>
      </c>
      <c r="K2166" t="s">
        <v>32</v>
      </c>
      <c r="L2166" t="s">
        <v>32</v>
      </c>
      <c r="M2166" t="s">
        <v>33</v>
      </c>
      <c r="P2166" t="s">
        <v>34</v>
      </c>
      <c r="Q2166" t="s">
        <v>35</v>
      </c>
      <c r="S2166" t="s">
        <v>52</v>
      </c>
      <c r="T2166" t="s">
        <v>1944</v>
      </c>
      <c r="U2166" t="s">
        <v>1945</v>
      </c>
      <c r="V2166" t="s">
        <v>39</v>
      </c>
      <c r="W2166" s="1">
        <v>0</v>
      </c>
    </row>
    <row r="2167" spans="1:23" x14ac:dyDescent="0.2">
      <c r="A2167" t="s">
        <v>23</v>
      </c>
      <c r="B2167" t="s">
        <v>1108</v>
      </c>
      <c r="C2167" t="s">
        <v>1893</v>
      </c>
      <c r="D2167" t="s">
        <v>1894</v>
      </c>
      <c r="E2167" t="s">
        <v>1940</v>
      </c>
      <c r="F2167" t="s">
        <v>1941</v>
      </c>
      <c r="G2167" t="s">
        <v>29</v>
      </c>
      <c r="H2167" t="s">
        <v>30</v>
      </c>
      <c r="I2167" t="s">
        <v>30</v>
      </c>
      <c r="J2167" t="s">
        <v>31</v>
      </c>
      <c r="K2167" t="s">
        <v>32</v>
      </c>
      <c r="L2167" t="s">
        <v>32</v>
      </c>
      <c r="M2167" t="s">
        <v>33</v>
      </c>
      <c r="P2167" t="s">
        <v>34</v>
      </c>
      <c r="Q2167" t="s">
        <v>35</v>
      </c>
      <c r="S2167" t="s">
        <v>52</v>
      </c>
      <c r="T2167" t="s">
        <v>1944</v>
      </c>
      <c r="U2167" t="s">
        <v>1945</v>
      </c>
      <c r="V2167" t="s">
        <v>40</v>
      </c>
      <c r="W2167" s="1">
        <v>3588500</v>
      </c>
    </row>
    <row r="2168" spans="1:23" x14ac:dyDescent="0.2">
      <c r="A2168" t="s">
        <v>23</v>
      </c>
      <c r="B2168" t="s">
        <v>1108</v>
      </c>
      <c r="C2168" t="s">
        <v>1893</v>
      </c>
      <c r="D2168" t="s">
        <v>1894</v>
      </c>
      <c r="E2168" t="s">
        <v>1940</v>
      </c>
      <c r="F2168" t="s">
        <v>1941</v>
      </c>
      <c r="G2168" t="s">
        <v>29</v>
      </c>
      <c r="H2168" t="s">
        <v>30</v>
      </c>
      <c r="I2168" t="s">
        <v>30</v>
      </c>
      <c r="J2168" t="s">
        <v>31</v>
      </c>
      <c r="K2168" t="s">
        <v>32</v>
      </c>
      <c r="L2168" t="s">
        <v>32</v>
      </c>
      <c r="M2168" t="s">
        <v>33</v>
      </c>
      <c r="P2168" t="s">
        <v>34</v>
      </c>
      <c r="Q2168" t="s">
        <v>35</v>
      </c>
      <c r="S2168" t="s">
        <v>52</v>
      </c>
      <c r="T2168" t="s">
        <v>1946</v>
      </c>
      <c r="U2168" t="s">
        <v>1947</v>
      </c>
      <c r="V2168" t="s">
        <v>39</v>
      </c>
      <c r="W2168" s="1">
        <v>0</v>
      </c>
    </row>
    <row r="2169" spans="1:23" x14ac:dyDescent="0.2">
      <c r="A2169" t="s">
        <v>23</v>
      </c>
      <c r="B2169" t="s">
        <v>1108</v>
      </c>
      <c r="C2169" t="s">
        <v>1893</v>
      </c>
      <c r="D2169" t="s">
        <v>1894</v>
      </c>
      <c r="E2169" t="s">
        <v>1940</v>
      </c>
      <c r="F2169" t="s">
        <v>1941</v>
      </c>
      <c r="G2169" t="s">
        <v>29</v>
      </c>
      <c r="H2169" t="s">
        <v>30</v>
      </c>
      <c r="I2169" t="s">
        <v>30</v>
      </c>
      <c r="J2169" t="s">
        <v>31</v>
      </c>
      <c r="K2169" t="s">
        <v>32</v>
      </c>
      <c r="L2169" t="s">
        <v>32</v>
      </c>
      <c r="M2169" t="s">
        <v>33</v>
      </c>
      <c r="P2169" t="s">
        <v>34</v>
      </c>
      <c r="Q2169" t="s">
        <v>35</v>
      </c>
      <c r="S2169" t="s">
        <v>52</v>
      </c>
      <c r="T2169" t="s">
        <v>1946</v>
      </c>
      <c r="U2169" t="s">
        <v>1947</v>
      </c>
      <c r="V2169" t="s">
        <v>40</v>
      </c>
      <c r="W2169" s="1">
        <v>982000</v>
      </c>
    </row>
    <row r="2170" spans="1:23" x14ac:dyDescent="0.2">
      <c r="A2170" t="s">
        <v>23</v>
      </c>
      <c r="B2170" t="s">
        <v>1108</v>
      </c>
      <c r="C2170" t="s">
        <v>1893</v>
      </c>
      <c r="D2170" t="s">
        <v>1894</v>
      </c>
      <c r="E2170" t="s">
        <v>1940</v>
      </c>
      <c r="F2170" t="s">
        <v>1941</v>
      </c>
      <c r="G2170" t="s">
        <v>49</v>
      </c>
      <c r="H2170" t="s">
        <v>30</v>
      </c>
      <c r="I2170" t="s">
        <v>30</v>
      </c>
      <c r="J2170" t="s">
        <v>41</v>
      </c>
      <c r="K2170" t="s">
        <v>32</v>
      </c>
      <c r="L2170" t="s">
        <v>32</v>
      </c>
      <c r="M2170" t="s">
        <v>33</v>
      </c>
      <c r="N2170" t="s">
        <v>33</v>
      </c>
      <c r="O2170" t="s">
        <v>33</v>
      </c>
      <c r="P2170" t="s">
        <v>34</v>
      </c>
      <c r="Q2170" t="s">
        <v>35</v>
      </c>
      <c r="R2170" t="s">
        <v>54</v>
      </c>
      <c r="S2170" t="s">
        <v>30</v>
      </c>
      <c r="T2170" t="s">
        <v>1948</v>
      </c>
      <c r="U2170" t="s">
        <v>1949</v>
      </c>
      <c r="V2170" t="s">
        <v>39</v>
      </c>
      <c r="W2170" s="1">
        <v>1</v>
      </c>
    </row>
    <row r="2171" spans="1:23" x14ac:dyDescent="0.2">
      <c r="A2171" t="s">
        <v>23</v>
      </c>
      <c r="B2171" t="s">
        <v>1108</v>
      </c>
      <c r="C2171" t="s">
        <v>1893</v>
      </c>
      <c r="D2171" t="s">
        <v>1894</v>
      </c>
      <c r="E2171" t="s">
        <v>1940</v>
      </c>
      <c r="F2171" t="s">
        <v>1941</v>
      </c>
      <c r="G2171" t="s">
        <v>49</v>
      </c>
      <c r="H2171" t="s">
        <v>30</v>
      </c>
      <c r="I2171" t="s">
        <v>30</v>
      </c>
      <c r="J2171" t="s">
        <v>41</v>
      </c>
      <c r="K2171" t="s">
        <v>32</v>
      </c>
      <c r="L2171" t="s">
        <v>32</v>
      </c>
      <c r="M2171" t="s">
        <v>33</v>
      </c>
      <c r="N2171" t="s">
        <v>33</v>
      </c>
      <c r="O2171" t="s">
        <v>33</v>
      </c>
      <c r="P2171" t="s">
        <v>34</v>
      </c>
      <c r="Q2171" t="s">
        <v>35</v>
      </c>
      <c r="R2171" t="s">
        <v>54</v>
      </c>
      <c r="S2171" t="s">
        <v>30</v>
      </c>
      <c r="T2171" t="s">
        <v>1948</v>
      </c>
      <c r="U2171" t="s">
        <v>1949</v>
      </c>
      <c r="V2171" t="s">
        <v>40</v>
      </c>
      <c r="W2171" s="1">
        <v>967000</v>
      </c>
    </row>
    <row r="2172" spans="1:23" x14ac:dyDescent="0.2">
      <c r="A2172" t="s">
        <v>23</v>
      </c>
      <c r="B2172" t="s">
        <v>1108</v>
      </c>
      <c r="C2172" t="s">
        <v>1893</v>
      </c>
      <c r="D2172" t="s">
        <v>1894</v>
      </c>
      <c r="E2172" t="s">
        <v>1940</v>
      </c>
      <c r="F2172" t="s">
        <v>1941</v>
      </c>
      <c r="G2172" t="s">
        <v>49</v>
      </c>
      <c r="H2172" t="s">
        <v>30</v>
      </c>
      <c r="I2172" t="s">
        <v>30</v>
      </c>
      <c r="J2172" t="s">
        <v>41</v>
      </c>
      <c r="K2172" t="s">
        <v>32</v>
      </c>
      <c r="L2172" t="s">
        <v>32</v>
      </c>
      <c r="M2172" t="s">
        <v>33</v>
      </c>
      <c r="P2172" t="s">
        <v>34</v>
      </c>
      <c r="Q2172" t="s">
        <v>35</v>
      </c>
      <c r="R2172" t="s">
        <v>54</v>
      </c>
      <c r="S2172" t="s">
        <v>30</v>
      </c>
      <c r="T2172" t="s">
        <v>1948</v>
      </c>
      <c r="U2172" t="s">
        <v>1949</v>
      </c>
      <c r="V2172" t="s">
        <v>39</v>
      </c>
      <c r="W2172" s="1">
        <v>3</v>
      </c>
    </row>
    <row r="2173" spans="1:23" x14ac:dyDescent="0.2">
      <c r="A2173" t="s">
        <v>23</v>
      </c>
      <c r="B2173" t="s">
        <v>1108</v>
      </c>
      <c r="C2173" t="s">
        <v>1893</v>
      </c>
      <c r="D2173" t="s">
        <v>1894</v>
      </c>
      <c r="E2173" t="s">
        <v>1940</v>
      </c>
      <c r="F2173" t="s">
        <v>1941</v>
      </c>
      <c r="G2173" t="s">
        <v>49</v>
      </c>
      <c r="H2173" t="s">
        <v>30</v>
      </c>
      <c r="I2173" t="s">
        <v>30</v>
      </c>
      <c r="J2173" t="s">
        <v>41</v>
      </c>
      <c r="K2173" t="s">
        <v>32</v>
      </c>
      <c r="L2173" t="s">
        <v>32</v>
      </c>
      <c r="M2173" t="s">
        <v>33</v>
      </c>
      <c r="P2173" t="s">
        <v>34</v>
      </c>
      <c r="Q2173" t="s">
        <v>35</v>
      </c>
      <c r="R2173" t="s">
        <v>54</v>
      </c>
      <c r="S2173" t="s">
        <v>30</v>
      </c>
      <c r="T2173" t="s">
        <v>1948</v>
      </c>
      <c r="U2173" t="s">
        <v>1949</v>
      </c>
      <c r="V2173" t="s">
        <v>40</v>
      </c>
      <c r="W2173" s="1">
        <v>3051000</v>
      </c>
    </row>
    <row r="2174" spans="1:23" x14ac:dyDescent="0.2">
      <c r="A2174" t="s">
        <v>23</v>
      </c>
      <c r="B2174" t="s">
        <v>1108</v>
      </c>
      <c r="C2174" t="s">
        <v>1893</v>
      </c>
      <c r="D2174" t="s">
        <v>1894</v>
      </c>
      <c r="E2174" t="s">
        <v>1940</v>
      </c>
      <c r="F2174" t="s">
        <v>1941</v>
      </c>
      <c r="G2174" t="s">
        <v>61</v>
      </c>
      <c r="H2174" t="s">
        <v>52</v>
      </c>
      <c r="I2174" t="s">
        <v>52</v>
      </c>
      <c r="J2174" t="s">
        <v>41</v>
      </c>
      <c r="K2174" t="s">
        <v>32</v>
      </c>
      <c r="L2174" t="s">
        <v>32</v>
      </c>
      <c r="M2174" t="s">
        <v>33</v>
      </c>
      <c r="P2174" t="s">
        <v>34</v>
      </c>
      <c r="Q2174" t="s">
        <v>35</v>
      </c>
      <c r="S2174" t="s">
        <v>30</v>
      </c>
      <c r="T2174" t="s">
        <v>1950</v>
      </c>
      <c r="U2174" t="s">
        <v>1951</v>
      </c>
      <c r="V2174" t="s">
        <v>39</v>
      </c>
      <c r="W2174" s="1">
        <v>3</v>
      </c>
    </row>
    <row r="2175" spans="1:23" x14ac:dyDescent="0.2">
      <c r="A2175" t="s">
        <v>23</v>
      </c>
      <c r="B2175" t="s">
        <v>1108</v>
      </c>
      <c r="C2175" t="s">
        <v>1893</v>
      </c>
      <c r="D2175" t="s">
        <v>1894</v>
      </c>
      <c r="E2175" t="s">
        <v>1940</v>
      </c>
      <c r="F2175" t="s">
        <v>1941</v>
      </c>
      <c r="G2175" t="s">
        <v>61</v>
      </c>
      <c r="H2175" t="s">
        <v>52</v>
      </c>
      <c r="I2175" t="s">
        <v>52</v>
      </c>
      <c r="J2175" t="s">
        <v>41</v>
      </c>
      <c r="K2175" t="s">
        <v>32</v>
      </c>
      <c r="L2175" t="s">
        <v>32</v>
      </c>
      <c r="M2175" t="s">
        <v>33</v>
      </c>
      <c r="P2175" t="s">
        <v>34</v>
      </c>
      <c r="Q2175" t="s">
        <v>35</v>
      </c>
      <c r="S2175" t="s">
        <v>30</v>
      </c>
      <c r="T2175" t="s">
        <v>1950</v>
      </c>
      <c r="U2175" t="s">
        <v>1951</v>
      </c>
      <c r="V2175" t="s">
        <v>40</v>
      </c>
      <c r="W2175" s="1">
        <v>4005000</v>
      </c>
    </row>
    <row r="2176" spans="1:23" x14ac:dyDescent="0.2">
      <c r="A2176" t="s">
        <v>23</v>
      </c>
      <c r="B2176" t="s">
        <v>1108</v>
      </c>
      <c r="C2176" t="s">
        <v>1893</v>
      </c>
      <c r="D2176" t="s">
        <v>1894</v>
      </c>
      <c r="E2176" t="s">
        <v>1940</v>
      </c>
      <c r="F2176" t="s">
        <v>1941</v>
      </c>
      <c r="G2176" t="s">
        <v>64</v>
      </c>
      <c r="H2176" t="s">
        <v>30</v>
      </c>
      <c r="I2176" t="s">
        <v>52</v>
      </c>
      <c r="J2176" t="s">
        <v>610</v>
      </c>
      <c r="K2176" t="s">
        <v>611</v>
      </c>
      <c r="L2176" t="s">
        <v>32</v>
      </c>
      <c r="M2176" t="s">
        <v>33</v>
      </c>
      <c r="N2176" t="s">
        <v>33</v>
      </c>
      <c r="O2176" t="s">
        <v>33</v>
      </c>
      <c r="P2176" t="s">
        <v>34</v>
      </c>
      <c r="Q2176" t="s">
        <v>35</v>
      </c>
      <c r="R2176" t="s">
        <v>612</v>
      </c>
      <c r="S2176" t="s">
        <v>30</v>
      </c>
      <c r="T2176" t="s">
        <v>1952</v>
      </c>
      <c r="U2176" t="s">
        <v>1953</v>
      </c>
      <c r="V2176" t="s">
        <v>39</v>
      </c>
      <c r="W2176" s="1">
        <v>4</v>
      </c>
    </row>
    <row r="2177" spans="1:23" x14ac:dyDescent="0.2">
      <c r="A2177" t="s">
        <v>23</v>
      </c>
      <c r="B2177" t="s">
        <v>1108</v>
      </c>
      <c r="C2177" t="s">
        <v>1893</v>
      </c>
      <c r="D2177" t="s">
        <v>1894</v>
      </c>
      <c r="E2177" t="s">
        <v>1940</v>
      </c>
      <c r="F2177" t="s">
        <v>1941</v>
      </c>
      <c r="G2177" t="s">
        <v>64</v>
      </c>
      <c r="H2177" t="s">
        <v>30</v>
      </c>
      <c r="I2177" t="s">
        <v>52</v>
      </c>
      <c r="J2177" t="s">
        <v>610</v>
      </c>
      <c r="K2177" t="s">
        <v>611</v>
      </c>
      <c r="L2177" t="s">
        <v>32</v>
      </c>
      <c r="M2177" t="s">
        <v>33</v>
      </c>
      <c r="N2177" t="s">
        <v>33</v>
      </c>
      <c r="O2177" t="s">
        <v>33</v>
      </c>
      <c r="P2177" t="s">
        <v>34</v>
      </c>
      <c r="Q2177" t="s">
        <v>35</v>
      </c>
      <c r="R2177" t="s">
        <v>612</v>
      </c>
      <c r="S2177" t="s">
        <v>30</v>
      </c>
      <c r="T2177" t="s">
        <v>1952</v>
      </c>
      <c r="U2177" t="s">
        <v>1953</v>
      </c>
      <c r="V2177" t="s">
        <v>40</v>
      </c>
      <c r="W2177" s="1">
        <v>216000</v>
      </c>
    </row>
    <row r="2178" spans="1:23" x14ac:dyDescent="0.2">
      <c r="A2178" t="s">
        <v>23</v>
      </c>
      <c r="B2178" t="s">
        <v>1108</v>
      </c>
      <c r="C2178" t="s">
        <v>1893</v>
      </c>
      <c r="D2178" t="s">
        <v>1894</v>
      </c>
      <c r="E2178" t="s">
        <v>1940</v>
      </c>
      <c r="F2178" t="s">
        <v>1941</v>
      </c>
      <c r="G2178" t="s">
        <v>64</v>
      </c>
      <c r="H2178" t="s">
        <v>30</v>
      </c>
      <c r="I2178" t="s">
        <v>52</v>
      </c>
      <c r="J2178" t="s">
        <v>610</v>
      </c>
      <c r="K2178" t="s">
        <v>611</v>
      </c>
      <c r="L2178" t="s">
        <v>32</v>
      </c>
      <c r="M2178" t="s">
        <v>176</v>
      </c>
      <c r="N2178" t="s">
        <v>176</v>
      </c>
      <c r="O2178" t="s">
        <v>176</v>
      </c>
      <c r="P2178" t="s">
        <v>34</v>
      </c>
      <c r="Q2178" t="s">
        <v>35</v>
      </c>
      <c r="R2178" t="s">
        <v>612</v>
      </c>
      <c r="S2178" t="s">
        <v>30</v>
      </c>
      <c r="T2178" t="s">
        <v>1952</v>
      </c>
      <c r="U2178" t="s">
        <v>1953</v>
      </c>
      <c r="V2178" t="s">
        <v>39</v>
      </c>
      <c r="W2178" s="1">
        <v>1</v>
      </c>
    </row>
    <row r="2179" spans="1:23" x14ac:dyDescent="0.2">
      <c r="A2179" t="s">
        <v>23</v>
      </c>
      <c r="B2179" t="s">
        <v>1108</v>
      </c>
      <c r="C2179" t="s">
        <v>1893</v>
      </c>
      <c r="D2179" t="s">
        <v>1894</v>
      </c>
      <c r="E2179" t="s">
        <v>1940</v>
      </c>
      <c r="F2179" t="s">
        <v>1941</v>
      </c>
      <c r="G2179" t="s">
        <v>64</v>
      </c>
      <c r="H2179" t="s">
        <v>30</v>
      </c>
      <c r="I2179" t="s">
        <v>52</v>
      </c>
      <c r="J2179" t="s">
        <v>610</v>
      </c>
      <c r="K2179" t="s">
        <v>611</v>
      </c>
      <c r="L2179" t="s">
        <v>32</v>
      </c>
      <c r="M2179" t="s">
        <v>176</v>
      </c>
      <c r="N2179" t="s">
        <v>176</v>
      </c>
      <c r="O2179" t="s">
        <v>176</v>
      </c>
      <c r="P2179" t="s">
        <v>34</v>
      </c>
      <c r="Q2179" t="s">
        <v>35</v>
      </c>
      <c r="R2179" t="s">
        <v>612</v>
      </c>
      <c r="S2179" t="s">
        <v>30</v>
      </c>
      <c r="T2179" t="s">
        <v>1952</v>
      </c>
      <c r="U2179" t="s">
        <v>1953</v>
      </c>
      <c r="V2179" t="s">
        <v>40</v>
      </c>
      <c r="W2179" s="1">
        <v>54000</v>
      </c>
    </row>
    <row r="2180" spans="1:23" x14ac:dyDescent="0.2">
      <c r="A2180" t="s">
        <v>23</v>
      </c>
      <c r="B2180" t="s">
        <v>1108</v>
      </c>
      <c r="C2180" t="s">
        <v>1893</v>
      </c>
      <c r="D2180" t="s">
        <v>1894</v>
      </c>
      <c r="E2180" t="s">
        <v>1940</v>
      </c>
      <c r="F2180" t="s">
        <v>1941</v>
      </c>
      <c r="G2180" t="s">
        <v>64</v>
      </c>
      <c r="H2180" t="s">
        <v>30</v>
      </c>
      <c r="I2180" t="s">
        <v>52</v>
      </c>
      <c r="J2180" t="s">
        <v>610</v>
      </c>
      <c r="K2180" t="s">
        <v>611</v>
      </c>
      <c r="L2180" t="s">
        <v>32</v>
      </c>
      <c r="M2180" t="s">
        <v>176</v>
      </c>
      <c r="N2180" t="s">
        <v>195</v>
      </c>
      <c r="O2180" t="s">
        <v>195</v>
      </c>
      <c r="P2180" t="s">
        <v>34</v>
      </c>
      <c r="Q2180" t="s">
        <v>35</v>
      </c>
      <c r="R2180" t="s">
        <v>612</v>
      </c>
      <c r="S2180" t="s">
        <v>30</v>
      </c>
      <c r="T2180" t="s">
        <v>1952</v>
      </c>
      <c r="U2180" t="s">
        <v>1953</v>
      </c>
      <c r="V2180" t="s">
        <v>39</v>
      </c>
      <c r="W2180" s="1">
        <v>1</v>
      </c>
    </row>
    <row r="2181" spans="1:23" x14ac:dyDescent="0.2">
      <c r="A2181" t="s">
        <v>23</v>
      </c>
      <c r="B2181" t="s">
        <v>1108</v>
      </c>
      <c r="C2181" t="s">
        <v>1893</v>
      </c>
      <c r="D2181" t="s">
        <v>1894</v>
      </c>
      <c r="E2181" t="s">
        <v>1940</v>
      </c>
      <c r="F2181" t="s">
        <v>1941</v>
      </c>
      <c r="G2181" t="s">
        <v>64</v>
      </c>
      <c r="H2181" t="s">
        <v>30</v>
      </c>
      <c r="I2181" t="s">
        <v>52</v>
      </c>
      <c r="J2181" t="s">
        <v>610</v>
      </c>
      <c r="K2181" t="s">
        <v>611</v>
      </c>
      <c r="L2181" t="s">
        <v>32</v>
      </c>
      <c r="M2181" t="s">
        <v>176</v>
      </c>
      <c r="N2181" t="s">
        <v>195</v>
      </c>
      <c r="O2181" t="s">
        <v>195</v>
      </c>
      <c r="P2181" t="s">
        <v>34</v>
      </c>
      <c r="Q2181" t="s">
        <v>35</v>
      </c>
      <c r="R2181" t="s">
        <v>612</v>
      </c>
      <c r="S2181" t="s">
        <v>30</v>
      </c>
      <c r="T2181" t="s">
        <v>1952</v>
      </c>
      <c r="U2181" t="s">
        <v>1953</v>
      </c>
      <c r="V2181" t="s">
        <v>40</v>
      </c>
      <c r="W2181" s="1">
        <v>54000</v>
      </c>
    </row>
    <row r="2182" spans="1:23" x14ac:dyDescent="0.2">
      <c r="A2182" t="s">
        <v>23</v>
      </c>
      <c r="B2182" t="s">
        <v>1108</v>
      </c>
      <c r="C2182" t="s">
        <v>1893</v>
      </c>
      <c r="D2182" t="s">
        <v>1894</v>
      </c>
      <c r="E2182" t="s">
        <v>1940</v>
      </c>
      <c r="F2182" t="s">
        <v>1941</v>
      </c>
      <c r="G2182" t="s">
        <v>67</v>
      </c>
      <c r="H2182" t="s">
        <v>30</v>
      </c>
      <c r="I2182" t="s">
        <v>30</v>
      </c>
      <c r="J2182" t="s">
        <v>41</v>
      </c>
      <c r="K2182" t="s">
        <v>32</v>
      </c>
      <c r="L2182" t="s">
        <v>32</v>
      </c>
      <c r="M2182" t="s">
        <v>33</v>
      </c>
      <c r="N2182" t="s">
        <v>33</v>
      </c>
      <c r="O2182" t="s">
        <v>33</v>
      </c>
      <c r="P2182" t="s">
        <v>34</v>
      </c>
      <c r="Q2182" t="s">
        <v>35</v>
      </c>
      <c r="S2182" t="s">
        <v>30</v>
      </c>
      <c r="T2182" t="s">
        <v>1954</v>
      </c>
      <c r="U2182" t="s">
        <v>1955</v>
      </c>
      <c r="V2182" t="s">
        <v>39</v>
      </c>
      <c r="W2182" s="1">
        <v>2</v>
      </c>
    </row>
    <row r="2183" spans="1:23" x14ac:dyDescent="0.2">
      <c r="A2183" t="s">
        <v>23</v>
      </c>
      <c r="B2183" t="s">
        <v>1108</v>
      </c>
      <c r="C2183" t="s">
        <v>1893</v>
      </c>
      <c r="D2183" t="s">
        <v>1894</v>
      </c>
      <c r="E2183" t="s">
        <v>1940</v>
      </c>
      <c r="F2183" t="s">
        <v>1941</v>
      </c>
      <c r="G2183" t="s">
        <v>67</v>
      </c>
      <c r="H2183" t="s">
        <v>30</v>
      </c>
      <c r="I2183" t="s">
        <v>30</v>
      </c>
      <c r="J2183" t="s">
        <v>41</v>
      </c>
      <c r="K2183" t="s">
        <v>32</v>
      </c>
      <c r="L2183" t="s">
        <v>32</v>
      </c>
      <c r="M2183" t="s">
        <v>33</v>
      </c>
      <c r="N2183" t="s">
        <v>33</v>
      </c>
      <c r="O2183" t="s">
        <v>33</v>
      </c>
      <c r="P2183" t="s">
        <v>34</v>
      </c>
      <c r="Q2183" t="s">
        <v>35</v>
      </c>
      <c r="S2183" t="s">
        <v>30</v>
      </c>
      <c r="T2183" t="s">
        <v>1954</v>
      </c>
      <c r="U2183" t="s">
        <v>1955</v>
      </c>
      <c r="V2183" t="s">
        <v>40</v>
      </c>
      <c r="W2183" s="1">
        <v>2739800</v>
      </c>
    </row>
    <row r="2184" spans="1:23" x14ac:dyDescent="0.2">
      <c r="A2184" t="s">
        <v>23</v>
      </c>
      <c r="B2184" t="s">
        <v>1108</v>
      </c>
      <c r="C2184" t="s">
        <v>1893</v>
      </c>
      <c r="D2184" t="s">
        <v>1894</v>
      </c>
      <c r="E2184" t="s">
        <v>1940</v>
      </c>
      <c r="F2184" t="s">
        <v>1941</v>
      </c>
      <c r="G2184" t="s">
        <v>89</v>
      </c>
      <c r="H2184" t="s">
        <v>30</v>
      </c>
      <c r="I2184" t="s">
        <v>30</v>
      </c>
      <c r="J2184" t="s">
        <v>41</v>
      </c>
      <c r="K2184" t="s">
        <v>32</v>
      </c>
      <c r="L2184" t="s">
        <v>32</v>
      </c>
      <c r="M2184" t="s">
        <v>33</v>
      </c>
      <c r="N2184" t="s">
        <v>33</v>
      </c>
      <c r="O2184" t="s">
        <v>33</v>
      </c>
      <c r="P2184" t="s">
        <v>34</v>
      </c>
      <c r="Q2184" t="s">
        <v>35</v>
      </c>
      <c r="R2184" t="s">
        <v>184</v>
      </c>
      <c r="S2184" t="s">
        <v>30</v>
      </c>
      <c r="T2184" t="s">
        <v>1956</v>
      </c>
      <c r="U2184" t="s">
        <v>1957</v>
      </c>
      <c r="V2184" t="s">
        <v>39</v>
      </c>
      <c r="W2184" s="1">
        <v>2</v>
      </c>
    </row>
    <row r="2185" spans="1:23" x14ac:dyDescent="0.2">
      <c r="A2185" t="s">
        <v>23</v>
      </c>
      <c r="B2185" t="s">
        <v>1108</v>
      </c>
      <c r="C2185" t="s">
        <v>1893</v>
      </c>
      <c r="D2185" t="s">
        <v>1894</v>
      </c>
      <c r="E2185" t="s">
        <v>1940</v>
      </c>
      <c r="F2185" t="s">
        <v>1941</v>
      </c>
      <c r="G2185" t="s">
        <v>89</v>
      </c>
      <c r="H2185" t="s">
        <v>30</v>
      </c>
      <c r="I2185" t="s">
        <v>30</v>
      </c>
      <c r="J2185" t="s">
        <v>41</v>
      </c>
      <c r="K2185" t="s">
        <v>32</v>
      </c>
      <c r="L2185" t="s">
        <v>32</v>
      </c>
      <c r="M2185" t="s">
        <v>33</v>
      </c>
      <c r="N2185" t="s">
        <v>33</v>
      </c>
      <c r="O2185" t="s">
        <v>33</v>
      </c>
      <c r="P2185" t="s">
        <v>34</v>
      </c>
      <c r="Q2185" t="s">
        <v>35</v>
      </c>
      <c r="R2185" t="s">
        <v>184</v>
      </c>
      <c r="S2185" t="s">
        <v>30</v>
      </c>
      <c r="T2185" t="s">
        <v>1956</v>
      </c>
      <c r="U2185" t="s">
        <v>1957</v>
      </c>
      <c r="V2185" t="s">
        <v>40</v>
      </c>
      <c r="W2185" s="1">
        <v>2558000</v>
      </c>
    </row>
    <row r="2186" spans="1:23" x14ac:dyDescent="0.2">
      <c r="A2186" t="s">
        <v>23</v>
      </c>
      <c r="B2186" t="s">
        <v>1108</v>
      </c>
      <c r="C2186" t="s">
        <v>1893</v>
      </c>
      <c r="D2186" t="s">
        <v>1894</v>
      </c>
      <c r="E2186" t="s">
        <v>1940</v>
      </c>
      <c r="F2186" t="s">
        <v>1941</v>
      </c>
      <c r="G2186" t="s">
        <v>106</v>
      </c>
      <c r="H2186" t="s">
        <v>30</v>
      </c>
      <c r="I2186" t="s">
        <v>30</v>
      </c>
      <c r="J2186" t="s">
        <v>31</v>
      </c>
      <c r="K2186" t="s">
        <v>32</v>
      </c>
      <c r="L2186" t="s">
        <v>32</v>
      </c>
      <c r="M2186" t="s">
        <v>33</v>
      </c>
      <c r="P2186" t="s">
        <v>34</v>
      </c>
      <c r="Q2186" t="s">
        <v>35</v>
      </c>
      <c r="S2186" t="s">
        <v>30</v>
      </c>
      <c r="T2186" t="s">
        <v>1958</v>
      </c>
      <c r="U2186" t="s">
        <v>1959</v>
      </c>
      <c r="V2186" t="s">
        <v>39</v>
      </c>
      <c r="W2186" s="1">
        <v>2</v>
      </c>
    </row>
    <row r="2187" spans="1:23" x14ac:dyDescent="0.2">
      <c r="A2187" t="s">
        <v>23</v>
      </c>
      <c r="B2187" t="s">
        <v>1108</v>
      </c>
      <c r="C2187" t="s">
        <v>1893</v>
      </c>
      <c r="D2187" t="s">
        <v>1894</v>
      </c>
      <c r="E2187" t="s">
        <v>1940</v>
      </c>
      <c r="F2187" t="s">
        <v>1941</v>
      </c>
      <c r="G2187" t="s">
        <v>106</v>
      </c>
      <c r="H2187" t="s">
        <v>30</v>
      </c>
      <c r="I2187" t="s">
        <v>30</v>
      </c>
      <c r="J2187" t="s">
        <v>31</v>
      </c>
      <c r="K2187" t="s">
        <v>32</v>
      </c>
      <c r="L2187" t="s">
        <v>32</v>
      </c>
      <c r="M2187" t="s">
        <v>33</v>
      </c>
      <c r="P2187" t="s">
        <v>34</v>
      </c>
      <c r="Q2187" t="s">
        <v>35</v>
      </c>
      <c r="S2187" t="s">
        <v>30</v>
      </c>
      <c r="T2187" t="s">
        <v>1958</v>
      </c>
      <c r="U2187" t="s">
        <v>1959</v>
      </c>
      <c r="V2187" t="s">
        <v>40</v>
      </c>
      <c r="W2187" s="1">
        <v>976200</v>
      </c>
    </row>
    <row r="2188" spans="1:23" x14ac:dyDescent="0.2">
      <c r="A2188" t="s">
        <v>23</v>
      </c>
      <c r="B2188" t="s">
        <v>1108</v>
      </c>
      <c r="C2188" t="s">
        <v>1893</v>
      </c>
      <c r="D2188" t="s">
        <v>1894</v>
      </c>
      <c r="E2188" t="s">
        <v>1940</v>
      </c>
      <c r="F2188" t="s">
        <v>1941</v>
      </c>
      <c r="G2188" t="s">
        <v>106</v>
      </c>
      <c r="H2188" t="s">
        <v>30</v>
      </c>
      <c r="I2188" t="s">
        <v>30</v>
      </c>
      <c r="J2188" t="s">
        <v>31</v>
      </c>
      <c r="K2188" t="s">
        <v>32</v>
      </c>
      <c r="L2188" t="s">
        <v>32</v>
      </c>
      <c r="M2188" t="s">
        <v>33</v>
      </c>
      <c r="P2188" t="s">
        <v>34</v>
      </c>
      <c r="Q2188" t="s">
        <v>35</v>
      </c>
      <c r="S2188" t="s">
        <v>30</v>
      </c>
      <c r="T2188" t="s">
        <v>1960</v>
      </c>
      <c r="U2188" t="s">
        <v>1961</v>
      </c>
      <c r="V2188" t="s">
        <v>39</v>
      </c>
      <c r="W2188" s="1">
        <v>2</v>
      </c>
    </row>
    <row r="2189" spans="1:23" x14ac:dyDescent="0.2">
      <c r="A2189" t="s">
        <v>23</v>
      </c>
      <c r="B2189" t="s">
        <v>1108</v>
      </c>
      <c r="C2189" t="s">
        <v>1893</v>
      </c>
      <c r="D2189" t="s">
        <v>1894</v>
      </c>
      <c r="E2189" t="s">
        <v>1940</v>
      </c>
      <c r="F2189" t="s">
        <v>1941</v>
      </c>
      <c r="G2189" t="s">
        <v>106</v>
      </c>
      <c r="H2189" t="s">
        <v>30</v>
      </c>
      <c r="I2189" t="s">
        <v>30</v>
      </c>
      <c r="J2189" t="s">
        <v>31</v>
      </c>
      <c r="K2189" t="s">
        <v>32</v>
      </c>
      <c r="L2189" t="s">
        <v>32</v>
      </c>
      <c r="M2189" t="s">
        <v>33</v>
      </c>
      <c r="P2189" t="s">
        <v>34</v>
      </c>
      <c r="Q2189" t="s">
        <v>35</v>
      </c>
      <c r="S2189" t="s">
        <v>30</v>
      </c>
      <c r="T2189" t="s">
        <v>1960</v>
      </c>
      <c r="U2189" t="s">
        <v>1961</v>
      </c>
      <c r="V2189" t="s">
        <v>40</v>
      </c>
      <c r="W2189" s="1">
        <v>1004400</v>
      </c>
    </row>
    <row r="2190" spans="1:23" x14ac:dyDescent="0.2">
      <c r="A2190" t="s">
        <v>23</v>
      </c>
      <c r="B2190" t="s">
        <v>1108</v>
      </c>
      <c r="C2190" t="s">
        <v>1893</v>
      </c>
      <c r="D2190" t="s">
        <v>1962</v>
      </c>
      <c r="E2190" t="s">
        <v>1963</v>
      </c>
      <c r="F2190" t="s">
        <v>1964</v>
      </c>
      <c r="G2190" t="s">
        <v>49</v>
      </c>
      <c r="H2190" t="s">
        <v>30</v>
      </c>
      <c r="I2190" t="s">
        <v>30</v>
      </c>
      <c r="J2190" t="s">
        <v>128</v>
      </c>
      <c r="K2190" t="s">
        <v>181</v>
      </c>
      <c r="L2190" t="s">
        <v>32</v>
      </c>
      <c r="M2190" t="s">
        <v>33</v>
      </c>
      <c r="P2190" t="s">
        <v>34</v>
      </c>
      <c r="Q2190" t="s">
        <v>35</v>
      </c>
      <c r="S2190" t="s">
        <v>30</v>
      </c>
      <c r="T2190" t="s">
        <v>1965</v>
      </c>
      <c r="U2190" t="s">
        <v>1966</v>
      </c>
      <c r="V2190" t="s">
        <v>39</v>
      </c>
      <c r="W2190" s="1">
        <v>15</v>
      </c>
    </row>
    <row r="2191" spans="1:23" x14ac:dyDescent="0.2">
      <c r="A2191" t="s">
        <v>23</v>
      </c>
      <c r="B2191" t="s">
        <v>1108</v>
      </c>
      <c r="C2191" t="s">
        <v>1893</v>
      </c>
      <c r="D2191" t="s">
        <v>1962</v>
      </c>
      <c r="E2191" t="s">
        <v>1963</v>
      </c>
      <c r="F2191" t="s">
        <v>1964</v>
      </c>
      <c r="G2191" t="s">
        <v>49</v>
      </c>
      <c r="H2191" t="s">
        <v>30</v>
      </c>
      <c r="I2191" t="s">
        <v>30</v>
      </c>
      <c r="J2191" t="s">
        <v>128</v>
      </c>
      <c r="K2191" t="s">
        <v>181</v>
      </c>
      <c r="L2191" t="s">
        <v>32</v>
      </c>
      <c r="M2191" t="s">
        <v>33</v>
      </c>
      <c r="P2191" t="s">
        <v>34</v>
      </c>
      <c r="Q2191" t="s">
        <v>35</v>
      </c>
      <c r="S2191" t="s">
        <v>30</v>
      </c>
      <c r="T2191" t="s">
        <v>1965</v>
      </c>
      <c r="U2191" t="s">
        <v>1966</v>
      </c>
      <c r="V2191" t="s">
        <v>40</v>
      </c>
      <c r="W2191" s="1">
        <v>18600000</v>
      </c>
    </row>
    <row r="2192" spans="1:23" x14ac:dyDescent="0.2">
      <c r="A2192" t="s">
        <v>23</v>
      </c>
      <c r="B2192" t="s">
        <v>1108</v>
      </c>
      <c r="C2192" t="s">
        <v>1893</v>
      </c>
      <c r="D2192" t="s">
        <v>1962</v>
      </c>
      <c r="E2192" t="s">
        <v>1963</v>
      </c>
      <c r="F2192" t="s">
        <v>1964</v>
      </c>
      <c r="G2192" t="s">
        <v>49</v>
      </c>
      <c r="H2192" t="s">
        <v>30</v>
      </c>
      <c r="I2192" t="s">
        <v>30</v>
      </c>
      <c r="J2192" t="s">
        <v>31</v>
      </c>
      <c r="K2192" t="s">
        <v>32</v>
      </c>
      <c r="L2192" t="s">
        <v>32</v>
      </c>
      <c r="M2192" t="s">
        <v>33</v>
      </c>
      <c r="N2192" t="s">
        <v>33</v>
      </c>
      <c r="O2192" t="s">
        <v>33</v>
      </c>
      <c r="P2192" t="s">
        <v>34</v>
      </c>
      <c r="Q2192" t="s">
        <v>35</v>
      </c>
      <c r="R2192" t="s">
        <v>148</v>
      </c>
      <c r="S2192" t="s">
        <v>30</v>
      </c>
      <c r="T2192" t="s">
        <v>1967</v>
      </c>
      <c r="U2192" t="s">
        <v>1968</v>
      </c>
      <c r="V2192" t="s">
        <v>39</v>
      </c>
      <c r="W2192" s="1">
        <v>1</v>
      </c>
    </row>
    <row r="2193" spans="1:23" x14ac:dyDescent="0.2">
      <c r="A2193" t="s">
        <v>23</v>
      </c>
      <c r="B2193" t="s">
        <v>1108</v>
      </c>
      <c r="C2193" t="s">
        <v>1893</v>
      </c>
      <c r="D2193" t="s">
        <v>1962</v>
      </c>
      <c r="E2193" t="s">
        <v>1963</v>
      </c>
      <c r="F2193" t="s">
        <v>1964</v>
      </c>
      <c r="G2193" t="s">
        <v>49</v>
      </c>
      <c r="H2193" t="s">
        <v>30</v>
      </c>
      <c r="I2193" t="s">
        <v>30</v>
      </c>
      <c r="J2193" t="s">
        <v>31</v>
      </c>
      <c r="K2193" t="s">
        <v>32</v>
      </c>
      <c r="L2193" t="s">
        <v>32</v>
      </c>
      <c r="M2193" t="s">
        <v>33</v>
      </c>
      <c r="N2193" t="s">
        <v>33</v>
      </c>
      <c r="O2193" t="s">
        <v>33</v>
      </c>
      <c r="P2193" t="s">
        <v>34</v>
      </c>
      <c r="Q2193" t="s">
        <v>35</v>
      </c>
      <c r="R2193" t="s">
        <v>148</v>
      </c>
      <c r="S2193" t="s">
        <v>30</v>
      </c>
      <c r="T2193" t="s">
        <v>1967</v>
      </c>
      <c r="U2193" t="s">
        <v>1968</v>
      </c>
      <c r="V2193" t="s">
        <v>40</v>
      </c>
      <c r="W2193" s="1">
        <v>3026600</v>
      </c>
    </row>
    <row r="2194" spans="1:23" x14ac:dyDescent="0.2">
      <c r="A2194" t="s">
        <v>23</v>
      </c>
      <c r="B2194" t="s">
        <v>1108</v>
      </c>
      <c r="C2194" t="s">
        <v>1893</v>
      </c>
      <c r="D2194" t="s">
        <v>1962</v>
      </c>
      <c r="E2194" t="s">
        <v>1963</v>
      </c>
      <c r="F2194" t="s">
        <v>1964</v>
      </c>
      <c r="G2194" t="s">
        <v>49</v>
      </c>
      <c r="H2194" t="s">
        <v>30</v>
      </c>
      <c r="I2194" t="s">
        <v>30</v>
      </c>
      <c r="J2194" t="s">
        <v>31</v>
      </c>
      <c r="K2194" t="s">
        <v>32</v>
      </c>
      <c r="L2194" t="s">
        <v>32</v>
      </c>
      <c r="M2194" t="s">
        <v>33</v>
      </c>
      <c r="N2194" t="s">
        <v>33</v>
      </c>
      <c r="O2194" t="s">
        <v>33</v>
      </c>
      <c r="P2194" t="s">
        <v>34</v>
      </c>
      <c r="Q2194" t="s">
        <v>35</v>
      </c>
      <c r="R2194" t="s">
        <v>173</v>
      </c>
      <c r="S2194" t="s">
        <v>30</v>
      </c>
      <c r="T2194" t="s">
        <v>1969</v>
      </c>
      <c r="U2194" t="s">
        <v>1970</v>
      </c>
      <c r="V2194" t="s">
        <v>39</v>
      </c>
      <c r="W2194" s="1">
        <v>4</v>
      </c>
    </row>
    <row r="2195" spans="1:23" x14ac:dyDescent="0.2">
      <c r="A2195" t="s">
        <v>23</v>
      </c>
      <c r="B2195" t="s">
        <v>1108</v>
      </c>
      <c r="C2195" t="s">
        <v>1893</v>
      </c>
      <c r="D2195" t="s">
        <v>1962</v>
      </c>
      <c r="E2195" t="s">
        <v>1963</v>
      </c>
      <c r="F2195" t="s">
        <v>1964</v>
      </c>
      <c r="G2195" t="s">
        <v>49</v>
      </c>
      <c r="H2195" t="s">
        <v>30</v>
      </c>
      <c r="I2195" t="s">
        <v>30</v>
      </c>
      <c r="J2195" t="s">
        <v>31</v>
      </c>
      <c r="K2195" t="s">
        <v>32</v>
      </c>
      <c r="L2195" t="s">
        <v>32</v>
      </c>
      <c r="M2195" t="s">
        <v>33</v>
      </c>
      <c r="N2195" t="s">
        <v>33</v>
      </c>
      <c r="O2195" t="s">
        <v>33</v>
      </c>
      <c r="P2195" t="s">
        <v>34</v>
      </c>
      <c r="Q2195" t="s">
        <v>35</v>
      </c>
      <c r="R2195" t="s">
        <v>173</v>
      </c>
      <c r="S2195" t="s">
        <v>30</v>
      </c>
      <c r="T2195" t="s">
        <v>1969</v>
      </c>
      <c r="U2195" t="s">
        <v>1970</v>
      </c>
      <c r="V2195" t="s">
        <v>40</v>
      </c>
      <c r="W2195" s="1">
        <v>2737600</v>
      </c>
    </row>
    <row r="2196" spans="1:23" x14ac:dyDescent="0.2">
      <c r="A2196" t="s">
        <v>23</v>
      </c>
      <c r="B2196" t="s">
        <v>1108</v>
      </c>
      <c r="C2196" t="s">
        <v>1893</v>
      </c>
      <c r="D2196" t="s">
        <v>1962</v>
      </c>
      <c r="E2196" t="s">
        <v>1963</v>
      </c>
      <c r="F2196" t="s">
        <v>1964</v>
      </c>
      <c r="G2196" t="s">
        <v>49</v>
      </c>
      <c r="H2196" t="s">
        <v>30</v>
      </c>
      <c r="I2196" t="s">
        <v>30</v>
      </c>
      <c r="J2196" t="s">
        <v>41</v>
      </c>
      <c r="K2196" t="s">
        <v>32</v>
      </c>
      <c r="L2196" t="s">
        <v>32</v>
      </c>
      <c r="M2196" t="s">
        <v>33</v>
      </c>
      <c r="P2196" t="s">
        <v>34</v>
      </c>
      <c r="Q2196" t="s">
        <v>35</v>
      </c>
      <c r="R2196" t="s">
        <v>54</v>
      </c>
      <c r="S2196" t="s">
        <v>30</v>
      </c>
      <c r="T2196" t="s">
        <v>1971</v>
      </c>
      <c r="U2196" t="s">
        <v>1972</v>
      </c>
      <c r="V2196" t="s">
        <v>39</v>
      </c>
      <c r="W2196" s="1">
        <v>18</v>
      </c>
    </row>
    <row r="2197" spans="1:23" x14ac:dyDescent="0.2">
      <c r="A2197" t="s">
        <v>23</v>
      </c>
      <c r="B2197" t="s">
        <v>1108</v>
      </c>
      <c r="C2197" t="s">
        <v>1893</v>
      </c>
      <c r="D2197" t="s">
        <v>1962</v>
      </c>
      <c r="E2197" t="s">
        <v>1963</v>
      </c>
      <c r="F2197" t="s">
        <v>1964</v>
      </c>
      <c r="G2197" t="s">
        <v>49</v>
      </c>
      <c r="H2197" t="s">
        <v>30</v>
      </c>
      <c r="I2197" t="s">
        <v>30</v>
      </c>
      <c r="J2197" t="s">
        <v>41</v>
      </c>
      <c r="K2197" t="s">
        <v>32</v>
      </c>
      <c r="L2197" t="s">
        <v>32</v>
      </c>
      <c r="M2197" t="s">
        <v>33</v>
      </c>
      <c r="P2197" t="s">
        <v>34</v>
      </c>
      <c r="Q2197" t="s">
        <v>35</v>
      </c>
      <c r="R2197" t="s">
        <v>54</v>
      </c>
      <c r="S2197" t="s">
        <v>30</v>
      </c>
      <c r="T2197" t="s">
        <v>1971</v>
      </c>
      <c r="U2197" t="s">
        <v>1972</v>
      </c>
      <c r="V2197" t="s">
        <v>40</v>
      </c>
      <c r="W2197" s="1">
        <v>17265600</v>
      </c>
    </row>
    <row r="2198" spans="1:23" x14ac:dyDescent="0.2">
      <c r="A2198" t="s">
        <v>23</v>
      </c>
      <c r="B2198" t="s">
        <v>1108</v>
      </c>
      <c r="C2198" t="s">
        <v>1893</v>
      </c>
      <c r="D2198" t="s">
        <v>1962</v>
      </c>
      <c r="E2198" t="s">
        <v>1963</v>
      </c>
      <c r="F2198" t="s">
        <v>1964</v>
      </c>
      <c r="G2198" t="s">
        <v>61</v>
      </c>
      <c r="H2198" t="s">
        <v>52</v>
      </c>
      <c r="I2198" t="s">
        <v>52</v>
      </c>
      <c r="J2198" t="s">
        <v>128</v>
      </c>
      <c r="K2198" t="s">
        <v>32</v>
      </c>
      <c r="L2198" t="s">
        <v>32</v>
      </c>
      <c r="M2198" t="s">
        <v>33</v>
      </c>
      <c r="N2198" t="s">
        <v>33</v>
      </c>
      <c r="O2198" t="s">
        <v>33</v>
      </c>
      <c r="P2198" t="s">
        <v>34</v>
      </c>
      <c r="Q2198" t="s">
        <v>35</v>
      </c>
      <c r="R2198" t="s">
        <v>129</v>
      </c>
      <c r="S2198" t="s">
        <v>30</v>
      </c>
      <c r="T2198" t="s">
        <v>1973</v>
      </c>
      <c r="U2198" t="s">
        <v>1974</v>
      </c>
      <c r="V2198" t="s">
        <v>39</v>
      </c>
      <c r="W2198" s="1">
        <v>4</v>
      </c>
    </row>
    <row r="2199" spans="1:23" x14ac:dyDescent="0.2">
      <c r="A2199" t="s">
        <v>23</v>
      </c>
      <c r="B2199" t="s">
        <v>1108</v>
      </c>
      <c r="C2199" t="s">
        <v>1893</v>
      </c>
      <c r="D2199" t="s">
        <v>1962</v>
      </c>
      <c r="E2199" t="s">
        <v>1963</v>
      </c>
      <c r="F2199" t="s">
        <v>1964</v>
      </c>
      <c r="G2199" t="s">
        <v>61</v>
      </c>
      <c r="H2199" t="s">
        <v>52</v>
      </c>
      <c r="I2199" t="s">
        <v>52</v>
      </c>
      <c r="J2199" t="s">
        <v>128</v>
      </c>
      <c r="K2199" t="s">
        <v>32</v>
      </c>
      <c r="L2199" t="s">
        <v>32</v>
      </c>
      <c r="M2199" t="s">
        <v>33</v>
      </c>
      <c r="N2199" t="s">
        <v>33</v>
      </c>
      <c r="O2199" t="s">
        <v>33</v>
      </c>
      <c r="P2199" t="s">
        <v>34</v>
      </c>
      <c r="Q2199" t="s">
        <v>35</v>
      </c>
      <c r="R2199" t="s">
        <v>129</v>
      </c>
      <c r="S2199" t="s">
        <v>30</v>
      </c>
      <c r="T2199" t="s">
        <v>1973</v>
      </c>
      <c r="U2199" t="s">
        <v>1974</v>
      </c>
      <c r="V2199" t="s">
        <v>40</v>
      </c>
      <c r="W2199" s="1">
        <v>1982000</v>
      </c>
    </row>
    <row r="2200" spans="1:23" x14ac:dyDescent="0.2">
      <c r="A2200" t="s">
        <v>23</v>
      </c>
      <c r="B2200" t="s">
        <v>1108</v>
      </c>
      <c r="C2200" t="s">
        <v>1893</v>
      </c>
      <c r="D2200" t="s">
        <v>1962</v>
      </c>
      <c r="E2200" t="s">
        <v>1963</v>
      </c>
      <c r="F2200" t="s">
        <v>1964</v>
      </c>
      <c r="G2200" t="s">
        <v>61</v>
      </c>
      <c r="H2200" t="s">
        <v>52</v>
      </c>
      <c r="I2200" t="s">
        <v>52</v>
      </c>
      <c r="J2200" t="s">
        <v>128</v>
      </c>
      <c r="K2200" t="s">
        <v>32</v>
      </c>
      <c r="L2200" t="s">
        <v>32</v>
      </c>
      <c r="M2200" t="s">
        <v>33</v>
      </c>
      <c r="P2200" t="s">
        <v>34</v>
      </c>
      <c r="Q2200" t="s">
        <v>35</v>
      </c>
      <c r="R2200" t="s">
        <v>129</v>
      </c>
      <c r="S2200" t="s">
        <v>52</v>
      </c>
      <c r="T2200" t="s">
        <v>1975</v>
      </c>
      <c r="U2200" t="s">
        <v>1976</v>
      </c>
      <c r="V2200" t="s">
        <v>39</v>
      </c>
      <c r="W2200" s="1">
        <v>0</v>
      </c>
    </row>
    <row r="2201" spans="1:23" x14ac:dyDescent="0.2">
      <c r="A2201" t="s">
        <v>23</v>
      </c>
      <c r="B2201" t="s">
        <v>1108</v>
      </c>
      <c r="C2201" t="s">
        <v>1893</v>
      </c>
      <c r="D2201" t="s">
        <v>1962</v>
      </c>
      <c r="E2201" t="s">
        <v>1963</v>
      </c>
      <c r="F2201" t="s">
        <v>1964</v>
      </c>
      <c r="G2201" t="s">
        <v>61</v>
      </c>
      <c r="H2201" t="s">
        <v>52</v>
      </c>
      <c r="I2201" t="s">
        <v>52</v>
      </c>
      <c r="J2201" t="s">
        <v>128</v>
      </c>
      <c r="K2201" t="s">
        <v>32</v>
      </c>
      <c r="L2201" t="s">
        <v>32</v>
      </c>
      <c r="M2201" t="s">
        <v>33</v>
      </c>
      <c r="P2201" t="s">
        <v>34</v>
      </c>
      <c r="Q2201" t="s">
        <v>35</v>
      </c>
      <c r="R2201" t="s">
        <v>129</v>
      </c>
      <c r="S2201" t="s">
        <v>52</v>
      </c>
      <c r="T2201" t="s">
        <v>1975</v>
      </c>
      <c r="U2201" t="s">
        <v>1976</v>
      </c>
      <c r="V2201" t="s">
        <v>40</v>
      </c>
      <c r="W2201" s="1">
        <v>1982000</v>
      </c>
    </row>
    <row r="2202" spans="1:23" x14ac:dyDescent="0.2">
      <c r="A2202" t="s">
        <v>23</v>
      </c>
      <c r="B2202" t="s">
        <v>1108</v>
      </c>
      <c r="C2202" t="s">
        <v>1893</v>
      </c>
      <c r="D2202" t="s">
        <v>1962</v>
      </c>
      <c r="E2202" t="s">
        <v>1963</v>
      </c>
      <c r="F2202" t="s">
        <v>1964</v>
      </c>
      <c r="G2202" t="s">
        <v>67</v>
      </c>
      <c r="H2202" t="s">
        <v>30</v>
      </c>
      <c r="I2202" t="s">
        <v>30</v>
      </c>
      <c r="J2202" t="s">
        <v>128</v>
      </c>
      <c r="K2202" t="s">
        <v>181</v>
      </c>
      <c r="L2202" t="s">
        <v>32</v>
      </c>
      <c r="M2202" t="s">
        <v>33</v>
      </c>
      <c r="P2202" t="s">
        <v>34</v>
      </c>
      <c r="Q2202" t="s">
        <v>35</v>
      </c>
      <c r="S2202" t="s">
        <v>30</v>
      </c>
      <c r="T2202" t="s">
        <v>1965</v>
      </c>
      <c r="U2202" t="s">
        <v>1966</v>
      </c>
      <c r="V2202" t="s">
        <v>39</v>
      </c>
      <c r="W2202" s="1">
        <v>3</v>
      </c>
    </row>
    <row r="2203" spans="1:23" x14ac:dyDescent="0.2">
      <c r="A2203" t="s">
        <v>23</v>
      </c>
      <c r="B2203" t="s">
        <v>1108</v>
      </c>
      <c r="C2203" t="s">
        <v>1893</v>
      </c>
      <c r="D2203" t="s">
        <v>1962</v>
      </c>
      <c r="E2203" t="s">
        <v>1963</v>
      </c>
      <c r="F2203" t="s">
        <v>1964</v>
      </c>
      <c r="G2203" t="s">
        <v>67</v>
      </c>
      <c r="H2203" t="s">
        <v>30</v>
      </c>
      <c r="I2203" t="s">
        <v>30</v>
      </c>
      <c r="J2203" t="s">
        <v>128</v>
      </c>
      <c r="K2203" t="s">
        <v>181</v>
      </c>
      <c r="L2203" t="s">
        <v>32</v>
      </c>
      <c r="M2203" t="s">
        <v>33</v>
      </c>
      <c r="P2203" t="s">
        <v>34</v>
      </c>
      <c r="Q2203" t="s">
        <v>35</v>
      </c>
      <c r="S2203" t="s">
        <v>30</v>
      </c>
      <c r="T2203" t="s">
        <v>1965</v>
      </c>
      <c r="U2203" t="s">
        <v>1966</v>
      </c>
      <c r="V2203" t="s">
        <v>40</v>
      </c>
      <c r="W2203" s="1">
        <v>3720000</v>
      </c>
    </row>
    <row r="2204" spans="1:23" x14ac:dyDescent="0.2">
      <c r="A2204" t="s">
        <v>23</v>
      </c>
      <c r="B2204" t="s">
        <v>1108</v>
      </c>
      <c r="C2204" t="s">
        <v>1893</v>
      </c>
      <c r="D2204" t="s">
        <v>1962</v>
      </c>
      <c r="E2204" t="s">
        <v>1963</v>
      </c>
      <c r="F2204" t="s">
        <v>1964</v>
      </c>
      <c r="G2204" t="s">
        <v>67</v>
      </c>
      <c r="H2204" t="s">
        <v>30</v>
      </c>
      <c r="I2204" t="s">
        <v>30</v>
      </c>
      <c r="J2204" t="s">
        <v>31</v>
      </c>
      <c r="K2204" t="s">
        <v>32</v>
      </c>
      <c r="L2204" t="s">
        <v>32</v>
      </c>
      <c r="M2204" t="s">
        <v>33</v>
      </c>
      <c r="N2204" t="s">
        <v>33</v>
      </c>
      <c r="O2204" t="s">
        <v>33</v>
      </c>
      <c r="P2204" t="s">
        <v>34</v>
      </c>
      <c r="Q2204" t="s">
        <v>35</v>
      </c>
      <c r="S2204" t="s">
        <v>30</v>
      </c>
      <c r="T2204" t="s">
        <v>1977</v>
      </c>
      <c r="U2204" t="s">
        <v>1978</v>
      </c>
      <c r="V2204" t="s">
        <v>39</v>
      </c>
      <c r="W2204" s="1">
        <v>7</v>
      </c>
    </row>
    <row r="2205" spans="1:23" x14ac:dyDescent="0.2">
      <c r="A2205" t="s">
        <v>23</v>
      </c>
      <c r="B2205" t="s">
        <v>1108</v>
      </c>
      <c r="C2205" t="s">
        <v>1893</v>
      </c>
      <c r="D2205" t="s">
        <v>1962</v>
      </c>
      <c r="E2205" t="s">
        <v>1963</v>
      </c>
      <c r="F2205" t="s">
        <v>1964</v>
      </c>
      <c r="G2205" t="s">
        <v>67</v>
      </c>
      <c r="H2205" t="s">
        <v>30</v>
      </c>
      <c r="I2205" t="s">
        <v>30</v>
      </c>
      <c r="J2205" t="s">
        <v>31</v>
      </c>
      <c r="K2205" t="s">
        <v>32</v>
      </c>
      <c r="L2205" t="s">
        <v>32</v>
      </c>
      <c r="M2205" t="s">
        <v>33</v>
      </c>
      <c r="N2205" t="s">
        <v>33</v>
      </c>
      <c r="O2205" t="s">
        <v>33</v>
      </c>
      <c r="P2205" t="s">
        <v>34</v>
      </c>
      <c r="Q2205" t="s">
        <v>35</v>
      </c>
      <c r="S2205" t="s">
        <v>30</v>
      </c>
      <c r="T2205" t="s">
        <v>1977</v>
      </c>
      <c r="U2205" t="s">
        <v>1978</v>
      </c>
      <c r="V2205" t="s">
        <v>40</v>
      </c>
      <c r="W2205" s="1">
        <v>6323800</v>
      </c>
    </row>
    <row r="2206" spans="1:23" x14ac:dyDescent="0.2">
      <c r="A2206" t="s">
        <v>23</v>
      </c>
      <c r="B2206" t="s">
        <v>1108</v>
      </c>
      <c r="C2206" t="s">
        <v>1893</v>
      </c>
      <c r="D2206" t="s">
        <v>1962</v>
      </c>
      <c r="E2206" t="s">
        <v>1963</v>
      </c>
      <c r="F2206" t="s">
        <v>1964</v>
      </c>
      <c r="G2206" t="s">
        <v>67</v>
      </c>
      <c r="H2206" t="s">
        <v>30</v>
      </c>
      <c r="I2206" t="s">
        <v>30</v>
      </c>
      <c r="J2206" t="s">
        <v>41</v>
      </c>
      <c r="K2206" t="s">
        <v>32</v>
      </c>
      <c r="L2206" t="s">
        <v>32</v>
      </c>
      <c r="M2206" t="s">
        <v>33</v>
      </c>
      <c r="N2206" t="s">
        <v>33</v>
      </c>
      <c r="O2206" t="s">
        <v>33</v>
      </c>
      <c r="P2206" t="s">
        <v>34</v>
      </c>
      <c r="Q2206" t="s">
        <v>35</v>
      </c>
      <c r="R2206" t="s">
        <v>96</v>
      </c>
      <c r="S2206" t="s">
        <v>30</v>
      </c>
      <c r="T2206" t="s">
        <v>1979</v>
      </c>
      <c r="U2206" t="s">
        <v>1980</v>
      </c>
      <c r="V2206" t="s">
        <v>39</v>
      </c>
      <c r="W2206" s="1">
        <v>2</v>
      </c>
    </row>
    <row r="2207" spans="1:23" x14ac:dyDescent="0.2">
      <c r="A2207" t="s">
        <v>23</v>
      </c>
      <c r="B2207" t="s">
        <v>1108</v>
      </c>
      <c r="C2207" t="s">
        <v>1893</v>
      </c>
      <c r="D2207" t="s">
        <v>1962</v>
      </c>
      <c r="E2207" t="s">
        <v>1963</v>
      </c>
      <c r="F2207" t="s">
        <v>1964</v>
      </c>
      <c r="G2207" t="s">
        <v>67</v>
      </c>
      <c r="H2207" t="s">
        <v>30</v>
      </c>
      <c r="I2207" t="s">
        <v>30</v>
      </c>
      <c r="J2207" t="s">
        <v>41</v>
      </c>
      <c r="K2207" t="s">
        <v>32</v>
      </c>
      <c r="L2207" t="s">
        <v>32</v>
      </c>
      <c r="M2207" t="s">
        <v>33</v>
      </c>
      <c r="N2207" t="s">
        <v>33</v>
      </c>
      <c r="O2207" t="s">
        <v>33</v>
      </c>
      <c r="P2207" t="s">
        <v>34</v>
      </c>
      <c r="Q2207" t="s">
        <v>35</v>
      </c>
      <c r="R2207" t="s">
        <v>96</v>
      </c>
      <c r="S2207" t="s">
        <v>30</v>
      </c>
      <c r="T2207" t="s">
        <v>1979</v>
      </c>
      <c r="U2207" t="s">
        <v>1980</v>
      </c>
      <c r="V2207" t="s">
        <v>40</v>
      </c>
      <c r="W2207" s="1">
        <v>10093200</v>
      </c>
    </row>
    <row r="2208" spans="1:23" x14ac:dyDescent="0.2">
      <c r="A2208" t="s">
        <v>23</v>
      </c>
      <c r="B2208" t="s">
        <v>1108</v>
      </c>
      <c r="C2208" t="s">
        <v>1893</v>
      </c>
      <c r="D2208" t="s">
        <v>1962</v>
      </c>
      <c r="E2208" t="s">
        <v>1963</v>
      </c>
      <c r="F2208" t="s">
        <v>1964</v>
      </c>
      <c r="G2208" t="s">
        <v>67</v>
      </c>
      <c r="H2208" t="s">
        <v>30</v>
      </c>
      <c r="I2208" t="s">
        <v>30</v>
      </c>
      <c r="J2208" t="s">
        <v>41</v>
      </c>
      <c r="K2208" t="s">
        <v>32</v>
      </c>
      <c r="L2208" t="s">
        <v>32</v>
      </c>
      <c r="M2208" t="s">
        <v>33</v>
      </c>
      <c r="P2208" t="s">
        <v>34</v>
      </c>
      <c r="Q2208" t="s">
        <v>35</v>
      </c>
      <c r="R2208" t="s">
        <v>58</v>
      </c>
      <c r="S2208" t="s">
        <v>52</v>
      </c>
      <c r="T2208" t="s">
        <v>1981</v>
      </c>
      <c r="U2208" t="s">
        <v>1982</v>
      </c>
      <c r="V2208" t="s">
        <v>39</v>
      </c>
      <c r="W2208" s="1">
        <v>0</v>
      </c>
    </row>
    <row r="2209" spans="1:23" x14ac:dyDescent="0.2">
      <c r="A2209" t="s">
        <v>23</v>
      </c>
      <c r="B2209" t="s">
        <v>1108</v>
      </c>
      <c r="C2209" t="s">
        <v>1893</v>
      </c>
      <c r="D2209" t="s">
        <v>1962</v>
      </c>
      <c r="E2209" t="s">
        <v>1963</v>
      </c>
      <c r="F2209" t="s">
        <v>1964</v>
      </c>
      <c r="G2209" t="s">
        <v>67</v>
      </c>
      <c r="H2209" t="s">
        <v>30</v>
      </c>
      <c r="I2209" t="s">
        <v>30</v>
      </c>
      <c r="J2209" t="s">
        <v>41</v>
      </c>
      <c r="K2209" t="s">
        <v>32</v>
      </c>
      <c r="L2209" t="s">
        <v>32</v>
      </c>
      <c r="M2209" t="s">
        <v>33</v>
      </c>
      <c r="P2209" t="s">
        <v>34</v>
      </c>
      <c r="Q2209" t="s">
        <v>35</v>
      </c>
      <c r="R2209" t="s">
        <v>58</v>
      </c>
      <c r="S2209" t="s">
        <v>52</v>
      </c>
      <c r="T2209" t="s">
        <v>1981</v>
      </c>
      <c r="U2209" t="s">
        <v>1982</v>
      </c>
      <c r="V2209" t="s">
        <v>40</v>
      </c>
      <c r="W2209" s="1">
        <v>8071600</v>
      </c>
    </row>
    <row r="2210" spans="1:23" x14ac:dyDescent="0.2">
      <c r="A2210" t="s">
        <v>23</v>
      </c>
      <c r="B2210" t="s">
        <v>1108</v>
      </c>
      <c r="C2210" t="s">
        <v>1893</v>
      </c>
      <c r="D2210" t="s">
        <v>1962</v>
      </c>
      <c r="E2210" t="s">
        <v>1963</v>
      </c>
      <c r="F2210" t="s">
        <v>1964</v>
      </c>
      <c r="G2210" t="s">
        <v>89</v>
      </c>
      <c r="H2210" t="s">
        <v>30</v>
      </c>
      <c r="I2210" t="s">
        <v>30</v>
      </c>
      <c r="J2210" t="s">
        <v>41</v>
      </c>
      <c r="K2210" t="s">
        <v>32</v>
      </c>
      <c r="L2210" t="s">
        <v>32</v>
      </c>
      <c r="M2210" t="s">
        <v>33</v>
      </c>
      <c r="N2210" t="s">
        <v>33</v>
      </c>
      <c r="O2210" t="s">
        <v>33</v>
      </c>
      <c r="P2210" t="s">
        <v>34</v>
      </c>
      <c r="Q2210" t="s">
        <v>35</v>
      </c>
      <c r="R2210" t="s">
        <v>148</v>
      </c>
      <c r="S2210" t="s">
        <v>30</v>
      </c>
      <c r="T2210" t="s">
        <v>1983</v>
      </c>
      <c r="U2210" t="s">
        <v>1984</v>
      </c>
      <c r="V2210" t="s">
        <v>39</v>
      </c>
      <c r="W2210" s="1">
        <v>2</v>
      </c>
    </row>
    <row r="2211" spans="1:23" x14ac:dyDescent="0.2">
      <c r="A2211" t="s">
        <v>23</v>
      </c>
      <c r="B2211" t="s">
        <v>1108</v>
      </c>
      <c r="C2211" t="s">
        <v>1893</v>
      </c>
      <c r="D2211" t="s">
        <v>1962</v>
      </c>
      <c r="E2211" t="s">
        <v>1963</v>
      </c>
      <c r="F2211" t="s">
        <v>1964</v>
      </c>
      <c r="G2211" t="s">
        <v>89</v>
      </c>
      <c r="H2211" t="s">
        <v>30</v>
      </c>
      <c r="I2211" t="s">
        <v>30</v>
      </c>
      <c r="J2211" t="s">
        <v>41</v>
      </c>
      <c r="K2211" t="s">
        <v>32</v>
      </c>
      <c r="L2211" t="s">
        <v>32</v>
      </c>
      <c r="M2211" t="s">
        <v>33</v>
      </c>
      <c r="N2211" t="s">
        <v>33</v>
      </c>
      <c r="O2211" t="s">
        <v>33</v>
      </c>
      <c r="P2211" t="s">
        <v>34</v>
      </c>
      <c r="Q2211" t="s">
        <v>35</v>
      </c>
      <c r="R2211" t="s">
        <v>148</v>
      </c>
      <c r="S2211" t="s">
        <v>30</v>
      </c>
      <c r="T2211" t="s">
        <v>1983</v>
      </c>
      <c r="U2211" t="s">
        <v>1984</v>
      </c>
      <c r="V2211" t="s">
        <v>40</v>
      </c>
      <c r="W2211" s="1">
        <v>1806000</v>
      </c>
    </row>
    <row r="2212" spans="1:23" x14ac:dyDescent="0.2">
      <c r="A2212" t="s">
        <v>23</v>
      </c>
      <c r="B2212" t="s">
        <v>1108</v>
      </c>
      <c r="C2212" t="s">
        <v>1893</v>
      </c>
      <c r="D2212" t="s">
        <v>1962</v>
      </c>
      <c r="E2212" t="s">
        <v>1963</v>
      </c>
      <c r="F2212" t="s">
        <v>1964</v>
      </c>
      <c r="G2212" t="s">
        <v>106</v>
      </c>
      <c r="H2212" t="s">
        <v>30</v>
      </c>
      <c r="I2212" t="s">
        <v>30</v>
      </c>
      <c r="J2212" t="s">
        <v>31</v>
      </c>
      <c r="K2212" t="s">
        <v>32</v>
      </c>
      <c r="L2212" t="s">
        <v>32</v>
      </c>
      <c r="M2212" t="s">
        <v>33</v>
      </c>
      <c r="N2212" t="s">
        <v>33</v>
      </c>
      <c r="O2212" t="s">
        <v>33</v>
      </c>
      <c r="P2212" t="s">
        <v>34</v>
      </c>
      <c r="Q2212" t="s">
        <v>35</v>
      </c>
      <c r="R2212" t="s">
        <v>1985</v>
      </c>
      <c r="S2212" t="s">
        <v>30</v>
      </c>
      <c r="T2212" t="s">
        <v>1986</v>
      </c>
      <c r="U2212" t="s">
        <v>1987</v>
      </c>
      <c r="V2212" t="s">
        <v>39</v>
      </c>
      <c r="W2212" s="1">
        <v>2</v>
      </c>
    </row>
    <row r="2213" spans="1:23" x14ac:dyDescent="0.2">
      <c r="A2213" t="s">
        <v>23</v>
      </c>
      <c r="B2213" t="s">
        <v>1108</v>
      </c>
      <c r="C2213" t="s">
        <v>1893</v>
      </c>
      <c r="D2213" t="s">
        <v>1962</v>
      </c>
      <c r="E2213" t="s">
        <v>1963</v>
      </c>
      <c r="F2213" t="s">
        <v>1964</v>
      </c>
      <c r="G2213" t="s">
        <v>106</v>
      </c>
      <c r="H2213" t="s">
        <v>30</v>
      </c>
      <c r="I2213" t="s">
        <v>30</v>
      </c>
      <c r="J2213" t="s">
        <v>31</v>
      </c>
      <c r="K2213" t="s">
        <v>32</v>
      </c>
      <c r="L2213" t="s">
        <v>32</v>
      </c>
      <c r="M2213" t="s">
        <v>33</v>
      </c>
      <c r="N2213" t="s">
        <v>33</v>
      </c>
      <c r="O2213" t="s">
        <v>33</v>
      </c>
      <c r="P2213" t="s">
        <v>34</v>
      </c>
      <c r="Q2213" t="s">
        <v>35</v>
      </c>
      <c r="R2213" t="s">
        <v>1985</v>
      </c>
      <c r="S2213" t="s">
        <v>30</v>
      </c>
      <c r="T2213" t="s">
        <v>1986</v>
      </c>
      <c r="U2213" t="s">
        <v>1987</v>
      </c>
      <c r="V2213" t="s">
        <v>40</v>
      </c>
      <c r="W2213" s="1">
        <v>2898000</v>
      </c>
    </row>
    <row r="2214" spans="1:23" x14ac:dyDescent="0.2">
      <c r="A2214" t="s">
        <v>23</v>
      </c>
      <c r="B2214" t="s">
        <v>1108</v>
      </c>
      <c r="C2214" t="s">
        <v>1893</v>
      </c>
      <c r="D2214" t="s">
        <v>1962</v>
      </c>
      <c r="E2214" t="s">
        <v>1963</v>
      </c>
      <c r="F2214" t="s">
        <v>1964</v>
      </c>
      <c r="G2214" t="s">
        <v>106</v>
      </c>
      <c r="H2214" t="s">
        <v>30</v>
      </c>
      <c r="I2214" t="s">
        <v>30</v>
      </c>
      <c r="J2214" t="s">
        <v>41</v>
      </c>
      <c r="K2214" t="s">
        <v>32</v>
      </c>
      <c r="L2214" t="s">
        <v>32</v>
      </c>
      <c r="M2214" t="s">
        <v>33</v>
      </c>
      <c r="P2214" t="s">
        <v>34</v>
      </c>
      <c r="Q2214" t="s">
        <v>35</v>
      </c>
      <c r="R2214" t="s">
        <v>54</v>
      </c>
      <c r="S2214" t="s">
        <v>30</v>
      </c>
      <c r="T2214" t="s">
        <v>1988</v>
      </c>
      <c r="U2214" t="s">
        <v>1989</v>
      </c>
      <c r="V2214" t="s">
        <v>39</v>
      </c>
      <c r="W2214" s="1">
        <v>4</v>
      </c>
    </row>
    <row r="2215" spans="1:23" x14ac:dyDescent="0.2">
      <c r="A2215" t="s">
        <v>23</v>
      </c>
      <c r="B2215" t="s">
        <v>1108</v>
      </c>
      <c r="C2215" t="s">
        <v>1893</v>
      </c>
      <c r="D2215" t="s">
        <v>1962</v>
      </c>
      <c r="E2215" t="s">
        <v>1963</v>
      </c>
      <c r="F2215" t="s">
        <v>1964</v>
      </c>
      <c r="G2215" t="s">
        <v>106</v>
      </c>
      <c r="H2215" t="s">
        <v>30</v>
      </c>
      <c r="I2215" t="s">
        <v>30</v>
      </c>
      <c r="J2215" t="s">
        <v>41</v>
      </c>
      <c r="K2215" t="s">
        <v>32</v>
      </c>
      <c r="L2215" t="s">
        <v>32</v>
      </c>
      <c r="M2215" t="s">
        <v>33</v>
      </c>
      <c r="P2215" t="s">
        <v>34</v>
      </c>
      <c r="Q2215" t="s">
        <v>35</v>
      </c>
      <c r="R2215" t="s">
        <v>54</v>
      </c>
      <c r="S2215" t="s">
        <v>30</v>
      </c>
      <c r="T2215" t="s">
        <v>1988</v>
      </c>
      <c r="U2215" t="s">
        <v>1989</v>
      </c>
      <c r="V2215" t="s">
        <v>40</v>
      </c>
      <c r="W2215" s="1">
        <v>5996000</v>
      </c>
    </row>
    <row r="2216" spans="1:23" x14ac:dyDescent="0.2">
      <c r="A2216" t="s">
        <v>23</v>
      </c>
      <c r="B2216" t="s">
        <v>1108</v>
      </c>
      <c r="C2216" t="s">
        <v>1893</v>
      </c>
      <c r="D2216" t="s">
        <v>1962</v>
      </c>
      <c r="E2216" t="s">
        <v>1963</v>
      </c>
      <c r="F2216" t="s">
        <v>1964</v>
      </c>
      <c r="G2216" t="s">
        <v>106</v>
      </c>
      <c r="H2216" t="s">
        <v>30</v>
      </c>
      <c r="I2216" t="s">
        <v>30</v>
      </c>
      <c r="J2216" t="s">
        <v>41</v>
      </c>
      <c r="K2216" t="s">
        <v>32</v>
      </c>
      <c r="L2216" t="s">
        <v>32</v>
      </c>
      <c r="M2216" t="s">
        <v>33</v>
      </c>
      <c r="P2216" t="s">
        <v>34</v>
      </c>
      <c r="Q2216" t="s">
        <v>35</v>
      </c>
      <c r="R2216" t="s">
        <v>58</v>
      </c>
      <c r="S2216" t="s">
        <v>52</v>
      </c>
      <c r="T2216" t="s">
        <v>1990</v>
      </c>
      <c r="U2216" t="s">
        <v>1991</v>
      </c>
      <c r="V2216" t="s">
        <v>39</v>
      </c>
      <c r="W2216" s="1">
        <v>0</v>
      </c>
    </row>
    <row r="2217" spans="1:23" x14ac:dyDescent="0.2">
      <c r="A2217" t="s">
        <v>23</v>
      </c>
      <c r="B2217" t="s">
        <v>1108</v>
      </c>
      <c r="C2217" t="s">
        <v>1893</v>
      </c>
      <c r="D2217" t="s">
        <v>1962</v>
      </c>
      <c r="E2217" t="s">
        <v>1963</v>
      </c>
      <c r="F2217" t="s">
        <v>1964</v>
      </c>
      <c r="G2217" t="s">
        <v>106</v>
      </c>
      <c r="H2217" t="s">
        <v>30</v>
      </c>
      <c r="I2217" t="s">
        <v>30</v>
      </c>
      <c r="J2217" t="s">
        <v>41</v>
      </c>
      <c r="K2217" t="s">
        <v>32</v>
      </c>
      <c r="L2217" t="s">
        <v>32</v>
      </c>
      <c r="M2217" t="s">
        <v>33</v>
      </c>
      <c r="P2217" t="s">
        <v>34</v>
      </c>
      <c r="Q2217" t="s">
        <v>35</v>
      </c>
      <c r="R2217" t="s">
        <v>58</v>
      </c>
      <c r="S2217" t="s">
        <v>52</v>
      </c>
      <c r="T2217" t="s">
        <v>1990</v>
      </c>
      <c r="U2217" t="s">
        <v>1991</v>
      </c>
      <c r="V2217" t="s">
        <v>40</v>
      </c>
      <c r="W2217" s="1">
        <v>9934400</v>
      </c>
    </row>
    <row r="2218" spans="1:23" x14ac:dyDescent="0.2">
      <c r="A2218" t="s">
        <v>23</v>
      </c>
      <c r="B2218" t="s">
        <v>1108</v>
      </c>
      <c r="C2218" t="s">
        <v>1893</v>
      </c>
      <c r="D2218" t="s">
        <v>1962</v>
      </c>
      <c r="E2218" t="s">
        <v>1963</v>
      </c>
      <c r="F2218" t="s">
        <v>1964</v>
      </c>
      <c r="G2218" t="s">
        <v>127</v>
      </c>
      <c r="H2218" t="s">
        <v>52</v>
      </c>
      <c r="I2218" t="s">
        <v>30</v>
      </c>
      <c r="J2218" t="s">
        <v>31</v>
      </c>
      <c r="K2218" t="s">
        <v>32</v>
      </c>
      <c r="L2218" t="s">
        <v>32</v>
      </c>
      <c r="M2218" t="s">
        <v>33</v>
      </c>
      <c r="N2218" t="s">
        <v>33</v>
      </c>
      <c r="O2218" t="s">
        <v>33</v>
      </c>
      <c r="P2218" t="s">
        <v>34</v>
      </c>
      <c r="Q2218" t="s">
        <v>35</v>
      </c>
      <c r="S2218" t="s">
        <v>30</v>
      </c>
      <c r="T2218" t="s">
        <v>1992</v>
      </c>
      <c r="U2218" t="s">
        <v>1993</v>
      </c>
      <c r="V2218" t="s">
        <v>39</v>
      </c>
      <c r="W2218" s="1">
        <v>1</v>
      </c>
    </row>
    <row r="2219" spans="1:23" x14ac:dyDescent="0.2">
      <c r="A2219" t="s">
        <v>23</v>
      </c>
      <c r="B2219" t="s">
        <v>1108</v>
      </c>
      <c r="C2219" t="s">
        <v>1893</v>
      </c>
      <c r="D2219" t="s">
        <v>1962</v>
      </c>
      <c r="E2219" t="s">
        <v>1963</v>
      </c>
      <c r="F2219" t="s">
        <v>1964</v>
      </c>
      <c r="G2219" t="s">
        <v>127</v>
      </c>
      <c r="H2219" t="s">
        <v>52</v>
      </c>
      <c r="I2219" t="s">
        <v>30</v>
      </c>
      <c r="J2219" t="s">
        <v>31</v>
      </c>
      <c r="K2219" t="s">
        <v>32</v>
      </c>
      <c r="L2219" t="s">
        <v>32</v>
      </c>
      <c r="M2219" t="s">
        <v>33</v>
      </c>
      <c r="N2219" t="s">
        <v>33</v>
      </c>
      <c r="O2219" t="s">
        <v>33</v>
      </c>
      <c r="P2219" t="s">
        <v>34</v>
      </c>
      <c r="Q2219" t="s">
        <v>35</v>
      </c>
      <c r="S2219" t="s">
        <v>30</v>
      </c>
      <c r="T2219" t="s">
        <v>1992</v>
      </c>
      <c r="U2219" t="s">
        <v>1993</v>
      </c>
      <c r="V2219" t="s">
        <v>40</v>
      </c>
      <c r="W2219" s="1">
        <v>1029900</v>
      </c>
    </row>
    <row r="2220" spans="1:23" x14ac:dyDescent="0.2">
      <c r="A2220" t="s">
        <v>23</v>
      </c>
      <c r="B2220" t="s">
        <v>1108</v>
      </c>
      <c r="C2220" t="s">
        <v>1893</v>
      </c>
      <c r="D2220" t="s">
        <v>1962</v>
      </c>
      <c r="E2220" t="s">
        <v>1963</v>
      </c>
      <c r="F2220" t="s">
        <v>1964</v>
      </c>
      <c r="G2220" t="s">
        <v>127</v>
      </c>
      <c r="H2220" t="s">
        <v>52</v>
      </c>
      <c r="I2220" t="s">
        <v>30</v>
      </c>
      <c r="J2220" t="s">
        <v>31</v>
      </c>
      <c r="K2220" t="s">
        <v>32</v>
      </c>
      <c r="L2220" t="s">
        <v>32</v>
      </c>
      <c r="M2220" t="s">
        <v>33</v>
      </c>
      <c r="N2220" t="s">
        <v>169</v>
      </c>
      <c r="O2220" t="s">
        <v>169</v>
      </c>
      <c r="P2220" t="s">
        <v>34</v>
      </c>
      <c r="Q2220" t="s">
        <v>35</v>
      </c>
      <c r="S2220" t="s">
        <v>30</v>
      </c>
      <c r="T2220" t="s">
        <v>1992</v>
      </c>
      <c r="U2220" t="s">
        <v>1993</v>
      </c>
      <c r="V2220" t="s">
        <v>39</v>
      </c>
      <c r="W2220" s="1">
        <v>1</v>
      </c>
    </row>
    <row r="2221" spans="1:23" x14ac:dyDescent="0.2">
      <c r="A2221" t="s">
        <v>23</v>
      </c>
      <c r="B2221" t="s">
        <v>1108</v>
      </c>
      <c r="C2221" t="s">
        <v>1893</v>
      </c>
      <c r="D2221" t="s">
        <v>1962</v>
      </c>
      <c r="E2221" t="s">
        <v>1963</v>
      </c>
      <c r="F2221" t="s">
        <v>1964</v>
      </c>
      <c r="G2221" t="s">
        <v>127</v>
      </c>
      <c r="H2221" t="s">
        <v>52</v>
      </c>
      <c r="I2221" t="s">
        <v>30</v>
      </c>
      <c r="J2221" t="s">
        <v>31</v>
      </c>
      <c r="K2221" t="s">
        <v>32</v>
      </c>
      <c r="L2221" t="s">
        <v>32</v>
      </c>
      <c r="M2221" t="s">
        <v>33</v>
      </c>
      <c r="N2221" t="s">
        <v>169</v>
      </c>
      <c r="O2221" t="s">
        <v>169</v>
      </c>
      <c r="P2221" t="s">
        <v>34</v>
      </c>
      <c r="Q2221" t="s">
        <v>35</v>
      </c>
      <c r="S2221" t="s">
        <v>30</v>
      </c>
      <c r="T2221" t="s">
        <v>1992</v>
      </c>
      <c r="U2221" t="s">
        <v>1993</v>
      </c>
      <c r="V2221" t="s">
        <v>40</v>
      </c>
      <c r="W2221" s="1">
        <v>1029900</v>
      </c>
    </row>
    <row r="2222" spans="1:23" x14ac:dyDescent="0.2">
      <c r="A2222" t="s">
        <v>23</v>
      </c>
      <c r="B2222" t="s">
        <v>1108</v>
      </c>
      <c r="C2222" t="s">
        <v>1893</v>
      </c>
      <c r="D2222" t="s">
        <v>1962</v>
      </c>
      <c r="E2222" t="s">
        <v>1963</v>
      </c>
      <c r="F2222" t="s">
        <v>1964</v>
      </c>
      <c r="G2222" t="s">
        <v>127</v>
      </c>
      <c r="H2222" t="s">
        <v>52</v>
      </c>
      <c r="I2222" t="s">
        <v>30</v>
      </c>
      <c r="J2222" t="s">
        <v>31</v>
      </c>
      <c r="K2222" t="s">
        <v>32</v>
      </c>
      <c r="L2222" t="s">
        <v>32</v>
      </c>
      <c r="M2222" t="s">
        <v>176</v>
      </c>
      <c r="N2222" t="s">
        <v>176</v>
      </c>
      <c r="O2222" t="s">
        <v>176</v>
      </c>
      <c r="P2222" t="s">
        <v>34</v>
      </c>
      <c r="Q2222" t="s">
        <v>35</v>
      </c>
      <c r="S2222" t="s">
        <v>30</v>
      </c>
      <c r="T2222" t="s">
        <v>1992</v>
      </c>
      <c r="U2222" t="s">
        <v>1993</v>
      </c>
      <c r="V2222" t="s">
        <v>39</v>
      </c>
      <c r="W2222" s="1">
        <v>1</v>
      </c>
    </row>
    <row r="2223" spans="1:23" x14ac:dyDescent="0.2">
      <c r="A2223" t="s">
        <v>23</v>
      </c>
      <c r="B2223" t="s">
        <v>1108</v>
      </c>
      <c r="C2223" t="s">
        <v>1893</v>
      </c>
      <c r="D2223" t="s">
        <v>1962</v>
      </c>
      <c r="E2223" t="s">
        <v>1963</v>
      </c>
      <c r="F2223" t="s">
        <v>1964</v>
      </c>
      <c r="G2223" t="s">
        <v>127</v>
      </c>
      <c r="H2223" t="s">
        <v>52</v>
      </c>
      <c r="I2223" t="s">
        <v>30</v>
      </c>
      <c r="J2223" t="s">
        <v>31</v>
      </c>
      <c r="K2223" t="s">
        <v>32</v>
      </c>
      <c r="L2223" t="s">
        <v>32</v>
      </c>
      <c r="M2223" t="s">
        <v>176</v>
      </c>
      <c r="N2223" t="s">
        <v>176</v>
      </c>
      <c r="O2223" t="s">
        <v>176</v>
      </c>
      <c r="P2223" t="s">
        <v>34</v>
      </c>
      <c r="Q2223" t="s">
        <v>35</v>
      </c>
      <c r="S2223" t="s">
        <v>30</v>
      </c>
      <c r="T2223" t="s">
        <v>1992</v>
      </c>
      <c r="U2223" t="s">
        <v>1993</v>
      </c>
      <c r="V2223" t="s">
        <v>40</v>
      </c>
      <c r="W2223" s="1">
        <v>1029900</v>
      </c>
    </row>
    <row r="2224" spans="1:23" x14ac:dyDescent="0.2">
      <c r="A2224" t="s">
        <v>23</v>
      </c>
      <c r="B2224" t="s">
        <v>1108</v>
      </c>
      <c r="C2224" t="s">
        <v>1893</v>
      </c>
      <c r="D2224" t="s">
        <v>1962</v>
      </c>
      <c r="E2224" t="s">
        <v>1963</v>
      </c>
      <c r="F2224" t="s">
        <v>1964</v>
      </c>
      <c r="G2224" t="s">
        <v>127</v>
      </c>
      <c r="H2224" t="s">
        <v>52</v>
      </c>
      <c r="I2224" t="s">
        <v>30</v>
      </c>
      <c r="J2224" t="s">
        <v>41</v>
      </c>
      <c r="K2224" t="s">
        <v>32</v>
      </c>
      <c r="L2224" t="s">
        <v>32</v>
      </c>
      <c r="M2224" t="s">
        <v>33</v>
      </c>
      <c r="N2224" t="s">
        <v>33</v>
      </c>
      <c r="O2224" t="s">
        <v>33</v>
      </c>
      <c r="P2224" t="s">
        <v>34</v>
      </c>
      <c r="Q2224" t="s">
        <v>35</v>
      </c>
      <c r="S2224" t="s">
        <v>30</v>
      </c>
      <c r="T2224" t="s">
        <v>1994</v>
      </c>
      <c r="U2224" t="s">
        <v>1995</v>
      </c>
      <c r="V2224" t="s">
        <v>39</v>
      </c>
      <c r="W2224" s="1">
        <v>3</v>
      </c>
    </row>
    <row r="2225" spans="1:23" x14ac:dyDescent="0.2">
      <c r="A2225" t="s">
        <v>23</v>
      </c>
      <c r="B2225" t="s">
        <v>1108</v>
      </c>
      <c r="C2225" t="s">
        <v>1893</v>
      </c>
      <c r="D2225" t="s">
        <v>1962</v>
      </c>
      <c r="E2225" t="s">
        <v>1963</v>
      </c>
      <c r="F2225" t="s">
        <v>1964</v>
      </c>
      <c r="G2225" t="s">
        <v>127</v>
      </c>
      <c r="H2225" t="s">
        <v>52</v>
      </c>
      <c r="I2225" t="s">
        <v>30</v>
      </c>
      <c r="J2225" t="s">
        <v>41</v>
      </c>
      <c r="K2225" t="s">
        <v>32</v>
      </c>
      <c r="L2225" t="s">
        <v>32</v>
      </c>
      <c r="M2225" t="s">
        <v>33</v>
      </c>
      <c r="N2225" t="s">
        <v>33</v>
      </c>
      <c r="O2225" t="s">
        <v>33</v>
      </c>
      <c r="P2225" t="s">
        <v>34</v>
      </c>
      <c r="Q2225" t="s">
        <v>35</v>
      </c>
      <c r="S2225" t="s">
        <v>30</v>
      </c>
      <c r="T2225" t="s">
        <v>1994</v>
      </c>
      <c r="U2225" t="s">
        <v>1995</v>
      </c>
      <c r="V2225" t="s">
        <v>40</v>
      </c>
      <c r="W2225" s="1">
        <v>5397000</v>
      </c>
    </row>
    <row r="2226" spans="1:23" x14ac:dyDescent="0.2">
      <c r="A2226" t="s">
        <v>23</v>
      </c>
      <c r="B2226" t="s">
        <v>1108</v>
      </c>
      <c r="C2226" t="s">
        <v>1893</v>
      </c>
      <c r="D2226" t="s">
        <v>1962</v>
      </c>
      <c r="E2226" t="s">
        <v>1963</v>
      </c>
      <c r="F2226" t="s">
        <v>1964</v>
      </c>
      <c r="G2226" t="s">
        <v>127</v>
      </c>
      <c r="H2226" t="s">
        <v>52</v>
      </c>
      <c r="I2226" t="s">
        <v>30</v>
      </c>
      <c r="J2226" t="s">
        <v>41</v>
      </c>
      <c r="K2226" t="s">
        <v>32</v>
      </c>
      <c r="L2226" t="s">
        <v>32</v>
      </c>
      <c r="M2226" t="s">
        <v>33</v>
      </c>
      <c r="N2226" t="s">
        <v>169</v>
      </c>
      <c r="O2226" t="s">
        <v>169</v>
      </c>
      <c r="P2226" t="s">
        <v>34</v>
      </c>
      <c r="Q2226" t="s">
        <v>35</v>
      </c>
      <c r="S2226" t="s">
        <v>30</v>
      </c>
      <c r="T2226" t="s">
        <v>1994</v>
      </c>
      <c r="U2226" t="s">
        <v>1995</v>
      </c>
      <c r="V2226" t="s">
        <v>39</v>
      </c>
      <c r="W2226" s="1">
        <v>1</v>
      </c>
    </row>
    <row r="2227" spans="1:23" x14ac:dyDescent="0.2">
      <c r="A2227" t="s">
        <v>23</v>
      </c>
      <c r="B2227" t="s">
        <v>1108</v>
      </c>
      <c r="C2227" t="s">
        <v>1893</v>
      </c>
      <c r="D2227" t="s">
        <v>1962</v>
      </c>
      <c r="E2227" t="s">
        <v>1963</v>
      </c>
      <c r="F2227" t="s">
        <v>1964</v>
      </c>
      <c r="G2227" t="s">
        <v>127</v>
      </c>
      <c r="H2227" t="s">
        <v>52</v>
      </c>
      <c r="I2227" t="s">
        <v>30</v>
      </c>
      <c r="J2227" t="s">
        <v>41</v>
      </c>
      <c r="K2227" t="s">
        <v>32</v>
      </c>
      <c r="L2227" t="s">
        <v>32</v>
      </c>
      <c r="M2227" t="s">
        <v>33</v>
      </c>
      <c r="N2227" t="s">
        <v>169</v>
      </c>
      <c r="O2227" t="s">
        <v>169</v>
      </c>
      <c r="P2227" t="s">
        <v>34</v>
      </c>
      <c r="Q2227" t="s">
        <v>35</v>
      </c>
      <c r="S2227" t="s">
        <v>30</v>
      </c>
      <c r="T2227" t="s">
        <v>1994</v>
      </c>
      <c r="U2227" t="s">
        <v>1995</v>
      </c>
      <c r="V2227" t="s">
        <v>40</v>
      </c>
      <c r="W2227" s="1">
        <v>1799000</v>
      </c>
    </row>
    <row r="2228" spans="1:23" x14ac:dyDescent="0.2">
      <c r="A2228" t="s">
        <v>23</v>
      </c>
      <c r="B2228" t="s">
        <v>1108</v>
      </c>
      <c r="C2228" t="s">
        <v>1893</v>
      </c>
      <c r="D2228" t="s">
        <v>1962</v>
      </c>
      <c r="E2228" t="s">
        <v>1963</v>
      </c>
      <c r="F2228" t="s">
        <v>1964</v>
      </c>
      <c r="G2228" t="s">
        <v>139</v>
      </c>
      <c r="H2228" t="s">
        <v>30</v>
      </c>
      <c r="I2228" t="s">
        <v>30</v>
      </c>
      <c r="J2228" t="s">
        <v>41</v>
      </c>
      <c r="K2228" t="s">
        <v>32</v>
      </c>
      <c r="L2228" t="s">
        <v>32</v>
      </c>
      <c r="M2228" t="s">
        <v>33</v>
      </c>
      <c r="P2228" t="s">
        <v>34</v>
      </c>
      <c r="Q2228" t="s">
        <v>35</v>
      </c>
      <c r="S2228" t="s">
        <v>30</v>
      </c>
      <c r="T2228" t="s">
        <v>1996</v>
      </c>
      <c r="U2228" t="s">
        <v>1997</v>
      </c>
      <c r="V2228" t="s">
        <v>39</v>
      </c>
      <c r="W2228" s="1">
        <v>4</v>
      </c>
    </row>
    <row r="2229" spans="1:23" x14ac:dyDescent="0.2">
      <c r="A2229" t="s">
        <v>23</v>
      </c>
      <c r="B2229" t="s">
        <v>1108</v>
      </c>
      <c r="C2229" t="s">
        <v>1893</v>
      </c>
      <c r="D2229" t="s">
        <v>1962</v>
      </c>
      <c r="E2229" t="s">
        <v>1963</v>
      </c>
      <c r="F2229" t="s">
        <v>1964</v>
      </c>
      <c r="G2229" t="s">
        <v>139</v>
      </c>
      <c r="H2229" t="s">
        <v>30</v>
      </c>
      <c r="I2229" t="s">
        <v>30</v>
      </c>
      <c r="J2229" t="s">
        <v>41</v>
      </c>
      <c r="K2229" t="s">
        <v>32</v>
      </c>
      <c r="L2229" t="s">
        <v>32</v>
      </c>
      <c r="M2229" t="s">
        <v>33</v>
      </c>
      <c r="P2229" t="s">
        <v>34</v>
      </c>
      <c r="Q2229" t="s">
        <v>35</v>
      </c>
      <c r="S2229" t="s">
        <v>30</v>
      </c>
      <c r="T2229" t="s">
        <v>1996</v>
      </c>
      <c r="U2229" t="s">
        <v>1997</v>
      </c>
      <c r="V2229" t="s">
        <v>40</v>
      </c>
      <c r="W2229" s="1">
        <v>5076800</v>
      </c>
    </row>
    <row r="2230" spans="1:23" x14ac:dyDescent="0.2">
      <c r="A2230" t="s">
        <v>23</v>
      </c>
      <c r="B2230" t="s">
        <v>1108</v>
      </c>
      <c r="C2230" t="s">
        <v>1893</v>
      </c>
      <c r="D2230" t="s">
        <v>1962</v>
      </c>
      <c r="E2230" t="s">
        <v>1998</v>
      </c>
      <c r="F2230" t="s">
        <v>1999</v>
      </c>
      <c r="G2230" t="s">
        <v>29</v>
      </c>
      <c r="H2230" t="s">
        <v>30</v>
      </c>
      <c r="I2230" t="s">
        <v>30</v>
      </c>
      <c r="J2230" t="s">
        <v>41</v>
      </c>
      <c r="K2230" t="s">
        <v>32</v>
      </c>
      <c r="L2230" t="s">
        <v>32</v>
      </c>
      <c r="M2230" t="s">
        <v>33</v>
      </c>
      <c r="P2230" t="s">
        <v>34</v>
      </c>
      <c r="Q2230" t="s">
        <v>35</v>
      </c>
      <c r="R2230" t="s">
        <v>73</v>
      </c>
      <c r="S2230" t="s">
        <v>52</v>
      </c>
      <c r="T2230" t="s">
        <v>2000</v>
      </c>
      <c r="U2230" t="s">
        <v>2001</v>
      </c>
      <c r="V2230" t="s">
        <v>39</v>
      </c>
      <c r="W2230" s="1">
        <v>0</v>
      </c>
    </row>
    <row r="2231" spans="1:23" x14ac:dyDescent="0.2">
      <c r="A2231" t="s">
        <v>23</v>
      </c>
      <c r="B2231" t="s">
        <v>1108</v>
      </c>
      <c r="C2231" t="s">
        <v>1893</v>
      </c>
      <c r="D2231" t="s">
        <v>1962</v>
      </c>
      <c r="E2231" t="s">
        <v>1998</v>
      </c>
      <c r="F2231" t="s">
        <v>1999</v>
      </c>
      <c r="G2231" t="s">
        <v>29</v>
      </c>
      <c r="H2231" t="s">
        <v>30</v>
      </c>
      <c r="I2231" t="s">
        <v>30</v>
      </c>
      <c r="J2231" t="s">
        <v>41</v>
      </c>
      <c r="K2231" t="s">
        <v>32</v>
      </c>
      <c r="L2231" t="s">
        <v>32</v>
      </c>
      <c r="M2231" t="s">
        <v>33</v>
      </c>
      <c r="P2231" t="s">
        <v>34</v>
      </c>
      <c r="Q2231" t="s">
        <v>35</v>
      </c>
      <c r="R2231" t="s">
        <v>73</v>
      </c>
      <c r="S2231" t="s">
        <v>52</v>
      </c>
      <c r="T2231" t="s">
        <v>2000</v>
      </c>
      <c r="U2231" t="s">
        <v>2001</v>
      </c>
      <c r="V2231" t="s">
        <v>40</v>
      </c>
      <c r="W2231" s="1">
        <v>2378000</v>
      </c>
    </row>
    <row r="2232" spans="1:23" x14ac:dyDescent="0.2">
      <c r="A2232" t="s">
        <v>23</v>
      </c>
      <c r="B2232" t="s">
        <v>1108</v>
      </c>
      <c r="C2232" t="s">
        <v>1893</v>
      </c>
      <c r="D2232" t="s">
        <v>1962</v>
      </c>
      <c r="E2232" t="s">
        <v>1998</v>
      </c>
      <c r="F2232" t="s">
        <v>1999</v>
      </c>
      <c r="G2232" t="s">
        <v>29</v>
      </c>
      <c r="H2232" t="s">
        <v>30</v>
      </c>
      <c r="I2232" t="s">
        <v>30</v>
      </c>
      <c r="J2232" t="s">
        <v>41</v>
      </c>
      <c r="K2232" t="s">
        <v>32</v>
      </c>
      <c r="L2232" t="s">
        <v>32</v>
      </c>
      <c r="M2232" t="s">
        <v>33</v>
      </c>
      <c r="P2232" t="s">
        <v>34</v>
      </c>
      <c r="Q2232" t="s">
        <v>35</v>
      </c>
      <c r="R2232" t="s">
        <v>36</v>
      </c>
      <c r="S2232" t="s">
        <v>52</v>
      </c>
      <c r="T2232" t="s">
        <v>2002</v>
      </c>
      <c r="U2232" t="s">
        <v>2003</v>
      </c>
      <c r="V2232" t="s">
        <v>39</v>
      </c>
      <c r="W2232" s="1">
        <v>0</v>
      </c>
    </row>
    <row r="2233" spans="1:23" x14ac:dyDescent="0.2">
      <c r="A2233" t="s">
        <v>23</v>
      </c>
      <c r="B2233" t="s">
        <v>1108</v>
      </c>
      <c r="C2233" t="s">
        <v>1893</v>
      </c>
      <c r="D2233" t="s">
        <v>1962</v>
      </c>
      <c r="E2233" t="s">
        <v>1998</v>
      </c>
      <c r="F2233" t="s">
        <v>1999</v>
      </c>
      <c r="G2233" t="s">
        <v>29</v>
      </c>
      <c r="H2233" t="s">
        <v>30</v>
      </c>
      <c r="I2233" t="s">
        <v>30</v>
      </c>
      <c r="J2233" t="s">
        <v>41</v>
      </c>
      <c r="K2233" t="s">
        <v>32</v>
      </c>
      <c r="L2233" t="s">
        <v>32</v>
      </c>
      <c r="M2233" t="s">
        <v>33</v>
      </c>
      <c r="P2233" t="s">
        <v>34</v>
      </c>
      <c r="Q2233" t="s">
        <v>35</v>
      </c>
      <c r="R2233" t="s">
        <v>36</v>
      </c>
      <c r="S2233" t="s">
        <v>52</v>
      </c>
      <c r="T2233" t="s">
        <v>2002</v>
      </c>
      <c r="U2233" t="s">
        <v>2003</v>
      </c>
      <c r="V2233" t="s">
        <v>40</v>
      </c>
      <c r="W2233" s="1">
        <v>2358000</v>
      </c>
    </row>
    <row r="2234" spans="1:23" x14ac:dyDescent="0.2">
      <c r="A2234" t="s">
        <v>23</v>
      </c>
      <c r="B2234" t="s">
        <v>1108</v>
      </c>
      <c r="C2234" t="s">
        <v>1893</v>
      </c>
      <c r="D2234" t="s">
        <v>1962</v>
      </c>
      <c r="E2234" t="s">
        <v>1998</v>
      </c>
      <c r="F2234" t="s">
        <v>1999</v>
      </c>
      <c r="G2234" t="s">
        <v>29</v>
      </c>
      <c r="H2234" t="s">
        <v>30</v>
      </c>
      <c r="I2234" t="s">
        <v>30</v>
      </c>
      <c r="J2234" t="s">
        <v>57</v>
      </c>
      <c r="K2234" t="s">
        <v>32</v>
      </c>
      <c r="L2234" t="s">
        <v>32</v>
      </c>
      <c r="M2234" t="s">
        <v>33</v>
      </c>
      <c r="N2234" t="s">
        <v>33</v>
      </c>
      <c r="O2234" t="s">
        <v>33</v>
      </c>
      <c r="P2234" t="s">
        <v>34</v>
      </c>
      <c r="Q2234" t="s">
        <v>35</v>
      </c>
      <c r="R2234" t="s">
        <v>294</v>
      </c>
      <c r="S2234" t="s">
        <v>30</v>
      </c>
      <c r="T2234" t="s">
        <v>2004</v>
      </c>
      <c r="U2234" t="s">
        <v>2005</v>
      </c>
      <c r="V2234" t="s">
        <v>39</v>
      </c>
      <c r="W2234" s="1">
        <v>2</v>
      </c>
    </row>
    <row r="2235" spans="1:23" x14ac:dyDescent="0.2">
      <c r="A2235" t="s">
        <v>23</v>
      </c>
      <c r="B2235" t="s">
        <v>1108</v>
      </c>
      <c r="C2235" t="s">
        <v>1893</v>
      </c>
      <c r="D2235" t="s">
        <v>1962</v>
      </c>
      <c r="E2235" t="s">
        <v>1998</v>
      </c>
      <c r="F2235" t="s">
        <v>1999</v>
      </c>
      <c r="G2235" t="s">
        <v>29</v>
      </c>
      <c r="H2235" t="s">
        <v>30</v>
      </c>
      <c r="I2235" t="s">
        <v>30</v>
      </c>
      <c r="J2235" t="s">
        <v>57</v>
      </c>
      <c r="K2235" t="s">
        <v>32</v>
      </c>
      <c r="L2235" t="s">
        <v>32</v>
      </c>
      <c r="M2235" t="s">
        <v>33</v>
      </c>
      <c r="N2235" t="s">
        <v>33</v>
      </c>
      <c r="O2235" t="s">
        <v>33</v>
      </c>
      <c r="P2235" t="s">
        <v>34</v>
      </c>
      <c r="Q2235" t="s">
        <v>35</v>
      </c>
      <c r="R2235" t="s">
        <v>294</v>
      </c>
      <c r="S2235" t="s">
        <v>30</v>
      </c>
      <c r="T2235" t="s">
        <v>2004</v>
      </c>
      <c r="U2235" t="s">
        <v>2005</v>
      </c>
      <c r="V2235" t="s">
        <v>40</v>
      </c>
      <c r="W2235" s="1">
        <v>4198000</v>
      </c>
    </row>
    <row r="2236" spans="1:23" x14ac:dyDescent="0.2">
      <c r="A2236" t="s">
        <v>23</v>
      </c>
      <c r="B2236" t="s">
        <v>1108</v>
      </c>
      <c r="C2236" t="s">
        <v>1893</v>
      </c>
      <c r="D2236" t="s">
        <v>1962</v>
      </c>
      <c r="E2236" t="s">
        <v>1998</v>
      </c>
      <c r="F2236" t="s">
        <v>1999</v>
      </c>
      <c r="G2236" t="s">
        <v>49</v>
      </c>
      <c r="H2236" t="s">
        <v>30</v>
      </c>
      <c r="I2236" t="s">
        <v>30</v>
      </c>
      <c r="J2236" t="s">
        <v>41</v>
      </c>
      <c r="K2236" t="s">
        <v>32</v>
      </c>
      <c r="L2236" t="s">
        <v>332</v>
      </c>
      <c r="M2236" t="s">
        <v>33</v>
      </c>
      <c r="N2236" t="s">
        <v>33</v>
      </c>
      <c r="O2236" t="s">
        <v>33</v>
      </c>
      <c r="P2236" t="s">
        <v>34</v>
      </c>
      <c r="Q2236" t="s">
        <v>35</v>
      </c>
      <c r="R2236" t="s">
        <v>54</v>
      </c>
      <c r="S2236" t="s">
        <v>30</v>
      </c>
      <c r="T2236" t="s">
        <v>2006</v>
      </c>
      <c r="U2236" t="s">
        <v>2007</v>
      </c>
      <c r="V2236" t="s">
        <v>39</v>
      </c>
      <c r="W2236" s="1">
        <v>2</v>
      </c>
    </row>
    <row r="2237" spans="1:23" x14ac:dyDescent="0.2">
      <c r="A2237" t="s">
        <v>23</v>
      </c>
      <c r="B2237" t="s">
        <v>1108</v>
      </c>
      <c r="C2237" t="s">
        <v>1893</v>
      </c>
      <c r="D2237" t="s">
        <v>1962</v>
      </c>
      <c r="E2237" t="s">
        <v>1998</v>
      </c>
      <c r="F2237" t="s">
        <v>1999</v>
      </c>
      <c r="G2237" t="s">
        <v>49</v>
      </c>
      <c r="H2237" t="s">
        <v>30</v>
      </c>
      <c r="I2237" t="s">
        <v>30</v>
      </c>
      <c r="J2237" t="s">
        <v>41</v>
      </c>
      <c r="K2237" t="s">
        <v>32</v>
      </c>
      <c r="L2237" t="s">
        <v>332</v>
      </c>
      <c r="M2237" t="s">
        <v>33</v>
      </c>
      <c r="N2237" t="s">
        <v>33</v>
      </c>
      <c r="O2237" t="s">
        <v>33</v>
      </c>
      <c r="P2237" t="s">
        <v>34</v>
      </c>
      <c r="Q2237" t="s">
        <v>35</v>
      </c>
      <c r="R2237" t="s">
        <v>54</v>
      </c>
      <c r="S2237" t="s">
        <v>30</v>
      </c>
      <c r="T2237" t="s">
        <v>2006</v>
      </c>
      <c r="U2237" t="s">
        <v>2007</v>
      </c>
      <c r="V2237" t="s">
        <v>40</v>
      </c>
      <c r="W2237" s="1">
        <v>2780000</v>
      </c>
    </row>
    <row r="2238" spans="1:23" x14ac:dyDescent="0.2">
      <c r="A2238" t="s">
        <v>23</v>
      </c>
      <c r="B2238" t="s">
        <v>1108</v>
      </c>
      <c r="C2238" t="s">
        <v>1893</v>
      </c>
      <c r="D2238" t="s">
        <v>1962</v>
      </c>
      <c r="E2238" t="s">
        <v>1998</v>
      </c>
      <c r="F2238" t="s">
        <v>1999</v>
      </c>
      <c r="G2238" t="s">
        <v>49</v>
      </c>
      <c r="H2238" t="s">
        <v>30</v>
      </c>
      <c r="I2238" t="s">
        <v>30</v>
      </c>
      <c r="J2238" t="s">
        <v>41</v>
      </c>
      <c r="K2238" t="s">
        <v>32</v>
      </c>
      <c r="L2238" t="s">
        <v>32</v>
      </c>
      <c r="M2238" t="s">
        <v>33</v>
      </c>
      <c r="N2238" t="s">
        <v>33</v>
      </c>
      <c r="O2238" t="s">
        <v>33</v>
      </c>
      <c r="P2238" t="s">
        <v>34</v>
      </c>
      <c r="Q2238" t="s">
        <v>35</v>
      </c>
      <c r="R2238" t="s">
        <v>36</v>
      </c>
      <c r="S2238" t="s">
        <v>30</v>
      </c>
      <c r="T2238" t="s">
        <v>2008</v>
      </c>
      <c r="U2238" t="s">
        <v>2009</v>
      </c>
      <c r="V2238" t="s">
        <v>39</v>
      </c>
      <c r="W2238" s="1">
        <v>2</v>
      </c>
    </row>
    <row r="2239" spans="1:23" x14ac:dyDescent="0.2">
      <c r="A2239" t="s">
        <v>23</v>
      </c>
      <c r="B2239" t="s">
        <v>1108</v>
      </c>
      <c r="C2239" t="s">
        <v>1893</v>
      </c>
      <c r="D2239" t="s">
        <v>1962</v>
      </c>
      <c r="E2239" t="s">
        <v>1998</v>
      </c>
      <c r="F2239" t="s">
        <v>1999</v>
      </c>
      <c r="G2239" t="s">
        <v>49</v>
      </c>
      <c r="H2239" t="s">
        <v>30</v>
      </c>
      <c r="I2239" t="s">
        <v>30</v>
      </c>
      <c r="J2239" t="s">
        <v>41</v>
      </c>
      <c r="K2239" t="s">
        <v>32</v>
      </c>
      <c r="L2239" t="s">
        <v>32</v>
      </c>
      <c r="M2239" t="s">
        <v>33</v>
      </c>
      <c r="N2239" t="s">
        <v>33</v>
      </c>
      <c r="O2239" t="s">
        <v>33</v>
      </c>
      <c r="P2239" t="s">
        <v>34</v>
      </c>
      <c r="Q2239" t="s">
        <v>35</v>
      </c>
      <c r="R2239" t="s">
        <v>36</v>
      </c>
      <c r="S2239" t="s">
        <v>30</v>
      </c>
      <c r="T2239" t="s">
        <v>2008</v>
      </c>
      <c r="U2239" t="s">
        <v>2009</v>
      </c>
      <c r="V2239" t="s">
        <v>40</v>
      </c>
      <c r="W2239" s="1">
        <v>2456600</v>
      </c>
    </row>
    <row r="2240" spans="1:23" x14ac:dyDescent="0.2">
      <c r="A2240" t="s">
        <v>23</v>
      </c>
      <c r="B2240" t="s">
        <v>1108</v>
      </c>
      <c r="C2240" t="s">
        <v>1893</v>
      </c>
      <c r="D2240" t="s">
        <v>1962</v>
      </c>
      <c r="E2240" t="s">
        <v>1998</v>
      </c>
      <c r="F2240" t="s">
        <v>1999</v>
      </c>
      <c r="G2240" t="s">
        <v>49</v>
      </c>
      <c r="H2240" t="s">
        <v>30</v>
      </c>
      <c r="I2240" t="s">
        <v>30</v>
      </c>
      <c r="J2240" t="s">
        <v>57</v>
      </c>
      <c r="K2240" t="s">
        <v>32</v>
      </c>
      <c r="L2240" t="s">
        <v>32</v>
      </c>
      <c r="M2240" t="s">
        <v>33</v>
      </c>
      <c r="P2240" t="s">
        <v>34</v>
      </c>
      <c r="Q2240" t="s">
        <v>35</v>
      </c>
      <c r="S2240" t="s">
        <v>52</v>
      </c>
      <c r="T2240" t="s">
        <v>2010</v>
      </c>
      <c r="U2240" t="s">
        <v>2011</v>
      </c>
      <c r="V2240" t="s">
        <v>39</v>
      </c>
      <c r="W2240" s="1">
        <v>0</v>
      </c>
    </row>
    <row r="2241" spans="1:23" x14ac:dyDescent="0.2">
      <c r="A2241" t="s">
        <v>23</v>
      </c>
      <c r="B2241" t="s">
        <v>1108</v>
      </c>
      <c r="C2241" t="s">
        <v>1893</v>
      </c>
      <c r="D2241" t="s">
        <v>1962</v>
      </c>
      <c r="E2241" t="s">
        <v>1998</v>
      </c>
      <c r="F2241" t="s">
        <v>1999</v>
      </c>
      <c r="G2241" t="s">
        <v>49</v>
      </c>
      <c r="H2241" t="s">
        <v>30</v>
      </c>
      <c r="I2241" t="s">
        <v>30</v>
      </c>
      <c r="J2241" t="s">
        <v>57</v>
      </c>
      <c r="K2241" t="s">
        <v>32</v>
      </c>
      <c r="L2241" t="s">
        <v>32</v>
      </c>
      <c r="M2241" t="s">
        <v>33</v>
      </c>
      <c r="P2241" t="s">
        <v>34</v>
      </c>
      <c r="Q2241" t="s">
        <v>35</v>
      </c>
      <c r="S2241" t="s">
        <v>52</v>
      </c>
      <c r="T2241" t="s">
        <v>2010</v>
      </c>
      <c r="U2241" t="s">
        <v>2011</v>
      </c>
      <c r="V2241" t="s">
        <v>40</v>
      </c>
      <c r="W2241" s="1">
        <v>2474800</v>
      </c>
    </row>
    <row r="2242" spans="1:23" x14ac:dyDescent="0.2">
      <c r="A2242" t="s">
        <v>23</v>
      </c>
      <c r="B2242" t="s">
        <v>1108</v>
      </c>
      <c r="C2242" t="s">
        <v>1893</v>
      </c>
      <c r="D2242" t="s">
        <v>1962</v>
      </c>
      <c r="E2242" t="s">
        <v>1998</v>
      </c>
      <c r="F2242" t="s">
        <v>1999</v>
      </c>
      <c r="G2242" t="s">
        <v>61</v>
      </c>
      <c r="H2242" t="s">
        <v>52</v>
      </c>
      <c r="I2242" t="s">
        <v>52</v>
      </c>
      <c r="J2242" t="s">
        <v>128</v>
      </c>
      <c r="K2242" t="s">
        <v>135</v>
      </c>
      <c r="L2242" t="s">
        <v>32</v>
      </c>
      <c r="M2242" t="s">
        <v>33</v>
      </c>
      <c r="N2242" t="s">
        <v>33</v>
      </c>
      <c r="O2242" t="s">
        <v>33</v>
      </c>
      <c r="P2242" t="s">
        <v>34</v>
      </c>
      <c r="Q2242" t="s">
        <v>35</v>
      </c>
      <c r="R2242" t="s">
        <v>136</v>
      </c>
      <c r="S2242" t="s">
        <v>30</v>
      </c>
      <c r="T2242" t="s">
        <v>2012</v>
      </c>
      <c r="U2242" t="s">
        <v>2013</v>
      </c>
      <c r="V2242" t="s">
        <v>39</v>
      </c>
      <c r="W2242" s="1">
        <v>2</v>
      </c>
    </row>
    <row r="2243" spans="1:23" x14ac:dyDescent="0.2">
      <c r="A2243" t="s">
        <v>23</v>
      </c>
      <c r="B2243" t="s">
        <v>1108</v>
      </c>
      <c r="C2243" t="s">
        <v>1893</v>
      </c>
      <c r="D2243" t="s">
        <v>1962</v>
      </c>
      <c r="E2243" t="s">
        <v>1998</v>
      </c>
      <c r="F2243" t="s">
        <v>1999</v>
      </c>
      <c r="G2243" t="s">
        <v>61</v>
      </c>
      <c r="H2243" t="s">
        <v>52</v>
      </c>
      <c r="I2243" t="s">
        <v>52</v>
      </c>
      <c r="J2243" t="s">
        <v>128</v>
      </c>
      <c r="K2243" t="s">
        <v>135</v>
      </c>
      <c r="L2243" t="s">
        <v>32</v>
      </c>
      <c r="M2243" t="s">
        <v>33</v>
      </c>
      <c r="N2243" t="s">
        <v>33</v>
      </c>
      <c r="O2243" t="s">
        <v>33</v>
      </c>
      <c r="P2243" t="s">
        <v>34</v>
      </c>
      <c r="Q2243" t="s">
        <v>35</v>
      </c>
      <c r="R2243" t="s">
        <v>136</v>
      </c>
      <c r="S2243" t="s">
        <v>30</v>
      </c>
      <c r="T2243" t="s">
        <v>2012</v>
      </c>
      <c r="U2243" t="s">
        <v>2013</v>
      </c>
      <c r="V2243" t="s">
        <v>40</v>
      </c>
      <c r="W2243" s="1">
        <v>1408400</v>
      </c>
    </row>
    <row r="2244" spans="1:23" x14ac:dyDescent="0.2">
      <c r="A2244" t="s">
        <v>23</v>
      </c>
      <c r="B2244" t="s">
        <v>1108</v>
      </c>
      <c r="C2244" t="s">
        <v>1893</v>
      </c>
      <c r="D2244" t="s">
        <v>1962</v>
      </c>
      <c r="E2244" t="s">
        <v>1998</v>
      </c>
      <c r="F2244" t="s">
        <v>1999</v>
      </c>
      <c r="G2244" t="s">
        <v>61</v>
      </c>
      <c r="H2244" t="s">
        <v>52</v>
      </c>
      <c r="I2244" t="s">
        <v>52</v>
      </c>
      <c r="J2244" t="s">
        <v>128</v>
      </c>
      <c r="K2244" t="s">
        <v>135</v>
      </c>
      <c r="L2244" t="s">
        <v>32</v>
      </c>
      <c r="M2244" t="s">
        <v>33</v>
      </c>
      <c r="P2244" t="s">
        <v>34</v>
      </c>
      <c r="Q2244" t="s">
        <v>35</v>
      </c>
      <c r="R2244" t="s">
        <v>136</v>
      </c>
      <c r="S2244" t="s">
        <v>52</v>
      </c>
      <c r="T2244" t="s">
        <v>2012</v>
      </c>
      <c r="U2244" t="s">
        <v>2013</v>
      </c>
      <c r="V2244" t="s">
        <v>39</v>
      </c>
      <c r="W2244" s="1">
        <v>0</v>
      </c>
    </row>
    <row r="2245" spans="1:23" x14ac:dyDescent="0.2">
      <c r="A2245" t="s">
        <v>23</v>
      </c>
      <c r="B2245" t="s">
        <v>1108</v>
      </c>
      <c r="C2245" t="s">
        <v>1893</v>
      </c>
      <c r="D2245" t="s">
        <v>1962</v>
      </c>
      <c r="E2245" t="s">
        <v>1998</v>
      </c>
      <c r="F2245" t="s">
        <v>1999</v>
      </c>
      <c r="G2245" t="s">
        <v>61</v>
      </c>
      <c r="H2245" t="s">
        <v>52</v>
      </c>
      <c r="I2245" t="s">
        <v>52</v>
      </c>
      <c r="J2245" t="s">
        <v>128</v>
      </c>
      <c r="K2245" t="s">
        <v>135</v>
      </c>
      <c r="L2245" t="s">
        <v>32</v>
      </c>
      <c r="M2245" t="s">
        <v>33</v>
      </c>
      <c r="P2245" t="s">
        <v>34</v>
      </c>
      <c r="Q2245" t="s">
        <v>35</v>
      </c>
      <c r="R2245" t="s">
        <v>136</v>
      </c>
      <c r="S2245" t="s">
        <v>52</v>
      </c>
      <c r="T2245" t="s">
        <v>2012</v>
      </c>
      <c r="U2245" t="s">
        <v>2013</v>
      </c>
      <c r="V2245" t="s">
        <v>40</v>
      </c>
      <c r="W2245" s="1">
        <v>1408400</v>
      </c>
    </row>
    <row r="2246" spans="1:23" x14ac:dyDescent="0.2">
      <c r="A2246" t="s">
        <v>23</v>
      </c>
      <c r="B2246" t="s">
        <v>1108</v>
      </c>
      <c r="C2246" t="s">
        <v>1893</v>
      </c>
      <c r="D2246" t="s">
        <v>1962</v>
      </c>
      <c r="E2246" t="s">
        <v>1998</v>
      </c>
      <c r="F2246" t="s">
        <v>1999</v>
      </c>
      <c r="G2246" t="s">
        <v>61</v>
      </c>
      <c r="H2246" t="s">
        <v>52</v>
      </c>
      <c r="I2246" t="s">
        <v>52</v>
      </c>
      <c r="J2246" t="s">
        <v>128</v>
      </c>
      <c r="K2246" t="s">
        <v>135</v>
      </c>
      <c r="L2246" t="s">
        <v>32</v>
      </c>
      <c r="M2246" t="s">
        <v>176</v>
      </c>
      <c r="N2246" t="s">
        <v>195</v>
      </c>
      <c r="O2246" t="s">
        <v>195</v>
      </c>
      <c r="P2246" t="s">
        <v>34</v>
      </c>
      <c r="Q2246" t="s">
        <v>35</v>
      </c>
      <c r="R2246" t="s">
        <v>136</v>
      </c>
      <c r="S2246" t="s">
        <v>30</v>
      </c>
      <c r="T2246" t="s">
        <v>2012</v>
      </c>
      <c r="U2246" t="s">
        <v>2013</v>
      </c>
      <c r="V2246" t="s">
        <v>39</v>
      </c>
      <c r="W2246" s="1">
        <v>2</v>
      </c>
    </row>
    <row r="2247" spans="1:23" x14ac:dyDescent="0.2">
      <c r="A2247" t="s">
        <v>23</v>
      </c>
      <c r="B2247" t="s">
        <v>1108</v>
      </c>
      <c r="C2247" t="s">
        <v>1893</v>
      </c>
      <c r="D2247" t="s">
        <v>1962</v>
      </c>
      <c r="E2247" t="s">
        <v>1998</v>
      </c>
      <c r="F2247" t="s">
        <v>1999</v>
      </c>
      <c r="G2247" t="s">
        <v>61</v>
      </c>
      <c r="H2247" t="s">
        <v>52</v>
      </c>
      <c r="I2247" t="s">
        <v>52</v>
      </c>
      <c r="J2247" t="s">
        <v>128</v>
      </c>
      <c r="K2247" t="s">
        <v>135</v>
      </c>
      <c r="L2247" t="s">
        <v>32</v>
      </c>
      <c r="M2247" t="s">
        <v>176</v>
      </c>
      <c r="N2247" t="s">
        <v>195</v>
      </c>
      <c r="O2247" t="s">
        <v>195</v>
      </c>
      <c r="P2247" t="s">
        <v>34</v>
      </c>
      <c r="Q2247" t="s">
        <v>35</v>
      </c>
      <c r="R2247" t="s">
        <v>136</v>
      </c>
      <c r="S2247" t="s">
        <v>30</v>
      </c>
      <c r="T2247" t="s">
        <v>2012</v>
      </c>
      <c r="U2247" t="s">
        <v>2013</v>
      </c>
      <c r="V2247" t="s">
        <v>40</v>
      </c>
      <c r="W2247" s="1">
        <v>1408400</v>
      </c>
    </row>
    <row r="2248" spans="1:23" x14ac:dyDescent="0.2">
      <c r="A2248" t="s">
        <v>23</v>
      </c>
      <c r="B2248" t="s">
        <v>1108</v>
      </c>
      <c r="C2248" t="s">
        <v>1893</v>
      </c>
      <c r="D2248" t="s">
        <v>1962</v>
      </c>
      <c r="E2248" t="s">
        <v>1998</v>
      </c>
      <c r="F2248" t="s">
        <v>1999</v>
      </c>
      <c r="G2248" t="s">
        <v>61</v>
      </c>
      <c r="H2248" t="s">
        <v>52</v>
      </c>
      <c r="I2248" t="s">
        <v>52</v>
      </c>
      <c r="J2248" t="s">
        <v>31</v>
      </c>
      <c r="K2248" t="s">
        <v>32</v>
      </c>
      <c r="L2248" t="s">
        <v>32</v>
      </c>
      <c r="M2248" t="s">
        <v>33</v>
      </c>
      <c r="N2248" t="s">
        <v>33</v>
      </c>
      <c r="O2248" t="s">
        <v>33</v>
      </c>
      <c r="P2248" t="s">
        <v>34</v>
      </c>
      <c r="Q2248" t="s">
        <v>35</v>
      </c>
      <c r="R2248" t="s">
        <v>184</v>
      </c>
      <c r="S2248" t="s">
        <v>30</v>
      </c>
      <c r="T2248" t="s">
        <v>2014</v>
      </c>
      <c r="U2248" t="s">
        <v>2015</v>
      </c>
      <c r="V2248" t="s">
        <v>39</v>
      </c>
      <c r="W2248" s="1">
        <v>3</v>
      </c>
    </row>
    <row r="2249" spans="1:23" x14ac:dyDescent="0.2">
      <c r="A2249" t="s">
        <v>23</v>
      </c>
      <c r="B2249" t="s">
        <v>1108</v>
      </c>
      <c r="C2249" t="s">
        <v>1893</v>
      </c>
      <c r="D2249" t="s">
        <v>1962</v>
      </c>
      <c r="E2249" t="s">
        <v>1998</v>
      </c>
      <c r="F2249" t="s">
        <v>1999</v>
      </c>
      <c r="G2249" t="s">
        <v>61</v>
      </c>
      <c r="H2249" t="s">
        <v>52</v>
      </c>
      <c r="I2249" t="s">
        <v>52</v>
      </c>
      <c r="J2249" t="s">
        <v>31</v>
      </c>
      <c r="K2249" t="s">
        <v>32</v>
      </c>
      <c r="L2249" t="s">
        <v>32</v>
      </c>
      <c r="M2249" t="s">
        <v>33</v>
      </c>
      <c r="N2249" t="s">
        <v>33</v>
      </c>
      <c r="O2249" t="s">
        <v>33</v>
      </c>
      <c r="P2249" t="s">
        <v>34</v>
      </c>
      <c r="Q2249" t="s">
        <v>35</v>
      </c>
      <c r="R2249" t="s">
        <v>184</v>
      </c>
      <c r="S2249" t="s">
        <v>30</v>
      </c>
      <c r="T2249" t="s">
        <v>2014</v>
      </c>
      <c r="U2249" t="s">
        <v>2015</v>
      </c>
      <c r="V2249" t="s">
        <v>40</v>
      </c>
      <c r="W2249" s="1">
        <v>2543100</v>
      </c>
    </row>
    <row r="2250" spans="1:23" x14ac:dyDescent="0.2">
      <c r="A2250" t="s">
        <v>23</v>
      </c>
      <c r="B2250" t="s">
        <v>1108</v>
      </c>
      <c r="C2250" t="s">
        <v>1893</v>
      </c>
      <c r="D2250" t="s">
        <v>1962</v>
      </c>
      <c r="E2250" t="s">
        <v>1998</v>
      </c>
      <c r="F2250" t="s">
        <v>1999</v>
      </c>
      <c r="G2250" t="s">
        <v>61</v>
      </c>
      <c r="H2250" t="s">
        <v>52</v>
      </c>
      <c r="I2250" t="s">
        <v>52</v>
      </c>
      <c r="J2250" t="s">
        <v>41</v>
      </c>
      <c r="K2250" t="s">
        <v>32</v>
      </c>
      <c r="L2250" t="s">
        <v>32</v>
      </c>
      <c r="M2250" t="s">
        <v>33</v>
      </c>
      <c r="P2250" t="s">
        <v>34</v>
      </c>
      <c r="Q2250" t="s">
        <v>35</v>
      </c>
      <c r="S2250" t="s">
        <v>52</v>
      </c>
      <c r="T2250" t="s">
        <v>2016</v>
      </c>
      <c r="U2250" t="s">
        <v>2017</v>
      </c>
      <c r="V2250" t="s">
        <v>39</v>
      </c>
      <c r="W2250" s="1">
        <v>0</v>
      </c>
    </row>
    <row r="2251" spans="1:23" x14ac:dyDescent="0.2">
      <c r="A2251" t="s">
        <v>23</v>
      </c>
      <c r="B2251" t="s">
        <v>1108</v>
      </c>
      <c r="C2251" t="s">
        <v>1893</v>
      </c>
      <c r="D2251" t="s">
        <v>1962</v>
      </c>
      <c r="E2251" t="s">
        <v>1998</v>
      </c>
      <c r="F2251" t="s">
        <v>1999</v>
      </c>
      <c r="G2251" t="s">
        <v>61</v>
      </c>
      <c r="H2251" t="s">
        <v>52</v>
      </c>
      <c r="I2251" t="s">
        <v>52</v>
      </c>
      <c r="J2251" t="s">
        <v>41</v>
      </c>
      <c r="K2251" t="s">
        <v>32</v>
      </c>
      <c r="L2251" t="s">
        <v>32</v>
      </c>
      <c r="M2251" t="s">
        <v>33</v>
      </c>
      <c r="P2251" t="s">
        <v>34</v>
      </c>
      <c r="Q2251" t="s">
        <v>35</v>
      </c>
      <c r="S2251" t="s">
        <v>52</v>
      </c>
      <c r="T2251" t="s">
        <v>2016</v>
      </c>
      <c r="U2251" t="s">
        <v>2017</v>
      </c>
      <c r="V2251" t="s">
        <v>40</v>
      </c>
      <c r="W2251" s="1">
        <v>4733100</v>
      </c>
    </row>
    <row r="2252" spans="1:23" x14ac:dyDescent="0.2">
      <c r="A2252" t="s">
        <v>23</v>
      </c>
      <c r="B2252" t="s">
        <v>1108</v>
      </c>
      <c r="C2252" t="s">
        <v>1893</v>
      </c>
      <c r="D2252" t="s">
        <v>1962</v>
      </c>
      <c r="E2252" t="s">
        <v>1998</v>
      </c>
      <c r="F2252" t="s">
        <v>1999</v>
      </c>
      <c r="G2252" t="s">
        <v>64</v>
      </c>
      <c r="H2252" t="s">
        <v>30</v>
      </c>
      <c r="I2252" t="s">
        <v>52</v>
      </c>
      <c r="J2252" t="s">
        <v>128</v>
      </c>
      <c r="K2252" t="s">
        <v>181</v>
      </c>
      <c r="L2252" t="s">
        <v>332</v>
      </c>
      <c r="M2252" t="s">
        <v>33</v>
      </c>
      <c r="N2252" t="s">
        <v>33</v>
      </c>
      <c r="O2252" t="s">
        <v>33</v>
      </c>
      <c r="P2252" t="s">
        <v>34</v>
      </c>
      <c r="Q2252" t="s">
        <v>35</v>
      </c>
      <c r="S2252" t="s">
        <v>30</v>
      </c>
      <c r="T2252" t="s">
        <v>2018</v>
      </c>
      <c r="U2252" t="s">
        <v>2019</v>
      </c>
      <c r="V2252" t="s">
        <v>39</v>
      </c>
      <c r="W2252" s="1">
        <v>1</v>
      </c>
    </row>
    <row r="2253" spans="1:23" x14ac:dyDescent="0.2">
      <c r="A2253" t="s">
        <v>23</v>
      </c>
      <c r="B2253" t="s">
        <v>1108</v>
      </c>
      <c r="C2253" t="s">
        <v>1893</v>
      </c>
      <c r="D2253" t="s">
        <v>1962</v>
      </c>
      <c r="E2253" t="s">
        <v>1998</v>
      </c>
      <c r="F2253" t="s">
        <v>1999</v>
      </c>
      <c r="G2253" t="s">
        <v>64</v>
      </c>
      <c r="H2253" t="s">
        <v>30</v>
      </c>
      <c r="I2253" t="s">
        <v>52</v>
      </c>
      <c r="J2253" t="s">
        <v>128</v>
      </c>
      <c r="K2253" t="s">
        <v>181</v>
      </c>
      <c r="L2253" t="s">
        <v>332</v>
      </c>
      <c r="M2253" t="s">
        <v>33</v>
      </c>
      <c r="N2253" t="s">
        <v>33</v>
      </c>
      <c r="O2253" t="s">
        <v>33</v>
      </c>
      <c r="P2253" t="s">
        <v>34</v>
      </c>
      <c r="Q2253" t="s">
        <v>35</v>
      </c>
      <c r="S2253" t="s">
        <v>30</v>
      </c>
      <c r="T2253" t="s">
        <v>2018</v>
      </c>
      <c r="U2253" t="s">
        <v>2019</v>
      </c>
      <c r="V2253" t="s">
        <v>40</v>
      </c>
      <c r="W2253" s="1">
        <v>880000</v>
      </c>
    </row>
    <row r="2254" spans="1:23" x14ac:dyDescent="0.2">
      <c r="A2254" t="s">
        <v>23</v>
      </c>
      <c r="B2254" t="s">
        <v>1108</v>
      </c>
      <c r="C2254" t="s">
        <v>1893</v>
      </c>
      <c r="D2254" t="s">
        <v>1962</v>
      </c>
      <c r="E2254" t="s">
        <v>1998</v>
      </c>
      <c r="F2254" t="s">
        <v>1999</v>
      </c>
      <c r="G2254" t="s">
        <v>67</v>
      </c>
      <c r="H2254" t="s">
        <v>30</v>
      </c>
      <c r="I2254" t="s">
        <v>30</v>
      </c>
      <c r="J2254" t="s">
        <v>128</v>
      </c>
      <c r="K2254" t="s">
        <v>135</v>
      </c>
      <c r="L2254" t="s">
        <v>32</v>
      </c>
      <c r="M2254" t="s">
        <v>33</v>
      </c>
      <c r="N2254" t="s">
        <v>33</v>
      </c>
      <c r="O2254" t="s">
        <v>33</v>
      </c>
      <c r="P2254" t="s">
        <v>34</v>
      </c>
      <c r="Q2254" t="s">
        <v>35</v>
      </c>
      <c r="R2254" t="s">
        <v>136</v>
      </c>
      <c r="S2254" t="s">
        <v>30</v>
      </c>
      <c r="T2254" t="s">
        <v>2020</v>
      </c>
      <c r="U2254" t="s">
        <v>2021</v>
      </c>
      <c r="V2254" t="s">
        <v>39</v>
      </c>
      <c r="W2254" s="1">
        <v>2</v>
      </c>
    </row>
    <row r="2255" spans="1:23" x14ac:dyDescent="0.2">
      <c r="A2255" t="s">
        <v>23</v>
      </c>
      <c r="B2255" t="s">
        <v>1108</v>
      </c>
      <c r="C2255" t="s">
        <v>1893</v>
      </c>
      <c r="D2255" t="s">
        <v>1962</v>
      </c>
      <c r="E2255" t="s">
        <v>1998</v>
      </c>
      <c r="F2255" t="s">
        <v>1999</v>
      </c>
      <c r="G2255" t="s">
        <v>67</v>
      </c>
      <c r="H2255" t="s">
        <v>30</v>
      </c>
      <c r="I2255" t="s">
        <v>30</v>
      </c>
      <c r="J2255" t="s">
        <v>128</v>
      </c>
      <c r="K2255" t="s">
        <v>135</v>
      </c>
      <c r="L2255" t="s">
        <v>32</v>
      </c>
      <c r="M2255" t="s">
        <v>33</v>
      </c>
      <c r="N2255" t="s">
        <v>33</v>
      </c>
      <c r="O2255" t="s">
        <v>33</v>
      </c>
      <c r="P2255" t="s">
        <v>34</v>
      </c>
      <c r="Q2255" t="s">
        <v>35</v>
      </c>
      <c r="R2255" t="s">
        <v>136</v>
      </c>
      <c r="S2255" t="s">
        <v>30</v>
      </c>
      <c r="T2255" t="s">
        <v>2020</v>
      </c>
      <c r="U2255" t="s">
        <v>2021</v>
      </c>
      <c r="V2255" t="s">
        <v>40</v>
      </c>
      <c r="W2255" s="1">
        <v>2188400</v>
      </c>
    </row>
    <row r="2256" spans="1:23" x14ac:dyDescent="0.2">
      <c r="A2256" t="s">
        <v>23</v>
      </c>
      <c r="B2256" t="s">
        <v>1108</v>
      </c>
      <c r="C2256" t="s">
        <v>1893</v>
      </c>
      <c r="D2256" t="s">
        <v>1962</v>
      </c>
      <c r="E2256" t="s">
        <v>1998</v>
      </c>
      <c r="F2256" t="s">
        <v>1999</v>
      </c>
      <c r="G2256" t="s">
        <v>89</v>
      </c>
      <c r="H2256" t="s">
        <v>30</v>
      </c>
      <c r="I2256" t="s">
        <v>30</v>
      </c>
      <c r="J2256" t="s">
        <v>233</v>
      </c>
      <c r="K2256" t="s">
        <v>181</v>
      </c>
      <c r="L2256" t="s">
        <v>32</v>
      </c>
      <c r="M2256" t="s">
        <v>33</v>
      </c>
      <c r="N2256" t="s">
        <v>33</v>
      </c>
      <c r="O2256" t="s">
        <v>33</v>
      </c>
      <c r="P2256" t="s">
        <v>34</v>
      </c>
      <c r="Q2256" t="s">
        <v>35</v>
      </c>
      <c r="R2256" t="s">
        <v>693</v>
      </c>
      <c r="S2256" t="s">
        <v>30</v>
      </c>
      <c r="T2256" t="s">
        <v>2022</v>
      </c>
      <c r="U2256" t="s">
        <v>2023</v>
      </c>
      <c r="V2256" t="s">
        <v>39</v>
      </c>
      <c r="W2256" s="1">
        <v>4</v>
      </c>
    </row>
    <row r="2257" spans="1:23" x14ac:dyDescent="0.2">
      <c r="A2257" t="s">
        <v>23</v>
      </c>
      <c r="B2257" t="s">
        <v>1108</v>
      </c>
      <c r="C2257" t="s">
        <v>1893</v>
      </c>
      <c r="D2257" t="s">
        <v>1962</v>
      </c>
      <c r="E2257" t="s">
        <v>1998</v>
      </c>
      <c r="F2257" t="s">
        <v>1999</v>
      </c>
      <c r="G2257" t="s">
        <v>89</v>
      </c>
      <c r="H2257" t="s">
        <v>30</v>
      </c>
      <c r="I2257" t="s">
        <v>30</v>
      </c>
      <c r="J2257" t="s">
        <v>233</v>
      </c>
      <c r="K2257" t="s">
        <v>181</v>
      </c>
      <c r="L2257" t="s">
        <v>32</v>
      </c>
      <c r="M2257" t="s">
        <v>33</v>
      </c>
      <c r="N2257" t="s">
        <v>33</v>
      </c>
      <c r="O2257" t="s">
        <v>33</v>
      </c>
      <c r="P2257" t="s">
        <v>34</v>
      </c>
      <c r="Q2257" t="s">
        <v>35</v>
      </c>
      <c r="R2257" t="s">
        <v>693</v>
      </c>
      <c r="S2257" t="s">
        <v>30</v>
      </c>
      <c r="T2257" t="s">
        <v>2022</v>
      </c>
      <c r="U2257" t="s">
        <v>2023</v>
      </c>
      <c r="V2257" t="s">
        <v>40</v>
      </c>
      <c r="W2257" s="1">
        <v>9255600</v>
      </c>
    </row>
    <row r="2258" spans="1:23" x14ac:dyDescent="0.2">
      <c r="A2258" t="s">
        <v>23</v>
      </c>
      <c r="B2258" t="s">
        <v>1108</v>
      </c>
      <c r="C2258" t="s">
        <v>1893</v>
      </c>
      <c r="D2258" t="s">
        <v>1962</v>
      </c>
      <c r="E2258" t="s">
        <v>1998</v>
      </c>
      <c r="F2258" t="s">
        <v>1999</v>
      </c>
      <c r="G2258" t="s">
        <v>106</v>
      </c>
      <c r="H2258" t="s">
        <v>30</v>
      </c>
      <c r="I2258" t="s">
        <v>30</v>
      </c>
      <c r="J2258" t="s">
        <v>128</v>
      </c>
      <c r="K2258" t="s">
        <v>181</v>
      </c>
      <c r="L2258" t="s">
        <v>32</v>
      </c>
      <c r="M2258" t="s">
        <v>33</v>
      </c>
      <c r="N2258" t="s">
        <v>33</v>
      </c>
      <c r="O2258" t="s">
        <v>33</v>
      </c>
      <c r="P2258" t="s">
        <v>34</v>
      </c>
      <c r="Q2258" t="s">
        <v>35</v>
      </c>
      <c r="S2258" t="s">
        <v>30</v>
      </c>
      <c r="T2258" t="s">
        <v>2024</v>
      </c>
      <c r="U2258" t="s">
        <v>2025</v>
      </c>
      <c r="V2258" t="s">
        <v>39</v>
      </c>
      <c r="W2258" s="1">
        <v>1</v>
      </c>
    </row>
    <row r="2259" spans="1:23" x14ac:dyDescent="0.2">
      <c r="A2259" t="s">
        <v>23</v>
      </c>
      <c r="B2259" t="s">
        <v>1108</v>
      </c>
      <c r="C2259" t="s">
        <v>1893</v>
      </c>
      <c r="D2259" t="s">
        <v>1962</v>
      </c>
      <c r="E2259" t="s">
        <v>1998</v>
      </c>
      <c r="F2259" t="s">
        <v>1999</v>
      </c>
      <c r="G2259" t="s">
        <v>106</v>
      </c>
      <c r="H2259" t="s">
        <v>30</v>
      </c>
      <c r="I2259" t="s">
        <v>30</v>
      </c>
      <c r="J2259" t="s">
        <v>128</v>
      </c>
      <c r="K2259" t="s">
        <v>181</v>
      </c>
      <c r="L2259" t="s">
        <v>32</v>
      </c>
      <c r="M2259" t="s">
        <v>33</v>
      </c>
      <c r="N2259" t="s">
        <v>33</v>
      </c>
      <c r="O2259" t="s">
        <v>33</v>
      </c>
      <c r="P2259" t="s">
        <v>34</v>
      </c>
      <c r="Q2259" t="s">
        <v>35</v>
      </c>
      <c r="S2259" t="s">
        <v>30</v>
      </c>
      <c r="T2259" t="s">
        <v>2024</v>
      </c>
      <c r="U2259" t="s">
        <v>2025</v>
      </c>
      <c r="V2259" t="s">
        <v>40</v>
      </c>
      <c r="W2259" s="1">
        <v>918000</v>
      </c>
    </row>
    <row r="2260" spans="1:23" x14ac:dyDescent="0.2">
      <c r="A2260" t="s">
        <v>23</v>
      </c>
      <c r="B2260" t="s">
        <v>1108</v>
      </c>
      <c r="C2260" t="s">
        <v>1893</v>
      </c>
      <c r="D2260" t="s">
        <v>1962</v>
      </c>
      <c r="E2260" t="s">
        <v>1998</v>
      </c>
      <c r="F2260" t="s">
        <v>1999</v>
      </c>
      <c r="G2260" t="s">
        <v>139</v>
      </c>
      <c r="H2260" t="s">
        <v>30</v>
      </c>
      <c r="I2260" t="s">
        <v>30</v>
      </c>
      <c r="J2260" t="s">
        <v>233</v>
      </c>
      <c r="K2260" t="s">
        <v>181</v>
      </c>
      <c r="L2260" t="s">
        <v>32</v>
      </c>
      <c r="M2260" t="s">
        <v>33</v>
      </c>
      <c r="P2260" t="s">
        <v>34</v>
      </c>
      <c r="Q2260" t="s">
        <v>35</v>
      </c>
      <c r="R2260" t="s">
        <v>693</v>
      </c>
      <c r="S2260" t="s">
        <v>30</v>
      </c>
      <c r="T2260" t="s">
        <v>2026</v>
      </c>
      <c r="U2260" t="s">
        <v>2027</v>
      </c>
      <c r="V2260" t="s">
        <v>39</v>
      </c>
      <c r="W2260" s="1">
        <v>8</v>
      </c>
    </row>
    <row r="2261" spans="1:23" x14ac:dyDescent="0.2">
      <c r="A2261" t="s">
        <v>23</v>
      </c>
      <c r="B2261" t="s">
        <v>1108</v>
      </c>
      <c r="C2261" t="s">
        <v>1893</v>
      </c>
      <c r="D2261" t="s">
        <v>1962</v>
      </c>
      <c r="E2261" t="s">
        <v>1998</v>
      </c>
      <c r="F2261" t="s">
        <v>1999</v>
      </c>
      <c r="G2261" t="s">
        <v>139</v>
      </c>
      <c r="H2261" t="s">
        <v>30</v>
      </c>
      <c r="I2261" t="s">
        <v>30</v>
      </c>
      <c r="J2261" t="s">
        <v>233</v>
      </c>
      <c r="K2261" t="s">
        <v>181</v>
      </c>
      <c r="L2261" t="s">
        <v>32</v>
      </c>
      <c r="M2261" t="s">
        <v>33</v>
      </c>
      <c r="P2261" t="s">
        <v>34</v>
      </c>
      <c r="Q2261" t="s">
        <v>35</v>
      </c>
      <c r="R2261" t="s">
        <v>693</v>
      </c>
      <c r="S2261" t="s">
        <v>30</v>
      </c>
      <c r="T2261" t="s">
        <v>2026</v>
      </c>
      <c r="U2261" t="s">
        <v>2027</v>
      </c>
      <c r="V2261" t="s">
        <v>40</v>
      </c>
      <c r="W2261" s="1">
        <v>11680000</v>
      </c>
    </row>
    <row r="2262" spans="1:23" x14ac:dyDescent="0.2">
      <c r="A2262" t="s">
        <v>23</v>
      </c>
      <c r="B2262" t="s">
        <v>1108</v>
      </c>
      <c r="C2262" t="s">
        <v>1893</v>
      </c>
      <c r="D2262" t="s">
        <v>1962</v>
      </c>
      <c r="E2262" t="s">
        <v>2028</v>
      </c>
      <c r="F2262" t="s">
        <v>2029</v>
      </c>
      <c r="G2262" t="s">
        <v>49</v>
      </c>
      <c r="H2262" t="s">
        <v>30</v>
      </c>
      <c r="I2262" t="s">
        <v>30</v>
      </c>
      <c r="J2262" t="s">
        <v>41</v>
      </c>
      <c r="K2262" t="s">
        <v>32</v>
      </c>
      <c r="L2262" t="s">
        <v>32</v>
      </c>
      <c r="M2262" t="s">
        <v>33</v>
      </c>
      <c r="N2262" t="s">
        <v>33</v>
      </c>
      <c r="O2262" t="s">
        <v>33</v>
      </c>
      <c r="P2262" t="s">
        <v>34</v>
      </c>
      <c r="Q2262" t="s">
        <v>35</v>
      </c>
      <c r="R2262" t="s">
        <v>54</v>
      </c>
      <c r="S2262" t="s">
        <v>30</v>
      </c>
      <c r="T2262" t="s">
        <v>2030</v>
      </c>
      <c r="U2262" t="s">
        <v>2031</v>
      </c>
      <c r="V2262" t="s">
        <v>39</v>
      </c>
      <c r="W2262" s="1">
        <v>2</v>
      </c>
    </row>
    <row r="2263" spans="1:23" x14ac:dyDescent="0.2">
      <c r="A2263" t="s">
        <v>23</v>
      </c>
      <c r="B2263" t="s">
        <v>1108</v>
      </c>
      <c r="C2263" t="s">
        <v>1893</v>
      </c>
      <c r="D2263" t="s">
        <v>1962</v>
      </c>
      <c r="E2263" t="s">
        <v>2028</v>
      </c>
      <c r="F2263" t="s">
        <v>2029</v>
      </c>
      <c r="G2263" t="s">
        <v>49</v>
      </c>
      <c r="H2263" t="s">
        <v>30</v>
      </c>
      <c r="I2263" t="s">
        <v>30</v>
      </c>
      <c r="J2263" t="s">
        <v>41</v>
      </c>
      <c r="K2263" t="s">
        <v>32</v>
      </c>
      <c r="L2263" t="s">
        <v>32</v>
      </c>
      <c r="M2263" t="s">
        <v>33</v>
      </c>
      <c r="N2263" t="s">
        <v>33</v>
      </c>
      <c r="O2263" t="s">
        <v>33</v>
      </c>
      <c r="P2263" t="s">
        <v>34</v>
      </c>
      <c r="Q2263" t="s">
        <v>35</v>
      </c>
      <c r="R2263" t="s">
        <v>54</v>
      </c>
      <c r="S2263" t="s">
        <v>30</v>
      </c>
      <c r="T2263" t="s">
        <v>2030</v>
      </c>
      <c r="U2263" t="s">
        <v>2031</v>
      </c>
      <c r="V2263" t="s">
        <v>40</v>
      </c>
      <c r="W2263" s="1">
        <v>3419800</v>
      </c>
    </row>
    <row r="2264" spans="1:23" x14ac:dyDescent="0.2">
      <c r="A2264" t="s">
        <v>23</v>
      </c>
      <c r="B2264" t="s">
        <v>1108</v>
      </c>
      <c r="C2264" t="s">
        <v>1893</v>
      </c>
      <c r="D2264" t="s">
        <v>1962</v>
      </c>
      <c r="E2264" t="s">
        <v>2028</v>
      </c>
      <c r="F2264" t="s">
        <v>2029</v>
      </c>
      <c r="G2264" t="s">
        <v>49</v>
      </c>
      <c r="H2264" t="s">
        <v>30</v>
      </c>
      <c r="I2264" t="s">
        <v>30</v>
      </c>
      <c r="J2264" t="s">
        <v>41</v>
      </c>
      <c r="K2264" t="s">
        <v>32</v>
      </c>
      <c r="L2264" t="s">
        <v>32</v>
      </c>
      <c r="M2264" t="s">
        <v>33</v>
      </c>
      <c r="N2264" t="s">
        <v>33</v>
      </c>
      <c r="O2264" t="s">
        <v>33</v>
      </c>
      <c r="P2264" t="s">
        <v>34</v>
      </c>
      <c r="Q2264" t="s">
        <v>35</v>
      </c>
      <c r="R2264" t="s">
        <v>184</v>
      </c>
      <c r="S2264" t="s">
        <v>30</v>
      </c>
      <c r="T2264" t="s">
        <v>1903</v>
      </c>
      <c r="U2264" t="s">
        <v>2032</v>
      </c>
      <c r="V2264" t="s">
        <v>39</v>
      </c>
      <c r="W2264" s="1">
        <v>1</v>
      </c>
    </row>
    <row r="2265" spans="1:23" x14ac:dyDescent="0.2">
      <c r="A2265" t="s">
        <v>23</v>
      </c>
      <c r="B2265" t="s">
        <v>1108</v>
      </c>
      <c r="C2265" t="s">
        <v>1893</v>
      </c>
      <c r="D2265" t="s">
        <v>1962</v>
      </c>
      <c r="E2265" t="s">
        <v>2028</v>
      </c>
      <c r="F2265" t="s">
        <v>2029</v>
      </c>
      <c r="G2265" t="s">
        <v>49</v>
      </c>
      <c r="H2265" t="s">
        <v>30</v>
      </c>
      <c r="I2265" t="s">
        <v>30</v>
      </c>
      <c r="J2265" t="s">
        <v>41</v>
      </c>
      <c r="K2265" t="s">
        <v>32</v>
      </c>
      <c r="L2265" t="s">
        <v>32</v>
      </c>
      <c r="M2265" t="s">
        <v>33</v>
      </c>
      <c r="N2265" t="s">
        <v>33</v>
      </c>
      <c r="O2265" t="s">
        <v>33</v>
      </c>
      <c r="P2265" t="s">
        <v>34</v>
      </c>
      <c r="Q2265" t="s">
        <v>35</v>
      </c>
      <c r="R2265" t="s">
        <v>184</v>
      </c>
      <c r="S2265" t="s">
        <v>30</v>
      </c>
      <c r="T2265" t="s">
        <v>1903</v>
      </c>
      <c r="U2265" t="s">
        <v>2032</v>
      </c>
      <c r="V2265" t="s">
        <v>40</v>
      </c>
      <c r="W2265" s="1">
        <v>1897700</v>
      </c>
    </row>
    <row r="2266" spans="1:23" x14ac:dyDescent="0.2">
      <c r="A2266" t="s">
        <v>23</v>
      </c>
      <c r="B2266" t="s">
        <v>1108</v>
      </c>
      <c r="C2266" t="s">
        <v>1893</v>
      </c>
      <c r="D2266" t="s">
        <v>1962</v>
      </c>
      <c r="E2266" t="s">
        <v>2028</v>
      </c>
      <c r="F2266" t="s">
        <v>2029</v>
      </c>
      <c r="G2266" t="s">
        <v>67</v>
      </c>
      <c r="H2266" t="s">
        <v>30</v>
      </c>
      <c r="I2266" t="s">
        <v>30</v>
      </c>
      <c r="J2266" t="s">
        <v>41</v>
      </c>
      <c r="K2266" t="s">
        <v>32</v>
      </c>
      <c r="L2266" t="s">
        <v>32</v>
      </c>
      <c r="M2266" t="s">
        <v>33</v>
      </c>
      <c r="N2266" t="s">
        <v>33</v>
      </c>
      <c r="O2266" t="s">
        <v>33</v>
      </c>
      <c r="P2266" t="s">
        <v>34</v>
      </c>
      <c r="Q2266" t="s">
        <v>35</v>
      </c>
      <c r="R2266" t="s">
        <v>54</v>
      </c>
      <c r="S2266" t="s">
        <v>30</v>
      </c>
      <c r="T2266" t="s">
        <v>2033</v>
      </c>
      <c r="U2266" t="s">
        <v>2034</v>
      </c>
      <c r="V2266" t="s">
        <v>39</v>
      </c>
      <c r="W2266" s="1">
        <v>4</v>
      </c>
    </row>
    <row r="2267" spans="1:23" x14ac:dyDescent="0.2">
      <c r="A2267" t="s">
        <v>23</v>
      </c>
      <c r="B2267" t="s">
        <v>1108</v>
      </c>
      <c r="C2267" t="s">
        <v>1893</v>
      </c>
      <c r="D2267" t="s">
        <v>1962</v>
      </c>
      <c r="E2267" t="s">
        <v>2028</v>
      </c>
      <c r="F2267" t="s">
        <v>2029</v>
      </c>
      <c r="G2267" t="s">
        <v>67</v>
      </c>
      <c r="H2267" t="s">
        <v>30</v>
      </c>
      <c r="I2267" t="s">
        <v>30</v>
      </c>
      <c r="J2267" t="s">
        <v>41</v>
      </c>
      <c r="K2267" t="s">
        <v>32</v>
      </c>
      <c r="L2267" t="s">
        <v>32</v>
      </c>
      <c r="M2267" t="s">
        <v>33</v>
      </c>
      <c r="N2267" t="s">
        <v>33</v>
      </c>
      <c r="O2267" t="s">
        <v>33</v>
      </c>
      <c r="P2267" t="s">
        <v>34</v>
      </c>
      <c r="Q2267" t="s">
        <v>35</v>
      </c>
      <c r="R2267" t="s">
        <v>54</v>
      </c>
      <c r="S2267" t="s">
        <v>30</v>
      </c>
      <c r="T2267" t="s">
        <v>2033</v>
      </c>
      <c r="U2267" t="s">
        <v>2034</v>
      </c>
      <c r="V2267" t="s">
        <v>40</v>
      </c>
      <c r="W2267" s="1">
        <v>6226400</v>
      </c>
    </row>
    <row r="2268" spans="1:23" x14ac:dyDescent="0.2">
      <c r="A2268" t="s">
        <v>23</v>
      </c>
      <c r="B2268" t="s">
        <v>1108</v>
      </c>
      <c r="C2268" t="s">
        <v>1893</v>
      </c>
      <c r="D2268" t="s">
        <v>1962</v>
      </c>
      <c r="E2268" t="s">
        <v>2035</v>
      </c>
      <c r="F2268" t="s">
        <v>2036</v>
      </c>
      <c r="G2268" t="s">
        <v>29</v>
      </c>
      <c r="H2268" t="s">
        <v>30</v>
      </c>
      <c r="I2268" t="s">
        <v>30</v>
      </c>
      <c r="J2268" t="s">
        <v>128</v>
      </c>
      <c r="K2268" t="s">
        <v>181</v>
      </c>
      <c r="L2268" t="s">
        <v>32</v>
      </c>
      <c r="M2268" t="s">
        <v>33</v>
      </c>
      <c r="N2268" t="s">
        <v>33</v>
      </c>
      <c r="O2268" t="s">
        <v>33</v>
      </c>
      <c r="P2268" t="s">
        <v>34</v>
      </c>
      <c r="Q2268" t="s">
        <v>35</v>
      </c>
      <c r="S2268" t="s">
        <v>30</v>
      </c>
      <c r="T2268" t="s">
        <v>2037</v>
      </c>
      <c r="U2268" t="s">
        <v>2038</v>
      </c>
      <c r="V2268" t="s">
        <v>39</v>
      </c>
      <c r="W2268" s="1">
        <v>13</v>
      </c>
    </row>
    <row r="2269" spans="1:23" x14ac:dyDescent="0.2">
      <c r="A2269" t="s">
        <v>23</v>
      </c>
      <c r="B2269" t="s">
        <v>1108</v>
      </c>
      <c r="C2269" t="s">
        <v>1893</v>
      </c>
      <c r="D2269" t="s">
        <v>1962</v>
      </c>
      <c r="E2269" t="s">
        <v>2035</v>
      </c>
      <c r="F2269" t="s">
        <v>2036</v>
      </c>
      <c r="G2269" t="s">
        <v>29</v>
      </c>
      <c r="H2269" t="s">
        <v>30</v>
      </c>
      <c r="I2269" t="s">
        <v>30</v>
      </c>
      <c r="J2269" t="s">
        <v>128</v>
      </c>
      <c r="K2269" t="s">
        <v>181</v>
      </c>
      <c r="L2269" t="s">
        <v>32</v>
      </c>
      <c r="M2269" t="s">
        <v>33</v>
      </c>
      <c r="N2269" t="s">
        <v>33</v>
      </c>
      <c r="O2269" t="s">
        <v>33</v>
      </c>
      <c r="P2269" t="s">
        <v>34</v>
      </c>
      <c r="Q2269" t="s">
        <v>35</v>
      </c>
      <c r="S2269" t="s">
        <v>30</v>
      </c>
      <c r="T2269" t="s">
        <v>2037</v>
      </c>
      <c r="U2269" t="s">
        <v>2038</v>
      </c>
      <c r="V2269" t="s">
        <v>40</v>
      </c>
      <c r="W2269" s="1">
        <v>18005000</v>
      </c>
    </row>
    <row r="2270" spans="1:23" x14ac:dyDescent="0.2">
      <c r="A2270" t="s">
        <v>23</v>
      </c>
      <c r="B2270" t="s">
        <v>1108</v>
      </c>
      <c r="C2270" t="s">
        <v>1893</v>
      </c>
      <c r="D2270" t="s">
        <v>1962</v>
      </c>
      <c r="E2270" t="s">
        <v>2035</v>
      </c>
      <c r="F2270" t="s">
        <v>2036</v>
      </c>
      <c r="G2270" t="s">
        <v>29</v>
      </c>
      <c r="H2270" t="s">
        <v>30</v>
      </c>
      <c r="I2270" t="s">
        <v>30</v>
      </c>
      <c r="J2270" t="s">
        <v>128</v>
      </c>
      <c r="K2270" t="s">
        <v>181</v>
      </c>
      <c r="L2270" t="s">
        <v>32</v>
      </c>
      <c r="M2270" t="s">
        <v>33</v>
      </c>
      <c r="N2270" t="s">
        <v>176</v>
      </c>
      <c r="O2270" t="s">
        <v>176</v>
      </c>
      <c r="P2270" t="s">
        <v>34</v>
      </c>
      <c r="Q2270" t="s">
        <v>35</v>
      </c>
      <c r="S2270" t="s">
        <v>30</v>
      </c>
      <c r="T2270" t="s">
        <v>2037</v>
      </c>
      <c r="U2270" t="s">
        <v>2038</v>
      </c>
      <c r="V2270" t="s">
        <v>39</v>
      </c>
      <c r="W2270" s="1">
        <v>1</v>
      </c>
    </row>
    <row r="2271" spans="1:23" x14ac:dyDescent="0.2">
      <c r="A2271" t="s">
        <v>23</v>
      </c>
      <c r="B2271" t="s">
        <v>1108</v>
      </c>
      <c r="C2271" t="s">
        <v>1893</v>
      </c>
      <c r="D2271" t="s">
        <v>1962</v>
      </c>
      <c r="E2271" t="s">
        <v>2035</v>
      </c>
      <c r="F2271" t="s">
        <v>2036</v>
      </c>
      <c r="G2271" t="s">
        <v>29</v>
      </c>
      <c r="H2271" t="s">
        <v>30</v>
      </c>
      <c r="I2271" t="s">
        <v>30</v>
      </c>
      <c r="J2271" t="s">
        <v>128</v>
      </c>
      <c r="K2271" t="s">
        <v>181</v>
      </c>
      <c r="L2271" t="s">
        <v>32</v>
      </c>
      <c r="M2271" t="s">
        <v>33</v>
      </c>
      <c r="N2271" t="s">
        <v>176</v>
      </c>
      <c r="O2271" t="s">
        <v>176</v>
      </c>
      <c r="P2271" t="s">
        <v>34</v>
      </c>
      <c r="Q2271" t="s">
        <v>35</v>
      </c>
      <c r="S2271" t="s">
        <v>30</v>
      </c>
      <c r="T2271" t="s">
        <v>2037</v>
      </c>
      <c r="U2271" t="s">
        <v>2038</v>
      </c>
      <c r="V2271" t="s">
        <v>40</v>
      </c>
      <c r="W2271" s="1">
        <v>1385000</v>
      </c>
    </row>
    <row r="2272" spans="1:23" x14ac:dyDescent="0.2">
      <c r="A2272" t="s">
        <v>23</v>
      </c>
      <c r="B2272" t="s">
        <v>1108</v>
      </c>
      <c r="C2272" t="s">
        <v>1893</v>
      </c>
      <c r="D2272" t="s">
        <v>1962</v>
      </c>
      <c r="E2272" t="s">
        <v>2035</v>
      </c>
      <c r="F2272" t="s">
        <v>2036</v>
      </c>
      <c r="G2272" t="s">
        <v>29</v>
      </c>
      <c r="H2272" t="s">
        <v>30</v>
      </c>
      <c r="I2272" t="s">
        <v>30</v>
      </c>
      <c r="J2272" t="s">
        <v>128</v>
      </c>
      <c r="K2272" t="s">
        <v>181</v>
      </c>
      <c r="L2272" t="s">
        <v>32</v>
      </c>
      <c r="M2272" t="s">
        <v>176</v>
      </c>
      <c r="N2272" t="s">
        <v>195</v>
      </c>
      <c r="O2272" t="s">
        <v>195</v>
      </c>
      <c r="P2272" t="s">
        <v>34</v>
      </c>
      <c r="Q2272" t="s">
        <v>35</v>
      </c>
      <c r="S2272" t="s">
        <v>30</v>
      </c>
      <c r="T2272" t="s">
        <v>2037</v>
      </c>
      <c r="U2272" t="s">
        <v>2038</v>
      </c>
      <c r="V2272" t="s">
        <v>39</v>
      </c>
      <c r="W2272" s="1">
        <v>1</v>
      </c>
    </row>
    <row r="2273" spans="1:23" x14ac:dyDescent="0.2">
      <c r="A2273" t="s">
        <v>23</v>
      </c>
      <c r="B2273" t="s">
        <v>1108</v>
      </c>
      <c r="C2273" t="s">
        <v>1893</v>
      </c>
      <c r="D2273" t="s">
        <v>1962</v>
      </c>
      <c r="E2273" t="s">
        <v>2035</v>
      </c>
      <c r="F2273" t="s">
        <v>2036</v>
      </c>
      <c r="G2273" t="s">
        <v>29</v>
      </c>
      <c r="H2273" t="s">
        <v>30</v>
      </c>
      <c r="I2273" t="s">
        <v>30</v>
      </c>
      <c r="J2273" t="s">
        <v>128</v>
      </c>
      <c r="K2273" t="s">
        <v>181</v>
      </c>
      <c r="L2273" t="s">
        <v>32</v>
      </c>
      <c r="M2273" t="s">
        <v>176</v>
      </c>
      <c r="N2273" t="s">
        <v>195</v>
      </c>
      <c r="O2273" t="s">
        <v>195</v>
      </c>
      <c r="P2273" t="s">
        <v>34</v>
      </c>
      <c r="Q2273" t="s">
        <v>35</v>
      </c>
      <c r="S2273" t="s">
        <v>30</v>
      </c>
      <c r="T2273" t="s">
        <v>2037</v>
      </c>
      <c r="U2273" t="s">
        <v>2038</v>
      </c>
      <c r="V2273" t="s">
        <v>40</v>
      </c>
      <c r="W2273" s="1">
        <v>1275000</v>
      </c>
    </row>
    <row r="2274" spans="1:23" x14ac:dyDescent="0.2">
      <c r="A2274" t="s">
        <v>23</v>
      </c>
      <c r="B2274" t="s">
        <v>1108</v>
      </c>
      <c r="C2274" t="s">
        <v>1893</v>
      </c>
      <c r="D2274" t="s">
        <v>1962</v>
      </c>
      <c r="E2274" t="s">
        <v>2035</v>
      </c>
      <c r="F2274" t="s">
        <v>2036</v>
      </c>
      <c r="G2274" t="s">
        <v>29</v>
      </c>
      <c r="H2274" t="s">
        <v>30</v>
      </c>
      <c r="I2274" t="s">
        <v>30</v>
      </c>
      <c r="J2274" t="s">
        <v>41</v>
      </c>
      <c r="K2274" t="s">
        <v>32</v>
      </c>
      <c r="L2274" t="s">
        <v>32</v>
      </c>
      <c r="M2274" t="s">
        <v>33</v>
      </c>
      <c r="N2274" t="s">
        <v>33</v>
      </c>
      <c r="O2274" t="s">
        <v>33</v>
      </c>
      <c r="P2274" t="s">
        <v>34</v>
      </c>
      <c r="Q2274" t="s">
        <v>35</v>
      </c>
      <c r="R2274" t="s">
        <v>58</v>
      </c>
      <c r="S2274" t="s">
        <v>30</v>
      </c>
      <c r="T2274" t="s">
        <v>2039</v>
      </c>
      <c r="U2274" t="s">
        <v>2040</v>
      </c>
      <c r="V2274" t="s">
        <v>39</v>
      </c>
      <c r="W2274" s="1">
        <v>2</v>
      </c>
    </row>
    <row r="2275" spans="1:23" x14ac:dyDescent="0.2">
      <c r="A2275" t="s">
        <v>23</v>
      </c>
      <c r="B2275" t="s">
        <v>1108</v>
      </c>
      <c r="C2275" t="s">
        <v>1893</v>
      </c>
      <c r="D2275" t="s">
        <v>1962</v>
      </c>
      <c r="E2275" t="s">
        <v>2035</v>
      </c>
      <c r="F2275" t="s">
        <v>2036</v>
      </c>
      <c r="G2275" t="s">
        <v>29</v>
      </c>
      <c r="H2275" t="s">
        <v>30</v>
      </c>
      <c r="I2275" t="s">
        <v>30</v>
      </c>
      <c r="J2275" t="s">
        <v>41</v>
      </c>
      <c r="K2275" t="s">
        <v>32</v>
      </c>
      <c r="L2275" t="s">
        <v>32</v>
      </c>
      <c r="M2275" t="s">
        <v>33</v>
      </c>
      <c r="N2275" t="s">
        <v>33</v>
      </c>
      <c r="O2275" t="s">
        <v>33</v>
      </c>
      <c r="P2275" t="s">
        <v>34</v>
      </c>
      <c r="Q2275" t="s">
        <v>35</v>
      </c>
      <c r="R2275" t="s">
        <v>58</v>
      </c>
      <c r="S2275" t="s">
        <v>30</v>
      </c>
      <c r="T2275" t="s">
        <v>2039</v>
      </c>
      <c r="U2275" t="s">
        <v>2040</v>
      </c>
      <c r="V2275" t="s">
        <v>40</v>
      </c>
      <c r="W2275" s="1">
        <v>12798000</v>
      </c>
    </row>
    <row r="2276" spans="1:23" x14ac:dyDescent="0.2">
      <c r="A2276" t="s">
        <v>23</v>
      </c>
      <c r="B2276" t="s">
        <v>1108</v>
      </c>
      <c r="C2276" t="s">
        <v>1893</v>
      </c>
      <c r="D2276" t="s">
        <v>1962</v>
      </c>
      <c r="E2276" t="s">
        <v>2035</v>
      </c>
      <c r="F2276" t="s">
        <v>2036</v>
      </c>
      <c r="G2276" t="s">
        <v>29</v>
      </c>
      <c r="H2276" t="s">
        <v>30</v>
      </c>
      <c r="I2276" t="s">
        <v>30</v>
      </c>
      <c r="J2276" t="s">
        <v>41</v>
      </c>
      <c r="K2276" t="s">
        <v>32</v>
      </c>
      <c r="L2276" t="s">
        <v>32</v>
      </c>
      <c r="M2276" t="s">
        <v>33</v>
      </c>
      <c r="P2276" t="s">
        <v>34</v>
      </c>
      <c r="Q2276" t="s">
        <v>35</v>
      </c>
      <c r="R2276" t="s">
        <v>54</v>
      </c>
      <c r="S2276" t="s">
        <v>52</v>
      </c>
      <c r="T2276" t="s">
        <v>2041</v>
      </c>
      <c r="U2276" t="s">
        <v>2042</v>
      </c>
      <c r="V2276" t="s">
        <v>39</v>
      </c>
      <c r="W2276" s="1">
        <v>0</v>
      </c>
    </row>
    <row r="2277" spans="1:23" x14ac:dyDescent="0.2">
      <c r="A2277" t="s">
        <v>23</v>
      </c>
      <c r="B2277" t="s">
        <v>1108</v>
      </c>
      <c r="C2277" t="s">
        <v>1893</v>
      </c>
      <c r="D2277" t="s">
        <v>1962</v>
      </c>
      <c r="E2277" t="s">
        <v>2035</v>
      </c>
      <c r="F2277" t="s">
        <v>2036</v>
      </c>
      <c r="G2277" t="s">
        <v>29</v>
      </c>
      <c r="H2277" t="s">
        <v>30</v>
      </c>
      <c r="I2277" t="s">
        <v>30</v>
      </c>
      <c r="J2277" t="s">
        <v>41</v>
      </c>
      <c r="K2277" t="s">
        <v>32</v>
      </c>
      <c r="L2277" t="s">
        <v>32</v>
      </c>
      <c r="M2277" t="s">
        <v>33</v>
      </c>
      <c r="P2277" t="s">
        <v>34</v>
      </c>
      <c r="Q2277" t="s">
        <v>35</v>
      </c>
      <c r="R2277" t="s">
        <v>54</v>
      </c>
      <c r="S2277" t="s">
        <v>52</v>
      </c>
      <c r="T2277" t="s">
        <v>2041</v>
      </c>
      <c r="U2277" t="s">
        <v>2042</v>
      </c>
      <c r="V2277" t="s">
        <v>40</v>
      </c>
      <c r="W2277" s="1">
        <v>18999000</v>
      </c>
    </row>
    <row r="2278" spans="1:23" x14ac:dyDescent="0.2">
      <c r="A2278" t="s">
        <v>23</v>
      </c>
      <c r="B2278" t="s">
        <v>1108</v>
      </c>
      <c r="C2278" t="s">
        <v>1893</v>
      </c>
      <c r="D2278" t="s">
        <v>1962</v>
      </c>
      <c r="E2278" t="s">
        <v>2035</v>
      </c>
      <c r="F2278" t="s">
        <v>2036</v>
      </c>
      <c r="G2278" t="s">
        <v>49</v>
      </c>
      <c r="H2278" t="s">
        <v>30</v>
      </c>
      <c r="I2278" t="s">
        <v>30</v>
      </c>
      <c r="J2278" t="s">
        <v>31</v>
      </c>
      <c r="K2278" t="s">
        <v>32</v>
      </c>
      <c r="L2278" t="s">
        <v>32</v>
      </c>
      <c r="M2278" t="s">
        <v>33</v>
      </c>
      <c r="N2278" t="s">
        <v>33</v>
      </c>
      <c r="O2278" t="s">
        <v>33</v>
      </c>
      <c r="P2278" t="s">
        <v>213</v>
      </c>
      <c r="Q2278" t="s">
        <v>214</v>
      </c>
      <c r="S2278" t="s">
        <v>30</v>
      </c>
      <c r="T2278" t="s">
        <v>2043</v>
      </c>
      <c r="U2278" t="s">
        <v>2044</v>
      </c>
      <c r="V2278" t="s">
        <v>39</v>
      </c>
      <c r="W2278" s="1">
        <v>1</v>
      </c>
    </row>
    <row r="2279" spans="1:23" x14ac:dyDescent="0.2">
      <c r="A2279" t="s">
        <v>23</v>
      </c>
      <c r="B2279" t="s">
        <v>1108</v>
      </c>
      <c r="C2279" t="s">
        <v>1893</v>
      </c>
      <c r="D2279" t="s">
        <v>1962</v>
      </c>
      <c r="E2279" t="s">
        <v>2035</v>
      </c>
      <c r="F2279" t="s">
        <v>2036</v>
      </c>
      <c r="G2279" t="s">
        <v>49</v>
      </c>
      <c r="H2279" t="s">
        <v>30</v>
      </c>
      <c r="I2279" t="s">
        <v>30</v>
      </c>
      <c r="J2279" t="s">
        <v>31</v>
      </c>
      <c r="K2279" t="s">
        <v>32</v>
      </c>
      <c r="L2279" t="s">
        <v>32</v>
      </c>
      <c r="M2279" t="s">
        <v>33</v>
      </c>
      <c r="N2279" t="s">
        <v>33</v>
      </c>
      <c r="O2279" t="s">
        <v>33</v>
      </c>
      <c r="P2279" t="s">
        <v>213</v>
      </c>
      <c r="Q2279" t="s">
        <v>214</v>
      </c>
      <c r="S2279" t="s">
        <v>30</v>
      </c>
      <c r="T2279" t="s">
        <v>2043</v>
      </c>
      <c r="U2279" t="s">
        <v>2044</v>
      </c>
      <c r="V2279" t="s">
        <v>40</v>
      </c>
      <c r="W2279" s="1">
        <v>761900</v>
      </c>
    </row>
    <row r="2280" spans="1:23" x14ac:dyDescent="0.2">
      <c r="A2280" t="s">
        <v>23</v>
      </c>
      <c r="B2280" t="s">
        <v>1108</v>
      </c>
      <c r="C2280" t="s">
        <v>1893</v>
      </c>
      <c r="D2280" t="s">
        <v>1962</v>
      </c>
      <c r="E2280" t="s">
        <v>2035</v>
      </c>
      <c r="F2280" t="s">
        <v>2036</v>
      </c>
      <c r="G2280" t="s">
        <v>49</v>
      </c>
      <c r="H2280" t="s">
        <v>30</v>
      </c>
      <c r="I2280" t="s">
        <v>30</v>
      </c>
      <c r="J2280" t="s">
        <v>41</v>
      </c>
      <c r="K2280" t="s">
        <v>32</v>
      </c>
      <c r="L2280" t="s">
        <v>32</v>
      </c>
      <c r="M2280" t="s">
        <v>33</v>
      </c>
      <c r="N2280" t="s">
        <v>33</v>
      </c>
      <c r="O2280" t="s">
        <v>33</v>
      </c>
      <c r="P2280" t="s">
        <v>34</v>
      </c>
      <c r="Q2280" t="s">
        <v>35</v>
      </c>
      <c r="S2280" t="s">
        <v>30</v>
      </c>
      <c r="T2280" t="s">
        <v>1954</v>
      </c>
      <c r="U2280" t="s">
        <v>2045</v>
      </c>
      <c r="V2280" t="s">
        <v>39</v>
      </c>
      <c r="W2280" s="1">
        <v>2</v>
      </c>
    </row>
    <row r="2281" spans="1:23" x14ac:dyDescent="0.2">
      <c r="A2281" t="s">
        <v>23</v>
      </c>
      <c r="B2281" t="s">
        <v>1108</v>
      </c>
      <c r="C2281" t="s">
        <v>1893</v>
      </c>
      <c r="D2281" t="s">
        <v>1962</v>
      </c>
      <c r="E2281" t="s">
        <v>2035</v>
      </c>
      <c r="F2281" t="s">
        <v>2036</v>
      </c>
      <c r="G2281" t="s">
        <v>49</v>
      </c>
      <c r="H2281" t="s">
        <v>30</v>
      </c>
      <c r="I2281" t="s">
        <v>30</v>
      </c>
      <c r="J2281" t="s">
        <v>41</v>
      </c>
      <c r="K2281" t="s">
        <v>32</v>
      </c>
      <c r="L2281" t="s">
        <v>32</v>
      </c>
      <c r="M2281" t="s">
        <v>33</v>
      </c>
      <c r="N2281" t="s">
        <v>33</v>
      </c>
      <c r="O2281" t="s">
        <v>33</v>
      </c>
      <c r="P2281" t="s">
        <v>34</v>
      </c>
      <c r="Q2281" t="s">
        <v>35</v>
      </c>
      <c r="S2281" t="s">
        <v>30</v>
      </c>
      <c r="T2281" t="s">
        <v>1954</v>
      </c>
      <c r="U2281" t="s">
        <v>2045</v>
      </c>
      <c r="V2281" t="s">
        <v>40</v>
      </c>
      <c r="W2281" s="1">
        <v>2739800</v>
      </c>
    </row>
    <row r="2282" spans="1:23" x14ac:dyDescent="0.2">
      <c r="A2282" t="s">
        <v>23</v>
      </c>
      <c r="B2282" t="s">
        <v>1108</v>
      </c>
      <c r="C2282" t="s">
        <v>1893</v>
      </c>
      <c r="D2282" t="s">
        <v>1962</v>
      </c>
      <c r="E2282" t="s">
        <v>2035</v>
      </c>
      <c r="F2282" t="s">
        <v>2036</v>
      </c>
      <c r="G2282" t="s">
        <v>61</v>
      </c>
      <c r="H2282" t="s">
        <v>52</v>
      </c>
      <c r="I2282" t="s">
        <v>52</v>
      </c>
      <c r="J2282" t="s">
        <v>128</v>
      </c>
      <c r="K2282" t="s">
        <v>181</v>
      </c>
      <c r="L2282" t="s">
        <v>32</v>
      </c>
      <c r="M2282" t="s">
        <v>33</v>
      </c>
      <c r="N2282" t="s">
        <v>33</v>
      </c>
      <c r="O2282" t="s">
        <v>33</v>
      </c>
      <c r="P2282" t="s">
        <v>34</v>
      </c>
      <c r="Q2282" t="s">
        <v>35</v>
      </c>
      <c r="S2282" t="s">
        <v>30</v>
      </c>
      <c r="T2282" t="s">
        <v>2046</v>
      </c>
      <c r="U2282" t="s">
        <v>2047</v>
      </c>
      <c r="V2282" t="s">
        <v>39</v>
      </c>
      <c r="W2282" s="1">
        <v>10</v>
      </c>
    </row>
    <row r="2283" spans="1:23" x14ac:dyDescent="0.2">
      <c r="A2283" t="s">
        <v>23</v>
      </c>
      <c r="B2283" t="s">
        <v>1108</v>
      </c>
      <c r="C2283" t="s">
        <v>1893</v>
      </c>
      <c r="D2283" t="s">
        <v>1962</v>
      </c>
      <c r="E2283" t="s">
        <v>2035</v>
      </c>
      <c r="F2283" t="s">
        <v>2036</v>
      </c>
      <c r="G2283" t="s">
        <v>61</v>
      </c>
      <c r="H2283" t="s">
        <v>52</v>
      </c>
      <c r="I2283" t="s">
        <v>52</v>
      </c>
      <c r="J2283" t="s">
        <v>128</v>
      </c>
      <c r="K2283" t="s">
        <v>181</v>
      </c>
      <c r="L2283" t="s">
        <v>32</v>
      </c>
      <c r="M2283" t="s">
        <v>33</v>
      </c>
      <c r="N2283" t="s">
        <v>33</v>
      </c>
      <c r="O2283" t="s">
        <v>33</v>
      </c>
      <c r="P2283" t="s">
        <v>34</v>
      </c>
      <c r="Q2283" t="s">
        <v>35</v>
      </c>
      <c r="S2283" t="s">
        <v>30</v>
      </c>
      <c r="T2283" t="s">
        <v>2046</v>
      </c>
      <c r="U2283" t="s">
        <v>2047</v>
      </c>
      <c r="V2283" t="s">
        <v>40</v>
      </c>
      <c r="W2283" s="1">
        <v>13350000</v>
      </c>
    </row>
    <row r="2284" spans="1:23" x14ac:dyDescent="0.2">
      <c r="A2284" t="s">
        <v>23</v>
      </c>
      <c r="B2284" t="s">
        <v>1108</v>
      </c>
      <c r="C2284" t="s">
        <v>1893</v>
      </c>
      <c r="D2284" t="s">
        <v>1962</v>
      </c>
      <c r="E2284" t="s">
        <v>2035</v>
      </c>
      <c r="F2284" t="s">
        <v>2036</v>
      </c>
      <c r="G2284" t="s">
        <v>61</v>
      </c>
      <c r="H2284" t="s">
        <v>52</v>
      </c>
      <c r="I2284" t="s">
        <v>52</v>
      </c>
      <c r="J2284" t="s">
        <v>31</v>
      </c>
      <c r="K2284" t="s">
        <v>32</v>
      </c>
      <c r="L2284" t="s">
        <v>32</v>
      </c>
      <c r="M2284" t="s">
        <v>33</v>
      </c>
      <c r="N2284" t="s">
        <v>33</v>
      </c>
      <c r="O2284" t="s">
        <v>33</v>
      </c>
      <c r="P2284" t="s">
        <v>213</v>
      </c>
      <c r="Q2284" t="s">
        <v>214</v>
      </c>
      <c r="R2284" t="s">
        <v>228</v>
      </c>
      <c r="S2284" t="s">
        <v>30</v>
      </c>
      <c r="T2284" t="s">
        <v>2048</v>
      </c>
      <c r="U2284" t="s">
        <v>2049</v>
      </c>
      <c r="V2284" t="s">
        <v>39</v>
      </c>
      <c r="W2284" s="1">
        <v>4</v>
      </c>
    </row>
    <row r="2285" spans="1:23" x14ac:dyDescent="0.2">
      <c r="A2285" t="s">
        <v>23</v>
      </c>
      <c r="B2285" t="s">
        <v>1108</v>
      </c>
      <c r="C2285" t="s">
        <v>1893</v>
      </c>
      <c r="D2285" t="s">
        <v>1962</v>
      </c>
      <c r="E2285" t="s">
        <v>2035</v>
      </c>
      <c r="F2285" t="s">
        <v>2036</v>
      </c>
      <c r="G2285" t="s">
        <v>61</v>
      </c>
      <c r="H2285" t="s">
        <v>52</v>
      </c>
      <c r="I2285" t="s">
        <v>52</v>
      </c>
      <c r="J2285" t="s">
        <v>31</v>
      </c>
      <c r="K2285" t="s">
        <v>32</v>
      </c>
      <c r="L2285" t="s">
        <v>32</v>
      </c>
      <c r="M2285" t="s">
        <v>33</v>
      </c>
      <c r="N2285" t="s">
        <v>33</v>
      </c>
      <c r="O2285" t="s">
        <v>33</v>
      </c>
      <c r="P2285" t="s">
        <v>213</v>
      </c>
      <c r="Q2285" t="s">
        <v>214</v>
      </c>
      <c r="R2285" t="s">
        <v>228</v>
      </c>
      <c r="S2285" t="s">
        <v>30</v>
      </c>
      <c r="T2285" t="s">
        <v>2048</v>
      </c>
      <c r="U2285" t="s">
        <v>2049</v>
      </c>
      <c r="V2285" t="s">
        <v>40</v>
      </c>
      <c r="W2285" s="1">
        <v>2286400</v>
      </c>
    </row>
    <row r="2286" spans="1:23" x14ac:dyDescent="0.2">
      <c r="A2286" t="s">
        <v>23</v>
      </c>
      <c r="B2286" t="s">
        <v>1108</v>
      </c>
      <c r="C2286" t="s">
        <v>1893</v>
      </c>
      <c r="D2286" t="s">
        <v>1962</v>
      </c>
      <c r="E2286" t="s">
        <v>2035</v>
      </c>
      <c r="F2286" t="s">
        <v>2036</v>
      </c>
      <c r="G2286" t="s">
        <v>170</v>
      </c>
      <c r="H2286" t="s">
        <v>52</v>
      </c>
      <c r="I2286" t="s">
        <v>30</v>
      </c>
      <c r="J2286" t="s">
        <v>233</v>
      </c>
      <c r="K2286" t="s">
        <v>234</v>
      </c>
      <c r="L2286" t="s">
        <v>32</v>
      </c>
      <c r="M2286" t="s">
        <v>33</v>
      </c>
      <c r="N2286" t="s">
        <v>33</v>
      </c>
      <c r="O2286" t="s">
        <v>33</v>
      </c>
      <c r="P2286" t="s">
        <v>34</v>
      </c>
      <c r="Q2286" t="s">
        <v>35</v>
      </c>
      <c r="S2286" t="s">
        <v>30</v>
      </c>
      <c r="T2286" t="s">
        <v>2050</v>
      </c>
      <c r="U2286" t="s">
        <v>2051</v>
      </c>
      <c r="V2286" t="s">
        <v>39</v>
      </c>
      <c r="W2286" s="1">
        <v>1</v>
      </c>
    </row>
    <row r="2287" spans="1:23" x14ac:dyDescent="0.2">
      <c r="A2287" t="s">
        <v>23</v>
      </c>
      <c r="B2287" t="s">
        <v>1108</v>
      </c>
      <c r="C2287" t="s">
        <v>1893</v>
      </c>
      <c r="D2287" t="s">
        <v>1962</v>
      </c>
      <c r="E2287" t="s">
        <v>2035</v>
      </c>
      <c r="F2287" t="s">
        <v>2036</v>
      </c>
      <c r="G2287" t="s">
        <v>170</v>
      </c>
      <c r="H2287" t="s">
        <v>52</v>
      </c>
      <c r="I2287" t="s">
        <v>30</v>
      </c>
      <c r="J2287" t="s">
        <v>233</v>
      </c>
      <c r="K2287" t="s">
        <v>234</v>
      </c>
      <c r="L2287" t="s">
        <v>32</v>
      </c>
      <c r="M2287" t="s">
        <v>33</v>
      </c>
      <c r="N2287" t="s">
        <v>33</v>
      </c>
      <c r="O2287" t="s">
        <v>33</v>
      </c>
      <c r="P2287" t="s">
        <v>34</v>
      </c>
      <c r="Q2287" t="s">
        <v>35</v>
      </c>
      <c r="S2287" t="s">
        <v>30</v>
      </c>
      <c r="T2287" t="s">
        <v>2050</v>
      </c>
      <c r="U2287" t="s">
        <v>2051</v>
      </c>
      <c r="V2287" t="s">
        <v>40</v>
      </c>
      <c r="W2287" s="1">
        <v>1253000</v>
      </c>
    </row>
    <row r="2288" spans="1:23" x14ac:dyDescent="0.2">
      <c r="A2288" t="s">
        <v>23</v>
      </c>
      <c r="B2288" t="s">
        <v>1108</v>
      </c>
      <c r="C2288" t="s">
        <v>1893</v>
      </c>
      <c r="D2288" t="s">
        <v>1962</v>
      </c>
      <c r="E2288" t="s">
        <v>2035</v>
      </c>
      <c r="F2288" t="s">
        <v>2036</v>
      </c>
      <c r="G2288" t="s">
        <v>170</v>
      </c>
      <c r="H2288" t="s">
        <v>52</v>
      </c>
      <c r="I2288" t="s">
        <v>30</v>
      </c>
      <c r="J2288" t="s">
        <v>233</v>
      </c>
      <c r="K2288" t="s">
        <v>234</v>
      </c>
      <c r="L2288" t="s">
        <v>32</v>
      </c>
      <c r="M2288" t="s">
        <v>33</v>
      </c>
      <c r="P2288" t="s">
        <v>34</v>
      </c>
      <c r="Q2288" t="s">
        <v>35</v>
      </c>
      <c r="S2288" t="s">
        <v>30</v>
      </c>
      <c r="T2288" t="s">
        <v>2050</v>
      </c>
      <c r="U2288" t="s">
        <v>2051</v>
      </c>
      <c r="V2288" t="s">
        <v>39</v>
      </c>
      <c r="W2288" s="1">
        <v>5</v>
      </c>
    </row>
    <row r="2289" spans="1:23" x14ac:dyDescent="0.2">
      <c r="A2289" t="s">
        <v>23</v>
      </c>
      <c r="B2289" t="s">
        <v>1108</v>
      </c>
      <c r="C2289" t="s">
        <v>1893</v>
      </c>
      <c r="D2289" t="s">
        <v>1962</v>
      </c>
      <c r="E2289" t="s">
        <v>2035</v>
      </c>
      <c r="F2289" t="s">
        <v>2036</v>
      </c>
      <c r="G2289" t="s">
        <v>170</v>
      </c>
      <c r="H2289" t="s">
        <v>52</v>
      </c>
      <c r="I2289" t="s">
        <v>30</v>
      </c>
      <c r="J2289" t="s">
        <v>233</v>
      </c>
      <c r="K2289" t="s">
        <v>234</v>
      </c>
      <c r="L2289" t="s">
        <v>32</v>
      </c>
      <c r="M2289" t="s">
        <v>33</v>
      </c>
      <c r="P2289" t="s">
        <v>34</v>
      </c>
      <c r="Q2289" t="s">
        <v>35</v>
      </c>
      <c r="S2289" t="s">
        <v>30</v>
      </c>
      <c r="T2289" t="s">
        <v>2050</v>
      </c>
      <c r="U2289" t="s">
        <v>2051</v>
      </c>
      <c r="V2289" t="s">
        <v>40</v>
      </c>
      <c r="W2289" s="1">
        <v>6265000</v>
      </c>
    </row>
    <row r="2290" spans="1:23" x14ac:dyDescent="0.2">
      <c r="A2290" t="s">
        <v>23</v>
      </c>
      <c r="B2290" t="s">
        <v>1108</v>
      </c>
      <c r="C2290" t="s">
        <v>1893</v>
      </c>
      <c r="D2290" t="s">
        <v>1962</v>
      </c>
      <c r="E2290" t="s">
        <v>2035</v>
      </c>
      <c r="F2290" t="s">
        <v>2036</v>
      </c>
      <c r="G2290" t="s">
        <v>67</v>
      </c>
      <c r="H2290" t="s">
        <v>30</v>
      </c>
      <c r="I2290" t="s">
        <v>30</v>
      </c>
      <c r="J2290" t="s">
        <v>31</v>
      </c>
      <c r="K2290" t="s">
        <v>32</v>
      </c>
      <c r="L2290" t="s">
        <v>32</v>
      </c>
      <c r="M2290" t="s">
        <v>33</v>
      </c>
      <c r="N2290" t="s">
        <v>33</v>
      </c>
      <c r="O2290" t="s">
        <v>33</v>
      </c>
      <c r="P2290" t="s">
        <v>213</v>
      </c>
      <c r="Q2290" t="s">
        <v>214</v>
      </c>
      <c r="R2290" t="s">
        <v>353</v>
      </c>
      <c r="S2290" t="s">
        <v>30</v>
      </c>
      <c r="T2290" t="s">
        <v>2052</v>
      </c>
      <c r="U2290" t="s">
        <v>2053</v>
      </c>
      <c r="V2290" t="s">
        <v>39</v>
      </c>
      <c r="W2290" s="1">
        <v>1</v>
      </c>
    </row>
    <row r="2291" spans="1:23" x14ac:dyDescent="0.2">
      <c r="A2291" t="s">
        <v>23</v>
      </c>
      <c r="B2291" t="s">
        <v>1108</v>
      </c>
      <c r="C2291" t="s">
        <v>1893</v>
      </c>
      <c r="D2291" t="s">
        <v>1962</v>
      </c>
      <c r="E2291" t="s">
        <v>2035</v>
      </c>
      <c r="F2291" t="s">
        <v>2036</v>
      </c>
      <c r="G2291" t="s">
        <v>67</v>
      </c>
      <c r="H2291" t="s">
        <v>30</v>
      </c>
      <c r="I2291" t="s">
        <v>30</v>
      </c>
      <c r="J2291" t="s">
        <v>31</v>
      </c>
      <c r="K2291" t="s">
        <v>32</v>
      </c>
      <c r="L2291" t="s">
        <v>32</v>
      </c>
      <c r="M2291" t="s">
        <v>33</v>
      </c>
      <c r="N2291" t="s">
        <v>33</v>
      </c>
      <c r="O2291" t="s">
        <v>33</v>
      </c>
      <c r="P2291" t="s">
        <v>213</v>
      </c>
      <c r="Q2291" t="s">
        <v>214</v>
      </c>
      <c r="R2291" t="s">
        <v>353</v>
      </c>
      <c r="S2291" t="s">
        <v>30</v>
      </c>
      <c r="T2291" t="s">
        <v>2052</v>
      </c>
      <c r="U2291" t="s">
        <v>2053</v>
      </c>
      <c r="V2291" t="s">
        <v>40</v>
      </c>
      <c r="W2291" s="1">
        <v>183900</v>
      </c>
    </row>
    <row r="2292" spans="1:23" x14ac:dyDescent="0.2">
      <c r="A2292" t="s">
        <v>23</v>
      </c>
      <c r="B2292" t="s">
        <v>1108</v>
      </c>
      <c r="C2292" t="s">
        <v>1893</v>
      </c>
      <c r="D2292" t="s">
        <v>1962</v>
      </c>
      <c r="E2292" t="s">
        <v>2035</v>
      </c>
      <c r="F2292" t="s">
        <v>2036</v>
      </c>
      <c r="G2292" t="s">
        <v>67</v>
      </c>
      <c r="H2292" t="s">
        <v>30</v>
      </c>
      <c r="I2292" t="s">
        <v>30</v>
      </c>
      <c r="J2292" t="s">
        <v>31</v>
      </c>
      <c r="K2292" t="s">
        <v>32</v>
      </c>
      <c r="L2292" t="s">
        <v>32</v>
      </c>
      <c r="M2292" t="s">
        <v>33</v>
      </c>
      <c r="N2292" t="s">
        <v>33</v>
      </c>
      <c r="O2292" t="s">
        <v>33</v>
      </c>
      <c r="P2292" t="s">
        <v>213</v>
      </c>
      <c r="Q2292" t="s">
        <v>214</v>
      </c>
      <c r="S2292" t="s">
        <v>30</v>
      </c>
      <c r="T2292" t="s">
        <v>2054</v>
      </c>
      <c r="U2292" t="s">
        <v>2055</v>
      </c>
      <c r="V2292" t="s">
        <v>39</v>
      </c>
      <c r="W2292" s="1">
        <v>2</v>
      </c>
    </row>
    <row r="2293" spans="1:23" x14ac:dyDescent="0.2">
      <c r="A2293" t="s">
        <v>23</v>
      </c>
      <c r="B2293" t="s">
        <v>1108</v>
      </c>
      <c r="C2293" t="s">
        <v>1893</v>
      </c>
      <c r="D2293" t="s">
        <v>1962</v>
      </c>
      <c r="E2293" t="s">
        <v>2035</v>
      </c>
      <c r="F2293" t="s">
        <v>2036</v>
      </c>
      <c r="G2293" t="s">
        <v>67</v>
      </c>
      <c r="H2293" t="s">
        <v>30</v>
      </c>
      <c r="I2293" t="s">
        <v>30</v>
      </c>
      <c r="J2293" t="s">
        <v>31</v>
      </c>
      <c r="K2293" t="s">
        <v>32</v>
      </c>
      <c r="L2293" t="s">
        <v>32</v>
      </c>
      <c r="M2293" t="s">
        <v>33</v>
      </c>
      <c r="N2293" t="s">
        <v>33</v>
      </c>
      <c r="O2293" t="s">
        <v>33</v>
      </c>
      <c r="P2293" t="s">
        <v>213</v>
      </c>
      <c r="Q2293" t="s">
        <v>214</v>
      </c>
      <c r="S2293" t="s">
        <v>30</v>
      </c>
      <c r="T2293" t="s">
        <v>2054</v>
      </c>
      <c r="U2293" t="s">
        <v>2055</v>
      </c>
      <c r="V2293" t="s">
        <v>40</v>
      </c>
      <c r="W2293" s="1">
        <v>753200</v>
      </c>
    </row>
    <row r="2294" spans="1:23" x14ac:dyDescent="0.2">
      <c r="A2294" t="s">
        <v>23</v>
      </c>
      <c r="B2294" t="s">
        <v>1108</v>
      </c>
      <c r="C2294" t="s">
        <v>1893</v>
      </c>
      <c r="D2294" t="s">
        <v>1962</v>
      </c>
      <c r="E2294" t="s">
        <v>2035</v>
      </c>
      <c r="F2294" t="s">
        <v>2036</v>
      </c>
      <c r="G2294" t="s">
        <v>67</v>
      </c>
      <c r="H2294" t="s">
        <v>30</v>
      </c>
      <c r="I2294" t="s">
        <v>30</v>
      </c>
      <c r="J2294" t="s">
        <v>31</v>
      </c>
      <c r="K2294" t="s">
        <v>32</v>
      </c>
      <c r="L2294" t="s">
        <v>32</v>
      </c>
      <c r="M2294" t="s">
        <v>33</v>
      </c>
      <c r="P2294" t="s">
        <v>34</v>
      </c>
      <c r="Q2294" t="s">
        <v>35</v>
      </c>
      <c r="R2294" t="s">
        <v>353</v>
      </c>
      <c r="S2294" t="s">
        <v>52</v>
      </c>
      <c r="T2294" t="s">
        <v>2052</v>
      </c>
      <c r="U2294" t="s">
        <v>2056</v>
      </c>
      <c r="V2294" t="s">
        <v>39</v>
      </c>
      <c r="W2294" s="1">
        <v>0</v>
      </c>
    </row>
    <row r="2295" spans="1:23" x14ac:dyDescent="0.2">
      <c r="A2295" t="s">
        <v>23</v>
      </c>
      <c r="B2295" t="s">
        <v>1108</v>
      </c>
      <c r="C2295" t="s">
        <v>1893</v>
      </c>
      <c r="D2295" t="s">
        <v>1962</v>
      </c>
      <c r="E2295" t="s">
        <v>2035</v>
      </c>
      <c r="F2295" t="s">
        <v>2036</v>
      </c>
      <c r="G2295" t="s">
        <v>67</v>
      </c>
      <c r="H2295" t="s">
        <v>30</v>
      </c>
      <c r="I2295" t="s">
        <v>30</v>
      </c>
      <c r="J2295" t="s">
        <v>31</v>
      </c>
      <c r="K2295" t="s">
        <v>32</v>
      </c>
      <c r="L2295" t="s">
        <v>32</v>
      </c>
      <c r="M2295" t="s">
        <v>33</v>
      </c>
      <c r="P2295" t="s">
        <v>34</v>
      </c>
      <c r="Q2295" t="s">
        <v>35</v>
      </c>
      <c r="R2295" t="s">
        <v>353</v>
      </c>
      <c r="S2295" t="s">
        <v>52</v>
      </c>
      <c r="T2295" t="s">
        <v>2052</v>
      </c>
      <c r="U2295" t="s">
        <v>2056</v>
      </c>
      <c r="V2295" t="s">
        <v>40</v>
      </c>
      <c r="W2295" s="1">
        <v>183900</v>
      </c>
    </row>
    <row r="2296" spans="1:23" x14ac:dyDescent="0.2">
      <c r="A2296" t="s">
        <v>23</v>
      </c>
      <c r="B2296" t="s">
        <v>1108</v>
      </c>
      <c r="C2296" t="s">
        <v>1893</v>
      </c>
      <c r="D2296" t="s">
        <v>1962</v>
      </c>
      <c r="E2296" t="s">
        <v>2035</v>
      </c>
      <c r="F2296" t="s">
        <v>2036</v>
      </c>
      <c r="G2296" t="s">
        <v>67</v>
      </c>
      <c r="H2296" t="s">
        <v>30</v>
      </c>
      <c r="I2296" t="s">
        <v>30</v>
      </c>
      <c r="J2296" t="s">
        <v>31</v>
      </c>
      <c r="K2296" t="s">
        <v>32</v>
      </c>
      <c r="L2296" t="s">
        <v>32</v>
      </c>
      <c r="M2296" t="s">
        <v>33</v>
      </c>
      <c r="P2296" t="s">
        <v>34</v>
      </c>
      <c r="Q2296" t="s">
        <v>35</v>
      </c>
      <c r="S2296" t="s">
        <v>52</v>
      </c>
      <c r="T2296" t="s">
        <v>2057</v>
      </c>
      <c r="U2296" t="s">
        <v>2058</v>
      </c>
      <c r="V2296" t="s">
        <v>39</v>
      </c>
      <c r="W2296" s="1">
        <v>0</v>
      </c>
    </row>
    <row r="2297" spans="1:23" x14ac:dyDescent="0.2">
      <c r="A2297" t="s">
        <v>23</v>
      </c>
      <c r="B2297" t="s">
        <v>1108</v>
      </c>
      <c r="C2297" t="s">
        <v>1893</v>
      </c>
      <c r="D2297" t="s">
        <v>1962</v>
      </c>
      <c r="E2297" t="s">
        <v>2035</v>
      </c>
      <c r="F2297" t="s">
        <v>2036</v>
      </c>
      <c r="G2297" t="s">
        <v>67</v>
      </c>
      <c r="H2297" t="s">
        <v>30</v>
      </c>
      <c r="I2297" t="s">
        <v>30</v>
      </c>
      <c r="J2297" t="s">
        <v>31</v>
      </c>
      <c r="K2297" t="s">
        <v>32</v>
      </c>
      <c r="L2297" t="s">
        <v>32</v>
      </c>
      <c r="M2297" t="s">
        <v>33</v>
      </c>
      <c r="P2297" t="s">
        <v>34</v>
      </c>
      <c r="Q2297" t="s">
        <v>35</v>
      </c>
      <c r="S2297" t="s">
        <v>52</v>
      </c>
      <c r="T2297" t="s">
        <v>2057</v>
      </c>
      <c r="U2297" t="s">
        <v>2058</v>
      </c>
      <c r="V2297" t="s">
        <v>40</v>
      </c>
      <c r="W2297" s="1">
        <v>1777800</v>
      </c>
    </row>
    <row r="2298" spans="1:23" x14ac:dyDescent="0.2">
      <c r="A2298" t="s">
        <v>23</v>
      </c>
      <c r="B2298" t="s">
        <v>1108</v>
      </c>
      <c r="C2298" t="s">
        <v>1893</v>
      </c>
      <c r="D2298" t="s">
        <v>1962</v>
      </c>
      <c r="E2298" t="s">
        <v>2035</v>
      </c>
      <c r="F2298" t="s">
        <v>2036</v>
      </c>
      <c r="G2298" t="s">
        <v>67</v>
      </c>
      <c r="H2298" t="s">
        <v>30</v>
      </c>
      <c r="I2298" t="s">
        <v>30</v>
      </c>
      <c r="J2298" t="s">
        <v>41</v>
      </c>
      <c r="K2298" t="s">
        <v>32</v>
      </c>
      <c r="L2298" t="s">
        <v>32</v>
      </c>
      <c r="M2298" t="s">
        <v>33</v>
      </c>
      <c r="N2298" t="s">
        <v>33</v>
      </c>
      <c r="O2298" t="s">
        <v>33</v>
      </c>
      <c r="P2298" t="s">
        <v>213</v>
      </c>
      <c r="Q2298" t="s">
        <v>214</v>
      </c>
      <c r="R2298" t="s">
        <v>58</v>
      </c>
      <c r="S2298" t="s">
        <v>30</v>
      </c>
      <c r="T2298" t="s">
        <v>713</v>
      </c>
      <c r="U2298" t="s">
        <v>2059</v>
      </c>
      <c r="V2298" t="s">
        <v>39</v>
      </c>
      <c r="W2298" s="1">
        <v>2</v>
      </c>
    </row>
    <row r="2299" spans="1:23" x14ac:dyDescent="0.2">
      <c r="A2299" t="s">
        <v>23</v>
      </c>
      <c r="B2299" t="s">
        <v>1108</v>
      </c>
      <c r="C2299" t="s">
        <v>1893</v>
      </c>
      <c r="D2299" t="s">
        <v>1962</v>
      </c>
      <c r="E2299" t="s">
        <v>2035</v>
      </c>
      <c r="F2299" t="s">
        <v>2036</v>
      </c>
      <c r="G2299" t="s">
        <v>67</v>
      </c>
      <c r="H2299" t="s">
        <v>30</v>
      </c>
      <c r="I2299" t="s">
        <v>30</v>
      </c>
      <c r="J2299" t="s">
        <v>41</v>
      </c>
      <c r="K2299" t="s">
        <v>32</v>
      </c>
      <c r="L2299" t="s">
        <v>32</v>
      </c>
      <c r="M2299" t="s">
        <v>33</v>
      </c>
      <c r="N2299" t="s">
        <v>33</v>
      </c>
      <c r="O2299" t="s">
        <v>33</v>
      </c>
      <c r="P2299" t="s">
        <v>213</v>
      </c>
      <c r="Q2299" t="s">
        <v>214</v>
      </c>
      <c r="R2299" t="s">
        <v>58</v>
      </c>
      <c r="S2299" t="s">
        <v>30</v>
      </c>
      <c r="T2299" t="s">
        <v>713</v>
      </c>
      <c r="U2299" t="s">
        <v>2059</v>
      </c>
      <c r="V2299" t="s">
        <v>40</v>
      </c>
      <c r="W2299" s="1">
        <v>2299800</v>
      </c>
    </row>
    <row r="2300" spans="1:23" x14ac:dyDescent="0.2">
      <c r="A2300" t="s">
        <v>23</v>
      </c>
      <c r="B2300" t="s">
        <v>1108</v>
      </c>
      <c r="C2300" t="s">
        <v>1893</v>
      </c>
      <c r="D2300" t="s">
        <v>1962</v>
      </c>
      <c r="E2300" t="s">
        <v>2035</v>
      </c>
      <c r="F2300" t="s">
        <v>2036</v>
      </c>
      <c r="G2300" t="s">
        <v>89</v>
      </c>
      <c r="H2300" t="s">
        <v>30</v>
      </c>
      <c r="I2300" t="s">
        <v>30</v>
      </c>
      <c r="J2300" t="s">
        <v>41</v>
      </c>
      <c r="K2300" t="s">
        <v>32</v>
      </c>
      <c r="L2300" t="s">
        <v>32</v>
      </c>
      <c r="M2300" t="s">
        <v>33</v>
      </c>
      <c r="N2300" t="s">
        <v>33</v>
      </c>
      <c r="O2300" t="s">
        <v>33</v>
      </c>
      <c r="P2300" t="s">
        <v>34</v>
      </c>
      <c r="Q2300" t="s">
        <v>35</v>
      </c>
      <c r="S2300" t="s">
        <v>30</v>
      </c>
      <c r="T2300" t="s">
        <v>2060</v>
      </c>
      <c r="U2300" t="s">
        <v>2061</v>
      </c>
      <c r="V2300" t="s">
        <v>39</v>
      </c>
      <c r="W2300" s="1">
        <v>5</v>
      </c>
    </row>
    <row r="2301" spans="1:23" x14ac:dyDescent="0.2">
      <c r="A2301" t="s">
        <v>23</v>
      </c>
      <c r="B2301" t="s">
        <v>1108</v>
      </c>
      <c r="C2301" t="s">
        <v>1893</v>
      </c>
      <c r="D2301" t="s">
        <v>1962</v>
      </c>
      <c r="E2301" t="s">
        <v>2035</v>
      </c>
      <c r="F2301" t="s">
        <v>2036</v>
      </c>
      <c r="G2301" t="s">
        <v>89</v>
      </c>
      <c r="H2301" t="s">
        <v>30</v>
      </c>
      <c r="I2301" t="s">
        <v>30</v>
      </c>
      <c r="J2301" t="s">
        <v>41</v>
      </c>
      <c r="K2301" t="s">
        <v>32</v>
      </c>
      <c r="L2301" t="s">
        <v>32</v>
      </c>
      <c r="M2301" t="s">
        <v>33</v>
      </c>
      <c r="N2301" t="s">
        <v>33</v>
      </c>
      <c r="O2301" t="s">
        <v>33</v>
      </c>
      <c r="P2301" t="s">
        <v>34</v>
      </c>
      <c r="Q2301" t="s">
        <v>35</v>
      </c>
      <c r="S2301" t="s">
        <v>30</v>
      </c>
      <c r="T2301" t="s">
        <v>2060</v>
      </c>
      <c r="U2301" t="s">
        <v>2061</v>
      </c>
      <c r="V2301" t="s">
        <v>40</v>
      </c>
      <c r="W2301" s="1">
        <v>7349500</v>
      </c>
    </row>
    <row r="2302" spans="1:23" x14ac:dyDescent="0.2">
      <c r="A2302" t="s">
        <v>23</v>
      </c>
      <c r="B2302" t="s">
        <v>1108</v>
      </c>
      <c r="C2302" t="s">
        <v>1893</v>
      </c>
      <c r="D2302" t="s">
        <v>1962</v>
      </c>
      <c r="E2302" t="s">
        <v>2035</v>
      </c>
      <c r="F2302" t="s">
        <v>2036</v>
      </c>
      <c r="G2302" t="s">
        <v>89</v>
      </c>
      <c r="H2302" t="s">
        <v>30</v>
      </c>
      <c r="I2302" t="s">
        <v>30</v>
      </c>
      <c r="J2302" t="s">
        <v>41</v>
      </c>
      <c r="K2302" t="s">
        <v>32</v>
      </c>
      <c r="L2302" t="s">
        <v>32</v>
      </c>
      <c r="M2302" t="s">
        <v>33</v>
      </c>
      <c r="N2302" t="s">
        <v>33</v>
      </c>
      <c r="O2302" t="s">
        <v>33</v>
      </c>
      <c r="P2302" t="s">
        <v>34</v>
      </c>
      <c r="Q2302" t="s">
        <v>35</v>
      </c>
      <c r="S2302" t="s">
        <v>30</v>
      </c>
      <c r="T2302" t="s">
        <v>2062</v>
      </c>
      <c r="U2302" t="s">
        <v>2063</v>
      </c>
      <c r="V2302" t="s">
        <v>39</v>
      </c>
      <c r="W2302" s="1">
        <v>2</v>
      </c>
    </row>
    <row r="2303" spans="1:23" x14ac:dyDescent="0.2">
      <c r="A2303" t="s">
        <v>23</v>
      </c>
      <c r="B2303" t="s">
        <v>1108</v>
      </c>
      <c r="C2303" t="s">
        <v>1893</v>
      </c>
      <c r="D2303" t="s">
        <v>1962</v>
      </c>
      <c r="E2303" t="s">
        <v>2035</v>
      </c>
      <c r="F2303" t="s">
        <v>2036</v>
      </c>
      <c r="G2303" t="s">
        <v>89</v>
      </c>
      <c r="H2303" t="s">
        <v>30</v>
      </c>
      <c r="I2303" t="s">
        <v>30</v>
      </c>
      <c r="J2303" t="s">
        <v>41</v>
      </c>
      <c r="K2303" t="s">
        <v>32</v>
      </c>
      <c r="L2303" t="s">
        <v>32</v>
      </c>
      <c r="M2303" t="s">
        <v>33</v>
      </c>
      <c r="N2303" t="s">
        <v>33</v>
      </c>
      <c r="O2303" t="s">
        <v>33</v>
      </c>
      <c r="P2303" t="s">
        <v>34</v>
      </c>
      <c r="Q2303" t="s">
        <v>35</v>
      </c>
      <c r="S2303" t="s">
        <v>30</v>
      </c>
      <c r="T2303" t="s">
        <v>2062</v>
      </c>
      <c r="U2303" t="s">
        <v>2063</v>
      </c>
      <c r="V2303" t="s">
        <v>40</v>
      </c>
      <c r="W2303" s="1">
        <v>2998000</v>
      </c>
    </row>
    <row r="2304" spans="1:23" x14ac:dyDescent="0.2">
      <c r="A2304" t="s">
        <v>23</v>
      </c>
      <c r="B2304" t="s">
        <v>1108</v>
      </c>
      <c r="C2304" t="s">
        <v>1893</v>
      </c>
      <c r="D2304" t="s">
        <v>1962</v>
      </c>
      <c r="E2304" t="s">
        <v>2035</v>
      </c>
      <c r="F2304" t="s">
        <v>2036</v>
      </c>
      <c r="G2304" t="s">
        <v>89</v>
      </c>
      <c r="H2304" t="s">
        <v>30</v>
      </c>
      <c r="I2304" t="s">
        <v>30</v>
      </c>
      <c r="J2304" t="s">
        <v>41</v>
      </c>
      <c r="K2304" t="s">
        <v>32</v>
      </c>
      <c r="L2304" t="s">
        <v>32</v>
      </c>
      <c r="M2304" t="s">
        <v>33</v>
      </c>
      <c r="P2304" t="s">
        <v>34</v>
      </c>
      <c r="Q2304" t="s">
        <v>35</v>
      </c>
      <c r="R2304" t="s">
        <v>162</v>
      </c>
      <c r="S2304" t="s">
        <v>30</v>
      </c>
      <c r="T2304" t="s">
        <v>2064</v>
      </c>
      <c r="U2304" t="s">
        <v>2065</v>
      </c>
      <c r="V2304" t="s">
        <v>39</v>
      </c>
      <c r="W2304" s="1">
        <v>1</v>
      </c>
    </row>
    <row r="2305" spans="1:23" x14ac:dyDescent="0.2">
      <c r="A2305" t="s">
        <v>23</v>
      </c>
      <c r="B2305" t="s">
        <v>1108</v>
      </c>
      <c r="C2305" t="s">
        <v>1893</v>
      </c>
      <c r="D2305" t="s">
        <v>1962</v>
      </c>
      <c r="E2305" t="s">
        <v>2035</v>
      </c>
      <c r="F2305" t="s">
        <v>2036</v>
      </c>
      <c r="G2305" t="s">
        <v>89</v>
      </c>
      <c r="H2305" t="s">
        <v>30</v>
      </c>
      <c r="I2305" t="s">
        <v>30</v>
      </c>
      <c r="J2305" t="s">
        <v>41</v>
      </c>
      <c r="K2305" t="s">
        <v>32</v>
      </c>
      <c r="L2305" t="s">
        <v>32</v>
      </c>
      <c r="M2305" t="s">
        <v>33</v>
      </c>
      <c r="P2305" t="s">
        <v>34</v>
      </c>
      <c r="Q2305" t="s">
        <v>35</v>
      </c>
      <c r="R2305" t="s">
        <v>162</v>
      </c>
      <c r="S2305" t="s">
        <v>30</v>
      </c>
      <c r="T2305" t="s">
        <v>2064</v>
      </c>
      <c r="U2305" t="s">
        <v>2065</v>
      </c>
      <c r="V2305" t="s">
        <v>40</v>
      </c>
      <c r="W2305" s="1">
        <v>4599000</v>
      </c>
    </row>
    <row r="2306" spans="1:23" x14ac:dyDescent="0.2">
      <c r="A2306" t="s">
        <v>23</v>
      </c>
      <c r="B2306" t="s">
        <v>1108</v>
      </c>
      <c r="C2306" t="s">
        <v>1893</v>
      </c>
      <c r="D2306" t="s">
        <v>1962</v>
      </c>
      <c r="E2306" t="s">
        <v>2035</v>
      </c>
      <c r="F2306" t="s">
        <v>2036</v>
      </c>
      <c r="G2306" t="s">
        <v>89</v>
      </c>
      <c r="H2306" t="s">
        <v>30</v>
      </c>
      <c r="I2306" t="s">
        <v>30</v>
      </c>
      <c r="J2306" t="s">
        <v>41</v>
      </c>
      <c r="K2306" t="s">
        <v>32</v>
      </c>
      <c r="L2306" t="s">
        <v>32</v>
      </c>
      <c r="M2306" t="s">
        <v>33</v>
      </c>
      <c r="P2306" t="s">
        <v>34</v>
      </c>
      <c r="Q2306" t="s">
        <v>35</v>
      </c>
      <c r="S2306" t="s">
        <v>52</v>
      </c>
      <c r="T2306" t="s">
        <v>2060</v>
      </c>
      <c r="U2306" t="s">
        <v>2066</v>
      </c>
      <c r="V2306" t="s">
        <v>39</v>
      </c>
      <c r="W2306" s="1">
        <v>0</v>
      </c>
    </row>
    <row r="2307" spans="1:23" x14ac:dyDescent="0.2">
      <c r="A2307" t="s">
        <v>23</v>
      </c>
      <c r="B2307" t="s">
        <v>1108</v>
      </c>
      <c r="C2307" t="s">
        <v>1893</v>
      </c>
      <c r="D2307" t="s">
        <v>1962</v>
      </c>
      <c r="E2307" t="s">
        <v>2035</v>
      </c>
      <c r="F2307" t="s">
        <v>2036</v>
      </c>
      <c r="G2307" t="s">
        <v>89</v>
      </c>
      <c r="H2307" t="s">
        <v>30</v>
      </c>
      <c r="I2307" t="s">
        <v>30</v>
      </c>
      <c r="J2307" t="s">
        <v>41</v>
      </c>
      <c r="K2307" t="s">
        <v>32</v>
      </c>
      <c r="L2307" t="s">
        <v>32</v>
      </c>
      <c r="M2307" t="s">
        <v>33</v>
      </c>
      <c r="P2307" t="s">
        <v>34</v>
      </c>
      <c r="Q2307" t="s">
        <v>35</v>
      </c>
      <c r="S2307" t="s">
        <v>52</v>
      </c>
      <c r="T2307" t="s">
        <v>2060</v>
      </c>
      <c r="U2307" t="s">
        <v>2066</v>
      </c>
      <c r="V2307" t="s">
        <v>40</v>
      </c>
      <c r="W2307" s="1">
        <v>7349500</v>
      </c>
    </row>
    <row r="2308" spans="1:23" x14ac:dyDescent="0.2">
      <c r="A2308" t="s">
        <v>23</v>
      </c>
      <c r="B2308" t="s">
        <v>1108</v>
      </c>
      <c r="C2308" t="s">
        <v>1893</v>
      </c>
      <c r="D2308" t="s">
        <v>1962</v>
      </c>
      <c r="E2308" t="s">
        <v>2035</v>
      </c>
      <c r="F2308" t="s">
        <v>2036</v>
      </c>
      <c r="G2308" t="s">
        <v>106</v>
      </c>
      <c r="H2308" t="s">
        <v>30</v>
      </c>
      <c r="I2308" t="s">
        <v>30</v>
      </c>
      <c r="J2308" t="s">
        <v>41</v>
      </c>
      <c r="K2308" t="s">
        <v>32</v>
      </c>
      <c r="L2308" t="s">
        <v>32</v>
      </c>
      <c r="M2308" t="s">
        <v>33</v>
      </c>
      <c r="N2308" t="s">
        <v>33</v>
      </c>
      <c r="O2308" t="s">
        <v>33</v>
      </c>
      <c r="P2308" t="s">
        <v>34</v>
      </c>
      <c r="Q2308" t="s">
        <v>35</v>
      </c>
      <c r="R2308" t="s">
        <v>1843</v>
      </c>
      <c r="S2308" t="s">
        <v>30</v>
      </c>
      <c r="T2308" t="s">
        <v>2067</v>
      </c>
      <c r="U2308" t="s">
        <v>2068</v>
      </c>
      <c r="V2308" t="s">
        <v>39</v>
      </c>
      <c r="W2308" s="1">
        <v>4</v>
      </c>
    </row>
    <row r="2309" spans="1:23" x14ac:dyDescent="0.2">
      <c r="A2309" t="s">
        <v>23</v>
      </c>
      <c r="B2309" t="s">
        <v>1108</v>
      </c>
      <c r="C2309" t="s">
        <v>1893</v>
      </c>
      <c r="D2309" t="s">
        <v>1962</v>
      </c>
      <c r="E2309" t="s">
        <v>2035</v>
      </c>
      <c r="F2309" t="s">
        <v>2036</v>
      </c>
      <c r="G2309" t="s">
        <v>106</v>
      </c>
      <c r="H2309" t="s">
        <v>30</v>
      </c>
      <c r="I2309" t="s">
        <v>30</v>
      </c>
      <c r="J2309" t="s">
        <v>41</v>
      </c>
      <c r="K2309" t="s">
        <v>32</v>
      </c>
      <c r="L2309" t="s">
        <v>32</v>
      </c>
      <c r="M2309" t="s">
        <v>33</v>
      </c>
      <c r="N2309" t="s">
        <v>33</v>
      </c>
      <c r="O2309" t="s">
        <v>33</v>
      </c>
      <c r="P2309" t="s">
        <v>34</v>
      </c>
      <c r="Q2309" t="s">
        <v>35</v>
      </c>
      <c r="R2309" t="s">
        <v>1843</v>
      </c>
      <c r="S2309" t="s">
        <v>30</v>
      </c>
      <c r="T2309" t="s">
        <v>2067</v>
      </c>
      <c r="U2309" t="s">
        <v>2068</v>
      </c>
      <c r="V2309" t="s">
        <v>40</v>
      </c>
      <c r="W2309" s="1">
        <v>4586400</v>
      </c>
    </row>
    <row r="2310" spans="1:23" x14ac:dyDescent="0.2">
      <c r="A2310" t="s">
        <v>23</v>
      </c>
      <c r="B2310" t="s">
        <v>1108</v>
      </c>
      <c r="C2310" t="s">
        <v>1893</v>
      </c>
      <c r="D2310" t="s">
        <v>1962</v>
      </c>
      <c r="E2310" t="s">
        <v>2035</v>
      </c>
      <c r="F2310" t="s">
        <v>2036</v>
      </c>
      <c r="G2310" t="s">
        <v>119</v>
      </c>
      <c r="H2310" t="s">
        <v>30</v>
      </c>
      <c r="I2310" t="s">
        <v>52</v>
      </c>
      <c r="J2310" t="s">
        <v>31</v>
      </c>
      <c r="K2310" t="s">
        <v>32</v>
      </c>
      <c r="L2310" t="s">
        <v>32</v>
      </c>
      <c r="M2310" t="s">
        <v>33</v>
      </c>
      <c r="N2310" t="s">
        <v>33</v>
      </c>
      <c r="O2310" t="s">
        <v>33</v>
      </c>
      <c r="P2310" t="s">
        <v>213</v>
      </c>
      <c r="Q2310" t="s">
        <v>214</v>
      </c>
      <c r="R2310" t="s">
        <v>58</v>
      </c>
      <c r="S2310" t="s">
        <v>30</v>
      </c>
      <c r="T2310" t="s">
        <v>2069</v>
      </c>
      <c r="U2310" t="s">
        <v>2070</v>
      </c>
      <c r="V2310" t="s">
        <v>39</v>
      </c>
      <c r="W2310" s="1">
        <v>2</v>
      </c>
    </row>
    <row r="2311" spans="1:23" x14ac:dyDescent="0.2">
      <c r="A2311" t="s">
        <v>23</v>
      </c>
      <c r="B2311" t="s">
        <v>1108</v>
      </c>
      <c r="C2311" t="s">
        <v>1893</v>
      </c>
      <c r="D2311" t="s">
        <v>1962</v>
      </c>
      <c r="E2311" t="s">
        <v>2035</v>
      </c>
      <c r="F2311" t="s">
        <v>2036</v>
      </c>
      <c r="G2311" t="s">
        <v>119</v>
      </c>
      <c r="H2311" t="s">
        <v>30</v>
      </c>
      <c r="I2311" t="s">
        <v>52</v>
      </c>
      <c r="J2311" t="s">
        <v>31</v>
      </c>
      <c r="K2311" t="s">
        <v>32</v>
      </c>
      <c r="L2311" t="s">
        <v>32</v>
      </c>
      <c r="M2311" t="s">
        <v>33</v>
      </c>
      <c r="N2311" t="s">
        <v>33</v>
      </c>
      <c r="O2311" t="s">
        <v>33</v>
      </c>
      <c r="P2311" t="s">
        <v>213</v>
      </c>
      <c r="Q2311" t="s">
        <v>214</v>
      </c>
      <c r="R2311" t="s">
        <v>58</v>
      </c>
      <c r="S2311" t="s">
        <v>30</v>
      </c>
      <c r="T2311" t="s">
        <v>2069</v>
      </c>
      <c r="U2311" t="s">
        <v>2070</v>
      </c>
      <c r="V2311" t="s">
        <v>40</v>
      </c>
      <c r="W2311" s="1">
        <v>2139800</v>
      </c>
    </row>
    <row r="2312" spans="1:23" x14ac:dyDescent="0.2">
      <c r="A2312" t="s">
        <v>23</v>
      </c>
      <c r="B2312" t="s">
        <v>1108</v>
      </c>
      <c r="C2312" t="s">
        <v>1893</v>
      </c>
      <c r="D2312" t="s">
        <v>1962</v>
      </c>
      <c r="E2312" t="s">
        <v>2035</v>
      </c>
      <c r="F2312" t="s">
        <v>2036</v>
      </c>
      <c r="G2312" t="s">
        <v>119</v>
      </c>
      <c r="H2312" t="s">
        <v>30</v>
      </c>
      <c r="I2312" t="s">
        <v>52</v>
      </c>
      <c r="J2312" t="s">
        <v>31</v>
      </c>
      <c r="K2312" t="s">
        <v>32</v>
      </c>
      <c r="L2312" t="s">
        <v>32</v>
      </c>
      <c r="M2312" t="s">
        <v>33</v>
      </c>
      <c r="N2312" t="s">
        <v>33</v>
      </c>
      <c r="O2312" t="s">
        <v>33</v>
      </c>
      <c r="P2312" t="s">
        <v>213</v>
      </c>
      <c r="Q2312" t="s">
        <v>214</v>
      </c>
      <c r="S2312" t="s">
        <v>30</v>
      </c>
      <c r="T2312" t="s">
        <v>2071</v>
      </c>
      <c r="U2312" t="s">
        <v>2072</v>
      </c>
      <c r="V2312" t="s">
        <v>39</v>
      </c>
      <c r="W2312" s="1">
        <v>2</v>
      </c>
    </row>
    <row r="2313" spans="1:23" x14ac:dyDescent="0.2">
      <c r="A2313" t="s">
        <v>23</v>
      </c>
      <c r="B2313" t="s">
        <v>1108</v>
      </c>
      <c r="C2313" t="s">
        <v>1893</v>
      </c>
      <c r="D2313" t="s">
        <v>1962</v>
      </c>
      <c r="E2313" t="s">
        <v>2035</v>
      </c>
      <c r="F2313" t="s">
        <v>2036</v>
      </c>
      <c r="G2313" t="s">
        <v>119</v>
      </c>
      <c r="H2313" t="s">
        <v>30</v>
      </c>
      <c r="I2313" t="s">
        <v>52</v>
      </c>
      <c r="J2313" t="s">
        <v>31</v>
      </c>
      <c r="K2313" t="s">
        <v>32</v>
      </c>
      <c r="L2313" t="s">
        <v>32</v>
      </c>
      <c r="M2313" t="s">
        <v>33</v>
      </c>
      <c r="N2313" t="s">
        <v>33</v>
      </c>
      <c r="O2313" t="s">
        <v>33</v>
      </c>
      <c r="P2313" t="s">
        <v>213</v>
      </c>
      <c r="Q2313" t="s">
        <v>214</v>
      </c>
      <c r="S2313" t="s">
        <v>30</v>
      </c>
      <c r="T2313" t="s">
        <v>2071</v>
      </c>
      <c r="U2313" t="s">
        <v>2072</v>
      </c>
      <c r="V2313" t="s">
        <v>40</v>
      </c>
      <c r="W2313" s="1">
        <v>1399800</v>
      </c>
    </row>
    <row r="2314" spans="1:23" x14ac:dyDescent="0.2">
      <c r="A2314" t="s">
        <v>23</v>
      </c>
      <c r="B2314" t="s">
        <v>1108</v>
      </c>
      <c r="C2314" t="s">
        <v>1893</v>
      </c>
      <c r="D2314" t="s">
        <v>1962</v>
      </c>
      <c r="E2314" t="s">
        <v>2035</v>
      </c>
      <c r="F2314" t="s">
        <v>2036</v>
      </c>
      <c r="G2314" t="s">
        <v>119</v>
      </c>
      <c r="H2314" t="s">
        <v>30</v>
      </c>
      <c r="I2314" t="s">
        <v>52</v>
      </c>
      <c r="J2314" t="s">
        <v>31</v>
      </c>
      <c r="K2314" t="s">
        <v>32</v>
      </c>
      <c r="L2314" t="s">
        <v>32</v>
      </c>
      <c r="M2314" t="s">
        <v>33</v>
      </c>
      <c r="N2314" t="s">
        <v>33</v>
      </c>
      <c r="O2314" t="s">
        <v>33</v>
      </c>
      <c r="P2314" t="s">
        <v>34</v>
      </c>
      <c r="Q2314" t="s">
        <v>35</v>
      </c>
      <c r="R2314" t="s">
        <v>151</v>
      </c>
      <c r="S2314" t="s">
        <v>30</v>
      </c>
      <c r="T2314" t="s">
        <v>2073</v>
      </c>
      <c r="U2314" t="s">
        <v>2074</v>
      </c>
      <c r="V2314" t="s">
        <v>39</v>
      </c>
      <c r="W2314" s="1">
        <v>1</v>
      </c>
    </row>
    <row r="2315" spans="1:23" x14ac:dyDescent="0.2">
      <c r="A2315" t="s">
        <v>23</v>
      </c>
      <c r="B2315" t="s">
        <v>1108</v>
      </c>
      <c r="C2315" t="s">
        <v>1893</v>
      </c>
      <c r="D2315" t="s">
        <v>1962</v>
      </c>
      <c r="E2315" t="s">
        <v>2035</v>
      </c>
      <c r="F2315" t="s">
        <v>2036</v>
      </c>
      <c r="G2315" t="s">
        <v>119</v>
      </c>
      <c r="H2315" t="s">
        <v>30</v>
      </c>
      <c r="I2315" t="s">
        <v>52</v>
      </c>
      <c r="J2315" t="s">
        <v>31</v>
      </c>
      <c r="K2315" t="s">
        <v>32</v>
      </c>
      <c r="L2315" t="s">
        <v>32</v>
      </c>
      <c r="M2315" t="s">
        <v>33</v>
      </c>
      <c r="N2315" t="s">
        <v>33</v>
      </c>
      <c r="O2315" t="s">
        <v>33</v>
      </c>
      <c r="P2315" t="s">
        <v>34</v>
      </c>
      <c r="Q2315" t="s">
        <v>35</v>
      </c>
      <c r="R2315" t="s">
        <v>151</v>
      </c>
      <c r="S2315" t="s">
        <v>30</v>
      </c>
      <c r="T2315" t="s">
        <v>2073</v>
      </c>
      <c r="U2315" t="s">
        <v>2074</v>
      </c>
      <c r="V2315" t="s">
        <v>40</v>
      </c>
      <c r="W2315" s="1">
        <v>429000</v>
      </c>
    </row>
    <row r="2316" spans="1:23" x14ac:dyDescent="0.2">
      <c r="A2316" t="s">
        <v>23</v>
      </c>
      <c r="B2316" t="s">
        <v>1108</v>
      </c>
      <c r="C2316" t="s">
        <v>1893</v>
      </c>
      <c r="D2316" t="s">
        <v>1962</v>
      </c>
      <c r="E2316" t="s">
        <v>2035</v>
      </c>
      <c r="F2316" t="s">
        <v>2036</v>
      </c>
      <c r="G2316" t="s">
        <v>119</v>
      </c>
      <c r="H2316" t="s">
        <v>30</v>
      </c>
      <c r="I2316" t="s">
        <v>52</v>
      </c>
      <c r="J2316" t="s">
        <v>31</v>
      </c>
      <c r="K2316" t="s">
        <v>32</v>
      </c>
      <c r="L2316" t="s">
        <v>32</v>
      </c>
      <c r="M2316" t="s">
        <v>33</v>
      </c>
      <c r="P2316" t="s">
        <v>34</v>
      </c>
      <c r="Q2316" t="s">
        <v>35</v>
      </c>
      <c r="R2316" t="s">
        <v>151</v>
      </c>
      <c r="S2316" t="s">
        <v>30</v>
      </c>
      <c r="T2316" t="s">
        <v>2073</v>
      </c>
      <c r="U2316" t="s">
        <v>2074</v>
      </c>
      <c r="V2316" t="s">
        <v>39</v>
      </c>
      <c r="W2316" s="1">
        <v>1</v>
      </c>
    </row>
    <row r="2317" spans="1:23" x14ac:dyDescent="0.2">
      <c r="A2317" t="s">
        <v>23</v>
      </c>
      <c r="B2317" t="s">
        <v>1108</v>
      </c>
      <c r="C2317" t="s">
        <v>1893</v>
      </c>
      <c r="D2317" t="s">
        <v>1962</v>
      </c>
      <c r="E2317" t="s">
        <v>2035</v>
      </c>
      <c r="F2317" t="s">
        <v>2036</v>
      </c>
      <c r="G2317" t="s">
        <v>119</v>
      </c>
      <c r="H2317" t="s">
        <v>30</v>
      </c>
      <c r="I2317" t="s">
        <v>52</v>
      </c>
      <c r="J2317" t="s">
        <v>31</v>
      </c>
      <c r="K2317" t="s">
        <v>32</v>
      </c>
      <c r="L2317" t="s">
        <v>32</v>
      </c>
      <c r="M2317" t="s">
        <v>33</v>
      </c>
      <c r="P2317" t="s">
        <v>34</v>
      </c>
      <c r="Q2317" t="s">
        <v>35</v>
      </c>
      <c r="R2317" t="s">
        <v>151</v>
      </c>
      <c r="S2317" t="s">
        <v>30</v>
      </c>
      <c r="T2317" t="s">
        <v>2073</v>
      </c>
      <c r="U2317" t="s">
        <v>2074</v>
      </c>
      <c r="V2317" t="s">
        <v>40</v>
      </c>
      <c r="W2317" s="1">
        <v>429000</v>
      </c>
    </row>
    <row r="2318" spans="1:23" x14ac:dyDescent="0.2">
      <c r="A2318" t="s">
        <v>23</v>
      </c>
      <c r="B2318" t="s">
        <v>1108</v>
      </c>
      <c r="C2318" t="s">
        <v>1893</v>
      </c>
      <c r="D2318" t="s">
        <v>1962</v>
      </c>
      <c r="E2318" t="s">
        <v>2035</v>
      </c>
      <c r="F2318" t="s">
        <v>2036</v>
      </c>
      <c r="G2318" t="s">
        <v>119</v>
      </c>
      <c r="H2318" t="s">
        <v>30</v>
      </c>
      <c r="I2318" t="s">
        <v>52</v>
      </c>
      <c r="J2318" t="s">
        <v>41</v>
      </c>
      <c r="K2318" t="s">
        <v>32</v>
      </c>
      <c r="L2318" t="s">
        <v>32</v>
      </c>
      <c r="M2318" t="s">
        <v>33</v>
      </c>
      <c r="N2318" t="s">
        <v>33</v>
      </c>
      <c r="O2318" t="s">
        <v>33</v>
      </c>
      <c r="P2318" t="s">
        <v>34</v>
      </c>
      <c r="Q2318" t="s">
        <v>35</v>
      </c>
      <c r="R2318" t="s">
        <v>124</v>
      </c>
      <c r="S2318" t="s">
        <v>30</v>
      </c>
      <c r="T2318" t="s">
        <v>2075</v>
      </c>
      <c r="U2318" t="s">
        <v>2076</v>
      </c>
      <c r="V2318" t="s">
        <v>39</v>
      </c>
      <c r="W2318" s="1">
        <v>2</v>
      </c>
    </row>
    <row r="2319" spans="1:23" x14ac:dyDescent="0.2">
      <c r="A2319" t="s">
        <v>23</v>
      </c>
      <c r="B2319" t="s">
        <v>1108</v>
      </c>
      <c r="C2319" t="s">
        <v>1893</v>
      </c>
      <c r="D2319" t="s">
        <v>1962</v>
      </c>
      <c r="E2319" t="s">
        <v>2035</v>
      </c>
      <c r="F2319" t="s">
        <v>2036</v>
      </c>
      <c r="G2319" t="s">
        <v>119</v>
      </c>
      <c r="H2319" t="s">
        <v>30</v>
      </c>
      <c r="I2319" t="s">
        <v>52</v>
      </c>
      <c r="J2319" t="s">
        <v>41</v>
      </c>
      <c r="K2319" t="s">
        <v>32</v>
      </c>
      <c r="L2319" t="s">
        <v>32</v>
      </c>
      <c r="M2319" t="s">
        <v>33</v>
      </c>
      <c r="N2319" t="s">
        <v>33</v>
      </c>
      <c r="O2319" t="s">
        <v>33</v>
      </c>
      <c r="P2319" t="s">
        <v>34</v>
      </c>
      <c r="Q2319" t="s">
        <v>35</v>
      </c>
      <c r="R2319" t="s">
        <v>124</v>
      </c>
      <c r="S2319" t="s">
        <v>30</v>
      </c>
      <c r="T2319" t="s">
        <v>2075</v>
      </c>
      <c r="U2319" t="s">
        <v>2076</v>
      </c>
      <c r="V2319" t="s">
        <v>40</v>
      </c>
      <c r="W2319" s="1">
        <v>1184000</v>
      </c>
    </row>
    <row r="2320" spans="1:23" x14ac:dyDescent="0.2">
      <c r="A2320" t="s">
        <v>23</v>
      </c>
      <c r="B2320" t="s">
        <v>1108</v>
      </c>
      <c r="C2320" t="s">
        <v>1893</v>
      </c>
      <c r="D2320" t="s">
        <v>1962</v>
      </c>
      <c r="E2320" t="s">
        <v>2035</v>
      </c>
      <c r="F2320" t="s">
        <v>2036</v>
      </c>
      <c r="G2320" t="s">
        <v>139</v>
      </c>
      <c r="H2320" t="s">
        <v>30</v>
      </c>
      <c r="I2320" t="s">
        <v>30</v>
      </c>
      <c r="J2320" t="s">
        <v>31</v>
      </c>
      <c r="K2320" t="s">
        <v>32</v>
      </c>
      <c r="L2320" t="s">
        <v>32</v>
      </c>
      <c r="M2320" t="s">
        <v>33</v>
      </c>
      <c r="N2320" t="s">
        <v>33</v>
      </c>
      <c r="O2320" t="s">
        <v>33</v>
      </c>
      <c r="P2320" t="s">
        <v>34</v>
      </c>
      <c r="Q2320" t="s">
        <v>35</v>
      </c>
      <c r="S2320" t="s">
        <v>30</v>
      </c>
      <c r="T2320" t="s">
        <v>2077</v>
      </c>
      <c r="U2320" t="s">
        <v>2078</v>
      </c>
      <c r="V2320" t="s">
        <v>39</v>
      </c>
      <c r="W2320" s="1">
        <v>2</v>
      </c>
    </row>
    <row r="2321" spans="1:23" x14ac:dyDescent="0.2">
      <c r="A2321" t="s">
        <v>23</v>
      </c>
      <c r="B2321" t="s">
        <v>1108</v>
      </c>
      <c r="C2321" t="s">
        <v>1893</v>
      </c>
      <c r="D2321" t="s">
        <v>1962</v>
      </c>
      <c r="E2321" t="s">
        <v>2035</v>
      </c>
      <c r="F2321" t="s">
        <v>2036</v>
      </c>
      <c r="G2321" t="s">
        <v>139</v>
      </c>
      <c r="H2321" t="s">
        <v>30</v>
      </c>
      <c r="I2321" t="s">
        <v>30</v>
      </c>
      <c r="J2321" t="s">
        <v>31</v>
      </c>
      <c r="K2321" t="s">
        <v>32</v>
      </c>
      <c r="L2321" t="s">
        <v>32</v>
      </c>
      <c r="M2321" t="s">
        <v>33</v>
      </c>
      <c r="N2321" t="s">
        <v>33</v>
      </c>
      <c r="O2321" t="s">
        <v>33</v>
      </c>
      <c r="P2321" t="s">
        <v>34</v>
      </c>
      <c r="Q2321" t="s">
        <v>35</v>
      </c>
      <c r="S2321" t="s">
        <v>30</v>
      </c>
      <c r="T2321" t="s">
        <v>2077</v>
      </c>
      <c r="U2321" t="s">
        <v>2078</v>
      </c>
      <c r="V2321" t="s">
        <v>40</v>
      </c>
      <c r="W2321" s="1">
        <v>1599800</v>
      </c>
    </row>
    <row r="2322" spans="1:23" x14ac:dyDescent="0.2">
      <c r="A2322" t="s">
        <v>23</v>
      </c>
      <c r="B2322" t="s">
        <v>1108</v>
      </c>
      <c r="C2322" t="s">
        <v>1893</v>
      </c>
      <c r="D2322" t="s">
        <v>1962</v>
      </c>
      <c r="E2322" t="s">
        <v>2079</v>
      </c>
      <c r="F2322" t="s">
        <v>2080</v>
      </c>
      <c r="G2322" t="s">
        <v>29</v>
      </c>
      <c r="H2322" t="s">
        <v>30</v>
      </c>
      <c r="I2322" t="s">
        <v>30</v>
      </c>
      <c r="J2322" t="s">
        <v>31</v>
      </c>
      <c r="K2322" t="s">
        <v>32</v>
      </c>
      <c r="L2322" t="s">
        <v>32</v>
      </c>
      <c r="M2322" t="s">
        <v>33</v>
      </c>
      <c r="N2322" t="s">
        <v>33</v>
      </c>
      <c r="O2322" t="s">
        <v>33</v>
      </c>
      <c r="P2322" t="s">
        <v>34</v>
      </c>
      <c r="Q2322" t="s">
        <v>35</v>
      </c>
      <c r="R2322" t="s">
        <v>36</v>
      </c>
      <c r="S2322" t="s">
        <v>30</v>
      </c>
      <c r="T2322" t="s">
        <v>2081</v>
      </c>
      <c r="U2322" t="s">
        <v>2082</v>
      </c>
      <c r="V2322" t="s">
        <v>39</v>
      </c>
      <c r="W2322" s="1">
        <v>2</v>
      </c>
    </row>
    <row r="2323" spans="1:23" x14ac:dyDescent="0.2">
      <c r="A2323" t="s">
        <v>23</v>
      </c>
      <c r="B2323" t="s">
        <v>1108</v>
      </c>
      <c r="C2323" t="s">
        <v>1893</v>
      </c>
      <c r="D2323" t="s">
        <v>1962</v>
      </c>
      <c r="E2323" t="s">
        <v>2079</v>
      </c>
      <c r="F2323" t="s">
        <v>2080</v>
      </c>
      <c r="G2323" t="s">
        <v>29</v>
      </c>
      <c r="H2323" t="s">
        <v>30</v>
      </c>
      <c r="I2323" t="s">
        <v>30</v>
      </c>
      <c r="J2323" t="s">
        <v>31</v>
      </c>
      <c r="K2323" t="s">
        <v>32</v>
      </c>
      <c r="L2323" t="s">
        <v>32</v>
      </c>
      <c r="M2323" t="s">
        <v>33</v>
      </c>
      <c r="N2323" t="s">
        <v>33</v>
      </c>
      <c r="O2323" t="s">
        <v>33</v>
      </c>
      <c r="P2323" t="s">
        <v>34</v>
      </c>
      <c r="Q2323" t="s">
        <v>35</v>
      </c>
      <c r="R2323" t="s">
        <v>36</v>
      </c>
      <c r="S2323" t="s">
        <v>30</v>
      </c>
      <c r="T2323" t="s">
        <v>2081</v>
      </c>
      <c r="U2323" t="s">
        <v>2082</v>
      </c>
      <c r="V2323" t="s">
        <v>40</v>
      </c>
      <c r="W2323" s="1">
        <v>2316200</v>
      </c>
    </row>
    <row r="2324" spans="1:23" x14ac:dyDescent="0.2">
      <c r="A2324" t="s">
        <v>23</v>
      </c>
      <c r="B2324" t="s">
        <v>1108</v>
      </c>
      <c r="C2324" t="s">
        <v>1893</v>
      </c>
      <c r="D2324" t="s">
        <v>1962</v>
      </c>
      <c r="E2324" t="s">
        <v>2079</v>
      </c>
      <c r="F2324" t="s">
        <v>2080</v>
      </c>
      <c r="G2324" t="s">
        <v>29</v>
      </c>
      <c r="H2324" t="s">
        <v>30</v>
      </c>
      <c r="I2324" t="s">
        <v>30</v>
      </c>
      <c r="J2324" t="s">
        <v>31</v>
      </c>
      <c r="K2324" t="s">
        <v>32</v>
      </c>
      <c r="L2324" t="s">
        <v>32</v>
      </c>
      <c r="M2324" t="s">
        <v>33</v>
      </c>
      <c r="P2324" t="s">
        <v>34</v>
      </c>
      <c r="Q2324" t="s">
        <v>35</v>
      </c>
      <c r="R2324" t="s">
        <v>36</v>
      </c>
      <c r="S2324" t="s">
        <v>30</v>
      </c>
      <c r="T2324" t="s">
        <v>2081</v>
      </c>
      <c r="U2324" t="s">
        <v>2082</v>
      </c>
      <c r="V2324" t="s">
        <v>39</v>
      </c>
      <c r="W2324" s="1">
        <v>2</v>
      </c>
    </row>
    <row r="2325" spans="1:23" x14ac:dyDescent="0.2">
      <c r="A2325" t="s">
        <v>23</v>
      </c>
      <c r="B2325" t="s">
        <v>1108</v>
      </c>
      <c r="C2325" t="s">
        <v>1893</v>
      </c>
      <c r="D2325" t="s">
        <v>1962</v>
      </c>
      <c r="E2325" t="s">
        <v>2079</v>
      </c>
      <c r="F2325" t="s">
        <v>2080</v>
      </c>
      <c r="G2325" t="s">
        <v>29</v>
      </c>
      <c r="H2325" t="s">
        <v>30</v>
      </c>
      <c r="I2325" t="s">
        <v>30</v>
      </c>
      <c r="J2325" t="s">
        <v>31</v>
      </c>
      <c r="K2325" t="s">
        <v>32</v>
      </c>
      <c r="L2325" t="s">
        <v>32</v>
      </c>
      <c r="M2325" t="s">
        <v>33</v>
      </c>
      <c r="P2325" t="s">
        <v>34</v>
      </c>
      <c r="Q2325" t="s">
        <v>35</v>
      </c>
      <c r="R2325" t="s">
        <v>36</v>
      </c>
      <c r="S2325" t="s">
        <v>30</v>
      </c>
      <c r="T2325" t="s">
        <v>2081</v>
      </c>
      <c r="U2325" t="s">
        <v>2082</v>
      </c>
      <c r="V2325" t="s">
        <v>40</v>
      </c>
      <c r="W2325" s="1">
        <v>2316200</v>
      </c>
    </row>
    <row r="2326" spans="1:23" x14ac:dyDescent="0.2">
      <c r="A2326" t="s">
        <v>23</v>
      </c>
      <c r="B2326" t="s">
        <v>1108</v>
      </c>
      <c r="C2326" t="s">
        <v>1893</v>
      </c>
      <c r="D2326" t="s">
        <v>1962</v>
      </c>
      <c r="E2326" t="s">
        <v>2079</v>
      </c>
      <c r="F2326" t="s">
        <v>2080</v>
      </c>
      <c r="G2326" t="s">
        <v>64</v>
      </c>
      <c r="H2326" t="s">
        <v>30</v>
      </c>
      <c r="I2326" t="s">
        <v>52</v>
      </c>
      <c r="J2326" t="s">
        <v>128</v>
      </c>
      <c r="K2326" t="s">
        <v>135</v>
      </c>
      <c r="L2326" t="s">
        <v>32</v>
      </c>
      <c r="M2326" t="s">
        <v>33</v>
      </c>
      <c r="N2326" t="s">
        <v>33</v>
      </c>
      <c r="O2326" t="s">
        <v>33</v>
      </c>
      <c r="P2326" t="s">
        <v>34</v>
      </c>
      <c r="Q2326" t="s">
        <v>35</v>
      </c>
      <c r="R2326" t="s">
        <v>319</v>
      </c>
      <c r="S2326" t="s">
        <v>30</v>
      </c>
      <c r="T2326" t="s">
        <v>2083</v>
      </c>
      <c r="U2326" t="s">
        <v>2084</v>
      </c>
      <c r="V2326" t="s">
        <v>39</v>
      </c>
      <c r="W2326" s="1">
        <v>2</v>
      </c>
    </row>
    <row r="2327" spans="1:23" x14ac:dyDescent="0.2">
      <c r="A2327" t="s">
        <v>23</v>
      </c>
      <c r="B2327" t="s">
        <v>1108</v>
      </c>
      <c r="C2327" t="s">
        <v>1893</v>
      </c>
      <c r="D2327" t="s">
        <v>1962</v>
      </c>
      <c r="E2327" t="s">
        <v>2079</v>
      </c>
      <c r="F2327" t="s">
        <v>2080</v>
      </c>
      <c r="G2327" t="s">
        <v>64</v>
      </c>
      <c r="H2327" t="s">
        <v>30</v>
      </c>
      <c r="I2327" t="s">
        <v>52</v>
      </c>
      <c r="J2327" t="s">
        <v>128</v>
      </c>
      <c r="K2327" t="s">
        <v>135</v>
      </c>
      <c r="L2327" t="s">
        <v>32</v>
      </c>
      <c r="M2327" t="s">
        <v>33</v>
      </c>
      <c r="N2327" t="s">
        <v>33</v>
      </c>
      <c r="O2327" t="s">
        <v>33</v>
      </c>
      <c r="P2327" t="s">
        <v>34</v>
      </c>
      <c r="Q2327" t="s">
        <v>35</v>
      </c>
      <c r="R2327" t="s">
        <v>319</v>
      </c>
      <c r="S2327" t="s">
        <v>30</v>
      </c>
      <c r="T2327" t="s">
        <v>2083</v>
      </c>
      <c r="U2327" t="s">
        <v>2084</v>
      </c>
      <c r="V2327" t="s">
        <v>40</v>
      </c>
      <c r="W2327" s="1">
        <v>4710800</v>
      </c>
    </row>
    <row r="2328" spans="1:23" x14ac:dyDescent="0.2">
      <c r="A2328" t="s">
        <v>23</v>
      </c>
      <c r="B2328" t="s">
        <v>1108</v>
      </c>
      <c r="C2328" t="s">
        <v>1893</v>
      </c>
      <c r="D2328" t="s">
        <v>1962</v>
      </c>
      <c r="E2328" t="s">
        <v>2079</v>
      </c>
      <c r="F2328" t="s">
        <v>2080</v>
      </c>
      <c r="G2328" t="s">
        <v>64</v>
      </c>
      <c r="H2328" t="s">
        <v>30</v>
      </c>
      <c r="I2328" t="s">
        <v>52</v>
      </c>
      <c r="J2328" t="s">
        <v>41</v>
      </c>
      <c r="K2328" t="s">
        <v>32</v>
      </c>
      <c r="L2328" t="s">
        <v>32</v>
      </c>
      <c r="M2328" t="s">
        <v>33</v>
      </c>
      <c r="N2328" t="s">
        <v>33</v>
      </c>
      <c r="O2328" t="s">
        <v>33</v>
      </c>
      <c r="P2328" t="s">
        <v>34</v>
      </c>
      <c r="Q2328" t="s">
        <v>35</v>
      </c>
      <c r="R2328" t="s">
        <v>54</v>
      </c>
      <c r="S2328" t="s">
        <v>30</v>
      </c>
      <c r="T2328" t="s">
        <v>2085</v>
      </c>
      <c r="U2328" t="s">
        <v>2086</v>
      </c>
      <c r="V2328" t="s">
        <v>39</v>
      </c>
      <c r="W2328" s="1">
        <v>2</v>
      </c>
    </row>
    <row r="2329" spans="1:23" x14ac:dyDescent="0.2">
      <c r="A2329" t="s">
        <v>23</v>
      </c>
      <c r="B2329" t="s">
        <v>1108</v>
      </c>
      <c r="C2329" t="s">
        <v>1893</v>
      </c>
      <c r="D2329" t="s">
        <v>1962</v>
      </c>
      <c r="E2329" t="s">
        <v>2079</v>
      </c>
      <c r="F2329" t="s">
        <v>2080</v>
      </c>
      <c r="G2329" t="s">
        <v>64</v>
      </c>
      <c r="H2329" t="s">
        <v>30</v>
      </c>
      <c r="I2329" t="s">
        <v>52</v>
      </c>
      <c r="J2329" t="s">
        <v>41</v>
      </c>
      <c r="K2329" t="s">
        <v>32</v>
      </c>
      <c r="L2329" t="s">
        <v>32</v>
      </c>
      <c r="M2329" t="s">
        <v>33</v>
      </c>
      <c r="N2329" t="s">
        <v>33</v>
      </c>
      <c r="O2329" t="s">
        <v>33</v>
      </c>
      <c r="P2329" t="s">
        <v>34</v>
      </c>
      <c r="Q2329" t="s">
        <v>35</v>
      </c>
      <c r="R2329" t="s">
        <v>54</v>
      </c>
      <c r="S2329" t="s">
        <v>30</v>
      </c>
      <c r="T2329" t="s">
        <v>2085</v>
      </c>
      <c r="U2329" t="s">
        <v>2086</v>
      </c>
      <c r="V2329" t="s">
        <v>40</v>
      </c>
      <c r="W2329" s="1">
        <v>3398000</v>
      </c>
    </row>
    <row r="2330" spans="1:23" x14ac:dyDescent="0.2">
      <c r="A2330" t="s">
        <v>23</v>
      </c>
      <c r="B2330" t="s">
        <v>1108</v>
      </c>
      <c r="C2330" t="s">
        <v>1893</v>
      </c>
      <c r="D2330" t="s">
        <v>1962</v>
      </c>
      <c r="E2330" t="s">
        <v>2079</v>
      </c>
      <c r="F2330" t="s">
        <v>2080</v>
      </c>
      <c r="G2330" t="s">
        <v>64</v>
      </c>
      <c r="H2330" t="s">
        <v>30</v>
      </c>
      <c r="I2330" t="s">
        <v>52</v>
      </c>
      <c r="J2330" t="s">
        <v>41</v>
      </c>
      <c r="K2330" t="s">
        <v>32</v>
      </c>
      <c r="L2330" t="s">
        <v>32</v>
      </c>
      <c r="M2330" t="s">
        <v>33</v>
      </c>
      <c r="P2330" t="s">
        <v>34</v>
      </c>
      <c r="Q2330" t="s">
        <v>35</v>
      </c>
      <c r="R2330" t="s">
        <v>54</v>
      </c>
      <c r="S2330" t="s">
        <v>52</v>
      </c>
      <c r="T2330" t="s">
        <v>2085</v>
      </c>
      <c r="U2330" t="s">
        <v>2087</v>
      </c>
      <c r="V2330" t="s">
        <v>39</v>
      </c>
      <c r="W2330" s="1">
        <v>0</v>
      </c>
    </row>
    <row r="2331" spans="1:23" x14ac:dyDescent="0.2">
      <c r="A2331" t="s">
        <v>23</v>
      </c>
      <c r="B2331" t="s">
        <v>1108</v>
      </c>
      <c r="C2331" t="s">
        <v>1893</v>
      </c>
      <c r="D2331" t="s">
        <v>1962</v>
      </c>
      <c r="E2331" t="s">
        <v>2079</v>
      </c>
      <c r="F2331" t="s">
        <v>2080</v>
      </c>
      <c r="G2331" t="s">
        <v>64</v>
      </c>
      <c r="H2331" t="s">
        <v>30</v>
      </c>
      <c r="I2331" t="s">
        <v>52</v>
      </c>
      <c r="J2331" t="s">
        <v>41</v>
      </c>
      <c r="K2331" t="s">
        <v>32</v>
      </c>
      <c r="L2331" t="s">
        <v>32</v>
      </c>
      <c r="M2331" t="s">
        <v>33</v>
      </c>
      <c r="P2331" t="s">
        <v>34</v>
      </c>
      <c r="Q2331" t="s">
        <v>35</v>
      </c>
      <c r="R2331" t="s">
        <v>54</v>
      </c>
      <c r="S2331" t="s">
        <v>52</v>
      </c>
      <c r="T2331" t="s">
        <v>2085</v>
      </c>
      <c r="U2331" t="s">
        <v>2087</v>
      </c>
      <c r="V2331" t="s">
        <v>40</v>
      </c>
      <c r="W2331" s="1">
        <v>3398000</v>
      </c>
    </row>
    <row r="2332" spans="1:23" x14ac:dyDescent="0.2">
      <c r="A2332" t="s">
        <v>23</v>
      </c>
      <c r="B2332" t="s">
        <v>1108</v>
      </c>
      <c r="C2332" t="s">
        <v>1893</v>
      </c>
      <c r="D2332" t="s">
        <v>1962</v>
      </c>
      <c r="E2332" t="s">
        <v>2079</v>
      </c>
      <c r="F2332" t="s">
        <v>2080</v>
      </c>
      <c r="G2332" t="s">
        <v>67</v>
      </c>
      <c r="H2332" t="s">
        <v>30</v>
      </c>
      <c r="I2332" t="s">
        <v>30</v>
      </c>
      <c r="J2332" t="s">
        <v>128</v>
      </c>
      <c r="K2332" t="s">
        <v>135</v>
      </c>
      <c r="L2332" t="s">
        <v>332</v>
      </c>
      <c r="M2332" t="s">
        <v>33</v>
      </c>
      <c r="P2332" t="s">
        <v>34</v>
      </c>
      <c r="Q2332" t="s">
        <v>35</v>
      </c>
      <c r="R2332" t="s">
        <v>319</v>
      </c>
      <c r="S2332" t="s">
        <v>30</v>
      </c>
      <c r="T2332" t="s">
        <v>2083</v>
      </c>
      <c r="U2332" t="s">
        <v>2084</v>
      </c>
      <c r="V2332" t="s">
        <v>39</v>
      </c>
      <c r="W2332" s="1">
        <v>1</v>
      </c>
    </row>
    <row r="2333" spans="1:23" x14ac:dyDescent="0.2">
      <c r="A2333" t="s">
        <v>23</v>
      </c>
      <c r="B2333" t="s">
        <v>1108</v>
      </c>
      <c r="C2333" t="s">
        <v>1893</v>
      </c>
      <c r="D2333" t="s">
        <v>1962</v>
      </c>
      <c r="E2333" t="s">
        <v>2079</v>
      </c>
      <c r="F2333" t="s">
        <v>2080</v>
      </c>
      <c r="G2333" t="s">
        <v>67</v>
      </c>
      <c r="H2333" t="s">
        <v>30</v>
      </c>
      <c r="I2333" t="s">
        <v>30</v>
      </c>
      <c r="J2333" t="s">
        <v>128</v>
      </c>
      <c r="K2333" t="s">
        <v>135</v>
      </c>
      <c r="L2333" t="s">
        <v>332</v>
      </c>
      <c r="M2333" t="s">
        <v>33</v>
      </c>
      <c r="P2333" t="s">
        <v>34</v>
      </c>
      <c r="Q2333" t="s">
        <v>35</v>
      </c>
      <c r="R2333" t="s">
        <v>319</v>
      </c>
      <c r="S2333" t="s">
        <v>30</v>
      </c>
      <c r="T2333" t="s">
        <v>2083</v>
      </c>
      <c r="U2333" t="s">
        <v>2084</v>
      </c>
      <c r="V2333" t="s">
        <v>40</v>
      </c>
      <c r="W2333" s="1">
        <v>1880000</v>
      </c>
    </row>
    <row r="2334" spans="1:23" x14ac:dyDescent="0.2">
      <c r="A2334" t="s">
        <v>23</v>
      </c>
      <c r="B2334" t="s">
        <v>1108</v>
      </c>
      <c r="C2334" t="s">
        <v>1893</v>
      </c>
      <c r="D2334" t="s">
        <v>1962</v>
      </c>
      <c r="E2334" t="s">
        <v>2079</v>
      </c>
      <c r="F2334" t="s">
        <v>2080</v>
      </c>
      <c r="G2334" t="s">
        <v>67</v>
      </c>
      <c r="H2334" t="s">
        <v>30</v>
      </c>
      <c r="I2334" t="s">
        <v>30</v>
      </c>
      <c r="J2334" t="s">
        <v>41</v>
      </c>
      <c r="K2334" t="s">
        <v>32</v>
      </c>
      <c r="L2334" t="s">
        <v>32</v>
      </c>
      <c r="M2334" t="s">
        <v>33</v>
      </c>
      <c r="N2334" t="s">
        <v>33</v>
      </c>
      <c r="O2334" t="s">
        <v>33</v>
      </c>
      <c r="P2334" t="s">
        <v>34</v>
      </c>
      <c r="Q2334" t="s">
        <v>35</v>
      </c>
      <c r="S2334" t="s">
        <v>30</v>
      </c>
      <c r="T2334" t="s">
        <v>2088</v>
      </c>
      <c r="U2334" t="s">
        <v>2089</v>
      </c>
      <c r="V2334" t="s">
        <v>39</v>
      </c>
      <c r="W2334" s="1">
        <v>2</v>
      </c>
    </row>
    <row r="2335" spans="1:23" x14ac:dyDescent="0.2">
      <c r="A2335" t="s">
        <v>23</v>
      </c>
      <c r="B2335" t="s">
        <v>1108</v>
      </c>
      <c r="C2335" t="s">
        <v>1893</v>
      </c>
      <c r="D2335" t="s">
        <v>1962</v>
      </c>
      <c r="E2335" t="s">
        <v>2079</v>
      </c>
      <c r="F2335" t="s">
        <v>2080</v>
      </c>
      <c r="G2335" t="s">
        <v>67</v>
      </c>
      <c r="H2335" t="s">
        <v>30</v>
      </c>
      <c r="I2335" t="s">
        <v>30</v>
      </c>
      <c r="J2335" t="s">
        <v>41</v>
      </c>
      <c r="K2335" t="s">
        <v>32</v>
      </c>
      <c r="L2335" t="s">
        <v>32</v>
      </c>
      <c r="M2335" t="s">
        <v>33</v>
      </c>
      <c r="N2335" t="s">
        <v>33</v>
      </c>
      <c r="O2335" t="s">
        <v>33</v>
      </c>
      <c r="P2335" t="s">
        <v>34</v>
      </c>
      <c r="Q2335" t="s">
        <v>35</v>
      </c>
      <c r="S2335" t="s">
        <v>30</v>
      </c>
      <c r="T2335" t="s">
        <v>2088</v>
      </c>
      <c r="U2335" t="s">
        <v>2089</v>
      </c>
      <c r="V2335" t="s">
        <v>40</v>
      </c>
      <c r="W2335" s="1">
        <v>2316600</v>
      </c>
    </row>
    <row r="2336" spans="1:23" x14ac:dyDescent="0.2">
      <c r="A2336" t="s">
        <v>23</v>
      </c>
      <c r="B2336" t="s">
        <v>1108</v>
      </c>
      <c r="C2336" t="s">
        <v>1893</v>
      </c>
      <c r="D2336" t="s">
        <v>1962</v>
      </c>
      <c r="E2336" t="s">
        <v>2079</v>
      </c>
      <c r="F2336" t="s">
        <v>2080</v>
      </c>
      <c r="G2336" t="s">
        <v>106</v>
      </c>
      <c r="H2336" t="s">
        <v>30</v>
      </c>
      <c r="I2336" t="s">
        <v>30</v>
      </c>
      <c r="J2336" t="s">
        <v>31</v>
      </c>
      <c r="K2336" t="s">
        <v>32</v>
      </c>
      <c r="L2336" t="s">
        <v>32</v>
      </c>
      <c r="M2336" t="s">
        <v>33</v>
      </c>
      <c r="P2336" t="s">
        <v>34</v>
      </c>
      <c r="Q2336" t="s">
        <v>35</v>
      </c>
      <c r="R2336" t="s">
        <v>228</v>
      </c>
      <c r="S2336" t="s">
        <v>30</v>
      </c>
      <c r="T2336" t="s">
        <v>2090</v>
      </c>
      <c r="U2336" t="s">
        <v>2091</v>
      </c>
      <c r="V2336" t="s">
        <v>39</v>
      </c>
      <c r="W2336" s="1">
        <v>7</v>
      </c>
    </row>
    <row r="2337" spans="1:23" x14ac:dyDescent="0.2">
      <c r="A2337" t="s">
        <v>23</v>
      </c>
      <c r="B2337" t="s">
        <v>1108</v>
      </c>
      <c r="C2337" t="s">
        <v>1893</v>
      </c>
      <c r="D2337" t="s">
        <v>1962</v>
      </c>
      <c r="E2337" t="s">
        <v>2079</v>
      </c>
      <c r="F2337" t="s">
        <v>2080</v>
      </c>
      <c r="G2337" t="s">
        <v>106</v>
      </c>
      <c r="H2337" t="s">
        <v>30</v>
      </c>
      <c r="I2337" t="s">
        <v>30</v>
      </c>
      <c r="J2337" t="s">
        <v>31</v>
      </c>
      <c r="K2337" t="s">
        <v>32</v>
      </c>
      <c r="L2337" t="s">
        <v>32</v>
      </c>
      <c r="M2337" t="s">
        <v>33</v>
      </c>
      <c r="P2337" t="s">
        <v>34</v>
      </c>
      <c r="Q2337" t="s">
        <v>35</v>
      </c>
      <c r="R2337" t="s">
        <v>228</v>
      </c>
      <c r="S2337" t="s">
        <v>30</v>
      </c>
      <c r="T2337" t="s">
        <v>2090</v>
      </c>
      <c r="U2337" t="s">
        <v>2091</v>
      </c>
      <c r="V2337" t="s">
        <v>40</v>
      </c>
      <c r="W2337" s="1">
        <v>3588200</v>
      </c>
    </row>
    <row r="2338" spans="1:23" x14ac:dyDescent="0.2">
      <c r="A2338" t="s">
        <v>23</v>
      </c>
      <c r="B2338" t="s">
        <v>1108</v>
      </c>
      <c r="C2338" t="s">
        <v>1893</v>
      </c>
      <c r="D2338" t="s">
        <v>1962</v>
      </c>
      <c r="E2338" t="s">
        <v>2079</v>
      </c>
      <c r="F2338" t="s">
        <v>2080</v>
      </c>
      <c r="G2338" t="s">
        <v>106</v>
      </c>
      <c r="H2338" t="s">
        <v>30</v>
      </c>
      <c r="I2338" t="s">
        <v>30</v>
      </c>
      <c r="J2338" t="s">
        <v>41</v>
      </c>
      <c r="K2338" t="s">
        <v>32</v>
      </c>
      <c r="L2338" t="s">
        <v>32</v>
      </c>
      <c r="M2338" t="s">
        <v>33</v>
      </c>
      <c r="N2338" t="s">
        <v>33</v>
      </c>
      <c r="O2338" t="s">
        <v>33</v>
      </c>
      <c r="P2338" t="s">
        <v>34</v>
      </c>
      <c r="Q2338" t="s">
        <v>35</v>
      </c>
      <c r="R2338" t="s">
        <v>54</v>
      </c>
      <c r="S2338" t="s">
        <v>30</v>
      </c>
      <c r="T2338" t="s">
        <v>2092</v>
      </c>
      <c r="U2338" t="s">
        <v>2093</v>
      </c>
      <c r="V2338" t="s">
        <v>39</v>
      </c>
      <c r="W2338" s="1">
        <v>6</v>
      </c>
    </row>
    <row r="2339" spans="1:23" x14ac:dyDescent="0.2">
      <c r="A2339" t="s">
        <v>23</v>
      </c>
      <c r="B2339" t="s">
        <v>1108</v>
      </c>
      <c r="C2339" t="s">
        <v>1893</v>
      </c>
      <c r="D2339" t="s">
        <v>1962</v>
      </c>
      <c r="E2339" t="s">
        <v>2079</v>
      </c>
      <c r="F2339" t="s">
        <v>2080</v>
      </c>
      <c r="G2339" t="s">
        <v>106</v>
      </c>
      <c r="H2339" t="s">
        <v>30</v>
      </c>
      <c r="I2339" t="s">
        <v>30</v>
      </c>
      <c r="J2339" t="s">
        <v>41</v>
      </c>
      <c r="K2339" t="s">
        <v>32</v>
      </c>
      <c r="L2339" t="s">
        <v>32</v>
      </c>
      <c r="M2339" t="s">
        <v>33</v>
      </c>
      <c r="N2339" t="s">
        <v>33</v>
      </c>
      <c r="O2339" t="s">
        <v>33</v>
      </c>
      <c r="P2339" t="s">
        <v>34</v>
      </c>
      <c r="Q2339" t="s">
        <v>35</v>
      </c>
      <c r="R2339" t="s">
        <v>54</v>
      </c>
      <c r="S2339" t="s">
        <v>30</v>
      </c>
      <c r="T2339" t="s">
        <v>2092</v>
      </c>
      <c r="U2339" t="s">
        <v>2093</v>
      </c>
      <c r="V2339" t="s">
        <v>40</v>
      </c>
      <c r="W2339" s="1">
        <v>11699400</v>
      </c>
    </row>
    <row r="2340" spans="1:23" x14ac:dyDescent="0.2">
      <c r="A2340" t="s">
        <v>23</v>
      </c>
      <c r="B2340" t="s">
        <v>1108</v>
      </c>
      <c r="C2340" t="s">
        <v>1893</v>
      </c>
      <c r="D2340" t="s">
        <v>1962</v>
      </c>
      <c r="E2340" t="s">
        <v>2079</v>
      </c>
      <c r="F2340" t="s">
        <v>2080</v>
      </c>
      <c r="G2340" t="s">
        <v>139</v>
      </c>
      <c r="H2340" t="s">
        <v>30</v>
      </c>
      <c r="I2340" t="s">
        <v>30</v>
      </c>
      <c r="J2340" t="s">
        <v>31</v>
      </c>
      <c r="K2340" t="s">
        <v>32</v>
      </c>
      <c r="L2340" t="s">
        <v>32</v>
      </c>
      <c r="M2340" t="s">
        <v>33</v>
      </c>
      <c r="P2340" t="s">
        <v>34</v>
      </c>
      <c r="Q2340" t="s">
        <v>35</v>
      </c>
      <c r="S2340" t="s">
        <v>30</v>
      </c>
      <c r="T2340" t="s">
        <v>2094</v>
      </c>
      <c r="U2340" t="s">
        <v>2095</v>
      </c>
      <c r="V2340" t="s">
        <v>39</v>
      </c>
      <c r="W2340" s="1">
        <v>2</v>
      </c>
    </row>
    <row r="2341" spans="1:23" x14ac:dyDescent="0.2">
      <c r="A2341" t="s">
        <v>23</v>
      </c>
      <c r="B2341" t="s">
        <v>1108</v>
      </c>
      <c r="C2341" t="s">
        <v>1893</v>
      </c>
      <c r="D2341" t="s">
        <v>1962</v>
      </c>
      <c r="E2341" t="s">
        <v>2079</v>
      </c>
      <c r="F2341" t="s">
        <v>2080</v>
      </c>
      <c r="G2341" t="s">
        <v>139</v>
      </c>
      <c r="H2341" t="s">
        <v>30</v>
      </c>
      <c r="I2341" t="s">
        <v>30</v>
      </c>
      <c r="J2341" t="s">
        <v>31</v>
      </c>
      <c r="K2341" t="s">
        <v>32</v>
      </c>
      <c r="L2341" t="s">
        <v>32</v>
      </c>
      <c r="M2341" t="s">
        <v>33</v>
      </c>
      <c r="P2341" t="s">
        <v>34</v>
      </c>
      <c r="Q2341" t="s">
        <v>35</v>
      </c>
      <c r="S2341" t="s">
        <v>30</v>
      </c>
      <c r="T2341" t="s">
        <v>2094</v>
      </c>
      <c r="U2341" t="s">
        <v>2095</v>
      </c>
      <c r="V2341" t="s">
        <v>40</v>
      </c>
      <c r="W2341" s="1">
        <v>798400</v>
      </c>
    </row>
    <row r="2342" spans="1:23" x14ac:dyDescent="0.2">
      <c r="A2342" t="s">
        <v>2096</v>
      </c>
      <c r="B2342" t="s">
        <v>2097</v>
      </c>
      <c r="C2342" t="s">
        <v>2098</v>
      </c>
      <c r="D2342" t="s">
        <v>2099</v>
      </c>
      <c r="E2342" t="s">
        <v>2100</v>
      </c>
      <c r="F2342" t="s">
        <v>2101</v>
      </c>
      <c r="G2342" t="s">
        <v>106</v>
      </c>
      <c r="H2342" t="s">
        <v>30</v>
      </c>
      <c r="I2342" t="s">
        <v>30</v>
      </c>
      <c r="J2342" t="s">
        <v>128</v>
      </c>
      <c r="K2342" t="s">
        <v>181</v>
      </c>
      <c r="L2342" t="s">
        <v>332</v>
      </c>
      <c r="M2342" t="s">
        <v>33</v>
      </c>
      <c r="N2342" t="s">
        <v>33</v>
      </c>
      <c r="O2342" t="s">
        <v>33</v>
      </c>
      <c r="P2342" t="s">
        <v>34</v>
      </c>
      <c r="Q2342" t="s">
        <v>35</v>
      </c>
      <c r="S2342" t="s">
        <v>30</v>
      </c>
      <c r="T2342" t="s">
        <v>2102</v>
      </c>
      <c r="U2342" t="s">
        <v>2103</v>
      </c>
      <c r="V2342" t="s">
        <v>39</v>
      </c>
      <c r="W2342" s="1">
        <v>4</v>
      </c>
    </row>
    <row r="2343" spans="1:23" x14ac:dyDescent="0.2">
      <c r="A2343" t="s">
        <v>2096</v>
      </c>
      <c r="B2343" t="s">
        <v>2097</v>
      </c>
      <c r="C2343" t="s">
        <v>2098</v>
      </c>
      <c r="D2343" t="s">
        <v>2099</v>
      </c>
      <c r="E2343" t="s">
        <v>2100</v>
      </c>
      <c r="F2343" t="s">
        <v>2101</v>
      </c>
      <c r="G2343" t="s">
        <v>106</v>
      </c>
      <c r="H2343" t="s">
        <v>30</v>
      </c>
      <c r="I2343" t="s">
        <v>30</v>
      </c>
      <c r="J2343" t="s">
        <v>128</v>
      </c>
      <c r="K2343" t="s">
        <v>181</v>
      </c>
      <c r="L2343" t="s">
        <v>332</v>
      </c>
      <c r="M2343" t="s">
        <v>33</v>
      </c>
      <c r="N2343" t="s">
        <v>33</v>
      </c>
      <c r="O2343" t="s">
        <v>33</v>
      </c>
      <c r="P2343" t="s">
        <v>34</v>
      </c>
      <c r="Q2343" t="s">
        <v>35</v>
      </c>
      <c r="S2343" t="s">
        <v>30</v>
      </c>
      <c r="T2343" t="s">
        <v>2102</v>
      </c>
      <c r="U2343" t="s">
        <v>2103</v>
      </c>
      <c r="V2343" t="s">
        <v>40</v>
      </c>
      <c r="W2343" s="1">
        <v>2600000</v>
      </c>
    </row>
    <row r="2344" spans="1:23" x14ac:dyDescent="0.2">
      <c r="A2344" t="s">
        <v>2096</v>
      </c>
      <c r="B2344" t="s">
        <v>2097</v>
      </c>
      <c r="C2344" t="s">
        <v>2098</v>
      </c>
      <c r="D2344" t="s">
        <v>2099</v>
      </c>
      <c r="E2344" t="s">
        <v>2100</v>
      </c>
      <c r="F2344" t="s">
        <v>2101</v>
      </c>
      <c r="G2344" t="s">
        <v>106</v>
      </c>
      <c r="H2344" t="s">
        <v>30</v>
      </c>
      <c r="I2344" t="s">
        <v>30</v>
      </c>
      <c r="J2344" t="s">
        <v>128</v>
      </c>
      <c r="K2344" t="s">
        <v>181</v>
      </c>
      <c r="L2344" t="s">
        <v>332</v>
      </c>
      <c r="M2344" t="s">
        <v>33</v>
      </c>
      <c r="N2344" t="s">
        <v>169</v>
      </c>
      <c r="O2344" t="s">
        <v>169</v>
      </c>
      <c r="P2344" t="s">
        <v>34</v>
      </c>
      <c r="Q2344" t="s">
        <v>35</v>
      </c>
      <c r="S2344" t="s">
        <v>30</v>
      </c>
      <c r="T2344" t="s">
        <v>2102</v>
      </c>
      <c r="U2344" t="s">
        <v>2103</v>
      </c>
      <c r="V2344" t="s">
        <v>39</v>
      </c>
      <c r="W2344" s="1">
        <v>1</v>
      </c>
    </row>
    <row r="2345" spans="1:23" x14ac:dyDescent="0.2">
      <c r="A2345" t="s">
        <v>2096</v>
      </c>
      <c r="B2345" t="s">
        <v>2097</v>
      </c>
      <c r="C2345" t="s">
        <v>2098</v>
      </c>
      <c r="D2345" t="s">
        <v>2099</v>
      </c>
      <c r="E2345" t="s">
        <v>2100</v>
      </c>
      <c r="F2345" t="s">
        <v>2101</v>
      </c>
      <c r="G2345" t="s">
        <v>106</v>
      </c>
      <c r="H2345" t="s">
        <v>30</v>
      </c>
      <c r="I2345" t="s">
        <v>30</v>
      </c>
      <c r="J2345" t="s">
        <v>128</v>
      </c>
      <c r="K2345" t="s">
        <v>181</v>
      </c>
      <c r="L2345" t="s">
        <v>332</v>
      </c>
      <c r="M2345" t="s">
        <v>33</v>
      </c>
      <c r="N2345" t="s">
        <v>169</v>
      </c>
      <c r="O2345" t="s">
        <v>169</v>
      </c>
      <c r="P2345" t="s">
        <v>34</v>
      </c>
      <c r="Q2345" t="s">
        <v>35</v>
      </c>
      <c r="S2345" t="s">
        <v>30</v>
      </c>
      <c r="T2345" t="s">
        <v>2102</v>
      </c>
      <c r="U2345" t="s">
        <v>2103</v>
      </c>
      <c r="V2345" t="s">
        <v>40</v>
      </c>
      <c r="W2345" s="1">
        <v>650000</v>
      </c>
    </row>
    <row r="2346" spans="1:23" x14ac:dyDescent="0.2">
      <c r="A2346" t="s">
        <v>2096</v>
      </c>
      <c r="B2346" t="s">
        <v>2097</v>
      </c>
      <c r="C2346" t="s">
        <v>2098</v>
      </c>
      <c r="D2346" t="s">
        <v>2099</v>
      </c>
      <c r="E2346" t="s">
        <v>2100</v>
      </c>
      <c r="F2346" t="s">
        <v>2101</v>
      </c>
      <c r="G2346" t="s">
        <v>106</v>
      </c>
      <c r="H2346" t="s">
        <v>30</v>
      </c>
      <c r="I2346" t="s">
        <v>30</v>
      </c>
      <c r="J2346" t="s">
        <v>128</v>
      </c>
      <c r="K2346" t="s">
        <v>181</v>
      </c>
      <c r="L2346" t="s">
        <v>32</v>
      </c>
      <c r="M2346" t="s">
        <v>33</v>
      </c>
      <c r="N2346" t="s">
        <v>33</v>
      </c>
      <c r="O2346" t="s">
        <v>33</v>
      </c>
      <c r="P2346" t="s">
        <v>34</v>
      </c>
      <c r="Q2346" t="s">
        <v>35</v>
      </c>
      <c r="S2346" t="s">
        <v>30</v>
      </c>
      <c r="T2346" t="s">
        <v>2102</v>
      </c>
      <c r="U2346" t="s">
        <v>2103</v>
      </c>
      <c r="V2346" t="s">
        <v>39</v>
      </c>
      <c r="W2346" s="1">
        <v>4</v>
      </c>
    </row>
    <row r="2347" spans="1:23" x14ac:dyDescent="0.2">
      <c r="A2347" t="s">
        <v>2096</v>
      </c>
      <c r="B2347" t="s">
        <v>2097</v>
      </c>
      <c r="C2347" t="s">
        <v>2098</v>
      </c>
      <c r="D2347" t="s">
        <v>2099</v>
      </c>
      <c r="E2347" t="s">
        <v>2100</v>
      </c>
      <c r="F2347" t="s">
        <v>2101</v>
      </c>
      <c r="G2347" t="s">
        <v>106</v>
      </c>
      <c r="H2347" t="s">
        <v>30</v>
      </c>
      <c r="I2347" t="s">
        <v>30</v>
      </c>
      <c r="J2347" t="s">
        <v>128</v>
      </c>
      <c r="K2347" t="s">
        <v>181</v>
      </c>
      <c r="L2347" t="s">
        <v>32</v>
      </c>
      <c r="M2347" t="s">
        <v>33</v>
      </c>
      <c r="N2347" t="s">
        <v>33</v>
      </c>
      <c r="O2347" t="s">
        <v>33</v>
      </c>
      <c r="P2347" t="s">
        <v>34</v>
      </c>
      <c r="Q2347" t="s">
        <v>35</v>
      </c>
      <c r="S2347" t="s">
        <v>30</v>
      </c>
      <c r="T2347" t="s">
        <v>2102</v>
      </c>
      <c r="U2347" t="s">
        <v>2103</v>
      </c>
      <c r="V2347" t="s">
        <v>40</v>
      </c>
      <c r="W2347" s="1">
        <v>5480000</v>
      </c>
    </row>
    <row r="2348" spans="1:23" x14ac:dyDescent="0.2">
      <c r="A2348" t="s">
        <v>2096</v>
      </c>
      <c r="B2348" t="s">
        <v>2097</v>
      </c>
      <c r="C2348" t="s">
        <v>2098</v>
      </c>
      <c r="D2348" t="s">
        <v>2099</v>
      </c>
      <c r="E2348" t="s">
        <v>2100</v>
      </c>
      <c r="F2348" t="s">
        <v>2101</v>
      </c>
      <c r="G2348" t="s">
        <v>106</v>
      </c>
      <c r="H2348" t="s">
        <v>30</v>
      </c>
      <c r="I2348" t="s">
        <v>30</v>
      </c>
      <c r="J2348" t="s">
        <v>128</v>
      </c>
      <c r="K2348" t="s">
        <v>181</v>
      </c>
      <c r="L2348" t="s">
        <v>32</v>
      </c>
      <c r="M2348" t="s">
        <v>33</v>
      </c>
      <c r="N2348" t="s">
        <v>169</v>
      </c>
      <c r="O2348" t="s">
        <v>169</v>
      </c>
      <c r="P2348" t="s">
        <v>34</v>
      </c>
      <c r="Q2348" t="s">
        <v>35</v>
      </c>
      <c r="S2348" t="s">
        <v>30</v>
      </c>
      <c r="T2348" t="s">
        <v>2102</v>
      </c>
      <c r="U2348" t="s">
        <v>2103</v>
      </c>
      <c r="V2348" t="s">
        <v>39</v>
      </c>
      <c r="W2348" s="1">
        <v>1</v>
      </c>
    </row>
    <row r="2349" spans="1:23" x14ac:dyDescent="0.2">
      <c r="A2349" t="s">
        <v>2096</v>
      </c>
      <c r="B2349" t="s">
        <v>2097</v>
      </c>
      <c r="C2349" t="s">
        <v>2098</v>
      </c>
      <c r="D2349" t="s">
        <v>2099</v>
      </c>
      <c r="E2349" t="s">
        <v>2100</v>
      </c>
      <c r="F2349" t="s">
        <v>2101</v>
      </c>
      <c r="G2349" t="s">
        <v>106</v>
      </c>
      <c r="H2349" t="s">
        <v>30</v>
      </c>
      <c r="I2349" t="s">
        <v>30</v>
      </c>
      <c r="J2349" t="s">
        <v>128</v>
      </c>
      <c r="K2349" t="s">
        <v>181</v>
      </c>
      <c r="L2349" t="s">
        <v>32</v>
      </c>
      <c r="M2349" t="s">
        <v>33</v>
      </c>
      <c r="N2349" t="s">
        <v>169</v>
      </c>
      <c r="O2349" t="s">
        <v>169</v>
      </c>
      <c r="P2349" t="s">
        <v>34</v>
      </c>
      <c r="Q2349" t="s">
        <v>35</v>
      </c>
      <c r="S2349" t="s">
        <v>30</v>
      </c>
      <c r="T2349" t="s">
        <v>2102</v>
      </c>
      <c r="U2349" t="s">
        <v>2103</v>
      </c>
      <c r="V2349" t="s">
        <v>40</v>
      </c>
      <c r="W2349" s="1">
        <v>1370000</v>
      </c>
    </row>
    <row r="2350" spans="1:23" x14ac:dyDescent="0.2">
      <c r="A2350" t="s">
        <v>2096</v>
      </c>
      <c r="B2350" t="s">
        <v>2097</v>
      </c>
      <c r="C2350" t="s">
        <v>2098</v>
      </c>
      <c r="D2350" t="s">
        <v>2099</v>
      </c>
      <c r="E2350" t="s">
        <v>2100</v>
      </c>
      <c r="F2350" t="s">
        <v>2101</v>
      </c>
      <c r="G2350" t="s">
        <v>106</v>
      </c>
      <c r="H2350" t="s">
        <v>30</v>
      </c>
      <c r="I2350" t="s">
        <v>30</v>
      </c>
      <c r="J2350" t="s">
        <v>128</v>
      </c>
      <c r="K2350" t="s">
        <v>181</v>
      </c>
      <c r="L2350" t="s">
        <v>32</v>
      </c>
      <c r="M2350" t="s">
        <v>33</v>
      </c>
      <c r="P2350" t="s">
        <v>372</v>
      </c>
      <c r="Q2350" t="s">
        <v>373</v>
      </c>
      <c r="S2350" t="s">
        <v>30</v>
      </c>
      <c r="T2350" t="s">
        <v>2104</v>
      </c>
      <c r="U2350" t="s">
        <v>2105</v>
      </c>
      <c r="V2350" t="s">
        <v>39</v>
      </c>
      <c r="W2350" s="1">
        <v>5</v>
      </c>
    </row>
    <row r="2351" spans="1:23" x14ac:dyDescent="0.2">
      <c r="A2351" t="s">
        <v>2096</v>
      </c>
      <c r="B2351" t="s">
        <v>2097</v>
      </c>
      <c r="C2351" t="s">
        <v>2098</v>
      </c>
      <c r="D2351" t="s">
        <v>2099</v>
      </c>
      <c r="E2351" t="s">
        <v>2100</v>
      </c>
      <c r="F2351" t="s">
        <v>2101</v>
      </c>
      <c r="G2351" t="s">
        <v>106</v>
      </c>
      <c r="H2351" t="s">
        <v>30</v>
      </c>
      <c r="I2351" t="s">
        <v>30</v>
      </c>
      <c r="J2351" t="s">
        <v>128</v>
      </c>
      <c r="K2351" t="s">
        <v>181</v>
      </c>
      <c r="L2351" t="s">
        <v>32</v>
      </c>
      <c r="M2351" t="s">
        <v>33</v>
      </c>
      <c r="P2351" t="s">
        <v>372</v>
      </c>
      <c r="Q2351" t="s">
        <v>373</v>
      </c>
      <c r="S2351" t="s">
        <v>30</v>
      </c>
      <c r="T2351" t="s">
        <v>2104</v>
      </c>
      <c r="U2351" t="s">
        <v>2105</v>
      </c>
      <c r="V2351" t="s">
        <v>40</v>
      </c>
      <c r="W2351" s="1">
        <v>3200000</v>
      </c>
    </row>
    <row r="2352" spans="1:23" x14ac:dyDescent="0.2">
      <c r="A2352" t="s">
        <v>2096</v>
      </c>
      <c r="B2352" t="s">
        <v>2097</v>
      </c>
      <c r="C2352" t="s">
        <v>2098</v>
      </c>
      <c r="D2352" t="s">
        <v>2099</v>
      </c>
      <c r="E2352" t="s">
        <v>2100</v>
      </c>
      <c r="F2352" t="s">
        <v>2101</v>
      </c>
      <c r="G2352" t="s">
        <v>106</v>
      </c>
      <c r="H2352" t="s">
        <v>30</v>
      </c>
      <c r="I2352" t="s">
        <v>30</v>
      </c>
      <c r="J2352" t="s">
        <v>41</v>
      </c>
      <c r="K2352" t="s">
        <v>181</v>
      </c>
      <c r="L2352" t="s">
        <v>32</v>
      </c>
      <c r="M2352" t="s">
        <v>33</v>
      </c>
      <c r="P2352" t="s">
        <v>372</v>
      </c>
      <c r="Q2352" t="s">
        <v>373</v>
      </c>
      <c r="R2352" t="s">
        <v>294</v>
      </c>
      <c r="S2352" t="s">
        <v>30</v>
      </c>
      <c r="T2352" t="s">
        <v>2106</v>
      </c>
      <c r="U2352" t="s">
        <v>2107</v>
      </c>
      <c r="V2352" t="s">
        <v>39</v>
      </c>
      <c r="W2352" s="1">
        <v>1</v>
      </c>
    </row>
    <row r="2353" spans="1:23" x14ac:dyDescent="0.2">
      <c r="A2353" t="s">
        <v>2096</v>
      </c>
      <c r="B2353" t="s">
        <v>2097</v>
      </c>
      <c r="C2353" t="s">
        <v>2098</v>
      </c>
      <c r="D2353" t="s">
        <v>2099</v>
      </c>
      <c r="E2353" t="s">
        <v>2100</v>
      </c>
      <c r="F2353" t="s">
        <v>2101</v>
      </c>
      <c r="G2353" t="s">
        <v>106</v>
      </c>
      <c r="H2353" t="s">
        <v>30</v>
      </c>
      <c r="I2353" t="s">
        <v>30</v>
      </c>
      <c r="J2353" t="s">
        <v>41</v>
      </c>
      <c r="K2353" t="s">
        <v>181</v>
      </c>
      <c r="L2353" t="s">
        <v>32</v>
      </c>
      <c r="M2353" t="s">
        <v>33</v>
      </c>
      <c r="P2353" t="s">
        <v>372</v>
      </c>
      <c r="Q2353" t="s">
        <v>373</v>
      </c>
      <c r="R2353" t="s">
        <v>294</v>
      </c>
      <c r="S2353" t="s">
        <v>30</v>
      </c>
      <c r="T2353" t="s">
        <v>2106</v>
      </c>
      <c r="U2353" t="s">
        <v>2107</v>
      </c>
      <c r="V2353" t="s">
        <v>40</v>
      </c>
      <c r="W2353" s="1">
        <v>299900</v>
      </c>
    </row>
    <row r="2354" spans="1:23" x14ac:dyDescent="0.2">
      <c r="A2354" t="s">
        <v>2096</v>
      </c>
      <c r="B2354" t="s">
        <v>2097</v>
      </c>
      <c r="C2354" t="s">
        <v>2098</v>
      </c>
      <c r="D2354" t="s">
        <v>2108</v>
      </c>
      <c r="E2354" t="s">
        <v>2109</v>
      </c>
      <c r="F2354" t="s">
        <v>2110</v>
      </c>
      <c r="G2354" t="s">
        <v>29</v>
      </c>
      <c r="H2354" t="s">
        <v>30</v>
      </c>
      <c r="I2354" t="s">
        <v>30</v>
      </c>
      <c r="J2354" t="s">
        <v>31</v>
      </c>
      <c r="K2354" t="s">
        <v>32</v>
      </c>
      <c r="L2354" t="s">
        <v>32</v>
      </c>
      <c r="M2354" t="s">
        <v>33</v>
      </c>
      <c r="N2354" t="s">
        <v>33</v>
      </c>
      <c r="O2354" t="s">
        <v>33</v>
      </c>
      <c r="P2354" t="s">
        <v>213</v>
      </c>
      <c r="Q2354" t="s">
        <v>2111</v>
      </c>
      <c r="R2354" t="s">
        <v>173</v>
      </c>
      <c r="S2354" t="s">
        <v>30</v>
      </c>
      <c r="T2354" t="s">
        <v>2112</v>
      </c>
      <c r="U2354" t="s">
        <v>2113</v>
      </c>
      <c r="V2354" t="s">
        <v>39</v>
      </c>
      <c r="W2354" s="1">
        <v>1</v>
      </c>
    </row>
    <row r="2355" spans="1:23" x14ac:dyDescent="0.2">
      <c r="A2355" t="s">
        <v>2096</v>
      </c>
      <c r="B2355" t="s">
        <v>2097</v>
      </c>
      <c r="C2355" t="s">
        <v>2098</v>
      </c>
      <c r="D2355" t="s">
        <v>2108</v>
      </c>
      <c r="E2355" t="s">
        <v>2109</v>
      </c>
      <c r="F2355" t="s">
        <v>2110</v>
      </c>
      <c r="G2355" t="s">
        <v>29</v>
      </c>
      <c r="H2355" t="s">
        <v>30</v>
      </c>
      <c r="I2355" t="s">
        <v>30</v>
      </c>
      <c r="J2355" t="s">
        <v>31</v>
      </c>
      <c r="K2355" t="s">
        <v>32</v>
      </c>
      <c r="L2355" t="s">
        <v>32</v>
      </c>
      <c r="M2355" t="s">
        <v>33</v>
      </c>
      <c r="N2355" t="s">
        <v>33</v>
      </c>
      <c r="O2355" t="s">
        <v>33</v>
      </c>
      <c r="P2355" t="s">
        <v>213</v>
      </c>
      <c r="Q2355" t="s">
        <v>2111</v>
      </c>
      <c r="R2355" t="s">
        <v>173</v>
      </c>
      <c r="S2355" t="s">
        <v>30</v>
      </c>
      <c r="T2355" t="s">
        <v>2112</v>
      </c>
      <c r="U2355" t="s">
        <v>2113</v>
      </c>
      <c r="V2355" t="s">
        <v>40</v>
      </c>
      <c r="W2355" s="1">
        <v>554900</v>
      </c>
    </row>
    <row r="2356" spans="1:23" x14ac:dyDescent="0.2">
      <c r="A2356" t="s">
        <v>2096</v>
      </c>
      <c r="B2356" t="s">
        <v>2097</v>
      </c>
      <c r="C2356" t="s">
        <v>2098</v>
      </c>
      <c r="D2356" t="s">
        <v>2108</v>
      </c>
      <c r="E2356" t="s">
        <v>2109</v>
      </c>
      <c r="F2356" t="s">
        <v>2110</v>
      </c>
      <c r="G2356" t="s">
        <v>29</v>
      </c>
      <c r="H2356" t="s">
        <v>30</v>
      </c>
      <c r="I2356" t="s">
        <v>30</v>
      </c>
      <c r="J2356" t="s">
        <v>31</v>
      </c>
      <c r="K2356" t="s">
        <v>32</v>
      </c>
      <c r="L2356" t="s">
        <v>32</v>
      </c>
      <c r="M2356" t="s">
        <v>33</v>
      </c>
      <c r="N2356" t="s">
        <v>33</v>
      </c>
      <c r="O2356" t="s">
        <v>33</v>
      </c>
      <c r="P2356" t="s">
        <v>213</v>
      </c>
      <c r="Q2356" t="s">
        <v>2111</v>
      </c>
      <c r="S2356" t="s">
        <v>30</v>
      </c>
      <c r="T2356" t="s">
        <v>2114</v>
      </c>
      <c r="U2356" t="s">
        <v>2115</v>
      </c>
      <c r="V2356" t="s">
        <v>39</v>
      </c>
      <c r="W2356" s="1">
        <v>2</v>
      </c>
    </row>
    <row r="2357" spans="1:23" x14ac:dyDescent="0.2">
      <c r="A2357" t="s">
        <v>2096</v>
      </c>
      <c r="B2357" t="s">
        <v>2097</v>
      </c>
      <c r="C2357" t="s">
        <v>2098</v>
      </c>
      <c r="D2357" t="s">
        <v>2108</v>
      </c>
      <c r="E2357" t="s">
        <v>2109</v>
      </c>
      <c r="F2357" t="s">
        <v>2110</v>
      </c>
      <c r="G2357" t="s">
        <v>29</v>
      </c>
      <c r="H2357" t="s">
        <v>30</v>
      </c>
      <c r="I2357" t="s">
        <v>30</v>
      </c>
      <c r="J2357" t="s">
        <v>31</v>
      </c>
      <c r="K2357" t="s">
        <v>32</v>
      </c>
      <c r="L2357" t="s">
        <v>32</v>
      </c>
      <c r="M2357" t="s">
        <v>33</v>
      </c>
      <c r="N2357" t="s">
        <v>33</v>
      </c>
      <c r="O2357" t="s">
        <v>33</v>
      </c>
      <c r="P2357" t="s">
        <v>213</v>
      </c>
      <c r="Q2357" t="s">
        <v>2111</v>
      </c>
      <c r="S2357" t="s">
        <v>30</v>
      </c>
      <c r="T2357" t="s">
        <v>2114</v>
      </c>
      <c r="U2357" t="s">
        <v>2115</v>
      </c>
      <c r="V2357" t="s">
        <v>40</v>
      </c>
      <c r="W2357" s="1">
        <v>479800</v>
      </c>
    </row>
    <row r="2358" spans="1:23" x14ac:dyDescent="0.2">
      <c r="A2358" t="s">
        <v>2096</v>
      </c>
      <c r="B2358" t="s">
        <v>2097</v>
      </c>
      <c r="C2358" t="s">
        <v>2098</v>
      </c>
      <c r="D2358" t="s">
        <v>2108</v>
      </c>
      <c r="E2358" t="s">
        <v>2109</v>
      </c>
      <c r="F2358" t="s">
        <v>2110</v>
      </c>
      <c r="G2358" t="s">
        <v>29</v>
      </c>
      <c r="H2358" t="s">
        <v>30</v>
      </c>
      <c r="I2358" t="s">
        <v>30</v>
      </c>
      <c r="J2358" t="s">
        <v>31</v>
      </c>
      <c r="K2358" t="s">
        <v>32</v>
      </c>
      <c r="L2358" t="s">
        <v>32</v>
      </c>
      <c r="M2358" t="s">
        <v>33</v>
      </c>
      <c r="N2358" t="s">
        <v>33</v>
      </c>
      <c r="O2358" t="s">
        <v>33</v>
      </c>
      <c r="P2358" t="s">
        <v>34</v>
      </c>
      <c r="Q2358" t="s">
        <v>35</v>
      </c>
      <c r="S2358" t="s">
        <v>30</v>
      </c>
      <c r="T2358" t="s">
        <v>2116</v>
      </c>
      <c r="U2358" t="s">
        <v>2117</v>
      </c>
      <c r="V2358" t="s">
        <v>39</v>
      </c>
      <c r="W2358" s="1">
        <v>1</v>
      </c>
    </row>
    <row r="2359" spans="1:23" x14ac:dyDescent="0.2">
      <c r="A2359" t="s">
        <v>2096</v>
      </c>
      <c r="B2359" t="s">
        <v>2097</v>
      </c>
      <c r="C2359" t="s">
        <v>2098</v>
      </c>
      <c r="D2359" t="s">
        <v>2108</v>
      </c>
      <c r="E2359" t="s">
        <v>2109</v>
      </c>
      <c r="F2359" t="s">
        <v>2110</v>
      </c>
      <c r="G2359" t="s">
        <v>29</v>
      </c>
      <c r="H2359" t="s">
        <v>30</v>
      </c>
      <c r="I2359" t="s">
        <v>30</v>
      </c>
      <c r="J2359" t="s">
        <v>31</v>
      </c>
      <c r="K2359" t="s">
        <v>32</v>
      </c>
      <c r="L2359" t="s">
        <v>32</v>
      </c>
      <c r="M2359" t="s">
        <v>33</v>
      </c>
      <c r="N2359" t="s">
        <v>33</v>
      </c>
      <c r="O2359" t="s">
        <v>33</v>
      </c>
      <c r="P2359" t="s">
        <v>34</v>
      </c>
      <c r="Q2359" t="s">
        <v>35</v>
      </c>
      <c r="S2359" t="s">
        <v>30</v>
      </c>
      <c r="T2359" t="s">
        <v>2116</v>
      </c>
      <c r="U2359" t="s">
        <v>2117</v>
      </c>
      <c r="V2359" t="s">
        <v>40</v>
      </c>
      <c r="W2359" s="1">
        <v>1229900</v>
      </c>
    </row>
    <row r="2360" spans="1:23" x14ac:dyDescent="0.2">
      <c r="A2360" t="s">
        <v>2096</v>
      </c>
      <c r="B2360" t="s">
        <v>2097</v>
      </c>
      <c r="C2360" t="s">
        <v>2098</v>
      </c>
      <c r="D2360" t="s">
        <v>2108</v>
      </c>
      <c r="E2360" t="s">
        <v>2109</v>
      </c>
      <c r="F2360" t="s">
        <v>2110</v>
      </c>
      <c r="G2360" t="s">
        <v>29</v>
      </c>
      <c r="H2360" t="s">
        <v>30</v>
      </c>
      <c r="I2360" t="s">
        <v>30</v>
      </c>
      <c r="J2360" t="s">
        <v>31</v>
      </c>
      <c r="K2360" t="s">
        <v>32</v>
      </c>
      <c r="L2360" t="s">
        <v>32</v>
      </c>
      <c r="M2360" t="s">
        <v>33</v>
      </c>
      <c r="N2360" t="s">
        <v>176</v>
      </c>
      <c r="O2360" t="s">
        <v>176</v>
      </c>
      <c r="P2360" t="s">
        <v>213</v>
      </c>
      <c r="Q2360" t="s">
        <v>2111</v>
      </c>
      <c r="R2360" t="s">
        <v>173</v>
      </c>
      <c r="S2360" t="s">
        <v>30</v>
      </c>
      <c r="T2360" t="s">
        <v>2112</v>
      </c>
      <c r="U2360" t="s">
        <v>2113</v>
      </c>
      <c r="V2360" t="s">
        <v>39</v>
      </c>
      <c r="W2360" s="1">
        <v>1</v>
      </c>
    </row>
    <row r="2361" spans="1:23" x14ac:dyDescent="0.2">
      <c r="A2361" t="s">
        <v>2096</v>
      </c>
      <c r="B2361" t="s">
        <v>2097</v>
      </c>
      <c r="C2361" t="s">
        <v>2098</v>
      </c>
      <c r="D2361" t="s">
        <v>2108</v>
      </c>
      <c r="E2361" t="s">
        <v>2109</v>
      </c>
      <c r="F2361" t="s">
        <v>2110</v>
      </c>
      <c r="G2361" t="s">
        <v>29</v>
      </c>
      <c r="H2361" t="s">
        <v>30</v>
      </c>
      <c r="I2361" t="s">
        <v>30</v>
      </c>
      <c r="J2361" t="s">
        <v>31</v>
      </c>
      <c r="K2361" t="s">
        <v>32</v>
      </c>
      <c r="L2361" t="s">
        <v>32</v>
      </c>
      <c r="M2361" t="s">
        <v>33</v>
      </c>
      <c r="N2361" t="s">
        <v>176</v>
      </c>
      <c r="O2361" t="s">
        <v>176</v>
      </c>
      <c r="P2361" t="s">
        <v>213</v>
      </c>
      <c r="Q2361" t="s">
        <v>2111</v>
      </c>
      <c r="R2361" t="s">
        <v>173</v>
      </c>
      <c r="S2361" t="s">
        <v>30</v>
      </c>
      <c r="T2361" t="s">
        <v>2112</v>
      </c>
      <c r="U2361" t="s">
        <v>2113</v>
      </c>
      <c r="V2361" t="s">
        <v>40</v>
      </c>
      <c r="W2361" s="1">
        <v>554900</v>
      </c>
    </row>
    <row r="2362" spans="1:23" x14ac:dyDescent="0.2">
      <c r="A2362" t="s">
        <v>2096</v>
      </c>
      <c r="B2362" t="s">
        <v>2097</v>
      </c>
      <c r="C2362" t="s">
        <v>2098</v>
      </c>
      <c r="D2362" t="s">
        <v>2108</v>
      </c>
      <c r="E2362" t="s">
        <v>2109</v>
      </c>
      <c r="F2362" t="s">
        <v>2110</v>
      </c>
      <c r="G2362" t="s">
        <v>29</v>
      </c>
      <c r="H2362" t="s">
        <v>30</v>
      </c>
      <c r="I2362" t="s">
        <v>30</v>
      </c>
      <c r="J2362" t="s">
        <v>41</v>
      </c>
      <c r="K2362" t="s">
        <v>32</v>
      </c>
      <c r="L2362" t="s">
        <v>32</v>
      </c>
      <c r="M2362" t="s">
        <v>33</v>
      </c>
      <c r="N2362" t="s">
        <v>33</v>
      </c>
      <c r="O2362" t="s">
        <v>33</v>
      </c>
      <c r="P2362" t="s">
        <v>213</v>
      </c>
      <c r="Q2362" t="s">
        <v>2118</v>
      </c>
      <c r="S2362" t="s">
        <v>30</v>
      </c>
      <c r="T2362" t="s">
        <v>2119</v>
      </c>
      <c r="U2362" t="s">
        <v>2120</v>
      </c>
      <c r="V2362" t="s">
        <v>39</v>
      </c>
      <c r="W2362" s="1">
        <v>2</v>
      </c>
    </row>
    <row r="2363" spans="1:23" x14ac:dyDescent="0.2">
      <c r="A2363" t="s">
        <v>2096</v>
      </c>
      <c r="B2363" t="s">
        <v>2097</v>
      </c>
      <c r="C2363" t="s">
        <v>2098</v>
      </c>
      <c r="D2363" t="s">
        <v>2108</v>
      </c>
      <c r="E2363" t="s">
        <v>2109</v>
      </c>
      <c r="F2363" t="s">
        <v>2110</v>
      </c>
      <c r="G2363" t="s">
        <v>29</v>
      </c>
      <c r="H2363" t="s">
        <v>30</v>
      </c>
      <c r="I2363" t="s">
        <v>30</v>
      </c>
      <c r="J2363" t="s">
        <v>41</v>
      </c>
      <c r="K2363" t="s">
        <v>32</v>
      </c>
      <c r="L2363" t="s">
        <v>32</v>
      </c>
      <c r="M2363" t="s">
        <v>33</v>
      </c>
      <c r="N2363" t="s">
        <v>33</v>
      </c>
      <c r="O2363" t="s">
        <v>33</v>
      </c>
      <c r="P2363" t="s">
        <v>213</v>
      </c>
      <c r="Q2363" t="s">
        <v>2118</v>
      </c>
      <c r="S2363" t="s">
        <v>30</v>
      </c>
      <c r="T2363" t="s">
        <v>2119</v>
      </c>
      <c r="U2363" t="s">
        <v>2120</v>
      </c>
      <c r="V2363" t="s">
        <v>40</v>
      </c>
      <c r="W2363" s="1">
        <v>1736000</v>
      </c>
    </row>
    <row r="2364" spans="1:23" x14ac:dyDescent="0.2">
      <c r="A2364" t="s">
        <v>2096</v>
      </c>
      <c r="B2364" t="s">
        <v>2097</v>
      </c>
      <c r="C2364" t="s">
        <v>2098</v>
      </c>
      <c r="D2364" t="s">
        <v>2108</v>
      </c>
      <c r="E2364" t="s">
        <v>2109</v>
      </c>
      <c r="F2364" t="s">
        <v>2110</v>
      </c>
      <c r="G2364" t="s">
        <v>29</v>
      </c>
      <c r="H2364" t="s">
        <v>30</v>
      </c>
      <c r="I2364" t="s">
        <v>30</v>
      </c>
      <c r="J2364" t="s">
        <v>41</v>
      </c>
      <c r="K2364" t="s">
        <v>32</v>
      </c>
      <c r="L2364" t="s">
        <v>32</v>
      </c>
      <c r="M2364" t="s">
        <v>33</v>
      </c>
      <c r="N2364" t="s">
        <v>33</v>
      </c>
      <c r="O2364" t="s">
        <v>33</v>
      </c>
      <c r="P2364" t="s">
        <v>42</v>
      </c>
      <c r="Q2364" t="s">
        <v>43</v>
      </c>
      <c r="S2364" t="s">
        <v>30</v>
      </c>
      <c r="T2364" t="s">
        <v>2121</v>
      </c>
      <c r="U2364" t="s">
        <v>2122</v>
      </c>
      <c r="V2364" t="s">
        <v>39</v>
      </c>
      <c r="W2364" s="1">
        <v>1</v>
      </c>
    </row>
    <row r="2365" spans="1:23" x14ac:dyDescent="0.2">
      <c r="A2365" t="s">
        <v>2096</v>
      </c>
      <c r="B2365" t="s">
        <v>2097</v>
      </c>
      <c r="C2365" t="s">
        <v>2098</v>
      </c>
      <c r="D2365" t="s">
        <v>2108</v>
      </c>
      <c r="E2365" t="s">
        <v>2109</v>
      </c>
      <c r="F2365" t="s">
        <v>2110</v>
      </c>
      <c r="G2365" t="s">
        <v>29</v>
      </c>
      <c r="H2365" t="s">
        <v>30</v>
      </c>
      <c r="I2365" t="s">
        <v>30</v>
      </c>
      <c r="J2365" t="s">
        <v>41</v>
      </c>
      <c r="K2365" t="s">
        <v>32</v>
      </c>
      <c r="L2365" t="s">
        <v>32</v>
      </c>
      <c r="M2365" t="s">
        <v>33</v>
      </c>
      <c r="N2365" t="s">
        <v>33</v>
      </c>
      <c r="O2365" t="s">
        <v>33</v>
      </c>
      <c r="P2365" t="s">
        <v>42</v>
      </c>
      <c r="Q2365" t="s">
        <v>43</v>
      </c>
      <c r="S2365" t="s">
        <v>30</v>
      </c>
      <c r="T2365" t="s">
        <v>2121</v>
      </c>
      <c r="U2365" t="s">
        <v>2122</v>
      </c>
      <c r="V2365" t="s">
        <v>40</v>
      </c>
      <c r="W2365" s="1">
        <v>749900</v>
      </c>
    </row>
    <row r="2366" spans="1:23" x14ac:dyDescent="0.2">
      <c r="A2366" t="s">
        <v>2096</v>
      </c>
      <c r="B2366" t="s">
        <v>2097</v>
      </c>
      <c r="C2366" t="s">
        <v>2098</v>
      </c>
      <c r="D2366" t="s">
        <v>2108</v>
      </c>
      <c r="E2366" t="s">
        <v>2109</v>
      </c>
      <c r="F2366" t="s">
        <v>2110</v>
      </c>
      <c r="G2366" t="s">
        <v>29</v>
      </c>
      <c r="H2366" t="s">
        <v>30</v>
      </c>
      <c r="I2366" t="s">
        <v>30</v>
      </c>
      <c r="J2366" t="s">
        <v>41</v>
      </c>
      <c r="K2366" t="s">
        <v>32</v>
      </c>
      <c r="L2366" t="s">
        <v>32</v>
      </c>
      <c r="M2366" t="s">
        <v>176</v>
      </c>
      <c r="N2366" t="s">
        <v>176</v>
      </c>
      <c r="O2366" t="s">
        <v>176</v>
      </c>
      <c r="P2366" t="s">
        <v>42</v>
      </c>
      <c r="Q2366" t="s">
        <v>43</v>
      </c>
      <c r="S2366" t="s">
        <v>30</v>
      </c>
      <c r="T2366" t="s">
        <v>2121</v>
      </c>
      <c r="U2366" t="s">
        <v>2122</v>
      </c>
      <c r="V2366" t="s">
        <v>39</v>
      </c>
      <c r="W2366" s="1">
        <v>1</v>
      </c>
    </row>
    <row r="2367" spans="1:23" x14ac:dyDescent="0.2">
      <c r="A2367" t="s">
        <v>2096</v>
      </c>
      <c r="B2367" t="s">
        <v>2097</v>
      </c>
      <c r="C2367" t="s">
        <v>2098</v>
      </c>
      <c r="D2367" t="s">
        <v>2108</v>
      </c>
      <c r="E2367" t="s">
        <v>2109</v>
      </c>
      <c r="F2367" t="s">
        <v>2110</v>
      </c>
      <c r="G2367" t="s">
        <v>29</v>
      </c>
      <c r="H2367" t="s">
        <v>30</v>
      </c>
      <c r="I2367" t="s">
        <v>30</v>
      </c>
      <c r="J2367" t="s">
        <v>41</v>
      </c>
      <c r="K2367" t="s">
        <v>32</v>
      </c>
      <c r="L2367" t="s">
        <v>32</v>
      </c>
      <c r="M2367" t="s">
        <v>176</v>
      </c>
      <c r="N2367" t="s">
        <v>176</v>
      </c>
      <c r="O2367" t="s">
        <v>176</v>
      </c>
      <c r="P2367" t="s">
        <v>42</v>
      </c>
      <c r="Q2367" t="s">
        <v>43</v>
      </c>
      <c r="S2367" t="s">
        <v>30</v>
      </c>
      <c r="T2367" t="s">
        <v>2121</v>
      </c>
      <c r="U2367" t="s">
        <v>2122</v>
      </c>
      <c r="V2367" t="s">
        <v>40</v>
      </c>
      <c r="W2367" s="1">
        <v>749900</v>
      </c>
    </row>
    <row r="2368" spans="1:23" x14ac:dyDescent="0.2">
      <c r="A2368" t="s">
        <v>2096</v>
      </c>
      <c r="B2368" t="s">
        <v>2097</v>
      </c>
      <c r="C2368" t="s">
        <v>2098</v>
      </c>
      <c r="D2368" t="s">
        <v>2108</v>
      </c>
      <c r="E2368" t="s">
        <v>2109</v>
      </c>
      <c r="F2368" t="s">
        <v>2110</v>
      </c>
      <c r="G2368" t="s">
        <v>49</v>
      </c>
      <c r="H2368" t="s">
        <v>30</v>
      </c>
      <c r="I2368" t="s">
        <v>30</v>
      </c>
      <c r="J2368" t="s">
        <v>31</v>
      </c>
      <c r="K2368" t="s">
        <v>32</v>
      </c>
      <c r="L2368" t="s">
        <v>32</v>
      </c>
      <c r="M2368" t="s">
        <v>33</v>
      </c>
      <c r="N2368" t="s">
        <v>33</v>
      </c>
      <c r="O2368" t="s">
        <v>33</v>
      </c>
      <c r="P2368" t="s">
        <v>213</v>
      </c>
      <c r="Q2368" t="s">
        <v>2118</v>
      </c>
      <c r="R2368" t="s">
        <v>148</v>
      </c>
      <c r="S2368" t="s">
        <v>30</v>
      </c>
      <c r="T2368" t="s">
        <v>2123</v>
      </c>
      <c r="U2368" t="s">
        <v>2124</v>
      </c>
      <c r="V2368" t="s">
        <v>39</v>
      </c>
      <c r="W2368" s="1">
        <v>2</v>
      </c>
    </row>
    <row r="2369" spans="1:23" x14ac:dyDescent="0.2">
      <c r="A2369" t="s">
        <v>2096</v>
      </c>
      <c r="B2369" t="s">
        <v>2097</v>
      </c>
      <c r="C2369" t="s">
        <v>2098</v>
      </c>
      <c r="D2369" t="s">
        <v>2108</v>
      </c>
      <c r="E2369" t="s">
        <v>2109</v>
      </c>
      <c r="F2369" t="s">
        <v>2110</v>
      </c>
      <c r="G2369" t="s">
        <v>49</v>
      </c>
      <c r="H2369" t="s">
        <v>30</v>
      </c>
      <c r="I2369" t="s">
        <v>30</v>
      </c>
      <c r="J2369" t="s">
        <v>31</v>
      </c>
      <c r="K2369" t="s">
        <v>32</v>
      </c>
      <c r="L2369" t="s">
        <v>32</v>
      </c>
      <c r="M2369" t="s">
        <v>33</v>
      </c>
      <c r="N2369" t="s">
        <v>33</v>
      </c>
      <c r="O2369" t="s">
        <v>33</v>
      </c>
      <c r="P2369" t="s">
        <v>213</v>
      </c>
      <c r="Q2369" t="s">
        <v>2118</v>
      </c>
      <c r="R2369" t="s">
        <v>148</v>
      </c>
      <c r="S2369" t="s">
        <v>30</v>
      </c>
      <c r="T2369" t="s">
        <v>2123</v>
      </c>
      <c r="U2369" t="s">
        <v>2124</v>
      </c>
      <c r="V2369" t="s">
        <v>40</v>
      </c>
      <c r="W2369" s="1">
        <v>1453800</v>
      </c>
    </row>
    <row r="2370" spans="1:23" x14ac:dyDescent="0.2">
      <c r="A2370" t="s">
        <v>2096</v>
      </c>
      <c r="B2370" t="s">
        <v>2097</v>
      </c>
      <c r="C2370" t="s">
        <v>2098</v>
      </c>
      <c r="D2370" t="s">
        <v>2108</v>
      </c>
      <c r="E2370" t="s">
        <v>2109</v>
      </c>
      <c r="F2370" t="s">
        <v>2110</v>
      </c>
      <c r="G2370" t="s">
        <v>49</v>
      </c>
      <c r="H2370" t="s">
        <v>30</v>
      </c>
      <c r="I2370" t="s">
        <v>30</v>
      </c>
      <c r="J2370" t="s">
        <v>31</v>
      </c>
      <c r="K2370" t="s">
        <v>32</v>
      </c>
      <c r="L2370" t="s">
        <v>32</v>
      </c>
      <c r="M2370" t="s">
        <v>33</v>
      </c>
      <c r="N2370" t="s">
        <v>33</v>
      </c>
      <c r="O2370" t="s">
        <v>33</v>
      </c>
      <c r="P2370" t="s">
        <v>34</v>
      </c>
      <c r="Q2370" t="s">
        <v>35</v>
      </c>
      <c r="S2370" t="s">
        <v>30</v>
      </c>
      <c r="T2370" t="s">
        <v>2125</v>
      </c>
      <c r="U2370" t="s">
        <v>2126</v>
      </c>
      <c r="V2370" t="s">
        <v>39</v>
      </c>
      <c r="W2370" s="1">
        <v>8</v>
      </c>
    </row>
    <row r="2371" spans="1:23" x14ac:dyDescent="0.2">
      <c r="A2371" t="s">
        <v>2096</v>
      </c>
      <c r="B2371" t="s">
        <v>2097</v>
      </c>
      <c r="C2371" t="s">
        <v>2098</v>
      </c>
      <c r="D2371" t="s">
        <v>2108</v>
      </c>
      <c r="E2371" t="s">
        <v>2109</v>
      </c>
      <c r="F2371" t="s">
        <v>2110</v>
      </c>
      <c r="G2371" t="s">
        <v>49</v>
      </c>
      <c r="H2371" t="s">
        <v>30</v>
      </c>
      <c r="I2371" t="s">
        <v>30</v>
      </c>
      <c r="J2371" t="s">
        <v>31</v>
      </c>
      <c r="K2371" t="s">
        <v>32</v>
      </c>
      <c r="L2371" t="s">
        <v>32</v>
      </c>
      <c r="M2371" t="s">
        <v>33</v>
      </c>
      <c r="N2371" t="s">
        <v>33</v>
      </c>
      <c r="O2371" t="s">
        <v>33</v>
      </c>
      <c r="P2371" t="s">
        <v>34</v>
      </c>
      <c r="Q2371" t="s">
        <v>35</v>
      </c>
      <c r="S2371" t="s">
        <v>30</v>
      </c>
      <c r="T2371" t="s">
        <v>2125</v>
      </c>
      <c r="U2371" t="s">
        <v>2126</v>
      </c>
      <c r="V2371" t="s">
        <v>40</v>
      </c>
      <c r="W2371" s="1">
        <v>7543200</v>
      </c>
    </row>
    <row r="2372" spans="1:23" x14ac:dyDescent="0.2">
      <c r="A2372" t="s">
        <v>2096</v>
      </c>
      <c r="B2372" t="s">
        <v>2097</v>
      </c>
      <c r="C2372" t="s">
        <v>2098</v>
      </c>
      <c r="D2372" t="s">
        <v>2108</v>
      </c>
      <c r="E2372" t="s">
        <v>2109</v>
      </c>
      <c r="F2372" t="s">
        <v>2110</v>
      </c>
      <c r="G2372" t="s">
        <v>49</v>
      </c>
      <c r="H2372" t="s">
        <v>30</v>
      </c>
      <c r="I2372" t="s">
        <v>30</v>
      </c>
      <c r="J2372" t="s">
        <v>31</v>
      </c>
      <c r="K2372" t="s">
        <v>32</v>
      </c>
      <c r="L2372" t="s">
        <v>32</v>
      </c>
      <c r="M2372" t="s">
        <v>33</v>
      </c>
      <c r="N2372" t="s">
        <v>33</v>
      </c>
      <c r="O2372" t="s">
        <v>33</v>
      </c>
      <c r="P2372" t="s">
        <v>34</v>
      </c>
      <c r="Q2372" t="s">
        <v>35</v>
      </c>
      <c r="S2372" t="s">
        <v>30</v>
      </c>
      <c r="T2372" t="s">
        <v>2127</v>
      </c>
      <c r="U2372" t="s">
        <v>2128</v>
      </c>
      <c r="V2372" t="s">
        <v>39</v>
      </c>
      <c r="W2372" s="1">
        <v>4</v>
      </c>
    </row>
    <row r="2373" spans="1:23" x14ac:dyDescent="0.2">
      <c r="A2373" t="s">
        <v>2096</v>
      </c>
      <c r="B2373" t="s">
        <v>2097</v>
      </c>
      <c r="C2373" t="s">
        <v>2098</v>
      </c>
      <c r="D2373" t="s">
        <v>2108</v>
      </c>
      <c r="E2373" t="s">
        <v>2109</v>
      </c>
      <c r="F2373" t="s">
        <v>2110</v>
      </c>
      <c r="G2373" t="s">
        <v>49</v>
      </c>
      <c r="H2373" t="s">
        <v>30</v>
      </c>
      <c r="I2373" t="s">
        <v>30</v>
      </c>
      <c r="J2373" t="s">
        <v>31</v>
      </c>
      <c r="K2373" t="s">
        <v>32</v>
      </c>
      <c r="L2373" t="s">
        <v>32</v>
      </c>
      <c r="M2373" t="s">
        <v>33</v>
      </c>
      <c r="N2373" t="s">
        <v>33</v>
      </c>
      <c r="O2373" t="s">
        <v>33</v>
      </c>
      <c r="P2373" t="s">
        <v>34</v>
      </c>
      <c r="Q2373" t="s">
        <v>35</v>
      </c>
      <c r="S2373" t="s">
        <v>30</v>
      </c>
      <c r="T2373" t="s">
        <v>2127</v>
      </c>
      <c r="U2373" t="s">
        <v>2128</v>
      </c>
      <c r="V2373" t="s">
        <v>40</v>
      </c>
      <c r="W2373" s="1">
        <v>2839600</v>
      </c>
    </row>
    <row r="2374" spans="1:23" x14ac:dyDescent="0.2">
      <c r="A2374" t="s">
        <v>2096</v>
      </c>
      <c r="B2374" t="s">
        <v>2097</v>
      </c>
      <c r="C2374" t="s">
        <v>2098</v>
      </c>
      <c r="D2374" t="s">
        <v>2108</v>
      </c>
      <c r="E2374" t="s">
        <v>2109</v>
      </c>
      <c r="F2374" t="s">
        <v>2110</v>
      </c>
      <c r="G2374" t="s">
        <v>49</v>
      </c>
      <c r="H2374" t="s">
        <v>30</v>
      </c>
      <c r="I2374" t="s">
        <v>30</v>
      </c>
      <c r="J2374" t="s">
        <v>31</v>
      </c>
      <c r="K2374" t="s">
        <v>32</v>
      </c>
      <c r="L2374" t="s">
        <v>32</v>
      </c>
      <c r="M2374" t="s">
        <v>33</v>
      </c>
      <c r="P2374" t="s">
        <v>34</v>
      </c>
      <c r="Q2374" t="s">
        <v>35</v>
      </c>
      <c r="S2374" t="s">
        <v>30</v>
      </c>
      <c r="T2374" t="s">
        <v>2125</v>
      </c>
      <c r="U2374" t="s">
        <v>2126</v>
      </c>
      <c r="V2374" t="s">
        <v>39</v>
      </c>
      <c r="W2374" s="1">
        <v>5</v>
      </c>
    </row>
    <row r="2375" spans="1:23" x14ac:dyDescent="0.2">
      <c r="A2375" t="s">
        <v>2096</v>
      </c>
      <c r="B2375" t="s">
        <v>2097</v>
      </c>
      <c r="C2375" t="s">
        <v>2098</v>
      </c>
      <c r="D2375" t="s">
        <v>2108</v>
      </c>
      <c r="E2375" t="s">
        <v>2109</v>
      </c>
      <c r="F2375" t="s">
        <v>2110</v>
      </c>
      <c r="G2375" t="s">
        <v>49</v>
      </c>
      <c r="H2375" t="s">
        <v>30</v>
      </c>
      <c r="I2375" t="s">
        <v>30</v>
      </c>
      <c r="J2375" t="s">
        <v>31</v>
      </c>
      <c r="K2375" t="s">
        <v>32</v>
      </c>
      <c r="L2375" t="s">
        <v>32</v>
      </c>
      <c r="M2375" t="s">
        <v>33</v>
      </c>
      <c r="P2375" t="s">
        <v>34</v>
      </c>
      <c r="Q2375" t="s">
        <v>35</v>
      </c>
      <c r="S2375" t="s">
        <v>30</v>
      </c>
      <c r="T2375" t="s">
        <v>2125</v>
      </c>
      <c r="U2375" t="s">
        <v>2126</v>
      </c>
      <c r="V2375" t="s">
        <v>40</v>
      </c>
      <c r="W2375" s="1">
        <v>4714500</v>
      </c>
    </row>
    <row r="2376" spans="1:23" x14ac:dyDescent="0.2">
      <c r="A2376" t="s">
        <v>2096</v>
      </c>
      <c r="B2376" t="s">
        <v>2097</v>
      </c>
      <c r="C2376" t="s">
        <v>2098</v>
      </c>
      <c r="D2376" t="s">
        <v>2108</v>
      </c>
      <c r="E2376" t="s">
        <v>2109</v>
      </c>
      <c r="F2376" t="s">
        <v>2110</v>
      </c>
      <c r="G2376" t="s">
        <v>49</v>
      </c>
      <c r="H2376" t="s">
        <v>30</v>
      </c>
      <c r="I2376" t="s">
        <v>30</v>
      </c>
      <c r="J2376" t="s">
        <v>41</v>
      </c>
      <c r="K2376" t="s">
        <v>32</v>
      </c>
      <c r="L2376" t="s">
        <v>32</v>
      </c>
      <c r="M2376" t="s">
        <v>33</v>
      </c>
      <c r="N2376" t="s">
        <v>33</v>
      </c>
      <c r="O2376" t="s">
        <v>33</v>
      </c>
      <c r="P2376" t="s">
        <v>34</v>
      </c>
      <c r="Q2376" t="s">
        <v>35</v>
      </c>
      <c r="S2376" t="s">
        <v>30</v>
      </c>
      <c r="T2376" t="s">
        <v>2129</v>
      </c>
      <c r="U2376" t="s">
        <v>2130</v>
      </c>
      <c r="V2376" t="s">
        <v>39</v>
      </c>
      <c r="W2376" s="1">
        <v>6</v>
      </c>
    </row>
    <row r="2377" spans="1:23" x14ac:dyDescent="0.2">
      <c r="A2377" t="s">
        <v>2096</v>
      </c>
      <c r="B2377" t="s">
        <v>2097</v>
      </c>
      <c r="C2377" t="s">
        <v>2098</v>
      </c>
      <c r="D2377" t="s">
        <v>2108</v>
      </c>
      <c r="E2377" t="s">
        <v>2109</v>
      </c>
      <c r="F2377" t="s">
        <v>2110</v>
      </c>
      <c r="G2377" t="s">
        <v>49</v>
      </c>
      <c r="H2377" t="s">
        <v>30</v>
      </c>
      <c r="I2377" t="s">
        <v>30</v>
      </c>
      <c r="J2377" t="s">
        <v>41</v>
      </c>
      <c r="K2377" t="s">
        <v>32</v>
      </c>
      <c r="L2377" t="s">
        <v>32</v>
      </c>
      <c r="M2377" t="s">
        <v>33</v>
      </c>
      <c r="N2377" t="s">
        <v>33</v>
      </c>
      <c r="O2377" t="s">
        <v>33</v>
      </c>
      <c r="P2377" t="s">
        <v>34</v>
      </c>
      <c r="Q2377" t="s">
        <v>35</v>
      </c>
      <c r="S2377" t="s">
        <v>30</v>
      </c>
      <c r="T2377" t="s">
        <v>2129</v>
      </c>
      <c r="U2377" t="s">
        <v>2130</v>
      </c>
      <c r="V2377" t="s">
        <v>40</v>
      </c>
      <c r="W2377" s="1">
        <v>5505600</v>
      </c>
    </row>
    <row r="2378" spans="1:23" x14ac:dyDescent="0.2">
      <c r="A2378" t="s">
        <v>2096</v>
      </c>
      <c r="B2378" t="s">
        <v>2097</v>
      </c>
      <c r="C2378" t="s">
        <v>2098</v>
      </c>
      <c r="D2378" t="s">
        <v>2108</v>
      </c>
      <c r="E2378" t="s">
        <v>2109</v>
      </c>
      <c r="F2378" t="s">
        <v>2110</v>
      </c>
      <c r="G2378" t="s">
        <v>61</v>
      </c>
      <c r="H2378" t="s">
        <v>52</v>
      </c>
      <c r="I2378" t="s">
        <v>52</v>
      </c>
      <c r="J2378" t="s">
        <v>31</v>
      </c>
      <c r="K2378" t="s">
        <v>32</v>
      </c>
      <c r="L2378" t="s">
        <v>32</v>
      </c>
      <c r="M2378" t="s">
        <v>33</v>
      </c>
      <c r="N2378" t="s">
        <v>33</v>
      </c>
      <c r="O2378" t="s">
        <v>33</v>
      </c>
      <c r="P2378" t="s">
        <v>213</v>
      </c>
      <c r="Q2378" t="s">
        <v>2111</v>
      </c>
      <c r="S2378" t="s">
        <v>30</v>
      </c>
      <c r="T2378" t="s">
        <v>2131</v>
      </c>
      <c r="U2378" t="s">
        <v>2132</v>
      </c>
      <c r="V2378" t="s">
        <v>39</v>
      </c>
      <c r="W2378" s="1">
        <v>3</v>
      </c>
    </row>
    <row r="2379" spans="1:23" x14ac:dyDescent="0.2">
      <c r="A2379" t="s">
        <v>2096</v>
      </c>
      <c r="B2379" t="s">
        <v>2097</v>
      </c>
      <c r="C2379" t="s">
        <v>2098</v>
      </c>
      <c r="D2379" t="s">
        <v>2108</v>
      </c>
      <c r="E2379" t="s">
        <v>2109</v>
      </c>
      <c r="F2379" t="s">
        <v>2110</v>
      </c>
      <c r="G2379" t="s">
        <v>61</v>
      </c>
      <c r="H2379" t="s">
        <v>52</v>
      </c>
      <c r="I2379" t="s">
        <v>52</v>
      </c>
      <c r="J2379" t="s">
        <v>31</v>
      </c>
      <c r="K2379" t="s">
        <v>32</v>
      </c>
      <c r="L2379" t="s">
        <v>32</v>
      </c>
      <c r="M2379" t="s">
        <v>33</v>
      </c>
      <c r="N2379" t="s">
        <v>33</v>
      </c>
      <c r="O2379" t="s">
        <v>33</v>
      </c>
      <c r="P2379" t="s">
        <v>213</v>
      </c>
      <c r="Q2379" t="s">
        <v>2111</v>
      </c>
      <c r="S2379" t="s">
        <v>30</v>
      </c>
      <c r="T2379" t="s">
        <v>2131</v>
      </c>
      <c r="U2379" t="s">
        <v>2132</v>
      </c>
      <c r="V2379" t="s">
        <v>40</v>
      </c>
      <c r="W2379" s="1">
        <v>3149700</v>
      </c>
    </row>
    <row r="2380" spans="1:23" x14ac:dyDescent="0.2">
      <c r="A2380" t="s">
        <v>2096</v>
      </c>
      <c r="B2380" t="s">
        <v>2097</v>
      </c>
      <c r="C2380" t="s">
        <v>2098</v>
      </c>
      <c r="D2380" t="s">
        <v>2108</v>
      </c>
      <c r="E2380" t="s">
        <v>2109</v>
      </c>
      <c r="F2380" t="s">
        <v>2110</v>
      </c>
      <c r="G2380" t="s">
        <v>170</v>
      </c>
      <c r="H2380" t="s">
        <v>52</v>
      </c>
      <c r="I2380" t="s">
        <v>30</v>
      </c>
      <c r="J2380" t="s">
        <v>41</v>
      </c>
      <c r="K2380" t="s">
        <v>32</v>
      </c>
      <c r="L2380" t="s">
        <v>32</v>
      </c>
      <c r="M2380" t="s">
        <v>33</v>
      </c>
      <c r="N2380" t="s">
        <v>33</v>
      </c>
      <c r="O2380" t="s">
        <v>33</v>
      </c>
      <c r="P2380" t="s">
        <v>213</v>
      </c>
      <c r="Q2380" t="s">
        <v>2111</v>
      </c>
      <c r="S2380" t="s">
        <v>30</v>
      </c>
      <c r="T2380" t="s">
        <v>2133</v>
      </c>
      <c r="U2380" t="s">
        <v>2134</v>
      </c>
      <c r="V2380" t="s">
        <v>39</v>
      </c>
      <c r="W2380" s="1">
        <v>2</v>
      </c>
    </row>
    <row r="2381" spans="1:23" x14ac:dyDescent="0.2">
      <c r="A2381" t="s">
        <v>2096</v>
      </c>
      <c r="B2381" t="s">
        <v>2097</v>
      </c>
      <c r="C2381" t="s">
        <v>2098</v>
      </c>
      <c r="D2381" t="s">
        <v>2108</v>
      </c>
      <c r="E2381" t="s">
        <v>2109</v>
      </c>
      <c r="F2381" t="s">
        <v>2110</v>
      </c>
      <c r="G2381" t="s">
        <v>170</v>
      </c>
      <c r="H2381" t="s">
        <v>52</v>
      </c>
      <c r="I2381" t="s">
        <v>30</v>
      </c>
      <c r="J2381" t="s">
        <v>41</v>
      </c>
      <c r="K2381" t="s">
        <v>32</v>
      </c>
      <c r="L2381" t="s">
        <v>32</v>
      </c>
      <c r="M2381" t="s">
        <v>33</v>
      </c>
      <c r="N2381" t="s">
        <v>33</v>
      </c>
      <c r="O2381" t="s">
        <v>33</v>
      </c>
      <c r="P2381" t="s">
        <v>213</v>
      </c>
      <c r="Q2381" t="s">
        <v>2111</v>
      </c>
      <c r="S2381" t="s">
        <v>30</v>
      </c>
      <c r="T2381" t="s">
        <v>2133</v>
      </c>
      <c r="U2381" t="s">
        <v>2134</v>
      </c>
      <c r="V2381" t="s">
        <v>40</v>
      </c>
      <c r="W2381" s="1">
        <v>1982000</v>
      </c>
    </row>
    <row r="2382" spans="1:23" x14ac:dyDescent="0.2">
      <c r="A2382" t="s">
        <v>2096</v>
      </c>
      <c r="B2382" t="s">
        <v>2097</v>
      </c>
      <c r="C2382" t="s">
        <v>2098</v>
      </c>
      <c r="D2382" t="s">
        <v>2108</v>
      </c>
      <c r="E2382" t="s">
        <v>2109</v>
      </c>
      <c r="F2382" t="s">
        <v>2110</v>
      </c>
      <c r="G2382" t="s">
        <v>170</v>
      </c>
      <c r="H2382" t="s">
        <v>52</v>
      </c>
      <c r="I2382" t="s">
        <v>30</v>
      </c>
      <c r="J2382" t="s">
        <v>41</v>
      </c>
      <c r="K2382" t="s">
        <v>32</v>
      </c>
      <c r="L2382" t="s">
        <v>32</v>
      </c>
      <c r="M2382" t="s">
        <v>33</v>
      </c>
      <c r="N2382" t="s">
        <v>169</v>
      </c>
      <c r="O2382" t="s">
        <v>169</v>
      </c>
      <c r="P2382" t="s">
        <v>213</v>
      </c>
      <c r="Q2382" t="s">
        <v>2111</v>
      </c>
      <c r="S2382" t="s">
        <v>30</v>
      </c>
      <c r="T2382" t="s">
        <v>2133</v>
      </c>
      <c r="U2382" t="s">
        <v>2134</v>
      </c>
      <c r="V2382" t="s">
        <v>39</v>
      </c>
      <c r="W2382" s="1">
        <v>1</v>
      </c>
    </row>
    <row r="2383" spans="1:23" x14ac:dyDescent="0.2">
      <c r="A2383" t="s">
        <v>2096</v>
      </c>
      <c r="B2383" t="s">
        <v>2097</v>
      </c>
      <c r="C2383" t="s">
        <v>2098</v>
      </c>
      <c r="D2383" t="s">
        <v>2108</v>
      </c>
      <c r="E2383" t="s">
        <v>2109</v>
      </c>
      <c r="F2383" t="s">
        <v>2110</v>
      </c>
      <c r="G2383" t="s">
        <v>170</v>
      </c>
      <c r="H2383" t="s">
        <v>52</v>
      </c>
      <c r="I2383" t="s">
        <v>30</v>
      </c>
      <c r="J2383" t="s">
        <v>41</v>
      </c>
      <c r="K2383" t="s">
        <v>32</v>
      </c>
      <c r="L2383" t="s">
        <v>32</v>
      </c>
      <c r="M2383" t="s">
        <v>33</v>
      </c>
      <c r="N2383" t="s">
        <v>169</v>
      </c>
      <c r="O2383" t="s">
        <v>169</v>
      </c>
      <c r="P2383" t="s">
        <v>213</v>
      </c>
      <c r="Q2383" t="s">
        <v>2111</v>
      </c>
      <c r="S2383" t="s">
        <v>30</v>
      </c>
      <c r="T2383" t="s">
        <v>2133</v>
      </c>
      <c r="U2383" t="s">
        <v>2134</v>
      </c>
      <c r="V2383" t="s">
        <v>40</v>
      </c>
      <c r="W2383" s="1">
        <v>991000</v>
      </c>
    </row>
    <row r="2384" spans="1:23" x14ac:dyDescent="0.2">
      <c r="A2384" t="s">
        <v>2096</v>
      </c>
      <c r="B2384" t="s">
        <v>2097</v>
      </c>
      <c r="C2384" t="s">
        <v>2098</v>
      </c>
      <c r="D2384" t="s">
        <v>2108</v>
      </c>
      <c r="E2384" t="s">
        <v>2109</v>
      </c>
      <c r="F2384" t="s">
        <v>2110</v>
      </c>
      <c r="G2384" t="s">
        <v>64</v>
      </c>
      <c r="H2384" t="s">
        <v>30</v>
      </c>
      <c r="I2384" t="s">
        <v>52</v>
      </c>
      <c r="J2384" t="s">
        <v>128</v>
      </c>
      <c r="K2384" t="s">
        <v>135</v>
      </c>
      <c r="L2384" t="s">
        <v>32</v>
      </c>
      <c r="M2384" t="s">
        <v>33</v>
      </c>
      <c r="N2384" t="s">
        <v>33</v>
      </c>
      <c r="O2384" t="s">
        <v>33</v>
      </c>
      <c r="P2384" t="s">
        <v>213</v>
      </c>
      <c r="Q2384" t="s">
        <v>2118</v>
      </c>
      <c r="R2384" t="s">
        <v>136</v>
      </c>
      <c r="S2384" t="s">
        <v>30</v>
      </c>
      <c r="T2384" t="s">
        <v>2135</v>
      </c>
      <c r="U2384" t="s">
        <v>2136</v>
      </c>
      <c r="V2384" t="s">
        <v>39</v>
      </c>
      <c r="W2384" s="1">
        <v>2</v>
      </c>
    </row>
    <row r="2385" spans="1:23" x14ac:dyDescent="0.2">
      <c r="A2385" t="s">
        <v>2096</v>
      </c>
      <c r="B2385" t="s">
        <v>2097</v>
      </c>
      <c r="C2385" t="s">
        <v>2098</v>
      </c>
      <c r="D2385" t="s">
        <v>2108</v>
      </c>
      <c r="E2385" t="s">
        <v>2109</v>
      </c>
      <c r="F2385" t="s">
        <v>2110</v>
      </c>
      <c r="G2385" t="s">
        <v>64</v>
      </c>
      <c r="H2385" t="s">
        <v>30</v>
      </c>
      <c r="I2385" t="s">
        <v>52</v>
      </c>
      <c r="J2385" t="s">
        <v>128</v>
      </c>
      <c r="K2385" t="s">
        <v>135</v>
      </c>
      <c r="L2385" t="s">
        <v>32</v>
      </c>
      <c r="M2385" t="s">
        <v>33</v>
      </c>
      <c r="N2385" t="s">
        <v>33</v>
      </c>
      <c r="O2385" t="s">
        <v>33</v>
      </c>
      <c r="P2385" t="s">
        <v>213</v>
      </c>
      <c r="Q2385" t="s">
        <v>2118</v>
      </c>
      <c r="R2385" t="s">
        <v>136</v>
      </c>
      <c r="S2385" t="s">
        <v>30</v>
      </c>
      <c r="T2385" t="s">
        <v>2135</v>
      </c>
      <c r="U2385" t="s">
        <v>2136</v>
      </c>
      <c r="V2385" t="s">
        <v>40</v>
      </c>
      <c r="W2385" s="1">
        <v>761800</v>
      </c>
    </row>
    <row r="2386" spans="1:23" x14ac:dyDescent="0.2">
      <c r="A2386" t="s">
        <v>2096</v>
      </c>
      <c r="B2386" t="s">
        <v>2097</v>
      </c>
      <c r="C2386" t="s">
        <v>2098</v>
      </c>
      <c r="D2386" t="s">
        <v>2108</v>
      </c>
      <c r="E2386" t="s">
        <v>2109</v>
      </c>
      <c r="F2386" t="s">
        <v>2110</v>
      </c>
      <c r="G2386" t="s">
        <v>67</v>
      </c>
      <c r="H2386" t="s">
        <v>30</v>
      </c>
      <c r="I2386" t="s">
        <v>30</v>
      </c>
      <c r="J2386" t="s">
        <v>31</v>
      </c>
      <c r="K2386" t="s">
        <v>32</v>
      </c>
      <c r="L2386" t="s">
        <v>32</v>
      </c>
      <c r="M2386" t="s">
        <v>33</v>
      </c>
      <c r="P2386" t="s">
        <v>213</v>
      </c>
      <c r="Q2386" t="s">
        <v>2111</v>
      </c>
      <c r="S2386" t="s">
        <v>52</v>
      </c>
      <c r="T2386" t="s">
        <v>2137</v>
      </c>
      <c r="U2386" t="s">
        <v>2138</v>
      </c>
      <c r="V2386" t="s">
        <v>39</v>
      </c>
      <c r="W2386" s="1">
        <v>0</v>
      </c>
    </row>
    <row r="2387" spans="1:23" x14ac:dyDescent="0.2">
      <c r="A2387" t="s">
        <v>2096</v>
      </c>
      <c r="B2387" t="s">
        <v>2097</v>
      </c>
      <c r="C2387" t="s">
        <v>2098</v>
      </c>
      <c r="D2387" t="s">
        <v>2108</v>
      </c>
      <c r="E2387" t="s">
        <v>2109</v>
      </c>
      <c r="F2387" t="s">
        <v>2110</v>
      </c>
      <c r="G2387" t="s">
        <v>67</v>
      </c>
      <c r="H2387" t="s">
        <v>30</v>
      </c>
      <c r="I2387" t="s">
        <v>30</v>
      </c>
      <c r="J2387" t="s">
        <v>31</v>
      </c>
      <c r="K2387" t="s">
        <v>32</v>
      </c>
      <c r="L2387" t="s">
        <v>32</v>
      </c>
      <c r="M2387" t="s">
        <v>33</v>
      </c>
      <c r="P2387" t="s">
        <v>213</v>
      </c>
      <c r="Q2387" t="s">
        <v>2111</v>
      </c>
      <c r="S2387" t="s">
        <v>52</v>
      </c>
      <c r="T2387" t="s">
        <v>2137</v>
      </c>
      <c r="U2387" t="s">
        <v>2138</v>
      </c>
      <c r="V2387" t="s">
        <v>40</v>
      </c>
      <c r="W2387" s="1">
        <v>0</v>
      </c>
    </row>
    <row r="2388" spans="1:23" x14ac:dyDescent="0.2">
      <c r="A2388" t="s">
        <v>2096</v>
      </c>
      <c r="B2388" t="s">
        <v>2097</v>
      </c>
      <c r="C2388" t="s">
        <v>2098</v>
      </c>
      <c r="D2388" t="s">
        <v>2108</v>
      </c>
      <c r="E2388" t="s">
        <v>2109</v>
      </c>
      <c r="F2388" t="s">
        <v>2110</v>
      </c>
      <c r="G2388" t="s">
        <v>67</v>
      </c>
      <c r="H2388" t="s">
        <v>30</v>
      </c>
      <c r="I2388" t="s">
        <v>30</v>
      </c>
      <c r="J2388" t="s">
        <v>41</v>
      </c>
      <c r="K2388" t="s">
        <v>32</v>
      </c>
      <c r="L2388" t="s">
        <v>32</v>
      </c>
      <c r="M2388" t="s">
        <v>33</v>
      </c>
      <c r="N2388" t="s">
        <v>33</v>
      </c>
      <c r="O2388" t="s">
        <v>33</v>
      </c>
      <c r="P2388" t="s">
        <v>213</v>
      </c>
      <c r="Q2388" t="s">
        <v>2111</v>
      </c>
      <c r="S2388" t="s">
        <v>30</v>
      </c>
      <c r="T2388" t="s">
        <v>1915</v>
      </c>
      <c r="U2388" t="s">
        <v>2139</v>
      </c>
      <c r="V2388" t="s">
        <v>39</v>
      </c>
      <c r="W2388" s="1">
        <v>2</v>
      </c>
    </row>
    <row r="2389" spans="1:23" x14ac:dyDescent="0.2">
      <c r="A2389" t="s">
        <v>2096</v>
      </c>
      <c r="B2389" t="s">
        <v>2097</v>
      </c>
      <c r="C2389" t="s">
        <v>2098</v>
      </c>
      <c r="D2389" t="s">
        <v>2108</v>
      </c>
      <c r="E2389" t="s">
        <v>2109</v>
      </c>
      <c r="F2389" t="s">
        <v>2110</v>
      </c>
      <c r="G2389" t="s">
        <v>67</v>
      </c>
      <c r="H2389" t="s">
        <v>30</v>
      </c>
      <c r="I2389" t="s">
        <v>30</v>
      </c>
      <c r="J2389" t="s">
        <v>41</v>
      </c>
      <c r="K2389" t="s">
        <v>32</v>
      </c>
      <c r="L2389" t="s">
        <v>32</v>
      </c>
      <c r="M2389" t="s">
        <v>33</v>
      </c>
      <c r="N2389" t="s">
        <v>33</v>
      </c>
      <c r="O2389" t="s">
        <v>33</v>
      </c>
      <c r="P2389" t="s">
        <v>213</v>
      </c>
      <c r="Q2389" t="s">
        <v>2111</v>
      </c>
      <c r="S2389" t="s">
        <v>30</v>
      </c>
      <c r="T2389" t="s">
        <v>1915</v>
      </c>
      <c r="U2389" t="s">
        <v>2139</v>
      </c>
      <c r="V2389" t="s">
        <v>40</v>
      </c>
      <c r="W2389" s="1">
        <v>3398000</v>
      </c>
    </row>
    <row r="2390" spans="1:23" x14ac:dyDescent="0.2">
      <c r="A2390" t="s">
        <v>2096</v>
      </c>
      <c r="B2390" t="s">
        <v>2097</v>
      </c>
      <c r="C2390" t="s">
        <v>2098</v>
      </c>
      <c r="D2390" t="s">
        <v>2108</v>
      </c>
      <c r="E2390" t="s">
        <v>2109</v>
      </c>
      <c r="F2390" t="s">
        <v>2110</v>
      </c>
      <c r="G2390" t="s">
        <v>67</v>
      </c>
      <c r="H2390" t="s">
        <v>30</v>
      </c>
      <c r="I2390" t="s">
        <v>30</v>
      </c>
      <c r="J2390" t="s">
        <v>41</v>
      </c>
      <c r="K2390" t="s">
        <v>32</v>
      </c>
      <c r="L2390" t="s">
        <v>32</v>
      </c>
      <c r="M2390" t="s">
        <v>33</v>
      </c>
      <c r="N2390" t="s">
        <v>33</v>
      </c>
      <c r="O2390" t="s">
        <v>33</v>
      </c>
      <c r="P2390" t="s">
        <v>34</v>
      </c>
      <c r="Q2390" t="s">
        <v>35</v>
      </c>
      <c r="S2390" t="s">
        <v>30</v>
      </c>
      <c r="T2390" t="s">
        <v>2140</v>
      </c>
      <c r="U2390" t="s">
        <v>2141</v>
      </c>
      <c r="V2390" t="s">
        <v>39</v>
      </c>
      <c r="W2390" s="1">
        <v>4</v>
      </c>
    </row>
    <row r="2391" spans="1:23" x14ac:dyDescent="0.2">
      <c r="A2391" t="s">
        <v>2096</v>
      </c>
      <c r="B2391" t="s">
        <v>2097</v>
      </c>
      <c r="C2391" t="s">
        <v>2098</v>
      </c>
      <c r="D2391" t="s">
        <v>2108</v>
      </c>
      <c r="E2391" t="s">
        <v>2109</v>
      </c>
      <c r="F2391" t="s">
        <v>2110</v>
      </c>
      <c r="G2391" t="s">
        <v>67</v>
      </c>
      <c r="H2391" t="s">
        <v>30</v>
      </c>
      <c r="I2391" t="s">
        <v>30</v>
      </c>
      <c r="J2391" t="s">
        <v>41</v>
      </c>
      <c r="K2391" t="s">
        <v>32</v>
      </c>
      <c r="L2391" t="s">
        <v>32</v>
      </c>
      <c r="M2391" t="s">
        <v>33</v>
      </c>
      <c r="N2391" t="s">
        <v>33</v>
      </c>
      <c r="O2391" t="s">
        <v>33</v>
      </c>
      <c r="P2391" t="s">
        <v>34</v>
      </c>
      <c r="Q2391" t="s">
        <v>35</v>
      </c>
      <c r="S2391" t="s">
        <v>30</v>
      </c>
      <c r="T2391" t="s">
        <v>2140</v>
      </c>
      <c r="U2391" t="s">
        <v>2141</v>
      </c>
      <c r="V2391" t="s">
        <v>40</v>
      </c>
      <c r="W2391" s="1">
        <v>14620000</v>
      </c>
    </row>
    <row r="2392" spans="1:23" x14ac:dyDescent="0.2">
      <c r="A2392" t="s">
        <v>2096</v>
      </c>
      <c r="B2392" t="s">
        <v>2097</v>
      </c>
      <c r="C2392" t="s">
        <v>2098</v>
      </c>
      <c r="D2392" t="s">
        <v>2108</v>
      </c>
      <c r="E2392" t="s">
        <v>2109</v>
      </c>
      <c r="F2392" t="s">
        <v>2110</v>
      </c>
      <c r="G2392" t="s">
        <v>67</v>
      </c>
      <c r="H2392" t="s">
        <v>30</v>
      </c>
      <c r="I2392" t="s">
        <v>30</v>
      </c>
      <c r="J2392" t="s">
        <v>41</v>
      </c>
      <c r="K2392" t="s">
        <v>32</v>
      </c>
      <c r="L2392" t="s">
        <v>32</v>
      </c>
      <c r="M2392" t="s">
        <v>33</v>
      </c>
      <c r="N2392" t="s">
        <v>33</v>
      </c>
      <c r="O2392" t="s">
        <v>33</v>
      </c>
      <c r="P2392" t="s">
        <v>42</v>
      </c>
      <c r="Q2392" t="s">
        <v>43</v>
      </c>
      <c r="S2392" t="s">
        <v>30</v>
      </c>
      <c r="T2392" t="s">
        <v>2142</v>
      </c>
      <c r="U2392" t="s">
        <v>2143</v>
      </c>
      <c r="V2392" t="s">
        <v>39</v>
      </c>
      <c r="W2392" s="1">
        <v>2</v>
      </c>
    </row>
    <row r="2393" spans="1:23" x14ac:dyDescent="0.2">
      <c r="A2393" t="s">
        <v>2096</v>
      </c>
      <c r="B2393" t="s">
        <v>2097</v>
      </c>
      <c r="C2393" t="s">
        <v>2098</v>
      </c>
      <c r="D2393" t="s">
        <v>2108</v>
      </c>
      <c r="E2393" t="s">
        <v>2109</v>
      </c>
      <c r="F2393" t="s">
        <v>2110</v>
      </c>
      <c r="G2393" t="s">
        <v>67</v>
      </c>
      <c r="H2393" t="s">
        <v>30</v>
      </c>
      <c r="I2393" t="s">
        <v>30</v>
      </c>
      <c r="J2393" t="s">
        <v>41</v>
      </c>
      <c r="K2393" t="s">
        <v>32</v>
      </c>
      <c r="L2393" t="s">
        <v>32</v>
      </c>
      <c r="M2393" t="s">
        <v>33</v>
      </c>
      <c r="N2393" t="s">
        <v>33</v>
      </c>
      <c r="O2393" t="s">
        <v>33</v>
      </c>
      <c r="P2393" t="s">
        <v>42</v>
      </c>
      <c r="Q2393" t="s">
        <v>43</v>
      </c>
      <c r="S2393" t="s">
        <v>30</v>
      </c>
      <c r="T2393" t="s">
        <v>2142</v>
      </c>
      <c r="U2393" t="s">
        <v>2143</v>
      </c>
      <c r="V2393" t="s">
        <v>40</v>
      </c>
      <c r="W2393" s="1">
        <v>3599800</v>
      </c>
    </row>
    <row r="2394" spans="1:23" x14ac:dyDescent="0.2">
      <c r="A2394" t="s">
        <v>2096</v>
      </c>
      <c r="B2394" t="s">
        <v>2097</v>
      </c>
      <c r="C2394" t="s">
        <v>2098</v>
      </c>
      <c r="D2394" t="s">
        <v>2108</v>
      </c>
      <c r="E2394" t="s">
        <v>2109</v>
      </c>
      <c r="F2394" t="s">
        <v>2110</v>
      </c>
      <c r="G2394" t="s">
        <v>67</v>
      </c>
      <c r="H2394" t="s">
        <v>30</v>
      </c>
      <c r="I2394" t="s">
        <v>30</v>
      </c>
      <c r="J2394" t="s">
        <v>41</v>
      </c>
      <c r="K2394" t="s">
        <v>32</v>
      </c>
      <c r="L2394" t="s">
        <v>32</v>
      </c>
      <c r="M2394" t="s">
        <v>33</v>
      </c>
      <c r="P2394" t="s">
        <v>213</v>
      </c>
      <c r="Q2394" t="s">
        <v>2111</v>
      </c>
      <c r="S2394" t="s">
        <v>52</v>
      </c>
      <c r="T2394" t="s">
        <v>2144</v>
      </c>
      <c r="U2394" t="s">
        <v>2145</v>
      </c>
      <c r="V2394" t="s">
        <v>39</v>
      </c>
      <c r="W2394" s="1">
        <v>0</v>
      </c>
    </row>
    <row r="2395" spans="1:23" x14ac:dyDescent="0.2">
      <c r="A2395" t="s">
        <v>2096</v>
      </c>
      <c r="B2395" t="s">
        <v>2097</v>
      </c>
      <c r="C2395" t="s">
        <v>2098</v>
      </c>
      <c r="D2395" t="s">
        <v>2108</v>
      </c>
      <c r="E2395" t="s">
        <v>2109</v>
      </c>
      <c r="F2395" t="s">
        <v>2110</v>
      </c>
      <c r="G2395" t="s">
        <v>67</v>
      </c>
      <c r="H2395" t="s">
        <v>30</v>
      </c>
      <c r="I2395" t="s">
        <v>30</v>
      </c>
      <c r="J2395" t="s">
        <v>41</v>
      </c>
      <c r="K2395" t="s">
        <v>32</v>
      </c>
      <c r="L2395" t="s">
        <v>32</v>
      </c>
      <c r="M2395" t="s">
        <v>33</v>
      </c>
      <c r="P2395" t="s">
        <v>213</v>
      </c>
      <c r="Q2395" t="s">
        <v>2111</v>
      </c>
      <c r="S2395" t="s">
        <v>52</v>
      </c>
      <c r="T2395" t="s">
        <v>2144</v>
      </c>
      <c r="U2395" t="s">
        <v>2145</v>
      </c>
      <c r="V2395" t="s">
        <v>40</v>
      </c>
      <c r="W2395" s="1">
        <v>0</v>
      </c>
    </row>
    <row r="2396" spans="1:23" x14ac:dyDescent="0.2">
      <c r="A2396" t="s">
        <v>2096</v>
      </c>
      <c r="B2396" t="s">
        <v>2097</v>
      </c>
      <c r="C2396" t="s">
        <v>2098</v>
      </c>
      <c r="D2396" t="s">
        <v>2108</v>
      </c>
      <c r="E2396" t="s">
        <v>2109</v>
      </c>
      <c r="F2396" t="s">
        <v>2110</v>
      </c>
      <c r="G2396" t="s">
        <v>67</v>
      </c>
      <c r="H2396" t="s">
        <v>30</v>
      </c>
      <c r="I2396" t="s">
        <v>30</v>
      </c>
      <c r="J2396" t="s">
        <v>41</v>
      </c>
      <c r="K2396" t="s">
        <v>32</v>
      </c>
      <c r="L2396" t="s">
        <v>32</v>
      </c>
      <c r="M2396" t="s">
        <v>33</v>
      </c>
      <c r="P2396" t="s">
        <v>34</v>
      </c>
      <c r="Q2396" t="s">
        <v>35</v>
      </c>
      <c r="S2396" t="s">
        <v>52</v>
      </c>
      <c r="T2396" t="s">
        <v>1915</v>
      </c>
      <c r="U2396" t="s">
        <v>2146</v>
      </c>
      <c r="V2396" t="s">
        <v>39</v>
      </c>
      <c r="W2396" s="1">
        <v>0</v>
      </c>
    </row>
    <row r="2397" spans="1:23" x14ac:dyDescent="0.2">
      <c r="A2397" t="s">
        <v>2096</v>
      </c>
      <c r="B2397" t="s">
        <v>2097</v>
      </c>
      <c r="C2397" t="s">
        <v>2098</v>
      </c>
      <c r="D2397" t="s">
        <v>2108</v>
      </c>
      <c r="E2397" t="s">
        <v>2109</v>
      </c>
      <c r="F2397" t="s">
        <v>2110</v>
      </c>
      <c r="G2397" t="s">
        <v>67</v>
      </c>
      <c r="H2397" t="s">
        <v>30</v>
      </c>
      <c r="I2397" t="s">
        <v>30</v>
      </c>
      <c r="J2397" t="s">
        <v>41</v>
      </c>
      <c r="K2397" t="s">
        <v>32</v>
      </c>
      <c r="L2397" t="s">
        <v>32</v>
      </c>
      <c r="M2397" t="s">
        <v>33</v>
      </c>
      <c r="P2397" t="s">
        <v>34</v>
      </c>
      <c r="Q2397" t="s">
        <v>35</v>
      </c>
      <c r="S2397" t="s">
        <v>52</v>
      </c>
      <c r="T2397" t="s">
        <v>1915</v>
      </c>
      <c r="U2397" t="s">
        <v>2146</v>
      </c>
      <c r="V2397" t="s">
        <v>40</v>
      </c>
      <c r="W2397" s="1">
        <v>0</v>
      </c>
    </row>
    <row r="2398" spans="1:23" x14ac:dyDescent="0.2">
      <c r="A2398" t="s">
        <v>2096</v>
      </c>
      <c r="B2398" t="s">
        <v>2097</v>
      </c>
      <c r="C2398" t="s">
        <v>2098</v>
      </c>
      <c r="D2398" t="s">
        <v>2108</v>
      </c>
      <c r="E2398" t="s">
        <v>2109</v>
      </c>
      <c r="F2398" t="s">
        <v>2110</v>
      </c>
      <c r="G2398" t="s">
        <v>67</v>
      </c>
      <c r="H2398" t="s">
        <v>30</v>
      </c>
      <c r="I2398" t="s">
        <v>30</v>
      </c>
      <c r="J2398" t="s">
        <v>57</v>
      </c>
      <c r="K2398" t="s">
        <v>32</v>
      </c>
      <c r="L2398" t="s">
        <v>32</v>
      </c>
      <c r="M2398" t="s">
        <v>33</v>
      </c>
      <c r="N2398" t="s">
        <v>33</v>
      </c>
      <c r="O2398" t="s">
        <v>33</v>
      </c>
      <c r="P2398" t="s">
        <v>213</v>
      </c>
      <c r="Q2398" t="s">
        <v>2111</v>
      </c>
      <c r="S2398" t="s">
        <v>30</v>
      </c>
      <c r="T2398" t="s">
        <v>2147</v>
      </c>
      <c r="U2398" t="s">
        <v>2148</v>
      </c>
      <c r="V2398" t="s">
        <v>39</v>
      </c>
      <c r="W2398" s="1">
        <v>2</v>
      </c>
    </row>
    <row r="2399" spans="1:23" x14ac:dyDescent="0.2">
      <c r="A2399" t="s">
        <v>2096</v>
      </c>
      <c r="B2399" t="s">
        <v>2097</v>
      </c>
      <c r="C2399" t="s">
        <v>2098</v>
      </c>
      <c r="D2399" t="s">
        <v>2108</v>
      </c>
      <c r="E2399" t="s">
        <v>2109</v>
      </c>
      <c r="F2399" t="s">
        <v>2110</v>
      </c>
      <c r="G2399" t="s">
        <v>67</v>
      </c>
      <c r="H2399" t="s">
        <v>30</v>
      </c>
      <c r="I2399" t="s">
        <v>30</v>
      </c>
      <c r="J2399" t="s">
        <v>57</v>
      </c>
      <c r="K2399" t="s">
        <v>32</v>
      </c>
      <c r="L2399" t="s">
        <v>32</v>
      </c>
      <c r="M2399" t="s">
        <v>33</v>
      </c>
      <c r="N2399" t="s">
        <v>33</v>
      </c>
      <c r="O2399" t="s">
        <v>33</v>
      </c>
      <c r="P2399" t="s">
        <v>213</v>
      </c>
      <c r="Q2399" t="s">
        <v>2111</v>
      </c>
      <c r="S2399" t="s">
        <v>30</v>
      </c>
      <c r="T2399" t="s">
        <v>2147</v>
      </c>
      <c r="U2399" t="s">
        <v>2148</v>
      </c>
      <c r="V2399" t="s">
        <v>40</v>
      </c>
      <c r="W2399" s="1">
        <v>3399800</v>
      </c>
    </row>
    <row r="2400" spans="1:23" x14ac:dyDescent="0.2">
      <c r="A2400" t="s">
        <v>2096</v>
      </c>
      <c r="B2400" t="s">
        <v>2097</v>
      </c>
      <c r="C2400" t="s">
        <v>2098</v>
      </c>
      <c r="D2400" t="s">
        <v>2108</v>
      </c>
      <c r="E2400" t="s">
        <v>2109</v>
      </c>
      <c r="F2400" t="s">
        <v>2110</v>
      </c>
      <c r="G2400" t="s">
        <v>89</v>
      </c>
      <c r="H2400" t="s">
        <v>30</v>
      </c>
      <c r="I2400" t="s">
        <v>30</v>
      </c>
      <c r="J2400" t="s">
        <v>31</v>
      </c>
      <c r="K2400" t="s">
        <v>32</v>
      </c>
      <c r="L2400" t="s">
        <v>32</v>
      </c>
      <c r="M2400" t="s">
        <v>33</v>
      </c>
      <c r="N2400" t="s">
        <v>33</v>
      </c>
      <c r="O2400" t="s">
        <v>33</v>
      </c>
      <c r="P2400" t="s">
        <v>34</v>
      </c>
      <c r="Q2400" t="s">
        <v>35</v>
      </c>
      <c r="R2400" t="s">
        <v>353</v>
      </c>
      <c r="S2400" t="s">
        <v>30</v>
      </c>
      <c r="T2400" t="s">
        <v>2149</v>
      </c>
      <c r="U2400" t="s">
        <v>2150</v>
      </c>
      <c r="V2400" t="s">
        <v>39</v>
      </c>
      <c r="W2400" s="1">
        <v>3</v>
      </c>
    </row>
    <row r="2401" spans="1:23" x14ac:dyDescent="0.2">
      <c r="A2401" t="s">
        <v>2096</v>
      </c>
      <c r="B2401" t="s">
        <v>2097</v>
      </c>
      <c r="C2401" t="s">
        <v>2098</v>
      </c>
      <c r="D2401" t="s">
        <v>2108</v>
      </c>
      <c r="E2401" t="s">
        <v>2109</v>
      </c>
      <c r="F2401" t="s">
        <v>2110</v>
      </c>
      <c r="G2401" t="s">
        <v>89</v>
      </c>
      <c r="H2401" t="s">
        <v>30</v>
      </c>
      <c r="I2401" t="s">
        <v>30</v>
      </c>
      <c r="J2401" t="s">
        <v>31</v>
      </c>
      <c r="K2401" t="s">
        <v>32</v>
      </c>
      <c r="L2401" t="s">
        <v>32</v>
      </c>
      <c r="M2401" t="s">
        <v>33</v>
      </c>
      <c r="N2401" t="s">
        <v>33</v>
      </c>
      <c r="O2401" t="s">
        <v>33</v>
      </c>
      <c r="P2401" t="s">
        <v>34</v>
      </c>
      <c r="Q2401" t="s">
        <v>35</v>
      </c>
      <c r="R2401" t="s">
        <v>353</v>
      </c>
      <c r="S2401" t="s">
        <v>30</v>
      </c>
      <c r="T2401" t="s">
        <v>2149</v>
      </c>
      <c r="U2401" t="s">
        <v>2150</v>
      </c>
      <c r="V2401" t="s">
        <v>40</v>
      </c>
      <c r="W2401" s="1">
        <v>404700</v>
      </c>
    </row>
    <row r="2402" spans="1:23" x14ac:dyDescent="0.2">
      <c r="A2402" t="s">
        <v>2096</v>
      </c>
      <c r="B2402" t="s">
        <v>2097</v>
      </c>
      <c r="C2402" t="s">
        <v>2098</v>
      </c>
      <c r="D2402" t="s">
        <v>2108</v>
      </c>
      <c r="E2402" t="s">
        <v>2109</v>
      </c>
      <c r="F2402" t="s">
        <v>2110</v>
      </c>
      <c r="G2402" t="s">
        <v>89</v>
      </c>
      <c r="H2402" t="s">
        <v>30</v>
      </c>
      <c r="I2402" t="s">
        <v>30</v>
      </c>
      <c r="J2402" t="s">
        <v>31</v>
      </c>
      <c r="K2402" t="s">
        <v>32</v>
      </c>
      <c r="L2402" t="s">
        <v>32</v>
      </c>
      <c r="M2402" t="s">
        <v>33</v>
      </c>
      <c r="N2402" t="s">
        <v>33</v>
      </c>
      <c r="O2402" t="s">
        <v>33</v>
      </c>
      <c r="P2402" t="s">
        <v>34</v>
      </c>
      <c r="Q2402" t="s">
        <v>35</v>
      </c>
      <c r="S2402" t="s">
        <v>30</v>
      </c>
      <c r="T2402" t="s">
        <v>2151</v>
      </c>
      <c r="U2402" t="s">
        <v>2152</v>
      </c>
      <c r="V2402" t="s">
        <v>39</v>
      </c>
      <c r="W2402" s="1">
        <v>1</v>
      </c>
    </row>
    <row r="2403" spans="1:23" x14ac:dyDescent="0.2">
      <c r="A2403" t="s">
        <v>2096</v>
      </c>
      <c r="B2403" t="s">
        <v>2097</v>
      </c>
      <c r="C2403" t="s">
        <v>2098</v>
      </c>
      <c r="D2403" t="s">
        <v>2108</v>
      </c>
      <c r="E2403" t="s">
        <v>2109</v>
      </c>
      <c r="F2403" t="s">
        <v>2110</v>
      </c>
      <c r="G2403" t="s">
        <v>89</v>
      </c>
      <c r="H2403" t="s">
        <v>30</v>
      </c>
      <c r="I2403" t="s">
        <v>30</v>
      </c>
      <c r="J2403" t="s">
        <v>31</v>
      </c>
      <c r="K2403" t="s">
        <v>32</v>
      </c>
      <c r="L2403" t="s">
        <v>32</v>
      </c>
      <c r="M2403" t="s">
        <v>33</v>
      </c>
      <c r="N2403" t="s">
        <v>33</v>
      </c>
      <c r="O2403" t="s">
        <v>33</v>
      </c>
      <c r="P2403" t="s">
        <v>34</v>
      </c>
      <c r="Q2403" t="s">
        <v>35</v>
      </c>
      <c r="S2403" t="s">
        <v>30</v>
      </c>
      <c r="T2403" t="s">
        <v>2151</v>
      </c>
      <c r="U2403" t="s">
        <v>2152</v>
      </c>
      <c r="V2403" t="s">
        <v>40</v>
      </c>
      <c r="W2403" s="1">
        <v>849900</v>
      </c>
    </row>
    <row r="2404" spans="1:23" x14ac:dyDescent="0.2">
      <c r="A2404" t="s">
        <v>2096</v>
      </c>
      <c r="B2404" t="s">
        <v>2097</v>
      </c>
      <c r="C2404" t="s">
        <v>2098</v>
      </c>
      <c r="D2404" t="s">
        <v>2108</v>
      </c>
      <c r="E2404" t="s">
        <v>2109</v>
      </c>
      <c r="F2404" t="s">
        <v>2110</v>
      </c>
      <c r="G2404" t="s">
        <v>89</v>
      </c>
      <c r="H2404" t="s">
        <v>30</v>
      </c>
      <c r="I2404" t="s">
        <v>30</v>
      </c>
      <c r="J2404" t="s">
        <v>31</v>
      </c>
      <c r="K2404" t="s">
        <v>32</v>
      </c>
      <c r="L2404" t="s">
        <v>32</v>
      </c>
      <c r="M2404" t="s">
        <v>33</v>
      </c>
      <c r="P2404" t="s">
        <v>34</v>
      </c>
      <c r="Q2404" t="s">
        <v>35</v>
      </c>
      <c r="S2404" t="s">
        <v>30</v>
      </c>
      <c r="T2404" t="s">
        <v>2153</v>
      </c>
      <c r="U2404" t="s">
        <v>2154</v>
      </c>
      <c r="V2404" t="s">
        <v>39</v>
      </c>
      <c r="W2404" s="1">
        <v>2</v>
      </c>
    </row>
    <row r="2405" spans="1:23" x14ac:dyDescent="0.2">
      <c r="A2405" t="s">
        <v>2096</v>
      </c>
      <c r="B2405" t="s">
        <v>2097</v>
      </c>
      <c r="C2405" t="s">
        <v>2098</v>
      </c>
      <c r="D2405" t="s">
        <v>2108</v>
      </c>
      <c r="E2405" t="s">
        <v>2109</v>
      </c>
      <c r="F2405" t="s">
        <v>2110</v>
      </c>
      <c r="G2405" t="s">
        <v>89</v>
      </c>
      <c r="H2405" t="s">
        <v>30</v>
      </c>
      <c r="I2405" t="s">
        <v>30</v>
      </c>
      <c r="J2405" t="s">
        <v>31</v>
      </c>
      <c r="K2405" t="s">
        <v>32</v>
      </c>
      <c r="L2405" t="s">
        <v>32</v>
      </c>
      <c r="M2405" t="s">
        <v>33</v>
      </c>
      <c r="P2405" t="s">
        <v>34</v>
      </c>
      <c r="Q2405" t="s">
        <v>35</v>
      </c>
      <c r="S2405" t="s">
        <v>30</v>
      </c>
      <c r="T2405" t="s">
        <v>2153</v>
      </c>
      <c r="U2405" t="s">
        <v>2154</v>
      </c>
      <c r="V2405" t="s">
        <v>40</v>
      </c>
      <c r="W2405" s="1">
        <v>2039800</v>
      </c>
    </row>
    <row r="2406" spans="1:23" x14ac:dyDescent="0.2">
      <c r="A2406" t="s">
        <v>2096</v>
      </c>
      <c r="B2406" t="s">
        <v>2097</v>
      </c>
      <c r="C2406" t="s">
        <v>2098</v>
      </c>
      <c r="D2406" t="s">
        <v>2108</v>
      </c>
      <c r="E2406" t="s">
        <v>2109</v>
      </c>
      <c r="F2406" t="s">
        <v>2110</v>
      </c>
      <c r="G2406" t="s">
        <v>89</v>
      </c>
      <c r="H2406" t="s">
        <v>30</v>
      </c>
      <c r="I2406" t="s">
        <v>30</v>
      </c>
      <c r="J2406" t="s">
        <v>31</v>
      </c>
      <c r="K2406" t="s">
        <v>32</v>
      </c>
      <c r="L2406" t="s">
        <v>32</v>
      </c>
      <c r="M2406" t="s">
        <v>33</v>
      </c>
      <c r="P2406" t="s">
        <v>34</v>
      </c>
      <c r="Q2406" t="s">
        <v>35</v>
      </c>
      <c r="S2406" t="s">
        <v>52</v>
      </c>
      <c r="T2406" t="s">
        <v>2151</v>
      </c>
      <c r="U2406" t="s">
        <v>2152</v>
      </c>
      <c r="V2406" t="s">
        <v>39</v>
      </c>
      <c r="W2406" s="1">
        <v>0</v>
      </c>
    </row>
    <row r="2407" spans="1:23" x14ac:dyDescent="0.2">
      <c r="A2407" t="s">
        <v>2096</v>
      </c>
      <c r="B2407" t="s">
        <v>2097</v>
      </c>
      <c r="C2407" t="s">
        <v>2098</v>
      </c>
      <c r="D2407" t="s">
        <v>2108</v>
      </c>
      <c r="E2407" t="s">
        <v>2109</v>
      </c>
      <c r="F2407" t="s">
        <v>2110</v>
      </c>
      <c r="G2407" t="s">
        <v>89</v>
      </c>
      <c r="H2407" t="s">
        <v>30</v>
      </c>
      <c r="I2407" t="s">
        <v>30</v>
      </c>
      <c r="J2407" t="s">
        <v>31</v>
      </c>
      <c r="K2407" t="s">
        <v>32</v>
      </c>
      <c r="L2407" t="s">
        <v>32</v>
      </c>
      <c r="M2407" t="s">
        <v>33</v>
      </c>
      <c r="P2407" t="s">
        <v>34</v>
      </c>
      <c r="Q2407" t="s">
        <v>35</v>
      </c>
      <c r="S2407" t="s">
        <v>52</v>
      </c>
      <c r="T2407" t="s">
        <v>2151</v>
      </c>
      <c r="U2407" t="s">
        <v>2152</v>
      </c>
      <c r="V2407" t="s">
        <v>40</v>
      </c>
      <c r="W2407" s="1">
        <v>0</v>
      </c>
    </row>
    <row r="2408" spans="1:23" x14ac:dyDescent="0.2">
      <c r="A2408" t="s">
        <v>2096</v>
      </c>
      <c r="B2408" t="s">
        <v>2097</v>
      </c>
      <c r="C2408" t="s">
        <v>2098</v>
      </c>
      <c r="D2408" t="s">
        <v>2108</v>
      </c>
      <c r="E2408" t="s">
        <v>2109</v>
      </c>
      <c r="F2408" t="s">
        <v>2110</v>
      </c>
      <c r="G2408" t="s">
        <v>89</v>
      </c>
      <c r="H2408" t="s">
        <v>30</v>
      </c>
      <c r="I2408" t="s">
        <v>30</v>
      </c>
      <c r="J2408" t="s">
        <v>41</v>
      </c>
      <c r="K2408" t="s">
        <v>32</v>
      </c>
      <c r="L2408" t="s">
        <v>32</v>
      </c>
      <c r="M2408" t="s">
        <v>33</v>
      </c>
      <c r="N2408" t="s">
        <v>33</v>
      </c>
      <c r="O2408" t="s">
        <v>33</v>
      </c>
      <c r="P2408" t="s">
        <v>213</v>
      </c>
      <c r="Q2408" t="s">
        <v>2111</v>
      </c>
      <c r="S2408" t="s">
        <v>30</v>
      </c>
      <c r="T2408" t="s">
        <v>2155</v>
      </c>
      <c r="U2408" t="s">
        <v>2156</v>
      </c>
      <c r="V2408" t="s">
        <v>39</v>
      </c>
      <c r="W2408" s="1">
        <v>2</v>
      </c>
    </row>
    <row r="2409" spans="1:23" x14ac:dyDescent="0.2">
      <c r="A2409" t="s">
        <v>2096</v>
      </c>
      <c r="B2409" t="s">
        <v>2097</v>
      </c>
      <c r="C2409" t="s">
        <v>2098</v>
      </c>
      <c r="D2409" t="s">
        <v>2108</v>
      </c>
      <c r="E2409" t="s">
        <v>2109</v>
      </c>
      <c r="F2409" t="s">
        <v>2110</v>
      </c>
      <c r="G2409" t="s">
        <v>89</v>
      </c>
      <c r="H2409" t="s">
        <v>30</v>
      </c>
      <c r="I2409" t="s">
        <v>30</v>
      </c>
      <c r="J2409" t="s">
        <v>41</v>
      </c>
      <c r="K2409" t="s">
        <v>32</v>
      </c>
      <c r="L2409" t="s">
        <v>32</v>
      </c>
      <c r="M2409" t="s">
        <v>33</v>
      </c>
      <c r="N2409" t="s">
        <v>33</v>
      </c>
      <c r="O2409" t="s">
        <v>33</v>
      </c>
      <c r="P2409" t="s">
        <v>213</v>
      </c>
      <c r="Q2409" t="s">
        <v>2111</v>
      </c>
      <c r="S2409" t="s">
        <v>30</v>
      </c>
      <c r="T2409" t="s">
        <v>2155</v>
      </c>
      <c r="U2409" t="s">
        <v>2156</v>
      </c>
      <c r="V2409" t="s">
        <v>40</v>
      </c>
      <c r="W2409" s="1">
        <v>2239800</v>
      </c>
    </row>
    <row r="2410" spans="1:23" x14ac:dyDescent="0.2">
      <c r="A2410" t="s">
        <v>2096</v>
      </c>
      <c r="B2410" t="s">
        <v>2097</v>
      </c>
      <c r="C2410" t="s">
        <v>2098</v>
      </c>
      <c r="D2410" t="s">
        <v>2108</v>
      </c>
      <c r="E2410" t="s">
        <v>2109</v>
      </c>
      <c r="F2410" t="s">
        <v>2110</v>
      </c>
      <c r="G2410" t="s">
        <v>89</v>
      </c>
      <c r="H2410" t="s">
        <v>30</v>
      </c>
      <c r="I2410" t="s">
        <v>30</v>
      </c>
      <c r="J2410" t="s">
        <v>41</v>
      </c>
      <c r="K2410" t="s">
        <v>32</v>
      </c>
      <c r="L2410" t="s">
        <v>32</v>
      </c>
      <c r="M2410" t="s">
        <v>33</v>
      </c>
      <c r="N2410" t="s">
        <v>33</v>
      </c>
      <c r="O2410" t="s">
        <v>33</v>
      </c>
      <c r="P2410" t="s">
        <v>213</v>
      </c>
      <c r="Q2410" t="s">
        <v>2111</v>
      </c>
      <c r="S2410" t="s">
        <v>30</v>
      </c>
      <c r="T2410" t="s">
        <v>2157</v>
      </c>
      <c r="U2410" t="s">
        <v>2158</v>
      </c>
      <c r="V2410" t="s">
        <v>39</v>
      </c>
      <c r="W2410" s="1">
        <v>2</v>
      </c>
    </row>
    <row r="2411" spans="1:23" x14ac:dyDescent="0.2">
      <c r="A2411" t="s">
        <v>2096</v>
      </c>
      <c r="B2411" t="s">
        <v>2097</v>
      </c>
      <c r="C2411" t="s">
        <v>2098</v>
      </c>
      <c r="D2411" t="s">
        <v>2108</v>
      </c>
      <c r="E2411" t="s">
        <v>2109</v>
      </c>
      <c r="F2411" t="s">
        <v>2110</v>
      </c>
      <c r="G2411" t="s">
        <v>89</v>
      </c>
      <c r="H2411" t="s">
        <v>30</v>
      </c>
      <c r="I2411" t="s">
        <v>30</v>
      </c>
      <c r="J2411" t="s">
        <v>41</v>
      </c>
      <c r="K2411" t="s">
        <v>32</v>
      </c>
      <c r="L2411" t="s">
        <v>32</v>
      </c>
      <c r="M2411" t="s">
        <v>33</v>
      </c>
      <c r="N2411" t="s">
        <v>33</v>
      </c>
      <c r="O2411" t="s">
        <v>33</v>
      </c>
      <c r="P2411" t="s">
        <v>213</v>
      </c>
      <c r="Q2411" t="s">
        <v>2111</v>
      </c>
      <c r="S2411" t="s">
        <v>30</v>
      </c>
      <c r="T2411" t="s">
        <v>2157</v>
      </c>
      <c r="U2411" t="s">
        <v>2158</v>
      </c>
      <c r="V2411" t="s">
        <v>40</v>
      </c>
      <c r="W2411" s="1">
        <v>2499800</v>
      </c>
    </row>
    <row r="2412" spans="1:23" x14ac:dyDescent="0.2">
      <c r="A2412" t="s">
        <v>2096</v>
      </c>
      <c r="B2412" t="s">
        <v>2097</v>
      </c>
      <c r="C2412" t="s">
        <v>2098</v>
      </c>
      <c r="D2412" t="s">
        <v>2108</v>
      </c>
      <c r="E2412" t="s">
        <v>2109</v>
      </c>
      <c r="F2412" t="s">
        <v>2110</v>
      </c>
      <c r="G2412" t="s">
        <v>89</v>
      </c>
      <c r="H2412" t="s">
        <v>30</v>
      </c>
      <c r="I2412" t="s">
        <v>30</v>
      </c>
      <c r="J2412" t="s">
        <v>41</v>
      </c>
      <c r="K2412" t="s">
        <v>32</v>
      </c>
      <c r="L2412" t="s">
        <v>32</v>
      </c>
      <c r="M2412" t="s">
        <v>33</v>
      </c>
      <c r="N2412" t="s">
        <v>33</v>
      </c>
      <c r="O2412" t="s">
        <v>33</v>
      </c>
      <c r="P2412" t="s">
        <v>34</v>
      </c>
      <c r="Q2412" t="s">
        <v>35</v>
      </c>
      <c r="S2412" t="s">
        <v>30</v>
      </c>
      <c r="T2412" t="s">
        <v>2159</v>
      </c>
      <c r="U2412" t="s">
        <v>2160</v>
      </c>
      <c r="V2412" t="s">
        <v>39</v>
      </c>
      <c r="W2412" s="1">
        <v>5</v>
      </c>
    </row>
    <row r="2413" spans="1:23" x14ac:dyDescent="0.2">
      <c r="A2413" t="s">
        <v>2096</v>
      </c>
      <c r="B2413" t="s">
        <v>2097</v>
      </c>
      <c r="C2413" t="s">
        <v>2098</v>
      </c>
      <c r="D2413" t="s">
        <v>2108</v>
      </c>
      <c r="E2413" t="s">
        <v>2109</v>
      </c>
      <c r="F2413" t="s">
        <v>2110</v>
      </c>
      <c r="G2413" t="s">
        <v>89</v>
      </c>
      <c r="H2413" t="s">
        <v>30</v>
      </c>
      <c r="I2413" t="s">
        <v>30</v>
      </c>
      <c r="J2413" t="s">
        <v>41</v>
      </c>
      <c r="K2413" t="s">
        <v>32</v>
      </c>
      <c r="L2413" t="s">
        <v>32</v>
      </c>
      <c r="M2413" t="s">
        <v>33</v>
      </c>
      <c r="N2413" t="s">
        <v>33</v>
      </c>
      <c r="O2413" t="s">
        <v>33</v>
      </c>
      <c r="P2413" t="s">
        <v>34</v>
      </c>
      <c r="Q2413" t="s">
        <v>35</v>
      </c>
      <c r="S2413" t="s">
        <v>30</v>
      </c>
      <c r="T2413" t="s">
        <v>2159</v>
      </c>
      <c r="U2413" t="s">
        <v>2160</v>
      </c>
      <c r="V2413" t="s">
        <v>40</v>
      </c>
      <c r="W2413" s="1">
        <v>5840000</v>
      </c>
    </row>
    <row r="2414" spans="1:23" x14ac:dyDescent="0.2">
      <c r="A2414" t="s">
        <v>2096</v>
      </c>
      <c r="B2414" t="s">
        <v>2097</v>
      </c>
      <c r="C2414" t="s">
        <v>2098</v>
      </c>
      <c r="D2414" t="s">
        <v>2108</v>
      </c>
      <c r="E2414" t="s">
        <v>2109</v>
      </c>
      <c r="F2414" t="s">
        <v>2110</v>
      </c>
      <c r="G2414" t="s">
        <v>89</v>
      </c>
      <c r="H2414" t="s">
        <v>30</v>
      </c>
      <c r="I2414" t="s">
        <v>30</v>
      </c>
      <c r="J2414" t="s">
        <v>41</v>
      </c>
      <c r="K2414" t="s">
        <v>32</v>
      </c>
      <c r="L2414" t="s">
        <v>32</v>
      </c>
      <c r="M2414" t="s">
        <v>33</v>
      </c>
      <c r="N2414" t="s">
        <v>33</v>
      </c>
      <c r="O2414" t="s">
        <v>33</v>
      </c>
      <c r="P2414" t="s">
        <v>34</v>
      </c>
      <c r="Q2414" t="s">
        <v>35</v>
      </c>
      <c r="S2414" t="s">
        <v>30</v>
      </c>
      <c r="T2414" t="s">
        <v>2161</v>
      </c>
      <c r="U2414" t="s">
        <v>2162</v>
      </c>
      <c r="V2414" t="s">
        <v>39</v>
      </c>
      <c r="W2414" s="1">
        <v>6</v>
      </c>
    </row>
    <row r="2415" spans="1:23" x14ac:dyDescent="0.2">
      <c r="A2415" t="s">
        <v>2096</v>
      </c>
      <c r="B2415" t="s">
        <v>2097</v>
      </c>
      <c r="C2415" t="s">
        <v>2098</v>
      </c>
      <c r="D2415" t="s">
        <v>2108</v>
      </c>
      <c r="E2415" t="s">
        <v>2109</v>
      </c>
      <c r="F2415" t="s">
        <v>2110</v>
      </c>
      <c r="G2415" t="s">
        <v>89</v>
      </c>
      <c r="H2415" t="s">
        <v>30</v>
      </c>
      <c r="I2415" t="s">
        <v>30</v>
      </c>
      <c r="J2415" t="s">
        <v>41</v>
      </c>
      <c r="K2415" t="s">
        <v>32</v>
      </c>
      <c r="L2415" t="s">
        <v>32</v>
      </c>
      <c r="M2415" t="s">
        <v>33</v>
      </c>
      <c r="N2415" t="s">
        <v>33</v>
      </c>
      <c r="O2415" t="s">
        <v>33</v>
      </c>
      <c r="P2415" t="s">
        <v>34</v>
      </c>
      <c r="Q2415" t="s">
        <v>35</v>
      </c>
      <c r="S2415" t="s">
        <v>30</v>
      </c>
      <c r="T2415" t="s">
        <v>2161</v>
      </c>
      <c r="U2415" t="s">
        <v>2162</v>
      </c>
      <c r="V2415" t="s">
        <v>40</v>
      </c>
      <c r="W2415" s="1">
        <v>6419400</v>
      </c>
    </row>
    <row r="2416" spans="1:23" x14ac:dyDescent="0.2">
      <c r="A2416" t="s">
        <v>2096</v>
      </c>
      <c r="B2416" t="s">
        <v>2097</v>
      </c>
      <c r="C2416" t="s">
        <v>2098</v>
      </c>
      <c r="D2416" t="s">
        <v>2108</v>
      </c>
      <c r="E2416" t="s">
        <v>2109</v>
      </c>
      <c r="F2416" t="s">
        <v>2110</v>
      </c>
      <c r="G2416" t="s">
        <v>106</v>
      </c>
      <c r="H2416" t="s">
        <v>30</v>
      </c>
      <c r="I2416" t="s">
        <v>30</v>
      </c>
      <c r="J2416" t="s">
        <v>128</v>
      </c>
      <c r="K2416" t="s">
        <v>135</v>
      </c>
      <c r="L2416" t="s">
        <v>32</v>
      </c>
      <c r="M2416" t="s">
        <v>33</v>
      </c>
      <c r="P2416" t="s">
        <v>34</v>
      </c>
      <c r="Q2416" t="s">
        <v>35</v>
      </c>
      <c r="R2416" t="s">
        <v>136</v>
      </c>
      <c r="S2416" t="s">
        <v>52</v>
      </c>
      <c r="T2416" t="s">
        <v>2163</v>
      </c>
      <c r="U2416" t="s">
        <v>2164</v>
      </c>
      <c r="V2416" t="s">
        <v>39</v>
      </c>
      <c r="W2416" s="1">
        <v>0</v>
      </c>
    </row>
    <row r="2417" spans="1:23" x14ac:dyDescent="0.2">
      <c r="A2417" t="s">
        <v>2096</v>
      </c>
      <c r="B2417" t="s">
        <v>2097</v>
      </c>
      <c r="C2417" t="s">
        <v>2098</v>
      </c>
      <c r="D2417" t="s">
        <v>2108</v>
      </c>
      <c r="E2417" t="s">
        <v>2109</v>
      </c>
      <c r="F2417" t="s">
        <v>2110</v>
      </c>
      <c r="G2417" t="s">
        <v>106</v>
      </c>
      <c r="H2417" t="s">
        <v>30</v>
      </c>
      <c r="I2417" t="s">
        <v>30</v>
      </c>
      <c r="J2417" t="s">
        <v>128</v>
      </c>
      <c r="K2417" t="s">
        <v>135</v>
      </c>
      <c r="L2417" t="s">
        <v>32</v>
      </c>
      <c r="M2417" t="s">
        <v>33</v>
      </c>
      <c r="P2417" t="s">
        <v>34</v>
      </c>
      <c r="Q2417" t="s">
        <v>35</v>
      </c>
      <c r="R2417" t="s">
        <v>136</v>
      </c>
      <c r="S2417" t="s">
        <v>52</v>
      </c>
      <c r="T2417" t="s">
        <v>2163</v>
      </c>
      <c r="U2417" t="s">
        <v>2164</v>
      </c>
      <c r="V2417" t="s">
        <v>40</v>
      </c>
      <c r="W2417" s="1">
        <v>0</v>
      </c>
    </row>
    <row r="2418" spans="1:23" x14ac:dyDescent="0.2">
      <c r="A2418" t="s">
        <v>2096</v>
      </c>
      <c r="B2418" t="s">
        <v>2097</v>
      </c>
      <c r="C2418" t="s">
        <v>2098</v>
      </c>
      <c r="D2418" t="s">
        <v>2108</v>
      </c>
      <c r="E2418" t="s">
        <v>2109</v>
      </c>
      <c r="F2418" t="s">
        <v>2110</v>
      </c>
      <c r="G2418" t="s">
        <v>106</v>
      </c>
      <c r="H2418" t="s">
        <v>30</v>
      </c>
      <c r="I2418" t="s">
        <v>30</v>
      </c>
      <c r="J2418" t="s">
        <v>128</v>
      </c>
      <c r="K2418" t="s">
        <v>181</v>
      </c>
      <c r="L2418" t="s">
        <v>32</v>
      </c>
      <c r="M2418" t="s">
        <v>33</v>
      </c>
      <c r="N2418" t="s">
        <v>33</v>
      </c>
      <c r="O2418" t="s">
        <v>33</v>
      </c>
      <c r="P2418" t="s">
        <v>372</v>
      </c>
      <c r="Q2418" t="s">
        <v>373</v>
      </c>
      <c r="S2418" t="s">
        <v>30</v>
      </c>
      <c r="T2418" t="s">
        <v>2165</v>
      </c>
      <c r="U2418" t="s">
        <v>2166</v>
      </c>
      <c r="V2418" t="s">
        <v>39</v>
      </c>
      <c r="W2418" s="1">
        <v>1</v>
      </c>
    </row>
    <row r="2419" spans="1:23" x14ac:dyDescent="0.2">
      <c r="A2419" t="s">
        <v>2096</v>
      </c>
      <c r="B2419" t="s">
        <v>2097</v>
      </c>
      <c r="C2419" t="s">
        <v>2098</v>
      </c>
      <c r="D2419" t="s">
        <v>2108</v>
      </c>
      <c r="E2419" t="s">
        <v>2109</v>
      </c>
      <c r="F2419" t="s">
        <v>2110</v>
      </c>
      <c r="G2419" t="s">
        <v>106</v>
      </c>
      <c r="H2419" t="s">
        <v>30</v>
      </c>
      <c r="I2419" t="s">
        <v>30</v>
      </c>
      <c r="J2419" t="s">
        <v>128</v>
      </c>
      <c r="K2419" t="s">
        <v>181</v>
      </c>
      <c r="L2419" t="s">
        <v>32</v>
      </c>
      <c r="M2419" t="s">
        <v>33</v>
      </c>
      <c r="N2419" t="s">
        <v>33</v>
      </c>
      <c r="O2419" t="s">
        <v>33</v>
      </c>
      <c r="P2419" t="s">
        <v>372</v>
      </c>
      <c r="Q2419" t="s">
        <v>373</v>
      </c>
      <c r="S2419" t="s">
        <v>30</v>
      </c>
      <c r="T2419" t="s">
        <v>2165</v>
      </c>
      <c r="U2419" t="s">
        <v>2166</v>
      </c>
      <c r="V2419" t="s">
        <v>40</v>
      </c>
      <c r="W2419" s="1">
        <v>1500000</v>
      </c>
    </row>
    <row r="2420" spans="1:23" x14ac:dyDescent="0.2">
      <c r="A2420" t="s">
        <v>2096</v>
      </c>
      <c r="B2420" t="s">
        <v>2097</v>
      </c>
      <c r="C2420" t="s">
        <v>2098</v>
      </c>
      <c r="D2420" t="s">
        <v>2108</v>
      </c>
      <c r="E2420" t="s">
        <v>2109</v>
      </c>
      <c r="F2420" t="s">
        <v>2110</v>
      </c>
      <c r="G2420" t="s">
        <v>106</v>
      </c>
      <c r="H2420" t="s">
        <v>30</v>
      </c>
      <c r="I2420" t="s">
        <v>30</v>
      </c>
      <c r="J2420" t="s">
        <v>31</v>
      </c>
      <c r="K2420" t="s">
        <v>32</v>
      </c>
      <c r="L2420" t="s">
        <v>32</v>
      </c>
      <c r="M2420" t="s">
        <v>33</v>
      </c>
      <c r="N2420" t="s">
        <v>33</v>
      </c>
      <c r="O2420" t="s">
        <v>33</v>
      </c>
      <c r="P2420" t="s">
        <v>34</v>
      </c>
      <c r="Q2420" t="s">
        <v>35</v>
      </c>
      <c r="S2420" t="s">
        <v>30</v>
      </c>
      <c r="T2420" t="s">
        <v>2151</v>
      </c>
      <c r="U2420" t="s">
        <v>2152</v>
      </c>
      <c r="V2420" t="s">
        <v>39</v>
      </c>
      <c r="W2420" s="1">
        <v>8</v>
      </c>
    </row>
    <row r="2421" spans="1:23" x14ac:dyDescent="0.2">
      <c r="A2421" t="s">
        <v>2096</v>
      </c>
      <c r="B2421" t="s">
        <v>2097</v>
      </c>
      <c r="C2421" t="s">
        <v>2098</v>
      </c>
      <c r="D2421" t="s">
        <v>2108</v>
      </c>
      <c r="E2421" t="s">
        <v>2109</v>
      </c>
      <c r="F2421" t="s">
        <v>2110</v>
      </c>
      <c r="G2421" t="s">
        <v>106</v>
      </c>
      <c r="H2421" t="s">
        <v>30</v>
      </c>
      <c r="I2421" t="s">
        <v>30</v>
      </c>
      <c r="J2421" t="s">
        <v>31</v>
      </c>
      <c r="K2421" t="s">
        <v>32</v>
      </c>
      <c r="L2421" t="s">
        <v>32</v>
      </c>
      <c r="M2421" t="s">
        <v>33</v>
      </c>
      <c r="N2421" t="s">
        <v>33</v>
      </c>
      <c r="O2421" t="s">
        <v>33</v>
      </c>
      <c r="P2421" t="s">
        <v>34</v>
      </c>
      <c r="Q2421" t="s">
        <v>35</v>
      </c>
      <c r="S2421" t="s">
        <v>30</v>
      </c>
      <c r="T2421" t="s">
        <v>2151</v>
      </c>
      <c r="U2421" t="s">
        <v>2152</v>
      </c>
      <c r="V2421" t="s">
        <v>40</v>
      </c>
      <c r="W2421" s="1">
        <v>6799200</v>
      </c>
    </row>
    <row r="2422" spans="1:23" x14ac:dyDescent="0.2">
      <c r="A2422" t="s">
        <v>2096</v>
      </c>
      <c r="B2422" t="s">
        <v>2097</v>
      </c>
      <c r="C2422" t="s">
        <v>2098</v>
      </c>
      <c r="D2422" t="s">
        <v>2108</v>
      </c>
      <c r="E2422" t="s">
        <v>2109</v>
      </c>
      <c r="F2422" t="s">
        <v>2110</v>
      </c>
      <c r="G2422" t="s">
        <v>106</v>
      </c>
      <c r="H2422" t="s">
        <v>30</v>
      </c>
      <c r="I2422" t="s">
        <v>30</v>
      </c>
      <c r="J2422" t="s">
        <v>31</v>
      </c>
      <c r="K2422" t="s">
        <v>32</v>
      </c>
      <c r="L2422" t="s">
        <v>32</v>
      </c>
      <c r="M2422" t="s">
        <v>33</v>
      </c>
      <c r="P2422" t="s">
        <v>34</v>
      </c>
      <c r="Q2422" t="s">
        <v>35</v>
      </c>
      <c r="S2422" t="s">
        <v>30</v>
      </c>
      <c r="T2422" t="s">
        <v>2151</v>
      </c>
      <c r="U2422" t="s">
        <v>2152</v>
      </c>
      <c r="V2422" t="s">
        <v>39</v>
      </c>
      <c r="W2422" s="1">
        <v>1</v>
      </c>
    </row>
    <row r="2423" spans="1:23" x14ac:dyDescent="0.2">
      <c r="A2423" t="s">
        <v>2096</v>
      </c>
      <c r="B2423" t="s">
        <v>2097</v>
      </c>
      <c r="C2423" t="s">
        <v>2098</v>
      </c>
      <c r="D2423" t="s">
        <v>2108</v>
      </c>
      <c r="E2423" t="s">
        <v>2109</v>
      </c>
      <c r="F2423" t="s">
        <v>2110</v>
      </c>
      <c r="G2423" t="s">
        <v>106</v>
      </c>
      <c r="H2423" t="s">
        <v>30</v>
      </c>
      <c r="I2423" t="s">
        <v>30</v>
      </c>
      <c r="J2423" t="s">
        <v>31</v>
      </c>
      <c r="K2423" t="s">
        <v>32</v>
      </c>
      <c r="L2423" t="s">
        <v>32</v>
      </c>
      <c r="M2423" t="s">
        <v>33</v>
      </c>
      <c r="P2423" t="s">
        <v>34</v>
      </c>
      <c r="Q2423" t="s">
        <v>35</v>
      </c>
      <c r="S2423" t="s">
        <v>30</v>
      </c>
      <c r="T2423" t="s">
        <v>2151</v>
      </c>
      <c r="U2423" t="s">
        <v>2152</v>
      </c>
      <c r="V2423" t="s">
        <v>40</v>
      </c>
      <c r="W2423" s="1">
        <v>849900</v>
      </c>
    </row>
    <row r="2424" spans="1:23" x14ac:dyDescent="0.2">
      <c r="A2424" t="s">
        <v>2096</v>
      </c>
      <c r="B2424" t="s">
        <v>2097</v>
      </c>
      <c r="C2424" t="s">
        <v>2098</v>
      </c>
      <c r="D2424" t="s">
        <v>2108</v>
      </c>
      <c r="E2424" t="s">
        <v>2109</v>
      </c>
      <c r="F2424" t="s">
        <v>2110</v>
      </c>
      <c r="G2424" t="s">
        <v>119</v>
      </c>
      <c r="H2424" t="s">
        <v>30</v>
      </c>
      <c r="I2424" t="s">
        <v>52</v>
      </c>
      <c r="J2424" t="s">
        <v>31</v>
      </c>
      <c r="K2424" t="s">
        <v>32</v>
      </c>
      <c r="L2424" t="s">
        <v>32</v>
      </c>
      <c r="M2424" t="s">
        <v>33</v>
      </c>
      <c r="N2424" t="s">
        <v>33</v>
      </c>
      <c r="O2424" t="s">
        <v>33</v>
      </c>
      <c r="P2424" t="s">
        <v>213</v>
      </c>
      <c r="Q2424" t="s">
        <v>2111</v>
      </c>
      <c r="S2424" t="s">
        <v>30</v>
      </c>
      <c r="T2424" t="s">
        <v>2167</v>
      </c>
      <c r="U2424" t="s">
        <v>2168</v>
      </c>
      <c r="V2424" t="s">
        <v>39</v>
      </c>
      <c r="W2424" s="1">
        <v>1</v>
      </c>
    </row>
    <row r="2425" spans="1:23" x14ac:dyDescent="0.2">
      <c r="A2425" t="s">
        <v>2096</v>
      </c>
      <c r="B2425" t="s">
        <v>2097</v>
      </c>
      <c r="C2425" t="s">
        <v>2098</v>
      </c>
      <c r="D2425" t="s">
        <v>2108</v>
      </c>
      <c r="E2425" t="s">
        <v>2109</v>
      </c>
      <c r="F2425" t="s">
        <v>2110</v>
      </c>
      <c r="G2425" t="s">
        <v>119</v>
      </c>
      <c r="H2425" t="s">
        <v>30</v>
      </c>
      <c r="I2425" t="s">
        <v>52</v>
      </c>
      <c r="J2425" t="s">
        <v>31</v>
      </c>
      <c r="K2425" t="s">
        <v>32</v>
      </c>
      <c r="L2425" t="s">
        <v>32</v>
      </c>
      <c r="M2425" t="s">
        <v>33</v>
      </c>
      <c r="N2425" t="s">
        <v>33</v>
      </c>
      <c r="O2425" t="s">
        <v>33</v>
      </c>
      <c r="P2425" t="s">
        <v>213</v>
      </c>
      <c r="Q2425" t="s">
        <v>2111</v>
      </c>
      <c r="S2425" t="s">
        <v>30</v>
      </c>
      <c r="T2425" t="s">
        <v>2167</v>
      </c>
      <c r="U2425" t="s">
        <v>2168</v>
      </c>
      <c r="V2425" t="s">
        <v>40</v>
      </c>
      <c r="W2425" s="1">
        <v>499900</v>
      </c>
    </row>
    <row r="2426" spans="1:23" x14ac:dyDescent="0.2">
      <c r="A2426" t="s">
        <v>2096</v>
      </c>
      <c r="B2426" t="s">
        <v>2097</v>
      </c>
      <c r="C2426" t="s">
        <v>2098</v>
      </c>
      <c r="D2426" t="s">
        <v>2108</v>
      </c>
      <c r="E2426" t="s">
        <v>2109</v>
      </c>
      <c r="F2426" t="s">
        <v>2110</v>
      </c>
      <c r="G2426" t="s">
        <v>119</v>
      </c>
      <c r="H2426" t="s">
        <v>30</v>
      </c>
      <c r="I2426" t="s">
        <v>52</v>
      </c>
      <c r="J2426" t="s">
        <v>31</v>
      </c>
      <c r="K2426" t="s">
        <v>32</v>
      </c>
      <c r="L2426" t="s">
        <v>32</v>
      </c>
      <c r="M2426" t="s">
        <v>33</v>
      </c>
      <c r="N2426" t="s">
        <v>33</v>
      </c>
      <c r="O2426" t="s">
        <v>33</v>
      </c>
      <c r="P2426" t="s">
        <v>213</v>
      </c>
      <c r="Q2426" t="s">
        <v>2111</v>
      </c>
      <c r="S2426" t="s">
        <v>30</v>
      </c>
      <c r="T2426" t="s">
        <v>2169</v>
      </c>
      <c r="U2426" t="s">
        <v>2170</v>
      </c>
      <c r="V2426" t="s">
        <v>39</v>
      </c>
      <c r="W2426" s="1">
        <v>1</v>
      </c>
    </row>
    <row r="2427" spans="1:23" x14ac:dyDescent="0.2">
      <c r="A2427" t="s">
        <v>2096</v>
      </c>
      <c r="B2427" t="s">
        <v>2097</v>
      </c>
      <c r="C2427" t="s">
        <v>2098</v>
      </c>
      <c r="D2427" t="s">
        <v>2108</v>
      </c>
      <c r="E2427" t="s">
        <v>2109</v>
      </c>
      <c r="F2427" t="s">
        <v>2110</v>
      </c>
      <c r="G2427" t="s">
        <v>119</v>
      </c>
      <c r="H2427" t="s">
        <v>30</v>
      </c>
      <c r="I2427" t="s">
        <v>52</v>
      </c>
      <c r="J2427" t="s">
        <v>31</v>
      </c>
      <c r="K2427" t="s">
        <v>32</v>
      </c>
      <c r="L2427" t="s">
        <v>32</v>
      </c>
      <c r="M2427" t="s">
        <v>33</v>
      </c>
      <c r="N2427" t="s">
        <v>33</v>
      </c>
      <c r="O2427" t="s">
        <v>33</v>
      </c>
      <c r="P2427" t="s">
        <v>213</v>
      </c>
      <c r="Q2427" t="s">
        <v>2111</v>
      </c>
      <c r="S2427" t="s">
        <v>30</v>
      </c>
      <c r="T2427" t="s">
        <v>2169</v>
      </c>
      <c r="U2427" t="s">
        <v>2170</v>
      </c>
      <c r="V2427" t="s">
        <v>40</v>
      </c>
      <c r="W2427" s="1">
        <v>676900</v>
      </c>
    </row>
    <row r="2428" spans="1:23" x14ac:dyDescent="0.2">
      <c r="A2428" t="s">
        <v>2096</v>
      </c>
      <c r="B2428" t="s">
        <v>2097</v>
      </c>
      <c r="C2428" t="s">
        <v>2098</v>
      </c>
      <c r="D2428" t="s">
        <v>2108</v>
      </c>
      <c r="E2428" t="s">
        <v>2109</v>
      </c>
      <c r="F2428" t="s">
        <v>2110</v>
      </c>
      <c r="G2428" t="s">
        <v>119</v>
      </c>
      <c r="H2428" t="s">
        <v>30</v>
      </c>
      <c r="I2428" t="s">
        <v>52</v>
      </c>
      <c r="J2428" t="s">
        <v>31</v>
      </c>
      <c r="K2428" t="s">
        <v>32</v>
      </c>
      <c r="L2428" t="s">
        <v>32</v>
      </c>
      <c r="M2428" t="s">
        <v>33</v>
      </c>
      <c r="N2428" t="s">
        <v>169</v>
      </c>
      <c r="O2428" t="s">
        <v>169</v>
      </c>
      <c r="P2428" t="s">
        <v>213</v>
      </c>
      <c r="Q2428" t="s">
        <v>2111</v>
      </c>
      <c r="S2428" t="s">
        <v>30</v>
      </c>
      <c r="T2428" t="s">
        <v>2169</v>
      </c>
      <c r="U2428" t="s">
        <v>2170</v>
      </c>
      <c r="V2428" t="s">
        <v>39</v>
      </c>
      <c r="W2428" s="1">
        <v>1</v>
      </c>
    </row>
    <row r="2429" spans="1:23" x14ac:dyDescent="0.2">
      <c r="A2429" t="s">
        <v>2096</v>
      </c>
      <c r="B2429" t="s">
        <v>2097</v>
      </c>
      <c r="C2429" t="s">
        <v>2098</v>
      </c>
      <c r="D2429" t="s">
        <v>2108</v>
      </c>
      <c r="E2429" t="s">
        <v>2109</v>
      </c>
      <c r="F2429" t="s">
        <v>2110</v>
      </c>
      <c r="G2429" t="s">
        <v>119</v>
      </c>
      <c r="H2429" t="s">
        <v>30</v>
      </c>
      <c r="I2429" t="s">
        <v>52</v>
      </c>
      <c r="J2429" t="s">
        <v>31</v>
      </c>
      <c r="K2429" t="s">
        <v>32</v>
      </c>
      <c r="L2429" t="s">
        <v>32</v>
      </c>
      <c r="M2429" t="s">
        <v>33</v>
      </c>
      <c r="N2429" t="s">
        <v>169</v>
      </c>
      <c r="O2429" t="s">
        <v>169</v>
      </c>
      <c r="P2429" t="s">
        <v>213</v>
      </c>
      <c r="Q2429" t="s">
        <v>2111</v>
      </c>
      <c r="S2429" t="s">
        <v>30</v>
      </c>
      <c r="T2429" t="s">
        <v>2169</v>
      </c>
      <c r="U2429" t="s">
        <v>2170</v>
      </c>
      <c r="V2429" t="s">
        <v>40</v>
      </c>
      <c r="W2429" s="1">
        <v>676900</v>
      </c>
    </row>
    <row r="2430" spans="1:23" x14ac:dyDescent="0.2">
      <c r="A2430" t="s">
        <v>2096</v>
      </c>
      <c r="B2430" t="s">
        <v>2097</v>
      </c>
      <c r="C2430" t="s">
        <v>2098</v>
      </c>
      <c r="D2430" t="s">
        <v>2108</v>
      </c>
      <c r="E2430" t="s">
        <v>2109</v>
      </c>
      <c r="F2430" t="s">
        <v>2110</v>
      </c>
      <c r="G2430" t="s">
        <v>119</v>
      </c>
      <c r="H2430" t="s">
        <v>30</v>
      </c>
      <c r="I2430" t="s">
        <v>52</v>
      </c>
      <c r="J2430" t="s">
        <v>57</v>
      </c>
      <c r="K2430" t="s">
        <v>32</v>
      </c>
      <c r="L2430" t="s">
        <v>32</v>
      </c>
      <c r="M2430" t="s">
        <v>33</v>
      </c>
      <c r="P2430" t="s">
        <v>213</v>
      </c>
      <c r="Q2430" t="s">
        <v>2111</v>
      </c>
      <c r="S2430" t="s">
        <v>52</v>
      </c>
      <c r="T2430" t="s">
        <v>2171</v>
      </c>
      <c r="U2430" t="s">
        <v>2172</v>
      </c>
      <c r="V2430" t="s">
        <v>39</v>
      </c>
      <c r="W2430" s="1">
        <v>0</v>
      </c>
    </row>
    <row r="2431" spans="1:23" x14ac:dyDescent="0.2">
      <c r="A2431" t="s">
        <v>2096</v>
      </c>
      <c r="B2431" t="s">
        <v>2097</v>
      </c>
      <c r="C2431" t="s">
        <v>2098</v>
      </c>
      <c r="D2431" t="s">
        <v>2108</v>
      </c>
      <c r="E2431" t="s">
        <v>2109</v>
      </c>
      <c r="F2431" t="s">
        <v>2110</v>
      </c>
      <c r="G2431" t="s">
        <v>119</v>
      </c>
      <c r="H2431" t="s">
        <v>30</v>
      </c>
      <c r="I2431" t="s">
        <v>52</v>
      </c>
      <c r="J2431" t="s">
        <v>57</v>
      </c>
      <c r="K2431" t="s">
        <v>32</v>
      </c>
      <c r="L2431" t="s">
        <v>32</v>
      </c>
      <c r="M2431" t="s">
        <v>33</v>
      </c>
      <c r="P2431" t="s">
        <v>213</v>
      </c>
      <c r="Q2431" t="s">
        <v>2111</v>
      </c>
      <c r="S2431" t="s">
        <v>52</v>
      </c>
      <c r="T2431" t="s">
        <v>2171</v>
      </c>
      <c r="U2431" t="s">
        <v>2172</v>
      </c>
      <c r="V2431" t="s">
        <v>40</v>
      </c>
      <c r="W2431" s="1">
        <v>7349400</v>
      </c>
    </row>
    <row r="2432" spans="1:23" x14ac:dyDescent="0.2">
      <c r="A2432" t="s">
        <v>2096</v>
      </c>
      <c r="B2432" t="s">
        <v>2097</v>
      </c>
      <c r="C2432" t="s">
        <v>2098</v>
      </c>
      <c r="D2432" t="s">
        <v>2108</v>
      </c>
      <c r="E2432" t="s">
        <v>2109</v>
      </c>
      <c r="F2432" t="s">
        <v>2110</v>
      </c>
      <c r="G2432" t="s">
        <v>127</v>
      </c>
      <c r="H2432" t="s">
        <v>52</v>
      </c>
      <c r="I2432" t="s">
        <v>30</v>
      </c>
      <c r="J2432" t="s">
        <v>31</v>
      </c>
      <c r="K2432" t="s">
        <v>32</v>
      </c>
      <c r="L2432" t="s">
        <v>32</v>
      </c>
      <c r="M2432" t="s">
        <v>33</v>
      </c>
      <c r="N2432" t="s">
        <v>33</v>
      </c>
      <c r="O2432" t="s">
        <v>33</v>
      </c>
      <c r="P2432" t="s">
        <v>213</v>
      </c>
      <c r="Q2432" t="s">
        <v>2118</v>
      </c>
      <c r="S2432" t="s">
        <v>30</v>
      </c>
      <c r="T2432" t="s">
        <v>2173</v>
      </c>
      <c r="U2432" t="s">
        <v>2174</v>
      </c>
      <c r="V2432" t="s">
        <v>39</v>
      </c>
      <c r="W2432" s="1">
        <v>2</v>
      </c>
    </row>
    <row r="2433" spans="1:23" x14ac:dyDescent="0.2">
      <c r="A2433" t="s">
        <v>2096</v>
      </c>
      <c r="B2433" t="s">
        <v>2097</v>
      </c>
      <c r="C2433" t="s">
        <v>2098</v>
      </c>
      <c r="D2433" t="s">
        <v>2108</v>
      </c>
      <c r="E2433" t="s">
        <v>2109</v>
      </c>
      <c r="F2433" t="s">
        <v>2110</v>
      </c>
      <c r="G2433" t="s">
        <v>127</v>
      </c>
      <c r="H2433" t="s">
        <v>52</v>
      </c>
      <c r="I2433" t="s">
        <v>30</v>
      </c>
      <c r="J2433" t="s">
        <v>31</v>
      </c>
      <c r="K2433" t="s">
        <v>32</v>
      </c>
      <c r="L2433" t="s">
        <v>32</v>
      </c>
      <c r="M2433" t="s">
        <v>33</v>
      </c>
      <c r="N2433" t="s">
        <v>33</v>
      </c>
      <c r="O2433" t="s">
        <v>33</v>
      </c>
      <c r="P2433" t="s">
        <v>213</v>
      </c>
      <c r="Q2433" t="s">
        <v>2118</v>
      </c>
      <c r="S2433" t="s">
        <v>30</v>
      </c>
      <c r="T2433" t="s">
        <v>2173</v>
      </c>
      <c r="U2433" t="s">
        <v>2174</v>
      </c>
      <c r="V2433" t="s">
        <v>40</v>
      </c>
      <c r="W2433" s="1">
        <v>1453800</v>
      </c>
    </row>
    <row r="2434" spans="1:23" x14ac:dyDescent="0.2">
      <c r="A2434" t="s">
        <v>2096</v>
      </c>
      <c r="B2434" t="s">
        <v>2097</v>
      </c>
      <c r="C2434" t="s">
        <v>2098</v>
      </c>
      <c r="D2434" t="s">
        <v>2108</v>
      </c>
      <c r="E2434" t="s">
        <v>2109</v>
      </c>
      <c r="F2434" t="s">
        <v>2110</v>
      </c>
      <c r="G2434" t="s">
        <v>134</v>
      </c>
      <c r="H2434" t="s">
        <v>52</v>
      </c>
      <c r="I2434" t="s">
        <v>30</v>
      </c>
      <c r="J2434" t="s">
        <v>31</v>
      </c>
      <c r="K2434" t="s">
        <v>32</v>
      </c>
      <c r="L2434" t="s">
        <v>32</v>
      </c>
      <c r="M2434" t="s">
        <v>33</v>
      </c>
      <c r="N2434" t="s">
        <v>33</v>
      </c>
      <c r="O2434" t="s">
        <v>33</v>
      </c>
      <c r="P2434" t="s">
        <v>213</v>
      </c>
      <c r="Q2434" t="s">
        <v>2111</v>
      </c>
      <c r="S2434" t="s">
        <v>30</v>
      </c>
      <c r="T2434" t="s">
        <v>2175</v>
      </c>
      <c r="U2434" t="s">
        <v>2176</v>
      </c>
      <c r="V2434" t="s">
        <v>39</v>
      </c>
      <c r="W2434" s="1">
        <v>2</v>
      </c>
    </row>
    <row r="2435" spans="1:23" x14ac:dyDescent="0.2">
      <c r="A2435" t="s">
        <v>2096</v>
      </c>
      <c r="B2435" t="s">
        <v>2097</v>
      </c>
      <c r="C2435" t="s">
        <v>2098</v>
      </c>
      <c r="D2435" t="s">
        <v>2108</v>
      </c>
      <c r="E2435" t="s">
        <v>2109</v>
      </c>
      <c r="F2435" t="s">
        <v>2110</v>
      </c>
      <c r="G2435" t="s">
        <v>134</v>
      </c>
      <c r="H2435" t="s">
        <v>52</v>
      </c>
      <c r="I2435" t="s">
        <v>30</v>
      </c>
      <c r="J2435" t="s">
        <v>31</v>
      </c>
      <c r="K2435" t="s">
        <v>32</v>
      </c>
      <c r="L2435" t="s">
        <v>32</v>
      </c>
      <c r="M2435" t="s">
        <v>33</v>
      </c>
      <c r="N2435" t="s">
        <v>33</v>
      </c>
      <c r="O2435" t="s">
        <v>33</v>
      </c>
      <c r="P2435" t="s">
        <v>213</v>
      </c>
      <c r="Q2435" t="s">
        <v>2111</v>
      </c>
      <c r="S2435" t="s">
        <v>30</v>
      </c>
      <c r="T2435" t="s">
        <v>2175</v>
      </c>
      <c r="U2435" t="s">
        <v>2176</v>
      </c>
      <c r="V2435" t="s">
        <v>40</v>
      </c>
      <c r="W2435" s="1">
        <v>1653800</v>
      </c>
    </row>
    <row r="2436" spans="1:23" x14ac:dyDescent="0.2">
      <c r="A2436" t="s">
        <v>2096</v>
      </c>
      <c r="B2436" t="s">
        <v>2097</v>
      </c>
      <c r="C2436" t="s">
        <v>2098</v>
      </c>
      <c r="D2436" t="s">
        <v>2108</v>
      </c>
      <c r="E2436" t="s">
        <v>2109</v>
      </c>
      <c r="F2436" t="s">
        <v>2110</v>
      </c>
      <c r="G2436" t="s">
        <v>134</v>
      </c>
      <c r="H2436" t="s">
        <v>52</v>
      </c>
      <c r="I2436" t="s">
        <v>30</v>
      </c>
      <c r="J2436" t="s">
        <v>31</v>
      </c>
      <c r="K2436" t="s">
        <v>32</v>
      </c>
      <c r="L2436" t="s">
        <v>32</v>
      </c>
      <c r="M2436" t="s">
        <v>33</v>
      </c>
      <c r="N2436" t="s">
        <v>169</v>
      </c>
      <c r="O2436" t="s">
        <v>169</v>
      </c>
      <c r="P2436" t="s">
        <v>213</v>
      </c>
      <c r="Q2436" t="s">
        <v>2111</v>
      </c>
      <c r="S2436" t="s">
        <v>30</v>
      </c>
      <c r="T2436" t="s">
        <v>2175</v>
      </c>
      <c r="U2436" t="s">
        <v>2176</v>
      </c>
      <c r="V2436" t="s">
        <v>39</v>
      </c>
      <c r="W2436" s="1">
        <v>1</v>
      </c>
    </row>
    <row r="2437" spans="1:23" x14ac:dyDescent="0.2">
      <c r="A2437" t="s">
        <v>2096</v>
      </c>
      <c r="B2437" t="s">
        <v>2097</v>
      </c>
      <c r="C2437" t="s">
        <v>2098</v>
      </c>
      <c r="D2437" t="s">
        <v>2108</v>
      </c>
      <c r="E2437" t="s">
        <v>2109</v>
      </c>
      <c r="F2437" t="s">
        <v>2110</v>
      </c>
      <c r="G2437" t="s">
        <v>134</v>
      </c>
      <c r="H2437" t="s">
        <v>52</v>
      </c>
      <c r="I2437" t="s">
        <v>30</v>
      </c>
      <c r="J2437" t="s">
        <v>31</v>
      </c>
      <c r="K2437" t="s">
        <v>32</v>
      </c>
      <c r="L2437" t="s">
        <v>32</v>
      </c>
      <c r="M2437" t="s">
        <v>33</v>
      </c>
      <c r="N2437" t="s">
        <v>169</v>
      </c>
      <c r="O2437" t="s">
        <v>169</v>
      </c>
      <c r="P2437" t="s">
        <v>213</v>
      </c>
      <c r="Q2437" t="s">
        <v>2111</v>
      </c>
      <c r="S2437" t="s">
        <v>30</v>
      </c>
      <c r="T2437" t="s">
        <v>2175</v>
      </c>
      <c r="U2437" t="s">
        <v>2176</v>
      </c>
      <c r="V2437" t="s">
        <v>40</v>
      </c>
      <c r="W2437" s="1">
        <v>826900</v>
      </c>
    </row>
    <row r="2438" spans="1:23" x14ac:dyDescent="0.2">
      <c r="A2438" t="s">
        <v>2096</v>
      </c>
      <c r="B2438" t="s">
        <v>2097</v>
      </c>
      <c r="C2438" t="s">
        <v>2098</v>
      </c>
      <c r="D2438" t="s">
        <v>2108</v>
      </c>
      <c r="E2438" t="s">
        <v>2109</v>
      </c>
      <c r="F2438" t="s">
        <v>2110</v>
      </c>
      <c r="G2438" t="s">
        <v>139</v>
      </c>
      <c r="H2438" t="s">
        <v>30</v>
      </c>
      <c r="I2438" t="s">
        <v>30</v>
      </c>
      <c r="J2438" t="s">
        <v>31</v>
      </c>
      <c r="K2438" t="s">
        <v>32</v>
      </c>
      <c r="L2438" t="s">
        <v>32</v>
      </c>
      <c r="M2438" t="s">
        <v>33</v>
      </c>
      <c r="N2438" t="s">
        <v>33</v>
      </c>
      <c r="O2438" t="s">
        <v>33</v>
      </c>
      <c r="P2438" t="s">
        <v>213</v>
      </c>
      <c r="Q2438" t="s">
        <v>2111</v>
      </c>
      <c r="S2438" t="s">
        <v>30</v>
      </c>
      <c r="T2438" t="s">
        <v>167</v>
      </c>
      <c r="U2438" t="s">
        <v>2177</v>
      </c>
      <c r="V2438" t="s">
        <v>39</v>
      </c>
      <c r="W2438" s="1">
        <v>1</v>
      </c>
    </row>
    <row r="2439" spans="1:23" x14ac:dyDescent="0.2">
      <c r="A2439" t="s">
        <v>2096</v>
      </c>
      <c r="B2439" t="s">
        <v>2097</v>
      </c>
      <c r="C2439" t="s">
        <v>2098</v>
      </c>
      <c r="D2439" t="s">
        <v>2108</v>
      </c>
      <c r="E2439" t="s">
        <v>2109</v>
      </c>
      <c r="F2439" t="s">
        <v>2110</v>
      </c>
      <c r="G2439" t="s">
        <v>139</v>
      </c>
      <c r="H2439" t="s">
        <v>30</v>
      </c>
      <c r="I2439" t="s">
        <v>30</v>
      </c>
      <c r="J2439" t="s">
        <v>31</v>
      </c>
      <c r="K2439" t="s">
        <v>32</v>
      </c>
      <c r="L2439" t="s">
        <v>32</v>
      </c>
      <c r="M2439" t="s">
        <v>33</v>
      </c>
      <c r="N2439" t="s">
        <v>33</v>
      </c>
      <c r="O2439" t="s">
        <v>33</v>
      </c>
      <c r="P2439" t="s">
        <v>213</v>
      </c>
      <c r="Q2439" t="s">
        <v>2111</v>
      </c>
      <c r="S2439" t="s">
        <v>30</v>
      </c>
      <c r="T2439" t="s">
        <v>167</v>
      </c>
      <c r="U2439" t="s">
        <v>2177</v>
      </c>
      <c r="V2439" t="s">
        <v>40</v>
      </c>
      <c r="W2439" s="1">
        <v>418000</v>
      </c>
    </row>
    <row r="2440" spans="1:23" x14ac:dyDescent="0.2">
      <c r="A2440" t="s">
        <v>2096</v>
      </c>
      <c r="B2440" t="s">
        <v>2097</v>
      </c>
      <c r="C2440" t="s">
        <v>2098</v>
      </c>
      <c r="D2440" t="s">
        <v>2108</v>
      </c>
      <c r="E2440" t="s">
        <v>2109</v>
      </c>
      <c r="F2440" t="s">
        <v>2110</v>
      </c>
      <c r="G2440" t="s">
        <v>139</v>
      </c>
      <c r="H2440" t="s">
        <v>30</v>
      </c>
      <c r="I2440" t="s">
        <v>30</v>
      </c>
      <c r="J2440" t="s">
        <v>31</v>
      </c>
      <c r="K2440" t="s">
        <v>32</v>
      </c>
      <c r="L2440" t="s">
        <v>32</v>
      </c>
      <c r="M2440" t="s">
        <v>33</v>
      </c>
      <c r="P2440" t="s">
        <v>213</v>
      </c>
      <c r="Q2440" t="s">
        <v>2111</v>
      </c>
      <c r="R2440" t="s">
        <v>151</v>
      </c>
      <c r="S2440" t="s">
        <v>52</v>
      </c>
      <c r="T2440" t="s">
        <v>2178</v>
      </c>
      <c r="U2440" t="s">
        <v>2179</v>
      </c>
      <c r="V2440" t="s">
        <v>39</v>
      </c>
      <c r="W2440" s="1">
        <v>0</v>
      </c>
    </row>
    <row r="2441" spans="1:23" x14ac:dyDescent="0.2">
      <c r="A2441" t="s">
        <v>2096</v>
      </c>
      <c r="B2441" t="s">
        <v>2097</v>
      </c>
      <c r="C2441" t="s">
        <v>2098</v>
      </c>
      <c r="D2441" t="s">
        <v>2108</v>
      </c>
      <c r="E2441" t="s">
        <v>2109</v>
      </c>
      <c r="F2441" t="s">
        <v>2110</v>
      </c>
      <c r="G2441" t="s">
        <v>139</v>
      </c>
      <c r="H2441" t="s">
        <v>30</v>
      </c>
      <c r="I2441" t="s">
        <v>30</v>
      </c>
      <c r="J2441" t="s">
        <v>31</v>
      </c>
      <c r="K2441" t="s">
        <v>32</v>
      </c>
      <c r="L2441" t="s">
        <v>32</v>
      </c>
      <c r="M2441" t="s">
        <v>33</v>
      </c>
      <c r="P2441" t="s">
        <v>213</v>
      </c>
      <c r="Q2441" t="s">
        <v>2111</v>
      </c>
      <c r="R2441" t="s">
        <v>151</v>
      </c>
      <c r="S2441" t="s">
        <v>52</v>
      </c>
      <c r="T2441" t="s">
        <v>2178</v>
      </c>
      <c r="U2441" t="s">
        <v>2179</v>
      </c>
      <c r="V2441" t="s">
        <v>40</v>
      </c>
      <c r="W2441" s="1">
        <v>0</v>
      </c>
    </row>
    <row r="2442" spans="1:23" x14ac:dyDescent="0.2">
      <c r="A2442" t="s">
        <v>2096</v>
      </c>
      <c r="B2442" t="s">
        <v>2097</v>
      </c>
      <c r="C2442" t="s">
        <v>2098</v>
      </c>
      <c r="D2442" t="s">
        <v>2108</v>
      </c>
      <c r="E2442" t="s">
        <v>2109</v>
      </c>
      <c r="F2442" t="s">
        <v>2110</v>
      </c>
      <c r="G2442" t="s">
        <v>139</v>
      </c>
      <c r="H2442" t="s">
        <v>30</v>
      </c>
      <c r="I2442" t="s">
        <v>30</v>
      </c>
      <c r="J2442" t="s">
        <v>31</v>
      </c>
      <c r="K2442" t="s">
        <v>32</v>
      </c>
      <c r="L2442" t="s">
        <v>32</v>
      </c>
      <c r="M2442" t="s">
        <v>176</v>
      </c>
      <c r="N2442" t="s">
        <v>176</v>
      </c>
      <c r="O2442" t="s">
        <v>176</v>
      </c>
      <c r="P2442" t="s">
        <v>213</v>
      </c>
      <c r="Q2442" t="s">
        <v>2111</v>
      </c>
      <c r="S2442" t="s">
        <v>30</v>
      </c>
      <c r="T2442" t="s">
        <v>167</v>
      </c>
      <c r="U2442" t="s">
        <v>2177</v>
      </c>
      <c r="V2442" t="s">
        <v>39</v>
      </c>
      <c r="W2442" s="1">
        <v>1</v>
      </c>
    </row>
    <row r="2443" spans="1:23" x14ac:dyDescent="0.2">
      <c r="A2443" t="s">
        <v>2096</v>
      </c>
      <c r="B2443" t="s">
        <v>2097</v>
      </c>
      <c r="C2443" t="s">
        <v>2098</v>
      </c>
      <c r="D2443" t="s">
        <v>2108</v>
      </c>
      <c r="E2443" t="s">
        <v>2109</v>
      </c>
      <c r="F2443" t="s">
        <v>2110</v>
      </c>
      <c r="G2443" t="s">
        <v>139</v>
      </c>
      <c r="H2443" t="s">
        <v>30</v>
      </c>
      <c r="I2443" t="s">
        <v>30</v>
      </c>
      <c r="J2443" t="s">
        <v>31</v>
      </c>
      <c r="K2443" t="s">
        <v>32</v>
      </c>
      <c r="L2443" t="s">
        <v>32</v>
      </c>
      <c r="M2443" t="s">
        <v>176</v>
      </c>
      <c r="N2443" t="s">
        <v>176</v>
      </c>
      <c r="O2443" t="s">
        <v>176</v>
      </c>
      <c r="P2443" t="s">
        <v>213</v>
      </c>
      <c r="Q2443" t="s">
        <v>2111</v>
      </c>
      <c r="S2443" t="s">
        <v>30</v>
      </c>
      <c r="T2443" t="s">
        <v>167</v>
      </c>
      <c r="U2443" t="s">
        <v>2177</v>
      </c>
      <c r="V2443" t="s">
        <v>40</v>
      </c>
      <c r="W2443" s="1">
        <v>418000</v>
      </c>
    </row>
    <row r="2444" spans="1:23" x14ac:dyDescent="0.2">
      <c r="A2444" t="s">
        <v>2096</v>
      </c>
      <c r="B2444" t="s">
        <v>2097</v>
      </c>
      <c r="C2444" t="s">
        <v>2098</v>
      </c>
      <c r="D2444" t="s">
        <v>2108</v>
      </c>
      <c r="E2444" t="s">
        <v>2109</v>
      </c>
      <c r="F2444" t="s">
        <v>2110</v>
      </c>
      <c r="G2444" t="s">
        <v>139</v>
      </c>
      <c r="H2444" t="s">
        <v>30</v>
      </c>
      <c r="I2444" t="s">
        <v>30</v>
      </c>
      <c r="J2444" t="s">
        <v>57</v>
      </c>
      <c r="K2444" t="s">
        <v>32</v>
      </c>
      <c r="L2444" t="s">
        <v>32</v>
      </c>
      <c r="M2444" t="s">
        <v>33</v>
      </c>
      <c r="N2444" t="s">
        <v>33</v>
      </c>
      <c r="O2444" t="s">
        <v>33</v>
      </c>
      <c r="P2444" t="s">
        <v>213</v>
      </c>
      <c r="Q2444" t="s">
        <v>2111</v>
      </c>
      <c r="S2444" t="s">
        <v>30</v>
      </c>
      <c r="T2444" t="s">
        <v>2180</v>
      </c>
      <c r="U2444" t="s">
        <v>2181</v>
      </c>
      <c r="V2444" t="s">
        <v>39</v>
      </c>
      <c r="W2444" s="1">
        <v>3</v>
      </c>
    </row>
    <row r="2445" spans="1:23" x14ac:dyDescent="0.2">
      <c r="A2445" t="s">
        <v>2096</v>
      </c>
      <c r="B2445" t="s">
        <v>2097</v>
      </c>
      <c r="C2445" t="s">
        <v>2098</v>
      </c>
      <c r="D2445" t="s">
        <v>2108</v>
      </c>
      <c r="E2445" t="s">
        <v>2109</v>
      </c>
      <c r="F2445" t="s">
        <v>2110</v>
      </c>
      <c r="G2445" t="s">
        <v>139</v>
      </c>
      <c r="H2445" t="s">
        <v>30</v>
      </c>
      <c r="I2445" t="s">
        <v>30</v>
      </c>
      <c r="J2445" t="s">
        <v>57</v>
      </c>
      <c r="K2445" t="s">
        <v>32</v>
      </c>
      <c r="L2445" t="s">
        <v>32</v>
      </c>
      <c r="M2445" t="s">
        <v>33</v>
      </c>
      <c r="N2445" t="s">
        <v>33</v>
      </c>
      <c r="O2445" t="s">
        <v>33</v>
      </c>
      <c r="P2445" t="s">
        <v>213</v>
      </c>
      <c r="Q2445" t="s">
        <v>2111</v>
      </c>
      <c r="S2445" t="s">
        <v>30</v>
      </c>
      <c r="T2445" t="s">
        <v>2180</v>
      </c>
      <c r="U2445" t="s">
        <v>2181</v>
      </c>
      <c r="V2445" t="s">
        <v>40</v>
      </c>
      <c r="W2445" s="1">
        <v>4709700</v>
      </c>
    </row>
    <row r="2446" spans="1:23" x14ac:dyDescent="0.2">
      <c r="A2446" t="s">
        <v>2096</v>
      </c>
      <c r="B2446" t="s">
        <v>2097</v>
      </c>
      <c r="C2446" t="s">
        <v>2098</v>
      </c>
      <c r="D2446" t="s">
        <v>2182</v>
      </c>
      <c r="E2446" t="s">
        <v>2183</v>
      </c>
      <c r="F2446" t="s">
        <v>2184</v>
      </c>
      <c r="G2446" t="s">
        <v>29</v>
      </c>
      <c r="H2446" t="s">
        <v>30</v>
      </c>
      <c r="I2446" t="s">
        <v>30</v>
      </c>
      <c r="J2446" t="s">
        <v>31</v>
      </c>
      <c r="K2446" t="s">
        <v>32</v>
      </c>
      <c r="L2446" t="s">
        <v>32</v>
      </c>
      <c r="M2446" t="s">
        <v>33</v>
      </c>
      <c r="P2446" t="s">
        <v>213</v>
      </c>
      <c r="Q2446" t="s">
        <v>2111</v>
      </c>
      <c r="R2446" t="s">
        <v>173</v>
      </c>
      <c r="S2446" t="s">
        <v>52</v>
      </c>
      <c r="T2446" t="s">
        <v>2185</v>
      </c>
      <c r="U2446" t="s">
        <v>2186</v>
      </c>
      <c r="V2446" t="s">
        <v>39</v>
      </c>
      <c r="W2446" s="1">
        <v>0</v>
      </c>
    </row>
    <row r="2447" spans="1:23" x14ac:dyDescent="0.2">
      <c r="A2447" t="s">
        <v>2096</v>
      </c>
      <c r="B2447" t="s">
        <v>2097</v>
      </c>
      <c r="C2447" t="s">
        <v>2098</v>
      </c>
      <c r="D2447" t="s">
        <v>2182</v>
      </c>
      <c r="E2447" t="s">
        <v>2183</v>
      </c>
      <c r="F2447" t="s">
        <v>2184</v>
      </c>
      <c r="G2447" t="s">
        <v>29</v>
      </c>
      <c r="H2447" t="s">
        <v>30</v>
      </c>
      <c r="I2447" t="s">
        <v>30</v>
      </c>
      <c r="J2447" t="s">
        <v>31</v>
      </c>
      <c r="K2447" t="s">
        <v>32</v>
      </c>
      <c r="L2447" t="s">
        <v>32</v>
      </c>
      <c r="M2447" t="s">
        <v>33</v>
      </c>
      <c r="P2447" t="s">
        <v>213</v>
      </c>
      <c r="Q2447" t="s">
        <v>2111</v>
      </c>
      <c r="R2447" t="s">
        <v>173</v>
      </c>
      <c r="S2447" t="s">
        <v>52</v>
      </c>
      <c r="T2447" t="s">
        <v>2185</v>
      </c>
      <c r="U2447" t="s">
        <v>2186</v>
      </c>
      <c r="V2447" t="s">
        <v>40</v>
      </c>
      <c r="W2447" s="1">
        <v>859800</v>
      </c>
    </row>
    <row r="2448" spans="1:23" x14ac:dyDescent="0.2">
      <c r="A2448" t="s">
        <v>2096</v>
      </c>
      <c r="B2448" t="s">
        <v>2097</v>
      </c>
      <c r="C2448" t="s">
        <v>2098</v>
      </c>
      <c r="D2448" t="s">
        <v>2182</v>
      </c>
      <c r="E2448" t="s">
        <v>2183</v>
      </c>
      <c r="F2448" t="s">
        <v>2184</v>
      </c>
      <c r="G2448" t="s">
        <v>49</v>
      </c>
      <c r="H2448" t="s">
        <v>30</v>
      </c>
      <c r="I2448" t="s">
        <v>30</v>
      </c>
      <c r="J2448" t="s">
        <v>31</v>
      </c>
      <c r="K2448" t="s">
        <v>32</v>
      </c>
      <c r="L2448" t="s">
        <v>32</v>
      </c>
      <c r="M2448" t="s">
        <v>33</v>
      </c>
      <c r="N2448" t="s">
        <v>33</v>
      </c>
      <c r="O2448" t="s">
        <v>33</v>
      </c>
      <c r="P2448" t="s">
        <v>213</v>
      </c>
      <c r="Q2448" t="s">
        <v>2118</v>
      </c>
      <c r="S2448" t="s">
        <v>30</v>
      </c>
      <c r="T2448" t="s">
        <v>2187</v>
      </c>
      <c r="U2448" t="s">
        <v>2188</v>
      </c>
      <c r="V2448" t="s">
        <v>39</v>
      </c>
      <c r="W2448" s="1">
        <v>3</v>
      </c>
    </row>
    <row r="2449" spans="1:23" x14ac:dyDescent="0.2">
      <c r="A2449" t="s">
        <v>2096</v>
      </c>
      <c r="B2449" t="s">
        <v>2097</v>
      </c>
      <c r="C2449" t="s">
        <v>2098</v>
      </c>
      <c r="D2449" t="s">
        <v>2182</v>
      </c>
      <c r="E2449" t="s">
        <v>2183</v>
      </c>
      <c r="F2449" t="s">
        <v>2184</v>
      </c>
      <c r="G2449" t="s">
        <v>49</v>
      </c>
      <c r="H2449" t="s">
        <v>30</v>
      </c>
      <c r="I2449" t="s">
        <v>30</v>
      </c>
      <c r="J2449" t="s">
        <v>31</v>
      </c>
      <c r="K2449" t="s">
        <v>32</v>
      </c>
      <c r="L2449" t="s">
        <v>32</v>
      </c>
      <c r="M2449" t="s">
        <v>33</v>
      </c>
      <c r="N2449" t="s">
        <v>33</v>
      </c>
      <c r="O2449" t="s">
        <v>33</v>
      </c>
      <c r="P2449" t="s">
        <v>213</v>
      </c>
      <c r="Q2449" t="s">
        <v>2118</v>
      </c>
      <c r="S2449" t="s">
        <v>30</v>
      </c>
      <c r="T2449" t="s">
        <v>2187</v>
      </c>
      <c r="U2449" t="s">
        <v>2188</v>
      </c>
      <c r="V2449" t="s">
        <v>40</v>
      </c>
      <c r="W2449" s="1">
        <v>989700</v>
      </c>
    </row>
    <row r="2450" spans="1:23" x14ac:dyDescent="0.2">
      <c r="A2450" t="s">
        <v>2096</v>
      </c>
      <c r="B2450" t="s">
        <v>2097</v>
      </c>
      <c r="C2450" t="s">
        <v>2098</v>
      </c>
      <c r="D2450" t="s">
        <v>2182</v>
      </c>
      <c r="E2450" t="s">
        <v>2183</v>
      </c>
      <c r="F2450" t="s">
        <v>2184</v>
      </c>
      <c r="G2450" t="s">
        <v>49</v>
      </c>
      <c r="H2450" t="s">
        <v>30</v>
      </c>
      <c r="I2450" t="s">
        <v>30</v>
      </c>
      <c r="J2450" t="s">
        <v>31</v>
      </c>
      <c r="K2450" t="s">
        <v>32</v>
      </c>
      <c r="L2450" t="s">
        <v>32</v>
      </c>
      <c r="M2450" t="s">
        <v>33</v>
      </c>
      <c r="N2450" t="s">
        <v>33</v>
      </c>
      <c r="O2450" t="s">
        <v>33</v>
      </c>
      <c r="P2450" t="s">
        <v>213</v>
      </c>
      <c r="Q2450" t="s">
        <v>2111</v>
      </c>
      <c r="S2450" t="s">
        <v>30</v>
      </c>
      <c r="T2450" t="s">
        <v>2187</v>
      </c>
      <c r="U2450" t="s">
        <v>2189</v>
      </c>
      <c r="V2450" t="s">
        <v>39</v>
      </c>
      <c r="W2450" s="1">
        <v>1</v>
      </c>
    </row>
    <row r="2451" spans="1:23" x14ac:dyDescent="0.2">
      <c r="A2451" t="s">
        <v>2096</v>
      </c>
      <c r="B2451" t="s">
        <v>2097</v>
      </c>
      <c r="C2451" t="s">
        <v>2098</v>
      </c>
      <c r="D2451" t="s">
        <v>2182</v>
      </c>
      <c r="E2451" t="s">
        <v>2183</v>
      </c>
      <c r="F2451" t="s">
        <v>2184</v>
      </c>
      <c r="G2451" t="s">
        <v>49</v>
      </c>
      <c r="H2451" t="s">
        <v>30</v>
      </c>
      <c r="I2451" t="s">
        <v>30</v>
      </c>
      <c r="J2451" t="s">
        <v>31</v>
      </c>
      <c r="K2451" t="s">
        <v>32</v>
      </c>
      <c r="L2451" t="s">
        <v>32</v>
      </c>
      <c r="M2451" t="s">
        <v>33</v>
      </c>
      <c r="N2451" t="s">
        <v>33</v>
      </c>
      <c r="O2451" t="s">
        <v>33</v>
      </c>
      <c r="P2451" t="s">
        <v>213</v>
      </c>
      <c r="Q2451" t="s">
        <v>2111</v>
      </c>
      <c r="S2451" t="s">
        <v>30</v>
      </c>
      <c r="T2451" t="s">
        <v>2187</v>
      </c>
      <c r="U2451" t="s">
        <v>2189</v>
      </c>
      <c r="V2451" t="s">
        <v>40</v>
      </c>
      <c r="W2451" s="1">
        <v>329900</v>
      </c>
    </row>
    <row r="2452" spans="1:23" x14ac:dyDescent="0.2">
      <c r="A2452" t="s">
        <v>2096</v>
      </c>
      <c r="B2452" t="s">
        <v>2097</v>
      </c>
      <c r="C2452" t="s">
        <v>2098</v>
      </c>
      <c r="D2452" t="s">
        <v>2182</v>
      </c>
      <c r="E2452" t="s">
        <v>2183</v>
      </c>
      <c r="F2452" t="s">
        <v>2184</v>
      </c>
      <c r="G2452" t="s">
        <v>61</v>
      </c>
      <c r="H2452" t="s">
        <v>52</v>
      </c>
      <c r="I2452" t="s">
        <v>52</v>
      </c>
      <c r="J2452" t="s">
        <v>31</v>
      </c>
      <c r="K2452" t="s">
        <v>32</v>
      </c>
      <c r="L2452" t="s">
        <v>32</v>
      </c>
      <c r="M2452" t="s">
        <v>33</v>
      </c>
      <c r="N2452" t="s">
        <v>33</v>
      </c>
      <c r="O2452" t="s">
        <v>33</v>
      </c>
      <c r="P2452" t="s">
        <v>34</v>
      </c>
      <c r="Q2452" t="s">
        <v>35</v>
      </c>
      <c r="S2452" t="s">
        <v>30</v>
      </c>
      <c r="T2452" t="s">
        <v>2190</v>
      </c>
      <c r="U2452" t="s">
        <v>2191</v>
      </c>
      <c r="V2452" t="s">
        <v>39</v>
      </c>
      <c r="W2452" s="1">
        <v>2</v>
      </c>
    </row>
    <row r="2453" spans="1:23" x14ac:dyDescent="0.2">
      <c r="A2453" t="s">
        <v>2096</v>
      </c>
      <c r="B2453" t="s">
        <v>2097</v>
      </c>
      <c r="C2453" t="s">
        <v>2098</v>
      </c>
      <c r="D2453" t="s">
        <v>2182</v>
      </c>
      <c r="E2453" t="s">
        <v>2183</v>
      </c>
      <c r="F2453" t="s">
        <v>2184</v>
      </c>
      <c r="G2453" t="s">
        <v>61</v>
      </c>
      <c r="H2453" t="s">
        <v>52</v>
      </c>
      <c r="I2453" t="s">
        <v>52</v>
      </c>
      <c r="J2453" t="s">
        <v>31</v>
      </c>
      <c r="K2453" t="s">
        <v>32</v>
      </c>
      <c r="L2453" t="s">
        <v>32</v>
      </c>
      <c r="M2453" t="s">
        <v>33</v>
      </c>
      <c r="N2453" t="s">
        <v>33</v>
      </c>
      <c r="O2453" t="s">
        <v>33</v>
      </c>
      <c r="P2453" t="s">
        <v>34</v>
      </c>
      <c r="Q2453" t="s">
        <v>35</v>
      </c>
      <c r="S2453" t="s">
        <v>30</v>
      </c>
      <c r="T2453" t="s">
        <v>2190</v>
      </c>
      <c r="U2453" t="s">
        <v>2191</v>
      </c>
      <c r="V2453" t="s">
        <v>40</v>
      </c>
      <c r="W2453" s="1">
        <v>1483800</v>
      </c>
    </row>
    <row r="2454" spans="1:23" x14ac:dyDescent="0.2">
      <c r="A2454" t="s">
        <v>2096</v>
      </c>
      <c r="B2454" t="s">
        <v>2097</v>
      </c>
      <c r="C2454" t="s">
        <v>2098</v>
      </c>
      <c r="D2454" t="s">
        <v>2182</v>
      </c>
      <c r="E2454" t="s">
        <v>2183</v>
      </c>
      <c r="F2454" t="s">
        <v>2184</v>
      </c>
      <c r="G2454" t="s">
        <v>61</v>
      </c>
      <c r="H2454" t="s">
        <v>52</v>
      </c>
      <c r="I2454" t="s">
        <v>52</v>
      </c>
      <c r="J2454" t="s">
        <v>31</v>
      </c>
      <c r="K2454" t="s">
        <v>32</v>
      </c>
      <c r="L2454" t="s">
        <v>32</v>
      </c>
      <c r="M2454" t="s">
        <v>33</v>
      </c>
      <c r="N2454" t="s">
        <v>169</v>
      </c>
      <c r="O2454" t="s">
        <v>169</v>
      </c>
      <c r="P2454" t="s">
        <v>34</v>
      </c>
      <c r="Q2454" t="s">
        <v>35</v>
      </c>
      <c r="S2454" t="s">
        <v>30</v>
      </c>
      <c r="T2454" t="s">
        <v>2190</v>
      </c>
      <c r="U2454" t="s">
        <v>2191</v>
      </c>
      <c r="V2454" t="s">
        <v>39</v>
      </c>
      <c r="W2454" s="1">
        <v>1</v>
      </c>
    </row>
    <row r="2455" spans="1:23" x14ac:dyDescent="0.2">
      <c r="A2455" t="s">
        <v>2096</v>
      </c>
      <c r="B2455" t="s">
        <v>2097</v>
      </c>
      <c r="C2455" t="s">
        <v>2098</v>
      </c>
      <c r="D2455" t="s">
        <v>2182</v>
      </c>
      <c r="E2455" t="s">
        <v>2183</v>
      </c>
      <c r="F2455" t="s">
        <v>2184</v>
      </c>
      <c r="G2455" t="s">
        <v>61</v>
      </c>
      <c r="H2455" t="s">
        <v>52</v>
      </c>
      <c r="I2455" t="s">
        <v>52</v>
      </c>
      <c r="J2455" t="s">
        <v>31</v>
      </c>
      <c r="K2455" t="s">
        <v>32</v>
      </c>
      <c r="L2455" t="s">
        <v>32</v>
      </c>
      <c r="M2455" t="s">
        <v>33</v>
      </c>
      <c r="N2455" t="s">
        <v>169</v>
      </c>
      <c r="O2455" t="s">
        <v>169</v>
      </c>
      <c r="P2455" t="s">
        <v>34</v>
      </c>
      <c r="Q2455" t="s">
        <v>35</v>
      </c>
      <c r="S2455" t="s">
        <v>30</v>
      </c>
      <c r="T2455" t="s">
        <v>2190</v>
      </c>
      <c r="U2455" t="s">
        <v>2191</v>
      </c>
      <c r="V2455" t="s">
        <v>40</v>
      </c>
      <c r="W2455" s="1">
        <v>741900</v>
      </c>
    </row>
    <row r="2456" spans="1:23" x14ac:dyDescent="0.2">
      <c r="A2456" t="s">
        <v>2096</v>
      </c>
      <c r="B2456" t="s">
        <v>2097</v>
      </c>
      <c r="C2456" t="s">
        <v>2098</v>
      </c>
      <c r="D2456" t="s">
        <v>2182</v>
      </c>
      <c r="E2456" t="s">
        <v>2183</v>
      </c>
      <c r="F2456" t="s">
        <v>2184</v>
      </c>
      <c r="G2456" t="s">
        <v>61</v>
      </c>
      <c r="H2456" t="s">
        <v>52</v>
      </c>
      <c r="I2456" t="s">
        <v>52</v>
      </c>
      <c r="J2456" t="s">
        <v>31</v>
      </c>
      <c r="K2456" t="s">
        <v>32</v>
      </c>
      <c r="L2456" t="s">
        <v>32</v>
      </c>
      <c r="M2456" t="s">
        <v>176</v>
      </c>
      <c r="N2456" t="s">
        <v>176</v>
      </c>
      <c r="O2456" t="s">
        <v>176</v>
      </c>
      <c r="P2456" t="s">
        <v>34</v>
      </c>
      <c r="Q2456" t="s">
        <v>35</v>
      </c>
      <c r="S2456" t="s">
        <v>30</v>
      </c>
      <c r="T2456" t="s">
        <v>2190</v>
      </c>
      <c r="U2456" t="s">
        <v>2191</v>
      </c>
      <c r="V2456" t="s">
        <v>39</v>
      </c>
      <c r="W2456" s="1">
        <v>2</v>
      </c>
    </row>
    <row r="2457" spans="1:23" x14ac:dyDescent="0.2">
      <c r="A2457" t="s">
        <v>2096</v>
      </c>
      <c r="B2457" t="s">
        <v>2097</v>
      </c>
      <c r="C2457" t="s">
        <v>2098</v>
      </c>
      <c r="D2457" t="s">
        <v>2182</v>
      </c>
      <c r="E2457" t="s">
        <v>2183</v>
      </c>
      <c r="F2457" t="s">
        <v>2184</v>
      </c>
      <c r="G2457" t="s">
        <v>61</v>
      </c>
      <c r="H2457" t="s">
        <v>52</v>
      </c>
      <c r="I2457" t="s">
        <v>52</v>
      </c>
      <c r="J2457" t="s">
        <v>31</v>
      </c>
      <c r="K2457" t="s">
        <v>32</v>
      </c>
      <c r="L2457" t="s">
        <v>32</v>
      </c>
      <c r="M2457" t="s">
        <v>176</v>
      </c>
      <c r="N2457" t="s">
        <v>176</v>
      </c>
      <c r="O2457" t="s">
        <v>176</v>
      </c>
      <c r="P2457" t="s">
        <v>34</v>
      </c>
      <c r="Q2457" t="s">
        <v>35</v>
      </c>
      <c r="S2457" t="s">
        <v>30</v>
      </c>
      <c r="T2457" t="s">
        <v>2190</v>
      </c>
      <c r="U2457" t="s">
        <v>2191</v>
      </c>
      <c r="V2457" t="s">
        <v>40</v>
      </c>
      <c r="W2457" s="1">
        <v>1483800</v>
      </c>
    </row>
    <row r="2458" spans="1:23" x14ac:dyDescent="0.2">
      <c r="A2458" t="s">
        <v>2096</v>
      </c>
      <c r="B2458" t="s">
        <v>2097</v>
      </c>
      <c r="C2458" t="s">
        <v>2098</v>
      </c>
      <c r="D2458" t="s">
        <v>2182</v>
      </c>
      <c r="E2458" t="s">
        <v>2183</v>
      </c>
      <c r="F2458" t="s">
        <v>2184</v>
      </c>
      <c r="G2458" t="s">
        <v>61</v>
      </c>
      <c r="H2458" t="s">
        <v>52</v>
      </c>
      <c r="I2458" t="s">
        <v>52</v>
      </c>
      <c r="J2458" t="s">
        <v>41</v>
      </c>
      <c r="K2458" t="s">
        <v>32</v>
      </c>
      <c r="L2458" t="s">
        <v>32</v>
      </c>
      <c r="M2458" t="s">
        <v>33</v>
      </c>
      <c r="P2458" t="s">
        <v>213</v>
      </c>
      <c r="Q2458" t="s">
        <v>2111</v>
      </c>
      <c r="R2458" t="s">
        <v>73</v>
      </c>
      <c r="S2458" t="s">
        <v>52</v>
      </c>
      <c r="T2458" t="s">
        <v>1593</v>
      </c>
      <c r="U2458" t="s">
        <v>2192</v>
      </c>
      <c r="V2458" t="s">
        <v>39</v>
      </c>
      <c r="W2458" s="1">
        <v>0</v>
      </c>
    </row>
    <row r="2459" spans="1:23" x14ac:dyDescent="0.2">
      <c r="A2459" t="s">
        <v>2096</v>
      </c>
      <c r="B2459" t="s">
        <v>2097</v>
      </c>
      <c r="C2459" t="s">
        <v>2098</v>
      </c>
      <c r="D2459" t="s">
        <v>2182</v>
      </c>
      <c r="E2459" t="s">
        <v>2183</v>
      </c>
      <c r="F2459" t="s">
        <v>2184</v>
      </c>
      <c r="G2459" t="s">
        <v>61</v>
      </c>
      <c r="H2459" t="s">
        <v>52</v>
      </c>
      <c r="I2459" t="s">
        <v>52</v>
      </c>
      <c r="J2459" t="s">
        <v>41</v>
      </c>
      <c r="K2459" t="s">
        <v>32</v>
      </c>
      <c r="L2459" t="s">
        <v>32</v>
      </c>
      <c r="M2459" t="s">
        <v>33</v>
      </c>
      <c r="P2459" t="s">
        <v>213</v>
      </c>
      <c r="Q2459" t="s">
        <v>2111</v>
      </c>
      <c r="R2459" t="s">
        <v>73</v>
      </c>
      <c r="S2459" t="s">
        <v>52</v>
      </c>
      <c r="T2459" t="s">
        <v>1593</v>
      </c>
      <c r="U2459" t="s">
        <v>2192</v>
      </c>
      <c r="V2459" t="s">
        <v>40</v>
      </c>
      <c r="W2459" s="1">
        <v>4199600</v>
      </c>
    </row>
    <row r="2460" spans="1:23" x14ac:dyDescent="0.2">
      <c r="A2460" t="s">
        <v>2096</v>
      </c>
      <c r="B2460" t="s">
        <v>2097</v>
      </c>
      <c r="C2460" t="s">
        <v>2098</v>
      </c>
      <c r="D2460" t="s">
        <v>2182</v>
      </c>
      <c r="E2460" t="s">
        <v>2183</v>
      </c>
      <c r="F2460" t="s">
        <v>2184</v>
      </c>
      <c r="G2460" t="s">
        <v>170</v>
      </c>
      <c r="H2460" t="s">
        <v>52</v>
      </c>
      <c r="I2460" t="s">
        <v>30</v>
      </c>
      <c r="J2460" t="s">
        <v>41</v>
      </c>
      <c r="K2460" t="s">
        <v>32</v>
      </c>
      <c r="L2460" t="s">
        <v>32</v>
      </c>
      <c r="M2460" t="s">
        <v>33</v>
      </c>
      <c r="N2460" t="s">
        <v>33</v>
      </c>
      <c r="O2460" t="s">
        <v>33</v>
      </c>
      <c r="P2460" t="s">
        <v>213</v>
      </c>
      <c r="Q2460" t="s">
        <v>2111</v>
      </c>
      <c r="S2460" t="s">
        <v>30</v>
      </c>
      <c r="T2460" t="s">
        <v>2193</v>
      </c>
      <c r="U2460" t="s">
        <v>2194</v>
      </c>
      <c r="V2460" t="s">
        <v>39</v>
      </c>
      <c r="W2460" s="1">
        <v>2</v>
      </c>
    </row>
    <row r="2461" spans="1:23" x14ac:dyDescent="0.2">
      <c r="A2461" t="s">
        <v>2096</v>
      </c>
      <c r="B2461" t="s">
        <v>2097</v>
      </c>
      <c r="C2461" t="s">
        <v>2098</v>
      </c>
      <c r="D2461" t="s">
        <v>2182</v>
      </c>
      <c r="E2461" t="s">
        <v>2183</v>
      </c>
      <c r="F2461" t="s">
        <v>2184</v>
      </c>
      <c r="G2461" t="s">
        <v>170</v>
      </c>
      <c r="H2461" t="s">
        <v>52</v>
      </c>
      <c r="I2461" t="s">
        <v>30</v>
      </c>
      <c r="J2461" t="s">
        <v>41</v>
      </c>
      <c r="K2461" t="s">
        <v>32</v>
      </c>
      <c r="L2461" t="s">
        <v>32</v>
      </c>
      <c r="M2461" t="s">
        <v>33</v>
      </c>
      <c r="N2461" t="s">
        <v>33</v>
      </c>
      <c r="O2461" t="s">
        <v>33</v>
      </c>
      <c r="P2461" t="s">
        <v>213</v>
      </c>
      <c r="Q2461" t="s">
        <v>2111</v>
      </c>
      <c r="S2461" t="s">
        <v>30</v>
      </c>
      <c r="T2461" t="s">
        <v>2193</v>
      </c>
      <c r="U2461" t="s">
        <v>2194</v>
      </c>
      <c r="V2461" t="s">
        <v>40</v>
      </c>
      <c r="W2461" s="1">
        <v>2641800</v>
      </c>
    </row>
    <row r="2462" spans="1:23" x14ac:dyDescent="0.2">
      <c r="A2462" t="s">
        <v>2096</v>
      </c>
      <c r="B2462" t="s">
        <v>2097</v>
      </c>
      <c r="C2462" t="s">
        <v>2098</v>
      </c>
      <c r="D2462" t="s">
        <v>2182</v>
      </c>
      <c r="E2462" t="s">
        <v>2183</v>
      </c>
      <c r="F2462" t="s">
        <v>2184</v>
      </c>
      <c r="G2462" t="s">
        <v>64</v>
      </c>
      <c r="H2462" t="s">
        <v>30</v>
      </c>
      <c r="I2462" t="s">
        <v>52</v>
      </c>
      <c r="J2462" t="s">
        <v>31</v>
      </c>
      <c r="K2462" t="s">
        <v>32</v>
      </c>
      <c r="L2462" t="s">
        <v>32</v>
      </c>
      <c r="M2462" t="s">
        <v>33</v>
      </c>
      <c r="N2462" t="s">
        <v>33</v>
      </c>
      <c r="O2462" t="s">
        <v>33</v>
      </c>
      <c r="P2462" t="s">
        <v>213</v>
      </c>
      <c r="Q2462" t="s">
        <v>2111</v>
      </c>
      <c r="S2462" t="s">
        <v>30</v>
      </c>
      <c r="T2462" t="s">
        <v>2195</v>
      </c>
      <c r="U2462" t="s">
        <v>2196</v>
      </c>
      <c r="V2462" t="s">
        <v>39</v>
      </c>
      <c r="W2462" s="1">
        <v>2</v>
      </c>
    </row>
    <row r="2463" spans="1:23" x14ac:dyDescent="0.2">
      <c r="A2463" t="s">
        <v>2096</v>
      </c>
      <c r="B2463" t="s">
        <v>2097</v>
      </c>
      <c r="C2463" t="s">
        <v>2098</v>
      </c>
      <c r="D2463" t="s">
        <v>2182</v>
      </c>
      <c r="E2463" t="s">
        <v>2183</v>
      </c>
      <c r="F2463" t="s">
        <v>2184</v>
      </c>
      <c r="G2463" t="s">
        <v>64</v>
      </c>
      <c r="H2463" t="s">
        <v>30</v>
      </c>
      <c r="I2463" t="s">
        <v>52</v>
      </c>
      <c r="J2463" t="s">
        <v>31</v>
      </c>
      <c r="K2463" t="s">
        <v>32</v>
      </c>
      <c r="L2463" t="s">
        <v>32</v>
      </c>
      <c r="M2463" t="s">
        <v>33</v>
      </c>
      <c r="N2463" t="s">
        <v>33</v>
      </c>
      <c r="O2463" t="s">
        <v>33</v>
      </c>
      <c r="P2463" t="s">
        <v>213</v>
      </c>
      <c r="Q2463" t="s">
        <v>2111</v>
      </c>
      <c r="S2463" t="s">
        <v>30</v>
      </c>
      <c r="T2463" t="s">
        <v>2195</v>
      </c>
      <c r="U2463" t="s">
        <v>2196</v>
      </c>
      <c r="V2463" t="s">
        <v>40</v>
      </c>
      <c r="W2463" s="1">
        <v>919800</v>
      </c>
    </row>
    <row r="2464" spans="1:23" x14ac:dyDescent="0.2">
      <c r="A2464" t="s">
        <v>2096</v>
      </c>
      <c r="B2464" t="s">
        <v>2097</v>
      </c>
      <c r="C2464" t="s">
        <v>2098</v>
      </c>
      <c r="D2464" t="s">
        <v>2182</v>
      </c>
      <c r="E2464" t="s">
        <v>2183</v>
      </c>
      <c r="F2464" t="s">
        <v>2184</v>
      </c>
      <c r="G2464" t="s">
        <v>67</v>
      </c>
      <c r="H2464" t="s">
        <v>30</v>
      </c>
      <c r="I2464" t="s">
        <v>30</v>
      </c>
      <c r="J2464" t="s">
        <v>31</v>
      </c>
      <c r="K2464" t="s">
        <v>32</v>
      </c>
      <c r="L2464" t="s">
        <v>32</v>
      </c>
      <c r="M2464" t="s">
        <v>33</v>
      </c>
      <c r="N2464" t="s">
        <v>33</v>
      </c>
      <c r="O2464" t="s">
        <v>33</v>
      </c>
      <c r="P2464" t="s">
        <v>213</v>
      </c>
      <c r="Q2464" t="s">
        <v>2111</v>
      </c>
      <c r="S2464" t="s">
        <v>30</v>
      </c>
      <c r="T2464" t="s">
        <v>2197</v>
      </c>
      <c r="U2464" t="s">
        <v>2198</v>
      </c>
      <c r="V2464" t="s">
        <v>39</v>
      </c>
      <c r="W2464" s="1">
        <v>6</v>
      </c>
    </row>
    <row r="2465" spans="1:23" x14ac:dyDescent="0.2">
      <c r="A2465" t="s">
        <v>2096</v>
      </c>
      <c r="B2465" t="s">
        <v>2097</v>
      </c>
      <c r="C2465" t="s">
        <v>2098</v>
      </c>
      <c r="D2465" t="s">
        <v>2182</v>
      </c>
      <c r="E2465" t="s">
        <v>2183</v>
      </c>
      <c r="F2465" t="s">
        <v>2184</v>
      </c>
      <c r="G2465" t="s">
        <v>67</v>
      </c>
      <c r="H2465" t="s">
        <v>30</v>
      </c>
      <c r="I2465" t="s">
        <v>30</v>
      </c>
      <c r="J2465" t="s">
        <v>31</v>
      </c>
      <c r="K2465" t="s">
        <v>32</v>
      </c>
      <c r="L2465" t="s">
        <v>32</v>
      </c>
      <c r="M2465" t="s">
        <v>33</v>
      </c>
      <c r="N2465" t="s">
        <v>33</v>
      </c>
      <c r="O2465" t="s">
        <v>33</v>
      </c>
      <c r="P2465" t="s">
        <v>213</v>
      </c>
      <c r="Q2465" t="s">
        <v>2111</v>
      </c>
      <c r="S2465" t="s">
        <v>30</v>
      </c>
      <c r="T2465" t="s">
        <v>2197</v>
      </c>
      <c r="U2465" t="s">
        <v>2198</v>
      </c>
      <c r="V2465" t="s">
        <v>40</v>
      </c>
      <c r="W2465" s="1">
        <v>5399400</v>
      </c>
    </row>
    <row r="2466" spans="1:23" x14ac:dyDescent="0.2">
      <c r="A2466" t="s">
        <v>2096</v>
      </c>
      <c r="B2466" t="s">
        <v>2097</v>
      </c>
      <c r="C2466" t="s">
        <v>2098</v>
      </c>
      <c r="D2466" t="s">
        <v>2182</v>
      </c>
      <c r="E2466" t="s">
        <v>2183</v>
      </c>
      <c r="F2466" t="s">
        <v>2184</v>
      </c>
      <c r="G2466" t="s">
        <v>67</v>
      </c>
      <c r="H2466" t="s">
        <v>30</v>
      </c>
      <c r="I2466" t="s">
        <v>30</v>
      </c>
      <c r="J2466" t="s">
        <v>31</v>
      </c>
      <c r="K2466" t="s">
        <v>32</v>
      </c>
      <c r="L2466" t="s">
        <v>32</v>
      </c>
      <c r="M2466" t="s">
        <v>33</v>
      </c>
      <c r="N2466" t="s">
        <v>33</v>
      </c>
      <c r="O2466" t="s">
        <v>33</v>
      </c>
      <c r="P2466" t="s">
        <v>213</v>
      </c>
      <c r="Q2466" t="s">
        <v>2111</v>
      </c>
      <c r="S2466" t="s">
        <v>30</v>
      </c>
      <c r="T2466" t="s">
        <v>2199</v>
      </c>
      <c r="U2466" t="s">
        <v>2200</v>
      </c>
      <c r="V2466" t="s">
        <v>39</v>
      </c>
      <c r="W2466" s="1">
        <v>2</v>
      </c>
    </row>
    <row r="2467" spans="1:23" x14ac:dyDescent="0.2">
      <c r="A2467" t="s">
        <v>2096</v>
      </c>
      <c r="B2467" t="s">
        <v>2097</v>
      </c>
      <c r="C2467" t="s">
        <v>2098</v>
      </c>
      <c r="D2467" t="s">
        <v>2182</v>
      </c>
      <c r="E2467" t="s">
        <v>2183</v>
      </c>
      <c r="F2467" t="s">
        <v>2184</v>
      </c>
      <c r="G2467" t="s">
        <v>67</v>
      </c>
      <c r="H2467" t="s">
        <v>30</v>
      </c>
      <c r="I2467" t="s">
        <v>30</v>
      </c>
      <c r="J2467" t="s">
        <v>31</v>
      </c>
      <c r="K2467" t="s">
        <v>32</v>
      </c>
      <c r="L2467" t="s">
        <v>32</v>
      </c>
      <c r="M2467" t="s">
        <v>33</v>
      </c>
      <c r="N2467" t="s">
        <v>33</v>
      </c>
      <c r="O2467" t="s">
        <v>33</v>
      </c>
      <c r="P2467" t="s">
        <v>213</v>
      </c>
      <c r="Q2467" t="s">
        <v>2111</v>
      </c>
      <c r="S2467" t="s">
        <v>30</v>
      </c>
      <c r="T2467" t="s">
        <v>2199</v>
      </c>
      <c r="U2467" t="s">
        <v>2200</v>
      </c>
      <c r="V2467" t="s">
        <v>40</v>
      </c>
      <c r="W2467" s="1">
        <v>1862000</v>
      </c>
    </row>
    <row r="2468" spans="1:23" x14ac:dyDescent="0.2">
      <c r="A2468" t="s">
        <v>2096</v>
      </c>
      <c r="B2468" t="s">
        <v>2097</v>
      </c>
      <c r="C2468" t="s">
        <v>2098</v>
      </c>
      <c r="D2468" t="s">
        <v>2182</v>
      </c>
      <c r="E2468" t="s">
        <v>2183</v>
      </c>
      <c r="F2468" t="s">
        <v>2184</v>
      </c>
      <c r="G2468" t="s">
        <v>67</v>
      </c>
      <c r="H2468" t="s">
        <v>30</v>
      </c>
      <c r="I2468" t="s">
        <v>30</v>
      </c>
      <c r="J2468" t="s">
        <v>31</v>
      </c>
      <c r="K2468" t="s">
        <v>32</v>
      </c>
      <c r="L2468" t="s">
        <v>32</v>
      </c>
      <c r="M2468" t="s">
        <v>33</v>
      </c>
      <c r="N2468" t="s">
        <v>169</v>
      </c>
      <c r="O2468" t="s">
        <v>169</v>
      </c>
      <c r="P2468" t="s">
        <v>213</v>
      </c>
      <c r="Q2468" t="s">
        <v>2111</v>
      </c>
      <c r="S2468" t="s">
        <v>30</v>
      </c>
      <c r="T2468" t="s">
        <v>2199</v>
      </c>
      <c r="U2468" t="s">
        <v>2200</v>
      </c>
      <c r="V2468" t="s">
        <v>39</v>
      </c>
      <c r="W2468" s="1">
        <v>1</v>
      </c>
    </row>
    <row r="2469" spans="1:23" x14ac:dyDescent="0.2">
      <c r="A2469" t="s">
        <v>2096</v>
      </c>
      <c r="B2469" t="s">
        <v>2097</v>
      </c>
      <c r="C2469" t="s">
        <v>2098</v>
      </c>
      <c r="D2469" t="s">
        <v>2182</v>
      </c>
      <c r="E2469" t="s">
        <v>2183</v>
      </c>
      <c r="F2469" t="s">
        <v>2184</v>
      </c>
      <c r="G2469" t="s">
        <v>67</v>
      </c>
      <c r="H2469" t="s">
        <v>30</v>
      </c>
      <c r="I2469" t="s">
        <v>30</v>
      </c>
      <c r="J2469" t="s">
        <v>31</v>
      </c>
      <c r="K2469" t="s">
        <v>32</v>
      </c>
      <c r="L2469" t="s">
        <v>32</v>
      </c>
      <c r="M2469" t="s">
        <v>33</v>
      </c>
      <c r="N2469" t="s">
        <v>169</v>
      </c>
      <c r="O2469" t="s">
        <v>169</v>
      </c>
      <c r="P2469" t="s">
        <v>213</v>
      </c>
      <c r="Q2469" t="s">
        <v>2111</v>
      </c>
      <c r="S2469" t="s">
        <v>30</v>
      </c>
      <c r="T2469" t="s">
        <v>2199</v>
      </c>
      <c r="U2469" t="s">
        <v>2200</v>
      </c>
      <c r="V2469" t="s">
        <v>40</v>
      </c>
      <c r="W2469" s="1">
        <v>931000</v>
      </c>
    </row>
    <row r="2470" spans="1:23" x14ac:dyDescent="0.2">
      <c r="A2470" t="s">
        <v>2096</v>
      </c>
      <c r="B2470" t="s">
        <v>2097</v>
      </c>
      <c r="C2470" t="s">
        <v>2098</v>
      </c>
      <c r="D2470" t="s">
        <v>2182</v>
      </c>
      <c r="E2470" t="s">
        <v>2183</v>
      </c>
      <c r="F2470" t="s">
        <v>2184</v>
      </c>
      <c r="G2470" t="s">
        <v>89</v>
      </c>
      <c r="H2470" t="s">
        <v>30</v>
      </c>
      <c r="I2470" t="s">
        <v>30</v>
      </c>
      <c r="J2470" t="s">
        <v>31</v>
      </c>
      <c r="K2470" t="s">
        <v>32</v>
      </c>
      <c r="L2470" t="s">
        <v>32</v>
      </c>
      <c r="M2470" t="s">
        <v>33</v>
      </c>
      <c r="N2470" t="s">
        <v>33</v>
      </c>
      <c r="O2470" t="s">
        <v>33</v>
      </c>
      <c r="P2470" t="s">
        <v>213</v>
      </c>
      <c r="Q2470" t="s">
        <v>2111</v>
      </c>
      <c r="R2470" t="s">
        <v>73</v>
      </c>
      <c r="S2470" t="s">
        <v>30</v>
      </c>
      <c r="T2470" t="s">
        <v>2201</v>
      </c>
      <c r="U2470" t="s">
        <v>2202</v>
      </c>
      <c r="V2470" t="s">
        <v>39</v>
      </c>
      <c r="W2470" s="1">
        <v>2</v>
      </c>
    </row>
    <row r="2471" spans="1:23" x14ac:dyDescent="0.2">
      <c r="A2471" t="s">
        <v>2096</v>
      </c>
      <c r="B2471" t="s">
        <v>2097</v>
      </c>
      <c r="C2471" t="s">
        <v>2098</v>
      </c>
      <c r="D2471" t="s">
        <v>2182</v>
      </c>
      <c r="E2471" t="s">
        <v>2183</v>
      </c>
      <c r="F2471" t="s">
        <v>2184</v>
      </c>
      <c r="G2471" t="s">
        <v>89</v>
      </c>
      <c r="H2471" t="s">
        <v>30</v>
      </c>
      <c r="I2471" t="s">
        <v>30</v>
      </c>
      <c r="J2471" t="s">
        <v>31</v>
      </c>
      <c r="K2471" t="s">
        <v>32</v>
      </c>
      <c r="L2471" t="s">
        <v>32</v>
      </c>
      <c r="M2471" t="s">
        <v>33</v>
      </c>
      <c r="N2471" t="s">
        <v>33</v>
      </c>
      <c r="O2471" t="s">
        <v>33</v>
      </c>
      <c r="P2471" t="s">
        <v>213</v>
      </c>
      <c r="Q2471" t="s">
        <v>2111</v>
      </c>
      <c r="R2471" t="s">
        <v>73</v>
      </c>
      <c r="S2471" t="s">
        <v>30</v>
      </c>
      <c r="T2471" t="s">
        <v>2201</v>
      </c>
      <c r="U2471" t="s">
        <v>2202</v>
      </c>
      <c r="V2471" t="s">
        <v>40</v>
      </c>
      <c r="W2471" s="1">
        <v>599800</v>
      </c>
    </row>
    <row r="2472" spans="1:23" x14ac:dyDescent="0.2">
      <c r="A2472" t="s">
        <v>2096</v>
      </c>
      <c r="B2472" t="s">
        <v>2097</v>
      </c>
      <c r="C2472" t="s">
        <v>2098</v>
      </c>
      <c r="D2472" t="s">
        <v>2182</v>
      </c>
      <c r="E2472" t="s">
        <v>2183</v>
      </c>
      <c r="F2472" t="s">
        <v>2184</v>
      </c>
      <c r="G2472" t="s">
        <v>89</v>
      </c>
      <c r="H2472" t="s">
        <v>30</v>
      </c>
      <c r="I2472" t="s">
        <v>30</v>
      </c>
      <c r="J2472" t="s">
        <v>31</v>
      </c>
      <c r="K2472" t="s">
        <v>32</v>
      </c>
      <c r="L2472" t="s">
        <v>32</v>
      </c>
      <c r="M2472" t="s">
        <v>33</v>
      </c>
      <c r="N2472" t="s">
        <v>33</v>
      </c>
      <c r="O2472" t="s">
        <v>33</v>
      </c>
      <c r="P2472" t="s">
        <v>213</v>
      </c>
      <c r="Q2472" t="s">
        <v>2111</v>
      </c>
      <c r="S2472" t="s">
        <v>30</v>
      </c>
      <c r="T2472" t="s">
        <v>1806</v>
      </c>
      <c r="U2472" t="s">
        <v>2203</v>
      </c>
      <c r="V2472" t="s">
        <v>39</v>
      </c>
      <c r="W2472" s="1">
        <v>2</v>
      </c>
    </row>
    <row r="2473" spans="1:23" x14ac:dyDescent="0.2">
      <c r="A2473" t="s">
        <v>2096</v>
      </c>
      <c r="B2473" t="s">
        <v>2097</v>
      </c>
      <c r="C2473" t="s">
        <v>2098</v>
      </c>
      <c r="D2473" t="s">
        <v>2182</v>
      </c>
      <c r="E2473" t="s">
        <v>2183</v>
      </c>
      <c r="F2473" t="s">
        <v>2184</v>
      </c>
      <c r="G2473" t="s">
        <v>89</v>
      </c>
      <c r="H2473" t="s">
        <v>30</v>
      </c>
      <c r="I2473" t="s">
        <v>30</v>
      </c>
      <c r="J2473" t="s">
        <v>31</v>
      </c>
      <c r="K2473" t="s">
        <v>32</v>
      </c>
      <c r="L2473" t="s">
        <v>32</v>
      </c>
      <c r="M2473" t="s">
        <v>33</v>
      </c>
      <c r="N2473" t="s">
        <v>33</v>
      </c>
      <c r="O2473" t="s">
        <v>33</v>
      </c>
      <c r="P2473" t="s">
        <v>213</v>
      </c>
      <c r="Q2473" t="s">
        <v>2111</v>
      </c>
      <c r="S2473" t="s">
        <v>30</v>
      </c>
      <c r="T2473" t="s">
        <v>1806</v>
      </c>
      <c r="U2473" t="s">
        <v>2203</v>
      </c>
      <c r="V2473" t="s">
        <v>40</v>
      </c>
      <c r="W2473" s="1">
        <v>2089800</v>
      </c>
    </row>
    <row r="2474" spans="1:23" x14ac:dyDescent="0.2">
      <c r="A2474" t="s">
        <v>2096</v>
      </c>
      <c r="B2474" t="s">
        <v>2097</v>
      </c>
      <c r="C2474" t="s">
        <v>2098</v>
      </c>
      <c r="D2474" t="s">
        <v>2182</v>
      </c>
      <c r="E2474" t="s">
        <v>2183</v>
      </c>
      <c r="F2474" t="s">
        <v>2184</v>
      </c>
      <c r="G2474" t="s">
        <v>89</v>
      </c>
      <c r="H2474" t="s">
        <v>30</v>
      </c>
      <c r="I2474" t="s">
        <v>30</v>
      </c>
      <c r="J2474" t="s">
        <v>41</v>
      </c>
      <c r="K2474" t="s">
        <v>32</v>
      </c>
      <c r="L2474" t="s">
        <v>32</v>
      </c>
      <c r="M2474" t="s">
        <v>33</v>
      </c>
      <c r="N2474" t="s">
        <v>33</v>
      </c>
      <c r="O2474" t="s">
        <v>33</v>
      </c>
      <c r="P2474" t="s">
        <v>34</v>
      </c>
      <c r="Q2474" t="s">
        <v>35</v>
      </c>
      <c r="S2474" t="s">
        <v>30</v>
      </c>
      <c r="T2474" t="s">
        <v>2204</v>
      </c>
      <c r="U2474" t="s">
        <v>2205</v>
      </c>
      <c r="V2474" t="s">
        <v>39</v>
      </c>
      <c r="W2474" s="1">
        <v>2</v>
      </c>
    </row>
    <row r="2475" spans="1:23" x14ac:dyDescent="0.2">
      <c r="A2475" t="s">
        <v>2096</v>
      </c>
      <c r="B2475" t="s">
        <v>2097</v>
      </c>
      <c r="C2475" t="s">
        <v>2098</v>
      </c>
      <c r="D2475" t="s">
        <v>2182</v>
      </c>
      <c r="E2475" t="s">
        <v>2183</v>
      </c>
      <c r="F2475" t="s">
        <v>2184</v>
      </c>
      <c r="G2475" t="s">
        <v>89</v>
      </c>
      <c r="H2475" t="s">
        <v>30</v>
      </c>
      <c r="I2475" t="s">
        <v>30</v>
      </c>
      <c r="J2475" t="s">
        <v>41</v>
      </c>
      <c r="K2475" t="s">
        <v>32</v>
      </c>
      <c r="L2475" t="s">
        <v>32</v>
      </c>
      <c r="M2475" t="s">
        <v>33</v>
      </c>
      <c r="N2475" t="s">
        <v>33</v>
      </c>
      <c r="O2475" t="s">
        <v>33</v>
      </c>
      <c r="P2475" t="s">
        <v>34</v>
      </c>
      <c r="Q2475" t="s">
        <v>35</v>
      </c>
      <c r="S2475" t="s">
        <v>30</v>
      </c>
      <c r="T2475" t="s">
        <v>2204</v>
      </c>
      <c r="U2475" t="s">
        <v>2205</v>
      </c>
      <c r="V2475" t="s">
        <v>40</v>
      </c>
      <c r="W2475" s="1">
        <v>1581800</v>
      </c>
    </row>
    <row r="2476" spans="1:23" x14ac:dyDescent="0.2">
      <c r="A2476" t="s">
        <v>2096</v>
      </c>
      <c r="B2476" t="s">
        <v>2097</v>
      </c>
      <c r="C2476" t="s">
        <v>2098</v>
      </c>
      <c r="D2476" t="s">
        <v>2182</v>
      </c>
      <c r="E2476" t="s">
        <v>2183</v>
      </c>
      <c r="F2476" t="s">
        <v>2184</v>
      </c>
      <c r="G2476" t="s">
        <v>89</v>
      </c>
      <c r="H2476" t="s">
        <v>30</v>
      </c>
      <c r="I2476" t="s">
        <v>30</v>
      </c>
      <c r="J2476" t="s">
        <v>41</v>
      </c>
      <c r="K2476" t="s">
        <v>32</v>
      </c>
      <c r="L2476" t="s">
        <v>32</v>
      </c>
      <c r="M2476" t="s">
        <v>33</v>
      </c>
      <c r="P2476" t="s">
        <v>34</v>
      </c>
      <c r="Q2476" t="s">
        <v>35</v>
      </c>
      <c r="S2476" t="s">
        <v>52</v>
      </c>
      <c r="T2476" t="s">
        <v>2204</v>
      </c>
      <c r="U2476" t="s">
        <v>2206</v>
      </c>
      <c r="V2476" t="s">
        <v>39</v>
      </c>
      <c r="W2476" s="1">
        <v>0</v>
      </c>
    </row>
    <row r="2477" spans="1:23" x14ac:dyDescent="0.2">
      <c r="A2477" t="s">
        <v>2096</v>
      </c>
      <c r="B2477" t="s">
        <v>2097</v>
      </c>
      <c r="C2477" t="s">
        <v>2098</v>
      </c>
      <c r="D2477" t="s">
        <v>2182</v>
      </c>
      <c r="E2477" t="s">
        <v>2183</v>
      </c>
      <c r="F2477" t="s">
        <v>2184</v>
      </c>
      <c r="G2477" t="s">
        <v>89</v>
      </c>
      <c r="H2477" t="s">
        <v>30</v>
      </c>
      <c r="I2477" t="s">
        <v>30</v>
      </c>
      <c r="J2477" t="s">
        <v>41</v>
      </c>
      <c r="K2477" t="s">
        <v>32</v>
      </c>
      <c r="L2477" t="s">
        <v>32</v>
      </c>
      <c r="M2477" t="s">
        <v>33</v>
      </c>
      <c r="P2477" t="s">
        <v>34</v>
      </c>
      <c r="Q2477" t="s">
        <v>35</v>
      </c>
      <c r="S2477" t="s">
        <v>52</v>
      </c>
      <c r="T2477" t="s">
        <v>2204</v>
      </c>
      <c r="U2477" t="s">
        <v>2206</v>
      </c>
      <c r="V2477" t="s">
        <v>40</v>
      </c>
      <c r="W2477" s="1">
        <v>1581800</v>
      </c>
    </row>
    <row r="2478" spans="1:23" x14ac:dyDescent="0.2">
      <c r="A2478" t="s">
        <v>2096</v>
      </c>
      <c r="B2478" t="s">
        <v>2097</v>
      </c>
      <c r="C2478" t="s">
        <v>2098</v>
      </c>
      <c r="D2478" t="s">
        <v>2182</v>
      </c>
      <c r="E2478" t="s">
        <v>2183</v>
      </c>
      <c r="F2478" t="s">
        <v>2184</v>
      </c>
      <c r="G2478" t="s">
        <v>89</v>
      </c>
      <c r="H2478" t="s">
        <v>30</v>
      </c>
      <c r="I2478" t="s">
        <v>30</v>
      </c>
      <c r="J2478" t="s">
        <v>41</v>
      </c>
      <c r="K2478" t="s">
        <v>32</v>
      </c>
      <c r="L2478" t="s">
        <v>32</v>
      </c>
      <c r="M2478" t="s">
        <v>33</v>
      </c>
      <c r="P2478" t="s">
        <v>34</v>
      </c>
      <c r="Q2478" t="s">
        <v>35</v>
      </c>
      <c r="S2478" t="s">
        <v>52</v>
      </c>
      <c r="T2478" t="s">
        <v>2204</v>
      </c>
      <c r="U2478" t="s">
        <v>2207</v>
      </c>
      <c r="V2478" t="s">
        <v>39</v>
      </c>
      <c r="W2478" s="1">
        <v>0</v>
      </c>
    </row>
    <row r="2479" spans="1:23" x14ac:dyDescent="0.2">
      <c r="A2479" t="s">
        <v>2096</v>
      </c>
      <c r="B2479" t="s">
        <v>2097</v>
      </c>
      <c r="C2479" t="s">
        <v>2098</v>
      </c>
      <c r="D2479" t="s">
        <v>2182</v>
      </c>
      <c r="E2479" t="s">
        <v>2183</v>
      </c>
      <c r="F2479" t="s">
        <v>2184</v>
      </c>
      <c r="G2479" t="s">
        <v>89</v>
      </c>
      <c r="H2479" t="s">
        <v>30</v>
      </c>
      <c r="I2479" t="s">
        <v>30</v>
      </c>
      <c r="J2479" t="s">
        <v>41</v>
      </c>
      <c r="K2479" t="s">
        <v>32</v>
      </c>
      <c r="L2479" t="s">
        <v>32</v>
      </c>
      <c r="M2479" t="s">
        <v>33</v>
      </c>
      <c r="P2479" t="s">
        <v>34</v>
      </c>
      <c r="Q2479" t="s">
        <v>35</v>
      </c>
      <c r="S2479" t="s">
        <v>52</v>
      </c>
      <c r="T2479" t="s">
        <v>2204</v>
      </c>
      <c r="U2479" t="s">
        <v>2207</v>
      </c>
      <c r="V2479" t="s">
        <v>40</v>
      </c>
      <c r="W2479" s="1">
        <v>1581800</v>
      </c>
    </row>
    <row r="2480" spans="1:23" x14ac:dyDescent="0.2">
      <c r="A2480" t="s">
        <v>2096</v>
      </c>
      <c r="B2480" t="s">
        <v>2097</v>
      </c>
      <c r="C2480" t="s">
        <v>2098</v>
      </c>
      <c r="D2480" t="s">
        <v>2182</v>
      </c>
      <c r="E2480" t="s">
        <v>2183</v>
      </c>
      <c r="F2480" t="s">
        <v>2184</v>
      </c>
      <c r="G2480" t="s">
        <v>106</v>
      </c>
      <c r="H2480" t="s">
        <v>30</v>
      </c>
      <c r="I2480" t="s">
        <v>30</v>
      </c>
      <c r="J2480" t="s">
        <v>128</v>
      </c>
      <c r="K2480" t="s">
        <v>181</v>
      </c>
      <c r="L2480" t="s">
        <v>32</v>
      </c>
      <c r="M2480" t="s">
        <v>33</v>
      </c>
      <c r="N2480" t="s">
        <v>33</v>
      </c>
      <c r="O2480" t="s">
        <v>33</v>
      </c>
      <c r="P2480" t="s">
        <v>34</v>
      </c>
      <c r="Q2480" t="s">
        <v>35</v>
      </c>
      <c r="S2480" t="s">
        <v>30</v>
      </c>
      <c r="T2480" t="s">
        <v>2208</v>
      </c>
      <c r="U2480" t="s">
        <v>2209</v>
      </c>
      <c r="V2480" t="s">
        <v>39</v>
      </c>
      <c r="W2480" s="1">
        <v>1</v>
      </c>
    </row>
    <row r="2481" spans="1:23" x14ac:dyDescent="0.2">
      <c r="A2481" t="s">
        <v>2096</v>
      </c>
      <c r="B2481" t="s">
        <v>2097</v>
      </c>
      <c r="C2481" t="s">
        <v>2098</v>
      </c>
      <c r="D2481" t="s">
        <v>2182</v>
      </c>
      <c r="E2481" t="s">
        <v>2183</v>
      </c>
      <c r="F2481" t="s">
        <v>2184</v>
      </c>
      <c r="G2481" t="s">
        <v>106</v>
      </c>
      <c r="H2481" t="s">
        <v>30</v>
      </c>
      <c r="I2481" t="s">
        <v>30</v>
      </c>
      <c r="J2481" t="s">
        <v>128</v>
      </c>
      <c r="K2481" t="s">
        <v>181</v>
      </c>
      <c r="L2481" t="s">
        <v>32</v>
      </c>
      <c r="M2481" t="s">
        <v>33</v>
      </c>
      <c r="N2481" t="s">
        <v>33</v>
      </c>
      <c r="O2481" t="s">
        <v>33</v>
      </c>
      <c r="P2481" t="s">
        <v>34</v>
      </c>
      <c r="Q2481" t="s">
        <v>35</v>
      </c>
      <c r="S2481" t="s">
        <v>30</v>
      </c>
      <c r="T2481" t="s">
        <v>2208</v>
      </c>
      <c r="U2481" t="s">
        <v>2209</v>
      </c>
      <c r="V2481" t="s">
        <v>40</v>
      </c>
      <c r="W2481" s="1">
        <v>0</v>
      </c>
    </row>
    <row r="2482" spans="1:23" x14ac:dyDescent="0.2">
      <c r="A2482" t="s">
        <v>2096</v>
      </c>
      <c r="B2482" t="s">
        <v>2097</v>
      </c>
      <c r="C2482" t="s">
        <v>2098</v>
      </c>
      <c r="D2482" t="s">
        <v>2182</v>
      </c>
      <c r="E2482" t="s">
        <v>2183</v>
      </c>
      <c r="F2482" t="s">
        <v>2184</v>
      </c>
      <c r="G2482" t="s">
        <v>106</v>
      </c>
      <c r="H2482" t="s">
        <v>30</v>
      </c>
      <c r="I2482" t="s">
        <v>30</v>
      </c>
      <c r="J2482" t="s">
        <v>128</v>
      </c>
      <c r="K2482" t="s">
        <v>181</v>
      </c>
      <c r="L2482" t="s">
        <v>32</v>
      </c>
      <c r="M2482" t="s">
        <v>33</v>
      </c>
      <c r="P2482" t="s">
        <v>34</v>
      </c>
      <c r="Q2482" t="s">
        <v>35</v>
      </c>
      <c r="S2482" t="s">
        <v>30</v>
      </c>
      <c r="T2482" t="s">
        <v>2208</v>
      </c>
      <c r="U2482" t="s">
        <v>2209</v>
      </c>
      <c r="V2482" t="s">
        <v>39</v>
      </c>
      <c r="W2482" s="1">
        <v>19</v>
      </c>
    </row>
    <row r="2483" spans="1:23" x14ac:dyDescent="0.2">
      <c r="A2483" t="s">
        <v>2096</v>
      </c>
      <c r="B2483" t="s">
        <v>2097</v>
      </c>
      <c r="C2483" t="s">
        <v>2098</v>
      </c>
      <c r="D2483" t="s">
        <v>2182</v>
      </c>
      <c r="E2483" t="s">
        <v>2183</v>
      </c>
      <c r="F2483" t="s">
        <v>2184</v>
      </c>
      <c r="G2483" t="s">
        <v>106</v>
      </c>
      <c r="H2483" t="s">
        <v>30</v>
      </c>
      <c r="I2483" t="s">
        <v>30</v>
      </c>
      <c r="J2483" t="s">
        <v>128</v>
      </c>
      <c r="K2483" t="s">
        <v>181</v>
      </c>
      <c r="L2483" t="s">
        <v>32</v>
      </c>
      <c r="M2483" t="s">
        <v>33</v>
      </c>
      <c r="P2483" t="s">
        <v>34</v>
      </c>
      <c r="Q2483" t="s">
        <v>35</v>
      </c>
      <c r="S2483" t="s">
        <v>30</v>
      </c>
      <c r="T2483" t="s">
        <v>2208</v>
      </c>
      <c r="U2483" t="s">
        <v>2209</v>
      </c>
      <c r="V2483" t="s">
        <v>40</v>
      </c>
      <c r="W2483" s="1">
        <v>0</v>
      </c>
    </row>
    <row r="2484" spans="1:23" x14ac:dyDescent="0.2">
      <c r="A2484" t="s">
        <v>2096</v>
      </c>
      <c r="B2484" t="s">
        <v>2097</v>
      </c>
      <c r="C2484" t="s">
        <v>2098</v>
      </c>
      <c r="D2484" t="s">
        <v>2182</v>
      </c>
      <c r="E2484" t="s">
        <v>2183</v>
      </c>
      <c r="F2484" t="s">
        <v>2184</v>
      </c>
      <c r="G2484" t="s">
        <v>106</v>
      </c>
      <c r="H2484" t="s">
        <v>30</v>
      </c>
      <c r="I2484" t="s">
        <v>30</v>
      </c>
      <c r="J2484" t="s">
        <v>41</v>
      </c>
      <c r="K2484" t="s">
        <v>32</v>
      </c>
      <c r="L2484" t="s">
        <v>32</v>
      </c>
      <c r="M2484" t="s">
        <v>33</v>
      </c>
      <c r="N2484" t="s">
        <v>33</v>
      </c>
      <c r="O2484" t="s">
        <v>33</v>
      </c>
      <c r="P2484" t="s">
        <v>213</v>
      </c>
      <c r="Q2484" t="s">
        <v>2111</v>
      </c>
      <c r="S2484" t="s">
        <v>30</v>
      </c>
      <c r="T2484" t="s">
        <v>2210</v>
      </c>
      <c r="U2484" t="s">
        <v>2211</v>
      </c>
      <c r="V2484" t="s">
        <v>39</v>
      </c>
      <c r="W2484" s="1">
        <v>2</v>
      </c>
    </row>
    <row r="2485" spans="1:23" x14ac:dyDescent="0.2">
      <c r="A2485" t="s">
        <v>2096</v>
      </c>
      <c r="B2485" t="s">
        <v>2097</v>
      </c>
      <c r="C2485" t="s">
        <v>2098</v>
      </c>
      <c r="D2485" t="s">
        <v>2182</v>
      </c>
      <c r="E2485" t="s">
        <v>2183</v>
      </c>
      <c r="F2485" t="s">
        <v>2184</v>
      </c>
      <c r="G2485" t="s">
        <v>106</v>
      </c>
      <c r="H2485" t="s">
        <v>30</v>
      </c>
      <c r="I2485" t="s">
        <v>30</v>
      </c>
      <c r="J2485" t="s">
        <v>41</v>
      </c>
      <c r="K2485" t="s">
        <v>32</v>
      </c>
      <c r="L2485" t="s">
        <v>32</v>
      </c>
      <c r="M2485" t="s">
        <v>33</v>
      </c>
      <c r="N2485" t="s">
        <v>33</v>
      </c>
      <c r="O2485" t="s">
        <v>33</v>
      </c>
      <c r="P2485" t="s">
        <v>213</v>
      </c>
      <c r="Q2485" t="s">
        <v>2111</v>
      </c>
      <c r="S2485" t="s">
        <v>30</v>
      </c>
      <c r="T2485" t="s">
        <v>2210</v>
      </c>
      <c r="U2485" t="s">
        <v>2211</v>
      </c>
      <c r="V2485" t="s">
        <v>40</v>
      </c>
      <c r="W2485" s="1">
        <v>1716000</v>
      </c>
    </row>
    <row r="2486" spans="1:23" x14ac:dyDescent="0.2">
      <c r="A2486" t="s">
        <v>2096</v>
      </c>
      <c r="B2486" t="s">
        <v>2097</v>
      </c>
      <c r="C2486" t="s">
        <v>2098</v>
      </c>
      <c r="D2486" t="s">
        <v>2182</v>
      </c>
      <c r="E2486" t="s">
        <v>2183</v>
      </c>
      <c r="F2486" t="s">
        <v>2184</v>
      </c>
      <c r="G2486" t="s">
        <v>106</v>
      </c>
      <c r="H2486" t="s">
        <v>30</v>
      </c>
      <c r="I2486" t="s">
        <v>30</v>
      </c>
      <c r="J2486" t="s">
        <v>57</v>
      </c>
      <c r="K2486" t="s">
        <v>32</v>
      </c>
      <c r="L2486" t="s">
        <v>32</v>
      </c>
      <c r="M2486" t="s">
        <v>33</v>
      </c>
      <c r="N2486" t="s">
        <v>33</v>
      </c>
      <c r="O2486" t="s">
        <v>33</v>
      </c>
      <c r="P2486" t="s">
        <v>34</v>
      </c>
      <c r="Q2486" t="s">
        <v>35</v>
      </c>
      <c r="R2486" t="s">
        <v>2212</v>
      </c>
      <c r="S2486" t="s">
        <v>30</v>
      </c>
      <c r="T2486" t="s">
        <v>2213</v>
      </c>
      <c r="U2486" t="s">
        <v>2214</v>
      </c>
      <c r="V2486" t="s">
        <v>39</v>
      </c>
      <c r="W2486" s="1">
        <v>2</v>
      </c>
    </row>
    <row r="2487" spans="1:23" x14ac:dyDescent="0.2">
      <c r="A2487" t="s">
        <v>2096</v>
      </c>
      <c r="B2487" t="s">
        <v>2097</v>
      </c>
      <c r="C2487" t="s">
        <v>2098</v>
      </c>
      <c r="D2487" t="s">
        <v>2182</v>
      </c>
      <c r="E2487" t="s">
        <v>2183</v>
      </c>
      <c r="F2487" t="s">
        <v>2184</v>
      </c>
      <c r="G2487" t="s">
        <v>106</v>
      </c>
      <c r="H2487" t="s">
        <v>30</v>
      </c>
      <c r="I2487" t="s">
        <v>30</v>
      </c>
      <c r="J2487" t="s">
        <v>57</v>
      </c>
      <c r="K2487" t="s">
        <v>32</v>
      </c>
      <c r="L2487" t="s">
        <v>32</v>
      </c>
      <c r="M2487" t="s">
        <v>33</v>
      </c>
      <c r="N2487" t="s">
        <v>33</v>
      </c>
      <c r="O2487" t="s">
        <v>33</v>
      </c>
      <c r="P2487" t="s">
        <v>34</v>
      </c>
      <c r="Q2487" t="s">
        <v>35</v>
      </c>
      <c r="R2487" t="s">
        <v>2212</v>
      </c>
      <c r="S2487" t="s">
        <v>30</v>
      </c>
      <c r="T2487" t="s">
        <v>2213</v>
      </c>
      <c r="U2487" t="s">
        <v>2214</v>
      </c>
      <c r="V2487" t="s">
        <v>40</v>
      </c>
      <c r="W2487" s="1">
        <v>2659800</v>
      </c>
    </row>
    <row r="2488" spans="1:23" x14ac:dyDescent="0.2">
      <c r="A2488" t="s">
        <v>2096</v>
      </c>
      <c r="B2488" t="s">
        <v>2097</v>
      </c>
      <c r="C2488" t="s">
        <v>2098</v>
      </c>
      <c r="D2488" t="s">
        <v>2182</v>
      </c>
      <c r="E2488" t="s">
        <v>2183</v>
      </c>
      <c r="F2488" t="s">
        <v>2184</v>
      </c>
      <c r="G2488" t="s">
        <v>119</v>
      </c>
      <c r="H2488" t="s">
        <v>30</v>
      </c>
      <c r="I2488" t="s">
        <v>52</v>
      </c>
      <c r="J2488" t="s">
        <v>31</v>
      </c>
      <c r="K2488" t="s">
        <v>32</v>
      </c>
      <c r="L2488" t="s">
        <v>32</v>
      </c>
      <c r="M2488" t="s">
        <v>33</v>
      </c>
      <c r="N2488" t="s">
        <v>33</v>
      </c>
      <c r="O2488" t="s">
        <v>33</v>
      </c>
      <c r="P2488" t="s">
        <v>213</v>
      </c>
      <c r="Q2488" t="s">
        <v>2111</v>
      </c>
      <c r="R2488" t="s">
        <v>2215</v>
      </c>
      <c r="S2488" t="s">
        <v>30</v>
      </c>
      <c r="T2488" t="s">
        <v>2216</v>
      </c>
      <c r="U2488" t="s">
        <v>2217</v>
      </c>
      <c r="V2488" t="s">
        <v>39</v>
      </c>
      <c r="W2488" s="1">
        <v>3</v>
      </c>
    </row>
    <row r="2489" spans="1:23" x14ac:dyDescent="0.2">
      <c r="A2489" t="s">
        <v>2096</v>
      </c>
      <c r="B2489" t="s">
        <v>2097</v>
      </c>
      <c r="C2489" t="s">
        <v>2098</v>
      </c>
      <c r="D2489" t="s">
        <v>2182</v>
      </c>
      <c r="E2489" t="s">
        <v>2183</v>
      </c>
      <c r="F2489" t="s">
        <v>2184</v>
      </c>
      <c r="G2489" t="s">
        <v>119</v>
      </c>
      <c r="H2489" t="s">
        <v>30</v>
      </c>
      <c r="I2489" t="s">
        <v>52</v>
      </c>
      <c r="J2489" t="s">
        <v>31</v>
      </c>
      <c r="K2489" t="s">
        <v>32</v>
      </c>
      <c r="L2489" t="s">
        <v>32</v>
      </c>
      <c r="M2489" t="s">
        <v>33</v>
      </c>
      <c r="N2489" t="s">
        <v>33</v>
      </c>
      <c r="O2489" t="s">
        <v>33</v>
      </c>
      <c r="P2489" t="s">
        <v>213</v>
      </c>
      <c r="Q2489" t="s">
        <v>2111</v>
      </c>
      <c r="R2489" t="s">
        <v>2215</v>
      </c>
      <c r="S2489" t="s">
        <v>30</v>
      </c>
      <c r="T2489" t="s">
        <v>2216</v>
      </c>
      <c r="U2489" t="s">
        <v>2217</v>
      </c>
      <c r="V2489" t="s">
        <v>40</v>
      </c>
      <c r="W2489" s="1">
        <v>1556700</v>
      </c>
    </row>
    <row r="2490" spans="1:23" x14ac:dyDescent="0.2">
      <c r="A2490" t="s">
        <v>2096</v>
      </c>
      <c r="B2490" t="s">
        <v>2097</v>
      </c>
      <c r="C2490" t="s">
        <v>2098</v>
      </c>
      <c r="D2490" t="s">
        <v>2182</v>
      </c>
      <c r="E2490" t="s">
        <v>2183</v>
      </c>
      <c r="F2490" t="s">
        <v>2184</v>
      </c>
      <c r="G2490" t="s">
        <v>119</v>
      </c>
      <c r="H2490" t="s">
        <v>30</v>
      </c>
      <c r="I2490" t="s">
        <v>52</v>
      </c>
      <c r="J2490" t="s">
        <v>31</v>
      </c>
      <c r="K2490" t="s">
        <v>32</v>
      </c>
      <c r="L2490" t="s">
        <v>32</v>
      </c>
      <c r="M2490" t="s">
        <v>33</v>
      </c>
      <c r="N2490" t="s">
        <v>169</v>
      </c>
      <c r="O2490" t="s">
        <v>169</v>
      </c>
      <c r="P2490" t="s">
        <v>213</v>
      </c>
      <c r="Q2490" t="s">
        <v>2111</v>
      </c>
      <c r="R2490" t="s">
        <v>2215</v>
      </c>
      <c r="S2490" t="s">
        <v>30</v>
      </c>
      <c r="T2490" t="s">
        <v>2216</v>
      </c>
      <c r="U2490" t="s">
        <v>2217</v>
      </c>
      <c r="V2490" t="s">
        <v>39</v>
      </c>
      <c r="W2490" s="1">
        <v>1</v>
      </c>
    </row>
    <row r="2491" spans="1:23" x14ac:dyDescent="0.2">
      <c r="A2491" t="s">
        <v>2096</v>
      </c>
      <c r="B2491" t="s">
        <v>2097</v>
      </c>
      <c r="C2491" t="s">
        <v>2098</v>
      </c>
      <c r="D2491" t="s">
        <v>2182</v>
      </c>
      <c r="E2491" t="s">
        <v>2183</v>
      </c>
      <c r="F2491" t="s">
        <v>2184</v>
      </c>
      <c r="G2491" t="s">
        <v>119</v>
      </c>
      <c r="H2491" t="s">
        <v>30</v>
      </c>
      <c r="I2491" t="s">
        <v>52</v>
      </c>
      <c r="J2491" t="s">
        <v>31</v>
      </c>
      <c r="K2491" t="s">
        <v>32</v>
      </c>
      <c r="L2491" t="s">
        <v>32</v>
      </c>
      <c r="M2491" t="s">
        <v>33</v>
      </c>
      <c r="N2491" t="s">
        <v>169</v>
      </c>
      <c r="O2491" t="s">
        <v>169</v>
      </c>
      <c r="P2491" t="s">
        <v>213</v>
      </c>
      <c r="Q2491" t="s">
        <v>2111</v>
      </c>
      <c r="R2491" t="s">
        <v>2215</v>
      </c>
      <c r="S2491" t="s">
        <v>30</v>
      </c>
      <c r="T2491" t="s">
        <v>2216</v>
      </c>
      <c r="U2491" t="s">
        <v>2217</v>
      </c>
      <c r="V2491" t="s">
        <v>40</v>
      </c>
      <c r="W2491" s="1">
        <v>518900</v>
      </c>
    </row>
    <row r="2492" spans="1:23" x14ac:dyDescent="0.2">
      <c r="A2492" t="s">
        <v>2096</v>
      </c>
      <c r="B2492" t="s">
        <v>2097</v>
      </c>
      <c r="C2492" t="s">
        <v>2098</v>
      </c>
      <c r="D2492" t="s">
        <v>2182</v>
      </c>
      <c r="E2492" t="s">
        <v>2183</v>
      </c>
      <c r="F2492" t="s">
        <v>2184</v>
      </c>
      <c r="G2492" t="s">
        <v>127</v>
      </c>
      <c r="H2492" t="s">
        <v>52</v>
      </c>
      <c r="I2492" t="s">
        <v>30</v>
      </c>
      <c r="J2492" t="s">
        <v>128</v>
      </c>
      <c r="K2492" t="s">
        <v>135</v>
      </c>
      <c r="L2492" t="s">
        <v>32</v>
      </c>
      <c r="M2492" t="s">
        <v>33</v>
      </c>
      <c r="N2492" t="s">
        <v>33</v>
      </c>
      <c r="O2492" t="s">
        <v>33</v>
      </c>
      <c r="P2492" t="s">
        <v>34</v>
      </c>
      <c r="Q2492" t="s">
        <v>35</v>
      </c>
      <c r="R2492" t="s">
        <v>136</v>
      </c>
      <c r="S2492" t="s">
        <v>30</v>
      </c>
      <c r="T2492" t="s">
        <v>2218</v>
      </c>
      <c r="U2492" t="s">
        <v>2219</v>
      </c>
      <c r="V2492" t="s">
        <v>39</v>
      </c>
      <c r="W2492" s="1">
        <v>2</v>
      </c>
    </row>
    <row r="2493" spans="1:23" x14ac:dyDescent="0.2">
      <c r="A2493" t="s">
        <v>2096</v>
      </c>
      <c r="B2493" t="s">
        <v>2097</v>
      </c>
      <c r="C2493" t="s">
        <v>2098</v>
      </c>
      <c r="D2493" t="s">
        <v>2182</v>
      </c>
      <c r="E2493" t="s">
        <v>2183</v>
      </c>
      <c r="F2493" t="s">
        <v>2184</v>
      </c>
      <c r="G2493" t="s">
        <v>127</v>
      </c>
      <c r="H2493" t="s">
        <v>52</v>
      </c>
      <c r="I2493" t="s">
        <v>30</v>
      </c>
      <c r="J2493" t="s">
        <v>128</v>
      </c>
      <c r="K2493" t="s">
        <v>135</v>
      </c>
      <c r="L2493" t="s">
        <v>32</v>
      </c>
      <c r="M2493" t="s">
        <v>33</v>
      </c>
      <c r="N2493" t="s">
        <v>33</v>
      </c>
      <c r="O2493" t="s">
        <v>33</v>
      </c>
      <c r="P2493" t="s">
        <v>34</v>
      </c>
      <c r="Q2493" t="s">
        <v>35</v>
      </c>
      <c r="R2493" t="s">
        <v>136</v>
      </c>
      <c r="S2493" t="s">
        <v>30</v>
      </c>
      <c r="T2493" t="s">
        <v>2218</v>
      </c>
      <c r="U2493" t="s">
        <v>2219</v>
      </c>
      <c r="V2493" t="s">
        <v>40</v>
      </c>
      <c r="W2493" s="1">
        <v>770000</v>
      </c>
    </row>
    <row r="2494" spans="1:23" x14ac:dyDescent="0.2">
      <c r="A2494" t="s">
        <v>2096</v>
      </c>
      <c r="B2494" t="s">
        <v>2097</v>
      </c>
      <c r="C2494" t="s">
        <v>2098</v>
      </c>
      <c r="D2494" t="s">
        <v>2182</v>
      </c>
      <c r="E2494" t="s">
        <v>2183</v>
      </c>
      <c r="F2494" t="s">
        <v>2184</v>
      </c>
      <c r="G2494" t="s">
        <v>127</v>
      </c>
      <c r="H2494" t="s">
        <v>52</v>
      </c>
      <c r="I2494" t="s">
        <v>30</v>
      </c>
      <c r="J2494" t="s">
        <v>31</v>
      </c>
      <c r="K2494" t="s">
        <v>32</v>
      </c>
      <c r="L2494" t="s">
        <v>32</v>
      </c>
      <c r="M2494" t="s">
        <v>33</v>
      </c>
      <c r="N2494" t="s">
        <v>33</v>
      </c>
      <c r="O2494" t="s">
        <v>33</v>
      </c>
      <c r="P2494" t="s">
        <v>213</v>
      </c>
      <c r="Q2494" t="s">
        <v>2111</v>
      </c>
      <c r="S2494" t="s">
        <v>30</v>
      </c>
      <c r="T2494" t="s">
        <v>2220</v>
      </c>
      <c r="U2494" t="s">
        <v>2221</v>
      </c>
      <c r="V2494" t="s">
        <v>39</v>
      </c>
      <c r="W2494" s="1">
        <v>2</v>
      </c>
    </row>
    <row r="2495" spans="1:23" x14ac:dyDescent="0.2">
      <c r="A2495" t="s">
        <v>2096</v>
      </c>
      <c r="B2495" t="s">
        <v>2097</v>
      </c>
      <c r="C2495" t="s">
        <v>2098</v>
      </c>
      <c r="D2495" t="s">
        <v>2182</v>
      </c>
      <c r="E2495" t="s">
        <v>2183</v>
      </c>
      <c r="F2495" t="s">
        <v>2184</v>
      </c>
      <c r="G2495" t="s">
        <v>127</v>
      </c>
      <c r="H2495" t="s">
        <v>52</v>
      </c>
      <c r="I2495" t="s">
        <v>30</v>
      </c>
      <c r="J2495" t="s">
        <v>31</v>
      </c>
      <c r="K2495" t="s">
        <v>32</v>
      </c>
      <c r="L2495" t="s">
        <v>32</v>
      </c>
      <c r="M2495" t="s">
        <v>33</v>
      </c>
      <c r="N2495" t="s">
        <v>33</v>
      </c>
      <c r="O2495" t="s">
        <v>33</v>
      </c>
      <c r="P2495" t="s">
        <v>213</v>
      </c>
      <c r="Q2495" t="s">
        <v>2111</v>
      </c>
      <c r="S2495" t="s">
        <v>30</v>
      </c>
      <c r="T2495" t="s">
        <v>2220</v>
      </c>
      <c r="U2495" t="s">
        <v>2221</v>
      </c>
      <c r="V2495" t="s">
        <v>40</v>
      </c>
      <c r="W2495" s="1">
        <v>1653800</v>
      </c>
    </row>
    <row r="2496" spans="1:23" x14ac:dyDescent="0.2">
      <c r="A2496" t="s">
        <v>2096</v>
      </c>
      <c r="B2496" t="s">
        <v>2097</v>
      </c>
      <c r="C2496" t="s">
        <v>2098</v>
      </c>
      <c r="D2496" t="s">
        <v>2182</v>
      </c>
      <c r="E2496" t="s">
        <v>2183</v>
      </c>
      <c r="F2496" t="s">
        <v>2184</v>
      </c>
      <c r="G2496" t="s">
        <v>127</v>
      </c>
      <c r="H2496" t="s">
        <v>52</v>
      </c>
      <c r="I2496" t="s">
        <v>30</v>
      </c>
      <c r="J2496" t="s">
        <v>31</v>
      </c>
      <c r="K2496" t="s">
        <v>32</v>
      </c>
      <c r="L2496" t="s">
        <v>32</v>
      </c>
      <c r="M2496" t="s">
        <v>33</v>
      </c>
      <c r="P2496" t="s">
        <v>34</v>
      </c>
      <c r="Q2496" t="s">
        <v>35</v>
      </c>
      <c r="R2496" t="s">
        <v>2215</v>
      </c>
      <c r="S2496" t="s">
        <v>52</v>
      </c>
      <c r="T2496" t="s">
        <v>2216</v>
      </c>
      <c r="U2496" t="s">
        <v>2222</v>
      </c>
      <c r="V2496" t="s">
        <v>39</v>
      </c>
      <c r="W2496" s="1">
        <v>0</v>
      </c>
    </row>
    <row r="2497" spans="1:23" x14ac:dyDescent="0.2">
      <c r="A2497" t="s">
        <v>2096</v>
      </c>
      <c r="B2497" t="s">
        <v>2097</v>
      </c>
      <c r="C2497" t="s">
        <v>2098</v>
      </c>
      <c r="D2497" t="s">
        <v>2182</v>
      </c>
      <c r="E2497" t="s">
        <v>2183</v>
      </c>
      <c r="F2497" t="s">
        <v>2184</v>
      </c>
      <c r="G2497" t="s">
        <v>127</v>
      </c>
      <c r="H2497" t="s">
        <v>52</v>
      </c>
      <c r="I2497" t="s">
        <v>30</v>
      </c>
      <c r="J2497" t="s">
        <v>31</v>
      </c>
      <c r="K2497" t="s">
        <v>32</v>
      </c>
      <c r="L2497" t="s">
        <v>32</v>
      </c>
      <c r="M2497" t="s">
        <v>33</v>
      </c>
      <c r="P2497" t="s">
        <v>34</v>
      </c>
      <c r="Q2497" t="s">
        <v>35</v>
      </c>
      <c r="R2497" t="s">
        <v>2215</v>
      </c>
      <c r="S2497" t="s">
        <v>52</v>
      </c>
      <c r="T2497" t="s">
        <v>2216</v>
      </c>
      <c r="U2497" t="s">
        <v>2222</v>
      </c>
      <c r="V2497" t="s">
        <v>40</v>
      </c>
      <c r="W2497" s="1">
        <v>2195600</v>
      </c>
    </row>
    <row r="2498" spans="1:23" x14ac:dyDescent="0.2">
      <c r="A2498" t="s">
        <v>2096</v>
      </c>
      <c r="B2498" t="s">
        <v>2097</v>
      </c>
      <c r="C2498" t="s">
        <v>2098</v>
      </c>
      <c r="D2498" t="s">
        <v>2182</v>
      </c>
      <c r="E2498" t="s">
        <v>2183</v>
      </c>
      <c r="F2498" t="s">
        <v>2184</v>
      </c>
      <c r="G2498" t="s">
        <v>134</v>
      </c>
      <c r="H2498" t="s">
        <v>52</v>
      </c>
      <c r="I2498" t="s">
        <v>30</v>
      </c>
      <c r="J2498" t="s">
        <v>31</v>
      </c>
      <c r="K2498" t="s">
        <v>32</v>
      </c>
      <c r="L2498" t="s">
        <v>332</v>
      </c>
      <c r="M2498" t="s">
        <v>33</v>
      </c>
      <c r="N2498" t="s">
        <v>33</v>
      </c>
      <c r="O2498" t="s">
        <v>33</v>
      </c>
      <c r="P2498" t="s">
        <v>213</v>
      </c>
      <c r="Q2498" t="s">
        <v>2118</v>
      </c>
      <c r="S2498" t="s">
        <v>30</v>
      </c>
      <c r="T2498" t="s">
        <v>2223</v>
      </c>
      <c r="U2498" t="s">
        <v>2224</v>
      </c>
      <c r="V2498" t="s">
        <v>39</v>
      </c>
      <c r="W2498" s="1">
        <v>2</v>
      </c>
    </row>
    <row r="2499" spans="1:23" x14ac:dyDescent="0.2">
      <c r="A2499" t="s">
        <v>2096</v>
      </c>
      <c r="B2499" t="s">
        <v>2097</v>
      </c>
      <c r="C2499" t="s">
        <v>2098</v>
      </c>
      <c r="D2499" t="s">
        <v>2182</v>
      </c>
      <c r="E2499" t="s">
        <v>2183</v>
      </c>
      <c r="F2499" t="s">
        <v>2184</v>
      </c>
      <c r="G2499" t="s">
        <v>134</v>
      </c>
      <c r="H2499" t="s">
        <v>52</v>
      </c>
      <c r="I2499" t="s">
        <v>30</v>
      </c>
      <c r="J2499" t="s">
        <v>31</v>
      </c>
      <c r="K2499" t="s">
        <v>32</v>
      </c>
      <c r="L2499" t="s">
        <v>332</v>
      </c>
      <c r="M2499" t="s">
        <v>33</v>
      </c>
      <c r="N2499" t="s">
        <v>33</v>
      </c>
      <c r="O2499" t="s">
        <v>33</v>
      </c>
      <c r="P2499" t="s">
        <v>213</v>
      </c>
      <c r="Q2499" t="s">
        <v>2118</v>
      </c>
      <c r="S2499" t="s">
        <v>30</v>
      </c>
      <c r="T2499" t="s">
        <v>2223</v>
      </c>
      <c r="U2499" t="s">
        <v>2224</v>
      </c>
      <c r="V2499" t="s">
        <v>40</v>
      </c>
      <c r="W2499" s="1">
        <v>600000</v>
      </c>
    </row>
    <row r="2500" spans="1:23" x14ac:dyDescent="0.2">
      <c r="A2500" t="s">
        <v>2096</v>
      </c>
      <c r="B2500" t="s">
        <v>2097</v>
      </c>
      <c r="C2500" t="s">
        <v>2098</v>
      </c>
      <c r="D2500" t="s">
        <v>2182</v>
      </c>
      <c r="E2500" t="s">
        <v>2183</v>
      </c>
      <c r="F2500" t="s">
        <v>2184</v>
      </c>
      <c r="G2500" t="s">
        <v>139</v>
      </c>
      <c r="H2500" t="s">
        <v>30</v>
      </c>
      <c r="I2500" t="s">
        <v>30</v>
      </c>
      <c r="J2500" t="s">
        <v>31</v>
      </c>
      <c r="K2500" t="s">
        <v>32</v>
      </c>
      <c r="L2500" t="s">
        <v>32</v>
      </c>
      <c r="M2500" t="s">
        <v>33</v>
      </c>
      <c r="N2500" t="s">
        <v>33</v>
      </c>
      <c r="O2500" t="s">
        <v>33</v>
      </c>
      <c r="P2500" t="s">
        <v>213</v>
      </c>
      <c r="Q2500" t="s">
        <v>2111</v>
      </c>
      <c r="S2500" t="s">
        <v>30</v>
      </c>
      <c r="T2500" t="s">
        <v>2225</v>
      </c>
      <c r="U2500" t="s">
        <v>2226</v>
      </c>
      <c r="V2500" t="s">
        <v>39</v>
      </c>
      <c r="W2500" s="1">
        <v>3</v>
      </c>
    </row>
    <row r="2501" spans="1:23" x14ac:dyDescent="0.2">
      <c r="A2501" t="s">
        <v>2096</v>
      </c>
      <c r="B2501" t="s">
        <v>2097</v>
      </c>
      <c r="C2501" t="s">
        <v>2098</v>
      </c>
      <c r="D2501" t="s">
        <v>2182</v>
      </c>
      <c r="E2501" t="s">
        <v>2183</v>
      </c>
      <c r="F2501" t="s">
        <v>2184</v>
      </c>
      <c r="G2501" t="s">
        <v>139</v>
      </c>
      <c r="H2501" t="s">
        <v>30</v>
      </c>
      <c r="I2501" t="s">
        <v>30</v>
      </c>
      <c r="J2501" t="s">
        <v>31</v>
      </c>
      <c r="K2501" t="s">
        <v>32</v>
      </c>
      <c r="L2501" t="s">
        <v>32</v>
      </c>
      <c r="M2501" t="s">
        <v>33</v>
      </c>
      <c r="N2501" t="s">
        <v>33</v>
      </c>
      <c r="O2501" t="s">
        <v>33</v>
      </c>
      <c r="P2501" t="s">
        <v>213</v>
      </c>
      <c r="Q2501" t="s">
        <v>2111</v>
      </c>
      <c r="S2501" t="s">
        <v>30</v>
      </c>
      <c r="T2501" t="s">
        <v>2225</v>
      </c>
      <c r="U2501" t="s">
        <v>2226</v>
      </c>
      <c r="V2501" t="s">
        <v>40</v>
      </c>
      <c r="W2501" s="1">
        <v>1709700</v>
      </c>
    </row>
    <row r="2502" spans="1:23" x14ac:dyDescent="0.2">
      <c r="A2502" t="s">
        <v>2096</v>
      </c>
      <c r="B2502" t="s">
        <v>2097</v>
      </c>
      <c r="C2502" t="s">
        <v>2098</v>
      </c>
      <c r="D2502" t="s">
        <v>2182</v>
      </c>
      <c r="E2502" t="s">
        <v>2183</v>
      </c>
      <c r="F2502" t="s">
        <v>2184</v>
      </c>
      <c r="G2502" t="s">
        <v>139</v>
      </c>
      <c r="H2502" t="s">
        <v>30</v>
      </c>
      <c r="I2502" t="s">
        <v>30</v>
      </c>
      <c r="J2502" t="s">
        <v>31</v>
      </c>
      <c r="K2502" t="s">
        <v>32</v>
      </c>
      <c r="L2502" t="s">
        <v>32</v>
      </c>
      <c r="M2502" t="s">
        <v>33</v>
      </c>
      <c r="N2502" t="s">
        <v>33</v>
      </c>
      <c r="O2502" t="s">
        <v>33</v>
      </c>
      <c r="P2502" t="s">
        <v>34</v>
      </c>
      <c r="Q2502" t="s">
        <v>35</v>
      </c>
      <c r="S2502" t="s">
        <v>30</v>
      </c>
      <c r="T2502" t="s">
        <v>2227</v>
      </c>
      <c r="U2502" t="s">
        <v>2228</v>
      </c>
      <c r="V2502" t="s">
        <v>39</v>
      </c>
      <c r="W2502" s="1">
        <v>2</v>
      </c>
    </row>
    <row r="2503" spans="1:23" x14ac:dyDescent="0.2">
      <c r="A2503" t="s">
        <v>2096</v>
      </c>
      <c r="B2503" t="s">
        <v>2097</v>
      </c>
      <c r="C2503" t="s">
        <v>2098</v>
      </c>
      <c r="D2503" t="s">
        <v>2182</v>
      </c>
      <c r="E2503" t="s">
        <v>2183</v>
      </c>
      <c r="F2503" t="s">
        <v>2184</v>
      </c>
      <c r="G2503" t="s">
        <v>139</v>
      </c>
      <c r="H2503" t="s">
        <v>30</v>
      </c>
      <c r="I2503" t="s">
        <v>30</v>
      </c>
      <c r="J2503" t="s">
        <v>31</v>
      </c>
      <c r="K2503" t="s">
        <v>32</v>
      </c>
      <c r="L2503" t="s">
        <v>32</v>
      </c>
      <c r="M2503" t="s">
        <v>33</v>
      </c>
      <c r="N2503" t="s">
        <v>33</v>
      </c>
      <c r="O2503" t="s">
        <v>33</v>
      </c>
      <c r="P2503" t="s">
        <v>34</v>
      </c>
      <c r="Q2503" t="s">
        <v>35</v>
      </c>
      <c r="S2503" t="s">
        <v>30</v>
      </c>
      <c r="T2503" t="s">
        <v>2227</v>
      </c>
      <c r="U2503" t="s">
        <v>2228</v>
      </c>
      <c r="V2503" t="s">
        <v>40</v>
      </c>
      <c r="W2503" s="1">
        <v>175800</v>
      </c>
    </row>
    <row r="2504" spans="1:23" x14ac:dyDescent="0.2">
      <c r="A2504" t="s">
        <v>2096</v>
      </c>
      <c r="B2504" t="s">
        <v>2097</v>
      </c>
      <c r="C2504" t="s">
        <v>2098</v>
      </c>
      <c r="D2504" t="s">
        <v>2182</v>
      </c>
      <c r="E2504" t="s">
        <v>2183</v>
      </c>
      <c r="F2504" t="s">
        <v>2184</v>
      </c>
      <c r="G2504" t="s">
        <v>139</v>
      </c>
      <c r="H2504" t="s">
        <v>30</v>
      </c>
      <c r="I2504" t="s">
        <v>30</v>
      </c>
      <c r="J2504" t="s">
        <v>31</v>
      </c>
      <c r="K2504" t="s">
        <v>32</v>
      </c>
      <c r="L2504" t="s">
        <v>32</v>
      </c>
      <c r="M2504" t="s">
        <v>33</v>
      </c>
      <c r="N2504" t="s">
        <v>33</v>
      </c>
      <c r="O2504" t="s">
        <v>33</v>
      </c>
      <c r="P2504" t="s">
        <v>34</v>
      </c>
      <c r="Q2504" t="s">
        <v>35</v>
      </c>
      <c r="S2504" t="s">
        <v>30</v>
      </c>
      <c r="T2504" t="s">
        <v>2229</v>
      </c>
      <c r="U2504" t="s">
        <v>2230</v>
      </c>
      <c r="V2504" t="s">
        <v>39</v>
      </c>
      <c r="W2504" s="1">
        <v>1</v>
      </c>
    </row>
    <row r="2505" spans="1:23" x14ac:dyDescent="0.2">
      <c r="A2505" t="s">
        <v>2096</v>
      </c>
      <c r="B2505" t="s">
        <v>2097</v>
      </c>
      <c r="C2505" t="s">
        <v>2098</v>
      </c>
      <c r="D2505" t="s">
        <v>2182</v>
      </c>
      <c r="E2505" t="s">
        <v>2183</v>
      </c>
      <c r="F2505" t="s">
        <v>2184</v>
      </c>
      <c r="G2505" t="s">
        <v>139</v>
      </c>
      <c r="H2505" t="s">
        <v>30</v>
      </c>
      <c r="I2505" t="s">
        <v>30</v>
      </c>
      <c r="J2505" t="s">
        <v>31</v>
      </c>
      <c r="K2505" t="s">
        <v>32</v>
      </c>
      <c r="L2505" t="s">
        <v>32</v>
      </c>
      <c r="M2505" t="s">
        <v>33</v>
      </c>
      <c r="N2505" t="s">
        <v>33</v>
      </c>
      <c r="O2505" t="s">
        <v>33</v>
      </c>
      <c r="P2505" t="s">
        <v>34</v>
      </c>
      <c r="Q2505" t="s">
        <v>35</v>
      </c>
      <c r="S2505" t="s">
        <v>30</v>
      </c>
      <c r="T2505" t="s">
        <v>2229</v>
      </c>
      <c r="U2505" t="s">
        <v>2230</v>
      </c>
      <c r="V2505" t="s">
        <v>40</v>
      </c>
      <c r="W2505" s="1">
        <v>360900</v>
      </c>
    </row>
    <row r="2506" spans="1:23" x14ac:dyDescent="0.2">
      <c r="A2506" t="s">
        <v>2096</v>
      </c>
      <c r="B2506" t="s">
        <v>2097</v>
      </c>
      <c r="C2506" t="s">
        <v>2098</v>
      </c>
      <c r="D2506" t="s">
        <v>2182</v>
      </c>
      <c r="E2506" t="s">
        <v>2183</v>
      </c>
      <c r="F2506" t="s">
        <v>2184</v>
      </c>
      <c r="G2506" t="s">
        <v>139</v>
      </c>
      <c r="H2506" t="s">
        <v>30</v>
      </c>
      <c r="I2506" t="s">
        <v>30</v>
      </c>
      <c r="J2506" t="s">
        <v>31</v>
      </c>
      <c r="K2506" t="s">
        <v>32</v>
      </c>
      <c r="L2506" t="s">
        <v>32</v>
      </c>
      <c r="M2506" t="s">
        <v>33</v>
      </c>
      <c r="P2506" t="s">
        <v>34</v>
      </c>
      <c r="Q2506" t="s">
        <v>35</v>
      </c>
      <c r="S2506" t="s">
        <v>30</v>
      </c>
      <c r="T2506" t="s">
        <v>2229</v>
      </c>
      <c r="U2506" t="s">
        <v>2230</v>
      </c>
      <c r="V2506" t="s">
        <v>39</v>
      </c>
      <c r="W2506" s="1">
        <v>1</v>
      </c>
    </row>
    <row r="2507" spans="1:23" x14ac:dyDescent="0.2">
      <c r="A2507" t="s">
        <v>2096</v>
      </c>
      <c r="B2507" t="s">
        <v>2097</v>
      </c>
      <c r="C2507" t="s">
        <v>2098</v>
      </c>
      <c r="D2507" t="s">
        <v>2182</v>
      </c>
      <c r="E2507" t="s">
        <v>2183</v>
      </c>
      <c r="F2507" t="s">
        <v>2184</v>
      </c>
      <c r="G2507" t="s">
        <v>139</v>
      </c>
      <c r="H2507" t="s">
        <v>30</v>
      </c>
      <c r="I2507" t="s">
        <v>30</v>
      </c>
      <c r="J2507" t="s">
        <v>31</v>
      </c>
      <c r="K2507" t="s">
        <v>32</v>
      </c>
      <c r="L2507" t="s">
        <v>32</v>
      </c>
      <c r="M2507" t="s">
        <v>33</v>
      </c>
      <c r="P2507" t="s">
        <v>34</v>
      </c>
      <c r="Q2507" t="s">
        <v>35</v>
      </c>
      <c r="S2507" t="s">
        <v>30</v>
      </c>
      <c r="T2507" t="s">
        <v>2229</v>
      </c>
      <c r="U2507" t="s">
        <v>2230</v>
      </c>
      <c r="V2507" t="s">
        <v>40</v>
      </c>
      <c r="W2507" s="1">
        <v>360900</v>
      </c>
    </row>
    <row r="2508" spans="1:23" x14ac:dyDescent="0.2">
      <c r="A2508" t="s">
        <v>2096</v>
      </c>
      <c r="B2508" t="s">
        <v>2097</v>
      </c>
      <c r="C2508" t="s">
        <v>2098</v>
      </c>
      <c r="D2508" t="s">
        <v>2182</v>
      </c>
      <c r="E2508" t="s">
        <v>2183</v>
      </c>
      <c r="F2508" t="s">
        <v>2184</v>
      </c>
      <c r="G2508" t="s">
        <v>139</v>
      </c>
      <c r="H2508" t="s">
        <v>30</v>
      </c>
      <c r="I2508" t="s">
        <v>30</v>
      </c>
      <c r="J2508" t="s">
        <v>31</v>
      </c>
      <c r="K2508" t="s">
        <v>32</v>
      </c>
      <c r="L2508" t="s">
        <v>32</v>
      </c>
      <c r="M2508" t="s">
        <v>176</v>
      </c>
      <c r="N2508" t="s">
        <v>195</v>
      </c>
      <c r="O2508" t="s">
        <v>195</v>
      </c>
      <c r="P2508" t="s">
        <v>213</v>
      </c>
      <c r="Q2508" t="s">
        <v>2111</v>
      </c>
      <c r="S2508" t="s">
        <v>30</v>
      </c>
      <c r="T2508" t="s">
        <v>2225</v>
      </c>
      <c r="U2508" t="s">
        <v>2226</v>
      </c>
      <c r="V2508" t="s">
        <v>39</v>
      </c>
      <c r="W2508" s="1">
        <v>1</v>
      </c>
    </row>
    <row r="2509" spans="1:23" x14ac:dyDescent="0.2">
      <c r="A2509" t="s">
        <v>2096</v>
      </c>
      <c r="B2509" t="s">
        <v>2097</v>
      </c>
      <c r="C2509" t="s">
        <v>2098</v>
      </c>
      <c r="D2509" t="s">
        <v>2182</v>
      </c>
      <c r="E2509" t="s">
        <v>2183</v>
      </c>
      <c r="F2509" t="s">
        <v>2184</v>
      </c>
      <c r="G2509" t="s">
        <v>139</v>
      </c>
      <c r="H2509" t="s">
        <v>30</v>
      </c>
      <c r="I2509" t="s">
        <v>30</v>
      </c>
      <c r="J2509" t="s">
        <v>31</v>
      </c>
      <c r="K2509" t="s">
        <v>32</v>
      </c>
      <c r="L2509" t="s">
        <v>32</v>
      </c>
      <c r="M2509" t="s">
        <v>176</v>
      </c>
      <c r="N2509" t="s">
        <v>195</v>
      </c>
      <c r="O2509" t="s">
        <v>195</v>
      </c>
      <c r="P2509" t="s">
        <v>213</v>
      </c>
      <c r="Q2509" t="s">
        <v>2111</v>
      </c>
      <c r="S2509" t="s">
        <v>30</v>
      </c>
      <c r="T2509" t="s">
        <v>2225</v>
      </c>
      <c r="U2509" t="s">
        <v>2226</v>
      </c>
      <c r="V2509" t="s">
        <v>40</v>
      </c>
      <c r="W2509" s="1">
        <v>569900</v>
      </c>
    </row>
    <row r="2510" spans="1:23" x14ac:dyDescent="0.2">
      <c r="A2510" t="s">
        <v>2096</v>
      </c>
      <c r="B2510" t="s">
        <v>2097</v>
      </c>
      <c r="C2510" t="s">
        <v>2098</v>
      </c>
      <c r="D2510" t="s">
        <v>2182</v>
      </c>
      <c r="E2510" t="s">
        <v>2183</v>
      </c>
      <c r="F2510" t="s">
        <v>2184</v>
      </c>
      <c r="G2510" t="s">
        <v>139</v>
      </c>
      <c r="H2510" t="s">
        <v>30</v>
      </c>
      <c r="I2510" t="s">
        <v>30</v>
      </c>
      <c r="J2510" t="s">
        <v>41</v>
      </c>
      <c r="K2510" t="s">
        <v>32</v>
      </c>
      <c r="L2510" t="s">
        <v>32</v>
      </c>
      <c r="M2510" t="s">
        <v>33</v>
      </c>
      <c r="P2510" t="s">
        <v>213</v>
      </c>
      <c r="Q2510" t="s">
        <v>2111</v>
      </c>
      <c r="S2510" t="s">
        <v>52</v>
      </c>
      <c r="T2510" t="s">
        <v>2231</v>
      </c>
      <c r="U2510" t="s">
        <v>2232</v>
      </c>
      <c r="V2510" t="s">
        <v>39</v>
      </c>
      <c r="W2510" s="1">
        <v>0</v>
      </c>
    </row>
    <row r="2511" spans="1:23" x14ac:dyDescent="0.2">
      <c r="A2511" t="s">
        <v>2096</v>
      </c>
      <c r="B2511" t="s">
        <v>2097</v>
      </c>
      <c r="C2511" t="s">
        <v>2098</v>
      </c>
      <c r="D2511" t="s">
        <v>2182</v>
      </c>
      <c r="E2511" t="s">
        <v>2183</v>
      </c>
      <c r="F2511" t="s">
        <v>2184</v>
      </c>
      <c r="G2511" t="s">
        <v>139</v>
      </c>
      <c r="H2511" t="s">
        <v>30</v>
      </c>
      <c r="I2511" t="s">
        <v>30</v>
      </c>
      <c r="J2511" t="s">
        <v>41</v>
      </c>
      <c r="K2511" t="s">
        <v>32</v>
      </c>
      <c r="L2511" t="s">
        <v>32</v>
      </c>
      <c r="M2511" t="s">
        <v>33</v>
      </c>
      <c r="P2511" t="s">
        <v>213</v>
      </c>
      <c r="Q2511" t="s">
        <v>2111</v>
      </c>
      <c r="S2511" t="s">
        <v>52</v>
      </c>
      <c r="T2511" t="s">
        <v>2231</v>
      </c>
      <c r="U2511" t="s">
        <v>2232</v>
      </c>
      <c r="V2511" t="s">
        <v>40</v>
      </c>
      <c r="W2511" s="1">
        <v>3139800</v>
      </c>
    </row>
    <row r="2512" spans="1:23" x14ac:dyDescent="0.2">
      <c r="A2512" t="s">
        <v>2096</v>
      </c>
      <c r="B2512" t="s">
        <v>2097</v>
      </c>
      <c r="C2512" t="s">
        <v>2233</v>
      </c>
      <c r="D2512" t="s">
        <v>2234</v>
      </c>
      <c r="E2512" t="s">
        <v>2235</v>
      </c>
      <c r="F2512" t="s">
        <v>2236</v>
      </c>
      <c r="G2512" t="s">
        <v>29</v>
      </c>
      <c r="H2512" t="s">
        <v>30</v>
      </c>
      <c r="I2512" t="s">
        <v>30</v>
      </c>
      <c r="J2512" t="s">
        <v>41</v>
      </c>
      <c r="K2512" t="s">
        <v>32</v>
      </c>
      <c r="L2512" t="s">
        <v>32</v>
      </c>
      <c r="M2512" t="s">
        <v>33</v>
      </c>
      <c r="N2512" t="s">
        <v>33</v>
      </c>
      <c r="O2512" t="s">
        <v>33</v>
      </c>
      <c r="P2512" t="s">
        <v>34</v>
      </c>
      <c r="Q2512" t="s">
        <v>35</v>
      </c>
      <c r="S2512" t="s">
        <v>30</v>
      </c>
      <c r="T2512" t="s">
        <v>2237</v>
      </c>
      <c r="U2512" t="s">
        <v>2238</v>
      </c>
      <c r="V2512" t="s">
        <v>39</v>
      </c>
      <c r="W2512" s="1">
        <v>2</v>
      </c>
    </row>
    <row r="2513" spans="1:23" x14ac:dyDescent="0.2">
      <c r="A2513" t="s">
        <v>2096</v>
      </c>
      <c r="B2513" t="s">
        <v>2097</v>
      </c>
      <c r="C2513" t="s">
        <v>2233</v>
      </c>
      <c r="D2513" t="s">
        <v>2234</v>
      </c>
      <c r="E2513" t="s">
        <v>2235</v>
      </c>
      <c r="F2513" t="s">
        <v>2236</v>
      </c>
      <c r="G2513" t="s">
        <v>29</v>
      </c>
      <c r="H2513" t="s">
        <v>30</v>
      </c>
      <c r="I2513" t="s">
        <v>30</v>
      </c>
      <c r="J2513" t="s">
        <v>41</v>
      </c>
      <c r="K2513" t="s">
        <v>32</v>
      </c>
      <c r="L2513" t="s">
        <v>32</v>
      </c>
      <c r="M2513" t="s">
        <v>33</v>
      </c>
      <c r="N2513" t="s">
        <v>33</v>
      </c>
      <c r="O2513" t="s">
        <v>33</v>
      </c>
      <c r="P2513" t="s">
        <v>34</v>
      </c>
      <c r="Q2513" t="s">
        <v>35</v>
      </c>
      <c r="S2513" t="s">
        <v>30</v>
      </c>
      <c r="T2513" t="s">
        <v>2237</v>
      </c>
      <c r="U2513" t="s">
        <v>2238</v>
      </c>
      <c r="V2513" t="s">
        <v>40</v>
      </c>
      <c r="W2513" s="1">
        <v>2256200</v>
      </c>
    </row>
    <row r="2514" spans="1:23" x14ac:dyDescent="0.2">
      <c r="A2514" t="s">
        <v>2096</v>
      </c>
      <c r="B2514" t="s">
        <v>2097</v>
      </c>
      <c r="C2514" t="s">
        <v>2233</v>
      </c>
      <c r="D2514" t="s">
        <v>2234</v>
      </c>
      <c r="E2514" t="s">
        <v>2235</v>
      </c>
      <c r="F2514" t="s">
        <v>2236</v>
      </c>
      <c r="G2514" t="s">
        <v>49</v>
      </c>
      <c r="H2514" t="s">
        <v>30</v>
      </c>
      <c r="I2514" t="s">
        <v>30</v>
      </c>
      <c r="J2514" t="s">
        <v>31</v>
      </c>
      <c r="K2514" t="s">
        <v>32</v>
      </c>
      <c r="L2514" t="s">
        <v>32</v>
      </c>
      <c r="M2514" t="s">
        <v>33</v>
      </c>
      <c r="N2514" t="s">
        <v>33</v>
      </c>
      <c r="O2514" t="s">
        <v>33</v>
      </c>
      <c r="P2514" t="s">
        <v>34</v>
      </c>
      <c r="Q2514" t="s">
        <v>35</v>
      </c>
      <c r="S2514" t="s">
        <v>30</v>
      </c>
      <c r="T2514" t="s">
        <v>2239</v>
      </c>
      <c r="U2514" t="s">
        <v>2240</v>
      </c>
      <c r="V2514" t="s">
        <v>39</v>
      </c>
      <c r="W2514" s="1">
        <v>4</v>
      </c>
    </row>
    <row r="2515" spans="1:23" x14ac:dyDescent="0.2">
      <c r="A2515" t="s">
        <v>2096</v>
      </c>
      <c r="B2515" t="s">
        <v>2097</v>
      </c>
      <c r="C2515" t="s">
        <v>2233</v>
      </c>
      <c r="D2515" t="s">
        <v>2234</v>
      </c>
      <c r="E2515" t="s">
        <v>2235</v>
      </c>
      <c r="F2515" t="s">
        <v>2236</v>
      </c>
      <c r="G2515" t="s">
        <v>49</v>
      </c>
      <c r="H2515" t="s">
        <v>30</v>
      </c>
      <c r="I2515" t="s">
        <v>30</v>
      </c>
      <c r="J2515" t="s">
        <v>31</v>
      </c>
      <c r="K2515" t="s">
        <v>32</v>
      </c>
      <c r="L2515" t="s">
        <v>32</v>
      </c>
      <c r="M2515" t="s">
        <v>33</v>
      </c>
      <c r="N2515" t="s">
        <v>33</v>
      </c>
      <c r="O2515" t="s">
        <v>33</v>
      </c>
      <c r="P2515" t="s">
        <v>34</v>
      </c>
      <c r="Q2515" t="s">
        <v>35</v>
      </c>
      <c r="S2515" t="s">
        <v>30</v>
      </c>
      <c r="T2515" t="s">
        <v>2239</v>
      </c>
      <c r="U2515" t="s">
        <v>2240</v>
      </c>
      <c r="V2515" t="s">
        <v>40</v>
      </c>
      <c r="W2515" s="1">
        <v>1791600</v>
      </c>
    </row>
    <row r="2516" spans="1:23" x14ac:dyDescent="0.2">
      <c r="A2516" t="s">
        <v>2096</v>
      </c>
      <c r="B2516" t="s">
        <v>2097</v>
      </c>
      <c r="C2516" t="s">
        <v>2233</v>
      </c>
      <c r="D2516" t="s">
        <v>2234</v>
      </c>
      <c r="E2516" t="s">
        <v>2235</v>
      </c>
      <c r="F2516" t="s">
        <v>2236</v>
      </c>
      <c r="G2516" t="s">
        <v>49</v>
      </c>
      <c r="H2516" t="s">
        <v>30</v>
      </c>
      <c r="I2516" t="s">
        <v>30</v>
      </c>
      <c r="J2516" t="s">
        <v>31</v>
      </c>
      <c r="K2516" t="s">
        <v>32</v>
      </c>
      <c r="L2516" t="s">
        <v>32</v>
      </c>
      <c r="M2516" t="s">
        <v>176</v>
      </c>
      <c r="N2516" t="s">
        <v>176</v>
      </c>
      <c r="O2516" t="s">
        <v>176</v>
      </c>
      <c r="P2516" t="s">
        <v>34</v>
      </c>
      <c r="Q2516" t="s">
        <v>35</v>
      </c>
      <c r="S2516" t="s">
        <v>30</v>
      </c>
      <c r="T2516" t="s">
        <v>2239</v>
      </c>
      <c r="U2516" t="s">
        <v>2240</v>
      </c>
      <c r="V2516" t="s">
        <v>39</v>
      </c>
      <c r="W2516" s="1">
        <v>1</v>
      </c>
    </row>
    <row r="2517" spans="1:23" x14ac:dyDescent="0.2">
      <c r="A2517" t="s">
        <v>2096</v>
      </c>
      <c r="B2517" t="s">
        <v>2097</v>
      </c>
      <c r="C2517" t="s">
        <v>2233</v>
      </c>
      <c r="D2517" t="s">
        <v>2234</v>
      </c>
      <c r="E2517" t="s">
        <v>2235</v>
      </c>
      <c r="F2517" t="s">
        <v>2236</v>
      </c>
      <c r="G2517" t="s">
        <v>49</v>
      </c>
      <c r="H2517" t="s">
        <v>30</v>
      </c>
      <c r="I2517" t="s">
        <v>30</v>
      </c>
      <c r="J2517" t="s">
        <v>31</v>
      </c>
      <c r="K2517" t="s">
        <v>32</v>
      </c>
      <c r="L2517" t="s">
        <v>32</v>
      </c>
      <c r="M2517" t="s">
        <v>176</v>
      </c>
      <c r="N2517" t="s">
        <v>176</v>
      </c>
      <c r="O2517" t="s">
        <v>176</v>
      </c>
      <c r="P2517" t="s">
        <v>34</v>
      </c>
      <c r="Q2517" t="s">
        <v>35</v>
      </c>
      <c r="S2517" t="s">
        <v>30</v>
      </c>
      <c r="T2517" t="s">
        <v>2239</v>
      </c>
      <c r="U2517" t="s">
        <v>2240</v>
      </c>
      <c r="V2517" t="s">
        <v>40</v>
      </c>
      <c r="W2517" s="1">
        <v>447900</v>
      </c>
    </row>
    <row r="2518" spans="1:23" x14ac:dyDescent="0.2">
      <c r="A2518" t="s">
        <v>2096</v>
      </c>
      <c r="B2518" t="s">
        <v>2097</v>
      </c>
      <c r="C2518" t="s">
        <v>2233</v>
      </c>
      <c r="D2518" t="s">
        <v>2234</v>
      </c>
      <c r="E2518" t="s">
        <v>2235</v>
      </c>
      <c r="F2518" t="s">
        <v>2236</v>
      </c>
      <c r="G2518" t="s">
        <v>61</v>
      </c>
      <c r="H2518" t="s">
        <v>52</v>
      </c>
      <c r="I2518" t="s">
        <v>52</v>
      </c>
      <c r="J2518" t="s">
        <v>31</v>
      </c>
      <c r="K2518" t="s">
        <v>32</v>
      </c>
      <c r="L2518" t="s">
        <v>32</v>
      </c>
      <c r="M2518" t="s">
        <v>33</v>
      </c>
      <c r="N2518" t="s">
        <v>33</v>
      </c>
      <c r="O2518" t="s">
        <v>33</v>
      </c>
      <c r="P2518" t="s">
        <v>34</v>
      </c>
      <c r="Q2518" t="s">
        <v>35</v>
      </c>
      <c r="S2518" t="s">
        <v>30</v>
      </c>
      <c r="T2518" t="s">
        <v>2241</v>
      </c>
      <c r="U2518" t="s">
        <v>2242</v>
      </c>
      <c r="V2518" t="s">
        <v>39</v>
      </c>
      <c r="W2518" s="1">
        <v>1</v>
      </c>
    </row>
    <row r="2519" spans="1:23" x14ac:dyDescent="0.2">
      <c r="A2519" t="s">
        <v>2096</v>
      </c>
      <c r="B2519" t="s">
        <v>2097</v>
      </c>
      <c r="C2519" t="s">
        <v>2233</v>
      </c>
      <c r="D2519" t="s">
        <v>2234</v>
      </c>
      <c r="E2519" t="s">
        <v>2235</v>
      </c>
      <c r="F2519" t="s">
        <v>2236</v>
      </c>
      <c r="G2519" t="s">
        <v>61</v>
      </c>
      <c r="H2519" t="s">
        <v>52</v>
      </c>
      <c r="I2519" t="s">
        <v>52</v>
      </c>
      <c r="J2519" t="s">
        <v>31</v>
      </c>
      <c r="K2519" t="s">
        <v>32</v>
      </c>
      <c r="L2519" t="s">
        <v>32</v>
      </c>
      <c r="M2519" t="s">
        <v>33</v>
      </c>
      <c r="N2519" t="s">
        <v>33</v>
      </c>
      <c r="O2519" t="s">
        <v>33</v>
      </c>
      <c r="P2519" t="s">
        <v>34</v>
      </c>
      <c r="Q2519" t="s">
        <v>35</v>
      </c>
      <c r="S2519" t="s">
        <v>30</v>
      </c>
      <c r="T2519" t="s">
        <v>2241</v>
      </c>
      <c r="U2519" t="s">
        <v>2242</v>
      </c>
      <c r="V2519" t="s">
        <v>40</v>
      </c>
      <c r="W2519" s="1">
        <v>599900</v>
      </c>
    </row>
    <row r="2520" spans="1:23" x14ac:dyDescent="0.2">
      <c r="A2520" t="s">
        <v>2096</v>
      </c>
      <c r="B2520" t="s">
        <v>2097</v>
      </c>
      <c r="C2520" t="s">
        <v>2233</v>
      </c>
      <c r="D2520" t="s">
        <v>2234</v>
      </c>
      <c r="E2520" t="s">
        <v>2235</v>
      </c>
      <c r="F2520" t="s">
        <v>2236</v>
      </c>
      <c r="G2520" t="s">
        <v>170</v>
      </c>
      <c r="H2520" t="s">
        <v>52</v>
      </c>
      <c r="I2520" t="s">
        <v>30</v>
      </c>
      <c r="J2520" t="s">
        <v>41</v>
      </c>
      <c r="K2520" t="s">
        <v>32</v>
      </c>
      <c r="L2520" t="s">
        <v>32</v>
      </c>
      <c r="M2520" t="s">
        <v>33</v>
      </c>
      <c r="N2520" t="s">
        <v>33</v>
      </c>
      <c r="O2520" t="s">
        <v>33</v>
      </c>
      <c r="P2520" t="s">
        <v>34</v>
      </c>
      <c r="Q2520" t="s">
        <v>35</v>
      </c>
      <c r="R2520" t="s">
        <v>173</v>
      </c>
      <c r="S2520" t="s">
        <v>30</v>
      </c>
      <c r="T2520" t="s">
        <v>2243</v>
      </c>
      <c r="U2520" t="s">
        <v>2244</v>
      </c>
      <c r="V2520" t="s">
        <v>39</v>
      </c>
      <c r="W2520" s="1">
        <v>2</v>
      </c>
    </row>
    <row r="2521" spans="1:23" x14ac:dyDescent="0.2">
      <c r="A2521" t="s">
        <v>2096</v>
      </c>
      <c r="B2521" t="s">
        <v>2097</v>
      </c>
      <c r="C2521" t="s">
        <v>2233</v>
      </c>
      <c r="D2521" t="s">
        <v>2234</v>
      </c>
      <c r="E2521" t="s">
        <v>2235</v>
      </c>
      <c r="F2521" t="s">
        <v>2236</v>
      </c>
      <c r="G2521" t="s">
        <v>170</v>
      </c>
      <c r="H2521" t="s">
        <v>52</v>
      </c>
      <c r="I2521" t="s">
        <v>30</v>
      </c>
      <c r="J2521" t="s">
        <v>41</v>
      </c>
      <c r="K2521" t="s">
        <v>32</v>
      </c>
      <c r="L2521" t="s">
        <v>32</v>
      </c>
      <c r="M2521" t="s">
        <v>33</v>
      </c>
      <c r="N2521" t="s">
        <v>33</v>
      </c>
      <c r="O2521" t="s">
        <v>33</v>
      </c>
      <c r="P2521" t="s">
        <v>34</v>
      </c>
      <c r="Q2521" t="s">
        <v>35</v>
      </c>
      <c r="R2521" t="s">
        <v>173</v>
      </c>
      <c r="S2521" t="s">
        <v>30</v>
      </c>
      <c r="T2521" t="s">
        <v>2243</v>
      </c>
      <c r="U2521" t="s">
        <v>2244</v>
      </c>
      <c r="V2521" t="s">
        <v>40</v>
      </c>
      <c r="W2521" s="1">
        <v>2043800</v>
      </c>
    </row>
    <row r="2522" spans="1:23" x14ac:dyDescent="0.2">
      <c r="A2522" t="s">
        <v>2096</v>
      </c>
      <c r="B2522" t="s">
        <v>2097</v>
      </c>
      <c r="C2522" t="s">
        <v>2233</v>
      </c>
      <c r="D2522" t="s">
        <v>2234</v>
      </c>
      <c r="E2522" t="s">
        <v>2235</v>
      </c>
      <c r="F2522" t="s">
        <v>2236</v>
      </c>
      <c r="G2522" t="s">
        <v>67</v>
      </c>
      <c r="H2522" t="s">
        <v>30</v>
      </c>
      <c r="I2522" t="s">
        <v>30</v>
      </c>
      <c r="J2522" t="s">
        <v>31</v>
      </c>
      <c r="K2522" t="s">
        <v>32</v>
      </c>
      <c r="L2522" t="s">
        <v>32</v>
      </c>
      <c r="M2522" t="s">
        <v>33</v>
      </c>
      <c r="N2522" t="s">
        <v>33</v>
      </c>
      <c r="O2522" t="s">
        <v>33</v>
      </c>
      <c r="P2522" t="s">
        <v>34</v>
      </c>
      <c r="Q2522" t="s">
        <v>35</v>
      </c>
      <c r="S2522" t="s">
        <v>30</v>
      </c>
      <c r="T2522" t="s">
        <v>2245</v>
      </c>
      <c r="U2522" t="s">
        <v>2246</v>
      </c>
      <c r="V2522" t="s">
        <v>39</v>
      </c>
      <c r="W2522" s="1">
        <v>4</v>
      </c>
    </row>
    <row r="2523" spans="1:23" x14ac:dyDescent="0.2">
      <c r="A2523" t="s">
        <v>2096</v>
      </c>
      <c r="B2523" t="s">
        <v>2097</v>
      </c>
      <c r="C2523" t="s">
        <v>2233</v>
      </c>
      <c r="D2523" t="s">
        <v>2234</v>
      </c>
      <c r="E2523" t="s">
        <v>2235</v>
      </c>
      <c r="F2523" t="s">
        <v>2236</v>
      </c>
      <c r="G2523" t="s">
        <v>67</v>
      </c>
      <c r="H2523" t="s">
        <v>30</v>
      </c>
      <c r="I2523" t="s">
        <v>30</v>
      </c>
      <c r="J2523" t="s">
        <v>31</v>
      </c>
      <c r="K2523" t="s">
        <v>32</v>
      </c>
      <c r="L2523" t="s">
        <v>32</v>
      </c>
      <c r="M2523" t="s">
        <v>33</v>
      </c>
      <c r="N2523" t="s">
        <v>33</v>
      </c>
      <c r="O2523" t="s">
        <v>33</v>
      </c>
      <c r="P2523" t="s">
        <v>34</v>
      </c>
      <c r="Q2523" t="s">
        <v>35</v>
      </c>
      <c r="S2523" t="s">
        <v>30</v>
      </c>
      <c r="T2523" t="s">
        <v>2245</v>
      </c>
      <c r="U2523" t="s">
        <v>2246</v>
      </c>
      <c r="V2523" t="s">
        <v>40</v>
      </c>
      <c r="W2523" s="1">
        <v>2763600</v>
      </c>
    </row>
    <row r="2524" spans="1:23" x14ac:dyDescent="0.2">
      <c r="A2524" t="s">
        <v>2096</v>
      </c>
      <c r="B2524" t="s">
        <v>2097</v>
      </c>
      <c r="C2524" t="s">
        <v>2233</v>
      </c>
      <c r="D2524" t="s">
        <v>2234</v>
      </c>
      <c r="E2524" t="s">
        <v>2235</v>
      </c>
      <c r="F2524" t="s">
        <v>2236</v>
      </c>
      <c r="G2524" t="s">
        <v>67</v>
      </c>
      <c r="H2524" t="s">
        <v>30</v>
      </c>
      <c r="I2524" t="s">
        <v>30</v>
      </c>
      <c r="J2524" t="s">
        <v>57</v>
      </c>
      <c r="K2524" t="s">
        <v>32</v>
      </c>
      <c r="L2524" t="s">
        <v>32</v>
      </c>
      <c r="M2524" t="s">
        <v>33</v>
      </c>
      <c r="N2524" t="s">
        <v>33</v>
      </c>
      <c r="O2524" t="s">
        <v>33</v>
      </c>
      <c r="P2524" t="s">
        <v>34</v>
      </c>
      <c r="Q2524" t="s">
        <v>35</v>
      </c>
      <c r="R2524" t="s">
        <v>741</v>
      </c>
      <c r="S2524" t="s">
        <v>30</v>
      </c>
      <c r="T2524" t="s">
        <v>2247</v>
      </c>
      <c r="U2524" t="s">
        <v>2248</v>
      </c>
      <c r="V2524" t="s">
        <v>39</v>
      </c>
      <c r="W2524" s="1">
        <v>2</v>
      </c>
    </row>
    <row r="2525" spans="1:23" x14ac:dyDescent="0.2">
      <c r="A2525" t="s">
        <v>2096</v>
      </c>
      <c r="B2525" t="s">
        <v>2097</v>
      </c>
      <c r="C2525" t="s">
        <v>2233</v>
      </c>
      <c r="D2525" t="s">
        <v>2234</v>
      </c>
      <c r="E2525" t="s">
        <v>2235</v>
      </c>
      <c r="F2525" t="s">
        <v>2236</v>
      </c>
      <c r="G2525" t="s">
        <v>67</v>
      </c>
      <c r="H2525" t="s">
        <v>30</v>
      </c>
      <c r="I2525" t="s">
        <v>30</v>
      </c>
      <c r="J2525" t="s">
        <v>57</v>
      </c>
      <c r="K2525" t="s">
        <v>32</v>
      </c>
      <c r="L2525" t="s">
        <v>32</v>
      </c>
      <c r="M2525" t="s">
        <v>33</v>
      </c>
      <c r="N2525" t="s">
        <v>33</v>
      </c>
      <c r="O2525" t="s">
        <v>33</v>
      </c>
      <c r="P2525" t="s">
        <v>34</v>
      </c>
      <c r="Q2525" t="s">
        <v>35</v>
      </c>
      <c r="R2525" t="s">
        <v>741</v>
      </c>
      <c r="S2525" t="s">
        <v>30</v>
      </c>
      <c r="T2525" t="s">
        <v>2247</v>
      </c>
      <c r="U2525" t="s">
        <v>2248</v>
      </c>
      <c r="V2525" t="s">
        <v>40</v>
      </c>
      <c r="W2525" s="1">
        <v>7399800</v>
      </c>
    </row>
    <row r="2526" spans="1:23" x14ac:dyDescent="0.2">
      <c r="A2526" t="s">
        <v>2096</v>
      </c>
      <c r="B2526" t="s">
        <v>2097</v>
      </c>
      <c r="C2526" t="s">
        <v>2233</v>
      </c>
      <c r="D2526" t="s">
        <v>2234</v>
      </c>
      <c r="E2526" t="s">
        <v>2235</v>
      </c>
      <c r="F2526" t="s">
        <v>2236</v>
      </c>
      <c r="G2526" t="s">
        <v>106</v>
      </c>
      <c r="H2526" t="s">
        <v>30</v>
      </c>
      <c r="I2526" t="s">
        <v>30</v>
      </c>
      <c r="J2526" t="s">
        <v>31</v>
      </c>
      <c r="K2526" t="s">
        <v>32</v>
      </c>
      <c r="L2526" t="s">
        <v>32</v>
      </c>
      <c r="M2526" t="s">
        <v>33</v>
      </c>
      <c r="N2526" t="s">
        <v>33</v>
      </c>
      <c r="O2526" t="s">
        <v>33</v>
      </c>
      <c r="P2526" t="s">
        <v>34</v>
      </c>
      <c r="Q2526" t="s">
        <v>35</v>
      </c>
      <c r="S2526" t="s">
        <v>30</v>
      </c>
      <c r="T2526" t="s">
        <v>2249</v>
      </c>
      <c r="U2526" t="s">
        <v>2250</v>
      </c>
      <c r="V2526" t="s">
        <v>39</v>
      </c>
      <c r="W2526" s="1">
        <v>4</v>
      </c>
    </row>
    <row r="2527" spans="1:23" x14ac:dyDescent="0.2">
      <c r="A2527" t="s">
        <v>2096</v>
      </c>
      <c r="B2527" t="s">
        <v>2097</v>
      </c>
      <c r="C2527" t="s">
        <v>2233</v>
      </c>
      <c r="D2527" t="s">
        <v>2234</v>
      </c>
      <c r="E2527" t="s">
        <v>2235</v>
      </c>
      <c r="F2527" t="s">
        <v>2236</v>
      </c>
      <c r="G2527" t="s">
        <v>106</v>
      </c>
      <c r="H2527" t="s">
        <v>30</v>
      </c>
      <c r="I2527" t="s">
        <v>30</v>
      </c>
      <c r="J2527" t="s">
        <v>31</v>
      </c>
      <c r="K2527" t="s">
        <v>32</v>
      </c>
      <c r="L2527" t="s">
        <v>32</v>
      </c>
      <c r="M2527" t="s">
        <v>33</v>
      </c>
      <c r="N2527" t="s">
        <v>33</v>
      </c>
      <c r="O2527" t="s">
        <v>33</v>
      </c>
      <c r="P2527" t="s">
        <v>34</v>
      </c>
      <c r="Q2527" t="s">
        <v>35</v>
      </c>
      <c r="S2527" t="s">
        <v>30</v>
      </c>
      <c r="T2527" t="s">
        <v>2249</v>
      </c>
      <c r="U2527" t="s">
        <v>2250</v>
      </c>
      <c r="V2527" t="s">
        <v>40</v>
      </c>
      <c r="W2527" s="1">
        <v>1963600</v>
      </c>
    </row>
    <row r="2528" spans="1:23" x14ac:dyDescent="0.2">
      <c r="A2528" t="s">
        <v>2096</v>
      </c>
      <c r="B2528" t="s">
        <v>2097</v>
      </c>
      <c r="C2528" t="s">
        <v>2233</v>
      </c>
      <c r="D2528" t="s">
        <v>2234</v>
      </c>
      <c r="E2528" t="s">
        <v>2235</v>
      </c>
      <c r="F2528" t="s">
        <v>2236</v>
      </c>
      <c r="G2528" t="s">
        <v>106</v>
      </c>
      <c r="H2528" t="s">
        <v>30</v>
      </c>
      <c r="I2528" t="s">
        <v>30</v>
      </c>
      <c r="J2528" t="s">
        <v>31</v>
      </c>
      <c r="K2528" t="s">
        <v>32</v>
      </c>
      <c r="L2528" t="s">
        <v>32</v>
      </c>
      <c r="M2528" t="s">
        <v>33</v>
      </c>
      <c r="N2528" t="s">
        <v>33</v>
      </c>
      <c r="O2528" t="s">
        <v>33</v>
      </c>
      <c r="P2528" t="s">
        <v>34</v>
      </c>
      <c r="Q2528" t="s">
        <v>35</v>
      </c>
      <c r="S2528" t="s">
        <v>30</v>
      </c>
      <c r="T2528" t="s">
        <v>2251</v>
      </c>
      <c r="U2528" t="s">
        <v>2252</v>
      </c>
      <c r="V2528" t="s">
        <v>39</v>
      </c>
      <c r="W2528" s="1">
        <v>1</v>
      </c>
    </row>
    <row r="2529" spans="1:23" x14ac:dyDescent="0.2">
      <c r="A2529" t="s">
        <v>2096</v>
      </c>
      <c r="B2529" t="s">
        <v>2097</v>
      </c>
      <c r="C2529" t="s">
        <v>2233</v>
      </c>
      <c r="D2529" t="s">
        <v>2234</v>
      </c>
      <c r="E2529" t="s">
        <v>2235</v>
      </c>
      <c r="F2529" t="s">
        <v>2236</v>
      </c>
      <c r="G2529" t="s">
        <v>106</v>
      </c>
      <c r="H2529" t="s">
        <v>30</v>
      </c>
      <c r="I2529" t="s">
        <v>30</v>
      </c>
      <c r="J2529" t="s">
        <v>31</v>
      </c>
      <c r="K2529" t="s">
        <v>32</v>
      </c>
      <c r="L2529" t="s">
        <v>32</v>
      </c>
      <c r="M2529" t="s">
        <v>33</v>
      </c>
      <c r="N2529" t="s">
        <v>33</v>
      </c>
      <c r="O2529" t="s">
        <v>33</v>
      </c>
      <c r="P2529" t="s">
        <v>34</v>
      </c>
      <c r="Q2529" t="s">
        <v>35</v>
      </c>
      <c r="S2529" t="s">
        <v>30</v>
      </c>
      <c r="T2529" t="s">
        <v>2251</v>
      </c>
      <c r="U2529" t="s">
        <v>2252</v>
      </c>
      <c r="V2529" t="s">
        <v>40</v>
      </c>
      <c r="W2529" s="1">
        <v>492900</v>
      </c>
    </row>
    <row r="2530" spans="1:23" x14ac:dyDescent="0.2">
      <c r="A2530" t="s">
        <v>2096</v>
      </c>
      <c r="B2530" t="s">
        <v>2097</v>
      </c>
      <c r="C2530" t="s">
        <v>2233</v>
      </c>
      <c r="D2530" t="s">
        <v>2234</v>
      </c>
      <c r="E2530" t="s">
        <v>2235</v>
      </c>
      <c r="F2530" t="s">
        <v>2236</v>
      </c>
      <c r="G2530" t="s">
        <v>106</v>
      </c>
      <c r="H2530" t="s">
        <v>30</v>
      </c>
      <c r="I2530" t="s">
        <v>30</v>
      </c>
      <c r="J2530" t="s">
        <v>31</v>
      </c>
      <c r="K2530" t="s">
        <v>32</v>
      </c>
      <c r="L2530" t="s">
        <v>32</v>
      </c>
      <c r="M2530" t="s">
        <v>33</v>
      </c>
      <c r="N2530" t="s">
        <v>33</v>
      </c>
      <c r="O2530" t="s">
        <v>33</v>
      </c>
      <c r="P2530" t="s">
        <v>34</v>
      </c>
      <c r="Q2530" t="s">
        <v>35</v>
      </c>
      <c r="S2530" t="s">
        <v>30</v>
      </c>
      <c r="T2530" t="s">
        <v>2253</v>
      </c>
      <c r="U2530" t="s">
        <v>2254</v>
      </c>
      <c r="V2530" t="s">
        <v>39</v>
      </c>
      <c r="W2530" s="1">
        <v>7</v>
      </c>
    </row>
    <row r="2531" spans="1:23" x14ac:dyDescent="0.2">
      <c r="A2531" t="s">
        <v>2096</v>
      </c>
      <c r="B2531" t="s">
        <v>2097</v>
      </c>
      <c r="C2531" t="s">
        <v>2233</v>
      </c>
      <c r="D2531" t="s">
        <v>2234</v>
      </c>
      <c r="E2531" t="s">
        <v>2235</v>
      </c>
      <c r="F2531" t="s">
        <v>2236</v>
      </c>
      <c r="G2531" t="s">
        <v>106</v>
      </c>
      <c r="H2531" t="s">
        <v>30</v>
      </c>
      <c r="I2531" t="s">
        <v>30</v>
      </c>
      <c r="J2531" t="s">
        <v>31</v>
      </c>
      <c r="K2531" t="s">
        <v>32</v>
      </c>
      <c r="L2531" t="s">
        <v>32</v>
      </c>
      <c r="M2531" t="s">
        <v>33</v>
      </c>
      <c r="N2531" t="s">
        <v>33</v>
      </c>
      <c r="O2531" t="s">
        <v>33</v>
      </c>
      <c r="P2531" t="s">
        <v>34</v>
      </c>
      <c r="Q2531" t="s">
        <v>35</v>
      </c>
      <c r="S2531" t="s">
        <v>30</v>
      </c>
      <c r="T2531" t="s">
        <v>2253</v>
      </c>
      <c r="U2531" t="s">
        <v>2254</v>
      </c>
      <c r="V2531" t="s">
        <v>40</v>
      </c>
      <c r="W2531" s="1">
        <v>6649300</v>
      </c>
    </row>
    <row r="2532" spans="1:23" x14ac:dyDescent="0.2">
      <c r="A2532" t="s">
        <v>2096</v>
      </c>
      <c r="B2532" t="s">
        <v>2097</v>
      </c>
      <c r="C2532" t="s">
        <v>2233</v>
      </c>
      <c r="D2532" t="s">
        <v>2234</v>
      </c>
      <c r="E2532" t="s">
        <v>2235</v>
      </c>
      <c r="F2532" t="s">
        <v>2236</v>
      </c>
      <c r="G2532" t="s">
        <v>106</v>
      </c>
      <c r="H2532" t="s">
        <v>30</v>
      </c>
      <c r="I2532" t="s">
        <v>30</v>
      </c>
      <c r="J2532" t="s">
        <v>31</v>
      </c>
      <c r="K2532" t="s">
        <v>32</v>
      </c>
      <c r="L2532" t="s">
        <v>32</v>
      </c>
      <c r="M2532" t="s">
        <v>33</v>
      </c>
      <c r="N2532" t="s">
        <v>33</v>
      </c>
      <c r="O2532" t="s">
        <v>33</v>
      </c>
      <c r="P2532" t="s">
        <v>34</v>
      </c>
      <c r="Q2532" t="s">
        <v>35</v>
      </c>
      <c r="S2532" t="s">
        <v>30</v>
      </c>
      <c r="T2532" t="s">
        <v>2255</v>
      </c>
      <c r="U2532" t="s">
        <v>2256</v>
      </c>
      <c r="V2532" t="s">
        <v>39</v>
      </c>
      <c r="W2532" s="1">
        <v>2</v>
      </c>
    </row>
    <row r="2533" spans="1:23" x14ac:dyDescent="0.2">
      <c r="A2533" t="s">
        <v>2096</v>
      </c>
      <c r="B2533" t="s">
        <v>2097</v>
      </c>
      <c r="C2533" t="s">
        <v>2233</v>
      </c>
      <c r="D2533" t="s">
        <v>2234</v>
      </c>
      <c r="E2533" t="s">
        <v>2235</v>
      </c>
      <c r="F2533" t="s">
        <v>2236</v>
      </c>
      <c r="G2533" t="s">
        <v>106</v>
      </c>
      <c r="H2533" t="s">
        <v>30</v>
      </c>
      <c r="I2533" t="s">
        <v>30</v>
      </c>
      <c r="J2533" t="s">
        <v>31</v>
      </c>
      <c r="K2533" t="s">
        <v>32</v>
      </c>
      <c r="L2533" t="s">
        <v>32</v>
      </c>
      <c r="M2533" t="s">
        <v>33</v>
      </c>
      <c r="N2533" t="s">
        <v>33</v>
      </c>
      <c r="O2533" t="s">
        <v>33</v>
      </c>
      <c r="P2533" t="s">
        <v>34</v>
      </c>
      <c r="Q2533" t="s">
        <v>35</v>
      </c>
      <c r="S2533" t="s">
        <v>30</v>
      </c>
      <c r="T2533" t="s">
        <v>2255</v>
      </c>
      <c r="U2533" t="s">
        <v>2256</v>
      </c>
      <c r="V2533" t="s">
        <v>40</v>
      </c>
      <c r="W2533" s="1">
        <v>2011800</v>
      </c>
    </row>
    <row r="2534" spans="1:23" x14ac:dyDescent="0.2">
      <c r="A2534" t="s">
        <v>2096</v>
      </c>
      <c r="B2534" t="s">
        <v>2097</v>
      </c>
      <c r="C2534" t="s">
        <v>2233</v>
      </c>
      <c r="D2534" t="s">
        <v>2234</v>
      </c>
      <c r="E2534" t="s">
        <v>2235</v>
      </c>
      <c r="F2534" t="s">
        <v>2236</v>
      </c>
      <c r="G2534" t="s">
        <v>106</v>
      </c>
      <c r="H2534" t="s">
        <v>30</v>
      </c>
      <c r="I2534" t="s">
        <v>30</v>
      </c>
      <c r="J2534" t="s">
        <v>31</v>
      </c>
      <c r="K2534" t="s">
        <v>32</v>
      </c>
      <c r="L2534" t="s">
        <v>32</v>
      </c>
      <c r="M2534" t="s">
        <v>33</v>
      </c>
      <c r="N2534" t="s">
        <v>33</v>
      </c>
      <c r="O2534" t="s">
        <v>33</v>
      </c>
      <c r="P2534" t="s">
        <v>34</v>
      </c>
      <c r="Q2534" t="s">
        <v>35</v>
      </c>
      <c r="S2534" t="s">
        <v>30</v>
      </c>
      <c r="T2534" t="s">
        <v>2257</v>
      </c>
      <c r="U2534" t="s">
        <v>2258</v>
      </c>
      <c r="V2534" t="s">
        <v>39</v>
      </c>
      <c r="W2534" s="1">
        <v>1</v>
      </c>
    </row>
    <row r="2535" spans="1:23" x14ac:dyDescent="0.2">
      <c r="A2535" t="s">
        <v>2096</v>
      </c>
      <c r="B2535" t="s">
        <v>2097</v>
      </c>
      <c r="C2535" t="s">
        <v>2233</v>
      </c>
      <c r="D2535" t="s">
        <v>2234</v>
      </c>
      <c r="E2535" t="s">
        <v>2235</v>
      </c>
      <c r="F2535" t="s">
        <v>2236</v>
      </c>
      <c r="G2535" t="s">
        <v>106</v>
      </c>
      <c r="H2535" t="s">
        <v>30</v>
      </c>
      <c r="I2535" t="s">
        <v>30</v>
      </c>
      <c r="J2535" t="s">
        <v>31</v>
      </c>
      <c r="K2535" t="s">
        <v>32</v>
      </c>
      <c r="L2535" t="s">
        <v>32</v>
      </c>
      <c r="M2535" t="s">
        <v>33</v>
      </c>
      <c r="N2535" t="s">
        <v>33</v>
      </c>
      <c r="O2535" t="s">
        <v>33</v>
      </c>
      <c r="P2535" t="s">
        <v>34</v>
      </c>
      <c r="Q2535" t="s">
        <v>35</v>
      </c>
      <c r="S2535" t="s">
        <v>30</v>
      </c>
      <c r="T2535" t="s">
        <v>2257</v>
      </c>
      <c r="U2535" t="s">
        <v>2258</v>
      </c>
      <c r="V2535" t="s">
        <v>40</v>
      </c>
      <c r="W2535" s="1">
        <v>1299900</v>
      </c>
    </row>
    <row r="2536" spans="1:23" x14ac:dyDescent="0.2">
      <c r="A2536" t="s">
        <v>2096</v>
      </c>
      <c r="B2536" t="s">
        <v>2097</v>
      </c>
      <c r="C2536" t="s">
        <v>2233</v>
      </c>
      <c r="D2536" t="s">
        <v>2234</v>
      </c>
      <c r="E2536" t="s">
        <v>2235</v>
      </c>
      <c r="F2536" t="s">
        <v>2236</v>
      </c>
      <c r="G2536" t="s">
        <v>106</v>
      </c>
      <c r="H2536" t="s">
        <v>30</v>
      </c>
      <c r="I2536" t="s">
        <v>30</v>
      </c>
      <c r="J2536" t="s">
        <v>31</v>
      </c>
      <c r="K2536" t="s">
        <v>32</v>
      </c>
      <c r="L2536" t="s">
        <v>32</v>
      </c>
      <c r="M2536" t="s">
        <v>33</v>
      </c>
      <c r="N2536" t="s">
        <v>169</v>
      </c>
      <c r="O2536" t="s">
        <v>169</v>
      </c>
      <c r="P2536" t="s">
        <v>34</v>
      </c>
      <c r="Q2536" t="s">
        <v>35</v>
      </c>
      <c r="S2536" t="s">
        <v>30</v>
      </c>
      <c r="T2536" t="s">
        <v>2253</v>
      </c>
      <c r="U2536" t="s">
        <v>2254</v>
      </c>
      <c r="V2536" t="s">
        <v>39</v>
      </c>
      <c r="W2536" s="1">
        <v>1</v>
      </c>
    </row>
    <row r="2537" spans="1:23" x14ac:dyDescent="0.2">
      <c r="A2537" t="s">
        <v>2096</v>
      </c>
      <c r="B2537" t="s">
        <v>2097</v>
      </c>
      <c r="C2537" t="s">
        <v>2233</v>
      </c>
      <c r="D2537" t="s">
        <v>2234</v>
      </c>
      <c r="E2537" t="s">
        <v>2235</v>
      </c>
      <c r="F2537" t="s">
        <v>2236</v>
      </c>
      <c r="G2537" t="s">
        <v>106</v>
      </c>
      <c r="H2537" t="s">
        <v>30</v>
      </c>
      <c r="I2537" t="s">
        <v>30</v>
      </c>
      <c r="J2537" t="s">
        <v>31</v>
      </c>
      <c r="K2537" t="s">
        <v>32</v>
      </c>
      <c r="L2537" t="s">
        <v>32</v>
      </c>
      <c r="M2537" t="s">
        <v>33</v>
      </c>
      <c r="N2537" t="s">
        <v>169</v>
      </c>
      <c r="O2537" t="s">
        <v>169</v>
      </c>
      <c r="P2537" t="s">
        <v>34</v>
      </c>
      <c r="Q2537" t="s">
        <v>35</v>
      </c>
      <c r="S2537" t="s">
        <v>30</v>
      </c>
      <c r="T2537" t="s">
        <v>2253</v>
      </c>
      <c r="U2537" t="s">
        <v>2254</v>
      </c>
      <c r="V2537" t="s">
        <v>40</v>
      </c>
      <c r="W2537" s="1">
        <v>949900</v>
      </c>
    </row>
    <row r="2538" spans="1:23" x14ac:dyDescent="0.2">
      <c r="A2538" t="s">
        <v>2096</v>
      </c>
      <c r="B2538" t="s">
        <v>2097</v>
      </c>
      <c r="C2538" t="s">
        <v>2233</v>
      </c>
      <c r="D2538" t="s">
        <v>2234</v>
      </c>
      <c r="E2538" t="s">
        <v>2235</v>
      </c>
      <c r="F2538" t="s">
        <v>2236</v>
      </c>
      <c r="G2538" t="s">
        <v>106</v>
      </c>
      <c r="H2538" t="s">
        <v>30</v>
      </c>
      <c r="I2538" t="s">
        <v>30</v>
      </c>
      <c r="J2538" t="s">
        <v>31</v>
      </c>
      <c r="K2538" t="s">
        <v>32</v>
      </c>
      <c r="L2538" t="s">
        <v>32</v>
      </c>
      <c r="M2538" t="s">
        <v>33</v>
      </c>
      <c r="N2538" t="s">
        <v>169</v>
      </c>
      <c r="O2538" t="s">
        <v>169</v>
      </c>
      <c r="P2538" t="s">
        <v>34</v>
      </c>
      <c r="Q2538" t="s">
        <v>35</v>
      </c>
      <c r="S2538" t="s">
        <v>30</v>
      </c>
      <c r="T2538" t="s">
        <v>2255</v>
      </c>
      <c r="U2538" t="s">
        <v>2256</v>
      </c>
      <c r="V2538" t="s">
        <v>39</v>
      </c>
      <c r="W2538" s="1">
        <v>1</v>
      </c>
    </row>
    <row r="2539" spans="1:23" x14ac:dyDescent="0.2">
      <c r="A2539" t="s">
        <v>2096</v>
      </c>
      <c r="B2539" t="s">
        <v>2097</v>
      </c>
      <c r="C2539" t="s">
        <v>2233</v>
      </c>
      <c r="D2539" t="s">
        <v>2234</v>
      </c>
      <c r="E2539" t="s">
        <v>2235</v>
      </c>
      <c r="F2539" t="s">
        <v>2236</v>
      </c>
      <c r="G2539" t="s">
        <v>106</v>
      </c>
      <c r="H2539" t="s">
        <v>30</v>
      </c>
      <c r="I2539" t="s">
        <v>30</v>
      </c>
      <c r="J2539" t="s">
        <v>31</v>
      </c>
      <c r="K2539" t="s">
        <v>32</v>
      </c>
      <c r="L2539" t="s">
        <v>32</v>
      </c>
      <c r="M2539" t="s">
        <v>33</v>
      </c>
      <c r="N2539" t="s">
        <v>169</v>
      </c>
      <c r="O2539" t="s">
        <v>169</v>
      </c>
      <c r="P2539" t="s">
        <v>34</v>
      </c>
      <c r="Q2539" t="s">
        <v>35</v>
      </c>
      <c r="S2539" t="s">
        <v>30</v>
      </c>
      <c r="T2539" t="s">
        <v>2255</v>
      </c>
      <c r="U2539" t="s">
        <v>2256</v>
      </c>
      <c r="V2539" t="s">
        <v>40</v>
      </c>
      <c r="W2539" s="1">
        <v>1005900</v>
      </c>
    </row>
    <row r="2540" spans="1:23" x14ac:dyDescent="0.2">
      <c r="A2540" t="s">
        <v>2096</v>
      </c>
      <c r="B2540" t="s">
        <v>2097</v>
      </c>
      <c r="C2540" t="s">
        <v>2233</v>
      </c>
      <c r="D2540" t="s">
        <v>2234</v>
      </c>
      <c r="E2540" t="s">
        <v>2235</v>
      </c>
      <c r="F2540" t="s">
        <v>2236</v>
      </c>
      <c r="G2540" t="s">
        <v>106</v>
      </c>
      <c r="H2540" t="s">
        <v>30</v>
      </c>
      <c r="I2540" t="s">
        <v>30</v>
      </c>
      <c r="J2540" t="s">
        <v>31</v>
      </c>
      <c r="K2540" t="s">
        <v>32</v>
      </c>
      <c r="L2540" t="s">
        <v>32</v>
      </c>
      <c r="M2540" t="s">
        <v>33</v>
      </c>
      <c r="P2540" t="s">
        <v>34</v>
      </c>
      <c r="Q2540" t="s">
        <v>35</v>
      </c>
      <c r="S2540" t="s">
        <v>30</v>
      </c>
      <c r="T2540" t="s">
        <v>2251</v>
      </c>
      <c r="U2540" t="s">
        <v>2252</v>
      </c>
      <c r="V2540" t="s">
        <v>39</v>
      </c>
      <c r="W2540" s="1">
        <v>5</v>
      </c>
    </row>
    <row r="2541" spans="1:23" x14ac:dyDescent="0.2">
      <c r="A2541" t="s">
        <v>2096</v>
      </c>
      <c r="B2541" t="s">
        <v>2097</v>
      </c>
      <c r="C2541" t="s">
        <v>2233</v>
      </c>
      <c r="D2541" t="s">
        <v>2234</v>
      </c>
      <c r="E2541" t="s">
        <v>2235</v>
      </c>
      <c r="F2541" t="s">
        <v>2236</v>
      </c>
      <c r="G2541" t="s">
        <v>106</v>
      </c>
      <c r="H2541" t="s">
        <v>30</v>
      </c>
      <c r="I2541" t="s">
        <v>30</v>
      </c>
      <c r="J2541" t="s">
        <v>31</v>
      </c>
      <c r="K2541" t="s">
        <v>32</v>
      </c>
      <c r="L2541" t="s">
        <v>32</v>
      </c>
      <c r="M2541" t="s">
        <v>33</v>
      </c>
      <c r="P2541" t="s">
        <v>34</v>
      </c>
      <c r="Q2541" t="s">
        <v>35</v>
      </c>
      <c r="S2541" t="s">
        <v>30</v>
      </c>
      <c r="T2541" t="s">
        <v>2251</v>
      </c>
      <c r="U2541" t="s">
        <v>2252</v>
      </c>
      <c r="V2541" t="s">
        <v>40</v>
      </c>
      <c r="W2541" s="1">
        <v>2464500</v>
      </c>
    </row>
    <row r="2542" spans="1:23" x14ac:dyDescent="0.2">
      <c r="A2542" t="s">
        <v>2096</v>
      </c>
      <c r="B2542" t="s">
        <v>2097</v>
      </c>
      <c r="C2542" t="s">
        <v>2233</v>
      </c>
      <c r="D2542" t="s">
        <v>2234</v>
      </c>
      <c r="E2542" t="s">
        <v>2235</v>
      </c>
      <c r="F2542" t="s">
        <v>2236</v>
      </c>
      <c r="G2542" t="s">
        <v>106</v>
      </c>
      <c r="H2542" t="s">
        <v>30</v>
      </c>
      <c r="I2542" t="s">
        <v>30</v>
      </c>
      <c r="J2542" t="s">
        <v>31</v>
      </c>
      <c r="K2542" t="s">
        <v>32</v>
      </c>
      <c r="L2542" t="s">
        <v>32</v>
      </c>
      <c r="M2542" t="s">
        <v>33</v>
      </c>
      <c r="P2542" t="s">
        <v>34</v>
      </c>
      <c r="Q2542" t="s">
        <v>35</v>
      </c>
      <c r="S2542" t="s">
        <v>30</v>
      </c>
      <c r="T2542" t="s">
        <v>2257</v>
      </c>
      <c r="U2542" t="s">
        <v>2258</v>
      </c>
      <c r="V2542" t="s">
        <v>39</v>
      </c>
      <c r="W2542" s="1">
        <v>1</v>
      </c>
    </row>
    <row r="2543" spans="1:23" x14ac:dyDescent="0.2">
      <c r="A2543" t="s">
        <v>2096</v>
      </c>
      <c r="B2543" t="s">
        <v>2097</v>
      </c>
      <c r="C2543" t="s">
        <v>2233</v>
      </c>
      <c r="D2543" t="s">
        <v>2234</v>
      </c>
      <c r="E2543" t="s">
        <v>2235</v>
      </c>
      <c r="F2543" t="s">
        <v>2236</v>
      </c>
      <c r="G2543" t="s">
        <v>106</v>
      </c>
      <c r="H2543" t="s">
        <v>30</v>
      </c>
      <c r="I2543" t="s">
        <v>30</v>
      </c>
      <c r="J2543" t="s">
        <v>31</v>
      </c>
      <c r="K2543" t="s">
        <v>32</v>
      </c>
      <c r="L2543" t="s">
        <v>32</v>
      </c>
      <c r="M2543" t="s">
        <v>33</v>
      </c>
      <c r="P2543" t="s">
        <v>34</v>
      </c>
      <c r="Q2543" t="s">
        <v>35</v>
      </c>
      <c r="S2543" t="s">
        <v>30</v>
      </c>
      <c r="T2543" t="s">
        <v>2257</v>
      </c>
      <c r="U2543" t="s">
        <v>2258</v>
      </c>
      <c r="V2543" t="s">
        <v>40</v>
      </c>
      <c r="W2543" s="1">
        <v>1299900</v>
      </c>
    </row>
    <row r="2544" spans="1:23" x14ac:dyDescent="0.2">
      <c r="A2544" t="s">
        <v>2096</v>
      </c>
      <c r="B2544" t="s">
        <v>2097</v>
      </c>
      <c r="C2544" t="s">
        <v>2233</v>
      </c>
      <c r="D2544" t="s">
        <v>2234</v>
      </c>
      <c r="E2544" t="s">
        <v>2235</v>
      </c>
      <c r="F2544" t="s">
        <v>2236</v>
      </c>
      <c r="G2544" t="s">
        <v>106</v>
      </c>
      <c r="H2544" t="s">
        <v>30</v>
      </c>
      <c r="I2544" t="s">
        <v>30</v>
      </c>
      <c r="J2544" t="s">
        <v>31</v>
      </c>
      <c r="K2544" t="s">
        <v>32</v>
      </c>
      <c r="L2544" t="s">
        <v>32</v>
      </c>
      <c r="M2544" t="s">
        <v>176</v>
      </c>
      <c r="N2544" t="s">
        <v>176</v>
      </c>
      <c r="O2544" t="s">
        <v>176</v>
      </c>
      <c r="P2544" t="s">
        <v>34</v>
      </c>
      <c r="Q2544" t="s">
        <v>35</v>
      </c>
      <c r="S2544" t="s">
        <v>30</v>
      </c>
      <c r="T2544" t="s">
        <v>2253</v>
      </c>
      <c r="U2544" t="s">
        <v>2254</v>
      </c>
      <c r="V2544" t="s">
        <v>39</v>
      </c>
      <c r="W2544" s="1">
        <v>1</v>
      </c>
    </row>
    <row r="2545" spans="1:23" x14ac:dyDescent="0.2">
      <c r="A2545" t="s">
        <v>2096</v>
      </c>
      <c r="B2545" t="s">
        <v>2097</v>
      </c>
      <c r="C2545" t="s">
        <v>2233</v>
      </c>
      <c r="D2545" t="s">
        <v>2234</v>
      </c>
      <c r="E2545" t="s">
        <v>2235</v>
      </c>
      <c r="F2545" t="s">
        <v>2236</v>
      </c>
      <c r="G2545" t="s">
        <v>106</v>
      </c>
      <c r="H2545" t="s">
        <v>30</v>
      </c>
      <c r="I2545" t="s">
        <v>30</v>
      </c>
      <c r="J2545" t="s">
        <v>31</v>
      </c>
      <c r="K2545" t="s">
        <v>32</v>
      </c>
      <c r="L2545" t="s">
        <v>32</v>
      </c>
      <c r="M2545" t="s">
        <v>176</v>
      </c>
      <c r="N2545" t="s">
        <v>176</v>
      </c>
      <c r="O2545" t="s">
        <v>176</v>
      </c>
      <c r="P2545" t="s">
        <v>34</v>
      </c>
      <c r="Q2545" t="s">
        <v>35</v>
      </c>
      <c r="S2545" t="s">
        <v>30</v>
      </c>
      <c r="T2545" t="s">
        <v>2253</v>
      </c>
      <c r="U2545" t="s">
        <v>2254</v>
      </c>
      <c r="V2545" t="s">
        <v>40</v>
      </c>
      <c r="W2545" s="1">
        <v>854910</v>
      </c>
    </row>
    <row r="2546" spans="1:23" x14ac:dyDescent="0.2">
      <c r="A2546" t="s">
        <v>2096</v>
      </c>
      <c r="B2546" t="s">
        <v>2097</v>
      </c>
      <c r="C2546" t="s">
        <v>2233</v>
      </c>
      <c r="D2546" t="s">
        <v>2234</v>
      </c>
      <c r="E2546" t="s">
        <v>2235</v>
      </c>
      <c r="F2546" t="s">
        <v>2236</v>
      </c>
      <c r="G2546" t="s">
        <v>106</v>
      </c>
      <c r="H2546" t="s">
        <v>30</v>
      </c>
      <c r="I2546" t="s">
        <v>30</v>
      </c>
      <c r="J2546" t="s">
        <v>31</v>
      </c>
      <c r="K2546" t="s">
        <v>32</v>
      </c>
      <c r="L2546" t="s">
        <v>32</v>
      </c>
      <c r="M2546" t="s">
        <v>176</v>
      </c>
      <c r="N2546" t="s">
        <v>176</v>
      </c>
      <c r="O2546" t="s">
        <v>176</v>
      </c>
      <c r="P2546" t="s">
        <v>34</v>
      </c>
      <c r="Q2546" t="s">
        <v>35</v>
      </c>
      <c r="S2546" t="s">
        <v>30</v>
      </c>
      <c r="T2546" t="s">
        <v>2255</v>
      </c>
      <c r="U2546" t="s">
        <v>2256</v>
      </c>
      <c r="V2546" t="s">
        <v>39</v>
      </c>
      <c r="W2546" s="1">
        <v>1</v>
      </c>
    </row>
    <row r="2547" spans="1:23" x14ac:dyDescent="0.2">
      <c r="A2547" t="s">
        <v>2096</v>
      </c>
      <c r="B2547" t="s">
        <v>2097</v>
      </c>
      <c r="C2547" t="s">
        <v>2233</v>
      </c>
      <c r="D2547" t="s">
        <v>2234</v>
      </c>
      <c r="E2547" t="s">
        <v>2235</v>
      </c>
      <c r="F2547" t="s">
        <v>2236</v>
      </c>
      <c r="G2547" t="s">
        <v>106</v>
      </c>
      <c r="H2547" t="s">
        <v>30</v>
      </c>
      <c r="I2547" t="s">
        <v>30</v>
      </c>
      <c r="J2547" t="s">
        <v>31</v>
      </c>
      <c r="K2547" t="s">
        <v>32</v>
      </c>
      <c r="L2547" t="s">
        <v>32</v>
      </c>
      <c r="M2547" t="s">
        <v>176</v>
      </c>
      <c r="N2547" t="s">
        <v>176</v>
      </c>
      <c r="O2547" t="s">
        <v>176</v>
      </c>
      <c r="P2547" t="s">
        <v>34</v>
      </c>
      <c r="Q2547" t="s">
        <v>35</v>
      </c>
      <c r="S2547" t="s">
        <v>30</v>
      </c>
      <c r="T2547" t="s">
        <v>2255</v>
      </c>
      <c r="U2547" t="s">
        <v>2256</v>
      </c>
      <c r="V2547" t="s">
        <v>40</v>
      </c>
      <c r="W2547" s="1">
        <v>1005900</v>
      </c>
    </row>
    <row r="2548" spans="1:23" x14ac:dyDescent="0.2">
      <c r="A2548" t="s">
        <v>2096</v>
      </c>
      <c r="B2548" t="s">
        <v>2097</v>
      </c>
      <c r="C2548" t="s">
        <v>2233</v>
      </c>
      <c r="D2548" t="s">
        <v>2234</v>
      </c>
      <c r="E2548" t="s">
        <v>2259</v>
      </c>
      <c r="F2548" t="s">
        <v>2260</v>
      </c>
      <c r="G2548" t="s">
        <v>29</v>
      </c>
      <c r="H2548" t="s">
        <v>30</v>
      </c>
      <c r="I2548" t="s">
        <v>30</v>
      </c>
      <c r="J2548" t="s">
        <v>31</v>
      </c>
      <c r="K2548" t="s">
        <v>32</v>
      </c>
      <c r="L2548" t="s">
        <v>32</v>
      </c>
      <c r="M2548" t="s">
        <v>33</v>
      </c>
      <c r="N2548" t="s">
        <v>33</v>
      </c>
      <c r="O2548" t="s">
        <v>33</v>
      </c>
      <c r="P2548" t="s">
        <v>213</v>
      </c>
      <c r="Q2548" t="s">
        <v>2111</v>
      </c>
      <c r="S2548" t="s">
        <v>30</v>
      </c>
      <c r="T2548" t="s">
        <v>2261</v>
      </c>
      <c r="U2548" t="s">
        <v>2262</v>
      </c>
      <c r="V2548" t="s">
        <v>39</v>
      </c>
      <c r="W2548" s="1">
        <v>2</v>
      </c>
    </row>
    <row r="2549" spans="1:23" x14ac:dyDescent="0.2">
      <c r="A2549" t="s">
        <v>2096</v>
      </c>
      <c r="B2549" t="s">
        <v>2097</v>
      </c>
      <c r="C2549" t="s">
        <v>2233</v>
      </c>
      <c r="D2549" t="s">
        <v>2234</v>
      </c>
      <c r="E2549" t="s">
        <v>2259</v>
      </c>
      <c r="F2549" t="s">
        <v>2260</v>
      </c>
      <c r="G2549" t="s">
        <v>29</v>
      </c>
      <c r="H2549" t="s">
        <v>30</v>
      </c>
      <c r="I2549" t="s">
        <v>30</v>
      </c>
      <c r="J2549" t="s">
        <v>31</v>
      </c>
      <c r="K2549" t="s">
        <v>32</v>
      </c>
      <c r="L2549" t="s">
        <v>32</v>
      </c>
      <c r="M2549" t="s">
        <v>33</v>
      </c>
      <c r="N2549" t="s">
        <v>33</v>
      </c>
      <c r="O2549" t="s">
        <v>33</v>
      </c>
      <c r="P2549" t="s">
        <v>213</v>
      </c>
      <c r="Q2549" t="s">
        <v>2111</v>
      </c>
      <c r="S2549" t="s">
        <v>30</v>
      </c>
      <c r="T2549" t="s">
        <v>2261</v>
      </c>
      <c r="U2549" t="s">
        <v>2262</v>
      </c>
      <c r="V2549" t="s">
        <v>40</v>
      </c>
      <c r="W2549" s="1">
        <v>2535800</v>
      </c>
    </row>
    <row r="2550" spans="1:23" x14ac:dyDescent="0.2">
      <c r="A2550" t="s">
        <v>2096</v>
      </c>
      <c r="B2550" t="s">
        <v>2097</v>
      </c>
      <c r="C2550" t="s">
        <v>2233</v>
      </c>
      <c r="D2550" t="s">
        <v>2234</v>
      </c>
      <c r="E2550" t="s">
        <v>2259</v>
      </c>
      <c r="F2550" t="s">
        <v>2260</v>
      </c>
      <c r="G2550" t="s">
        <v>29</v>
      </c>
      <c r="H2550" t="s">
        <v>30</v>
      </c>
      <c r="I2550" t="s">
        <v>30</v>
      </c>
      <c r="J2550" t="s">
        <v>31</v>
      </c>
      <c r="K2550" t="s">
        <v>32</v>
      </c>
      <c r="L2550" t="s">
        <v>32</v>
      </c>
      <c r="M2550" t="s">
        <v>33</v>
      </c>
      <c r="P2550" t="s">
        <v>213</v>
      </c>
      <c r="Q2550" t="s">
        <v>2111</v>
      </c>
      <c r="S2550" t="s">
        <v>52</v>
      </c>
      <c r="T2550" t="s">
        <v>2263</v>
      </c>
      <c r="U2550" t="s">
        <v>2264</v>
      </c>
      <c r="V2550" t="s">
        <v>39</v>
      </c>
      <c r="W2550" s="1">
        <v>0</v>
      </c>
    </row>
    <row r="2551" spans="1:23" x14ac:dyDescent="0.2">
      <c r="A2551" t="s">
        <v>2096</v>
      </c>
      <c r="B2551" t="s">
        <v>2097</v>
      </c>
      <c r="C2551" t="s">
        <v>2233</v>
      </c>
      <c r="D2551" t="s">
        <v>2234</v>
      </c>
      <c r="E2551" t="s">
        <v>2259</v>
      </c>
      <c r="F2551" t="s">
        <v>2260</v>
      </c>
      <c r="G2551" t="s">
        <v>29</v>
      </c>
      <c r="H2551" t="s">
        <v>30</v>
      </c>
      <c r="I2551" t="s">
        <v>30</v>
      </c>
      <c r="J2551" t="s">
        <v>31</v>
      </c>
      <c r="K2551" t="s">
        <v>32</v>
      </c>
      <c r="L2551" t="s">
        <v>32</v>
      </c>
      <c r="M2551" t="s">
        <v>33</v>
      </c>
      <c r="P2551" t="s">
        <v>213</v>
      </c>
      <c r="Q2551" t="s">
        <v>2111</v>
      </c>
      <c r="S2551" t="s">
        <v>52</v>
      </c>
      <c r="T2551" t="s">
        <v>2263</v>
      </c>
      <c r="U2551" t="s">
        <v>2264</v>
      </c>
      <c r="V2551" t="s">
        <v>40</v>
      </c>
      <c r="W2551" s="1">
        <v>0</v>
      </c>
    </row>
    <row r="2552" spans="1:23" x14ac:dyDescent="0.2">
      <c r="A2552" t="s">
        <v>2096</v>
      </c>
      <c r="B2552" t="s">
        <v>2097</v>
      </c>
      <c r="C2552" t="s">
        <v>2233</v>
      </c>
      <c r="D2552" t="s">
        <v>2234</v>
      </c>
      <c r="E2552" t="s">
        <v>2259</v>
      </c>
      <c r="F2552" t="s">
        <v>2260</v>
      </c>
      <c r="G2552" t="s">
        <v>29</v>
      </c>
      <c r="H2552" t="s">
        <v>30</v>
      </c>
      <c r="I2552" t="s">
        <v>30</v>
      </c>
      <c r="J2552" t="s">
        <v>41</v>
      </c>
      <c r="K2552" t="s">
        <v>32</v>
      </c>
      <c r="L2552" t="s">
        <v>32</v>
      </c>
      <c r="M2552" t="s">
        <v>33</v>
      </c>
      <c r="N2552" t="s">
        <v>33</v>
      </c>
      <c r="O2552" t="s">
        <v>33</v>
      </c>
      <c r="P2552" t="s">
        <v>34</v>
      </c>
      <c r="Q2552" t="s">
        <v>35</v>
      </c>
      <c r="S2552" t="s">
        <v>30</v>
      </c>
      <c r="T2552" t="s">
        <v>2265</v>
      </c>
      <c r="U2552" t="s">
        <v>2266</v>
      </c>
      <c r="V2552" t="s">
        <v>39</v>
      </c>
      <c r="W2552" s="1">
        <v>4</v>
      </c>
    </row>
    <row r="2553" spans="1:23" x14ac:dyDescent="0.2">
      <c r="A2553" t="s">
        <v>2096</v>
      </c>
      <c r="B2553" t="s">
        <v>2097</v>
      </c>
      <c r="C2553" t="s">
        <v>2233</v>
      </c>
      <c r="D2553" t="s">
        <v>2234</v>
      </c>
      <c r="E2553" t="s">
        <v>2259</v>
      </c>
      <c r="F2553" t="s">
        <v>2260</v>
      </c>
      <c r="G2553" t="s">
        <v>29</v>
      </c>
      <c r="H2553" t="s">
        <v>30</v>
      </c>
      <c r="I2553" t="s">
        <v>30</v>
      </c>
      <c r="J2553" t="s">
        <v>41</v>
      </c>
      <c r="K2553" t="s">
        <v>32</v>
      </c>
      <c r="L2553" t="s">
        <v>32</v>
      </c>
      <c r="M2553" t="s">
        <v>33</v>
      </c>
      <c r="N2553" t="s">
        <v>33</v>
      </c>
      <c r="O2553" t="s">
        <v>33</v>
      </c>
      <c r="P2553" t="s">
        <v>34</v>
      </c>
      <c r="Q2553" t="s">
        <v>35</v>
      </c>
      <c r="S2553" t="s">
        <v>30</v>
      </c>
      <c r="T2553" t="s">
        <v>2265</v>
      </c>
      <c r="U2553" t="s">
        <v>2266</v>
      </c>
      <c r="V2553" t="s">
        <v>40</v>
      </c>
      <c r="W2553" s="1">
        <v>4031600</v>
      </c>
    </row>
    <row r="2554" spans="1:23" x14ac:dyDescent="0.2">
      <c r="A2554" t="s">
        <v>2096</v>
      </c>
      <c r="B2554" t="s">
        <v>2097</v>
      </c>
      <c r="C2554" t="s">
        <v>2233</v>
      </c>
      <c r="D2554" t="s">
        <v>2234</v>
      </c>
      <c r="E2554" t="s">
        <v>2259</v>
      </c>
      <c r="F2554" t="s">
        <v>2260</v>
      </c>
      <c r="G2554" t="s">
        <v>49</v>
      </c>
      <c r="H2554" t="s">
        <v>30</v>
      </c>
      <c r="I2554" t="s">
        <v>30</v>
      </c>
      <c r="J2554" t="s">
        <v>41</v>
      </c>
      <c r="K2554" t="s">
        <v>32</v>
      </c>
      <c r="L2554" t="s">
        <v>32</v>
      </c>
      <c r="M2554" t="s">
        <v>33</v>
      </c>
      <c r="N2554" t="s">
        <v>33</v>
      </c>
      <c r="O2554" t="s">
        <v>33</v>
      </c>
      <c r="P2554" t="s">
        <v>34</v>
      </c>
      <c r="Q2554" t="s">
        <v>35</v>
      </c>
      <c r="S2554" t="s">
        <v>30</v>
      </c>
      <c r="T2554" t="s">
        <v>2267</v>
      </c>
      <c r="U2554" t="s">
        <v>2268</v>
      </c>
      <c r="V2554" t="s">
        <v>39</v>
      </c>
      <c r="W2554" s="1">
        <v>4</v>
      </c>
    </row>
    <row r="2555" spans="1:23" x14ac:dyDescent="0.2">
      <c r="A2555" t="s">
        <v>2096</v>
      </c>
      <c r="B2555" t="s">
        <v>2097</v>
      </c>
      <c r="C2555" t="s">
        <v>2233</v>
      </c>
      <c r="D2555" t="s">
        <v>2234</v>
      </c>
      <c r="E2555" t="s">
        <v>2259</v>
      </c>
      <c r="F2555" t="s">
        <v>2260</v>
      </c>
      <c r="G2555" t="s">
        <v>49</v>
      </c>
      <c r="H2555" t="s">
        <v>30</v>
      </c>
      <c r="I2555" t="s">
        <v>30</v>
      </c>
      <c r="J2555" t="s">
        <v>41</v>
      </c>
      <c r="K2555" t="s">
        <v>32</v>
      </c>
      <c r="L2555" t="s">
        <v>32</v>
      </c>
      <c r="M2555" t="s">
        <v>33</v>
      </c>
      <c r="N2555" t="s">
        <v>33</v>
      </c>
      <c r="O2555" t="s">
        <v>33</v>
      </c>
      <c r="P2555" t="s">
        <v>34</v>
      </c>
      <c r="Q2555" t="s">
        <v>35</v>
      </c>
      <c r="S2555" t="s">
        <v>30</v>
      </c>
      <c r="T2555" t="s">
        <v>2267</v>
      </c>
      <c r="U2555" t="s">
        <v>2268</v>
      </c>
      <c r="V2555" t="s">
        <v>40</v>
      </c>
      <c r="W2555" s="1">
        <v>4512400</v>
      </c>
    </row>
    <row r="2556" spans="1:23" x14ac:dyDescent="0.2">
      <c r="A2556" t="s">
        <v>2096</v>
      </c>
      <c r="B2556" t="s">
        <v>2097</v>
      </c>
      <c r="C2556" t="s">
        <v>2233</v>
      </c>
      <c r="D2556" t="s">
        <v>2234</v>
      </c>
      <c r="E2556" t="s">
        <v>2259</v>
      </c>
      <c r="F2556" t="s">
        <v>2260</v>
      </c>
      <c r="G2556" t="s">
        <v>49</v>
      </c>
      <c r="H2556" t="s">
        <v>30</v>
      </c>
      <c r="I2556" t="s">
        <v>30</v>
      </c>
      <c r="J2556" t="s">
        <v>57</v>
      </c>
      <c r="K2556" t="s">
        <v>32</v>
      </c>
      <c r="L2556" t="s">
        <v>32</v>
      </c>
      <c r="M2556" t="s">
        <v>33</v>
      </c>
      <c r="N2556" t="s">
        <v>33</v>
      </c>
      <c r="O2556" t="s">
        <v>33</v>
      </c>
      <c r="P2556" t="s">
        <v>34</v>
      </c>
      <c r="Q2556" t="s">
        <v>35</v>
      </c>
      <c r="R2556" t="s">
        <v>184</v>
      </c>
      <c r="S2556" t="s">
        <v>30</v>
      </c>
      <c r="T2556" t="s">
        <v>2269</v>
      </c>
      <c r="U2556" t="s">
        <v>2270</v>
      </c>
      <c r="V2556" t="s">
        <v>39</v>
      </c>
      <c r="W2556" s="1">
        <v>2</v>
      </c>
    </row>
    <row r="2557" spans="1:23" x14ac:dyDescent="0.2">
      <c r="A2557" t="s">
        <v>2096</v>
      </c>
      <c r="B2557" t="s">
        <v>2097</v>
      </c>
      <c r="C2557" t="s">
        <v>2233</v>
      </c>
      <c r="D2557" t="s">
        <v>2234</v>
      </c>
      <c r="E2557" t="s">
        <v>2259</v>
      </c>
      <c r="F2557" t="s">
        <v>2260</v>
      </c>
      <c r="G2557" t="s">
        <v>49</v>
      </c>
      <c r="H2557" t="s">
        <v>30</v>
      </c>
      <c r="I2557" t="s">
        <v>30</v>
      </c>
      <c r="J2557" t="s">
        <v>57</v>
      </c>
      <c r="K2557" t="s">
        <v>32</v>
      </c>
      <c r="L2557" t="s">
        <v>32</v>
      </c>
      <c r="M2557" t="s">
        <v>33</v>
      </c>
      <c r="N2557" t="s">
        <v>33</v>
      </c>
      <c r="O2557" t="s">
        <v>33</v>
      </c>
      <c r="P2557" t="s">
        <v>34</v>
      </c>
      <c r="Q2557" t="s">
        <v>35</v>
      </c>
      <c r="R2557" t="s">
        <v>184</v>
      </c>
      <c r="S2557" t="s">
        <v>30</v>
      </c>
      <c r="T2557" t="s">
        <v>2269</v>
      </c>
      <c r="U2557" t="s">
        <v>2270</v>
      </c>
      <c r="V2557" t="s">
        <v>40</v>
      </c>
      <c r="W2557" s="1">
        <v>2998000</v>
      </c>
    </row>
    <row r="2558" spans="1:23" x14ac:dyDescent="0.2">
      <c r="A2558" t="s">
        <v>2096</v>
      </c>
      <c r="B2558" t="s">
        <v>2097</v>
      </c>
      <c r="C2558" t="s">
        <v>2233</v>
      </c>
      <c r="D2558" t="s">
        <v>2234</v>
      </c>
      <c r="E2558" t="s">
        <v>2259</v>
      </c>
      <c r="F2558" t="s">
        <v>2260</v>
      </c>
      <c r="G2558" t="s">
        <v>61</v>
      </c>
      <c r="H2558" t="s">
        <v>52</v>
      </c>
      <c r="I2558" t="s">
        <v>52</v>
      </c>
      <c r="J2558" t="s">
        <v>31</v>
      </c>
      <c r="K2558" t="s">
        <v>32</v>
      </c>
      <c r="L2558" t="s">
        <v>32</v>
      </c>
      <c r="M2558" t="s">
        <v>33</v>
      </c>
      <c r="N2558" t="s">
        <v>33</v>
      </c>
      <c r="O2558" t="s">
        <v>33</v>
      </c>
      <c r="P2558" t="s">
        <v>34</v>
      </c>
      <c r="Q2558" t="s">
        <v>35</v>
      </c>
      <c r="S2558" t="s">
        <v>30</v>
      </c>
      <c r="T2558" t="s">
        <v>2271</v>
      </c>
      <c r="U2558" t="s">
        <v>2272</v>
      </c>
      <c r="V2558" t="s">
        <v>39</v>
      </c>
      <c r="W2558" s="1">
        <v>2</v>
      </c>
    </row>
    <row r="2559" spans="1:23" x14ac:dyDescent="0.2">
      <c r="A2559" t="s">
        <v>2096</v>
      </c>
      <c r="B2559" t="s">
        <v>2097</v>
      </c>
      <c r="C2559" t="s">
        <v>2233</v>
      </c>
      <c r="D2559" t="s">
        <v>2234</v>
      </c>
      <c r="E2559" t="s">
        <v>2259</v>
      </c>
      <c r="F2559" t="s">
        <v>2260</v>
      </c>
      <c r="G2559" t="s">
        <v>61</v>
      </c>
      <c r="H2559" t="s">
        <v>52</v>
      </c>
      <c r="I2559" t="s">
        <v>52</v>
      </c>
      <c r="J2559" t="s">
        <v>31</v>
      </c>
      <c r="K2559" t="s">
        <v>32</v>
      </c>
      <c r="L2559" t="s">
        <v>32</v>
      </c>
      <c r="M2559" t="s">
        <v>33</v>
      </c>
      <c r="N2559" t="s">
        <v>33</v>
      </c>
      <c r="O2559" t="s">
        <v>33</v>
      </c>
      <c r="P2559" t="s">
        <v>34</v>
      </c>
      <c r="Q2559" t="s">
        <v>35</v>
      </c>
      <c r="S2559" t="s">
        <v>30</v>
      </c>
      <c r="T2559" t="s">
        <v>2271</v>
      </c>
      <c r="U2559" t="s">
        <v>2272</v>
      </c>
      <c r="V2559" t="s">
        <v>40</v>
      </c>
      <c r="W2559" s="1">
        <v>1281800</v>
      </c>
    </row>
    <row r="2560" spans="1:23" x14ac:dyDescent="0.2">
      <c r="A2560" t="s">
        <v>2096</v>
      </c>
      <c r="B2560" t="s">
        <v>2097</v>
      </c>
      <c r="C2560" t="s">
        <v>2233</v>
      </c>
      <c r="D2560" t="s">
        <v>2234</v>
      </c>
      <c r="E2560" t="s">
        <v>2259</v>
      </c>
      <c r="F2560" t="s">
        <v>2260</v>
      </c>
      <c r="G2560" t="s">
        <v>61</v>
      </c>
      <c r="H2560" t="s">
        <v>52</v>
      </c>
      <c r="I2560" t="s">
        <v>52</v>
      </c>
      <c r="J2560" t="s">
        <v>41</v>
      </c>
      <c r="K2560" t="s">
        <v>32</v>
      </c>
      <c r="L2560" t="s">
        <v>32</v>
      </c>
      <c r="M2560" t="s">
        <v>33</v>
      </c>
      <c r="N2560" t="s">
        <v>33</v>
      </c>
      <c r="O2560" t="s">
        <v>33</v>
      </c>
      <c r="P2560" t="s">
        <v>213</v>
      </c>
      <c r="Q2560" t="s">
        <v>2111</v>
      </c>
      <c r="S2560" t="s">
        <v>30</v>
      </c>
      <c r="T2560" t="s">
        <v>2273</v>
      </c>
      <c r="U2560" t="s">
        <v>2274</v>
      </c>
      <c r="V2560" t="s">
        <v>39</v>
      </c>
      <c r="W2560" s="1">
        <v>3</v>
      </c>
    </row>
    <row r="2561" spans="1:23" x14ac:dyDescent="0.2">
      <c r="A2561" t="s">
        <v>2096</v>
      </c>
      <c r="B2561" t="s">
        <v>2097</v>
      </c>
      <c r="C2561" t="s">
        <v>2233</v>
      </c>
      <c r="D2561" t="s">
        <v>2234</v>
      </c>
      <c r="E2561" t="s">
        <v>2259</v>
      </c>
      <c r="F2561" t="s">
        <v>2260</v>
      </c>
      <c r="G2561" t="s">
        <v>61</v>
      </c>
      <c r="H2561" t="s">
        <v>52</v>
      </c>
      <c r="I2561" t="s">
        <v>52</v>
      </c>
      <c r="J2561" t="s">
        <v>41</v>
      </c>
      <c r="K2561" t="s">
        <v>32</v>
      </c>
      <c r="L2561" t="s">
        <v>32</v>
      </c>
      <c r="M2561" t="s">
        <v>33</v>
      </c>
      <c r="N2561" t="s">
        <v>33</v>
      </c>
      <c r="O2561" t="s">
        <v>33</v>
      </c>
      <c r="P2561" t="s">
        <v>213</v>
      </c>
      <c r="Q2561" t="s">
        <v>2111</v>
      </c>
      <c r="S2561" t="s">
        <v>30</v>
      </c>
      <c r="T2561" t="s">
        <v>2273</v>
      </c>
      <c r="U2561" t="s">
        <v>2274</v>
      </c>
      <c r="V2561" t="s">
        <v>40</v>
      </c>
      <c r="W2561" s="1">
        <v>3684300</v>
      </c>
    </row>
    <row r="2562" spans="1:23" x14ac:dyDescent="0.2">
      <c r="A2562" t="s">
        <v>2096</v>
      </c>
      <c r="B2562" t="s">
        <v>2097</v>
      </c>
      <c r="C2562" t="s">
        <v>2233</v>
      </c>
      <c r="D2562" t="s">
        <v>2234</v>
      </c>
      <c r="E2562" t="s">
        <v>2259</v>
      </c>
      <c r="F2562" t="s">
        <v>2260</v>
      </c>
      <c r="G2562" t="s">
        <v>61</v>
      </c>
      <c r="H2562" t="s">
        <v>52</v>
      </c>
      <c r="I2562" t="s">
        <v>52</v>
      </c>
      <c r="J2562" t="s">
        <v>41</v>
      </c>
      <c r="K2562" t="s">
        <v>32</v>
      </c>
      <c r="L2562" t="s">
        <v>32</v>
      </c>
      <c r="M2562" t="s">
        <v>33</v>
      </c>
      <c r="N2562" t="s">
        <v>33</v>
      </c>
      <c r="O2562" t="s">
        <v>33</v>
      </c>
      <c r="P2562" t="s">
        <v>34</v>
      </c>
      <c r="Q2562" t="s">
        <v>35</v>
      </c>
      <c r="S2562" t="s">
        <v>30</v>
      </c>
      <c r="T2562" t="s">
        <v>1433</v>
      </c>
      <c r="U2562" t="s">
        <v>2275</v>
      </c>
      <c r="V2562" t="s">
        <v>39</v>
      </c>
      <c r="W2562" s="1">
        <v>2</v>
      </c>
    </row>
    <row r="2563" spans="1:23" x14ac:dyDescent="0.2">
      <c r="A2563" t="s">
        <v>2096</v>
      </c>
      <c r="B2563" t="s">
        <v>2097</v>
      </c>
      <c r="C2563" t="s">
        <v>2233</v>
      </c>
      <c r="D2563" t="s">
        <v>2234</v>
      </c>
      <c r="E2563" t="s">
        <v>2259</v>
      </c>
      <c r="F2563" t="s">
        <v>2260</v>
      </c>
      <c r="G2563" t="s">
        <v>61</v>
      </c>
      <c r="H2563" t="s">
        <v>52</v>
      </c>
      <c r="I2563" t="s">
        <v>52</v>
      </c>
      <c r="J2563" t="s">
        <v>41</v>
      </c>
      <c r="K2563" t="s">
        <v>32</v>
      </c>
      <c r="L2563" t="s">
        <v>32</v>
      </c>
      <c r="M2563" t="s">
        <v>33</v>
      </c>
      <c r="N2563" t="s">
        <v>33</v>
      </c>
      <c r="O2563" t="s">
        <v>33</v>
      </c>
      <c r="P2563" t="s">
        <v>34</v>
      </c>
      <c r="Q2563" t="s">
        <v>35</v>
      </c>
      <c r="S2563" t="s">
        <v>30</v>
      </c>
      <c r="T2563" t="s">
        <v>1433</v>
      </c>
      <c r="U2563" t="s">
        <v>2275</v>
      </c>
      <c r="V2563" t="s">
        <v>40</v>
      </c>
      <c r="W2563" s="1">
        <v>10910000</v>
      </c>
    </row>
    <row r="2564" spans="1:23" x14ac:dyDescent="0.2">
      <c r="A2564" t="s">
        <v>2096</v>
      </c>
      <c r="B2564" t="s">
        <v>2097</v>
      </c>
      <c r="C2564" t="s">
        <v>2233</v>
      </c>
      <c r="D2564" t="s">
        <v>2234</v>
      </c>
      <c r="E2564" t="s">
        <v>2259</v>
      </c>
      <c r="F2564" t="s">
        <v>2260</v>
      </c>
      <c r="G2564" t="s">
        <v>61</v>
      </c>
      <c r="H2564" t="s">
        <v>52</v>
      </c>
      <c r="I2564" t="s">
        <v>52</v>
      </c>
      <c r="J2564" t="s">
        <v>41</v>
      </c>
      <c r="K2564" t="s">
        <v>32</v>
      </c>
      <c r="L2564" t="s">
        <v>32</v>
      </c>
      <c r="M2564" t="s">
        <v>33</v>
      </c>
      <c r="P2564" t="s">
        <v>213</v>
      </c>
      <c r="Q2564" t="s">
        <v>2111</v>
      </c>
      <c r="S2564" t="s">
        <v>52</v>
      </c>
      <c r="T2564" t="s">
        <v>2276</v>
      </c>
      <c r="U2564" t="s">
        <v>2277</v>
      </c>
      <c r="V2564" t="s">
        <v>39</v>
      </c>
      <c r="W2564" s="1">
        <v>0</v>
      </c>
    </row>
    <row r="2565" spans="1:23" x14ac:dyDescent="0.2">
      <c r="A2565" t="s">
        <v>2096</v>
      </c>
      <c r="B2565" t="s">
        <v>2097</v>
      </c>
      <c r="C2565" t="s">
        <v>2233</v>
      </c>
      <c r="D2565" t="s">
        <v>2234</v>
      </c>
      <c r="E2565" t="s">
        <v>2259</v>
      </c>
      <c r="F2565" t="s">
        <v>2260</v>
      </c>
      <c r="G2565" t="s">
        <v>61</v>
      </c>
      <c r="H2565" t="s">
        <v>52</v>
      </c>
      <c r="I2565" t="s">
        <v>52</v>
      </c>
      <c r="J2565" t="s">
        <v>41</v>
      </c>
      <c r="K2565" t="s">
        <v>32</v>
      </c>
      <c r="L2565" t="s">
        <v>32</v>
      </c>
      <c r="M2565" t="s">
        <v>33</v>
      </c>
      <c r="P2565" t="s">
        <v>213</v>
      </c>
      <c r="Q2565" t="s">
        <v>2111</v>
      </c>
      <c r="S2565" t="s">
        <v>52</v>
      </c>
      <c r="T2565" t="s">
        <v>2276</v>
      </c>
      <c r="U2565" t="s">
        <v>2277</v>
      </c>
      <c r="V2565" t="s">
        <v>40</v>
      </c>
      <c r="W2565" s="1">
        <v>0</v>
      </c>
    </row>
    <row r="2566" spans="1:23" x14ac:dyDescent="0.2">
      <c r="A2566" t="s">
        <v>2096</v>
      </c>
      <c r="B2566" t="s">
        <v>2097</v>
      </c>
      <c r="C2566" t="s">
        <v>2233</v>
      </c>
      <c r="D2566" t="s">
        <v>2234</v>
      </c>
      <c r="E2566" t="s">
        <v>2259</v>
      </c>
      <c r="F2566" t="s">
        <v>2260</v>
      </c>
      <c r="G2566" t="s">
        <v>61</v>
      </c>
      <c r="H2566" t="s">
        <v>52</v>
      </c>
      <c r="I2566" t="s">
        <v>52</v>
      </c>
      <c r="J2566" t="s">
        <v>57</v>
      </c>
      <c r="K2566" t="s">
        <v>32</v>
      </c>
      <c r="L2566" t="s">
        <v>32</v>
      </c>
      <c r="M2566" t="s">
        <v>33</v>
      </c>
      <c r="N2566" t="s">
        <v>33</v>
      </c>
      <c r="O2566" t="s">
        <v>33</v>
      </c>
      <c r="P2566" t="s">
        <v>34</v>
      </c>
      <c r="Q2566" t="s">
        <v>35</v>
      </c>
      <c r="R2566" t="s">
        <v>1355</v>
      </c>
      <c r="S2566" t="s">
        <v>30</v>
      </c>
      <c r="T2566" t="s">
        <v>2278</v>
      </c>
      <c r="U2566" t="s">
        <v>2279</v>
      </c>
      <c r="V2566" t="s">
        <v>39</v>
      </c>
      <c r="W2566" s="1">
        <v>2</v>
      </c>
    </row>
    <row r="2567" spans="1:23" x14ac:dyDescent="0.2">
      <c r="A2567" t="s">
        <v>2096</v>
      </c>
      <c r="B2567" t="s">
        <v>2097</v>
      </c>
      <c r="C2567" t="s">
        <v>2233</v>
      </c>
      <c r="D2567" t="s">
        <v>2234</v>
      </c>
      <c r="E2567" t="s">
        <v>2259</v>
      </c>
      <c r="F2567" t="s">
        <v>2260</v>
      </c>
      <c r="G2567" t="s">
        <v>61</v>
      </c>
      <c r="H2567" t="s">
        <v>52</v>
      </c>
      <c r="I2567" t="s">
        <v>52</v>
      </c>
      <c r="J2567" t="s">
        <v>57</v>
      </c>
      <c r="K2567" t="s">
        <v>32</v>
      </c>
      <c r="L2567" t="s">
        <v>32</v>
      </c>
      <c r="M2567" t="s">
        <v>33</v>
      </c>
      <c r="N2567" t="s">
        <v>33</v>
      </c>
      <c r="O2567" t="s">
        <v>33</v>
      </c>
      <c r="P2567" t="s">
        <v>34</v>
      </c>
      <c r="Q2567" t="s">
        <v>35</v>
      </c>
      <c r="R2567" t="s">
        <v>1355</v>
      </c>
      <c r="S2567" t="s">
        <v>30</v>
      </c>
      <c r="T2567" t="s">
        <v>2278</v>
      </c>
      <c r="U2567" t="s">
        <v>2279</v>
      </c>
      <c r="V2567" t="s">
        <v>40</v>
      </c>
      <c r="W2567" s="1">
        <v>3799800</v>
      </c>
    </row>
    <row r="2568" spans="1:23" x14ac:dyDescent="0.2">
      <c r="A2568" t="s">
        <v>2096</v>
      </c>
      <c r="B2568" t="s">
        <v>2097</v>
      </c>
      <c r="C2568" t="s">
        <v>2233</v>
      </c>
      <c r="D2568" t="s">
        <v>2234</v>
      </c>
      <c r="E2568" t="s">
        <v>2259</v>
      </c>
      <c r="F2568" t="s">
        <v>2260</v>
      </c>
      <c r="G2568" t="s">
        <v>61</v>
      </c>
      <c r="H2568" t="s">
        <v>52</v>
      </c>
      <c r="I2568" t="s">
        <v>52</v>
      </c>
      <c r="J2568" t="s">
        <v>57</v>
      </c>
      <c r="K2568" t="s">
        <v>32</v>
      </c>
      <c r="L2568" t="s">
        <v>32</v>
      </c>
      <c r="M2568" t="s">
        <v>33</v>
      </c>
      <c r="P2568" t="s">
        <v>34</v>
      </c>
      <c r="Q2568" t="s">
        <v>35</v>
      </c>
      <c r="R2568" t="s">
        <v>1355</v>
      </c>
      <c r="S2568" t="s">
        <v>52</v>
      </c>
      <c r="T2568" t="s">
        <v>2278</v>
      </c>
      <c r="U2568" t="s">
        <v>2280</v>
      </c>
      <c r="V2568" t="s">
        <v>39</v>
      </c>
      <c r="W2568" s="1">
        <v>0</v>
      </c>
    </row>
    <row r="2569" spans="1:23" x14ac:dyDescent="0.2">
      <c r="A2569" t="s">
        <v>2096</v>
      </c>
      <c r="B2569" t="s">
        <v>2097</v>
      </c>
      <c r="C2569" t="s">
        <v>2233</v>
      </c>
      <c r="D2569" t="s">
        <v>2234</v>
      </c>
      <c r="E2569" t="s">
        <v>2259</v>
      </c>
      <c r="F2569" t="s">
        <v>2260</v>
      </c>
      <c r="G2569" t="s">
        <v>61</v>
      </c>
      <c r="H2569" t="s">
        <v>52</v>
      </c>
      <c r="I2569" t="s">
        <v>52</v>
      </c>
      <c r="J2569" t="s">
        <v>57</v>
      </c>
      <c r="K2569" t="s">
        <v>32</v>
      </c>
      <c r="L2569" t="s">
        <v>32</v>
      </c>
      <c r="M2569" t="s">
        <v>33</v>
      </c>
      <c r="P2569" t="s">
        <v>34</v>
      </c>
      <c r="Q2569" t="s">
        <v>35</v>
      </c>
      <c r="R2569" t="s">
        <v>1355</v>
      </c>
      <c r="S2569" t="s">
        <v>52</v>
      </c>
      <c r="T2569" t="s">
        <v>2278</v>
      </c>
      <c r="U2569" t="s">
        <v>2280</v>
      </c>
      <c r="V2569" t="s">
        <v>40</v>
      </c>
      <c r="W2569" s="1">
        <v>0</v>
      </c>
    </row>
    <row r="2570" spans="1:23" x14ac:dyDescent="0.2">
      <c r="A2570" t="s">
        <v>2096</v>
      </c>
      <c r="B2570" t="s">
        <v>2097</v>
      </c>
      <c r="C2570" t="s">
        <v>2233</v>
      </c>
      <c r="D2570" t="s">
        <v>2234</v>
      </c>
      <c r="E2570" t="s">
        <v>2259</v>
      </c>
      <c r="F2570" t="s">
        <v>2260</v>
      </c>
      <c r="G2570" t="s">
        <v>170</v>
      </c>
      <c r="H2570" t="s">
        <v>52</v>
      </c>
      <c r="I2570" t="s">
        <v>30</v>
      </c>
      <c r="J2570" t="s">
        <v>31</v>
      </c>
      <c r="K2570" t="s">
        <v>32</v>
      </c>
      <c r="L2570" t="s">
        <v>32</v>
      </c>
      <c r="M2570" t="s">
        <v>33</v>
      </c>
      <c r="N2570" t="s">
        <v>33</v>
      </c>
      <c r="O2570" t="s">
        <v>33</v>
      </c>
      <c r="P2570" t="s">
        <v>34</v>
      </c>
      <c r="Q2570" t="s">
        <v>35</v>
      </c>
      <c r="S2570" t="s">
        <v>30</v>
      </c>
      <c r="T2570" t="s">
        <v>2281</v>
      </c>
      <c r="U2570" t="s">
        <v>2282</v>
      </c>
      <c r="V2570" t="s">
        <v>39</v>
      </c>
      <c r="W2570" s="1">
        <v>3</v>
      </c>
    </row>
    <row r="2571" spans="1:23" x14ac:dyDescent="0.2">
      <c r="A2571" t="s">
        <v>2096</v>
      </c>
      <c r="B2571" t="s">
        <v>2097</v>
      </c>
      <c r="C2571" t="s">
        <v>2233</v>
      </c>
      <c r="D2571" t="s">
        <v>2234</v>
      </c>
      <c r="E2571" t="s">
        <v>2259</v>
      </c>
      <c r="F2571" t="s">
        <v>2260</v>
      </c>
      <c r="G2571" t="s">
        <v>170</v>
      </c>
      <c r="H2571" t="s">
        <v>52</v>
      </c>
      <c r="I2571" t="s">
        <v>30</v>
      </c>
      <c r="J2571" t="s">
        <v>31</v>
      </c>
      <c r="K2571" t="s">
        <v>32</v>
      </c>
      <c r="L2571" t="s">
        <v>32</v>
      </c>
      <c r="M2571" t="s">
        <v>33</v>
      </c>
      <c r="N2571" t="s">
        <v>33</v>
      </c>
      <c r="O2571" t="s">
        <v>33</v>
      </c>
      <c r="P2571" t="s">
        <v>34</v>
      </c>
      <c r="Q2571" t="s">
        <v>35</v>
      </c>
      <c r="S2571" t="s">
        <v>30</v>
      </c>
      <c r="T2571" t="s">
        <v>2281</v>
      </c>
      <c r="U2571" t="s">
        <v>2282</v>
      </c>
      <c r="V2571" t="s">
        <v>40</v>
      </c>
      <c r="W2571" s="1">
        <v>2334300</v>
      </c>
    </row>
    <row r="2572" spans="1:23" x14ac:dyDescent="0.2">
      <c r="A2572" t="s">
        <v>2096</v>
      </c>
      <c r="B2572" t="s">
        <v>2097</v>
      </c>
      <c r="C2572" t="s">
        <v>2233</v>
      </c>
      <c r="D2572" t="s">
        <v>2234</v>
      </c>
      <c r="E2572" t="s">
        <v>2259</v>
      </c>
      <c r="F2572" t="s">
        <v>2260</v>
      </c>
      <c r="G2572" t="s">
        <v>170</v>
      </c>
      <c r="H2572" t="s">
        <v>52</v>
      </c>
      <c r="I2572" t="s">
        <v>30</v>
      </c>
      <c r="J2572" t="s">
        <v>31</v>
      </c>
      <c r="K2572" t="s">
        <v>32</v>
      </c>
      <c r="L2572" t="s">
        <v>32</v>
      </c>
      <c r="M2572" t="s">
        <v>33</v>
      </c>
      <c r="P2572" t="s">
        <v>34</v>
      </c>
      <c r="Q2572" t="s">
        <v>35</v>
      </c>
      <c r="S2572" t="s">
        <v>52</v>
      </c>
      <c r="T2572" t="s">
        <v>2283</v>
      </c>
      <c r="U2572" t="s">
        <v>2284</v>
      </c>
      <c r="V2572" t="s">
        <v>39</v>
      </c>
      <c r="W2572" s="1">
        <v>0</v>
      </c>
    </row>
    <row r="2573" spans="1:23" x14ac:dyDescent="0.2">
      <c r="A2573" t="s">
        <v>2096</v>
      </c>
      <c r="B2573" t="s">
        <v>2097</v>
      </c>
      <c r="C2573" t="s">
        <v>2233</v>
      </c>
      <c r="D2573" t="s">
        <v>2234</v>
      </c>
      <c r="E2573" t="s">
        <v>2259</v>
      </c>
      <c r="F2573" t="s">
        <v>2260</v>
      </c>
      <c r="G2573" t="s">
        <v>170</v>
      </c>
      <c r="H2573" t="s">
        <v>52</v>
      </c>
      <c r="I2573" t="s">
        <v>30</v>
      </c>
      <c r="J2573" t="s">
        <v>31</v>
      </c>
      <c r="K2573" t="s">
        <v>32</v>
      </c>
      <c r="L2573" t="s">
        <v>32</v>
      </c>
      <c r="M2573" t="s">
        <v>33</v>
      </c>
      <c r="P2573" t="s">
        <v>34</v>
      </c>
      <c r="Q2573" t="s">
        <v>35</v>
      </c>
      <c r="S2573" t="s">
        <v>52</v>
      </c>
      <c r="T2573" t="s">
        <v>2283</v>
      </c>
      <c r="U2573" t="s">
        <v>2284</v>
      </c>
      <c r="V2573" t="s">
        <v>40</v>
      </c>
      <c r="W2573" s="1">
        <v>2184300</v>
      </c>
    </row>
    <row r="2574" spans="1:23" x14ac:dyDescent="0.2">
      <c r="A2574" t="s">
        <v>2096</v>
      </c>
      <c r="B2574" t="s">
        <v>2097</v>
      </c>
      <c r="C2574" t="s">
        <v>2233</v>
      </c>
      <c r="D2574" t="s">
        <v>2234</v>
      </c>
      <c r="E2574" t="s">
        <v>2259</v>
      </c>
      <c r="F2574" t="s">
        <v>2260</v>
      </c>
      <c r="G2574" t="s">
        <v>64</v>
      </c>
      <c r="H2574" t="s">
        <v>30</v>
      </c>
      <c r="I2574" t="s">
        <v>52</v>
      </c>
      <c r="J2574" t="s">
        <v>31</v>
      </c>
      <c r="K2574" t="s">
        <v>32</v>
      </c>
      <c r="L2574" t="s">
        <v>32</v>
      </c>
      <c r="M2574" t="s">
        <v>33</v>
      </c>
      <c r="N2574" t="s">
        <v>33</v>
      </c>
      <c r="O2574" t="s">
        <v>33</v>
      </c>
      <c r="P2574" t="s">
        <v>34</v>
      </c>
      <c r="Q2574" t="s">
        <v>35</v>
      </c>
      <c r="S2574" t="s">
        <v>30</v>
      </c>
      <c r="T2574" t="s">
        <v>2285</v>
      </c>
      <c r="U2574" t="s">
        <v>2286</v>
      </c>
      <c r="V2574" t="s">
        <v>39</v>
      </c>
      <c r="W2574" s="1">
        <v>2</v>
      </c>
    </row>
    <row r="2575" spans="1:23" x14ac:dyDescent="0.2">
      <c r="A2575" t="s">
        <v>2096</v>
      </c>
      <c r="B2575" t="s">
        <v>2097</v>
      </c>
      <c r="C2575" t="s">
        <v>2233</v>
      </c>
      <c r="D2575" t="s">
        <v>2234</v>
      </c>
      <c r="E2575" t="s">
        <v>2259</v>
      </c>
      <c r="F2575" t="s">
        <v>2260</v>
      </c>
      <c r="G2575" t="s">
        <v>64</v>
      </c>
      <c r="H2575" t="s">
        <v>30</v>
      </c>
      <c r="I2575" t="s">
        <v>52</v>
      </c>
      <c r="J2575" t="s">
        <v>31</v>
      </c>
      <c r="K2575" t="s">
        <v>32</v>
      </c>
      <c r="L2575" t="s">
        <v>32</v>
      </c>
      <c r="M2575" t="s">
        <v>33</v>
      </c>
      <c r="N2575" t="s">
        <v>33</v>
      </c>
      <c r="O2575" t="s">
        <v>33</v>
      </c>
      <c r="P2575" t="s">
        <v>34</v>
      </c>
      <c r="Q2575" t="s">
        <v>35</v>
      </c>
      <c r="S2575" t="s">
        <v>30</v>
      </c>
      <c r="T2575" t="s">
        <v>2285</v>
      </c>
      <c r="U2575" t="s">
        <v>2286</v>
      </c>
      <c r="V2575" t="s">
        <v>40</v>
      </c>
      <c r="W2575" s="1">
        <v>1599800</v>
      </c>
    </row>
    <row r="2576" spans="1:23" x14ac:dyDescent="0.2">
      <c r="A2576" t="s">
        <v>2096</v>
      </c>
      <c r="B2576" t="s">
        <v>2097</v>
      </c>
      <c r="C2576" t="s">
        <v>2233</v>
      </c>
      <c r="D2576" t="s">
        <v>2234</v>
      </c>
      <c r="E2576" t="s">
        <v>2259</v>
      </c>
      <c r="F2576" t="s">
        <v>2260</v>
      </c>
      <c r="G2576" t="s">
        <v>64</v>
      </c>
      <c r="H2576" t="s">
        <v>30</v>
      </c>
      <c r="I2576" t="s">
        <v>52</v>
      </c>
      <c r="J2576" t="s">
        <v>31</v>
      </c>
      <c r="K2576" t="s">
        <v>32</v>
      </c>
      <c r="L2576" t="s">
        <v>32</v>
      </c>
      <c r="M2576" t="s">
        <v>33</v>
      </c>
      <c r="N2576" t="s">
        <v>33</v>
      </c>
      <c r="O2576" t="s">
        <v>33</v>
      </c>
      <c r="P2576" t="s">
        <v>34</v>
      </c>
      <c r="Q2576" t="s">
        <v>35</v>
      </c>
      <c r="S2576" t="s">
        <v>30</v>
      </c>
      <c r="T2576" t="s">
        <v>2287</v>
      </c>
      <c r="U2576" t="s">
        <v>2288</v>
      </c>
      <c r="V2576" t="s">
        <v>39</v>
      </c>
      <c r="W2576" s="1">
        <v>2</v>
      </c>
    </row>
    <row r="2577" spans="1:23" x14ac:dyDescent="0.2">
      <c r="A2577" t="s">
        <v>2096</v>
      </c>
      <c r="B2577" t="s">
        <v>2097</v>
      </c>
      <c r="C2577" t="s">
        <v>2233</v>
      </c>
      <c r="D2577" t="s">
        <v>2234</v>
      </c>
      <c r="E2577" t="s">
        <v>2259</v>
      </c>
      <c r="F2577" t="s">
        <v>2260</v>
      </c>
      <c r="G2577" t="s">
        <v>64</v>
      </c>
      <c r="H2577" t="s">
        <v>30</v>
      </c>
      <c r="I2577" t="s">
        <v>52</v>
      </c>
      <c r="J2577" t="s">
        <v>31</v>
      </c>
      <c r="K2577" t="s">
        <v>32</v>
      </c>
      <c r="L2577" t="s">
        <v>32</v>
      </c>
      <c r="M2577" t="s">
        <v>33</v>
      </c>
      <c r="N2577" t="s">
        <v>33</v>
      </c>
      <c r="O2577" t="s">
        <v>33</v>
      </c>
      <c r="P2577" t="s">
        <v>34</v>
      </c>
      <c r="Q2577" t="s">
        <v>35</v>
      </c>
      <c r="S2577" t="s">
        <v>30</v>
      </c>
      <c r="T2577" t="s">
        <v>2287</v>
      </c>
      <c r="U2577" t="s">
        <v>2288</v>
      </c>
      <c r="V2577" t="s">
        <v>40</v>
      </c>
      <c r="W2577" s="1">
        <v>2281800</v>
      </c>
    </row>
    <row r="2578" spans="1:23" x14ac:dyDescent="0.2">
      <c r="A2578" t="s">
        <v>2096</v>
      </c>
      <c r="B2578" t="s">
        <v>2097</v>
      </c>
      <c r="C2578" t="s">
        <v>2233</v>
      </c>
      <c r="D2578" t="s">
        <v>2234</v>
      </c>
      <c r="E2578" t="s">
        <v>2259</v>
      </c>
      <c r="F2578" t="s">
        <v>2260</v>
      </c>
      <c r="G2578" t="s">
        <v>64</v>
      </c>
      <c r="H2578" t="s">
        <v>30</v>
      </c>
      <c r="I2578" t="s">
        <v>52</v>
      </c>
      <c r="J2578" t="s">
        <v>31</v>
      </c>
      <c r="K2578" t="s">
        <v>32</v>
      </c>
      <c r="L2578" t="s">
        <v>32</v>
      </c>
      <c r="M2578" t="s">
        <v>33</v>
      </c>
      <c r="N2578" t="s">
        <v>33</v>
      </c>
      <c r="O2578" t="s">
        <v>33</v>
      </c>
      <c r="P2578" t="s">
        <v>34</v>
      </c>
      <c r="Q2578" t="s">
        <v>35</v>
      </c>
      <c r="S2578" t="s">
        <v>30</v>
      </c>
      <c r="T2578" t="s">
        <v>2289</v>
      </c>
      <c r="U2578" t="s">
        <v>2290</v>
      </c>
      <c r="V2578" t="s">
        <v>39</v>
      </c>
      <c r="W2578" s="1">
        <v>11</v>
      </c>
    </row>
    <row r="2579" spans="1:23" x14ac:dyDescent="0.2">
      <c r="A2579" t="s">
        <v>2096</v>
      </c>
      <c r="B2579" t="s">
        <v>2097</v>
      </c>
      <c r="C2579" t="s">
        <v>2233</v>
      </c>
      <c r="D2579" t="s">
        <v>2234</v>
      </c>
      <c r="E2579" t="s">
        <v>2259</v>
      </c>
      <c r="F2579" t="s">
        <v>2260</v>
      </c>
      <c r="G2579" t="s">
        <v>64</v>
      </c>
      <c r="H2579" t="s">
        <v>30</v>
      </c>
      <c r="I2579" t="s">
        <v>52</v>
      </c>
      <c r="J2579" t="s">
        <v>31</v>
      </c>
      <c r="K2579" t="s">
        <v>32</v>
      </c>
      <c r="L2579" t="s">
        <v>32</v>
      </c>
      <c r="M2579" t="s">
        <v>33</v>
      </c>
      <c r="N2579" t="s">
        <v>33</v>
      </c>
      <c r="O2579" t="s">
        <v>33</v>
      </c>
      <c r="P2579" t="s">
        <v>34</v>
      </c>
      <c r="Q2579" t="s">
        <v>35</v>
      </c>
      <c r="S2579" t="s">
        <v>30</v>
      </c>
      <c r="T2579" t="s">
        <v>2289</v>
      </c>
      <c r="U2579" t="s">
        <v>2290</v>
      </c>
      <c r="V2579" t="s">
        <v>40</v>
      </c>
      <c r="W2579" s="1">
        <v>10778900</v>
      </c>
    </row>
    <row r="2580" spans="1:23" x14ac:dyDescent="0.2">
      <c r="A2580" t="s">
        <v>2096</v>
      </c>
      <c r="B2580" t="s">
        <v>2097</v>
      </c>
      <c r="C2580" t="s">
        <v>2233</v>
      </c>
      <c r="D2580" t="s">
        <v>2234</v>
      </c>
      <c r="E2580" t="s">
        <v>2259</v>
      </c>
      <c r="F2580" t="s">
        <v>2260</v>
      </c>
      <c r="G2580" t="s">
        <v>64</v>
      </c>
      <c r="H2580" t="s">
        <v>30</v>
      </c>
      <c r="I2580" t="s">
        <v>52</v>
      </c>
      <c r="J2580" t="s">
        <v>31</v>
      </c>
      <c r="K2580" t="s">
        <v>32</v>
      </c>
      <c r="L2580" t="s">
        <v>32</v>
      </c>
      <c r="M2580" t="s">
        <v>33</v>
      </c>
      <c r="P2580" t="s">
        <v>213</v>
      </c>
      <c r="Q2580" t="s">
        <v>2111</v>
      </c>
      <c r="S2580" t="s">
        <v>52</v>
      </c>
      <c r="T2580" t="s">
        <v>2291</v>
      </c>
      <c r="U2580" t="s">
        <v>2292</v>
      </c>
      <c r="V2580" t="s">
        <v>39</v>
      </c>
      <c r="W2580" s="1">
        <v>0</v>
      </c>
    </row>
    <row r="2581" spans="1:23" x14ac:dyDescent="0.2">
      <c r="A2581" t="s">
        <v>2096</v>
      </c>
      <c r="B2581" t="s">
        <v>2097</v>
      </c>
      <c r="C2581" t="s">
        <v>2233</v>
      </c>
      <c r="D2581" t="s">
        <v>2234</v>
      </c>
      <c r="E2581" t="s">
        <v>2259</v>
      </c>
      <c r="F2581" t="s">
        <v>2260</v>
      </c>
      <c r="G2581" t="s">
        <v>64</v>
      </c>
      <c r="H2581" t="s">
        <v>30</v>
      </c>
      <c r="I2581" t="s">
        <v>52</v>
      </c>
      <c r="J2581" t="s">
        <v>31</v>
      </c>
      <c r="K2581" t="s">
        <v>32</v>
      </c>
      <c r="L2581" t="s">
        <v>32</v>
      </c>
      <c r="M2581" t="s">
        <v>33</v>
      </c>
      <c r="P2581" t="s">
        <v>213</v>
      </c>
      <c r="Q2581" t="s">
        <v>2111</v>
      </c>
      <c r="S2581" t="s">
        <v>52</v>
      </c>
      <c r="T2581" t="s">
        <v>2291</v>
      </c>
      <c r="U2581" t="s">
        <v>2292</v>
      </c>
      <c r="V2581" t="s">
        <v>40</v>
      </c>
      <c r="W2581" s="1">
        <v>0</v>
      </c>
    </row>
    <row r="2582" spans="1:23" x14ac:dyDescent="0.2">
      <c r="A2582" t="s">
        <v>2096</v>
      </c>
      <c r="B2582" t="s">
        <v>2097</v>
      </c>
      <c r="C2582" t="s">
        <v>2233</v>
      </c>
      <c r="D2582" t="s">
        <v>2234</v>
      </c>
      <c r="E2582" t="s">
        <v>2259</v>
      </c>
      <c r="F2582" t="s">
        <v>2260</v>
      </c>
      <c r="G2582" t="s">
        <v>64</v>
      </c>
      <c r="H2582" t="s">
        <v>30</v>
      </c>
      <c r="I2582" t="s">
        <v>52</v>
      </c>
      <c r="J2582" t="s">
        <v>31</v>
      </c>
      <c r="K2582" t="s">
        <v>32</v>
      </c>
      <c r="L2582" t="s">
        <v>32</v>
      </c>
      <c r="M2582" t="s">
        <v>33</v>
      </c>
      <c r="P2582" t="s">
        <v>34</v>
      </c>
      <c r="Q2582" t="s">
        <v>35</v>
      </c>
      <c r="S2582" t="s">
        <v>30</v>
      </c>
      <c r="T2582" t="s">
        <v>2285</v>
      </c>
      <c r="U2582" t="s">
        <v>2286</v>
      </c>
      <c r="V2582" t="s">
        <v>39</v>
      </c>
      <c r="W2582" s="1">
        <v>4</v>
      </c>
    </row>
    <row r="2583" spans="1:23" x14ac:dyDescent="0.2">
      <c r="A2583" t="s">
        <v>2096</v>
      </c>
      <c r="B2583" t="s">
        <v>2097</v>
      </c>
      <c r="C2583" t="s">
        <v>2233</v>
      </c>
      <c r="D2583" t="s">
        <v>2234</v>
      </c>
      <c r="E2583" t="s">
        <v>2259</v>
      </c>
      <c r="F2583" t="s">
        <v>2260</v>
      </c>
      <c r="G2583" t="s">
        <v>64</v>
      </c>
      <c r="H2583" t="s">
        <v>30</v>
      </c>
      <c r="I2583" t="s">
        <v>52</v>
      </c>
      <c r="J2583" t="s">
        <v>31</v>
      </c>
      <c r="K2583" t="s">
        <v>32</v>
      </c>
      <c r="L2583" t="s">
        <v>32</v>
      </c>
      <c r="M2583" t="s">
        <v>33</v>
      </c>
      <c r="P2583" t="s">
        <v>34</v>
      </c>
      <c r="Q2583" t="s">
        <v>35</v>
      </c>
      <c r="S2583" t="s">
        <v>30</v>
      </c>
      <c r="T2583" t="s">
        <v>2285</v>
      </c>
      <c r="U2583" t="s">
        <v>2286</v>
      </c>
      <c r="V2583" t="s">
        <v>40</v>
      </c>
      <c r="W2583" s="1">
        <v>3199600</v>
      </c>
    </row>
    <row r="2584" spans="1:23" x14ac:dyDescent="0.2">
      <c r="A2584" t="s">
        <v>2096</v>
      </c>
      <c r="B2584" t="s">
        <v>2097</v>
      </c>
      <c r="C2584" t="s">
        <v>2233</v>
      </c>
      <c r="D2584" t="s">
        <v>2234</v>
      </c>
      <c r="E2584" t="s">
        <v>2259</v>
      </c>
      <c r="F2584" t="s">
        <v>2260</v>
      </c>
      <c r="G2584" t="s">
        <v>67</v>
      </c>
      <c r="H2584" t="s">
        <v>30</v>
      </c>
      <c r="I2584" t="s">
        <v>30</v>
      </c>
      <c r="J2584" t="s">
        <v>31</v>
      </c>
      <c r="K2584" t="s">
        <v>32</v>
      </c>
      <c r="L2584" t="s">
        <v>32</v>
      </c>
      <c r="M2584" t="s">
        <v>33</v>
      </c>
      <c r="N2584" t="s">
        <v>33</v>
      </c>
      <c r="O2584" t="s">
        <v>33</v>
      </c>
      <c r="P2584" t="s">
        <v>34</v>
      </c>
      <c r="Q2584" t="s">
        <v>35</v>
      </c>
      <c r="S2584" t="s">
        <v>30</v>
      </c>
      <c r="T2584" t="s">
        <v>2293</v>
      </c>
      <c r="U2584" t="s">
        <v>2294</v>
      </c>
      <c r="V2584" t="s">
        <v>39</v>
      </c>
      <c r="W2584" s="1">
        <v>2</v>
      </c>
    </row>
    <row r="2585" spans="1:23" x14ac:dyDescent="0.2">
      <c r="A2585" t="s">
        <v>2096</v>
      </c>
      <c r="B2585" t="s">
        <v>2097</v>
      </c>
      <c r="C2585" t="s">
        <v>2233</v>
      </c>
      <c r="D2585" t="s">
        <v>2234</v>
      </c>
      <c r="E2585" t="s">
        <v>2259</v>
      </c>
      <c r="F2585" t="s">
        <v>2260</v>
      </c>
      <c r="G2585" t="s">
        <v>67</v>
      </c>
      <c r="H2585" t="s">
        <v>30</v>
      </c>
      <c r="I2585" t="s">
        <v>30</v>
      </c>
      <c r="J2585" t="s">
        <v>31</v>
      </c>
      <c r="K2585" t="s">
        <v>32</v>
      </c>
      <c r="L2585" t="s">
        <v>32</v>
      </c>
      <c r="M2585" t="s">
        <v>33</v>
      </c>
      <c r="N2585" t="s">
        <v>33</v>
      </c>
      <c r="O2585" t="s">
        <v>33</v>
      </c>
      <c r="P2585" t="s">
        <v>34</v>
      </c>
      <c r="Q2585" t="s">
        <v>35</v>
      </c>
      <c r="S2585" t="s">
        <v>30</v>
      </c>
      <c r="T2585" t="s">
        <v>2293</v>
      </c>
      <c r="U2585" t="s">
        <v>2294</v>
      </c>
      <c r="V2585" t="s">
        <v>40</v>
      </c>
      <c r="W2585" s="1">
        <v>2055800</v>
      </c>
    </row>
    <row r="2586" spans="1:23" x14ac:dyDescent="0.2">
      <c r="A2586" t="s">
        <v>2096</v>
      </c>
      <c r="B2586" t="s">
        <v>2097</v>
      </c>
      <c r="C2586" t="s">
        <v>2233</v>
      </c>
      <c r="D2586" t="s">
        <v>2234</v>
      </c>
      <c r="E2586" t="s">
        <v>2259</v>
      </c>
      <c r="F2586" t="s">
        <v>2260</v>
      </c>
      <c r="G2586" t="s">
        <v>67</v>
      </c>
      <c r="H2586" t="s">
        <v>30</v>
      </c>
      <c r="I2586" t="s">
        <v>30</v>
      </c>
      <c r="J2586" t="s">
        <v>31</v>
      </c>
      <c r="K2586" t="s">
        <v>32</v>
      </c>
      <c r="L2586" t="s">
        <v>32</v>
      </c>
      <c r="M2586" t="s">
        <v>33</v>
      </c>
      <c r="P2586" t="s">
        <v>213</v>
      </c>
      <c r="Q2586" t="s">
        <v>2111</v>
      </c>
      <c r="S2586" t="s">
        <v>30</v>
      </c>
      <c r="T2586" t="s">
        <v>2295</v>
      </c>
      <c r="U2586" t="s">
        <v>2296</v>
      </c>
      <c r="V2586" t="s">
        <v>39</v>
      </c>
      <c r="W2586" s="1">
        <v>3</v>
      </c>
    </row>
    <row r="2587" spans="1:23" x14ac:dyDescent="0.2">
      <c r="A2587" t="s">
        <v>2096</v>
      </c>
      <c r="B2587" t="s">
        <v>2097</v>
      </c>
      <c r="C2587" t="s">
        <v>2233</v>
      </c>
      <c r="D2587" t="s">
        <v>2234</v>
      </c>
      <c r="E2587" t="s">
        <v>2259</v>
      </c>
      <c r="F2587" t="s">
        <v>2260</v>
      </c>
      <c r="G2587" t="s">
        <v>67</v>
      </c>
      <c r="H2587" t="s">
        <v>30</v>
      </c>
      <c r="I2587" t="s">
        <v>30</v>
      </c>
      <c r="J2587" t="s">
        <v>31</v>
      </c>
      <c r="K2587" t="s">
        <v>32</v>
      </c>
      <c r="L2587" t="s">
        <v>32</v>
      </c>
      <c r="M2587" t="s">
        <v>33</v>
      </c>
      <c r="P2587" t="s">
        <v>213</v>
      </c>
      <c r="Q2587" t="s">
        <v>2111</v>
      </c>
      <c r="S2587" t="s">
        <v>30</v>
      </c>
      <c r="T2587" t="s">
        <v>2295</v>
      </c>
      <c r="U2587" t="s">
        <v>2296</v>
      </c>
      <c r="V2587" t="s">
        <v>40</v>
      </c>
      <c r="W2587" s="1">
        <v>3359700</v>
      </c>
    </row>
    <row r="2588" spans="1:23" x14ac:dyDescent="0.2">
      <c r="A2588" t="s">
        <v>2096</v>
      </c>
      <c r="B2588" t="s">
        <v>2097</v>
      </c>
      <c r="C2588" t="s">
        <v>2233</v>
      </c>
      <c r="D2588" t="s">
        <v>2234</v>
      </c>
      <c r="E2588" t="s">
        <v>2259</v>
      </c>
      <c r="F2588" t="s">
        <v>2260</v>
      </c>
      <c r="G2588" t="s">
        <v>67</v>
      </c>
      <c r="H2588" t="s">
        <v>30</v>
      </c>
      <c r="I2588" t="s">
        <v>30</v>
      </c>
      <c r="J2588" t="s">
        <v>41</v>
      </c>
      <c r="K2588" t="s">
        <v>32</v>
      </c>
      <c r="L2588" t="s">
        <v>32</v>
      </c>
      <c r="M2588" t="s">
        <v>33</v>
      </c>
      <c r="N2588" t="s">
        <v>33</v>
      </c>
      <c r="O2588" t="s">
        <v>33</v>
      </c>
      <c r="P2588" t="s">
        <v>34</v>
      </c>
      <c r="Q2588" t="s">
        <v>35</v>
      </c>
      <c r="R2588" t="s">
        <v>73</v>
      </c>
      <c r="S2588" t="s">
        <v>30</v>
      </c>
      <c r="T2588" t="s">
        <v>2297</v>
      </c>
      <c r="U2588" t="s">
        <v>2298</v>
      </c>
      <c r="V2588" t="s">
        <v>39</v>
      </c>
      <c r="W2588" s="1">
        <v>1</v>
      </c>
    </row>
    <row r="2589" spans="1:23" x14ac:dyDescent="0.2">
      <c r="A2589" t="s">
        <v>2096</v>
      </c>
      <c r="B2589" t="s">
        <v>2097</v>
      </c>
      <c r="C2589" t="s">
        <v>2233</v>
      </c>
      <c r="D2589" t="s">
        <v>2234</v>
      </c>
      <c r="E2589" t="s">
        <v>2259</v>
      </c>
      <c r="F2589" t="s">
        <v>2260</v>
      </c>
      <c r="G2589" t="s">
        <v>67</v>
      </c>
      <c r="H2589" t="s">
        <v>30</v>
      </c>
      <c r="I2589" t="s">
        <v>30</v>
      </c>
      <c r="J2589" t="s">
        <v>41</v>
      </c>
      <c r="K2589" t="s">
        <v>32</v>
      </c>
      <c r="L2589" t="s">
        <v>32</v>
      </c>
      <c r="M2589" t="s">
        <v>33</v>
      </c>
      <c r="N2589" t="s">
        <v>33</v>
      </c>
      <c r="O2589" t="s">
        <v>33</v>
      </c>
      <c r="P2589" t="s">
        <v>34</v>
      </c>
      <c r="Q2589" t="s">
        <v>35</v>
      </c>
      <c r="R2589" t="s">
        <v>73</v>
      </c>
      <c r="S2589" t="s">
        <v>30</v>
      </c>
      <c r="T2589" t="s">
        <v>2297</v>
      </c>
      <c r="U2589" t="s">
        <v>2298</v>
      </c>
      <c r="V2589" t="s">
        <v>40</v>
      </c>
      <c r="W2589" s="1">
        <v>4399000</v>
      </c>
    </row>
    <row r="2590" spans="1:23" x14ac:dyDescent="0.2">
      <c r="A2590" t="s">
        <v>2096</v>
      </c>
      <c r="B2590" t="s">
        <v>2097</v>
      </c>
      <c r="C2590" t="s">
        <v>2233</v>
      </c>
      <c r="D2590" t="s">
        <v>2234</v>
      </c>
      <c r="E2590" t="s">
        <v>2259</v>
      </c>
      <c r="F2590" t="s">
        <v>2260</v>
      </c>
      <c r="G2590" t="s">
        <v>67</v>
      </c>
      <c r="H2590" t="s">
        <v>30</v>
      </c>
      <c r="I2590" t="s">
        <v>30</v>
      </c>
      <c r="J2590" t="s">
        <v>41</v>
      </c>
      <c r="K2590" t="s">
        <v>32</v>
      </c>
      <c r="L2590" t="s">
        <v>32</v>
      </c>
      <c r="M2590" t="s">
        <v>33</v>
      </c>
      <c r="P2590" t="s">
        <v>213</v>
      </c>
      <c r="Q2590" t="s">
        <v>2111</v>
      </c>
      <c r="S2590" t="s">
        <v>52</v>
      </c>
      <c r="T2590" t="s">
        <v>2299</v>
      </c>
      <c r="U2590" t="s">
        <v>2300</v>
      </c>
      <c r="V2590" t="s">
        <v>39</v>
      </c>
      <c r="W2590" s="1">
        <v>0</v>
      </c>
    </row>
    <row r="2591" spans="1:23" x14ac:dyDescent="0.2">
      <c r="A2591" t="s">
        <v>2096</v>
      </c>
      <c r="B2591" t="s">
        <v>2097</v>
      </c>
      <c r="C2591" t="s">
        <v>2233</v>
      </c>
      <c r="D2591" t="s">
        <v>2234</v>
      </c>
      <c r="E2591" t="s">
        <v>2259</v>
      </c>
      <c r="F2591" t="s">
        <v>2260</v>
      </c>
      <c r="G2591" t="s">
        <v>67</v>
      </c>
      <c r="H2591" t="s">
        <v>30</v>
      </c>
      <c r="I2591" t="s">
        <v>30</v>
      </c>
      <c r="J2591" t="s">
        <v>41</v>
      </c>
      <c r="K2591" t="s">
        <v>32</v>
      </c>
      <c r="L2591" t="s">
        <v>32</v>
      </c>
      <c r="M2591" t="s">
        <v>33</v>
      </c>
      <c r="P2591" t="s">
        <v>213</v>
      </c>
      <c r="Q2591" t="s">
        <v>2111</v>
      </c>
      <c r="S2591" t="s">
        <v>52</v>
      </c>
      <c r="T2591" t="s">
        <v>2299</v>
      </c>
      <c r="U2591" t="s">
        <v>2300</v>
      </c>
      <c r="V2591" t="s">
        <v>40</v>
      </c>
      <c r="W2591" s="1">
        <v>2199800</v>
      </c>
    </row>
    <row r="2592" spans="1:23" x14ac:dyDescent="0.2">
      <c r="A2592" t="s">
        <v>2096</v>
      </c>
      <c r="B2592" t="s">
        <v>2097</v>
      </c>
      <c r="C2592" t="s">
        <v>2233</v>
      </c>
      <c r="D2592" t="s">
        <v>2234</v>
      </c>
      <c r="E2592" t="s">
        <v>2259</v>
      </c>
      <c r="F2592" t="s">
        <v>2260</v>
      </c>
      <c r="G2592" t="s">
        <v>67</v>
      </c>
      <c r="H2592" t="s">
        <v>30</v>
      </c>
      <c r="I2592" t="s">
        <v>30</v>
      </c>
      <c r="J2592" t="s">
        <v>41</v>
      </c>
      <c r="K2592" t="s">
        <v>32</v>
      </c>
      <c r="L2592" t="s">
        <v>32</v>
      </c>
      <c r="M2592" t="s">
        <v>33</v>
      </c>
      <c r="P2592" t="s">
        <v>34</v>
      </c>
      <c r="Q2592" t="s">
        <v>35</v>
      </c>
      <c r="R2592" t="s">
        <v>184</v>
      </c>
      <c r="S2592" t="s">
        <v>52</v>
      </c>
      <c r="T2592" t="s">
        <v>2301</v>
      </c>
      <c r="U2592" t="s">
        <v>2302</v>
      </c>
      <c r="V2592" t="s">
        <v>39</v>
      </c>
      <c r="W2592" s="1">
        <v>0</v>
      </c>
    </row>
    <row r="2593" spans="1:23" x14ac:dyDescent="0.2">
      <c r="A2593" t="s">
        <v>2096</v>
      </c>
      <c r="B2593" t="s">
        <v>2097</v>
      </c>
      <c r="C2593" t="s">
        <v>2233</v>
      </c>
      <c r="D2593" t="s">
        <v>2234</v>
      </c>
      <c r="E2593" t="s">
        <v>2259</v>
      </c>
      <c r="F2593" t="s">
        <v>2260</v>
      </c>
      <c r="G2593" t="s">
        <v>67</v>
      </c>
      <c r="H2593" t="s">
        <v>30</v>
      </c>
      <c r="I2593" t="s">
        <v>30</v>
      </c>
      <c r="J2593" t="s">
        <v>41</v>
      </c>
      <c r="K2593" t="s">
        <v>32</v>
      </c>
      <c r="L2593" t="s">
        <v>32</v>
      </c>
      <c r="M2593" t="s">
        <v>33</v>
      </c>
      <c r="P2593" t="s">
        <v>34</v>
      </c>
      <c r="Q2593" t="s">
        <v>35</v>
      </c>
      <c r="R2593" t="s">
        <v>184</v>
      </c>
      <c r="S2593" t="s">
        <v>52</v>
      </c>
      <c r="T2593" t="s">
        <v>2301</v>
      </c>
      <c r="U2593" t="s">
        <v>2302</v>
      </c>
      <c r="V2593" t="s">
        <v>40</v>
      </c>
      <c r="W2593" s="1">
        <v>0</v>
      </c>
    </row>
    <row r="2594" spans="1:23" x14ac:dyDescent="0.2">
      <c r="A2594" t="s">
        <v>2096</v>
      </c>
      <c r="B2594" t="s">
        <v>2097</v>
      </c>
      <c r="C2594" t="s">
        <v>2233</v>
      </c>
      <c r="D2594" t="s">
        <v>2234</v>
      </c>
      <c r="E2594" t="s">
        <v>2259</v>
      </c>
      <c r="F2594" t="s">
        <v>2260</v>
      </c>
      <c r="G2594" t="s">
        <v>67</v>
      </c>
      <c r="H2594" t="s">
        <v>30</v>
      </c>
      <c r="I2594" t="s">
        <v>30</v>
      </c>
      <c r="J2594" t="s">
        <v>41</v>
      </c>
      <c r="K2594" t="s">
        <v>32</v>
      </c>
      <c r="L2594" t="s">
        <v>32</v>
      </c>
      <c r="M2594" t="s">
        <v>176</v>
      </c>
      <c r="P2594" t="s">
        <v>34</v>
      </c>
      <c r="Q2594" t="s">
        <v>35</v>
      </c>
      <c r="R2594" t="s">
        <v>184</v>
      </c>
      <c r="S2594" t="s">
        <v>52</v>
      </c>
      <c r="T2594" t="s">
        <v>2301</v>
      </c>
      <c r="U2594" t="s">
        <v>2302</v>
      </c>
      <c r="V2594" t="s">
        <v>39</v>
      </c>
      <c r="W2594" s="1">
        <v>0</v>
      </c>
    </row>
    <row r="2595" spans="1:23" x14ac:dyDescent="0.2">
      <c r="A2595" t="s">
        <v>2096</v>
      </c>
      <c r="B2595" t="s">
        <v>2097</v>
      </c>
      <c r="C2595" t="s">
        <v>2233</v>
      </c>
      <c r="D2595" t="s">
        <v>2234</v>
      </c>
      <c r="E2595" t="s">
        <v>2259</v>
      </c>
      <c r="F2595" t="s">
        <v>2260</v>
      </c>
      <c r="G2595" t="s">
        <v>67</v>
      </c>
      <c r="H2595" t="s">
        <v>30</v>
      </c>
      <c r="I2595" t="s">
        <v>30</v>
      </c>
      <c r="J2595" t="s">
        <v>41</v>
      </c>
      <c r="K2595" t="s">
        <v>32</v>
      </c>
      <c r="L2595" t="s">
        <v>32</v>
      </c>
      <c r="M2595" t="s">
        <v>176</v>
      </c>
      <c r="P2595" t="s">
        <v>34</v>
      </c>
      <c r="Q2595" t="s">
        <v>35</v>
      </c>
      <c r="R2595" t="s">
        <v>184</v>
      </c>
      <c r="S2595" t="s">
        <v>52</v>
      </c>
      <c r="T2595" t="s">
        <v>2301</v>
      </c>
      <c r="U2595" t="s">
        <v>2302</v>
      </c>
      <c r="V2595" t="s">
        <v>40</v>
      </c>
      <c r="W2595" s="1">
        <v>0</v>
      </c>
    </row>
    <row r="2596" spans="1:23" x14ac:dyDescent="0.2">
      <c r="A2596" t="s">
        <v>2096</v>
      </c>
      <c r="B2596" t="s">
        <v>2097</v>
      </c>
      <c r="C2596" t="s">
        <v>2233</v>
      </c>
      <c r="D2596" t="s">
        <v>2234</v>
      </c>
      <c r="E2596" t="s">
        <v>2259</v>
      </c>
      <c r="F2596" t="s">
        <v>2260</v>
      </c>
      <c r="G2596" t="s">
        <v>89</v>
      </c>
      <c r="H2596" t="s">
        <v>30</v>
      </c>
      <c r="I2596" t="s">
        <v>30</v>
      </c>
      <c r="J2596" t="s">
        <v>31</v>
      </c>
      <c r="K2596" t="s">
        <v>32</v>
      </c>
      <c r="L2596" t="s">
        <v>32</v>
      </c>
      <c r="M2596" t="s">
        <v>33</v>
      </c>
      <c r="N2596" t="s">
        <v>33</v>
      </c>
      <c r="O2596" t="s">
        <v>33</v>
      </c>
      <c r="P2596" t="s">
        <v>213</v>
      </c>
      <c r="Q2596" t="s">
        <v>2111</v>
      </c>
      <c r="S2596" t="s">
        <v>30</v>
      </c>
      <c r="T2596" t="s">
        <v>2303</v>
      </c>
      <c r="U2596" t="s">
        <v>2304</v>
      </c>
      <c r="V2596" t="s">
        <v>39</v>
      </c>
      <c r="W2596" s="1">
        <v>1</v>
      </c>
    </row>
    <row r="2597" spans="1:23" x14ac:dyDescent="0.2">
      <c r="A2597" t="s">
        <v>2096</v>
      </c>
      <c r="B2597" t="s">
        <v>2097</v>
      </c>
      <c r="C2597" t="s">
        <v>2233</v>
      </c>
      <c r="D2597" t="s">
        <v>2234</v>
      </c>
      <c r="E2597" t="s">
        <v>2259</v>
      </c>
      <c r="F2597" t="s">
        <v>2260</v>
      </c>
      <c r="G2597" t="s">
        <v>89</v>
      </c>
      <c r="H2597" t="s">
        <v>30</v>
      </c>
      <c r="I2597" t="s">
        <v>30</v>
      </c>
      <c r="J2597" t="s">
        <v>31</v>
      </c>
      <c r="K2597" t="s">
        <v>32</v>
      </c>
      <c r="L2597" t="s">
        <v>32</v>
      </c>
      <c r="M2597" t="s">
        <v>33</v>
      </c>
      <c r="N2597" t="s">
        <v>33</v>
      </c>
      <c r="O2597" t="s">
        <v>33</v>
      </c>
      <c r="P2597" t="s">
        <v>213</v>
      </c>
      <c r="Q2597" t="s">
        <v>2111</v>
      </c>
      <c r="S2597" t="s">
        <v>30</v>
      </c>
      <c r="T2597" t="s">
        <v>2303</v>
      </c>
      <c r="U2597" t="s">
        <v>2304</v>
      </c>
      <c r="V2597" t="s">
        <v>40</v>
      </c>
      <c r="W2597" s="1">
        <v>518100</v>
      </c>
    </row>
    <row r="2598" spans="1:23" x14ac:dyDescent="0.2">
      <c r="A2598" t="s">
        <v>2096</v>
      </c>
      <c r="B2598" t="s">
        <v>2097</v>
      </c>
      <c r="C2598" t="s">
        <v>2233</v>
      </c>
      <c r="D2598" t="s">
        <v>2234</v>
      </c>
      <c r="E2598" t="s">
        <v>2259</v>
      </c>
      <c r="F2598" t="s">
        <v>2260</v>
      </c>
      <c r="G2598" t="s">
        <v>89</v>
      </c>
      <c r="H2598" t="s">
        <v>30</v>
      </c>
      <c r="I2598" t="s">
        <v>30</v>
      </c>
      <c r="J2598" t="s">
        <v>31</v>
      </c>
      <c r="K2598" t="s">
        <v>32</v>
      </c>
      <c r="L2598" t="s">
        <v>32</v>
      </c>
      <c r="M2598" t="s">
        <v>33</v>
      </c>
      <c r="N2598" t="s">
        <v>33</v>
      </c>
      <c r="O2598" t="s">
        <v>33</v>
      </c>
      <c r="P2598" t="s">
        <v>34</v>
      </c>
      <c r="Q2598" t="s">
        <v>35</v>
      </c>
      <c r="R2598" t="s">
        <v>184</v>
      </c>
      <c r="S2598" t="s">
        <v>30</v>
      </c>
      <c r="T2598" t="s">
        <v>2305</v>
      </c>
      <c r="U2598" t="s">
        <v>2306</v>
      </c>
      <c r="V2598" t="s">
        <v>39</v>
      </c>
      <c r="W2598" s="1">
        <v>2</v>
      </c>
    </row>
    <row r="2599" spans="1:23" x14ac:dyDescent="0.2">
      <c r="A2599" t="s">
        <v>2096</v>
      </c>
      <c r="B2599" t="s">
        <v>2097</v>
      </c>
      <c r="C2599" t="s">
        <v>2233</v>
      </c>
      <c r="D2599" t="s">
        <v>2234</v>
      </c>
      <c r="E2599" t="s">
        <v>2259</v>
      </c>
      <c r="F2599" t="s">
        <v>2260</v>
      </c>
      <c r="G2599" t="s">
        <v>89</v>
      </c>
      <c r="H2599" t="s">
        <v>30</v>
      </c>
      <c r="I2599" t="s">
        <v>30</v>
      </c>
      <c r="J2599" t="s">
        <v>31</v>
      </c>
      <c r="K2599" t="s">
        <v>32</v>
      </c>
      <c r="L2599" t="s">
        <v>32</v>
      </c>
      <c r="M2599" t="s">
        <v>33</v>
      </c>
      <c r="N2599" t="s">
        <v>33</v>
      </c>
      <c r="O2599" t="s">
        <v>33</v>
      </c>
      <c r="P2599" t="s">
        <v>34</v>
      </c>
      <c r="Q2599" t="s">
        <v>35</v>
      </c>
      <c r="R2599" t="s">
        <v>184</v>
      </c>
      <c r="S2599" t="s">
        <v>30</v>
      </c>
      <c r="T2599" t="s">
        <v>2305</v>
      </c>
      <c r="U2599" t="s">
        <v>2306</v>
      </c>
      <c r="V2599" t="s">
        <v>40</v>
      </c>
      <c r="W2599" s="1">
        <v>1053800</v>
      </c>
    </row>
    <row r="2600" spans="1:23" x14ac:dyDescent="0.2">
      <c r="A2600" t="s">
        <v>2096</v>
      </c>
      <c r="B2600" t="s">
        <v>2097</v>
      </c>
      <c r="C2600" t="s">
        <v>2233</v>
      </c>
      <c r="D2600" t="s">
        <v>2234</v>
      </c>
      <c r="E2600" t="s">
        <v>2259</v>
      </c>
      <c r="F2600" t="s">
        <v>2260</v>
      </c>
      <c r="G2600" t="s">
        <v>89</v>
      </c>
      <c r="H2600" t="s">
        <v>30</v>
      </c>
      <c r="I2600" t="s">
        <v>30</v>
      </c>
      <c r="J2600" t="s">
        <v>31</v>
      </c>
      <c r="K2600" t="s">
        <v>32</v>
      </c>
      <c r="L2600" t="s">
        <v>32</v>
      </c>
      <c r="M2600" t="s">
        <v>33</v>
      </c>
      <c r="N2600" t="s">
        <v>33</v>
      </c>
      <c r="O2600" t="s">
        <v>33</v>
      </c>
      <c r="P2600" t="s">
        <v>34</v>
      </c>
      <c r="Q2600" t="s">
        <v>35</v>
      </c>
      <c r="S2600" t="s">
        <v>30</v>
      </c>
      <c r="T2600" t="s">
        <v>2307</v>
      </c>
      <c r="U2600" t="s">
        <v>2308</v>
      </c>
      <c r="V2600" t="s">
        <v>39</v>
      </c>
      <c r="W2600" s="1">
        <v>2</v>
      </c>
    </row>
    <row r="2601" spans="1:23" x14ac:dyDescent="0.2">
      <c r="A2601" t="s">
        <v>2096</v>
      </c>
      <c r="B2601" t="s">
        <v>2097</v>
      </c>
      <c r="C2601" t="s">
        <v>2233</v>
      </c>
      <c r="D2601" t="s">
        <v>2234</v>
      </c>
      <c r="E2601" t="s">
        <v>2259</v>
      </c>
      <c r="F2601" t="s">
        <v>2260</v>
      </c>
      <c r="G2601" t="s">
        <v>89</v>
      </c>
      <c r="H2601" t="s">
        <v>30</v>
      </c>
      <c r="I2601" t="s">
        <v>30</v>
      </c>
      <c r="J2601" t="s">
        <v>31</v>
      </c>
      <c r="K2601" t="s">
        <v>32</v>
      </c>
      <c r="L2601" t="s">
        <v>32</v>
      </c>
      <c r="M2601" t="s">
        <v>33</v>
      </c>
      <c r="N2601" t="s">
        <v>33</v>
      </c>
      <c r="O2601" t="s">
        <v>33</v>
      </c>
      <c r="P2601" t="s">
        <v>34</v>
      </c>
      <c r="Q2601" t="s">
        <v>35</v>
      </c>
      <c r="S2601" t="s">
        <v>30</v>
      </c>
      <c r="T2601" t="s">
        <v>2307</v>
      </c>
      <c r="U2601" t="s">
        <v>2308</v>
      </c>
      <c r="V2601" t="s">
        <v>40</v>
      </c>
      <c r="W2601" s="1">
        <v>1053800</v>
      </c>
    </row>
    <row r="2602" spans="1:23" x14ac:dyDescent="0.2">
      <c r="A2602" t="s">
        <v>2096</v>
      </c>
      <c r="B2602" t="s">
        <v>2097</v>
      </c>
      <c r="C2602" t="s">
        <v>2233</v>
      </c>
      <c r="D2602" t="s">
        <v>2234</v>
      </c>
      <c r="E2602" t="s">
        <v>2259</v>
      </c>
      <c r="F2602" t="s">
        <v>2260</v>
      </c>
      <c r="G2602" t="s">
        <v>89</v>
      </c>
      <c r="H2602" t="s">
        <v>30</v>
      </c>
      <c r="I2602" t="s">
        <v>30</v>
      </c>
      <c r="J2602" t="s">
        <v>31</v>
      </c>
      <c r="K2602" t="s">
        <v>32</v>
      </c>
      <c r="L2602" t="s">
        <v>32</v>
      </c>
      <c r="M2602" t="s">
        <v>33</v>
      </c>
      <c r="P2602" t="s">
        <v>42</v>
      </c>
      <c r="Q2602" t="s">
        <v>43</v>
      </c>
      <c r="S2602" t="s">
        <v>52</v>
      </c>
      <c r="T2602" t="s">
        <v>2293</v>
      </c>
      <c r="U2602" t="s">
        <v>2309</v>
      </c>
      <c r="V2602" t="s">
        <v>39</v>
      </c>
      <c r="W2602" s="1">
        <v>0</v>
      </c>
    </row>
    <row r="2603" spans="1:23" x14ac:dyDescent="0.2">
      <c r="A2603" t="s">
        <v>2096</v>
      </c>
      <c r="B2603" t="s">
        <v>2097</v>
      </c>
      <c r="C2603" t="s">
        <v>2233</v>
      </c>
      <c r="D2603" t="s">
        <v>2234</v>
      </c>
      <c r="E2603" t="s">
        <v>2259</v>
      </c>
      <c r="F2603" t="s">
        <v>2260</v>
      </c>
      <c r="G2603" t="s">
        <v>89</v>
      </c>
      <c r="H2603" t="s">
        <v>30</v>
      </c>
      <c r="I2603" t="s">
        <v>30</v>
      </c>
      <c r="J2603" t="s">
        <v>31</v>
      </c>
      <c r="K2603" t="s">
        <v>32</v>
      </c>
      <c r="L2603" t="s">
        <v>32</v>
      </c>
      <c r="M2603" t="s">
        <v>33</v>
      </c>
      <c r="P2603" t="s">
        <v>42</v>
      </c>
      <c r="Q2603" t="s">
        <v>43</v>
      </c>
      <c r="S2603" t="s">
        <v>52</v>
      </c>
      <c r="T2603" t="s">
        <v>2293</v>
      </c>
      <c r="U2603" t="s">
        <v>2309</v>
      </c>
      <c r="V2603" t="s">
        <v>40</v>
      </c>
      <c r="W2603" s="1">
        <v>0</v>
      </c>
    </row>
    <row r="2604" spans="1:23" x14ac:dyDescent="0.2">
      <c r="A2604" t="s">
        <v>2096</v>
      </c>
      <c r="B2604" t="s">
        <v>2097</v>
      </c>
      <c r="C2604" t="s">
        <v>2233</v>
      </c>
      <c r="D2604" t="s">
        <v>2234</v>
      </c>
      <c r="E2604" t="s">
        <v>2259</v>
      </c>
      <c r="F2604" t="s">
        <v>2260</v>
      </c>
      <c r="G2604" t="s">
        <v>89</v>
      </c>
      <c r="H2604" t="s">
        <v>30</v>
      </c>
      <c r="I2604" t="s">
        <v>30</v>
      </c>
      <c r="J2604" t="s">
        <v>31</v>
      </c>
      <c r="K2604" t="s">
        <v>32</v>
      </c>
      <c r="L2604" t="s">
        <v>32</v>
      </c>
      <c r="M2604" t="s">
        <v>176</v>
      </c>
      <c r="N2604" t="s">
        <v>176</v>
      </c>
      <c r="O2604" t="s">
        <v>176</v>
      </c>
      <c r="P2604" t="s">
        <v>213</v>
      </c>
      <c r="Q2604" t="s">
        <v>2111</v>
      </c>
      <c r="S2604" t="s">
        <v>30</v>
      </c>
      <c r="T2604" t="s">
        <v>2303</v>
      </c>
      <c r="U2604" t="s">
        <v>2304</v>
      </c>
      <c r="V2604" t="s">
        <v>39</v>
      </c>
      <c r="W2604" s="1">
        <v>1</v>
      </c>
    </row>
    <row r="2605" spans="1:23" x14ac:dyDescent="0.2">
      <c r="A2605" t="s">
        <v>2096</v>
      </c>
      <c r="B2605" t="s">
        <v>2097</v>
      </c>
      <c r="C2605" t="s">
        <v>2233</v>
      </c>
      <c r="D2605" t="s">
        <v>2234</v>
      </c>
      <c r="E2605" t="s">
        <v>2259</v>
      </c>
      <c r="F2605" t="s">
        <v>2260</v>
      </c>
      <c r="G2605" t="s">
        <v>89</v>
      </c>
      <c r="H2605" t="s">
        <v>30</v>
      </c>
      <c r="I2605" t="s">
        <v>30</v>
      </c>
      <c r="J2605" t="s">
        <v>31</v>
      </c>
      <c r="K2605" t="s">
        <v>32</v>
      </c>
      <c r="L2605" t="s">
        <v>32</v>
      </c>
      <c r="M2605" t="s">
        <v>176</v>
      </c>
      <c r="N2605" t="s">
        <v>176</v>
      </c>
      <c r="O2605" t="s">
        <v>176</v>
      </c>
      <c r="P2605" t="s">
        <v>213</v>
      </c>
      <c r="Q2605" t="s">
        <v>2111</v>
      </c>
      <c r="S2605" t="s">
        <v>30</v>
      </c>
      <c r="T2605" t="s">
        <v>2303</v>
      </c>
      <c r="U2605" t="s">
        <v>2304</v>
      </c>
      <c r="V2605" t="s">
        <v>40</v>
      </c>
      <c r="W2605" s="1">
        <v>518100</v>
      </c>
    </row>
    <row r="2606" spans="1:23" x14ac:dyDescent="0.2">
      <c r="A2606" t="s">
        <v>2096</v>
      </c>
      <c r="B2606" t="s">
        <v>2097</v>
      </c>
      <c r="C2606" t="s">
        <v>2233</v>
      </c>
      <c r="D2606" t="s">
        <v>2234</v>
      </c>
      <c r="E2606" t="s">
        <v>2259</v>
      </c>
      <c r="F2606" t="s">
        <v>2260</v>
      </c>
      <c r="G2606" t="s">
        <v>89</v>
      </c>
      <c r="H2606" t="s">
        <v>30</v>
      </c>
      <c r="I2606" t="s">
        <v>30</v>
      </c>
      <c r="J2606" t="s">
        <v>41</v>
      </c>
      <c r="K2606" t="s">
        <v>32</v>
      </c>
      <c r="L2606" t="s">
        <v>32</v>
      </c>
      <c r="M2606" t="s">
        <v>33</v>
      </c>
      <c r="N2606" t="s">
        <v>33</v>
      </c>
      <c r="O2606" t="s">
        <v>33</v>
      </c>
      <c r="P2606" t="s">
        <v>42</v>
      </c>
      <c r="Q2606" t="s">
        <v>43</v>
      </c>
      <c r="R2606" t="s">
        <v>184</v>
      </c>
      <c r="S2606" t="s">
        <v>30</v>
      </c>
      <c r="T2606" t="s">
        <v>2310</v>
      </c>
      <c r="U2606" t="s">
        <v>2311</v>
      </c>
      <c r="V2606" t="s">
        <v>39</v>
      </c>
      <c r="W2606" s="1">
        <v>4</v>
      </c>
    </row>
    <row r="2607" spans="1:23" x14ac:dyDescent="0.2">
      <c r="A2607" t="s">
        <v>2096</v>
      </c>
      <c r="B2607" t="s">
        <v>2097</v>
      </c>
      <c r="C2607" t="s">
        <v>2233</v>
      </c>
      <c r="D2607" t="s">
        <v>2234</v>
      </c>
      <c r="E2607" t="s">
        <v>2259</v>
      </c>
      <c r="F2607" t="s">
        <v>2260</v>
      </c>
      <c r="G2607" t="s">
        <v>89</v>
      </c>
      <c r="H2607" t="s">
        <v>30</v>
      </c>
      <c r="I2607" t="s">
        <v>30</v>
      </c>
      <c r="J2607" t="s">
        <v>41</v>
      </c>
      <c r="K2607" t="s">
        <v>32</v>
      </c>
      <c r="L2607" t="s">
        <v>32</v>
      </c>
      <c r="M2607" t="s">
        <v>33</v>
      </c>
      <c r="N2607" t="s">
        <v>33</v>
      </c>
      <c r="O2607" t="s">
        <v>33</v>
      </c>
      <c r="P2607" t="s">
        <v>42</v>
      </c>
      <c r="Q2607" t="s">
        <v>43</v>
      </c>
      <c r="R2607" t="s">
        <v>184</v>
      </c>
      <c r="S2607" t="s">
        <v>30</v>
      </c>
      <c r="T2607" t="s">
        <v>2310</v>
      </c>
      <c r="U2607" t="s">
        <v>2311</v>
      </c>
      <c r="V2607" t="s">
        <v>40</v>
      </c>
      <c r="W2607" s="1">
        <v>3200000</v>
      </c>
    </row>
    <row r="2608" spans="1:23" x14ac:dyDescent="0.2">
      <c r="A2608" t="s">
        <v>2096</v>
      </c>
      <c r="B2608" t="s">
        <v>2097</v>
      </c>
      <c r="C2608" t="s">
        <v>2233</v>
      </c>
      <c r="D2608" t="s">
        <v>2234</v>
      </c>
      <c r="E2608" t="s">
        <v>2259</v>
      </c>
      <c r="F2608" t="s">
        <v>2260</v>
      </c>
      <c r="G2608" t="s">
        <v>89</v>
      </c>
      <c r="H2608" t="s">
        <v>30</v>
      </c>
      <c r="I2608" t="s">
        <v>30</v>
      </c>
      <c r="J2608" t="s">
        <v>41</v>
      </c>
      <c r="K2608" t="s">
        <v>32</v>
      </c>
      <c r="L2608" t="s">
        <v>32</v>
      </c>
      <c r="M2608" t="s">
        <v>176</v>
      </c>
      <c r="N2608" t="s">
        <v>195</v>
      </c>
      <c r="O2608" t="s">
        <v>195</v>
      </c>
      <c r="P2608" t="s">
        <v>42</v>
      </c>
      <c r="Q2608" t="s">
        <v>43</v>
      </c>
      <c r="R2608" t="s">
        <v>184</v>
      </c>
      <c r="S2608" t="s">
        <v>30</v>
      </c>
      <c r="T2608" t="s">
        <v>2310</v>
      </c>
      <c r="U2608" t="s">
        <v>2311</v>
      </c>
      <c r="V2608" t="s">
        <v>39</v>
      </c>
      <c r="W2608" s="1">
        <v>1</v>
      </c>
    </row>
    <row r="2609" spans="1:23" x14ac:dyDescent="0.2">
      <c r="A2609" t="s">
        <v>2096</v>
      </c>
      <c r="B2609" t="s">
        <v>2097</v>
      </c>
      <c r="C2609" t="s">
        <v>2233</v>
      </c>
      <c r="D2609" t="s">
        <v>2234</v>
      </c>
      <c r="E2609" t="s">
        <v>2259</v>
      </c>
      <c r="F2609" t="s">
        <v>2260</v>
      </c>
      <c r="G2609" t="s">
        <v>89</v>
      </c>
      <c r="H2609" t="s">
        <v>30</v>
      </c>
      <c r="I2609" t="s">
        <v>30</v>
      </c>
      <c r="J2609" t="s">
        <v>41</v>
      </c>
      <c r="K2609" t="s">
        <v>32</v>
      </c>
      <c r="L2609" t="s">
        <v>32</v>
      </c>
      <c r="M2609" t="s">
        <v>176</v>
      </c>
      <c r="N2609" t="s">
        <v>195</v>
      </c>
      <c r="O2609" t="s">
        <v>195</v>
      </c>
      <c r="P2609" t="s">
        <v>42</v>
      </c>
      <c r="Q2609" t="s">
        <v>43</v>
      </c>
      <c r="R2609" t="s">
        <v>184</v>
      </c>
      <c r="S2609" t="s">
        <v>30</v>
      </c>
      <c r="T2609" t="s">
        <v>2310</v>
      </c>
      <c r="U2609" t="s">
        <v>2311</v>
      </c>
      <c r="V2609" t="s">
        <v>40</v>
      </c>
      <c r="W2609" s="1">
        <v>320000</v>
      </c>
    </row>
    <row r="2610" spans="1:23" x14ac:dyDescent="0.2">
      <c r="A2610" t="s">
        <v>2096</v>
      </c>
      <c r="B2610" t="s">
        <v>2097</v>
      </c>
      <c r="C2610" t="s">
        <v>2233</v>
      </c>
      <c r="D2610" t="s">
        <v>2234</v>
      </c>
      <c r="E2610" t="s">
        <v>2259</v>
      </c>
      <c r="F2610" t="s">
        <v>2260</v>
      </c>
      <c r="G2610" t="s">
        <v>89</v>
      </c>
      <c r="H2610" t="s">
        <v>30</v>
      </c>
      <c r="I2610" t="s">
        <v>30</v>
      </c>
      <c r="J2610" t="s">
        <v>57</v>
      </c>
      <c r="K2610" t="s">
        <v>32</v>
      </c>
      <c r="L2610" t="s">
        <v>32</v>
      </c>
      <c r="M2610" t="s">
        <v>33</v>
      </c>
      <c r="N2610" t="s">
        <v>33</v>
      </c>
      <c r="O2610" t="s">
        <v>33</v>
      </c>
      <c r="P2610" t="s">
        <v>34</v>
      </c>
      <c r="Q2610" t="s">
        <v>35</v>
      </c>
      <c r="R2610" t="s">
        <v>184</v>
      </c>
      <c r="S2610" t="s">
        <v>30</v>
      </c>
      <c r="T2610" t="s">
        <v>2269</v>
      </c>
      <c r="U2610" t="s">
        <v>2270</v>
      </c>
      <c r="V2610" t="s">
        <v>39</v>
      </c>
      <c r="W2610" s="1">
        <v>1</v>
      </c>
    </row>
    <row r="2611" spans="1:23" x14ac:dyDescent="0.2">
      <c r="A2611" t="s">
        <v>2096</v>
      </c>
      <c r="B2611" t="s">
        <v>2097</v>
      </c>
      <c r="C2611" t="s">
        <v>2233</v>
      </c>
      <c r="D2611" t="s">
        <v>2234</v>
      </c>
      <c r="E2611" t="s">
        <v>2259</v>
      </c>
      <c r="F2611" t="s">
        <v>2260</v>
      </c>
      <c r="G2611" t="s">
        <v>89</v>
      </c>
      <c r="H2611" t="s">
        <v>30</v>
      </c>
      <c r="I2611" t="s">
        <v>30</v>
      </c>
      <c r="J2611" t="s">
        <v>57</v>
      </c>
      <c r="K2611" t="s">
        <v>32</v>
      </c>
      <c r="L2611" t="s">
        <v>32</v>
      </c>
      <c r="M2611" t="s">
        <v>33</v>
      </c>
      <c r="N2611" t="s">
        <v>33</v>
      </c>
      <c r="O2611" t="s">
        <v>33</v>
      </c>
      <c r="P2611" t="s">
        <v>34</v>
      </c>
      <c r="Q2611" t="s">
        <v>35</v>
      </c>
      <c r="R2611" t="s">
        <v>184</v>
      </c>
      <c r="S2611" t="s">
        <v>30</v>
      </c>
      <c r="T2611" t="s">
        <v>2269</v>
      </c>
      <c r="U2611" t="s">
        <v>2270</v>
      </c>
      <c r="V2611" t="s">
        <v>40</v>
      </c>
      <c r="W2611" s="1">
        <v>1499000</v>
      </c>
    </row>
    <row r="2612" spans="1:23" x14ac:dyDescent="0.2">
      <c r="A2612" t="s">
        <v>2096</v>
      </c>
      <c r="B2612" t="s">
        <v>2097</v>
      </c>
      <c r="C2612" t="s">
        <v>2233</v>
      </c>
      <c r="D2612" t="s">
        <v>2234</v>
      </c>
      <c r="E2612" t="s">
        <v>2259</v>
      </c>
      <c r="F2612" t="s">
        <v>2260</v>
      </c>
      <c r="G2612" t="s">
        <v>106</v>
      </c>
      <c r="H2612" t="s">
        <v>30</v>
      </c>
      <c r="I2612" t="s">
        <v>30</v>
      </c>
      <c r="J2612" t="s">
        <v>31</v>
      </c>
      <c r="K2612" t="s">
        <v>32</v>
      </c>
      <c r="L2612" t="s">
        <v>32</v>
      </c>
      <c r="M2612" t="s">
        <v>33</v>
      </c>
      <c r="N2612" t="s">
        <v>33</v>
      </c>
      <c r="O2612" t="s">
        <v>33</v>
      </c>
      <c r="P2612" t="s">
        <v>34</v>
      </c>
      <c r="Q2612" t="s">
        <v>35</v>
      </c>
      <c r="S2612" t="s">
        <v>30</v>
      </c>
      <c r="T2612" t="s">
        <v>2312</v>
      </c>
      <c r="U2612" t="s">
        <v>2313</v>
      </c>
      <c r="V2612" t="s">
        <v>39</v>
      </c>
      <c r="W2612" s="1">
        <v>1</v>
      </c>
    </row>
    <row r="2613" spans="1:23" x14ac:dyDescent="0.2">
      <c r="A2613" t="s">
        <v>2096</v>
      </c>
      <c r="B2613" t="s">
        <v>2097</v>
      </c>
      <c r="C2613" t="s">
        <v>2233</v>
      </c>
      <c r="D2613" t="s">
        <v>2234</v>
      </c>
      <c r="E2613" t="s">
        <v>2259</v>
      </c>
      <c r="F2613" t="s">
        <v>2260</v>
      </c>
      <c r="G2613" t="s">
        <v>106</v>
      </c>
      <c r="H2613" t="s">
        <v>30</v>
      </c>
      <c r="I2613" t="s">
        <v>30</v>
      </c>
      <c r="J2613" t="s">
        <v>31</v>
      </c>
      <c r="K2613" t="s">
        <v>32</v>
      </c>
      <c r="L2613" t="s">
        <v>32</v>
      </c>
      <c r="M2613" t="s">
        <v>33</v>
      </c>
      <c r="N2613" t="s">
        <v>33</v>
      </c>
      <c r="O2613" t="s">
        <v>33</v>
      </c>
      <c r="P2613" t="s">
        <v>34</v>
      </c>
      <c r="Q2613" t="s">
        <v>35</v>
      </c>
      <c r="S2613" t="s">
        <v>30</v>
      </c>
      <c r="T2613" t="s">
        <v>2312</v>
      </c>
      <c r="U2613" t="s">
        <v>2313</v>
      </c>
      <c r="V2613" t="s">
        <v>40</v>
      </c>
      <c r="W2613" s="1">
        <v>827900</v>
      </c>
    </row>
    <row r="2614" spans="1:23" x14ac:dyDescent="0.2">
      <c r="A2614" t="s">
        <v>2096</v>
      </c>
      <c r="B2614" t="s">
        <v>2097</v>
      </c>
      <c r="C2614" t="s">
        <v>2233</v>
      </c>
      <c r="D2614" t="s">
        <v>2234</v>
      </c>
      <c r="E2614" t="s">
        <v>2259</v>
      </c>
      <c r="F2614" t="s">
        <v>2260</v>
      </c>
      <c r="G2614" t="s">
        <v>106</v>
      </c>
      <c r="H2614" t="s">
        <v>30</v>
      </c>
      <c r="I2614" t="s">
        <v>30</v>
      </c>
      <c r="J2614" t="s">
        <v>31</v>
      </c>
      <c r="K2614" t="s">
        <v>32</v>
      </c>
      <c r="L2614" t="s">
        <v>32</v>
      </c>
      <c r="M2614" t="s">
        <v>33</v>
      </c>
      <c r="P2614" t="s">
        <v>34</v>
      </c>
      <c r="Q2614" t="s">
        <v>35</v>
      </c>
      <c r="S2614" t="s">
        <v>30</v>
      </c>
      <c r="T2614" t="s">
        <v>2314</v>
      </c>
      <c r="U2614" t="s">
        <v>2315</v>
      </c>
      <c r="V2614" t="s">
        <v>39</v>
      </c>
      <c r="W2614" s="1">
        <v>5</v>
      </c>
    </row>
    <row r="2615" spans="1:23" x14ac:dyDescent="0.2">
      <c r="A2615" t="s">
        <v>2096</v>
      </c>
      <c r="B2615" t="s">
        <v>2097</v>
      </c>
      <c r="C2615" t="s">
        <v>2233</v>
      </c>
      <c r="D2615" t="s">
        <v>2234</v>
      </c>
      <c r="E2615" t="s">
        <v>2259</v>
      </c>
      <c r="F2615" t="s">
        <v>2260</v>
      </c>
      <c r="G2615" t="s">
        <v>106</v>
      </c>
      <c r="H2615" t="s">
        <v>30</v>
      </c>
      <c r="I2615" t="s">
        <v>30</v>
      </c>
      <c r="J2615" t="s">
        <v>31</v>
      </c>
      <c r="K2615" t="s">
        <v>32</v>
      </c>
      <c r="L2615" t="s">
        <v>32</v>
      </c>
      <c r="M2615" t="s">
        <v>33</v>
      </c>
      <c r="P2615" t="s">
        <v>34</v>
      </c>
      <c r="Q2615" t="s">
        <v>35</v>
      </c>
      <c r="S2615" t="s">
        <v>30</v>
      </c>
      <c r="T2615" t="s">
        <v>2314</v>
      </c>
      <c r="U2615" t="s">
        <v>2315</v>
      </c>
      <c r="V2615" t="s">
        <v>40</v>
      </c>
      <c r="W2615" s="1">
        <v>8239500</v>
      </c>
    </row>
    <row r="2616" spans="1:23" x14ac:dyDescent="0.2">
      <c r="A2616" t="s">
        <v>2096</v>
      </c>
      <c r="B2616" t="s">
        <v>2097</v>
      </c>
      <c r="C2616" t="s">
        <v>2233</v>
      </c>
      <c r="D2616" t="s">
        <v>2234</v>
      </c>
      <c r="E2616" t="s">
        <v>2259</v>
      </c>
      <c r="F2616" t="s">
        <v>2260</v>
      </c>
      <c r="G2616" t="s">
        <v>106</v>
      </c>
      <c r="H2616" t="s">
        <v>30</v>
      </c>
      <c r="I2616" t="s">
        <v>30</v>
      </c>
      <c r="J2616" t="s">
        <v>31</v>
      </c>
      <c r="K2616" t="s">
        <v>32</v>
      </c>
      <c r="L2616" t="s">
        <v>32</v>
      </c>
      <c r="M2616" t="s">
        <v>176</v>
      </c>
      <c r="N2616" t="s">
        <v>176</v>
      </c>
      <c r="O2616" t="s">
        <v>176</v>
      </c>
      <c r="P2616" t="s">
        <v>34</v>
      </c>
      <c r="Q2616" t="s">
        <v>35</v>
      </c>
      <c r="S2616" t="s">
        <v>30</v>
      </c>
      <c r="T2616" t="s">
        <v>2312</v>
      </c>
      <c r="U2616" t="s">
        <v>2313</v>
      </c>
      <c r="V2616" t="s">
        <v>39</v>
      </c>
      <c r="W2616" s="1">
        <v>1</v>
      </c>
    </row>
    <row r="2617" spans="1:23" x14ac:dyDescent="0.2">
      <c r="A2617" t="s">
        <v>2096</v>
      </c>
      <c r="B2617" t="s">
        <v>2097</v>
      </c>
      <c r="C2617" t="s">
        <v>2233</v>
      </c>
      <c r="D2617" t="s">
        <v>2234</v>
      </c>
      <c r="E2617" t="s">
        <v>2259</v>
      </c>
      <c r="F2617" t="s">
        <v>2260</v>
      </c>
      <c r="G2617" t="s">
        <v>106</v>
      </c>
      <c r="H2617" t="s">
        <v>30</v>
      </c>
      <c r="I2617" t="s">
        <v>30</v>
      </c>
      <c r="J2617" t="s">
        <v>31</v>
      </c>
      <c r="K2617" t="s">
        <v>32</v>
      </c>
      <c r="L2617" t="s">
        <v>32</v>
      </c>
      <c r="M2617" t="s">
        <v>176</v>
      </c>
      <c r="N2617" t="s">
        <v>176</v>
      </c>
      <c r="O2617" t="s">
        <v>176</v>
      </c>
      <c r="P2617" t="s">
        <v>34</v>
      </c>
      <c r="Q2617" t="s">
        <v>35</v>
      </c>
      <c r="S2617" t="s">
        <v>30</v>
      </c>
      <c r="T2617" t="s">
        <v>2312</v>
      </c>
      <c r="U2617" t="s">
        <v>2313</v>
      </c>
      <c r="V2617" t="s">
        <v>40</v>
      </c>
      <c r="W2617" s="1">
        <v>827900</v>
      </c>
    </row>
    <row r="2618" spans="1:23" x14ac:dyDescent="0.2">
      <c r="A2618" t="s">
        <v>2096</v>
      </c>
      <c r="B2618" t="s">
        <v>2097</v>
      </c>
      <c r="C2618" t="s">
        <v>2233</v>
      </c>
      <c r="D2618" t="s">
        <v>2234</v>
      </c>
      <c r="E2618" t="s">
        <v>2259</v>
      </c>
      <c r="F2618" t="s">
        <v>2260</v>
      </c>
      <c r="G2618" t="s">
        <v>106</v>
      </c>
      <c r="H2618" t="s">
        <v>30</v>
      </c>
      <c r="I2618" t="s">
        <v>30</v>
      </c>
      <c r="J2618" t="s">
        <v>41</v>
      </c>
      <c r="K2618" t="s">
        <v>32</v>
      </c>
      <c r="L2618" t="s">
        <v>32</v>
      </c>
      <c r="M2618" t="s">
        <v>33</v>
      </c>
      <c r="P2618" t="s">
        <v>213</v>
      </c>
      <c r="Q2618" t="s">
        <v>2111</v>
      </c>
      <c r="S2618" t="s">
        <v>52</v>
      </c>
      <c r="T2618" t="s">
        <v>2316</v>
      </c>
      <c r="U2618" t="s">
        <v>2317</v>
      </c>
      <c r="V2618" t="s">
        <v>39</v>
      </c>
      <c r="W2618" s="1">
        <v>0</v>
      </c>
    </row>
    <row r="2619" spans="1:23" x14ac:dyDescent="0.2">
      <c r="A2619" t="s">
        <v>2096</v>
      </c>
      <c r="B2619" t="s">
        <v>2097</v>
      </c>
      <c r="C2619" t="s">
        <v>2233</v>
      </c>
      <c r="D2619" t="s">
        <v>2234</v>
      </c>
      <c r="E2619" t="s">
        <v>2259</v>
      </c>
      <c r="F2619" t="s">
        <v>2260</v>
      </c>
      <c r="G2619" t="s">
        <v>106</v>
      </c>
      <c r="H2619" t="s">
        <v>30</v>
      </c>
      <c r="I2619" t="s">
        <v>30</v>
      </c>
      <c r="J2619" t="s">
        <v>41</v>
      </c>
      <c r="K2619" t="s">
        <v>32</v>
      </c>
      <c r="L2619" t="s">
        <v>32</v>
      </c>
      <c r="M2619" t="s">
        <v>33</v>
      </c>
      <c r="P2619" t="s">
        <v>213</v>
      </c>
      <c r="Q2619" t="s">
        <v>2111</v>
      </c>
      <c r="S2619" t="s">
        <v>52</v>
      </c>
      <c r="T2619" t="s">
        <v>2316</v>
      </c>
      <c r="U2619" t="s">
        <v>2317</v>
      </c>
      <c r="V2619" t="s">
        <v>40</v>
      </c>
      <c r="W2619" s="1">
        <v>0</v>
      </c>
    </row>
    <row r="2620" spans="1:23" x14ac:dyDescent="0.2">
      <c r="A2620" t="s">
        <v>2096</v>
      </c>
      <c r="B2620" t="s">
        <v>2097</v>
      </c>
      <c r="C2620" t="s">
        <v>2233</v>
      </c>
      <c r="D2620" t="s">
        <v>2234</v>
      </c>
      <c r="E2620" t="s">
        <v>2259</v>
      </c>
      <c r="F2620" t="s">
        <v>2260</v>
      </c>
      <c r="G2620" t="s">
        <v>106</v>
      </c>
      <c r="H2620" t="s">
        <v>30</v>
      </c>
      <c r="I2620" t="s">
        <v>30</v>
      </c>
      <c r="J2620" t="s">
        <v>41</v>
      </c>
      <c r="K2620" t="s">
        <v>32</v>
      </c>
      <c r="L2620" t="s">
        <v>32</v>
      </c>
      <c r="M2620" t="s">
        <v>176</v>
      </c>
      <c r="P2620" t="s">
        <v>213</v>
      </c>
      <c r="Q2620" t="s">
        <v>2111</v>
      </c>
      <c r="S2620" t="s">
        <v>52</v>
      </c>
      <c r="T2620" t="s">
        <v>2316</v>
      </c>
      <c r="U2620" t="s">
        <v>2317</v>
      </c>
      <c r="V2620" t="s">
        <v>39</v>
      </c>
      <c r="W2620" s="1">
        <v>0</v>
      </c>
    </row>
    <row r="2621" spans="1:23" x14ac:dyDescent="0.2">
      <c r="A2621" t="s">
        <v>2096</v>
      </c>
      <c r="B2621" t="s">
        <v>2097</v>
      </c>
      <c r="C2621" t="s">
        <v>2233</v>
      </c>
      <c r="D2621" t="s">
        <v>2234</v>
      </c>
      <c r="E2621" t="s">
        <v>2259</v>
      </c>
      <c r="F2621" t="s">
        <v>2260</v>
      </c>
      <c r="G2621" t="s">
        <v>106</v>
      </c>
      <c r="H2621" t="s">
        <v>30</v>
      </c>
      <c r="I2621" t="s">
        <v>30</v>
      </c>
      <c r="J2621" t="s">
        <v>41</v>
      </c>
      <c r="K2621" t="s">
        <v>32</v>
      </c>
      <c r="L2621" t="s">
        <v>32</v>
      </c>
      <c r="M2621" t="s">
        <v>176</v>
      </c>
      <c r="P2621" t="s">
        <v>213</v>
      </c>
      <c r="Q2621" t="s">
        <v>2111</v>
      </c>
      <c r="S2621" t="s">
        <v>52</v>
      </c>
      <c r="T2621" t="s">
        <v>2316</v>
      </c>
      <c r="U2621" t="s">
        <v>2317</v>
      </c>
      <c r="V2621" t="s">
        <v>40</v>
      </c>
      <c r="W2621" s="1">
        <v>0</v>
      </c>
    </row>
    <row r="2622" spans="1:23" x14ac:dyDescent="0.2">
      <c r="A2622" t="s">
        <v>2096</v>
      </c>
      <c r="B2622" t="s">
        <v>2097</v>
      </c>
      <c r="C2622" t="s">
        <v>2233</v>
      </c>
      <c r="D2622" t="s">
        <v>2234</v>
      </c>
      <c r="E2622" t="s">
        <v>2259</v>
      </c>
      <c r="F2622" t="s">
        <v>2260</v>
      </c>
      <c r="G2622" t="s">
        <v>119</v>
      </c>
      <c r="H2622" t="s">
        <v>30</v>
      </c>
      <c r="I2622" t="s">
        <v>52</v>
      </c>
      <c r="J2622" t="s">
        <v>31</v>
      </c>
      <c r="K2622" t="s">
        <v>32</v>
      </c>
      <c r="L2622" t="s">
        <v>32</v>
      </c>
      <c r="M2622" t="s">
        <v>33</v>
      </c>
      <c r="N2622" t="s">
        <v>33</v>
      </c>
      <c r="O2622" t="s">
        <v>33</v>
      </c>
      <c r="P2622" t="s">
        <v>34</v>
      </c>
      <c r="Q2622" t="s">
        <v>35</v>
      </c>
      <c r="R2622" t="s">
        <v>353</v>
      </c>
      <c r="S2622" t="s">
        <v>30</v>
      </c>
      <c r="T2622" t="s">
        <v>2318</v>
      </c>
      <c r="U2622" t="s">
        <v>2319</v>
      </c>
      <c r="V2622" t="s">
        <v>39</v>
      </c>
      <c r="W2622" s="1">
        <v>1</v>
      </c>
    </row>
    <row r="2623" spans="1:23" x14ac:dyDescent="0.2">
      <c r="A2623" t="s">
        <v>2096</v>
      </c>
      <c r="B2623" t="s">
        <v>2097</v>
      </c>
      <c r="C2623" t="s">
        <v>2233</v>
      </c>
      <c r="D2623" t="s">
        <v>2234</v>
      </c>
      <c r="E2623" t="s">
        <v>2259</v>
      </c>
      <c r="F2623" t="s">
        <v>2260</v>
      </c>
      <c r="G2623" t="s">
        <v>119</v>
      </c>
      <c r="H2623" t="s">
        <v>30</v>
      </c>
      <c r="I2623" t="s">
        <v>52</v>
      </c>
      <c r="J2623" t="s">
        <v>31</v>
      </c>
      <c r="K2623" t="s">
        <v>32</v>
      </c>
      <c r="L2623" t="s">
        <v>32</v>
      </c>
      <c r="M2623" t="s">
        <v>33</v>
      </c>
      <c r="N2623" t="s">
        <v>33</v>
      </c>
      <c r="O2623" t="s">
        <v>33</v>
      </c>
      <c r="P2623" t="s">
        <v>34</v>
      </c>
      <c r="Q2623" t="s">
        <v>35</v>
      </c>
      <c r="R2623" t="s">
        <v>353</v>
      </c>
      <c r="S2623" t="s">
        <v>30</v>
      </c>
      <c r="T2623" t="s">
        <v>2318</v>
      </c>
      <c r="U2623" t="s">
        <v>2319</v>
      </c>
      <c r="V2623" t="s">
        <v>40</v>
      </c>
      <c r="W2623" s="1">
        <v>309900</v>
      </c>
    </row>
    <row r="2624" spans="1:23" x14ac:dyDescent="0.2">
      <c r="A2624" t="s">
        <v>2096</v>
      </c>
      <c r="B2624" t="s">
        <v>2097</v>
      </c>
      <c r="C2624" t="s">
        <v>2233</v>
      </c>
      <c r="D2624" t="s">
        <v>2234</v>
      </c>
      <c r="E2624" t="s">
        <v>2259</v>
      </c>
      <c r="F2624" t="s">
        <v>2260</v>
      </c>
      <c r="G2624" t="s">
        <v>119</v>
      </c>
      <c r="H2624" t="s">
        <v>30</v>
      </c>
      <c r="I2624" t="s">
        <v>52</v>
      </c>
      <c r="J2624" t="s">
        <v>31</v>
      </c>
      <c r="K2624" t="s">
        <v>32</v>
      </c>
      <c r="L2624" t="s">
        <v>32</v>
      </c>
      <c r="M2624" t="s">
        <v>33</v>
      </c>
      <c r="N2624" t="s">
        <v>33</v>
      </c>
      <c r="O2624" t="s">
        <v>33</v>
      </c>
      <c r="P2624" t="s">
        <v>34</v>
      </c>
      <c r="Q2624" t="s">
        <v>35</v>
      </c>
      <c r="R2624" t="s">
        <v>2215</v>
      </c>
      <c r="S2624" t="s">
        <v>30</v>
      </c>
      <c r="T2624" t="s">
        <v>2320</v>
      </c>
      <c r="U2624" t="s">
        <v>2321</v>
      </c>
      <c r="V2624" t="s">
        <v>39</v>
      </c>
      <c r="W2624" s="1">
        <v>2</v>
      </c>
    </row>
    <row r="2625" spans="1:23" x14ac:dyDescent="0.2">
      <c r="A2625" t="s">
        <v>2096</v>
      </c>
      <c r="B2625" t="s">
        <v>2097</v>
      </c>
      <c r="C2625" t="s">
        <v>2233</v>
      </c>
      <c r="D2625" t="s">
        <v>2234</v>
      </c>
      <c r="E2625" t="s">
        <v>2259</v>
      </c>
      <c r="F2625" t="s">
        <v>2260</v>
      </c>
      <c r="G2625" t="s">
        <v>119</v>
      </c>
      <c r="H2625" t="s">
        <v>30</v>
      </c>
      <c r="I2625" t="s">
        <v>52</v>
      </c>
      <c r="J2625" t="s">
        <v>31</v>
      </c>
      <c r="K2625" t="s">
        <v>32</v>
      </c>
      <c r="L2625" t="s">
        <v>32</v>
      </c>
      <c r="M2625" t="s">
        <v>33</v>
      </c>
      <c r="N2625" t="s">
        <v>33</v>
      </c>
      <c r="O2625" t="s">
        <v>33</v>
      </c>
      <c r="P2625" t="s">
        <v>34</v>
      </c>
      <c r="Q2625" t="s">
        <v>35</v>
      </c>
      <c r="R2625" t="s">
        <v>2215</v>
      </c>
      <c r="S2625" t="s">
        <v>30</v>
      </c>
      <c r="T2625" t="s">
        <v>2320</v>
      </c>
      <c r="U2625" t="s">
        <v>2321</v>
      </c>
      <c r="V2625" t="s">
        <v>40</v>
      </c>
      <c r="W2625" s="1">
        <v>1157800</v>
      </c>
    </row>
    <row r="2626" spans="1:23" x14ac:dyDescent="0.2">
      <c r="A2626" t="s">
        <v>2096</v>
      </c>
      <c r="B2626" t="s">
        <v>2097</v>
      </c>
      <c r="C2626" t="s">
        <v>2233</v>
      </c>
      <c r="D2626" t="s">
        <v>2234</v>
      </c>
      <c r="E2626" t="s">
        <v>2259</v>
      </c>
      <c r="F2626" t="s">
        <v>2260</v>
      </c>
      <c r="G2626" t="s">
        <v>119</v>
      </c>
      <c r="H2626" t="s">
        <v>30</v>
      </c>
      <c r="I2626" t="s">
        <v>52</v>
      </c>
      <c r="J2626" t="s">
        <v>31</v>
      </c>
      <c r="K2626" t="s">
        <v>32</v>
      </c>
      <c r="L2626" t="s">
        <v>32</v>
      </c>
      <c r="M2626" t="s">
        <v>33</v>
      </c>
      <c r="N2626" t="s">
        <v>33</v>
      </c>
      <c r="O2626" t="s">
        <v>33</v>
      </c>
      <c r="P2626" t="s">
        <v>34</v>
      </c>
      <c r="Q2626" t="s">
        <v>35</v>
      </c>
      <c r="S2626" t="s">
        <v>30</v>
      </c>
      <c r="T2626" t="s">
        <v>2322</v>
      </c>
      <c r="U2626" t="s">
        <v>2323</v>
      </c>
      <c r="V2626" t="s">
        <v>39</v>
      </c>
      <c r="W2626" s="1">
        <v>4</v>
      </c>
    </row>
    <row r="2627" spans="1:23" x14ac:dyDescent="0.2">
      <c r="A2627" t="s">
        <v>2096</v>
      </c>
      <c r="B2627" t="s">
        <v>2097</v>
      </c>
      <c r="C2627" t="s">
        <v>2233</v>
      </c>
      <c r="D2627" t="s">
        <v>2234</v>
      </c>
      <c r="E2627" t="s">
        <v>2259</v>
      </c>
      <c r="F2627" t="s">
        <v>2260</v>
      </c>
      <c r="G2627" t="s">
        <v>119</v>
      </c>
      <c r="H2627" t="s">
        <v>30</v>
      </c>
      <c r="I2627" t="s">
        <v>52</v>
      </c>
      <c r="J2627" t="s">
        <v>31</v>
      </c>
      <c r="K2627" t="s">
        <v>32</v>
      </c>
      <c r="L2627" t="s">
        <v>32</v>
      </c>
      <c r="M2627" t="s">
        <v>33</v>
      </c>
      <c r="N2627" t="s">
        <v>33</v>
      </c>
      <c r="O2627" t="s">
        <v>33</v>
      </c>
      <c r="P2627" t="s">
        <v>34</v>
      </c>
      <c r="Q2627" t="s">
        <v>35</v>
      </c>
      <c r="S2627" t="s">
        <v>30</v>
      </c>
      <c r="T2627" t="s">
        <v>2322</v>
      </c>
      <c r="U2627" t="s">
        <v>2323</v>
      </c>
      <c r="V2627" t="s">
        <v>40</v>
      </c>
      <c r="W2627" s="1">
        <v>2403600</v>
      </c>
    </row>
    <row r="2628" spans="1:23" x14ac:dyDescent="0.2">
      <c r="A2628" t="s">
        <v>2096</v>
      </c>
      <c r="B2628" t="s">
        <v>2097</v>
      </c>
      <c r="C2628" t="s">
        <v>2233</v>
      </c>
      <c r="D2628" t="s">
        <v>2234</v>
      </c>
      <c r="E2628" t="s">
        <v>2259</v>
      </c>
      <c r="F2628" t="s">
        <v>2260</v>
      </c>
      <c r="G2628" t="s">
        <v>119</v>
      </c>
      <c r="H2628" t="s">
        <v>30</v>
      </c>
      <c r="I2628" t="s">
        <v>52</v>
      </c>
      <c r="J2628" t="s">
        <v>31</v>
      </c>
      <c r="K2628" t="s">
        <v>32</v>
      </c>
      <c r="L2628" t="s">
        <v>32</v>
      </c>
      <c r="M2628" t="s">
        <v>33</v>
      </c>
      <c r="N2628" t="s">
        <v>33</v>
      </c>
      <c r="O2628" t="s">
        <v>33</v>
      </c>
      <c r="P2628" t="s">
        <v>34</v>
      </c>
      <c r="Q2628" t="s">
        <v>35</v>
      </c>
      <c r="S2628" t="s">
        <v>30</v>
      </c>
      <c r="T2628" t="s">
        <v>2324</v>
      </c>
      <c r="U2628" t="s">
        <v>2325</v>
      </c>
      <c r="V2628" t="s">
        <v>39</v>
      </c>
      <c r="W2628" s="1">
        <v>1</v>
      </c>
    </row>
    <row r="2629" spans="1:23" x14ac:dyDescent="0.2">
      <c r="A2629" t="s">
        <v>2096</v>
      </c>
      <c r="B2629" t="s">
        <v>2097</v>
      </c>
      <c r="C2629" t="s">
        <v>2233</v>
      </c>
      <c r="D2629" t="s">
        <v>2234</v>
      </c>
      <c r="E2629" t="s">
        <v>2259</v>
      </c>
      <c r="F2629" t="s">
        <v>2260</v>
      </c>
      <c r="G2629" t="s">
        <v>119</v>
      </c>
      <c r="H2629" t="s">
        <v>30</v>
      </c>
      <c r="I2629" t="s">
        <v>52</v>
      </c>
      <c r="J2629" t="s">
        <v>31</v>
      </c>
      <c r="K2629" t="s">
        <v>32</v>
      </c>
      <c r="L2629" t="s">
        <v>32</v>
      </c>
      <c r="M2629" t="s">
        <v>33</v>
      </c>
      <c r="N2629" t="s">
        <v>33</v>
      </c>
      <c r="O2629" t="s">
        <v>33</v>
      </c>
      <c r="P2629" t="s">
        <v>34</v>
      </c>
      <c r="Q2629" t="s">
        <v>35</v>
      </c>
      <c r="S2629" t="s">
        <v>30</v>
      </c>
      <c r="T2629" t="s">
        <v>2324</v>
      </c>
      <c r="U2629" t="s">
        <v>2325</v>
      </c>
      <c r="V2629" t="s">
        <v>40</v>
      </c>
      <c r="W2629" s="1">
        <v>887900</v>
      </c>
    </row>
    <row r="2630" spans="1:23" x14ac:dyDescent="0.2">
      <c r="A2630" t="s">
        <v>2096</v>
      </c>
      <c r="B2630" t="s">
        <v>2097</v>
      </c>
      <c r="C2630" t="s">
        <v>2233</v>
      </c>
      <c r="D2630" t="s">
        <v>2234</v>
      </c>
      <c r="E2630" t="s">
        <v>2259</v>
      </c>
      <c r="F2630" t="s">
        <v>2260</v>
      </c>
      <c r="G2630" t="s">
        <v>119</v>
      </c>
      <c r="H2630" t="s">
        <v>30</v>
      </c>
      <c r="I2630" t="s">
        <v>52</v>
      </c>
      <c r="J2630" t="s">
        <v>31</v>
      </c>
      <c r="K2630" t="s">
        <v>32</v>
      </c>
      <c r="L2630" t="s">
        <v>32</v>
      </c>
      <c r="M2630" t="s">
        <v>33</v>
      </c>
      <c r="N2630" t="s">
        <v>169</v>
      </c>
      <c r="O2630" t="s">
        <v>169</v>
      </c>
      <c r="P2630" t="s">
        <v>34</v>
      </c>
      <c r="Q2630" t="s">
        <v>35</v>
      </c>
      <c r="S2630" t="s">
        <v>30</v>
      </c>
      <c r="T2630" t="s">
        <v>2322</v>
      </c>
      <c r="U2630" t="s">
        <v>2323</v>
      </c>
      <c r="V2630" t="s">
        <v>39</v>
      </c>
      <c r="W2630" s="1">
        <v>1</v>
      </c>
    </row>
    <row r="2631" spans="1:23" x14ac:dyDescent="0.2">
      <c r="A2631" t="s">
        <v>2096</v>
      </c>
      <c r="B2631" t="s">
        <v>2097</v>
      </c>
      <c r="C2631" t="s">
        <v>2233</v>
      </c>
      <c r="D2631" t="s">
        <v>2234</v>
      </c>
      <c r="E2631" t="s">
        <v>2259</v>
      </c>
      <c r="F2631" t="s">
        <v>2260</v>
      </c>
      <c r="G2631" t="s">
        <v>119</v>
      </c>
      <c r="H2631" t="s">
        <v>30</v>
      </c>
      <c r="I2631" t="s">
        <v>52</v>
      </c>
      <c r="J2631" t="s">
        <v>31</v>
      </c>
      <c r="K2631" t="s">
        <v>32</v>
      </c>
      <c r="L2631" t="s">
        <v>32</v>
      </c>
      <c r="M2631" t="s">
        <v>33</v>
      </c>
      <c r="N2631" t="s">
        <v>169</v>
      </c>
      <c r="O2631" t="s">
        <v>169</v>
      </c>
      <c r="P2631" t="s">
        <v>34</v>
      </c>
      <c r="Q2631" t="s">
        <v>35</v>
      </c>
      <c r="S2631" t="s">
        <v>30</v>
      </c>
      <c r="T2631" t="s">
        <v>2322</v>
      </c>
      <c r="U2631" t="s">
        <v>2323</v>
      </c>
      <c r="V2631" t="s">
        <v>40</v>
      </c>
      <c r="W2631" s="1">
        <v>600900</v>
      </c>
    </row>
    <row r="2632" spans="1:23" x14ac:dyDescent="0.2">
      <c r="A2632" t="s">
        <v>2096</v>
      </c>
      <c r="B2632" t="s">
        <v>2097</v>
      </c>
      <c r="C2632" t="s">
        <v>2233</v>
      </c>
      <c r="D2632" t="s">
        <v>2234</v>
      </c>
      <c r="E2632" t="s">
        <v>2259</v>
      </c>
      <c r="F2632" t="s">
        <v>2260</v>
      </c>
      <c r="G2632" t="s">
        <v>119</v>
      </c>
      <c r="H2632" t="s">
        <v>30</v>
      </c>
      <c r="I2632" t="s">
        <v>52</v>
      </c>
      <c r="J2632" t="s">
        <v>31</v>
      </c>
      <c r="K2632" t="s">
        <v>32</v>
      </c>
      <c r="L2632" t="s">
        <v>32</v>
      </c>
      <c r="M2632" t="s">
        <v>33</v>
      </c>
      <c r="P2632" t="s">
        <v>34</v>
      </c>
      <c r="Q2632" t="s">
        <v>35</v>
      </c>
      <c r="R2632" t="s">
        <v>353</v>
      </c>
      <c r="S2632" t="s">
        <v>30</v>
      </c>
      <c r="T2632" t="s">
        <v>2318</v>
      </c>
      <c r="U2632" t="s">
        <v>2319</v>
      </c>
      <c r="V2632" t="s">
        <v>39</v>
      </c>
      <c r="W2632" s="1">
        <v>4</v>
      </c>
    </row>
    <row r="2633" spans="1:23" x14ac:dyDescent="0.2">
      <c r="A2633" t="s">
        <v>2096</v>
      </c>
      <c r="B2633" t="s">
        <v>2097</v>
      </c>
      <c r="C2633" t="s">
        <v>2233</v>
      </c>
      <c r="D2633" t="s">
        <v>2234</v>
      </c>
      <c r="E2633" t="s">
        <v>2259</v>
      </c>
      <c r="F2633" t="s">
        <v>2260</v>
      </c>
      <c r="G2633" t="s">
        <v>119</v>
      </c>
      <c r="H2633" t="s">
        <v>30</v>
      </c>
      <c r="I2633" t="s">
        <v>52</v>
      </c>
      <c r="J2633" t="s">
        <v>31</v>
      </c>
      <c r="K2633" t="s">
        <v>32</v>
      </c>
      <c r="L2633" t="s">
        <v>32</v>
      </c>
      <c r="M2633" t="s">
        <v>33</v>
      </c>
      <c r="P2633" t="s">
        <v>34</v>
      </c>
      <c r="Q2633" t="s">
        <v>35</v>
      </c>
      <c r="R2633" t="s">
        <v>353</v>
      </c>
      <c r="S2633" t="s">
        <v>30</v>
      </c>
      <c r="T2633" t="s">
        <v>2318</v>
      </c>
      <c r="U2633" t="s">
        <v>2319</v>
      </c>
      <c r="V2633" t="s">
        <v>40</v>
      </c>
      <c r="W2633" s="1">
        <v>1239600</v>
      </c>
    </row>
    <row r="2634" spans="1:23" x14ac:dyDescent="0.2">
      <c r="A2634" t="s">
        <v>2096</v>
      </c>
      <c r="B2634" t="s">
        <v>2097</v>
      </c>
      <c r="C2634" t="s">
        <v>2233</v>
      </c>
      <c r="D2634" t="s">
        <v>2234</v>
      </c>
      <c r="E2634" t="s">
        <v>2259</v>
      </c>
      <c r="F2634" t="s">
        <v>2260</v>
      </c>
      <c r="G2634" t="s">
        <v>119</v>
      </c>
      <c r="H2634" t="s">
        <v>30</v>
      </c>
      <c r="I2634" t="s">
        <v>52</v>
      </c>
      <c r="J2634" t="s">
        <v>31</v>
      </c>
      <c r="K2634" t="s">
        <v>32</v>
      </c>
      <c r="L2634" t="s">
        <v>32</v>
      </c>
      <c r="M2634" t="s">
        <v>33</v>
      </c>
      <c r="P2634" t="s">
        <v>34</v>
      </c>
      <c r="Q2634" t="s">
        <v>35</v>
      </c>
      <c r="R2634" t="s">
        <v>2215</v>
      </c>
      <c r="S2634" t="s">
        <v>30</v>
      </c>
      <c r="T2634" t="s">
        <v>2320</v>
      </c>
      <c r="U2634" t="s">
        <v>2321</v>
      </c>
      <c r="V2634" t="s">
        <v>39</v>
      </c>
      <c r="W2634" s="1">
        <v>2</v>
      </c>
    </row>
    <row r="2635" spans="1:23" x14ac:dyDescent="0.2">
      <c r="A2635" t="s">
        <v>2096</v>
      </c>
      <c r="B2635" t="s">
        <v>2097</v>
      </c>
      <c r="C2635" t="s">
        <v>2233</v>
      </c>
      <c r="D2635" t="s">
        <v>2234</v>
      </c>
      <c r="E2635" t="s">
        <v>2259</v>
      </c>
      <c r="F2635" t="s">
        <v>2260</v>
      </c>
      <c r="G2635" t="s">
        <v>119</v>
      </c>
      <c r="H2635" t="s">
        <v>30</v>
      </c>
      <c r="I2635" t="s">
        <v>52</v>
      </c>
      <c r="J2635" t="s">
        <v>31</v>
      </c>
      <c r="K2635" t="s">
        <v>32</v>
      </c>
      <c r="L2635" t="s">
        <v>32</v>
      </c>
      <c r="M2635" t="s">
        <v>33</v>
      </c>
      <c r="P2635" t="s">
        <v>34</v>
      </c>
      <c r="Q2635" t="s">
        <v>35</v>
      </c>
      <c r="R2635" t="s">
        <v>2215</v>
      </c>
      <c r="S2635" t="s">
        <v>30</v>
      </c>
      <c r="T2635" t="s">
        <v>2320</v>
      </c>
      <c r="U2635" t="s">
        <v>2321</v>
      </c>
      <c r="V2635" t="s">
        <v>40</v>
      </c>
      <c r="W2635" s="1">
        <v>1157800</v>
      </c>
    </row>
    <row r="2636" spans="1:23" x14ac:dyDescent="0.2">
      <c r="A2636" t="s">
        <v>2096</v>
      </c>
      <c r="B2636" t="s">
        <v>2097</v>
      </c>
      <c r="C2636" t="s">
        <v>2233</v>
      </c>
      <c r="D2636" t="s">
        <v>2234</v>
      </c>
      <c r="E2636" t="s">
        <v>2259</v>
      </c>
      <c r="F2636" t="s">
        <v>2260</v>
      </c>
      <c r="G2636" t="s">
        <v>119</v>
      </c>
      <c r="H2636" t="s">
        <v>30</v>
      </c>
      <c r="I2636" t="s">
        <v>52</v>
      </c>
      <c r="J2636" t="s">
        <v>31</v>
      </c>
      <c r="K2636" t="s">
        <v>32</v>
      </c>
      <c r="L2636" t="s">
        <v>32</v>
      </c>
      <c r="M2636" t="s">
        <v>33</v>
      </c>
      <c r="P2636" t="s">
        <v>34</v>
      </c>
      <c r="Q2636" t="s">
        <v>35</v>
      </c>
      <c r="S2636" t="s">
        <v>30</v>
      </c>
      <c r="T2636" t="s">
        <v>2324</v>
      </c>
      <c r="U2636" t="s">
        <v>2325</v>
      </c>
      <c r="V2636" t="s">
        <v>39</v>
      </c>
      <c r="W2636" s="1">
        <v>2</v>
      </c>
    </row>
    <row r="2637" spans="1:23" x14ac:dyDescent="0.2">
      <c r="A2637" t="s">
        <v>2096</v>
      </c>
      <c r="B2637" t="s">
        <v>2097</v>
      </c>
      <c r="C2637" t="s">
        <v>2233</v>
      </c>
      <c r="D2637" t="s">
        <v>2234</v>
      </c>
      <c r="E2637" t="s">
        <v>2259</v>
      </c>
      <c r="F2637" t="s">
        <v>2260</v>
      </c>
      <c r="G2637" t="s">
        <v>119</v>
      </c>
      <c r="H2637" t="s">
        <v>30</v>
      </c>
      <c r="I2637" t="s">
        <v>52</v>
      </c>
      <c r="J2637" t="s">
        <v>31</v>
      </c>
      <c r="K2637" t="s">
        <v>32</v>
      </c>
      <c r="L2637" t="s">
        <v>32</v>
      </c>
      <c r="M2637" t="s">
        <v>33</v>
      </c>
      <c r="P2637" t="s">
        <v>34</v>
      </c>
      <c r="Q2637" t="s">
        <v>35</v>
      </c>
      <c r="S2637" t="s">
        <v>30</v>
      </c>
      <c r="T2637" t="s">
        <v>2324</v>
      </c>
      <c r="U2637" t="s">
        <v>2325</v>
      </c>
      <c r="V2637" t="s">
        <v>40</v>
      </c>
      <c r="W2637" s="1">
        <v>1775800</v>
      </c>
    </row>
    <row r="2638" spans="1:23" x14ac:dyDescent="0.2">
      <c r="A2638" t="s">
        <v>2096</v>
      </c>
      <c r="B2638" t="s">
        <v>2097</v>
      </c>
      <c r="C2638" t="s">
        <v>2233</v>
      </c>
      <c r="D2638" t="s">
        <v>2234</v>
      </c>
      <c r="E2638" t="s">
        <v>2259</v>
      </c>
      <c r="F2638" t="s">
        <v>2260</v>
      </c>
      <c r="G2638" t="s">
        <v>119</v>
      </c>
      <c r="H2638" t="s">
        <v>30</v>
      </c>
      <c r="I2638" t="s">
        <v>52</v>
      </c>
      <c r="J2638" t="s">
        <v>31</v>
      </c>
      <c r="K2638" t="s">
        <v>32</v>
      </c>
      <c r="L2638" t="s">
        <v>32</v>
      </c>
      <c r="M2638" t="s">
        <v>176</v>
      </c>
      <c r="N2638" t="s">
        <v>176</v>
      </c>
      <c r="O2638" t="s">
        <v>176</v>
      </c>
      <c r="P2638" t="s">
        <v>34</v>
      </c>
      <c r="Q2638" t="s">
        <v>35</v>
      </c>
      <c r="S2638" t="s">
        <v>30</v>
      </c>
      <c r="T2638" t="s">
        <v>2324</v>
      </c>
      <c r="U2638" t="s">
        <v>2325</v>
      </c>
      <c r="V2638" t="s">
        <v>39</v>
      </c>
      <c r="W2638" s="1">
        <v>1</v>
      </c>
    </row>
    <row r="2639" spans="1:23" x14ac:dyDescent="0.2">
      <c r="A2639" t="s">
        <v>2096</v>
      </c>
      <c r="B2639" t="s">
        <v>2097</v>
      </c>
      <c r="C2639" t="s">
        <v>2233</v>
      </c>
      <c r="D2639" t="s">
        <v>2234</v>
      </c>
      <c r="E2639" t="s">
        <v>2259</v>
      </c>
      <c r="F2639" t="s">
        <v>2260</v>
      </c>
      <c r="G2639" t="s">
        <v>119</v>
      </c>
      <c r="H2639" t="s">
        <v>30</v>
      </c>
      <c r="I2639" t="s">
        <v>52</v>
      </c>
      <c r="J2639" t="s">
        <v>31</v>
      </c>
      <c r="K2639" t="s">
        <v>32</v>
      </c>
      <c r="L2639" t="s">
        <v>32</v>
      </c>
      <c r="M2639" t="s">
        <v>176</v>
      </c>
      <c r="N2639" t="s">
        <v>176</v>
      </c>
      <c r="O2639" t="s">
        <v>176</v>
      </c>
      <c r="P2639" t="s">
        <v>34</v>
      </c>
      <c r="Q2639" t="s">
        <v>35</v>
      </c>
      <c r="S2639" t="s">
        <v>30</v>
      </c>
      <c r="T2639" t="s">
        <v>2324</v>
      </c>
      <c r="U2639" t="s">
        <v>2325</v>
      </c>
      <c r="V2639" t="s">
        <v>40</v>
      </c>
      <c r="W2639" s="1">
        <v>887900</v>
      </c>
    </row>
    <row r="2640" spans="1:23" x14ac:dyDescent="0.2">
      <c r="A2640" t="s">
        <v>2096</v>
      </c>
      <c r="B2640" t="s">
        <v>2097</v>
      </c>
      <c r="C2640" t="s">
        <v>2233</v>
      </c>
      <c r="D2640" t="s">
        <v>2234</v>
      </c>
      <c r="E2640" t="s">
        <v>2259</v>
      </c>
      <c r="F2640" t="s">
        <v>2260</v>
      </c>
      <c r="G2640" t="s">
        <v>127</v>
      </c>
      <c r="H2640" t="s">
        <v>52</v>
      </c>
      <c r="I2640" t="s">
        <v>30</v>
      </c>
      <c r="J2640" t="s">
        <v>31</v>
      </c>
      <c r="K2640" t="s">
        <v>32</v>
      </c>
      <c r="L2640" t="s">
        <v>32</v>
      </c>
      <c r="M2640" t="s">
        <v>33</v>
      </c>
      <c r="P2640" t="s">
        <v>34</v>
      </c>
      <c r="Q2640" t="s">
        <v>35</v>
      </c>
      <c r="S2640" t="s">
        <v>30</v>
      </c>
      <c r="T2640" t="s">
        <v>2326</v>
      </c>
      <c r="U2640" t="s">
        <v>2327</v>
      </c>
      <c r="V2640" t="s">
        <v>39</v>
      </c>
      <c r="W2640" s="1">
        <v>2</v>
      </c>
    </row>
    <row r="2641" spans="1:23" x14ac:dyDescent="0.2">
      <c r="A2641" t="s">
        <v>2096</v>
      </c>
      <c r="B2641" t="s">
        <v>2097</v>
      </c>
      <c r="C2641" t="s">
        <v>2233</v>
      </c>
      <c r="D2641" t="s">
        <v>2234</v>
      </c>
      <c r="E2641" t="s">
        <v>2259</v>
      </c>
      <c r="F2641" t="s">
        <v>2260</v>
      </c>
      <c r="G2641" t="s">
        <v>127</v>
      </c>
      <c r="H2641" t="s">
        <v>52</v>
      </c>
      <c r="I2641" t="s">
        <v>30</v>
      </c>
      <c r="J2641" t="s">
        <v>31</v>
      </c>
      <c r="K2641" t="s">
        <v>32</v>
      </c>
      <c r="L2641" t="s">
        <v>32</v>
      </c>
      <c r="M2641" t="s">
        <v>33</v>
      </c>
      <c r="P2641" t="s">
        <v>34</v>
      </c>
      <c r="Q2641" t="s">
        <v>35</v>
      </c>
      <c r="S2641" t="s">
        <v>30</v>
      </c>
      <c r="T2641" t="s">
        <v>2326</v>
      </c>
      <c r="U2641" t="s">
        <v>2327</v>
      </c>
      <c r="V2641" t="s">
        <v>40</v>
      </c>
      <c r="W2641" s="1">
        <v>4593200</v>
      </c>
    </row>
    <row r="2642" spans="1:23" x14ac:dyDescent="0.2">
      <c r="A2642" t="s">
        <v>2096</v>
      </c>
      <c r="B2642" t="s">
        <v>2097</v>
      </c>
      <c r="C2642" t="s">
        <v>2233</v>
      </c>
      <c r="D2642" t="s">
        <v>2234</v>
      </c>
      <c r="E2642" t="s">
        <v>2259</v>
      </c>
      <c r="F2642" t="s">
        <v>2260</v>
      </c>
      <c r="G2642" t="s">
        <v>134</v>
      </c>
      <c r="H2642" t="s">
        <v>52</v>
      </c>
      <c r="I2642" t="s">
        <v>30</v>
      </c>
      <c r="J2642" t="s">
        <v>31</v>
      </c>
      <c r="K2642" t="s">
        <v>32</v>
      </c>
      <c r="L2642" t="s">
        <v>32</v>
      </c>
      <c r="M2642" t="s">
        <v>33</v>
      </c>
      <c r="P2642" t="s">
        <v>213</v>
      </c>
      <c r="Q2642" t="s">
        <v>2111</v>
      </c>
      <c r="R2642" t="s">
        <v>173</v>
      </c>
      <c r="S2642" t="s">
        <v>30</v>
      </c>
      <c r="T2642" t="s">
        <v>2328</v>
      </c>
      <c r="U2642" t="s">
        <v>2329</v>
      </c>
      <c r="V2642" t="s">
        <v>39</v>
      </c>
      <c r="W2642" s="1">
        <v>4</v>
      </c>
    </row>
    <row r="2643" spans="1:23" x14ac:dyDescent="0.2">
      <c r="A2643" t="s">
        <v>2096</v>
      </c>
      <c r="B2643" t="s">
        <v>2097</v>
      </c>
      <c r="C2643" t="s">
        <v>2233</v>
      </c>
      <c r="D2643" t="s">
        <v>2234</v>
      </c>
      <c r="E2643" t="s">
        <v>2259</v>
      </c>
      <c r="F2643" t="s">
        <v>2260</v>
      </c>
      <c r="G2643" t="s">
        <v>134</v>
      </c>
      <c r="H2643" t="s">
        <v>52</v>
      </c>
      <c r="I2643" t="s">
        <v>30</v>
      </c>
      <c r="J2643" t="s">
        <v>31</v>
      </c>
      <c r="K2643" t="s">
        <v>32</v>
      </c>
      <c r="L2643" t="s">
        <v>32</v>
      </c>
      <c r="M2643" t="s">
        <v>33</v>
      </c>
      <c r="P2643" t="s">
        <v>213</v>
      </c>
      <c r="Q2643" t="s">
        <v>2111</v>
      </c>
      <c r="R2643" t="s">
        <v>173</v>
      </c>
      <c r="S2643" t="s">
        <v>30</v>
      </c>
      <c r="T2643" t="s">
        <v>2328</v>
      </c>
      <c r="U2643" t="s">
        <v>2329</v>
      </c>
      <c r="V2643" t="s">
        <v>40</v>
      </c>
      <c r="W2643" s="1">
        <v>3031600</v>
      </c>
    </row>
    <row r="2644" spans="1:23" x14ac:dyDescent="0.2">
      <c r="A2644" t="s">
        <v>2096</v>
      </c>
      <c r="B2644" t="s">
        <v>2097</v>
      </c>
      <c r="C2644" t="s">
        <v>2233</v>
      </c>
      <c r="D2644" t="s">
        <v>2234</v>
      </c>
      <c r="E2644" t="s">
        <v>2259</v>
      </c>
      <c r="F2644" t="s">
        <v>2260</v>
      </c>
      <c r="G2644" t="s">
        <v>134</v>
      </c>
      <c r="H2644" t="s">
        <v>52</v>
      </c>
      <c r="I2644" t="s">
        <v>30</v>
      </c>
      <c r="J2644" t="s">
        <v>41</v>
      </c>
      <c r="K2644" t="s">
        <v>32</v>
      </c>
      <c r="L2644" t="s">
        <v>32</v>
      </c>
      <c r="M2644" t="s">
        <v>33</v>
      </c>
      <c r="P2644" t="s">
        <v>34</v>
      </c>
      <c r="Q2644" t="s">
        <v>35</v>
      </c>
      <c r="S2644" t="s">
        <v>52</v>
      </c>
      <c r="T2644" t="s">
        <v>2330</v>
      </c>
      <c r="U2644" t="s">
        <v>2331</v>
      </c>
      <c r="V2644" t="s">
        <v>39</v>
      </c>
      <c r="W2644" s="1">
        <v>0</v>
      </c>
    </row>
    <row r="2645" spans="1:23" x14ac:dyDescent="0.2">
      <c r="A2645" t="s">
        <v>2096</v>
      </c>
      <c r="B2645" t="s">
        <v>2097</v>
      </c>
      <c r="C2645" t="s">
        <v>2233</v>
      </c>
      <c r="D2645" t="s">
        <v>2234</v>
      </c>
      <c r="E2645" t="s">
        <v>2259</v>
      </c>
      <c r="F2645" t="s">
        <v>2260</v>
      </c>
      <c r="G2645" t="s">
        <v>134</v>
      </c>
      <c r="H2645" t="s">
        <v>52</v>
      </c>
      <c r="I2645" t="s">
        <v>30</v>
      </c>
      <c r="J2645" t="s">
        <v>41</v>
      </c>
      <c r="K2645" t="s">
        <v>32</v>
      </c>
      <c r="L2645" t="s">
        <v>32</v>
      </c>
      <c r="M2645" t="s">
        <v>33</v>
      </c>
      <c r="P2645" t="s">
        <v>34</v>
      </c>
      <c r="Q2645" t="s">
        <v>35</v>
      </c>
      <c r="S2645" t="s">
        <v>52</v>
      </c>
      <c r="T2645" t="s">
        <v>2330</v>
      </c>
      <c r="U2645" t="s">
        <v>2331</v>
      </c>
      <c r="V2645" t="s">
        <v>40</v>
      </c>
      <c r="W2645" s="1">
        <v>0</v>
      </c>
    </row>
    <row r="2646" spans="1:23" x14ac:dyDescent="0.2">
      <c r="A2646" t="s">
        <v>2096</v>
      </c>
      <c r="B2646" t="s">
        <v>2097</v>
      </c>
      <c r="C2646" t="s">
        <v>2233</v>
      </c>
      <c r="D2646" t="s">
        <v>2234</v>
      </c>
      <c r="E2646" t="s">
        <v>2259</v>
      </c>
      <c r="F2646" t="s">
        <v>2260</v>
      </c>
      <c r="G2646" t="s">
        <v>134</v>
      </c>
      <c r="H2646" t="s">
        <v>52</v>
      </c>
      <c r="I2646" t="s">
        <v>30</v>
      </c>
      <c r="J2646" t="s">
        <v>57</v>
      </c>
      <c r="K2646" t="s">
        <v>32</v>
      </c>
      <c r="L2646" t="s">
        <v>32</v>
      </c>
      <c r="M2646" t="s">
        <v>33</v>
      </c>
      <c r="N2646" t="s">
        <v>33</v>
      </c>
      <c r="O2646" t="s">
        <v>33</v>
      </c>
      <c r="P2646" t="s">
        <v>34</v>
      </c>
      <c r="Q2646" t="s">
        <v>35</v>
      </c>
      <c r="S2646" t="s">
        <v>30</v>
      </c>
      <c r="T2646" t="s">
        <v>2332</v>
      </c>
      <c r="U2646" t="s">
        <v>2333</v>
      </c>
      <c r="V2646" t="s">
        <v>39</v>
      </c>
      <c r="W2646" s="1">
        <v>3</v>
      </c>
    </row>
    <row r="2647" spans="1:23" x14ac:dyDescent="0.2">
      <c r="A2647" t="s">
        <v>2096</v>
      </c>
      <c r="B2647" t="s">
        <v>2097</v>
      </c>
      <c r="C2647" t="s">
        <v>2233</v>
      </c>
      <c r="D2647" t="s">
        <v>2234</v>
      </c>
      <c r="E2647" t="s">
        <v>2259</v>
      </c>
      <c r="F2647" t="s">
        <v>2260</v>
      </c>
      <c r="G2647" t="s">
        <v>134</v>
      </c>
      <c r="H2647" t="s">
        <v>52</v>
      </c>
      <c r="I2647" t="s">
        <v>30</v>
      </c>
      <c r="J2647" t="s">
        <v>57</v>
      </c>
      <c r="K2647" t="s">
        <v>32</v>
      </c>
      <c r="L2647" t="s">
        <v>32</v>
      </c>
      <c r="M2647" t="s">
        <v>33</v>
      </c>
      <c r="N2647" t="s">
        <v>33</v>
      </c>
      <c r="O2647" t="s">
        <v>33</v>
      </c>
      <c r="P2647" t="s">
        <v>34</v>
      </c>
      <c r="Q2647" t="s">
        <v>35</v>
      </c>
      <c r="S2647" t="s">
        <v>30</v>
      </c>
      <c r="T2647" t="s">
        <v>2332</v>
      </c>
      <c r="U2647" t="s">
        <v>2333</v>
      </c>
      <c r="V2647" t="s">
        <v>40</v>
      </c>
      <c r="W2647" s="1">
        <v>4403700</v>
      </c>
    </row>
    <row r="2648" spans="1:23" x14ac:dyDescent="0.2">
      <c r="A2648" t="s">
        <v>2096</v>
      </c>
      <c r="B2648" t="s">
        <v>2097</v>
      </c>
      <c r="C2648" t="s">
        <v>2233</v>
      </c>
      <c r="D2648" t="s">
        <v>2234</v>
      </c>
      <c r="E2648" t="s">
        <v>2259</v>
      </c>
      <c r="F2648" t="s">
        <v>2260</v>
      </c>
      <c r="G2648" t="s">
        <v>134</v>
      </c>
      <c r="H2648" t="s">
        <v>52</v>
      </c>
      <c r="I2648" t="s">
        <v>30</v>
      </c>
      <c r="J2648" t="s">
        <v>57</v>
      </c>
      <c r="K2648" t="s">
        <v>32</v>
      </c>
      <c r="L2648" t="s">
        <v>32</v>
      </c>
      <c r="M2648" t="s">
        <v>33</v>
      </c>
      <c r="P2648" t="s">
        <v>34</v>
      </c>
      <c r="Q2648" t="s">
        <v>35</v>
      </c>
      <c r="S2648" t="s">
        <v>30</v>
      </c>
      <c r="T2648" t="s">
        <v>2334</v>
      </c>
      <c r="U2648" t="s">
        <v>2335</v>
      </c>
      <c r="V2648" t="s">
        <v>39</v>
      </c>
      <c r="W2648" s="1">
        <v>4</v>
      </c>
    </row>
    <row r="2649" spans="1:23" x14ac:dyDescent="0.2">
      <c r="A2649" t="s">
        <v>2096</v>
      </c>
      <c r="B2649" t="s">
        <v>2097</v>
      </c>
      <c r="C2649" t="s">
        <v>2233</v>
      </c>
      <c r="D2649" t="s">
        <v>2234</v>
      </c>
      <c r="E2649" t="s">
        <v>2259</v>
      </c>
      <c r="F2649" t="s">
        <v>2260</v>
      </c>
      <c r="G2649" t="s">
        <v>134</v>
      </c>
      <c r="H2649" t="s">
        <v>52</v>
      </c>
      <c r="I2649" t="s">
        <v>30</v>
      </c>
      <c r="J2649" t="s">
        <v>57</v>
      </c>
      <c r="K2649" t="s">
        <v>32</v>
      </c>
      <c r="L2649" t="s">
        <v>32</v>
      </c>
      <c r="M2649" t="s">
        <v>33</v>
      </c>
      <c r="P2649" t="s">
        <v>34</v>
      </c>
      <c r="Q2649" t="s">
        <v>35</v>
      </c>
      <c r="S2649" t="s">
        <v>30</v>
      </c>
      <c r="T2649" t="s">
        <v>2334</v>
      </c>
      <c r="U2649" t="s">
        <v>2335</v>
      </c>
      <c r="V2649" t="s">
        <v>40</v>
      </c>
      <c r="W2649" s="1">
        <v>4367600</v>
      </c>
    </row>
    <row r="2650" spans="1:23" x14ac:dyDescent="0.2">
      <c r="A2650" t="s">
        <v>2096</v>
      </c>
      <c r="B2650" t="s">
        <v>2097</v>
      </c>
      <c r="C2650" t="s">
        <v>2233</v>
      </c>
      <c r="D2650" t="s">
        <v>2234</v>
      </c>
      <c r="E2650" t="s">
        <v>2259</v>
      </c>
      <c r="F2650" t="s">
        <v>2260</v>
      </c>
      <c r="G2650" t="s">
        <v>139</v>
      </c>
      <c r="H2650" t="s">
        <v>30</v>
      </c>
      <c r="I2650" t="s">
        <v>30</v>
      </c>
      <c r="J2650" t="s">
        <v>31</v>
      </c>
      <c r="K2650" t="s">
        <v>32</v>
      </c>
      <c r="L2650" t="s">
        <v>32</v>
      </c>
      <c r="M2650" t="s">
        <v>33</v>
      </c>
      <c r="N2650" t="s">
        <v>33</v>
      </c>
      <c r="O2650" t="s">
        <v>33</v>
      </c>
      <c r="P2650" t="s">
        <v>34</v>
      </c>
      <c r="Q2650" t="s">
        <v>35</v>
      </c>
      <c r="S2650" t="s">
        <v>30</v>
      </c>
      <c r="T2650" t="s">
        <v>2336</v>
      </c>
      <c r="U2650" t="s">
        <v>2337</v>
      </c>
      <c r="V2650" t="s">
        <v>39</v>
      </c>
      <c r="W2650" s="1">
        <v>1</v>
      </c>
    </row>
    <row r="2651" spans="1:23" x14ac:dyDescent="0.2">
      <c r="A2651" t="s">
        <v>2096</v>
      </c>
      <c r="B2651" t="s">
        <v>2097</v>
      </c>
      <c r="C2651" t="s">
        <v>2233</v>
      </c>
      <c r="D2651" t="s">
        <v>2234</v>
      </c>
      <c r="E2651" t="s">
        <v>2259</v>
      </c>
      <c r="F2651" t="s">
        <v>2260</v>
      </c>
      <c r="G2651" t="s">
        <v>139</v>
      </c>
      <c r="H2651" t="s">
        <v>30</v>
      </c>
      <c r="I2651" t="s">
        <v>30</v>
      </c>
      <c r="J2651" t="s">
        <v>31</v>
      </c>
      <c r="K2651" t="s">
        <v>32</v>
      </c>
      <c r="L2651" t="s">
        <v>32</v>
      </c>
      <c r="M2651" t="s">
        <v>33</v>
      </c>
      <c r="N2651" t="s">
        <v>33</v>
      </c>
      <c r="O2651" t="s">
        <v>33</v>
      </c>
      <c r="P2651" t="s">
        <v>34</v>
      </c>
      <c r="Q2651" t="s">
        <v>35</v>
      </c>
      <c r="S2651" t="s">
        <v>30</v>
      </c>
      <c r="T2651" t="s">
        <v>2336</v>
      </c>
      <c r="U2651" t="s">
        <v>2337</v>
      </c>
      <c r="V2651" t="s">
        <v>40</v>
      </c>
      <c r="W2651" s="1">
        <v>283900</v>
      </c>
    </row>
    <row r="2652" spans="1:23" x14ac:dyDescent="0.2">
      <c r="A2652" t="s">
        <v>2096</v>
      </c>
      <c r="B2652" t="s">
        <v>2097</v>
      </c>
      <c r="C2652" t="s">
        <v>2233</v>
      </c>
      <c r="D2652" t="s">
        <v>2234</v>
      </c>
      <c r="E2652" t="s">
        <v>2259</v>
      </c>
      <c r="F2652" t="s">
        <v>2260</v>
      </c>
      <c r="G2652" t="s">
        <v>139</v>
      </c>
      <c r="H2652" t="s">
        <v>30</v>
      </c>
      <c r="I2652" t="s">
        <v>30</v>
      </c>
      <c r="J2652" t="s">
        <v>31</v>
      </c>
      <c r="K2652" t="s">
        <v>32</v>
      </c>
      <c r="L2652" t="s">
        <v>32</v>
      </c>
      <c r="M2652" t="s">
        <v>33</v>
      </c>
      <c r="N2652" t="s">
        <v>33</v>
      </c>
      <c r="O2652" t="s">
        <v>33</v>
      </c>
      <c r="P2652" t="s">
        <v>42</v>
      </c>
      <c r="Q2652" t="s">
        <v>43</v>
      </c>
      <c r="S2652" t="s">
        <v>30</v>
      </c>
      <c r="T2652" t="s">
        <v>2338</v>
      </c>
      <c r="U2652" t="s">
        <v>2339</v>
      </c>
      <c r="V2652" t="s">
        <v>39</v>
      </c>
      <c r="W2652" s="1">
        <v>2</v>
      </c>
    </row>
    <row r="2653" spans="1:23" x14ac:dyDescent="0.2">
      <c r="A2653" t="s">
        <v>2096</v>
      </c>
      <c r="B2653" t="s">
        <v>2097</v>
      </c>
      <c r="C2653" t="s">
        <v>2233</v>
      </c>
      <c r="D2653" t="s">
        <v>2234</v>
      </c>
      <c r="E2653" t="s">
        <v>2259</v>
      </c>
      <c r="F2653" t="s">
        <v>2260</v>
      </c>
      <c r="G2653" t="s">
        <v>139</v>
      </c>
      <c r="H2653" t="s">
        <v>30</v>
      </c>
      <c r="I2653" t="s">
        <v>30</v>
      </c>
      <c r="J2653" t="s">
        <v>31</v>
      </c>
      <c r="K2653" t="s">
        <v>32</v>
      </c>
      <c r="L2653" t="s">
        <v>32</v>
      </c>
      <c r="M2653" t="s">
        <v>33</v>
      </c>
      <c r="N2653" t="s">
        <v>33</v>
      </c>
      <c r="O2653" t="s">
        <v>33</v>
      </c>
      <c r="P2653" t="s">
        <v>42</v>
      </c>
      <c r="Q2653" t="s">
        <v>43</v>
      </c>
      <c r="S2653" t="s">
        <v>30</v>
      </c>
      <c r="T2653" t="s">
        <v>2338</v>
      </c>
      <c r="U2653" t="s">
        <v>2339</v>
      </c>
      <c r="V2653" t="s">
        <v>40</v>
      </c>
      <c r="W2653" s="1">
        <v>1799800</v>
      </c>
    </row>
    <row r="2654" spans="1:23" x14ac:dyDescent="0.2">
      <c r="A2654" t="s">
        <v>2096</v>
      </c>
      <c r="B2654" t="s">
        <v>2097</v>
      </c>
      <c r="C2654" t="s">
        <v>2233</v>
      </c>
      <c r="D2654" t="s">
        <v>2234</v>
      </c>
      <c r="E2654" t="s">
        <v>2259</v>
      </c>
      <c r="F2654" t="s">
        <v>2260</v>
      </c>
      <c r="G2654" t="s">
        <v>139</v>
      </c>
      <c r="H2654" t="s">
        <v>30</v>
      </c>
      <c r="I2654" t="s">
        <v>30</v>
      </c>
      <c r="J2654" t="s">
        <v>31</v>
      </c>
      <c r="K2654" t="s">
        <v>32</v>
      </c>
      <c r="L2654" t="s">
        <v>32</v>
      </c>
      <c r="M2654" t="s">
        <v>33</v>
      </c>
      <c r="P2654" t="s">
        <v>34</v>
      </c>
      <c r="Q2654" t="s">
        <v>35</v>
      </c>
      <c r="S2654" t="s">
        <v>30</v>
      </c>
      <c r="T2654" t="s">
        <v>2336</v>
      </c>
      <c r="U2654" t="s">
        <v>2337</v>
      </c>
      <c r="V2654" t="s">
        <v>39</v>
      </c>
      <c r="W2654" s="1">
        <v>4</v>
      </c>
    </row>
    <row r="2655" spans="1:23" x14ac:dyDescent="0.2">
      <c r="A2655" t="s">
        <v>2096</v>
      </c>
      <c r="B2655" t="s">
        <v>2097</v>
      </c>
      <c r="C2655" t="s">
        <v>2233</v>
      </c>
      <c r="D2655" t="s">
        <v>2234</v>
      </c>
      <c r="E2655" t="s">
        <v>2259</v>
      </c>
      <c r="F2655" t="s">
        <v>2260</v>
      </c>
      <c r="G2655" t="s">
        <v>139</v>
      </c>
      <c r="H2655" t="s">
        <v>30</v>
      </c>
      <c r="I2655" t="s">
        <v>30</v>
      </c>
      <c r="J2655" t="s">
        <v>31</v>
      </c>
      <c r="K2655" t="s">
        <v>32</v>
      </c>
      <c r="L2655" t="s">
        <v>32</v>
      </c>
      <c r="M2655" t="s">
        <v>33</v>
      </c>
      <c r="P2655" t="s">
        <v>34</v>
      </c>
      <c r="Q2655" t="s">
        <v>35</v>
      </c>
      <c r="S2655" t="s">
        <v>30</v>
      </c>
      <c r="T2655" t="s">
        <v>2336</v>
      </c>
      <c r="U2655" t="s">
        <v>2337</v>
      </c>
      <c r="V2655" t="s">
        <v>40</v>
      </c>
      <c r="W2655" s="1">
        <v>1135600</v>
      </c>
    </row>
    <row r="2656" spans="1:23" x14ac:dyDescent="0.2">
      <c r="A2656" t="s">
        <v>2096</v>
      </c>
      <c r="B2656" t="s">
        <v>2097</v>
      </c>
      <c r="C2656" t="s">
        <v>2233</v>
      </c>
      <c r="D2656" t="s">
        <v>2234</v>
      </c>
      <c r="E2656" t="s">
        <v>2259</v>
      </c>
      <c r="F2656" t="s">
        <v>2260</v>
      </c>
      <c r="G2656" t="s">
        <v>139</v>
      </c>
      <c r="H2656" t="s">
        <v>30</v>
      </c>
      <c r="I2656" t="s">
        <v>30</v>
      </c>
      <c r="J2656" t="s">
        <v>41</v>
      </c>
      <c r="K2656" t="s">
        <v>32</v>
      </c>
      <c r="L2656" t="s">
        <v>32</v>
      </c>
      <c r="M2656" t="s">
        <v>33</v>
      </c>
      <c r="P2656" t="s">
        <v>213</v>
      </c>
      <c r="Q2656" t="s">
        <v>2118</v>
      </c>
      <c r="S2656" t="s">
        <v>52</v>
      </c>
      <c r="T2656" t="s">
        <v>2340</v>
      </c>
      <c r="U2656" t="s">
        <v>2341</v>
      </c>
      <c r="V2656" t="s">
        <v>39</v>
      </c>
      <c r="W2656" s="1">
        <v>0</v>
      </c>
    </row>
    <row r="2657" spans="1:23" x14ac:dyDescent="0.2">
      <c r="A2657" t="s">
        <v>2096</v>
      </c>
      <c r="B2657" t="s">
        <v>2097</v>
      </c>
      <c r="C2657" t="s">
        <v>2233</v>
      </c>
      <c r="D2657" t="s">
        <v>2234</v>
      </c>
      <c r="E2657" t="s">
        <v>2259</v>
      </c>
      <c r="F2657" t="s">
        <v>2260</v>
      </c>
      <c r="G2657" t="s">
        <v>139</v>
      </c>
      <c r="H2657" t="s">
        <v>30</v>
      </c>
      <c r="I2657" t="s">
        <v>30</v>
      </c>
      <c r="J2657" t="s">
        <v>41</v>
      </c>
      <c r="K2657" t="s">
        <v>32</v>
      </c>
      <c r="L2657" t="s">
        <v>32</v>
      </c>
      <c r="M2657" t="s">
        <v>33</v>
      </c>
      <c r="P2657" t="s">
        <v>213</v>
      </c>
      <c r="Q2657" t="s">
        <v>2118</v>
      </c>
      <c r="S2657" t="s">
        <v>52</v>
      </c>
      <c r="T2657" t="s">
        <v>2340</v>
      </c>
      <c r="U2657" t="s">
        <v>2341</v>
      </c>
      <c r="V2657" t="s">
        <v>40</v>
      </c>
      <c r="W2657" s="1">
        <v>0</v>
      </c>
    </row>
    <row r="2658" spans="1:23" x14ac:dyDescent="0.2">
      <c r="A2658" t="s">
        <v>2096</v>
      </c>
      <c r="B2658" t="s">
        <v>2097</v>
      </c>
      <c r="C2658" t="s">
        <v>2233</v>
      </c>
      <c r="D2658" t="s">
        <v>2234</v>
      </c>
      <c r="E2658" t="s">
        <v>2259</v>
      </c>
      <c r="F2658" t="s">
        <v>2260</v>
      </c>
      <c r="G2658" t="s">
        <v>139</v>
      </c>
      <c r="H2658" t="s">
        <v>30</v>
      </c>
      <c r="I2658" t="s">
        <v>30</v>
      </c>
      <c r="J2658" t="s">
        <v>41</v>
      </c>
      <c r="K2658" t="s">
        <v>32</v>
      </c>
      <c r="L2658" t="s">
        <v>32</v>
      </c>
      <c r="M2658" t="s">
        <v>33</v>
      </c>
      <c r="P2658" t="s">
        <v>34</v>
      </c>
      <c r="Q2658" t="s">
        <v>35</v>
      </c>
      <c r="S2658" t="s">
        <v>30</v>
      </c>
      <c r="T2658" t="s">
        <v>2342</v>
      </c>
      <c r="U2658" t="s">
        <v>2343</v>
      </c>
      <c r="V2658" t="s">
        <v>39</v>
      </c>
      <c r="W2658" s="1">
        <v>2</v>
      </c>
    </row>
    <row r="2659" spans="1:23" x14ac:dyDescent="0.2">
      <c r="A2659" t="s">
        <v>2096</v>
      </c>
      <c r="B2659" t="s">
        <v>2097</v>
      </c>
      <c r="C2659" t="s">
        <v>2233</v>
      </c>
      <c r="D2659" t="s">
        <v>2234</v>
      </c>
      <c r="E2659" t="s">
        <v>2259</v>
      </c>
      <c r="F2659" t="s">
        <v>2260</v>
      </c>
      <c r="G2659" t="s">
        <v>139</v>
      </c>
      <c r="H2659" t="s">
        <v>30</v>
      </c>
      <c r="I2659" t="s">
        <v>30</v>
      </c>
      <c r="J2659" t="s">
        <v>41</v>
      </c>
      <c r="K2659" t="s">
        <v>32</v>
      </c>
      <c r="L2659" t="s">
        <v>32</v>
      </c>
      <c r="M2659" t="s">
        <v>33</v>
      </c>
      <c r="P2659" t="s">
        <v>34</v>
      </c>
      <c r="Q2659" t="s">
        <v>35</v>
      </c>
      <c r="S2659" t="s">
        <v>30</v>
      </c>
      <c r="T2659" t="s">
        <v>2342</v>
      </c>
      <c r="U2659" t="s">
        <v>2343</v>
      </c>
      <c r="V2659" t="s">
        <v>40</v>
      </c>
      <c r="W2659" s="1">
        <v>1881800</v>
      </c>
    </row>
    <row r="2660" spans="1:23" x14ac:dyDescent="0.2">
      <c r="A2660" t="s">
        <v>2096</v>
      </c>
      <c r="B2660" t="s">
        <v>2097</v>
      </c>
      <c r="C2660" t="s">
        <v>2233</v>
      </c>
      <c r="D2660" t="s">
        <v>2344</v>
      </c>
      <c r="E2660" t="s">
        <v>2345</v>
      </c>
      <c r="F2660" t="s">
        <v>2346</v>
      </c>
      <c r="G2660" t="s">
        <v>29</v>
      </c>
      <c r="H2660" t="s">
        <v>30</v>
      </c>
      <c r="I2660" t="s">
        <v>30</v>
      </c>
      <c r="J2660" t="s">
        <v>31</v>
      </c>
      <c r="K2660" t="s">
        <v>32</v>
      </c>
      <c r="L2660" t="s">
        <v>32</v>
      </c>
      <c r="M2660" t="s">
        <v>33</v>
      </c>
      <c r="N2660" t="s">
        <v>33</v>
      </c>
      <c r="O2660" t="s">
        <v>33</v>
      </c>
      <c r="P2660" t="s">
        <v>34</v>
      </c>
      <c r="Q2660" t="s">
        <v>35</v>
      </c>
      <c r="R2660" t="s">
        <v>2347</v>
      </c>
      <c r="S2660" t="s">
        <v>30</v>
      </c>
      <c r="T2660" t="s">
        <v>2348</v>
      </c>
      <c r="U2660" t="s">
        <v>2349</v>
      </c>
      <c r="V2660" t="s">
        <v>39</v>
      </c>
      <c r="W2660" s="1">
        <v>4</v>
      </c>
    </row>
    <row r="2661" spans="1:23" x14ac:dyDescent="0.2">
      <c r="A2661" t="s">
        <v>2096</v>
      </c>
      <c r="B2661" t="s">
        <v>2097</v>
      </c>
      <c r="C2661" t="s">
        <v>2233</v>
      </c>
      <c r="D2661" t="s">
        <v>2344</v>
      </c>
      <c r="E2661" t="s">
        <v>2345</v>
      </c>
      <c r="F2661" t="s">
        <v>2346</v>
      </c>
      <c r="G2661" t="s">
        <v>29</v>
      </c>
      <c r="H2661" t="s">
        <v>30</v>
      </c>
      <c r="I2661" t="s">
        <v>30</v>
      </c>
      <c r="J2661" t="s">
        <v>31</v>
      </c>
      <c r="K2661" t="s">
        <v>32</v>
      </c>
      <c r="L2661" t="s">
        <v>32</v>
      </c>
      <c r="M2661" t="s">
        <v>33</v>
      </c>
      <c r="N2661" t="s">
        <v>33</v>
      </c>
      <c r="O2661" t="s">
        <v>33</v>
      </c>
      <c r="P2661" t="s">
        <v>34</v>
      </c>
      <c r="Q2661" t="s">
        <v>35</v>
      </c>
      <c r="R2661" t="s">
        <v>2347</v>
      </c>
      <c r="S2661" t="s">
        <v>30</v>
      </c>
      <c r="T2661" t="s">
        <v>2348</v>
      </c>
      <c r="U2661" t="s">
        <v>2349</v>
      </c>
      <c r="V2661" t="s">
        <v>40</v>
      </c>
      <c r="W2661" s="1">
        <v>4231600</v>
      </c>
    </row>
    <row r="2662" spans="1:23" x14ac:dyDescent="0.2">
      <c r="A2662" t="s">
        <v>2096</v>
      </c>
      <c r="B2662" t="s">
        <v>2097</v>
      </c>
      <c r="C2662" t="s">
        <v>2233</v>
      </c>
      <c r="D2662" t="s">
        <v>2344</v>
      </c>
      <c r="E2662" t="s">
        <v>2345</v>
      </c>
      <c r="F2662" t="s">
        <v>2346</v>
      </c>
      <c r="G2662" t="s">
        <v>49</v>
      </c>
      <c r="H2662" t="s">
        <v>30</v>
      </c>
      <c r="I2662" t="s">
        <v>30</v>
      </c>
      <c r="J2662" t="s">
        <v>31</v>
      </c>
      <c r="K2662" t="s">
        <v>32</v>
      </c>
      <c r="L2662" t="s">
        <v>32</v>
      </c>
      <c r="M2662" t="s">
        <v>33</v>
      </c>
      <c r="N2662" t="s">
        <v>33</v>
      </c>
      <c r="O2662" t="s">
        <v>33</v>
      </c>
      <c r="P2662" t="s">
        <v>34</v>
      </c>
      <c r="Q2662" t="s">
        <v>35</v>
      </c>
      <c r="S2662" t="s">
        <v>30</v>
      </c>
      <c r="T2662" t="s">
        <v>2350</v>
      </c>
      <c r="U2662" t="s">
        <v>2351</v>
      </c>
      <c r="V2662" t="s">
        <v>39</v>
      </c>
      <c r="W2662" s="1">
        <v>4</v>
      </c>
    </row>
    <row r="2663" spans="1:23" x14ac:dyDescent="0.2">
      <c r="A2663" t="s">
        <v>2096</v>
      </c>
      <c r="B2663" t="s">
        <v>2097</v>
      </c>
      <c r="C2663" t="s">
        <v>2233</v>
      </c>
      <c r="D2663" t="s">
        <v>2344</v>
      </c>
      <c r="E2663" t="s">
        <v>2345</v>
      </c>
      <c r="F2663" t="s">
        <v>2346</v>
      </c>
      <c r="G2663" t="s">
        <v>49</v>
      </c>
      <c r="H2663" t="s">
        <v>30</v>
      </c>
      <c r="I2663" t="s">
        <v>30</v>
      </c>
      <c r="J2663" t="s">
        <v>31</v>
      </c>
      <c r="K2663" t="s">
        <v>32</v>
      </c>
      <c r="L2663" t="s">
        <v>32</v>
      </c>
      <c r="M2663" t="s">
        <v>33</v>
      </c>
      <c r="N2663" t="s">
        <v>33</v>
      </c>
      <c r="O2663" t="s">
        <v>33</v>
      </c>
      <c r="P2663" t="s">
        <v>34</v>
      </c>
      <c r="Q2663" t="s">
        <v>35</v>
      </c>
      <c r="S2663" t="s">
        <v>30</v>
      </c>
      <c r="T2663" t="s">
        <v>2350</v>
      </c>
      <c r="U2663" t="s">
        <v>2351</v>
      </c>
      <c r="V2663" t="s">
        <v>40</v>
      </c>
      <c r="W2663" s="1">
        <v>3307600</v>
      </c>
    </row>
    <row r="2664" spans="1:23" x14ac:dyDescent="0.2">
      <c r="A2664" t="s">
        <v>2096</v>
      </c>
      <c r="B2664" t="s">
        <v>2097</v>
      </c>
      <c r="C2664" t="s">
        <v>2233</v>
      </c>
      <c r="D2664" t="s">
        <v>2344</v>
      </c>
      <c r="E2664" t="s">
        <v>2345</v>
      </c>
      <c r="F2664" t="s">
        <v>2346</v>
      </c>
      <c r="G2664" t="s">
        <v>49</v>
      </c>
      <c r="H2664" t="s">
        <v>30</v>
      </c>
      <c r="I2664" t="s">
        <v>30</v>
      </c>
      <c r="J2664" t="s">
        <v>31</v>
      </c>
      <c r="K2664" t="s">
        <v>32</v>
      </c>
      <c r="L2664" t="s">
        <v>32</v>
      </c>
      <c r="M2664" t="s">
        <v>33</v>
      </c>
      <c r="P2664" t="s">
        <v>34</v>
      </c>
      <c r="Q2664" t="s">
        <v>35</v>
      </c>
      <c r="S2664" t="s">
        <v>30</v>
      </c>
      <c r="T2664" t="s">
        <v>2350</v>
      </c>
      <c r="U2664" t="s">
        <v>2351</v>
      </c>
      <c r="V2664" t="s">
        <v>39</v>
      </c>
      <c r="W2664" s="1">
        <v>1</v>
      </c>
    </row>
    <row r="2665" spans="1:23" x14ac:dyDescent="0.2">
      <c r="A2665" t="s">
        <v>2096</v>
      </c>
      <c r="B2665" t="s">
        <v>2097</v>
      </c>
      <c r="C2665" t="s">
        <v>2233</v>
      </c>
      <c r="D2665" t="s">
        <v>2344</v>
      </c>
      <c r="E2665" t="s">
        <v>2345</v>
      </c>
      <c r="F2665" t="s">
        <v>2346</v>
      </c>
      <c r="G2665" t="s">
        <v>49</v>
      </c>
      <c r="H2665" t="s">
        <v>30</v>
      </c>
      <c r="I2665" t="s">
        <v>30</v>
      </c>
      <c r="J2665" t="s">
        <v>31</v>
      </c>
      <c r="K2665" t="s">
        <v>32</v>
      </c>
      <c r="L2665" t="s">
        <v>32</v>
      </c>
      <c r="M2665" t="s">
        <v>33</v>
      </c>
      <c r="P2665" t="s">
        <v>34</v>
      </c>
      <c r="Q2665" t="s">
        <v>35</v>
      </c>
      <c r="S2665" t="s">
        <v>30</v>
      </c>
      <c r="T2665" t="s">
        <v>2350</v>
      </c>
      <c r="U2665" t="s">
        <v>2351</v>
      </c>
      <c r="V2665" t="s">
        <v>40</v>
      </c>
      <c r="W2665" s="1">
        <v>826900</v>
      </c>
    </row>
    <row r="2666" spans="1:23" x14ac:dyDescent="0.2">
      <c r="A2666" t="s">
        <v>2096</v>
      </c>
      <c r="B2666" t="s">
        <v>2097</v>
      </c>
      <c r="C2666" t="s">
        <v>2233</v>
      </c>
      <c r="D2666" t="s">
        <v>2344</v>
      </c>
      <c r="E2666" t="s">
        <v>2345</v>
      </c>
      <c r="F2666" t="s">
        <v>2346</v>
      </c>
      <c r="G2666" t="s">
        <v>170</v>
      </c>
      <c r="H2666" t="s">
        <v>52</v>
      </c>
      <c r="I2666" t="s">
        <v>30</v>
      </c>
      <c r="J2666" t="s">
        <v>31</v>
      </c>
      <c r="K2666" t="s">
        <v>32</v>
      </c>
      <c r="L2666" t="s">
        <v>32</v>
      </c>
      <c r="M2666" t="s">
        <v>33</v>
      </c>
      <c r="N2666" t="s">
        <v>33</v>
      </c>
      <c r="O2666" t="s">
        <v>33</v>
      </c>
      <c r="P2666" t="s">
        <v>34</v>
      </c>
      <c r="Q2666" t="s">
        <v>35</v>
      </c>
      <c r="S2666" t="s">
        <v>30</v>
      </c>
      <c r="T2666" t="s">
        <v>2352</v>
      </c>
      <c r="U2666" t="s">
        <v>2353</v>
      </c>
      <c r="V2666" t="s">
        <v>39</v>
      </c>
      <c r="W2666" s="1">
        <v>2</v>
      </c>
    </row>
    <row r="2667" spans="1:23" x14ac:dyDescent="0.2">
      <c r="A2667" t="s">
        <v>2096</v>
      </c>
      <c r="B2667" t="s">
        <v>2097</v>
      </c>
      <c r="C2667" t="s">
        <v>2233</v>
      </c>
      <c r="D2667" t="s">
        <v>2344</v>
      </c>
      <c r="E2667" t="s">
        <v>2345</v>
      </c>
      <c r="F2667" t="s">
        <v>2346</v>
      </c>
      <c r="G2667" t="s">
        <v>170</v>
      </c>
      <c r="H2667" t="s">
        <v>52</v>
      </c>
      <c r="I2667" t="s">
        <v>30</v>
      </c>
      <c r="J2667" t="s">
        <v>31</v>
      </c>
      <c r="K2667" t="s">
        <v>32</v>
      </c>
      <c r="L2667" t="s">
        <v>32</v>
      </c>
      <c r="M2667" t="s">
        <v>33</v>
      </c>
      <c r="N2667" t="s">
        <v>33</v>
      </c>
      <c r="O2667" t="s">
        <v>33</v>
      </c>
      <c r="P2667" t="s">
        <v>34</v>
      </c>
      <c r="Q2667" t="s">
        <v>35</v>
      </c>
      <c r="S2667" t="s">
        <v>30</v>
      </c>
      <c r="T2667" t="s">
        <v>2352</v>
      </c>
      <c r="U2667" t="s">
        <v>2353</v>
      </c>
      <c r="V2667" t="s">
        <v>40</v>
      </c>
      <c r="W2667" s="1">
        <v>1406000</v>
      </c>
    </row>
    <row r="2668" spans="1:23" x14ac:dyDescent="0.2">
      <c r="A2668" t="s">
        <v>2096</v>
      </c>
      <c r="B2668" t="s">
        <v>2097</v>
      </c>
      <c r="C2668" t="s">
        <v>2233</v>
      </c>
      <c r="D2668" t="s">
        <v>2344</v>
      </c>
      <c r="E2668" t="s">
        <v>2345</v>
      </c>
      <c r="F2668" t="s">
        <v>2346</v>
      </c>
      <c r="G2668" t="s">
        <v>67</v>
      </c>
      <c r="H2668" t="s">
        <v>30</v>
      </c>
      <c r="I2668" t="s">
        <v>30</v>
      </c>
      <c r="J2668" t="s">
        <v>57</v>
      </c>
      <c r="K2668" t="s">
        <v>32</v>
      </c>
      <c r="L2668" t="s">
        <v>32</v>
      </c>
      <c r="M2668" t="s">
        <v>33</v>
      </c>
      <c r="N2668" t="s">
        <v>33</v>
      </c>
      <c r="O2668" t="s">
        <v>33</v>
      </c>
      <c r="P2668" t="s">
        <v>34</v>
      </c>
      <c r="Q2668" t="s">
        <v>35</v>
      </c>
      <c r="R2668" t="s">
        <v>54</v>
      </c>
      <c r="S2668" t="s">
        <v>30</v>
      </c>
      <c r="T2668" t="s">
        <v>2354</v>
      </c>
      <c r="U2668" t="s">
        <v>2355</v>
      </c>
      <c r="V2668" t="s">
        <v>39</v>
      </c>
      <c r="W2668" s="1">
        <v>2</v>
      </c>
    </row>
    <row r="2669" spans="1:23" x14ac:dyDescent="0.2">
      <c r="A2669" t="s">
        <v>2096</v>
      </c>
      <c r="B2669" t="s">
        <v>2097</v>
      </c>
      <c r="C2669" t="s">
        <v>2233</v>
      </c>
      <c r="D2669" t="s">
        <v>2344</v>
      </c>
      <c r="E2669" t="s">
        <v>2345</v>
      </c>
      <c r="F2669" t="s">
        <v>2346</v>
      </c>
      <c r="G2669" t="s">
        <v>67</v>
      </c>
      <c r="H2669" t="s">
        <v>30</v>
      </c>
      <c r="I2669" t="s">
        <v>30</v>
      </c>
      <c r="J2669" t="s">
        <v>57</v>
      </c>
      <c r="K2669" t="s">
        <v>32</v>
      </c>
      <c r="L2669" t="s">
        <v>32</v>
      </c>
      <c r="M2669" t="s">
        <v>33</v>
      </c>
      <c r="N2669" t="s">
        <v>33</v>
      </c>
      <c r="O2669" t="s">
        <v>33</v>
      </c>
      <c r="P2669" t="s">
        <v>34</v>
      </c>
      <c r="Q2669" t="s">
        <v>35</v>
      </c>
      <c r="R2669" t="s">
        <v>54</v>
      </c>
      <c r="S2669" t="s">
        <v>30</v>
      </c>
      <c r="T2669" t="s">
        <v>2354</v>
      </c>
      <c r="U2669" t="s">
        <v>2355</v>
      </c>
      <c r="V2669" t="s">
        <v>40</v>
      </c>
      <c r="W2669" s="1">
        <v>2685800</v>
      </c>
    </row>
    <row r="2670" spans="1:23" x14ac:dyDescent="0.2">
      <c r="A2670" t="s">
        <v>2096</v>
      </c>
      <c r="B2670" t="s">
        <v>2097</v>
      </c>
      <c r="C2670" t="s">
        <v>2233</v>
      </c>
      <c r="D2670" t="s">
        <v>2344</v>
      </c>
      <c r="E2670" t="s">
        <v>2345</v>
      </c>
      <c r="F2670" t="s">
        <v>2346</v>
      </c>
      <c r="G2670" t="s">
        <v>67</v>
      </c>
      <c r="H2670" t="s">
        <v>30</v>
      </c>
      <c r="I2670" t="s">
        <v>30</v>
      </c>
      <c r="J2670" t="s">
        <v>57</v>
      </c>
      <c r="K2670" t="s">
        <v>32</v>
      </c>
      <c r="L2670" t="s">
        <v>32</v>
      </c>
      <c r="M2670" t="s">
        <v>33</v>
      </c>
      <c r="P2670" t="s">
        <v>34</v>
      </c>
      <c r="Q2670" t="s">
        <v>35</v>
      </c>
      <c r="R2670" t="s">
        <v>54</v>
      </c>
      <c r="S2670" t="s">
        <v>52</v>
      </c>
      <c r="T2670" t="s">
        <v>2354</v>
      </c>
      <c r="U2670" t="s">
        <v>2356</v>
      </c>
      <c r="V2670" t="s">
        <v>39</v>
      </c>
      <c r="W2670" s="1">
        <v>0</v>
      </c>
    </row>
    <row r="2671" spans="1:23" x14ac:dyDescent="0.2">
      <c r="A2671" t="s">
        <v>2096</v>
      </c>
      <c r="B2671" t="s">
        <v>2097</v>
      </c>
      <c r="C2671" t="s">
        <v>2233</v>
      </c>
      <c r="D2671" t="s">
        <v>2344</v>
      </c>
      <c r="E2671" t="s">
        <v>2345</v>
      </c>
      <c r="F2671" t="s">
        <v>2346</v>
      </c>
      <c r="G2671" t="s">
        <v>67</v>
      </c>
      <c r="H2671" t="s">
        <v>30</v>
      </c>
      <c r="I2671" t="s">
        <v>30</v>
      </c>
      <c r="J2671" t="s">
        <v>57</v>
      </c>
      <c r="K2671" t="s">
        <v>32</v>
      </c>
      <c r="L2671" t="s">
        <v>32</v>
      </c>
      <c r="M2671" t="s">
        <v>33</v>
      </c>
      <c r="P2671" t="s">
        <v>34</v>
      </c>
      <c r="Q2671" t="s">
        <v>35</v>
      </c>
      <c r="R2671" t="s">
        <v>54</v>
      </c>
      <c r="S2671" t="s">
        <v>52</v>
      </c>
      <c r="T2671" t="s">
        <v>2354</v>
      </c>
      <c r="U2671" t="s">
        <v>2356</v>
      </c>
      <c r="V2671" t="s">
        <v>40</v>
      </c>
      <c r="W2671" s="1">
        <v>2985800</v>
      </c>
    </row>
    <row r="2672" spans="1:23" x14ac:dyDescent="0.2">
      <c r="A2672" t="s">
        <v>2096</v>
      </c>
      <c r="B2672" t="s">
        <v>2097</v>
      </c>
      <c r="C2672" t="s">
        <v>2233</v>
      </c>
      <c r="D2672" t="s">
        <v>2344</v>
      </c>
      <c r="E2672" t="s">
        <v>2345</v>
      </c>
      <c r="F2672" t="s">
        <v>2346</v>
      </c>
      <c r="G2672" t="s">
        <v>119</v>
      </c>
      <c r="H2672" t="s">
        <v>30</v>
      </c>
      <c r="I2672" t="s">
        <v>52</v>
      </c>
      <c r="J2672" t="s">
        <v>41</v>
      </c>
      <c r="K2672" t="s">
        <v>32</v>
      </c>
      <c r="L2672" t="s">
        <v>32</v>
      </c>
      <c r="M2672" t="s">
        <v>33</v>
      </c>
      <c r="N2672" t="s">
        <v>33</v>
      </c>
      <c r="O2672" t="s">
        <v>33</v>
      </c>
      <c r="P2672" t="s">
        <v>34</v>
      </c>
      <c r="Q2672" t="s">
        <v>35</v>
      </c>
      <c r="S2672" t="s">
        <v>30</v>
      </c>
      <c r="T2672" t="s">
        <v>2357</v>
      </c>
      <c r="U2672" t="s">
        <v>2358</v>
      </c>
      <c r="V2672" t="s">
        <v>39</v>
      </c>
      <c r="W2672" s="1">
        <v>2</v>
      </c>
    </row>
    <row r="2673" spans="1:23" x14ac:dyDescent="0.2">
      <c r="A2673" t="s">
        <v>2096</v>
      </c>
      <c r="B2673" t="s">
        <v>2097</v>
      </c>
      <c r="C2673" t="s">
        <v>2233</v>
      </c>
      <c r="D2673" t="s">
        <v>2344</v>
      </c>
      <c r="E2673" t="s">
        <v>2345</v>
      </c>
      <c r="F2673" t="s">
        <v>2346</v>
      </c>
      <c r="G2673" t="s">
        <v>119</v>
      </c>
      <c r="H2673" t="s">
        <v>30</v>
      </c>
      <c r="I2673" t="s">
        <v>52</v>
      </c>
      <c r="J2673" t="s">
        <v>41</v>
      </c>
      <c r="K2673" t="s">
        <v>32</v>
      </c>
      <c r="L2673" t="s">
        <v>32</v>
      </c>
      <c r="M2673" t="s">
        <v>33</v>
      </c>
      <c r="N2673" t="s">
        <v>33</v>
      </c>
      <c r="O2673" t="s">
        <v>33</v>
      </c>
      <c r="P2673" t="s">
        <v>34</v>
      </c>
      <c r="Q2673" t="s">
        <v>35</v>
      </c>
      <c r="S2673" t="s">
        <v>30</v>
      </c>
      <c r="T2673" t="s">
        <v>2357</v>
      </c>
      <c r="U2673" t="s">
        <v>2358</v>
      </c>
      <c r="V2673" t="s">
        <v>40</v>
      </c>
      <c r="W2673" s="1">
        <v>1803800</v>
      </c>
    </row>
    <row r="2674" spans="1:23" x14ac:dyDescent="0.2">
      <c r="A2674" t="s">
        <v>2096</v>
      </c>
      <c r="B2674" t="s">
        <v>2097</v>
      </c>
      <c r="C2674" t="s">
        <v>2233</v>
      </c>
      <c r="D2674" t="s">
        <v>2344</v>
      </c>
      <c r="E2674" t="s">
        <v>2345</v>
      </c>
      <c r="F2674" t="s">
        <v>2346</v>
      </c>
      <c r="G2674" t="s">
        <v>119</v>
      </c>
      <c r="H2674" t="s">
        <v>30</v>
      </c>
      <c r="I2674" t="s">
        <v>52</v>
      </c>
      <c r="J2674" t="s">
        <v>41</v>
      </c>
      <c r="K2674" t="s">
        <v>32</v>
      </c>
      <c r="L2674" t="s">
        <v>32</v>
      </c>
      <c r="M2674" t="s">
        <v>33</v>
      </c>
      <c r="N2674" t="s">
        <v>33</v>
      </c>
      <c r="O2674" t="s">
        <v>33</v>
      </c>
      <c r="P2674" t="s">
        <v>42</v>
      </c>
      <c r="Q2674" t="s">
        <v>43</v>
      </c>
      <c r="R2674" t="s">
        <v>294</v>
      </c>
      <c r="S2674" t="s">
        <v>30</v>
      </c>
      <c r="T2674" t="s">
        <v>2359</v>
      </c>
      <c r="U2674" t="s">
        <v>2360</v>
      </c>
      <c r="V2674" t="s">
        <v>39</v>
      </c>
      <c r="W2674" s="1">
        <v>2</v>
      </c>
    </row>
    <row r="2675" spans="1:23" x14ac:dyDescent="0.2">
      <c r="A2675" t="s">
        <v>2096</v>
      </c>
      <c r="B2675" t="s">
        <v>2097</v>
      </c>
      <c r="C2675" t="s">
        <v>2233</v>
      </c>
      <c r="D2675" t="s">
        <v>2344</v>
      </c>
      <c r="E2675" t="s">
        <v>2345</v>
      </c>
      <c r="F2675" t="s">
        <v>2346</v>
      </c>
      <c r="G2675" t="s">
        <v>119</v>
      </c>
      <c r="H2675" t="s">
        <v>30</v>
      </c>
      <c r="I2675" t="s">
        <v>52</v>
      </c>
      <c r="J2675" t="s">
        <v>41</v>
      </c>
      <c r="K2675" t="s">
        <v>32</v>
      </c>
      <c r="L2675" t="s">
        <v>32</v>
      </c>
      <c r="M2675" t="s">
        <v>33</v>
      </c>
      <c r="N2675" t="s">
        <v>33</v>
      </c>
      <c r="O2675" t="s">
        <v>33</v>
      </c>
      <c r="P2675" t="s">
        <v>42</v>
      </c>
      <c r="Q2675" t="s">
        <v>43</v>
      </c>
      <c r="R2675" t="s">
        <v>294</v>
      </c>
      <c r="S2675" t="s">
        <v>30</v>
      </c>
      <c r="T2675" t="s">
        <v>2359</v>
      </c>
      <c r="U2675" t="s">
        <v>2360</v>
      </c>
      <c r="V2675" t="s">
        <v>40</v>
      </c>
      <c r="W2675" s="1">
        <v>2199800</v>
      </c>
    </row>
    <row r="2676" spans="1:23" x14ac:dyDescent="0.2">
      <c r="A2676" t="s">
        <v>2096</v>
      </c>
      <c r="B2676" t="s">
        <v>2097</v>
      </c>
      <c r="C2676" t="s">
        <v>2233</v>
      </c>
      <c r="D2676" t="s">
        <v>2344</v>
      </c>
      <c r="E2676" t="s">
        <v>2345</v>
      </c>
      <c r="F2676" t="s">
        <v>2346</v>
      </c>
      <c r="G2676" t="s">
        <v>119</v>
      </c>
      <c r="H2676" t="s">
        <v>30</v>
      </c>
      <c r="I2676" t="s">
        <v>52</v>
      </c>
      <c r="J2676" t="s">
        <v>41</v>
      </c>
      <c r="K2676" t="s">
        <v>32</v>
      </c>
      <c r="L2676" t="s">
        <v>32</v>
      </c>
      <c r="M2676" t="s">
        <v>33</v>
      </c>
      <c r="P2676" t="s">
        <v>34</v>
      </c>
      <c r="Q2676" t="s">
        <v>35</v>
      </c>
      <c r="R2676" t="s">
        <v>294</v>
      </c>
      <c r="S2676" t="s">
        <v>52</v>
      </c>
      <c r="T2676" t="s">
        <v>2359</v>
      </c>
      <c r="U2676" t="s">
        <v>2361</v>
      </c>
      <c r="V2676" t="s">
        <v>39</v>
      </c>
      <c r="W2676" s="1">
        <v>0</v>
      </c>
    </row>
    <row r="2677" spans="1:23" x14ac:dyDescent="0.2">
      <c r="A2677" t="s">
        <v>2096</v>
      </c>
      <c r="B2677" t="s">
        <v>2097</v>
      </c>
      <c r="C2677" t="s">
        <v>2233</v>
      </c>
      <c r="D2677" t="s">
        <v>2344</v>
      </c>
      <c r="E2677" t="s">
        <v>2345</v>
      </c>
      <c r="F2677" t="s">
        <v>2346</v>
      </c>
      <c r="G2677" t="s">
        <v>119</v>
      </c>
      <c r="H2677" t="s">
        <v>30</v>
      </c>
      <c r="I2677" t="s">
        <v>52</v>
      </c>
      <c r="J2677" t="s">
        <v>41</v>
      </c>
      <c r="K2677" t="s">
        <v>32</v>
      </c>
      <c r="L2677" t="s">
        <v>32</v>
      </c>
      <c r="M2677" t="s">
        <v>33</v>
      </c>
      <c r="P2677" t="s">
        <v>34</v>
      </c>
      <c r="Q2677" t="s">
        <v>35</v>
      </c>
      <c r="R2677" t="s">
        <v>294</v>
      </c>
      <c r="S2677" t="s">
        <v>52</v>
      </c>
      <c r="T2677" t="s">
        <v>2359</v>
      </c>
      <c r="U2677" t="s">
        <v>2361</v>
      </c>
      <c r="V2677" t="s">
        <v>40</v>
      </c>
      <c r="W2677" s="1">
        <v>2199800</v>
      </c>
    </row>
    <row r="2678" spans="1:23" x14ac:dyDescent="0.2">
      <c r="A2678" t="s">
        <v>2096</v>
      </c>
      <c r="B2678" t="s">
        <v>2097</v>
      </c>
      <c r="C2678" t="s">
        <v>2233</v>
      </c>
      <c r="D2678" t="s">
        <v>2344</v>
      </c>
      <c r="E2678" t="s">
        <v>2345</v>
      </c>
      <c r="F2678" t="s">
        <v>2346</v>
      </c>
      <c r="G2678" t="s">
        <v>127</v>
      </c>
      <c r="H2678" t="s">
        <v>52</v>
      </c>
      <c r="I2678" t="s">
        <v>30</v>
      </c>
      <c r="J2678" t="s">
        <v>31</v>
      </c>
      <c r="K2678" t="s">
        <v>32</v>
      </c>
      <c r="L2678" t="s">
        <v>32</v>
      </c>
      <c r="M2678" t="s">
        <v>33</v>
      </c>
      <c r="N2678" t="s">
        <v>33</v>
      </c>
      <c r="O2678" t="s">
        <v>33</v>
      </c>
      <c r="P2678" t="s">
        <v>34</v>
      </c>
      <c r="Q2678" t="s">
        <v>35</v>
      </c>
      <c r="R2678" t="s">
        <v>36</v>
      </c>
      <c r="S2678" t="s">
        <v>30</v>
      </c>
      <c r="T2678" t="s">
        <v>2362</v>
      </c>
      <c r="U2678" t="s">
        <v>2363</v>
      </c>
      <c r="V2678" t="s">
        <v>39</v>
      </c>
      <c r="W2678" s="1">
        <v>2</v>
      </c>
    </row>
    <row r="2679" spans="1:23" x14ac:dyDescent="0.2">
      <c r="A2679" t="s">
        <v>2096</v>
      </c>
      <c r="B2679" t="s">
        <v>2097</v>
      </c>
      <c r="C2679" t="s">
        <v>2233</v>
      </c>
      <c r="D2679" t="s">
        <v>2344</v>
      </c>
      <c r="E2679" t="s">
        <v>2345</v>
      </c>
      <c r="F2679" t="s">
        <v>2346</v>
      </c>
      <c r="G2679" t="s">
        <v>127</v>
      </c>
      <c r="H2679" t="s">
        <v>52</v>
      </c>
      <c r="I2679" t="s">
        <v>30</v>
      </c>
      <c r="J2679" t="s">
        <v>31</v>
      </c>
      <c r="K2679" t="s">
        <v>32</v>
      </c>
      <c r="L2679" t="s">
        <v>32</v>
      </c>
      <c r="M2679" t="s">
        <v>33</v>
      </c>
      <c r="N2679" t="s">
        <v>33</v>
      </c>
      <c r="O2679" t="s">
        <v>33</v>
      </c>
      <c r="P2679" t="s">
        <v>34</v>
      </c>
      <c r="Q2679" t="s">
        <v>35</v>
      </c>
      <c r="R2679" t="s">
        <v>36</v>
      </c>
      <c r="S2679" t="s">
        <v>30</v>
      </c>
      <c r="T2679" t="s">
        <v>2362</v>
      </c>
      <c r="U2679" t="s">
        <v>2363</v>
      </c>
      <c r="V2679" t="s">
        <v>40</v>
      </c>
      <c r="W2679" s="1">
        <v>2835800</v>
      </c>
    </row>
    <row r="2680" spans="1:23" x14ac:dyDescent="0.2">
      <c r="A2680" t="s">
        <v>2096</v>
      </c>
      <c r="B2680" t="s">
        <v>2097</v>
      </c>
      <c r="C2680" t="s">
        <v>2233</v>
      </c>
      <c r="D2680" t="s">
        <v>2344</v>
      </c>
      <c r="E2680" t="s">
        <v>2345</v>
      </c>
      <c r="F2680" t="s">
        <v>2346</v>
      </c>
      <c r="G2680" t="s">
        <v>134</v>
      </c>
      <c r="H2680" t="s">
        <v>52</v>
      </c>
      <c r="I2680" t="s">
        <v>30</v>
      </c>
      <c r="J2680" t="s">
        <v>31</v>
      </c>
      <c r="K2680" t="s">
        <v>32</v>
      </c>
      <c r="L2680" t="s">
        <v>32</v>
      </c>
      <c r="M2680" t="s">
        <v>33</v>
      </c>
      <c r="N2680" t="s">
        <v>33</v>
      </c>
      <c r="O2680" t="s">
        <v>33</v>
      </c>
      <c r="P2680" t="s">
        <v>34</v>
      </c>
      <c r="Q2680" t="s">
        <v>35</v>
      </c>
      <c r="S2680" t="s">
        <v>30</v>
      </c>
      <c r="T2680" t="s">
        <v>2077</v>
      </c>
      <c r="U2680" t="s">
        <v>2364</v>
      </c>
      <c r="V2680" t="s">
        <v>39</v>
      </c>
      <c r="W2680" s="1">
        <v>2</v>
      </c>
    </row>
    <row r="2681" spans="1:23" x14ac:dyDescent="0.2">
      <c r="A2681" t="s">
        <v>2096</v>
      </c>
      <c r="B2681" t="s">
        <v>2097</v>
      </c>
      <c r="C2681" t="s">
        <v>2233</v>
      </c>
      <c r="D2681" t="s">
        <v>2344</v>
      </c>
      <c r="E2681" t="s">
        <v>2345</v>
      </c>
      <c r="F2681" t="s">
        <v>2346</v>
      </c>
      <c r="G2681" t="s">
        <v>134</v>
      </c>
      <c r="H2681" t="s">
        <v>52</v>
      </c>
      <c r="I2681" t="s">
        <v>30</v>
      </c>
      <c r="J2681" t="s">
        <v>31</v>
      </c>
      <c r="K2681" t="s">
        <v>32</v>
      </c>
      <c r="L2681" t="s">
        <v>32</v>
      </c>
      <c r="M2681" t="s">
        <v>33</v>
      </c>
      <c r="N2681" t="s">
        <v>33</v>
      </c>
      <c r="O2681" t="s">
        <v>33</v>
      </c>
      <c r="P2681" t="s">
        <v>34</v>
      </c>
      <c r="Q2681" t="s">
        <v>35</v>
      </c>
      <c r="S2681" t="s">
        <v>30</v>
      </c>
      <c r="T2681" t="s">
        <v>2077</v>
      </c>
      <c r="U2681" t="s">
        <v>2364</v>
      </c>
      <c r="V2681" t="s">
        <v>40</v>
      </c>
      <c r="W2681" s="1">
        <v>1599800</v>
      </c>
    </row>
    <row r="2682" spans="1:23" x14ac:dyDescent="0.2">
      <c r="A2682" t="s">
        <v>2096</v>
      </c>
      <c r="B2682" t="s">
        <v>2097</v>
      </c>
      <c r="C2682" t="s">
        <v>2233</v>
      </c>
      <c r="D2682" t="s">
        <v>2344</v>
      </c>
      <c r="E2682" t="s">
        <v>2345</v>
      </c>
      <c r="F2682" t="s">
        <v>2346</v>
      </c>
      <c r="G2682" t="s">
        <v>134</v>
      </c>
      <c r="H2682" t="s">
        <v>52</v>
      </c>
      <c r="I2682" t="s">
        <v>30</v>
      </c>
      <c r="J2682" t="s">
        <v>41</v>
      </c>
      <c r="K2682" t="s">
        <v>32</v>
      </c>
      <c r="L2682" t="s">
        <v>32</v>
      </c>
      <c r="M2682" t="s">
        <v>33</v>
      </c>
      <c r="N2682" t="s">
        <v>33</v>
      </c>
      <c r="O2682" t="s">
        <v>33</v>
      </c>
      <c r="P2682" t="s">
        <v>34</v>
      </c>
      <c r="Q2682" t="s">
        <v>35</v>
      </c>
      <c r="R2682" t="s">
        <v>162</v>
      </c>
      <c r="S2682" t="s">
        <v>30</v>
      </c>
      <c r="T2682" t="s">
        <v>2365</v>
      </c>
      <c r="U2682" t="s">
        <v>2366</v>
      </c>
      <c r="V2682" t="s">
        <v>39</v>
      </c>
      <c r="W2682" s="1">
        <v>2</v>
      </c>
    </row>
    <row r="2683" spans="1:23" x14ac:dyDescent="0.2">
      <c r="A2683" t="s">
        <v>2096</v>
      </c>
      <c r="B2683" t="s">
        <v>2097</v>
      </c>
      <c r="C2683" t="s">
        <v>2233</v>
      </c>
      <c r="D2683" t="s">
        <v>2344</v>
      </c>
      <c r="E2683" t="s">
        <v>2345</v>
      </c>
      <c r="F2683" t="s">
        <v>2346</v>
      </c>
      <c r="G2683" t="s">
        <v>134</v>
      </c>
      <c r="H2683" t="s">
        <v>52</v>
      </c>
      <c r="I2683" t="s">
        <v>30</v>
      </c>
      <c r="J2683" t="s">
        <v>41</v>
      </c>
      <c r="K2683" t="s">
        <v>32</v>
      </c>
      <c r="L2683" t="s">
        <v>32</v>
      </c>
      <c r="M2683" t="s">
        <v>33</v>
      </c>
      <c r="N2683" t="s">
        <v>33</v>
      </c>
      <c r="O2683" t="s">
        <v>33</v>
      </c>
      <c r="P2683" t="s">
        <v>34</v>
      </c>
      <c r="Q2683" t="s">
        <v>35</v>
      </c>
      <c r="R2683" t="s">
        <v>162</v>
      </c>
      <c r="S2683" t="s">
        <v>30</v>
      </c>
      <c r="T2683" t="s">
        <v>2365</v>
      </c>
      <c r="U2683" t="s">
        <v>2366</v>
      </c>
      <c r="V2683" t="s">
        <v>40</v>
      </c>
      <c r="W2683" s="1">
        <v>5990400</v>
      </c>
    </row>
    <row r="2684" spans="1:23" x14ac:dyDescent="0.2">
      <c r="A2684" t="s">
        <v>2096</v>
      </c>
      <c r="B2684" t="s">
        <v>2097</v>
      </c>
      <c r="C2684" t="s">
        <v>2233</v>
      </c>
      <c r="D2684" t="s">
        <v>2367</v>
      </c>
      <c r="E2684" t="s">
        <v>2368</v>
      </c>
      <c r="F2684" t="s">
        <v>2369</v>
      </c>
      <c r="G2684" t="s">
        <v>29</v>
      </c>
      <c r="H2684" t="s">
        <v>30</v>
      </c>
      <c r="I2684" t="s">
        <v>30</v>
      </c>
      <c r="J2684" t="s">
        <v>128</v>
      </c>
      <c r="K2684" t="s">
        <v>135</v>
      </c>
      <c r="L2684" t="s">
        <v>32</v>
      </c>
      <c r="M2684" t="s">
        <v>33</v>
      </c>
      <c r="P2684" t="s">
        <v>213</v>
      </c>
      <c r="Q2684" t="s">
        <v>2111</v>
      </c>
      <c r="R2684" t="s">
        <v>136</v>
      </c>
      <c r="S2684" t="s">
        <v>52</v>
      </c>
      <c r="T2684" t="s">
        <v>2370</v>
      </c>
      <c r="U2684" t="s">
        <v>2371</v>
      </c>
      <c r="V2684" t="s">
        <v>39</v>
      </c>
      <c r="W2684" s="1">
        <v>0</v>
      </c>
    </row>
    <row r="2685" spans="1:23" x14ac:dyDescent="0.2">
      <c r="A2685" t="s">
        <v>2096</v>
      </c>
      <c r="B2685" t="s">
        <v>2097</v>
      </c>
      <c r="C2685" t="s">
        <v>2233</v>
      </c>
      <c r="D2685" t="s">
        <v>2367</v>
      </c>
      <c r="E2685" t="s">
        <v>2368</v>
      </c>
      <c r="F2685" t="s">
        <v>2369</v>
      </c>
      <c r="G2685" t="s">
        <v>29</v>
      </c>
      <c r="H2685" t="s">
        <v>30</v>
      </c>
      <c r="I2685" t="s">
        <v>30</v>
      </c>
      <c r="J2685" t="s">
        <v>128</v>
      </c>
      <c r="K2685" t="s">
        <v>135</v>
      </c>
      <c r="L2685" t="s">
        <v>32</v>
      </c>
      <c r="M2685" t="s">
        <v>33</v>
      </c>
      <c r="P2685" t="s">
        <v>213</v>
      </c>
      <c r="Q2685" t="s">
        <v>2111</v>
      </c>
      <c r="R2685" t="s">
        <v>136</v>
      </c>
      <c r="S2685" t="s">
        <v>52</v>
      </c>
      <c r="T2685" t="s">
        <v>2370</v>
      </c>
      <c r="U2685" t="s">
        <v>2371</v>
      </c>
      <c r="V2685" t="s">
        <v>40</v>
      </c>
      <c r="W2685" s="1">
        <v>665800</v>
      </c>
    </row>
    <row r="2686" spans="1:23" x14ac:dyDescent="0.2">
      <c r="A2686" t="s">
        <v>2096</v>
      </c>
      <c r="B2686" t="s">
        <v>2097</v>
      </c>
      <c r="C2686" t="s">
        <v>2233</v>
      </c>
      <c r="D2686" t="s">
        <v>2367</v>
      </c>
      <c r="E2686" t="s">
        <v>2368</v>
      </c>
      <c r="F2686" t="s">
        <v>2369</v>
      </c>
      <c r="G2686" t="s">
        <v>29</v>
      </c>
      <c r="H2686" t="s">
        <v>30</v>
      </c>
      <c r="I2686" t="s">
        <v>30</v>
      </c>
      <c r="J2686" t="s">
        <v>31</v>
      </c>
      <c r="K2686" t="s">
        <v>32</v>
      </c>
      <c r="L2686" t="s">
        <v>32</v>
      </c>
      <c r="M2686" t="s">
        <v>33</v>
      </c>
      <c r="N2686" t="s">
        <v>33</v>
      </c>
      <c r="O2686" t="s">
        <v>33</v>
      </c>
      <c r="P2686" t="s">
        <v>213</v>
      </c>
      <c r="Q2686" t="s">
        <v>2111</v>
      </c>
      <c r="S2686" t="s">
        <v>30</v>
      </c>
      <c r="T2686" t="s">
        <v>2372</v>
      </c>
      <c r="U2686" t="s">
        <v>2373</v>
      </c>
      <c r="V2686" t="s">
        <v>39</v>
      </c>
      <c r="W2686" s="1">
        <v>2</v>
      </c>
    </row>
    <row r="2687" spans="1:23" x14ac:dyDescent="0.2">
      <c r="A2687" t="s">
        <v>2096</v>
      </c>
      <c r="B2687" t="s">
        <v>2097</v>
      </c>
      <c r="C2687" t="s">
        <v>2233</v>
      </c>
      <c r="D2687" t="s">
        <v>2367</v>
      </c>
      <c r="E2687" t="s">
        <v>2368</v>
      </c>
      <c r="F2687" t="s">
        <v>2369</v>
      </c>
      <c r="G2687" t="s">
        <v>29</v>
      </c>
      <c r="H2687" t="s">
        <v>30</v>
      </c>
      <c r="I2687" t="s">
        <v>30</v>
      </c>
      <c r="J2687" t="s">
        <v>31</v>
      </c>
      <c r="K2687" t="s">
        <v>32</v>
      </c>
      <c r="L2687" t="s">
        <v>32</v>
      </c>
      <c r="M2687" t="s">
        <v>33</v>
      </c>
      <c r="N2687" t="s">
        <v>33</v>
      </c>
      <c r="O2687" t="s">
        <v>33</v>
      </c>
      <c r="P2687" t="s">
        <v>213</v>
      </c>
      <c r="Q2687" t="s">
        <v>2111</v>
      </c>
      <c r="S2687" t="s">
        <v>30</v>
      </c>
      <c r="T2687" t="s">
        <v>2372</v>
      </c>
      <c r="U2687" t="s">
        <v>2373</v>
      </c>
      <c r="V2687" t="s">
        <v>40</v>
      </c>
      <c r="W2687" s="1">
        <v>1399800</v>
      </c>
    </row>
    <row r="2688" spans="1:23" x14ac:dyDescent="0.2">
      <c r="A2688" t="s">
        <v>2096</v>
      </c>
      <c r="B2688" t="s">
        <v>2097</v>
      </c>
      <c r="C2688" t="s">
        <v>2233</v>
      </c>
      <c r="D2688" t="s">
        <v>2367</v>
      </c>
      <c r="E2688" t="s">
        <v>2368</v>
      </c>
      <c r="F2688" t="s">
        <v>2369</v>
      </c>
      <c r="G2688" t="s">
        <v>29</v>
      </c>
      <c r="H2688" t="s">
        <v>30</v>
      </c>
      <c r="I2688" t="s">
        <v>30</v>
      </c>
      <c r="J2688" t="s">
        <v>31</v>
      </c>
      <c r="K2688" t="s">
        <v>32</v>
      </c>
      <c r="L2688" t="s">
        <v>32</v>
      </c>
      <c r="M2688" t="s">
        <v>33</v>
      </c>
      <c r="P2688" t="s">
        <v>34</v>
      </c>
      <c r="Q2688" t="s">
        <v>35</v>
      </c>
      <c r="S2688" t="s">
        <v>30</v>
      </c>
      <c r="T2688" t="s">
        <v>2374</v>
      </c>
      <c r="U2688" t="s">
        <v>2375</v>
      </c>
      <c r="V2688" t="s">
        <v>39</v>
      </c>
      <c r="W2688" s="1">
        <v>12</v>
      </c>
    </row>
    <row r="2689" spans="1:23" x14ac:dyDescent="0.2">
      <c r="A2689" t="s">
        <v>2096</v>
      </c>
      <c r="B2689" t="s">
        <v>2097</v>
      </c>
      <c r="C2689" t="s">
        <v>2233</v>
      </c>
      <c r="D2689" t="s">
        <v>2367</v>
      </c>
      <c r="E2689" t="s">
        <v>2368</v>
      </c>
      <c r="F2689" t="s">
        <v>2369</v>
      </c>
      <c r="G2689" t="s">
        <v>29</v>
      </c>
      <c r="H2689" t="s">
        <v>30</v>
      </c>
      <c r="I2689" t="s">
        <v>30</v>
      </c>
      <c r="J2689" t="s">
        <v>31</v>
      </c>
      <c r="K2689" t="s">
        <v>32</v>
      </c>
      <c r="L2689" t="s">
        <v>32</v>
      </c>
      <c r="M2689" t="s">
        <v>33</v>
      </c>
      <c r="P2689" t="s">
        <v>34</v>
      </c>
      <c r="Q2689" t="s">
        <v>35</v>
      </c>
      <c r="S2689" t="s">
        <v>30</v>
      </c>
      <c r="T2689" t="s">
        <v>2374</v>
      </c>
      <c r="U2689" t="s">
        <v>2375</v>
      </c>
      <c r="V2689" t="s">
        <v>40</v>
      </c>
      <c r="W2689" s="1">
        <v>10140000</v>
      </c>
    </row>
    <row r="2690" spans="1:23" x14ac:dyDescent="0.2">
      <c r="A2690" t="s">
        <v>2096</v>
      </c>
      <c r="B2690" t="s">
        <v>2097</v>
      </c>
      <c r="C2690" t="s">
        <v>2233</v>
      </c>
      <c r="D2690" t="s">
        <v>2367</v>
      </c>
      <c r="E2690" t="s">
        <v>2368</v>
      </c>
      <c r="F2690" t="s">
        <v>2369</v>
      </c>
      <c r="G2690" t="s">
        <v>49</v>
      </c>
      <c r="H2690" t="s">
        <v>30</v>
      </c>
      <c r="I2690" t="s">
        <v>30</v>
      </c>
      <c r="J2690" t="s">
        <v>31</v>
      </c>
      <c r="K2690" t="s">
        <v>32</v>
      </c>
      <c r="L2690" t="s">
        <v>32</v>
      </c>
      <c r="M2690" t="s">
        <v>33</v>
      </c>
      <c r="N2690" t="s">
        <v>33</v>
      </c>
      <c r="O2690" t="s">
        <v>33</v>
      </c>
      <c r="P2690" t="s">
        <v>34</v>
      </c>
      <c r="Q2690" t="s">
        <v>35</v>
      </c>
      <c r="R2690" t="s">
        <v>73</v>
      </c>
      <c r="S2690" t="s">
        <v>30</v>
      </c>
      <c r="T2690" t="s">
        <v>2376</v>
      </c>
      <c r="U2690" t="s">
        <v>2377</v>
      </c>
      <c r="V2690" t="s">
        <v>39</v>
      </c>
      <c r="W2690" s="1">
        <v>1</v>
      </c>
    </row>
    <row r="2691" spans="1:23" x14ac:dyDescent="0.2">
      <c r="A2691" t="s">
        <v>2096</v>
      </c>
      <c r="B2691" t="s">
        <v>2097</v>
      </c>
      <c r="C2691" t="s">
        <v>2233</v>
      </c>
      <c r="D2691" t="s">
        <v>2367</v>
      </c>
      <c r="E2691" t="s">
        <v>2368</v>
      </c>
      <c r="F2691" t="s">
        <v>2369</v>
      </c>
      <c r="G2691" t="s">
        <v>49</v>
      </c>
      <c r="H2691" t="s">
        <v>30</v>
      </c>
      <c r="I2691" t="s">
        <v>30</v>
      </c>
      <c r="J2691" t="s">
        <v>31</v>
      </c>
      <c r="K2691" t="s">
        <v>32</v>
      </c>
      <c r="L2691" t="s">
        <v>32</v>
      </c>
      <c r="M2691" t="s">
        <v>33</v>
      </c>
      <c r="N2691" t="s">
        <v>33</v>
      </c>
      <c r="O2691" t="s">
        <v>33</v>
      </c>
      <c r="P2691" t="s">
        <v>34</v>
      </c>
      <c r="Q2691" t="s">
        <v>35</v>
      </c>
      <c r="R2691" t="s">
        <v>73</v>
      </c>
      <c r="S2691" t="s">
        <v>30</v>
      </c>
      <c r="T2691" t="s">
        <v>2376</v>
      </c>
      <c r="U2691" t="s">
        <v>2377</v>
      </c>
      <c r="V2691" t="s">
        <v>40</v>
      </c>
      <c r="W2691" s="1">
        <v>1599000</v>
      </c>
    </row>
    <row r="2692" spans="1:23" x14ac:dyDescent="0.2">
      <c r="A2692" t="s">
        <v>2096</v>
      </c>
      <c r="B2692" t="s">
        <v>2097</v>
      </c>
      <c r="C2692" t="s">
        <v>2233</v>
      </c>
      <c r="D2692" t="s">
        <v>2367</v>
      </c>
      <c r="E2692" t="s">
        <v>2368</v>
      </c>
      <c r="F2692" t="s">
        <v>2369</v>
      </c>
      <c r="G2692" t="s">
        <v>49</v>
      </c>
      <c r="H2692" t="s">
        <v>30</v>
      </c>
      <c r="I2692" t="s">
        <v>30</v>
      </c>
      <c r="J2692" t="s">
        <v>31</v>
      </c>
      <c r="K2692" t="s">
        <v>32</v>
      </c>
      <c r="L2692" t="s">
        <v>32</v>
      </c>
      <c r="M2692" t="s">
        <v>33</v>
      </c>
      <c r="N2692" t="s">
        <v>169</v>
      </c>
      <c r="O2692" t="s">
        <v>169</v>
      </c>
      <c r="P2692" t="s">
        <v>34</v>
      </c>
      <c r="Q2692" t="s">
        <v>35</v>
      </c>
      <c r="R2692" t="s">
        <v>73</v>
      </c>
      <c r="S2692" t="s">
        <v>30</v>
      </c>
      <c r="T2692" t="s">
        <v>2376</v>
      </c>
      <c r="U2692" t="s">
        <v>2377</v>
      </c>
      <c r="V2692" t="s">
        <v>39</v>
      </c>
      <c r="W2692" s="1">
        <v>2</v>
      </c>
    </row>
    <row r="2693" spans="1:23" x14ac:dyDescent="0.2">
      <c r="A2693" t="s">
        <v>2096</v>
      </c>
      <c r="B2693" t="s">
        <v>2097</v>
      </c>
      <c r="C2693" t="s">
        <v>2233</v>
      </c>
      <c r="D2693" t="s">
        <v>2367</v>
      </c>
      <c r="E2693" t="s">
        <v>2368</v>
      </c>
      <c r="F2693" t="s">
        <v>2369</v>
      </c>
      <c r="G2693" t="s">
        <v>49</v>
      </c>
      <c r="H2693" t="s">
        <v>30</v>
      </c>
      <c r="I2693" t="s">
        <v>30</v>
      </c>
      <c r="J2693" t="s">
        <v>31</v>
      </c>
      <c r="K2693" t="s">
        <v>32</v>
      </c>
      <c r="L2693" t="s">
        <v>32</v>
      </c>
      <c r="M2693" t="s">
        <v>33</v>
      </c>
      <c r="N2693" t="s">
        <v>169</v>
      </c>
      <c r="O2693" t="s">
        <v>169</v>
      </c>
      <c r="P2693" t="s">
        <v>34</v>
      </c>
      <c r="Q2693" t="s">
        <v>35</v>
      </c>
      <c r="R2693" t="s">
        <v>73</v>
      </c>
      <c r="S2693" t="s">
        <v>30</v>
      </c>
      <c r="T2693" t="s">
        <v>2376</v>
      </c>
      <c r="U2693" t="s">
        <v>2377</v>
      </c>
      <c r="V2693" t="s">
        <v>40</v>
      </c>
      <c r="W2693" s="1">
        <v>3198000</v>
      </c>
    </row>
    <row r="2694" spans="1:23" x14ac:dyDescent="0.2">
      <c r="A2694" t="s">
        <v>2096</v>
      </c>
      <c r="B2694" t="s">
        <v>2097</v>
      </c>
      <c r="C2694" t="s">
        <v>2233</v>
      </c>
      <c r="D2694" t="s">
        <v>2367</v>
      </c>
      <c r="E2694" t="s">
        <v>2368</v>
      </c>
      <c r="F2694" t="s">
        <v>2369</v>
      </c>
      <c r="G2694" t="s">
        <v>61</v>
      </c>
      <c r="H2694" t="s">
        <v>52</v>
      </c>
      <c r="I2694" t="s">
        <v>52</v>
      </c>
      <c r="J2694" t="s">
        <v>31</v>
      </c>
      <c r="K2694" t="s">
        <v>32</v>
      </c>
      <c r="L2694" t="s">
        <v>32</v>
      </c>
      <c r="M2694" t="s">
        <v>33</v>
      </c>
      <c r="N2694" t="s">
        <v>33</v>
      </c>
      <c r="O2694" t="s">
        <v>33</v>
      </c>
      <c r="P2694" t="s">
        <v>213</v>
      </c>
      <c r="Q2694" t="s">
        <v>2118</v>
      </c>
      <c r="S2694" t="s">
        <v>30</v>
      </c>
      <c r="T2694" t="s">
        <v>2378</v>
      </c>
      <c r="U2694" t="s">
        <v>2379</v>
      </c>
      <c r="V2694" t="s">
        <v>39</v>
      </c>
      <c r="W2694" s="1">
        <v>3</v>
      </c>
    </row>
    <row r="2695" spans="1:23" x14ac:dyDescent="0.2">
      <c r="A2695" t="s">
        <v>2096</v>
      </c>
      <c r="B2695" t="s">
        <v>2097</v>
      </c>
      <c r="C2695" t="s">
        <v>2233</v>
      </c>
      <c r="D2695" t="s">
        <v>2367</v>
      </c>
      <c r="E2695" t="s">
        <v>2368</v>
      </c>
      <c r="F2695" t="s">
        <v>2369</v>
      </c>
      <c r="G2695" t="s">
        <v>61</v>
      </c>
      <c r="H2695" t="s">
        <v>52</v>
      </c>
      <c r="I2695" t="s">
        <v>52</v>
      </c>
      <c r="J2695" t="s">
        <v>31</v>
      </c>
      <c r="K2695" t="s">
        <v>32</v>
      </c>
      <c r="L2695" t="s">
        <v>32</v>
      </c>
      <c r="M2695" t="s">
        <v>33</v>
      </c>
      <c r="N2695" t="s">
        <v>33</v>
      </c>
      <c r="O2695" t="s">
        <v>33</v>
      </c>
      <c r="P2695" t="s">
        <v>213</v>
      </c>
      <c r="Q2695" t="s">
        <v>2118</v>
      </c>
      <c r="S2695" t="s">
        <v>30</v>
      </c>
      <c r="T2695" t="s">
        <v>2378</v>
      </c>
      <c r="U2695" t="s">
        <v>2379</v>
      </c>
      <c r="V2695" t="s">
        <v>40</v>
      </c>
      <c r="W2695" s="1">
        <v>4739700</v>
      </c>
    </row>
    <row r="2696" spans="1:23" x14ac:dyDescent="0.2">
      <c r="A2696" t="s">
        <v>2096</v>
      </c>
      <c r="B2696" t="s">
        <v>2097</v>
      </c>
      <c r="C2696" t="s">
        <v>2233</v>
      </c>
      <c r="D2696" t="s">
        <v>2367</v>
      </c>
      <c r="E2696" t="s">
        <v>2368</v>
      </c>
      <c r="F2696" t="s">
        <v>2369</v>
      </c>
      <c r="G2696" t="s">
        <v>61</v>
      </c>
      <c r="H2696" t="s">
        <v>52</v>
      </c>
      <c r="I2696" t="s">
        <v>52</v>
      </c>
      <c r="J2696" t="s">
        <v>31</v>
      </c>
      <c r="K2696" t="s">
        <v>32</v>
      </c>
      <c r="L2696" t="s">
        <v>32</v>
      </c>
      <c r="M2696" t="s">
        <v>33</v>
      </c>
      <c r="N2696" t="s">
        <v>33</v>
      </c>
      <c r="O2696" t="s">
        <v>33</v>
      </c>
      <c r="P2696" t="s">
        <v>34</v>
      </c>
      <c r="Q2696" t="s">
        <v>35</v>
      </c>
      <c r="S2696" t="s">
        <v>30</v>
      </c>
      <c r="T2696" t="s">
        <v>2380</v>
      </c>
      <c r="U2696" t="s">
        <v>2381</v>
      </c>
      <c r="V2696" t="s">
        <v>39</v>
      </c>
      <c r="W2696" s="1">
        <v>3</v>
      </c>
    </row>
    <row r="2697" spans="1:23" x14ac:dyDescent="0.2">
      <c r="A2697" t="s">
        <v>2096</v>
      </c>
      <c r="B2697" t="s">
        <v>2097</v>
      </c>
      <c r="C2697" t="s">
        <v>2233</v>
      </c>
      <c r="D2697" t="s">
        <v>2367</v>
      </c>
      <c r="E2697" t="s">
        <v>2368</v>
      </c>
      <c r="F2697" t="s">
        <v>2369</v>
      </c>
      <c r="G2697" t="s">
        <v>61</v>
      </c>
      <c r="H2697" t="s">
        <v>52</v>
      </c>
      <c r="I2697" t="s">
        <v>52</v>
      </c>
      <c r="J2697" t="s">
        <v>31</v>
      </c>
      <c r="K2697" t="s">
        <v>32</v>
      </c>
      <c r="L2697" t="s">
        <v>32</v>
      </c>
      <c r="M2697" t="s">
        <v>33</v>
      </c>
      <c r="N2697" t="s">
        <v>33</v>
      </c>
      <c r="O2697" t="s">
        <v>33</v>
      </c>
      <c r="P2697" t="s">
        <v>34</v>
      </c>
      <c r="Q2697" t="s">
        <v>35</v>
      </c>
      <c r="S2697" t="s">
        <v>30</v>
      </c>
      <c r="T2697" t="s">
        <v>2380</v>
      </c>
      <c r="U2697" t="s">
        <v>2381</v>
      </c>
      <c r="V2697" t="s">
        <v>40</v>
      </c>
      <c r="W2697" s="1">
        <v>503700</v>
      </c>
    </row>
    <row r="2698" spans="1:23" x14ac:dyDescent="0.2">
      <c r="A2698" t="s">
        <v>2096</v>
      </c>
      <c r="B2698" t="s">
        <v>2097</v>
      </c>
      <c r="C2698" t="s">
        <v>2233</v>
      </c>
      <c r="D2698" t="s">
        <v>2367</v>
      </c>
      <c r="E2698" t="s">
        <v>2368</v>
      </c>
      <c r="F2698" t="s">
        <v>2369</v>
      </c>
      <c r="G2698" t="s">
        <v>61</v>
      </c>
      <c r="H2698" t="s">
        <v>52</v>
      </c>
      <c r="I2698" t="s">
        <v>52</v>
      </c>
      <c r="J2698" t="s">
        <v>31</v>
      </c>
      <c r="K2698" t="s">
        <v>32</v>
      </c>
      <c r="L2698" t="s">
        <v>32</v>
      </c>
      <c r="M2698" t="s">
        <v>33</v>
      </c>
      <c r="N2698" t="s">
        <v>33</v>
      </c>
      <c r="O2698" t="s">
        <v>33</v>
      </c>
      <c r="P2698" t="s">
        <v>34</v>
      </c>
      <c r="Q2698" t="s">
        <v>35</v>
      </c>
      <c r="S2698" t="s">
        <v>30</v>
      </c>
      <c r="T2698" t="s">
        <v>2382</v>
      </c>
      <c r="U2698" t="s">
        <v>2383</v>
      </c>
      <c r="V2698" t="s">
        <v>39</v>
      </c>
      <c r="W2698" s="1">
        <v>2</v>
      </c>
    </row>
    <row r="2699" spans="1:23" x14ac:dyDescent="0.2">
      <c r="A2699" t="s">
        <v>2096</v>
      </c>
      <c r="B2699" t="s">
        <v>2097</v>
      </c>
      <c r="C2699" t="s">
        <v>2233</v>
      </c>
      <c r="D2699" t="s">
        <v>2367</v>
      </c>
      <c r="E2699" t="s">
        <v>2368</v>
      </c>
      <c r="F2699" t="s">
        <v>2369</v>
      </c>
      <c r="G2699" t="s">
        <v>61</v>
      </c>
      <c r="H2699" t="s">
        <v>52</v>
      </c>
      <c r="I2699" t="s">
        <v>52</v>
      </c>
      <c r="J2699" t="s">
        <v>31</v>
      </c>
      <c r="K2699" t="s">
        <v>32</v>
      </c>
      <c r="L2699" t="s">
        <v>32</v>
      </c>
      <c r="M2699" t="s">
        <v>33</v>
      </c>
      <c r="N2699" t="s">
        <v>33</v>
      </c>
      <c r="O2699" t="s">
        <v>33</v>
      </c>
      <c r="P2699" t="s">
        <v>34</v>
      </c>
      <c r="Q2699" t="s">
        <v>35</v>
      </c>
      <c r="S2699" t="s">
        <v>30</v>
      </c>
      <c r="T2699" t="s">
        <v>2382</v>
      </c>
      <c r="U2699" t="s">
        <v>2383</v>
      </c>
      <c r="V2699" t="s">
        <v>40</v>
      </c>
      <c r="W2699" s="1">
        <v>1951800</v>
      </c>
    </row>
    <row r="2700" spans="1:23" x14ac:dyDescent="0.2">
      <c r="A2700" t="s">
        <v>2096</v>
      </c>
      <c r="B2700" t="s">
        <v>2097</v>
      </c>
      <c r="C2700" t="s">
        <v>2233</v>
      </c>
      <c r="D2700" t="s">
        <v>2367</v>
      </c>
      <c r="E2700" t="s">
        <v>2368</v>
      </c>
      <c r="F2700" t="s">
        <v>2369</v>
      </c>
      <c r="G2700" t="s">
        <v>61</v>
      </c>
      <c r="H2700" t="s">
        <v>52</v>
      </c>
      <c r="I2700" t="s">
        <v>52</v>
      </c>
      <c r="J2700" t="s">
        <v>31</v>
      </c>
      <c r="K2700" t="s">
        <v>32</v>
      </c>
      <c r="L2700" t="s">
        <v>32</v>
      </c>
      <c r="M2700" t="s">
        <v>33</v>
      </c>
      <c r="N2700" t="s">
        <v>176</v>
      </c>
      <c r="O2700" t="s">
        <v>176</v>
      </c>
      <c r="P2700" t="s">
        <v>213</v>
      </c>
      <c r="Q2700" t="s">
        <v>2118</v>
      </c>
      <c r="S2700" t="s">
        <v>30</v>
      </c>
      <c r="T2700" t="s">
        <v>2378</v>
      </c>
      <c r="U2700" t="s">
        <v>2379</v>
      </c>
      <c r="V2700" t="s">
        <v>39</v>
      </c>
      <c r="W2700" s="1">
        <v>1</v>
      </c>
    </row>
    <row r="2701" spans="1:23" x14ac:dyDescent="0.2">
      <c r="A2701" t="s">
        <v>2096</v>
      </c>
      <c r="B2701" t="s">
        <v>2097</v>
      </c>
      <c r="C2701" t="s">
        <v>2233</v>
      </c>
      <c r="D2701" t="s">
        <v>2367</v>
      </c>
      <c r="E2701" t="s">
        <v>2368</v>
      </c>
      <c r="F2701" t="s">
        <v>2369</v>
      </c>
      <c r="G2701" t="s">
        <v>61</v>
      </c>
      <c r="H2701" t="s">
        <v>52</v>
      </c>
      <c r="I2701" t="s">
        <v>52</v>
      </c>
      <c r="J2701" t="s">
        <v>31</v>
      </c>
      <c r="K2701" t="s">
        <v>32</v>
      </c>
      <c r="L2701" t="s">
        <v>32</v>
      </c>
      <c r="M2701" t="s">
        <v>33</v>
      </c>
      <c r="N2701" t="s">
        <v>176</v>
      </c>
      <c r="O2701" t="s">
        <v>176</v>
      </c>
      <c r="P2701" t="s">
        <v>213</v>
      </c>
      <c r="Q2701" t="s">
        <v>2118</v>
      </c>
      <c r="S2701" t="s">
        <v>30</v>
      </c>
      <c r="T2701" t="s">
        <v>2378</v>
      </c>
      <c r="U2701" t="s">
        <v>2379</v>
      </c>
      <c r="V2701" t="s">
        <v>40</v>
      </c>
      <c r="W2701" s="1">
        <v>1579900</v>
      </c>
    </row>
    <row r="2702" spans="1:23" x14ac:dyDescent="0.2">
      <c r="A2702" t="s">
        <v>2096</v>
      </c>
      <c r="B2702" t="s">
        <v>2097</v>
      </c>
      <c r="C2702" t="s">
        <v>2233</v>
      </c>
      <c r="D2702" t="s">
        <v>2367</v>
      </c>
      <c r="E2702" t="s">
        <v>2368</v>
      </c>
      <c r="F2702" t="s">
        <v>2369</v>
      </c>
      <c r="G2702" t="s">
        <v>61</v>
      </c>
      <c r="H2702" t="s">
        <v>52</v>
      </c>
      <c r="I2702" t="s">
        <v>52</v>
      </c>
      <c r="J2702" t="s">
        <v>31</v>
      </c>
      <c r="K2702" t="s">
        <v>32</v>
      </c>
      <c r="L2702" t="s">
        <v>32</v>
      </c>
      <c r="M2702" t="s">
        <v>33</v>
      </c>
      <c r="N2702" t="s">
        <v>176</v>
      </c>
      <c r="O2702" t="s">
        <v>176</v>
      </c>
      <c r="P2702" t="s">
        <v>34</v>
      </c>
      <c r="Q2702" t="s">
        <v>35</v>
      </c>
      <c r="S2702" t="s">
        <v>30</v>
      </c>
      <c r="T2702" t="s">
        <v>2382</v>
      </c>
      <c r="U2702" t="s">
        <v>2383</v>
      </c>
      <c r="V2702" t="s">
        <v>39</v>
      </c>
      <c r="W2702" s="1">
        <v>1</v>
      </c>
    </row>
    <row r="2703" spans="1:23" x14ac:dyDescent="0.2">
      <c r="A2703" t="s">
        <v>2096</v>
      </c>
      <c r="B2703" t="s">
        <v>2097</v>
      </c>
      <c r="C2703" t="s">
        <v>2233</v>
      </c>
      <c r="D2703" t="s">
        <v>2367</v>
      </c>
      <c r="E2703" t="s">
        <v>2368</v>
      </c>
      <c r="F2703" t="s">
        <v>2369</v>
      </c>
      <c r="G2703" t="s">
        <v>61</v>
      </c>
      <c r="H2703" t="s">
        <v>52</v>
      </c>
      <c r="I2703" t="s">
        <v>52</v>
      </c>
      <c r="J2703" t="s">
        <v>31</v>
      </c>
      <c r="K2703" t="s">
        <v>32</v>
      </c>
      <c r="L2703" t="s">
        <v>32</v>
      </c>
      <c r="M2703" t="s">
        <v>33</v>
      </c>
      <c r="N2703" t="s">
        <v>176</v>
      </c>
      <c r="O2703" t="s">
        <v>176</v>
      </c>
      <c r="P2703" t="s">
        <v>34</v>
      </c>
      <c r="Q2703" t="s">
        <v>35</v>
      </c>
      <c r="S2703" t="s">
        <v>30</v>
      </c>
      <c r="T2703" t="s">
        <v>2382</v>
      </c>
      <c r="U2703" t="s">
        <v>2383</v>
      </c>
      <c r="V2703" t="s">
        <v>40</v>
      </c>
      <c r="W2703" s="1">
        <v>975900</v>
      </c>
    </row>
    <row r="2704" spans="1:23" x14ac:dyDescent="0.2">
      <c r="A2704" t="s">
        <v>2096</v>
      </c>
      <c r="B2704" t="s">
        <v>2097</v>
      </c>
      <c r="C2704" t="s">
        <v>2233</v>
      </c>
      <c r="D2704" t="s">
        <v>2367</v>
      </c>
      <c r="E2704" t="s">
        <v>2368</v>
      </c>
      <c r="F2704" t="s">
        <v>2369</v>
      </c>
      <c r="G2704" t="s">
        <v>61</v>
      </c>
      <c r="H2704" t="s">
        <v>52</v>
      </c>
      <c r="I2704" t="s">
        <v>52</v>
      </c>
      <c r="J2704" t="s">
        <v>31</v>
      </c>
      <c r="K2704" t="s">
        <v>32</v>
      </c>
      <c r="L2704" t="s">
        <v>32</v>
      </c>
      <c r="M2704" t="s">
        <v>176</v>
      </c>
      <c r="N2704" t="s">
        <v>176</v>
      </c>
      <c r="O2704" t="s">
        <v>176</v>
      </c>
      <c r="P2704" t="s">
        <v>34</v>
      </c>
      <c r="Q2704" t="s">
        <v>35</v>
      </c>
      <c r="S2704" t="s">
        <v>30</v>
      </c>
      <c r="T2704" t="s">
        <v>2382</v>
      </c>
      <c r="U2704" t="s">
        <v>2383</v>
      </c>
      <c r="V2704" t="s">
        <v>39</v>
      </c>
      <c r="W2704" s="1">
        <v>1</v>
      </c>
    </row>
    <row r="2705" spans="1:23" x14ac:dyDescent="0.2">
      <c r="A2705" t="s">
        <v>2096</v>
      </c>
      <c r="B2705" t="s">
        <v>2097</v>
      </c>
      <c r="C2705" t="s">
        <v>2233</v>
      </c>
      <c r="D2705" t="s">
        <v>2367</v>
      </c>
      <c r="E2705" t="s">
        <v>2368</v>
      </c>
      <c r="F2705" t="s">
        <v>2369</v>
      </c>
      <c r="G2705" t="s">
        <v>61</v>
      </c>
      <c r="H2705" t="s">
        <v>52</v>
      </c>
      <c r="I2705" t="s">
        <v>52</v>
      </c>
      <c r="J2705" t="s">
        <v>31</v>
      </c>
      <c r="K2705" t="s">
        <v>32</v>
      </c>
      <c r="L2705" t="s">
        <v>32</v>
      </c>
      <c r="M2705" t="s">
        <v>176</v>
      </c>
      <c r="N2705" t="s">
        <v>176</v>
      </c>
      <c r="O2705" t="s">
        <v>176</v>
      </c>
      <c r="P2705" t="s">
        <v>34</v>
      </c>
      <c r="Q2705" t="s">
        <v>35</v>
      </c>
      <c r="S2705" t="s">
        <v>30</v>
      </c>
      <c r="T2705" t="s">
        <v>2382</v>
      </c>
      <c r="U2705" t="s">
        <v>2383</v>
      </c>
      <c r="V2705" t="s">
        <v>40</v>
      </c>
      <c r="W2705" s="1">
        <v>975900</v>
      </c>
    </row>
    <row r="2706" spans="1:23" x14ac:dyDescent="0.2">
      <c r="A2706" t="s">
        <v>2096</v>
      </c>
      <c r="B2706" t="s">
        <v>2097</v>
      </c>
      <c r="C2706" t="s">
        <v>2233</v>
      </c>
      <c r="D2706" t="s">
        <v>2367</v>
      </c>
      <c r="E2706" t="s">
        <v>2368</v>
      </c>
      <c r="F2706" t="s">
        <v>2369</v>
      </c>
      <c r="G2706" t="s">
        <v>61</v>
      </c>
      <c r="H2706" t="s">
        <v>52</v>
      </c>
      <c r="I2706" t="s">
        <v>52</v>
      </c>
      <c r="J2706" t="s">
        <v>41</v>
      </c>
      <c r="K2706" t="s">
        <v>32</v>
      </c>
      <c r="L2706" t="s">
        <v>32</v>
      </c>
      <c r="M2706" t="s">
        <v>33</v>
      </c>
      <c r="P2706" t="s">
        <v>34</v>
      </c>
      <c r="Q2706" t="s">
        <v>35</v>
      </c>
      <c r="S2706" t="s">
        <v>52</v>
      </c>
      <c r="T2706" t="s">
        <v>2384</v>
      </c>
      <c r="U2706" t="s">
        <v>2385</v>
      </c>
      <c r="V2706" t="s">
        <v>39</v>
      </c>
      <c r="W2706" s="1">
        <v>0</v>
      </c>
    </row>
    <row r="2707" spans="1:23" x14ac:dyDescent="0.2">
      <c r="A2707" t="s">
        <v>2096</v>
      </c>
      <c r="B2707" t="s">
        <v>2097</v>
      </c>
      <c r="C2707" t="s">
        <v>2233</v>
      </c>
      <c r="D2707" t="s">
        <v>2367</v>
      </c>
      <c r="E2707" t="s">
        <v>2368</v>
      </c>
      <c r="F2707" t="s">
        <v>2369</v>
      </c>
      <c r="G2707" t="s">
        <v>61</v>
      </c>
      <c r="H2707" t="s">
        <v>52</v>
      </c>
      <c r="I2707" t="s">
        <v>52</v>
      </c>
      <c r="J2707" t="s">
        <v>41</v>
      </c>
      <c r="K2707" t="s">
        <v>32</v>
      </c>
      <c r="L2707" t="s">
        <v>32</v>
      </c>
      <c r="M2707" t="s">
        <v>33</v>
      </c>
      <c r="P2707" t="s">
        <v>34</v>
      </c>
      <c r="Q2707" t="s">
        <v>35</v>
      </c>
      <c r="S2707" t="s">
        <v>52</v>
      </c>
      <c r="T2707" t="s">
        <v>2384</v>
      </c>
      <c r="U2707" t="s">
        <v>2385</v>
      </c>
      <c r="V2707" t="s">
        <v>40</v>
      </c>
      <c r="W2707" s="1">
        <v>10159200</v>
      </c>
    </row>
    <row r="2708" spans="1:23" x14ac:dyDescent="0.2">
      <c r="A2708" t="s">
        <v>2096</v>
      </c>
      <c r="B2708" t="s">
        <v>2097</v>
      </c>
      <c r="C2708" t="s">
        <v>2233</v>
      </c>
      <c r="D2708" t="s">
        <v>2367</v>
      </c>
      <c r="E2708" t="s">
        <v>2368</v>
      </c>
      <c r="F2708" t="s">
        <v>2369</v>
      </c>
      <c r="G2708" t="s">
        <v>170</v>
      </c>
      <c r="H2708" t="s">
        <v>52</v>
      </c>
      <c r="I2708" t="s">
        <v>30</v>
      </c>
      <c r="J2708" t="s">
        <v>128</v>
      </c>
      <c r="K2708" t="s">
        <v>135</v>
      </c>
      <c r="L2708" t="s">
        <v>32</v>
      </c>
      <c r="M2708" t="s">
        <v>33</v>
      </c>
      <c r="N2708" t="s">
        <v>33</v>
      </c>
      <c r="O2708" t="s">
        <v>33</v>
      </c>
      <c r="P2708" t="s">
        <v>213</v>
      </c>
      <c r="Q2708" t="s">
        <v>2111</v>
      </c>
      <c r="R2708" t="s">
        <v>136</v>
      </c>
      <c r="S2708" t="s">
        <v>30</v>
      </c>
      <c r="T2708" t="s">
        <v>2386</v>
      </c>
      <c r="U2708" t="s">
        <v>2387</v>
      </c>
      <c r="V2708" t="s">
        <v>39</v>
      </c>
      <c r="W2708" s="1">
        <v>4</v>
      </c>
    </row>
    <row r="2709" spans="1:23" x14ac:dyDescent="0.2">
      <c r="A2709" t="s">
        <v>2096</v>
      </c>
      <c r="B2709" t="s">
        <v>2097</v>
      </c>
      <c r="C2709" t="s">
        <v>2233</v>
      </c>
      <c r="D2709" t="s">
        <v>2367</v>
      </c>
      <c r="E2709" t="s">
        <v>2368</v>
      </c>
      <c r="F2709" t="s">
        <v>2369</v>
      </c>
      <c r="G2709" t="s">
        <v>170</v>
      </c>
      <c r="H2709" t="s">
        <v>52</v>
      </c>
      <c r="I2709" t="s">
        <v>30</v>
      </c>
      <c r="J2709" t="s">
        <v>128</v>
      </c>
      <c r="K2709" t="s">
        <v>135</v>
      </c>
      <c r="L2709" t="s">
        <v>32</v>
      </c>
      <c r="M2709" t="s">
        <v>33</v>
      </c>
      <c r="N2709" t="s">
        <v>33</v>
      </c>
      <c r="O2709" t="s">
        <v>33</v>
      </c>
      <c r="P2709" t="s">
        <v>213</v>
      </c>
      <c r="Q2709" t="s">
        <v>2111</v>
      </c>
      <c r="R2709" t="s">
        <v>136</v>
      </c>
      <c r="S2709" t="s">
        <v>30</v>
      </c>
      <c r="T2709" t="s">
        <v>2386</v>
      </c>
      <c r="U2709" t="s">
        <v>2387</v>
      </c>
      <c r="V2709" t="s">
        <v>40</v>
      </c>
      <c r="W2709" s="1">
        <v>2411600</v>
      </c>
    </row>
    <row r="2710" spans="1:23" x14ac:dyDescent="0.2">
      <c r="A2710" t="s">
        <v>2096</v>
      </c>
      <c r="B2710" t="s">
        <v>2097</v>
      </c>
      <c r="C2710" t="s">
        <v>2233</v>
      </c>
      <c r="D2710" t="s">
        <v>2367</v>
      </c>
      <c r="E2710" t="s">
        <v>2368</v>
      </c>
      <c r="F2710" t="s">
        <v>2369</v>
      </c>
      <c r="G2710" t="s">
        <v>170</v>
      </c>
      <c r="H2710" t="s">
        <v>52</v>
      </c>
      <c r="I2710" t="s">
        <v>30</v>
      </c>
      <c r="J2710" t="s">
        <v>31</v>
      </c>
      <c r="K2710" t="s">
        <v>32</v>
      </c>
      <c r="L2710" t="s">
        <v>32</v>
      </c>
      <c r="M2710" t="s">
        <v>33</v>
      </c>
      <c r="N2710" t="s">
        <v>33</v>
      </c>
      <c r="O2710" t="s">
        <v>33</v>
      </c>
      <c r="P2710" t="s">
        <v>213</v>
      </c>
      <c r="Q2710" t="s">
        <v>2111</v>
      </c>
      <c r="R2710" t="s">
        <v>148</v>
      </c>
      <c r="S2710" t="s">
        <v>30</v>
      </c>
      <c r="T2710" t="s">
        <v>2388</v>
      </c>
      <c r="U2710" t="s">
        <v>2389</v>
      </c>
      <c r="V2710" t="s">
        <v>39</v>
      </c>
      <c r="W2710" s="1">
        <v>3</v>
      </c>
    </row>
    <row r="2711" spans="1:23" x14ac:dyDescent="0.2">
      <c r="A2711" t="s">
        <v>2096</v>
      </c>
      <c r="B2711" t="s">
        <v>2097</v>
      </c>
      <c r="C2711" t="s">
        <v>2233</v>
      </c>
      <c r="D2711" t="s">
        <v>2367</v>
      </c>
      <c r="E2711" t="s">
        <v>2368</v>
      </c>
      <c r="F2711" t="s">
        <v>2369</v>
      </c>
      <c r="G2711" t="s">
        <v>170</v>
      </c>
      <c r="H2711" t="s">
        <v>52</v>
      </c>
      <c r="I2711" t="s">
        <v>30</v>
      </c>
      <c r="J2711" t="s">
        <v>31</v>
      </c>
      <c r="K2711" t="s">
        <v>32</v>
      </c>
      <c r="L2711" t="s">
        <v>32</v>
      </c>
      <c r="M2711" t="s">
        <v>33</v>
      </c>
      <c r="N2711" t="s">
        <v>33</v>
      </c>
      <c r="O2711" t="s">
        <v>33</v>
      </c>
      <c r="P2711" t="s">
        <v>213</v>
      </c>
      <c r="Q2711" t="s">
        <v>2111</v>
      </c>
      <c r="R2711" t="s">
        <v>148</v>
      </c>
      <c r="S2711" t="s">
        <v>30</v>
      </c>
      <c r="T2711" t="s">
        <v>2388</v>
      </c>
      <c r="U2711" t="s">
        <v>2389</v>
      </c>
      <c r="V2711" t="s">
        <v>40</v>
      </c>
      <c r="W2711" s="1">
        <v>2183700</v>
      </c>
    </row>
    <row r="2712" spans="1:23" x14ac:dyDescent="0.2">
      <c r="A2712" t="s">
        <v>2096</v>
      </c>
      <c r="B2712" t="s">
        <v>2097</v>
      </c>
      <c r="C2712" t="s">
        <v>2233</v>
      </c>
      <c r="D2712" t="s">
        <v>2367</v>
      </c>
      <c r="E2712" t="s">
        <v>2368</v>
      </c>
      <c r="F2712" t="s">
        <v>2369</v>
      </c>
      <c r="G2712" t="s">
        <v>64</v>
      </c>
      <c r="H2712" t="s">
        <v>30</v>
      </c>
      <c r="I2712" t="s">
        <v>52</v>
      </c>
      <c r="J2712" t="s">
        <v>31</v>
      </c>
      <c r="K2712" t="s">
        <v>32</v>
      </c>
      <c r="L2712" t="s">
        <v>32</v>
      </c>
      <c r="M2712" t="s">
        <v>33</v>
      </c>
      <c r="N2712" t="s">
        <v>33</v>
      </c>
      <c r="O2712" t="s">
        <v>33</v>
      </c>
      <c r="P2712" t="s">
        <v>34</v>
      </c>
      <c r="Q2712" t="s">
        <v>35</v>
      </c>
      <c r="S2712" t="s">
        <v>30</v>
      </c>
      <c r="T2712" t="s">
        <v>2390</v>
      </c>
      <c r="U2712" t="s">
        <v>2391</v>
      </c>
      <c r="V2712" t="s">
        <v>39</v>
      </c>
      <c r="W2712" s="1">
        <v>4</v>
      </c>
    </row>
    <row r="2713" spans="1:23" x14ac:dyDescent="0.2">
      <c r="A2713" t="s">
        <v>2096</v>
      </c>
      <c r="B2713" t="s">
        <v>2097</v>
      </c>
      <c r="C2713" t="s">
        <v>2233</v>
      </c>
      <c r="D2713" t="s">
        <v>2367</v>
      </c>
      <c r="E2713" t="s">
        <v>2368</v>
      </c>
      <c r="F2713" t="s">
        <v>2369</v>
      </c>
      <c r="G2713" t="s">
        <v>64</v>
      </c>
      <c r="H2713" t="s">
        <v>30</v>
      </c>
      <c r="I2713" t="s">
        <v>52</v>
      </c>
      <c r="J2713" t="s">
        <v>31</v>
      </c>
      <c r="K2713" t="s">
        <v>32</v>
      </c>
      <c r="L2713" t="s">
        <v>32</v>
      </c>
      <c r="M2713" t="s">
        <v>33</v>
      </c>
      <c r="N2713" t="s">
        <v>33</v>
      </c>
      <c r="O2713" t="s">
        <v>33</v>
      </c>
      <c r="P2713" t="s">
        <v>34</v>
      </c>
      <c r="Q2713" t="s">
        <v>35</v>
      </c>
      <c r="S2713" t="s">
        <v>30</v>
      </c>
      <c r="T2713" t="s">
        <v>2390</v>
      </c>
      <c r="U2713" t="s">
        <v>2391</v>
      </c>
      <c r="V2713" t="s">
        <v>40</v>
      </c>
      <c r="W2713" s="1">
        <v>6599600</v>
      </c>
    </row>
    <row r="2714" spans="1:23" x14ac:dyDescent="0.2">
      <c r="A2714" t="s">
        <v>2096</v>
      </c>
      <c r="B2714" t="s">
        <v>2097</v>
      </c>
      <c r="C2714" t="s">
        <v>2233</v>
      </c>
      <c r="D2714" t="s">
        <v>2367</v>
      </c>
      <c r="E2714" t="s">
        <v>2368</v>
      </c>
      <c r="F2714" t="s">
        <v>2369</v>
      </c>
      <c r="G2714" t="s">
        <v>64</v>
      </c>
      <c r="H2714" t="s">
        <v>30</v>
      </c>
      <c r="I2714" t="s">
        <v>52</v>
      </c>
      <c r="J2714" t="s">
        <v>31</v>
      </c>
      <c r="K2714" t="s">
        <v>32</v>
      </c>
      <c r="L2714" t="s">
        <v>32</v>
      </c>
      <c r="M2714" t="s">
        <v>33</v>
      </c>
      <c r="N2714" t="s">
        <v>176</v>
      </c>
      <c r="O2714" t="s">
        <v>176</v>
      </c>
      <c r="P2714" t="s">
        <v>34</v>
      </c>
      <c r="Q2714" t="s">
        <v>35</v>
      </c>
      <c r="S2714" t="s">
        <v>30</v>
      </c>
      <c r="T2714" t="s">
        <v>2390</v>
      </c>
      <c r="U2714" t="s">
        <v>2391</v>
      </c>
      <c r="V2714" t="s">
        <v>39</v>
      </c>
      <c r="W2714" s="1">
        <v>1</v>
      </c>
    </row>
    <row r="2715" spans="1:23" x14ac:dyDescent="0.2">
      <c r="A2715" t="s">
        <v>2096</v>
      </c>
      <c r="B2715" t="s">
        <v>2097</v>
      </c>
      <c r="C2715" t="s">
        <v>2233</v>
      </c>
      <c r="D2715" t="s">
        <v>2367</v>
      </c>
      <c r="E2715" t="s">
        <v>2368</v>
      </c>
      <c r="F2715" t="s">
        <v>2369</v>
      </c>
      <c r="G2715" t="s">
        <v>64</v>
      </c>
      <c r="H2715" t="s">
        <v>30</v>
      </c>
      <c r="I2715" t="s">
        <v>52</v>
      </c>
      <c r="J2715" t="s">
        <v>31</v>
      </c>
      <c r="K2715" t="s">
        <v>32</v>
      </c>
      <c r="L2715" t="s">
        <v>32</v>
      </c>
      <c r="M2715" t="s">
        <v>33</v>
      </c>
      <c r="N2715" t="s">
        <v>176</v>
      </c>
      <c r="O2715" t="s">
        <v>176</v>
      </c>
      <c r="P2715" t="s">
        <v>34</v>
      </c>
      <c r="Q2715" t="s">
        <v>35</v>
      </c>
      <c r="S2715" t="s">
        <v>30</v>
      </c>
      <c r="T2715" t="s">
        <v>2390</v>
      </c>
      <c r="U2715" t="s">
        <v>2391</v>
      </c>
      <c r="V2715" t="s">
        <v>40</v>
      </c>
      <c r="W2715" s="1">
        <v>1649900</v>
      </c>
    </row>
    <row r="2716" spans="1:23" x14ac:dyDescent="0.2">
      <c r="A2716" t="s">
        <v>2096</v>
      </c>
      <c r="B2716" t="s">
        <v>2097</v>
      </c>
      <c r="C2716" t="s">
        <v>2233</v>
      </c>
      <c r="D2716" t="s">
        <v>2367</v>
      </c>
      <c r="E2716" t="s">
        <v>2368</v>
      </c>
      <c r="F2716" t="s">
        <v>2369</v>
      </c>
      <c r="G2716" t="s">
        <v>64</v>
      </c>
      <c r="H2716" t="s">
        <v>30</v>
      </c>
      <c r="I2716" t="s">
        <v>52</v>
      </c>
      <c r="J2716" t="s">
        <v>31</v>
      </c>
      <c r="K2716" t="s">
        <v>32</v>
      </c>
      <c r="L2716" t="s">
        <v>32</v>
      </c>
      <c r="M2716" t="s">
        <v>33</v>
      </c>
      <c r="N2716" t="s">
        <v>169</v>
      </c>
      <c r="O2716" t="s">
        <v>169</v>
      </c>
      <c r="P2716" t="s">
        <v>34</v>
      </c>
      <c r="Q2716" t="s">
        <v>35</v>
      </c>
      <c r="S2716" t="s">
        <v>30</v>
      </c>
      <c r="T2716" t="s">
        <v>2390</v>
      </c>
      <c r="U2716" t="s">
        <v>2391</v>
      </c>
      <c r="V2716" t="s">
        <v>39</v>
      </c>
      <c r="W2716" s="1">
        <v>2</v>
      </c>
    </row>
    <row r="2717" spans="1:23" x14ac:dyDescent="0.2">
      <c r="A2717" t="s">
        <v>2096</v>
      </c>
      <c r="B2717" t="s">
        <v>2097</v>
      </c>
      <c r="C2717" t="s">
        <v>2233</v>
      </c>
      <c r="D2717" t="s">
        <v>2367</v>
      </c>
      <c r="E2717" t="s">
        <v>2368</v>
      </c>
      <c r="F2717" t="s">
        <v>2369</v>
      </c>
      <c r="G2717" t="s">
        <v>64</v>
      </c>
      <c r="H2717" t="s">
        <v>30</v>
      </c>
      <c r="I2717" t="s">
        <v>52</v>
      </c>
      <c r="J2717" t="s">
        <v>31</v>
      </c>
      <c r="K2717" t="s">
        <v>32</v>
      </c>
      <c r="L2717" t="s">
        <v>32</v>
      </c>
      <c r="M2717" t="s">
        <v>33</v>
      </c>
      <c r="N2717" t="s">
        <v>169</v>
      </c>
      <c r="O2717" t="s">
        <v>169</v>
      </c>
      <c r="P2717" t="s">
        <v>34</v>
      </c>
      <c r="Q2717" t="s">
        <v>35</v>
      </c>
      <c r="S2717" t="s">
        <v>30</v>
      </c>
      <c r="T2717" t="s">
        <v>2390</v>
      </c>
      <c r="U2717" t="s">
        <v>2391</v>
      </c>
      <c r="V2717" t="s">
        <v>40</v>
      </c>
      <c r="W2717" s="1">
        <v>3299800</v>
      </c>
    </row>
    <row r="2718" spans="1:23" x14ac:dyDescent="0.2">
      <c r="A2718" t="s">
        <v>2096</v>
      </c>
      <c r="B2718" t="s">
        <v>2097</v>
      </c>
      <c r="C2718" t="s">
        <v>2233</v>
      </c>
      <c r="D2718" t="s">
        <v>2367</v>
      </c>
      <c r="E2718" t="s">
        <v>2368</v>
      </c>
      <c r="F2718" t="s">
        <v>2369</v>
      </c>
      <c r="G2718" t="s">
        <v>67</v>
      </c>
      <c r="H2718" t="s">
        <v>30</v>
      </c>
      <c r="I2718" t="s">
        <v>30</v>
      </c>
      <c r="J2718" t="s">
        <v>128</v>
      </c>
      <c r="K2718" t="s">
        <v>181</v>
      </c>
      <c r="L2718" t="s">
        <v>32</v>
      </c>
      <c r="M2718" t="s">
        <v>33</v>
      </c>
      <c r="N2718" t="s">
        <v>33</v>
      </c>
      <c r="O2718" t="s">
        <v>33</v>
      </c>
      <c r="P2718" t="s">
        <v>34</v>
      </c>
      <c r="Q2718" t="s">
        <v>35</v>
      </c>
      <c r="S2718" t="s">
        <v>30</v>
      </c>
      <c r="T2718" t="s">
        <v>2392</v>
      </c>
      <c r="U2718" t="s">
        <v>2393</v>
      </c>
      <c r="V2718" t="s">
        <v>39</v>
      </c>
      <c r="W2718" s="1">
        <v>8</v>
      </c>
    </row>
    <row r="2719" spans="1:23" x14ac:dyDescent="0.2">
      <c r="A2719" t="s">
        <v>2096</v>
      </c>
      <c r="B2719" t="s">
        <v>2097</v>
      </c>
      <c r="C2719" t="s">
        <v>2233</v>
      </c>
      <c r="D2719" t="s">
        <v>2367</v>
      </c>
      <c r="E2719" t="s">
        <v>2368</v>
      </c>
      <c r="F2719" t="s">
        <v>2369</v>
      </c>
      <c r="G2719" t="s">
        <v>67</v>
      </c>
      <c r="H2719" t="s">
        <v>30</v>
      </c>
      <c r="I2719" t="s">
        <v>30</v>
      </c>
      <c r="J2719" t="s">
        <v>128</v>
      </c>
      <c r="K2719" t="s">
        <v>181</v>
      </c>
      <c r="L2719" t="s">
        <v>32</v>
      </c>
      <c r="M2719" t="s">
        <v>33</v>
      </c>
      <c r="N2719" t="s">
        <v>33</v>
      </c>
      <c r="O2719" t="s">
        <v>33</v>
      </c>
      <c r="P2719" t="s">
        <v>34</v>
      </c>
      <c r="Q2719" t="s">
        <v>35</v>
      </c>
      <c r="S2719" t="s">
        <v>30</v>
      </c>
      <c r="T2719" t="s">
        <v>2392</v>
      </c>
      <c r="U2719" t="s">
        <v>2393</v>
      </c>
      <c r="V2719" t="s">
        <v>40</v>
      </c>
      <c r="W2719" s="1">
        <v>7680000</v>
      </c>
    </row>
    <row r="2720" spans="1:23" x14ac:dyDescent="0.2">
      <c r="A2720" t="s">
        <v>2096</v>
      </c>
      <c r="B2720" t="s">
        <v>2097</v>
      </c>
      <c r="C2720" t="s">
        <v>2233</v>
      </c>
      <c r="D2720" t="s">
        <v>2367</v>
      </c>
      <c r="E2720" t="s">
        <v>2368</v>
      </c>
      <c r="F2720" t="s">
        <v>2369</v>
      </c>
      <c r="G2720" t="s">
        <v>67</v>
      </c>
      <c r="H2720" t="s">
        <v>30</v>
      </c>
      <c r="I2720" t="s">
        <v>30</v>
      </c>
      <c r="J2720" t="s">
        <v>128</v>
      </c>
      <c r="K2720" t="s">
        <v>181</v>
      </c>
      <c r="L2720" t="s">
        <v>32</v>
      </c>
      <c r="M2720" t="s">
        <v>176</v>
      </c>
      <c r="N2720" t="s">
        <v>195</v>
      </c>
      <c r="O2720" t="s">
        <v>195</v>
      </c>
      <c r="P2720" t="s">
        <v>34</v>
      </c>
      <c r="Q2720" t="s">
        <v>35</v>
      </c>
      <c r="S2720" t="s">
        <v>30</v>
      </c>
      <c r="T2720" t="s">
        <v>2392</v>
      </c>
      <c r="U2720" t="s">
        <v>2393</v>
      </c>
      <c r="V2720" t="s">
        <v>39</v>
      </c>
      <c r="W2720" s="1">
        <v>1</v>
      </c>
    </row>
    <row r="2721" spans="1:23" x14ac:dyDescent="0.2">
      <c r="A2721" t="s">
        <v>2096</v>
      </c>
      <c r="B2721" t="s">
        <v>2097</v>
      </c>
      <c r="C2721" t="s">
        <v>2233</v>
      </c>
      <c r="D2721" t="s">
        <v>2367</v>
      </c>
      <c r="E2721" t="s">
        <v>2368</v>
      </c>
      <c r="F2721" t="s">
        <v>2369</v>
      </c>
      <c r="G2721" t="s">
        <v>67</v>
      </c>
      <c r="H2721" t="s">
        <v>30</v>
      </c>
      <c r="I2721" t="s">
        <v>30</v>
      </c>
      <c r="J2721" t="s">
        <v>128</v>
      </c>
      <c r="K2721" t="s">
        <v>181</v>
      </c>
      <c r="L2721" t="s">
        <v>32</v>
      </c>
      <c r="M2721" t="s">
        <v>176</v>
      </c>
      <c r="N2721" t="s">
        <v>195</v>
      </c>
      <c r="O2721" t="s">
        <v>195</v>
      </c>
      <c r="P2721" t="s">
        <v>34</v>
      </c>
      <c r="Q2721" t="s">
        <v>35</v>
      </c>
      <c r="S2721" t="s">
        <v>30</v>
      </c>
      <c r="T2721" t="s">
        <v>2392</v>
      </c>
      <c r="U2721" t="s">
        <v>2393</v>
      </c>
      <c r="V2721" t="s">
        <v>40</v>
      </c>
      <c r="W2721" s="1">
        <v>960000</v>
      </c>
    </row>
    <row r="2722" spans="1:23" x14ac:dyDescent="0.2">
      <c r="A2722" t="s">
        <v>2096</v>
      </c>
      <c r="B2722" t="s">
        <v>2097</v>
      </c>
      <c r="C2722" t="s">
        <v>2233</v>
      </c>
      <c r="D2722" t="s">
        <v>2367</v>
      </c>
      <c r="E2722" t="s">
        <v>2368</v>
      </c>
      <c r="F2722" t="s">
        <v>2369</v>
      </c>
      <c r="G2722" t="s">
        <v>67</v>
      </c>
      <c r="H2722" t="s">
        <v>30</v>
      </c>
      <c r="I2722" t="s">
        <v>30</v>
      </c>
      <c r="J2722" t="s">
        <v>31</v>
      </c>
      <c r="K2722" t="s">
        <v>32</v>
      </c>
      <c r="L2722" t="s">
        <v>32</v>
      </c>
      <c r="M2722" t="s">
        <v>33</v>
      </c>
      <c r="N2722" t="s">
        <v>33</v>
      </c>
      <c r="O2722" t="s">
        <v>33</v>
      </c>
      <c r="P2722" t="s">
        <v>213</v>
      </c>
      <c r="Q2722" t="s">
        <v>2111</v>
      </c>
      <c r="S2722" t="s">
        <v>30</v>
      </c>
      <c r="T2722" t="s">
        <v>2394</v>
      </c>
      <c r="U2722" t="s">
        <v>2395</v>
      </c>
      <c r="V2722" t="s">
        <v>39</v>
      </c>
      <c r="W2722" s="1">
        <v>3</v>
      </c>
    </row>
    <row r="2723" spans="1:23" x14ac:dyDescent="0.2">
      <c r="A2723" t="s">
        <v>2096</v>
      </c>
      <c r="B2723" t="s">
        <v>2097</v>
      </c>
      <c r="C2723" t="s">
        <v>2233</v>
      </c>
      <c r="D2723" t="s">
        <v>2367</v>
      </c>
      <c r="E2723" t="s">
        <v>2368</v>
      </c>
      <c r="F2723" t="s">
        <v>2369</v>
      </c>
      <c r="G2723" t="s">
        <v>67</v>
      </c>
      <c r="H2723" t="s">
        <v>30</v>
      </c>
      <c r="I2723" t="s">
        <v>30</v>
      </c>
      <c r="J2723" t="s">
        <v>31</v>
      </c>
      <c r="K2723" t="s">
        <v>32</v>
      </c>
      <c r="L2723" t="s">
        <v>32</v>
      </c>
      <c r="M2723" t="s">
        <v>33</v>
      </c>
      <c r="N2723" t="s">
        <v>33</v>
      </c>
      <c r="O2723" t="s">
        <v>33</v>
      </c>
      <c r="P2723" t="s">
        <v>213</v>
      </c>
      <c r="Q2723" t="s">
        <v>2111</v>
      </c>
      <c r="S2723" t="s">
        <v>30</v>
      </c>
      <c r="T2723" t="s">
        <v>2394</v>
      </c>
      <c r="U2723" t="s">
        <v>2395</v>
      </c>
      <c r="V2723" t="s">
        <v>40</v>
      </c>
      <c r="W2723" s="1">
        <v>3203700</v>
      </c>
    </row>
    <row r="2724" spans="1:23" x14ac:dyDescent="0.2">
      <c r="A2724" t="s">
        <v>2096</v>
      </c>
      <c r="B2724" t="s">
        <v>2097</v>
      </c>
      <c r="C2724" t="s">
        <v>2233</v>
      </c>
      <c r="D2724" t="s">
        <v>2367</v>
      </c>
      <c r="E2724" t="s">
        <v>2368</v>
      </c>
      <c r="F2724" t="s">
        <v>2369</v>
      </c>
      <c r="G2724" t="s">
        <v>67</v>
      </c>
      <c r="H2724" t="s">
        <v>30</v>
      </c>
      <c r="I2724" t="s">
        <v>30</v>
      </c>
      <c r="J2724" t="s">
        <v>31</v>
      </c>
      <c r="K2724" t="s">
        <v>32</v>
      </c>
      <c r="L2724" t="s">
        <v>32</v>
      </c>
      <c r="M2724" t="s">
        <v>33</v>
      </c>
      <c r="N2724" t="s">
        <v>33</v>
      </c>
      <c r="O2724" t="s">
        <v>33</v>
      </c>
      <c r="P2724" t="s">
        <v>34</v>
      </c>
      <c r="Q2724" t="s">
        <v>35</v>
      </c>
      <c r="S2724" t="s">
        <v>30</v>
      </c>
      <c r="T2724" t="s">
        <v>2396</v>
      </c>
      <c r="U2724" t="s">
        <v>2397</v>
      </c>
      <c r="V2724" t="s">
        <v>39</v>
      </c>
      <c r="W2724" s="1">
        <v>2</v>
      </c>
    </row>
    <row r="2725" spans="1:23" x14ac:dyDescent="0.2">
      <c r="A2725" t="s">
        <v>2096</v>
      </c>
      <c r="B2725" t="s">
        <v>2097</v>
      </c>
      <c r="C2725" t="s">
        <v>2233</v>
      </c>
      <c r="D2725" t="s">
        <v>2367</v>
      </c>
      <c r="E2725" t="s">
        <v>2368</v>
      </c>
      <c r="F2725" t="s">
        <v>2369</v>
      </c>
      <c r="G2725" t="s">
        <v>67</v>
      </c>
      <c r="H2725" t="s">
        <v>30</v>
      </c>
      <c r="I2725" t="s">
        <v>30</v>
      </c>
      <c r="J2725" t="s">
        <v>31</v>
      </c>
      <c r="K2725" t="s">
        <v>32</v>
      </c>
      <c r="L2725" t="s">
        <v>32</v>
      </c>
      <c r="M2725" t="s">
        <v>33</v>
      </c>
      <c r="N2725" t="s">
        <v>33</v>
      </c>
      <c r="O2725" t="s">
        <v>33</v>
      </c>
      <c r="P2725" t="s">
        <v>34</v>
      </c>
      <c r="Q2725" t="s">
        <v>35</v>
      </c>
      <c r="S2725" t="s">
        <v>30</v>
      </c>
      <c r="T2725" t="s">
        <v>2396</v>
      </c>
      <c r="U2725" t="s">
        <v>2397</v>
      </c>
      <c r="V2725" t="s">
        <v>40</v>
      </c>
      <c r="W2725" s="1">
        <v>747800</v>
      </c>
    </row>
    <row r="2726" spans="1:23" x14ac:dyDescent="0.2">
      <c r="A2726" t="s">
        <v>2096</v>
      </c>
      <c r="B2726" t="s">
        <v>2097</v>
      </c>
      <c r="C2726" t="s">
        <v>2233</v>
      </c>
      <c r="D2726" t="s">
        <v>2367</v>
      </c>
      <c r="E2726" t="s">
        <v>2368</v>
      </c>
      <c r="F2726" t="s">
        <v>2369</v>
      </c>
      <c r="G2726" t="s">
        <v>67</v>
      </c>
      <c r="H2726" t="s">
        <v>30</v>
      </c>
      <c r="I2726" t="s">
        <v>30</v>
      </c>
      <c r="J2726" t="s">
        <v>31</v>
      </c>
      <c r="K2726" t="s">
        <v>32</v>
      </c>
      <c r="L2726" t="s">
        <v>32</v>
      </c>
      <c r="M2726" t="s">
        <v>33</v>
      </c>
      <c r="N2726" t="s">
        <v>169</v>
      </c>
      <c r="O2726" t="s">
        <v>169</v>
      </c>
      <c r="P2726" t="s">
        <v>213</v>
      </c>
      <c r="Q2726" t="s">
        <v>2111</v>
      </c>
      <c r="S2726" t="s">
        <v>30</v>
      </c>
      <c r="T2726" t="s">
        <v>2394</v>
      </c>
      <c r="U2726" t="s">
        <v>2395</v>
      </c>
      <c r="V2726" t="s">
        <v>39</v>
      </c>
      <c r="W2726" s="1">
        <v>1</v>
      </c>
    </row>
    <row r="2727" spans="1:23" x14ac:dyDescent="0.2">
      <c r="A2727" t="s">
        <v>2096</v>
      </c>
      <c r="B2727" t="s">
        <v>2097</v>
      </c>
      <c r="C2727" t="s">
        <v>2233</v>
      </c>
      <c r="D2727" t="s">
        <v>2367</v>
      </c>
      <c r="E2727" t="s">
        <v>2368</v>
      </c>
      <c r="F2727" t="s">
        <v>2369</v>
      </c>
      <c r="G2727" t="s">
        <v>67</v>
      </c>
      <c r="H2727" t="s">
        <v>30</v>
      </c>
      <c r="I2727" t="s">
        <v>30</v>
      </c>
      <c r="J2727" t="s">
        <v>31</v>
      </c>
      <c r="K2727" t="s">
        <v>32</v>
      </c>
      <c r="L2727" t="s">
        <v>32</v>
      </c>
      <c r="M2727" t="s">
        <v>33</v>
      </c>
      <c r="N2727" t="s">
        <v>169</v>
      </c>
      <c r="O2727" t="s">
        <v>169</v>
      </c>
      <c r="P2727" t="s">
        <v>213</v>
      </c>
      <c r="Q2727" t="s">
        <v>2111</v>
      </c>
      <c r="S2727" t="s">
        <v>30</v>
      </c>
      <c r="T2727" t="s">
        <v>2394</v>
      </c>
      <c r="U2727" t="s">
        <v>2395</v>
      </c>
      <c r="V2727" t="s">
        <v>40</v>
      </c>
      <c r="W2727" s="1">
        <v>1067900</v>
      </c>
    </row>
    <row r="2728" spans="1:23" x14ac:dyDescent="0.2">
      <c r="A2728" t="s">
        <v>2096</v>
      </c>
      <c r="B2728" t="s">
        <v>2097</v>
      </c>
      <c r="C2728" t="s">
        <v>2233</v>
      </c>
      <c r="D2728" t="s">
        <v>2367</v>
      </c>
      <c r="E2728" t="s">
        <v>2368</v>
      </c>
      <c r="F2728" t="s">
        <v>2369</v>
      </c>
      <c r="G2728" t="s">
        <v>67</v>
      </c>
      <c r="H2728" t="s">
        <v>30</v>
      </c>
      <c r="I2728" t="s">
        <v>30</v>
      </c>
      <c r="J2728" t="s">
        <v>31</v>
      </c>
      <c r="K2728" t="s">
        <v>32</v>
      </c>
      <c r="L2728" t="s">
        <v>32</v>
      </c>
      <c r="M2728" t="s">
        <v>33</v>
      </c>
      <c r="P2728" t="s">
        <v>213</v>
      </c>
      <c r="Q2728" t="s">
        <v>2111</v>
      </c>
      <c r="S2728" t="s">
        <v>30</v>
      </c>
      <c r="T2728" t="s">
        <v>2394</v>
      </c>
      <c r="U2728" t="s">
        <v>2398</v>
      </c>
      <c r="V2728" t="s">
        <v>39</v>
      </c>
      <c r="W2728" s="1">
        <v>9</v>
      </c>
    </row>
    <row r="2729" spans="1:23" x14ac:dyDescent="0.2">
      <c r="A2729" t="s">
        <v>2096</v>
      </c>
      <c r="B2729" t="s">
        <v>2097</v>
      </c>
      <c r="C2729" t="s">
        <v>2233</v>
      </c>
      <c r="D2729" t="s">
        <v>2367</v>
      </c>
      <c r="E2729" t="s">
        <v>2368</v>
      </c>
      <c r="F2729" t="s">
        <v>2369</v>
      </c>
      <c r="G2729" t="s">
        <v>67</v>
      </c>
      <c r="H2729" t="s">
        <v>30</v>
      </c>
      <c r="I2729" t="s">
        <v>30</v>
      </c>
      <c r="J2729" t="s">
        <v>31</v>
      </c>
      <c r="K2729" t="s">
        <v>32</v>
      </c>
      <c r="L2729" t="s">
        <v>32</v>
      </c>
      <c r="M2729" t="s">
        <v>33</v>
      </c>
      <c r="P2729" t="s">
        <v>213</v>
      </c>
      <c r="Q2729" t="s">
        <v>2111</v>
      </c>
      <c r="S2729" t="s">
        <v>30</v>
      </c>
      <c r="T2729" t="s">
        <v>2394</v>
      </c>
      <c r="U2729" t="s">
        <v>2398</v>
      </c>
      <c r="V2729" t="s">
        <v>40</v>
      </c>
      <c r="W2729" s="1">
        <v>9431100</v>
      </c>
    </row>
    <row r="2730" spans="1:23" x14ac:dyDescent="0.2">
      <c r="A2730" t="s">
        <v>2096</v>
      </c>
      <c r="B2730" t="s">
        <v>2097</v>
      </c>
      <c r="C2730" t="s">
        <v>2233</v>
      </c>
      <c r="D2730" t="s">
        <v>2367</v>
      </c>
      <c r="E2730" t="s">
        <v>2368</v>
      </c>
      <c r="F2730" t="s">
        <v>2369</v>
      </c>
      <c r="G2730" t="s">
        <v>67</v>
      </c>
      <c r="H2730" t="s">
        <v>30</v>
      </c>
      <c r="I2730" t="s">
        <v>30</v>
      </c>
      <c r="J2730" t="s">
        <v>41</v>
      </c>
      <c r="K2730" t="s">
        <v>32</v>
      </c>
      <c r="L2730" t="s">
        <v>32</v>
      </c>
      <c r="M2730" t="s">
        <v>33</v>
      </c>
      <c r="N2730" t="s">
        <v>33</v>
      </c>
      <c r="O2730" t="s">
        <v>33</v>
      </c>
      <c r="P2730" t="s">
        <v>34</v>
      </c>
      <c r="Q2730" t="s">
        <v>35</v>
      </c>
      <c r="R2730" t="s">
        <v>54</v>
      </c>
      <c r="S2730" t="s">
        <v>30</v>
      </c>
      <c r="T2730" t="s">
        <v>2399</v>
      </c>
      <c r="U2730" t="s">
        <v>2400</v>
      </c>
      <c r="V2730" t="s">
        <v>39</v>
      </c>
      <c r="W2730" s="1">
        <v>4</v>
      </c>
    </row>
    <row r="2731" spans="1:23" x14ac:dyDescent="0.2">
      <c r="A2731" t="s">
        <v>2096</v>
      </c>
      <c r="B2731" t="s">
        <v>2097</v>
      </c>
      <c r="C2731" t="s">
        <v>2233</v>
      </c>
      <c r="D2731" t="s">
        <v>2367</v>
      </c>
      <c r="E2731" t="s">
        <v>2368</v>
      </c>
      <c r="F2731" t="s">
        <v>2369</v>
      </c>
      <c r="G2731" t="s">
        <v>67</v>
      </c>
      <c r="H2731" t="s">
        <v>30</v>
      </c>
      <c r="I2731" t="s">
        <v>30</v>
      </c>
      <c r="J2731" t="s">
        <v>41</v>
      </c>
      <c r="K2731" t="s">
        <v>32</v>
      </c>
      <c r="L2731" t="s">
        <v>32</v>
      </c>
      <c r="M2731" t="s">
        <v>33</v>
      </c>
      <c r="N2731" t="s">
        <v>33</v>
      </c>
      <c r="O2731" t="s">
        <v>33</v>
      </c>
      <c r="P2731" t="s">
        <v>34</v>
      </c>
      <c r="Q2731" t="s">
        <v>35</v>
      </c>
      <c r="R2731" t="s">
        <v>54</v>
      </c>
      <c r="S2731" t="s">
        <v>30</v>
      </c>
      <c r="T2731" t="s">
        <v>2399</v>
      </c>
      <c r="U2731" t="s">
        <v>2400</v>
      </c>
      <c r="V2731" t="s">
        <v>40</v>
      </c>
      <c r="W2731" s="1">
        <v>2439600</v>
      </c>
    </row>
    <row r="2732" spans="1:23" x14ac:dyDescent="0.2">
      <c r="A2732" t="s">
        <v>2096</v>
      </c>
      <c r="B2732" t="s">
        <v>2097</v>
      </c>
      <c r="C2732" t="s">
        <v>2233</v>
      </c>
      <c r="D2732" t="s">
        <v>2367</v>
      </c>
      <c r="E2732" t="s">
        <v>2368</v>
      </c>
      <c r="F2732" t="s">
        <v>2369</v>
      </c>
      <c r="G2732" t="s">
        <v>67</v>
      </c>
      <c r="H2732" t="s">
        <v>30</v>
      </c>
      <c r="I2732" t="s">
        <v>30</v>
      </c>
      <c r="J2732" t="s">
        <v>41</v>
      </c>
      <c r="K2732" t="s">
        <v>32</v>
      </c>
      <c r="L2732" t="s">
        <v>32</v>
      </c>
      <c r="M2732" t="s">
        <v>33</v>
      </c>
      <c r="P2732" t="s">
        <v>34</v>
      </c>
      <c r="Q2732" t="s">
        <v>35</v>
      </c>
      <c r="R2732" t="s">
        <v>54</v>
      </c>
      <c r="S2732" t="s">
        <v>52</v>
      </c>
      <c r="T2732" t="s">
        <v>2399</v>
      </c>
      <c r="U2732" t="s">
        <v>2400</v>
      </c>
      <c r="V2732" t="s">
        <v>39</v>
      </c>
      <c r="W2732" s="1">
        <v>0</v>
      </c>
    </row>
    <row r="2733" spans="1:23" x14ac:dyDescent="0.2">
      <c r="A2733" t="s">
        <v>2096</v>
      </c>
      <c r="B2733" t="s">
        <v>2097</v>
      </c>
      <c r="C2733" t="s">
        <v>2233</v>
      </c>
      <c r="D2733" t="s">
        <v>2367</v>
      </c>
      <c r="E2733" t="s">
        <v>2368</v>
      </c>
      <c r="F2733" t="s">
        <v>2369</v>
      </c>
      <c r="G2733" t="s">
        <v>67</v>
      </c>
      <c r="H2733" t="s">
        <v>30</v>
      </c>
      <c r="I2733" t="s">
        <v>30</v>
      </c>
      <c r="J2733" t="s">
        <v>41</v>
      </c>
      <c r="K2733" t="s">
        <v>32</v>
      </c>
      <c r="L2733" t="s">
        <v>32</v>
      </c>
      <c r="M2733" t="s">
        <v>33</v>
      </c>
      <c r="P2733" t="s">
        <v>34</v>
      </c>
      <c r="Q2733" t="s">
        <v>35</v>
      </c>
      <c r="R2733" t="s">
        <v>54</v>
      </c>
      <c r="S2733" t="s">
        <v>52</v>
      </c>
      <c r="T2733" t="s">
        <v>2399</v>
      </c>
      <c r="U2733" t="s">
        <v>2400</v>
      </c>
      <c r="V2733" t="s">
        <v>40</v>
      </c>
      <c r="W2733" s="1">
        <v>609900</v>
      </c>
    </row>
    <row r="2734" spans="1:23" x14ac:dyDescent="0.2">
      <c r="A2734" t="s">
        <v>2096</v>
      </c>
      <c r="B2734" t="s">
        <v>2097</v>
      </c>
      <c r="C2734" t="s">
        <v>2233</v>
      </c>
      <c r="D2734" t="s">
        <v>2367</v>
      </c>
      <c r="E2734" t="s">
        <v>2368</v>
      </c>
      <c r="F2734" t="s">
        <v>2369</v>
      </c>
      <c r="G2734" t="s">
        <v>89</v>
      </c>
      <c r="H2734" t="s">
        <v>30</v>
      </c>
      <c r="I2734" t="s">
        <v>30</v>
      </c>
      <c r="J2734" t="s">
        <v>31</v>
      </c>
      <c r="K2734" t="s">
        <v>32</v>
      </c>
      <c r="L2734" t="s">
        <v>32</v>
      </c>
      <c r="M2734" t="s">
        <v>33</v>
      </c>
      <c r="P2734" t="s">
        <v>34</v>
      </c>
      <c r="Q2734" t="s">
        <v>35</v>
      </c>
      <c r="S2734" t="s">
        <v>52</v>
      </c>
      <c r="T2734" t="s">
        <v>2401</v>
      </c>
      <c r="U2734" t="s">
        <v>2402</v>
      </c>
      <c r="V2734" t="s">
        <v>39</v>
      </c>
      <c r="W2734" s="1">
        <v>0</v>
      </c>
    </row>
    <row r="2735" spans="1:23" x14ac:dyDescent="0.2">
      <c r="A2735" t="s">
        <v>2096</v>
      </c>
      <c r="B2735" t="s">
        <v>2097</v>
      </c>
      <c r="C2735" t="s">
        <v>2233</v>
      </c>
      <c r="D2735" t="s">
        <v>2367</v>
      </c>
      <c r="E2735" t="s">
        <v>2368</v>
      </c>
      <c r="F2735" t="s">
        <v>2369</v>
      </c>
      <c r="G2735" t="s">
        <v>89</v>
      </c>
      <c r="H2735" t="s">
        <v>30</v>
      </c>
      <c r="I2735" t="s">
        <v>30</v>
      </c>
      <c r="J2735" t="s">
        <v>31</v>
      </c>
      <c r="K2735" t="s">
        <v>32</v>
      </c>
      <c r="L2735" t="s">
        <v>32</v>
      </c>
      <c r="M2735" t="s">
        <v>33</v>
      </c>
      <c r="P2735" t="s">
        <v>34</v>
      </c>
      <c r="Q2735" t="s">
        <v>35</v>
      </c>
      <c r="S2735" t="s">
        <v>52</v>
      </c>
      <c r="T2735" t="s">
        <v>2401</v>
      </c>
      <c r="U2735" t="s">
        <v>2402</v>
      </c>
      <c r="V2735" t="s">
        <v>40</v>
      </c>
      <c r="W2735" s="1">
        <v>2059800</v>
      </c>
    </row>
    <row r="2736" spans="1:23" x14ac:dyDescent="0.2">
      <c r="A2736" t="s">
        <v>2096</v>
      </c>
      <c r="B2736" t="s">
        <v>2097</v>
      </c>
      <c r="C2736" t="s">
        <v>2233</v>
      </c>
      <c r="D2736" t="s">
        <v>2367</v>
      </c>
      <c r="E2736" t="s">
        <v>2368</v>
      </c>
      <c r="F2736" t="s">
        <v>2369</v>
      </c>
      <c r="G2736" t="s">
        <v>89</v>
      </c>
      <c r="H2736" t="s">
        <v>30</v>
      </c>
      <c r="I2736" t="s">
        <v>30</v>
      </c>
      <c r="J2736" t="s">
        <v>57</v>
      </c>
      <c r="K2736" t="s">
        <v>32</v>
      </c>
      <c r="L2736" t="s">
        <v>32</v>
      </c>
      <c r="M2736" t="s">
        <v>33</v>
      </c>
      <c r="N2736" t="s">
        <v>33</v>
      </c>
      <c r="O2736" t="s">
        <v>33</v>
      </c>
      <c r="P2736" t="s">
        <v>34</v>
      </c>
      <c r="Q2736" t="s">
        <v>35</v>
      </c>
      <c r="S2736" t="s">
        <v>30</v>
      </c>
      <c r="T2736" t="s">
        <v>2403</v>
      </c>
      <c r="U2736" t="s">
        <v>2404</v>
      </c>
      <c r="V2736" t="s">
        <v>39</v>
      </c>
      <c r="W2736" s="1">
        <v>2</v>
      </c>
    </row>
    <row r="2737" spans="1:23" x14ac:dyDescent="0.2">
      <c r="A2737" t="s">
        <v>2096</v>
      </c>
      <c r="B2737" t="s">
        <v>2097</v>
      </c>
      <c r="C2737" t="s">
        <v>2233</v>
      </c>
      <c r="D2737" t="s">
        <v>2367</v>
      </c>
      <c r="E2737" t="s">
        <v>2368</v>
      </c>
      <c r="F2737" t="s">
        <v>2369</v>
      </c>
      <c r="G2737" t="s">
        <v>89</v>
      </c>
      <c r="H2737" t="s">
        <v>30</v>
      </c>
      <c r="I2737" t="s">
        <v>30</v>
      </c>
      <c r="J2737" t="s">
        <v>57</v>
      </c>
      <c r="K2737" t="s">
        <v>32</v>
      </c>
      <c r="L2737" t="s">
        <v>32</v>
      </c>
      <c r="M2737" t="s">
        <v>33</v>
      </c>
      <c r="N2737" t="s">
        <v>33</v>
      </c>
      <c r="O2737" t="s">
        <v>33</v>
      </c>
      <c r="P2737" t="s">
        <v>34</v>
      </c>
      <c r="Q2737" t="s">
        <v>35</v>
      </c>
      <c r="S2737" t="s">
        <v>30</v>
      </c>
      <c r="T2737" t="s">
        <v>2403</v>
      </c>
      <c r="U2737" t="s">
        <v>2404</v>
      </c>
      <c r="V2737" t="s">
        <v>40</v>
      </c>
      <c r="W2737" s="1">
        <v>2948800</v>
      </c>
    </row>
    <row r="2738" spans="1:23" x14ac:dyDescent="0.2">
      <c r="A2738" t="s">
        <v>2096</v>
      </c>
      <c r="B2738" t="s">
        <v>2097</v>
      </c>
      <c r="C2738" t="s">
        <v>2233</v>
      </c>
      <c r="D2738" t="s">
        <v>2367</v>
      </c>
      <c r="E2738" t="s">
        <v>2368</v>
      </c>
      <c r="F2738" t="s">
        <v>2369</v>
      </c>
      <c r="G2738" t="s">
        <v>89</v>
      </c>
      <c r="H2738" t="s">
        <v>30</v>
      </c>
      <c r="I2738" t="s">
        <v>30</v>
      </c>
      <c r="J2738" t="s">
        <v>57</v>
      </c>
      <c r="K2738" t="s">
        <v>32</v>
      </c>
      <c r="L2738" t="s">
        <v>32</v>
      </c>
      <c r="M2738" t="s">
        <v>33</v>
      </c>
      <c r="N2738" t="s">
        <v>169</v>
      </c>
      <c r="O2738" t="s">
        <v>169</v>
      </c>
      <c r="P2738" t="s">
        <v>34</v>
      </c>
      <c r="Q2738" t="s">
        <v>35</v>
      </c>
      <c r="S2738" t="s">
        <v>30</v>
      </c>
      <c r="T2738" t="s">
        <v>2403</v>
      </c>
      <c r="U2738" t="s">
        <v>2404</v>
      </c>
      <c r="V2738" t="s">
        <v>39</v>
      </c>
      <c r="W2738" s="1">
        <v>1</v>
      </c>
    </row>
    <row r="2739" spans="1:23" x14ac:dyDescent="0.2">
      <c r="A2739" t="s">
        <v>2096</v>
      </c>
      <c r="B2739" t="s">
        <v>2097</v>
      </c>
      <c r="C2739" t="s">
        <v>2233</v>
      </c>
      <c r="D2739" t="s">
        <v>2367</v>
      </c>
      <c r="E2739" t="s">
        <v>2368</v>
      </c>
      <c r="F2739" t="s">
        <v>2369</v>
      </c>
      <c r="G2739" t="s">
        <v>89</v>
      </c>
      <c r="H2739" t="s">
        <v>30</v>
      </c>
      <c r="I2739" t="s">
        <v>30</v>
      </c>
      <c r="J2739" t="s">
        <v>57</v>
      </c>
      <c r="K2739" t="s">
        <v>32</v>
      </c>
      <c r="L2739" t="s">
        <v>32</v>
      </c>
      <c r="M2739" t="s">
        <v>33</v>
      </c>
      <c r="N2739" t="s">
        <v>169</v>
      </c>
      <c r="O2739" t="s">
        <v>169</v>
      </c>
      <c r="P2739" t="s">
        <v>34</v>
      </c>
      <c r="Q2739" t="s">
        <v>35</v>
      </c>
      <c r="S2739" t="s">
        <v>30</v>
      </c>
      <c r="T2739" t="s">
        <v>2403</v>
      </c>
      <c r="U2739" t="s">
        <v>2404</v>
      </c>
      <c r="V2739" t="s">
        <v>40</v>
      </c>
      <c r="W2739" s="1">
        <v>1474400</v>
      </c>
    </row>
    <row r="2740" spans="1:23" x14ac:dyDescent="0.2">
      <c r="A2740" t="s">
        <v>2096</v>
      </c>
      <c r="B2740" t="s">
        <v>2097</v>
      </c>
      <c r="C2740" t="s">
        <v>2233</v>
      </c>
      <c r="D2740" t="s">
        <v>2367</v>
      </c>
      <c r="E2740" t="s">
        <v>2368</v>
      </c>
      <c r="F2740" t="s">
        <v>2369</v>
      </c>
      <c r="G2740" t="s">
        <v>106</v>
      </c>
      <c r="H2740" t="s">
        <v>30</v>
      </c>
      <c r="I2740" t="s">
        <v>30</v>
      </c>
      <c r="J2740" t="s">
        <v>31</v>
      </c>
      <c r="K2740" t="s">
        <v>32</v>
      </c>
      <c r="L2740" t="s">
        <v>32</v>
      </c>
      <c r="M2740" t="s">
        <v>33</v>
      </c>
      <c r="N2740" t="s">
        <v>33</v>
      </c>
      <c r="O2740" t="s">
        <v>33</v>
      </c>
      <c r="P2740" t="s">
        <v>34</v>
      </c>
      <c r="Q2740" t="s">
        <v>35</v>
      </c>
      <c r="R2740" t="s">
        <v>173</v>
      </c>
      <c r="S2740" t="s">
        <v>30</v>
      </c>
      <c r="T2740" t="s">
        <v>2405</v>
      </c>
      <c r="U2740" t="s">
        <v>2406</v>
      </c>
      <c r="V2740" t="s">
        <v>39</v>
      </c>
      <c r="W2740" s="1">
        <v>2</v>
      </c>
    </row>
    <row r="2741" spans="1:23" x14ac:dyDescent="0.2">
      <c r="A2741" t="s">
        <v>2096</v>
      </c>
      <c r="B2741" t="s">
        <v>2097</v>
      </c>
      <c r="C2741" t="s">
        <v>2233</v>
      </c>
      <c r="D2741" t="s">
        <v>2367</v>
      </c>
      <c r="E2741" t="s">
        <v>2368</v>
      </c>
      <c r="F2741" t="s">
        <v>2369</v>
      </c>
      <c r="G2741" t="s">
        <v>106</v>
      </c>
      <c r="H2741" t="s">
        <v>30</v>
      </c>
      <c r="I2741" t="s">
        <v>30</v>
      </c>
      <c r="J2741" t="s">
        <v>31</v>
      </c>
      <c r="K2741" t="s">
        <v>32</v>
      </c>
      <c r="L2741" t="s">
        <v>32</v>
      </c>
      <c r="M2741" t="s">
        <v>33</v>
      </c>
      <c r="N2741" t="s">
        <v>33</v>
      </c>
      <c r="O2741" t="s">
        <v>33</v>
      </c>
      <c r="P2741" t="s">
        <v>34</v>
      </c>
      <c r="Q2741" t="s">
        <v>35</v>
      </c>
      <c r="R2741" t="s">
        <v>173</v>
      </c>
      <c r="S2741" t="s">
        <v>30</v>
      </c>
      <c r="T2741" t="s">
        <v>2405</v>
      </c>
      <c r="U2741" t="s">
        <v>2406</v>
      </c>
      <c r="V2741" t="s">
        <v>40</v>
      </c>
      <c r="W2741" s="1">
        <v>3155800</v>
      </c>
    </row>
    <row r="2742" spans="1:23" x14ac:dyDescent="0.2">
      <c r="A2742" t="s">
        <v>2096</v>
      </c>
      <c r="B2742" t="s">
        <v>2097</v>
      </c>
      <c r="C2742" t="s">
        <v>2233</v>
      </c>
      <c r="D2742" t="s">
        <v>2367</v>
      </c>
      <c r="E2742" t="s">
        <v>2368</v>
      </c>
      <c r="F2742" t="s">
        <v>2369</v>
      </c>
      <c r="G2742" t="s">
        <v>106</v>
      </c>
      <c r="H2742" t="s">
        <v>30</v>
      </c>
      <c r="I2742" t="s">
        <v>30</v>
      </c>
      <c r="J2742" t="s">
        <v>31</v>
      </c>
      <c r="K2742" t="s">
        <v>32</v>
      </c>
      <c r="L2742" t="s">
        <v>32</v>
      </c>
      <c r="M2742" t="s">
        <v>33</v>
      </c>
      <c r="N2742" t="s">
        <v>33</v>
      </c>
      <c r="O2742" t="s">
        <v>33</v>
      </c>
      <c r="P2742" t="s">
        <v>34</v>
      </c>
      <c r="Q2742" t="s">
        <v>35</v>
      </c>
      <c r="S2742" t="s">
        <v>30</v>
      </c>
      <c r="T2742" t="s">
        <v>2407</v>
      </c>
      <c r="U2742" t="s">
        <v>2408</v>
      </c>
      <c r="V2742" t="s">
        <v>39</v>
      </c>
      <c r="W2742" s="1">
        <v>3</v>
      </c>
    </row>
    <row r="2743" spans="1:23" x14ac:dyDescent="0.2">
      <c r="A2743" t="s">
        <v>2096</v>
      </c>
      <c r="B2743" t="s">
        <v>2097</v>
      </c>
      <c r="C2743" t="s">
        <v>2233</v>
      </c>
      <c r="D2743" t="s">
        <v>2367</v>
      </c>
      <c r="E2743" t="s">
        <v>2368</v>
      </c>
      <c r="F2743" t="s">
        <v>2369</v>
      </c>
      <c r="G2743" t="s">
        <v>106</v>
      </c>
      <c r="H2743" t="s">
        <v>30</v>
      </c>
      <c r="I2743" t="s">
        <v>30</v>
      </c>
      <c r="J2743" t="s">
        <v>31</v>
      </c>
      <c r="K2743" t="s">
        <v>32</v>
      </c>
      <c r="L2743" t="s">
        <v>32</v>
      </c>
      <c r="M2743" t="s">
        <v>33</v>
      </c>
      <c r="N2743" t="s">
        <v>33</v>
      </c>
      <c r="O2743" t="s">
        <v>33</v>
      </c>
      <c r="P2743" t="s">
        <v>34</v>
      </c>
      <c r="Q2743" t="s">
        <v>35</v>
      </c>
      <c r="S2743" t="s">
        <v>30</v>
      </c>
      <c r="T2743" t="s">
        <v>2407</v>
      </c>
      <c r="U2743" t="s">
        <v>2408</v>
      </c>
      <c r="V2743" t="s">
        <v>40</v>
      </c>
      <c r="W2743" s="1">
        <v>1974000</v>
      </c>
    </row>
    <row r="2744" spans="1:23" x14ac:dyDescent="0.2">
      <c r="A2744" t="s">
        <v>2096</v>
      </c>
      <c r="B2744" t="s">
        <v>2097</v>
      </c>
      <c r="C2744" t="s">
        <v>2233</v>
      </c>
      <c r="D2744" t="s">
        <v>2367</v>
      </c>
      <c r="E2744" t="s">
        <v>2368</v>
      </c>
      <c r="F2744" t="s">
        <v>2369</v>
      </c>
      <c r="G2744" t="s">
        <v>106</v>
      </c>
      <c r="H2744" t="s">
        <v>30</v>
      </c>
      <c r="I2744" t="s">
        <v>30</v>
      </c>
      <c r="J2744" t="s">
        <v>31</v>
      </c>
      <c r="K2744" t="s">
        <v>32</v>
      </c>
      <c r="L2744" t="s">
        <v>32</v>
      </c>
      <c r="M2744" t="s">
        <v>33</v>
      </c>
      <c r="N2744" t="s">
        <v>33</v>
      </c>
      <c r="O2744" t="s">
        <v>33</v>
      </c>
      <c r="P2744" t="s">
        <v>34</v>
      </c>
      <c r="Q2744" t="s">
        <v>35</v>
      </c>
      <c r="S2744" t="s">
        <v>30</v>
      </c>
      <c r="T2744" t="s">
        <v>2409</v>
      </c>
      <c r="U2744" t="s">
        <v>2410</v>
      </c>
      <c r="V2744" t="s">
        <v>39</v>
      </c>
      <c r="W2744" s="1">
        <v>4</v>
      </c>
    </row>
    <row r="2745" spans="1:23" x14ac:dyDescent="0.2">
      <c r="A2745" t="s">
        <v>2096</v>
      </c>
      <c r="B2745" t="s">
        <v>2097</v>
      </c>
      <c r="C2745" t="s">
        <v>2233</v>
      </c>
      <c r="D2745" t="s">
        <v>2367</v>
      </c>
      <c r="E2745" t="s">
        <v>2368</v>
      </c>
      <c r="F2745" t="s">
        <v>2369</v>
      </c>
      <c r="G2745" t="s">
        <v>106</v>
      </c>
      <c r="H2745" t="s">
        <v>30</v>
      </c>
      <c r="I2745" t="s">
        <v>30</v>
      </c>
      <c r="J2745" t="s">
        <v>31</v>
      </c>
      <c r="K2745" t="s">
        <v>32</v>
      </c>
      <c r="L2745" t="s">
        <v>32</v>
      </c>
      <c r="M2745" t="s">
        <v>33</v>
      </c>
      <c r="N2745" t="s">
        <v>33</v>
      </c>
      <c r="O2745" t="s">
        <v>33</v>
      </c>
      <c r="P2745" t="s">
        <v>34</v>
      </c>
      <c r="Q2745" t="s">
        <v>35</v>
      </c>
      <c r="S2745" t="s">
        <v>30</v>
      </c>
      <c r="T2745" t="s">
        <v>2409</v>
      </c>
      <c r="U2745" t="s">
        <v>2410</v>
      </c>
      <c r="V2745" t="s">
        <v>40</v>
      </c>
      <c r="W2745" s="1">
        <v>3079600</v>
      </c>
    </row>
    <row r="2746" spans="1:23" x14ac:dyDescent="0.2">
      <c r="A2746" t="s">
        <v>2096</v>
      </c>
      <c r="B2746" t="s">
        <v>2097</v>
      </c>
      <c r="C2746" t="s">
        <v>2233</v>
      </c>
      <c r="D2746" t="s">
        <v>2367</v>
      </c>
      <c r="E2746" t="s">
        <v>2368</v>
      </c>
      <c r="F2746" t="s">
        <v>2369</v>
      </c>
      <c r="G2746" t="s">
        <v>106</v>
      </c>
      <c r="H2746" t="s">
        <v>30</v>
      </c>
      <c r="I2746" t="s">
        <v>30</v>
      </c>
      <c r="J2746" t="s">
        <v>31</v>
      </c>
      <c r="K2746" t="s">
        <v>32</v>
      </c>
      <c r="L2746" t="s">
        <v>32</v>
      </c>
      <c r="M2746" t="s">
        <v>33</v>
      </c>
      <c r="P2746" t="s">
        <v>34</v>
      </c>
      <c r="Q2746" t="s">
        <v>35</v>
      </c>
      <c r="R2746" t="s">
        <v>173</v>
      </c>
      <c r="S2746" t="s">
        <v>30</v>
      </c>
      <c r="T2746" t="s">
        <v>2405</v>
      </c>
      <c r="U2746" t="s">
        <v>2406</v>
      </c>
      <c r="V2746" t="s">
        <v>39</v>
      </c>
      <c r="W2746" s="1">
        <v>2</v>
      </c>
    </row>
    <row r="2747" spans="1:23" x14ac:dyDescent="0.2">
      <c r="A2747" t="s">
        <v>2096</v>
      </c>
      <c r="B2747" t="s">
        <v>2097</v>
      </c>
      <c r="C2747" t="s">
        <v>2233</v>
      </c>
      <c r="D2747" t="s">
        <v>2367</v>
      </c>
      <c r="E2747" t="s">
        <v>2368</v>
      </c>
      <c r="F2747" t="s">
        <v>2369</v>
      </c>
      <c r="G2747" t="s">
        <v>106</v>
      </c>
      <c r="H2747" t="s">
        <v>30</v>
      </c>
      <c r="I2747" t="s">
        <v>30</v>
      </c>
      <c r="J2747" t="s">
        <v>31</v>
      </c>
      <c r="K2747" t="s">
        <v>32</v>
      </c>
      <c r="L2747" t="s">
        <v>32</v>
      </c>
      <c r="M2747" t="s">
        <v>33</v>
      </c>
      <c r="P2747" t="s">
        <v>34</v>
      </c>
      <c r="Q2747" t="s">
        <v>35</v>
      </c>
      <c r="R2747" t="s">
        <v>173</v>
      </c>
      <c r="S2747" t="s">
        <v>30</v>
      </c>
      <c r="T2747" t="s">
        <v>2405</v>
      </c>
      <c r="U2747" t="s">
        <v>2406</v>
      </c>
      <c r="V2747" t="s">
        <v>40</v>
      </c>
      <c r="W2747" s="1">
        <v>3155800</v>
      </c>
    </row>
    <row r="2748" spans="1:23" x14ac:dyDescent="0.2">
      <c r="A2748" t="s">
        <v>2096</v>
      </c>
      <c r="B2748" t="s">
        <v>2097</v>
      </c>
      <c r="C2748" t="s">
        <v>2233</v>
      </c>
      <c r="D2748" t="s">
        <v>2367</v>
      </c>
      <c r="E2748" t="s">
        <v>2368</v>
      </c>
      <c r="F2748" t="s">
        <v>2369</v>
      </c>
      <c r="G2748" t="s">
        <v>106</v>
      </c>
      <c r="H2748" t="s">
        <v>30</v>
      </c>
      <c r="I2748" t="s">
        <v>30</v>
      </c>
      <c r="J2748" t="s">
        <v>41</v>
      </c>
      <c r="K2748" t="s">
        <v>32</v>
      </c>
      <c r="L2748" t="s">
        <v>32</v>
      </c>
      <c r="M2748" t="s">
        <v>33</v>
      </c>
      <c r="N2748" t="s">
        <v>33</v>
      </c>
      <c r="O2748" t="s">
        <v>33</v>
      </c>
      <c r="P2748" t="s">
        <v>213</v>
      </c>
      <c r="Q2748" t="s">
        <v>2111</v>
      </c>
      <c r="S2748" t="s">
        <v>30</v>
      </c>
      <c r="T2748" t="s">
        <v>2411</v>
      </c>
      <c r="U2748" t="s">
        <v>2412</v>
      </c>
      <c r="V2748" t="s">
        <v>39</v>
      </c>
      <c r="W2748" s="1">
        <v>2</v>
      </c>
    </row>
    <row r="2749" spans="1:23" x14ac:dyDescent="0.2">
      <c r="A2749" t="s">
        <v>2096</v>
      </c>
      <c r="B2749" t="s">
        <v>2097</v>
      </c>
      <c r="C2749" t="s">
        <v>2233</v>
      </c>
      <c r="D2749" t="s">
        <v>2367</v>
      </c>
      <c r="E2749" t="s">
        <v>2368</v>
      </c>
      <c r="F2749" t="s">
        <v>2369</v>
      </c>
      <c r="G2749" t="s">
        <v>106</v>
      </c>
      <c r="H2749" t="s">
        <v>30</v>
      </c>
      <c r="I2749" t="s">
        <v>30</v>
      </c>
      <c r="J2749" t="s">
        <v>41</v>
      </c>
      <c r="K2749" t="s">
        <v>32</v>
      </c>
      <c r="L2749" t="s">
        <v>32</v>
      </c>
      <c r="M2749" t="s">
        <v>33</v>
      </c>
      <c r="N2749" t="s">
        <v>33</v>
      </c>
      <c r="O2749" t="s">
        <v>33</v>
      </c>
      <c r="P2749" t="s">
        <v>213</v>
      </c>
      <c r="Q2749" t="s">
        <v>2111</v>
      </c>
      <c r="S2749" t="s">
        <v>30</v>
      </c>
      <c r="T2749" t="s">
        <v>2411</v>
      </c>
      <c r="U2749" t="s">
        <v>2412</v>
      </c>
      <c r="V2749" t="s">
        <v>40</v>
      </c>
      <c r="W2749" s="1">
        <v>3299800</v>
      </c>
    </row>
    <row r="2750" spans="1:23" x14ac:dyDescent="0.2">
      <c r="A2750" t="s">
        <v>2096</v>
      </c>
      <c r="B2750" t="s">
        <v>2097</v>
      </c>
      <c r="C2750" t="s">
        <v>2233</v>
      </c>
      <c r="D2750" t="s">
        <v>2367</v>
      </c>
      <c r="E2750" t="s">
        <v>2368</v>
      </c>
      <c r="F2750" t="s">
        <v>2369</v>
      </c>
      <c r="G2750" t="s">
        <v>119</v>
      </c>
      <c r="H2750" t="s">
        <v>30</v>
      </c>
      <c r="I2750" t="s">
        <v>52</v>
      </c>
      <c r="J2750" t="s">
        <v>31</v>
      </c>
      <c r="K2750" t="s">
        <v>32</v>
      </c>
      <c r="L2750" t="s">
        <v>32</v>
      </c>
      <c r="M2750" t="s">
        <v>33</v>
      </c>
      <c r="N2750" t="s">
        <v>33</v>
      </c>
      <c r="O2750" t="s">
        <v>33</v>
      </c>
      <c r="P2750" t="s">
        <v>34</v>
      </c>
      <c r="Q2750" t="s">
        <v>35</v>
      </c>
      <c r="R2750" t="s">
        <v>184</v>
      </c>
      <c r="S2750" t="s">
        <v>30</v>
      </c>
      <c r="T2750" t="s">
        <v>2413</v>
      </c>
      <c r="U2750" t="s">
        <v>2414</v>
      </c>
      <c r="V2750" t="s">
        <v>39</v>
      </c>
      <c r="W2750" s="1">
        <v>4</v>
      </c>
    </row>
    <row r="2751" spans="1:23" x14ac:dyDescent="0.2">
      <c r="A2751" t="s">
        <v>2096</v>
      </c>
      <c r="B2751" t="s">
        <v>2097</v>
      </c>
      <c r="C2751" t="s">
        <v>2233</v>
      </c>
      <c r="D2751" t="s">
        <v>2367</v>
      </c>
      <c r="E2751" t="s">
        <v>2368</v>
      </c>
      <c r="F2751" t="s">
        <v>2369</v>
      </c>
      <c r="G2751" t="s">
        <v>119</v>
      </c>
      <c r="H2751" t="s">
        <v>30</v>
      </c>
      <c r="I2751" t="s">
        <v>52</v>
      </c>
      <c r="J2751" t="s">
        <v>31</v>
      </c>
      <c r="K2751" t="s">
        <v>32</v>
      </c>
      <c r="L2751" t="s">
        <v>32</v>
      </c>
      <c r="M2751" t="s">
        <v>33</v>
      </c>
      <c r="N2751" t="s">
        <v>33</v>
      </c>
      <c r="O2751" t="s">
        <v>33</v>
      </c>
      <c r="P2751" t="s">
        <v>34</v>
      </c>
      <c r="Q2751" t="s">
        <v>35</v>
      </c>
      <c r="R2751" t="s">
        <v>184</v>
      </c>
      <c r="S2751" t="s">
        <v>30</v>
      </c>
      <c r="T2751" t="s">
        <v>2413</v>
      </c>
      <c r="U2751" t="s">
        <v>2414</v>
      </c>
      <c r="V2751" t="s">
        <v>40</v>
      </c>
      <c r="W2751" s="1">
        <v>1707600</v>
      </c>
    </row>
    <row r="2752" spans="1:23" x14ac:dyDescent="0.2">
      <c r="A2752" t="s">
        <v>2096</v>
      </c>
      <c r="B2752" t="s">
        <v>2097</v>
      </c>
      <c r="C2752" t="s">
        <v>2233</v>
      </c>
      <c r="D2752" t="s">
        <v>2367</v>
      </c>
      <c r="E2752" t="s">
        <v>2368</v>
      </c>
      <c r="F2752" t="s">
        <v>2369</v>
      </c>
      <c r="G2752" t="s">
        <v>119</v>
      </c>
      <c r="H2752" t="s">
        <v>30</v>
      </c>
      <c r="I2752" t="s">
        <v>52</v>
      </c>
      <c r="J2752" t="s">
        <v>31</v>
      </c>
      <c r="K2752" t="s">
        <v>32</v>
      </c>
      <c r="L2752" t="s">
        <v>32</v>
      </c>
      <c r="M2752" t="s">
        <v>33</v>
      </c>
      <c r="N2752" t="s">
        <v>33</v>
      </c>
      <c r="O2752" t="s">
        <v>33</v>
      </c>
      <c r="P2752" t="s">
        <v>34</v>
      </c>
      <c r="Q2752" t="s">
        <v>35</v>
      </c>
      <c r="R2752" t="s">
        <v>184</v>
      </c>
      <c r="S2752" t="s">
        <v>30</v>
      </c>
      <c r="T2752" t="s">
        <v>2413</v>
      </c>
      <c r="U2752" t="s">
        <v>2415</v>
      </c>
      <c r="V2752" t="s">
        <v>39</v>
      </c>
      <c r="W2752" s="1">
        <v>1</v>
      </c>
    </row>
    <row r="2753" spans="1:23" x14ac:dyDescent="0.2">
      <c r="A2753" t="s">
        <v>2096</v>
      </c>
      <c r="B2753" t="s">
        <v>2097</v>
      </c>
      <c r="C2753" t="s">
        <v>2233</v>
      </c>
      <c r="D2753" t="s">
        <v>2367</v>
      </c>
      <c r="E2753" t="s">
        <v>2368</v>
      </c>
      <c r="F2753" t="s">
        <v>2369</v>
      </c>
      <c r="G2753" t="s">
        <v>119</v>
      </c>
      <c r="H2753" t="s">
        <v>30</v>
      </c>
      <c r="I2753" t="s">
        <v>52</v>
      </c>
      <c r="J2753" t="s">
        <v>31</v>
      </c>
      <c r="K2753" t="s">
        <v>32</v>
      </c>
      <c r="L2753" t="s">
        <v>32</v>
      </c>
      <c r="M2753" t="s">
        <v>33</v>
      </c>
      <c r="N2753" t="s">
        <v>33</v>
      </c>
      <c r="O2753" t="s">
        <v>33</v>
      </c>
      <c r="P2753" t="s">
        <v>34</v>
      </c>
      <c r="Q2753" t="s">
        <v>35</v>
      </c>
      <c r="R2753" t="s">
        <v>184</v>
      </c>
      <c r="S2753" t="s">
        <v>30</v>
      </c>
      <c r="T2753" t="s">
        <v>2413</v>
      </c>
      <c r="U2753" t="s">
        <v>2415</v>
      </c>
      <c r="V2753" t="s">
        <v>40</v>
      </c>
      <c r="W2753" s="1">
        <v>426900</v>
      </c>
    </row>
    <row r="2754" spans="1:23" x14ac:dyDescent="0.2">
      <c r="A2754" t="s">
        <v>2096</v>
      </c>
      <c r="B2754" t="s">
        <v>2097</v>
      </c>
      <c r="C2754" t="s">
        <v>2233</v>
      </c>
      <c r="D2754" t="s">
        <v>2367</v>
      </c>
      <c r="E2754" t="s">
        <v>2368</v>
      </c>
      <c r="F2754" t="s">
        <v>2369</v>
      </c>
      <c r="G2754" t="s">
        <v>119</v>
      </c>
      <c r="H2754" t="s">
        <v>30</v>
      </c>
      <c r="I2754" t="s">
        <v>52</v>
      </c>
      <c r="J2754" t="s">
        <v>31</v>
      </c>
      <c r="K2754" t="s">
        <v>32</v>
      </c>
      <c r="L2754" t="s">
        <v>32</v>
      </c>
      <c r="M2754" t="s">
        <v>33</v>
      </c>
      <c r="N2754" t="s">
        <v>33</v>
      </c>
      <c r="O2754" t="s">
        <v>33</v>
      </c>
      <c r="P2754" t="s">
        <v>34</v>
      </c>
      <c r="Q2754" t="s">
        <v>35</v>
      </c>
      <c r="S2754" t="s">
        <v>30</v>
      </c>
      <c r="T2754" t="s">
        <v>2416</v>
      </c>
      <c r="U2754" t="s">
        <v>2417</v>
      </c>
      <c r="V2754" t="s">
        <v>39</v>
      </c>
      <c r="W2754" s="1">
        <v>4</v>
      </c>
    </row>
    <row r="2755" spans="1:23" x14ac:dyDescent="0.2">
      <c r="A2755" t="s">
        <v>2096</v>
      </c>
      <c r="B2755" t="s">
        <v>2097</v>
      </c>
      <c r="C2755" t="s">
        <v>2233</v>
      </c>
      <c r="D2755" t="s">
        <v>2367</v>
      </c>
      <c r="E2755" t="s">
        <v>2368</v>
      </c>
      <c r="F2755" t="s">
        <v>2369</v>
      </c>
      <c r="G2755" t="s">
        <v>119</v>
      </c>
      <c r="H2755" t="s">
        <v>30</v>
      </c>
      <c r="I2755" t="s">
        <v>52</v>
      </c>
      <c r="J2755" t="s">
        <v>31</v>
      </c>
      <c r="K2755" t="s">
        <v>32</v>
      </c>
      <c r="L2755" t="s">
        <v>32</v>
      </c>
      <c r="M2755" t="s">
        <v>33</v>
      </c>
      <c r="N2755" t="s">
        <v>33</v>
      </c>
      <c r="O2755" t="s">
        <v>33</v>
      </c>
      <c r="P2755" t="s">
        <v>34</v>
      </c>
      <c r="Q2755" t="s">
        <v>35</v>
      </c>
      <c r="S2755" t="s">
        <v>30</v>
      </c>
      <c r="T2755" t="s">
        <v>2416</v>
      </c>
      <c r="U2755" t="s">
        <v>2417</v>
      </c>
      <c r="V2755" t="s">
        <v>40</v>
      </c>
      <c r="W2755" s="1">
        <v>2671600</v>
      </c>
    </row>
    <row r="2756" spans="1:23" x14ac:dyDescent="0.2">
      <c r="A2756" t="s">
        <v>2096</v>
      </c>
      <c r="B2756" t="s">
        <v>2097</v>
      </c>
      <c r="C2756" t="s">
        <v>2233</v>
      </c>
      <c r="D2756" t="s">
        <v>2367</v>
      </c>
      <c r="E2756" t="s">
        <v>2368</v>
      </c>
      <c r="F2756" t="s">
        <v>2369</v>
      </c>
      <c r="G2756" t="s">
        <v>119</v>
      </c>
      <c r="H2756" t="s">
        <v>30</v>
      </c>
      <c r="I2756" t="s">
        <v>52</v>
      </c>
      <c r="J2756" t="s">
        <v>31</v>
      </c>
      <c r="K2756" t="s">
        <v>32</v>
      </c>
      <c r="L2756" t="s">
        <v>32</v>
      </c>
      <c r="M2756" t="s">
        <v>33</v>
      </c>
      <c r="P2756" t="s">
        <v>34</v>
      </c>
      <c r="Q2756" t="s">
        <v>35</v>
      </c>
      <c r="R2756" t="s">
        <v>184</v>
      </c>
      <c r="S2756" t="s">
        <v>30</v>
      </c>
      <c r="T2756" t="s">
        <v>2413</v>
      </c>
      <c r="U2756" t="s">
        <v>2415</v>
      </c>
      <c r="V2756" t="s">
        <v>39</v>
      </c>
      <c r="W2756" s="1">
        <v>3</v>
      </c>
    </row>
    <row r="2757" spans="1:23" x14ac:dyDescent="0.2">
      <c r="A2757" t="s">
        <v>2096</v>
      </c>
      <c r="B2757" t="s">
        <v>2097</v>
      </c>
      <c r="C2757" t="s">
        <v>2233</v>
      </c>
      <c r="D2757" t="s">
        <v>2367</v>
      </c>
      <c r="E2757" t="s">
        <v>2368</v>
      </c>
      <c r="F2757" t="s">
        <v>2369</v>
      </c>
      <c r="G2757" t="s">
        <v>119</v>
      </c>
      <c r="H2757" t="s">
        <v>30</v>
      </c>
      <c r="I2757" t="s">
        <v>52</v>
      </c>
      <c r="J2757" t="s">
        <v>31</v>
      </c>
      <c r="K2757" t="s">
        <v>32</v>
      </c>
      <c r="L2757" t="s">
        <v>32</v>
      </c>
      <c r="M2757" t="s">
        <v>33</v>
      </c>
      <c r="P2757" t="s">
        <v>34</v>
      </c>
      <c r="Q2757" t="s">
        <v>35</v>
      </c>
      <c r="R2757" t="s">
        <v>184</v>
      </c>
      <c r="S2757" t="s">
        <v>30</v>
      </c>
      <c r="T2757" t="s">
        <v>2413</v>
      </c>
      <c r="U2757" t="s">
        <v>2415</v>
      </c>
      <c r="V2757" t="s">
        <v>40</v>
      </c>
      <c r="W2757" s="1">
        <v>1280700</v>
      </c>
    </row>
    <row r="2758" spans="1:23" x14ac:dyDescent="0.2">
      <c r="A2758" t="s">
        <v>2096</v>
      </c>
      <c r="B2758" t="s">
        <v>2097</v>
      </c>
      <c r="C2758" t="s">
        <v>2233</v>
      </c>
      <c r="D2758" t="s">
        <v>2367</v>
      </c>
      <c r="E2758" t="s">
        <v>2368</v>
      </c>
      <c r="F2758" t="s">
        <v>2369</v>
      </c>
      <c r="G2758" t="s">
        <v>127</v>
      </c>
      <c r="H2758" t="s">
        <v>52</v>
      </c>
      <c r="I2758" t="s">
        <v>30</v>
      </c>
      <c r="J2758" t="s">
        <v>31</v>
      </c>
      <c r="K2758" t="s">
        <v>32</v>
      </c>
      <c r="L2758" t="s">
        <v>32</v>
      </c>
      <c r="M2758" t="s">
        <v>33</v>
      </c>
      <c r="N2758" t="s">
        <v>33</v>
      </c>
      <c r="O2758" t="s">
        <v>33</v>
      </c>
      <c r="P2758" t="s">
        <v>213</v>
      </c>
      <c r="Q2758" t="s">
        <v>2111</v>
      </c>
      <c r="S2758" t="s">
        <v>30</v>
      </c>
      <c r="T2758" t="s">
        <v>2418</v>
      </c>
      <c r="U2758" t="s">
        <v>2419</v>
      </c>
      <c r="V2758" t="s">
        <v>39</v>
      </c>
      <c r="W2758" s="1">
        <v>7</v>
      </c>
    </row>
    <row r="2759" spans="1:23" x14ac:dyDescent="0.2">
      <c r="A2759" t="s">
        <v>2096</v>
      </c>
      <c r="B2759" t="s">
        <v>2097</v>
      </c>
      <c r="C2759" t="s">
        <v>2233</v>
      </c>
      <c r="D2759" t="s">
        <v>2367</v>
      </c>
      <c r="E2759" t="s">
        <v>2368</v>
      </c>
      <c r="F2759" t="s">
        <v>2369</v>
      </c>
      <c r="G2759" t="s">
        <v>127</v>
      </c>
      <c r="H2759" t="s">
        <v>52</v>
      </c>
      <c r="I2759" t="s">
        <v>30</v>
      </c>
      <c r="J2759" t="s">
        <v>31</v>
      </c>
      <c r="K2759" t="s">
        <v>32</v>
      </c>
      <c r="L2759" t="s">
        <v>32</v>
      </c>
      <c r="M2759" t="s">
        <v>33</v>
      </c>
      <c r="N2759" t="s">
        <v>33</v>
      </c>
      <c r="O2759" t="s">
        <v>33</v>
      </c>
      <c r="P2759" t="s">
        <v>213</v>
      </c>
      <c r="Q2759" t="s">
        <v>2111</v>
      </c>
      <c r="S2759" t="s">
        <v>30</v>
      </c>
      <c r="T2759" t="s">
        <v>2418</v>
      </c>
      <c r="U2759" t="s">
        <v>2419</v>
      </c>
      <c r="V2759" t="s">
        <v>40</v>
      </c>
      <c r="W2759" s="1">
        <v>5796700</v>
      </c>
    </row>
    <row r="2760" spans="1:23" x14ac:dyDescent="0.2">
      <c r="A2760" t="s">
        <v>2096</v>
      </c>
      <c r="B2760" t="s">
        <v>2097</v>
      </c>
      <c r="C2760" t="s">
        <v>2233</v>
      </c>
      <c r="D2760" t="s">
        <v>2367</v>
      </c>
      <c r="E2760" t="s">
        <v>2368</v>
      </c>
      <c r="F2760" t="s">
        <v>2369</v>
      </c>
      <c r="G2760" t="s">
        <v>139</v>
      </c>
      <c r="H2760" t="s">
        <v>30</v>
      </c>
      <c r="I2760" t="s">
        <v>30</v>
      </c>
      <c r="J2760" t="s">
        <v>31</v>
      </c>
      <c r="K2760" t="s">
        <v>32</v>
      </c>
      <c r="L2760" t="s">
        <v>32</v>
      </c>
      <c r="M2760" t="s">
        <v>33</v>
      </c>
      <c r="P2760" t="s">
        <v>213</v>
      </c>
      <c r="Q2760" t="s">
        <v>2111</v>
      </c>
      <c r="S2760" t="s">
        <v>30</v>
      </c>
      <c r="T2760" t="s">
        <v>2420</v>
      </c>
      <c r="U2760" t="s">
        <v>2421</v>
      </c>
      <c r="V2760" t="s">
        <v>39</v>
      </c>
      <c r="W2760" s="1">
        <v>3</v>
      </c>
    </row>
    <row r="2761" spans="1:23" x14ac:dyDescent="0.2">
      <c r="A2761" t="s">
        <v>2096</v>
      </c>
      <c r="B2761" t="s">
        <v>2097</v>
      </c>
      <c r="C2761" t="s">
        <v>2233</v>
      </c>
      <c r="D2761" t="s">
        <v>2367</v>
      </c>
      <c r="E2761" t="s">
        <v>2368</v>
      </c>
      <c r="F2761" t="s">
        <v>2369</v>
      </c>
      <c r="G2761" t="s">
        <v>139</v>
      </c>
      <c r="H2761" t="s">
        <v>30</v>
      </c>
      <c r="I2761" t="s">
        <v>30</v>
      </c>
      <c r="J2761" t="s">
        <v>31</v>
      </c>
      <c r="K2761" t="s">
        <v>32</v>
      </c>
      <c r="L2761" t="s">
        <v>32</v>
      </c>
      <c r="M2761" t="s">
        <v>33</v>
      </c>
      <c r="P2761" t="s">
        <v>213</v>
      </c>
      <c r="Q2761" t="s">
        <v>2111</v>
      </c>
      <c r="S2761" t="s">
        <v>30</v>
      </c>
      <c r="T2761" t="s">
        <v>2420</v>
      </c>
      <c r="U2761" t="s">
        <v>2421</v>
      </c>
      <c r="V2761" t="s">
        <v>40</v>
      </c>
      <c r="W2761" s="1">
        <v>2630700</v>
      </c>
    </row>
    <row r="2762" spans="1:23" x14ac:dyDescent="0.2">
      <c r="A2762" t="s">
        <v>2096</v>
      </c>
      <c r="B2762" t="s">
        <v>2097</v>
      </c>
      <c r="C2762" t="s">
        <v>2233</v>
      </c>
      <c r="D2762" t="s">
        <v>2367</v>
      </c>
      <c r="E2762" t="s">
        <v>2368</v>
      </c>
      <c r="F2762" t="s">
        <v>2369</v>
      </c>
      <c r="G2762" t="s">
        <v>139</v>
      </c>
      <c r="H2762" t="s">
        <v>30</v>
      </c>
      <c r="I2762" t="s">
        <v>30</v>
      </c>
      <c r="J2762" t="s">
        <v>31</v>
      </c>
      <c r="K2762" t="s">
        <v>32</v>
      </c>
      <c r="L2762" t="s">
        <v>32</v>
      </c>
      <c r="M2762" t="s">
        <v>33</v>
      </c>
      <c r="P2762" t="s">
        <v>34</v>
      </c>
      <c r="Q2762" t="s">
        <v>35</v>
      </c>
      <c r="R2762" t="s">
        <v>151</v>
      </c>
      <c r="S2762" t="s">
        <v>30</v>
      </c>
      <c r="T2762" t="s">
        <v>2422</v>
      </c>
      <c r="U2762" t="s">
        <v>2423</v>
      </c>
      <c r="V2762" t="s">
        <v>39</v>
      </c>
      <c r="W2762" s="1">
        <v>3</v>
      </c>
    </row>
    <row r="2763" spans="1:23" x14ac:dyDescent="0.2">
      <c r="A2763" t="s">
        <v>2096</v>
      </c>
      <c r="B2763" t="s">
        <v>2097</v>
      </c>
      <c r="C2763" t="s">
        <v>2233</v>
      </c>
      <c r="D2763" t="s">
        <v>2367</v>
      </c>
      <c r="E2763" t="s">
        <v>2368</v>
      </c>
      <c r="F2763" t="s">
        <v>2369</v>
      </c>
      <c r="G2763" t="s">
        <v>139</v>
      </c>
      <c r="H2763" t="s">
        <v>30</v>
      </c>
      <c r="I2763" t="s">
        <v>30</v>
      </c>
      <c r="J2763" t="s">
        <v>31</v>
      </c>
      <c r="K2763" t="s">
        <v>32</v>
      </c>
      <c r="L2763" t="s">
        <v>32</v>
      </c>
      <c r="M2763" t="s">
        <v>33</v>
      </c>
      <c r="P2763" t="s">
        <v>34</v>
      </c>
      <c r="Q2763" t="s">
        <v>35</v>
      </c>
      <c r="R2763" t="s">
        <v>151</v>
      </c>
      <c r="S2763" t="s">
        <v>30</v>
      </c>
      <c r="T2763" t="s">
        <v>2422</v>
      </c>
      <c r="U2763" t="s">
        <v>2423</v>
      </c>
      <c r="V2763" t="s">
        <v>40</v>
      </c>
      <c r="W2763" s="1">
        <v>3632700</v>
      </c>
    </row>
    <row r="2764" spans="1:23" x14ac:dyDescent="0.2">
      <c r="A2764" t="s">
        <v>2096</v>
      </c>
      <c r="B2764" t="s">
        <v>2097</v>
      </c>
      <c r="C2764" t="s">
        <v>2233</v>
      </c>
      <c r="D2764" t="s">
        <v>2367</v>
      </c>
      <c r="E2764" t="s">
        <v>2368</v>
      </c>
      <c r="F2764" t="s">
        <v>2369</v>
      </c>
      <c r="G2764" t="s">
        <v>139</v>
      </c>
      <c r="H2764" t="s">
        <v>30</v>
      </c>
      <c r="I2764" t="s">
        <v>30</v>
      </c>
      <c r="J2764" t="s">
        <v>31</v>
      </c>
      <c r="K2764" t="s">
        <v>32</v>
      </c>
      <c r="L2764" t="s">
        <v>32</v>
      </c>
      <c r="M2764" t="s">
        <v>33</v>
      </c>
      <c r="P2764" t="s">
        <v>34</v>
      </c>
      <c r="Q2764" t="s">
        <v>35</v>
      </c>
      <c r="S2764" t="s">
        <v>30</v>
      </c>
      <c r="T2764" t="s">
        <v>2424</v>
      </c>
      <c r="U2764" t="s">
        <v>2425</v>
      </c>
      <c r="V2764" t="s">
        <v>39</v>
      </c>
      <c r="W2764" s="1">
        <v>2</v>
      </c>
    </row>
    <row r="2765" spans="1:23" x14ac:dyDescent="0.2">
      <c r="A2765" t="s">
        <v>2096</v>
      </c>
      <c r="B2765" t="s">
        <v>2097</v>
      </c>
      <c r="C2765" t="s">
        <v>2233</v>
      </c>
      <c r="D2765" t="s">
        <v>2367</v>
      </c>
      <c r="E2765" t="s">
        <v>2368</v>
      </c>
      <c r="F2765" t="s">
        <v>2369</v>
      </c>
      <c r="G2765" t="s">
        <v>139</v>
      </c>
      <c r="H2765" t="s">
        <v>30</v>
      </c>
      <c r="I2765" t="s">
        <v>30</v>
      </c>
      <c r="J2765" t="s">
        <v>31</v>
      </c>
      <c r="K2765" t="s">
        <v>32</v>
      </c>
      <c r="L2765" t="s">
        <v>32</v>
      </c>
      <c r="M2765" t="s">
        <v>33</v>
      </c>
      <c r="P2765" t="s">
        <v>34</v>
      </c>
      <c r="Q2765" t="s">
        <v>35</v>
      </c>
      <c r="S2765" t="s">
        <v>30</v>
      </c>
      <c r="T2765" t="s">
        <v>2424</v>
      </c>
      <c r="U2765" t="s">
        <v>2425</v>
      </c>
      <c r="V2765" t="s">
        <v>40</v>
      </c>
      <c r="W2765" s="1">
        <v>1476000</v>
      </c>
    </row>
    <row r="2766" spans="1:23" x14ac:dyDescent="0.2">
      <c r="A2766" t="s">
        <v>2096</v>
      </c>
      <c r="B2766" t="s">
        <v>2097</v>
      </c>
      <c r="C2766" t="s">
        <v>2233</v>
      </c>
      <c r="D2766" t="s">
        <v>2367</v>
      </c>
      <c r="E2766" t="s">
        <v>2368</v>
      </c>
      <c r="F2766" t="s">
        <v>2369</v>
      </c>
      <c r="G2766" t="s">
        <v>139</v>
      </c>
      <c r="H2766" t="s">
        <v>30</v>
      </c>
      <c r="I2766" t="s">
        <v>30</v>
      </c>
      <c r="J2766" t="s">
        <v>31</v>
      </c>
      <c r="K2766" t="s">
        <v>32</v>
      </c>
      <c r="L2766" t="s">
        <v>32</v>
      </c>
      <c r="M2766" t="s">
        <v>33</v>
      </c>
      <c r="P2766" t="s">
        <v>34</v>
      </c>
      <c r="Q2766" t="s">
        <v>35</v>
      </c>
      <c r="S2766" t="s">
        <v>52</v>
      </c>
      <c r="T2766" t="s">
        <v>2307</v>
      </c>
      <c r="U2766" t="s">
        <v>2426</v>
      </c>
      <c r="V2766" t="s">
        <v>39</v>
      </c>
      <c r="W2766" s="1">
        <v>0</v>
      </c>
    </row>
    <row r="2767" spans="1:23" x14ac:dyDescent="0.2">
      <c r="A2767" t="s">
        <v>2096</v>
      </c>
      <c r="B2767" t="s">
        <v>2097</v>
      </c>
      <c r="C2767" t="s">
        <v>2233</v>
      </c>
      <c r="D2767" t="s">
        <v>2367</v>
      </c>
      <c r="E2767" t="s">
        <v>2368</v>
      </c>
      <c r="F2767" t="s">
        <v>2369</v>
      </c>
      <c r="G2767" t="s">
        <v>139</v>
      </c>
      <c r="H2767" t="s">
        <v>30</v>
      </c>
      <c r="I2767" t="s">
        <v>30</v>
      </c>
      <c r="J2767" t="s">
        <v>31</v>
      </c>
      <c r="K2767" t="s">
        <v>32</v>
      </c>
      <c r="L2767" t="s">
        <v>32</v>
      </c>
      <c r="M2767" t="s">
        <v>33</v>
      </c>
      <c r="P2767" t="s">
        <v>34</v>
      </c>
      <c r="Q2767" t="s">
        <v>35</v>
      </c>
      <c r="S2767" t="s">
        <v>52</v>
      </c>
      <c r="T2767" t="s">
        <v>2307</v>
      </c>
      <c r="U2767" t="s">
        <v>2426</v>
      </c>
      <c r="V2767" t="s">
        <v>40</v>
      </c>
      <c r="W2767" s="1">
        <v>1053800</v>
      </c>
    </row>
    <row r="2768" spans="1:23" x14ac:dyDescent="0.2">
      <c r="A2768" t="s">
        <v>2096</v>
      </c>
      <c r="B2768" t="s">
        <v>2097</v>
      </c>
      <c r="C2768" t="s">
        <v>2233</v>
      </c>
      <c r="D2768" t="s">
        <v>2367</v>
      </c>
      <c r="E2768" t="s">
        <v>2368</v>
      </c>
      <c r="F2768" t="s">
        <v>2369</v>
      </c>
      <c r="G2768" t="s">
        <v>139</v>
      </c>
      <c r="H2768" t="s">
        <v>30</v>
      </c>
      <c r="I2768" t="s">
        <v>30</v>
      </c>
      <c r="J2768" t="s">
        <v>31</v>
      </c>
      <c r="K2768" t="s">
        <v>32</v>
      </c>
      <c r="L2768" t="s">
        <v>32</v>
      </c>
      <c r="M2768" t="s">
        <v>176</v>
      </c>
      <c r="P2768" t="s">
        <v>34</v>
      </c>
      <c r="Q2768" t="s">
        <v>35</v>
      </c>
      <c r="S2768" t="s">
        <v>52</v>
      </c>
      <c r="T2768" t="s">
        <v>2307</v>
      </c>
      <c r="U2768" t="s">
        <v>2426</v>
      </c>
      <c r="V2768" t="s">
        <v>39</v>
      </c>
      <c r="W2768" s="1">
        <v>0</v>
      </c>
    </row>
    <row r="2769" spans="1:23" x14ac:dyDescent="0.2">
      <c r="A2769" t="s">
        <v>2096</v>
      </c>
      <c r="B2769" t="s">
        <v>2097</v>
      </c>
      <c r="C2769" t="s">
        <v>2233</v>
      </c>
      <c r="D2769" t="s">
        <v>2367</v>
      </c>
      <c r="E2769" t="s">
        <v>2368</v>
      </c>
      <c r="F2769" t="s">
        <v>2369</v>
      </c>
      <c r="G2769" t="s">
        <v>139</v>
      </c>
      <c r="H2769" t="s">
        <v>30</v>
      </c>
      <c r="I2769" t="s">
        <v>30</v>
      </c>
      <c r="J2769" t="s">
        <v>31</v>
      </c>
      <c r="K2769" t="s">
        <v>32</v>
      </c>
      <c r="L2769" t="s">
        <v>32</v>
      </c>
      <c r="M2769" t="s">
        <v>176</v>
      </c>
      <c r="P2769" t="s">
        <v>34</v>
      </c>
      <c r="Q2769" t="s">
        <v>35</v>
      </c>
      <c r="S2769" t="s">
        <v>52</v>
      </c>
      <c r="T2769" t="s">
        <v>2307</v>
      </c>
      <c r="U2769" t="s">
        <v>2426</v>
      </c>
      <c r="V2769" t="s">
        <v>40</v>
      </c>
      <c r="W2769" s="1">
        <v>1053800</v>
      </c>
    </row>
    <row r="2770" spans="1:23" x14ac:dyDescent="0.2">
      <c r="A2770" t="s">
        <v>2096</v>
      </c>
      <c r="B2770" t="s">
        <v>2097</v>
      </c>
      <c r="C2770" t="s">
        <v>2233</v>
      </c>
      <c r="D2770" t="s">
        <v>2427</v>
      </c>
      <c r="E2770" t="s">
        <v>2428</v>
      </c>
      <c r="F2770" t="s">
        <v>2429</v>
      </c>
      <c r="G2770" t="s">
        <v>29</v>
      </c>
      <c r="H2770" t="s">
        <v>30</v>
      </c>
      <c r="I2770" t="s">
        <v>30</v>
      </c>
      <c r="J2770" t="s">
        <v>57</v>
      </c>
      <c r="K2770" t="s">
        <v>32</v>
      </c>
      <c r="L2770" t="s">
        <v>32</v>
      </c>
      <c r="M2770" t="s">
        <v>33</v>
      </c>
      <c r="N2770" t="s">
        <v>33</v>
      </c>
      <c r="O2770" t="s">
        <v>33</v>
      </c>
      <c r="P2770" t="s">
        <v>34</v>
      </c>
      <c r="Q2770" t="s">
        <v>35</v>
      </c>
      <c r="S2770" t="s">
        <v>30</v>
      </c>
      <c r="T2770" t="s">
        <v>2430</v>
      </c>
      <c r="U2770" t="s">
        <v>2431</v>
      </c>
      <c r="V2770" t="s">
        <v>39</v>
      </c>
      <c r="W2770" s="1">
        <v>3</v>
      </c>
    </row>
    <row r="2771" spans="1:23" x14ac:dyDescent="0.2">
      <c r="A2771" t="s">
        <v>2096</v>
      </c>
      <c r="B2771" t="s">
        <v>2097</v>
      </c>
      <c r="C2771" t="s">
        <v>2233</v>
      </c>
      <c r="D2771" t="s">
        <v>2427</v>
      </c>
      <c r="E2771" t="s">
        <v>2428</v>
      </c>
      <c r="F2771" t="s">
        <v>2429</v>
      </c>
      <c r="G2771" t="s">
        <v>29</v>
      </c>
      <c r="H2771" t="s">
        <v>30</v>
      </c>
      <c r="I2771" t="s">
        <v>30</v>
      </c>
      <c r="J2771" t="s">
        <v>57</v>
      </c>
      <c r="K2771" t="s">
        <v>32</v>
      </c>
      <c r="L2771" t="s">
        <v>32</v>
      </c>
      <c r="M2771" t="s">
        <v>33</v>
      </c>
      <c r="N2771" t="s">
        <v>33</v>
      </c>
      <c r="O2771" t="s">
        <v>33</v>
      </c>
      <c r="P2771" t="s">
        <v>34</v>
      </c>
      <c r="Q2771" t="s">
        <v>35</v>
      </c>
      <c r="S2771" t="s">
        <v>30</v>
      </c>
      <c r="T2771" t="s">
        <v>2430</v>
      </c>
      <c r="U2771" t="s">
        <v>2431</v>
      </c>
      <c r="V2771" t="s">
        <v>40</v>
      </c>
      <c r="W2771" s="1">
        <v>4290600</v>
      </c>
    </row>
    <row r="2772" spans="1:23" x14ac:dyDescent="0.2">
      <c r="A2772" t="s">
        <v>2096</v>
      </c>
      <c r="B2772" t="s">
        <v>2097</v>
      </c>
      <c r="C2772" t="s">
        <v>2233</v>
      </c>
      <c r="D2772" t="s">
        <v>2427</v>
      </c>
      <c r="E2772" t="s">
        <v>2428</v>
      </c>
      <c r="F2772" t="s">
        <v>2429</v>
      </c>
      <c r="G2772" t="s">
        <v>49</v>
      </c>
      <c r="H2772" t="s">
        <v>30</v>
      </c>
      <c r="I2772" t="s">
        <v>30</v>
      </c>
      <c r="J2772" t="s">
        <v>128</v>
      </c>
      <c r="K2772" t="s">
        <v>2432</v>
      </c>
      <c r="L2772" t="s">
        <v>32</v>
      </c>
      <c r="M2772" t="s">
        <v>33</v>
      </c>
      <c r="N2772" t="s">
        <v>33</v>
      </c>
      <c r="O2772" t="s">
        <v>33</v>
      </c>
      <c r="P2772" t="s">
        <v>372</v>
      </c>
      <c r="Q2772" t="s">
        <v>373</v>
      </c>
      <c r="S2772" t="s">
        <v>30</v>
      </c>
      <c r="T2772" t="s">
        <v>2433</v>
      </c>
      <c r="U2772" t="s">
        <v>2434</v>
      </c>
      <c r="V2772" t="s">
        <v>39</v>
      </c>
      <c r="W2772" s="1">
        <v>2</v>
      </c>
    </row>
    <row r="2773" spans="1:23" x14ac:dyDescent="0.2">
      <c r="A2773" t="s">
        <v>2096</v>
      </c>
      <c r="B2773" t="s">
        <v>2097</v>
      </c>
      <c r="C2773" t="s">
        <v>2233</v>
      </c>
      <c r="D2773" t="s">
        <v>2427</v>
      </c>
      <c r="E2773" t="s">
        <v>2428</v>
      </c>
      <c r="F2773" t="s">
        <v>2429</v>
      </c>
      <c r="G2773" t="s">
        <v>49</v>
      </c>
      <c r="H2773" t="s">
        <v>30</v>
      </c>
      <c r="I2773" t="s">
        <v>30</v>
      </c>
      <c r="J2773" t="s">
        <v>128</v>
      </c>
      <c r="K2773" t="s">
        <v>2432</v>
      </c>
      <c r="L2773" t="s">
        <v>32</v>
      </c>
      <c r="M2773" t="s">
        <v>33</v>
      </c>
      <c r="N2773" t="s">
        <v>33</v>
      </c>
      <c r="O2773" t="s">
        <v>33</v>
      </c>
      <c r="P2773" t="s">
        <v>372</v>
      </c>
      <c r="Q2773" t="s">
        <v>373</v>
      </c>
      <c r="S2773" t="s">
        <v>30</v>
      </c>
      <c r="T2773" t="s">
        <v>2433</v>
      </c>
      <c r="U2773" t="s">
        <v>2434</v>
      </c>
      <c r="V2773" t="s">
        <v>40</v>
      </c>
      <c r="W2773" s="1">
        <v>1599800</v>
      </c>
    </row>
    <row r="2774" spans="1:23" x14ac:dyDescent="0.2">
      <c r="A2774" t="s">
        <v>2096</v>
      </c>
      <c r="B2774" t="s">
        <v>2097</v>
      </c>
      <c r="C2774" t="s">
        <v>2233</v>
      </c>
      <c r="D2774" t="s">
        <v>2427</v>
      </c>
      <c r="E2774" t="s">
        <v>2428</v>
      </c>
      <c r="F2774" t="s">
        <v>2429</v>
      </c>
      <c r="G2774" t="s">
        <v>49</v>
      </c>
      <c r="H2774" t="s">
        <v>30</v>
      </c>
      <c r="I2774" t="s">
        <v>30</v>
      </c>
      <c r="J2774" t="s">
        <v>31</v>
      </c>
      <c r="K2774" t="s">
        <v>32</v>
      </c>
      <c r="L2774" t="s">
        <v>32</v>
      </c>
      <c r="M2774" t="s">
        <v>33</v>
      </c>
      <c r="N2774" t="s">
        <v>33</v>
      </c>
      <c r="O2774" t="s">
        <v>33</v>
      </c>
      <c r="P2774" t="s">
        <v>213</v>
      </c>
      <c r="Q2774" t="s">
        <v>2118</v>
      </c>
      <c r="S2774" t="s">
        <v>30</v>
      </c>
      <c r="T2774" t="s">
        <v>2435</v>
      </c>
      <c r="U2774" t="s">
        <v>2436</v>
      </c>
      <c r="V2774" t="s">
        <v>39</v>
      </c>
      <c r="W2774" s="1">
        <v>3</v>
      </c>
    </row>
    <row r="2775" spans="1:23" x14ac:dyDescent="0.2">
      <c r="A2775" t="s">
        <v>2096</v>
      </c>
      <c r="B2775" t="s">
        <v>2097</v>
      </c>
      <c r="C2775" t="s">
        <v>2233</v>
      </c>
      <c r="D2775" t="s">
        <v>2427</v>
      </c>
      <c r="E2775" t="s">
        <v>2428</v>
      </c>
      <c r="F2775" t="s">
        <v>2429</v>
      </c>
      <c r="G2775" t="s">
        <v>49</v>
      </c>
      <c r="H2775" t="s">
        <v>30</v>
      </c>
      <c r="I2775" t="s">
        <v>30</v>
      </c>
      <c r="J2775" t="s">
        <v>31</v>
      </c>
      <c r="K2775" t="s">
        <v>32</v>
      </c>
      <c r="L2775" t="s">
        <v>32</v>
      </c>
      <c r="M2775" t="s">
        <v>33</v>
      </c>
      <c r="N2775" t="s">
        <v>33</v>
      </c>
      <c r="O2775" t="s">
        <v>33</v>
      </c>
      <c r="P2775" t="s">
        <v>213</v>
      </c>
      <c r="Q2775" t="s">
        <v>2118</v>
      </c>
      <c r="S2775" t="s">
        <v>30</v>
      </c>
      <c r="T2775" t="s">
        <v>2435</v>
      </c>
      <c r="U2775" t="s">
        <v>2436</v>
      </c>
      <c r="V2775" t="s">
        <v>40</v>
      </c>
      <c r="W2775" s="1">
        <v>2184300</v>
      </c>
    </row>
    <row r="2776" spans="1:23" x14ac:dyDescent="0.2">
      <c r="A2776" t="s">
        <v>2096</v>
      </c>
      <c r="B2776" t="s">
        <v>2097</v>
      </c>
      <c r="C2776" t="s">
        <v>2233</v>
      </c>
      <c r="D2776" t="s">
        <v>2427</v>
      </c>
      <c r="E2776" t="s">
        <v>2428</v>
      </c>
      <c r="F2776" t="s">
        <v>2429</v>
      </c>
      <c r="G2776" t="s">
        <v>49</v>
      </c>
      <c r="H2776" t="s">
        <v>30</v>
      </c>
      <c r="I2776" t="s">
        <v>30</v>
      </c>
      <c r="J2776" t="s">
        <v>31</v>
      </c>
      <c r="K2776" t="s">
        <v>32</v>
      </c>
      <c r="L2776" t="s">
        <v>32</v>
      </c>
      <c r="M2776" t="s">
        <v>33</v>
      </c>
      <c r="P2776" t="s">
        <v>34</v>
      </c>
      <c r="Q2776" t="s">
        <v>35</v>
      </c>
      <c r="R2776" t="s">
        <v>73</v>
      </c>
      <c r="S2776" t="s">
        <v>52</v>
      </c>
      <c r="T2776" t="s">
        <v>2437</v>
      </c>
      <c r="U2776" t="s">
        <v>2438</v>
      </c>
      <c r="V2776" t="s">
        <v>39</v>
      </c>
      <c r="W2776" s="1">
        <v>0</v>
      </c>
    </row>
    <row r="2777" spans="1:23" x14ac:dyDescent="0.2">
      <c r="A2777" t="s">
        <v>2096</v>
      </c>
      <c r="B2777" t="s">
        <v>2097</v>
      </c>
      <c r="C2777" t="s">
        <v>2233</v>
      </c>
      <c r="D2777" t="s">
        <v>2427</v>
      </c>
      <c r="E2777" t="s">
        <v>2428</v>
      </c>
      <c r="F2777" t="s">
        <v>2429</v>
      </c>
      <c r="G2777" t="s">
        <v>49</v>
      </c>
      <c r="H2777" t="s">
        <v>30</v>
      </c>
      <c r="I2777" t="s">
        <v>30</v>
      </c>
      <c r="J2777" t="s">
        <v>31</v>
      </c>
      <c r="K2777" t="s">
        <v>32</v>
      </c>
      <c r="L2777" t="s">
        <v>32</v>
      </c>
      <c r="M2777" t="s">
        <v>33</v>
      </c>
      <c r="P2777" t="s">
        <v>34</v>
      </c>
      <c r="Q2777" t="s">
        <v>35</v>
      </c>
      <c r="R2777" t="s">
        <v>73</v>
      </c>
      <c r="S2777" t="s">
        <v>52</v>
      </c>
      <c r="T2777" t="s">
        <v>2437</v>
      </c>
      <c r="U2777" t="s">
        <v>2438</v>
      </c>
      <c r="V2777" t="s">
        <v>40</v>
      </c>
      <c r="W2777" s="1">
        <v>0</v>
      </c>
    </row>
    <row r="2778" spans="1:23" x14ac:dyDescent="0.2">
      <c r="A2778" t="s">
        <v>2096</v>
      </c>
      <c r="B2778" t="s">
        <v>2097</v>
      </c>
      <c r="C2778" t="s">
        <v>2233</v>
      </c>
      <c r="D2778" t="s">
        <v>2427</v>
      </c>
      <c r="E2778" t="s">
        <v>2428</v>
      </c>
      <c r="F2778" t="s">
        <v>2429</v>
      </c>
      <c r="G2778" t="s">
        <v>61</v>
      </c>
      <c r="H2778" t="s">
        <v>52</v>
      </c>
      <c r="I2778" t="s">
        <v>52</v>
      </c>
      <c r="J2778" t="s">
        <v>31</v>
      </c>
      <c r="K2778" t="s">
        <v>32</v>
      </c>
      <c r="L2778" t="s">
        <v>32</v>
      </c>
      <c r="M2778" t="s">
        <v>33</v>
      </c>
      <c r="N2778" t="s">
        <v>33</v>
      </c>
      <c r="O2778" t="s">
        <v>33</v>
      </c>
      <c r="P2778" t="s">
        <v>213</v>
      </c>
      <c r="Q2778" t="s">
        <v>2111</v>
      </c>
      <c r="S2778" t="s">
        <v>30</v>
      </c>
      <c r="T2778" t="s">
        <v>2439</v>
      </c>
      <c r="U2778" t="s">
        <v>2440</v>
      </c>
      <c r="V2778" t="s">
        <v>39</v>
      </c>
      <c r="W2778" s="1">
        <v>2</v>
      </c>
    </row>
    <row r="2779" spans="1:23" x14ac:dyDescent="0.2">
      <c r="A2779" t="s">
        <v>2096</v>
      </c>
      <c r="B2779" t="s">
        <v>2097</v>
      </c>
      <c r="C2779" t="s">
        <v>2233</v>
      </c>
      <c r="D2779" t="s">
        <v>2427</v>
      </c>
      <c r="E2779" t="s">
        <v>2428</v>
      </c>
      <c r="F2779" t="s">
        <v>2429</v>
      </c>
      <c r="G2779" t="s">
        <v>61</v>
      </c>
      <c r="H2779" t="s">
        <v>52</v>
      </c>
      <c r="I2779" t="s">
        <v>52</v>
      </c>
      <c r="J2779" t="s">
        <v>31</v>
      </c>
      <c r="K2779" t="s">
        <v>32</v>
      </c>
      <c r="L2779" t="s">
        <v>32</v>
      </c>
      <c r="M2779" t="s">
        <v>33</v>
      </c>
      <c r="N2779" t="s">
        <v>33</v>
      </c>
      <c r="O2779" t="s">
        <v>33</v>
      </c>
      <c r="P2779" t="s">
        <v>213</v>
      </c>
      <c r="Q2779" t="s">
        <v>2111</v>
      </c>
      <c r="S2779" t="s">
        <v>30</v>
      </c>
      <c r="T2779" t="s">
        <v>2439</v>
      </c>
      <c r="U2779" t="s">
        <v>2440</v>
      </c>
      <c r="V2779" t="s">
        <v>40</v>
      </c>
      <c r="W2779" s="1">
        <v>2835800</v>
      </c>
    </row>
    <row r="2780" spans="1:23" x14ac:dyDescent="0.2">
      <c r="A2780" t="s">
        <v>2096</v>
      </c>
      <c r="B2780" t="s">
        <v>2097</v>
      </c>
      <c r="C2780" t="s">
        <v>2233</v>
      </c>
      <c r="D2780" t="s">
        <v>2427</v>
      </c>
      <c r="E2780" t="s">
        <v>2428</v>
      </c>
      <c r="F2780" t="s">
        <v>2429</v>
      </c>
      <c r="G2780" t="s">
        <v>170</v>
      </c>
      <c r="H2780" t="s">
        <v>52</v>
      </c>
      <c r="I2780" t="s">
        <v>30</v>
      </c>
      <c r="J2780" t="s">
        <v>41</v>
      </c>
      <c r="K2780" t="s">
        <v>32</v>
      </c>
      <c r="L2780" t="s">
        <v>32</v>
      </c>
      <c r="M2780" t="s">
        <v>33</v>
      </c>
      <c r="N2780" t="s">
        <v>33</v>
      </c>
      <c r="O2780" t="s">
        <v>33</v>
      </c>
      <c r="P2780" t="s">
        <v>213</v>
      </c>
      <c r="Q2780" t="s">
        <v>2111</v>
      </c>
      <c r="S2780" t="s">
        <v>30</v>
      </c>
      <c r="T2780" t="s">
        <v>2441</v>
      </c>
      <c r="U2780" t="s">
        <v>2442</v>
      </c>
      <c r="V2780" t="s">
        <v>39</v>
      </c>
      <c r="W2780" s="1">
        <v>2</v>
      </c>
    </row>
    <row r="2781" spans="1:23" x14ac:dyDescent="0.2">
      <c r="A2781" t="s">
        <v>2096</v>
      </c>
      <c r="B2781" t="s">
        <v>2097</v>
      </c>
      <c r="C2781" t="s">
        <v>2233</v>
      </c>
      <c r="D2781" t="s">
        <v>2427</v>
      </c>
      <c r="E2781" t="s">
        <v>2428</v>
      </c>
      <c r="F2781" t="s">
        <v>2429</v>
      </c>
      <c r="G2781" t="s">
        <v>170</v>
      </c>
      <c r="H2781" t="s">
        <v>52</v>
      </c>
      <c r="I2781" t="s">
        <v>30</v>
      </c>
      <c r="J2781" t="s">
        <v>41</v>
      </c>
      <c r="K2781" t="s">
        <v>32</v>
      </c>
      <c r="L2781" t="s">
        <v>32</v>
      </c>
      <c r="M2781" t="s">
        <v>33</v>
      </c>
      <c r="N2781" t="s">
        <v>33</v>
      </c>
      <c r="O2781" t="s">
        <v>33</v>
      </c>
      <c r="P2781" t="s">
        <v>213</v>
      </c>
      <c r="Q2781" t="s">
        <v>2111</v>
      </c>
      <c r="S2781" t="s">
        <v>30</v>
      </c>
      <c r="T2781" t="s">
        <v>2441</v>
      </c>
      <c r="U2781" t="s">
        <v>2442</v>
      </c>
      <c r="V2781" t="s">
        <v>40</v>
      </c>
      <c r="W2781" s="1">
        <v>3856200</v>
      </c>
    </row>
    <row r="2782" spans="1:23" x14ac:dyDescent="0.2">
      <c r="A2782" t="s">
        <v>2096</v>
      </c>
      <c r="B2782" t="s">
        <v>2097</v>
      </c>
      <c r="C2782" t="s">
        <v>2233</v>
      </c>
      <c r="D2782" t="s">
        <v>2427</v>
      </c>
      <c r="E2782" t="s">
        <v>2428</v>
      </c>
      <c r="F2782" t="s">
        <v>2429</v>
      </c>
      <c r="G2782" t="s">
        <v>170</v>
      </c>
      <c r="H2782" t="s">
        <v>52</v>
      </c>
      <c r="I2782" t="s">
        <v>30</v>
      </c>
      <c r="J2782" t="s">
        <v>233</v>
      </c>
      <c r="K2782" t="s">
        <v>181</v>
      </c>
      <c r="L2782" t="s">
        <v>32</v>
      </c>
      <c r="M2782" t="s">
        <v>33</v>
      </c>
      <c r="N2782" t="s">
        <v>33</v>
      </c>
      <c r="O2782" t="s">
        <v>33</v>
      </c>
      <c r="P2782" t="s">
        <v>34</v>
      </c>
      <c r="Q2782" t="s">
        <v>35</v>
      </c>
      <c r="S2782" t="s">
        <v>30</v>
      </c>
      <c r="T2782" t="s">
        <v>2443</v>
      </c>
      <c r="U2782" t="s">
        <v>2444</v>
      </c>
      <c r="V2782" t="s">
        <v>39</v>
      </c>
      <c r="W2782" s="1">
        <v>8</v>
      </c>
    </row>
    <row r="2783" spans="1:23" x14ac:dyDescent="0.2">
      <c r="A2783" t="s">
        <v>2096</v>
      </c>
      <c r="B2783" t="s">
        <v>2097</v>
      </c>
      <c r="C2783" t="s">
        <v>2233</v>
      </c>
      <c r="D2783" t="s">
        <v>2427</v>
      </c>
      <c r="E2783" t="s">
        <v>2428</v>
      </c>
      <c r="F2783" t="s">
        <v>2429</v>
      </c>
      <c r="G2783" t="s">
        <v>170</v>
      </c>
      <c r="H2783" t="s">
        <v>52</v>
      </c>
      <c r="I2783" t="s">
        <v>30</v>
      </c>
      <c r="J2783" t="s">
        <v>233</v>
      </c>
      <c r="K2783" t="s">
        <v>181</v>
      </c>
      <c r="L2783" t="s">
        <v>32</v>
      </c>
      <c r="M2783" t="s">
        <v>33</v>
      </c>
      <c r="N2783" t="s">
        <v>33</v>
      </c>
      <c r="O2783" t="s">
        <v>33</v>
      </c>
      <c r="P2783" t="s">
        <v>34</v>
      </c>
      <c r="Q2783" t="s">
        <v>35</v>
      </c>
      <c r="S2783" t="s">
        <v>30</v>
      </c>
      <c r="T2783" t="s">
        <v>2443</v>
      </c>
      <c r="U2783" t="s">
        <v>2444</v>
      </c>
      <c r="V2783" t="s">
        <v>40</v>
      </c>
      <c r="W2783" s="1">
        <v>10872000</v>
      </c>
    </row>
    <row r="2784" spans="1:23" x14ac:dyDescent="0.2">
      <c r="A2784" t="s">
        <v>2096</v>
      </c>
      <c r="B2784" t="s">
        <v>2097</v>
      </c>
      <c r="C2784" t="s">
        <v>2233</v>
      </c>
      <c r="D2784" t="s">
        <v>2427</v>
      </c>
      <c r="E2784" t="s">
        <v>2428</v>
      </c>
      <c r="F2784" t="s">
        <v>2429</v>
      </c>
      <c r="G2784" t="s">
        <v>170</v>
      </c>
      <c r="H2784" t="s">
        <v>52</v>
      </c>
      <c r="I2784" t="s">
        <v>30</v>
      </c>
      <c r="J2784" t="s">
        <v>233</v>
      </c>
      <c r="K2784" t="s">
        <v>181</v>
      </c>
      <c r="L2784" t="s">
        <v>32</v>
      </c>
      <c r="M2784" t="s">
        <v>33</v>
      </c>
      <c r="N2784" t="s">
        <v>176</v>
      </c>
      <c r="O2784" t="s">
        <v>176</v>
      </c>
      <c r="P2784" t="s">
        <v>34</v>
      </c>
      <c r="Q2784" t="s">
        <v>35</v>
      </c>
      <c r="S2784" t="s">
        <v>30</v>
      </c>
      <c r="T2784" t="s">
        <v>2443</v>
      </c>
      <c r="U2784" t="s">
        <v>2444</v>
      </c>
      <c r="V2784" t="s">
        <v>39</v>
      </c>
      <c r="W2784" s="1">
        <v>2</v>
      </c>
    </row>
    <row r="2785" spans="1:23" x14ac:dyDescent="0.2">
      <c r="A2785" t="s">
        <v>2096</v>
      </c>
      <c r="B2785" t="s">
        <v>2097</v>
      </c>
      <c r="C2785" t="s">
        <v>2233</v>
      </c>
      <c r="D2785" t="s">
        <v>2427</v>
      </c>
      <c r="E2785" t="s">
        <v>2428</v>
      </c>
      <c r="F2785" t="s">
        <v>2429</v>
      </c>
      <c r="G2785" t="s">
        <v>170</v>
      </c>
      <c r="H2785" t="s">
        <v>52</v>
      </c>
      <c r="I2785" t="s">
        <v>30</v>
      </c>
      <c r="J2785" t="s">
        <v>233</v>
      </c>
      <c r="K2785" t="s">
        <v>181</v>
      </c>
      <c r="L2785" t="s">
        <v>32</v>
      </c>
      <c r="M2785" t="s">
        <v>33</v>
      </c>
      <c r="N2785" t="s">
        <v>176</v>
      </c>
      <c r="O2785" t="s">
        <v>176</v>
      </c>
      <c r="P2785" t="s">
        <v>34</v>
      </c>
      <c r="Q2785" t="s">
        <v>35</v>
      </c>
      <c r="S2785" t="s">
        <v>30</v>
      </c>
      <c r="T2785" t="s">
        <v>2443</v>
      </c>
      <c r="U2785" t="s">
        <v>2444</v>
      </c>
      <c r="V2785" t="s">
        <v>40</v>
      </c>
      <c r="W2785" s="1">
        <v>2718000</v>
      </c>
    </row>
    <row r="2786" spans="1:23" x14ac:dyDescent="0.2">
      <c r="A2786" t="s">
        <v>2096</v>
      </c>
      <c r="B2786" t="s">
        <v>2097</v>
      </c>
      <c r="C2786" t="s">
        <v>2233</v>
      </c>
      <c r="D2786" t="s">
        <v>2427</v>
      </c>
      <c r="E2786" t="s">
        <v>2428</v>
      </c>
      <c r="F2786" t="s">
        <v>2429</v>
      </c>
      <c r="G2786" t="s">
        <v>170</v>
      </c>
      <c r="H2786" t="s">
        <v>52</v>
      </c>
      <c r="I2786" t="s">
        <v>30</v>
      </c>
      <c r="J2786" t="s">
        <v>233</v>
      </c>
      <c r="K2786" t="s">
        <v>181</v>
      </c>
      <c r="L2786" t="s">
        <v>32</v>
      </c>
      <c r="M2786" t="s">
        <v>33</v>
      </c>
      <c r="N2786" t="s">
        <v>169</v>
      </c>
      <c r="O2786" t="s">
        <v>169</v>
      </c>
      <c r="P2786" t="s">
        <v>34</v>
      </c>
      <c r="Q2786" t="s">
        <v>35</v>
      </c>
      <c r="S2786" t="s">
        <v>30</v>
      </c>
      <c r="T2786" t="s">
        <v>2443</v>
      </c>
      <c r="U2786" t="s">
        <v>2444</v>
      </c>
      <c r="V2786" t="s">
        <v>39</v>
      </c>
      <c r="W2786" s="1">
        <v>1</v>
      </c>
    </row>
    <row r="2787" spans="1:23" x14ac:dyDescent="0.2">
      <c r="A2787" t="s">
        <v>2096</v>
      </c>
      <c r="B2787" t="s">
        <v>2097</v>
      </c>
      <c r="C2787" t="s">
        <v>2233</v>
      </c>
      <c r="D2787" t="s">
        <v>2427</v>
      </c>
      <c r="E2787" t="s">
        <v>2428</v>
      </c>
      <c r="F2787" t="s">
        <v>2429</v>
      </c>
      <c r="G2787" t="s">
        <v>170</v>
      </c>
      <c r="H2787" t="s">
        <v>52</v>
      </c>
      <c r="I2787" t="s">
        <v>30</v>
      </c>
      <c r="J2787" t="s">
        <v>233</v>
      </c>
      <c r="K2787" t="s">
        <v>181</v>
      </c>
      <c r="L2787" t="s">
        <v>32</v>
      </c>
      <c r="M2787" t="s">
        <v>33</v>
      </c>
      <c r="N2787" t="s">
        <v>169</v>
      </c>
      <c r="O2787" t="s">
        <v>169</v>
      </c>
      <c r="P2787" t="s">
        <v>34</v>
      </c>
      <c r="Q2787" t="s">
        <v>35</v>
      </c>
      <c r="S2787" t="s">
        <v>30</v>
      </c>
      <c r="T2787" t="s">
        <v>2443</v>
      </c>
      <c r="U2787" t="s">
        <v>2444</v>
      </c>
      <c r="V2787" t="s">
        <v>40</v>
      </c>
      <c r="W2787" s="1">
        <v>1359000</v>
      </c>
    </row>
    <row r="2788" spans="1:23" x14ac:dyDescent="0.2">
      <c r="A2788" t="s">
        <v>2096</v>
      </c>
      <c r="B2788" t="s">
        <v>2097</v>
      </c>
      <c r="C2788" t="s">
        <v>2233</v>
      </c>
      <c r="D2788" t="s">
        <v>2427</v>
      </c>
      <c r="E2788" t="s">
        <v>2428</v>
      </c>
      <c r="F2788" t="s">
        <v>2429</v>
      </c>
      <c r="G2788" t="s">
        <v>170</v>
      </c>
      <c r="H2788" t="s">
        <v>52</v>
      </c>
      <c r="I2788" t="s">
        <v>30</v>
      </c>
      <c r="J2788" t="s">
        <v>233</v>
      </c>
      <c r="K2788" t="s">
        <v>181</v>
      </c>
      <c r="L2788" t="s">
        <v>32</v>
      </c>
      <c r="M2788" t="s">
        <v>176</v>
      </c>
      <c r="N2788" t="s">
        <v>176</v>
      </c>
      <c r="O2788" t="s">
        <v>176</v>
      </c>
      <c r="P2788" t="s">
        <v>34</v>
      </c>
      <c r="Q2788" t="s">
        <v>35</v>
      </c>
      <c r="S2788" t="s">
        <v>30</v>
      </c>
      <c r="T2788" t="s">
        <v>2443</v>
      </c>
      <c r="U2788" t="s">
        <v>2444</v>
      </c>
      <c r="V2788" t="s">
        <v>39</v>
      </c>
      <c r="W2788" s="1">
        <v>3</v>
      </c>
    </row>
    <row r="2789" spans="1:23" x14ac:dyDescent="0.2">
      <c r="A2789" t="s">
        <v>2096</v>
      </c>
      <c r="B2789" t="s">
        <v>2097</v>
      </c>
      <c r="C2789" t="s">
        <v>2233</v>
      </c>
      <c r="D2789" t="s">
        <v>2427</v>
      </c>
      <c r="E2789" t="s">
        <v>2428</v>
      </c>
      <c r="F2789" t="s">
        <v>2429</v>
      </c>
      <c r="G2789" t="s">
        <v>170</v>
      </c>
      <c r="H2789" t="s">
        <v>52</v>
      </c>
      <c r="I2789" t="s">
        <v>30</v>
      </c>
      <c r="J2789" t="s">
        <v>233</v>
      </c>
      <c r="K2789" t="s">
        <v>181</v>
      </c>
      <c r="L2789" t="s">
        <v>32</v>
      </c>
      <c r="M2789" t="s">
        <v>176</v>
      </c>
      <c r="N2789" t="s">
        <v>176</v>
      </c>
      <c r="O2789" t="s">
        <v>176</v>
      </c>
      <c r="P2789" t="s">
        <v>34</v>
      </c>
      <c r="Q2789" t="s">
        <v>35</v>
      </c>
      <c r="S2789" t="s">
        <v>30</v>
      </c>
      <c r="T2789" t="s">
        <v>2443</v>
      </c>
      <c r="U2789" t="s">
        <v>2444</v>
      </c>
      <c r="V2789" t="s">
        <v>40</v>
      </c>
      <c r="W2789" s="1">
        <v>3927000</v>
      </c>
    </row>
    <row r="2790" spans="1:23" x14ac:dyDescent="0.2">
      <c r="A2790" t="s">
        <v>2096</v>
      </c>
      <c r="B2790" t="s">
        <v>2097</v>
      </c>
      <c r="C2790" t="s">
        <v>2233</v>
      </c>
      <c r="D2790" t="s">
        <v>2427</v>
      </c>
      <c r="E2790" t="s">
        <v>2428</v>
      </c>
      <c r="F2790" t="s">
        <v>2429</v>
      </c>
      <c r="G2790" t="s">
        <v>170</v>
      </c>
      <c r="H2790" t="s">
        <v>52</v>
      </c>
      <c r="I2790" t="s">
        <v>30</v>
      </c>
      <c r="J2790" t="s">
        <v>233</v>
      </c>
      <c r="K2790" t="s">
        <v>181</v>
      </c>
      <c r="L2790" t="s">
        <v>32</v>
      </c>
      <c r="M2790" t="s">
        <v>176</v>
      </c>
      <c r="N2790" t="s">
        <v>195</v>
      </c>
      <c r="O2790" t="s">
        <v>176</v>
      </c>
      <c r="P2790" t="s">
        <v>34</v>
      </c>
      <c r="Q2790" t="s">
        <v>35</v>
      </c>
      <c r="S2790" t="s">
        <v>30</v>
      </c>
      <c r="T2790" t="s">
        <v>2443</v>
      </c>
      <c r="U2790" t="s">
        <v>2444</v>
      </c>
      <c r="V2790" t="s">
        <v>39</v>
      </c>
      <c r="W2790" s="1">
        <v>1</v>
      </c>
    </row>
    <row r="2791" spans="1:23" x14ac:dyDescent="0.2">
      <c r="A2791" t="s">
        <v>2096</v>
      </c>
      <c r="B2791" t="s">
        <v>2097</v>
      </c>
      <c r="C2791" t="s">
        <v>2233</v>
      </c>
      <c r="D2791" t="s">
        <v>2427</v>
      </c>
      <c r="E2791" t="s">
        <v>2428</v>
      </c>
      <c r="F2791" t="s">
        <v>2429</v>
      </c>
      <c r="G2791" t="s">
        <v>170</v>
      </c>
      <c r="H2791" t="s">
        <v>52</v>
      </c>
      <c r="I2791" t="s">
        <v>30</v>
      </c>
      <c r="J2791" t="s">
        <v>233</v>
      </c>
      <c r="K2791" t="s">
        <v>181</v>
      </c>
      <c r="L2791" t="s">
        <v>32</v>
      </c>
      <c r="M2791" t="s">
        <v>176</v>
      </c>
      <c r="N2791" t="s">
        <v>195</v>
      </c>
      <c r="O2791" t="s">
        <v>176</v>
      </c>
      <c r="P2791" t="s">
        <v>34</v>
      </c>
      <c r="Q2791" t="s">
        <v>35</v>
      </c>
      <c r="S2791" t="s">
        <v>30</v>
      </c>
      <c r="T2791" t="s">
        <v>2443</v>
      </c>
      <c r="U2791" t="s">
        <v>2444</v>
      </c>
      <c r="V2791" t="s">
        <v>40</v>
      </c>
      <c r="W2791" s="1">
        <v>1309000</v>
      </c>
    </row>
    <row r="2792" spans="1:23" x14ac:dyDescent="0.2">
      <c r="A2792" t="s">
        <v>2096</v>
      </c>
      <c r="B2792" t="s">
        <v>2097</v>
      </c>
      <c r="C2792" t="s">
        <v>2233</v>
      </c>
      <c r="D2792" t="s">
        <v>2427</v>
      </c>
      <c r="E2792" t="s">
        <v>2428</v>
      </c>
      <c r="F2792" t="s">
        <v>2429</v>
      </c>
      <c r="G2792" t="s">
        <v>64</v>
      </c>
      <c r="H2792" t="s">
        <v>30</v>
      </c>
      <c r="I2792" t="s">
        <v>52</v>
      </c>
      <c r="J2792" t="s">
        <v>31</v>
      </c>
      <c r="K2792" t="s">
        <v>32</v>
      </c>
      <c r="L2792" t="s">
        <v>32</v>
      </c>
      <c r="M2792" t="s">
        <v>33</v>
      </c>
      <c r="N2792" t="s">
        <v>33</v>
      </c>
      <c r="O2792" t="s">
        <v>33</v>
      </c>
      <c r="P2792" t="s">
        <v>34</v>
      </c>
      <c r="Q2792" t="s">
        <v>35</v>
      </c>
      <c r="S2792" t="s">
        <v>30</v>
      </c>
      <c r="T2792" t="s">
        <v>2445</v>
      </c>
      <c r="U2792" t="s">
        <v>2446</v>
      </c>
      <c r="V2792" t="s">
        <v>39</v>
      </c>
      <c r="W2792" s="1">
        <v>2</v>
      </c>
    </row>
    <row r="2793" spans="1:23" x14ac:dyDescent="0.2">
      <c r="A2793" t="s">
        <v>2096</v>
      </c>
      <c r="B2793" t="s">
        <v>2097</v>
      </c>
      <c r="C2793" t="s">
        <v>2233</v>
      </c>
      <c r="D2793" t="s">
        <v>2427</v>
      </c>
      <c r="E2793" t="s">
        <v>2428</v>
      </c>
      <c r="F2793" t="s">
        <v>2429</v>
      </c>
      <c r="G2793" t="s">
        <v>64</v>
      </c>
      <c r="H2793" t="s">
        <v>30</v>
      </c>
      <c r="I2793" t="s">
        <v>52</v>
      </c>
      <c r="J2793" t="s">
        <v>31</v>
      </c>
      <c r="K2793" t="s">
        <v>32</v>
      </c>
      <c r="L2793" t="s">
        <v>32</v>
      </c>
      <c r="M2793" t="s">
        <v>33</v>
      </c>
      <c r="N2793" t="s">
        <v>33</v>
      </c>
      <c r="O2793" t="s">
        <v>33</v>
      </c>
      <c r="P2793" t="s">
        <v>34</v>
      </c>
      <c r="Q2793" t="s">
        <v>35</v>
      </c>
      <c r="S2793" t="s">
        <v>30</v>
      </c>
      <c r="T2793" t="s">
        <v>2445</v>
      </c>
      <c r="U2793" t="s">
        <v>2446</v>
      </c>
      <c r="V2793" t="s">
        <v>40</v>
      </c>
      <c r="W2793" s="1">
        <v>3399800</v>
      </c>
    </row>
    <row r="2794" spans="1:23" x14ac:dyDescent="0.2">
      <c r="A2794" t="s">
        <v>2096</v>
      </c>
      <c r="B2794" t="s">
        <v>2097</v>
      </c>
      <c r="C2794" t="s">
        <v>2233</v>
      </c>
      <c r="D2794" t="s">
        <v>2427</v>
      </c>
      <c r="E2794" t="s">
        <v>2428</v>
      </c>
      <c r="F2794" t="s">
        <v>2429</v>
      </c>
      <c r="G2794" t="s">
        <v>64</v>
      </c>
      <c r="H2794" t="s">
        <v>30</v>
      </c>
      <c r="I2794" t="s">
        <v>52</v>
      </c>
      <c r="J2794" t="s">
        <v>31</v>
      </c>
      <c r="K2794" t="s">
        <v>32</v>
      </c>
      <c r="L2794" t="s">
        <v>32</v>
      </c>
      <c r="M2794" t="s">
        <v>33</v>
      </c>
      <c r="P2794" t="s">
        <v>213</v>
      </c>
      <c r="Q2794" t="s">
        <v>2111</v>
      </c>
      <c r="S2794" t="s">
        <v>30</v>
      </c>
      <c r="T2794" t="s">
        <v>2447</v>
      </c>
      <c r="U2794" t="s">
        <v>2448</v>
      </c>
      <c r="V2794" t="s">
        <v>39</v>
      </c>
      <c r="W2794" s="1">
        <v>2</v>
      </c>
    </row>
    <row r="2795" spans="1:23" x14ac:dyDescent="0.2">
      <c r="A2795" t="s">
        <v>2096</v>
      </c>
      <c r="B2795" t="s">
        <v>2097</v>
      </c>
      <c r="C2795" t="s">
        <v>2233</v>
      </c>
      <c r="D2795" t="s">
        <v>2427</v>
      </c>
      <c r="E2795" t="s">
        <v>2428</v>
      </c>
      <c r="F2795" t="s">
        <v>2429</v>
      </c>
      <c r="G2795" t="s">
        <v>64</v>
      </c>
      <c r="H2795" t="s">
        <v>30</v>
      </c>
      <c r="I2795" t="s">
        <v>52</v>
      </c>
      <c r="J2795" t="s">
        <v>31</v>
      </c>
      <c r="K2795" t="s">
        <v>32</v>
      </c>
      <c r="L2795" t="s">
        <v>32</v>
      </c>
      <c r="M2795" t="s">
        <v>33</v>
      </c>
      <c r="P2795" t="s">
        <v>213</v>
      </c>
      <c r="Q2795" t="s">
        <v>2111</v>
      </c>
      <c r="S2795" t="s">
        <v>30</v>
      </c>
      <c r="T2795" t="s">
        <v>2447</v>
      </c>
      <c r="U2795" t="s">
        <v>2448</v>
      </c>
      <c r="V2795" t="s">
        <v>40</v>
      </c>
      <c r="W2795" s="1">
        <v>1735800</v>
      </c>
    </row>
    <row r="2796" spans="1:23" x14ac:dyDescent="0.2">
      <c r="A2796" t="s">
        <v>2096</v>
      </c>
      <c r="B2796" t="s">
        <v>2097</v>
      </c>
      <c r="C2796" t="s">
        <v>2233</v>
      </c>
      <c r="D2796" t="s">
        <v>2427</v>
      </c>
      <c r="E2796" t="s">
        <v>2428</v>
      </c>
      <c r="F2796" t="s">
        <v>2429</v>
      </c>
      <c r="G2796" t="s">
        <v>67</v>
      </c>
      <c r="H2796" t="s">
        <v>30</v>
      </c>
      <c r="I2796" t="s">
        <v>30</v>
      </c>
      <c r="J2796" t="s">
        <v>31</v>
      </c>
      <c r="K2796" t="s">
        <v>32</v>
      </c>
      <c r="L2796" t="s">
        <v>32</v>
      </c>
      <c r="M2796" t="s">
        <v>33</v>
      </c>
      <c r="N2796" t="s">
        <v>33</v>
      </c>
      <c r="O2796" t="s">
        <v>33</v>
      </c>
      <c r="P2796" t="s">
        <v>213</v>
      </c>
      <c r="Q2796" t="s">
        <v>2111</v>
      </c>
      <c r="S2796" t="s">
        <v>30</v>
      </c>
      <c r="T2796" t="s">
        <v>2449</v>
      </c>
      <c r="U2796" t="s">
        <v>2450</v>
      </c>
      <c r="V2796" t="s">
        <v>39</v>
      </c>
      <c r="W2796" s="1">
        <v>2</v>
      </c>
    </row>
    <row r="2797" spans="1:23" x14ac:dyDescent="0.2">
      <c r="A2797" t="s">
        <v>2096</v>
      </c>
      <c r="B2797" t="s">
        <v>2097</v>
      </c>
      <c r="C2797" t="s">
        <v>2233</v>
      </c>
      <c r="D2797" t="s">
        <v>2427</v>
      </c>
      <c r="E2797" t="s">
        <v>2428</v>
      </c>
      <c r="F2797" t="s">
        <v>2429</v>
      </c>
      <c r="G2797" t="s">
        <v>67</v>
      </c>
      <c r="H2797" t="s">
        <v>30</v>
      </c>
      <c r="I2797" t="s">
        <v>30</v>
      </c>
      <c r="J2797" t="s">
        <v>31</v>
      </c>
      <c r="K2797" t="s">
        <v>32</v>
      </c>
      <c r="L2797" t="s">
        <v>32</v>
      </c>
      <c r="M2797" t="s">
        <v>33</v>
      </c>
      <c r="N2797" t="s">
        <v>33</v>
      </c>
      <c r="O2797" t="s">
        <v>33</v>
      </c>
      <c r="P2797" t="s">
        <v>213</v>
      </c>
      <c r="Q2797" t="s">
        <v>2111</v>
      </c>
      <c r="S2797" t="s">
        <v>30</v>
      </c>
      <c r="T2797" t="s">
        <v>2449</v>
      </c>
      <c r="U2797" t="s">
        <v>2450</v>
      </c>
      <c r="V2797" t="s">
        <v>40</v>
      </c>
      <c r="W2797" s="1">
        <v>1453800</v>
      </c>
    </row>
    <row r="2798" spans="1:23" x14ac:dyDescent="0.2">
      <c r="A2798" t="s">
        <v>2096</v>
      </c>
      <c r="B2798" t="s">
        <v>2097</v>
      </c>
      <c r="C2798" t="s">
        <v>2233</v>
      </c>
      <c r="D2798" t="s">
        <v>2427</v>
      </c>
      <c r="E2798" t="s">
        <v>2428</v>
      </c>
      <c r="F2798" t="s">
        <v>2429</v>
      </c>
      <c r="G2798" t="s">
        <v>67</v>
      </c>
      <c r="H2798" t="s">
        <v>30</v>
      </c>
      <c r="I2798" t="s">
        <v>30</v>
      </c>
      <c r="J2798" t="s">
        <v>31</v>
      </c>
      <c r="K2798" t="s">
        <v>32</v>
      </c>
      <c r="L2798" t="s">
        <v>32</v>
      </c>
      <c r="M2798" t="s">
        <v>33</v>
      </c>
      <c r="N2798" t="s">
        <v>33</v>
      </c>
      <c r="O2798" t="s">
        <v>33</v>
      </c>
      <c r="P2798" t="s">
        <v>34</v>
      </c>
      <c r="Q2798" t="s">
        <v>35</v>
      </c>
      <c r="S2798" t="s">
        <v>30</v>
      </c>
      <c r="T2798" t="s">
        <v>2451</v>
      </c>
      <c r="U2798" t="s">
        <v>2452</v>
      </c>
      <c r="V2798" t="s">
        <v>39</v>
      </c>
      <c r="W2798" s="1">
        <v>2</v>
      </c>
    </row>
    <row r="2799" spans="1:23" x14ac:dyDescent="0.2">
      <c r="A2799" t="s">
        <v>2096</v>
      </c>
      <c r="B2799" t="s">
        <v>2097</v>
      </c>
      <c r="C2799" t="s">
        <v>2233</v>
      </c>
      <c r="D2799" t="s">
        <v>2427</v>
      </c>
      <c r="E2799" t="s">
        <v>2428</v>
      </c>
      <c r="F2799" t="s">
        <v>2429</v>
      </c>
      <c r="G2799" t="s">
        <v>67</v>
      </c>
      <c r="H2799" t="s">
        <v>30</v>
      </c>
      <c r="I2799" t="s">
        <v>30</v>
      </c>
      <c r="J2799" t="s">
        <v>31</v>
      </c>
      <c r="K2799" t="s">
        <v>32</v>
      </c>
      <c r="L2799" t="s">
        <v>32</v>
      </c>
      <c r="M2799" t="s">
        <v>33</v>
      </c>
      <c r="N2799" t="s">
        <v>33</v>
      </c>
      <c r="O2799" t="s">
        <v>33</v>
      </c>
      <c r="P2799" t="s">
        <v>34</v>
      </c>
      <c r="Q2799" t="s">
        <v>35</v>
      </c>
      <c r="S2799" t="s">
        <v>30</v>
      </c>
      <c r="T2799" t="s">
        <v>2451</v>
      </c>
      <c r="U2799" t="s">
        <v>2452</v>
      </c>
      <c r="V2799" t="s">
        <v>40</v>
      </c>
      <c r="W2799" s="1">
        <v>1935800</v>
      </c>
    </row>
    <row r="2800" spans="1:23" x14ac:dyDescent="0.2">
      <c r="A2800" t="s">
        <v>2096</v>
      </c>
      <c r="B2800" t="s">
        <v>2097</v>
      </c>
      <c r="C2800" t="s">
        <v>2233</v>
      </c>
      <c r="D2800" t="s">
        <v>2427</v>
      </c>
      <c r="E2800" t="s">
        <v>2428</v>
      </c>
      <c r="F2800" t="s">
        <v>2429</v>
      </c>
      <c r="G2800" t="s">
        <v>67</v>
      </c>
      <c r="H2800" t="s">
        <v>30</v>
      </c>
      <c r="I2800" t="s">
        <v>30</v>
      </c>
      <c r="J2800" t="s">
        <v>31</v>
      </c>
      <c r="K2800" t="s">
        <v>32</v>
      </c>
      <c r="L2800" t="s">
        <v>32</v>
      </c>
      <c r="M2800" t="s">
        <v>33</v>
      </c>
      <c r="N2800" t="s">
        <v>169</v>
      </c>
      <c r="O2800" t="s">
        <v>169</v>
      </c>
      <c r="P2800" t="s">
        <v>34</v>
      </c>
      <c r="Q2800" t="s">
        <v>35</v>
      </c>
      <c r="S2800" t="s">
        <v>30</v>
      </c>
      <c r="T2800" t="s">
        <v>2451</v>
      </c>
      <c r="U2800" t="s">
        <v>2452</v>
      </c>
      <c r="V2800" t="s">
        <v>39</v>
      </c>
      <c r="W2800" s="1">
        <v>1</v>
      </c>
    </row>
    <row r="2801" spans="1:23" x14ac:dyDescent="0.2">
      <c r="A2801" t="s">
        <v>2096</v>
      </c>
      <c r="B2801" t="s">
        <v>2097</v>
      </c>
      <c r="C2801" t="s">
        <v>2233</v>
      </c>
      <c r="D2801" t="s">
        <v>2427</v>
      </c>
      <c r="E2801" t="s">
        <v>2428</v>
      </c>
      <c r="F2801" t="s">
        <v>2429</v>
      </c>
      <c r="G2801" t="s">
        <v>67</v>
      </c>
      <c r="H2801" t="s">
        <v>30</v>
      </c>
      <c r="I2801" t="s">
        <v>30</v>
      </c>
      <c r="J2801" t="s">
        <v>31</v>
      </c>
      <c r="K2801" t="s">
        <v>32</v>
      </c>
      <c r="L2801" t="s">
        <v>32</v>
      </c>
      <c r="M2801" t="s">
        <v>33</v>
      </c>
      <c r="N2801" t="s">
        <v>169</v>
      </c>
      <c r="O2801" t="s">
        <v>169</v>
      </c>
      <c r="P2801" t="s">
        <v>34</v>
      </c>
      <c r="Q2801" t="s">
        <v>35</v>
      </c>
      <c r="S2801" t="s">
        <v>30</v>
      </c>
      <c r="T2801" t="s">
        <v>2451</v>
      </c>
      <c r="U2801" t="s">
        <v>2452</v>
      </c>
      <c r="V2801" t="s">
        <v>40</v>
      </c>
      <c r="W2801" s="1">
        <v>967900</v>
      </c>
    </row>
    <row r="2802" spans="1:23" x14ac:dyDescent="0.2">
      <c r="A2802" t="s">
        <v>2096</v>
      </c>
      <c r="B2802" t="s">
        <v>2097</v>
      </c>
      <c r="C2802" t="s">
        <v>2233</v>
      </c>
      <c r="D2802" t="s">
        <v>2427</v>
      </c>
      <c r="E2802" t="s">
        <v>2428</v>
      </c>
      <c r="F2802" t="s">
        <v>2429</v>
      </c>
      <c r="G2802" t="s">
        <v>89</v>
      </c>
      <c r="H2802" t="s">
        <v>30</v>
      </c>
      <c r="I2802" t="s">
        <v>30</v>
      </c>
      <c r="J2802" t="s">
        <v>31</v>
      </c>
      <c r="K2802" t="s">
        <v>32</v>
      </c>
      <c r="L2802" t="s">
        <v>32</v>
      </c>
      <c r="M2802" t="s">
        <v>33</v>
      </c>
      <c r="N2802" t="s">
        <v>33</v>
      </c>
      <c r="O2802" t="s">
        <v>33</v>
      </c>
      <c r="P2802" t="s">
        <v>213</v>
      </c>
      <c r="Q2802" t="s">
        <v>2111</v>
      </c>
      <c r="S2802" t="s">
        <v>30</v>
      </c>
      <c r="T2802" t="s">
        <v>2453</v>
      </c>
      <c r="U2802" t="s">
        <v>2454</v>
      </c>
      <c r="V2802" t="s">
        <v>39</v>
      </c>
      <c r="W2802" s="1">
        <v>2</v>
      </c>
    </row>
    <row r="2803" spans="1:23" x14ac:dyDescent="0.2">
      <c r="A2803" t="s">
        <v>2096</v>
      </c>
      <c r="B2803" t="s">
        <v>2097</v>
      </c>
      <c r="C2803" t="s">
        <v>2233</v>
      </c>
      <c r="D2803" t="s">
        <v>2427</v>
      </c>
      <c r="E2803" t="s">
        <v>2428</v>
      </c>
      <c r="F2803" t="s">
        <v>2429</v>
      </c>
      <c r="G2803" t="s">
        <v>89</v>
      </c>
      <c r="H2803" t="s">
        <v>30</v>
      </c>
      <c r="I2803" t="s">
        <v>30</v>
      </c>
      <c r="J2803" t="s">
        <v>31</v>
      </c>
      <c r="K2803" t="s">
        <v>32</v>
      </c>
      <c r="L2803" t="s">
        <v>32</v>
      </c>
      <c r="M2803" t="s">
        <v>33</v>
      </c>
      <c r="N2803" t="s">
        <v>33</v>
      </c>
      <c r="O2803" t="s">
        <v>33</v>
      </c>
      <c r="P2803" t="s">
        <v>213</v>
      </c>
      <c r="Q2803" t="s">
        <v>2111</v>
      </c>
      <c r="S2803" t="s">
        <v>30</v>
      </c>
      <c r="T2803" t="s">
        <v>2453</v>
      </c>
      <c r="U2803" t="s">
        <v>2454</v>
      </c>
      <c r="V2803" t="s">
        <v>40</v>
      </c>
      <c r="W2803" s="1">
        <v>635800</v>
      </c>
    </row>
    <row r="2804" spans="1:23" x14ac:dyDescent="0.2">
      <c r="A2804" t="s">
        <v>2096</v>
      </c>
      <c r="B2804" t="s">
        <v>2097</v>
      </c>
      <c r="C2804" t="s">
        <v>2233</v>
      </c>
      <c r="D2804" t="s">
        <v>2427</v>
      </c>
      <c r="E2804" t="s">
        <v>2428</v>
      </c>
      <c r="F2804" t="s">
        <v>2429</v>
      </c>
      <c r="G2804" t="s">
        <v>89</v>
      </c>
      <c r="H2804" t="s">
        <v>30</v>
      </c>
      <c r="I2804" t="s">
        <v>30</v>
      </c>
      <c r="J2804" t="s">
        <v>31</v>
      </c>
      <c r="K2804" t="s">
        <v>32</v>
      </c>
      <c r="L2804" t="s">
        <v>32</v>
      </c>
      <c r="M2804" t="s">
        <v>33</v>
      </c>
      <c r="P2804" t="s">
        <v>34</v>
      </c>
      <c r="Q2804" t="s">
        <v>35</v>
      </c>
      <c r="R2804" t="s">
        <v>151</v>
      </c>
      <c r="S2804" t="s">
        <v>52</v>
      </c>
      <c r="T2804" t="s">
        <v>2455</v>
      </c>
      <c r="U2804" t="s">
        <v>2456</v>
      </c>
      <c r="V2804" t="s">
        <v>39</v>
      </c>
      <c r="W2804" s="1">
        <v>0</v>
      </c>
    </row>
    <row r="2805" spans="1:23" x14ac:dyDescent="0.2">
      <c r="A2805" t="s">
        <v>2096</v>
      </c>
      <c r="B2805" t="s">
        <v>2097</v>
      </c>
      <c r="C2805" t="s">
        <v>2233</v>
      </c>
      <c r="D2805" t="s">
        <v>2427</v>
      </c>
      <c r="E2805" t="s">
        <v>2428</v>
      </c>
      <c r="F2805" t="s">
        <v>2429</v>
      </c>
      <c r="G2805" t="s">
        <v>89</v>
      </c>
      <c r="H2805" t="s">
        <v>30</v>
      </c>
      <c r="I2805" t="s">
        <v>30</v>
      </c>
      <c r="J2805" t="s">
        <v>31</v>
      </c>
      <c r="K2805" t="s">
        <v>32</v>
      </c>
      <c r="L2805" t="s">
        <v>32</v>
      </c>
      <c r="M2805" t="s">
        <v>33</v>
      </c>
      <c r="P2805" t="s">
        <v>34</v>
      </c>
      <c r="Q2805" t="s">
        <v>35</v>
      </c>
      <c r="R2805" t="s">
        <v>151</v>
      </c>
      <c r="S2805" t="s">
        <v>52</v>
      </c>
      <c r="T2805" t="s">
        <v>2455</v>
      </c>
      <c r="U2805" t="s">
        <v>2456</v>
      </c>
      <c r="V2805" t="s">
        <v>40</v>
      </c>
      <c r="W2805" s="1">
        <v>1549900</v>
      </c>
    </row>
    <row r="2806" spans="1:23" x14ac:dyDescent="0.2">
      <c r="A2806" t="s">
        <v>2096</v>
      </c>
      <c r="B2806" t="s">
        <v>2097</v>
      </c>
      <c r="C2806" t="s">
        <v>2233</v>
      </c>
      <c r="D2806" t="s">
        <v>2427</v>
      </c>
      <c r="E2806" t="s">
        <v>2428</v>
      </c>
      <c r="F2806" t="s">
        <v>2429</v>
      </c>
      <c r="G2806" t="s">
        <v>89</v>
      </c>
      <c r="H2806" t="s">
        <v>30</v>
      </c>
      <c r="I2806" t="s">
        <v>30</v>
      </c>
      <c r="J2806" t="s">
        <v>41</v>
      </c>
      <c r="K2806" t="s">
        <v>32</v>
      </c>
      <c r="L2806" t="s">
        <v>32</v>
      </c>
      <c r="M2806" t="s">
        <v>33</v>
      </c>
      <c r="N2806" t="s">
        <v>33</v>
      </c>
      <c r="O2806" t="s">
        <v>33</v>
      </c>
      <c r="P2806" t="s">
        <v>34</v>
      </c>
      <c r="Q2806" t="s">
        <v>35</v>
      </c>
      <c r="S2806" t="s">
        <v>30</v>
      </c>
      <c r="T2806" t="s">
        <v>2457</v>
      </c>
      <c r="U2806" t="s">
        <v>2458</v>
      </c>
      <c r="V2806" t="s">
        <v>39</v>
      </c>
      <c r="W2806" s="1">
        <v>2</v>
      </c>
    </row>
    <row r="2807" spans="1:23" x14ac:dyDescent="0.2">
      <c r="A2807" t="s">
        <v>2096</v>
      </c>
      <c r="B2807" t="s">
        <v>2097</v>
      </c>
      <c r="C2807" t="s">
        <v>2233</v>
      </c>
      <c r="D2807" t="s">
        <v>2427</v>
      </c>
      <c r="E2807" t="s">
        <v>2428</v>
      </c>
      <c r="F2807" t="s">
        <v>2429</v>
      </c>
      <c r="G2807" t="s">
        <v>89</v>
      </c>
      <c r="H2807" t="s">
        <v>30</v>
      </c>
      <c r="I2807" t="s">
        <v>30</v>
      </c>
      <c r="J2807" t="s">
        <v>41</v>
      </c>
      <c r="K2807" t="s">
        <v>32</v>
      </c>
      <c r="L2807" t="s">
        <v>32</v>
      </c>
      <c r="M2807" t="s">
        <v>33</v>
      </c>
      <c r="N2807" t="s">
        <v>33</v>
      </c>
      <c r="O2807" t="s">
        <v>33</v>
      </c>
      <c r="P2807" t="s">
        <v>34</v>
      </c>
      <c r="Q2807" t="s">
        <v>35</v>
      </c>
      <c r="S2807" t="s">
        <v>30</v>
      </c>
      <c r="T2807" t="s">
        <v>2457</v>
      </c>
      <c r="U2807" t="s">
        <v>2458</v>
      </c>
      <c r="V2807" t="s">
        <v>40</v>
      </c>
      <c r="W2807" s="1">
        <v>3299800</v>
      </c>
    </row>
    <row r="2808" spans="1:23" x14ac:dyDescent="0.2">
      <c r="A2808" t="s">
        <v>2096</v>
      </c>
      <c r="B2808" t="s">
        <v>2097</v>
      </c>
      <c r="C2808" t="s">
        <v>2233</v>
      </c>
      <c r="D2808" t="s">
        <v>2427</v>
      </c>
      <c r="E2808" t="s">
        <v>2428</v>
      </c>
      <c r="F2808" t="s">
        <v>2429</v>
      </c>
      <c r="G2808" t="s">
        <v>119</v>
      </c>
      <c r="H2808" t="s">
        <v>30</v>
      </c>
      <c r="I2808" t="s">
        <v>52</v>
      </c>
      <c r="J2808" t="s">
        <v>31</v>
      </c>
      <c r="K2808" t="s">
        <v>32</v>
      </c>
      <c r="L2808" t="s">
        <v>32</v>
      </c>
      <c r="M2808" t="s">
        <v>33</v>
      </c>
      <c r="N2808" t="s">
        <v>33</v>
      </c>
      <c r="O2808" t="s">
        <v>33</v>
      </c>
      <c r="P2808" t="s">
        <v>34</v>
      </c>
      <c r="Q2808" t="s">
        <v>35</v>
      </c>
      <c r="R2808" t="s">
        <v>148</v>
      </c>
      <c r="S2808" t="s">
        <v>30</v>
      </c>
      <c r="T2808" t="s">
        <v>2459</v>
      </c>
      <c r="U2808" t="s">
        <v>2460</v>
      </c>
      <c r="V2808" t="s">
        <v>39</v>
      </c>
      <c r="W2808" s="1">
        <v>1</v>
      </c>
    </row>
    <row r="2809" spans="1:23" x14ac:dyDescent="0.2">
      <c r="A2809" t="s">
        <v>2096</v>
      </c>
      <c r="B2809" t="s">
        <v>2097</v>
      </c>
      <c r="C2809" t="s">
        <v>2233</v>
      </c>
      <c r="D2809" t="s">
        <v>2427</v>
      </c>
      <c r="E2809" t="s">
        <v>2428</v>
      </c>
      <c r="F2809" t="s">
        <v>2429</v>
      </c>
      <c r="G2809" t="s">
        <v>119</v>
      </c>
      <c r="H2809" t="s">
        <v>30</v>
      </c>
      <c r="I2809" t="s">
        <v>52</v>
      </c>
      <c r="J2809" t="s">
        <v>31</v>
      </c>
      <c r="K2809" t="s">
        <v>32</v>
      </c>
      <c r="L2809" t="s">
        <v>32</v>
      </c>
      <c r="M2809" t="s">
        <v>33</v>
      </c>
      <c r="N2809" t="s">
        <v>33</v>
      </c>
      <c r="O2809" t="s">
        <v>33</v>
      </c>
      <c r="P2809" t="s">
        <v>34</v>
      </c>
      <c r="Q2809" t="s">
        <v>35</v>
      </c>
      <c r="R2809" t="s">
        <v>148</v>
      </c>
      <c r="S2809" t="s">
        <v>30</v>
      </c>
      <c r="T2809" t="s">
        <v>2459</v>
      </c>
      <c r="U2809" t="s">
        <v>2460</v>
      </c>
      <c r="V2809" t="s">
        <v>40</v>
      </c>
      <c r="W2809" s="1">
        <v>1896600</v>
      </c>
    </row>
    <row r="2810" spans="1:23" x14ac:dyDescent="0.2">
      <c r="A2810" t="s">
        <v>2096</v>
      </c>
      <c r="B2810" t="s">
        <v>2097</v>
      </c>
      <c r="C2810" t="s">
        <v>2233</v>
      </c>
      <c r="D2810" t="s">
        <v>2427</v>
      </c>
      <c r="E2810" t="s">
        <v>2428</v>
      </c>
      <c r="F2810" t="s">
        <v>2429</v>
      </c>
      <c r="G2810" t="s">
        <v>119</v>
      </c>
      <c r="H2810" t="s">
        <v>30</v>
      </c>
      <c r="I2810" t="s">
        <v>52</v>
      </c>
      <c r="J2810" t="s">
        <v>31</v>
      </c>
      <c r="K2810" t="s">
        <v>32</v>
      </c>
      <c r="L2810" t="s">
        <v>32</v>
      </c>
      <c r="M2810" t="s">
        <v>33</v>
      </c>
      <c r="P2810" t="s">
        <v>34</v>
      </c>
      <c r="Q2810" t="s">
        <v>35</v>
      </c>
      <c r="R2810" t="s">
        <v>148</v>
      </c>
      <c r="S2810" t="s">
        <v>30</v>
      </c>
      <c r="T2810" t="s">
        <v>2459</v>
      </c>
      <c r="U2810" t="s">
        <v>2460</v>
      </c>
      <c r="V2810" t="s">
        <v>39</v>
      </c>
      <c r="W2810" s="1">
        <v>1</v>
      </c>
    </row>
    <row r="2811" spans="1:23" x14ac:dyDescent="0.2">
      <c r="A2811" t="s">
        <v>2096</v>
      </c>
      <c r="B2811" t="s">
        <v>2097</v>
      </c>
      <c r="C2811" t="s">
        <v>2233</v>
      </c>
      <c r="D2811" t="s">
        <v>2427</v>
      </c>
      <c r="E2811" t="s">
        <v>2428</v>
      </c>
      <c r="F2811" t="s">
        <v>2429</v>
      </c>
      <c r="G2811" t="s">
        <v>119</v>
      </c>
      <c r="H2811" t="s">
        <v>30</v>
      </c>
      <c r="I2811" t="s">
        <v>52</v>
      </c>
      <c r="J2811" t="s">
        <v>31</v>
      </c>
      <c r="K2811" t="s">
        <v>32</v>
      </c>
      <c r="L2811" t="s">
        <v>32</v>
      </c>
      <c r="M2811" t="s">
        <v>33</v>
      </c>
      <c r="P2811" t="s">
        <v>34</v>
      </c>
      <c r="Q2811" t="s">
        <v>35</v>
      </c>
      <c r="R2811" t="s">
        <v>148</v>
      </c>
      <c r="S2811" t="s">
        <v>30</v>
      </c>
      <c r="T2811" t="s">
        <v>2459</v>
      </c>
      <c r="U2811" t="s">
        <v>2460</v>
      </c>
      <c r="V2811" t="s">
        <v>40</v>
      </c>
      <c r="W2811" s="1">
        <v>1896600</v>
      </c>
    </row>
    <row r="2812" spans="1:23" x14ac:dyDescent="0.2">
      <c r="A2812" t="s">
        <v>2096</v>
      </c>
      <c r="B2812" t="s">
        <v>2097</v>
      </c>
      <c r="C2812" t="s">
        <v>2233</v>
      </c>
      <c r="D2812" t="s">
        <v>2427</v>
      </c>
      <c r="E2812" t="s">
        <v>2428</v>
      </c>
      <c r="F2812" t="s">
        <v>2429</v>
      </c>
      <c r="G2812" t="s">
        <v>119</v>
      </c>
      <c r="H2812" t="s">
        <v>30</v>
      </c>
      <c r="I2812" t="s">
        <v>52</v>
      </c>
      <c r="J2812" t="s">
        <v>31</v>
      </c>
      <c r="K2812" t="s">
        <v>32</v>
      </c>
      <c r="L2812" t="s">
        <v>32</v>
      </c>
      <c r="M2812" t="s">
        <v>176</v>
      </c>
      <c r="N2812" t="s">
        <v>176</v>
      </c>
      <c r="O2812" t="s">
        <v>176</v>
      </c>
      <c r="P2812" t="s">
        <v>34</v>
      </c>
      <c r="Q2812" t="s">
        <v>35</v>
      </c>
      <c r="R2812" t="s">
        <v>148</v>
      </c>
      <c r="S2812" t="s">
        <v>30</v>
      </c>
      <c r="T2812" t="s">
        <v>2459</v>
      </c>
      <c r="U2812" t="s">
        <v>2460</v>
      </c>
      <c r="V2812" t="s">
        <v>39</v>
      </c>
      <c r="W2812" s="1">
        <v>1</v>
      </c>
    </row>
    <row r="2813" spans="1:23" x14ac:dyDescent="0.2">
      <c r="A2813" t="s">
        <v>2096</v>
      </c>
      <c r="B2813" t="s">
        <v>2097</v>
      </c>
      <c r="C2813" t="s">
        <v>2233</v>
      </c>
      <c r="D2813" t="s">
        <v>2427</v>
      </c>
      <c r="E2813" t="s">
        <v>2428</v>
      </c>
      <c r="F2813" t="s">
        <v>2429</v>
      </c>
      <c r="G2813" t="s">
        <v>119</v>
      </c>
      <c r="H2813" t="s">
        <v>30</v>
      </c>
      <c r="I2813" t="s">
        <v>52</v>
      </c>
      <c r="J2813" t="s">
        <v>31</v>
      </c>
      <c r="K2813" t="s">
        <v>32</v>
      </c>
      <c r="L2813" t="s">
        <v>32</v>
      </c>
      <c r="M2813" t="s">
        <v>176</v>
      </c>
      <c r="N2813" t="s">
        <v>176</v>
      </c>
      <c r="O2813" t="s">
        <v>176</v>
      </c>
      <c r="P2813" t="s">
        <v>34</v>
      </c>
      <c r="Q2813" t="s">
        <v>35</v>
      </c>
      <c r="R2813" t="s">
        <v>148</v>
      </c>
      <c r="S2813" t="s">
        <v>30</v>
      </c>
      <c r="T2813" t="s">
        <v>2459</v>
      </c>
      <c r="U2813" t="s">
        <v>2460</v>
      </c>
      <c r="V2813" t="s">
        <v>40</v>
      </c>
      <c r="W2813" s="1">
        <v>1706940</v>
      </c>
    </row>
    <row r="2814" spans="1:23" x14ac:dyDescent="0.2">
      <c r="A2814" t="s">
        <v>2096</v>
      </c>
      <c r="B2814" t="s">
        <v>2097</v>
      </c>
      <c r="C2814" t="s">
        <v>2233</v>
      </c>
      <c r="D2814" t="s">
        <v>2427</v>
      </c>
      <c r="E2814" t="s">
        <v>2428</v>
      </c>
      <c r="F2814" t="s">
        <v>2429</v>
      </c>
      <c r="G2814" t="s">
        <v>119</v>
      </c>
      <c r="H2814" t="s">
        <v>30</v>
      </c>
      <c r="I2814" t="s">
        <v>52</v>
      </c>
      <c r="J2814" t="s">
        <v>41</v>
      </c>
      <c r="K2814" t="s">
        <v>32</v>
      </c>
      <c r="L2814" t="s">
        <v>32</v>
      </c>
      <c r="M2814" t="s">
        <v>33</v>
      </c>
      <c r="N2814" t="s">
        <v>33</v>
      </c>
      <c r="O2814" t="s">
        <v>33</v>
      </c>
      <c r="P2814" t="s">
        <v>34</v>
      </c>
      <c r="Q2814" t="s">
        <v>35</v>
      </c>
      <c r="R2814" t="s">
        <v>54</v>
      </c>
      <c r="S2814" t="s">
        <v>30</v>
      </c>
      <c r="T2814" t="s">
        <v>2461</v>
      </c>
      <c r="U2814" t="s">
        <v>2462</v>
      </c>
      <c r="V2814" t="s">
        <v>39</v>
      </c>
      <c r="W2814" s="1">
        <v>2</v>
      </c>
    </row>
    <row r="2815" spans="1:23" x14ac:dyDescent="0.2">
      <c r="A2815" t="s">
        <v>2096</v>
      </c>
      <c r="B2815" t="s">
        <v>2097</v>
      </c>
      <c r="C2815" t="s">
        <v>2233</v>
      </c>
      <c r="D2815" t="s">
        <v>2427</v>
      </c>
      <c r="E2815" t="s">
        <v>2428</v>
      </c>
      <c r="F2815" t="s">
        <v>2429</v>
      </c>
      <c r="G2815" t="s">
        <v>119</v>
      </c>
      <c r="H2815" t="s">
        <v>30</v>
      </c>
      <c r="I2815" t="s">
        <v>52</v>
      </c>
      <c r="J2815" t="s">
        <v>41</v>
      </c>
      <c r="K2815" t="s">
        <v>32</v>
      </c>
      <c r="L2815" t="s">
        <v>32</v>
      </c>
      <c r="M2815" t="s">
        <v>33</v>
      </c>
      <c r="N2815" t="s">
        <v>33</v>
      </c>
      <c r="O2815" t="s">
        <v>33</v>
      </c>
      <c r="P2815" t="s">
        <v>34</v>
      </c>
      <c r="Q2815" t="s">
        <v>35</v>
      </c>
      <c r="R2815" t="s">
        <v>54</v>
      </c>
      <c r="S2815" t="s">
        <v>30</v>
      </c>
      <c r="T2815" t="s">
        <v>2461</v>
      </c>
      <c r="U2815" t="s">
        <v>2462</v>
      </c>
      <c r="V2815" t="s">
        <v>40</v>
      </c>
      <c r="W2815" s="1">
        <v>3459800</v>
      </c>
    </row>
    <row r="2816" spans="1:23" x14ac:dyDescent="0.2">
      <c r="A2816" t="s">
        <v>2096</v>
      </c>
      <c r="B2816" t="s">
        <v>2097</v>
      </c>
      <c r="C2816" t="s">
        <v>2233</v>
      </c>
      <c r="D2816" t="s">
        <v>2427</v>
      </c>
      <c r="E2816" t="s">
        <v>2428</v>
      </c>
      <c r="F2816" t="s">
        <v>2429</v>
      </c>
      <c r="G2816" t="s">
        <v>127</v>
      </c>
      <c r="H2816" t="s">
        <v>52</v>
      </c>
      <c r="I2816" t="s">
        <v>30</v>
      </c>
      <c r="J2816" t="s">
        <v>31</v>
      </c>
      <c r="K2816" t="s">
        <v>32</v>
      </c>
      <c r="L2816" t="s">
        <v>32</v>
      </c>
      <c r="M2816" t="s">
        <v>33</v>
      </c>
      <c r="N2816" t="s">
        <v>33</v>
      </c>
      <c r="O2816" t="s">
        <v>33</v>
      </c>
      <c r="P2816" t="s">
        <v>213</v>
      </c>
      <c r="Q2816" t="s">
        <v>2118</v>
      </c>
      <c r="R2816" t="s">
        <v>184</v>
      </c>
      <c r="S2816" t="s">
        <v>30</v>
      </c>
      <c r="T2816" t="s">
        <v>2305</v>
      </c>
      <c r="U2816" t="s">
        <v>2463</v>
      </c>
      <c r="V2816" t="s">
        <v>39</v>
      </c>
      <c r="W2816" s="1">
        <v>2</v>
      </c>
    </row>
    <row r="2817" spans="1:23" x14ac:dyDescent="0.2">
      <c r="A2817" t="s">
        <v>2096</v>
      </c>
      <c r="B2817" t="s">
        <v>2097</v>
      </c>
      <c r="C2817" t="s">
        <v>2233</v>
      </c>
      <c r="D2817" t="s">
        <v>2427</v>
      </c>
      <c r="E2817" t="s">
        <v>2428</v>
      </c>
      <c r="F2817" t="s">
        <v>2429</v>
      </c>
      <c r="G2817" t="s">
        <v>127</v>
      </c>
      <c r="H2817" t="s">
        <v>52</v>
      </c>
      <c r="I2817" t="s">
        <v>30</v>
      </c>
      <c r="J2817" t="s">
        <v>31</v>
      </c>
      <c r="K2817" t="s">
        <v>32</v>
      </c>
      <c r="L2817" t="s">
        <v>32</v>
      </c>
      <c r="M2817" t="s">
        <v>33</v>
      </c>
      <c r="N2817" t="s">
        <v>33</v>
      </c>
      <c r="O2817" t="s">
        <v>33</v>
      </c>
      <c r="P2817" t="s">
        <v>213</v>
      </c>
      <c r="Q2817" t="s">
        <v>2118</v>
      </c>
      <c r="R2817" t="s">
        <v>184</v>
      </c>
      <c r="S2817" t="s">
        <v>30</v>
      </c>
      <c r="T2817" t="s">
        <v>2305</v>
      </c>
      <c r="U2817" t="s">
        <v>2463</v>
      </c>
      <c r="V2817" t="s">
        <v>40</v>
      </c>
      <c r="W2817" s="1">
        <v>1053800</v>
      </c>
    </row>
    <row r="2818" spans="1:23" x14ac:dyDescent="0.2">
      <c r="A2818" t="s">
        <v>2096</v>
      </c>
      <c r="B2818" t="s">
        <v>2097</v>
      </c>
      <c r="C2818" t="s">
        <v>2233</v>
      </c>
      <c r="D2818" t="s">
        <v>2427</v>
      </c>
      <c r="E2818" t="s">
        <v>2428</v>
      </c>
      <c r="F2818" t="s">
        <v>2429</v>
      </c>
      <c r="G2818" t="s">
        <v>127</v>
      </c>
      <c r="H2818" t="s">
        <v>52</v>
      </c>
      <c r="I2818" t="s">
        <v>30</v>
      </c>
      <c r="J2818" t="s">
        <v>41</v>
      </c>
      <c r="K2818" t="s">
        <v>32</v>
      </c>
      <c r="L2818" t="s">
        <v>32</v>
      </c>
      <c r="M2818" t="s">
        <v>33</v>
      </c>
      <c r="N2818" t="s">
        <v>33</v>
      </c>
      <c r="O2818" t="s">
        <v>33</v>
      </c>
      <c r="P2818" t="s">
        <v>34</v>
      </c>
      <c r="Q2818" t="s">
        <v>35</v>
      </c>
      <c r="R2818" t="s">
        <v>73</v>
      </c>
      <c r="S2818" t="s">
        <v>30</v>
      </c>
      <c r="T2818" t="s">
        <v>2464</v>
      </c>
      <c r="U2818" t="s">
        <v>2465</v>
      </c>
      <c r="V2818" t="s">
        <v>39</v>
      </c>
      <c r="W2818" s="1">
        <v>2</v>
      </c>
    </row>
    <row r="2819" spans="1:23" x14ac:dyDescent="0.2">
      <c r="A2819" t="s">
        <v>2096</v>
      </c>
      <c r="B2819" t="s">
        <v>2097</v>
      </c>
      <c r="C2819" t="s">
        <v>2233</v>
      </c>
      <c r="D2819" t="s">
        <v>2427</v>
      </c>
      <c r="E2819" t="s">
        <v>2428</v>
      </c>
      <c r="F2819" t="s">
        <v>2429</v>
      </c>
      <c r="G2819" t="s">
        <v>127</v>
      </c>
      <c r="H2819" t="s">
        <v>52</v>
      </c>
      <c r="I2819" t="s">
        <v>30</v>
      </c>
      <c r="J2819" t="s">
        <v>41</v>
      </c>
      <c r="K2819" t="s">
        <v>32</v>
      </c>
      <c r="L2819" t="s">
        <v>32</v>
      </c>
      <c r="M2819" t="s">
        <v>33</v>
      </c>
      <c r="N2819" t="s">
        <v>33</v>
      </c>
      <c r="O2819" t="s">
        <v>33</v>
      </c>
      <c r="P2819" t="s">
        <v>34</v>
      </c>
      <c r="Q2819" t="s">
        <v>35</v>
      </c>
      <c r="R2819" t="s">
        <v>73</v>
      </c>
      <c r="S2819" t="s">
        <v>30</v>
      </c>
      <c r="T2819" t="s">
        <v>2464</v>
      </c>
      <c r="U2819" t="s">
        <v>2465</v>
      </c>
      <c r="V2819" t="s">
        <v>40</v>
      </c>
      <c r="W2819" s="1">
        <v>2999800</v>
      </c>
    </row>
    <row r="2820" spans="1:23" x14ac:dyDescent="0.2">
      <c r="A2820" t="s">
        <v>2096</v>
      </c>
      <c r="B2820" t="s">
        <v>2097</v>
      </c>
      <c r="C2820" t="s">
        <v>2466</v>
      </c>
      <c r="D2820" t="s">
        <v>2467</v>
      </c>
      <c r="E2820" t="s">
        <v>2468</v>
      </c>
      <c r="F2820" t="s">
        <v>2469</v>
      </c>
      <c r="G2820" t="s">
        <v>29</v>
      </c>
      <c r="H2820" t="s">
        <v>30</v>
      </c>
      <c r="I2820" t="s">
        <v>30</v>
      </c>
      <c r="J2820" t="s">
        <v>41</v>
      </c>
      <c r="K2820" t="s">
        <v>32</v>
      </c>
      <c r="L2820" t="s">
        <v>32</v>
      </c>
      <c r="M2820" t="s">
        <v>33</v>
      </c>
      <c r="N2820" t="s">
        <v>33</v>
      </c>
      <c r="O2820" t="s">
        <v>33</v>
      </c>
      <c r="P2820" t="s">
        <v>34</v>
      </c>
      <c r="Q2820" t="s">
        <v>35</v>
      </c>
      <c r="S2820" t="s">
        <v>30</v>
      </c>
      <c r="T2820" t="s">
        <v>2470</v>
      </c>
      <c r="U2820" t="s">
        <v>2471</v>
      </c>
      <c r="V2820" t="s">
        <v>39</v>
      </c>
      <c r="W2820" s="1">
        <v>1</v>
      </c>
    </row>
    <row r="2821" spans="1:23" x14ac:dyDescent="0.2">
      <c r="A2821" t="s">
        <v>2096</v>
      </c>
      <c r="B2821" t="s">
        <v>2097</v>
      </c>
      <c r="C2821" t="s">
        <v>2466</v>
      </c>
      <c r="D2821" t="s">
        <v>2467</v>
      </c>
      <c r="E2821" t="s">
        <v>2468</v>
      </c>
      <c r="F2821" t="s">
        <v>2469</v>
      </c>
      <c r="G2821" t="s">
        <v>29</v>
      </c>
      <c r="H2821" t="s">
        <v>30</v>
      </c>
      <c r="I2821" t="s">
        <v>30</v>
      </c>
      <c r="J2821" t="s">
        <v>41</v>
      </c>
      <c r="K2821" t="s">
        <v>32</v>
      </c>
      <c r="L2821" t="s">
        <v>32</v>
      </c>
      <c r="M2821" t="s">
        <v>33</v>
      </c>
      <c r="N2821" t="s">
        <v>33</v>
      </c>
      <c r="O2821" t="s">
        <v>33</v>
      </c>
      <c r="P2821" t="s">
        <v>34</v>
      </c>
      <c r="Q2821" t="s">
        <v>35</v>
      </c>
      <c r="S2821" t="s">
        <v>30</v>
      </c>
      <c r="T2821" t="s">
        <v>2470</v>
      </c>
      <c r="U2821" t="s">
        <v>2471</v>
      </c>
      <c r="V2821" t="s">
        <v>40</v>
      </c>
      <c r="W2821" s="1">
        <v>1159900</v>
      </c>
    </row>
    <row r="2822" spans="1:23" x14ac:dyDescent="0.2">
      <c r="A2822" t="s">
        <v>2096</v>
      </c>
      <c r="B2822" t="s">
        <v>2097</v>
      </c>
      <c r="C2822" t="s">
        <v>2466</v>
      </c>
      <c r="D2822" t="s">
        <v>2467</v>
      </c>
      <c r="E2822" t="s">
        <v>2468</v>
      </c>
      <c r="F2822" t="s">
        <v>2469</v>
      </c>
      <c r="G2822" t="s">
        <v>29</v>
      </c>
      <c r="H2822" t="s">
        <v>30</v>
      </c>
      <c r="I2822" t="s">
        <v>30</v>
      </c>
      <c r="J2822" t="s">
        <v>41</v>
      </c>
      <c r="K2822" t="s">
        <v>32</v>
      </c>
      <c r="L2822" t="s">
        <v>32</v>
      </c>
      <c r="M2822" t="s">
        <v>33</v>
      </c>
      <c r="P2822" t="s">
        <v>34</v>
      </c>
      <c r="Q2822" t="s">
        <v>35</v>
      </c>
      <c r="R2822" t="s">
        <v>54</v>
      </c>
      <c r="S2822" t="s">
        <v>52</v>
      </c>
      <c r="T2822" t="s">
        <v>2472</v>
      </c>
      <c r="U2822" t="s">
        <v>2473</v>
      </c>
      <c r="V2822" t="s">
        <v>39</v>
      </c>
      <c r="W2822" s="1">
        <v>0</v>
      </c>
    </row>
    <row r="2823" spans="1:23" x14ac:dyDescent="0.2">
      <c r="A2823" t="s">
        <v>2096</v>
      </c>
      <c r="B2823" t="s">
        <v>2097</v>
      </c>
      <c r="C2823" t="s">
        <v>2466</v>
      </c>
      <c r="D2823" t="s">
        <v>2467</v>
      </c>
      <c r="E2823" t="s">
        <v>2468</v>
      </c>
      <c r="F2823" t="s">
        <v>2469</v>
      </c>
      <c r="G2823" t="s">
        <v>29</v>
      </c>
      <c r="H2823" t="s">
        <v>30</v>
      </c>
      <c r="I2823" t="s">
        <v>30</v>
      </c>
      <c r="J2823" t="s">
        <v>41</v>
      </c>
      <c r="K2823" t="s">
        <v>32</v>
      </c>
      <c r="L2823" t="s">
        <v>32</v>
      </c>
      <c r="M2823" t="s">
        <v>33</v>
      </c>
      <c r="P2823" t="s">
        <v>34</v>
      </c>
      <c r="Q2823" t="s">
        <v>35</v>
      </c>
      <c r="R2823" t="s">
        <v>54</v>
      </c>
      <c r="S2823" t="s">
        <v>52</v>
      </c>
      <c r="T2823" t="s">
        <v>2472</v>
      </c>
      <c r="U2823" t="s">
        <v>2473</v>
      </c>
      <c r="V2823" t="s">
        <v>40</v>
      </c>
      <c r="W2823" s="1">
        <v>8719200</v>
      </c>
    </row>
    <row r="2824" spans="1:23" x14ac:dyDescent="0.2">
      <c r="A2824" t="s">
        <v>2096</v>
      </c>
      <c r="B2824" t="s">
        <v>2097</v>
      </c>
      <c r="C2824" t="s">
        <v>2466</v>
      </c>
      <c r="D2824" t="s">
        <v>2467</v>
      </c>
      <c r="E2824" t="s">
        <v>2468</v>
      </c>
      <c r="F2824" t="s">
        <v>2469</v>
      </c>
      <c r="G2824" t="s">
        <v>29</v>
      </c>
      <c r="H2824" t="s">
        <v>30</v>
      </c>
      <c r="I2824" t="s">
        <v>30</v>
      </c>
      <c r="J2824" t="s">
        <v>41</v>
      </c>
      <c r="K2824" t="s">
        <v>32</v>
      </c>
      <c r="L2824" t="s">
        <v>32</v>
      </c>
      <c r="M2824" t="s">
        <v>33</v>
      </c>
      <c r="P2824" t="s">
        <v>34</v>
      </c>
      <c r="Q2824" t="s">
        <v>35</v>
      </c>
      <c r="S2824" t="s">
        <v>30</v>
      </c>
      <c r="T2824" t="s">
        <v>2470</v>
      </c>
      <c r="U2824" t="s">
        <v>2471</v>
      </c>
      <c r="V2824" t="s">
        <v>39</v>
      </c>
      <c r="W2824" s="1">
        <v>7</v>
      </c>
    </row>
    <row r="2825" spans="1:23" x14ac:dyDescent="0.2">
      <c r="A2825" t="s">
        <v>2096</v>
      </c>
      <c r="B2825" t="s">
        <v>2097</v>
      </c>
      <c r="C2825" t="s">
        <v>2466</v>
      </c>
      <c r="D2825" t="s">
        <v>2467</v>
      </c>
      <c r="E2825" t="s">
        <v>2468</v>
      </c>
      <c r="F2825" t="s">
        <v>2469</v>
      </c>
      <c r="G2825" t="s">
        <v>29</v>
      </c>
      <c r="H2825" t="s">
        <v>30</v>
      </c>
      <c r="I2825" t="s">
        <v>30</v>
      </c>
      <c r="J2825" t="s">
        <v>41</v>
      </c>
      <c r="K2825" t="s">
        <v>32</v>
      </c>
      <c r="L2825" t="s">
        <v>32</v>
      </c>
      <c r="M2825" t="s">
        <v>33</v>
      </c>
      <c r="P2825" t="s">
        <v>34</v>
      </c>
      <c r="Q2825" t="s">
        <v>35</v>
      </c>
      <c r="S2825" t="s">
        <v>30</v>
      </c>
      <c r="T2825" t="s">
        <v>2470</v>
      </c>
      <c r="U2825" t="s">
        <v>2471</v>
      </c>
      <c r="V2825" t="s">
        <v>40</v>
      </c>
      <c r="W2825" s="1">
        <v>8119300</v>
      </c>
    </row>
    <row r="2826" spans="1:23" x14ac:dyDescent="0.2">
      <c r="A2826" t="s">
        <v>2096</v>
      </c>
      <c r="B2826" t="s">
        <v>2097</v>
      </c>
      <c r="C2826" t="s">
        <v>2466</v>
      </c>
      <c r="D2826" t="s">
        <v>2467</v>
      </c>
      <c r="E2826" t="s">
        <v>2468</v>
      </c>
      <c r="F2826" t="s">
        <v>2469</v>
      </c>
      <c r="G2826" t="s">
        <v>170</v>
      </c>
      <c r="H2826" t="s">
        <v>52</v>
      </c>
      <c r="I2826" t="s">
        <v>30</v>
      </c>
      <c r="J2826" t="s">
        <v>31</v>
      </c>
      <c r="K2826" t="s">
        <v>32</v>
      </c>
      <c r="L2826" t="s">
        <v>32</v>
      </c>
      <c r="M2826" t="s">
        <v>33</v>
      </c>
      <c r="N2826" t="s">
        <v>33</v>
      </c>
      <c r="O2826" t="s">
        <v>33</v>
      </c>
      <c r="P2826" t="s">
        <v>34</v>
      </c>
      <c r="Q2826" t="s">
        <v>35</v>
      </c>
      <c r="S2826" t="s">
        <v>30</v>
      </c>
      <c r="T2826" t="s">
        <v>2474</v>
      </c>
      <c r="U2826" t="s">
        <v>2475</v>
      </c>
      <c r="V2826" t="s">
        <v>39</v>
      </c>
      <c r="W2826" s="1">
        <v>4</v>
      </c>
    </row>
    <row r="2827" spans="1:23" x14ac:dyDescent="0.2">
      <c r="A2827" t="s">
        <v>2096</v>
      </c>
      <c r="B2827" t="s">
        <v>2097</v>
      </c>
      <c r="C2827" t="s">
        <v>2466</v>
      </c>
      <c r="D2827" t="s">
        <v>2467</v>
      </c>
      <c r="E2827" t="s">
        <v>2468</v>
      </c>
      <c r="F2827" t="s">
        <v>2469</v>
      </c>
      <c r="G2827" t="s">
        <v>170</v>
      </c>
      <c r="H2827" t="s">
        <v>52</v>
      </c>
      <c r="I2827" t="s">
        <v>30</v>
      </c>
      <c r="J2827" t="s">
        <v>31</v>
      </c>
      <c r="K2827" t="s">
        <v>32</v>
      </c>
      <c r="L2827" t="s">
        <v>32</v>
      </c>
      <c r="M2827" t="s">
        <v>33</v>
      </c>
      <c r="N2827" t="s">
        <v>33</v>
      </c>
      <c r="O2827" t="s">
        <v>33</v>
      </c>
      <c r="P2827" t="s">
        <v>34</v>
      </c>
      <c r="Q2827" t="s">
        <v>35</v>
      </c>
      <c r="S2827" t="s">
        <v>30</v>
      </c>
      <c r="T2827" t="s">
        <v>2474</v>
      </c>
      <c r="U2827" t="s">
        <v>2475</v>
      </c>
      <c r="V2827" t="s">
        <v>40</v>
      </c>
      <c r="W2827" s="1">
        <v>5719600</v>
      </c>
    </row>
    <row r="2828" spans="1:23" x14ac:dyDescent="0.2">
      <c r="A2828" t="s">
        <v>2096</v>
      </c>
      <c r="B2828" t="s">
        <v>2097</v>
      </c>
      <c r="C2828" t="s">
        <v>2466</v>
      </c>
      <c r="D2828" t="s">
        <v>2467</v>
      </c>
      <c r="E2828" t="s">
        <v>2468</v>
      </c>
      <c r="F2828" t="s">
        <v>2469</v>
      </c>
      <c r="G2828" t="s">
        <v>170</v>
      </c>
      <c r="H2828" t="s">
        <v>52</v>
      </c>
      <c r="I2828" t="s">
        <v>30</v>
      </c>
      <c r="J2828" t="s">
        <v>31</v>
      </c>
      <c r="K2828" t="s">
        <v>32</v>
      </c>
      <c r="L2828" t="s">
        <v>32</v>
      </c>
      <c r="M2828" t="s">
        <v>33</v>
      </c>
      <c r="N2828" t="s">
        <v>176</v>
      </c>
      <c r="O2828" t="s">
        <v>176</v>
      </c>
      <c r="P2828" t="s">
        <v>34</v>
      </c>
      <c r="Q2828" t="s">
        <v>35</v>
      </c>
      <c r="S2828" t="s">
        <v>30</v>
      </c>
      <c r="T2828" t="s">
        <v>2474</v>
      </c>
      <c r="U2828" t="s">
        <v>2475</v>
      </c>
      <c r="V2828" t="s">
        <v>39</v>
      </c>
      <c r="W2828" s="1">
        <v>1</v>
      </c>
    </row>
    <row r="2829" spans="1:23" x14ac:dyDescent="0.2">
      <c r="A2829" t="s">
        <v>2096</v>
      </c>
      <c r="B2829" t="s">
        <v>2097</v>
      </c>
      <c r="C2829" t="s">
        <v>2466</v>
      </c>
      <c r="D2829" t="s">
        <v>2467</v>
      </c>
      <c r="E2829" t="s">
        <v>2468</v>
      </c>
      <c r="F2829" t="s">
        <v>2469</v>
      </c>
      <c r="G2829" t="s">
        <v>170</v>
      </c>
      <c r="H2829" t="s">
        <v>52</v>
      </c>
      <c r="I2829" t="s">
        <v>30</v>
      </c>
      <c r="J2829" t="s">
        <v>31</v>
      </c>
      <c r="K2829" t="s">
        <v>32</v>
      </c>
      <c r="L2829" t="s">
        <v>32</v>
      </c>
      <c r="M2829" t="s">
        <v>33</v>
      </c>
      <c r="N2829" t="s">
        <v>176</v>
      </c>
      <c r="O2829" t="s">
        <v>176</v>
      </c>
      <c r="P2829" t="s">
        <v>34</v>
      </c>
      <c r="Q2829" t="s">
        <v>35</v>
      </c>
      <c r="S2829" t="s">
        <v>30</v>
      </c>
      <c r="T2829" t="s">
        <v>2474</v>
      </c>
      <c r="U2829" t="s">
        <v>2475</v>
      </c>
      <c r="V2829" t="s">
        <v>40</v>
      </c>
      <c r="W2829" s="1">
        <v>1429900</v>
      </c>
    </row>
    <row r="2830" spans="1:23" x14ac:dyDescent="0.2">
      <c r="A2830" t="s">
        <v>2096</v>
      </c>
      <c r="B2830" t="s">
        <v>2097</v>
      </c>
      <c r="C2830" t="s">
        <v>2466</v>
      </c>
      <c r="D2830" t="s">
        <v>2467</v>
      </c>
      <c r="E2830" t="s">
        <v>2468</v>
      </c>
      <c r="F2830" t="s">
        <v>2469</v>
      </c>
      <c r="G2830" t="s">
        <v>170</v>
      </c>
      <c r="H2830" t="s">
        <v>52</v>
      </c>
      <c r="I2830" t="s">
        <v>30</v>
      </c>
      <c r="J2830" t="s">
        <v>31</v>
      </c>
      <c r="K2830" t="s">
        <v>32</v>
      </c>
      <c r="L2830" t="s">
        <v>32</v>
      </c>
      <c r="M2830" t="s">
        <v>33</v>
      </c>
      <c r="N2830" t="s">
        <v>169</v>
      </c>
      <c r="O2830" t="s">
        <v>169</v>
      </c>
      <c r="P2830" t="s">
        <v>34</v>
      </c>
      <c r="Q2830" t="s">
        <v>35</v>
      </c>
      <c r="S2830" t="s">
        <v>30</v>
      </c>
      <c r="T2830" t="s">
        <v>2474</v>
      </c>
      <c r="U2830" t="s">
        <v>2475</v>
      </c>
      <c r="V2830" t="s">
        <v>39</v>
      </c>
      <c r="W2830" s="1">
        <v>1</v>
      </c>
    </row>
    <row r="2831" spans="1:23" x14ac:dyDescent="0.2">
      <c r="A2831" t="s">
        <v>2096</v>
      </c>
      <c r="B2831" t="s">
        <v>2097</v>
      </c>
      <c r="C2831" t="s">
        <v>2466</v>
      </c>
      <c r="D2831" t="s">
        <v>2467</v>
      </c>
      <c r="E2831" t="s">
        <v>2468</v>
      </c>
      <c r="F2831" t="s">
        <v>2469</v>
      </c>
      <c r="G2831" t="s">
        <v>170</v>
      </c>
      <c r="H2831" t="s">
        <v>52</v>
      </c>
      <c r="I2831" t="s">
        <v>30</v>
      </c>
      <c r="J2831" t="s">
        <v>31</v>
      </c>
      <c r="K2831" t="s">
        <v>32</v>
      </c>
      <c r="L2831" t="s">
        <v>32</v>
      </c>
      <c r="M2831" t="s">
        <v>33</v>
      </c>
      <c r="N2831" t="s">
        <v>169</v>
      </c>
      <c r="O2831" t="s">
        <v>169</v>
      </c>
      <c r="P2831" t="s">
        <v>34</v>
      </c>
      <c r="Q2831" t="s">
        <v>35</v>
      </c>
      <c r="S2831" t="s">
        <v>30</v>
      </c>
      <c r="T2831" t="s">
        <v>2474</v>
      </c>
      <c r="U2831" t="s">
        <v>2475</v>
      </c>
      <c r="V2831" t="s">
        <v>40</v>
      </c>
      <c r="W2831" s="1">
        <v>1429900</v>
      </c>
    </row>
    <row r="2832" spans="1:23" x14ac:dyDescent="0.2">
      <c r="A2832" t="s">
        <v>2096</v>
      </c>
      <c r="B2832" t="s">
        <v>2097</v>
      </c>
      <c r="C2832" t="s">
        <v>2466</v>
      </c>
      <c r="D2832" t="s">
        <v>2467</v>
      </c>
      <c r="E2832" t="s">
        <v>2468</v>
      </c>
      <c r="F2832" t="s">
        <v>2469</v>
      </c>
      <c r="G2832" t="s">
        <v>170</v>
      </c>
      <c r="H2832" t="s">
        <v>52</v>
      </c>
      <c r="I2832" t="s">
        <v>30</v>
      </c>
      <c r="J2832" t="s">
        <v>31</v>
      </c>
      <c r="K2832" t="s">
        <v>32</v>
      </c>
      <c r="L2832" t="s">
        <v>32</v>
      </c>
      <c r="M2832" t="s">
        <v>33</v>
      </c>
      <c r="P2832" t="s">
        <v>34</v>
      </c>
      <c r="Q2832" t="s">
        <v>35</v>
      </c>
      <c r="S2832" t="s">
        <v>52</v>
      </c>
      <c r="T2832" t="s">
        <v>2476</v>
      </c>
      <c r="U2832" t="s">
        <v>2477</v>
      </c>
      <c r="V2832" t="s">
        <v>39</v>
      </c>
      <c r="W2832" s="1">
        <v>0</v>
      </c>
    </row>
    <row r="2833" spans="1:23" x14ac:dyDescent="0.2">
      <c r="A2833" t="s">
        <v>2096</v>
      </c>
      <c r="B2833" t="s">
        <v>2097</v>
      </c>
      <c r="C2833" t="s">
        <v>2466</v>
      </c>
      <c r="D2833" t="s">
        <v>2467</v>
      </c>
      <c r="E2833" t="s">
        <v>2468</v>
      </c>
      <c r="F2833" t="s">
        <v>2469</v>
      </c>
      <c r="G2833" t="s">
        <v>170</v>
      </c>
      <c r="H2833" t="s">
        <v>52</v>
      </c>
      <c r="I2833" t="s">
        <v>30</v>
      </c>
      <c r="J2833" t="s">
        <v>31</v>
      </c>
      <c r="K2833" t="s">
        <v>32</v>
      </c>
      <c r="L2833" t="s">
        <v>32</v>
      </c>
      <c r="M2833" t="s">
        <v>33</v>
      </c>
      <c r="P2833" t="s">
        <v>34</v>
      </c>
      <c r="Q2833" t="s">
        <v>35</v>
      </c>
      <c r="S2833" t="s">
        <v>52</v>
      </c>
      <c r="T2833" t="s">
        <v>2476</v>
      </c>
      <c r="U2833" t="s">
        <v>2477</v>
      </c>
      <c r="V2833" t="s">
        <v>40</v>
      </c>
      <c r="W2833" s="1">
        <v>9589300</v>
      </c>
    </row>
    <row r="2834" spans="1:23" x14ac:dyDescent="0.2">
      <c r="A2834" t="s">
        <v>2096</v>
      </c>
      <c r="B2834" t="s">
        <v>2097</v>
      </c>
      <c r="C2834" t="s">
        <v>2466</v>
      </c>
      <c r="D2834" t="s">
        <v>2467</v>
      </c>
      <c r="E2834" t="s">
        <v>2468</v>
      </c>
      <c r="F2834" t="s">
        <v>2469</v>
      </c>
      <c r="G2834" t="s">
        <v>170</v>
      </c>
      <c r="H2834" t="s">
        <v>52</v>
      </c>
      <c r="I2834" t="s">
        <v>30</v>
      </c>
      <c r="J2834" t="s">
        <v>31</v>
      </c>
      <c r="K2834" t="s">
        <v>32</v>
      </c>
      <c r="L2834" t="s">
        <v>32</v>
      </c>
      <c r="M2834" t="s">
        <v>176</v>
      </c>
      <c r="N2834" t="s">
        <v>176</v>
      </c>
      <c r="O2834" t="s">
        <v>176</v>
      </c>
      <c r="P2834" t="s">
        <v>34</v>
      </c>
      <c r="Q2834" t="s">
        <v>35</v>
      </c>
      <c r="S2834" t="s">
        <v>30</v>
      </c>
      <c r="T2834" t="s">
        <v>2474</v>
      </c>
      <c r="U2834" t="s">
        <v>2475</v>
      </c>
      <c r="V2834" t="s">
        <v>39</v>
      </c>
      <c r="W2834" s="1">
        <v>1</v>
      </c>
    </row>
    <row r="2835" spans="1:23" x14ac:dyDescent="0.2">
      <c r="A2835" t="s">
        <v>2096</v>
      </c>
      <c r="B2835" t="s">
        <v>2097</v>
      </c>
      <c r="C2835" t="s">
        <v>2466</v>
      </c>
      <c r="D2835" t="s">
        <v>2467</v>
      </c>
      <c r="E2835" t="s">
        <v>2468</v>
      </c>
      <c r="F2835" t="s">
        <v>2469</v>
      </c>
      <c r="G2835" t="s">
        <v>170</v>
      </c>
      <c r="H2835" t="s">
        <v>52</v>
      </c>
      <c r="I2835" t="s">
        <v>30</v>
      </c>
      <c r="J2835" t="s">
        <v>31</v>
      </c>
      <c r="K2835" t="s">
        <v>32</v>
      </c>
      <c r="L2835" t="s">
        <v>32</v>
      </c>
      <c r="M2835" t="s">
        <v>176</v>
      </c>
      <c r="N2835" t="s">
        <v>176</v>
      </c>
      <c r="O2835" t="s">
        <v>176</v>
      </c>
      <c r="P2835" t="s">
        <v>34</v>
      </c>
      <c r="Q2835" t="s">
        <v>35</v>
      </c>
      <c r="S2835" t="s">
        <v>30</v>
      </c>
      <c r="T2835" t="s">
        <v>2474</v>
      </c>
      <c r="U2835" t="s">
        <v>2475</v>
      </c>
      <c r="V2835" t="s">
        <v>40</v>
      </c>
      <c r="W2835" s="1">
        <v>1529900</v>
      </c>
    </row>
    <row r="2836" spans="1:23" x14ac:dyDescent="0.2">
      <c r="A2836" t="s">
        <v>2096</v>
      </c>
      <c r="B2836" t="s">
        <v>2097</v>
      </c>
      <c r="C2836" t="s">
        <v>2466</v>
      </c>
      <c r="D2836" t="s">
        <v>2467</v>
      </c>
      <c r="E2836" t="s">
        <v>2468</v>
      </c>
      <c r="F2836" t="s">
        <v>2469</v>
      </c>
      <c r="G2836" t="s">
        <v>67</v>
      </c>
      <c r="H2836" t="s">
        <v>30</v>
      </c>
      <c r="I2836" t="s">
        <v>30</v>
      </c>
      <c r="J2836" t="s">
        <v>128</v>
      </c>
      <c r="K2836" t="s">
        <v>135</v>
      </c>
      <c r="L2836" t="s">
        <v>32</v>
      </c>
      <c r="M2836" t="s">
        <v>33</v>
      </c>
      <c r="N2836" t="s">
        <v>33</v>
      </c>
      <c r="O2836" t="s">
        <v>33</v>
      </c>
      <c r="P2836" t="s">
        <v>34</v>
      </c>
      <c r="Q2836" t="s">
        <v>35</v>
      </c>
      <c r="R2836" t="s">
        <v>136</v>
      </c>
      <c r="S2836" t="s">
        <v>30</v>
      </c>
      <c r="T2836" t="s">
        <v>2478</v>
      </c>
      <c r="U2836" t="s">
        <v>2479</v>
      </c>
      <c r="V2836" t="s">
        <v>39</v>
      </c>
      <c r="W2836" s="1">
        <v>2</v>
      </c>
    </row>
    <row r="2837" spans="1:23" x14ac:dyDescent="0.2">
      <c r="A2837" t="s">
        <v>2096</v>
      </c>
      <c r="B2837" t="s">
        <v>2097</v>
      </c>
      <c r="C2837" t="s">
        <v>2466</v>
      </c>
      <c r="D2837" t="s">
        <v>2467</v>
      </c>
      <c r="E2837" t="s">
        <v>2468</v>
      </c>
      <c r="F2837" t="s">
        <v>2469</v>
      </c>
      <c r="G2837" t="s">
        <v>67</v>
      </c>
      <c r="H2837" t="s">
        <v>30</v>
      </c>
      <c r="I2837" t="s">
        <v>30</v>
      </c>
      <c r="J2837" t="s">
        <v>128</v>
      </c>
      <c r="K2837" t="s">
        <v>135</v>
      </c>
      <c r="L2837" t="s">
        <v>32</v>
      </c>
      <c r="M2837" t="s">
        <v>33</v>
      </c>
      <c r="N2837" t="s">
        <v>33</v>
      </c>
      <c r="O2837" t="s">
        <v>33</v>
      </c>
      <c r="P2837" t="s">
        <v>34</v>
      </c>
      <c r="Q2837" t="s">
        <v>35</v>
      </c>
      <c r="R2837" t="s">
        <v>136</v>
      </c>
      <c r="S2837" t="s">
        <v>30</v>
      </c>
      <c r="T2837" t="s">
        <v>2478</v>
      </c>
      <c r="U2837" t="s">
        <v>2479</v>
      </c>
      <c r="V2837" t="s">
        <v>40</v>
      </c>
      <c r="W2837" s="1">
        <v>1428000</v>
      </c>
    </row>
    <row r="2838" spans="1:23" x14ac:dyDescent="0.2">
      <c r="A2838" t="s">
        <v>2096</v>
      </c>
      <c r="B2838" t="s">
        <v>2097</v>
      </c>
      <c r="C2838" t="s">
        <v>2466</v>
      </c>
      <c r="D2838" t="s">
        <v>2467</v>
      </c>
      <c r="E2838" t="s">
        <v>2468</v>
      </c>
      <c r="F2838" t="s">
        <v>2469</v>
      </c>
      <c r="G2838" t="s">
        <v>67</v>
      </c>
      <c r="H2838" t="s">
        <v>30</v>
      </c>
      <c r="I2838" t="s">
        <v>30</v>
      </c>
      <c r="J2838" t="s">
        <v>31</v>
      </c>
      <c r="K2838" t="s">
        <v>32</v>
      </c>
      <c r="L2838" t="s">
        <v>32</v>
      </c>
      <c r="M2838" t="s">
        <v>33</v>
      </c>
      <c r="N2838" t="s">
        <v>33</v>
      </c>
      <c r="O2838" t="s">
        <v>33</v>
      </c>
      <c r="P2838" t="s">
        <v>34</v>
      </c>
      <c r="Q2838" t="s">
        <v>35</v>
      </c>
      <c r="R2838" t="s">
        <v>184</v>
      </c>
      <c r="S2838" t="s">
        <v>30</v>
      </c>
      <c r="T2838" t="s">
        <v>2480</v>
      </c>
      <c r="U2838" t="s">
        <v>2481</v>
      </c>
      <c r="V2838" t="s">
        <v>39</v>
      </c>
      <c r="W2838" s="1">
        <v>2</v>
      </c>
    </row>
    <row r="2839" spans="1:23" x14ac:dyDescent="0.2">
      <c r="A2839" t="s">
        <v>2096</v>
      </c>
      <c r="B2839" t="s">
        <v>2097</v>
      </c>
      <c r="C2839" t="s">
        <v>2466</v>
      </c>
      <c r="D2839" t="s">
        <v>2467</v>
      </c>
      <c r="E2839" t="s">
        <v>2468</v>
      </c>
      <c r="F2839" t="s">
        <v>2469</v>
      </c>
      <c r="G2839" t="s">
        <v>67</v>
      </c>
      <c r="H2839" t="s">
        <v>30</v>
      </c>
      <c r="I2839" t="s">
        <v>30</v>
      </c>
      <c r="J2839" t="s">
        <v>31</v>
      </c>
      <c r="K2839" t="s">
        <v>32</v>
      </c>
      <c r="L2839" t="s">
        <v>32</v>
      </c>
      <c r="M2839" t="s">
        <v>33</v>
      </c>
      <c r="N2839" t="s">
        <v>33</v>
      </c>
      <c r="O2839" t="s">
        <v>33</v>
      </c>
      <c r="P2839" t="s">
        <v>34</v>
      </c>
      <c r="Q2839" t="s">
        <v>35</v>
      </c>
      <c r="R2839" t="s">
        <v>184</v>
      </c>
      <c r="S2839" t="s">
        <v>30</v>
      </c>
      <c r="T2839" t="s">
        <v>2480</v>
      </c>
      <c r="U2839" t="s">
        <v>2481</v>
      </c>
      <c r="V2839" t="s">
        <v>40</v>
      </c>
      <c r="W2839" s="1">
        <v>2311800</v>
      </c>
    </row>
    <row r="2840" spans="1:23" x14ac:dyDescent="0.2">
      <c r="A2840" t="s">
        <v>2096</v>
      </c>
      <c r="B2840" t="s">
        <v>2097</v>
      </c>
      <c r="C2840" t="s">
        <v>2466</v>
      </c>
      <c r="D2840" t="s">
        <v>2467</v>
      </c>
      <c r="E2840" t="s">
        <v>2468</v>
      </c>
      <c r="F2840" t="s">
        <v>2469</v>
      </c>
      <c r="G2840" t="s">
        <v>67</v>
      </c>
      <c r="H2840" t="s">
        <v>30</v>
      </c>
      <c r="I2840" t="s">
        <v>30</v>
      </c>
      <c r="J2840" t="s">
        <v>31</v>
      </c>
      <c r="K2840" t="s">
        <v>32</v>
      </c>
      <c r="L2840" t="s">
        <v>32</v>
      </c>
      <c r="M2840" t="s">
        <v>33</v>
      </c>
      <c r="P2840" t="s">
        <v>34</v>
      </c>
      <c r="Q2840" t="s">
        <v>35</v>
      </c>
      <c r="R2840" t="s">
        <v>184</v>
      </c>
      <c r="S2840" t="s">
        <v>52</v>
      </c>
      <c r="T2840" t="s">
        <v>2480</v>
      </c>
      <c r="U2840" t="s">
        <v>2482</v>
      </c>
      <c r="V2840" t="s">
        <v>39</v>
      </c>
      <c r="W2840" s="1">
        <v>0</v>
      </c>
    </row>
    <row r="2841" spans="1:23" x14ac:dyDescent="0.2">
      <c r="A2841" t="s">
        <v>2096</v>
      </c>
      <c r="B2841" t="s">
        <v>2097</v>
      </c>
      <c r="C2841" t="s">
        <v>2466</v>
      </c>
      <c r="D2841" t="s">
        <v>2467</v>
      </c>
      <c r="E2841" t="s">
        <v>2468</v>
      </c>
      <c r="F2841" t="s">
        <v>2469</v>
      </c>
      <c r="G2841" t="s">
        <v>67</v>
      </c>
      <c r="H2841" t="s">
        <v>30</v>
      </c>
      <c r="I2841" t="s">
        <v>30</v>
      </c>
      <c r="J2841" t="s">
        <v>31</v>
      </c>
      <c r="K2841" t="s">
        <v>32</v>
      </c>
      <c r="L2841" t="s">
        <v>32</v>
      </c>
      <c r="M2841" t="s">
        <v>33</v>
      </c>
      <c r="P2841" t="s">
        <v>34</v>
      </c>
      <c r="Q2841" t="s">
        <v>35</v>
      </c>
      <c r="R2841" t="s">
        <v>184</v>
      </c>
      <c r="S2841" t="s">
        <v>52</v>
      </c>
      <c r="T2841" t="s">
        <v>2480</v>
      </c>
      <c r="U2841" t="s">
        <v>2482</v>
      </c>
      <c r="V2841" t="s">
        <v>40</v>
      </c>
      <c r="W2841" s="1">
        <v>0</v>
      </c>
    </row>
    <row r="2842" spans="1:23" x14ac:dyDescent="0.2">
      <c r="A2842" t="s">
        <v>2096</v>
      </c>
      <c r="B2842" t="s">
        <v>2097</v>
      </c>
      <c r="C2842" t="s">
        <v>2466</v>
      </c>
      <c r="D2842" t="s">
        <v>2467</v>
      </c>
      <c r="E2842" t="s">
        <v>2468</v>
      </c>
      <c r="F2842" t="s">
        <v>2469</v>
      </c>
      <c r="G2842" t="s">
        <v>67</v>
      </c>
      <c r="H2842" t="s">
        <v>30</v>
      </c>
      <c r="I2842" t="s">
        <v>30</v>
      </c>
      <c r="J2842" t="s">
        <v>31</v>
      </c>
      <c r="K2842" t="s">
        <v>32</v>
      </c>
      <c r="L2842" t="s">
        <v>32</v>
      </c>
      <c r="M2842" t="s">
        <v>33</v>
      </c>
      <c r="P2842" t="s">
        <v>34</v>
      </c>
      <c r="Q2842" t="s">
        <v>35</v>
      </c>
      <c r="S2842" t="s">
        <v>52</v>
      </c>
      <c r="T2842" t="s">
        <v>2483</v>
      </c>
      <c r="U2842" t="s">
        <v>2484</v>
      </c>
      <c r="V2842" t="s">
        <v>39</v>
      </c>
      <c r="W2842" s="1">
        <v>0</v>
      </c>
    </row>
    <row r="2843" spans="1:23" x14ac:dyDescent="0.2">
      <c r="A2843" t="s">
        <v>2096</v>
      </c>
      <c r="B2843" t="s">
        <v>2097</v>
      </c>
      <c r="C2843" t="s">
        <v>2466</v>
      </c>
      <c r="D2843" t="s">
        <v>2467</v>
      </c>
      <c r="E2843" t="s">
        <v>2468</v>
      </c>
      <c r="F2843" t="s">
        <v>2469</v>
      </c>
      <c r="G2843" t="s">
        <v>67</v>
      </c>
      <c r="H2843" t="s">
        <v>30</v>
      </c>
      <c r="I2843" t="s">
        <v>30</v>
      </c>
      <c r="J2843" t="s">
        <v>31</v>
      </c>
      <c r="K2843" t="s">
        <v>32</v>
      </c>
      <c r="L2843" t="s">
        <v>32</v>
      </c>
      <c r="M2843" t="s">
        <v>33</v>
      </c>
      <c r="P2843" t="s">
        <v>34</v>
      </c>
      <c r="Q2843" t="s">
        <v>35</v>
      </c>
      <c r="S2843" t="s">
        <v>52</v>
      </c>
      <c r="T2843" t="s">
        <v>2483</v>
      </c>
      <c r="U2843" t="s">
        <v>2484</v>
      </c>
      <c r="V2843" t="s">
        <v>40</v>
      </c>
      <c r="W2843" s="1">
        <v>0</v>
      </c>
    </row>
    <row r="2844" spans="1:23" x14ac:dyDescent="0.2">
      <c r="A2844" t="s">
        <v>2096</v>
      </c>
      <c r="B2844" t="s">
        <v>2097</v>
      </c>
      <c r="C2844" t="s">
        <v>2466</v>
      </c>
      <c r="D2844" t="s">
        <v>2467</v>
      </c>
      <c r="E2844" t="s">
        <v>2468</v>
      </c>
      <c r="F2844" t="s">
        <v>2469</v>
      </c>
      <c r="G2844" t="s">
        <v>67</v>
      </c>
      <c r="H2844" t="s">
        <v>30</v>
      </c>
      <c r="I2844" t="s">
        <v>30</v>
      </c>
      <c r="J2844" t="s">
        <v>855</v>
      </c>
      <c r="K2844" t="s">
        <v>856</v>
      </c>
      <c r="L2844" t="s">
        <v>32</v>
      </c>
      <c r="M2844" t="s">
        <v>33</v>
      </c>
      <c r="N2844" t="s">
        <v>33</v>
      </c>
      <c r="O2844" t="s">
        <v>33</v>
      </c>
      <c r="P2844" t="s">
        <v>34</v>
      </c>
      <c r="Q2844" t="s">
        <v>35</v>
      </c>
      <c r="S2844" t="s">
        <v>30</v>
      </c>
      <c r="T2844" t="s">
        <v>2485</v>
      </c>
      <c r="U2844" t="s">
        <v>2486</v>
      </c>
      <c r="V2844" t="s">
        <v>39</v>
      </c>
      <c r="W2844" s="1">
        <v>2</v>
      </c>
    </row>
    <row r="2845" spans="1:23" x14ac:dyDescent="0.2">
      <c r="A2845" t="s">
        <v>2096</v>
      </c>
      <c r="B2845" t="s">
        <v>2097</v>
      </c>
      <c r="C2845" t="s">
        <v>2466</v>
      </c>
      <c r="D2845" t="s">
        <v>2467</v>
      </c>
      <c r="E2845" t="s">
        <v>2468</v>
      </c>
      <c r="F2845" t="s">
        <v>2469</v>
      </c>
      <c r="G2845" t="s">
        <v>67</v>
      </c>
      <c r="H2845" t="s">
        <v>30</v>
      </c>
      <c r="I2845" t="s">
        <v>30</v>
      </c>
      <c r="J2845" t="s">
        <v>855</v>
      </c>
      <c r="K2845" t="s">
        <v>856</v>
      </c>
      <c r="L2845" t="s">
        <v>32</v>
      </c>
      <c r="M2845" t="s">
        <v>33</v>
      </c>
      <c r="N2845" t="s">
        <v>33</v>
      </c>
      <c r="O2845" t="s">
        <v>33</v>
      </c>
      <c r="P2845" t="s">
        <v>34</v>
      </c>
      <c r="Q2845" t="s">
        <v>35</v>
      </c>
      <c r="S2845" t="s">
        <v>30</v>
      </c>
      <c r="T2845" t="s">
        <v>2485</v>
      </c>
      <c r="U2845" t="s">
        <v>2486</v>
      </c>
      <c r="V2845" t="s">
        <v>40</v>
      </c>
      <c r="W2845" s="1">
        <v>948000</v>
      </c>
    </row>
    <row r="2846" spans="1:23" x14ac:dyDescent="0.2">
      <c r="A2846" t="s">
        <v>2096</v>
      </c>
      <c r="B2846" t="s">
        <v>2097</v>
      </c>
      <c r="C2846" t="s">
        <v>2466</v>
      </c>
      <c r="D2846" t="s">
        <v>2467</v>
      </c>
      <c r="E2846" t="s">
        <v>2468</v>
      </c>
      <c r="F2846" t="s">
        <v>2469</v>
      </c>
      <c r="G2846" t="s">
        <v>106</v>
      </c>
      <c r="H2846" t="s">
        <v>30</v>
      </c>
      <c r="I2846" t="s">
        <v>30</v>
      </c>
      <c r="J2846" t="s">
        <v>31</v>
      </c>
      <c r="K2846" t="s">
        <v>32</v>
      </c>
      <c r="L2846" t="s">
        <v>32</v>
      </c>
      <c r="M2846" t="s">
        <v>33</v>
      </c>
      <c r="N2846" t="s">
        <v>33</v>
      </c>
      <c r="O2846" t="s">
        <v>33</v>
      </c>
      <c r="P2846" t="s">
        <v>34</v>
      </c>
      <c r="Q2846" t="s">
        <v>35</v>
      </c>
      <c r="S2846" t="s">
        <v>30</v>
      </c>
      <c r="T2846" t="s">
        <v>2487</v>
      </c>
      <c r="U2846" t="s">
        <v>2488</v>
      </c>
      <c r="V2846" t="s">
        <v>39</v>
      </c>
      <c r="W2846" s="1">
        <v>1</v>
      </c>
    </row>
    <row r="2847" spans="1:23" x14ac:dyDescent="0.2">
      <c r="A2847" t="s">
        <v>2096</v>
      </c>
      <c r="B2847" t="s">
        <v>2097</v>
      </c>
      <c r="C2847" t="s">
        <v>2466</v>
      </c>
      <c r="D2847" t="s">
        <v>2467</v>
      </c>
      <c r="E2847" t="s">
        <v>2468</v>
      </c>
      <c r="F2847" t="s">
        <v>2469</v>
      </c>
      <c r="G2847" t="s">
        <v>106</v>
      </c>
      <c r="H2847" t="s">
        <v>30</v>
      </c>
      <c r="I2847" t="s">
        <v>30</v>
      </c>
      <c r="J2847" t="s">
        <v>31</v>
      </c>
      <c r="K2847" t="s">
        <v>32</v>
      </c>
      <c r="L2847" t="s">
        <v>32</v>
      </c>
      <c r="M2847" t="s">
        <v>33</v>
      </c>
      <c r="N2847" t="s">
        <v>33</v>
      </c>
      <c r="O2847" t="s">
        <v>33</v>
      </c>
      <c r="P2847" t="s">
        <v>34</v>
      </c>
      <c r="Q2847" t="s">
        <v>35</v>
      </c>
      <c r="S2847" t="s">
        <v>30</v>
      </c>
      <c r="T2847" t="s">
        <v>2487</v>
      </c>
      <c r="U2847" t="s">
        <v>2488</v>
      </c>
      <c r="V2847" t="s">
        <v>40</v>
      </c>
      <c r="W2847" s="1">
        <v>799900</v>
      </c>
    </row>
    <row r="2848" spans="1:23" x14ac:dyDescent="0.2">
      <c r="A2848" t="s">
        <v>2096</v>
      </c>
      <c r="B2848" t="s">
        <v>2097</v>
      </c>
      <c r="C2848" t="s">
        <v>2466</v>
      </c>
      <c r="D2848" t="s">
        <v>2467</v>
      </c>
      <c r="E2848" t="s">
        <v>2468</v>
      </c>
      <c r="F2848" t="s">
        <v>2469</v>
      </c>
      <c r="G2848" t="s">
        <v>127</v>
      </c>
      <c r="H2848" t="s">
        <v>52</v>
      </c>
      <c r="I2848" t="s">
        <v>30</v>
      </c>
      <c r="J2848" t="s">
        <v>57</v>
      </c>
      <c r="K2848" t="s">
        <v>32</v>
      </c>
      <c r="L2848" t="s">
        <v>32</v>
      </c>
      <c r="M2848" t="s">
        <v>33</v>
      </c>
      <c r="N2848" t="s">
        <v>33</v>
      </c>
      <c r="O2848" t="s">
        <v>33</v>
      </c>
      <c r="P2848" t="s">
        <v>34</v>
      </c>
      <c r="Q2848" t="s">
        <v>35</v>
      </c>
      <c r="R2848" t="s">
        <v>1355</v>
      </c>
      <c r="S2848" t="s">
        <v>30</v>
      </c>
      <c r="T2848" t="s">
        <v>2489</v>
      </c>
      <c r="U2848" t="s">
        <v>2490</v>
      </c>
      <c r="V2848" t="s">
        <v>39</v>
      </c>
      <c r="W2848" s="1">
        <v>2</v>
      </c>
    </row>
    <row r="2849" spans="1:23" x14ac:dyDescent="0.2">
      <c r="A2849" t="s">
        <v>2096</v>
      </c>
      <c r="B2849" t="s">
        <v>2097</v>
      </c>
      <c r="C2849" t="s">
        <v>2466</v>
      </c>
      <c r="D2849" t="s">
        <v>2467</v>
      </c>
      <c r="E2849" t="s">
        <v>2468</v>
      </c>
      <c r="F2849" t="s">
        <v>2469</v>
      </c>
      <c r="G2849" t="s">
        <v>127</v>
      </c>
      <c r="H2849" t="s">
        <v>52</v>
      </c>
      <c r="I2849" t="s">
        <v>30</v>
      </c>
      <c r="J2849" t="s">
        <v>57</v>
      </c>
      <c r="K2849" t="s">
        <v>32</v>
      </c>
      <c r="L2849" t="s">
        <v>32</v>
      </c>
      <c r="M2849" t="s">
        <v>33</v>
      </c>
      <c r="N2849" t="s">
        <v>33</v>
      </c>
      <c r="O2849" t="s">
        <v>33</v>
      </c>
      <c r="P2849" t="s">
        <v>34</v>
      </c>
      <c r="Q2849" t="s">
        <v>35</v>
      </c>
      <c r="R2849" t="s">
        <v>1355</v>
      </c>
      <c r="S2849" t="s">
        <v>30</v>
      </c>
      <c r="T2849" t="s">
        <v>2489</v>
      </c>
      <c r="U2849" t="s">
        <v>2490</v>
      </c>
      <c r="V2849" t="s">
        <v>40</v>
      </c>
      <c r="W2849" s="1">
        <v>3599800</v>
      </c>
    </row>
    <row r="2850" spans="1:23" x14ac:dyDescent="0.2">
      <c r="A2850" t="s">
        <v>2096</v>
      </c>
      <c r="B2850" t="s">
        <v>2097</v>
      </c>
      <c r="C2850" t="s">
        <v>2466</v>
      </c>
      <c r="D2850" t="s">
        <v>2467</v>
      </c>
      <c r="E2850" t="s">
        <v>2468</v>
      </c>
      <c r="F2850" t="s">
        <v>2469</v>
      </c>
      <c r="G2850" t="s">
        <v>139</v>
      </c>
      <c r="H2850" t="s">
        <v>30</v>
      </c>
      <c r="I2850" t="s">
        <v>30</v>
      </c>
      <c r="J2850" t="s">
        <v>31</v>
      </c>
      <c r="K2850" t="s">
        <v>32</v>
      </c>
      <c r="L2850" t="s">
        <v>32</v>
      </c>
      <c r="M2850" t="s">
        <v>33</v>
      </c>
      <c r="N2850" t="s">
        <v>33</v>
      </c>
      <c r="O2850" t="s">
        <v>33</v>
      </c>
      <c r="P2850" t="s">
        <v>34</v>
      </c>
      <c r="Q2850" t="s">
        <v>35</v>
      </c>
      <c r="R2850" t="s">
        <v>184</v>
      </c>
      <c r="S2850" t="s">
        <v>30</v>
      </c>
      <c r="T2850" t="s">
        <v>2491</v>
      </c>
      <c r="U2850" t="s">
        <v>2492</v>
      </c>
      <c r="V2850" t="s">
        <v>39</v>
      </c>
      <c r="W2850" s="1">
        <v>2</v>
      </c>
    </row>
    <row r="2851" spans="1:23" x14ac:dyDescent="0.2">
      <c r="A2851" t="s">
        <v>2096</v>
      </c>
      <c r="B2851" t="s">
        <v>2097</v>
      </c>
      <c r="C2851" t="s">
        <v>2466</v>
      </c>
      <c r="D2851" t="s">
        <v>2467</v>
      </c>
      <c r="E2851" t="s">
        <v>2468</v>
      </c>
      <c r="F2851" t="s">
        <v>2469</v>
      </c>
      <c r="G2851" t="s">
        <v>139</v>
      </c>
      <c r="H2851" t="s">
        <v>30</v>
      </c>
      <c r="I2851" t="s">
        <v>30</v>
      </c>
      <c r="J2851" t="s">
        <v>31</v>
      </c>
      <c r="K2851" t="s">
        <v>32</v>
      </c>
      <c r="L2851" t="s">
        <v>32</v>
      </c>
      <c r="M2851" t="s">
        <v>33</v>
      </c>
      <c r="N2851" t="s">
        <v>33</v>
      </c>
      <c r="O2851" t="s">
        <v>33</v>
      </c>
      <c r="P2851" t="s">
        <v>34</v>
      </c>
      <c r="Q2851" t="s">
        <v>35</v>
      </c>
      <c r="R2851" t="s">
        <v>184</v>
      </c>
      <c r="S2851" t="s">
        <v>30</v>
      </c>
      <c r="T2851" t="s">
        <v>2491</v>
      </c>
      <c r="U2851" t="s">
        <v>2492</v>
      </c>
      <c r="V2851" t="s">
        <v>40</v>
      </c>
      <c r="W2851" s="1">
        <v>1405800</v>
      </c>
    </row>
    <row r="2852" spans="1:23" x14ac:dyDescent="0.2">
      <c r="A2852" t="s">
        <v>2096</v>
      </c>
      <c r="B2852" t="s">
        <v>2097</v>
      </c>
      <c r="C2852" t="s">
        <v>2466</v>
      </c>
      <c r="D2852" t="s">
        <v>2467</v>
      </c>
      <c r="E2852" t="s">
        <v>2468</v>
      </c>
      <c r="F2852" t="s">
        <v>2469</v>
      </c>
      <c r="G2852" t="s">
        <v>139</v>
      </c>
      <c r="H2852" t="s">
        <v>30</v>
      </c>
      <c r="I2852" t="s">
        <v>30</v>
      </c>
      <c r="J2852" t="s">
        <v>31</v>
      </c>
      <c r="K2852" t="s">
        <v>32</v>
      </c>
      <c r="L2852" t="s">
        <v>32</v>
      </c>
      <c r="M2852" t="s">
        <v>33</v>
      </c>
      <c r="N2852" t="s">
        <v>33</v>
      </c>
      <c r="O2852" t="s">
        <v>33</v>
      </c>
      <c r="P2852" t="s">
        <v>34</v>
      </c>
      <c r="Q2852" t="s">
        <v>35</v>
      </c>
      <c r="S2852" t="s">
        <v>30</v>
      </c>
      <c r="T2852" t="s">
        <v>2493</v>
      </c>
      <c r="U2852" t="s">
        <v>2494</v>
      </c>
      <c r="V2852" t="s">
        <v>39</v>
      </c>
      <c r="W2852" s="1">
        <v>4</v>
      </c>
    </row>
    <row r="2853" spans="1:23" x14ac:dyDescent="0.2">
      <c r="A2853" t="s">
        <v>2096</v>
      </c>
      <c r="B2853" t="s">
        <v>2097</v>
      </c>
      <c r="C2853" t="s">
        <v>2466</v>
      </c>
      <c r="D2853" t="s">
        <v>2467</v>
      </c>
      <c r="E2853" t="s">
        <v>2468</v>
      </c>
      <c r="F2853" t="s">
        <v>2469</v>
      </c>
      <c r="G2853" t="s">
        <v>139</v>
      </c>
      <c r="H2853" t="s">
        <v>30</v>
      </c>
      <c r="I2853" t="s">
        <v>30</v>
      </c>
      <c r="J2853" t="s">
        <v>31</v>
      </c>
      <c r="K2853" t="s">
        <v>32</v>
      </c>
      <c r="L2853" t="s">
        <v>32</v>
      </c>
      <c r="M2853" t="s">
        <v>33</v>
      </c>
      <c r="N2853" t="s">
        <v>33</v>
      </c>
      <c r="O2853" t="s">
        <v>33</v>
      </c>
      <c r="P2853" t="s">
        <v>34</v>
      </c>
      <c r="Q2853" t="s">
        <v>35</v>
      </c>
      <c r="S2853" t="s">
        <v>30</v>
      </c>
      <c r="T2853" t="s">
        <v>2493</v>
      </c>
      <c r="U2853" t="s">
        <v>2494</v>
      </c>
      <c r="V2853" t="s">
        <v>40</v>
      </c>
      <c r="W2853" s="1">
        <v>3879600</v>
      </c>
    </row>
    <row r="2854" spans="1:23" x14ac:dyDescent="0.2">
      <c r="A2854" t="s">
        <v>2096</v>
      </c>
      <c r="B2854" t="s">
        <v>2097</v>
      </c>
      <c r="C2854" t="s">
        <v>2466</v>
      </c>
      <c r="D2854" t="s">
        <v>2467</v>
      </c>
      <c r="E2854" t="s">
        <v>2468</v>
      </c>
      <c r="F2854" t="s">
        <v>2469</v>
      </c>
      <c r="G2854" t="s">
        <v>139</v>
      </c>
      <c r="H2854" t="s">
        <v>30</v>
      </c>
      <c r="I2854" t="s">
        <v>30</v>
      </c>
      <c r="J2854" t="s">
        <v>31</v>
      </c>
      <c r="K2854" t="s">
        <v>32</v>
      </c>
      <c r="L2854" t="s">
        <v>32</v>
      </c>
      <c r="M2854" t="s">
        <v>33</v>
      </c>
      <c r="P2854" t="s">
        <v>34</v>
      </c>
      <c r="Q2854" t="s">
        <v>35</v>
      </c>
      <c r="S2854" t="s">
        <v>30</v>
      </c>
      <c r="T2854" t="s">
        <v>2493</v>
      </c>
      <c r="U2854" t="s">
        <v>2494</v>
      </c>
      <c r="V2854" t="s">
        <v>39</v>
      </c>
      <c r="W2854" s="1">
        <v>4</v>
      </c>
    </row>
    <row r="2855" spans="1:23" x14ac:dyDescent="0.2">
      <c r="A2855" t="s">
        <v>2096</v>
      </c>
      <c r="B2855" t="s">
        <v>2097</v>
      </c>
      <c r="C2855" t="s">
        <v>2466</v>
      </c>
      <c r="D2855" t="s">
        <v>2467</v>
      </c>
      <c r="E2855" t="s">
        <v>2468</v>
      </c>
      <c r="F2855" t="s">
        <v>2469</v>
      </c>
      <c r="G2855" t="s">
        <v>139</v>
      </c>
      <c r="H2855" t="s">
        <v>30</v>
      </c>
      <c r="I2855" t="s">
        <v>30</v>
      </c>
      <c r="J2855" t="s">
        <v>31</v>
      </c>
      <c r="K2855" t="s">
        <v>32</v>
      </c>
      <c r="L2855" t="s">
        <v>32</v>
      </c>
      <c r="M2855" t="s">
        <v>33</v>
      </c>
      <c r="P2855" t="s">
        <v>34</v>
      </c>
      <c r="Q2855" t="s">
        <v>35</v>
      </c>
      <c r="S2855" t="s">
        <v>30</v>
      </c>
      <c r="T2855" t="s">
        <v>2493</v>
      </c>
      <c r="U2855" t="s">
        <v>2494</v>
      </c>
      <c r="V2855" t="s">
        <v>40</v>
      </c>
      <c r="W2855" s="1">
        <v>3879600</v>
      </c>
    </row>
    <row r="2856" spans="1:23" x14ac:dyDescent="0.2">
      <c r="A2856" t="s">
        <v>2096</v>
      </c>
      <c r="B2856" t="s">
        <v>2097</v>
      </c>
      <c r="C2856" t="s">
        <v>2466</v>
      </c>
      <c r="D2856" t="s">
        <v>2467</v>
      </c>
      <c r="E2856" t="s">
        <v>2468</v>
      </c>
      <c r="F2856" t="s">
        <v>2469</v>
      </c>
      <c r="G2856" t="s">
        <v>139</v>
      </c>
      <c r="H2856" t="s">
        <v>30</v>
      </c>
      <c r="I2856" t="s">
        <v>30</v>
      </c>
      <c r="J2856" t="s">
        <v>41</v>
      </c>
      <c r="K2856" t="s">
        <v>32</v>
      </c>
      <c r="L2856" t="s">
        <v>32</v>
      </c>
      <c r="M2856" t="s">
        <v>33</v>
      </c>
      <c r="N2856" t="s">
        <v>33</v>
      </c>
      <c r="O2856" t="s">
        <v>33</v>
      </c>
      <c r="P2856" t="s">
        <v>34</v>
      </c>
      <c r="Q2856" t="s">
        <v>35</v>
      </c>
      <c r="S2856" t="s">
        <v>30</v>
      </c>
      <c r="T2856" t="s">
        <v>2495</v>
      </c>
      <c r="U2856" t="s">
        <v>2496</v>
      </c>
      <c r="V2856" t="s">
        <v>39</v>
      </c>
      <c r="W2856" s="1">
        <v>2</v>
      </c>
    </row>
    <row r="2857" spans="1:23" x14ac:dyDescent="0.2">
      <c r="A2857" t="s">
        <v>2096</v>
      </c>
      <c r="B2857" t="s">
        <v>2097</v>
      </c>
      <c r="C2857" t="s">
        <v>2466</v>
      </c>
      <c r="D2857" t="s">
        <v>2467</v>
      </c>
      <c r="E2857" t="s">
        <v>2468</v>
      </c>
      <c r="F2857" t="s">
        <v>2469</v>
      </c>
      <c r="G2857" t="s">
        <v>139</v>
      </c>
      <c r="H2857" t="s">
        <v>30</v>
      </c>
      <c r="I2857" t="s">
        <v>30</v>
      </c>
      <c r="J2857" t="s">
        <v>41</v>
      </c>
      <c r="K2857" t="s">
        <v>32</v>
      </c>
      <c r="L2857" t="s">
        <v>32</v>
      </c>
      <c r="M2857" t="s">
        <v>33</v>
      </c>
      <c r="N2857" t="s">
        <v>33</v>
      </c>
      <c r="O2857" t="s">
        <v>33</v>
      </c>
      <c r="P2857" t="s">
        <v>34</v>
      </c>
      <c r="Q2857" t="s">
        <v>35</v>
      </c>
      <c r="S2857" t="s">
        <v>30</v>
      </c>
      <c r="T2857" t="s">
        <v>2495</v>
      </c>
      <c r="U2857" t="s">
        <v>2496</v>
      </c>
      <c r="V2857" t="s">
        <v>40</v>
      </c>
      <c r="W2857" s="1">
        <v>2799800</v>
      </c>
    </row>
    <row r="2858" spans="1:23" x14ac:dyDescent="0.2">
      <c r="A2858" t="s">
        <v>2096</v>
      </c>
      <c r="B2858" t="s">
        <v>2097</v>
      </c>
      <c r="C2858" t="s">
        <v>2466</v>
      </c>
      <c r="D2858" t="s">
        <v>2467</v>
      </c>
      <c r="E2858" t="s">
        <v>2497</v>
      </c>
      <c r="F2858" t="s">
        <v>2498</v>
      </c>
      <c r="G2858" t="s">
        <v>49</v>
      </c>
      <c r="H2858" t="s">
        <v>30</v>
      </c>
      <c r="I2858" t="s">
        <v>30</v>
      </c>
      <c r="J2858" t="s">
        <v>31</v>
      </c>
      <c r="K2858" t="s">
        <v>32</v>
      </c>
      <c r="L2858" t="s">
        <v>32</v>
      </c>
      <c r="M2858" t="s">
        <v>33</v>
      </c>
      <c r="P2858" t="s">
        <v>34</v>
      </c>
      <c r="Q2858" t="s">
        <v>35</v>
      </c>
      <c r="S2858" t="s">
        <v>30</v>
      </c>
      <c r="T2858" t="s">
        <v>2499</v>
      </c>
      <c r="U2858" t="s">
        <v>2500</v>
      </c>
      <c r="V2858" t="s">
        <v>39</v>
      </c>
      <c r="W2858" s="1">
        <v>6</v>
      </c>
    </row>
    <row r="2859" spans="1:23" x14ac:dyDescent="0.2">
      <c r="A2859" t="s">
        <v>2096</v>
      </c>
      <c r="B2859" t="s">
        <v>2097</v>
      </c>
      <c r="C2859" t="s">
        <v>2466</v>
      </c>
      <c r="D2859" t="s">
        <v>2467</v>
      </c>
      <c r="E2859" t="s">
        <v>2497</v>
      </c>
      <c r="F2859" t="s">
        <v>2498</v>
      </c>
      <c r="G2859" t="s">
        <v>49</v>
      </c>
      <c r="H2859" t="s">
        <v>30</v>
      </c>
      <c r="I2859" t="s">
        <v>30</v>
      </c>
      <c r="J2859" t="s">
        <v>31</v>
      </c>
      <c r="K2859" t="s">
        <v>32</v>
      </c>
      <c r="L2859" t="s">
        <v>32</v>
      </c>
      <c r="M2859" t="s">
        <v>33</v>
      </c>
      <c r="P2859" t="s">
        <v>34</v>
      </c>
      <c r="Q2859" t="s">
        <v>35</v>
      </c>
      <c r="S2859" t="s">
        <v>30</v>
      </c>
      <c r="T2859" t="s">
        <v>2499</v>
      </c>
      <c r="U2859" t="s">
        <v>2500</v>
      </c>
      <c r="V2859" t="s">
        <v>40</v>
      </c>
      <c r="W2859" s="1">
        <v>3599400</v>
      </c>
    </row>
    <row r="2860" spans="1:23" x14ac:dyDescent="0.2">
      <c r="A2860" t="s">
        <v>2096</v>
      </c>
      <c r="B2860" t="s">
        <v>2097</v>
      </c>
      <c r="C2860" t="s">
        <v>2466</v>
      </c>
      <c r="D2860" t="s">
        <v>2467</v>
      </c>
      <c r="E2860" t="s">
        <v>2497</v>
      </c>
      <c r="F2860" t="s">
        <v>2498</v>
      </c>
      <c r="G2860" t="s">
        <v>49</v>
      </c>
      <c r="H2860" t="s">
        <v>30</v>
      </c>
      <c r="I2860" t="s">
        <v>30</v>
      </c>
      <c r="J2860" t="s">
        <v>31</v>
      </c>
      <c r="K2860" t="s">
        <v>32</v>
      </c>
      <c r="L2860" t="s">
        <v>32</v>
      </c>
      <c r="M2860" t="s">
        <v>33</v>
      </c>
      <c r="P2860" t="s">
        <v>34</v>
      </c>
      <c r="Q2860" t="s">
        <v>35</v>
      </c>
      <c r="S2860" t="s">
        <v>52</v>
      </c>
      <c r="T2860" t="s">
        <v>2499</v>
      </c>
      <c r="U2860" t="s">
        <v>2500</v>
      </c>
      <c r="V2860" t="s">
        <v>39</v>
      </c>
      <c r="W2860" s="1">
        <v>0</v>
      </c>
    </row>
    <row r="2861" spans="1:23" x14ac:dyDescent="0.2">
      <c r="A2861" t="s">
        <v>2096</v>
      </c>
      <c r="B2861" t="s">
        <v>2097</v>
      </c>
      <c r="C2861" t="s">
        <v>2466</v>
      </c>
      <c r="D2861" t="s">
        <v>2467</v>
      </c>
      <c r="E2861" t="s">
        <v>2497</v>
      </c>
      <c r="F2861" t="s">
        <v>2498</v>
      </c>
      <c r="G2861" t="s">
        <v>49</v>
      </c>
      <c r="H2861" t="s">
        <v>30</v>
      </c>
      <c r="I2861" t="s">
        <v>30</v>
      </c>
      <c r="J2861" t="s">
        <v>31</v>
      </c>
      <c r="K2861" t="s">
        <v>32</v>
      </c>
      <c r="L2861" t="s">
        <v>32</v>
      </c>
      <c r="M2861" t="s">
        <v>33</v>
      </c>
      <c r="P2861" t="s">
        <v>34</v>
      </c>
      <c r="Q2861" t="s">
        <v>35</v>
      </c>
      <c r="S2861" t="s">
        <v>52</v>
      </c>
      <c r="T2861" t="s">
        <v>2499</v>
      </c>
      <c r="U2861" t="s">
        <v>2500</v>
      </c>
      <c r="V2861" t="s">
        <v>40</v>
      </c>
      <c r="W2861" s="1">
        <v>599900</v>
      </c>
    </row>
    <row r="2862" spans="1:23" x14ac:dyDescent="0.2">
      <c r="A2862" t="s">
        <v>2096</v>
      </c>
      <c r="B2862" t="s">
        <v>2097</v>
      </c>
      <c r="C2862" t="s">
        <v>2466</v>
      </c>
      <c r="D2862" t="s">
        <v>2467</v>
      </c>
      <c r="E2862" t="s">
        <v>2497</v>
      </c>
      <c r="F2862" t="s">
        <v>2498</v>
      </c>
      <c r="G2862" t="s">
        <v>49</v>
      </c>
      <c r="H2862" t="s">
        <v>30</v>
      </c>
      <c r="I2862" t="s">
        <v>30</v>
      </c>
      <c r="J2862" t="s">
        <v>41</v>
      </c>
      <c r="K2862" t="s">
        <v>32</v>
      </c>
      <c r="L2862" t="s">
        <v>32</v>
      </c>
      <c r="M2862" t="s">
        <v>33</v>
      </c>
      <c r="N2862" t="s">
        <v>33</v>
      </c>
      <c r="O2862" t="s">
        <v>33</v>
      </c>
      <c r="P2862" t="s">
        <v>34</v>
      </c>
      <c r="Q2862" t="s">
        <v>35</v>
      </c>
      <c r="S2862" t="s">
        <v>30</v>
      </c>
      <c r="T2862" t="s">
        <v>2501</v>
      </c>
      <c r="U2862" t="s">
        <v>2502</v>
      </c>
      <c r="V2862" t="s">
        <v>39</v>
      </c>
      <c r="W2862" s="1">
        <v>4</v>
      </c>
    </row>
    <row r="2863" spans="1:23" x14ac:dyDescent="0.2">
      <c r="A2863" t="s">
        <v>2096</v>
      </c>
      <c r="B2863" t="s">
        <v>2097</v>
      </c>
      <c r="C2863" t="s">
        <v>2466</v>
      </c>
      <c r="D2863" t="s">
        <v>2467</v>
      </c>
      <c r="E2863" t="s">
        <v>2497</v>
      </c>
      <c r="F2863" t="s">
        <v>2498</v>
      </c>
      <c r="G2863" t="s">
        <v>49</v>
      </c>
      <c r="H2863" t="s">
        <v>30</v>
      </c>
      <c r="I2863" t="s">
        <v>30</v>
      </c>
      <c r="J2863" t="s">
        <v>41</v>
      </c>
      <c r="K2863" t="s">
        <v>32</v>
      </c>
      <c r="L2863" t="s">
        <v>32</v>
      </c>
      <c r="M2863" t="s">
        <v>33</v>
      </c>
      <c r="N2863" t="s">
        <v>33</v>
      </c>
      <c r="O2863" t="s">
        <v>33</v>
      </c>
      <c r="P2863" t="s">
        <v>34</v>
      </c>
      <c r="Q2863" t="s">
        <v>35</v>
      </c>
      <c r="S2863" t="s">
        <v>30</v>
      </c>
      <c r="T2863" t="s">
        <v>2501</v>
      </c>
      <c r="U2863" t="s">
        <v>2502</v>
      </c>
      <c r="V2863" t="s">
        <v>40</v>
      </c>
      <c r="W2863" s="1">
        <v>5160800</v>
      </c>
    </row>
    <row r="2864" spans="1:23" x14ac:dyDescent="0.2">
      <c r="A2864" t="s">
        <v>2096</v>
      </c>
      <c r="B2864" t="s">
        <v>2097</v>
      </c>
      <c r="C2864" t="s">
        <v>2466</v>
      </c>
      <c r="D2864" t="s">
        <v>2467</v>
      </c>
      <c r="E2864" t="s">
        <v>2497</v>
      </c>
      <c r="F2864" t="s">
        <v>2498</v>
      </c>
      <c r="G2864" t="s">
        <v>49</v>
      </c>
      <c r="H2864" t="s">
        <v>30</v>
      </c>
      <c r="I2864" t="s">
        <v>30</v>
      </c>
      <c r="J2864" t="s">
        <v>41</v>
      </c>
      <c r="K2864" t="s">
        <v>32</v>
      </c>
      <c r="L2864" t="s">
        <v>32</v>
      </c>
      <c r="M2864" t="s">
        <v>33</v>
      </c>
      <c r="P2864" t="s">
        <v>34</v>
      </c>
      <c r="Q2864" t="s">
        <v>35</v>
      </c>
      <c r="R2864" t="s">
        <v>96</v>
      </c>
      <c r="S2864" t="s">
        <v>52</v>
      </c>
      <c r="T2864" t="s">
        <v>2503</v>
      </c>
      <c r="U2864" t="s">
        <v>2504</v>
      </c>
      <c r="V2864" t="s">
        <v>39</v>
      </c>
      <c r="W2864" s="1">
        <v>0</v>
      </c>
    </row>
    <row r="2865" spans="1:23" x14ac:dyDescent="0.2">
      <c r="A2865" t="s">
        <v>2096</v>
      </c>
      <c r="B2865" t="s">
        <v>2097</v>
      </c>
      <c r="C2865" t="s">
        <v>2466</v>
      </c>
      <c r="D2865" t="s">
        <v>2467</v>
      </c>
      <c r="E2865" t="s">
        <v>2497</v>
      </c>
      <c r="F2865" t="s">
        <v>2498</v>
      </c>
      <c r="G2865" t="s">
        <v>49</v>
      </c>
      <c r="H2865" t="s">
        <v>30</v>
      </c>
      <c r="I2865" t="s">
        <v>30</v>
      </c>
      <c r="J2865" t="s">
        <v>41</v>
      </c>
      <c r="K2865" t="s">
        <v>32</v>
      </c>
      <c r="L2865" t="s">
        <v>32</v>
      </c>
      <c r="M2865" t="s">
        <v>33</v>
      </c>
      <c r="P2865" t="s">
        <v>34</v>
      </c>
      <c r="Q2865" t="s">
        <v>35</v>
      </c>
      <c r="R2865" t="s">
        <v>96</v>
      </c>
      <c r="S2865" t="s">
        <v>52</v>
      </c>
      <c r="T2865" t="s">
        <v>2503</v>
      </c>
      <c r="U2865" t="s">
        <v>2504</v>
      </c>
      <c r="V2865" t="s">
        <v>40</v>
      </c>
      <c r="W2865" s="1">
        <v>0</v>
      </c>
    </row>
    <row r="2866" spans="1:23" x14ac:dyDescent="0.2">
      <c r="A2866" t="s">
        <v>2096</v>
      </c>
      <c r="B2866" t="s">
        <v>2097</v>
      </c>
      <c r="C2866" t="s">
        <v>2466</v>
      </c>
      <c r="D2866" t="s">
        <v>2467</v>
      </c>
      <c r="E2866" t="s">
        <v>2497</v>
      </c>
      <c r="F2866" t="s">
        <v>2498</v>
      </c>
      <c r="G2866" t="s">
        <v>89</v>
      </c>
      <c r="H2866" t="s">
        <v>30</v>
      </c>
      <c r="I2866" t="s">
        <v>30</v>
      </c>
      <c r="J2866" t="s">
        <v>41</v>
      </c>
      <c r="K2866" t="s">
        <v>32</v>
      </c>
      <c r="L2866" t="s">
        <v>32</v>
      </c>
      <c r="M2866" t="s">
        <v>33</v>
      </c>
      <c r="N2866" t="s">
        <v>33</v>
      </c>
      <c r="O2866" t="s">
        <v>33</v>
      </c>
      <c r="P2866" t="s">
        <v>34</v>
      </c>
      <c r="Q2866" t="s">
        <v>35</v>
      </c>
      <c r="R2866" t="s">
        <v>294</v>
      </c>
      <c r="S2866" t="s">
        <v>30</v>
      </c>
      <c r="T2866" t="s">
        <v>2505</v>
      </c>
      <c r="U2866" t="s">
        <v>2506</v>
      </c>
      <c r="V2866" t="s">
        <v>39</v>
      </c>
      <c r="W2866" s="1">
        <v>2</v>
      </c>
    </row>
    <row r="2867" spans="1:23" x14ac:dyDescent="0.2">
      <c r="A2867" t="s">
        <v>2096</v>
      </c>
      <c r="B2867" t="s">
        <v>2097</v>
      </c>
      <c r="C2867" t="s">
        <v>2466</v>
      </c>
      <c r="D2867" t="s">
        <v>2467</v>
      </c>
      <c r="E2867" t="s">
        <v>2497</v>
      </c>
      <c r="F2867" t="s">
        <v>2498</v>
      </c>
      <c r="G2867" t="s">
        <v>89</v>
      </c>
      <c r="H2867" t="s">
        <v>30</v>
      </c>
      <c r="I2867" t="s">
        <v>30</v>
      </c>
      <c r="J2867" t="s">
        <v>41</v>
      </c>
      <c r="K2867" t="s">
        <v>32</v>
      </c>
      <c r="L2867" t="s">
        <v>32</v>
      </c>
      <c r="M2867" t="s">
        <v>33</v>
      </c>
      <c r="N2867" t="s">
        <v>33</v>
      </c>
      <c r="O2867" t="s">
        <v>33</v>
      </c>
      <c r="P2867" t="s">
        <v>34</v>
      </c>
      <c r="Q2867" t="s">
        <v>35</v>
      </c>
      <c r="R2867" t="s">
        <v>294</v>
      </c>
      <c r="S2867" t="s">
        <v>30</v>
      </c>
      <c r="T2867" t="s">
        <v>2505</v>
      </c>
      <c r="U2867" t="s">
        <v>2506</v>
      </c>
      <c r="V2867" t="s">
        <v>40</v>
      </c>
      <c r="W2867" s="1">
        <v>2199800</v>
      </c>
    </row>
    <row r="2868" spans="1:23" x14ac:dyDescent="0.2">
      <c r="A2868" t="s">
        <v>2096</v>
      </c>
      <c r="B2868" t="s">
        <v>2097</v>
      </c>
      <c r="C2868" t="s">
        <v>2466</v>
      </c>
      <c r="D2868" t="s">
        <v>2467</v>
      </c>
      <c r="E2868" t="s">
        <v>2497</v>
      </c>
      <c r="F2868" t="s">
        <v>2498</v>
      </c>
      <c r="G2868" t="s">
        <v>89</v>
      </c>
      <c r="H2868" t="s">
        <v>30</v>
      </c>
      <c r="I2868" t="s">
        <v>30</v>
      </c>
      <c r="J2868" t="s">
        <v>41</v>
      </c>
      <c r="K2868" t="s">
        <v>32</v>
      </c>
      <c r="L2868" t="s">
        <v>32</v>
      </c>
      <c r="M2868" t="s">
        <v>33</v>
      </c>
      <c r="P2868" t="s">
        <v>34</v>
      </c>
      <c r="Q2868" t="s">
        <v>35</v>
      </c>
      <c r="R2868" t="s">
        <v>96</v>
      </c>
      <c r="S2868" t="s">
        <v>30</v>
      </c>
      <c r="T2868" t="s">
        <v>2503</v>
      </c>
      <c r="U2868" t="s">
        <v>2507</v>
      </c>
      <c r="V2868" t="s">
        <v>39</v>
      </c>
      <c r="W2868" s="1">
        <v>4</v>
      </c>
    </row>
    <row r="2869" spans="1:23" x14ac:dyDescent="0.2">
      <c r="A2869" t="s">
        <v>2096</v>
      </c>
      <c r="B2869" t="s">
        <v>2097</v>
      </c>
      <c r="C2869" t="s">
        <v>2466</v>
      </c>
      <c r="D2869" t="s">
        <v>2467</v>
      </c>
      <c r="E2869" t="s">
        <v>2497</v>
      </c>
      <c r="F2869" t="s">
        <v>2498</v>
      </c>
      <c r="G2869" t="s">
        <v>89</v>
      </c>
      <c r="H2869" t="s">
        <v>30</v>
      </c>
      <c r="I2869" t="s">
        <v>30</v>
      </c>
      <c r="J2869" t="s">
        <v>41</v>
      </c>
      <c r="K2869" t="s">
        <v>32</v>
      </c>
      <c r="L2869" t="s">
        <v>32</v>
      </c>
      <c r="M2869" t="s">
        <v>33</v>
      </c>
      <c r="P2869" t="s">
        <v>34</v>
      </c>
      <c r="Q2869" t="s">
        <v>35</v>
      </c>
      <c r="R2869" t="s">
        <v>96</v>
      </c>
      <c r="S2869" t="s">
        <v>30</v>
      </c>
      <c r="T2869" t="s">
        <v>2503</v>
      </c>
      <c r="U2869" t="s">
        <v>2507</v>
      </c>
      <c r="V2869" t="s">
        <v>40</v>
      </c>
      <c r="W2869" s="1">
        <v>12996000</v>
      </c>
    </row>
    <row r="2870" spans="1:23" x14ac:dyDescent="0.2">
      <c r="A2870" t="s">
        <v>2096</v>
      </c>
      <c r="B2870" t="s">
        <v>2097</v>
      </c>
      <c r="C2870" t="s">
        <v>2466</v>
      </c>
      <c r="D2870" t="s">
        <v>2467</v>
      </c>
      <c r="E2870" t="s">
        <v>2497</v>
      </c>
      <c r="F2870" t="s">
        <v>2498</v>
      </c>
      <c r="G2870" t="s">
        <v>89</v>
      </c>
      <c r="H2870" t="s">
        <v>30</v>
      </c>
      <c r="I2870" t="s">
        <v>30</v>
      </c>
      <c r="J2870" t="s">
        <v>41</v>
      </c>
      <c r="K2870" t="s">
        <v>32</v>
      </c>
      <c r="L2870" t="s">
        <v>32</v>
      </c>
      <c r="M2870" t="s">
        <v>33</v>
      </c>
      <c r="P2870" t="s">
        <v>34</v>
      </c>
      <c r="Q2870" t="s">
        <v>35</v>
      </c>
      <c r="R2870" t="s">
        <v>294</v>
      </c>
      <c r="S2870" t="s">
        <v>52</v>
      </c>
      <c r="T2870" t="s">
        <v>2505</v>
      </c>
      <c r="U2870" t="s">
        <v>2508</v>
      </c>
      <c r="V2870" t="s">
        <v>39</v>
      </c>
      <c r="W2870" s="1">
        <v>0</v>
      </c>
    </row>
    <row r="2871" spans="1:23" x14ac:dyDescent="0.2">
      <c r="A2871" t="s">
        <v>2096</v>
      </c>
      <c r="B2871" t="s">
        <v>2097</v>
      </c>
      <c r="C2871" t="s">
        <v>2466</v>
      </c>
      <c r="D2871" t="s">
        <v>2467</v>
      </c>
      <c r="E2871" t="s">
        <v>2497</v>
      </c>
      <c r="F2871" t="s">
        <v>2498</v>
      </c>
      <c r="G2871" t="s">
        <v>89</v>
      </c>
      <c r="H2871" t="s">
        <v>30</v>
      </c>
      <c r="I2871" t="s">
        <v>30</v>
      </c>
      <c r="J2871" t="s">
        <v>41</v>
      </c>
      <c r="K2871" t="s">
        <v>32</v>
      </c>
      <c r="L2871" t="s">
        <v>32</v>
      </c>
      <c r="M2871" t="s">
        <v>33</v>
      </c>
      <c r="P2871" t="s">
        <v>34</v>
      </c>
      <c r="Q2871" t="s">
        <v>35</v>
      </c>
      <c r="R2871" t="s">
        <v>294</v>
      </c>
      <c r="S2871" t="s">
        <v>52</v>
      </c>
      <c r="T2871" t="s">
        <v>2505</v>
      </c>
      <c r="U2871" t="s">
        <v>2508</v>
      </c>
      <c r="V2871" t="s">
        <v>40</v>
      </c>
      <c r="W2871" s="1">
        <v>2199800</v>
      </c>
    </row>
    <row r="2872" spans="1:23" x14ac:dyDescent="0.2">
      <c r="A2872" t="s">
        <v>2096</v>
      </c>
      <c r="B2872" t="s">
        <v>2097</v>
      </c>
      <c r="C2872" t="s">
        <v>2466</v>
      </c>
      <c r="D2872" t="s">
        <v>2467</v>
      </c>
      <c r="E2872" t="s">
        <v>2497</v>
      </c>
      <c r="F2872" t="s">
        <v>2498</v>
      </c>
      <c r="G2872" t="s">
        <v>106</v>
      </c>
      <c r="H2872" t="s">
        <v>30</v>
      </c>
      <c r="I2872" t="s">
        <v>30</v>
      </c>
      <c r="J2872" t="s">
        <v>31</v>
      </c>
      <c r="K2872" t="s">
        <v>32</v>
      </c>
      <c r="L2872" t="s">
        <v>32</v>
      </c>
      <c r="M2872" t="s">
        <v>33</v>
      </c>
      <c r="N2872" t="s">
        <v>33</v>
      </c>
      <c r="O2872" t="s">
        <v>33</v>
      </c>
      <c r="P2872" t="s">
        <v>34</v>
      </c>
      <c r="Q2872" t="s">
        <v>35</v>
      </c>
      <c r="S2872" t="s">
        <v>30</v>
      </c>
      <c r="T2872" t="s">
        <v>2509</v>
      </c>
      <c r="U2872" t="s">
        <v>2510</v>
      </c>
      <c r="V2872" t="s">
        <v>39</v>
      </c>
      <c r="W2872" s="1">
        <v>4</v>
      </c>
    </row>
    <row r="2873" spans="1:23" x14ac:dyDescent="0.2">
      <c r="A2873" t="s">
        <v>2096</v>
      </c>
      <c r="B2873" t="s">
        <v>2097</v>
      </c>
      <c r="C2873" t="s">
        <v>2466</v>
      </c>
      <c r="D2873" t="s">
        <v>2467</v>
      </c>
      <c r="E2873" t="s">
        <v>2497</v>
      </c>
      <c r="F2873" t="s">
        <v>2498</v>
      </c>
      <c r="G2873" t="s">
        <v>106</v>
      </c>
      <c r="H2873" t="s">
        <v>30</v>
      </c>
      <c r="I2873" t="s">
        <v>30</v>
      </c>
      <c r="J2873" t="s">
        <v>31</v>
      </c>
      <c r="K2873" t="s">
        <v>32</v>
      </c>
      <c r="L2873" t="s">
        <v>32</v>
      </c>
      <c r="M2873" t="s">
        <v>33</v>
      </c>
      <c r="N2873" t="s">
        <v>33</v>
      </c>
      <c r="O2873" t="s">
        <v>33</v>
      </c>
      <c r="P2873" t="s">
        <v>34</v>
      </c>
      <c r="Q2873" t="s">
        <v>35</v>
      </c>
      <c r="S2873" t="s">
        <v>30</v>
      </c>
      <c r="T2873" t="s">
        <v>2509</v>
      </c>
      <c r="U2873" t="s">
        <v>2510</v>
      </c>
      <c r="V2873" t="s">
        <v>40</v>
      </c>
      <c r="W2873" s="1">
        <v>3239600</v>
      </c>
    </row>
    <row r="2874" spans="1:23" x14ac:dyDescent="0.2">
      <c r="A2874" t="s">
        <v>2096</v>
      </c>
      <c r="B2874" t="s">
        <v>2097</v>
      </c>
      <c r="C2874" t="s">
        <v>2466</v>
      </c>
      <c r="D2874" t="s">
        <v>2467</v>
      </c>
      <c r="E2874" t="s">
        <v>2497</v>
      </c>
      <c r="F2874" t="s">
        <v>2498</v>
      </c>
      <c r="G2874" t="s">
        <v>139</v>
      </c>
      <c r="H2874" t="s">
        <v>30</v>
      </c>
      <c r="I2874" t="s">
        <v>30</v>
      </c>
      <c r="J2874" t="s">
        <v>128</v>
      </c>
      <c r="K2874" t="s">
        <v>181</v>
      </c>
      <c r="L2874" t="s">
        <v>332</v>
      </c>
      <c r="M2874" t="s">
        <v>33</v>
      </c>
      <c r="N2874" t="s">
        <v>33</v>
      </c>
      <c r="O2874" t="s">
        <v>33</v>
      </c>
      <c r="P2874" t="s">
        <v>34</v>
      </c>
      <c r="Q2874" t="s">
        <v>35</v>
      </c>
      <c r="S2874" t="s">
        <v>30</v>
      </c>
      <c r="T2874" t="s">
        <v>2511</v>
      </c>
      <c r="U2874" t="s">
        <v>2512</v>
      </c>
      <c r="V2874" t="s">
        <v>39</v>
      </c>
      <c r="W2874" s="1">
        <v>9</v>
      </c>
    </row>
    <row r="2875" spans="1:23" x14ac:dyDescent="0.2">
      <c r="A2875" t="s">
        <v>2096</v>
      </c>
      <c r="B2875" t="s">
        <v>2097</v>
      </c>
      <c r="C2875" t="s">
        <v>2466</v>
      </c>
      <c r="D2875" t="s">
        <v>2467</v>
      </c>
      <c r="E2875" t="s">
        <v>2497</v>
      </c>
      <c r="F2875" t="s">
        <v>2498</v>
      </c>
      <c r="G2875" t="s">
        <v>139</v>
      </c>
      <c r="H2875" t="s">
        <v>30</v>
      </c>
      <c r="I2875" t="s">
        <v>30</v>
      </c>
      <c r="J2875" t="s">
        <v>128</v>
      </c>
      <c r="K2875" t="s">
        <v>181</v>
      </c>
      <c r="L2875" t="s">
        <v>332</v>
      </c>
      <c r="M2875" t="s">
        <v>33</v>
      </c>
      <c r="N2875" t="s">
        <v>33</v>
      </c>
      <c r="O2875" t="s">
        <v>33</v>
      </c>
      <c r="P2875" t="s">
        <v>34</v>
      </c>
      <c r="Q2875" t="s">
        <v>35</v>
      </c>
      <c r="S2875" t="s">
        <v>30</v>
      </c>
      <c r="T2875" t="s">
        <v>2511</v>
      </c>
      <c r="U2875" t="s">
        <v>2512</v>
      </c>
      <c r="V2875" t="s">
        <v>40</v>
      </c>
      <c r="W2875" s="1">
        <v>9</v>
      </c>
    </row>
    <row r="2876" spans="1:23" x14ac:dyDescent="0.2">
      <c r="A2876" t="s">
        <v>2096</v>
      </c>
      <c r="B2876" t="s">
        <v>2097</v>
      </c>
      <c r="C2876" t="s">
        <v>2466</v>
      </c>
      <c r="D2876" t="s">
        <v>2513</v>
      </c>
      <c r="E2876" t="s">
        <v>2514</v>
      </c>
      <c r="F2876" t="s">
        <v>2515</v>
      </c>
      <c r="G2876" t="s">
        <v>29</v>
      </c>
      <c r="H2876" t="s">
        <v>30</v>
      </c>
      <c r="I2876" t="s">
        <v>30</v>
      </c>
      <c r="J2876" t="s">
        <v>31</v>
      </c>
      <c r="K2876" t="s">
        <v>32</v>
      </c>
      <c r="L2876" t="s">
        <v>32</v>
      </c>
      <c r="M2876" t="s">
        <v>33</v>
      </c>
      <c r="N2876" t="s">
        <v>33</v>
      </c>
      <c r="O2876" t="s">
        <v>33</v>
      </c>
      <c r="P2876" t="s">
        <v>213</v>
      </c>
      <c r="Q2876" t="s">
        <v>2111</v>
      </c>
      <c r="S2876" t="s">
        <v>30</v>
      </c>
      <c r="T2876" t="s">
        <v>2516</v>
      </c>
      <c r="U2876" t="s">
        <v>2517</v>
      </c>
      <c r="V2876" t="s">
        <v>39</v>
      </c>
      <c r="W2876" s="1">
        <v>2</v>
      </c>
    </row>
    <row r="2877" spans="1:23" x14ac:dyDescent="0.2">
      <c r="A2877" t="s">
        <v>2096</v>
      </c>
      <c r="B2877" t="s">
        <v>2097</v>
      </c>
      <c r="C2877" t="s">
        <v>2466</v>
      </c>
      <c r="D2877" t="s">
        <v>2513</v>
      </c>
      <c r="E2877" t="s">
        <v>2514</v>
      </c>
      <c r="F2877" t="s">
        <v>2515</v>
      </c>
      <c r="G2877" t="s">
        <v>29</v>
      </c>
      <c r="H2877" t="s">
        <v>30</v>
      </c>
      <c r="I2877" t="s">
        <v>30</v>
      </c>
      <c r="J2877" t="s">
        <v>31</v>
      </c>
      <c r="K2877" t="s">
        <v>32</v>
      </c>
      <c r="L2877" t="s">
        <v>32</v>
      </c>
      <c r="M2877" t="s">
        <v>33</v>
      </c>
      <c r="N2877" t="s">
        <v>33</v>
      </c>
      <c r="O2877" t="s">
        <v>33</v>
      </c>
      <c r="P2877" t="s">
        <v>213</v>
      </c>
      <c r="Q2877" t="s">
        <v>2111</v>
      </c>
      <c r="S2877" t="s">
        <v>30</v>
      </c>
      <c r="T2877" t="s">
        <v>2516</v>
      </c>
      <c r="U2877" t="s">
        <v>2517</v>
      </c>
      <c r="V2877" t="s">
        <v>40</v>
      </c>
      <c r="W2877" s="1">
        <v>467800</v>
      </c>
    </row>
    <row r="2878" spans="1:23" x14ac:dyDescent="0.2">
      <c r="A2878" t="s">
        <v>2096</v>
      </c>
      <c r="B2878" t="s">
        <v>2097</v>
      </c>
      <c r="C2878" t="s">
        <v>2466</v>
      </c>
      <c r="D2878" t="s">
        <v>2513</v>
      </c>
      <c r="E2878" t="s">
        <v>2514</v>
      </c>
      <c r="F2878" t="s">
        <v>2515</v>
      </c>
      <c r="G2878" t="s">
        <v>29</v>
      </c>
      <c r="H2878" t="s">
        <v>30</v>
      </c>
      <c r="I2878" t="s">
        <v>30</v>
      </c>
      <c r="J2878" t="s">
        <v>31</v>
      </c>
      <c r="K2878" t="s">
        <v>32</v>
      </c>
      <c r="L2878" t="s">
        <v>32</v>
      </c>
      <c r="M2878" t="s">
        <v>33</v>
      </c>
      <c r="N2878" t="s">
        <v>33</v>
      </c>
      <c r="O2878" t="s">
        <v>33</v>
      </c>
      <c r="P2878" t="s">
        <v>34</v>
      </c>
      <c r="Q2878" t="s">
        <v>35</v>
      </c>
      <c r="R2878" t="s">
        <v>353</v>
      </c>
      <c r="S2878" t="s">
        <v>30</v>
      </c>
      <c r="T2878" t="s">
        <v>2518</v>
      </c>
      <c r="U2878" t="s">
        <v>2519</v>
      </c>
      <c r="V2878" t="s">
        <v>39</v>
      </c>
      <c r="W2878" s="1">
        <v>4</v>
      </c>
    </row>
    <row r="2879" spans="1:23" x14ac:dyDescent="0.2">
      <c r="A2879" t="s">
        <v>2096</v>
      </c>
      <c r="B2879" t="s">
        <v>2097</v>
      </c>
      <c r="C2879" t="s">
        <v>2466</v>
      </c>
      <c r="D2879" t="s">
        <v>2513</v>
      </c>
      <c r="E2879" t="s">
        <v>2514</v>
      </c>
      <c r="F2879" t="s">
        <v>2515</v>
      </c>
      <c r="G2879" t="s">
        <v>29</v>
      </c>
      <c r="H2879" t="s">
        <v>30</v>
      </c>
      <c r="I2879" t="s">
        <v>30</v>
      </c>
      <c r="J2879" t="s">
        <v>31</v>
      </c>
      <c r="K2879" t="s">
        <v>32</v>
      </c>
      <c r="L2879" t="s">
        <v>32</v>
      </c>
      <c r="M2879" t="s">
        <v>33</v>
      </c>
      <c r="N2879" t="s">
        <v>33</v>
      </c>
      <c r="O2879" t="s">
        <v>33</v>
      </c>
      <c r="P2879" t="s">
        <v>34</v>
      </c>
      <c r="Q2879" t="s">
        <v>35</v>
      </c>
      <c r="R2879" t="s">
        <v>353</v>
      </c>
      <c r="S2879" t="s">
        <v>30</v>
      </c>
      <c r="T2879" t="s">
        <v>2518</v>
      </c>
      <c r="U2879" t="s">
        <v>2519</v>
      </c>
      <c r="V2879" t="s">
        <v>40</v>
      </c>
      <c r="W2879" s="1">
        <v>799600</v>
      </c>
    </row>
    <row r="2880" spans="1:23" x14ac:dyDescent="0.2">
      <c r="A2880" t="s">
        <v>2096</v>
      </c>
      <c r="B2880" t="s">
        <v>2097</v>
      </c>
      <c r="C2880" t="s">
        <v>2466</v>
      </c>
      <c r="D2880" t="s">
        <v>2513</v>
      </c>
      <c r="E2880" t="s">
        <v>2514</v>
      </c>
      <c r="F2880" t="s">
        <v>2515</v>
      </c>
      <c r="G2880" t="s">
        <v>29</v>
      </c>
      <c r="H2880" t="s">
        <v>30</v>
      </c>
      <c r="I2880" t="s">
        <v>30</v>
      </c>
      <c r="J2880" t="s">
        <v>41</v>
      </c>
      <c r="K2880" t="s">
        <v>32</v>
      </c>
      <c r="L2880" t="s">
        <v>32</v>
      </c>
      <c r="M2880" t="s">
        <v>33</v>
      </c>
      <c r="N2880" t="s">
        <v>33</v>
      </c>
      <c r="O2880" t="s">
        <v>33</v>
      </c>
      <c r="P2880" t="s">
        <v>34</v>
      </c>
      <c r="Q2880" t="s">
        <v>35</v>
      </c>
      <c r="S2880" t="s">
        <v>30</v>
      </c>
      <c r="T2880" t="s">
        <v>2520</v>
      </c>
      <c r="U2880" t="s">
        <v>2521</v>
      </c>
      <c r="V2880" t="s">
        <v>39</v>
      </c>
      <c r="W2880" s="1">
        <v>2</v>
      </c>
    </row>
    <row r="2881" spans="1:23" x14ac:dyDescent="0.2">
      <c r="A2881" t="s">
        <v>2096</v>
      </c>
      <c r="B2881" t="s">
        <v>2097</v>
      </c>
      <c r="C2881" t="s">
        <v>2466</v>
      </c>
      <c r="D2881" t="s">
        <v>2513</v>
      </c>
      <c r="E2881" t="s">
        <v>2514</v>
      </c>
      <c r="F2881" t="s">
        <v>2515</v>
      </c>
      <c r="G2881" t="s">
        <v>29</v>
      </c>
      <c r="H2881" t="s">
        <v>30</v>
      </c>
      <c r="I2881" t="s">
        <v>30</v>
      </c>
      <c r="J2881" t="s">
        <v>41</v>
      </c>
      <c r="K2881" t="s">
        <v>32</v>
      </c>
      <c r="L2881" t="s">
        <v>32</v>
      </c>
      <c r="M2881" t="s">
        <v>33</v>
      </c>
      <c r="N2881" t="s">
        <v>33</v>
      </c>
      <c r="O2881" t="s">
        <v>33</v>
      </c>
      <c r="P2881" t="s">
        <v>34</v>
      </c>
      <c r="Q2881" t="s">
        <v>35</v>
      </c>
      <c r="S2881" t="s">
        <v>30</v>
      </c>
      <c r="T2881" t="s">
        <v>2520</v>
      </c>
      <c r="U2881" t="s">
        <v>2521</v>
      </c>
      <c r="V2881" t="s">
        <v>40</v>
      </c>
      <c r="W2881" s="1">
        <v>11310000</v>
      </c>
    </row>
    <row r="2882" spans="1:23" x14ac:dyDescent="0.2">
      <c r="A2882" t="s">
        <v>2096</v>
      </c>
      <c r="B2882" t="s">
        <v>2097</v>
      </c>
      <c r="C2882" t="s">
        <v>2466</v>
      </c>
      <c r="D2882" t="s">
        <v>2513</v>
      </c>
      <c r="E2882" t="s">
        <v>2514</v>
      </c>
      <c r="F2882" t="s">
        <v>2515</v>
      </c>
      <c r="G2882" t="s">
        <v>49</v>
      </c>
      <c r="H2882" t="s">
        <v>30</v>
      </c>
      <c r="I2882" t="s">
        <v>30</v>
      </c>
      <c r="J2882" t="s">
        <v>31</v>
      </c>
      <c r="K2882" t="s">
        <v>32</v>
      </c>
      <c r="L2882" t="s">
        <v>32</v>
      </c>
      <c r="M2882" t="s">
        <v>33</v>
      </c>
      <c r="P2882" t="s">
        <v>34</v>
      </c>
      <c r="Q2882" t="s">
        <v>35</v>
      </c>
      <c r="R2882" t="s">
        <v>148</v>
      </c>
      <c r="S2882" t="s">
        <v>52</v>
      </c>
      <c r="T2882" t="s">
        <v>2522</v>
      </c>
      <c r="U2882" t="s">
        <v>2523</v>
      </c>
      <c r="V2882" t="s">
        <v>39</v>
      </c>
      <c r="W2882" s="1">
        <v>0</v>
      </c>
    </row>
    <row r="2883" spans="1:23" x14ac:dyDescent="0.2">
      <c r="A2883" t="s">
        <v>2096</v>
      </c>
      <c r="B2883" t="s">
        <v>2097</v>
      </c>
      <c r="C2883" t="s">
        <v>2466</v>
      </c>
      <c r="D2883" t="s">
        <v>2513</v>
      </c>
      <c r="E2883" t="s">
        <v>2514</v>
      </c>
      <c r="F2883" t="s">
        <v>2515</v>
      </c>
      <c r="G2883" t="s">
        <v>49</v>
      </c>
      <c r="H2883" t="s">
        <v>30</v>
      </c>
      <c r="I2883" t="s">
        <v>30</v>
      </c>
      <c r="J2883" t="s">
        <v>31</v>
      </c>
      <c r="K2883" t="s">
        <v>32</v>
      </c>
      <c r="L2883" t="s">
        <v>32</v>
      </c>
      <c r="M2883" t="s">
        <v>33</v>
      </c>
      <c r="P2883" t="s">
        <v>34</v>
      </c>
      <c r="Q2883" t="s">
        <v>35</v>
      </c>
      <c r="R2883" t="s">
        <v>148</v>
      </c>
      <c r="S2883" t="s">
        <v>52</v>
      </c>
      <c r="T2883" t="s">
        <v>2522</v>
      </c>
      <c r="U2883" t="s">
        <v>2523</v>
      </c>
      <c r="V2883" t="s">
        <v>40</v>
      </c>
      <c r="W2883" s="1">
        <v>4967400</v>
      </c>
    </row>
    <row r="2884" spans="1:23" x14ac:dyDescent="0.2">
      <c r="A2884" t="s">
        <v>2096</v>
      </c>
      <c r="B2884" t="s">
        <v>2097</v>
      </c>
      <c r="C2884" t="s">
        <v>2466</v>
      </c>
      <c r="D2884" t="s">
        <v>2513</v>
      </c>
      <c r="E2884" t="s">
        <v>2514</v>
      </c>
      <c r="F2884" t="s">
        <v>2515</v>
      </c>
      <c r="G2884" t="s">
        <v>61</v>
      </c>
      <c r="H2884" t="s">
        <v>52</v>
      </c>
      <c r="I2884" t="s">
        <v>52</v>
      </c>
      <c r="J2884" t="s">
        <v>31</v>
      </c>
      <c r="K2884" t="s">
        <v>32</v>
      </c>
      <c r="L2884" t="s">
        <v>32</v>
      </c>
      <c r="M2884" t="s">
        <v>33</v>
      </c>
      <c r="N2884" t="s">
        <v>33</v>
      </c>
      <c r="O2884" t="s">
        <v>33</v>
      </c>
      <c r="P2884" t="s">
        <v>213</v>
      </c>
      <c r="Q2884" t="s">
        <v>2111</v>
      </c>
      <c r="S2884" t="s">
        <v>30</v>
      </c>
      <c r="T2884" t="s">
        <v>2241</v>
      </c>
      <c r="U2884" t="s">
        <v>2524</v>
      </c>
      <c r="V2884" t="s">
        <v>39</v>
      </c>
      <c r="W2884" s="1">
        <v>2</v>
      </c>
    </row>
    <row r="2885" spans="1:23" x14ac:dyDescent="0.2">
      <c r="A2885" t="s">
        <v>2096</v>
      </c>
      <c r="B2885" t="s">
        <v>2097</v>
      </c>
      <c r="C2885" t="s">
        <v>2466</v>
      </c>
      <c r="D2885" t="s">
        <v>2513</v>
      </c>
      <c r="E2885" t="s">
        <v>2514</v>
      </c>
      <c r="F2885" t="s">
        <v>2515</v>
      </c>
      <c r="G2885" t="s">
        <v>61</v>
      </c>
      <c r="H2885" t="s">
        <v>52</v>
      </c>
      <c r="I2885" t="s">
        <v>52</v>
      </c>
      <c r="J2885" t="s">
        <v>31</v>
      </c>
      <c r="K2885" t="s">
        <v>32</v>
      </c>
      <c r="L2885" t="s">
        <v>32</v>
      </c>
      <c r="M2885" t="s">
        <v>33</v>
      </c>
      <c r="N2885" t="s">
        <v>33</v>
      </c>
      <c r="O2885" t="s">
        <v>33</v>
      </c>
      <c r="P2885" t="s">
        <v>213</v>
      </c>
      <c r="Q2885" t="s">
        <v>2111</v>
      </c>
      <c r="S2885" t="s">
        <v>30</v>
      </c>
      <c r="T2885" t="s">
        <v>2241</v>
      </c>
      <c r="U2885" t="s">
        <v>2524</v>
      </c>
      <c r="V2885" t="s">
        <v>40</v>
      </c>
      <c r="W2885" s="1">
        <v>1199800</v>
      </c>
    </row>
    <row r="2886" spans="1:23" x14ac:dyDescent="0.2">
      <c r="A2886" t="s">
        <v>2096</v>
      </c>
      <c r="B2886" t="s">
        <v>2097</v>
      </c>
      <c r="C2886" t="s">
        <v>2466</v>
      </c>
      <c r="D2886" t="s">
        <v>2513</v>
      </c>
      <c r="E2886" t="s">
        <v>2514</v>
      </c>
      <c r="F2886" t="s">
        <v>2515</v>
      </c>
      <c r="G2886" t="s">
        <v>61</v>
      </c>
      <c r="H2886" t="s">
        <v>52</v>
      </c>
      <c r="I2886" t="s">
        <v>52</v>
      </c>
      <c r="J2886" t="s">
        <v>31</v>
      </c>
      <c r="K2886" t="s">
        <v>32</v>
      </c>
      <c r="L2886" t="s">
        <v>32</v>
      </c>
      <c r="M2886" t="s">
        <v>33</v>
      </c>
      <c r="N2886" t="s">
        <v>33</v>
      </c>
      <c r="O2886" t="s">
        <v>33</v>
      </c>
      <c r="P2886" t="s">
        <v>34</v>
      </c>
      <c r="Q2886" t="s">
        <v>35</v>
      </c>
      <c r="S2886" t="s">
        <v>30</v>
      </c>
      <c r="T2886" t="s">
        <v>2525</v>
      </c>
      <c r="U2886" t="s">
        <v>2526</v>
      </c>
      <c r="V2886" t="s">
        <v>39</v>
      </c>
      <c r="W2886" s="1">
        <v>2</v>
      </c>
    </row>
    <row r="2887" spans="1:23" x14ac:dyDescent="0.2">
      <c r="A2887" t="s">
        <v>2096</v>
      </c>
      <c r="B2887" t="s">
        <v>2097</v>
      </c>
      <c r="C2887" t="s">
        <v>2466</v>
      </c>
      <c r="D2887" t="s">
        <v>2513</v>
      </c>
      <c r="E2887" t="s">
        <v>2514</v>
      </c>
      <c r="F2887" t="s">
        <v>2515</v>
      </c>
      <c r="G2887" t="s">
        <v>61</v>
      </c>
      <c r="H2887" t="s">
        <v>52</v>
      </c>
      <c r="I2887" t="s">
        <v>52</v>
      </c>
      <c r="J2887" t="s">
        <v>31</v>
      </c>
      <c r="K2887" t="s">
        <v>32</v>
      </c>
      <c r="L2887" t="s">
        <v>32</v>
      </c>
      <c r="M2887" t="s">
        <v>33</v>
      </c>
      <c r="N2887" t="s">
        <v>33</v>
      </c>
      <c r="O2887" t="s">
        <v>33</v>
      </c>
      <c r="P2887" t="s">
        <v>34</v>
      </c>
      <c r="Q2887" t="s">
        <v>35</v>
      </c>
      <c r="S2887" t="s">
        <v>30</v>
      </c>
      <c r="T2887" t="s">
        <v>2525</v>
      </c>
      <c r="U2887" t="s">
        <v>2526</v>
      </c>
      <c r="V2887" t="s">
        <v>40</v>
      </c>
      <c r="W2887" s="1">
        <v>1219800</v>
      </c>
    </row>
    <row r="2888" spans="1:23" x14ac:dyDescent="0.2">
      <c r="A2888" t="s">
        <v>2096</v>
      </c>
      <c r="B2888" t="s">
        <v>2097</v>
      </c>
      <c r="C2888" t="s">
        <v>2466</v>
      </c>
      <c r="D2888" t="s">
        <v>2513</v>
      </c>
      <c r="E2888" t="s">
        <v>2514</v>
      </c>
      <c r="F2888" t="s">
        <v>2515</v>
      </c>
      <c r="G2888" t="s">
        <v>170</v>
      </c>
      <c r="H2888" t="s">
        <v>52</v>
      </c>
      <c r="I2888" t="s">
        <v>30</v>
      </c>
      <c r="J2888" t="s">
        <v>31</v>
      </c>
      <c r="K2888" t="s">
        <v>32</v>
      </c>
      <c r="L2888" t="s">
        <v>32</v>
      </c>
      <c r="M2888" t="s">
        <v>33</v>
      </c>
      <c r="N2888" t="s">
        <v>33</v>
      </c>
      <c r="O2888" t="s">
        <v>33</v>
      </c>
      <c r="P2888" t="s">
        <v>34</v>
      </c>
      <c r="Q2888" t="s">
        <v>35</v>
      </c>
      <c r="S2888" t="s">
        <v>30</v>
      </c>
      <c r="T2888" t="s">
        <v>2527</v>
      </c>
      <c r="U2888" t="s">
        <v>2528</v>
      </c>
      <c r="V2888" t="s">
        <v>39</v>
      </c>
      <c r="W2888" s="1">
        <v>1</v>
      </c>
    </row>
    <row r="2889" spans="1:23" x14ac:dyDescent="0.2">
      <c r="A2889" t="s">
        <v>2096</v>
      </c>
      <c r="B2889" t="s">
        <v>2097</v>
      </c>
      <c r="C2889" t="s">
        <v>2466</v>
      </c>
      <c r="D2889" t="s">
        <v>2513</v>
      </c>
      <c r="E2889" t="s">
        <v>2514</v>
      </c>
      <c r="F2889" t="s">
        <v>2515</v>
      </c>
      <c r="G2889" t="s">
        <v>170</v>
      </c>
      <c r="H2889" t="s">
        <v>52</v>
      </c>
      <c r="I2889" t="s">
        <v>30</v>
      </c>
      <c r="J2889" t="s">
        <v>31</v>
      </c>
      <c r="K2889" t="s">
        <v>32</v>
      </c>
      <c r="L2889" t="s">
        <v>32</v>
      </c>
      <c r="M2889" t="s">
        <v>33</v>
      </c>
      <c r="N2889" t="s">
        <v>33</v>
      </c>
      <c r="O2889" t="s">
        <v>33</v>
      </c>
      <c r="P2889" t="s">
        <v>34</v>
      </c>
      <c r="Q2889" t="s">
        <v>35</v>
      </c>
      <c r="S2889" t="s">
        <v>30</v>
      </c>
      <c r="T2889" t="s">
        <v>2527</v>
      </c>
      <c r="U2889" t="s">
        <v>2528</v>
      </c>
      <c r="V2889" t="s">
        <v>40</v>
      </c>
      <c r="W2889" s="1">
        <v>560900</v>
      </c>
    </row>
    <row r="2890" spans="1:23" x14ac:dyDescent="0.2">
      <c r="A2890" t="s">
        <v>2096</v>
      </c>
      <c r="B2890" t="s">
        <v>2097</v>
      </c>
      <c r="C2890" t="s">
        <v>2466</v>
      </c>
      <c r="D2890" t="s">
        <v>2513</v>
      </c>
      <c r="E2890" t="s">
        <v>2514</v>
      </c>
      <c r="F2890" t="s">
        <v>2515</v>
      </c>
      <c r="G2890" t="s">
        <v>170</v>
      </c>
      <c r="H2890" t="s">
        <v>52</v>
      </c>
      <c r="I2890" t="s">
        <v>30</v>
      </c>
      <c r="J2890" t="s">
        <v>31</v>
      </c>
      <c r="K2890" t="s">
        <v>32</v>
      </c>
      <c r="L2890" t="s">
        <v>32</v>
      </c>
      <c r="M2890" t="s">
        <v>33</v>
      </c>
      <c r="N2890" t="s">
        <v>33</v>
      </c>
      <c r="O2890" t="s">
        <v>33</v>
      </c>
      <c r="P2890" t="s">
        <v>34</v>
      </c>
      <c r="Q2890" t="s">
        <v>35</v>
      </c>
      <c r="S2890" t="s">
        <v>30</v>
      </c>
      <c r="T2890" t="s">
        <v>2529</v>
      </c>
      <c r="U2890" t="s">
        <v>2530</v>
      </c>
      <c r="V2890" t="s">
        <v>39</v>
      </c>
      <c r="W2890" s="1">
        <v>6</v>
      </c>
    </row>
    <row r="2891" spans="1:23" x14ac:dyDescent="0.2">
      <c r="A2891" t="s">
        <v>2096</v>
      </c>
      <c r="B2891" t="s">
        <v>2097</v>
      </c>
      <c r="C2891" t="s">
        <v>2466</v>
      </c>
      <c r="D2891" t="s">
        <v>2513</v>
      </c>
      <c r="E2891" t="s">
        <v>2514</v>
      </c>
      <c r="F2891" t="s">
        <v>2515</v>
      </c>
      <c r="G2891" t="s">
        <v>170</v>
      </c>
      <c r="H2891" t="s">
        <v>52</v>
      </c>
      <c r="I2891" t="s">
        <v>30</v>
      </c>
      <c r="J2891" t="s">
        <v>31</v>
      </c>
      <c r="K2891" t="s">
        <v>32</v>
      </c>
      <c r="L2891" t="s">
        <v>32</v>
      </c>
      <c r="M2891" t="s">
        <v>33</v>
      </c>
      <c r="N2891" t="s">
        <v>33</v>
      </c>
      <c r="O2891" t="s">
        <v>33</v>
      </c>
      <c r="P2891" t="s">
        <v>34</v>
      </c>
      <c r="Q2891" t="s">
        <v>35</v>
      </c>
      <c r="S2891" t="s">
        <v>30</v>
      </c>
      <c r="T2891" t="s">
        <v>2529</v>
      </c>
      <c r="U2891" t="s">
        <v>2530</v>
      </c>
      <c r="V2891" t="s">
        <v>40</v>
      </c>
      <c r="W2891" s="1">
        <v>4661400</v>
      </c>
    </row>
    <row r="2892" spans="1:23" x14ac:dyDescent="0.2">
      <c r="A2892" t="s">
        <v>2096</v>
      </c>
      <c r="B2892" t="s">
        <v>2097</v>
      </c>
      <c r="C2892" t="s">
        <v>2466</v>
      </c>
      <c r="D2892" t="s">
        <v>2513</v>
      </c>
      <c r="E2892" t="s">
        <v>2514</v>
      </c>
      <c r="F2892" t="s">
        <v>2515</v>
      </c>
      <c r="G2892" t="s">
        <v>170</v>
      </c>
      <c r="H2892" t="s">
        <v>52</v>
      </c>
      <c r="I2892" t="s">
        <v>30</v>
      </c>
      <c r="J2892" t="s">
        <v>31</v>
      </c>
      <c r="K2892" t="s">
        <v>32</v>
      </c>
      <c r="L2892" t="s">
        <v>32</v>
      </c>
      <c r="M2892" t="s">
        <v>33</v>
      </c>
      <c r="P2892" t="s">
        <v>34</v>
      </c>
      <c r="Q2892" t="s">
        <v>35</v>
      </c>
      <c r="S2892" t="s">
        <v>52</v>
      </c>
      <c r="T2892" t="s">
        <v>2531</v>
      </c>
      <c r="U2892" t="s">
        <v>2532</v>
      </c>
      <c r="V2892" t="s">
        <v>39</v>
      </c>
      <c r="W2892" s="1">
        <v>0</v>
      </c>
    </row>
    <row r="2893" spans="1:23" x14ac:dyDescent="0.2">
      <c r="A2893" t="s">
        <v>2096</v>
      </c>
      <c r="B2893" t="s">
        <v>2097</v>
      </c>
      <c r="C2893" t="s">
        <v>2466</v>
      </c>
      <c r="D2893" t="s">
        <v>2513</v>
      </c>
      <c r="E2893" t="s">
        <v>2514</v>
      </c>
      <c r="F2893" t="s">
        <v>2515</v>
      </c>
      <c r="G2893" t="s">
        <v>170</v>
      </c>
      <c r="H2893" t="s">
        <v>52</v>
      </c>
      <c r="I2893" t="s">
        <v>30</v>
      </c>
      <c r="J2893" t="s">
        <v>31</v>
      </c>
      <c r="K2893" t="s">
        <v>32</v>
      </c>
      <c r="L2893" t="s">
        <v>32</v>
      </c>
      <c r="M2893" t="s">
        <v>33</v>
      </c>
      <c r="P2893" t="s">
        <v>34</v>
      </c>
      <c r="Q2893" t="s">
        <v>35</v>
      </c>
      <c r="S2893" t="s">
        <v>52</v>
      </c>
      <c r="T2893" t="s">
        <v>2531</v>
      </c>
      <c r="U2893" t="s">
        <v>2532</v>
      </c>
      <c r="V2893" t="s">
        <v>40</v>
      </c>
      <c r="W2893" s="1">
        <v>1259800</v>
      </c>
    </row>
    <row r="2894" spans="1:23" x14ac:dyDescent="0.2">
      <c r="A2894" t="s">
        <v>2096</v>
      </c>
      <c r="B2894" t="s">
        <v>2097</v>
      </c>
      <c r="C2894" t="s">
        <v>2466</v>
      </c>
      <c r="D2894" t="s">
        <v>2513</v>
      </c>
      <c r="E2894" t="s">
        <v>2514</v>
      </c>
      <c r="F2894" t="s">
        <v>2515</v>
      </c>
      <c r="G2894" t="s">
        <v>170</v>
      </c>
      <c r="H2894" t="s">
        <v>52</v>
      </c>
      <c r="I2894" t="s">
        <v>30</v>
      </c>
      <c r="J2894" t="s">
        <v>31</v>
      </c>
      <c r="K2894" t="s">
        <v>32</v>
      </c>
      <c r="L2894" t="s">
        <v>32</v>
      </c>
      <c r="M2894" t="s">
        <v>33</v>
      </c>
      <c r="P2894" t="s">
        <v>34</v>
      </c>
      <c r="Q2894" t="s">
        <v>35</v>
      </c>
      <c r="S2894" t="s">
        <v>52</v>
      </c>
      <c r="T2894" t="s">
        <v>2533</v>
      </c>
      <c r="U2894" t="s">
        <v>2534</v>
      </c>
      <c r="V2894" t="s">
        <v>39</v>
      </c>
      <c r="W2894" s="1">
        <v>0</v>
      </c>
    </row>
    <row r="2895" spans="1:23" x14ac:dyDescent="0.2">
      <c r="A2895" t="s">
        <v>2096</v>
      </c>
      <c r="B2895" t="s">
        <v>2097</v>
      </c>
      <c r="C2895" t="s">
        <v>2466</v>
      </c>
      <c r="D2895" t="s">
        <v>2513</v>
      </c>
      <c r="E2895" t="s">
        <v>2514</v>
      </c>
      <c r="F2895" t="s">
        <v>2515</v>
      </c>
      <c r="G2895" t="s">
        <v>170</v>
      </c>
      <c r="H2895" t="s">
        <v>52</v>
      </c>
      <c r="I2895" t="s">
        <v>30</v>
      </c>
      <c r="J2895" t="s">
        <v>31</v>
      </c>
      <c r="K2895" t="s">
        <v>32</v>
      </c>
      <c r="L2895" t="s">
        <v>32</v>
      </c>
      <c r="M2895" t="s">
        <v>33</v>
      </c>
      <c r="P2895" t="s">
        <v>34</v>
      </c>
      <c r="Q2895" t="s">
        <v>35</v>
      </c>
      <c r="S2895" t="s">
        <v>52</v>
      </c>
      <c r="T2895" t="s">
        <v>2533</v>
      </c>
      <c r="U2895" t="s">
        <v>2534</v>
      </c>
      <c r="V2895" t="s">
        <v>40</v>
      </c>
      <c r="W2895" s="1">
        <v>1579800</v>
      </c>
    </row>
    <row r="2896" spans="1:23" x14ac:dyDescent="0.2">
      <c r="A2896" t="s">
        <v>2096</v>
      </c>
      <c r="B2896" t="s">
        <v>2097</v>
      </c>
      <c r="C2896" t="s">
        <v>2466</v>
      </c>
      <c r="D2896" t="s">
        <v>2513</v>
      </c>
      <c r="E2896" t="s">
        <v>2514</v>
      </c>
      <c r="F2896" t="s">
        <v>2515</v>
      </c>
      <c r="G2896" t="s">
        <v>170</v>
      </c>
      <c r="H2896" t="s">
        <v>52</v>
      </c>
      <c r="I2896" t="s">
        <v>30</v>
      </c>
      <c r="J2896" t="s">
        <v>57</v>
      </c>
      <c r="K2896" t="s">
        <v>32</v>
      </c>
      <c r="L2896" t="s">
        <v>32</v>
      </c>
      <c r="M2896" t="s">
        <v>33</v>
      </c>
      <c r="N2896" t="s">
        <v>33</v>
      </c>
      <c r="O2896" t="s">
        <v>33</v>
      </c>
      <c r="P2896" t="s">
        <v>213</v>
      </c>
      <c r="Q2896" t="s">
        <v>2111</v>
      </c>
      <c r="S2896" t="s">
        <v>30</v>
      </c>
      <c r="T2896" t="s">
        <v>2535</v>
      </c>
      <c r="U2896" t="s">
        <v>2536</v>
      </c>
      <c r="V2896" t="s">
        <v>39</v>
      </c>
      <c r="W2896" s="1">
        <v>2</v>
      </c>
    </row>
    <row r="2897" spans="1:23" x14ac:dyDescent="0.2">
      <c r="A2897" t="s">
        <v>2096</v>
      </c>
      <c r="B2897" t="s">
        <v>2097</v>
      </c>
      <c r="C2897" t="s">
        <v>2466</v>
      </c>
      <c r="D2897" t="s">
        <v>2513</v>
      </c>
      <c r="E2897" t="s">
        <v>2514</v>
      </c>
      <c r="F2897" t="s">
        <v>2515</v>
      </c>
      <c r="G2897" t="s">
        <v>170</v>
      </c>
      <c r="H2897" t="s">
        <v>52</v>
      </c>
      <c r="I2897" t="s">
        <v>30</v>
      </c>
      <c r="J2897" t="s">
        <v>57</v>
      </c>
      <c r="K2897" t="s">
        <v>32</v>
      </c>
      <c r="L2897" t="s">
        <v>32</v>
      </c>
      <c r="M2897" t="s">
        <v>33</v>
      </c>
      <c r="N2897" t="s">
        <v>33</v>
      </c>
      <c r="O2897" t="s">
        <v>33</v>
      </c>
      <c r="P2897" t="s">
        <v>213</v>
      </c>
      <c r="Q2897" t="s">
        <v>2111</v>
      </c>
      <c r="S2897" t="s">
        <v>30</v>
      </c>
      <c r="T2897" t="s">
        <v>2535</v>
      </c>
      <c r="U2897" t="s">
        <v>2536</v>
      </c>
      <c r="V2897" t="s">
        <v>40</v>
      </c>
      <c r="W2897" s="1">
        <v>2999800</v>
      </c>
    </row>
    <row r="2898" spans="1:23" x14ac:dyDescent="0.2">
      <c r="A2898" t="s">
        <v>2096</v>
      </c>
      <c r="B2898" t="s">
        <v>2097</v>
      </c>
      <c r="C2898" t="s">
        <v>2466</v>
      </c>
      <c r="D2898" t="s">
        <v>2513</v>
      </c>
      <c r="E2898" t="s">
        <v>2514</v>
      </c>
      <c r="F2898" t="s">
        <v>2515</v>
      </c>
      <c r="G2898" t="s">
        <v>64</v>
      </c>
      <c r="H2898" t="s">
        <v>30</v>
      </c>
      <c r="I2898" t="s">
        <v>52</v>
      </c>
      <c r="J2898" t="s">
        <v>128</v>
      </c>
      <c r="K2898" t="s">
        <v>135</v>
      </c>
      <c r="L2898" t="s">
        <v>32</v>
      </c>
      <c r="M2898" t="s">
        <v>33</v>
      </c>
      <c r="N2898" t="s">
        <v>33</v>
      </c>
      <c r="O2898" t="s">
        <v>33</v>
      </c>
      <c r="P2898" t="s">
        <v>213</v>
      </c>
      <c r="Q2898" t="s">
        <v>2111</v>
      </c>
      <c r="R2898" t="s">
        <v>136</v>
      </c>
      <c r="S2898" t="s">
        <v>30</v>
      </c>
      <c r="T2898" t="s">
        <v>2537</v>
      </c>
      <c r="U2898" t="s">
        <v>2538</v>
      </c>
      <c r="V2898" t="s">
        <v>39</v>
      </c>
      <c r="W2898" s="1">
        <v>1</v>
      </c>
    </row>
    <row r="2899" spans="1:23" x14ac:dyDescent="0.2">
      <c r="A2899" t="s">
        <v>2096</v>
      </c>
      <c r="B2899" t="s">
        <v>2097</v>
      </c>
      <c r="C2899" t="s">
        <v>2466</v>
      </c>
      <c r="D2899" t="s">
        <v>2513</v>
      </c>
      <c r="E2899" t="s">
        <v>2514</v>
      </c>
      <c r="F2899" t="s">
        <v>2515</v>
      </c>
      <c r="G2899" t="s">
        <v>64</v>
      </c>
      <c r="H2899" t="s">
        <v>30</v>
      </c>
      <c r="I2899" t="s">
        <v>52</v>
      </c>
      <c r="J2899" t="s">
        <v>128</v>
      </c>
      <c r="K2899" t="s">
        <v>135</v>
      </c>
      <c r="L2899" t="s">
        <v>32</v>
      </c>
      <c r="M2899" t="s">
        <v>33</v>
      </c>
      <c r="N2899" t="s">
        <v>33</v>
      </c>
      <c r="O2899" t="s">
        <v>33</v>
      </c>
      <c r="P2899" t="s">
        <v>213</v>
      </c>
      <c r="Q2899" t="s">
        <v>2111</v>
      </c>
      <c r="R2899" t="s">
        <v>136</v>
      </c>
      <c r="S2899" t="s">
        <v>30</v>
      </c>
      <c r="T2899" t="s">
        <v>2537</v>
      </c>
      <c r="U2899" t="s">
        <v>2538</v>
      </c>
      <c r="V2899" t="s">
        <v>40</v>
      </c>
      <c r="W2899" s="1">
        <v>579900</v>
      </c>
    </row>
    <row r="2900" spans="1:23" x14ac:dyDescent="0.2">
      <c r="A2900" t="s">
        <v>2096</v>
      </c>
      <c r="B2900" t="s">
        <v>2097</v>
      </c>
      <c r="C2900" t="s">
        <v>2466</v>
      </c>
      <c r="D2900" t="s">
        <v>2513</v>
      </c>
      <c r="E2900" t="s">
        <v>2514</v>
      </c>
      <c r="F2900" t="s">
        <v>2515</v>
      </c>
      <c r="G2900" t="s">
        <v>64</v>
      </c>
      <c r="H2900" t="s">
        <v>30</v>
      </c>
      <c r="I2900" t="s">
        <v>52</v>
      </c>
      <c r="J2900" t="s">
        <v>31</v>
      </c>
      <c r="K2900" t="s">
        <v>32</v>
      </c>
      <c r="L2900" t="s">
        <v>32</v>
      </c>
      <c r="M2900" t="s">
        <v>33</v>
      </c>
      <c r="N2900" t="s">
        <v>33</v>
      </c>
      <c r="O2900" t="s">
        <v>33</v>
      </c>
      <c r="P2900" t="s">
        <v>213</v>
      </c>
      <c r="Q2900" t="s">
        <v>2111</v>
      </c>
      <c r="R2900" t="s">
        <v>148</v>
      </c>
      <c r="S2900" t="s">
        <v>30</v>
      </c>
      <c r="T2900" t="s">
        <v>2539</v>
      </c>
      <c r="U2900" t="s">
        <v>2540</v>
      </c>
      <c r="V2900" t="s">
        <v>39</v>
      </c>
      <c r="W2900" s="1">
        <v>3</v>
      </c>
    </row>
    <row r="2901" spans="1:23" x14ac:dyDescent="0.2">
      <c r="A2901" t="s">
        <v>2096</v>
      </c>
      <c r="B2901" t="s">
        <v>2097</v>
      </c>
      <c r="C2901" t="s">
        <v>2466</v>
      </c>
      <c r="D2901" t="s">
        <v>2513</v>
      </c>
      <c r="E2901" t="s">
        <v>2514</v>
      </c>
      <c r="F2901" t="s">
        <v>2515</v>
      </c>
      <c r="G2901" t="s">
        <v>64</v>
      </c>
      <c r="H2901" t="s">
        <v>30</v>
      </c>
      <c r="I2901" t="s">
        <v>52</v>
      </c>
      <c r="J2901" t="s">
        <v>31</v>
      </c>
      <c r="K2901" t="s">
        <v>32</v>
      </c>
      <c r="L2901" t="s">
        <v>32</v>
      </c>
      <c r="M2901" t="s">
        <v>33</v>
      </c>
      <c r="N2901" t="s">
        <v>33</v>
      </c>
      <c r="O2901" t="s">
        <v>33</v>
      </c>
      <c r="P2901" t="s">
        <v>213</v>
      </c>
      <c r="Q2901" t="s">
        <v>2111</v>
      </c>
      <c r="R2901" t="s">
        <v>148</v>
      </c>
      <c r="S2901" t="s">
        <v>30</v>
      </c>
      <c r="T2901" t="s">
        <v>2539</v>
      </c>
      <c r="U2901" t="s">
        <v>2540</v>
      </c>
      <c r="V2901" t="s">
        <v>40</v>
      </c>
      <c r="W2901" s="1">
        <v>1883700</v>
      </c>
    </row>
    <row r="2902" spans="1:23" x14ac:dyDescent="0.2">
      <c r="A2902" t="s">
        <v>2096</v>
      </c>
      <c r="B2902" t="s">
        <v>2097</v>
      </c>
      <c r="C2902" t="s">
        <v>2466</v>
      </c>
      <c r="D2902" t="s">
        <v>2513</v>
      </c>
      <c r="E2902" t="s">
        <v>2514</v>
      </c>
      <c r="F2902" t="s">
        <v>2515</v>
      </c>
      <c r="G2902" t="s">
        <v>64</v>
      </c>
      <c r="H2902" t="s">
        <v>30</v>
      </c>
      <c r="I2902" t="s">
        <v>52</v>
      </c>
      <c r="J2902" t="s">
        <v>31</v>
      </c>
      <c r="K2902" t="s">
        <v>32</v>
      </c>
      <c r="L2902" t="s">
        <v>32</v>
      </c>
      <c r="M2902" t="s">
        <v>33</v>
      </c>
      <c r="N2902" t="s">
        <v>169</v>
      </c>
      <c r="O2902" t="s">
        <v>169</v>
      </c>
      <c r="P2902" t="s">
        <v>213</v>
      </c>
      <c r="Q2902" t="s">
        <v>2111</v>
      </c>
      <c r="R2902" t="s">
        <v>148</v>
      </c>
      <c r="S2902" t="s">
        <v>30</v>
      </c>
      <c r="T2902" t="s">
        <v>2539</v>
      </c>
      <c r="U2902" t="s">
        <v>2540</v>
      </c>
      <c r="V2902" t="s">
        <v>39</v>
      </c>
      <c r="W2902" s="1">
        <v>1</v>
      </c>
    </row>
    <row r="2903" spans="1:23" x14ac:dyDescent="0.2">
      <c r="A2903" t="s">
        <v>2096</v>
      </c>
      <c r="B2903" t="s">
        <v>2097</v>
      </c>
      <c r="C2903" t="s">
        <v>2466</v>
      </c>
      <c r="D2903" t="s">
        <v>2513</v>
      </c>
      <c r="E2903" t="s">
        <v>2514</v>
      </c>
      <c r="F2903" t="s">
        <v>2515</v>
      </c>
      <c r="G2903" t="s">
        <v>64</v>
      </c>
      <c r="H2903" t="s">
        <v>30</v>
      </c>
      <c r="I2903" t="s">
        <v>52</v>
      </c>
      <c r="J2903" t="s">
        <v>31</v>
      </c>
      <c r="K2903" t="s">
        <v>32</v>
      </c>
      <c r="L2903" t="s">
        <v>32</v>
      </c>
      <c r="M2903" t="s">
        <v>33</v>
      </c>
      <c r="N2903" t="s">
        <v>169</v>
      </c>
      <c r="O2903" t="s">
        <v>169</v>
      </c>
      <c r="P2903" t="s">
        <v>213</v>
      </c>
      <c r="Q2903" t="s">
        <v>2111</v>
      </c>
      <c r="R2903" t="s">
        <v>148</v>
      </c>
      <c r="S2903" t="s">
        <v>30</v>
      </c>
      <c r="T2903" t="s">
        <v>2539</v>
      </c>
      <c r="U2903" t="s">
        <v>2540</v>
      </c>
      <c r="V2903" t="s">
        <v>40</v>
      </c>
      <c r="W2903" s="1">
        <v>627900</v>
      </c>
    </row>
    <row r="2904" spans="1:23" x14ac:dyDescent="0.2">
      <c r="A2904" t="s">
        <v>2096</v>
      </c>
      <c r="B2904" t="s">
        <v>2097</v>
      </c>
      <c r="C2904" t="s">
        <v>2466</v>
      </c>
      <c r="D2904" t="s">
        <v>2513</v>
      </c>
      <c r="E2904" t="s">
        <v>2514</v>
      </c>
      <c r="F2904" t="s">
        <v>2515</v>
      </c>
      <c r="G2904" t="s">
        <v>67</v>
      </c>
      <c r="H2904" t="s">
        <v>30</v>
      </c>
      <c r="I2904" t="s">
        <v>30</v>
      </c>
      <c r="J2904" t="s">
        <v>31</v>
      </c>
      <c r="K2904" t="s">
        <v>32</v>
      </c>
      <c r="L2904" t="s">
        <v>32</v>
      </c>
      <c r="M2904" t="s">
        <v>33</v>
      </c>
      <c r="N2904" t="s">
        <v>33</v>
      </c>
      <c r="O2904" t="s">
        <v>33</v>
      </c>
      <c r="P2904" t="s">
        <v>34</v>
      </c>
      <c r="Q2904" t="s">
        <v>35</v>
      </c>
      <c r="R2904" t="s">
        <v>151</v>
      </c>
      <c r="S2904" t="s">
        <v>30</v>
      </c>
      <c r="T2904" t="s">
        <v>2541</v>
      </c>
      <c r="U2904" t="s">
        <v>2542</v>
      </c>
      <c r="V2904" t="s">
        <v>39</v>
      </c>
      <c r="W2904" s="1">
        <v>4</v>
      </c>
    </row>
    <row r="2905" spans="1:23" x14ac:dyDescent="0.2">
      <c r="A2905" t="s">
        <v>2096</v>
      </c>
      <c r="B2905" t="s">
        <v>2097</v>
      </c>
      <c r="C2905" t="s">
        <v>2466</v>
      </c>
      <c r="D2905" t="s">
        <v>2513</v>
      </c>
      <c r="E2905" t="s">
        <v>2514</v>
      </c>
      <c r="F2905" t="s">
        <v>2515</v>
      </c>
      <c r="G2905" t="s">
        <v>67</v>
      </c>
      <c r="H2905" t="s">
        <v>30</v>
      </c>
      <c r="I2905" t="s">
        <v>30</v>
      </c>
      <c r="J2905" t="s">
        <v>31</v>
      </c>
      <c r="K2905" t="s">
        <v>32</v>
      </c>
      <c r="L2905" t="s">
        <v>32</v>
      </c>
      <c r="M2905" t="s">
        <v>33</v>
      </c>
      <c r="N2905" t="s">
        <v>33</v>
      </c>
      <c r="O2905" t="s">
        <v>33</v>
      </c>
      <c r="P2905" t="s">
        <v>34</v>
      </c>
      <c r="Q2905" t="s">
        <v>35</v>
      </c>
      <c r="R2905" t="s">
        <v>151</v>
      </c>
      <c r="S2905" t="s">
        <v>30</v>
      </c>
      <c r="T2905" t="s">
        <v>2541</v>
      </c>
      <c r="U2905" t="s">
        <v>2542</v>
      </c>
      <c r="V2905" t="s">
        <v>40</v>
      </c>
      <c r="W2905" s="1">
        <v>4723600</v>
      </c>
    </row>
    <row r="2906" spans="1:23" x14ac:dyDescent="0.2">
      <c r="A2906" t="s">
        <v>2096</v>
      </c>
      <c r="B2906" t="s">
        <v>2097</v>
      </c>
      <c r="C2906" t="s">
        <v>2466</v>
      </c>
      <c r="D2906" t="s">
        <v>2513</v>
      </c>
      <c r="E2906" t="s">
        <v>2514</v>
      </c>
      <c r="F2906" t="s">
        <v>2515</v>
      </c>
      <c r="G2906" t="s">
        <v>67</v>
      </c>
      <c r="H2906" t="s">
        <v>30</v>
      </c>
      <c r="I2906" t="s">
        <v>30</v>
      </c>
      <c r="J2906" t="s">
        <v>41</v>
      </c>
      <c r="K2906" t="s">
        <v>32</v>
      </c>
      <c r="L2906" t="s">
        <v>32</v>
      </c>
      <c r="M2906" t="s">
        <v>33</v>
      </c>
      <c r="N2906" t="s">
        <v>33</v>
      </c>
      <c r="O2906" t="s">
        <v>33</v>
      </c>
      <c r="P2906" t="s">
        <v>34</v>
      </c>
      <c r="Q2906" t="s">
        <v>35</v>
      </c>
      <c r="S2906" t="s">
        <v>30</v>
      </c>
      <c r="T2906" t="s">
        <v>2543</v>
      </c>
      <c r="U2906" t="s">
        <v>2544</v>
      </c>
      <c r="V2906" t="s">
        <v>39</v>
      </c>
      <c r="W2906" s="1">
        <v>2</v>
      </c>
    </row>
    <row r="2907" spans="1:23" x14ac:dyDescent="0.2">
      <c r="A2907" t="s">
        <v>2096</v>
      </c>
      <c r="B2907" t="s">
        <v>2097</v>
      </c>
      <c r="C2907" t="s">
        <v>2466</v>
      </c>
      <c r="D2907" t="s">
        <v>2513</v>
      </c>
      <c r="E2907" t="s">
        <v>2514</v>
      </c>
      <c r="F2907" t="s">
        <v>2515</v>
      </c>
      <c r="G2907" t="s">
        <v>67</v>
      </c>
      <c r="H2907" t="s">
        <v>30</v>
      </c>
      <c r="I2907" t="s">
        <v>30</v>
      </c>
      <c r="J2907" t="s">
        <v>41</v>
      </c>
      <c r="K2907" t="s">
        <v>32</v>
      </c>
      <c r="L2907" t="s">
        <v>32</v>
      </c>
      <c r="M2907" t="s">
        <v>33</v>
      </c>
      <c r="N2907" t="s">
        <v>33</v>
      </c>
      <c r="O2907" t="s">
        <v>33</v>
      </c>
      <c r="P2907" t="s">
        <v>34</v>
      </c>
      <c r="Q2907" t="s">
        <v>35</v>
      </c>
      <c r="S2907" t="s">
        <v>30</v>
      </c>
      <c r="T2907" t="s">
        <v>2543</v>
      </c>
      <c r="U2907" t="s">
        <v>2544</v>
      </c>
      <c r="V2907" t="s">
        <v>40</v>
      </c>
      <c r="W2907" s="1">
        <v>10172000</v>
      </c>
    </row>
    <row r="2908" spans="1:23" x14ac:dyDescent="0.2">
      <c r="A2908" t="s">
        <v>2096</v>
      </c>
      <c r="B2908" t="s">
        <v>2097</v>
      </c>
      <c r="C2908" t="s">
        <v>2466</v>
      </c>
      <c r="D2908" t="s">
        <v>2513</v>
      </c>
      <c r="E2908" t="s">
        <v>2514</v>
      </c>
      <c r="F2908" t="s">
        <v>2515</v>
      </c>
      <c r="G2908" t="s">
        <v>89</v>
      </c>
      <c r="H2908" t="s">
        <v>30</v>
      </c>
      <c r="I2908" t="s">
        <v>30</v>
      </c>
      <c r="J2908" t="s">
        <v>31</v>
      </c>
      <c r="K2908" t="s">
        <v>32</v>
      </c>
      <c r="L2908" t="s">
        <v>32</v>
      </c>
      <c r="M2908" t="s">
        <v>33</v>
      </c>
      <c r="N2908" t="s">
        <v>33</v>
      </c>
      <c r="O2908" t="s">
        <v>33</v>
      </c>
      <c r="P2908" t="s">
        <v>34</v>
      </c>
      <c r="Q2908" t="s">
        <v>35</v>
      </c>
      <c r="S2908" t="s">
        <v>30</v>
      </c>
      <c r="T2908" t="s">
        <v>2483</v>
      </c>
      <c r="U2908" t="s">
        <v>2545</v>
      </c>
      <c r="V2908" t="s">
        <v>39</v>
      </c>
      <c r="W2908" s="1">
        <v>2</v>
      </c>
    </row>
    <row r="2909" spans="1:23" x14ac:dyDescent="0.2">
      <c r="A2909" t="s">
        <v>2096</v>
      </c>
      <c r="B2909" t="s">
        <v>2097</v>
      </c>
      <c r="C2909" t="s">
        <v>2466</v>
      </c>
      <c r="D2909" t="s">
        <v>2513</v>
      </c>
      <c r="E2909" t="s">
        <v>2514</v>
      </c>
      <c r="F2909" t="s">
        <v>2515</v>
      </c>
      <c r="G2909" t="s">
        <v>89</v>
      </c>
      <c r="H2909" t="s">
        <v>30</v>
      </c>
      <c r="I2909" t="s">
        <v>30</v>
      </c>
      <c r="J2909" t="s">
        <v>31</v>
      </c>
      <c r="K2909" t="s">
        <v>32</v>
      </c>
      <c r="L2909" t="s">
        <v>32</v>
      </c>
      <c r="M2909" t="s">
        <v>33</v>
      </c>
      <c r="N2909" t="s">
        <v>33</v>
      </c>
      <c r="O2909" t="s">
        <v>33</v>
      </c>
      <c r="P2909" t="s">
        <v>34</v>
      </c>
      <c r="Q2909" t="s">
        <v>35</v>
      </c>
      <c r="S2909" t="s">
        <v>30</v>
      </c>
      <c r="T2909" t="s">
        <v>2483</v>
      </c>
      <c r="U2909" t="s">
        <v>2545</v>
      </c>
      <c r="V2909" t="s">
        <v>40</v>
      </c>
      <c r="W2909" s="1">
        <v>3199800</v>
      </c>
    </row>
    <row r="2910" spans="1:23" x14ac:dyDescent="0.2">
      <c r="A2910" t="s">
        <v>2096</v>
      </c>
      <c r="B2910" t="s">
        <v>2097</v>
      </c>
      <c r="C2910" t="s">
        <v>2466</v>
      </c>
      <c r="D2910" t="s">
        <v>2513</v>
      </c>
      <c r="E2910" t="s">
        <v>2514</v>
      </c>
      <c r="F2910" t="s">
        <v>2515</v>
      </c>
      <c r="G2910" t="s">
        <v>89</v>
      </c>
      <c r="H2910" t="s">
        <v>30</v>
      </c>
      <c r="I2910" t="s">
        <v>30</v>
      </c>
      <c r="J2910" t="s">
        <v>31</v>
      </c>
      <c r="K2910" t="s">
        <v>32</v>
      </c>
      <c r="L2910" t="s">
        <v>32</v>
      </c>
      <c r="M2910" t="s">
        <v>33</v>
      </c>
      <c r="N2910" t="s">
        <v>169</v>
      </c>
      <c r="O2910" t="s">
        <v>169</v>
      </c>
      <c r="P2910" t="s">
        <v>34</v>
      </c>
      <c r="Q2910" t="s">
        <v>35</v>
      </c>
      <c r="S2910" t="s">
        <v>30</v>
      </c>
      <c r="T2910" t="s">
        <v>2483</v>
      </c>
      <c r="U2910" t="s">
        <v>2545</v>
      </c>
      <c r="V2910" t="s">
        <v>39</v>
      </c>
      <c r="W2910" s="1">
        <v>2</v>
      </c>
    </row>
    <row r="2911" spans="1:23" x14ac:dyDescent="0.2">
      <c r="A2911" t="s">
        <v>2096</v>
      </c>
      <c r="B2911" t="s">
        <v>2097</v>
      </c>
      <c r="C2911" t="s">
        <v>2466</v>
      </c>
      <c r="D2911" t="s">
        <v>2513</v>
      </c>
      <c r="E2911" t="s">
        <v>2514</v>
      </c>
      <c r="F2911" t="s">
        <v>2515</v>
      </c>
      <c r="G2911" t="s">
        <v>89</v>
      </c>
      <c r="H2911" t="s">
        <v>30</v>
      </c>
      <c r="I2911" t="s">
        <v>30</v>
      </c>
      <c r="J2911" t="s">
        <v>31</v>
      </c>
      <c r="K2911" t="s">
        <v>32</v>
      </c>
      <c r="L2911" t="s">
        <v>32</v>
      </c>
      <c r="M2911" t="s">
        <v>33</v>
      </c>
      <c r="N2911" t="s">
        <v>169</v>
      </c>
      <c r="O2911" t="s">
        <v>169</v>
      </c>
      <c r="P2911" t="s">
        <v>34</v>
      </c>
      <c r="Q2911" t="s">
        <v>35</v>
      </c>
      <c r="S2911" t="s">
        <v>30</v>
      </c>
      <c r="T2911" t="s">
        <v>2483</v>
      </c>
      <c r="U2911" t="s">
        <v>2545</v>
      </c>
      <c r="V2911" t="s">
        <v>40</v>
      </c>
      <c r="W2911" s="1">
        <v>3199800</v>
      </c>
    </row>
    <row r="2912" spans="1:23" x14ac:dyDescent="0.2">
      <c r="A2912" t="s">
        <v>2096</v>
      </c>
      <c r="B2912" t="s">
        <v>2097</v>
      </c>
      <c r="C2912" t="s">
        <v>2466</v>
      </c>
      <c r="D2912" t="s">
        <v>2513</v>
      </c>
      <c r="E2912" t="s">
        <v>2514</v>
      </c>
      <c r="F2912" t="s">
        <v>2515</v>
      </c>
      <c r="G2912" t="s">
        <v>89</v>
      </c>
      <c r="H2912" t="s">
        <v>30</v>
      </c>
      <c r="I2912" t="s">
        <v>30</v>
      </c>
      <c r="J2912" t="s">
        <v>31</v>
      </c>
      <c r="K2912" t="s">
        <v>32</v>
      </c>
      <c r="L2912" t="s">
        <v>32</v>
      </c>
      <c r="M2912" t="s">
        <v>33</v>
      </c>
      <c r="P2912" t="s">
        <v>213</v>
      </c>
      <c r="Q2912" t="s">
        <v>2111</v>
      </c>
      <c r="S2912" t="s">
        <v>52</v>
      </c>
      <c r="T2912" t="s">
        <v>2546</v>
      </c>
      <c r="U2912" t="s">
        <v>2547</v>
      </c>
      <c r="V2912" t="s">
        <v>39</v>
      </c>
      <c r="W2912" s="1">
        <v>0</v>
      </c>
    </row>
    <row r="2913" spans="1:23" x14ac:dyDescent="0.2">
      <c r="A2913" t="s">
        <v>2096</v>
      </c>
      <c r="B2913" t="s">
        <v>2097</v>
      </c>
      <c r="C2913" t="s">
        <v>2466</v>
      </c>
      <c r="D2913" t="s">
        <v>2513</v>
      </c>
      <c r="E2913" t="s">
        <v>2514</v>
      </c>
      <c r="F2913" t="s">
        <v>2515</v>
      </c>
      <c r="G2913" t="s">
        <v>89</v>
      </c>
      <c r="H2913" t="s">
        <v>30</v>
      </c>
      <c r="I2913" t="s">
        <v>30</v>
      </c>
      <c r="J2913" t="s">
        <v>31</v>
      </c>
      <c r="K2913" t="s">
        <v>32</v>
      </c>
      <c r="L2913" t="s">
        <v>32</v>
      </c>
      <c r="M2913" t="s">
        <v>33</v>
      </c>
      <c r="P2913" t="s">
        <v>213</v>
      </c>
      <c r="Q2913" t="s">
        <v>2111</v>
      </c>
      <c r="S2913" t="s">
        <v>52</v>
      </c>
      <c r="T2913" t="s">
        <v>2546</v>
      </c>
      <c r="U2913" t="s">
        <v>2547</v>
      </c>
      <c r="V2913" t="s">
        <v>40</v>
      </c>
      <c r="W2913" s="1">
        <v>1253800</v>
      </c>
    </row>
    <row r="2914" spans="1:23" x14ac:dyDescent="0.2">
      <c r="A2914" t="s">
        <v>2096</v>
      </c>
      <c r="B2914" t="s">
        <v>2097</v>
      </c>
      <c r="C2914" t="s">
        <v>2466</v>
      </c>
      <c r="D2914" t="s">
        <v>2513</v>
      </c>
      <c r="E2914" t="s">
        <v>2514</v>
      </c>
      <c r="F2914" t="s">
        <v>2515</v>
      </c>
      <c r="G2914" t="s">
        <v>89</v>
      </c>
      <c r="H2914" t="s">
        <v>30</v>
      </c>
      <c r="I2914" t="s">
        <v>30</v>
      </c>
      <c r="J2914" t="s">
        <v>31</v>
      </c>
      <c r="K2914" t="s">
        <v>32</v>
      </c>
      <c r="L2914" t="s">
        <v>32</v>
      </c>
      <c r="M2914" t="s">
        <v>33</v>
      </c>
      <c r="P2914" t="s">
        <v>34</v>
      </c>
      <c r="Q2914" t="s">
        <v>35</v>
      </c>
      <c r="S2914" t="s">
        <v>30</v>
      </c>
      <c r="T2914" t="s">
        <v>2548</v>
      </c>
      <c r="U2914" t="s">
        <v>2549</v>
      </c>
      <c r="V2914" t="s">
        <v>39</v>
      </c>
      <c r="W2914" s="1">
        <v>3</v>
      </c>
    </row>
    <row r="2915" spans="1:23" x14ac:dyDescent="0.2">
      <c r="A2915" t="s">
        <v>2096</v>
      </c>
      <c r="B2915" t="s">
        <v>2097</v>
      </c>
      <c r="C2915" t="s">
        <v>2466</v>
      </c>
      <c r="D2915" t="s">
        <v>2513</v>
      </c>
      <c r="E2915" t="s">
        <v>2514</v>
      </c>
      <c r="F2915" t="s">
        <v>2515</v>
      </c>
      <c r="G2915" t="s">
        <v>89</v>
      </c>
      <c r="H2915" t="s">
        <v>30</v>
      </c>
      <c r="I2915" t="s">
        <v>30</v>
      </c>
      <c r="J2915" t="s">
        <v>31</v>
      </c>
      <c r="K2915" t="s">
        <v>32</v>
      </c>
      <c r="L2915" t="s">
        <v>32</v>
      </c>
      <c r="M2915" t="s">
        <v>33</v>
      </c>
      <c r="P2915" t="s">
        <v>34</v>
      </c>
      <c r="Q2915" t="s">
        <v>35</v>
      </c>
      <c r="S2915" t="s">
        <v>30</v>
      </c>
      <c r="T2915" t="s">
        <v>2548</v>
      </c>
      <c r="U2915" t="s">
        <v>2549</v>
      </c>
      <c r="V2915" t="s">
        <v>40</v>
      </c>
      <c r="W2915" s="1">
        <v>4949700</v>
      </c>
    </row>
    <row r="2916" spans="1:23" x14ac:dyDescent="0.2">
      <c r="A2916" t="s">
        <v>2096</v>
      </c>
      <c r="B2916" t="s">
        <v>2097</v>
      </c>
      <c r="C2916" t="s">
        <v>2466</v>
      </c>
      <c r="D2916" t="s">
        <v>2513</v>
      </c>
      <c r="E2916" t="s">
        <v>2514</v>
      </c>
      <c r="F2916" t="s">
        <v>2515</v>
      </c>
      <c r="G2916" t="s">
        <v>89</v>
      </c>
      <c r="H2916" t="s">
        <v>30</v>
      </c>
      <c r="I2916" t="s">
        <v>30</v>
      </c>
      <c r="J2916" t="s">
        <v>31</v>
      </c>
      <c r="K2916" t="s">
        <v>32</v>
      </c>
      <c r="L2916" t="s">
        <v>32</v>
      </c>
      <c r="M2916" t="s">
        <v>33</v>
      </c>
      <c r="P2916" t="s">
        <v>34</v>
      </c>
      <c r="Q2916" t="s">
        <v>35</v>
      </c>
      <c r="S2916" t="s">
        <v>52</v>
      </c>
      <c r="T2916" t="s">
        <v>2548</v>
      </c>
      <c r="U2916" t="s">
        <v>2549</v>
      </c>
      <c r="V2916" t="s">
        <v>39</v>
      </c>
      <c r="W2916" s="1">
        <v>0</v>
      </c>
    </row>
    <row r="2917" spans="1:23" x14ac:dyDescent="0.2">
      <c r="A2917" t="s">
        <v>2096</v>
      </c>
      <c r="B2917" t="s">
        <v>2097</v>
      </c>
      <c r="C2917" t="s">
        <v>2466</v>
      </c>
      <c r="D2917" t="s">
        <v>2513</v>
      </c>
      <c r="E2917" t="s">
        <v>2514</v>
      </c>
      <c r="F2917" t="s">
        <v>2515</v>
      </c>
      <c r="G2917" t="s">
        <v>89</v>
      </c>
      <c r="H2917" t="s">
        <v>30</v>
      </c>
      <c r="I2917" t="s">
        <v>30</v>
      </c>
      <c r="J2917" t="s">
        <v>31</v>
      </c>
      <c r="K2917" t="s">
        <v>32</v>
      </c>
      <c r="L2917" t="s">
        <v>32</v>
      </c>
      <c r="M2917" t="s">
        <v>33</v>
      </c>
      <c r="P2917" t="s">
        <v>34</v>
      </c>
      <c r="Q2917" t="s">
        <v>35</v>
      </c>
      <c r="S2917" t="s">
        <v>52</v>
      </c>
      <c r="T2917" t="s">
        <v>2548</v>
      </c>
      <c r="U2917" t="s">
        <v>2549</v>
      </c>
      <c r="V2917" t="s">
        <v>40</v>
      </c>
      <c r="W2917" s="1">
        <v>1649900</v>
      </c>
    </row>
    <row r="2918" spans="1:23" x14ac:dyDescent="0.2">
      <c r="A2918" t="s">
        <v>2096</v>
      </c>
      <c r="B2918" t="s">
        <v>2097</v>
      </c>
      <c r="C2918" t="s">
        <v>2466</v>
      </c>
      <c r="D2918" t="s">
        <v>2513</v>
      </c>
      <c r="E2918" t="s">
        <v>2514</v>
      </c>
      <c r="F2918" t="s">
        <v>2515</v>
      </c>
      <c r="G2918" t="s">
        <v>89</v>
      </c>
      <c r="H2918" t="s">
        <v>30</v>
      </c>
      <c r="I2918" t="s">
        <v>30</v>
      </c>
      <c r="J2918" t="s">
        <v>31</v>
      </c>
      <c r="K2918" t="s">
        <v>32</v>
      </c>
      <c r="L2918" t="s">
        <v>32</v>
      </c>
      <c r="M2918" t="s">
        <v>176</v>
      </c>
      <c r="N2918" t="s">
        <v>176</v>
      </c>
      <c r="O2918" t="s">
        <v>176</v>
      </c>
      <c r="P2918" t="s">
        <v>34</v>
      </c>
      <c r="Q2918" t="s">
        <v>35</v>
      </c>
      <c r="S2918" t="s">
        <v>30</v>
      </c>
      <c r="T2918" t="s">
        <v>2483</v>
      </c>
      <c r="U2918" t="s">
        <v>2545</v>
      </c>
      <c r="V2918" t="s">
        <v>39</v>
      </c>
      <c r="W2918" s="1">
        <v>1</v>
      </c>
    </row>
    <row r="2919" spans="1:23" x14ac:dyDescent="0.2">
      <c r="A2919" t="s">
        <v>2096</v>
      </c>
      <c r="B2919" t="s">
        <v>2097</v>
      </c>
      <c r="C2919" t="s">
        <v>2466</v>
      </c>
      <c r="D2919" t="s">
        <v>2513</v>
      </c>
      <c r="E2919" t="s">
        <v>2514</v>
      </c>
      <c r="F2919" t="s">
        <v>2515</v>
      </c>
      <c r="G2919" t="s">
        <v>89</v>
      </c>
      <c r="H2919" t="s">
        <v>30</v>
      </c>
      <c r="I2919" t="s">
        <v>30</v>
      </c>
      <c r="J2919" t="s">
        <v>31</v>
      </c>
      <c r="K2919" t="s">
        <v>32</v>
      </c>
      <c r="L2919" t="s">
        <v>32</v>
      </c>
      <c r="M2919" t="s">
        <v>176</v>
      </c>
      <c r="N2919" t="s">
        <v>176</v>
      </c>
      <c r="O2919" t="s">
        <v>176</v>
      </c>
      <c r="P2919" t="s">
        <v>34</v>
      </c>
      <c r="Q2919" t="s">
        <v>35</v>
      </c>
      <c r="S2919" t="s">
        <v>30</v>
      </c>
      <c r="T2919" t="s">
        <v>2483</v>
      </c>
      <c r="U2919" t="s">
        <v>2545</v>
      </c>
      <c r="V2919" t="s">
        <v>40</v>
      </c>
      <c r="W2919" s="1">
        <v>1599900</v>
      </c>
    </row>
    <row r="2920" spans="1:23" x14ac:dyDescent="0.2">
      <c r="A2920" t="s">
        <v>2096</v>
      </c>
      <c r="B2920" t="s">
        <v>2097</v>
      </c>
      <c r="C2920" t="s">
        <v>2466</v>
      </c>
      <c r="D2920" t="s">
        <v>2513</v>
      </c>
      <c r="E2920" t="s">
        <v>2514</v>
      </c>
      <c r="F2920" t="s">
        <v>2515</v>
      </c>
      <c r="G2920" t="s">
        <v>89</v>
      </c>
      <c r="H2920" t="s">
        <v>30</v>
      </c>
      <c r="I2920" t="s">
        <v>30</v>
      </c>
      <c r="J2920" t="s">
        <v>31</v>
      </c>
      <c r="K2920" t="s">
        <v>32</v>
      </c>
      <c r="L2920" t="s">
        <v>32</v>
      </c>
      <c r="M2920" t="s">
        <v>176</v>
      </c>
      <c r="P2920" t="s">
        <v>213</v>
      </c>
      <c r="Q2920" t="s">
        <v>2111</v>
      </c>
      <c r="S2920" t="s">
        <v>52</v>
      </c>
      <c r="T2920" t="s">
        <v>2546</v>
      </c>
      <c r="U2920" t="s">
        <v>2547</v>
      </c>
      <c r="V2920" t="s">
        <v>39</v>
      </c>
      <c r="W2920" s="1">
        <v>0</v>
      </c>
    </row>
    <row r="2921" spans="1:23" x14ac:dyDescent="0.2">
      <c r="A2921" t="s">
        <v>2096</v>
      </c>
      <c r="B2921" t="s">
        <v>2097</v>
      </c>
      <c r="C2921" t="s">
        <v>2466</v>
      </c>
      <c r="D2921" t="s">
        <v>2513</v>
      </c>
      <c r="E2921" t="s">
        <v>2514</v>
      </c>
      <c r="F2921" t="s">
        <v>2515</v>
      </c>
      <c r="G2921" t="s">
        <v>89</v>
      </c>
      <c r="H2921" t="s">
        <v>30</v>
      </c>
      <c r="I2921" t="s">
        <v>30</v>
      </c>
      <c r="J2921" t="s">
        <v>31</v>
      </c>
      <c r="K2921" t="s">
        <v>32</v>
      </c>
      <c r="L2921" t="s">
        <v>32</v>
      </c>
      <c r="M2921" t="s">
        <v>176</v>
      </c>
      <c r="P2921" t="s">
        <v>213</v>
      </c>
      <c r="Q2921" t="s">
        <v>2111</v>
      </c>
      <c r="S2921" t="s">
        <v>52</v>
      </c>
      <c r="T2921" t="s">
        <v>2546</v>
      </c>
      <c r="U2921" t="s">
        <v>2547</v>
      </c>
      <c r="V2921" t="s">
        <v>40</v>
      </c>
      <c r="W2921" s="1">
        <v>626900</v>
      </c>
    </row>
    <row r="2922" spans="1:23" x14ac:dyDescent="0.2">
      <c r="A2922" t="s">
        <v>2096</v>
      </c>
      <c r="B2922" t="s">
        <v>2097</v>
      </c>
      <c r="C2922" t="s">
        <v>2466</v>
      </c>
      <c r="D2922" t="s">
        <v>2513</v>
      </c>
      <c r="E2922" t="s">
        <v>2514</v>
      </c>
      <c r="F2922" t="s">
        <v>2515</v>
      </c>
      <c r="G2922" t="s">
        <v>89</v>
      </c>
      <c r="H2922" t="s">
        <v>30</v>
      </c>
      <c r="I2922" t="s">
        <v>30</v>
      </c>
      <c r="J2922" t="s">
        <v>31</v>
      </c>
      <c r="K2922" t="s">
        <v>32</v>
      </c>
      <c r="L2922" t="s">
        <v>32</v>
      </c>
      <c r="M2922" t="s">
        <v>176</v>
      </c>
      <c r="P2922" t="s">
        <v>34</v>
      </c>
      <c r="Q2922" t="s">
        <v>35</v>
      </c>
      <c r="S2922" t="s">
        <v>30</v>
      </c>
      <c r="T2922" t="s">
        <v>2548</v>
      </c>
      <c r="U2922" t="s">
        <v>2549</v>
      </c>
      <c r="V2922" t="s">
        <v>39</v>
      </c>
      <c r="W2922" s="1">
        <v>2</v>
      </c>
    </row>
    <row r="2923" spans="1:23" x14ac:dyDescent="0.2">
      <c r="A2923" t="s">
        <v>2096</v>
      </c>
      <c r="B2923" t="s">
        <v>2097</v>
      </c>
      <c r="C2923" t="s">
        <v>2466</v>
      </c>
      <c r="D2923" t="s">
        <v>2513</v>
      </c>
      <c r="E2923" t="s">
        <v>2514</v>
      </c>
      <c r="F2923" t="s">
        <v>2515</v>
      </c>
      <c r="G2923" t="s">
        <v>89</v>
      </c>
      <c r="H2923" t="s">
        <v>30</v>
      </c>
      <c r="I2923" t="s">
        <v>30</v>
      </c>
      <c r="J2923" t="s">
        <v>31</v>
      </c>
      <c r="K2923" t="s">
        <v>32</v>
      </c>
      <c r="L2923" t="s">
        <v>32</v>
      </c>
      <c r="M2923" t="s">
        <v>176</v>
      </c>
      <c r="P2923" t="s">
        <v>34</v>
      </c>
      <c r="Q2923" t="s">
        <v>35</v>
      </c>
      <c r="S2923" t="s">
        <v>30</v>
      </c>
      <c r="T2923" t="s">
        <v>2548</v>
      </c>
      <c r="U2923" t="s">
        <v>2549</v>
      </c>
      <c r="V2923" t="s">
        <v>40</v>
      </c>
      <c r="W2923" s="1">
        <v>3299800</v>
      </c>
    </row>
    <row r="2924" spans="1:23" x14ac:dyDescent="0.2">
      <c r="A2924" t="s">
        <v>2096</v>
      </c>
      <c r="B2924" t="s">
        <v>2097</v>
      </c>
      <c r="C2924" t="s">
        <v>2466</v>
      </c>
      <c r="D2924" t="s">
        <v>2513</v>
      </c>
      <c r="E2924" t="s">
        <v>2514</v>
      </c>
      <c r="F2924" t="s">
        <v>2515</v>
      </c>
      <c r="G2924" t="s">
        <v>89</v>
      </c>
      <c r="H2924" t="s">
        <v>30</v>
      </c>
      <c r="I2924" t="s">
        <v>30</v>
      </c>
      <c r="J2924" t="s">
        <v>41</v>
      </c>
      <c r="K2924" t="s">
        <v>32</v>
      </c>
      <c r="L2924" t="s">
        <v>32</v>
      </c>
      <c r="M2924" t="s">
        <v>33</v>
      </c>
      <c r="P2924" t="s">
        <v>42</v>
      </c>
      <c r="Q2924" t="s">
        <v>43</v>
      </c>
      <c r="S2924" t="s">
        <v>52</v>
      </c>
      <c r="T2924" t="s">
        <v>2543</v>
      </c>
      <c r="U2924" t="s">
        <v>2550</v>
      </c>
      <c r="V2924" t="s">
        <v>39</v>
      </c>
      <c r="W2924" s="1">
        <v>0</v>
      </c>
    </row>
    <row r="2925" spans="1:23" x14ac:dyDescent="0.2">
      <c r="A2925" t="s">
        <v>2096</v>
      </c>
      <c r="B2925" t="s">
        <v>2097</v>
      </c>
      <c r="C2925" t="s">
        <v>2466</v>
      </c>
      <c r="D2925" t="s">
        <v>2513</v>
      </c>
      <c r="E2925" t="s">
        <v>2514</v>
      </c>
      <c r="F2925" t="s">
        <v>2515</v>
      </c>
      <c r="G2925" t="s">
        <v>89</v>
      </c>
      <c r="H2925" t="s">
        <v>30</v>
      </c>
      <c r="I2925" t="s">
        <v>30</v>
      </c>
      <c r="J2925" t="s">
        <v>41</v>
      </c>
      <c r="K2925" t="s">
        <v>32</v>
      </c>
      <c r="L2925" t="s">
        <v>32</v>
      </c>
      <c r="M2925" t="s">
        <v>33</v>
      </c>
      <c r="P2925" t="s">
        <v>42</v>
      </c>
      <c r="Q2925" t="s">
        <v>43</v>
      </c>
      <c r="S2925" t="s">
        <v>52</v>
      </c>
      <c r="T2925" t="s">
        <v>2543</v>
      </c>
      <c r="U2925" t="s">
        <v>2550</v>
      </c>
      <c r="V2925" t="s">
        <v>40</v>
      </c>
      <c r="W2925" s="1">
        <v>10372000</v>
      </c>
    </row>
    <row r="2926" spans="1:23" x14ac:dyDescent="0.2">
      <c r="A2926" t="s">
        <v>2096</v>
      </c>
      <c r="B2926" t="s">
        <v>2097</v>
      </c>
      <c r="C2926" t="s">
        <v>2466</v>
      </c>
      <c r="D2926" t="s">
        <v>2513</v>
      </c>
      <c r="E2926" t="s">
        <v>2514</v>
      </c>
      <c r="F2926" t="s">
        <v>2515</v>
      </c>
      <c r="G2926" t="s">
        <v>106</v>
      </c>
      <c r="H2926" t="s">
        <v>30</v>
      </c>
      <c r="I2926" t="s">
        <v>30</v>
      </c>
      <c r="J2926" t="s">
        <v>31</v>
      </c>
      <c r="K2926" t="s">
        <v>32</v>
      </c>
      <c r="L2926" t="s">
        <v>32</v>
      </c>
      <c r="M2926" t="s">
        <v>33</v>
      </c>
      <c r="N2926" t="s">
        <v>33</v>
      </c>
      <c r="O2926" t="s">
        <v>33</v>
      </c>
      <c r="P2926" t="s">
        <v>213</v>
      </c>
      <c r="Q2926" t="s">
        <v>2111</v>
      </c>
      <c r="S2926" t="s">
        <v>30</v>
      </c>
      <c r="T2926" t="s">
        <v>2551</v>
      </c>
      <c r="U2926" t="s">
        <v>2552</v>
      </c>
      <c r="V2926" t="s">
        <v>39</v>
      </c>
      <c r="W2926" s="1">
        <v>4</v>
      </c>
    </row>
    <row r="2927" spans="1:23" x14ac:dyDescent="0.2">
      <c r="A2927" t="s">
        <v>2096</v>
      </c>
      <c r="B2927" t="s">
        <v>2097</v>
      </c>
      <c r="C2927" t="s">
        <v>2466</v>
      </c>
      <c r="D2927" t="s">
        <v>2513</v>
      </c>
      <c r="E2927" t="s">
        <v>2514</v>
      </c>
      <c r="F2927" t="s">
        <v>2515</v>
      </c>
      <c r="G2927" t="s">
        <v>106</v>
      </c>
      <c r="H2927" t="s">
        <v>30</v>
      </c>
      <c r="I2927" t="s">
        <v>30</v>
      </c>
      <c r="J2927" t="s">
        <v>31</v>
      </c>
      <c r="K2927" t="s">
        <v>32</v>
      </c>
      <c r="L2927" t="s">
        <v>32</v>
      </c>
      <c r="M2927" t="s">
        <v>33</v>
      </c>
      <c r="N2927" t="s">
        <v>33</v>
      </c>
      <c r="O2927" t="s">
        <v>33</v>
      </c>
      <c r="P2927" t="s">
        <v>213</v>
      </c>
      <c r="Q2927" t="s">
        <v>2111</v>
      </c>
      <c r="S2927" t="s">
        <v>30</v>
      </c>
      <c r="T2927" t="s">
        <v>2551</v>
      </c>
      <c r="U2927" t="s">
        <v>2552</v>
      </c>
      <c r="V2927" t="s">
        <v>40</v>
      </c>
      <c r="W2927" s="1">
        <v>2911600</v>
      </c>
    </row>
    <row r="2928" spans="1:23" x14ac:dyDescent="0.2">
      <c r="A2928" t="s">
        <v>2096</v>
      </c>
      <c r="B2928" t="s">
        <v>2097</v>
      </c>
      <c r="C2928" t="s">
        <v>2466</v>
      </c>
      <c r="D2928" t="s">
        <v>2513</v>
      </c>
      <c r="E2928" t="s">
        <v>2514</v>
      </c>
      <c r="F2928" t="s">
        <v>2515</v>
      </c>
      <c r="G2928" t="s">
        <v>106</v>
      </c>
      <c r="H2928" t="s">
        <v>30</v>
      </c>
      <c r="I2928" t="s">
        <v>30</v>
      </c>
      <c r="J2928" t="s">
        <v>41</v>
      </c>
      <c r="K2928" t="s">
        <v>32</v>
      </c>
      <c r="L2928" t="s">
        <v>332</v>
      </c>
      <c r="M2928" t="s">
        <v>33</v>
      </c>
      <c r="N2928" t="s">
        <v>33</v>
      </c>
      <c r="O2928" t="s">
        <v>33</v>
      </c>
      <c r="P2928" t="s">
        <v>34</v>
      </c>
      <c r="Q2928" t="s">
        <v>35</v>
      </c>
      <c r="S2928" t="s">
        <v>30</v>
      </c>
      <c r="T2928" t="s">
        <v>2553</v>
      </c>
      <c r="U2928" t="s">
        <v>2554</v>
      </c>
      <c r="V2928" t="s">
        <v>39</v>
      </c>
      <c r="W2928" s="1">
        <v>1</v>
      </c>
    </row>
    <row r="2929" spans="1:23" x14ac:dyDescent="0.2">
      <c r="A2929" t="s">
        <v>2096</v>
      </c>
      <c r="B2929" t="s">
        <v>2097</v>
      </c>
      <c r="C2929" t="s">
        <v>2466</v>
      </c>
      <c r="D2929" t="s">
        <v>2513</v>
      </c>
      <c r="E2929" t="s">
        <v>2514</v>
      </c>
      <c r="F2929" t="s">
        <v>2515</v>
      </c>
      <c r="G2929" t="s">
        <v>106</v>
      </c>
      <c r="H2929" t="s">
        <v>30</v>
      </c>
      <c r="I2929" t="s">
        <v>30</v>
      </c>
      <c r="J2929" t="s">
        <v>41</v>
      </c>
      <c r="K2929" t="s">
        <v>32</v>
      </c>
      <c r="L2929" t="s">
        <v>332</v>
      </c>
      <c r="M2929" t="s">
        <v>33</v>
      </c>
      <c r="N2929" t="s">
        <v>33</v>
      </c>
      <c r="O2929" t="s">
        <v>33</v>
      </c>
      <c r="P2929" t="s">
        <v>34</v>
      </c>
      <c r="Q2929" t="s">
        <v>35</v>
      </c>
      <c r="S2929" t="s">
        <v>30</v>
      </c>
      <c r="T2929" t="s">
        <v>2553</v>
      </c>
      <c r="U2929" t="s">
        <v>2554</v>
      </c>
      <c r="V2929" t="s">
        <v>40</v>
      </c>
      <c r="W2929" s="1">
        <v>1270000</v>
      </c>
    </row>
    <row r="2930" spans="1:23" x14ac:dyDescent="0.2">
      <c r="A2930" t="s">
        <v>2096</v>
      </c>
      <c r="B2930" t="s">
        <v>2097</v>
      </c>
      <c r="C2930" t="s">
        <v>2466</v>
      </c>
      <c r="D2930" t="s">
        <v>2513</v>
      </c>
      <c r="E2930" t="s">
        <v>2514</v>
      </c>
      <c r="F2930" t="s">
        <v>2515</v>
      </c>
      <c r="G2930" t="s">
        <v>106</v>
      </c>
      <c r="H2930" t="s">
        <v>30</v>
      </c>
      <c r="I2930" t="s">
        <v>30</v>
      </c>
      <c r="J2930" t="s">
        <v>41</v>
      </c>
      <c r="K2930" t="s">
        <v>32</v>
      </c>
      <c r="L2930" t="s">
        <v>32</v>
      </c>
      <c r="M2930" t="s">
        <v>33</v>
      </c>
      <c r="N2930" t="s">
        <v>33</v>
      </c>
      <c r="O2930" t="s">
        <v>33</v>
      </c>
      <c r="P2930" t="s">
        <v>34</v>
      </c>
      <c r="Q2930" t="s">
        <v>35</v>
      </c>
      <c r="S2930" t="s">
        <v>30</v>
      </c>
      <c r="T2930" t="s">
        <v>2553</v>
      </c>
      <c r="U2930" t="s">
        <v>2554</v>
      </c>
      <c r="V2930" t="s">
        <v>39</v>
      </c>
      <c r="W2930" s="1">
        <v>2</v>
      </c>
    </row>
    <row r="2931" spans="1:23" x14ac:dyDescent="0.2">
      <c r="A2931" t="s">
        <v>2096</v>
      </c>
      <c r="B2931" t="s">
        <v>2097</v>
      </c>
      <c r="C2931" t="s">
        <v>2466</v>
      </c>
      <c r="D2931" t="s">
        <v>2513</v>
      </c>
      <c r="E2931" t="s">
        <v>2514</v>
      </c>
      <c r="F2931" t="s">
        <v>2515</v>
      </c>
      <c r="G2931" t="s">
        <v>106</v>
      </c>
      <c r="H2931" t="s">
        <v>30</v>
      </c>
      <c r="I2931" t="s">
        <v>30</v>
      </c>
      <c r="J2931" t="s">
        <v>41</v>
      </c>
      <c r="K2931" t="s">
        <v>32</v>
      </c>
      <c r="L2931" t="s">
        <v>32</v>
      </c>
      <c r="M2931" t="s">
        <v>33</v>
      </c>
      <c r="N2931" t="s">
        <v>33</v>
      </c>
      <c r="O2931" t="s">
        <v>33</v>
      </c>
      <c r="P2931" t="s">
        <v>34</v>
      </c>
      <c r="Q2931" t="s">
        <v>35</v>
      </c>
      <c r="S2931" t="s">
        <v>30</v>
      </c>
      <c r="T2931" t="s">
        <v>2553</v>
      </c>
      <c r="U2931" t="s">
        <v>2554</v>
      </c>
      <c r="V2931" t="s">
        <v>40</v>
      </c>
      <c r="W2931" s="1">
        <v>3581800</v>
      </c>
    </row>
    <row r="2932" spans="1:23" x14ac:dyDescent="0.2">
      <c r="A2932" t="s">
        <v>2096</v>
      </c>
      <c r="B2932" t="s">
        <v>2097</v>
      </c>
      <c r="C2932" t="s">
        <v>2466</v>
      </c>
      <c r="D2932" t="s">
        <v>2513</v>
      </c>
      <c r="E2932" t="s">
        <v>2514</v>
      </c>
      <c r="F2932" t="s">
        <v>2515</v>
      </c>
      <c r="G2932" t="s">
        <v>127</v>
      </c>
      <c r="H2932" t="s">
        <v>52</v>
      </c>
      <c r="I2932" t="s">
        <v>30</v>
      </c>
      <c r="J2932" t="s">
        <v>41</v>
      </c>
      <c r="K2932" t="s">
        <v>32</v>
      </c>
      <c r="L2932" t="s">
        <v>32</v>
      </c>
      <c r="M2932" t="s">
        <v>33</v>
      </c>
      <c r="P2932" t="s">
        <v>34</v>
      </c>
      <c r="Q2932" t="s">
        <v>35</v>
      </c>
      <c r="S2932" t="s">
        <v>52</v>
      </c>
      <c r="T2932" t="s">
        <v>2555</v>
      </c>
      <c r="U2932" t="s">
        <v>2556</v>
      </c>
      <c r="V2932" t="s">
        <v>39</v>
      </c>
      <c r="W2932" s="1">
        <v>0</v>
      </c>
    </row>
    <row r="2933" spans="1:23" x14ac:dyDescent="0.2">
      <c r="A2933" t="s">
        <v>2096</v>
      </c>
      <c r="B2933" t="s">
        <v>2097</v>
      </c>
      <c r="C2933" t="s">
        <v>2466</v>
      </c>
      <c r="D2933" t="s">
        <v>2513</v>
      </c>
      <c r="E2933" t="s">
        <v>2514</v>
      </c>
      <c r="F2933" t="s">
        <v>2515</v>
      </c>
      <c r="G2933" t="s">
        <v>127</v>
      </c>
      <c r="H2933" t="s">
        <v>52</v>
      </c>
      <c r="I2933" t="s">
        <v>30</v>
      </c>
      <c r="J2933" t="s">
        <v>41</v>
      </c>
      <c r="K2933" t="s">
        <v>32</v>
      </c>
      <c r="L2933" t="s">
        <v>32</v>
      </c>
      <c r="M2933" t="s">
        <v>33</v>
      </c>
      <c r="P2933" t="s">
        <v>34</v>
      </c>
      <c r="Q2933" t="s">
        <v>35</v>
      </c>
      <c r="S2933" t="s">
        <v>52</v>
      </c>
      <c r="T2933" t="s">
        <v>2555</v>
      </c>
      <c r="U2933" t="s">
        <v>2556</v>
      </c>
      <c r="V2933" t="s">
        <v>40</v>
      </c>
      <c r="W2933" s="1">
        <v>1546000</v>
      </c>
    </row>
    <row r="2934" spans="1:23" x14ac:dyDescent="0.2">
      <c r="A2934" t="s">
        <v>2096</v>
      </c>
      <c r="B2934" t="s">
        <v>2097</v>
      </c>
      <c r="C2934" t="s">
        <v>2466</v>
      </c>
      <c r="D2934" t="s">
        <v>2513</v>
      </c>
      <c r="E2934" t="s">
        <v>2514</v>
      </c>
      <c r="F2934" t="s">
        <v>2515</v>
      </c>
      <c r="G2934" t="s">
        <v>134</v>
      </c>
      <c r="H2934" t="s">
        <v>52</v>
      </c>
      <c r="I2934" t="s">
        <v>30</v>
      </c>
      <c r="J2934" t="s">
        <v>31</v>
      </c>
      <c r="K2934" t="s">
        <v>32</v>
      </c>
      <c r="L2934" t="s">
        <v>32</v>
      </c>
      <c r="M2934" t="s">
        <v>33</v>
      </c>
      <c r="N2934" t="s">
        <v>33</v>
      </c>
      <c r="O2934" t="s">
        <v>33</v>
      </c>
      <c r="P2934" t="s">
        <v>213</v>
      </c>
      <c r="Q2934" t="s">
        <v>2111</v>
      </c>
      <c r="S2934" t="s">
        <v>30</v>
      </c>
      <c r="T2934" t="s">
        <v>2557</v>
      </c>
      <c r="U2934" t="s">
        <v>2558</v>
      </c>
      <c r="V2934" t="s">
        <v>39</v>
      </c>
      <c r="W2934" s="1">
        <v>2</v>
      </c>
    </row>
    <row r="2935" spans="1:23" x14ac:dyDescent="0.2">
      <c r="A2935" t="s">
        <v>2096</v>
      </c>
      <c r="B2935" t="s">
        <v>2097</v>
      </c>
      <c r="C2935" t="s">
        <v>2466</v>
      </c>
      <c r="D2935" t="s">
        <v>2513</v>
      </c>
      <c r="E2935" t="s">
        <v>2514</v>
      </c>
      <c r="F2935" t="s">
        <v>2515</v>
      </c>
      <c r="G2935" t="s">
        <v>134</v>
      </c>
      <c r="H2935" t="s">
        <v>52</v>
      </c>
      <c r="I2935" t="s">
        <v>30</v>
      </c>
      <c r="J2935" t="s">
        <v>31</v>
      </c>
      <c r="K2935" t="s">
        <v>32</v>
      </c>
      <c r="L2935" t="s">
        <v>32</v>
      </c>
      <c r="M2935" t="s">
        <v>33</v>
      </c>
      <c r="N2935" t="s">
        <v>33</v>
      </c>
      <c r="O2935" t="s">
        <v>33</v>
      </c>
      <c r="P2935" t="s">
        <v>213</v>
      </c>
      <c r="Q2935" t="s">
        <v>2111</v>
      </c>
      <c r="S2935" t="s">
        <v>30</v>
      </c>
      <c r="T2935" t="s">
        <v>2557</v>
      </c>
      <c r="U2935" t="s">
        <v>2558</v>
      </c>
      <c r="V2935" t="s">
        <v>40</v>
      </c>
      <c r="W2935" s="1">
        <v>936200</v>
      </c>
    </row>
    <row r="2936" spans="1:23" x14ac:dyDescent="0.2">
      <c r="A2936" t="s">
        <v>2096</v>
      </c>
      <c r="B2936" t="s">
        <v>2097</v>
      </c>
      <c r="C2936" t="s">
        <v>2466</v>
      </c>
      <c r="D2936" t="s">
        <v>2513</v>
      </c>
      <c r="E2936" t="s">
        <v>2514</v>
      </c>
      <c r="F2936" t="s">
        <v>2515</v>
      </c>
      <c r="G2936" t="s">
        <v>134</v>
      </c>
      <c r="H2936" t="s">
        <v>52</v>
      </c>
      <c r="I2936" t="s">
        <v>30</v>
      </c>
      <c r="J2936" t="s">
        <v>31</v>
      </c>
      <c r="K2936" t="s">
        <v>32</v>
      </c>
      <c r="L2936" t="s">
        <v>32</v>
      </c>
      <c r="M2936" t="s">
        <v>33</v>
      </c>
      <c r="N2936" t="s">
        <v>33</v>
      </c>
      <c r="O2936" t="s">
        <v>33</v>
      </c>
      <c r="P2936" t="s">
        <v>42</v>
      </c>
      <c r="Q2936" t="s">
        <v>43</v>
      </c>
      <c r="S2936" t="s">
        <v>30</v>
      </c>
      <c r="T2936" t="s">
        <v>2559</v>
      </c>
      <c r="U2936" t="s">
        <v>2560</v>
      </c>
      <c r="V2936" t="s">
        <v>39</v>
      </c>
      <c r="W2936" s="1">
        <v>2</v>
      </c>
    </row>
    <row r="2937" spans="1:23" x14ac:dyDescent="0.2">
      <c r="A2937" t="s">
        <v>2096</v>
      </c>
      <c r="B2937" t="s">
        <v>2097</v>
      </c>
      <c r="C2937" t="s">
        <v>2466</v>
      </c>
      <c r="D2937" t="s">
        <v>2513</v>
      </c>
      <c r="E2937" t="s">
        <v>2514</v>
      </c>
      <c r="F2937" t="s">
        <v>2515</v>
      </c>
      <c r="G2937" t="s">
        <v>134</v>
      </c>
      <c r="H2937" t="s">
        <v>52</v>
      </c>
      <c r="I2937" t="s">
        <v>30</v>
      </c>
      <c r="J2937" t="s">
        <v>31</v>
      </c>
      <c r="K2937" t="s">
        <v>32</v>
      </c>
      <c r="L2937" t="s">
        <v>32</v>
      </c>
      <c r="M2937" t="s">
        <v>33</v>
      </c>
      <c r="N2937" t="s">
        <v>33</v>
      </c>
      <c r="O2937" t="s">
        <v>33</v>
      </c>
      <c r="P2937" t="s">
        <v>42</v>
      </c>
      <c r="Q2937" t="s">
        <v>43</v>
      </c>
      <c r="S2937" t="s">
        <v>30</v>
      </c>
      <c r="T2937" t="s">
        <v>2559</v>
      </c>
      <c r="U2937" t="s">
        <v>2560</v>
      </c>
      <c r="V2937" t="s">
        <v>40</v>
      </c>
      <c r="W2937" s="1">
        <v>439800</v>
      </c>
    </row>
    <row r="2938" spans="1:23" x14ac:dyDescent="0.2">
      <c r="A2938" t="s">
        <v>2096</v>
      </c>
      <c r="B2938" t="s">
        <v>2097</v>
      </c>
      <c r="C2938" t="s">
        <v>2466</v>
      </c>
      <c r="D2938" t="s">
        <v>2513</v>
      </c>
      <c r="E2938" t="s">
        <v>2514</v>
      </c>
      <c r="F2938" t="s">
        <v>2515</v>
      </c>
      <c r="G2938" t="s">
        <v>134</v>
      </c>
      <c r="H2938" t="s">
        <v>52</v>
      </c>
      <c r="I2938" t="s">
        <v>30</v>
      </c>
      <c r="J2938" t="s">
        <v>31</v>
      </c>
      <c r="K2938" t="s">
        <v>32</v>
      </c>
      <c r="L2938" t="s">
        <v>32</v>
      </c>
      <c r="M2938" t="s">
        <v>33</v>
      </c>
      <c r="N2938" t="s">
        <v>169</v>
      </c>
      <c r="O2938" t="s">
        <v>169</v>
      </c>
      <c r="P2938" t="s">
        <v>42</v>
      </c>
      <c r="Q2938" t="s">
        <v>43</v>
      </c>
      <c r="S2938" t="s">
        <v>30</v>
      </c>
      <c r="T2938" t="s">
        <v>2559</v>
      </c>
      <c r="U2938" t="s">
        <v>2560</v>
      </c>
      <c r="V2938" t="s">
        <v>39</v>
      </c>
      <c r="W2938" s="1">
        <v>1</v>
      </c>
    </row>
    <row r="2939" spans="1:23" x14ac:dyDescent="0.2">
      <c r="A2939" t="s">
        <v>2096</v>
      </c>
      <c r="B2939" t="s">
        <v>2097</v>
      </c>
      <c r="C2939" t="s">
        <v>2466</v>
      </c>
      <c r="D2939" t="s">
        <v>2513</v>
      </c>
      <c r="E2939" t="s">
        <v>2514</v>
      </c>
      <c r="F2939" t="s">
        <v>2515</v>
      </c>
      <c r="G2939" t="s">
        <v>134</v>
      </c>
      <c r="H2939" t="s">
        <v>52</v>
      </c>
      <c r="I2939" t="s">
        <v>30</v>
      </c>
      <c r="J2939" t="s">
        <v>31</v>
      </c>
      <c r="K2939" t="s">
        <v>32</v>
      </c>
      <c r="L2939" t="s">
        <v>32</v>
      </c>
      <c r="M2939" t="s">
        <v>33</v>
      </c>
      <c r="N2939" t="s">
        <v>169</v>
      </c>
      <c r="O2939" t="s">
        <v>169</v>
      </c>
      <c r="P2939" t="s">
        <v>42</v>
      </c>
      <c r="Q2939" t="s">
        <v>43</v>
      </c>
      <c r="S2939" t="s">
        <v>30</v>
      </c>
      <c r="T2939" t="s">
        <v>2559</v>
      </c>
      <c r="U2939" t="s">
        <v>2560</v>
      </c>
      <c r="V2939" t="s">
        <v>40</v>
      </c>
      <c r="W2939" s="1">
        <v>219900</v>
      </c>
    </row>
    <row r="2940" spans="1:23" x14ac:dyDescent="0.2">
      <c r="A2940" t="s">
        <v>2096</v>
      </c>
      <c r="B2940" t="s">
        <v>2097</v>
      </c>
      <c r="C2940" t="s">
        <v>2466</v>
      </c>
      <c r="D2940" t="s">
        <v>2513</v>
      </c>
      <c r="E2940" t="s">
        <v>2514</v>
      </c>
      <c r="F2940" t="s">
        <v>2515</v>
      </c>
      <c r="G2940" t="s">
        <v>139</v>
      </c>
      <c r="H2940" t="s">
        <v>30</v>
      </c>
      <c r="I2940" t="s">
        <v>30</v>
      </c>
      <c r="J2940" t="s">
        <v>31</v>
      </c>
      <c r="K2940" t="s">
        <v>32</v>
      </c>
      <c r="L2940" t="s">
        <v>32</v>
      </c>
      <c r="M2940" t="s">
        <v>33</v>
      </c>
      <c r="P2940" t="s">
        <v>213</v>
      </c>
      <c r="Q2940" t="s">
        <v>2111</v>
      </c>
      <c r="R2940" t="s">
        <v>148</v>
      </c>
      <c r="S2940" t="s">
        <v>30</v>
      </c>
      <c r="T2940" t="s">
        <v>2561</v>
      </c>
      <c r="U2940" t="s">
        <v>2562</v>
      </c>
      <c r="V2940" t="s">
        <v>39</v>
      </c>
      <c r="W2940" s="1">
        <v>2</v>
      </c>
    </row>
    <row r="2941" spans="1:23" x14ac:dyDescent="0.2">
      <c r="A2941" t="s">
        <v>2096</v>
      </c>
      <c r="B2941" t="s">
        <v>2097</v>
      </c>
      <c r="C2941" t="s">
        <v>2466</v>
      </c>
      <c r="D2941" t="s">
        <v>2513</v>
      </c>
      <c r="E2941" t="s">
        <v>2514</v>
      </c>
      <c r="F2941" t="s">
        <v>2515</v>
      </c>
      <c r="G2941" t="s">
        <v>139</v>
      </c>
      <c r="H2941" t="s">
        <v>30</v>
      </c>
      <c r="I2941" t="s">
        <v>30</v>
      </c>
      <c r="J2941" t="s">
        <v>31</v>
      </c>
      <c r="K2941" t="s">
        <v>32</v>
      </c>
      <c r="L2941" t="s">
        <v>32</v>
      </c>
      <c r="M2941" t="s">
        <v>33</v>
      </c>
      <c r="P2941" t="s">
        <v>213</v>
      </c>
      <c r="Q2941" t="s">
        <v>2111</v>
      </c>
      <c r="R2941" t="s">
        <v>148</v>
      </c>
      <c r="S2941" t="s">
        <v>30</v>
      </c>
      <c r="T2941" t="s">
        <v>2561</v>
      </c>
      <c r="U2941" t="s">
        <v>2562</v>
      </c>
      <c r="V2941" t="s">
        <v>40</v>
      </c>
      <c r="W2941" s="1">
        <v>1255800</v>
      </c>
    </row>
    <row r="2942" spans="1:23" x14ac:dyDescent="0.2">
      <c r="A2942" t="s">
        <v>2096</v>
      </c>
      <c r="B2942" t="s">
        <v>2097</v>
      </c>
      <c r="C2942" t="s">
        <v>2466</v>
      </c>
      <c r="D2942" t="s">
        <v>2513</v>
      </c>
      <c r="E2942" t="s">
        <v>2563</v>
      </c>
      <c r="F2942" t="s">
        <v>2564</v>
      </c>
      <c r="G2942" t="s">
        <v>64</v>
      </c>
      <c r="H2942" t="s">
        <v>30</v>
      </c>
      <c r="I2942" t="s">
        <v>52</v>
      </c>
      <c r="J2942" t="s">
        <v>31</v>
      </c>
      <c r="K2942" t="s">
        <v>32</v>
      </c>
      <c r="L2942" t="s">
        <v>32</v>
      </c>
      <c r="M2942" t="s">
        <v>33</v>
      </c>
      <c r="N2942" t="s">
        <v>33</v>
      </c>
      <c r="O2942" t="s">
        <v>33</v>
      </c>
      <c r="P2942" t="s">
        <v>34</v>
      </c>
      <c r="Q2942" t="s">
        <v>35</v>
      </c>
      <c r="S2942" t="s">
        <v>30</v>
      </c>
      <c r="T2942" t="s">
        <v>2565</v>
      </c>
      <c r="U2942" t="s">
        <v>2566</v>
      </c>
      <c r="V2942" t="s">
        <v>39</v>
      </c>
      <c r="W2942" s="1">
        <v>3</v>
      </c>
    </row>
    <row r="2943" spans="1:23" x14ac:dyDescent="0.2">
      <c r="A2943" t="s">
        <v>2096</v>
      </c>
      <c r="B2943" t="s">
        <v>2097</v>
      </c>
      <c r="C2943" t="s">
        <v>2466</v>
      </c>
      <c r="D2943" t="s">
        <v>2513</v>
      </c>
      <c r="E2943" t="s">
        <v>2563</v>
      </c>
      <c r="F2943" t="s">
        <v>2564</v>
      </c>
      <c r="G2943" t="s">
        <v>64</v>
      </c>
      <c r="H2943" t="s">
        <v>30</v>
      </c>
      <c r="I2943" t="s">
        <v>52</v>
      </c>
      <c r="J2943" t="s">
        <v>31</v>
      </c>
      <c r="K2943" t="s">
        <v>32</v>
      </c>
      <c r="L2943" t="s">
        <v>32</v>
      </c>
      <c r="M2943" t="s">
        <v>33</v>
      </c>
      <c r="N2943" t="s">
        <v>33</v>
      </c>
      <c r="O2943" t="s">
        <v>33</v>
      </c>
      <c r="P2943" t="s">
        <v>34</v>
      </c>
      <c r="Q2943" t="s">
        <v>35</v>
      </c>
      <c r="S2943" t="s">
        <v>30</v>
      </c>
      <c r="T2943" t="s">
        <v>2565</v>
      </c>
      <c r="U2943" t="s">
        <v>2566</v>
      </c>
      <c r="V2943" t="s">
        <v>40</v>
      </c>
      <c r="W2943" s="1">
        <v>2330700</v>
      </c>
    </row>
    <row r="2944" spans="1:23" x14ac:dyDescent="0.2">
      <c r="A2944" t="s">
        <v>2096</v>
      </c>
      <c r="B2944" t="s">
        <v>2097</v>
      </c>
      <c r="C2944" t="s">
        <v>2466</v>
      </c>
      <c r="D2944" t="s">
        <v>2513</v>
      </c>
      <c r="E2944" t="s">
        <v>2563</v>
      </c>
      <c r="F2944" t="s">
        <v>2564</v>
      </c>
      <c r="G2944" t="s">
        <v>64</v>
      </c>
      <c r="H2944" t="s">
        <v>30</v>
      </c>
      <c r="I2944" t="s">
        <v>52</v>
      </c>
      <c r="J2944" t="s">
        <v>31</v>
      </c>
      <c r="K2944" t="s">
        <v>32</v>
      </c>
      <c r="L2944" t="s">
        <v>32</v>
      </c>
      <c r="M2944" t="s">
        <v>176</v>
      </c>
      <c r="N2944" t="s">
        <v>195</v>
      </c>
      <c r="O2944" t="s">
        <v>195</v>
      </c>
      <c r="P2944" t="s">
        <v>34</v>
      </c>
      <c r="Q2944" t="s">
        <v>35</v>
      </c>
      <c r="S2944" t="s">
        <v>30</v>
      </c>
      <c r="T2944" t="s">
        <v>2565</v>
      </c>
      <c r="U2944" t="s">
        <v>2566</v>
      </c>
      <c r="V2944" t="s">
        <v>39</v>
      </c>
      <c r="W2944" s="1">
        <v>1</v>
      </c>
    </row>
    <row r="2945" spans="1:23" x14ac:dyDescent="0.2">
      <c r="A2945" t="s">
        <v>2096</v>
      </c>
      <c r="B2945" t="s">
        <v>2097</v>
      </c>
      <c r="C2945" t="s">
        <v>2466</v>
      </c>
      <c r="D2945" t="s">
        <v>2513</v>
      </c>
      <c r="E2945" t="s">
        <v>2563</v>
      </c>
      <c r="F2945" t="s">
        <v>2564</v>
      </c>
      <c r="G2945" t="s">
        <v>64</v>
      </c>
      <c r="H2945" t="s">
        <v>30</v>
      </c>
      <c r="I2945" t="s">
        <v>52</v>
      </c>
      <c r="J2945" t="s">
        <v>31</v>
      </c>
      <c r="K2945" t="s">
        <v>32</v>
      </c>
      <c r="L2945" t="s">
        <v>32</v>
      </c>
      <c r="M2945" t="s">
        <v>176</v>
      </c>
      <c r="N2945" t="s">
        <v>195</v>
      </c>
      <c r="O2945" t="s">
        <v>195</v>
      </c>
      <c r="P2945" t="s">
        <v>34</v>
      </c>
      <c r="Q2945" t="s">
        <v>35</v>
      </c>
      <c r="S2945" t="s">
        <v>30</v>
      </c>
      <c r="T2945" t="s">
        <v>2565</v>
      </c>
      <c r="U2945" t="s">
        <v>2566</v>
      </c>
      <c r="V2945" t="s">
        <v>40</v>
      </c>
      <c r="W2945" s="1">
        <v>776900</v>
      </c>
    </row>
    <row r="2946" spans="1:23" x14ac:dyDescent="0.2">
      <c r="A2946" t="s">
        <v>2096</v>
      </c>
      <c r="B2946" t="s">
        <v>2097</v>
      </c>
      <c r="C2946" t="s">
        <v>2466</v>
      </c>
      <c r="D2946" t="s">
        <v>2513</v>
      </c>
      <c r="E2946" t="s">
        <v>2563</v>
      </c>
      <c r="F2946" t="s">
        <v>2564</v>
      </c>
      <c r="G2946" t="s">
        <v>89</v>
      </c>
      <c r="H2946" t="s">
        <v>30</v>
      </c>
      <c r="I2946" t="s">
        <v>30</v>
      </c>
      <c r="J2946" t="s">
        <v>41</v>
      </c>
      <c r="K2946" t="s">
        <v>32</v>
      </c>
      <c r="L2946" t="s">
        <v>32</v>
      </c>
      <c r="M2946" t="s">
        <v>33</v>
      </c>
      <c r="N2946" t="s">
        <v>33</v>
      </c>
      <c r="O2946" t="s">
        <v>33</v>
      </c>
      <c r="P2946" t="s">
        <v>34</v>
      </c>
      <c r="Q2946" t="s">
        <v>35</v>
      </c>
      <c r="S2946" t="s">
        <v>30</v>
      </c>
      <c r="T2946" t="s">
        <v>2567</v>
      </c>
      <c r="U2946" t="s">
        <v>2568</v>
      </c>
      <c r="V2946" t="s">
        <v>39</v>
      </c>
      <c r="W2946" s="1">
        <v>7</v>
      </c>
    </row>
    <row r="2947" spans="1:23" x14ac:dyDescent="0.2">
      <c r="A2947" t="s">
        <v>2096</v>
      </c>
      <c r="B2947" t="s">
        <v>2097</v>
      </c>
      <c r="C2947" t="s">
        <v>2466</v>
      </c>
      <c r="D2947" t="s">
        <v>2513</v>
      </c>
      <c r="E2947" t="s">
        <v>2563</v>
      </c>
      <c r="F2947" t="s">
        <v>2564</v>
      </c>
      <c r="G2947" t="s">
        <v>89</v>
      </c>
      <c r="H2947" t="s">
        <v>30</v>
      </c>
      <c r="I2947" t="s">
        <v>30</v>
      </c>
      <c r="J2947" t="s">
        <v>41</v>
      </c>
      <c r="K2947" t="s">
        <v>32</v>
      </c>
      <c r="L2947" t="s">
        <v>32</v>
      </c>
      <c r="M2947" t="s">
        <v>33</v>
      </c>
      <c r="N2947" t="s">
        <v>33</v>
      </c>
      <c r="O2947" t="s">
        <v>33</v>
      </c>
      <c r="P2947" t="s">
        <v>34</v>
      </c>
      <c r="Q2947" t="s">
        <v>35</v>
      </c>
      <c r="S2947" t="s">
        <v>30</v>
      </c>
      <c r="T2947" t="s">
        <v>2567</v>
      </c>
      <c r="U2947" t="s">
        <v>2568</v>
      </c>
      <c r="V2947" t="s">
        <v>40</v>
      </c>
      <c r="W2947" s="1">
        <v>7497000</v>
      </c>
    </row>
    <row r="2948" spans="1:23" x14ac:dyDescent="0.2">
      <c r="A2948" t="s">
        <v>2096</v>
      </c>
      <c r="B2948" t="s">
        <v>2097</v>
      </c>
      <c r="C2948" t="s">
        <v>2466</v>
      </c>
      <c r="D2948" t="s">
        <v>2513</v>
      </c>
      <c r="E2948" t="s">
        <v>2563</v>
      </c>
      <c r="F2948" t="s">
        <v>2564</v>
      </c>
      <c r="G2948" t="s">
        <v>127</v>
      </c>
      <c r="H2948" t="s">
        <v>52</v>
      </c>
      <c r="I2948" t="s">
        <v>30</v>
      </c>
      <c r="J2948" t="s">
        <v>31</v>
      </c>
      <c r="K2948" t="s">
        <v>32</v>
      </c>
      <c r="L2948" t="s">
        <v>32</v>
      </c>
      <c r="M2948" t="s">
        <v>33</v>
      </c>
      <c r="N2948" t="s">
        <v>33</v>
      </c>
      <c r="O2948" t="s">
        <v>33</v>
      </c>
      <c r="P2948" t="s">
        <v>34</v>
      </c>
      <c r="Q2948" t="s">
        <v>35</v>
      </c>
      <c r="R2948" t="s">
        <v>184</v>
      </c>
      <c r="S2948" t="s">
        <v>30</v>
      </c>
      <c r="T2948" t="s">
        <v>2569</v>
      </c>
      <c r="U2948" t="s">
        <v>2570</v>
      </c>
      <c r="V2948" t="s">
        <v>39</v>
      </c>
      <c r="W2948" s="1">
        <v>4</v>
      </c>
    </row>
    <row r="2949" spans="1:23" x14ac:dyDescent="0.2">
      <c r="A2949" t="s">
        <v>2096</v>
      </c>
      <c r="B2949" t="s">
        <v>2097</v>
      </c>
      <c r="C2949" t="s">
        <v>2466</v>
      </c>
      <c r="D2949" t="s">
        <v>2513</v>
      </c>
      <c r="E2949" t="s">
        <v>2563</v>
      </c>
      <c r="F2949" t="s">
        <v>2564</v>
      </c>
      <c r="G2949" t="s">
        <v>127</v>
      </c>
      <c r="H2949" t="s">
        <v>52</v>
      </c>
      <c r="I2949" t="s">
        <v>30</v>
      </c>
      <c r="J2949" t="s">
        <v>31</v>
      </c>
      <c r="K2949" t="s">
        <v>32</v>
      </c>
      <c r="L2949" t="s">
        <v>32</v>
      </c>
      <c r="M2949" t="s">
        <v>33</v>
      </c>
      <c r="N2949" t="s">
        <v>33</v>
      </c>
      <c r="O2949" t="s">
        <v>33</v>
      </c>
      <c r="P2949" t="s">
        <v>34</v>
      </c>
      <c r="Q2949" t="s">
        <v>35</v>
      </c>
      <c r="R2949" t="s">
        <v>184</v>
      </c>
      <c r="S2949" t="s">
        <v>30</v>
      </c>
      <c r="T2949" t="s">
        <v>2569</v>
      </c>
      <c r="U2949" t="s">
        <v>2570</v>
      </c>
      <c r="V2949" t="s">
        <v>40</v>
      </c>
      <c r="W2949" s="1">
        <v>1707600</v>
      </c>
    </row>
    <row r="2950" spans="1:23" x14ac:dyDescent="0.2">
      <c r="A2950" t="s">
        <v>2096</v>
      </c>
      <c r="B2950" t="s">
        <v>2097</v>
      </c>
      <c r="C2950" t="s">
        <v>2466</v>
      </c>
      <c r="D2950" t="s">
        <v>2513</v>
      </c>
      <c r="E2950" t="s">
        <v>2563</v>
      </c>
      <c r="F2950" t="s">
        <v>2564</v>
      </c>
      <c r="G2950" t="s">
        <v>127</v>
      </c>
      <c r="H2950" t="s">
        <v>52</v>
      </c>
      <c r="I2950" t="s">
        <v>30</v>
      </c>
      <c r="J2950" t="s">
        <v>31</v>
      </c>
      <c r="K2950" t="s">
        <v>32</v>
      </c>
      <c r="L2950" t="s">
        <v>32</v>
      </c>
      <c r="M2950" t="s">
        <v>33</v>
      </c>
      <c r="P2950" t="s">
        <v>34</v>
      </c>
      <c r="Q2950" t="s">
        <v>35</v>
      </c>
      <c r="R2950" t="s">
        <v>184</v>
      </c>
      <c r="S2950" t="s">
        <v>30</v>
      </c>
      <c r="T2950" t="s">
        <v>2569</v>
      </c>
      <c r="U2950" t="s">
        <v>2570</v>
      </c>
      <c r="V2950" t="s">
        <v>39</v>
      </c>
      <c r="W2950" s="1">
        <v>2</v>
      </c>
    </row>
    <row r="2951" spans="1:23" x14ac:dyDescent="0.2">
      <c r="A2951" t="s">
        <v>2096</v>
      </c>
      <c r="B2951" t="s">
        <v>2097</v>
      </c>
      <c r="C2951" t="s">
        <v>2466</v>
      </c>
      <c r="D2951" t="s">
        <v>2513</v>
      </c>
      <c r="E2951" t="s">
        <v>2563</v>
      </c>
      <c r="F2951" t="s">
        <v>2564</v>
      </c>
      <c r="G2951" t="s">
        <v>127</v>
      </c>
      <c r="H2951" t="s">
        <v>52</v>
      </c>
      <c r="I2951" t="s">
        <v>30</v>
      </c>
      <c r="J2951" t="s">
        <v>31</v>
      </c>
      <c r="K2951" t="s">
        <v>32</v>
      </c>
      <c r="L2951" t="s">
        <v>32</v>
      </c>
      <c r="M2951" t="s">
        <v>33</v>
      </c>
      <c r="P2951" t="s">
        <v>34</v>
      </c>
      <c r="Q2951" t="s">
        <v>35</v>
      </c>
      <c r="R2951" t="s">
        <v>184</v>
      </c>
      <c r="S2951" t="s">
        <v>30</v>
      </c>
      <c r="T2951" t="s">
        <v>2569</v>
      </c>
      <c r="U2951" t="s">
        <v>2570</v>
      </c>
      <c r="V2951" t="s">
        <v>40</v>
      </c>
      <c r="W2951" s="1">
        <v>853800</v>
      </c>
    </row>
    <row r="2952" spans="1:23" x14ac:dyDescent="0.2">
      <c r="A2952" t="s">
        <v>2096</v>
      </c>
      <c r="B2952" t="s">
        <v>2097</v>
      </c>
      <c r="C2952" t="s">
        <v>2466</v>
      </c>
      <c r="D2952" t="s">
        <v>2513</v>
      </c>
      <c r="E2952" t="s">
        <v>2563</v>
      </c>
      <c r="F2952" t="s">
        <v>2564</v>
      </c>
      <c r="G2952" t="s">
        <v>139</v>
      </c>
      <c r="H2952" t="s">
        <v>30</v>
      </c>
      <c r="I2952" t="s">
        <v>30</v>
      </c>
      <c r="J2952" t="s">
        <v>31</v>
      </c>
      <c r="K2952" t="s">
        <v>32</v>
      </c>
      <c r="L2952" t="s">
        <v>32</v>
      </c>
      <c r="M2952" t="s">
        <v>33</v>
      </c>
      <c r="P2952" t="s">
        <v>34</v>
      </c>
      <c r="Q2952" t="s">
        <v>35</v>
      </c>
      <c r="S2952" t="s">
        <v>30</v>
      </c>
      <c r="T2952" t="s">
        <v>2571</v>
      </c>
      <c r="U2952" t="s">
        <v>2572</v>
      </c>
      <c r="V2952" t="s">
        <v>39</v>
      </c>
      <c r="W2952" s="1">
        <v>14</v>
      </c>
    </row>
    <row r="2953" spans="1:23" x14ac:dyDescent="0.2">
      <c r="A2953" t="s">
        <v>2096</v>
      </c>
      <c r="B2953" t="s">
        <v>2097</v>
      </c>
      <c r="C2953" t="s">
        <v>2466</v>
      </c>
      <c r="D2953" t="s">
        <v>2513</v>
      </c>
      <c r="E2953" t="s">
        <v>2563</v>
      </c>
      <c r="F2953" t="s">
        <v>2564</v>
      </c>
      <c r="G2953" t="s">
        <v>139</v>
      </c>
      <c r="H2953" t="s">
        <v>30</v>
      </c>
      <c r="I2953" t="s">
        <v>30</v>
      </c>
      <c r="J2953" t="s">
        <v>31</v>
      </c>
      <c r="K2953" t="s">
        <v>32</v>
      </c>
      <c r="L2953" t="s">
        <v>32</v>
      </c>
      <c r="M2953" t="s">
        <v>33</v>
      </c>
      <c r="P2953" t="s">
        <v>34</v>
      </c>
      <c r="Q2953" t="s">
        <v>35</v>
      </c>
      <c r="S2953" t="s">
        <v>30</v>
      </c>
      <c r="T2953" t="s">
        <v>2571</v>
      </c>
      <c r="U2953" t="s">
        <v>2572</v>
      </c>
      <c r="V2953" t="s">
        <v>40</v>
      </c>
      <c r="W2953" s="1">
        <v>10372600</v>
      </c>
    </row>
    <row r="2954" spans="1:23" x14ac:dyDescent="0.2">
      <c r="A2954" t="s">
        <v>2096</v>
      </c>
      <c r="B2954" t="s">
        <v>2097</v>
      </c>
      <c r="C2954" t="s">
        <v>2466</v>
      </c>
      <c r="D2954" t="s">
        <v>2573</v>
      </c>
      <c r="E2954" t="s">
        <v>2574</v>
      </c>
      <c r="F2954" t="s">
        <v>2575</v>
      </c>
      <c r="G2954" t="s">
        <v>29</v>
      </c>
      <c r="H2954" t="s">
        <v>30</v>
      </c>
      <c r="I2954" t="s">
        <v>30</v>
      </c>
      <c r="J2954" t="s">
        <v>41</v>
      </c>
      <c r="K2954" t="s">
        <v>32</v>
      </c>
      <c r="L2954" t="s">
        <v>32</v>
      </c>
      <c r="M2954" t="s">
        <v>33</v>
      </c>
      <c r="N2954" t="s">
        <v>33</v>
      </c>
      <c r="O2954" t="s">
        <v>33</v>
      </c>
      <c r="P2954" t="s">
        <v>213</v>
      </c>
      <c r="Q2954" t="s">
        <v>2111</v>
      </c>
      <c r="S2954" t="s">
        <v>30</v>
      </c>
      <c r="T2954" t="s">
        <v>2576</v>
      </c>
      <c r="U2954" t="s">
        <v>2577</v>
      </c>
      <c r="V2954" t="s">
        <v>39</v>
      </c>
      <c r="W2954" s="1">
        <v>2</v>
      </c>
    </row>
    <row r="2955" spans="1:23" x14ac:dyDescent="0.2">
      <c r="A2955" t="s">
        <v>2096</v>
      </c>
      <c r="B2955" t="s">
        <v>2097</v>
      </c>
      <c r="C2955" t="s">
        <v>2466</v>
      </c>
      <c r="D2955" t="s">
        <v>2573</v>
      </c>
      <c r="E2955" t="s">
        <v>2574</v>
      </c>
      <c r="F2955" t="s">
        <v>2575</v>
      </c>
      <c r="G2955" t="s">
        <v>29</v>
      </c>
      <c r="H2955" t="s">
        <v>30</v>
      </c>
      <c r="I2955" t="s">
        <v>30</v>
      </c>
      <c r="J2955" t="s">
        <v>41</v>
      </c>
      <c r="K2955" t="s">
        <v>32</v>
      </c>
      <c r="L2955" t="s">
        <v>32</v>
      </c>
      <c r="M2955" t="s">
        <v>33</v>
      </c>
      <c r="N2955" t="s">
        <v>33</v>
      </c>
      <c r="O2955" t="s">
        <v>33</v>
      </c>
      <c r="P2955" t="s">
        <v>213</v>
      </c>
      <c r="Q2955" t="s">
        <v>2111</v>
      </c>
      <c r="S2955" t="s">
        <v>30</v>
      </c>
      <c r="T2955" t="s">
        <v>2576</v>
      </c>
      <c r="U2955" t="s">
        <v>2577</v>
      </c>
      <c r="V2955" t="s">
        <v>40</v>
      </c>
      <c r="W2955" s="1">
        <v>2315800</v>
      </c>
    </row>
    <row r="2956" spans="1:23" x14ac:dyDescent="0.2">
      <c r="A2956" t="s">
        <v>2096</v>
      </c>
      <c r="B2956" t="s">
        <v>2097</v>
      </c>
      <c r="C2956" t="s">
        <v>2466</v>
      </c>
      <c r="D2956" t="s">
        <v>2573</v>
      </c>
      <c r="E2956" t="s">
        <v>2574</v>
      </c>
      <c r="F2956" t="s">
        <v>2575</v>
      </c>
      <c r="G2956" t="s">
        <v>29</v>
      </c>
      <c r="H2956" t="s">
        <v>30</v>
      </c>
      <c r="I2956" t="s">
        <v>30</v>
      </c>
      <c r="J2956" t="s">
        <v>41</v>
      </c>
      <c r="K2956" t="s">
        <v>32</v>
      </c>
      <c r="L2956" t="s">
        <v>32</v>
      </c>
      <c r="M2956" t="s">
        <v>33</v>
      </c>
      <c r="N2956" t="s">
        <v>33</v>
      </c>
      <c r="O2956" t="s">
        <v>33</v>
      </c>
      <c r="P2956" t="s">
        <v>34</v>
      </c>
      <c r="Q2956" t="s">
        <v>35</v>
      </c>
      <c r="S2956" t="s">
        <v>30</v>
      </c>
      <c r="T2956" t="s">
        <v>2578</v>
      </c>
      <c r="U2956" t="s">
        <v>2579</v>
      </c>
      <c r="V2956" t="s">
        <v>39</v>
      </c>
      <c r="W2956" s="1">
        <v>6</v>
      </c>
    </row>
    <row r="2957" spans="1:23" x14ac:dyDescent="0.2">
      <c r="A2957" t="s">
        <v>2096</v>
      </c>
      <c r="B2957" t="s">
        <v>2097</v>
      </c>
      <c r="C2957" t="s">
        <v>2466</v>
      </c>
      <c r="D2957" t="s">
        <v>2573</v>
      </c>
      <c r="E2957" t="s">
        <v>2574</v>
      </c>
      <c r="F2957" t="s">
        <v>2575</v>
      </c>
      <c r="G2957" t="s">
        <v>29</v>
      </c>
      <c r="H2957" t="s">
        <v>30</v>
      </c>
      <c r="I2957" t="s">
        <v>30</v>
      </c>
      <c r="J2957" t="s">
        <v>41</v>
      </c>
      <c r="K2957" t="s">
        <v>32</v>
      </c>
      <c r="L2957" t="s">
        <v>32</v>
      </c>
      <c r="M2957" t="s">
        <v>33</v>
      </c>
      <c r="N2957" t="s">
        <v>33</v>
      </c>
      <c r="O2957" t="s">
        <v>33</v>
      </c>
      <c r="P2957" t="s">
        <v>34</v>
      </c>
      <c r="Q2957" t="s">
        <v>35</v>
      </c>
      <c r="S2957" t="s">
        <v>30</v>
      </c>
      <c r="T2957" t="s">
        <v>2578</v>
      </c>
      <c r="U2957" t="s">
        <v>2579</v>
      </c>
      <c r="V2957" t="s">
        <v>40</v>
      </c>
      <c r="W2957" s="1">
        <v>8885400</v>
      </c>
    </row>
    <row r="2958" spans="1:23" x14ac:dyDescent="0.2">
      <c r="A2958" t="s">
        <v>2096</v>
      </c>
      <c r="B2958" t="s">
        <v>2097</v>
      </c>
      <c r="C2958" t="s">
        <v>2466</v>
      </c>
      <c r="D2958" t="s">
        <v>2573</v>
      </c>
      <c r="E2958" t="s">
        <v>2574</v>
      </c>
      <c r="F2958" t="s">
        <v>2575</v>
      </c>
      <c r="G2958" t="s">
        <v>29</v>
      </c>
      <c r="H2958" t="s">
        <v>30</v>
      </c>
      <c r="I2958" t="s">
        <v>30</v>
      </c>
      <c r="J2958" t="s">
        <v>57</v>
      </c>
      <c r="K2958" t="s">
        <v>32</v>
      </c>
      <c r="L2958" t="s">
        <v>32</v>
      </c>
      <c r="M2958" t="s">
        <v>33</v>
      </c>
      <c r="N2958" t="s">
        <v>33</v>
      </c>
      <c r="O2958" t="s">
        <v>33</v>
      </c>
      <c r="P2958" t="s">
        <v>34</v>
      </c>
      <c r="Q2958" t="s">
        <v>35</v>
      </c>
      <c r="R2958" t="s">
        <v>1355</v>
      </c>
      <c r="S2958" t="s">
        <v>30</v>
      </c>
      <c r="T2958" t="s">
        <v>2580</v>
      </c>
      <c r="U2958" t="s">
        <v>2581</v>
      </c>
      <c r="V2958" t="s">
        <v>39</v>
      </c>
      <c r="W2958" s="1">
        <v>4</v>
      </c>
    </row>
    <row r="2959" spans="1:23" x14ac:dyDescent="0.2">
      <c r="A2959" t="s">
        <v>2096</v>
      </c>
      <c r="B2959" t="s">
        <v>2097</v>
      </c>
      <c r="C2959" t="s">
        <v>2466</v>
      </c>
      <c r="D2959" t="s">
        <v>2573</v>
      </c>
      <c r="E2959" t="s">
        <v>2574</v>
      </c>
      <c r="F2959" t="s">
        <v>2575</v>
      </c>
      <c r="G2959" t="s">
        <v>29</v>
      </c>
      <c r="H2959" t="s">
        <v>30</v>
      </c>
      <c r="I2959" t="s">
        <v>30</v>
      </c>
      <c r="J2959" t="s">
        <v>57</v>
      </c>
      <c r="K2959" t="s">
        <v>32</v>
      </c>
      <c r="L2959" t="s">
        <v>32</v>
      </c>
      <c r="M2959" t="s">
        <v>33</v>
      </c>
      <c r="N2959" t="s">
        <v>33</v>
      </c>
      <c r="O2959" t="s">
        <v>33</v>
      </c>
      <c r="P2959" t="s">
        <v>34</v>
      </c>
      <c r="Q2959" t="s">
        <v>35</v>
      </c>
      <c r="R2959" t="s">
        <v>1355</v>
      </c>
      <c r="S2959" t="s">
        <v>30</v>
      </c>
      <c r="T2959" t="s">
        <v>2580</v>
      </c>
      <c r="U2959" t="s">
        <v>2581</v>
      </c>
      <c r="V2959" t="s">
        <v>40</v>
      </c>
      <c r="W2959" s="1">
        <v>6671600</v>
      </c>
    </row>
    <row r="2960" spans="1:23" x14ac:dyDescent="0.2">
      <c r="A2960" t="s">
        <v>2096</v>
      </c>
      <c r="B2960" t="s">
        <v>2097</v>
      </c>
      <c r="C2960" t="s">
        <v>2466</v>
      </c>
      <c r="D2960" t="s">
        <v>2573</v>
      </c>
      <c r="E2960" t="s">
        <v>2574</v>
      </c>
      <c r="F2960" t="s">
        <v>2575</v>
      </c>
      <c r="G2960" t="s">
        <v>29</v>
      </c>
      <c r="H2960" t="s">
        <v>30</v>
      </c>
      <c r="I2960" t="s">
        <v>30</v>
      </c>
      <c r="J2960" t="s">
        <v>57</v>
      </c>
      <c r="K2960" t="s">
        <v>32</v>
      </c>
      <c r="L2960" t="s">
        <v>32</v>
      </c>
      <c r="M2960" t="s">
        <v>33</v>
      </c>
      <c r="N2960" t="s">
        <v>33</v>
      </c>
      <c r="O2960" t="s">
        <v>33</v>
      </c>
      <c r="P2960" t="s">
        <v>34</v>
      </c>
      <c r="Q2960" t="s">
        <v>35</v>
      </c>
      <c r="R2960" t="s">
        <v>184</v>
      </c>
      <c r="S2960" t="s">
        <v>30</v>
      </c>
      <c r="T2960" t="s">
        <v>2582</v>
      </c>
      <c r="U2960" t="s">
        <v>2583</v>
      </c>
      <c r="V2960" t="s">
        <v>39</v>
      </c>
      <c r="W2960" s="1">
        <v>2</v>
      </c>
    </row>
    <row r="2961" spans="1:23" x14ac:dyDescent="0.2">
      <c r="A2961" t="s">
        <v>2096</v>
      </c>
      <c r="B2961" t="s">
        <v>2097</v>
      </c>
      <c r="C2961" t="s">
        <v>2466</v>
      </c>
      <c r="D2961" t="s">
        <v>2573</v>
      </c>
      <c r="E2961" t="s">
        <v>2574</v>
      </c>
      <c r="F2961" t="s">
        <v>2575</v>
      </c>
      <c r="G2961" t="s">
        <v>29</v>
      </c>
      <c r="H2961" t="s">
        <v>30</v>
      </c>
      <c r="I2961" t="s">
        <v>30</v>
      </c>
      <c r="J2961" t="s">
        <v>57</v>
      </c>
      <c r="K2961" t="s">
        <v>32</v>
      </c>
      <c r="L2961" t="s">
        <v>32</v>
      </c>
      <c r="M2961" t="s">
        <v>33</v>
      </c>
      <c r="N2961" t="s">
        <v>33</v>
      </c>
      <c r="O2961" t="s">
        <v>33</v>
      </c>
      <c r="P2961" t="s">
        <v>34</v>
      </c>
      <c r="Q2961" t="s">
        <v>35</v>
      </c>
      <c r="R2961" t="s">
        <v>184</v>
      </c>
      <c r="S2961" t="s">
        <v>30</v>
      </c>
      <c r="T2961" t="s">
        <v>2582</v>
      </c>
      <c r="U2961" t="s">
        <v>2583</v>
      </c>
      <c r="V2961" t="s">
        <v>40</v>
      </c>
      <c r="W2961" s="1">
        <v>3060000</v>
      </c>
    </row>
    <row r="2962" spans="1:23" x14ac:dyDescent="0.2">
      <c r="A2962" t="s">
        <v>2096</v>
      </c>
      <c r="B2962" t="s">
        <v>2097</v>
      </c>
      <c r="C2962" t="s">
        <v>2466</v>
      </c>
      <c r="D2962" t="s">
        <v>2573</v>
      </c>
      <c r="E2962" t="s">
        <v>2574</v>
      </c>
      <c r="F2962" t="s">
        <v>2575</v>
      </c>
      <c r="G2962" t="s">
        <v>49</v>
      </c>
      <c r="H2962" t="s">
        <v>30</v>
      </c>
      <c r="I2962" t="s">
        <v>30</v>
      </c>
      <c r="J2962" t="s">
        <v>128</v>
      </c>
      <c r="K2962" t="s">
        <v>2432</v>
      </c>
      <c r="L2962" t="s">
        <v>32</v>
      </c>
      <c r="M2962" t="s">
        <v>33</v>
      </c>
      <c r="N2962" t="s">
        <v>33</v>
      </c>
      <c r="O2962" t="s">
        <v>33</v>
      </c>
      <c r="P2962" t="s">
        <v>372</v>
      </c>
      <c r="Q2962" t="s">
        <v>373</v>
      </c>
      <c r="R2962" t="s">
        <v>54</v>
      </c>
      <c r="S2962" t="s">
        <v>30</v>
      </c>
      <c r="T2962" t="s">
        <v>2584</v>
      </c>
      <c r="U2962" t="s">
        <v>2585</v>
      </c>
      <c r="V2962" t="s">
        <v>39</v>
      </c>
      <c r="W2962" s="1">
        <v>2</v>
      </c>
    </row>
    <row r="2963" spans="1:23" x14ac:dyDescent="0.2">
      <c r="A2963" t="s">
        <v>2096</v>
      </c>
      <c r="B2963" t="s">
        <v>2097</v>
      </c>
      <c r="C2963" t="s">
        <v>2466</v>
      </c>
      <c r="D2963" t="s">
        <v>2573</v>
      </c>
      <c r="E2963" t="s">
        <v>2574</v>
      </c>
      <c r="F2963" t="s">
        <v>2575</v>
      </c>
      <c r="G2963" t="s">
        <v>49</v>
      </c>
      <c r="H2963" t="s">
        <v>30</v>
      </c>
      <c r="I2963" t="s">
        <v>30</v>
      </c>
      <c r="J2963" t="s">
        <v>128</v>
      </c>
      <c r="K2963" t="s">
        <v>2432</v>
      </c>
      <c r="L2963" t="s">
        <v>32</v>
      </c>
      <c r="M2963" t="s">
        <v>33</v>
      </c>
      <c r="N2963" t="s">
        <v>33</v>
      </c>
      <c r="O2963" t="s">
        <v>33</v>
      </c>
      <c r="P2963" t="s">
        <v>372</v>
      </c>
      <c r="Q2963" t="s">
        <v>373</v>
      </c>
      <c r="R2963" t="s">
        <v>54</v>
      </c>
      <c r="S2963" t="s">
        <v>30</v>
      </c>
      <c r="T2963" t="s">
        <v>2584</v>
      </c>
      <c r="U2963" t="s">
        <v>2585</v>
      </c>
      <c r="V2963" t="s">
        <v>40</v>
      </c>
      <c r="W2963" s="1">
        <v>1599800</v>
      </c>
    </row>
    <row r="2964" spans="1:23" x14ac:dyDescent="0.2">
      <c r="A2964" t="s">
        <v>2096</v>
      </c>
      <c r="B2964" t="s">
        <v>2097</v>
      </c>
      <c r="C2964" t="s">
        <v>2466</v>
      </c>
      <c r="D2964" t="s">
        <v>2573</v>
      </c>
      <c r="E2964" t="s">
        <v>2574</v>
      </c>
      <c r="F2964" t="s">
        <v>2575</v>
      </c>
      <c r="G2964" t="s">
        <v>49</v>
      </c>
      <c r="H2964" t="s">
        <v>30</v>
      </c>
      <c r="I2964" t="s">
        <v>30</v>
      </c>
      <c r="J2964" t="s">
        <v>128</v>
      </c>
      <c r="K2964" t="s">
        <v>2432</v>
      </c>
      <c r="L2964" t="s">
        <v>32</v>
      </c>
      <c r="M2964" t="s">
        <v>33</v>
      </c>
      <c r="N2964" t="s">
        <v>33</v>
      </c>
      <c r="O2964" t="s">
        <v>33</v>
      </c>
      <c r="P2964" t="s">
        <v>372</v>
      </c>
      <c r="Q2964" t="s">
        <v>373</v>
      </c>
      <c r="S2964" t="s">
        <v>30</v>
      </c>
      <c r="T2964" t="s">
        <v>2433</v>
      </c>
      <c r="U2964" t="s">
        <v>2586</v>
      </c>
      <c r="V2964" t="s">
        <v>39</v>
      </c>
      <c r="W2964" s="1">
        <v>4</v>
      </c>
    </row>
    <row r="2965" spans="1:23" x14ac:dyDescent="0.2">
      <c r="A2965" t="s">
        <v>2096</v>
      </c>
      <c r="B2965" t="s">
        <v>2097</v>
      </c>
      <c r="C2965" t="s">
        <v>2466</v>
      </c>
      <c r="D2965" t="s">
        <v>2573</v>
      </c>
      <c r="E2965" t="s">
        <v>2574</v>
      </c>
      <c r="F2965" t="s">
        <v>2575</v>
      </c>
      <c r="G2965" t="s">
        <v>49</v>
      </c>
      <c r="H2965" t="s">
        <v>30</v>
      </c>
      <c r="I2965" t="s">
        <v>30</v>
      </c>
      <c r="J2965" t="s">
        <v>128</v>
      </c>
      <c r="K2965" t="s">
        <v>2432</v>
      </c>
      <c r="L2965" t="s">
        <v>32</v>
      </c>
      <c r="M2965" t="s">
        <v>33</v>
      </c>
      <c r="N2965" t="s">
        <v>33</v>
      </c>
      <c r="O2965" t="s">
        <v>33</v>
      </c>
      <c r="P2965" t="s">
        <v>372</v>
      </c>
      <c r="Q2965" t="s">
        <v>373</v>
      </c>
      <c r="S2965" t="s">
        <v>30</v>
      </c>
      <c r="T2965" t="s">
        <v>2433</v>
      </c>
      <c r="U2965" t="s">
        <v>2586</v>
      </c>
      <c r="V2965" t="s">
        <v>40</v>
      </c>
      <c r="W2965" s="1">
        <v>3199600</v>
      </c>
    </row>
    <row r="2966" spans="1:23" x14ac:dyDescent="0.2">
      <c r="A2966" t="s">
        <v>2096</v>
      </c>
      <c r="B2966" t="s">
        <v>2097</v>
      </c>
      <c r="C2966" t="s">
        <v>2466</v>
      </c>
      <c r="D2966" t="s">
        <v>2573</v>
      </c>
      <c r="E2966" t="s">
        <v>2574</v>
      </c>
      <c r="F2966" t="s">
        <v>2575</v>
      </c>
      <c r="G2966" t="s">
        <v>49</v>
      </c>
      <c r="H2966" t="s">
        <v>30</v>
      </c>
      <c r="I2966" t="s">
        <v>30</v>
      </c>
      <c r="J2966" t="s">
        <v>31</v>
      </c>
      <c r="K2966" t="s">
        <v>32</v>
      </c>
      <c r="L2966" t="s">
        <v>32</v>
      </c>
      <c r="M2966" t="s">
        <v>33</v>
      </c>
      <c r="N2966" t="s">
        <v>33</v>
      </c>
      <c r="O2966" t="s">
        <v>33</v>
      </c>
      <c r="P2966" t="s">
        <v>213</v>
      </c>
      <c r="Q2966" t="s">
        <v>2111</v>
      </c>
      <c r="R2966" t="s">
        <v>58</v>
      </c>
      <c r="S2966" t="s">
        <v>30</v>
      </c>
      <c r="T2966" t="s">
        <v>2587</v>
      </c>
      <c r="U2966" t="s">
        <v>2588</v>
      </c>
      <c r="V2966" t="s">
        <v>39</v>
      </c>
      <c r="W2966" s="1">
        <v>2</v>
      </c>
    </row>
    <row r="2967" spans="1:23" x14ac:dyDescent="0.2">
      <c r="A2967" t="s">
        <v>2096</v>
      </c>
      <c r="B2967" t="s">
        <v>2097</v>
      </c>
      <c r="C2967" t="s">
        <v>2466</v>
      </c>
      <c r="D2967" t="s">
        <v>2573</v>
      </c>
      <c r="E2967" t="s">
        <v>2574</v>
      </c>
      <c r="F2967" t="s">
        <v>2575</v>
      </c>
      <c r="G2967" t="s">
        <v>49</v>
      </c>
      <c r="H2967" t="s">
        <v>30</v>
      </c>
      <c r="I2967" t="s">
        <v>30</v>
      </c>
      <c r="J2967" t="s">
        <v>31</v>
      </c>
      <c r="K2967" t="s">
        <v>32</v>
      </c>
      <c r="L2967" t="s">
        <v>32</v>
      </c>
      <c r="M2967" t="s">
        <v>33</v>
      </c>
      <c r="N2967" t="s">
        <v>33</v>
      </c>
      <c r="O2967" t="s">
        <v>33</v>
      </c>
      <c r="P2967" t="s">
        <v>213</v>
      </c>
      <c r="Q2967" t="s">
        <v>2111</v>
      </c>
      <c r="R2967" t="s">
        <v>58</v>
      </c>
      <c r="S2967" t="s">
        <v>30</v>
      </c>
      <c r="T2967" t="s">
        <v>2587</v>
      </c>
      <c r="U2967" t="s">
        <v>2588</v>
      </c>
      <c r="V2967" t="s">
        <v>40</v>
      </c>
      <c r="W2967" s="1">
        <v>1399800</v>
      </c>
    </row>
    <row r="2968" spans="1:23" x14ac:dyDescent="0.2">
      <c r="A2968" t="s">
        <v>2096</v>
      </c>
      <c r="B2968" t="s">
        <v>2097</v>
      </c>
      <c r="C2968" t="s">
        <v>2466</v>
      </c>
      <c r="D2968" t="s">
        <v>2573</v>
      </c>
      <c r="E2968" t="s">
        <v>2574</v>
      </c>
      <c r="F2968" t="s">
        <v>2575</v>
      </c>
      <c r="G2968" t="s">
        <v>49</v>
      </c>
      <c r="H2968" t="s">
        <v>30</v>
      </c>
      <c r="I2968" t="s">
        <v>30</v>
      </c>
      <c r="J2968" t="s">
        <v>31</v>
      </c>
      <c r="K2968" t="s">
        <v>32</v>
      </c>
      <c r="L2968" t="s">
        <v>32</v>
      </c>
      <c r="M2968" t="s">
        <v>33</v>
      </c>
      <c r="N2968" t="s">
        <v>33</v>
      </c>
      <c r="O2968" t="s">
        <v>33</v>
      </c>
      <c r="P2968" t="s">
        <v>34</v>
      </c>
      <c r="Q2968" t="s">
        <v>35</v>
      </c>
      <c r="S2968" t="s">
        <v>30</v>
      </c>
      <c r="T2968" t="s">
        <v>2589</v>
      </c>
      <c r="U2968" t="s">
        <v>2590</v>
      </c>
      <c r="V2968" t="s">
        <v>39</v>
      </c>
      <c r="W2968" s="1">
        <v>2</v>
      </c>
    </row>
    <row r="2969" spans="1:23" x14ac:dyDescent="0.2">
      <c r="A2969" t="s">
        <v>2096</v>
      </c>
      <c r="B2969" t="s">
        <v>2097</v>
      </c>
      <c r="C2969" t="s">
        <v>2466</v>
      </c>
      <c r="D2969" t="s">
        <v>2573</v>
      </c>
      <c r="E2969" t="s">
        <v>2574</v>
      </c>
      <c r="F2969" t="s">
        <v>2575</v>
      </c>
      <c r="G2969" t="s">
        <v>49</v>
      </c>
      <c r="H2969" t="s">
        <v>30</v>
      </c>
      <c r="I2969" t="s">
        <v>30</v>
      </c>
      <c r="J2969" t="s">
        <v>31</v>
      </c>
      <c r="K2969" t="s">
        <v>32</v>
      </c>
      <c r="L2969" t="s">
        <v>32</v>
      </c>
      <c r="M2969" t="s">
        <v>33</v>
      </c>
      <c r="N2969" t="s">
        <v>33</v>
      </c>
      <c r="O2969" t="s">
        <v>33</v>
      </c>
      <c r="P2969" t="s">
        <v>34</v>
      </c>
      <c r="Q2969" t="s">
        <v>35</v>
      </c>
      <c r="S2969" t="s">
        <v>30</v>
      </c>
      <c r="T2969" t="s">
        <v>2589</v>
      </c>
      <c r="U2969" t="s">
        <v>2590</v>
      </c>
      <c r="V2969" t="s">
        <v>40</v>
      </c>
      <c r="W2969" s="1">
        <v>3299800</v>
      </c>
    </row>
    <row r="2970" spans="1:23" x14ac:dyDescent="0.2">
      <c r="A2970" t="s">
        <v>2096</v>
      </c>
      <c r="B2970" t="s">
        <v>2097</v>
      </c>
      <c r="C2970" t="s">
        <v>2466</v>
      </c>
      <c r="D2970" t="s">
        <v>2573</v>
      </c>
      <c r="E2970" t="s">
        <v>2574</v>
      </c>
      <c r="F2970" t="s">
        <v>2575</v>
      </c>
      <c r="G2970" t="s">
        <v>49</v>
      </c>
      <c r="H2970" t="s">
        <v>30</v>
      </c>
      <c r="I2970" t="s">
        <v>30</v>
      </c>
      <c r="J2970" t="s">
        <v>31</v>
      </c>
      <c r="K2970" t="s">
        <v>32</v>
      </c>
      <c r="L2970" t="s">
        <v>32</v>
      </c>
      <c r="M2970" t="s">
        <v>33</v>
      </c>
      <c r="N2970" t="s">
        <v>33</v>
      </c>
      <c r="O2970" t="s">
        <v>33</v>
      </c>
      <c r="P2970" t="s">
        <v>42</v>
      </c>
      <c r="Q2970" t="s">
        <v>43</v>
      </c>
      <c r="S2970" t="s">
        <v>30</v>
      </c>
      <c r="T2970" t="s">
        <v>2591</v>
      </c>
      <c r="U2970" t="s">
        <v>2592</v>
      </c>
      <c r="V2970" t="s">
        <v>39</v>
      </c>
      <c r="W2970" s="1">
        <v>2</v>
      </c>
    </row>
    <row r="2971" spans="1:23" x14ac:dyDescent="0.2">
      <c r="A2971" t="s">
        <v>2096</v>
      </c>
      <c r="B2971" t="s">
        <v>2097</v>
      </c>
      <c r="C2971" t="s">
        <v>2466</v>
      </c>
      <c r="D2971" t="s">
        <v>2573</v>
      </c>
      <c r="E2971" t="s">
        <v>2574</v>
      </c>
      <c r="F2971" t="s">
        <v>2575</v>
      </c>
      <c r="G2971" t="s">
        <v>49</v>
      </c>
      <c r="H2971" t="s">
        <v>30</v>
      </c>
      <c r="I2971" t="s">
        <v>30</v>
      </c>
      <c r="J2971" t="s">
        <v>31</v>
      </c>
      <c r="K2971" t="s">
        <v>32</v>
      </c>
      <c r="L2971" t="s">
        <v>32</v>
      </c>
      <c r="M2971" t="s">
        <v>33</v>
      </c>
      <c r="N2971" t="s">
        <v>33</v>
      </c>
      <c r="O2971" t="s">
        <v>33</v>
      </c>
      <c r="P2971" t="s">
        <v>42</v>
      </c>
      <c r="Q2971" t="s">
        <v>43</v>
      </c>
      <c r="S2971" t="s">
        <v>30</v>
      </c>
      <c r="T2971" t="s">
        <v>2591</v>
      </c>
      <c r="U2971" t="s">
        <v>2592</v>
      </c>
      <c r="V2971" t="s">
        <v>40</v>
      </c>
      <c r="W2971" s="1">
        <v>2949600</v>
      </c>
    </row>
    <row r="2972" spans="1:23" x14ac:dyDescent="0.2">
      <c r="A2972" t="s">
        <v>2096</v>
      </c>
      <c r="B2972" t="s">
        <v>2097</v>
      </c>
      <c r="C2972" t="s">
        <v>2466</v>
      </c>
      <c r="D2972" t="s">
        <v>2573</v>
      </c>
      <c r="E2972" t="s">
        <v>2574</v>
      </c>
      <c r="F2972" t="s">
        <v>2575</v>
      </c>
      <c r="G2972" t="s">
        <v>49</v>
      </c>
      <c r="H2972" t="s">
        <v>30</v>
      </c>
      <c r="I2972" t="s">
        <v>30</v>
      </c>
      <c r="J2972" t="s">
        <v>31</v>
      </c>
      <c r="K2972" t="s">
        <v>32</v>
      </c>
      <c r="L2972" t="s">
        <v>32</v>
      </c>
      <c r="M2972" t="s">
        <v>33</v>
      </c>
      <c r="P2972" t="s">
        <v>42</v>
      </c>
      <c r="Q2972" t="s">
        <v>43</v>
      </c>
      <c r="S2972" t="s">
        <v>30</v>
      </c>
      <c r="T2972" t="s">
        <v>2593</v>
      </c>
      <c r="U2972" t="s">
        <v>2594</v>
      </c>
      <c r="V2972" t="s">
        <v>39</v>
      </c>
      <c r="W2972" s="1">
        <v>2</v>
      </c>
    </row>
    <row r="2973" spans="1:23" x14ac:dyDescent="0.2">
      <c r="A2973" t="s">
        <v>2096</v>
      </c>
      <c r="B2973" t="s">
        <v>2097</v>
      </c>
      <c r="C2973" t="s">
        <v>2466</v>
      </c>
      <c r="D2973" t="s">
        <v>2573</v>
      </c>
      <c r="E2973" t="s">
        <v>2574</v>
      </c>
      <c r="F2973" t="s">
        <v>2575</v>
      </c>
      <c r="G2973" t="s">
        <v>49</v>
      </c>
      <c r="H2973" t="s">
        <v>30</v>
      </c>
      <c r="I2973" t="s">
        <v>30</v>
      </c>
      <c r="J2973" t="s">
        <v>31</v>
      </c>
      <c r="K2973" t="s">
        <v>32</v>
      </c>
      <c r="L2973" t="s">
        <v>32</v>
      </c>
      <c r="M2973" t="s">
        <v>33</v>
      </c>
      <c r="P2973" t="s">
        <v>42</v>
      </c>
      <c r="Q2973" t="s">
        <v>43</v>
      </c>
      <c r="S2973" t="s">
        <v>30</v>
      </c>
      <c r="T2973" t="s">
        <v>2593</v>
      </c>
      <c r="U2973" t="s">
        <v>2594</v>
      </c>
      <c r="V2973" t="s">
        <v>40</v>
      </c>
      <c r="W2973" s="1">
        <v>1004400</v>
      </c>
    </row>
    <row r="2974" spans="1:23" x14ac:dyDescent="0.2">
      <c r="A2974" t="s">
        <v>2096</v>
      </c>
      <c r="B2974" t="s">
        <v>2097</v>
      </c>
      <c r="C2974" t="s">
        <v>2466</v>
      </c>
      <c r="D2974" t="s">
        <v>2573</v>
      </c>
      <c r="E2974" t="s">
        <v>2574</v>
      </c>
      <c r="F2974" t="s">
        <v>2575</v>
      </c>
      <c r="G2974" t="s">
        <v>49</v>
      </c>
      <c r="H2974" t="s">
        <v>30</v>
      </c>
      <c r="I2974" t="s">
        <v>30</v>
      </c>
      <c r="J2974" t="s">
        <v>41</v>
      </c>
      <c r="K2974" t="s">
        <v>32</v>
      </c>
      <c r="L2974" t="s">
        <v>32</v>
      </c>
      <c r="M2974" t="s">
        <v>33</v>
      </c>
      <c r="P2974" t="s">
        <v>34</v>
      </c>
      <c r="Q2974" t="s">
        <v>35</v>
      </c>
      <c r="S2974" t="s">
        <v>52</v>
      </c>
      <c r="T2974" t="s">
        <v>2595</v>
      </c>
      <c r="U2974" t="s">
        <v>2596</v>
      </c>
      <c r="V2974" t="s">
        <v>39</v>
      </c>
      <c r="W2974" s="1">
        <v>0</v>
      </c>
    </row>
    <row r="2975" spans="1:23" x14ac:dyDescent="0.2">
      <c r="A2975" t="s">
        <v>2096</v>
      </c>
      <c r="B2975" t="s">
        <v>2097</v>
      </c>
      <c r="C2975" t="s">
        <v>2466</v>
      </c>
      <c r="D2975" t="s">
        <v>2573</v>
      </c>
      <c r="E2975" t="s">
        <v>2574</v>
      </c>
      <c r="F2975" t="s">
        <v>2575</v>
      </c>
      <c r="G2975" t="s">
        <v>49</v>
      </c>
      <c r="H2975" t="s">
        <v>30</v>
      </c>
      <c r="I2975" t="s">
        <v>30</v>
      </c>
      <c r="J2975" t="s">
        <v>41</v>
      </c>
      <c r="K2975" t="s">
        <v>32</v>
      </c>
      <c r="L2975" t="s">
        <v>32</v>
      </c>
      <c r="M2975" t="s">
        <v>33</v>
      </c>
      <c r="P2975" t="s">
        <v>34</v>
      </c>
      <c r="Q2975" t="s">
        <v>35</v>
      </c>
      <c r="S2975" t="s">
        <v>52</v>
      </c>
      <c r="T2975" t="s">
        <v>2595</v>
      </c>
      <c r="U2975" t="s">
        <v>2596</v>
      </c>
      <c r="V2975" t="s">
        <v>40</v>
      </c>
      <c r="W2975" s="1">
        <v>2056000</v>
      </c>
    </row>
    <row r="2976" spans="1:23" x14ac:dyDescent="0.2">
      <c r="A2976" t="s">
        <v>2096</v>
      </c>
      <c r="B2976" t="s">
        <v>2097</v>
      </c>
      <c r="C2976" t="s">
        <v>2466</v>
      </c>
      <c r="D2976" t="s">
        <v>2573</v>
      </c>
      <c r="E2976" t="s">
        <v>2574</v>
      </c>
      <c r="F2976" t="s">
        <v>2575</v>
      </c>
      <c r="G2976" t="s">
        <v>61</v>
      </c>
      <c r="H2976" t="s">
        <v>52</v>
      </c>
      <c r="I2976" t="s">
        <v>52</v>
      </c>
      <c r="J2976" t="s">
        <v>31</v>
      </c>
      <c r="K2976" t="s">
        <v>32</v>
      </c>
      <c r="L2976" t="s">
        <v>332</v>
      </c>
      <c r="M2976" t="s">
        <v>33</v>
      </c>
      <c r="N2976" t="s">
        <v>33</v>
      </c>
      <c r="O2976" t="s">
        <v>33</v>
      </c>
      <c r="P2976" t="s">
        <v>34</v>
      </c>
      <c r="Q2976" t="s">
        <v>35</v>
      </c>
      <c r="S2976" t="s">
        <v>30</v>
      </c>
      <c r="T2976" t="s">
        <v>2597</v>
      </c>
      <c r="U2976" t="s">
        <v>2598</v>
      </c>
      <c r="V2976" t="s">
        <v>39</v>
      </c>
      <c r="W2976" s="1">
        <v>2</v>
      </c>
    </row>
    <row r="2977" spans="1:23" x14ac:dyDescent="0.2">
      <c r="A2977" t="s">
        <v>2096</v>
      </c>
      <c r="B2977" t="s">
        <v>2097</v>
      </c>
      <c r="C2977" t="s">
        <v>2466</v>
      </c>
      <c r="D2977" t="s">
        <v>2573</v>
      </c>
      <c r="E2977" t="s">
        <v>2574</v>
      </c>
      <c r="F2977" t="s">
        <v>2575</v>
      </c>
      <c r="G2977" t="s">
        <v>61</v>
      </c>
      <c r="H2977" t="s">
        <v>52</v>
      </c>
      <c r="I2977" t="s">
        <v>52</v>
      </c>
      <c r="J2977" t="s">
        <v>31</v>
      </c>
      <c r="K2977" t="s">
        <v>32</v>
      </c>
      <c r="L2977" t="s">
        <v>332</v>
      </c>
      <c r="M2977" t="s">
        <v>33</v>
      </c>
      <c r="N2977" t="s">
        <v>33</v>
      </c>
      <c r="O2977" t="s">
        <v>33</v>
      </c>
      <c r="P2977" t="s">
        <v>34</v>
      </c>
      <c r="Q2977" t="s">
        <v>35</v>
      </c>
      <c r="S2977" t="s">
        <v>30</v>
      </c>
      <c r="T2977" t="s">
        <v>2597</v>
      </c>
      <c r="U2977" t="s">
        <v>2598</v>
      </c>
      <c r="V2977" t="s">
        <v>40</v>
      </c>
      <c r="W2977" s="1">
        <v>880000</v>
      </c>
    </row>
    <row r="2978" spans="1:23" x14ac:dyDescent="0.2">
      <c r="A2978" t="s">
        <v>2096</v>
      </c>
      <c r="B2978" t="s">
        <v>2097</v>
      </c>
      <c r="C2978" t="s">
        <v>2466</v>
      </c>
      <c r="D2978" t="s">
        <v>2573</v>
      </c>
      <c r="E2978" t="s">
        <v>2574</v>
      </c>
      <c r="F2978" t="s">
        <v>2575</v>
      </c>
      <c r="G2978" t="s">
        <v>61</v>
      </c>
      <c r="H2978" t="s">
        <v>52</v>
      </c>
      <c r="I2978" t="s">
        <v>52</v>
      </c>
      <c r="J2978" t="s">
        <v>31</v>
      </c>
      <c r="K2978" t="s">
        <v>32</v>
      </c>
      <c r="L2978" t="s">
        <v>32</v>
      </c>
      <c r="M2978" t="s">
        <v>33</v>
      </c>
      <c r="N2978" t="s">
        <v>33</v>
      </c>
      <c r="O2978" t="s">
        <v>33</v>
      </c>
      <c r="P2978" t="s">
        <v>213</v>
      </c>
      <c r="Q2978" t="s">
        <v>2111</v>
      </c>
      <c r="S2978" t="s">
        <v>30</v>
      </c>
      <c r="T2978" t="s">
        <v>2599</v>
      </c>
      <c r="U2978" t="s">
        <v>2600</v>
      </c>
      <c r="V2978" t="s">
        <v>39</v>
      </c>
      <c r="W2978" s="1">
        <v>4</v>
      </c>
    </row>
    <row r="2979" spans="1:23" x14ac:dyDescent="0.2">
      <c r="A2979" t="s">
        <v>2096</v>
      </c>
      <c r="B2979" t="s">
        <v>2097</v>
      </c>
      <c r="C2979" t="s">
        <v>2466</v>
      </c>
      <c r="D2979" t="s">
        <v>2573</v>
      </c>
      <c r="E2979" t="s">
        <v>2574</v>
      </c>
      <c r="F2979" t="s">
        <v>2575</v>
      </c>
      <c r="G2979" t="s">
        <v>61</v>
      </c>
      <c r="H2979" t="s">
        <v>52</v>
      </c>
      <c r="I2979" t="s">
        <v>52</v>
      </c>
      <c r="J2979" t="s">
        <v>31</v>
      </c>
      <c r="K2979" t="s">
        <v>32</v>
      </c>
      <c r="L2979" t="s">
        <v>32</v>
      </c>
      <c r="M2979" t="s">
        <v>33</v>
      </c>
      <c r="N2979" t="s">
        <v>33</v>
      </c>
      <c r="O2979" t="s">
        <v>33</v>
      </c>
      <c r="P2979" t="s">
        <v>213</v>
      </c>
      <c r="Q2979" t="s">
        <v>2111</v>
      </c>
      <c r="S2979" t="s">
        <v>30</v>
      </c>
      <c r="T2979" t="s">
        <v>2599</v>
      </c>
      <c r="U2979" t="s">
        <v>2600</v>
      </c>
      <c r="V2979" t="s">
        <v>40</v>
      </c>
      <c r="W2979" s="1">
        <v>4911600</v>
      </c>
    </row>
    <row r="2980" spans="1:23" x14ac:dyDescent="0.2">
      <c r="A2980" t="s">
        <v>2096</v>
      </c>
      <c r="B2980" t="s">
        <v>2097</v>
      </c>
      <c r="C2980" t="s">
        <v>2466</v>
      </c>
      <c r="D2980" t="s">
        <v>2573</v>
      </c>
      <c r="E2980" t="s">
        <v>2574</v>
      </c>
      <c r="F2980" t="s">
        <v>2575</v>
      </c>
      <c r="G2980" t="s">
        <v>61</v>
      </c>
      <c r="H2980" t="s">
        <v>52</v>
      </c>
      <c r="I2980" t="s">
        <v>52</v>
      </c>
      <c r="J2980" t="s">
        <v>31</v>
      </c>
      <c r="K2980" t="s">
        <v>32</v>
      </c>
      <c r="L2980" t="s">
        <v>32</v>
      </c>
      <c r="M2980" t="s">
        <v>33</v>
      </c>
      <c r="N2980" t="s">
        <v>33</v>
      </c>
      <c r="O2980" t="s">
        <v>33</v>
      </c>
      <c r="P2980" t="s">
        <v>34</v>
      </c>
      <c r="Q2980" t="s">
        <v>35</v>
      </c>
      <c r="R2980" t="s">
        <v>2347</v>
      </c>
      <c r="S2980" t="s">
        <v>30</v>
      </c>
      <c r="T2980" t="s">
        <v>2601</v>
      </c>
      <c r="U2980" t="s">
        <v>2602</v>
      </c>
      <c r="V2980" t="s">
        <v>39</v>
      </c>
      <c r="W2980" s="1">
        <v>2</v>
      </c>
    </row>
    <row r="2981" spans="1:23" x14ac:dyDescent="0.2">
      <c r="A2981" t="s">
        <v>2096</v>
      </c>
      <c r="B2981" t="s">
        <v>2097</v>
      </c>
      <c r="C2981" t="s">
        <v>2466</v>
      </c>
      <c r="D2981" t="s">
        <v>2573</v>
      </c>
      <c r="E2981" t="s">
        <v>2574</v>
      </c>
      <c r="F2981" t="s">
        <v>2575</v>
      </c>
      <c r="G2981" t="s">
        <v>61</v>
      </c>
      <c r="H2981" t="s">
        <v>52</v>
      </c>
      <c r="I2981" t="s">
        <v>52</v>
      </c>
      <c r="J2981" t="s">
        <v>31</v>
      </c>
      <c r="K2981" t="s">
        <v>32</v>
      </c>
      <c r="L2981" t="s">
        <v>32</v>
      </c>
      <c r="M2981" t="s">
        <v>33</v>
      </c>
      <c r="N2981" t="s">
        <v>33</v>
      </c>
      <c r="O2981" t="s">
        <v>33</v>
      </c>
      <c r="P2981" t="s">
        <v>34</v>
      </c>
      <c r="Q2981" t="s">
        <v>35</v>
      </c>
      <c r="R2981" t="s">
        <v>2347</v>
      </c>
      <c r="S2981" t="s">
        <v>30</v>
      </c>
      <c r="T2981" t="s">
        <v>2601</v>
      </c>
      <c r="U2981" t="s">
        <v>2602</v>
      </c>
      <c r="V2981" t="s">
        <v>40</v>
      </c>
      <c r="W2981" s="1">
        <v>2315800</v>
      </c>
    </row>
    <row r="2982" spans="1:23" x14ac:dyDescent="0.2">
      <c r="A2982" t="s">
        <v>2096</v>
      </c>
      <c r="B2982" t="s">
        <v>2097</v>
      </c>
      <c r="C2982" t="s">
        <v>2466</v>
      </c>
      <c r="D2982" t="s">
        <v>2573</v>
      </c>
      <c r="E2982" t="s">
        <v>2574</v>
      </c>
      <c r="F2982" t="s">
        <v>2575</v>
      </c>
      <c r="G2982" t="s">
        <v>61</v>
      </c>
      <c r="H2982" t="s">
        <v>52</v>
      </c>
      <c r="I2982" t="s">
        <v>52</v>
      </c>
      <c r="J2982" t="s">
        <v>31</v>
      </c>
      <c r="K2982" t="s">
        <v>32</v>
      </c>
      <c r="L2982" t="s">
        <v>32</v>
      </c>
      <c r="M2982" t="s">
        <v>33</v>
      </c>
      <c r="N2982" t="s">
        <v>33</v>
      </c>
      <c r="O2982" t="s">
        <v>33</v>
      </c>
      <c r="P2982" t="s">
        <v>34</v>
      </c>
      <c r="Q2982" t="s">
        <v>35</v>
      </c>
      <c r="S2982" t="s">
        <v>30</v>
      </c>
      <c r="T2982" t="s">
        <v>2597</v>
      </c>
      <c r="U2982" t="s">
        <v>2598</v>
      </c>
      <c r="V2982" t="s">
        <v>39</v>
      </c>
      <c r="W2982" s="1">
        <v>4</v>
      </c>
    </row>
    <row r="2983" spans="1:23" x14ac:dyDescent="0.2">
      <c r="A2983" t="s">
        <v>2096</v>
      </c>
      <c r="B2983" t="s">
        <v>2097</v>
      </c>
      <c r="C2983" t="s">
        <v>2466</v>
      </c>
      <c r="D2983" t="s">
        <v>2573</v>
      </c>
      <c r="E2983" t="s">
        <v>2574</v>
      </c>
      <c r="F2983" t="s">
        <v>2575</v>
      </c>
      <c r="G2983" t="s">
        <v>61</v>
      </c>
      <c r="H2983" t="s">
        <v>52</v>
      </c>
      <c r="I2983" t="s">
        <v>52</v>
      </c>
      <c r="J2983" t="s">
        <v>31</v>
      </c>
      <c r="K2983" t="s">
        <v>32</v>
      </c>
      <c r="L2983" t="s">
        <v>32</v>
      </c>
      <c r="M2983" t="s">
        <v>33</v>
      </c>
      <c r="N2983" t="s">
        <v>33</v>
      </c>
      <c r="O2983" t="s">
        <v>33</v>
      </c>
      <c r="P2983" t="s">
        <v>34</v>
      </c>
      <c r="Q2983" t="s">
        <v>35</v>
      </c>
      <c r="S2983" t="s">
        <v>30</v>
      </c>
      <c r="T2983" t="s">
        <v>2597</v>
      </c>
      <c r="U2983" t="s">
        <v>2598</v>
      </c>
      <c r="V2983" t="s">
        <v>40</v>
      </c>
      <c r="W2983" s="1">
        <v>2599600</v>
      </c>
    </row>
    <row r="2984" spans="1:23" x14ac:dyDescent="0.2">
      <c r="A2984" t="s">
        <v>2096</v>
      </c>
      <c r="B2984" t="s">
        <v>2097</v>
      </c>
      <c r="C2984" t="s">
        <v>2466</v>
      </c>
      <c r="D2984" t="s">
        <v>2573</v>
      </c>
      <c r="E2984" t="s">
        <v>2574</v>
      </c>
      <c r="F2984" t="s">
        <v>2575</v>
      </c>
      <c r="G2984" t="s">
        <v>61</v>
      </c>
      <c r="H2984" t="s">
        <v>52</v>
      </c>
      <c r="I2984" t="s">
        <v>52</v>
      </c>
      <c r="J2984" t="s">
        <v>31</v>
      </c>
      <c r="K2984" t="s">
        <v>32</v>
      </c>
      <c r="L2984" t="s">
        <v>32</v>
      </c>
      <c r="M2984" t="s">
        <v>33</v>
      </c>
      <c r="N2984" t="s">
        <v>33</v>
      </c>
      <c r="O2984" t="s">
        <v>33</v>
      </c>
      <c r="P2984" t="s">
        <v>34</v>
      </c>
      <c r="Q2984" t="s">
        <v>35</v>
      </c>
      <c r="S2984" t="s">
        <v>30</v>
      </c>
      <c r="T2984" t="s">
        <v>2603</v>
      </c>
      <c r="U2984" t="s">
        <v>2604</v>
      </c>
      <c r="V2984" t="s">
        <v>39</v>
      </c>
      <c r="W2984" s="1">
        <v>6</v>
      </c>
    </row>
    <row r="2985" spans="1:23" x14ac:dyDescent="0.2">
      <c r="A2985" t="s">
        <v>2096</v>
      </c>
      <c r="B2985" t="s">
        <v>2097</v>
      </c>
      <c r="C2985" t="s">
        <v>2466</v>
      </c>
      <c r="D2985" t="s">
        <v>2573</v>
      </c>
      <c r="E2985" t="s">
        <v>2574</v>
      </c>
      <c r="F2985" t="s">
        <v>2575</v>
      </c>
      <c r="G2985" t="s">
        <v>61</v>
      </c>
      <c r="H2985" t="s">
        <v>52</v>
      </c>
      <c r="I2985" t="s">
        <v>52</v>
      </c>
      <c r="J2985" t="s">
        <v>31</v>
      </c>
      <c r="K2985" t="s">
        <v>32</v>
      </c>
      <c r="L2985" t="s">
        <v>32</v>
      </c>
      <c r="M2985" t="s">
        <v>33</v>
      </c>
      <c r="N2985" t="s">
        <v>33</v>
      </c>
      <c r="O2985" t="s">
        <v>33</v>
      </c>
      <c r="P2985" t="s">
        <v>34</v>
      </c>
      <c r="Q2985" t="s">
        <v>35</v>
      </c>
      <c r="S2985" t="s">
        <v>30</v>
      </c>
      <c r="T2985" t="s">
        <v>2603</v>
      </c>
      <c r="U2985" t="s">
        <v>2604</v>
      </c>
      <c r="V2985" t="s">
        <v>40</v>
      </c>
      <c r="W2985" s="1">
        <v>8399400</v>
      </c>
    </row>
    <row r="2986" spans="1:23" x14ac:dyDescent="0.2">
      <c r="A2986" t="s">
        <v>2096</v>
      </c>
      <c r="B2986" t="s">
        <v>2097</v>
      </c>
      <c r="C2986" t="s">
        <v>2466</v>
      </c>
      <c r="D2986" t="s">
        <v>2573</v>
      </c>
      <c r="E2986" t="s">
        <v>2574</v>
      </c>
      <c r="F2986" t="s">
        <v>2575</v>
      </c>
      <c r="G2986" t="s">
        <v>61</v>
      </c>
      <c r="H2986" t="s">
        <v>52</v>
      </c>
      <c r="I2986" t="s">
        <v>52</v>
      </c>
      <c r="J2986" t="s">
        <v>31</v>
      </c>
      <c r="K2986" t="s">
        <v>32</v>
      </c>
      <c r="L2986" t="s">
        <v>32</v>
      </c>
      <c r="M2986" t="s">
        <v>33</v>
      </c>
      <c r="P2986" t="s">
        <v>34</v>
      </c>
      <c r="Q2986" t="s">
        <v>35</v>
      </c>
      <c r="S2986" t="s">
        <v>30</v>
      </c>
      <c r="T2986" t="s">
        <v>2597</v>
      </c>
      <c r="U2986" t="s">
        <v>2598</v>
      </c>
      <c r="V2986" t="s">
        <v>39</v>
      </c>
      <c r="W2986" s="1">
        <v>1</v>
      </c>
    </row>
    <row r="2987" spans="1:23" x14ac:dyDescent="0.2">
      <c r="A2987" t="s">
        <v>2096</v>
      </c>
      <c r="B2987" t="s">
        <v>2097</v>
      </c>
      <c r="C2987" t="s">
        <v>2466</v>
      </c>
      <c r="D2987" t="s">
        <v>2573</v>
      </c>
      <c r="E2987" t="s">
        <v>2574</v>
      </c>
      <c r="F2987" t="s">
        <v>2575</v>
      </c>
      <c r="G2987" t="s">
        <v>61</v>
      </c>
      <c r="H2987" t="s">
        <v>52</v>
      </c>
      <c r="I2987" t="s">
        <v>52</v>
      </c>
      <c r="J2987" t="s">
        <v>31</v>
      </c>
      <c r="K2987" t="s">
        <v>32</v>
      </c>
      <c r="L2987" t="s">
        <v>32</v>
      </c>
      <c r="M2987" t="s">
        <v>33</v>
      </c>
      <c r="P2987" t="s">
        <v>34</v>
      </c>
      <c r="Q2987" t="s">
        <v>35</v>
      </c>
      <c r="S2987" t="s">
        <v>30</v>
      </c>
      <c r="T2987" t="s">
        <v>2597</v>
      </c>
      <c r="U2987" t="s">
        <v>2598</v>
      </c>
      <c r="V2987" t="s">
        <v>40</v>
      </c>
      <c r="W2987" s="1">
        <v>649900</v>
      </c>
    </row>
    <row r="2988" spans="1:23" x14ac:dyDescent="0.2">
      <c r="A2988" t="s">
        <v>2096</v>
      </c>
      <c r="B2988" t="s">
        <v>2097</v>
      </c>
      <c r="C2988" t="s">
        <v>2466</v>
      </c>
      <c r="D2988" t="s">
        <v>2573</v>
      </c>
      <c r="E2988" t="s">
        <v>2574</v>
      </c>
      <c r="F2988" t="s">
        <v>2575</v>
      </c>
      <c r="G2988" t="s">
        <v>61</v>
      </c>
      <c r="H2988" t="s">
        <v>52</v>
      </c>
      <c r="I2988" t="s">
        <v>52</v>
      </c>
      <c r="J2988" t="s">
        <v>31</v>
      </c>
      <c r="K2988" t="s">
        <v>32</v>
      </c>
      <c r="L2988" t="s">
        <v>32</v>
      </c>
      <c r="M2988" t="s">
        <v>33</v>
      </c>
      <c r="P2988" t="s">
        <v>34</v>
      </c>
      <c r="Q2988" t="s">
        <v>35</v>
      </c>
      <c r="S2988" t="s">
        <v>52</v>
      </c>
      <c r="T2988" t="s">
        <v>2603</v>
      </c>
      <c r="U2988" t="s">
        <v>2604</v>
      </c>
      <c r="V2988" t="s">
        <v>39</v>
      </c>
      <c r="W2988" s="1">
        <v>0</v>
      </c>
    </row>
    <row r="2989" spans="1:23" x14ac:dyDescent="0.2">
      <c r="A2989" t="s">
        <v>2096</v>
      </c>
      <c r="B2989" t="s">
        <v>2097</v>
      </c>
      <c r="C2989" t="s">
        <v>2466</v>
      </c>
      <c r="D2989" t="s">
        <v>2573</v>
      </c>
      <c r="E2989" t="s">
        <v>2574</v>
      </c>
      <c r="F2989" t="s">
        <v>2575</v>
      </c>
      <c r="G2989" t="s">
        <v>61</v>
      </c>
      <c r="H2989" t="s">
        <v>52</v>
      </c>
      <c r="I2989" t="s">
        <v>52</v>
      </c>
      <c r="J2989" t="s">
        <v>31</v>
      </c>
      <c r="K2989" t="s">
        <v>32</v>
      </c>
      <c r="L2989" t="s">
        <v>32</v>
      </c>
      <c r="M2989" t="s">
        <v>33</v>
      </c>
      <c r="P2989" t="s">
        <v>34</v>
      </c>
      <c r="Q2989" t="s">
        <v>35</v>
      </c>
      <c r="S2989" t="s">
        <v>52</v>
      </c>
      <c r="T2989" t="s">
        <v>2603</v>
      </c>
      <c r="U2989" t="s">
        <v>2604</v>
      </c>
      <c r="V2989" t="s">
        <v>40</v>
      </c>
      <c r="W2989" s="1">
        <v>2999800</v>
      </c>
    </row>
    <row r="2990" spans="1:23" x14ac:dyDescent="0.2">
      <c r="A2990" t="s">
        <v>2096</v>
      </c>
      <c r="B2990" t="s">
        <v>2097</v>
      </c>
      <c r="C2990" t="s">
        <v>2466</v>
      </c>
      <c r="D2990" t="s">
        <v>2573</v>
      </c>
      <c r="E2990" t="s">
        <v>2574</v>
      </c>
      <c r="F2990" t="s">
        <v>2575</v>
      </c>
      <c r="G2990" t="s">
        <v>61</v>
      </c>
      <c r="H2990" t="s">
        <v>52</v>
      </c>
      <c r="I2990" t="s">
        <v>52</v>
      </c>
      <c r="J2990" t="s">
        <v>31</v>
      </c>
      <c r="K2990" t="s">
        <v>32</v>
      </c>
      <c r="L2990" t="s">
        <v>32</v>
      </c>
      <c r="M2990" t="s">
        <v>176</v>
      </c>
      <c r="N2990" t="s">
        <v>176</v>
      </c>
      <c r="O2990" t="s">
        <v>176</v>
      </c>
      <c r="P2990" t="s">
        <v>34</v>
      </c>
      <c r="Q2990" t="s">
        <v>35</v>
      </c>
      <c r="R2990" t="s">
        <v>2347</v>
      </c>
      <c r="S2990" t="s">
        <v>30</v>
      </c>
      <c r="T2990" t="s">
        <v>2601</v>
      </c>
      <c r="U2990" t="s">
        <v>2602</v>
      </c>
      <c r="V2990" t="s">
        <v>39</v>
      </c>
      <c r="W2990" s="1">
        <v>1</v>
      </c>
    </row>
    <row r="2991" spans="1:23" x14ac:dyDescent="0.2">
      <c r="A2991" t="s">
        <v>2096</v>
      </c>
      <c r="B2991" t="s">
        <v>2097</v>
      </c>
      <c r="C2991" t="s">
        <v>2466</v>
      </c>
      <c r="D2991" t="s">
        <v>2573</v>
      </c>
      <c r="E2991" t="s">
        <v>2574</v>
      </c>
      <c r="F2991" t="s">
        <v>2575</v>
      </c>
      <c r="G2991" t="s">
        <v>61</v>
      </c>
      <c r="H2991" t="s">
        <v>52</v>
      </c>
      <c r="I2991" t="s">
        <v>52</v>
      </c>
      <c r="J2991" t="s">
        <v>31</v>
      </c>
      <c r="K2991" t="s">
        <v>32</v>
      </c>
      <c r="L2991" t="s">
        <v>32</v>
      </c>
      <c r="M2991" t="s">
        <v>176</v>
      </c>
      <c r="N2991" t="s">
        <v>176</v>
      </c>
      <c r="O2991" t="s">
        <v>176</v>
      </c>
      <c r="P2991" t="s">
        <v>34</v>
      </c>
      <c r="Q2991" t="s">
        <v>35</v>
      </c>
      <c r="R2991" t="s">
        <v>2347</v>
      </c>
      <c r="S2991" t="s">
        <v>30</v>
      </c>
      <c r="T2991" t="s">
        <v>2601</v>
      </c>
      <c r="U2991" t="s">
        <v>2602</v>
      </c>
      <c r="V2991" t="s">
        <v>40</v>
      </c>
      <c r="W2991" s="1">
        <v>1157900</v>
      </c>
    </row>
    <row r="2992" spans="1:23" x14ac:dyDescent="0.2">
      <c r="A2992" t="s">
        <v>2096</v>
      </c>
      <c r="B2992" t="s">
        <v>2097</v>
      </c>
      <c r="C2992" t="s">
        <v>2466</v>
      </c>
      <c r="D2992" t="s">
        <v>2573</v>
      </c>
      <c r="E2992" t="s">
        <v>2574</v>
      </c>
      <c r="F2992" t="s">
        <v>2575</v>
      </c>
      <c r="G2992" t="s">
        <v>61</v>
      </c>
      <c r="H2992" t="s">
        <v>52</v>
      </c>
      <c r="I2992" t="s">
        <v>52</v>
      </c>
      <c r="J2992" t="s">
        <v>41</v>
      </c>
      <c r="K2992" t="s">
        <v>32</v>
      </c>
      <c r="L2992" t="s">
        <v>32</v>
      </c>
      <c r="M2992" t="s">
        <v>33</v>
      </c>
      <c r="N2992" t="s">
        <v>33</v>
      </c>
      <c r="O2992" t="s">
        <v>33</v>
      </c>
      <c r="P2992" t="s">
        <v>34</v>
      </c>
      <c r="Q2992" t="s">
        <v>35</v>
      </c>
      <c r="R2992" t="s">
        <v>294</v>
      </c>
      <c r="S2992" t="s">
        <v>30</v>
      </c>
      <c r="T2992" t="s">
        <v>2605</v>
      </c>
      <c r="U2992" t="s">
        <v>2606</v>
      </c>
      <c r="V2992" t="s">
        <v>39</v>
      </c>
      <c r="W2992" s="1">
        <v>7</v>
      </c>
    </row>
    <row r="2993" spans="1:23" x14ac:dyDescent="0.2">
      <c r="A2993" t="s">
        <v>2096</v>
      </c>
      <c r="B2993" t="s">
        <v>2097</v>
      </c>
      <c r="C2993" t="s">
        <v>2466</v>
      </c>
      <c r="D2993" t="s">
        <v>2573</v>
      </c>
      <c r="E2993" t="s">
        <v>2574</v>
      </c>
      <c r="F2993" t="s">
        <v>2575</v>
      </c>
      <c r="G2993" t="s">
        <v>61</v>
      </c>
      <c r="H2993" t="s">
        <v>52</v>
      </c>
      <c r="I2993" t="s">
        <v>52</v>
      </c>
      <c r="J2993" t="s">
        <v>41</v>
      </c>
      <c r="K2993" t="s">
        <v>32</v>
      </c>
      <c r="L2993" t="s">
        <v>32</v>
      </c>
      <c r="M2993" t="s">
        <v>33</v>
      </c>
      <c r="N2993" t="s">
        <v>33</v>
      </c>
      <c r="O2993" t="s">
        <v>33</v>
      </c>
      <c r="P2993" t="s">
        <v>34</v>
      </c>
      <c r="Q2993" t="s">
        <v>35</v>
      </c>
      <c r="R2993" t="s">
        <v>294</v>
      </c>
      <c r="S2993" t="s">
        <v>30</v>
      </c>
      <c r="T2993" t="s">
        <v>2605</v>
      </c>
      <c r="U2993" t="s">
        <v>2606</v>
      </c>
      <c r="V2993" t="s">
        <v>40</v>
      </c>
      <c r="W2993" s="1">
        <v>9031400</v>
      </c>
    </row>
    <row r="2994" spans="1:23" x14ac:dyDescent="0.2">
      <c r="A2994" t="s">
        <v>2096</v>
      </c>
      <c r="B2994" t="s">
        <v>2097</v>
      </c>
      <c r="C2994" t="s">
        <v>2466</v>
      </c>
      <c r="D2994" t="s">
        <v>2573</v>
      </c>
      <c r="E2994" t="s">
        <v>2574</v>
      </c>
      <c r="F2994" t="s">
        <v>2575</v>
      </c>
      <c r="G2994" t="s">
        <v>61</v>
      </c>
      <c r="H2994" t="s">
        <v>52</v>
      </c>
      <c r="I2994" t="s">
        <v>52</v>
      </c>
      <c r="J2994" t="s">
        <v>41</v>
      </c>
      <c r="K2994" t="s">
        <v>32</v>
      </c>
      <c r="L2994" t="s">
        <v>32</v>
      </c>
      <c r="M2994" t="s">
        <v>33</v>
      </c>
      <c r="N2994" t="s">
        <v>33</v>
      </c>
      <c r="O2994" t="s">
        <v>33</v>
      </c>
      <c r="P2994" t="s">
        <v>34</v>
      </c>
      <c r="Q2994" t="s">
        <v>35</v>
      </c>
      <c r="S2994" t="s">
        <v>30</v>
      </c>
      <c r="T2994" t="s">
        <v>2595</v>
      </c>
      <c r="U2994" t="s">
        <v>2607</v>
      </c>
      <c r="V2994" t="s">
        <v>39</v>
      </c>
      <c r="W2994" s="1">
        <v>2</v>
      </c>
    </row>
    <row r="2995" spans="1:23" x14ac:dyDescent="0.2">
      <c r="A2995" t="s">
        <v>2096</v>
      </c>
      <c r="B2995" t="s">
        <v>2097</v>
      </c>
      <c r="C2995" t="s">
        <v>2466</v>
      </c>
      <c r="D2995" t="s">
        <v>2573</v>
      </c>
      <c r="E2995" t="s">
        <v>2574</v>
      </c>
      <c r="F2995" t="s">
        <v>2575</v>
      </c>
      <c r="G2995" t="s">
        <v>61</v>
      </c>
      <c r="H2995" t="s">
        <v>52</v>
      </c>
      <c r="I2995" t="s">
        <v>52</v>
      </c>
      <c r="J2995" t="s">
        <v>41</v>
      </c>
      <c r="K2995" t="s">
        <v>32</v>
      </c>
      <c r="L2995" t="s">
        <v>32</v>
      </c>
      <c r="M2995" t="s">
        <v>33</v>
      </c>
      <c r="N2995" t="s">
        <v>33</v>
      </c>
      <c r="O2995" t="s">
        <v>33</v>
      </c>
      <c r="P2995" t="s">
        <v>34</v>
      </c>
      <c r="Q2995" t="s">
        <v>35</v>
      </c>
      <c r="S2995" t="s">
        <v>30</v>
      </c>
      <c r="T2995" t="s">
        <v>2595</v>
      </c>
      <c r="U2995" t="s">
        <v>2607</v>
      </c>
      <c r="V2995" t="s">
        <v>40</v>
      </c>
      <c r="W2995" s="1">
        <v>2056000</v>
      </c>
    </row>
    <row r="2996" spans="1:23" x14ac:dyDescent="0.2">
      <c r="A2996" t="s">
        <v>2096</v>
      </c>
      <c r="B2996" t="s">
        <v>2097</v>
      </c>
      <c r="C2996" t="s">
        <v>2466</v>
      </c>
      <c r="D2996" t="s">
        <v>2573</v>
      </c>
      <c r="E2996" t="s">
        <v>2574</v>
      </c>
      <c r="F2996" t="s">
        <v>2575</v>
      </c>
      <c r="G2996" t="s">
        <v>61</v>
      </c>
      <c r="H2996" t="s">
        <v>52</v>
      </c>
      <c r="I2996" t="s">
        <v>52</v>
      </c>
      <c r="J2996" t="s">
        <v>41</v>
      </c>
      <c r="K2996" t="s">
        <v>32</v>
      </c>
      <c r="L2996" t="s">
        <v>32</v>
      </c>
      <c r="M2996" t="s">
        <v>33</v>
      </c>
      <c r="P2996" t="s">
        <v>34</v>
      </c>
      <c r="Q2996" t="s">
        <v>35</v>
      </c>
      <c r="S2996" t="s">
        <v>30</v>
      </c>
      <c r="T2996" t="s">
        <v>2342</v>
      </c>
      <c r="U2996" t="s">
        <v>2608</v>
      </c>
      <c r="V2996" t="s">
        <v>39</v>
      </c>
      <c r="W2996" s="1">
        <v>2</v>
      </c>
    </row>
    <row r="2997" spans="1:23" x14ac:dyDescent="0.2">
      <c r="A2997" t="s">
        <v>2096</v>
      </c>
      <c r="B2997" t="s">
        <v>2097</v>
      </c>
      <c r="C2997" t="s">
        <v>2466</v>
      </c>
      <c r="D2997" t="s">
        <v>2573</v>
      </c>
      <c r="E2997" t="s">
        <v>2574</v>
      </c>
      <c r="F2997" t="s">
        <v>2575</v>
      </c>
      <c r="G2997" t="s">
        <v>61</v>
      </c>
      <c r="H2997" t="s">
        <v>52</v>
      </c>
      <c r="I2997" t="s">
        <v>52</v>
      </c>
      <c r="J2997" t="s">
        <v>41</v>
      </c>
      <c r="K2997" t="s">
        <v>32</v>
      </c>
      <c r="L2997" t="s">
        <v>32</v>
      </c>
      <c r="M2997" t="s">
        <v>33</v>
      </c>
      <c r="P2997" t="s">
        <v>34</v>
      </c>
      <c r="Q2997" t="s">
        <v>35</v>
      </c>
      <c r="S2997" t="s">
        <v>30</v>
      </c>
      <c r="T2997" t="s">
        <v>2342</v>
      </c>
      <c r="U2997" t="s">
        <v>2608</v>
      </c>
      <c r="V2997" t="s">
        <v>40</v>
      </c>
      <c r="W2997" s="1">
        <v>1881800</v>
      </c>
    </row>
    <row r="2998" spans="1:23" x14ac:dyDescent="0.2">
      <c r="A2998" t="s">
        <v>2096</v>
      </c>
      <c r="B2998" t="s">
        <v>2097</v>
      </c>
      <c r="C2998" t="s">
        <v>2466</v>
      </c>
      <c r="D2998" t="s">
        <v>2573</v>
      </c>
      <c r="E2998" t="s">
        <v>2574</v>
      </c>
      <c r="F2998" t="s">
        <v>2575</v>
      </c>
      <c r="G2998" t="s">
        <v>61</v>
      </c>
      <c r="H2998" t="s">
        <v>52</v>
      </c>
      <c r="I2998" t="s">
        <v>52</v>
      </c>
      <c r="J2998" t="s">
        <v>41</v>
      </c>
      <c r="K2998" t="s">
        <v>32</v>
      </c>
      <c r="L2998" t="s">
        <v>32</v>
      </c>
      <c r="M2998" t="s">
        <v>33</v>
      </c>
      <c r="P2998" t="s">
        <v>42</v>
      </c>
      <c r="Q2998" t="s">
        <v>43</v>
      </c>
      <c r="R2998" t="s">
        <v>294</v>
      </c>
      <c r="S2998" t="s">
        <v>52</v>
      </c>
      <c r="T2998" t="s">
        <v>2609</v>
      </c>
      <c r="U2998" t="s">
        <v>2610</v>
      </c>
      <c r="V2998" t="s">
        <v>39</v>
      </c>
      <c r="W2998" s="1">
        <v>0</v>
      </c>
    </row>
    <row r="2999" spans="1:23" x14ac:dyDescent="0.2">
      <c r="A2999" t="s">
        <v>2096</v>
      </c>
      <c r="B2999" t="s">
        <v>2097</v>
      </c>
      <c r="C2999" t="s">
        <v>2466</v>
      </c>
      <c r="D2999" t="s">
        <v>2573</v>
      </c>
      <c r="E2999" t="s">
        <v>2574</v>
      </c>
      <c r="F2999" t="s">
        <v>2575</v>
      </c>
      <c r="G2999" t="s">
        <v>61</v>
      </c>
      <c r="H2999" t="s">
        <v>52</v>
      </c>
      <c r="I2999" t="s">
        <v>52</v>
      </c>
      <c r="J2999" t="s">
        <v>41</v>
      </c>
      <c r="K2999" t="s">
        <v>32</v>
      </c>
      <c r="L2999" t="s">
        <v>32</v>
      </c>
      <c r="M2999" t="s">
        <v>33</v>
      </c>
      <c r="P2999" t="s">
        <v>42</v>
      </c>
      <c r="Q2999" t="s">
        <v>43</v>
      </c>
      <c r="R2999" t="s">
        <v>294</v>
      </c>
      <c r="S2999" t="s">
        <v>52</v>
      </c>
      <c r="T2999" t="s">
        <v>2609</v>
      </c>
      <c r="U2999" t="s">
        <v>2610</v>
      </c>
      <c r="V2999" t="s">
        <v>40</v>
      </c>
      <c r="W2999" s="1">
        <v>1069000</v>
      </c>
    </row>
    <row r="3000" spans="1:23" x14ac:dyDescent="0.2">
      <c r="A3000" t="s">
        <v>2096</v>
      </c>
      <c r="B3000" t="s">
        <v>2097</v>
      </c>
      <c r="C3000" t="s">
        <v>2466</v>
      </c>
      <c r="D3000" t="s">
        <v>2573</v>
      </c>
      <c r="E3000" t="s">
        <v>2574</v>
      </c>
      <c r="F3000" t="s">
        <v>2575</v>
      </c>
      <c r="G3000" t="s">
        <v>61</v>
      </c>
      <c r="H3000" t="s">
        <v>52</v>
      </c>
      <c r="I3000" t="s">
        <v>52</v>
      </c>
      <c r="J3000" t="s">
        <v>41</v>
      </c>
      <c r="K3000" t="s">
        <v>32</v>
      </c>
      <c r="L3000" t="s">
        <v>32</v>
      </c>
      <c r="M3000" t="s">
        <v>176</v>
      </c>
      <c r="P3000" t="s">
        <v>34</v>
      </c>
      <c r="Q3000" t="s">
        <v>35</v>
      </c>
      <c r="S3000" t="s">
        <v>30</v>
      </c>
      <c r="T3000" t="s">
        <v>2342</v>
      </c>
      <c r="U3000" t="s">
        <v>2608</v>
      </c>
      <c r="V3000" t="s">
        <v>39</v>
      </c>
      <c r="W3000" s="1">
        <v>2</v>
      </c>
    </row>
    <row r="3001" spans="1:23" x14ac:dyDescent="0.2">
      <c r="A3001" t="s">
        <v>2096</v>
      </c>
      <c r="B3001" t="s">
        <v>2097</v>
      </c>
      <c r="C3001" t="s">
        <v>2466</v>
      </c>
      <c r="D3001" t="s">
        <v>2573</v>
      </c>
      <c r="E3001" t="s">
        <v>2574</v>
      </c>
      <c r="F3001" t="s">
        <v>2575</v>
      </c>
      <c r="G3001" t="s">
        <v>61</v>
      </c>
      <c r="H3001" t="s">
        <v>52</v>
      </c>
      <c r="I3001" t="s">
        <v>52</v>
      </c>
      <c r="J3001" t="s">
        <v>41</v>
      </c>
      <c r="K3001" t="s">
        <v>32</v>
      </c>
      <c r="L3001" t="s">
        <v>32</v>
      </c>
      <c r="M3001" t="s">
        <v>176</v>
      </c>
      <c r="P3001" t="s">
        <v>34</v>
      </c>
      <c r="Q3001" t="s">
        <v>35</v>
      </c>
      <c r="S3001" t="s">
        <v>30</v>
      </c>
      <c r="T3001" t="s">
        <v>2342</v>
      </c>
      <c r="U3001" t="s">
        <v>2608</v>
      </c>
      <c r="V3001" t="s">
        <v>40</v>
      </c>
      <c r="W3001" s="1">
        <v>1693620</v>
      </c>
    </row>
    <row r="3002" spans="1:23" x14ac:dyDescent="0.2">
      <c r="A3002" t="s">
        <v>2096</v>
      </c>
      <c r="B3002" t="s">
        <v>2097</v>
      </c>
      <c r="C3002" t="s">
        <v>2466</v>
      </c>
      <c r="D3002" t="s">
        <v>2573</v>
      </c>
      <c r="E3002" t="s">
        <v>2574</v>
      </c>
      <c r="F3002" t="s">
        <v>2575</v>
      </c>
      <c r="G3002" t="s">
        <v>170</v>
      </c>
      <c r="H3002" t="s">
        <v>52</v>
      </c>
      <c r="I3002" t="s">
        <v>30</v>
      </c>
      <c r="J3002" t="s">
        <v>31</v>
      </c>
      <c r="K3002" t="s">
        <v>32</v>
      </c>
      <c r="L3002" t="s">
        <v>32</v>
      </c>
      <c r="M3002" t="s">
        <v>33</v>
      </c>
      <c r="N3002" t="s">
        <v>33</v>
      </c>
      <c r="O3002" t="s">
        <v>33</v>
      </c>
      <c r="P3002" t="s">
        <v>213</v>
      </c>
      <c r="Q3002" t="s">
        <v>2118</v>
      </c>
      <c r="S3002" t="s">
        <v>30</v>
      </c>
      <c r="T3002" t="s">
        <v>2611</v>
      </c>
      <c r="U3002" t="s">
        <v>2612</v>
      </c>
      <c r="V3002" t="s">
        <v>39</v>
      </c>
      <c r="W3002" s="1">
        <v>2</v>
      </c>
    </row>
    <row r="3003" spans="1:23" x14ac:dyDescent="0.2">
      <c r="A3003" t="s">
        <v>2096</v>
      </c>
      <c r="B3003" t="s">
        <v>2097</v>
      </c>
      <c r="C3003" t="s">
        <v>2466</v>
      </c>
      <c r="D3003" t="s">
        <v>2573</v>
      </c>
      <c r="E3003" t="s">
        <v>2574</v>
      </c>
      <c r="F3003" t="s">
        <v>2575</v>
      </c>
      <c r="G3003" t="s">
        <v>170</v>
      </c>
      <c r="H3003" t="s">
        <v>52</v>
      </c>
      <c r="I3003" t="s">
        <v>30</v>
      </c>
      <c r="J3003" t="s">
        <v>31</v>
      </c>
      <c r="K3003" t="s">
        <v>32</v>
      </c>
      <c r="L3003" t="s">
        <v>32</v>
      </c>
      <c r="M3003" t="s">
        <v>33</v>
      </c>
      <c r="N3003" t="s">
        <v>33</v>
      </c>
      <c r="O3003" t="s">
        <v>33</v>
      </c>
      <c r="P3003" t="s">
        <v>213</v>
      </c>
      <c r="Q3003" t="s">
        <v>2118</v>
      </c>
      <c r="S3003" t="s">
        <v>30</v>
      </c>
      <c r="T3003" t="s">
        <v>2611</v>
      </c>
      <c r="U3003" t="s">
        <v>2612</v>
      </c>
      <c r="V3003" t="s">
        <v>40</v>
      </c>
      <c r="W3003" s="1">
        <v>1113800</v>
      </c>
    </row>
    <row r="3004" spans="1:23" x14ac:dyDescent="0.2">
      <c r="A3004" t="s">
        <v>2096</v>
      </c>
      <c r="B3004" t="s">
        <v>2097</v>
      </c>
      <c r="C3004" t="s">
        <v>2466</v>
      </c>
      <c r="D3004" t="s">
        <v>2573</v>
      </c>
      <c r="E3004" t="s">
        <v>2574</v>
      </c>
      <c r="F3004" t="s">
        <v>2575</v>
      </c>
      <c r="G3004" t="s">
        <v>170</v>
      </c>
      <c r="H3004" t="s">
        <v>52</v>
      </c>
      <c r="I3004" t="s">
        <v>30</v>
      </c>
      <c r="J3004" t="s">
        <v>31</v>
      </c>
      <c r="K3004" t="s">
        <v>32</v>
      </c>
      <c r="L3004" t="s">
        <v>32</v>
      </c>
      <c r="M3004" t="s">
        <v>33</v>
      </c>
      <c r="N3004" t="s">
        <v>33</v>
      </c>
      <c r="O3004" t="s">
        <v>33</v>
      </c>
      <c r="P3004" t="s">
        <v>213</v>
      </c>
      <c r="Q3004" t="s">
        <v>2111</v>
      </c>
      <c r="R3004" t="s">
        <v>184</v>
      </c>
      <c r="S3004" t="s">
        <v>30</v>
      </c>
      <c r="T3004" t="s">
        <v>2305</v>
      </c>
      <c r="U3004" t="s">
        <v>2613</v>
      </c>
      <c r="V3004" t="s">
        <v>39</v>
      </c>
      <c r="W3004" s="1">
        <v>3</v>
      </c>
    </row>
    <row r="3005" spans="1:23" x14ac:dyDescent="0.2">
      <c r="A3005" t="s">
        <v>2096</v>
      </c>
      <c r="B3005" t="s">
        <v>2097</v>
      </c>
      <c r="C3005" t="s">
        <v>2466</v>
      </c>
      <c r="D3005" t="s">
        <v>2573</v>
      </c>
      <c r="E3005" t="s">
        <v>2574</v>
      </c>
      <c r="F3005" t="s">
        <v>2575</v>
      </c>
      <c r="G3005" t="s">
        <v>170</v>
      </c>
      <c r="H3005" t="s">
        <v>52</v>
      </c>
      <c r="I3005" t="s">
        <v>30</v>
      </c>
      <c r="J3005" t="s">
        <v>31</v>
      </c>
      <c r="K3005" t="s">
        <v>32</v>
      </c>
      <c r="L3005" t="s">
        <v>32</v>
      </c>
      <c r="M3005" t="s">
        <v>33</v>
      </c>
      <c r="N3005" t="s">
        <v>33</v>
      </c>
      <c r="O3005" t="s">
        <v>33</v>
      </c>
      <c r="P3005" t="s">
        <v>213</v>
      </c>
      <c r="Q3005" t="s">
        <v>2111</v>
      </c>
      <c r="R3005" t="s">
        <v>184</v>
      </c>
      <c r="S3005" t="s">
        <v>30</v>
      </c>
      <c r="T3005" t="s">
        <v>2305</v>
      </c>
      <c r="U3005" t="s">
        <v>2613</v>
      </c>
      <c r="V3005" t="s">
        <v>40</v>
      </c>
      <c r="W3005" s="1">
        <v>1580700</v>
      </c>
    </row>
    <row r="3006" spans="1:23" x14ac:dyDescent="0.2">
      <c r="A3006" t="s">
        <v>2096</v>
      </c>
      <c r="B3006" t="s">
        <v>2097</v>
      </c>
      <c r="C3006" t="s">
        <v>2466</v>
      </c>
      <c r="D3006" t="s">
        <v>2573</v>
      </c>
      <c r="E3006" t="s">
        <v>2574</v>
      </c>
      <c r="F3006" t="s">
        <v>2575</v>
      </c>
      <c r="G3006" t="s">
        <v>170</v>
      </c>
      <c r="H3006" t="s">
        <v>52</v>
      </c>
      <c r="I3006" t="s">
        <v>30</v>
      </c>
      <c r="J3006" t="s">
        <v>31</v>
      </c>
      <c r="K3006" t="s">
        <v>32</v>
      </c>
      <c r="L3006" t="s">
        <v>32</v>
      </c>
      <c r="M3006" t="s">
        <v>33</v>
      </c>
      <c r="N3006" t="s">
        <v>33</v>
      </c>
      <c r="O3006" t="s">
        <v>33</v>
      </c>
      <c r="P3006" t="s">
        <v>34</v>
      </c>
      <c r="Q3006" t="s">
        <v>35</v>
      </c>
      <c r="S3006" t="s">
        <v>30</v>
      </c>
      <c r="T3006" t="s">
        <v>2614</v>
      </c>
      <c r="U3006" t="s">
        <v>2615</v>
      </c>
      <c r="V3006" t="s">
        <v>39</v>
      </c>
      <c r="W3006" s="1">
        <v>2</v>
      </c>
    </row>
    <row r="3007" spans="1:23" x14ac:dyDescent="0.2">
      <c r="A3007" t="s">
        <v>2096</v>
      </c>
      <c r="B3007" t="s">
        <v>2097</v>
      </c>
      <c r="C3007" t="s">
        <v>2466</v>
      </c>
      <c r="D3007" t="s">
        <v>2573</v>
      </c>
      <c r="E3007" t="s">
        <v>2574</v>
      </c>
      <c r="F3007" t="s">
        <v>2575</v>
      </c>
      <c r="G3007" t="s">
        <v>170</v>
      </c>
      <c r="H3007" t="s">
        <v>52</v>
      </c>
      <c r="I3007" t="s">
        <v>30</v>
      </c>
      <c r="J3007" t="s">
        <v>31</v>
      </c>
      <c r="K3007" t="s">
        <v>32</v>
      </c>
      <c r="L3007" t="s">
        <v>32</v>
      </c>
      <c r="M3007" t="s">
        <v>33</v>
      </c>
      <c r="N3007" t="s">
        <v>33</v>
      </c>
      <c r="O3007" t="s">
        <v>33</v>
      </c>
      <c r="P3007" t="s">
        <v>34</v>
      </c>
      <c r="Q3007" t="s">
        <v>35</v>
      </c>
      <c r="S3007" t="s">
        <v>30</v>
      </c>
      <c r="T3007" t="s">
        <v>2614</v>
      </c>
      <c r="U3007" t="s">
        <v>2615</v>
      </c>
      <c r="V3007" t="s">
        <v>40</v>
      </c>
      <c r="W3007" s="1">
        <v>2551800</v>
      </c>
    </row>
    <row r="3008" spans="1:23" x14ac:dyDescent="0.2">
      <c r="A3008" t="s">
        <v>2096</v>
      </c>
      <c r="B3008" t="s">
        <v>2097</v>
      </c>
      <c r="C3008" t="s">
        <v>2466</v>
      </c>
      <c r="D3008" t="s">
        <v>2573</v>
      </c>
      <c r="E3008" t="s">
        <v>2574</v>
      </c>
      <c r="F3008" t="s">
        <v>2575</v>
      </c>
      <c r="G3008" t="s">
        <v>170</v>
      </c>
      <c r="H3008" t="s">
        <v>52</v>
      </c>
      <c r="I3008" t="s">
        <v>30</v>
      </c>
      <c r="J3008" t="s">
        <v>31</v>
      </c>
      <c r="K3008" t="s">
        <v>32</v>
      </c>
      <c r="L3008" t="s">
        <v>32</v>
      </c>
      <c r="M3008" t="s">
        <v>33</v>
      </c>
      <c r="N3008" t="s">
        <v>176</v>
      </c>
      <c r="O3008" t="s">
        <v>176</v>
      </c>
      <c r="P3008" t="s">
        <v>213</v>
      </c>
      <c r="Q3008" t="s">
        <v>2111</v>
      </c>
      <c r="R3008" t="s">
        <v>184</v>
      </c>
      <c r="S3008" t="s">
        <v>30</v>
      </c>
      <c r="T3008" t="s">
        <v>2305</v>
      </c>
      <c r="U3008" t="s">
        <v>2613</v>
      </c>
      <c r="V3008" t="s">
        <v>39</v>
      </c>
      <c r="W3008" s="1">
        <v>1</v>
      </c>
    </row>
    <row r="3009" spans="1:23" x14ac:dyDescent="0.2">
      <c r="A3009" t="s">
        <v>2096</v>
      </c>
      <c r="B3009" t="s">
        <v>2097</v>
      </c>
      <c r="C3009" t="s">
        <v>2466</v>
      </c>
      <c r="D3009" t="s">
        <v>2573</v>
      </c>
      <c r="E3009" t="s">
        <v>2574</v>
      </c>
      <c r="F3009" t="s">
        <v>2575</v>
      </c>
      <c r="G3009" t="s">
        <v>170</v>
      </c>
      <c r="H3009" t="s">
        <v>52</v>
      </c>
      <c r="I3009" t="s">
        <v>30</v>
      </c>
      <c r="J3009" t="s">
        <v>31</v>
      </c>
      <c r="K3009" t="s">
        <v>32</v>
      </c>
      <c r="L3009" t="s">
        <v>32</v>
      </c>
      <c r="M3009" t="s">
        <v>33</v>
      </c>
      <c r="N3009" t="s">
        <v>176</v>
      </c>
      <c r="O3009" t="s">
        <v>176</v>
      </c>
      <c r="P3009" t="s">
        <v>213</v>
      </c>
      <c r="Q3009" t="s">
        <v>2111</v>
      </c>
      <c r="R3009" t="s">
        <v>184</v>
      </c>
      <c r="S3009" t="s">
        <v>30</v>
      </c>
      <c r="T3009" t="s">
        <v>2305</v>
      </c>
      <c r="U3009" t="s">
        <v>2613</v>
      </c>
      <c r="V3009" t="s">
        <v>40</v>
      </c>
      <c r="W3009" s="1">
        <v>526900</v>
      </c>
    </row>
    <row r="3010" spans="1:23" x14ac:dyDescent="0.2">
      <c r="A3010" t="s">
        <v>2096</v>
      </c>
      <c r="B3010" t="s">
        <v>2097</v>
      </c>
      <c r="C3010" t="s">
        <v>2466</v>
      </c>
      <c r="D3010" t="s">
        <v>2573</v>
      </c>
      <c r="E3010" t="s">
        <v>2574</v>
      </c>
      <c r="F3010" t="s">
        <v>2575</v>
      </c>
      <c r="G3010" t="s">
        <v>170</v>
      </c>
      <c r="H3010" t="s">
        <v>52</v>
      </c>
      <c r="I3010" t="s">
        <v>30</v>
      </c>
      <c r="J3010" t="s">
        <v>31</v>
      </c>
      <c r="K3010" t="s">
        <v>32</v>
      </c>
      <c r="L3010" t="s">
        <v>32</v>
      </c>
      <c r="M3010" t="s">
        <v>33</v>
      </c>
      <c r="P3010" t="s">
        <v>42</v>
      </c>
      <c r="Q3010" t="s">
        <v>43</v>
      </c>
      <c r="R3010" t="s">
        <v>58</v>
      </c>
      <c r="S3010" t="s">
        <v>52</v>
      </c>
      <c r="T3010" t="s">
        <v>2616</v>
      </c>
      <c r="U3010" t="s">
        <v>2617</v>
      </c>
      <c r="V3010" t="s">
        <v>39</v>
      </c>
      <c r="W3010" s="1">
        <v>0</v>
      </c>
    </row>
    <row r="3011" spans="1:23" x14ac:dyDescent="0.2">
      <c r="A3011" t="s">
        <v>2096</v>
      </c>
      <c r="B3011" t="s">
        <v>2097</v>
      </c>
      <c r="C3011" t="s">
        <v>2466</v>
      </c>
      <c r="D3011" t="s">
        <v>2573</v>
      </c>
      <c r="E3011" t="s">
        <v>2574</v>
      </c>
      <c r="F3011" t="s">
        <v>2575</v>
      </c>
      <c r="G3011" t="s">
        <v>170</v>
      </c>
      <c r="H3011" t="s">
        <v>52</v>
      </c>
      <c r="I3011" t="s">
        <v>30</v>
      </c>
      <c r="J3011" t="s">
        <v>31</v>
      </c>
      <c r="K3011" t="s">
        <v>32</v>
      </c>
      <c r="L3011" t="s">
        <v>32</v>
      </c>
      <c r="M3011" t="s">
        <v>33</v>
      </c>
      <c r="P3011" t="s">
        <v>42</v>
      </c>
      <c r="Q3011" t="s">
        <v>43</v>
      </c>
      <c r="R3011" t="s">
        <v>58</v>
      </c>
      <c r="S3011" t="s">
        <v>52</v>
      </c>
      <c r="T3011" t="s">
        <v>2616</v>
      </c>
      <c r="U3011" t="s">
        <v>2617</v>
      </c>
      <c r="V3011" t="s">
        <v>40</v>
      </c>
      <c r="W3011" s="1">
        <v>819000</v>
      </c>
    </row>
    <row r="3012" spans="1:23" x14ac:dyDescent="0.2">
      <c r="A3012" t="s">
        <v>2096</v>
      </c>
      <c r="B3012" t="s">
        <v>2097</v>
      </c>
      <c r="C3012" t="s">
        <v>2466</v>
      </c>
      <c r="D3012" t="s">
        <v>2573</v>
      </c>
      <c r="E3012" t="s">
        <v>2574</v>
      </c>
      <c r="F3012" t="s">
        <v>2575</v>
      </c>
      <c r="G3012" t="s">
        <v>170</v>
      </c>
      <c r="H3012" t="s">
        <v>52</v>
      </c>
      <c r="I3012" t="s">
        <v>30</v>
      </c>
      <c r="J3012" t="s">
        <v>41</v>
      </c>
      <c r="K3012" t="s">
        <v>32</v>
      </c>
      <c r="L3012" t="s">
        <v>32</v>
      </c>
      <c r="M3012" t="s">
        <v>33</v>
      </c>
      <c r="N3012" t="s">
        <v>33</v>
      </c>
      <c r="O3012" t="s">
        <v>33</v>
      </c>
      <c r="P3012" t="s">
        <v>34</v>
      </c>
      <c r="Q3012" t="s">
        <v>35</v>
      </c>
      <c r="S3012" t="s">
        <v>30</v>
      </c>
      <c r="T3012" t="s">
        <v>2618</v>
      </c>
      <c r="U3012" t="s">
        <v>2619</v>
      </c>
      <c r="V3012" t="s">
        <v>39</v>
      </c>
      <c r="W3012" s="1">
        <v>8</v>
      </c>
    </row>
    <row r="3013" spans="1:23" x14ac:dyDescent="0.2">
      <c r="A3013" t="s">
        <v>2096</v>
      </c>
      <c r="B3013" t="s">
        <v>2097</v>
      </c>
      <c r="C3013" t="s">
        <v>2466</v>
      </c>
      <c r="D3013" t="s">
        <v>2573</v>
      </c>
      <c r="E3013" t="s">
        <v>2574</v>
      </c>
      <c r="F3013" t="s">
        <v>2575</v>
      </c>
      <c r="G3013" t="s">
        <v>170</v>
      </c>
      <c r="H3013" t="s">
        <v>52</v>
      </c>
      <c r="I3013" t="s">
        <v>30</v>
      </c>
      <c r="J3013" t="s">
        <v>41</v>
      </c>
      <c r="K3013" t="s">
        <v>32</v>
      </c>
      <c r="L3013" t="s">
        <v>32</v>
      </c>
      <c r="M3013" t="s">
        <v>33</v>
      </c>
      <c r="N3013" t="s">
        <v>33</v>
      </c>
      <c r="O3013" t="s">
        <v>33</v>
      </c>
      <c r="P3013" t="s">
        <v>34</v>
      </c>
      <c r="Q3013" t="s">
        <v>35</v>
      </c>
      <c r="S3013" t="s">
        <v>30</v>
      </c>
      <c r="T3013" t="s">
        <v>2618</v>
      </c>
      <c r="U3013" t="s">
        <v>2619</v>
      </c>
      <c r="V3013" t="s">
        <v>40</v>
      </c>
      <c r="W3013" s="1">
        <v>8040000</v>
      </c>
    </row>
    <row r="3014" spans="1:23" x14ac:dyDescent="0.2">
      <c r="A3014" t="s">
        <v>2096</v>
      </c>
      <c r="B3014" t="s">
        <v>2097</v>
      </c>
      <c r="C3014" t="s">
        <v>2466</v>
      </c>
      <c r="D3014" t="s">
        <v>2573</v>
      </c>
      <c r="E3014" t="s">
        <v>2574</v>
      </c>
      <c r="F3014" t="s">
        <v>2575</v>
      </c>
      <c r="G3014" t="s">
        <v>170</v>
      </c>
      <c r="H3014" t="s">
        <v>52</v>
      </c>
      <c r="I3014" t="s">
        <v>30</v>
      </c>
      <c r="J3014" t="s">
        <v>41</v>
      </c>
      <c r="K3014" t="s">
        <v>32</v>
      </c>
      <c r="L3014" t="s">
        <v>32</v>
      </c>
      <c r="M3014" t="s">
        <v>33</v>
      </c>
      <c r="N3014" t="s">
        <v>33</v>
      </c>
      <c r="O3014" t="s">
        <v>33</v>
      </c>
      <c r="P3014" t="s">
        <v>34</v>
      </c>
      <c r="Q3014" t="s">
        <v>35</v>
      </c>
      <c r="S3014" t="s">
        <v>30</v>
      </c>
      <c r="T3014" t="s">
        <v>2620</v>
      </c>
      <c r="U3014" t="s">
        <v>2621</v>
      </c>
      <c r="V3014" t="s">
        <v>39</v>
      </c>
      <c r="W3014" s="1">
        <v>2</v>
      </c>
    </row>
    <row r="3015" spans="1:23" x14ac:dyDescent="0.2">
      <c r="A3015" t="s">
        <v>2096</v>
      </c>
      <c r="B3015" t="s">
        <v>2097</v>
      </c>
      <c r="C3015" t="s">
        <v>2466</v>
      </c>
      <c r="D3015" t="s">
        <v>2573</v>
      </c>
      <c r="E3015" t="s">
        <v>2574</v>
      </c>
      <c r="F3015" t="s">
        <v>2575</v>
      </c>
      <c r="G3015" t="s">
        <v>170</v>
      </c>
      <c r="H3015" t="s">
        <v>52</v>
      </c>
      <c r="I3015" t="s">
        <v>30</v>
      </c>
      <c r="J3015" t="s">
        <v>41</v>
      </c>
      <c r="K3015" t="s">
        <v>32</v>
      </c>
      <c r="L3015" t="s">
        <v>32</v>
      </c>
      <c r="M3015" t="s">
        <v>33</v>
      </c>
      <c r="N3015" t="s">
        <v>33</v>
      </c>
      <c r="O3015" t="s">
        <v>33</v>
      </c>
      <c r="P3015" t="s">
        <v>34</v>
      </c>
      <c r="Q3015" t="s">
        <v>35</v>
      </c>
      <c r="S3015" t="s">
        <v>30</v>
      </c>
      <c r="T3015" t="s">
        <v>2620</v>
      </c>
      <c r="U3015" t="s">
        <v>2621</v>
      </c>
      <c r="V3015" t="s">
        <v>40</v>
      </c>
      <c r="W3015" s="1">
        <v>7710000</v>
      </c>
    </row>
    <row r="3016" spans="1:23" x14ac:dyDescent="0.2">
      <c r="A3016" t="s">
        <v>2096</v>
      </c>
      <c r="B3016" t="s">
        <v>2097</v>
      </c>
      <c r="C3016" t="s">
        <v>2466</v>
      </c>
      <c r="D3016" t="s">
        <v>2573</v>
      </c>
      <c r="E3016" t="s">
        <v>2574</v>
      </c>
      <c r="F3016" t="s">
        <v>2575</v>
      </c>
      <c r="G3016" t="s">
        <v>64</v>
      </c>
      <c r="H3016" t="s">
        <v>30</v>
      </c>
      <c r="I3016" t="s">
        <v>52</v>
      </c>
      <c r="J3016" t="s">
        <v>31</v>
      </c>
      <c r="K3016" t="s">
        <v>32</v>
      </c>
      <c r="L3016" t="s">
        <v>32</v>
      </c>
      <c r="M3016" t="s">
        <v>33</v>
      </c>
      <c r="N3016" t="s">
        <v>33</v>
      </c>
      <c r="O3016" t="s">
        <v>33</v>
      </c>
      <c r="P3016" t="s">
        <v>34</v>
      </c>
      <c r="Q3016" t="s">
        <v>35</v>
      </c>
      <c r="R3016" t="s">
        <v>58</v>
      </c>
      <c r="S3016" t="s">
        <v>30</v>
      </c>
      <c r="T3016" t="s">
        <v>2616</v>
      </c>
      <c r="U3016" t="s">
        <v>2622</v>
      </c>
      <c r="V3016" t="s">
        <v>39</v>
      </c>
      <c r="W3016" s="1">
        <v>3</v>
      </c>
    </row>
    <row r="3017" spans="1:23" x14ac:dyDescent="0.2">
      <c r="A3017" t="s">
        <v>2096</v>
      </c>
      <c r="B3017" t="s">
        <v>2097</v>
      </c>
      <c r="C3017" t="s">
        <v>2466</v>
      </c>
      <c r="D3017" t="s">
        <v>2573</v>
      </c>
      <c r="E3017" t="s">
        <v>2574</v>
      </c>
      <c r="F3017" t="s">
        <v>2575</v>
      </c>
      <c r="G3017" t="s">
        <v>64</v>
      </c>
      <c r="H3017" t="s">
        <v>30</v>
      </c>
      <c r="I3017" t="s">
        <v>52</v>
      </c>
      <c r="J3017" t="s">
        <v>31</v>
      </c>
      <c r="K3017" t="s">
        <v>32</v>
      </c>
      <c r="L3017" t="s">
        <v>32</v>
      </c>
      <c r="M3017" t="s">
        <v>33</v>
      </c>
      <c r="N3017" t="s">
        <v>33</v>
      </c>
      <c r="O3017" t="s">
        <v>33</v>
      </c>
      <c r="P3017" t="s">
        <v>34</v>
      </c>
      <c r="Q3017" t="s">
        <v>35</v>
      </c>
      <c r="R3017" t="s">
        <v>58</v>
      </c>
      <c r="S3017" t="s">
        <v>30</v>
      </c>
      <c r="T3017" t="s">
        <v>2616</v>
      </c>
      <c r="U3017" t="s">
        <v>2622</v>
      </c>
      <c r="V3017" t="s">
        <v>40</v>
      </c>
      <c r="W3017" s="1">
        <v>2457000</v>
      </c>
    </row>
    <row r="3018" spans="1:23" x14ac:dyDescent="0.2">
      <c r="A3018" t="s">
        <v>2096</v>
      </c>
      <c r="B3018" t="s">
        <v>2097</v>
      </c>
      <c r="C3018" t="s">
        <v>2466</v>
      </c>
      <c r="D3018" t="s">
        <v>2573</v>
      </c>
      <c r="E3018" t="s">
        <v>2574</v>
      </c>
      <c r="F3018" t="s">
        <v>2575</v>
      </c>
      <c r="G3018" t="s">
        <v>64</v>
      </c>
      <c r="H3018" t="s">
        <v>30</v>
      </c>
      <c r="I3018" t="s">
        <v>52</v>
      </c>
      <c r="J3018" t="s">
        <v>41</v>
      </c>
      <c r="K3018" t="s">
        <v>32</v>
      </c>
      <c r="L3018" t="s">
        <v>32</v>
      </c>
      <c r="M3018" t="s">
        <v>33</v>
      </c>
      <c r="N3018" t="s">
        <v>33</v>
      </c>
      <c r="O3018" t="s">
        <v>33</v>
      </c>
      <c r="P3018" t="s">
        <v>34</v>
      </c>
      <c r="Q3018" t="s">
        <v>35</v>
      </c>
      <c r="S3018" t="s">
        <v>30</v>
      </c>
      <c r="T3018" t="s">
        <v>2623</v>
      </c>
      <c r="U3018" t="s">
        <v>2624</v>
      </c>
      <c r="V3018" t="s">
        <v>39</v>
      </c>
      <c r="W3018" s="1">
        <v>2</v>
      </c>
    </row>
    <row r="3019" spans="1:23" x14ac:dyDescent="0.2">
      <c r="A3019" t="s">
        <v>2096</v>
      </c>
      <c r="B3019" t="s">
        <v>2097</v>
      </c>
      <c r="C3019" t="s">
        <v>2466</v>
      </c>
      <c r="D3019" t="s">
        <v>2573</v>
      </c>
      <c r="E3019" t="s">
        <v>2574</v>
      </c>
      <c r="F3019" t="s">
        <v>2575</v>
      </c>
      <c r="G3019" t="s">
        <v>64</v>
      </c>
      <c r="H3019" t="s">
        <v>30</v>
      </c>
      <c r="I3019" t="s">
        <v>52</v>
      </c>
      <c r="J3019" t="s">
        <v>41</v>
      </c>
      <c r="K3019" t="s">
        <v>32</v>
      </c>
      <c r="L3019" t="s">
        <v>32</v>
      </c>
      <c r="M3019" t="s">
        <v>33</v>
      </c>
      <c r="N3019" t="s">
        <v>33</v>
      </c>
      <c r="O3019" t="s">
        <v>33</v>
      </c>
      <c r="P3019" t="s">
        <v>34</v>
      </c>
      <c r="Q3019" t="s">
        <v>35</v>
      </c>
      <c r="S3019" t="s">
        <v>30</v>
      </c>
      <c r="T3019" t="s">
        <v>2623</v>
      </c>
      <c r="U3019" t="s">
        <v>2624</v>
      </c>
      <c r="V3019" t="s">
        <v>40</v>
      </c>
      <c r="W3019" s="1">
        <v>2999800</v>
      </c>
    </row>
    <row r="3020" spans="1:23" x14ac:dyDescent="0.2">
      <c r="A3020" t="s">
        <v>2096</v>
      </c>
      <c r="B3020" t="s">
        <v>2097</v>
      </c>
      <c r="C3020" t="s">
        <v>2466</v>
      </c>
      <c r="D3020" t="s">
        <v>2573</v>
      </c>
      <c r="E3020" t="s">
        <v>2574</v>
      </c>
      <c r="F3020" t="s">
        <v>2575</v>
      </c>
      <c r="G3020" t="s">
        <v>64</v>
      </c>
      <c r="H3020" t="s">
        <v>30</v>
      </c>
      <c r="I3020" t="s">
        <v>52</v>
      </c>
      <c r="J3020" t="s">
        <v>41</v>
      </c>
      <c r="K3020" t="s">
        <v>32</v>
      </c>
      <c r="L3020" t="s">
        <v>32</v>
      </c>
      <c r="M3020" t="s">
        <v>33</v>
      </c>
      <c r="P3020" t="s">
        <v>34</v>
      </c>
      <c r="Q3020" t="s">
        <v>35</v>
      </c>
      <c r="S3020" t="s">
        <v>30</v>
      </c>
      <c r="T3020" t="s">
        <v>2625</v>
      </c>
      <c r="U3020" t="s">
        <v>2626</v>
      </c>
      <c r="V3020" t="s">
        <v>39</v>
      </c>
      <c r="W3020" s="1">
        <v>7</v>
      </c>
    </row>
    <row r="3021" spans="1:23" x14ac:dyDescent="0.2">
      <c r="A3021" t="s">
        <v>2096</v>
      </c>
      <c r="B3021" t="s">
        <v>2097</v>
      </c>
      <c r="C3021" t="s">
        <v>2466</v>
      </c>
      <c r="D3021" t="s">
        <v>2573</v>
      </c>
      <c r="E3021" t="s">
        <v>2574</v>
      </c>
      <c r="F3021" t="s">
        <v>2575</v>
      </c>
      <c r="G3021" t="s">
        <v>64</v>
      </c>
      <c r="H3021" t="s">
        <v>30</v>
      </c>
      <c r="I3021" t="s">
        <v>52</v>
      </c>
      <c r="J3021" t="s">
        <v>41</v>
      </c>
      <c r="K3021" t="s">
        <v>32</v>
      </c>
      <c r="L3021" t="s">
        <v>32</v>
      </c>
      <c r="M3021" t="s">
        <v>33</v>
      </c>
      <c r="P3021" t="s">
        <v>34</v>
      </c>
      <c r="Q3021" t="s">
        <v>35</v>
      </c>
      <c r="S3021" t="s">
        <v>30</v>
      </c>
      <c r="T3021" t="s">
        <v>2625</v>
      </c>
      <c r="U3021" t="s">
        <v>2626</v>
      </c>
      <c r="V3021" t="s">
        <v>40</v>
      </c>
      <c r="W3021" s="1">
        <v>10983000</v>
      </c>
    </row>
    <row r="3022" spans="1:23" x14ac:dyDescent="0.2">
      <c r="A3022" t="s">
        <v>2096</v>
      </c>
      <c r="B3022" t="s">
        <v>2097</v>
      </c>
      <c r="C3022" t="s">
        <v>2466</v>
      </c>
      <c r="D3022" t="s">
        <v>2573</v>
      </c>
      <c r="E3022" t="s">
        <v>2574</v>
      </c>
      <c r="F3022" t="s">
        <v>2575</v>
      </c>
      <c r="G3022" t="s">
        <v>64</v>
      </c>
      <c r="H3022" t="s">
        <v>30</v>
      </c>
      <c r="I3022" t="s">
        <v>52</v>
      </c>
      <c r="J3022" t="s">
        <v>41</v>
      </c>
      <c r="K3022" t="s">
        <v>32</v>
      </c>
      <c r="L3022" t="s">
        <v>32</v>
      </c>
      <c r="M3022" t="s">
        <v>33</v>
      </c>
      <c r="P3022" t="s">
        <v>34</v>
      </c>
      <c r="Q3022" t="s">
        <v>35</v>
      </c>
      <c r="S3022" t="s">
        <v>30</v>
      </c>
      <c r="T3022" t="s">
        <v>2623</v>
      </c>
      <c r="U3022" t="s">
        <v>2624</v>
      </c>
      <c r="V3022" t="s">
        <v>39</v>
      </c>
      <c r="W3022" s="1">
        <v>2</v>
      </c>
    </row>
    <row r="3023" spans="1:23" x14ac:dyDescent="0.2">
      <c r="A3023" t="s">
        <v>2096</v>
      </c>
      <c r="B3023" t="s">
        <v>2097</v>
      </c>
      <c r="C3023" t="s">
        <v>2466</v>
      </c>
      <c r="D3023" t="s">
        <v>2573</v>
      </c>
      <c r="E3023" t="s">
        <v>2574</v>
      </c>
      <c r="F3023" t="s">
        <v>2575</v>
      </c>
      <c r="G3023" t="s">
        <v>64</v>
      </c>
      <c r="H3023" t="s">
        <v>30</v>
      </c>
      <c r="I3023" t="s">
        <v>52</v>
      </c>
      <c r="J3023" t="s">
        <v>41</v>
      </c>
      <c r="K3023" t="s">
        <v>32</v>
      </c>
      <c r="L3023" t="s">
        <v>32</v>
      </c>
      <c r="M3023" t="s">
        <v>33</v>
      </c>
      <c r="P3023" t="s">
        <v>34</v>
      </c>
      <c r="Q3023" t="s">
        <v>35</v>
      </c>
      <c r="S3023" t="s">
        <v>30</v>
      </c>
      <c r="T3023" t="s">
        <v>2623</v>
      </c>
      <c r="U3023" t="s">
        <v>2624</v>
      </c>
      <c r="V3023" t="s">
        <v>40</v>
      </c>
      <c r="W3023" s="1">
        <v>2999800</v>
      </c>
    </row>
    <row r="3024" spans="1:23" x14ac:dyDescent="0.2">
      <c r="A3024" t="s">
        <v>2096</v>
      </c>
      <c r="B3024" t="s">
        <v>2097</v>
      </c>
      <c r="C3024" t="s">
        <v>2466</v>
      </c>
      <c r="D3024" t="s">
        <v>2573</v>
      </c>
      <c r="E3024" t="s">
        <v>2574</v>
      </c>
      <c r="F3024" t="s">
        <v>2575</v>
      </c>
      <c r="G3024" t="s">
        <v>67</v>
      </c>
      <c r="H3024" t="s">
        <v>30</v>
      </c>
      <c r="I3024" t="s">
        <v>30</v>
      </c>
      <c r="J3024" t="s">
        <v>211</v>
      </c>
      <c r="K3024" t="s">
        <v>212</v>
      </c>
      <c r="L3024" t="s">
        <v>32</v>
      </c>
      <c r="M3024" t="s">
        <v>33</v>
      </c>
      <c r="N3024" t="s">
        <v>33</v>
      </c>
      <c r="O3024" t="s">
        <v>33</v>
      </c>
      <c r="P3024" t="s">
        <v>34</v>
      </c>
      <c r="Q3024" t="s">
        <v>35</v>
      </c>
      <c r="R3024" t="s">
        <v>215</v>
      </c>
      <c r="S3024" t="s">
        <v>30</v>
      </c>
      <c r="T3024" t="s">
        <v>2627</v>
      </c>
      <c r="U3024" t="s">
        <v>2628</v>
      </c>
      <c r="V3024" t="s">
        <v>39</v>
      </c>
      <c r="W3024" s="1">
        <v>4</v>
      </c>
    </row>
    <row r="3025" spans="1:23" x14ac:dyDescent="0.2">
      <c r="A3025" t="s">
        <v>2096</v>
      </c>
      <c r="B3025" t="s">
        <v>2097</v>
      </c>
      <c r="C3025" t="s">
        <v>2466</v>
      </c>
      <c r="D3025" t="s">
        <v>2573</v>
      </c>
      <c r="E3025" t="s">
        <v>2574</v>
      </c>
      <c r="F3025" t="s">
        <v>2575</v>
      </c>
      <c r="G3025" t="s">
        <v>67</v>
      </c>
      <c r="H3025" t="s">
        <v>30</v>
      </c>
      <c r="I3025" t="s">
        <v>30</v>
      </c>
      <c r="J3025" t="s">
        <v>211</v>
      </c>
      <c r="K3025" t="s">
        <v>212</v>
      </c>
      <c r="L3025" t="s">
        <v>32</v>
      </c>
      <c r="M3025" t="s">
        <v>33</v>
      </c>
      <c r="N3025" t="s">
        <v>33</v>
      </c>
      <c r="O3025" t="s">
        <v>33</v>
      </c>
      <c r="P3025" t="s">
        <v>34</v>
      </c>
      <c r="Q3025" t="s">
        <v>35</v>
      </c>
      <c r="R3025" t="s">
        <v>215</v>
      </c>
      <c r="S3025" t="s">
        <v>30</v>
      </c>
      <c r="T3025" t="s">
        <v>2627</v>
      </c>
      <c r="U3025" t="s">
        <v>2628</v>
      </c>
      <c r="V3025" t="s">
        <v>40</v>
      </c>
      <c r="W3025" s="1">
        <v>5036000</v>
      </c>
    </row>
    <row r="3026" spans="1:23" x14ac:dyDescent="0.2">
      <c r="A3026" t="s">
        <v>2096</v>
      </c>
      <c r="B3026" t="s">
        <v>2097</v>
      </c>
      <c r="C3026" t="s">
        <v>2466</v>
      </c>
      <c r="D3026" t="s">
        <v>2573</v>
      </c>
      <c r="E3026" t="s">
        <v>2574</v>
      </c>
      <c r="F3026" t="s">
        <v>2575</v>
      </c>
      <c r="G3026" t="s">
        <v>67</v>
      </c>
      <c r="H3026" t="s">
        <v>30</v>
      </c>
      <c r="I3026" t="s">
        <v>30</v>
      </c>
      <c r="J3026" t="s">
        <v>31</v>
      </c>
      <c r="K3026" t="s">
        <v>32</v>
      </c>
      <c r="L3026" t="s">
        <v>32</v>
      </c>
      <c r="M3026" t="s">
        <v>33</v>
      </c>
      <c r="N3026" t="s">
        <v>33</v>
      </c>
      <c r="O3026" t="s">
        <v>33</v>
      </c>
      <c r="P3026" t="s">
        <v>213</v>
      </c>
      <c r="Q3026" t="s">
        <v>214</v>
      </c>
      <c r="S3026" t="s">
        <v>30</v>
      </c>
      <c r="T3026" t="s">
        <v>2629</v>
      </c>
      <c r="U3026" t="s">
        <v>2630</v>
      </c>
      <c r="V3026" t="s">
        <v>39</v>
      </c>
      <c r="W3026" s="1">
        <v>3</v>
      </c>
    </row>
    <row r="3027" spans="1:23" x14ac:dyDescent="0.2">
      <c r="A3027" t="s">
        <v>2096</v>
      </c>
      <c r="B3027" t="s">
        <v>2097</v>
      </c>
      <c r="C3027" t="s">
        <v>2466</v>
      </c>
      <c r="D3027" t="s">
        <v>2573</v>
      </c>
      <c r="E3027" t="s">
        <v>2574</v>
      </c>
      <c r="F3027" t="s">
        <v>2575</v>
      </c>
      <c r="G3027" t="s">
        <v>67</v>
      </c>
      <c r="H3027" t="s">
        <v>30</v>
      </c>
      <c r="I3027" t="s">
        <v>30</v>
      </c>
      <c r="J3027" t="s">
        <v>31</v>
      </c>
      <c r="K3027" t="s">
        <v>32</v>
      </c>
      <c r="L3027" t="s">
        <v>32</v>
      </c>
      <c r="M3027" t="s">
        <v>33</v>
      </c>
      <c r="N3027" t="s">
        <v>33</v>
      </c>
      <c r="O3027" t="s">
        <v>33</v>
      </c>
      <c r="P3027" t="s">
        <v>213</v>
      </c>
      <c r="Q3027" t="s">
        <v>214</v>
      </c>
      <c r="S3027" t="s">
        <v>30</v>
      </c>
      <c r="T3027" t="s">
        <v>2629</v>
      </c>
      <c r="U3027" t="s">
        <v>2630</v>
      </c>
      <c r="V3027" t="s">
        <v>40</v>
      </c>
      <c r="W3027" s="1">
        <v>2195700</v>
      </c>
    </row>
    <row r="3028" spans="1:23" x14ac:dyDescent="0.2">
      <c r="A3028" t="s">
        <v>2096</v>
      </c>
      <c r="B3028" t="s">
        <v>2097</v>
      </c>
      <c r="C3028" t="s">
        <v>2466</v>
      </c>
      <c r="D3028" t="s">
        <v>2573</v>
      </c>
      <c r="E3028" t="s">
        <v>2574</v>
      </c>
      <c r="F3028" t="s">
        <v>2575</v>
      </c>
      <c r="G3028" t="s">
        <v>67</v>
      </c>
      <c r="H3028" t="s">
        <v>30</v>
      </c>
      <c r="I3028" t="s">
        <v>30</v>
      </c>
      <c r="J3028" t="s">
        <v>31</v>
      </c>
      <c r="K3028" t="s">
        <v>32</v>
      </c>
      <c r="L3028" t="s">
        <v>32</v>
      </c>
      <c r="M3028" t="s">
        <v>33</v>
      </c>
      <c r="N3028" t="s">
        <v>33</v>
      </c>
      <c r="O3028" t="s">
        <v>33</v>
      </c>
      <c r="P3028" t="s">
        <v>34</v>
      </c>
      <c r="Q3028" t="s">
        <v>35</v>
      </c>
      <c r="S3028" t="s">
        <v>30</v>
      </c>
      <c r="T3028" t="s">
        <v>2631</v>
      </c>
      <c r="U3028" t="s">
        <v>2632</v>
      </c>
      <c r="V3028" t="s">
        <v>39</v>
      </c>
      <c r="W3028" s="1">
        <v>3</v>
      </c>
    </row>
    <row r="3029" spans="1:23" x14ac:dyDescent="0.2">
      <c r="A3029" t="s">
        <v>2096</v>
      </c>
      <c r="B3029" t="s">
        <v>2097</v>
      </c>
      <c r="C3029" t="s">
        <v>2466</v>
      </c>
      <c r="D3029" t="s">
        <v>2573</v>
      </c>
      <c r="E3029" t="s">
        <v>2574</v>
      </c>
      <c r="F3029" t="s">
        <v>2575</v>
      </c>
      <c r="G3029" t="s">
        <v>67</v>
      </c>
      <c r="H3029" t="s">
        <v>30</v>
      </c>
      <c r="I3029" t="s">
        <v>30</v>
      </c>
      <c r="J3029" t="s">
        <v>31</v>
      </c>
      <c r="K3029" t="s">
        <v>32</v>
      </c>
      <c r="L3029" t="s">
        <v>32</v>
      </c>
      <c r="M3029" t="s">
        <v>33</v>
      </c>
      <c r="N3029" t="s">
        <v>33</v>
      </c>
      <c r="O3029" t="s">
        <v>33</v>
      </c>
      <c r="P3029" t="s">
        <v>34</v>
      </c>
      <c r="Q3029" t="s">
        <v>35</v>
      </c>
      <c r="S3029" t="s">
        <v>30</v>
      </c>
      <c r="T3029" t="s">
        <v>2631</v>
      </c>
      <c r="U3029" t="s">
        <v>2632</v>
      </c>
      <c r="V3029" t="s">
        <v>40</v>
      </c>
      <c r="W3029" s="1">
        <v>2999700</v>
      </c>
    </row>
    <row r="3030" spans="1:23" x14ac:dyDescent="0.2">
      <c r="A3030" t="s">
        <v>2096</v>
      </c>
      <c r="B3030" t="s">
        <v>2097</v>
      </c>
      <c r="C3030" t="s">
        <v>2466</v>
      </c>
      <c r="D3030" t="s">
        <v>2573</v>
      </c>
      <c r="E3030" t="s">
        <v>2574</v>
      </c>
      <c r="F3030" t="s">
        <v>2575</v>
      </c>
      <c r="G3030" t="s">
        <v>67</v>
      </c>
      <c r="H3030" t="s">
        <v>30</v>
      </c>
      <c r="I3030" t="s">
        <v>30</v>
      </c>
      <c r="J3030" t="s">
        <v>31</v>
      </c>
      <c r="K3030" t="s">
        <v>32</v>
      </c>
      <c r="L3030" t="s">
        <v>32</v>
      </c>
      <c r="M3030" t="s">
        <v>33</v>
      </c>
      <c r="N3030" t="s">
        <v>33</v>
      </c>
      <c r="O3030" t="s">
        <v>33</v>
      </c>
      <c r="P3030" t="s">
        <v>34</v>
      </c>
      <c r="Q3030" t="s">
        <v>35</v>
      </c>
      <c r="S3030" t="s">
        <v>30</v>
      </c>
      <c r="T3030" t="s">
        <v>2603</v>
      </c>
      <c r="U3030" t="s">
        <v>2604</v>
      </c>
      <c r="V3030" t="s">
        <v>39</v>
      </c>
      <c r="W3030" s="1">
        <v>2</v>
      </c>
    </row>
    <row r="3031" spans="1:23" x14ac:dyDescent="0.2">
      <c r="A3031" t="s">
        <v>2096</v>
      </c>
      <c r="B3031" t="s">
        <v>2097</v>
      </c>
      <c r="C3031" t="s">
        <v>2466</v>
      </c>
      <c r="D3031" t="s">
        <v>2573</v>
      </c>
      <c r="E3031" t="s">
        <v>2574</v>
      </c>
      <c r="F3031" t="s">
        <v>2575</v>
      </c>
      <c r="G3031" t="s">
        <v>67</v>
      </c>
      <c r="H3031" t="s">
        <v>30</v>
      </c>
      <c r="I3031" t="s">
        <v>30</v>
      </c>
      <c r="J3031" t="s">
        <v>31</v>
      </c>
      <c r="K3031" t="s">
        <v>32</v>
      </c>
      <c r="L3031" t="s">
        <v>32</v>
      </c>
      <c r="M3031" t="s">
        <v>33</v>
      </c>
      <c r="N3031" t="s">
        <v>33</v>
      </c>
      <c r="O3031" t="s">
        <v>33</v>
      </c>
      <c r="P3031" t="s">
        <v>34</v>
      </c>
      <c r="Q3031" t="s">
        <v>35</v>
      </c>
      <c r="S3031" t="s">
        <v>30</v>
      </c>
      <c r="T3031" t="s">
        <v>2603</v>
      </c>
      <c r="U3031" t="s">
        <v>2604</v>
      </c>
      <c r="V3031" t="s">
        <v>40</v>
      </c>
      <c r="W3031" s="1">
        <v>2799800</v>
      </c>
    </row>
    <row r="3032" spans="1:23" x14ac:dyDescent="0.2">
      <c r="A3032" t="s">
        <v>2096</v>
      </c>
      <c r="B3032" t="s">
        <v>2097</v>
      </c>
      <c r="C3032" t="s">
        <v>2466</v>
      </c>
      <c r="D3032" t="s">
        <v>2573</v>
      </c>
      <c r="E3032" t="s">
        <v>2574</v>
      </c>
      <c r="F3032" t="s">
        <v>2575</v>
      </c>
      <c r="G3032" t="s">
        <v>67</v>
      </c>
      <c r="H3032" t="s">
        <v>30</v>
      </c>
      <c r="I3032" t="s">
        <v>30</v>
      </c>
      <c r="J3032" t="s">
        <v>31</v>
      </c>
      <c r="K3032" t="s">
        <v>32</v>
      </c>
      <c r="L3032" t="s">
        <v>32</v>
      </c>
      <c r="M3032" t="s">
        <v>33</v>
      </c>
      <c r="P3032" t="s">
        <v>213</v>
      </c>
      <c r="Q3032" t="s">
        <v>2111</v>
      </c>
      <c r="S3032" t="s">
        <v>52</v>
      </c>
      <c r="T3032" t="s">
        <v>2633</v>
      </c>
      <c r="U3032" t="s">
        <v>2634</v>
      </c>
      <c r="V3032" t="s">
        <v>39</v>
      </c>
      <c r="W3032" s="1">
        <v>0</v>
      </c>
    </row>
    <row r="3033" spans="1:23" x14ac:dyDescent="0.2">
      <c r="A3033" t="s">
        <v>2096</v>
      </c>
      <c r="B3033" t="s">
        <v>2097</v>
      </c>
      <c r="C3033" t="s">
        <v>2466</v>
      </c>
      <c r="D3033" t="s">
        <v>2573</v>
      </c>
      <c r="E3033" t="s">
        <v>2574</v>
      </c>
      <c r="F3033" t="s">
        <v>2575</v>
      </c>
      <c r="G3033" t="s">
        <v>67</v>
      </c>
      <c r="H3033" t="s">
        <v>30</v>
      </c>
      <c r="I3033" t="s">
        <v>30</v>
      </c>
      <c r="J3033" t="s">
        <v>31</v>
      </c>
      <c r="K3033" t="s">
        <v>32</v>
      </c>
      <c r="L3033" t="s">
        <v>32</v>
      </c>
      <c r="M3033" t="s">
        <v>33</v>
      </c>
      <c r="P3033" t="s">
        <v>213</v>
      </c>
      <c r="Q3033" t="s">
        <v>2111</v>
      </c>
      <c r="S3033" t="s">
        <v>52</v>
      </c>
      <c r="T3033" t="s">
        <v>2633</v>
      </c>
      <c r="U3033" t="s">
        <v>2634</v>
      </c>
      <c r="V3033" t="s">
        <v>40</v>
      </c>
      <c r="W3033" s="1">
        <v>1595800</v>
      </c>
    </row>
    <row r="3034" spans="1:23" x14ac:dyDescent="0.2">
      <c r="A3034" t="s">
        <v>2096</v>
      </c>
      <c r="B3034" t="s">
        <v>2097</v>
      </c>
      <c r="C3034" t="s">
        <v>2466</v>
      </c>
      <c r="D3034" t="s">
        <v>2573</v>
      </c>
      <c r="E3034" t="s">
        <v>2574</v>
      </c>
      <c r="F3034" t="s">
        <v>2575</v>
      </c>
      <c r="G3034" t="s">
        <v>67</v>
      </c>
      <c r="H3034" t="s">
        <v>30</v>
      </c>
      <c r="I3034" t="s">
        <v>30</v>
      </c>
      <c r="J3034" t="s">
        <v>41</v>
      </c>
      <c r="K3034" t="s">
        <v>32</v>
      </c>
      <c r="L3034" t="s">
        <v>32</v>
      </c>
      <c r="M3034" t="s">
        <v>33</v>
      </c>
      <c r="N3034" t="s">
        <v>33</v>
      </c>
      <c r="O3034" t="s">
        <v>33</v>
      </c>
      <c r="P3034" t="s">
        <v>42</v>
      </c>
      <c r="Q3034" t="s">
        <v>43</v>
      </c>
      <c r="S3034" t="s">
        <v>30</v>
      </c>
      <c r="T3034" t="s">
        <v>2635</v>
      </c>
      <c r="U3034" t="s">
        <v>2636</v>
      </c>
      <c r="V3034" t="s">
        <v>39</v>
      </c>
      <c r="W3034" s="1">
        <v>2</v>
      </c>
    </row>
    <row r="3035" spans="1:23" x14ac:dyDescent="0.2">
      <c r="A3035" t="s">
        <v>2096</v>
      </c>
      <c r="B3035" t="s">
        <v>2097</v>
      </c>
      <c r="C3035" t="s">
        <v>2466</v>
      </c>
      <c r="D3035" t="s">
        <v>2573</v>
      </c>
      <c r="E3035" t="s">
        <v>2574</v>
      </c>
      <c r="F3035" t="s">
        <v>2575</v>
      </c>
      <c r="G3035" t="s">
        <v>67</v>
      </c>
      <c r="H3035" t="s">
        <v>30</v>
      </c>
      <c r="I3035" t="s">
        <v>30</v>
      </c>
      <c r="J3035" t="s">
        <v>41</v>
      </c>
      <c r="K3035" t="s">
        <v>32</v>
      </c>
      <c r="L3035" t="s">
        <v>32</v>
      </c>
      <c r="M3035" t="s">
        <v>33</v>
      </c>
      <c r="N3035" t="s">
        <v>33</v>
      </c>
      <c r="O3035" t="s">
        <v>33</v>
      </c>
      <c r="P3035" t="s">
        <v>42</v>
      </c>
      <c r="Q3035" t="s">
        <v>43</v>
      </c>
      <c r="S3035" t="s">
        <v>30</v>
      </c>
      <c r="T3035" t="s">
        <v>2635</v>
      </c>
      <c r="U3035" t="s">
        <v>2636</v>
      </c>
      <c r="V3035" t="s">
        <v>40</v>
      </c>
      <c r="W3035" s="1">
        <v>3898000</v>
      </c>
    </row>
    <row r="3036" spans="1:23" x14ac:dyDescent="0.2">
      <c r="A3036" t="s">
        <v>2096</v>
      </c>
      <c r="B3036" t="s">
        <v>2097</v>
      </c>
      <c r="C3036" t="s">
        <v>2466</v>
      </c>
      <c r="D3036" t="s">
        <v>2573</v>
      </c>
      <c r="E3036" t="s">
        <v>2574</v>
      </c>
      <c r="F3036" t="s">
        <v>2575</v>
      </c>
      <c r="G3036" t="s">
        <v>89</v>
      </c>
      <c r="H3036" t="s">
        <v>30</v>
      </c>
      <c r="I3036" t="s">
        <v>30</v>
      </c>
      <c r="J3036" t="s">
        <v>128</v>
      </c>
      <c r="K3036" t="s">
        <v>135</v>
      </c>
      <c r="L3036" t="s">
        <v>32</v>
      </c>
      <c r="M3036" t="s">
        <v>33</v>
      </c>
      <c r="N3036" t="s">
        <v>33</v>
      </c>
      <c r="O3036" t="s">
        <v>33</v>
      </c>
      <c r="P3036" t="s">
        <v>213</v>
      </c>
      <c r="Q3036" t="s">
        <v>214</v>
      </c>
      <c r="R3036" t="s">
        <v>136</v>
      </c>
      <c r="S3036" t="s">
        <v>30</v>
      </c>
      <c r="T3036" t="s">
        <v>2637</v>
      </c>
      <c r="U3036" t="s">
        <v>2638</v>
      </c>
      <c r="V3036" t="s">
        <v>39</v>
      </c>
      <c r="W3036" s="1">
        <v>2</v>
      </c>
    </row>
    <row r="3037" spans="1:23" x14ac:dyDescent="0.2">
      <c r="A3037" t="s">
        <v>2096</v>
      </c>
      <c r="B3037" t="s">
        <v>2097</v>
      </c>
      <c r="C3037" t="s">
        <v>2466</v>
      </c>
      <c r="D3037" t="s">
        <v>2573</v>
      </c>
      <c r="E3037" t="s">
        <v>2574</v>
      </c>
      <c r="F3037" t="s">
        <v>2575</v>
      </c>
      <c r="G3037" t="s">
        <v>89</v>
      </c>
      <c r="H3037" t="s">
        <v>30</v>
      </c>
      <c r="I3037" t="s">
        <v>30</v>
      </c>
      <c r="J3037" t="s">
        <v>128</v>
      </c>
      <c r="K3037" t="s">
        <v>135</v>
      </c>
      <c r="L3037" t="s">
        <v>32</v>
      </c>
      <c r="M3037" t="s">
        <v>33</v>
      </c>
      <c r="N3037" t="s">
        <v>33</v>
      </c>
      <c r="O3037" t="s">
        <v>33</v>
      </c>
      <c r="P3037" t="s">
        <v>213</v>
      </c>
      <c r="Q3037" t="s">
        <v>214</v>
      </c>
      <c r="R3037" t="s">
        <v>136</v>
      </c>
      <c r="S3037" t="s">
        <v>30</v>
      </c>
      <c r="T3037" t="s">
        <v>2637</v>
      </c>
      <c r="U3037" t="s">
        <v>2638</v>
      </c>
      <c r="V3037" t="s">
        <v>40</v>
      </c>
      <c r="W3037" s="1">
        <v>1638000</v>
      </c>
    </row>
    <row r="3038" spans="1:23" x14ac:dyDescent="0.2">
      <c r="A3038" t="s">
        <v>2096</v>
      </c>
      <c r="B3038" t="s">
        <v>2097</v>
      </c>
      <c r="C3038" t="s">
        <v>2466</v>
      </c>
      <c r="D3038" t="s">
        <v>2573</v>
      </c>
      <c r="E3038" t="s">
        <v>2574</v>
      </c>
      <c r="F3038" t="s">
        <v>2575</v>
      </c>
      <c r="G3038" t="s">
        <v>89</v>
      </c>
      <c r="H3038" t="s">
        <v>30</v>
      </c>
      <c r="I3038" t="s">
        <v>30</v>
      </c>
      <c r="J3038" t="s">
        <v>128</v>
      </c>
      <c r="K3038" t="s">
        <v>135</v>
      </c>
      <c r="L3038" t="s">
        <v>32</v>
      </c>
      <c r="M3038" t="s">
        <v>33</v>
      </c>
      <c r="N3038" t="s">
        <v>33</v>
      </c>
      <c r="O3038" t="s">
        <v>33</v>
      </c>
      <c r="P3038" t="s">
        <v>213</v>
      </c>
      <c r="Q3038" t="s">
        <v>2118</v>
      </c>
      <c r="R3038" t="s">
        <v>136</v>
      </c>
      <c r="S3038" t="s">
        <v>30</v>
      </c>
      <c r="T3038" t="s">
        <v>2639</v>
      </c>
      <c r="U3038" t="s">
        <v>2640</v>
      </c>
      <c r="V3038" t="s">
        <v>39</v>
      </c>
      <c r="W3038" s="1">
        <v>1</v>
      </c>
    </row>
    <row r="3039" spans="1:23" x14ac:dyDescent="0.2">
      <c r="A3039" t="s">
        <v>2096</v>
      </c>
      <c r="B3039" t="s">
        <v>2097</v>
      </c>
      <c r="C3039" t="s">
        <v>2466</v>
      </c>
      <c r="D3039" t="s">
        <v>2573</v>
      </c>
      <c r="E3039" t="s">
        <v>2574</v>
      </c>
      <c r="F3039" t="s">
        <v>2575</v>
      </c>
      <c r="G3039" t="s">
        <v>89</v>
      </c>
      <c r="H3039" t="s">
        <v>30</v>
      </c>
      <c r="I3039" t="s">
        <v>30</v>
      </c>
      <c r="J3039" t="s">
        <v>128</v>
      </c>
      <c r="K3039" t="s">
        <v>135</v>
      </c>
      <c r="L3039" t="s">
        <v>32</v>
      </c>
      <c r="M3039" t="s">
        <v>33</v>
      </c>
      <c r="N3039" t="s">
        <v>33</v>
      </c>
      <c r="O3039" t="s">
        <v>33</v>
      </c>
      <c r="P3039" t="s">
        <v>213</v>
      </c>
      <c r="Q3039" t="s">
        <v>2118</v>
      </c>
      <c r="R3039" t="s">
        <v>136</v>
      </c>
      <c r="S3039" t="s">
        <v>30</v>
      </c>
      <c r="T3039" t="s">
        <v>2639</v>
      </c>
      <c r="U3039" t="s">
        <v>2640</v>
      </c>
      <c r="V3039" t="s">
        <v>40</v>
      </c>
      <c r="W3039" s="1">
        <v>299900</v>
      </c>
    </row>
    <row r="3040" spans="1:23" x14ac:dyDescent="0.2">
      <c r="A3040" t="s">
        <v>2096</v>
      </c>
      <c r="B3040" t="s">
        <v>2097</v>
      </c>
      <c r="C3040" t="s">
        <v>2466</v>
      </c>
      <c r="D3040" t="s">
        <v>2573</v>
      </c>
      <c r="E3040" t="s">
        <v>2574</v>
      </c>
      <c r="F3040" t="s">
        <v>2575</v>
      </c>
      <c r="G3040" t="s">
        <v>89</v>
      </c>
      <c r="H3040" t="s">
        <v>30</v>
      </c>
      <c r="I3040" t="s">
        <v>30</v>
      </c>
      <c r="J3040" t="s">
        <v>128</v>
      </c>
      <c r="K3040" t="s">
        <v>135</v>
      </c>
      <c r="L3040" t="s">
        <v>32</v>
      </c>
      <c r="M3040" t="s">
        <v>176</v>
      </c>
      <c r="N3040" t="s">
        <v>176</v>
      </c>
      <c r="O3040" t="s">
        <v>176</v>
      </c>
      <c r="P3040" t="s">
        <v>213</v>
      </c>
      <c r="Q3040" t="s">
        <v>214</v>
      </c>
      <c r="R3040" t="s">
        <v>136</v>
      </c>
      <c r="S3040" t="s">
        <v>30</v>
      </c>
      <c r="T3040" t="s">
        <v>2637</v>
      </c>
      <c r="U3040" t="s">
        <v>2638</v>
      </c>
      <c r="V3040" t="s">
        <v>39</v>
      </c>
      <c r="W3040" s="1">
        <v>2</v>
      </c>
    </row>
    <row r="3041" spans="1:23" x14ac:dyDescent="0.2">
      <c r="A3041" t="s">
        <v>2096</v>
      </c>
      <c r="B3041" t="s">
        <v>2097</v>
      </c>
      <c r="C3041" t="s">
        <v>2466</v>
      </c>
      <c r="D3041" t="s">
        <v>2573</v>
      </c>
      <c r="E3041" t="s">
        <v>2574</v>
      </c>
      <c r="F3041" t="s">
        <v>2575</v>
      </c>
      <c r="G3041" t="s">
        <v>89</v>
      </c>
      <c r="H3041" t="s">
        <v>30</v>
      </c>
      <c r="I3041" t="s">
        <v>30</v>
      </c>
      <c r="J3041" t="s">
        <v>128</v>
      </c>
      <c r="K3041" t="s">
        <v>135</v>
      </c>
      <c r="L3041" t="s">
        <v>32</v>
      </c>
      <c r="M3041" t="s">
        <v>176</v>
      </c>
      <c r="N3041" t="s">
        <v>176</v>
      </c>
      <c r="O3041" t="s">
        <v>176</v>
      </c>
      <c r="P3041" t="s">
        <v>213</v>
      </c>
      <c r="Q3041" t="s">
        <v>214</v>
      </c>
      <c r="R3041" t="s">
        <v>136</v>
      </c>
      <c r="S3041" t="s">
        <v>30</v>
      </c>
      <c r="T3041" t="s">
        <v>2637</v>
      </c>
      <c r="U3041" t="s">
        <v>2638</v>
      </c>
      <c r="V3041" t="s">
        <v>40</v>
      </c>
      <c r="W3041" s="1">
        <v>1556100</v>
      </c>
    </row>
    <row r="3042" spans="1:23" x14ac:dyDescent="0.2">
      <c r="A3042" t="s">
        <v>2096</v>
      </c>
      <c r="B3042" t="s">
        <v>2097</v>
      </c>
      <c r="C3042" t="s">
        <v>2466</v>
      </c>
      <c r="D3042" t="s">
        <v>2573</v>
      </c>
      <c r="E3042" t="s">
        <v>2574</v>
      </c>
      <c r="F3042" t="s">
        <v>2575</v>
      </c>
      <c r="G3042" t="s">
        <v>89</v>
      </c>
      <c r="H3042" t="s">
        <v>30</v>
      </c>
      <c r="I3042" t="s">
        <v>30</v>
      </c>
      <c r="J3042" t="s">
        <v>31</v>
      </c>
      <c r="K3042" t="s">
        <v>32</v>
      </c>
      <c r="L3042" t="s">
        <v>32</v>
      </c>
      <c r="M3042" t="s">
        <v>33</v>
      </c>
      <c r="N3042" t="s">
        <v>33</v>
      </c>
      <c r="O3042" t="s">
        <v>33</v>
      </c>
      <c r="P3042" t="s">
        <v>34</v>
      </c>
      <c r="Q3042" t="s">
        <v>35</v>
      </c>
      <c r="S3042" t="s">
        <v>30</v>
      </c>
      <c r="T3042" t="s">
        <v>2641</v>
      </c>
      <c r="U3042" t="s">
        <v>2642</v>
      </c>
      <c r="V3042" t="s">
        <v>39</v>
      </c>
      <c r="W3042" s="1">
        <v>4</v>
      </c>
    </row>
    <row r="3043" spans="1:23" x14ac:dyDescent="0.2">
      <c r="A3043" t="s">
        <v>2096</v>
      </c>
      <c r="B3043" t="s">
        <v>2097</v>
      </c>
      <c r="C3043" t="s">
        <v>2466</v>
      </c>
      <c r="D3043" t="s">
        <v>2573</v>
      </c>
      <c r="E3043" t="s">
        <v>2574</v>
      </c>
      <c r="F3043" t="s">
        <v>2575</v>
      </c>
      <c r="G3043" t="s">
        <v>89</v>
      </c>
      <c r="H3043" t="s">
        <v>30</v>
      </c>
      <c r="I3043" t="s">
        <v>30</v>
      </c>
      <c r="J3043" t="s">
        <v>31</v>
      </c>
      <c r="K3043" t="s">
        <v>32</v>
      </c>
      <c r="L3043" t="s">
        <v>32</v>
      </c>
      <c r="M3043" t="s">
        <v>33</v>
      </c>
      <c r="N3043" t="s">
        <v>33</v>
      </c>
      <c r="O3043" t="s">
        <v>33</v>
      </c>
      <c r="P3043" t="s">
        <v>34</v>
      </c>
      <c r="Q3043" t="s">
        <v>35</v>
      </c>
      <c r="S3043" t="s">
        <v>30</v>
      </c>
      <c r="T3043" t="s">
        <v>2641</v>
      </c>
      <c r="U3043" t="s">
        <v>2642</v>
      </c>
      <c r="V3043" t="s">
        <v>40</v>
      </c>
      <c r="W3043" s="1">
        <v>3919600</v>
      </c>
    </row>
    <row r="3044" spans="1:23" x14ac:dyDescent="0.2">
      <c r="A3044" t="s">
        <v>2096</v>
      </c>
      <c r="B3044" t="s">
        <v>2097</v>
      </c>
      <c r="C3044" t="s">
        <v>2466</v>
      </c>
      <c r="D3044" t="s">
        <v>2573</v>
      </c>
      <c r="E3044" t="s">
        <v>2574</v>
      </c>
      <c r="F3044" t="s">
        <v>2575</v>
      </c>
      <c r="G3044" t="s">
        <v>106</v>
      </c>
      <c r="H3044" t="s">
        <v>30</v>
      </c>
      <c r="I3044" t="s">
        <v>30</v>
      </c>
      <c r="J3044" t="s">
        <v>31</v>
      </c>
      <c r="K3044" t="s">
        <v>32</v>
      </c>
      <c r="L3044" t="s">
        <v>32</v>
      </c>
      <c r="M3044" t="s">
        <v>33</v>
      </c>
      <c r="N3044" t="s">
        <v>33</v>
      </c>
      <c r="O3044" t="s">
        <v>33</v>
      </c>
      <c r="P3044" t="s">
        <v>34</v>
      </c>
      <c r="Q3044" t="s">
        <v>35</v>
      </c>
      <c r="S3044" t="s">
        <v>30</v>
      </c>
      <c r="T3044" t="s">
        <v>2643</v>
      </c>
      <c r="U3044" t="s">
        <v>2644</v>
      </c>
      <c r="V3044" t="s">
        <v>39</v>
      </c>
      <c r="W3044" s="1">
        <v>6</v>
      </c>
    </row>
    <row r="3045" spans="1:23" x14ac:dyDescent="0.2">
      <c r="A3045" t="s">
        <v>2096</v>
      </c>
      <c r="B3045" t="s">
        <v>2097</v>
      </c>
      <c r="C3045" t="s">
        <v>2466</v>
      </c>
      <c r="D3045" t="s">
        <v>2573</v>
      </c>
      <c r="E3045" t="s">
        <v>2574</v>
      </c>
      <c r="F3045" t="s">
        <v>2575</v>
      </c>
      <c r="G3045" t="s">
        <v>106</v>
      </c>
      <c r="H3045" t="s">
        <v>30</v>
      </c>
      <c r="I3045" t="s">
        <v>30</v>
      </c>
      <c r="J3045" t="s">
        <v>31</v>
      </c>
      <c r="K3045" t="s">
        <v>32</v>
      </c>
      <c r="L3045" t="s">
        <v>32</v>
      </c>
      <c r="M3045" t="s">
        <v>33</v>
      </c>
      <c r="N3045" t="s">
        <v>33</v>
      </c>
      <c r="O3045" t="s">
        <v>33</v>
      </c>
      <c r="P3045" t="s">
        <v>34</v>
      </c>
      <c r="Q3045" t="s">
        <v>35</v>
      </c>
      <c r="S3045" t="s">
        <v>30</v>
      </c>
      <c r="T3045" t="s">
        <v>2643</v>
      </c>
      <c r="U3045" t="s">
        <v>2644</v>
      </c>
      <c r="V3045" t="s">
        <v>40</v>
      </c>
      <c r="W3045" s="1">
        <v>4199400</v>
      </c>
    </row>
    <row r="3046" spans="1:23" x14ac:dyDescent="0.2">
      <c r="A3046" t="s">
        <v>2096</v>
      </c>
      <c r="B3046" t="s">
        <v>2097</v>
      </c>
      <c r="C3046" t="s">
        <v>2466</v>
      </c>
      <c r="D3046" t="s">
        <v>2573</v>
      </c>
      <c r="E3046" t="s">
        <v>2574</v>
      </c>
      <c r="F3046" t="s">
        <v>2575</v>
      </c>
      <c r="G3046" t="s">
        <v>106</v>
      </c>
      <c r="H3046" t="s">
        <v>30</v>
      </c>
      <c r="I3046" t="s">
        <v>30</v>
      </c>
      <c r="J3046" t="s">
        <v>41</v>
      </c>
      <c r="K3046" t="s">
        <v>32</v>
      </c>
      <c r="L3046" t="s">
        <v>32</v>
      </c>
      <c r="M3046" t="s">
        <v>33</v>
      </c>
      <c r="N3046" t="s">
        <v>33</v>
      </c>
      <c r="O3046" t="s">
        <v>33</v>
      </c>
      <c r="P3046" t="s">
        <v>42</v>
      </c>
      <c r="Q3046" t="s">
        <v>43</v>
      </c>
      <c r="S3046" t="s">
        <v>30</v>
      </c>
      <c r="T3046" t="s">
        <v>1624</v>
      </c>
      <c r="U3046" t="s">
        <v>2645</v>
      </c>
      <c r="V3046" t="s">
        <v>39</v>
      </c>
      <c r="W3046" s="1">
        <v>3</v>
      </c>
    </row>
    <row r="3047" spans="1:23" x14ac:dyDescent="0.2">
      <c r="A3047" t="s">
        <v>2096</v>
      </c>
      <c r="B3047" t="s">
        <v>2097</v>
      </c>
      <c r="C3047" t="s">
        <v>2466</v>
      </c>
      <c r="D3047" t="s">
        <v>2573</v>
      </c>
      <c r="E3047" t="s">
        <v>2574</v>
      </c>
      <c r="F3047" t="s">
        <v>2575</v>
      </c>
      <c r="G3047" t="s">
        <v>106</v>
      </c>
      <c r="H3047" t="s">
        <v>30</v>
      </c>
      <c r="I3047" t="s">
        <v>30</v>
      </c>
      <c r="J3047" t="s">
        <v>41</v>
      </c>
      <c r="K3047" t="s">
        <v>32</v>
      </c>
      <c r="L3047" t="s">
        <v>32</v>
      </c>
      <c r="M3047" t="s">
        <v>33</v>
      </c>
      <c r="N3047" t="s">
        <v>33</v>
      </c>
      <c r="O3047" t="s">
        <v>33</v>
      </c>
      <c r="P3047" t="s">
        <v>42</v>
      </c>
      <c r="Q3047" t="s">
        <v>43</v>
      </c>
      <c r="S3047" t="s">
        <v>30</v>
      </c>
      <c r="T3047" t="s">
        <v>1624</v>
      </c>
      <c r="U3047" t="s">
        <v>2645</v>
      </c>
      <c r="V3047" t="s">
        <v>40</v>
      </c>
      <c r="W3047" s="1">
        <v>3354300</v>
      </c>
    </row>
    <row r="3048" spans="1:23" x14ac:dyDescent="0.2">
      <c r="A3048" t="s">
        <v>2096</v>
      </c>
      <c r="B3048" t="s">
        <v>2097</v>
      </c>
      <c r="C3048" t="s">
        <v>2466</v>
      </c>
      <c r="D3048" t="s">
        <v>2573</v>
      </c>
      <c r="E3048" t="s">
        <v>2574</v>
      </c>
      <c r="F3048" t="s">
        <v>2575</v>
      </c>
      <c r="G3048" t="s">
        <v>106</v>
      </c>
      <c r="H3048" t="s">
        <v>30</v>
      </c>
      <c r="I3048" t="s">
        <v>30</v>
      </c>
      <c r="J3048" t="s">
        <v>41</v>
      </c>
      <c r="K3048" t="s">
        <v>32</v>
      </c>
      <c r="L3048" t="s">
        <v>32</v>
      </c>
      <c r="M3048" t="s">
        <v>33</v>
      </c>
      <c r="P3048" t="s">
        <v>34</v>
      </c>
      <c r="Q3048" t="s">
        <v>35</v>
      </c>
      <c r="S3048" t="s">
        <v>52</v>
      </c>
      <c r="T3048" t="s">
        <v>2646</v>
      </c>
      <c r="U3048" t="s">
        <v>2647</v>
      </c>
      <c r="V3048" t="s">
        <v>39</v>
      </c>
      <c r="W3048" s="1">
        <v>0</v>
      </c>
    </row>
    <row r="3049" spans="1:23" x14ac:dyDescent="0.2">
      <c r="A3049" t="s">
        <v>2096</v>
      </c>
      <c r="B3049" t="s">
        <v>2097</v>
      </c>
      <c r="C3049" t="s">
        <v>2466</v>
      </c>
      <c r="D3049" t="s">
        <v>2573</v>
      </c>
      <c r="E3049" t="s">
        <v>2574</v>
      </c>
      <c r="F3049" t="s">
        <v>2575</v>
      </c>
      <c r="G3049" t="s">
        <v>106</v>
      </c>
      <c r="H3049" t="s">
        <v>30</v>
      </c>
      <c r="I3049" t="s">
        <v>30</v>
      </c>
      <c r="J3049" t="s">
        <v>41</v>
      </c>
      <c r="K3049" t="s">
        <v>32</v>
      </c>
      <c r="L3049" t="s">
        <v>32</v>
      </c>
      <c r="M3049" t="s">
        <v>33</v>
      </c>
      <c r="P3049" t="s">
        <v>34</v>
      </c>
      <c r="Q3049" t="s">
        <v>35</v>
      </c>
      <c r="S3049" t="s">
        <v>52</v>
      </c>
      <c r="T3049" t="s">
        <v>2646</v>
      </c>
      <c r="U3049" t="s">
        <v>2647</v>
      </c>
      <c r="V3049" t="s">
        <v>40</v>
      </c>
      <c r="W3049" s="1">
        <v>3763600</v>
      </c>
    </row>
    <row r="3050" spans="1:23" x14ac:dyDescent="0.2">
      <c r="A3050" t="s">
        <v>2096</v>
      </c>
      <c r="B3050" t="s">
        <v>2097</v>
      </c>
      <c r="C3050" t="s">
        <v>2466</v>
      </c>
      <c r="D3050" t="s">
        <v>2573</v>
      </c>
      <c r="E3050" t="s">
        <v>2574</v>
      </c>
      <c r="F3050" t="s">
        <v>2575</v>
      </c>
      <c r="G3050" t="s">
        <v>106</v>
      </c>
      <c r="H3050" t="s">
        <v>30</v>
      </c>
      <c r="I3050" t="s">
        <v>30</v>
      </c>
      <c r="J3050" t="s">
        <v>41</v>
      </c>
      <c r="K3050" t="s">
        <v>32</v>
      </c>
      <c r="L3050" t="s">
        <v>32</v>
      </c>
      <c r="M3050" t="s">
        <v>33</v>
      </c>
      <c r="P3050" t="s">
        <v>34</v>
      </c>
      <c r="Q3050" t="s">
        <v>35</v>
      </c>
      <c r="S3050" t="s">
        <v>52</v>
      </c>
      <c r="T3050" t="s">
        <v>2648</v>
      </c>
      <c r="U3050" t="s">
        <v>2649</v>
      </c>
      <c r="V3050" t="s">
        <v>39</v>
      </c>
      <c r="W3050" s="1">
        <v>0</v>
      </c>
    </row>
    <row r="3051" spans="1:23" x14ac:dyDescent="0.2">
      <c r="A3051" t="s">
        <v>2096</v>
      </c>
      <c r="B3051" t="s">
        <v>2097</v>
      </c>
      <c r="C3051" t="s">
        <v>2466</v>
      </c>
      <c r="D3051" t="s">
        <v>2573</v>
      </c>
      <c r="E3051" t="s">
        <v>2574</v>
      </c>
      <c r="F3051" t="s">
        <v>2575</v>
      </c>
      <c r="G3051" t="s">
        <v>106</v>
      </c>
      <c r="H3051" t="s">
        <v>30</v>
      </c>
      <c r="I3051" t="s">
        <v>30</v>
      </c>
      <c r="J3051" t="s">
        <v>41</v>
      </c>
      <c r="K3051" t="s">
        <v>32</v>
      </c>
      <c r="L3051" t="s">
        <v>32</v>
      </c>
      <c r="M3051" t="s">
        <v>33</v>
      </c>
      <c r="P3051" t="s">
        <v>34</v>
      </c>
      <c r="Q3051" t="s">
        <v>35</v>
      </c>
      <c r="S3051" t="s">
        <v>52</v>
      </c>
      <c r="T3051" t="s">
        <v>2648</v>
      </c>
      <c r="U3051" t="s">
        <v>2649</v>
      </c>
      <c r="V3051" t="s">
        <v>40</v>
      </c>
      <c r="W3051" s="1">
        <v>11333000</v>
      </c>
    </row>
    <row r="3052" spans="1:23" x14ac:dyDescent="0.2">
      <c r="A3052" t="s">
        <v>2096</v>
      </c>
      <c r="B3052" t="s">
        <v>2097</v>
      </c>
      <c r="C3052" t="s">
        <v>2466</v>
      </c>
      <c r="D3052" t="s">
        <v>2573</v>
      </c>
      <c r="E3052" t="s">
        <v>2574</v>
      </c>
      <c r="F3052" t="s">
        <v>2575</v>
      </c>
      <c r="G3052" t="s">
        <v>106</v>
      </c>
      <c r="H3052" t="s">
        <v>30</v>
      </c>
      <c r="I3052" t="s">
        <v>30</v>
      </c>
      <c r="J3052" t="s">
        <v>41</v>
      </c>
      <c r="K3052" t="s">
        <v>32</v>
      </c>
      <c r="L3052" t="s">
        <v>32</v>
      </c>
      <c r="M3052" t="s">
        <v>33</v>
      </c>
      <c r="P3052" t="s">
        <v>42</v>
      </c>
      <c r="Q3052" t="s">
        <v>43</v>
      </c>
      <c r="S3052" t="s">
        <v>52</v>
      </c>
      <c r="T3052" t="s">
        <v>2650</v>
      </c>
      <c r="U3052" t="s">
        <v>2651</v>
      </c>
      <c r="V3052" t="s">
        <v>39</v>
      </c>
      <c r="W3052" s="1">
        <v>0</v>
      </c>
    </row>
    <row r="3053" spans="1:23" x14ac:dyDescent="0.2">
      <c r="A3053" t="s">
        <v>2096</v>
      </c>
      <c r="B3053" t="s">
        <v>2097</v>
      </c>
      <c r="C3053" t="s">
        <v>2466</v>
      </c>
      <c r="D3053" t="s">
        <v>2573</v>
      </c>
      <c r="E3053" t="s">
        <v>2574</v>
      </c>
      <c r="F3053" t="s">
        <v>2575</v>
      </c>
      <c r="G3053" t="s">
        <v>106</v>
      </c>
      <c r="H3053" t="s">
        <v>30</v>
      </c>
      <c r="I3053" t="s">
        <v>30</v>
      </c>
      <c r="J3053" t="s">
        <v>41</v>
      </c>
      <c r="K3053" t="s">
        <v>32</v>
      </c>
      <c r="L3053" t="s">
        <v>32</v>
      </c>
      <c r="M3053" t="s">
        <v>33</v>
      </c>
      <c r="P3053" t="s">
        <v>42</v>
      </c>
      <c r="Q3053" t="s">
        <v>43</v>
      </c>
      <c r="S3053" t="s">
        <v>52</v>
      </c>
      <c r="T3053" t="s">
        <v>2650</v>
      </c>
      <c r="U3053" t="s">
        <v>2651</v>
      </c>
      <c r="V3053" t="s">
        <v>40</v>
      </c>
      <c r="W3053" s="1">
        <v>3054300</v>
      </c>
    </row>
    <row r="3054" spans="1:23" x14ac:dyDescent="0.2">
      <c r="A3054" t="s">
        <v>2096</v>
      </c>
      <c r="B3054" t="s">
        <v>2097</v>
      </c>
      <c r="C3054" t="s">
        <v>2466</v>
      </c>
      <c r="D3054" t="s">
        <v>2573</v>
      </c>
      <c r="E3054" t="s">
        <v>2574</v>
      </c>
      <c r="F3054" t="s">
        <v>2575</v>
      </c>
      <c r="G3054" t="s">
        <v>119</v>
      </c>
      <c r="H3054" t="s">
        <v>30</v>
      </c>
      <c r="I3054" t="s">
        <v>52</v>
      </c>
      <c r="J3054" t="s">
        <v>31</v>
      </c>
      <c r="K3054" t="s">
        <v>32</v>
      </c>
      <c r="L3054" t="s">
        <v>32</v>
      </c>
      <c r="M3054" t="s">
        <v>33</v>
      </c>
      <c r="N3054" t="s">
        <v>33</v>
      </c>
      <c r="O3054" t="s">
        <v>33</v>
      </c>
      <c r="P3054" t="s">
        <v>213</v>
      </c>
      <c r="Q3054" t="s">
        <v>2111</v>
      </c>
      <c r="S3054" t="s">
        <v>30</v>
      </c>
      <c r="T3054" t="s">
        <v>2652</v>
      </c>
      <c r="U3054" t="s">
        <v>2653</v>
      </c>
      <c r="V3054" t="s">
        <v>39</v>
      </c>
      <c r="W3054" s="1">
        <v>2</v>
      </c>
    </row>
    <row r="3055" spans="1:23" x14ac:dyDescent="0.2">
      <c r="A3055" t="s">
        <v>2096</v>
      </c>
      <c r="B3055" t="s">
        <v>2097</v>
      </c>
      <c r="C3055" t="s">
        <v>2466</v>
      </c>
      <c r="D3055" t="s">
        <v>2573</v>
      </c>
      <c r="E3055" t="s">
        <v>2574</v>
      </c>
      <c r="F3055" t="s">
        <v>2575</v>
      </c>
      <c r="G3055" t="s">
        <v>119</v>
      </c>
      <c r="H3055" t="s">
        <v>30</v>
      </c>
      <c r="I3055" t="s">
        <v>52</v>
      </c>
      <c r="J3055" t="s">
        <v>31</v>
      </c>
      <c r="K3055" t="s">
        <v>32</v>
      </c>
      <c r="L3055" t="s">
        <v>32</v>
      </c>
      <c r="M3055" t="s">
        <v>33</v>
      </c>
      <c r="N3055" t="s">
        <v>33</v>
      </c>
      <c r="O3055" t="s">
        <v>33</v>
      </c>
      <c r="P3055" t="s">
        <v>213</v>
      </c>
      <c r="Q3055" t="s">
        <v>2111</v>
      </c>
      <c r="S3055" t="s">
        <v>30</v>
      </c>
      <c r="T3055" t="s">
        <v>2652</v>
      </c>
      <c r="U3055" t="s">
        <v>2653</v>
      </c>
      <c r="V3055" t="s">
        <v>40</v>
      </c>
      <c r="W3055" s="1">
        <v>881800</v>
      </c>
    </row>
    <row r="3056" spans="1:23" x14ac:dyDescent="0.2">
      <c r="A3056" t="s">
        <v>2096</v>
      </c>
      <c r="B3056" t="s">
        <v>2097</v>
      </c>
      <c r="C3056" t="s">
        <v>2466</v>
      </c>
      <c r="D3056" t="s">
        <v>2573</v>
      </c>
      <c r="E3056" t="s">
        <v>2574</v>
      </c>
      <c r="F3056" t="s">
        <v>2575</v>
      </c>
      <c r="G3056" t="s">
        <v>119</v>
      </c>
      <c r="H3056" t="s">
        <v>30</v>
      </c>
      <c r="I3056" t="s">
        <v>52</v>
      </c>
      <c r="J3056" t="s">
        <v>31</v>
      </c>
      <c r="K3056" t="s">
        <v>32</v>
      </c>
      <c r="L3056" t="s">
        <v>32</v>
      </c>
      <c r="M3056" t="s">
        <v>33</v>
      </c>
      <c r="N3056" t="s">
        <v>33</v>
      </c>
      <c r="O3056" t="s">
        <v>33</v>
      </c>
      <c r="P3056" t="s">
        <v>34</v>
      </c>
      <c r="Q3056" t="s">
        <v>35</v>
      </c>
      <c r="S3056" t="s">
        <v>30</v>
      </c>
      <c r="T3056" t="s">
        <v>2654</v>
      </c>
      <c r="U3056" t="s">
        <v>2655</v>
      </c>
      <c r="V3056" t="s">
        <v>39</v>
      </c>
      <c r="W3056" s="1">
        <v>4</v>
      </c>
    </row>
    <row r="3057" spans="1:23" x14ac:dyDescent="0.2">
      <c r="A3057" t="s">
        <v>2096</v>
      </c>
      <c r="B3057" t="s">
        <v>2097</v>
      </c>
      <c r="C3057" t="s">
        <v>2466</v>
      </c>
      <c r="D3057" t="s">
        <v>2573</v>
      </c>
      <c r="E3057" t="s">
        <v>2574</v>
      </c>
      <c r="F3057" t="s">
        <v>2575</v>
      </c>
      <c r="G3057" t="s">
        <v>119</v>
      </c>
      <c r="H3057" t="s">
        <v>30</v>
      </c>
      <c r="I3057" t="s">
        <v>52</v>
      </c>
      <c r="J3057" t="s">
        <v>31</v>
      </c>
      <c r="K3057" t="s">
        <v>32</v>
      </c>
      <c r="L3057" t="s">
        <v>32</v>
      </c>
      <c r="M3057" t="s">
        <v>33</v>
      </c>
      <c r="N3057" t="s">
        <v>33</v>
      </c>
      <c r="O3057" t="s">
        <v>33</v>
      </c>
      <c r="P3057" t="s">
        <v>34</v>
      </c>
      <c r="Q3057" t="s">
        <v>35</v>
      </c>
      <c r="S3057" t="s">
        <v>30</v>
      </c>
      <c r="T3057" t="s">
        <v>2654</v>
      </c>
      <c r="U3057" t="s">
        <v>2655</v>
      </c>
      <c r="V3057" t="s">
        <v>40</v>
      </c>
      <c r="W3057" s="1">
        <v>2896800</v>
      </c>
    </row>
    <row r="3058" spans="1:23" x14ac:dyDescent="0.2">
      <c r="A3058" t="s">
        <v>2096</v>
      </c>
      <c r="B3058" t="s">
        <v>2097</v>
      </c>
      <c r="C3058" t="s">
        <v>2466</v>
      </c>
      <c r="D3058" t="s">
        <v>2573</v>
      </c>
      <c r="E3058" t="s">
        <v>2574</v>
      </c>
      <c r="F3058" t="s">
        <v>2575</v>
      </c>
      <c r="G3058" t="s">
        <v>119</v>
      </c>
      <c r="H3058" t="s">
        <v>30</v>
      </c>
      <c r="I3058" t="s">
        <v>52</v>
      </c>
      <c r="J3058" t="s">
        <v>31</v>
      </c>
      <c r="K3058" t="s">
        <v>32</v>
      </c>
      <c r="L3058" t="s">
        <v>32</v>
      </c>
      <c r="M3058" t="s">
        <v>33</v>
      </c>
      <c r="N3058" t="s">
        <v>33</v>
      </c>
      <c r="O3058" t="s">
        <v>33</v>
      </c>
      <c r="P3058" t="s">
        <v>34</v>
      </c>
      <c r="Q3058" t="s">
        <v>35</v>
      </c>
      <c r="S3058" t="s">
        <v>30</v>
      </c>
      <c r="T3058" t="s">
        <v>2291</v>
      </c>
      <c r="U3058" t="s">
        <v>2656</v>
      </c>
      <c r="V3058" t="s">
        <v>39</v>
      </c>
      <c r="W3058" s="1">
        <v>4</v>
      </c>
    </row>
    <row r="3059" spans="1:23" x14ac:dyDescent="0.2">
      <c r="A3059" t="s">
        <v>2096</v>
      </c>
      <c r="B3059" t="s">
        <v>2097</v>
      </c>
      <c r="C3059" t="s">
        <v>2466</v>
      </c>
      <c r="D3059" t="s">
        <v>2573</v>
      </c>
      <c r="E3059" t="s">
        <v>2574</v>
      </c>
      <c r="F3059" t="s">
        <v>2575</v>
      </c>
      <c r="G3059" t="s">
        <v>119</v>
      </c>
      <c r="H3059" t="s">
        <v>30</v>
      </c>
      <c r="I3059" t="s">
        <v>52</v>
      </c>
      <c r="J3059" t="s">
        <v>31</v>
      </c>
      <c r="K3059" t="s">
        <v>32</v>
      </c>
      <c r="L3059" t="s">
        <v>32</v>
      </c>
      <c r="M3059" t="s">
        <v>33</v>
      </c>
      <c r="N3059" t="s">
        <v>33</v>
      </c>
      <c r="O3059" t="s">
        <v>33</v>
      </c>
      <c r="P3059" t="s">
        <v>34</v>
      </c>
      <c r="Q3059" t="s">
        <v>35</v>
      </c>
      <c r="S3059" t="s">
        <v>30</v>
      </c>
      <c r="T3059" t="s">
        <v>2291</v>
      </c>
      <c r="U3059" t="s">
        <v>2656</v>
      </c>
      <c r="V3059" t="s">
        <v>40</v>
      </c>
      <c r="W3059" s="1">
        <v>4671600</v>
      </c>
    </row>
    <row r="3060" spans="1:23" x14ac:dyDescent="0.2">
      <c r="A3060" t="s">
        <v>2096</v>
      </c>
      <c r="B3060" t="s">
        <v>2097</v>
      </c>
      <c r="C3060" t="s">
        <v>2466</v>
      </c>
      <c r="D3060" t="s">
        <v>2573</v>
      </c>
      <c r="E3060" t="s">
        <v>2574</v>
      </c>
      <c r="F3060" t="s">
        <v>2575</v>
      </c>
      <c r="G3060" t="s">
        <v>119</v>
      </c>
      <c r="H3060" t="s">
        <v>30</v>
      </c>
      <c r="I3060" t="s">
        <v>52</v>
      </c>
      <c r="J3060" t="s">
        <v>41</v>
      </c>
      <c r="K3060" t="s">
        <v>32</v>
      </c>
      <c r="L3060" t="s">
        <v>32</v>
      </c>
      <c r="M3060" t="s">
        <v>33</v>
      </c>
      <c r="N3060" t="s">
        <v>33</v>
      </c>
      <c r="O3060" t="s">
        <v>33</v>
      </c>
      <c r="P3060" t="s">
        <v>34</v>
      </c>
      <c r="Q3060" t="s">
        <v>35</v>
      </c>
      <c r="R3060" t="s">
        <v>54</v>
      </c>
      <c r="S3060" t="s">
        <v>30</v>
      </c>
      <c r="T3060" t="s">
        <v>2657</v>
      </c>
      <c r="U3060" t="s">
        <v>2658</v>
      </c>
      <c r="V3060" t="s">
        <v>39</v>
      </c>
      <c r="W3060" s="1">
        <v>2</v>
      </c>
    </row>
    <row r="3061" spans="1:23" x14ac:dyDescent="0.2">
      <c r="A3061" t="s">
        <v>2096</v>
      </c>
      <c r="B3061" t="s">
        <v>2097</v>
      </c>
      <c r="C3061" t="s">
        <v>2466</v>
      </c>
      <c r="D3061" t="s">
        <v>2573</v>
      </c>
      <c r="E3061" t="s">
        <v>2574</v>
      </c>
      <c r="F3061" t="s">
        <v>2575</v>
      </c>
      <c r="G3061" t="s">
        <v>119</v>
      </c>
      <c r="H3061" t="s">
        <v>30</v>
      </c>
      <c r="I3061" t="s">
        <v>52</v>
      </c>
      <c r="J3061" t="s">
        <v>41</v>
      </c>
      <c r="K3061" t="s">
        <v>32</v>
      </c>
      <c r="L3061" t="s">
        <v>32</v>
      </c>
      <c r="M3061" t="s">
        <v>33</v>
      </c>
      <c r="N3061" t="s">
        <v>33</v>
      </c>
      <c r="O3061" t="s">
        <v>33</v>
      </c>
      <c r="P3061" t="s">
        <v>34</v>
      </c>
      <c r="Q3061" t="s">
        <v>35</v>
      </c>
      <c r="R3061" t="s">
        <v>54</v>
      </c>
      <c r="S3061" t="s">
        <v>30</v>
      </c>
      <c r="T3061" t="s">
        <v>2657</v>
      </c>
      <c r="U3061" t="s">
        <v>2658</v>
      </c>
      <c r="V3061" t="s">
        <v>40</v>
      </c>
      <c r="W3061" s="1">
        <v>2381800</v>
      </c>
    </row>
    <row r="3062" spans="1:23" x14ac:dyDescent="0.2">
      <c r="A3062" t="s">
        <v>2096</v>
      </c>
      <c r="B3062" t="s">
        <v>2097</v>
      </c>
      <c r="C3062" t="s">
        <v>2466</v>
      </c>
      <c r="D3062" t="s">
        <v>2573</v>
      </c>
      <c r="E3062" t="s">
        <v>2574</v>
      </c>
      <c r="F3062" t="s">
        <v>2575</v>
      </c>
      <c r="G3062" t="s">
        <v>119</v>
      </c>
      <c r="H3062" t="s">
        <v>30</v>
      </c>
      <c r="I3062" t="s">
        <v>52</v>
      </c>
      <c r="J3062" t="s">
        <v>41</v>
      </c>
      <c r="K3062" t="s">
        <v>32</v>
      </c>
      <c r="L3062" t="s">
        <v>32</v>
      </c>
      <c r="M3062" t="s">
        <v>33</v>
      </c>
      <c r="N3062" t="s">
        <v>33</v>
      </c>
      <c r="O3062" t="s">
        <v>33</v>
      </c>
      <c r="P3062" t="s">
        <v>34</v>
      </c>
      <c r="Q3062" t="s">
        <v>35</v>
      </c>
      <c r="S3062" t="s">
        <v>30</v>
      </c>
      <c r="T3062" t="s">
        <v>2316</v>
      </c>
      <c r="U3062" t="s">
        <v>2659</v>
      </c>
      <c r="V3062" t="s">
        <v>39</v>
      </c>
      <c r="W3062" s="1">
        <v>2</v>
      </c>
    </row>
    <row r="3063" spans="1:23" x14ac:dyDescent="0.2">
      <c r="A3063" t="s">
        <v>2096</v>
      </c>
      <c r="B3063" t="s">
        <v>2097</v>
      </c>
      <c r="C3063" t="s">
        <v>2466</v>
      </c>
      <c r="D3063" t="s">
        <v>2573</v>
      </c>
      <c r="E3063" t="s">
        <v>2574</v>
      </c>
      <c r="F3063" t="s">
        <v>2575</v>
      </c>
      <c r="G3063" t="s">
        <v>119</v>
      </c>
      <c r="H3063" t="s">
        <v>30</v>
      </c>
      <c r="I3063" t="s">
        <v>52</v>
      </c>
      <c r="J3063" t="s">
        <v>41</v>
      </c>
      <c r="K3063" t="s">
        <v>32</v>
      </c>
      <c r="L3063" t="s">
        <v>32</v>
      </c>
      <c r="M3063" t="s">
        <v>33</v>
      </c>
      <c r="N3063" t="s">
        <v>33</v>
      </c>
      <c r="O3063" t="s">
        <v>33</v>
      </c>
      <c r="P3063" t="s">
        <v>34</v>
      </c>
      <c r="Q3063" t="s">
        <v>35</v>
      </c>
      <c r="S3063" t="s">
        <v>30</v>
      </c>
      <c r="T3063" t="s">
        <v>2316</v>
      </c>
      <c r="U3063" t="s">
        <v>2659</v>
      </c>
      <c r="V3063" t="s">
        <v>40</v>
      </c>
      <c r="W3063" s="1">
        <v>1861800</v>
      </c>
    </row>
    <row r="3064" spans="1:23" x14ac:dyDescent="0.2">
      <c r="A3064" t="s">
        <v>2096</v>
      </c>
      <c r="B3064" t="s">
        <v>2097</v>
      </c>
      <c r="C3064" t="s">
        <v>2466</v>
      </c>
      <c r="D3064" t="s">
        <v>2573</v>
      </c>
      <c r="E3064" t="s">
        <v>2574</v>
      </c>
      <c r="F3064" t="s">
        <v>2575</v>
      </c>
      <c r="G3064" t="s">
        <v>119</v>
      </c>
      <c r="H3064" t="s">
        <v>30</v>
      </c>
      <c r="I3064" t="s">
        <v>52</v>
      </c>
      <c r="J3064" t="s">
        <v>41</v>
      </c>
      <c r="K3064" t="s">
        <v>32</v>
      </c>
      <c r="L3064" t="s">
        <v>32</v>
      </c>
      <c r="M3064" t="s">
        <v>33</v>
      </c>
      <c r="N3064" t="s">
        <v>33</v>
      </c>
      <c r="O3064" t="s">
        <v>33</v>
      </c>
      <c r="P3064" t="s">
        <v>34</v>
      </c>
      <c r="Q3064" t="s">
        <v>35</v>
      </c>
      <c r="S3064" t="s">
        <v>30</v>
      </c>
      <c r="T3064" t="s">
        <v>2660</v>
      </c>
      <c r="U3064" t="s">
        <v>2661</v>
      </c>
      <c r="V3064" t="s">
        <v>39</v>
      </c>
      <c r="W3064" s="1">
        <v>2</v>
      </c>
    </row>
    <row r="3065" spans="1:23" x14ac:dyDescent="0.2">
      <c r="A3065" t="s">
        <v>2096</v>
      </c>
      <c r="B3065" t="s">
        <v>2097</v>
      </c>
      <c r="C3065" t="s">
        <v>2466</v>
      </c>
      <c r="D3065" t="s">
        <v>2573</v>
      </c>
      <c r="E3065" t="s">
        <v>2574</v>
      </c>
      <c r="F3065" t="s">
        <v>2575</v>
      </c>
      <c r="G3065" t="s">
        <v>119</v>
      </c>
      <c r="H3065" t="s">
        <v>30</v>
      </c>
      <c r="I3065" t="s">
        <v>52</v>
      </c>
      <c r="J3065" t="s">
        <v>41</v>
      </c>
      <c r="K3065" t="s">
        <v>32</v>
      </c>
      <c r="L3065" t="s">
        <v>32</v>
      </c>
      <c r="M3065" t="s">
        <v>33</v>
      </c>
      <c r="N3065" t="s">
        <v>33</v>
      </c>
      <c r="O3065" t="s">
        <v>33</v>
      </c>
      <c r="P3065" t="s">
        <v>34</v>
      </c>
      <c r="Q3065" t="s">
        <v>35</v>
      </c>
      <c r="S3065" t="s">
        <v>30</v>
      </c>
      <c r="T3065" t="s">
        <v>2660</v>
      </c>
      <c r="U3065" t="s">
        <v>2661</v>
      </c>
      <c r="V3065" t="s">
        <v>40</v>
      </c>
      <c r="W3065" s="1">
        <v>2961800</v>
      </c>
    </row>
    <row r="3066" spans="1:23" x14ac:dyDescent="0.2">
      <c r="A3066" t="s">
        <v>2096</v>
      </c>
      <c r="B3066" t="s">
        <v>2097</v>
      </c>
      <c r="C3066" t="s">
        <v>2466</v>
      </c>
      <c r="D3066" t="s">
        <v>2573</v>
      </c>
      <c r="E3066" t="s">
        <v>2574</v>
      </c>
      <c r="F3066" t="s">
        <v>2575</v>
      </c>
      <c r="G3066" t="s">
        <v>119</v>
      </c>
      <c r="H3066" t="s">
        <v>30</v>
      </c>
      <c r="I3066" t="s">
        <v>52</v>
      </c>
      <c r="J3066" t="s">
        <v>41</v>
      </c>
      <c r="K3066" t="s">
        <v>32</v>
      </c>
      <c r="L3066" t="s">
        <v>32</v>
      </c>
      <c r="M3066" t="s">
        <v>33</v>
      </c>
      <c r="N3066" t="s">
        <v>169</v>
      </c>
      <c r="O3066" t="s">
        <v>169</v>
      </c>
      <c r="P3066" t="s">
        <v>34</v>
      </c>
      <c r="Q3066" t="s">
        <v>35</v>
      </c>
      <c r="S3066" t="s">
        <v>30</v>
      </c>
      <c r="T3066" t="s">
        <v>2316</v>
      </c>
      <c r="U3066" t="s">
        <v>2659</v>
      </c>
      <c r="V3066" t="s">
        <v>39</v>
      </c>
      <c r="W3066" s="1">
        <v>1</v>
      </c>
    </row>
    <row r="3067" spans="1:23" x14ac:dyDescent="0.2">
      <c r="A3067" t="s">
        <v>2096</v>
      </c>
      <c r="B3067" t="s">
        <v>2097</v>
      </c>
      <c r="C3067" t="s">
        <v>2466</v>
      </c>
      <c r="D3067" t="s">
        <v>2573</v>
      </c>
      <c r="E3067" t="s">
        <v>2574</v>
      </c>
      <c r="F3067" t="s">
        <v>2575</v>
      </c>
      <c r="G3067" t="s">
        <v>119</v>
      </c>
      <c r="H3067" t="s">
        <v>30</v>
      </c>
      <c r="I3067" t="s">
        <v>52</v>
      </c>
      <c r="J3067" t="s">
        <v>41</v>
      </c>
      <c r="K3067" t="s">
        <v>32</v>
      </c>
      <c r="L3067" t="s">
        <v>32</v>
      </c>
      <c r="M3067" t="s">
        <v>33</v>
      </c>
      <c r="N3067" t="s">
        <v>169</v>
      </c>
      <c r="O3067" t="s">
        <v>169</v>
      </c>
      <c r="P3067" t="s">
        <v>34</v>
      </c>
      <c r="Q3067" t="s">
        <v>35</v>
      </c>
      <c r="S3067" t="s">
        <v>30</v>
      </c>
      <c r="T3067" t="s">
        <v>2316</v>
      </c>
      <c r="U3067" t="s">
        <v>2659</v>
      </c>
      <c r="V3067" t="s">
        <v>40</v>
      </c>
      <c r="W3067" s="1">
        <v>930900</v>
      </c>
    </row>
    <row r="3068" spans="1:23" x14ac:dyDescent="0.2">
      <c r="A3068" t="s">
        <v>2096</v>
      </c>
      <c r="B3068" t="s">
        <v>2097</v>
      </c>
      <c r="C3068" t="s">
        <v>2466</v>
      </c>
      <c r="D3068" t="s">
        <v>2573</v>
      </c>
      <c r="E3068" t="s">
        <v>2574</v>
      </c>
      <c r="F3068" t="s">
        <v>2575</v>
      </c>
      <c r="G3068" t="s">
        <v>119</v>
      </c>
      <c r="H3068" t="s">
        <v>30</v>
      </c>
      <c r="I3068" t="s">
        <v>52</v>
      </c>
      <c r="J3068" t="s">
        <v>41</v>
      </c>
      <c r="K3068" t="s">
        <v>32</v>
      </c>
      <c r="L3068" t="s">
        <v>32</v>
      </c>
      <c r="M3068" t="s">
        <v>176</v>
      </c>
      <c r="N3068" t="s">
        <v>176</v>
      </c>
      <c r="O3068" t="s">
        <v>176</v>
      </c>
      <c r="P3068" t="s">
        <v>34</v>
      </c>
      <c r="Q3068" t="s">
        <v>35</v>
      </c>
      <c r="S3068" t="s">
        <v>30</v>
      </c>
      <c r="T3068" t="s">
        <v>2316</v>
      </c>
      <c r="U3068" t="s">
        <v>2659</v>
      </c>
      <c r="V3068" t="s">
        <v>39</v>
      </c>
      <c r="W3068" s="1">
        <v>1</v>
      </c>
    </row>
    <row r="3069" spans="1:23" x14ac:dyDescent="0.2">
      <c r="A3069" t="s">
        <v>2096</v>
      </c>
      <c r="B3069" t="s">
        <v>2097</v>
      </c>
      <c r="C3069" t="s">
        <v>2466</v>
      </c>
      <c r="D3069" t="s">
        <v>2573</v>
      </c>
      <c r="E3069" t="s">
        <v>2574</v>
      </c>
      <c r="F3069" t="s">
        <v>2575</v>
      </c>
      <c r="G3069" t="s">
        <v>119</v>
      </c>
      <c r="H3069" t="s">
        <v>30</v>
      </c>
      <c r="I3069" t="s">
        <v>52</v>
      </c>
      <c r="J3069" t="s">
        <v>41</v>
      </c>
      <c r="K3069" t="s">
        <v>32</v>
      </c>
      <c r="L3069" t="s">
        <v>32</v>
      </c>
      <c r="M3069" t="s">
        <v>176</v>
      </c>
      <c r="N3069" t="s">
        <v>176</v>
      </c>
      <c r="O3069" t="s">
        <v>176</v>
      </c>
      <c r="P3069" t="s">
        <v>34</v>
      </c>
      <c r="Q3069" t="s">
        <v>35</v>
      </c>
      <c r="S3069" t="s">
        <v>30</v>
      </c>
      <c r="T3069" t="s">
        <v>2316</v>
      </c>
      <c r="U3069" t="s">
        <v>2659</v>
      </c>
      <c r="V3069" t="s">
        <v>40</v>
      </c>
      <c r="W3069" s="1">
        <v>930900</v>
      </c>
    </row>
    <row r="3070" spans="1:23" x14ac:dyDescent="0.2">
      <c r="A3070" t="s">
        <v>2096</v>
      </c>
      <c r="B3070" t="s">
        <v>2097</v>
      </c>
      <c r="C3070" t="s">
        <v>2466</v>
      </c>
      <c r="D3070" t="s">
        <v>2573</v>
      </c>
      <c r="E3070" t="s">
        <v>2574</v>
      </c>
      <c r="F3070" t="s">
        <v>2575</v>
      </c>
      <c r="G3070" t="s">
        <v>127</v>
      </c>
      <c r="H3070" t="s">
        <v>52</v>
      </c>
      <c r="I3070" t="s">
        <v>30</v>
      </c>
      <c r="J3070" t="s">
        <v>31</v>
      </c>
      <c r="K3070" t="s">
        <v>32</v>
      </c>
      <c r="L3070" t="s">
        <v>32</v>
      </c>
      <c r="M3070" t="s">
        <v>33</v>
      </c>
      <c r="N3070" t="s">
        <v>33</v>
      </c>
      <c r="O3070" t="s">
        <v>33</v>
      </c>
      <c r="P3070" t="s">
        <v>34</v>
      </c>
      <c r="Q3070" t="s">
        <v>35</v>
      </c>
      <c r="R3070" t="s">
        <v>228</v>
      </c>
      <c r="S3070" t="s">
        <v>30</v>
      </c>
      <c r="T3070" t="s">
        <v>2662</v>
      </c>
      <c r="U3070" t="s">
        <v>2663</v>
      </c>
      <c r="V3070" t="s">
        <v>39</v>
      </c>
      <c r="W3070" s="1">
        <v>2</v>
      </c>
    </row>
    <row r="3071" spans="1:23" x14ac:dyDescent="0.2">
      <c r="A3071" t="s">
        <v>2096</v>
      </c>
      <c r="B3071" t="s">
        <v>2097</v>
      </c>
      <c r="C3071" t="s">
        <v>2466</v>
      </c>
      <c r="D3071" t="s">
        <v>2573</v>
      </c>
      <c r="E3071" t="s">
        <v>2574</v>
      </c>
      <c r="F3071" t="s">
        <v>2575</v>
      </c>
      <c r="G3071" t="s">
        <v>127</v>
      </c>
      <c r="H3071" t="s">
        <v>52</v>
      </c>
      <c r="I3071" t="s">
        <v>30</v>
      </c>
      <c r="J3071" t="s">
        <v>31</v>
      </c>
      <c r="K3071" t="s">
        <v>32</v>
      </c>
      <c r="L3071" t="s">
        <v>32</v>
      </c>
      <c r="M3071" t="s">
        <v>33</v>
      </c>
      <c r="N3071" t="s">
        <v>33</v>
      </c>
      <c r="O3071" t="s">
        <v>33</v>
      </c>
      <c r="P3071" t="s">
        <v>34</v>
      </c>
      <c r="Q3071" t="s">
        <v>35</v>
      </c>
      <c r="R3071" t="s">
        <v>228</v>
      </c>
      <c r="S3071" t="s">
        <v>30</v>
      </c>
      <c r="T3071" t="s">
        <v>2662</v>
      </c>
      <c r="U3071" t="s">
        <v>2663</v>
      </c>
      <c r="V3071" t="s">
        <v>40</v>
      </c>
      <c r="W3071" s="1">
        <v>1799800</v>
      </c>
    </row>
    <row r="3072" spans="1:23" x14ac:dyDescent="0.2">
      <c r="A3072" t="s">
        <v>2096</v>
      </c>
      <c r="B3072" t="s">
        <v>2097</v>
      </c>
      <c r="C3072" t="s">
        <v>2466</v>
      </c>
      <c r="D3072" t="s">
        <v>2573</v>
      </c>
      <c r="E3072" t="s">
        <v>2574</v>
      </c>
      <c r="F3072" t="s">
        <v>2575</v>
      </c>
      <c r="G3072" t="s">
        <v>127</v>
      </c>
      <c r="H3072" t="s">
        <v>52</v>
      </c>
      <c r="I3072" t="s">
        <v>30</v>
      </c>
      <c r="J3072" t="s">
        <v>31</v>
      </c>
      <c r="K3072" t="s">
        <v>32</v>
      </c>
      <c r="L3072" t="s">
        <v>32</v>
      </c>
      <c r="M3072" t="s">
        <v>33</v>
      </c>
      <c r="N3072" t="s">
        <v>33</v>
      </c>
      <c r="O3072" t="s">
        <v>33</v>
      </c>
      <c r="P3072" t="s">
        <v>42</v>
      </c>
      <c r="Q3072" t="s">
        <v>43</v>
      </c>
      <c r="S3072" t="s">
        <v>30</v>
      </c>
      <c r="T3072" t="s">
        <v>2664</v>
      </c>
      <c r="U3072" t="s">
        <v>2665</v>
      </c>
      <c r="V3072" t="s">
        <v>39</v>
      </c>
      <c r="W3072" s="1">
        <v>2</v>
      </c>
    </row>
    <row r="3073" spans="1:23" x14ac:dyDescent="0.2">
      <c r="A3073" t="s">
        <v>2096</v>
      </c>
      <c r="B3073" t="s">
        <v>2097</v>
      </c>
      <c r="C3073" t="s">
        <v>2466</v>
      </c>
      <c r="D3073" t="s">
        <v>2573</v>
      </c>
      <c r="E3073" t="s">
        <v>2574</v>
      </c>
      <c r="F3073" t="s">
        <v>2575</v>
      </c>
      <c r="G3073" t="s">
        <v>127</v>
      </c>
      <c r="H3073" t="s">
        <v>52</v>
      </c>
      <c r="I3073" t="s">
        <v>30</v>
      </c>
      <c r="J3073" t="s">
        <v>31</v>
      </c>
      <c r="K3073" t="s">
        <v>32</v>
      </c>
      <c r="L3073" t="s">
        <v>32</v>
      </c>
      <c r="M3073" t="s">
        <v>33</v>
      </c>
      <c r="N3073" t="s">
        <v>33</v>
      </c>
      <c r="O3073" t="s">
        <v>33</v>
      </c>
      <c r="P3073" t="s">
        <v>42</v>
      </c>
      <c r="Q3073" t="s">
        <v>43</v>
      </c>
      <c r="S3073" t="s">
        <v>30</v>
      </c>
      <c r="T3073" t="s">
        <v>2664</v>
      </c>
      <c r="U3073" t="s">
        <v>2665</v>
      </c>
      <c r="V3073" t="s">
        <v>40</v>
      </c>
      <c r="W3073" s="1">
        <v>673600</v>
      </c>
    </row>
    <row r="3074" spans="1:23" x14ac:dyDescent="0.2">
      <c r="A3074" t="s">
        <v>2096</v>
      </c>
      <c r="B3074" t="s">
        <v>2097</v>
      </c>
      <c r="C3074" t="s">
        <v>2466</v>
      </c>
      <c r="D3074" t="s">
        <v>2573</v>
      </c>
      <c r="E3074" t="s">
        <v>2574</v>
      </c>
      <c r="F3074" t="s">
        <v>2575</v>
      </c>
      <c r="G3074" t="s">
        <v>127</v>
      </c>
      <c r="H3074" t="s">
        <v>52</v>
      </c>
      <c r="I3074" t="s">
        <v>30</v>
      </c>
      <c r="J3074" t="s">
        <v>31</v>
      </c>
      <c r="K3074" t="s">
        <v>32</v>
      </c>
      <c r="L3074" t="s">
        <v>32</v>
      </c>
      <c r="M3074" t="s">
        <v>33</v>
      </c>
      <c r="P3074" t="s">
        <v>34</v>
      </c>
      <c r="Q3074" t="s">
        <v>35</v>
      </c>
      <c r="S3074" t="s">
        <v>30</v>
      </c>
      <c r="T3074" t="s">
        <v>2666</v>
      </c>
      <c r="U3074" t="s">
        <v>2667</v>
      </c>
      <c r="V3074" t="s">
        <v>39</v>
      </c>
      <c r="W3074" s="1">
        <v>3</v>
      </c>
    </row>
    <row r="3075" spans="1:23" x14ac:dyDescent="0.2">
      <c r="A3075" t="s">
        <v>2096</v>
      </c>
      <c r="B3075" t="s">
        <v>2097</v>
      </c>
      <c r="C3075" t="s">
        <v>2466</v>
      </c>
      <c r="D3075" t="s">
        <v>2573</v>
      </c>
      <c r="E3075" t="s">
        <v>2574</v>
      </c>
      <c r="F3075" t="s">
        <v>2575</v>
      </c>
      <c r="G3075" t="s">
        <v>127</v>
      </c>
      <c r="H3075" t="s">
        <v>52</v>
      </c>
      <c r="I3075" t="s">
        <v>30</v>
      </c>
      <c r="J3075" t="s">
        <v>31</v>
      </c>
      <c r="K3075" t="s">
        <v>32</v>
      </c>
      <c r="L3075" t="s">
        <v>32</v>
      </c>
      <c r="M3075" t="s">
        <v>33</v>
      </c>
      <c r="P3075" t="s">
        <v>34</v>
      </c>
      <c r="Q3075" t="s">
        <v>35</v>
      </c>
      <c r="S3075" t="s">
        <v>30</v>
      </c>
      <c r="T3075" t="s">
        <v>2666</v>
      </c>
      <c r="U3075" t="s">
        <v>2667</v>
      </c>
      <c r="V3075" t="s">
        <v>40</v>
      </c>
      <c r="W3075" s="1">
        <v>3449700</v>
      </c>
    </row>
    <row r="3076" spans="1:23" x14ac:dyDescent="0.2">
      <c r="A3076" t="s">
        <v>2096</v>
      </c>
      <c r="B3076" t="s">
        <v>2097</v>
      </c>
      <c r="C3076" t="s">
        <v>2466</v>
      </c>
      <c r="D3076" t="s">
        <v>2573</v>
      </c>
      <c r="E3076" t="s">
        <v>2574</v>
      </c>
      <c r="F3076" t="s">
        <v>2575</v>
      </c>
      <c r="G3076" t="s">
        <v>127</v>
      </c>
      <c r="H3076" t="s">
        <v>52</v>
      </c>
      <c r="I3076" t="s">
        <v>30</v>
      </c>
      <c r="J3076" t="s">
        <v>31</v>
      </c>
      <c r="K3076" t="s">
        <v>32</v>
      </c>
      <c r="L3076" t="s">
        <v>32</v>
      </c>
      <c r="M3076" t="s">
        <v>33</v>
      </c>
      <c r="P3076" t="s">
        <v>42</v>
      </c>
      <c r="Q3076" t="s">
        <v>43</v>
      </c>
      <c r="R3076" t="s">
        <v>228</v>
      </c>
      <c r="S3076" t="s">
        <v>30</v>
      </c>
      <c r="T3076" t="s">
        <v>2668</v>
      </c>
      <c r="U3076" t="s">
        <v>2669</v>
      </c>
      <c r="V3076" t="s">
        <v>39</v>
      </c>
      <c r="W3076" s="1">
        <v>6</v>
      </c>
    </row>
    <row r="3077" spans="1:23" x14ac:dyDescent="0.2">
      <c r="A3077" t="s">
        <v>2096</v>
      </c>
      <c r="B3077" t="s">
        <v>2097</v>
      </c>
      <c r="C3077" t="s">
        <v>2466</v>
      </c>
      <c r="D3077" t="s">
        <v>2573</v>
      </c>
      <c r="E3077" t="s">
        <v>2574</v>
      </c>
      <c r="F3077" t="s">
        <v>2575</v>
      </c>
      <c r="G3077" t="s">
        <v>127</v>
      </c>
      <c r="H3077" t="s">
        <v>52</v>
      </c>
      <c r="I3077" t="s">
        <v>30</v>
      </c>
      <c r="J3077" t="s">
        <v>31</v>
      </c>
      <c r="K3077" t="s">
        <v>32</v>
      </c>
      <c r="L3077" t="s">
        <v>32</v>
      </c>
      <c r="M3077" t="s">
        <v>33</v>
      </c>
      <c r="P3077" t="s">
        <v>42</v>
      </c>
      <c r="Q3077" t="s">
        <v>43</v>
      </c>
      <c r="R3077" t="s">
        <v>228</v>
      </c>
      <c r="S3077" t="s">
        <v>30</v>
      </c>
      <c r="T3077" t="s">
        <v>2668</v>
      </c>
      <c r="U3077" t="s">
        <v>2669</v>
      </c>
      <c r="V3077" t="s">
        <v>40</v>
      </c>
      <c r="W3077" s="1">
        <v>4494000</v>
      </c>
    </row>
    <row r="3078" spans="1:23" x14ac:dyDescent="0.2">
      <c r="A3078" t="s">
        <v>2096</v>
      </c>
      <c r="B3078" t="s">
        <v>2097</v>
      </c>
      <c r="C3078" t="s">
        <v>2466</v>
      </c>
      <c r="D3078" t="s">
        <v>2573</v>
      </c>
      <c r="E3078" t="s">
        <v>2574</v>
      </c>
      <c r="F3078" t="s">
        <v>2575</v>
      </c>
      <c r="G3078" t="s">
        <v>127</v>
      </c>
      <c r="H3078" t="s">
        <v>52</v>
      </c>
      <c r="I3078" t="s">
        <v>30</v>
      </c>
      <c r="J3078" t="s">
        <v>41</v>
      </c>
      <c r="K3078" t="s">
        <v>32</v>
      </c>
      <c r="L3078" t="s">
        <v>32</v>
      </c>
      <c r="M3078" t="s">
        <v>33</v>
      </c>
      <c r="N3078" t="s">
        <v>33</v>
      </c>
      <c r="O3078" t="s">
        <v>33</v>
      </c>
      <c r="P3078" t="s">
        <v>34</v>
      </c>
      <c r="Q3078" t="s">
        <v>35</v>
      </c>
      <c r="R3078" t="s">
        <v>294</v>
      </c>
      <c r="S3078" t="s">
        <v>30</v>
      </c>
      <c r="T3078" t="s">
        <v>2670</v>
      </c>
      <c r="U3078" t="s">
        <v>2671</v>
      </c>
      <c r="V3078" t="s">
        <v>39</v>
      </c>
      <c r="W3078" s="1">
        <v>2</v>
      </c>
    </row>
    <row r="3079" spans="1:23" x14ac:dyDescent="0.2">
      <c r="A3079" t="s">
        <v>2096</v>
      </c>
      <c r="B3079" t="s">
        <v>2097</v>
      </c>
      <c r="C3079" t="s">
        <v>2466</v>
      </c>
      <c r="D3079" t="s">
        <v>2573</v>
      </c>
      <c r="E3079" t="s">
        <v>2574</v>
      </c>
      <c r="F3079" t="s">
        <v>2575</v>
      </c>
      <c r="G3079" t="s">
        <v>127</v>
      </c>
      <c r="H3079" t="s">
        <v>52</v>
      </c>
      <c r="I3079" t="s">
        <v>30</v>
      </c>
      <c r="J3079" t="s">
        <v>41</v>
      </c>
      <c r="K3079" t="s">
        <v>32</v>
      </c>
      <c r="L3079" t="s">
        <v>32</v>
      </c>
      <c r="M3079" t="s">
        <v>33</v>
      </c>
      <c r="N3079" t="s">
        <v>33</v>
      </c>
      <c r="O3079" t="s">
        <v>33</v>
      </c>
      <c r="P3079" t="s">
        <v>34</v>
      </c>
      <c r="Q3079" t="s">
        <v>35</v>
      </c>
      <c r="R3079" t="s">
        <v>294</v>
      </c>
      <c r="S3079" t="s">
        <v>30</v>
      </c>
      <c r="T3079" t="s">
        <v>2670</v>
      </c>
      <c r="U3079" t="s">
        <v>2671</v>
      </c>
      <c r="V3079" t="s">
        <v>40</v>
      </c>
      <c r="W3079" s="1">
        <v>2799800</v>
      </c>
    </row>
    <row r="3080" spans="1:23" x14ac:dyDescent="0.2">
      <c r="A3080" t="s">
        <v>2096</v>
      </c>
      <c r="B3080" t="s">
        <v>2097</v>
      </c>
      <c r="C3080" t="s">
        <v>2466</v>
      </c>
      <c r="D3080" t="s">
        <v>2573</v>
      </c>
      <c r="E3080" t="s">
        <v>2574</v>
      </c>
      <c r="F3080" t="s">
        <v>2575</v>
      </c>
      <c r="G3080" t="s">
        <v>127</v>
      </c>
      <c r="H3080" t="s">
        <v>52</v>
      </c>
      <c r="I3080" t="s">
        <v>30</v>
      </c>
      <c r="J3080" t="s">
        <v>41</v>
      </c>
      <c r="K3080" t="s">
        <v>32</v>
      </c>
      <c r="L3080" t="s">
        <v>32</v>
      </c>
      <c r="M3080" t="s">
        <v>33</v>
      </c>
      <c r="N3080" t="s">
        <v>33</v>
      </c>
      <c r="O3080" t="s">
        <v>33</v>
      </c>
      <c r="P3080" t="s">
        <v>42</v>
      </c>
      <c r="Q3080" t="s">
        <v>43</v>
      </c>
      <c r="R3080" t="s">
        <v>54</v>
      </c>
      <c r="S3080" t="s">
        <v>30</v>
      </c>
      <c r="T3080" t="s">
        <v>2672</v>
      </c>
      <c r="U3080" t="s">
        <v>2673</v>
      </c>
      <c r="V3080" t="s">
        <v>39</v>
      </c>
      <c r="W3080" s="1">
        <v>3</v>
      </c>
    </row>
    <row r="3081" spans="1:23" x14ac:dyDescent="0.2">
      <c r="A3081" t="s">
        <v>2096</v>
      </c>
      <c r="B3081" t="s">
        <v>2097</v>
      </c>
      <c r="C3081" t="s">
        <v>2466</v>
      </c>
      <c r="D3081" t="s">
        <v>2573</v>
      </c>
      <c r="E3081" t="s">
        <v>2574</v>
      </c>
      <c r="F3081" t="s">
        <v>2575</v>
      </c>
      <c r="G3081" t="s">
        <v>127</v>
      </c>
      <c r="H3081" t="s">
        <v>52</v>
      </c>
      <c r="I3081" t="s">
        <v>30</v>
      </c>
      <c r="J3081" t="s">
        <v>41</v>
      </c>
      <c r="K3081" t="s">
        <v>32</v>
      </c>
      <c r="L3081" t="s">
        <v>32</v>
      </c>
      <c r="M3081" t="s">
        <v>33</v>
      </c>
      <c r="N3081" t="s">
        <v>33</v>
      </c>
      <c r="O3081" t="s">
        <v>33</v>
      </c>
      <c r="P3081" t="s">
        <v>42</v>
      </c>
      <c r="Q3081" t="s">
        <v>43</v>
      </c>
      <c r="R3081" t="s">
        <v>54</v>
      </c>
      <c r="S3081" t="s">
        <v>30</v>
      </c>
      <c r="T3081" t="s">
        <v>2672</v>
      </c>
      <c r="U3081" t="s">
        <v>2673</v>
      </c>
      <c r="V3081" t="s">
        <v>40</v>
      </c>
      <c r="W3081" s="1">
        <v>2660700</v>
      </c>
    </row>
    <row r="3082" spans="1:23" x14ac:dyDescent="0.2">
      <c r="A3082" t="s">
        <v>2096</v>
      </c>
      <c r="B3082" t="s">
        <v>2097</v>
      </c>
      <c r="C3082" t="s">
        <v>2466</v>
      </c>
      <c r="D3082" t="s">
        <v>2573</v>
      </c>
      <c r="E3082" t="s">
        <v>2574</v>
      </c>
      <c r="F3082" t="s">
        <v>2575</v>
      </c>
      <c r="G3082" t="s">
        <v>134</v>
      </c>
      <c r="H3082" t="s">
        <v>52</v>
      </c>
      <c r="I3082" t="s">
        <v>30</v>
      </c>
      <c r="J3082" t="s">
        <v>31</v>
      </c>
      <c r="K3082" t="s">
        <v>32</v>
      </c>
      <c r="L3082" t="s">
        <v>32</v>
      </c>
      <c r="M3082" t="s">
        <v>33</v>
      </c>
      <c r="N3082" t="s">
        <v>33</v>
      </c>
      <c r="O3082" t="s">
        <v>33</v>
      </c>
      <c r="P3082" t="s">
        <v>213</v>
      </c>
      <c r="Q3082" t="s">
        <v>214</v>
      </c>
      <c r="R3082" t="s">
        <v>228</v>
      </c>
      <c r="S3082" t="s">
        <v>30</v>
      </c>
      <c r="T3082" t="s">
        <v>2674</v>
      </c>
      <c r="U3082" t="s">
        <v>2675</v>
      </c>
      <c r="V3082" t="s">
        <v>39</v>
      </c>
      <c r="W3082" s="1">
        <v>2</v>
      </c>
    </row>
    <row r="3083" spans="1:23" x14ac:dyDescent="0.2">
      <c r="A3083" t="s">
        <v>2096</v>
      </c>
      <c r="B3083" t="s">
        <v>2097</v>
      </c>
      <c r="C3083" t="s">
        <v>2466</v>
      </c>
      <c r="D3083" t="s">
        <v>2573</v>
      </c>
      <c r="E3083" t="s">
        <v>2574</v>
      </c>
      <c r="F3083" t="s">
        <v>2575</v>
      </c>
      <c r="G3083" t="s">
        <v>134</v>
      </c>
      <c r="H3083" t="s">
        <v>52</v>
      </c>
      <c r="I3083" t="s">
        <v>30</v>
      </c>
      <c r="J3083" t="s">
        <v>31</v>
      </c>
      <c r="K3083" t="s">
        <v>32</v>
      </c>
      <c r="L3083" t="s">
        <v>32</v>
      </c>
      <c r="M3083" t="s">
        <v>33</v>
      </c>
      <c r="N3083" t="s">
        <v>33</v>
      </c>
      <c r="O3083" t="s">
        <v>33</v>
      </c>
      <c r="P3083" t="s">
        <v>213</v>
      </c>
      <c r="Q3083" t="s">
        <v>214</v>
      </c>
      <c r="R3083" t="s">
        <v>228</v>
      </c>
      <c r="S3083" t="s">
        <v>30</v>
      </c>
      <c r="T3083" t="s">
        <v>2674</v>
      </c>
      <c r="U3083" t="s">
        <v>2675</v>
      </c>
      <c r="V3083" t="s">
        <v>40</v>
      </c>
      <c r="W3083" s="1">
        <v>1478000</v>
      </c>
    </row>
    <row r="3084" spans="1:23" x14ac:dyDescent="0.2">
      <c r="A3084" t="s">
        <v>2096</v>
      </c>
      <c r="B3084" t="s">
        <v>2097</v>
      </c>
      <c r="C3084" t="s">
        <v>2466</v>
      </c>
      <c r="D3084" t="s">
        <v>2573</v>
      </c>
      <c r="E3084" t="s">
        <v>2574</v>
      </c>
      <c r="F3084" t="s">
        <v>2575</v>
      </c>
      <c r="G3084" t="s">
        <v>134</v>
      </c>
      <c r="H3084" t="s">
        <v>52</v>
      </c>
      <c r="I3084" t="s">
        <v>30</v>
      </c>
      <c r="J3084" t="s">
        <v>31</v>
      </c>
      <c r="K3084" t="s">
        <v>32</v>
      </c>
      <c r="L3084" t="s">
        <v>32</v>
      </c>
      <c r="M3084" t="s">
        <v>33</v>
      </c>
      <c r="P3084" t="s">
        <v>213</v>
      </c>
      <c r="Q3084" t="s">
        <v>2111</v>
      </c>
      <c r="S3084" t="s">
        <v>52</v>
      </c>
      <c r="T3084" t="s">
        <v>2676</v>
      </c>
      <c r="U3084" t="s">
        <v>2677</v>
      </c>
      <c r="V3084" t="s">
        <v>39</v>
      </c>
      <c r="W3084" s="1">
        <v>0</v>
      </c>
    </row>
    <row r="3085" spans="1:23" x14ac:dyDescent="0.2">
      <c r="A3085" t="s">
        <v>2096</v>
      </c>
      <c r="B3085" t="s">
        <v>2097</v>
      </c>
      <c r="C3085" t="s">
        <v>2466</v>
      </c>
      <c r="D3085" t="s">
        <v>2573</v>
      </c>
      <c r="E3085" t="s">
        <v>2574</v>
      </c>
      <c r="F3085" t="s">
        <v>2575</v>
      </c>
      <c r="G3085" t="s">
        <v>134</v>
      </c>
      <c r="H3085" t="s">
        <v>52</v>
      </c>
      <c r="I3085" t="s">
        <v>30</v>
      </c>
      <c r="J3085" t="s">
        <v>31</v>
      </c>
      <c r="K3085" t="s">
        <v>32</v>
      </c>
      <c r="L3085" t="s">
        <v>32</v>
      </c>
      <c r="M3085" t="s">
        <v>33</v>
      </c>
      <c r="P3085" t="s">
        <v>213</v>
      </c>
      <c r="Q3085" t="s">
        <v>2111</v>
      </c>
      <c r="S3085" t="s">
        <v>52</v>
      </c>
      <c r="T3085" t="s">
        <v>2676</v>
      </c>
      <c r="U3085" t="s">
        <v>2677</v>
      </c>
      <c r="V3085" t="s">
        <v>40</v>
      </c>
      <c r="W3085" s="1">
        <v>1556200</v>
      </c>
    </row>
    <row r="3086" spans="1:23" x14ac:dyDescent="0.2">
      <c r="A3086" t="s">
        <v>2096</v>
      </c>
      <c r="B3086" t="s">
        <v>2097</v>
      </c>
      <c r="C3086" t="s">
        <v>2466</v>
      </c>
      <c r="D3086" t="s">
        <v>2573</v>
      </c>
      <c r="E3086" t="s">
        <v>2574</v>
      </c>
      <c r="F3086" t="s">
        <v>2575</v>
      </c>
      <c r="G3086" t="s">
        <v>139</v>
      </c>
      <c r="H3086" t="s">
        <v>30</v>
      </c>
      <c r="I3086" t="s">
        <v>30</v>
      </c>
      <c r="J3086" t="s">
        <v>31</v>
      </c>
      <c r="K3086" t="s">
        <v>32</v>
      </c>
      <c r="L3086" t="s">
        <v>32</v>
      </c>
      <c r="M3086" t="s">
        <v>33</v>
      </c>
      <c r="N3086" t="s">
        <v>33</v>
      </c>
      <c r="O3086" t="s">
        <v>33</v>
      </c>
      <c r="P3086" t="s">
        <v>213</v>
      </c>
      <c r="Q3086" t="s">
        <v>2111</v>
      </c>
      <c r="S3086" t="s">
        <v>30</v>
      </c>
      <c r="T3086" t="s">
        <v>2551</v>
      </c>
      <c r="U3086" t="s">
        <v>2678</v>
      </c>
      <c r="V3086" t="s">
        <v>39</v>
      </c>
      <c r="W3086" s="1">
        <v>2</v>
      </c>
    </row>
    <row r="3087" spans="1:23" x14ac:dyDescent="0.2">
      <c r="A3087" t="s">
        <v>2096</v>
      </c>
      <c r="B3087" t="s">
        <v>2097</v>
      </c>
      <c r="C3087" t="s">
        <v>2466</v>
      </c>
      <c r="D3087" t="s">
        <v>2573</v>
      </c>
      <c r="E3087" t="s">
        <v>2574</v>
      </c>
      <c r="F3087" t="s">
        <v>2575</v>
      </c>
      <c r="G3087" t="s">
        <v>139</v>
      </c>
      <c r="H3087" t="s">
        <v>30</v>
      </c>
      <c r="I3087" t="s">
        <v>30</v>
      </c>
      <c r="J3087" t="s">
        <v>31</v>
      </c>
      <c r="K3087" t="s">
        <v>32</v>
      </c>
      <c r="L3087" t="s">
        <v>32</v>
      </c>
      <c r="M3087" t="s">
        <v>33</v>
      </c>
      <c r="N3087" t="s">
        <v>33</v>
      </c>
      <c r="O3087" t="s">
        <v>33</v>
      </c>
      <c r="P3087" t="s">
        <v>213</v>
      </c>
      <c r="Q3087" t="s">
        <v>2111</v>
      </c>
      <c r="S3087" t="s">
        <v>30</v>
      </c>
      <c r="T3087" t="s">
        <v>2551</v>
      </c>
      <c r="U3087" t="s">
        <v>2678</v>
      </c>
      <c r="V3087" t="s">
        <v>40</v>
      </c>
      <c r="W3087" s="1">
        <v>1455800</v>
      </c>
    </row>
    <row r="3088" spans="1:23" x14ac:dyDescent="0.2">
      <c r="A3088" t="s">
        <v>2096</v>
      </c>
      <c r="B3088" t="s">
        <v>2097</v>
      </c>
      <c r="C3088" t="s">
        <v>2466</v>
      </c>
      <c r="D3088" t="s">
        <v>2573</v>
      </c>
      <c r="E3088" t="s">
        <v>2574</v>
      </c>
      <c r="F3088" t="s">
        <v>2575</v>
      </c>
      <c r="G3088" t="s">
        <v>139</v>
      </c>
      <c r="H3088" t="s">
        <v>30</v>
      </c>
      <c r="I3088" t="s">
        <v>30</v>
      </c>
      <c r="J3088" t="s">
        <v>31</v>
      </c>
      <c r="K3088" t="s">
        <v>32</v>
      </c>
      <c r="L3088" t="s">
        <v>32</v>
      </c>
      <c r="M3088" t="s">
        <v>33</v>
      </c>
      <c r="N3088" t="s">
        <v>33</v>
      </c>
      <c r="O3088" t="s">
        <v>33</v>
      </c>
      <c r="P3088" t="s">
        <v>34</v>
      </c>
      <c r="Q3088" t="s">
        <v>35</v>
      </c>
      <c r="S3088" t="s">
        <v>30</v>
      </c>
      <c r="T3088" t="s">
        <v>1779</v>
      </c>
      <c r="U3088" t="s">
        <v>2679</v>
      </c>
      <c r="V3088" t="s">
        <v>39</v>
      </c>
      <c r="W3088" s="1">
        <v>2</v>
      </c>
    </row>
    <row r="3089" spans="1:23" x14ac:dyDescent="0.2">
      <c r="A3089" t="s">
        <v>2096</v>
      </c>
      <c r="B3089" t="s">
        <v>2097</v>
      </c>
      <c r="C3089" t="s">
        <v>2466</v>
      </c>
      <c r="D3089" t="s">
        <v>2573</v>
      </c>
      <c r="E3089" t="s">
        <v>2574</v>
      </c>
      <c r="F3089" t="s">
        <v>2575</v>
      </c>
      <c r="G3089" t="s">
        <v>139</v>
      </c>
      <c r="H3089" t="s">
        <v>30</v>
      </c>
      <c r="I3089" t="s">
        <v>30</v>
      </c>
      <c r="J3089" t="s">
        <v>31</v>
      </c>
      <c r="K3089" t="s">
        <v>32</v>
      </c>
      <c r="L3089" t="s">
        <v>32</v>
      </c>
      <c r="M3089" t="s">
        <v>33</v>
      </c>
      <c r="N3089" t="s">
        <v>33</v>
      </c>
      <c r="O3089" t="s">
        <v>33</v>
      </c>
      <c r="P3089" t="s">
        <v>34</v>
      </c>
      <c r="Q3089" t="s">
        <v>35</v>
      </c>
      <c r="S3089" t="s">
        <v>30</v>
      </c>
      <c r="T3089" t="s">
        <v>1779</v>
      </c>
      <c r="U3089" t="s">
        <v>2679</v>
      </c>
      <c r="V3089" t="s">
        <v>40</v>
      </c>
      <c r="W3089" s="1">
        <v>1165800</v>
      </c>
    </row>
    <row r="3090" spans="1:23" x14ac:dyDescent="0.2">
      <c r="A3090" t="s">
        <v>2096</v>
      </c>
      <c r="B3090" t="s">
        <v>2097</v>
      </c>
      <c r="C3090" t="s">
        <v>2466</v>
      </c>
      <c r="D3090" t="s">
        <v>2573</v>
      </c>
      <c r="E3090" t="s">
        <v>2574</v>
      </c>
      <c r="F3090" t="s">
        <v>2575</v>
      </c>
      <c r="G3090" t="s">
        <v>139</v>
      </c>
      <c r="H3090" t="s">
        <v>30</v>
      </c>
      <c r="I3090" t="s">
        <v>30</v>
      </c>
      <c r="J3090" t="s">
        <v>31</v>
      </c>
      <c r="K3090" t="s">
        <v>32</v>
      </c>
      <c r="L3090" t="s">
        <v>32</v>
      </c>
      <c r="M3090" t="s">
        <v>33</v>
      </c>
      <c r="P3090" t="s">
        <v>42</v>
      </c>
      <c r="Q3090" t="s">
        <v>43</v>
      </c>
      <c r="R3090" t="s">
        <v>228</v>
      </c>
      <c r="S3090" t="s">
        <v>30</v>
      </c>
      <c r="T3090" t="s">
        <v>2680</v>
      </c>
      <c r="U3090" t="s">
        <v>2681</v>
      </c>
      <c r="V3090" t="s">
        <v>39</v>
      </c>
      <c r="W3090" s="1">
        <v>2</v>
      </c>
    </row>
    <row r="3091" spans="1:23" x14ac:dyDescent="0.2">
      <c r="A3091" t="s">
        <v>2096</v>
      </c>
      <c r="B3091" t="s">
        <v>2097</v>
      </c>
      <c r="C3091" t="s">
        <v>2466</v>
      </c>
      <c r="D3091" t="s">
        <v>2573</v>
      </c>
      <c r="E3091" t="s">
        <v>2574</v>
      </c>
      <c r="F3091" t="s">
        <v>2575</v>
      </c>
      <c r="G3091" t="s">
        <v>139</v>
      </c>
      <c r="H3091" t="s">
        <v>30</v>
      </c>
      <c r="I3091" t="s">
        <v>30</v>
      </c>
      <c r="J3091" t="s">
        <v>31</v>
      </c>
      <c r="K3091" t="s">
        <v>32</v>
      </c>
      <c r="L3091" t="s">
        <v>32</v>
      </c>
      <c r="M3091" t="s">
        <v>33</v>
      </c>
      <c r="P3091" t="s">
        <v>42</v>
      </c>
      <c r="Q3091" t="s">
        <v>43</v>
      </c>
      <c r="R3091" t="s">
        <v>228</v>
      </c>
      <c r="S3091" t="s">
        <v>30</v>
      </c>
      <c r="T3091" t="s">
        <v>2680</v>
      </c>
      <c r="U3091" t="s">
        <v>2681</v>
      </c>
      <c r="V3091" t="s">
        <v>40</v>
      </c>
      <c r="W3091" s="1">
        <v>1218000</v>
      </c>
    </row>
    <row r="3092" spans="1:23" x14ac:dyDescent="0.2">
      <c r="A3092" t="s">
        <v>2096</v>
      </c>
      <c r="B3092" t="s">
        <v>2097</v>
      </c>
      <c r="C3092" t="s">
        <v>2466</v>
      </c>
      <c r="D3092" t="s">
        <v>2573</v>
      </c>
      <c r="E3092" t="s">
        <v>2574</v>
      </c>
      <c r="F3092" t="s">
        <v>2575</v>
      </c>
      <c r="G3092" t="s">
        <v>139</v>
      </c>
      <c r="H3092" t="s">
        <v>30</v>
      </c>
      <c r="I3092" t="s">
        <v>30</v>
      </c>
      <c r="J3092" t="s">
        <v>57</v>
      </c>
      <c r="K3092" t="s">
        <v>32</v>
      </c>
      <c r="L3092" t="s">
        <v>32</v>
      </c>
      <c r="M3092" t="s">
        <v>33</v>
      </c>
      <c r="P3092" t="s">
        <v>42</v>
      </c>
      <c r="Q3092" t="s">
        <v>43</v>
      </c>
      <c r="S3092" t="s">
        <v>52</v>
      </c>
      <c r="T3092" t="s">
        <v>2682</v>
      </c>
      <c r="U3092" t="s">
        <v>2683</v>
      </c>
      <c r="V3092" t="s">
        <v>39</v>
      </c>
      <c r="W3092" s="1">
        <v>0</v>
      </c>
    </row>
    <row r="3093" spans="1:23" x14ac:dyDescent="0.2">
      <c r="A3093" t="s">
        <v>2096</v>
      </c>
      <c r="B3093" t="s">
        <v>2097</v>
      </c>
      <c r="C3093" t="s">
        <v>2466</v>
      </c>
      <c r="D3093" t="s">
        <v>2573</v>
      </c>
      <c r="E3093" t="s">
        <v>2574</v>
      </c>
      <c r="F3093" t="s">
        <v>2575</v>
      </c>
      <c r="G3093" t="s">
        <v>139</v>
      </c>
      <c r="H3093" t="s">
        <v>30</v>
      </c>
      <c r="I3093" t="s">
        <v>30</v>
      </c>
      <c r="J3093" t="s">
        <v>57</v>
      </c>
      <c r="K3093" t="s">
        <v>32</v>
      </c>
      <c r="L3093" t="s">
        <v>32</v>
      </c>
      <c r="M3093" t="s">
        <v>33</v>
      </c>
      <c r="P3093" t="s">
        <v>42</v>
      </c>
      <c r="Q3093" t="s">
        <v>43</v>
      </c>
      <c r="S3093" t="s">
        <v>52</v>
      </c>
      <c r="T3093" t="s">
        <v>2682</v>
      </c>
      <c r="U3093" t="s">
        <v>2683</v>
      </c>
      <c r="V3093" t="s">
        <v>40</v>
      </c>
      <c r="W3093" s="1">
        <v>2599600</v>
      </c>
    </row>
    <row r="3094" spans="1:23" x14ac:dyDescent="0.2">
      <c r="A3094" t="s">
        <v>2096</v>
      </c>
      <c r="B3094" t="s">
        <v>2097</v>
      </c>
      <c r="C3094" t="s">
        <v>2466</v>
      </c>
      <c r="D3094" t="s">
        <v>2573</v>
      </c>
      <c r="E3094" t="s">
        <v>2684</v>
      </c>
      <c r="F3094" t="s">
        <v>2685</v>
      </c>
      <c r="G3094" t="s">
        <v>29</v>
      </c>
      <c r="H3094" t="s">
        <v>30</v>
      </c>
      <c r="I3094" t="s">
        <v>30</v>
      </c>
      <c r="J3094" t="s">
        <v>128</v>
      </c>
      <c r="K3094" t="s">
        <v>181</v>
      </c>
      <c r="L3094" t="s">
        <v>32</v>
      </c>
      <c r="M3094" t="s">
        <v>33</v>
      </c>
      <c r="N3094" t="s">
        <v>33</v>
      </c>
      <c r="O3094" t="s">
        <v>33</v>
      </c>
      <c r="P3094" t="s">
        <v>34</v>
      </c>
      <c r="Q3094" t="s">
        <v>35</v>
      </c>
      <c r="S3094" t="s">
        <v>30</v>
      </c>
      <c r="T3094" t="s">
        <v>2686</v>
      </c>
      <c r="U3094" t="s">
        <v>2687</v>
      </c>
      <c r="V3094" t="s">
        <v>39</v>
      </c>
      <c r="W3094" s="1">
        <v>2</v>
      </c>
    </row>
    <row r="3095" spans="1:23" x14ac:dyDescent="0.2">
      <c r="A3095" t="s">
        <v>2096</v>
      </c>
      <c r="B3095" t="s">
        <v>2097</v>
      </c>
      <c r="C3095" t="s">
        <v>2466</v>
      </c>
      <c r="D3095" t="s">
        <v>2573</v>
      </c>
      <c r="E3095" t="s">
        <v>2684</v>
      </c>
      <c r="F3095" t="s">
        <v>2685</v>
      </c>
      <c r="G3095" t="s">
        <v>29</v>
      </c>
      <c r="H3095" t="s">
        <v>30</v>
      </c>
      <c r="I3095" t="s">
        <v>30</v>
      </c>
      <c r="J3095" t="s">
        <v>128</v>
      </c>
      <c r="K3095" t="s">
        <v>181</v>
      </c>
      <c r="L3095" t="s">
        <v>32</v>
      </c>
      <c r="M3095" t="s">
        <v>33</v>
      </c>
      <c r="N3095" t="s">
        <v>33</v>
      </c>
      <c r="O3095" t="s">
        <v>33</v>
      </c>
      <c r="P3095" t="s">
        <v>34</v>
      </c>
      <c r="Q3095" t="s">
        <v>35</v>
      </c>
      <c r="S3095" t="s">
        <v>30</v>
      </c>
      <c r="T3095" t="s">
        <v>2686</v>
      </c>
      <c r="U3095" t="s">
        <v>2687</v>
      </c>
      <c r="V3095" t="s">
        <v>40</v>
      </c>
      <c r="W3095" s="1">
        <v>760000</v>
      </c>
    </row>
    <row r="3096" spans="1:23" x14ac:dyDescent="0.2">
      <c r="A3096" t="s">
        <v>2096</v>
      </c>
      <c r="B3096" t="s">
        <v>2097</v>
      </c>
      <c r="C3096" t="s">
        <v>2466</v>
      </c>
      <c r="D3096" t="s">
        <v>2573</v>
      </c>
      <c r="E3096" t="s">
        <v>2684</v>
      </c>
      <c r="F3096" t="s">
        <v>2685</v>
      </c>
      <c r="G3096" t="s">
        <v>29</v>
      </c>
      <c r="H3096" t="s">
        <v>30</v>
      </c>
      <c r="I3096" t="s">
        <v>30</v>
      </c>
      <c r="J3096" t="s">
        <v>31</v>
      </c>
      <c r="K3096" t="s">
        <v>32</v>
      </c>
      <c r="L3096" t="s">
        <v>32</v>
      </c>
      <c r="M3096" t="s">
        <v>33</v>
      </c>
      <c r="N3096" t="s">
        <v>33</v>
      </c>
      <c r="O3096" t="s">
        <v>33</v>
      </c>
      <c r="P3096" t="s">
        <v>34</v>
      </c>
      <c r="Q3096" t="s">
        <v>35</v>
      </c>
      <c r="S3096" t="s">
        <v>30</v>
      </c>
      <c r="T3096" t="s">
        <v>2525</v>
      </c>
      <c r="U3096" t="s">
        <v>2688</v>
      </c>
      <c r="V3096" t="s">
        <v>39</v>
      </c>
      <c r="W3096" s="1">
        <v>6</v>
      </c>
    </row>
    <row r="3097" spans="1:23" x14ac:dyDescent="0.2">
      <c r="A3097" t="s">
        <v>2096</v>
      </c>
      <c r="B3097" t="s">
        <v>2097</v>
      </c>
      <c r="C3097" t="s">
        <v>2466</v>
      </c>
      <c r="D3097" t="s">
        <v>2573</v>
      </c>
      <c r="E3097" t="s">
        <v>2684</v>
      </c>
      <c r="F3097" t="s">
        <v>2685</v>
      </c>
      <c r="G3097" t="s">
        <v>29</v>
      </c>
      <c r="H3097" t="s">
        <v>30</v>
      </c>
      <c r="I3097" t="s">
        <v>30</v>
      </c>
      <c r="J3097" t="s">
        <v>31</v>
      </c>
      <c r="K3097" t="s">
        <v>32</v>
      </c>
      <c r="L3097" t="s">
        <v>32</v>
      </c>
      <c r="M3097" t="s">
        <v>33</v>
      </c>
      <c r="N3097" t="s">
        <v>33</v>
      </c>
      <c r="O3097" t="s">
        <v>33</v>
      </c>
      <c r="P3097" t="s">
        <v>34</v>
      </c>
      <c r="Q3097" t="s">
        <v>35</v>
      </c>
      <c r="S3097" t="s">
        <v>30</v>
      </c>
      <c r="T3097" t="s">
        <v>2525</v>
      </c>
      <c r="U3097" t="s">
        <v>2688</v>
      </c>
      <c r="V3097" t="s">
        <v>40</v>
      </c>
      <c r="W3097" s="1">
        <v>3539400</v>
      </c>
    </row>
    <row r="3098" spans="1:23" x14ac:dyDescent="0.2">
      <c r="A3098" t="s">
        <v>2096</v>
      </c>
      <c r="B3098" t="s">
        <v>2097</v>
      </c>
      <c r="C3098" t="s">
        <v>2466</v>
      </c>
      <c r="D3098" t="s">
        <v>2573</v>
      </c>
      <c r="E3098" t="s">
        <v>2684</v>
      </c>
      <c r="F3098" t="s">
        <v>2685</v>
      </c>
      <c r="G3098" t="s">
        <v>49</v>
      </c>
      <c r="H3098" t="s">
        <v>30</v>
      </c>
      <c r="I3098" t="s">
        <v>30</v>
      </c>
      <c r="J3098" t="s">
        <v>128</v>
      </c>
      <c r="K3098" t="s">
        <v>181</v>
      </c>
      <c r="L3098" t="s">
        <v>32</v>
      </c>
      <c r="M3098" t="s">
        <v>33</v>
      </c>
      <c r="N3098" t="s">
        <v>33</v>
      </c>
      <c r="O3098" t="s">
        <v>33</v>
      </c>
      <c r="P3098" t="s">
        <v>34</v>
      </c>
      <c r="Q3098" t="s">
        <v>35</v>
      </c>
      <c r="S3098" t="s">
        <v>30</v>
      </c>
      <c r="T3098" t="s">
        <v>2686</v>
      </c>
      <c r="U3098" t="s">
        <v>2687</v>
      </c>
      <c r="V3098" t="s">
        <v>39</v>
      </c>
      <c r="W3098" s="1">
        <v>1</v>
      </c>
    </row>
    <row r="3099" spans="1:23" x14ac:dyDescent="0.2">
      <c r="A3099" t="s">
        <v>2096</v>
      </c>
      <c r="B3099" t="s">
        <v>2097</v>
      </c>
      <c r="C3099" t="s">
        <v>2466</v>
      </c>
      <c r="D3099" t="s">
        <v>2573</v>
      </c>
      <c r="E3099" t="s">
        <v>2684</v>
      </c>
      <c r="F3099" t="s">
        <v>2685</v>
      </c>
      <c r="G3099" t="s">
        <v>49</v>
      </c>
      <c r="H3099" t="s">
        <v>30</v>
      </c>
      <c r="I3099" t="s">
        <v>30</v>
      </c>
      <c r="J3099" t="s">
        <v>128</v>
      </c>
      <c r="K3099" t="s">
        <v>181</v>
      </c>
      <c r="L3099" t="s">
        <v>32</v>
      </c>
      <c r="M3099" t="s">
        <v>33</v>
      </c>
      <c r="N3099" t="s">
        <v>33</v>
      </c>
      <c r="O3099" t="s">
        <v>33</v>
      </c>
      <c r="P3099" t="s">
        <v>34</v>
      </c>
      <c r="Q3099" t="s">
        <v>35</v>
      </c>
      <c r="S3099" t="s">
        <v>30</v>
      </c>
      <c r="T3099" t="s">
        <v>2686</v>
      </c>
      <c r="U3099" t="s">
        <v>2687</v>
      </c>
      <c r="V3099" t="s">
        <v>40</v>
      </c>
      <c r="W3099" s="1">
        <v>380000</v>
      </c>
    </row>
    <row r="3100" spans="1:23" x14ac:dyDescent="0.2">
      <c r="A3100" t="s">
        <v>2096</v>
      </c>
      <c r="B3100" t="s">
        <v>2097</v>
      </c>
      <c r="C3100" t="s">
        <v>2466</v>
      </c>
      <c r="D3100" t="s">
        <v>2573</v>
      </c>
      <c r="E3100" t="s">
        <v>2684</v>
      </c>
      <c r="F3100" t="s">
        <v>2685</v>
      </c>
      <c r="G3100" t="s">
        <v>49</v>
      </c>
      <c r="H3100" t="s">
        <v>30</v>
      </c>
      <c r="I3100" t="s">
        <v>30</v>
      </c>
      <c r="J3100" t="s">
        <v>31</v>
      </c>
      <c r="K3100" t="s">
        <v>32</v>
      </c>
      <c r="L3100" t="s">
        <v>32</v>
      </c>
      <c r="M3100" t="s">
        <v>33</v>
      </c>
      <c r="N3100" t="s">
        <v>33</v>
      </c>
      <c r="O3100" t="s">
        <v>33</v>
      </c>
      <c r="P3100" t="s">
        <v>34</v>
      </c>
      <c r="Q3100" t="s">
        <v>35</v>
      </c>
      <c r="S3100" t="s">
        <v>30</v>
      </c>
      <c r="T3100" t="s">
        <v>2689</v>
      </c>
      <c r="U3100" t="s">
        <v>2690</v>
      </c>
      <c r="V3100" t="s">
        <v>39</v>
      </c>
      <c r="W3100" s="1">
        <v>4</v>
      </c>
    </row>
    <row r="3101" spans="1:23" x14ac:dyDescent="0.2">
      <c r="A3101" t="s">
        <v>2096</v>
      </c>
      <c r="B3101" t="s">
        <v>2097</v>
      </c>
      <c r="C3101" t="s">
        <v>2466</v>
      </c>
      <c r="D3101" t="s">
        <v>2573</v>
      </c>
      <c r="E3101" t="s">
        <v>2684</v>
      </c>
      <c r="F3101" t="s">
        <v>2685</v>
      </c>
      <c r="G3101" t="s">
        <v>49</v>
      </c>
      <c r="H3101" t="s">
        <v>30</v>
      </c>
      <c r="I3101" t="s">
        <v>30</v>
      </c>
      <c r="J3101" t="s">
        <v>31</v>
      </c>
      <c r="K3101" t="s">
        <v>32</v>
      </c>
      <c r="L3101" t="s">
        <v>32</v>
      </c>
      <c r="M3101" t="s">
        <v>33</v>
      </c>
      <c r="N3101" t="s">
        <v>33</v>
      </c>
      <c r="O3101" t="s">
        <v>33</v>
      </c>
      <c r="P3101" t="s">
        <v>34</v>
      </c>
      <c r="Q3101" t="s">
        <v>35</v>
      </c>
      <c r="S3101" t="s">
        <v>30</v>
      </c>
      <c r="T3101" t="s">
        <v>2689</v>
      </c>
      <c r="U3101" t="s">
        <v>2690</v>
      </c>
      <c r="V3101" t="s">
        <v>40</v>
      </c>
      <c r="W3101" s="1">
        <v>2907600</v>
      </c>
    </row>
    <row r="3102" spans="1:23" x14ac:dyDescent="0.2">
      <c r="A3102" t="s">
        <v>2096</v>
      </c>
      <c r="B3102" t="s">
        <v>2097</v>
      </c>
      <c r="C3102" t="s">
        <v>2466</v>
      </c>
      <c r="D3102" t="s">
        <v>2573</v>
      </c>
      <c r="E3102" t="s">
        <v>2684</v>
      </c>
      <c r="F3102" t="s">
        <v>2685</v>
      </c>
      <c r="G3102" t="s">
        <v>61</v>
      </c>
      <c r="H3102" t="s">
        <v>52</v>
      </c>
      <c r="I3102" t="s">
        <v>52</v>
      </c>
      <c r="J3102" t="s">
        <v>31</v>
      </c>
      <c r="K3102" t="s">
        <v>32</v>
      </c>
      <c r="L3102" t="s">
        <v>32</v>
      </c>
      <c r="M3102" t="s">
        <v>33</v>
      </c>
      <c r="N3102" t="s">
        <v>33</v>
      </c>
      <c r="O3102" t="s">
        <v>33</v>
      </c>
      <c r="P3102" t="s">
        <v>34</v>
      </c>
      <c r="Q3102" t="s">
        <v>35</v>
      </c>
      <c r="S3102" t="s">
        <v>30</v>
      </c>
      <c r="T3102" t="s">
        <v>2307</v>
      </c>
      <c r="U3102" t="s">
        <v>2691</v>
      </c>
      <c r="V3102" t="s">
        <v>39</v>
      </c>
      <c r="W3102" s="1">
        <v>1</v>
      </c>
    </row>
    <row r="3103" spans="1:23" x14ac:dyDescent="0.2">
      <c r="A3103" t="s">
        <v>2096</v>
      </c>
      <c r="B3103" t="s">
        <v>2097</v>
      </c>
      <c r="C3103" t="s">
        <v>2466</v>
      </c>
      <c r="D3103" t="s">
        <v>2573</v>
      </c>
      <c r="E3103" t="s">
        <v>2684</v>
      </c>
      <c r="F3103" t="s">
        <v>2685</v>
      </c>
      <c r="G3103" t="s">
        <v>61</v>
      </c>
      <c r="H3103" t="s">
        <v>52</v>
      </c>
      <c r="I3103" t="s">
        <v>52</v>
      </c>
      <c r="J3103" t="s">
        <v>31</v>
      </c>
      <c r="K3103" t="s">
        <v>32</v>
      </c>
      <c r="L3103" t="s">
        <v>32</v>
      </c>
      <c r="M3103" t="s">
        <v>33</v>
      </c>
      <c r="N3103" t="s">
        <v>33</v>
      </c>
      <c r="O3103" t="s">
        <v>33</v>
      </c>
      <c r="P3103" t="s">
        <v>34</v>
      </c>
      <c r="Q3103" t="s">
        <v>35</v>
      </c>
      <c r="S3103" t="s">
        <v>30</v>
      </c>
      <c r="T3103" t="s">
        <v>2307</v>
      </c>
      <c r="U3103" t="s">
        <v>2691</v>
      </c>
      <c r="V3103" t="s">
        <v>40</v>
      </c>
      <c r="W3103" s="1">
        <v>426900</v>
      </c>
    </row>
    <row r="3104" spans="1:23" x14ac:dyDescent="0.2">
      <c r="A3104" t="s">
        <v>2096</v>
      </c>
      <c r="B3104" t="s">
        <v>2097</v>
      </c>
      <c r="C3104" t="s">
        <v>2466</v>
      </c>
      <c r="D3104" t="s">
        <v>2573</v>
      </c>
      <c r="E3104" t="s">
        <v>2684</v>
      </c>
      <c r="F3104" t="s">
        <v>2685</v>
      </c>
      <c r="G3104" t="s">
        <v>61</v>
      </c>
      <c r="H3104" t="s">
        <v>52</v>
      </c>
      <c r="I3104" t="s">
        <v>52</v>
      </c>
      <c r="J3104" t="s">
        <v>31</v>
      </c>
      <c r="K3104" t="s">
        <v>32</v>
      </c>
      <c r="L3104" t="s">
        <v>32</v>
      </c>
      <c r="M3104" t="s">
        <v>33</v>
      </c>
      <c r="N3104" t="s">
        <v>169</v>
      </c>
      <c r="O3104" t="s">
        <v>169</v>
      </c>
      <c r="P3104" t="s">
        <v>34</v>
      </c>
      <c r="Q3104" t="s">
        <v>35</v>
      </c>
      <c r="S3104" t="s">
        <v>30</v>
      </c>
      <c r="T3104" t="s">
        <v>2307</v>
      </c>
      <c r="U3104" t="s">
        <v>2691</v>
      </c>
      <c r="V3104" t="s">
        <v>39</v>
      </c>
      <c r="W3104" s="1">
        <v>1</v>
      </c>
    </row>
    <row r="3105" spans="1:23" x14ac:dyDescent="0.2">
      <c r="A3105" t="s">
        <v>2096</v>
      </c>
      <c r="B3105" t="s">
        <v>2097</v>
      </c>
      <c r="C3105" t="s">
        <v>2466</v>
      </c>
      <c r="D3105" t="s">
        <v>2573</v>
      </c>
      <c r="E3105" t="s">
        <v>2684</v>
      </c>
      <c r="F3105" t="s">
        <v>2685</v>
      </c>
      <c r="G3105" t="s">
        <v>61</v>
      </c>
      <c r="H3105" t="s">
        <v>52</v>
      </c>
      <c r="I3105" t="s">
        <v>52</v>
      </c>
      <c r="J3105" t="s">
        <v>31</v>
      </c>
      <c r="K3105" t="s">
        <v>32</v>
      </c>
      <c r="L3105" t="s">
        <v>32</v>
      </c>
      <c r="M3105" t="s">
        <v>33</v>
      </c>
      <c r="N3105" t="s">
        <v>169</v>
      </c>
      <c r="O3105" t="s">
        <v>169</v>
      </c>
      <c r="P3105" t="s">
        <v>34</v>
      </c>
      <c r="Q3105" t="s">
        <v>35</v>
      </c>
      <c r="S3105" t="s">
        <v>30</v>
      </c>
      <c r="T3105" t="s">
        <v>2307</v>
      </c>
      <c r="U3105" t="s">
        <v>2691</v>
      </c>
      <c r="V3105" t="s">
        <v>40</v>
      </c>
      <c r="W3105" s="1">
        <v>426900</v>
      </c>
    </row>
    <row r="3106" spans="1:23" x14ac:dyDescent="0.2">
      <c r="A3106" t="s">
        <v>2096</v>
      </c>
      <c r="B3106" t="s">
        <v>2097</v>
      </c>
      <c r="C3106" t="s">
        <v>2466</v>
      </c>
      <c r="D3106" t="s">
        <v>2573</v>
      </c>
      <c r="E3106" t="s">
        <v>2684</v>
      </c>
      <c r="F3106" t="s">
        <v>2685</v>
      </c>
      <c r="G3106" t="s">
        <v>61</v>
      </c>
      <c r="H3106" t="s">
        <v>52</v>
      </c>
      <c r="I3106" t="s">
        <v>52</v>
      </c>
      <c r="J3106" t="s">
        <v>31</v>
      </c>
      <c r="K3106" t="s">
        <v>32</v>
      </c>
      <c r="L3106" t="s">
        <v>32</v>
      </c>
      <c r="M3106" t="s">
        <v>33</v>
      </c>
      <c r="P3106" t="s">
        <v>34</v>
      </c>
      <c r="Q3106" t="s">
        <v>35</v>
      </c>
      <c r="R3106" t="s">
        <v>497</v>
      </c>
      <c r="S3106" t="s">
        <v>52</v>
      </c>
      <c r="T3106" t="s">
        <v>2692</v>
      </c>
      <c r="U3106" t="s">
        <v>2693</v>
      </c>
      <c r="V3106" t="s">
        <v>39</v>
      </c>
      <c r="W3106" s="1">
        <v>0</v>
      </c>
    </row>
    <row r="3107" spans="1:23" x14ac:dyDescent="0.2">
      <c r="A3107" t="s">
        <v>2096</v>
      </c>
      <c r="B3107" t="s">
        <v>2097</v>
      </c>
      <c r="C3107" t="s">
        <v>2466</v>
      </c>
      <c r="D3107" t="s">
        <v>2573</v>
      </c>
      <c r="E3107" t="s">
        <v>2684</v>
      </c>
      <c r="F3107" t="s">
        <v>2685</v>
      </c>
      <c r="G3107" t="s">
        <v>61</v>
      </c>
      <c r="H3107" t="s">
        <v>52</v>
      </c>
      <c r="I3107" t="s">
        <v>52</v>
      </c>
      <c r="J3107" t="s">
        <v>31</v>
      </c>
      <c r="K3107" t="s">
        <v>32</v>
      </c>
      <c r="L3107" t="s">
        <v>32</v>
      </c>
      <c r="M3107" t="s">
        <v>33</v>
      </c>
      <c r="P3107" t="s">
        <v>34</v>
      </c>
      <c r="Q3107" t="s">
        <v>35</v>
      </c>
      <c r="R3107" t="s">
        <v>497</v>
      </c>
      <c r="S3107" t="s">
        <v>52</v>
      </c>
      <c r="T3107" t="s">
        <v>2692</v>
      </c>
      <c r="U3107" t="s">
        <v>2693</v>
      </c>
      <c r="V3107" t="s">
        <v>40</v>
      </c>
      <c r="W3107" s="1">
        <v>6956000</v>
      </c>
    </row>
    <row r="3108" spans="1:23" x14ac:dyDescent="0.2">
      <c r="A3108" t="s">
        <v>2096</v>
      </c>
      <c r="B3108" t="s">
        <v>2097</v>
      </c>
      <c r="C3108" t="s">
        <v>2466</v>
      </c>
      <c r="D3108" t="s">
        <v>2573</v>
      </c>
      <c r="E3108" t="s">
        <v>2684</v>
      </c>
      <c r="F3108" t="s">
        <v>2685</v>
      </c>
      <c r="G3108" t="s">
        <v>64</v>
      </c>
      <c r="H3108" t="s">
        <v>30</v>
      </c>
      <c r="I3108" t="s">
        <v>52</v>
      </c>
      <c r="J3108" t="s">
        <v>128</v>
      </c>
      <c r="K3108" t="s">
        <v>181</v>
      </c>
      <c r="L3108" t="s">
        <v>332</v>
      </c>
      <c r="M3108" t="s">
        <v>33</v>
      </c>
      <c r="P3108" t="s">
        <v>34</v>
      </c>
      <c r="Q3108" t="s">
        <v>35</v>
      </c>
      <c r="S3108" t="s">
        <v>30</v>
      </c>
      <c r="T3108" t="s">
        <v>2686</v>
      </c>
      <c r="U3108" t="s">
        <v>2687</v>
      </c>
      <c r="V3108" t="s">
        <v>39</v>
      </c>
      <c r="W3108" s="1">
        <v>2</v>
      </c>
    </row>
    <row r="3109" spans="1:23" x14ac:dyDescent="0.2">
      <c r="A3109" t="s">
        <v>2096</v>
      </c>
      <c r="B3109" t="s">
        <v>2097</v>
      </c>
      <c r="C3109" t="s">
        <v>2466</v>
      </c>
      <c r="D3109" t="s">
        <v>2573</v>
      </c>
      <c r="E3109" t="s">
        <v>2684</v>
      </c>
      <c r="F3109" t="s">
        <v>2685</v>
      </c>
      <c r="G3109" t="s">
        <v>64</v>
      </c>
      <c r="H3109" t="s">
        <v>30</v>
      </c>
      <c r="I3109" t="s">
        <v>52</v>
      </c>
      <c r="J3109" t="s">
        <v>128</v>
      </c>
      <c r="K3109" t="s">
        <v>181</v>
      </c>
      <c r="L3109" t="s">
        <v>332</v>
      </c>
      <c r="M3109" t="s">
        <v>33</v>
      </c>
      <c r="P3109" t="s">
        <v>34</v>
      </c>
      <c r="Q3109" t="s">
        <v>35</v>
      </c>
      <c r="S3109" t="s">
        <v>30</v>
      </c>
      <c r="T3109" t="s">
        <v>2686</v>
      </c>
      <c r="U3109" t="s">
        <v>2687</v>
      </c>
      <c r="V3109" t="s">
        <v>40</v>
      </c>
      <c r="W3109" s="1">
        <v>262000</v>
      </c>
    </row>
    <row r="3110" spans="1:23" x14ac:dyDescent="0.2">
      <c r="A3110" t="s">
        <v>2096</v>
      </c>
      <c r="B3110" t="s">
        <v>2097</v>
      </c>
      <c r="C3110" t="s">
        <v>2466</v>
      </c>
      <c r="D3110" t="s">
        <v>2573</v>
      </c>
      <c r="E3110" t="s">
        <v>2684</v>
      </c>
      <c r="F3110" t="s">
        <v>2685</v>
      </c>
      <c r="G3110" t="s">
        <v>67</v>
      </c>
      <c r="H3110" t="s">
        <v>30</v>
      </c>
      <c r="I3110" t="s">
        <v>30</v>
      </c>
      <c r="J3110" t="s">
        <v>31</v>
      </c>
      <c r="K3110" t="s">
        <v>32</v>
      </c>
      <c r="L3110" t="s">
        <v>32</v>
      </c>
      <c r="M3110" t="s">
        <v>33</v>
      </c>
      <c r="P3110" t="s">
        <v>34</v>
      </c>
      <c r="Q3110" t="s">
        <v>35</v>
      </c>
      <c r="S3110" t="s">
        <v>52</v>
      </c>
      <c r="T3110" t="s">
        <v>2694</v>
      </c>
      <c r="U3110" t="s">
        <v>2695</v>
      </c>
      <c r="V3110" t="s">
        <v>39</v>
      </c>
      <c r="W3110" s="1">
        <v>0</v>
      </c>
    </row>
    <row r="3111" spans="1:23" x14ac:dyDescent="0.2">
      <c r="A3111" t="s">
        <v>2096</v>
      </c>
      <c r="B3111" t="s">
        <v>2097</v>
      </c>
      <c r="C3111" t="s">
        <v>2466</v>
      </c>
      <c r="D3111" t="s">
        <v>2573</v>
      </c>
      <c r="E3111" t="s">
        <v>2684</v>
      </c>
      <c r="F3111" t="s">
        <v>2685</v>
      </c>
      <c r="G3111" t="s">
        <v>67</v>
      </c>
      <c r="H3111" t="s">
        <v>30</v>
      </c>
      <c r="I3111" t="s">
        <v>30</v>
      </c>
      <c r="J3111" t="s">
        <v>31</v>
      </c>
      <c r="K3111" t="s">
        <v>32</v>
      </c>
      <c r="L3111" t="s">
        <v>32</v>
      </c>
      <c r="M3111" t="s">
        <v>33</v>
      </c>
      <c r="P3111" t="s">
        <v>34</v>
      </c>
      <c r="Q3111" t="s">
        <v>35</v>
      </c>
      <c r="S3111" t="s">
        <v>52</v>
      </c>
      <c r="T3111" t="s">
        <v>2694</v>
      </c>
      <c r="U3111" t="s">
        <v>2695</v>
      </c>
      <c r="V3111" t="s">
        <v>40</v>
      </c>
      <c r="W3111" s="1">
        <v>853800</v>
      </c>
    </row>
    <row r="3112" spans="1:23" x14ac:dyDescent="0.2">
      <c r="A3112" t="s">
        <v>2096</v>
      </c>
      <c r="B3112" t="s">
        <v>2097</v>
      </c>
      <c r="C3112" t="s">
        <v>2466</v>
      </c>
      <c r="D3112" t="s">
        <v>2573</v>
      </c>
      <c r="E3112" t="s">
        <v>2684</v>
      </c>
      <c r="F3112" t="s">
        <v>2685</v>
      </c>
      <c r="G3112" t="s">
        <v>67</v>
      </c>
      <c r="H3112" t="s">
        <v>30</v>
      </c>
      <c r="I3112" t="s">
        <v>30</v>
      </c>
      <c r="J3112" t="s">
        <v>41</v>
      </c>
      <c r="K3112" t="s">
        <v>32</v>
      </c>
      <c r="L3112" t="s">
        <v>32</v>
      </c>
      <c r="M3112" t="s">
        <v>33</v>
      </c>
      <c r="N3112" t="s">
        <v>33</v>
      </c>
      <c r="O3112" t="s">
        <v>33</v>
      </c>
      <c r="P3112" t="s">
        <v>34</v>
      </c>
      <c r="Q3112" t="s">
        <v>35</v>
      </c>
      <c r="R3112" t="s">
        <v>54</v>
      </c>
      <c r="S3112" t="s">
        <v>30</v>
      </c>
      <c r="T3112" t="s">
        <v>2696</v>
      </c>
      <c r="U3112" t="s">
        <v>2697</v>
      </c>
      <c r="V3112" t="s">
        <v>39</v>
      </c>
      <c r="W3112" s="1">
        <v>2</v>
      </c>
    </row>
    <row r="3113" spans="1:23" x14ac:dyDescent="0.2">
      <c r="A3113" t="s">
        <v>2096</v>
      </c>
      <c r="B3113" t="s">
        <v>2097</v>
      </c>
      <c r="C3113" t="s">
        <v>2466</v>
      </c>
      <c r="D3113" t="s">
        <v>2573</v>
      </c>
      <c r="E3113" t="s">
        <v>2684</v>
      </c>
      <c r="F3113" t="s">
        <v>2685</v>
      </c>
      <c r="G3113" t="s">
        <v>67</v>
      </c>
      <c r="H3113" t="s">
        <v>30</v>
      </c>
      <c r="I3113" t="s">
        <v>30</v>
      </c>
      <c r="J3113" t="s">
        <v>41</v>
      </c>
      <c r="K3113" t="s">
        <v>32</v>
      </c>
      <c r="L3113" t="s">
        <v>32</v>
      </c>
      <c r="M3113" t="s">
        <v>33</v>
      </c>
      <c r="N3113" t="s">
        <v>33</v>
      </c>
      <c r="O3113" t="s">
        <v>33</v>
      </c>
      <c r="P3113" t="s">
        <v>34</v>
      </c>
      <c r="Q3113" t="s">
        <v>35</v>
      </c>
      <c r="R3113" t="s">
        <v>54</v>
      </c>
      <c r="S3113" t="s">
        <v>30</v>
      </c>
      <c r="T3113" t="s">
        <v>2696</v>
      </c>
      <c r="U3113" t="s">
        <v>2697</v>
      </c>
      <c r="V3113" t="s">
        <v>40</v>
      </c>
      <c r="W3113" s="1">
        <v>1580000</v>
      </c>
    </row>
    <row r="3114" spans="1:23" x14ac:dyDescent="0.2">
      <c r="A3114" t="s">
        <v>2096</v>
      </c>
      <c r="B3114" t="s">
        <v>2097</v>
      </c>
      <c r="C3114" t="s">
        <v>2466</v>
      </c>
      <c r="D3114" t="s">
        <v>2573</v>
      </c>
      <c r="E3114" t="s">
        <v>2684</v>
      </c>
      <c r="F3114" t="s">
        <v>2685</v>
      </c>
      <c r="G3114" t="s">
        <v>67</v>
      </c>
      <c r="H3114" t="s">
        <v>30</v>
      </c>
      <c r="I3114" t="s">
        <v>30</v>
      </c>
      <c r="J3114" t="s">
        <v>41</v>
      </c>
      <c r="K3114" t="s">
        <v>32</v>
      </c>
      <c r="L3114" t="s">
        <v>32</v>
      </c>
      <c r="M3114" t="s">
        <v>33</v>
      </c>
      <c r="P3114" t="s">
        <v>34</v>
      </c>
      <c r="Q3114" t="s">
        <v>35</v>
      </c>
      <c r="R3114" t="s">
        <v>54</v>
      </c>
      <c r="S3114" t="s">
        <v>30</v>
      </c>
      <c r="T3114" t="s">
        <v>2696</v>
      </c>
      <c r="U3114" t="s">
        <v>2697</v>
      </c>
      <c r="V3114" t="s">
        <v>39</v>
      </c>
      <c r="W3114" s="1">
        <v>2</v>
      </c>
    </row>
    <row r="3115" spans="1:23" x14ac:dyDescent="0.2">
      <c r="A3115" t="s">
        <v>2096</v>
      </c>
      <c r="B3115" t="s">
        <v>2097</v>
      </c>
      <c r="C3115" t="s">
        <v>2466</v>
      </c>
      <c r="D3115" t="s">
        <v>2573</v>
      </c>
      <c r="E3115" t="s">
        <v>2684</v>
      </c>
      <c r="F3115" t="s">
        <v>2685</v>
      </c>
      <c r="G3115" t="s">
        <v>67</v>
      </c>
      <c r="H3115" t="s">
        <v>30</v>
      </c>
      <c r="I3115" t="s">
        <v>30</v>
      </c>
      <c r="J3115" t="s">
        <v>41</v>
      </c>
      <c r="K3115" t="s">
        <v>32</v>
      </c>
      <c r="L3115" t="s">
        <v>32</v>
      </c>
      <c r="M3115" t="s">
        <v>33</v>
      </c>
      <c r="P3115" t="s">
        <v>34</v>
      </c>
      <c r="Q3115" t="s">
        <v>35</v>
      </c>
      <c r="R3115" t="s">
        <v>54</v>
      </c>
      <c r="S3115" t="s">
        <v>30</v>
      </c>
      <c r="T3115" t="s">
        <v>2696</v>
      </c>
      <c r="U3115" t="s">
        <v>2697</v>
      </c>
      <c r="V3115" t="s">
        <v>40</v>
      </c>
      <c r="W3115" s="1">
        <v>1580000</v>
      </c>
    </row>
    <row r="3116" spans="1:23" x14ac:dyDescent="0.2">
      <c r="A3116" t="s">
        <v>2096</v>
      </c>
      <c r="B3116" t="s">
        <v>2097</v>
      </c>
      <c r="C3116" t="s">
        <v>2466</v>
      </c>
      <c r="D3116" t="s">
        <v>2573</v>
      </c>
      <c r="E3116" t="s">
        <v>2684</v>
      </c>
      <c r="F3116" t="s">
        <v>2685</v>
      </c>
      <c r="G3116" t="s">
        <v>67</v>
      </c>
      <c r="H3116" t="s">
        <v>30</v>
      </c>
      <c r="I3116" t="s">
        <v>30</v>
      </c>
      <c r="J3116" t="s">
        <v>41</v>
      </c>
      <c r="K3116" t="s">
        <v>32</v>
      </c>
      <c r="L3116" t="s">
        <v>32</v>
      </c>
      <c r="M3116" t="s">
        <v>33</v>
      </c>
      <c r="P3116" t="s">
        <v>34</v>
      </c>
      <c r="Q3116" t="s">
        <v>35</v>
      </c>
      <c r="R3116" t="s">
        <v>54</v>
      </c>
      <c r="S3116" t="s">
        <v>52</v>
      </c>
      <c r="T3116" t="s">
        <v>2696</v>
      </c>
      <c r="U3116" t="s">
        <v>2698</v>
      </c>
      <c r="V3116" t="s">
        <v>39</v>
      </c>
      <c r="W3116" s="1">
        <v>0</v>
      </c>
    </row>
    <row r="3117" spans="1:23" x14ac:dyDescent="0.2">
      <c r="A3117" t="s">
        <v>2096</v>
      </c>
      <c r="B3117" t="s">
        <v>2097</v>
      </c>
      <c r="C3117" t="s">
        <v>2466</v>
      </c>
      <c r="D3117" t="s">
        <v>2573</v>
      </c>
      <c r="E3117" t="s">
        <v>2684</v>
      </c>
      <c r="F3117" t="s">
        <v>2685</v>
      </c>
      <c r="G3117" t="s">
        <v>67</v>
      </c>
      <c r="H3117" t="s">
        <v>30</v>
      </c>
      <c r="I3117" t="s">
        <v>30</v>
      </c>
      <c r="J3117" t="s">
        <v>41</v>
      </c>
      <c r="K3117" t="s">
        <v>32</v>
      </c>
      <c r="L3117" t="s">
        <v>32</v>
      </c>
      <c r="M3117" t="s">
        <v>33</v>
      </c>
      <c r="P3117" t="s">
        <v>34</v>
      </c>
      <c r="Q3117" t="s">
        <v>35</v>
      </c>
      <c r="R3117" t="s">
        <v>54</v>
      </c>
      <c r="S3117" t="s">
        <v>52</v>
      </c>
      <c r="T3117" t="s">
        <v>2696</v>
      </c>
      <c r="U3117" t="s">
        <v>2698</v>
      </c>
      <c r="V3117" t="s">
        <v>40</v>
      </c>
      <c r="W3117" s="1">
        <v>1580000</v>
      </c>
    </row>
    <row r="3118" spans="1:23" x14ac:dyDescent="0.2">
      <c r="A3118" t="s">
        <v>2096</v>
      </c>
      <c r="B3118" t="s">
        <v>2097</v>
      </c>
      <c r="C3118" t="s">
        <v>2466</v>
      </c>
      <c r="D3118" t="s">
        <v>2573</v>
      </c>
      <c r="E3118" t="s">
        <v>2684</v>
      </c>
      <c r="F3118" t="s">
        <v>2685</v>
      </c>
      <c r="G3118" t="s">
        <v>89</v>
      </c>
      <c r="H3118" t="s">
        <v>30</v>
      </c>
      <c r="I3118" t="s">
        <v>30</v>
      </c>
      <c r="J3118" t="s">
        <v>128</v>
      </c>
      <c r="K3118" t="s">
        <v>181</v>
      </c>
      <c r="L3118" t="s">
        <v>32</v>
      </c>
      <c r="M3118" t="s">
        <v>33</v>
      </c>
      <c r="N3118" t="s">
        <v>33</v>
      </c>
      <c r="O3118" t="s">
        <v>33</v>
      </c>
      <c r="P3118" t="s">
        <v>34</v>
      </c>
      <c r="Q3118" t="s">
        <v>35</v>
      </c>
      <c r="S3118" t="s">
        <v>30</v>
      </c>
      <c r="T3118" t="s">
        <v>2699</v>
      </c>
      <c r="U3118" t="s">
        <v>2700</v>
      </c>
      <c r="V3118" t="s">
        <v>39</v>
      </c>
      <c r="W3118" s="1">
        <v>8</v>
      </c>
    </row>
    <row r="3119" spans="1:23" x14ac:dyDescent="0.2">
      <c r="A3119" t="s">
        <v>2096</v>
      </c>
      <c r="B3119" t="s">
        <v>2097</v>
      </c>
      <c r="C3119" t="s">
        <v>2466</v>
      </c>
      <c r="D3119" t="s">
        <v>2573</v>
      </c>
      <c r="E3119" t="s">
        <v>2684</v>
      </c>
      <c r="F3119" t="s">
        <v>2685</v>
      </c>
      <c r="G3119" t="s">
        <v>89</v>
      </c>
      <c r="H3119" t="s">
        <v>30</v>
      </c>
      <c r="I3119" t="s">
        <v>30</v>
      </c>
      <c r="J3119" t="s">
        <v>128</v>
      </c>
      <c r="K3119" t="s">
        <v>181</v>
      </c>
      <c r="L3119" t="s">
        <v>32</v>
      </c>
      <c r="M3119" t="s">
        <v>33</v>
      </c>
      <c r="N3119" t="s">
        <v>33</v>
      </c>
      <c r="O3119" t="s">
        <v>33</v>
      </c>
      <c r="P3119" t="s">
        <v>34</v>
      </c>
      <c r="Q3119" t="s">
        <v>35</v>
      </c>
      <c r="S3119" t="s">
        <v>30</v>
      </c>
      <c r="T3119" t="s">
        <v>2699</v>
      </c>
      <c r="U3119" t="s">
        <v>2700</v>
      </c>
      <c r="V3119" t="s">
        <v>40</v>
      </c>
      <c r="W3119" s="1">
        <v>11440000</v>
      </c>
    </row>
    <row r="3120" spans="1:23" x14ac:dyDescent="0.2">
      <c r="A3120" t="s">
        <v>2096</v>
      </c>
      <c r="B3120" t="s">
        <v>2097</v>
      </c>
      <c r="C3120" t="s">
        <v>2466</v>
      </c>
      <c r="D3120" t="s">
        <v>2573</v>
      </c>
      <c r="E3120" t="s">
        <v>2684</v>
      </c>
      <c r="F3120" t="s">
        <v>2685</v>
      </c>
      <c r="G3120" t="s">
        <v>89</v>
      </c>
      <c r="H3120" t="s">
        <v>30</v>
      </c>
      <c r="I3120" t="s">
        <v>30</v>
      </c>
      <c r="J3120" t="s">
        <v>128</v>
      </c>
      <c r="K3120" t="s">
        <v>181</v>
      </c>
      <c r="L3120" t="s">
        <v>32</v>
      </c>
      <c r="M3120" t="s">
        <v>33</v>
      </c>
      <c r="N3120" t="s">
        <v>169</v>
      </c>
      <c r="O3120" t="s">
        <v>169</v>
      </c>
      <c r="P3120" t="s">
        <v>34</v>
      </c>
      <c r="Q3120" t="s">
        <v>35</v>
      </c>
      <c r="S3120" t="s">
        <v>30</v>
      </c>
      <c r="T3120" t="s">
        <v>2699</v>
      </c>
      <c r="U3120" t="s">
        <v>2700</v>
      </c>
      <c r="V3120" t="s">
        <v>39</v>
      </c>
      <c r="W3120" s="1">
        <v>1</v>
      </c>
    </row>
    <row r="3121" spans="1:23" x14ac:dyDescent="0.2">
      <c r="A3121" t="s">
        <v>2096</v>
      </c>
      <c r="B3121" t="s">
        <v>2097</v>
      </c>
      <c r="C3121" t="s">
        <v>2466</v>
      </c>
      <c r="D3121" t="s">
        <v>2573</v>
      </c>
      <c r="E3121" t="s">
        <v>2684</v>
      </c>
      <c r="F3121" t="s">
        <v>2685</v>
      </c>
      <c r="G3121" t="s">
        <v>89</v>
      </c>
      <c r="H3121" t="s">
        <v>30</v>
      </c>
      <c r="I3121" t="s">
        <v>30</v>
      </c>
      <c r="J3121" t="s">
        <v>128</v>
      </c>
      <c r="K3121" t="s">
        <v>181</v>
      </c>
      <c r="L3121" t="s">
        <v>32</v>
      </c>
      <c r="M3121" t="s">
        <v>33</v>
      </c>
      <c r="N3121" t="s">
        <v>169</v>
      </c>
      <c r="O3121" t="s">
        <v>169</v>
      </c>
      <c r="P3121" t="s">
        <v>34</v>
      </c>
      <c r="Q3121" t="s">
        <v>35</v>
      </c>
      <c r="S3121" t="s">
        <v>30</v>
      </c>
      <c r="T3121" t="s">
        <v>2699</v>
      </c>
      <c r="U3121" t="s">
        <v>2700</v>
      </c>
      <c r="V3121" t="s">
        <v>40</v>
      </c>
      <c r="W3121" s="1">
        <v>1430000</v>
      </c>
    </row>
    <row r="3122" spans="1:23" x14ac:dyDescent="0.2">
      <c r="A3122" t="s">
        <v>2096</v>
      </c>
      <c r="B3122" t="s">
        <v>2097</v>
      </c>
      <c r="C3122" t="s">
        <v>2466</v>
      </c>
      <c r="D3122" t="s">
        <v>2573</v>
      </c>
      <c r="E3122" t="s">
        <v>2684</v>
      </c>
      <c r="F3122" t="s">
        <v>2685</v>
      </c>
      <c r="G3122" t="s">
        <v>89</v>
      </c>
      <c r="H3122" t="s">
        <v>30</v>
      </c>
      <c r="I3122" t="s">
        <v>30</v>
      </c>
      <c r="J3122" t="s">
        <v>128</v>
      </c>
      <c r="K3122" t="s">
        <v>181</v>
      </c>
      <c r="L3122" t="s">
        <v>32</v>
      </c>
      <c r="M3122" t="s">
        <v>33</v>
      </c>
      <c r="P3122" t="s">
        <v>34</v>
      </c>
      <c r="Q3122" t="s">
        <v>35</v>
      </c>
      <c r="S3122" t="s">
        <v>52</v>
      </c>
      <c r="T3122" t="s">
        <v>2699</v>
      </c>
      <c r="U3122" t="s">
        <v>2700</v>
      </c>
      <c r="V3122" t="s">
        <v>39</v>
      </c>
      <c r="W3122" s="1">
        <v>0</v>
      </c>
    </row>
    <row r="3123" spans="1:23" x14ac:dyDescent="0.2">
      <c r="A3123" t="s">
        <v>2096</v>
      </c>
      <c r="B3123" t="s">
        <v>2097</v>
      </c>
      <c r="C3123" t="s">
        <v>2466</v>
      </c>
      <c r="D3123" t="s">
        <v>2573</v>
      </c>
      <c r="E3123" t="s">
        <v>2684</v>
      </c>
      <c r="F3123" t="s">
        <v>2685</v>
      </c>
      <c r="G3123" t="s">
        <v>89</v>
      </c>
      <c r="H3123" t="s">
        <v>30</v>
      </c>
      <c r="I3123" t="s">
        <v>30</v>
      </c>
      <c r="J3123" t="s">
        <v>128</v>
      </c>
      <c r="K3123" t="s">
        <v>181</v>
      </c>
      <c r="L3123" t="s">
        <v>32</v>
      </c>
      <c r="M3123" t="s">
        <v>33</v>
      </c>
      <c r="P3123" t="s">
        <v>34</v>
      </c>
      <c r="Q3123" t="s">
        <v>35</v>
      </c>
      <c r="S3123" t="s">
        <v>52</v>
      </c>
      <c r="T3123" t="s">
        <v>2699</v>
      </c>
      <c r="U3123" t="s">
        <v>2700</v>
      </c>
      <c r="V3123" t="s">
        <v>40</v>
      </c>
      <c r="W3123" s="1">
        <v>3000000</v>
      </c>
    </row>
    <row r="3124" spans="1:23" x14ac:dyDescent="0.2">
      <c r="A3124" t="s">
        <v>2096</v>
      </c>
      <c r="B3124" t="s">
        <v>2097</v>
      </c>
      <c r="C3124" t="s">
        <v>2466</v>
      </c>
      <c r="D3124" t="s">
        <v>2573</v>
      </c>
      <c r="E3124" t="s">
        <v>2684</v>
      </c>
      <c r="F3124" t="s">
        <v>2685</v>
      </c>
      <c r="G3124" t="s">
        <v>89</v>
      </c>
      <c r="H3124" t="s">
        <v>30</v>
      </c>
      <c r="I3124" t="s">
        <v>30</v>
      </c>
      <c r="J3124" t="s">
        <v>128</v>
      </c>
      <c r="K3124" t="s">
        <v>181</v>
      </c>
      <c r="L3124" t="s">
        <v>32</v>
      </c>
      <c r="M3124" t="s">
        <v>176</v>
      </c>
      <c r="N3124" t="s">
        <v>176</v>
      </c>
      <c r="O3124" t="s">
        <v>176</v>
      </c>
      <c r="P3124" t="s">
        <v>34</v>
      </c>
      <c r="Q3124" t="s">
        <v>35</v>
      </c>
      <c r="S3124" t="s">
        <v>30</v>
      </c>
      <c r="T3124" t="s">
        <v>2699</v>
      </c>
      <c r="U3124" t="s">
        <v>2700</v>
      </c>
      <c r="V3124" t="s">
        <v>39</v>
      </c>
      <c r="W3124" s="1">
        <v>1</v>
      </c>
    </row>
    <row r="3125" spans="1:23" x14ac:dyDescent="0.2">
      <c r="A3125" t="s">
        <v>2096</v>
      </c>
      <c r="B3125" t="s">
        <v>2097</v>
      </c>
      <c r="C3125" t="s">
        <v>2466</v>
      </c>
      <c r="D3125" t="s">
        <v>2573</v>
      </c>
      <c r="E3125" t="s">
        <v>2684</v>
      </c>
      <c r="F3125" t="s">
        <v>2685</v>
      </c>
      <c r="G3125" t="s">
        <v>89</v>
      </c>
      <c r="H3125" t="s">
        <v>30</v>
      </c>
      <c r="I3125" t="s">
        <v>30</v>
      </c>
      <c r="J3125" t="s">
        <v>128</v>
      </c>
      <c r="K3125" t="s">
        <v>181</v>
      </c>
      <c r="L3125" t="s">
        <v>32</v>
      </c>
      <c r="M3125" t="s">
        <v>176</v>
      </c>
      <c r="N3125" t="s">
        <v>176</v>
      </c>
      <c r="O3125" t="s">
        <v>176</v>
      </c>
      <c r="P3125" t="s">
        <v>34</v>
      </c>
      <c r="Q3125" t="s">
        <v>35</v>
      </c>
      <c r="S3125" t="s">
        <v>30</v>
      </c>
      <c r="T3125" t="s">
        <v>2699</v>
      </c>
      <c r="U3125" t="s">
        <v>2700</v>
      </c>
      <c r="V3125" t="s">
        <v>40</v>
      </c>
      <c r="W3125" s="1">
        <v>1430000</v>
      </c>
    </row>
    <row r="3126" spans="1:23" x14ac:dyDescent="0.2">
      <c r="A3126" t="s">
        <v>2096</v>
      </c>
      <c r="B3126" t="s">
        <v>2097</v>
      </c>
      <c r="C3126" t="s">
        <v>2466</v>
      </c>
      <c r="D3126" t="s">
        <v>2573</v>
      </c>
      <c r="E3126" t="s">
        <v>2684</v>
      </c>
      <c r="F3126" t="s">
        <v>2685</v>
      </c>
      <c r="G3126" t="s">
        <v>89</v>
      </c>
      <c r="H3126" t="s">
        <v>30</v>
      </c>
      <c r="I3126" t="s">
        <v>30</v>
      </c>
      <c r="J3126" t="s">
        <v>128</v>
      </c>
      <c r="K3126" t="s">
        <v>181</v>
      </c>
      <c r="L3126" t="s">
        <v>32</v>
      </c>
      <c r="M3126" t="s">
        <v>176</v>
      </c>
      <c r="N3126" t="s">
        <v>195</v>
      </c>
      <c r="O3126" t="s">
        <v>176</v>
      </c>
      <c r="P3126" t="s">
        <v>34</v>
      </c>
      <c r="Q3126" t="s">
        <v>35</v>
      </c>
      <c r="S3126" t="s">
        <v>30</v>
      </c>
      <c r="T3126" t="s">
        <v>2699</v>
      </c>
      <c r="U3126" t="s">
        <v>2700</v>
      </c>
      <c r="V3126" t="s">
        <v>39</v>
      </c>
      <c r="W3126" s="1">
        <v>1</v>
      </c>
    </row>
    <row r="3127" spans="1:23" x14ac:dyDescent="0.2">
      <c r="A3127" t="s">
        <v>2096</v>
      </c>
      <c r="B3127" t="s">
        <v>2097</v>
      </c>
      <c r="C3127" t="s">
        <v>2466</v>
      </c>
      <c r="D3127" t="s">
        <v>2573</v>
      </c>
      <c r="E3127" t="s">
        <v>2684</v>
      </c>
      <c r="F3127" t="s">
        <v>2685</v>
      </c>
      <c r="G3127" t="s">
        <v>89</v>
      </c>
      <c r="H3127" t="s">
        <v>30</v>
      </c>
      <c r="I3127" t="s">
        <v>30</v>
      </c>
      <c r="J3127" t="s">
        <v>128</v>
      </c>
      <c r="K3127" t="s">
        <v>181</v>
      </c>
      <c r="L3127" t="s">
        <v>32</v>
      </c>
      <c r="M3127" t="s">
        <v>176</v>
      </c>
      <c r="N3127" t="s">
        <v>195</v>
      </c>
      <c r="O3127" t="s">
        <v>176</v>
      </c>
      <c r="P3127" t="s">
        <v>34</v>
      </c>
      <c r="Q3127" t="s">
        <v>35</v>
      </c>
      <c r="S3127" t="s">
        <v>30</v>
      </c>
      <c r="T3127" t="s">
        <v>2699</v>
      </c>
      <c r="U3127" t="s">
        <v>2700</v>
      </c>
      <c r="V3127" t="s">
        <v>40</v>
      </c>
      <c r="W3127" s="1">
        <v>1430000</v>
      </c>
    </row>
    <row r="3128" spans="1:23" x14ac:dyDescent="0.2">
      <c r="A3128" t="s">
        <v>2096</v>
      </c>
      <c r="B3128" t="s">
        <v>2097</v>
      </c>
      <c r="C3128" t="s">
        <v>2466</v>
      </c>
      <c r="D3128" t="s">
        <v>2573</v>
      </c>
      <c r="E3128" t="s">
        <v>2684</v>
      </c>
      <c r="F3128" t="s">
        <v>2685</v>
      </c>
      <c r="G3128" t="s">
        <v>89</v>
      </c>
      <c r="H3128" t="s">
        <v>30</v>
      </c>
      <c r="I3128" t="s">
        <v>30</v>
      </c>
      <c r="J3128" t="s">
        <v>31</v>
      </c>
      <c r="K3128" t="s">
        <v>32</v>
      </c>
      <c r="L3128" t="s">
        <v>32</v>
      </c>
      <c r="M3128" t="s">
        <v>33</v>
      </c>
      <c r="P3128" t="s">
        <v>34</v>
      </c>
      <c r="Q3128" t="s">
        <v>35</v>
      </c>
      <c r="S3128" t="s">
        <v>30</v>
      </c>
      <c r="T3128" t="s">
        <v>2701</v>
      </c>
      <c r="U3128" t="s">
        <v>2702</v>
      </c>
      <c r="V3128" t="s">
        <v>39</v>
      </c>
      <c r="W3128" s="1">
        <v>2</v>
      </c>
    </row>
    <row r="3129" spans="1:23" x14ac:dyDescent="0.2">
      <c r="A3129" t="s">
        <v>2096</v>
      </c>
      <c r="B3129" t="s">
        <v>2097</v>
      </c>
      <c r="C3129" t="s">
        <v>2466</v>
      </c>
      <c r="D3129" t="s">
        <v>2573</v>
      </c>
      <c r="E3129" t="s">
        <v>2684</v>
      </c>
      <c r="F3129" t="s">
        <v>2685</v>
      </c>
      <c r="G3129" t="s">
        <v>89</v>
      </c>
      <c r="H3129" t="s">
        <v>30</v>
      </c>
      <c r="I3129" t="s">
        <v>30</v>
      </c>
      <c r="J3129" t="s">
        <v>31</v>
      </c>
      <c r="K3129" t="s">
        <v>32</v>
      </c>
      <c r="L3129" t="s">
        <v>32</v>
      </c>
      <c r="M3129" t="s">
        <v>33</v>
      </c>
      <c r="P3129" t="s">
        <v>34</v>
      </c>
      <c r="Q3129" t="s">
        <v>35</v>
      </c>
      <c r="S3129" t="s">
        <v>30</v>
      </c>
      <c r="T3129" t="s">
        <v>2701</v>
      </c>
      <c r="U3129" t="s">
        <v>2702</v>
      </c>
      <c r="V3129" t="s">
        <v>40</v>
      </c>
      <c r="W3129" s="1">
        <v>1995800</v>
      </c>
    </row>
    <row r="3130" spans="1:23" x14ac:dyDescent="0.2">
      <c r="A3130" t="s">
        <v>2096</v>
      </c>
      <c r="B3130" t="s">
        <v>2097</v>
      </c>
      <c r="C3130" t="s">
        <v>2466</v>
      </c>
      <c r="D3130" t="s">
        <v>2573</v>
      </c>
      <c r="E3130" t="s">
        <v>2684</v>
      </c>
      <c r="F3130" t="s">
        <v>2685</v>
      </c>
      <c r="G3130" t="s">
        <v>106</v>
      </c>
      <c r="H3130" t="s">
        <v>30</v>
      </c>
      <c r="I3130" t="s">
        <v>30</v>
      </c>
      <c r="J3130" t="s">
        <v>128</v>
      </c>
      <c r="K3130" t="s">
        <v>181</v>
      </c>
      <c r="L3130" t="s">
        <v>332</v>
      </c>
      <c r="M3130" t="s">
        <v>33</v>
      </c>
      <c r="P3130" t="s">
        <v>34</v>
      </c>
      <c r="Q3130" t="s">
        <v>35</v>
      </c>
      <c r="S3130" t="s">
        <v>30</v>
      </c>
      <c r="T3130" t="s">
        <v>2703</v>
      </c>
      <c r="U3130" t="s">
        <v>2704</v>
      </c>
      <c r="V3130" t="s">
        <v>39</v>
      </c>
      <c r="W3130" s="1">
        <v>1</v>
      </c>
    </row>
    <row r="3131" spans="1:23" x14ac:dyDescent="0.2">
      <c r="A3131" t="s">
        <v>2096</v>
      </c>
      <c r="B3131" t="s">
        <v>2097</v>
      </c>
      <c r="C3131" t="s">
        <v>2466</v>
      </c>
      <c r="D3131" t="s">
        <v>2573</v>
      </c>
      <c r="E3131" t="s">
        <v>2684</v>
      </c>
      <c r="F3131" t="s">
        <v>2685</v>
      </c>
      <c r="G3131" t="s">
        <v>106</v>
      </c>
      <c r="H3131" t="s">
        <v>30</v>
      </c>
      <c r="I3131" t="s">
        <v>30</v>
      </c>
      <c r="J3131" t="s">
        <v>128</v>
      </c>
      <c r="K3131" t="s">
        <v>181</v>
      </c>
      <c r="L3131" t="s">
        <v>332</v>
      </c>
      <c r="M3131" t="s">
        <v>33</v>
      </c>
      <c r="P3131" t="s">
        <v>34</v>
      </c>
      <c r="Q3131" t="s">
        <v>35</v>
      </c>
      <c r="S3131" t="s">
        <v>30</v>
      </c>
      <c r="T3131" t="s">
        <v>2703</v>
      </c>
      <c r="U3131" t="s">
        <v>2704</v>
      </c>
      <c r="V3131" t="s">
        <v>40</v>
      </c>
      <c r="W3131" s="1">
        <v>0</v>
      </c>
    </row>
    <row r="3132" spans="1:23" x14ac:dyDescent="0.2">
      <c r="A3132" t="s">
        <v>2096</v>
      </c>
      <c r="B3132" t="s">
        <v>2097</v>
      </c>
      <c r="C3132" t="s">
        <v>2466</v>
      </c>
      <c r="D3132" t="s">
        <v>2573</v>
      </c>
      <c r="E3132" t="s">
        <v>2684</v>
      </c>
      <c r="F3132" t="s">
        <v>2685</v>
      </c>
      <c r="G3132" t="s">
        <v>106</v>
      </c>
      <c r="H3132" t="s">
        <v>30</v>
      </c>
      <c r="I3132" t="s">
        <v>30</v>
      </c>
      <c r="J3132" t="s">
        <v>128</v>
      </c>
      <c r="K3132" t="s">
        <v>181</v>
      </c>
      <c r="L3132" t="s">
        <v>332</v>
      </c>
      <c r="M3132" t="s">
        <v>33</v>
      </c>
      <c r="P3132" t="s">
        <v>34</v>
      </c>
      <c r="Q3132" t="s">
        <v>35</v>
      </c>
      <c r="S3132" t="s">
        <v>30</v>
      </c>
      <c r="T3132" t="s">
        <v>2686</v>
      </c>
      <c r="U3132" t="s">
        <v>2687</v>
      </c>
      <c r="V3132" t="s">
        <v>39</v>
      </c>
      <c r="W3132" s="1">
        <v>2</v>
      </c>
    </row>
    <row r="3133" spans="1:23" x14ac:dyDescent="0.2">
      <c r="A3133" t="s">
        <v>2096</v>
      </c>
      <c r="B3133" t="s">
        <v>2097</v>
      </c>
      <c r="C3133" t="s">
        <v>2466</v>
      </c>
      <c r="D3133" t="s">
        <v>2573</v>
      </c>
      <c r="E3133" t="s">
        <v>2684</v>
      </c>
      <c r="F3133" t="s">
        <v>2685</v>
      </c>
      <c r="G3133" t="s">
        <v>106</v>
      </c>
      <c r="H3133" t="s">
        <v>30</v>
      </c>
      <c r="I3133" t="s">
        <v>30</v>
      </c>
      <c r="J3133" t="s">
        <v>128</v>
      </c>
      <c r="K3133" t="s">
        <v>181</v>
      </c>
      <c r="L3133" t="s">
        <v>332</v>
      </c>
      <c r="M3133" t="s">
        <v>33</v>
      </c>
      <c r="P3133" t="s">
        <v>34</v>
      </c>
      <c r="Q3133" t="s">
        <v>35</v>
      </c>
      <c r="S3133" t="s">
        <v>30</v>
      </c>
      <c r="T3133" t="s">
        <v>2686</v>
      </c>
      <c r="U3133" t="s">
        <v>2687</v>
      </c>
      <c r="V3133" t="s">
        <v>40</v>
      </c>
      <c r="W3133" s="1">
        <v>0</v>
      </c>
    </row>
    <row r="3134" spans="1:23" x14ac:dyDescent="0.2">
      <c r="A3134" t="s">
        <v>2096</v>
      </c>
      <c r="B3134" t="s">
        <v>2097</v>
      </c>
      <c r="C3134" t="s">
        <v>2466</v>
      </c>
      <c r="D3134" t="s">
        <v>2573</v>
      </c>
      <c r="E3134" t="s">
        <v>2684</v>
      </c>
      <c r="F3134" t="s">
        <v>2685</v>
      </c>
      <c r="G3134" t="s">
        <v>106</v>
      </c>
      <c r="H3134" t="s">
        <v>30</v>
      </c>
      <c r="I3134" t="s">
        <v>30</v>
      </c>
      <c r="J3134" t="s">
        <v>128</v>
      </c>
      <c r="K3134" t="s">
        <v>181</v>
      </c>
      <c r="L3134" t="s">
        <v>32</v>
      </c>
      <c r="M3134" t="s">
        <v>33</v>
      </c>
      <c r="N3134" t="s">
        <v>33</v>
      </c>
      <c r="O3134" t="s">
        <v>33</v>
      </c>
      <c r="P3134" t="s">
        <v>34</v>
      </c>
      <c r="Q3134" t="s">
        <v>35</v>
      </c>
      <c r="S3134" t="s">
        <v>30</v>
      </c>
      <c r="T3134" t="s">
        <v>2703</v>
      </c>
      <c r="U3134" t="s">
        <v>2704</v>
      </c>
      <c r="V3134" t="s">
        <v>39</v>
      </c>
      <c r="W3134" s="1">
        <v>2</v>
      </c>
    </row>
    <row r="3135" spans="1:23" x14ac:dyDescent="0.2">
      <c r="A3135" t="s">
        <v>2096</v>
      </c>
      <c r="B3135" t="s">
        <v>2097</v>
      </c>
      <c r="C3135" t="s">
        <v>2466</v>
      </c>
      <c r="D3135" t="s">
        <v>2573</v>
      </c>
      <c r="E3135" t="s">
        <v>2684</v>
      </c>
      <c r="F3135" t="s">
        <v>2685</v>
      </c>
      <c r="G3135" t="s">
        <v>106</v>
      </c>
      <c r="H3135" t="s">
        <v>30</v>
      </c>
      <c r="I3135" t="s">
        <v>30</v>
      </c>
      <c r="J3135" t="s">
        <v>128</v>
      </c>
      <c r="K3135" t="s">
        <v>181</v>
      </c>
      <c r="L3135" t="s">
        <v>32</v>
      </c>
      <c r="M3135" t="s">
        <v>33</v>
      </c>
      <c r="N3135" t="s">
        <v>33</v>
      </c>
      <c r="O3135" t="s">
        <v>33</v>
      </c>
      <c r="P3135" t="s">
        <v>34</v>
      </c>
      <c r="Q3135" t="s">
        <v>35</v>
      </c>
      <c r="S3135" t="s">
        <v>30</v>
      </c>
      <c r="T3135" t="s">
        <v>2703</v>
      </c>
      <c r="U3135" t="s">
        <v>2704</v>
      </c>
      <c r="V3135" t="s">
        <v>40</v>
      </c>
      <c r="W3135" s="1">
        <v>0</v>
      </c>
    </row>
    <row r="3136" spans="1:23" x14ac:dyDescent="0.2">
      <c r="A3136" t="s">
        <v>2096</v>
      </c>
      <c r="B3136" t="s">
        <v>2097</v>
      </c>
      <c r="C3136" t="s">
        <v>2466</v>
      </c>
      <c r="D3136" t="s">
        <v>2573</v>
      </c>
      <c r="E3136" t="s">
        <v>2684</v>
      </c>
      <c r="F3136" t="s">
        <v>2685</v>
      </c>
      <c r="G3136" t="s">
        <v>106</v>
      </c>
      <c r="H3136" t="s">
        <v>30</v>
      </c>
      <c r="I3136" t="s">
        <v>30</v>
      </c>
      <c r="J3136" t="s">
        <v>31</v>
      </c>
      <c r="K3136" t="s">
        <v>32</v>
      </c>
      <c r="L3136" t="s">
        <v>32</v>
      </c>
      <c r="M3136" t="s">
        <v>33</v>
      </c>
      <c r="N3136" t="s">
        <v>33</v>
      </c>
      <c r="O3136" t="s">
        <v>33</v>
      </c>
      <c r="P3136" t="s">
        <v>42</v>
      </c>
      <c r="Q3136" t="s">
        <v>43</v>
      </c>
      <c r="R3136" t="s">
        <v>148</v>
      </c>
      <c r="S3136" t="s">
        <v>30</v>
      </c>
      <c r="T3136" t="s">
        <v>2705</v>
      </c>
      <c r="U3136" t="s">
        <v>2706</v>
      </c>
      <c r="V3136" t="s">
        <v>39</v>
      </c>
      <c r="W3136" s="1">
        <v>2</v>
      </c>
    </row>
    <row r="3137" spans="1:23" x14ac:dyDescent="0.2">
      <c r="A3137" t="s">
        <v>2096</v>
      </c>
      <c r="B3137" t="s">
        <v>2097</v>
      </c>
      <c r="C3137" t="s">
        <v>2466</v>
      </c>
      <c r="D3137" t="s">
        <v>2573</v>
      </c>
      <c r="E3137" t="s">
        <v>2684</v>
      </c>
      <c r="F3137" t="s">
        <v>2685</v>
      </c>
      <c r="G3137" t="s">
        <v>106</v>
      </c>
      <c r="H3137" t="s">
        <v>30</v>
      </c>
      <c r="I3137" t="s">
        <v>30</v>
      </c>
      <c r="J3137" t="s">
        <v>31</v>
      </c>
      <c r="K3137" t="s">
        <v>32</v>
      </c>
      <c r="L3137" t="s">
        <v>32</v>
      </c>
      <c r="M3137" t="s">
        <v>33</v>
      </c>
      <c r="N3137" t="s">
        <v>33</v>
      </c>
      <c r="O3137" t="s">
        <v>33</v>
      </c>
      <c r="P3137" t="s">
        <v>42</v>
      </c>
      <c r="Q3137" t="s">
        <v>43</v>
      </c>
      <c r="R3137" t="s">
        <v>148</v>
      </c>
      <c r="S3137" t="s">
        <v>30</v>
      </c>
      <c r="T3137" t="s">
        <v>2705</v>
      </c>
      <c r="U3137" t="s">
        <v>2706</v>
      </c>
      <c r="V3137" t="s">
        <v>40</v>
      </c>
      <c r="W3137" s="1">
        <v>1255800</v>
      </c>
    </row>
    <row r="3138" spans="1:23" x14ac:dyDescent="0.2">
      <c r="A3138" t="s">
        <v>2096</v>
      </c>
      <c r="B3138" t="s">
        <v>2097</v>
      </c>
      <c r="C3138" t="s">
        <v>2466</v>
      </c>
      <c r="D3138" t="s">
        <v>2573</v>
      </c>
      <c r="E3138" t="s">
        <v>2684</v>
      </c>
      <c r="F3138" t="s">
        <v>2685</v>
      </c>
      <c r="G3138" t="s">
        <v>106</v>
      </c>
      <c r="H3138" t="s">
        <v>30</v>
      </c>
      <c r="I3138" t="s">
        <v>30</v>
      </c>
      <c r="J3138" t="s">
        <v>31</v>
      </c>
      <c r="K3138" t="s">
        <v>32</v>
      </c>
      <c r="L3138" t="s">
        <v>32</v>
      </c>
      <c r="M3138" t="s">
        <v>33</v>
      </c>
      <c r="P3138" t="s">
        <v>34</v>
      </c>
      <c r="Q3138" t="s">
        <v>35</v>
      </c>
      <c r="R3138" t="s">
        <v>148</v>
      </c>
      <c r="S3138" t="s">
        <v>30</v>
      </c>
      <c r="T3138" t="s">
        <v>2705</v>
      </c>
      <c r="U3138" t="s">
        <v>2707</v>
      </c>
      <c r="V3138" t="s">
        <v>39</v>
      </c>
      <c r="W3138" s="1">
        <v>4</v>
      </c>
    </row>
    <row r="3139" spans="1:23" x14ac:dyDescent="0.2">
      <c r="A3139" t="s">
        <v>2096</v>
      </c>
      <c r="B3139" t="s">
        <v>2097</v>
      </c>
      <c r="C3139" t="s">
        <v>2466</v>
      </c>
      <c r="D3139" t="s">
        <v>2573</v>
      </c>
      <c r="E3139" t="s">
        <v>2684</v>
      </c>
      <c r="F3139" t="s">
        <v>2685</v>
      </c>
      <c r="G3139" t="s">
        <v>106</v>
      </c>
      <c r="H3139" t="s">
        <v>30</v>
      </c>
      <c r="I3139" t="s">
        <v>30</v>
      </c>
      <c r="J3139" t="s">
        <v>31</v>
      </c>
      <c r="K3139" t="s">
        <v>32</v>
      </c>
      <c r="L3139" t="s">
        <v>32</v>
      </c>
      <c r="M3139" t="s">
        <v>33</v>
      </c>
      <c r="P3139" t="s">
        <v>34</v>
      </c>
      <c r="Q3139" t="s">
        <v>35</v>
      </c>
      <c r="R3139" t="s">
        <v>148</v>
      </c>
      <c r="S3139" t="s">
        <v>30</v>
      </c>
      <c r="T3139" t="s">
        <v>2705</v>
      </c>
      <c r="U3139" t="s">
        <v>2707</v>
      </c>
      <c r="V3139" t="s">
        <v>40</v>
      </c>
      <c r="W3139" s="1">
        <v>2511600</v>
      </c>
    </row>
    <row r="3140" spans="1:23" x14ac:dyDescent="0.2">
      <c r="A3140" t="s">
        <v>2096</v>
      </c>
      <c r="B3140" t="s">
        <v>2097</v>
      </c>
      <c r="C3140" t="s">
        <v>2466</v>
      </c>
      <c r="D3140" t="s">
        <v>2573</v>
      </c>
      <c r="E3140" t="s">
        <v>2684</v>
      </c>
      <c r="F3140" t="s">
        <v>2685</v>
      </c>
      <c r="G3140" t="s">
        <v>106</v>
      </c>
      <c r="H3140" t="s">
        <v>30</v>
      </c>
      <c r="I3140" t="s">
        <v>30</v>
      </c>
      <c r="J3140" t="s">
        <v>41</v>
      </c>
      <c r="K3140" t="s">
        <v>32</v>
      </c>
      <c r="L3140" t="s">
        <v>32</v>
      </c>
      <c r="M3140" t="s">
        <v>33</v>
      </c>
      <c r="P3140" t="s">
        <v>34</v>
      </c>
      <c r="Q3140" t="s">
        <v>35</v>
      </c>
      <c r="S3140" t="s">
        <v>30</v>
      </c>
      <c r="T3140" t="s">
        <v>2708</v>
      </c>
      <c r="U3140" t="s">
        <v>2709</v>
      </c>
      <c r="V3140" t="s">
        <v>39</v>
      </c>
      <c r="W3140" s="1">
        <v>2</v>
      </c>
    </row>
    <row r="3141" spans="1:23" x14ac:dyDescent="0.2">
      <c r="A3141" t="s">
        <v>2096</v>
      </c>
      <c r="B3141" t="s">
        <v>2097</v>
      </c>
      <c r="C3141" t="s">
        <v>2466</v>
      </c>
      <c r="D3141" t="s">
        <v>2573</v>
      </c>
      <c r="E3141" t="s">
        <v>2684</v>
      </c>
      <c r="F3141" t="s">
        <v>2685</v>
      </c>
      <c r="G3141" t="s">
        <v>106</v>
      </c>
      <c r="H3141" t="s">
        <v>30</v>
      </c>
      <c r="I3141" t="s">
        <v>30</v>
      </c>
      <c r="J3141" t="s">
        <v>41</v>
      </c>
      <c r="K3141" t="s">
        <v>32</v>
      </c>
      <c r="L3141" t="s">
        <v>32</v>
      </c>
      <c r="M3141" t="s">
        <v>33</v>
      </c>
      <c r="P3141" t="s">
        <v>34</v>
      </c>
      <c r="Q3141" t="s">
        <v>35</v>
      </c>
      <c r="S3141" t="s">
        <v>30</v>
      </c>
      <c r="T3141" t="s">
        <v>2708</v>
      </c>
      <c r="U3141" t="s">
        <v>2709</v>
      </c>
      <c r="V3141" t="s">
        <v>40</v>
      </c>
      <c r="W3141" s="1">
        <v>2421800</v>
      </c>
    </row>
    <row r="3142" spans="1:23" x14ac:dyDescent="0.2">
      <c r="A3142" t="s">
        <v>2096</v>
      </c>
      <c r="B3142" t="s">
        <v>2097</v>
      </c>
      <c r="C3142" t="s">
        <v>2466</v>
      </c>
      <c r="D3142" t="s">
        <v>2573</v>
      </c>
      <c r="E3142" t="s">
        <v>2684</v>
      </c>
      <c r="F3142" t="s">
        <v>2685</v>
      </c>
      <c r="G3142" t="s">
        <v>119</v>
      </c>
      <c r="H3142" t="s">
        <v>30</v>
      </c>
      <c r="I3142" t="s">
        <v>52</v>
      </c>
      <c r="J3142" t="s">
        <v>31</v>
      </c>
      <c r="K3142" t="s">
        <v>32</v>
      </c>
      <c r="L3142" t="s">
        <v>32</v>
      </c>
      <c r="M3142" t="s">
        <v>33</v>
      </c>
      <c r="P3142" t="s">
        <v>34</v>
      </c>
      <c r="Q3142" t="s">
        <v>35</v>
      </c>
      <c r="R3142" t="s">
        <v>2347</v>
      </c>
      <c r="S3142" t="s">
        <v>30</v>
      </c>
      <c r="T3142" t="s">
        <v>2710</v>
      </c>
      <c r="U3142" t="s">
        <v>2711</v>
      </c>
      <c r="V3142" t="s">
        <v>39</v>
      </c>
      <c r="W3142" s="1">
        <v>4</v>
      </c>
    </row>
    <row r="3143" spans="1:23" x14ac:dyDescent="0.2">
      <c r="A3143" t="s">
        <v>2096</v>
      </c>
      <c r="B3143" t="s">
        <v>2097</v>
      </c>
      <c r="C3143" t="s">
        <v>2466</v>
      </c>
      <c r="D3143" t="s">
        <v>2573</v>
      </c>
      <c r="E3143" t="s">
        <v>2684</v>
      </c>
      <c r="F3143" t="s">
        <v>2685</v>
      </c>
      <c r="G3143" t="s">
        <v>119</v>
      </c>
      <c r="H3143" t="s">
        <v>30</v>
      </c>
      <c r="I3143" t="s">
        <v>52</v>
      </c>
      <c r="J3143" t="s">
        <v>31</v>
      </c>
      <c r="K3143" t="s">
        <v>32</v>
      </c>
      <c r="L3143" t="s">
        <v>32</v>
      </c>
      <c r="M3143" t="s">
        <v>33</v>
      </c>
      <c r="P3143" t="s">
        <v>34</v>
      </c>
      <c r="Q3143" t="s">
        <v>35</v>
      </c>
      <c r="R3143" t="s">
        <v>2347</v>
      </c>
      <c r="S3143" t="s">
        <v>30</v>
      </c>
      <c r="T3143" t="s">
        <v>2710</v>
      </c>
      <c r="U3143" t="s">
        <v>2711</v>
      </c>
      <c r="V3143" t="s">
        <v>40</v>
      </c>
      <c r="W3143" s="1">
        <v>4111600</v>
      </c>
    </row>
    <row r="3144" spans="1:23" x14ac:dyDescent="0.2">
      <c r="A3144" t="s">
        <v>2096</v>
      </c>
      <c r="B3144" t="s">
        <v>2097</v>
      </c>
      <c r="C3144" t="s">
        <v>2466</v>
      </c>
      <c r="D3144" t="s">
        <v>2573</v>
      </c>
      <c r="E3144" t="s">
        <v>2684</v>
      </c>
      <c r="F3144" t="s">
        <v>2685</v>
      </c>
      <c r="G3144" t="s">
        <v>119</v>
      </c>
      <c r="H3144" t="s">
        <v>30</v>
      </c>
      <c r="I3144" t="s">
        <v>52</v>
      </c>
      <c r="J3144" t="s">
        <v>41</v>
      </c>
      <c r="K3144" t="s">
        <v>32</v>
      </c>
      <c r="L3144" t="s">
        <v>32</v>
      </c>
      <c r="M3144" t="s">
        <v>33</v>
      </c>
      <c r="P3144" t="s">
        <v>34</v>
      </c>
      <c r="Q3144" t="s">
        <v>35</v>
      </c>
      <c r="R3144" t="s">
        <v>96</v>
      </c>
      <c r="S3144" t="s">
        <v>52</v>
      </c>
      <c r="T3144" t="s">
        <v>2712</v>
      </c>
      <c r="U3144" t="s">
        <v>2713</v>
      </c>
      <c r="V3144" t="s">
        <v>39</v>
      </c>
      <c r="W3144" s="1">
        <v>0</v>
      </c>
    </row>
    <row r="3145" spans="1:23" x14ac:dyDescent="0.2">
      <c r="A3145" t="s">
        <v>2096</v>
      </c>
      <c r="B3145" t="s">
        <v>2097</v>
      </c>
      <c r="C3145" t="s">
        <v>2466</v>
      </c>
      <c r="D3145" t="s">
        <v>2573</v>
      </c>
      <c r="E3145" t="s">
        <v>2684</v>
      </c>
      <c r="F3145" t="s">
        <v>2685</v>
      </c>
      <c r="G3145" t="s">
        <v>119</v>
      </c>
      <c r="H3145" t="s">
        <v>30</v>
      </c>
      <c r="I3145" t="s">
        <v>52</v>
      </c>
      <c r="J3145" t="s">
        <v>41</v>
      </c>
      <c r="K3145" t="s">
        <v>32</v>
      </c>
      <c r="L3145" t="s">
        <v>32</v>
      </c>
      <c r="M3145" t="s">
        <v>33</v>
      </c>
      <c r="P3145" t="s">
        <v>34</v>
      </c>
      <c r="Q3145" t="s">
        <v>35</v>
      </c>
      <c r="R3145" t="s">
        <v>96</v>
      </c>
      <c r="S3145" t="s">
        <v>52</v>
      </c>
      <c r="T3145" t="s">
        <v>2712</v>
      </c>
      <c r="U3145" t="s">
        <v>2713</v>
      </c>
      <c r="V3145" t="s">
        <v>40</v>
      </c>
      <c r="W3145" s="1">
        <v>8471600</v>
      </c>
    </row>
    <row r="3146" spans="1:23" x14ac:dyDescent="0.2">
      <c r="A3146" t="s">
        <v>2096</v>
      </c>
      <c r="B3146" t="s">
        <v>2097</v>
      </c>
      <c r="C3146" t="s">
        <v>2466</v>
      </c>
      <c r="D3146" t="s">
        <v>2573</v>
      </c>
      <c r="E3146" t="s">
        <v>2684</v>
      </c>
      <c r="F3146" t="s">
        <v>2685</v>
      </c>
      <c r="G3146" t="s">
        <v>119</v>
      </c>
      <c r="H3146" t="s">
        <v>30</v>
      </c>
      <c r="I3146" t="s">
        <v>52</v>
      </c>
      <c r="J3146" t="s">
        <v>41</v>
      </c>
      <c r="K3146" t="s">
        <v>32</v>
      </c>
      <c r="L3146" t="s">
        <v>32</v>
      </c>
      <c r="M3146" t="s">
        <v>33</v>
      </c>
      <c r="P3146" t="s">
        <v>34</v>
      </c>
      <c r="Q3146" t="s">
        <v>35</v>
      </c>
      <c r="S3146" t="s">
        <v>30</v>
      </c>
      <c r="T3146" t="s">
        <v>2714</v>
      </c>
      <c r="U3146" t="s">
        <v>2715</v>
      </c>
      <c r="V3146" t="s">
        <v>39</v>
      </c>
      <c r="W3146" s="1">
        <v>6</v>
      </c>
    </row>
    <row r="3147" spans="1:23" x14ac:dyDescent="0.2">
      <c r="A3147" t="s">
        <v>2096</v>
      </c>
      <c r="B3147" t="s">
        <v>2097</v>
      </c>
      <c r="C3147" t="s">
        <v>2466</v>
      </c>
      <c r="D3147" t="s">
        <v>2573</v>
      </c>
      <c r="E3147" t="s">
        <v>2684</v>
      </c>
      <c r="F3147" t="s">
        <v>2685</v>
      </c>
      <c r="G3147" t="s">
        <v>119</v>
      </c>
      <c r="H3147" t="s">
        <v>30</v>
      </c>
      <c r="I3147" t="s">
        <v>52</v>
      </c>
      <c r="J3147" t="s">
        <v>41</v>
      </c>
      <c r="K3147" t="s">
        <v>32</v>
      </c>
      <c r="L3147" t="s">
        <v>32</v>
      </c>
      <c r="M3147" t="s">
        <v>33</v>
      </c>
      <c r="P3147" t="s">
        <v>34</v>
      </c>
      <c r="Q3147" t="s">
        <v>35</v>
      </c>
      <c r="S3147" t="s">
        <v>30</v>
      </c>
      <c r="T3147" t="s">
        <v>2714</v>
      </c>
      <c r="U3147" t="s">
        <v>2715</v>
      </c>
      <c r="V3147" t="s">
        <v>40</v>
      </c>
      <c r="W3147" s="1">
        <v>6468600</v>
      </c>
    </row>
    <row r="3148" spans="1:23" x14ac:dyDescent="0.2">
      <c r="A3148" t="s">
        <v>2096</v>
      </c>
      <c r="B3148" t="s">
        <v>2097</v>
      </c>
      <c r="C3148" t="s">
        <v>2466</v>
      </c>
      <c r="D3148" t="s">
        <v>2573</v>
      </c>
      <c r="E3148" t="s">
        <v>2684</v>
      </c>
      <c r="F3148" t="s">
        <v>2685</v>
      </c>
      <c r="G3148" t="s">
        <v>119</v>
      </c>
      <c r="H3148" t="s">
        <v>30</v>
      </c>
      <c r="I3148" t="s">
        <v>52</v>
      </c>
      <c r="J3148" t="s">
        <v>41</v>
      </c>
      <c r="K3148" t="s">
        <v>32</v>
      </c>
      <c r="L3148" t="s">
        <v>32</v>
      </c>
      <c r="M3148" t="s">
        <v>33</v>
      </c>
      <c r="P3148" t="s">
        <v>34</v>
      </c>
      <c r="Q3148" t="s">
        <v>35</v>
      </c>
      <c r="S3148" t="s">
        <v>52</v>
      </c>
      <c r="T3148" t="s">
        <v>2714</v>
      </c>
      <c r="U3148" t="s">
        <v>2715</v>
      </c>
      <c r="V3148" t="s">
        <v>39</v>
      </c>
      <c r="W3148" s="1">
        <v>0</v>
      </c>
    </row>
    <row r="3149" spans="1:23" x14ac:dyDescent="0.2">
      <c r="A3149" t="s">
        <v>2096</v>
      </c>
      <c r="B3149" t="s">
        <v>2097</v>
      </c>
      <c r="C3149" t="s">
        <v>2466</v>
      </c>
      <c r="D3149" t="s">
        <v>2573</v>
      </c>
      <c r="E3149" t="s">
        <v>2684</v>
      </c>
      <c r="F3149" t="s">
        <v>2685</v>
      </c>
      <c r="G3149" t="s">
        <v>119</v>
      </c>
      <c r="H3149" t="s">
        <v>30</v>
      </c>
      <c r="I3149" t="s">
        <v>52</v>
      </c>
      <c r="J3149" t="s">
        <v>41</v>
      </c>
      <c r="K3149" t="s">
        <v>32</v>
      </c>
      <c r="L3149" t="s">
        <v>32</v>
      </c>
      <c r="M3149" t="s">
        <v>33</v>
      </c>
      <c r="P3149" t="s">
        <v>34</v>
      </c>
      <c r="Q3149" t="s">
        <v>35</v>
      </c>
      <c r="S3149" t="s">
        <v>52</v>
      </c>
      <c r="T3149" t="s">
        <v>2714</v>
      </c>
      <c r="U3149" t="s">
        <v>2715</v>
      </c>
      <c r="V3149" t="s">
        <v>40</v>
      </c>
      <c r="W3149" s="1">
        <v>1078100</v>
      </c>
    </row>
    <row r="3150" spans="1:23" x14ac:dyDescent="0.2">
      <c r="A3150" t="s">
        <v>2096</v>
      </c>
      <c r="B3150" t="s">
        <v>2097</v>
      </c>
      <c r="C3150" t="s">
        <v>2466</v>
      </c>
      <c r="D3150" t="s">
        <v>2573</v>
      </c>
      <c r="E3150" t="s">
        <v>2684</v>
      </c>
      <c r="F3150" t="s">
        <v>2685</v>
      </c>
      <c r="G3150" t="s">
        <v>134</v>
      </c>
      <c r="H3150" t="s">
        <v>52</v>
      </c>
      <c r="I3150" t="s">
        <v>30</v>
      </c>
      <c r="J3150" t="s">
        <v>31</v>
      </c>
      <c r="K3150" t="s">
        <v>32</v>
      </c>
      <c r="L3150" t="s">
        <v>32</v>
      </c>
      <c r="M3150" t="s">
        <v>33</v>
      </c>
      <c r="P3150" t="s">
        <v>34</v>
      </c>
      <c r="Q3150" t="s">
        <v>35</v>
      </c>
      <c r="S3150" t="s">
        <v>30</v>
      </c>
      <c r="T3150" t="s">
        <v>2716</v>
      </c>
      <c r="U3150" t="s">
        <v>2717</v>
      </c>
      <c r="V3150" t="s">
        <v>39</v>
      </c>
      <c r="W3150" s="1">
        <v>2</v>
      </c>
    </row>
    <row r="3151" spans="1:23" x14ac:dyDescent="0.2">
      <c r="A3151" t="s">
        <v>2096</v>
      </c>
      <c r="B3151" t="s">
        <v>2097</v>
      </c>
      <c r="C3151" t="s">
        <v>2466</v>
      </c>
      <c r="D3151" t="s">
        <v>2573</v>
      </c>
      <c r="E3151" t="s">
        <v>2684</v>
      </c>
      <c r="F3151" t="s">
        <v>2685</v>
      </c>
      <c r="G3151" t="s">
        <v>134</v>
      </c>
      <c r="H3151" t="s">
        <v>52</v>
      </c>
      <c r="I3151" t="s">
        <v>30</v>
      </c>
      <c r="J3151" t="s">
        <v>31</v>
      </c>
      <c r="K3151" t="s">
        <v>32</v>
      </c>
      <c r="L3151" t="s">
        <v>32</v>
      </c>
      <c r="M3151" t="s">
        <v>33</v>
      </c>
      <c r="P3151" t="s">
        <v>34</v>
      </c>
      <c r="Q3151" t="s">
        <v>35</v>
      </c>
      <c r="S3151" t="s">
        <v>30</v>
      </c>
      <c r="T3151" t="s">
        <v>2716</v>
      </c>
      <c r="U3151" t="s">
        <v>2717</v>
      </c>
      <c r="V3151" t="s">
        <v>40</v>
      </c>
      <c r="W3151" s="1">
        <v>375800</v>
      </c>
    </row>
    <row r="3152" spans="1:23" x14ac:dyDescent="0.2">
      <c r="A3152" t="s">
        <v>2096</v>
      </c>
      <c r="B3152" t="s">
        <v>2097</v>
      </c>
      <c r="C3152" t="s">
        <v>2718</v>
      </c>
      <c r="D3152" t="s">
        <v>2719</v>
      </c>
      <c r="E3152" t="s">
        <v>2720</v>
      </c>
      <c r="F3152" t="s">
        <v>2721</v>
      </c>
      <c r="G3152" t="s">
        <v>29</v>
      </c>
      <c r="H3152" t="s">
        <v>30</v>
      </c>
      <c r="I3152" t="s">
        <v>30</v>
      </c>
      <c r="J3152" t="s">
        <v>31</v>
      </c>
      <c r="K3152" t="s">
        <v>32</v>
      </c>
      <c r="L3152" t="s">
        <v>32</v>
      </c>
      <c r="M3152" t="s">
        <v>33</v>
      </c>
      <c r="N3152" t="s">
        <v>33</v>
      </c>
      <c r="O3152" t="s">
        <v>33</v>
      </c>
      <c r="P3152" t="s">
        <v>34</v>
      </c>
      <c r="Q3152" t="s">
        <v>35</v>
      </c>
      <c r="S3152" t="s">
        <v>30</v>
      </c>
      <c r="T3152" t="s">
        <v>2722</v>
      </c>
      <c r="U3152" t="s">
        <v>2723</v>
      </c>
      <c r="V3152" t="s">
        <v>39</v>
      </c>
      <c r="W3152" s="1">
        <v>2</v>
      </c>
    </row>
    <row r="3153" spans="1:23" x14ac:dyDescent="0.2">
      <c r="A3153" t="s">
        <v>2096</v>
      </c>
      <c r="B3153" t="s">
        <v>2097</v>
      </c>
      <c r="C3153" t="s">
        <v>2718</v>
      </c>
      <c r="D3153" t="s">
        <v>2719</v>
      </c>
      <c r="E3153" t="s">
        <v>2720</v>
      </c>
      <c r="F3153" t="s">
        <v>2721</v>
      </c>
      <c r="G3153" t="s">
        <v>29</v>
      </c>
      <c r="H3153" t="s">
        <v>30</v>
      </c>
      <c r="I3153" t="s">
        <v>30</v>
      </c>
      <c r="J3153" t="s">
        <v>31</v>
      </c>
      <c r="K3153" t="s">
        <v>32</v>
      </c>
      <c r="L3153" t="s">
        <v>32</v>
      </c>
      <c r="M3153" t="s">
        <v>33</v>
      </c>
      <c r="N3153" t="s">
        <v>33</v>
      </c>
      <c r="O3153" t="s">
        <v>33</v>
      </c>
      <c r="P3153" t="s">
        <v>34</v>
      </c>
      <c r="Q3153" t="s">
        <v>35</v>
      </c>
      <c r="S3153" t="s">
        <v>30</v>
      </c>
      <c r="T3153" t="s">
        <v>2722</v>
      </c>
      <c r="U3153" t="s">
        <v>2723</v>
      </c>
      <c r="V3153" t="s">
        <v>40</v>
      </c>
      <c r="W3153" s="1">
        <v>313600</v>
      </c>
    </row>
    <row r="3154" spans="1:23" x14ac:dyDescent="0.2">
      <c r="A3154" t="s">
        <v>2096</v>
      </c>
      <c r="B3154" t="s">
        <v>2097</v>
      </c>
      <c r="C3154" t="s">
        <v>2718</v>
      </c>
      <c r="D3154" t="s">
        <v>2719</v>
      </c>
      <c r="E3154" t="s">
        <v>2720</v>
      </c>
      <c r="F3154" t="s">
        <v>2721</v>
      </c>
      <c r="G3154" t="s">
        <v>67</v>
      </c>
      <c r="H3154" t="s">
        <v>30</v>
      </c>
      <c r="I3154" t="s">
        <v>30</v>
      </c>
      <c r="J3154" t="s">
        <v>31</v>
      </c>
      <c r="K3154" t="s">
        <v>32</v>
      </c>
      <c r="L3154" t="s">
        <v>32</v>
      </c>
      <c r="M3154" t="s">
        <v>33</v>
      </c>
      <c r="N3154" t="s">
        <v>33</v>
      </c>
      <c r="O3154" t="s">
        <v>33</v>
      </c>
      <c r="P3154" t="s">
        <v>34</v>
      </c>
      <c r="Q3154" t="s">
        <v>35</v>
      </c>
      <c r="R3154" t="s">
        <v>353</v>
      </c>
      <c r="S3154" t="s">
        <v>30</v>
      </c>
      <c r="T3154" t="s">
        <v>2724</v>
      </c>
      <c r="U3154" t="s">
        <v>2725</v>
      </c>
      <c r="V3154" t="s">
        <v>39</v>
      </c>
      <c r="W3154" s="1">
        <v>2</v>
      </c>
    </row>
    <row r="3155" spans="1:23" x14ac:dyDescent="0.2">
      <c r="A3155" t="s">
        <v>2096</v>
      </c>
      <c r="B3155" t="s">
        <v>2097</v>
      </c>
      <c r="C3155" t="s">
        <v>2718</v>
      </c>
      <c r="D3155" t="s">
        <v>2719</v>
      </c>
      <c r="E3155" t="s">
        <v>2720</v>
      </c>
      <c r="F3155" t="s">
        <v>2721</v>
      </c>
      <c r="G3155" t="s">
        <v>67</v>
      </c>
      <c r="H3155" t="s">
        <v>30</v>
      </c>
      <c r="I3155" t="s">
        <v>30</v>
      </c>
      <c r="J3155" t="s">
        <v>31</v>
      </c>
      <c r="K3155" t="s">
        <v>32</v>
      </c>
      <c r="L3155" t="s">
        <v>32</v>
      </c>
      <c r="M3155" t="s">
        <v>33</v>
      </c>
      <c r="N3155" t="s">
        <v>33</v>
      </c>
      <c r="O3155" t="s">
        <v>33</v>
      </c>
      <c r="P3155" t="s">
        <v>34</v>
      </c>
      <c r="Q3155" t="s">
        <v>35</v>
      </c>
      <c r="R3155" t="s">
        <v>353</v>
      </c>
      <c r="S3155" t="s">
        <v>30</v>
      </c>
      <c r="T3155" t="s">
        <v>2724</v>
      </c>
      <c r="U3155" t="s">
        <v>2725</v>
      </c>
      <c r="V3155" t="s">
        <v>40</v>
      </c>
      <c r="W3155" s="1">
        <v>139800</v>
      </c>
    </row>
    <row r="3156" spans="1:23" x14ac:dyDescent="0.2">
      <c r="A3156" t="s">
        <v>2096</v>
      </c>
      <c r="B3156" t="s">
        <v>2097</v>
      </c>
      <c r="C3156" t="s">
        <v>2718</v>
      </c>
      <c r="D3156" t="s">
        <v>2719</v>
      </c>
      <c r="E3156" t="s">
        <v>2720</v>
      </c>
      <c r="F3156" t="s">
        <v>2721</v>
      </c>
      <c r="G3156" t="s">
        <v>89</v>
      </c>
      <c r="H3156" t="s">
        <v>30</v>
      </c>
      <c r="I3156" t="s">
        <v>30</v>
      </c>
      <c r="J3156" t="s">
        <v>31</v>
      </c>
      <c r="K3156" t="s">
        <v>32</v>
      </c>
      <c r="L3156" t="s">
        <v>32</v>
      </c>
      <c r="M3156" t="s">
        <v>33</v>
      </c>
      <c r="N3156" t="s">
        <v>33</v>
      </c>
      <c r="O3156" t="s">
        <v>33</v>
      </c>
      <c r="P3156" t="s">
        <v>34</v>
      </c>
      <c r="Q3156" t="s">
        <v>35</v>
      </c>
      <c r="R3156" t="s">
        <v>353</v>
      </c>
      <c r="S3156" t="s">
        <v>30</v>
      </c>
      <c r="T3156" t="s">
        <v>2726</v>
      </c>
      <c r="U3156" t="s">
        <v>2727</v>
      </c>
      <c r="V3156" t="s">
        <v>39</v>
      </c>
      <c r="W3156" s="1">
        <v>3</v>
      </c>
    </row>
    <row r="3157" spans="1:23" x14ac:dyDescent="0.2">
      <c r="A3157" t="s">
        <v>2096</v>
      </c>
      <c r="B3157" t="s">
        <v>2097</v>
      </c>
      <c r="C3157" t="s">
        <v>2718</v>
      </c>
      <c r="D3157" t="s">
        <v>2719</v>
      </c>
      <c r="E3157" t="s">
        <v>2720</v>
      </c>
      <c r="F3157" t="s">
        <v>2721</v>
      </c>
      <c r="G3157" t="s">
        <v>89</v>
      </c>
      <c r="H3157" t="s">
        <v>30</v>
      </c>
      <c r="I3157" t="s">
        <v>30</v>
      </c>
      <c r="J3157" t="s">
        <v>31</v>
      </c>
      <c r="K3157" t="s">
        <v>32</v>
      </c>
      <c r="L3157" t="s">
        <v>32</v>
      </c>
      <c r="M3157" t="s">
        <v>33</v>
      </c>
      <c r="N3157" t="s">
        <v>33</v>
      </c>
      <c r="O3157" t="s">
        <v>33</v>
      </c>
      <c r="P3157" t="s">
        <v>34</v>
      </c>
      <c r="Q3157" t="s">
        <v>35</v>
      </c>
      <c r="R3157" t="s">
        <v>353</v>
      </c>
      <c r="S3157" t="s">
        <v>30</v>
      </c>
      <c r="T3157" t="s">
        <v>2726</v>
      </c>
      <c r="U3157" t="s">
        <v>2727</v>
      </c>
      <c r="V3157" t="s">
        <v>40</v>
      </c>
      <c r="W3157" s="1">
        <v>389700</v>
      </c>
    </row>
    <row r="3158" spans="1:23" x14ac:dyDescent="0.2">
      <c r="A3158" t="s">
        <v>2096</v>
      </c>
      <c r="B3158" t="s">
        <v>2097</v>
      </c>
      <c r="C3158" t="s">
        <v>2718</v>
      </c>
      <c r="D3158" t="s">
        <v>2719</v>
      </c>
      <c r="E3158" t="s">
        <v>2720</v>
      </c>
      <c r="F3158" t="s">
        <v>2721</v>
      </c>
      <c r="G3158" t="s">
        <v>127</v>
      </c>
      <c r="H3158" t="s">
        <v>52</v>
      </c>
      <c r="I3158" t="s">
        <v>30</v>
      </c>
      <c r="J3158" t="s">
        <v>31</v>
      </c>
      <c r="K3158" t="s">
        <v>32</v>
      </c>
      <c r="L3158" t="s">
        <v>32</v>
      </c>
      <c r="M3158" t="s">
        <v>33</v>
      </c>
      <c r="N3158" t="s">
        <v>33</v>
      </c>
      <c r="O3158" t="s">
        <v>33</v>
      </c>
      <c r="P3158" t="s">
        <v>34</v>
      </c>
      <c r="Q3158" t="s">
        <v>35</v>
      </c>
      <c r="S3158" t="s">
        <v>30</v>
      </c>
      <c r="T3158" t="s">
        <v>2728</v>
      </c>
      <c r="U3158" t="s">
        <v>2729</v>
      </c>
      <c r="V3158" t="s">
        <v>39</v>
      </c>
      <c r="W3158" s="1">
        <v>3</v>
      </c>
    </row>
    <row r="3159" spans="1:23" x14ac:dyDescent="0.2">
      <c r="A3159" t="s">
        <v>2096</v>
      </c>
      <c r="B3159" t="s">
        <v>2097</v>
      </c>
      <c r="C3159" t="s">
        <v>2718</v>
      </c>
      <c r="D3159" t="s">
        <v>2719</v>
      </c>
      <c r="E3159" t="s">
        <v>2720</v>
      </c>
      <c r="F3159" t="s">
        <v>2721</v>
      </c>
      <c r="G3159" t="s">
        <v>127</v>
      </c>
      <c r="H3159" t="s">
        <v>52</v>
      </c>
      <c r="I3159" t="s">
        <v>30</v>
      </c>
      <c r="J3159" t="s">
        <v>31</v>
      </c>
      <c r="K3159" t="s">
        <v>32</v>
      </c>
      <c r="L3159" t="s">
        <v>32</v>
      </c>
      <c r="M3159" t="s">
        <v>33</v>
      </c>
      <c r="N3159" t="s">
        <v>33</v>
      </c>
      <c r="O3159" t="s">
        <v>33</v>
      </c>
      <c r="P3159" t="s">
        <v>34</v>
      </c>
      <c r="Q3159" t="s">
        <v>35</v>
      </c>
      <c r="S3159" t="s">
        <v>30</v>
      </c>
      <c r="T3159" t="s">
        <v>2728</v>
      </c>
      <c r="U3159" t="s">
        <v>2729</v>
      </c>
      <c r="V3159" t="s">
        <v>40</v>
      </c>
      <c r="W3159" s="1">
        <v>2130900</v>
      </c>
    </row>
    <row r="3160" spans="1:23" x14ac:dyDescent="0.2">
      <c r="A3160" t="s">
        <v>2096</v>
      </c>
      <c r="B3160" t="s">
        <v>2097</v>
      </c>
      <c r="C3160" t="s">
        <v>2718</v>
      </c>
      <c r="D3160" t="s">
        <v>2719</v>
      </c>
      <c r="E3160" t="s">
        <v>2720</v>
      </c>
      <c r="F3160" t="s">
        <v>2721</v>
      </c>
      <c r="G3160" t="s">
        <v>127</v>
      </c>
      <c r="H3160" t="s">
        <v>52</v>
      </c>
      <c r="I3160" t="s">
        <v>30</v>
      </c>
      <c r="J3160" t="s">
        <v>31</v>
      </c>
      <c r="K3160" t="s">
        <v>32</v>
      </c>
      <c r="L3160" t="s">
        <v>32</v>
      </c>
      <c r="M3160" t="s">
        <v>33</v>
      </c>
      <c r="N3160" t="s">
        <v>169</v>
      </c>
      <c r="O3160" t="s">
        <v>169</v>
      </c>
      <c r="P3160" t="s">
        <v>34</v>
      </c>
      <c r="Q3160" t="s">
        <v>35</v>
      </c>
      <c r="S3160" t="s">
        <v>30</v>
      </c>
      <c r="T3160" t="s">
        <v>2728</v>
      </c>
      <c r="U3160" t="s">
        <v>2729</v>
      </c>
      <c r="V3160" t="s">
        <v>39</v>
      </c>
      <c r="W3160" s="1">
        <v>1</v>
      </c>
    </row>
    <row r="3161" spans="1:23" x14ac:dyDescent="0.2">
      <c r="A3161" t="s">
        <v>2096</v>
      </c>
      <c r="B3161" t="s">
        <v>2097</v>
      </c>
      <c r="C3161" t="s">
        <v>2718</v>
      </c>
      <c r="D3161" t="s">
        <v>2719</v>
      </c>
      <c r="E3161" t="s">
        <v>2720</v>
      </c>
      <c r="F3161" t="s">
        <v>2721</v>
      </c>
      <c r="G3161" t="s">
        <v>127</v>
      </c>
      <c r="H3161" t="s">
        <v>52</v>
      </c>
      <c r="I3161" t="s">
        <v>30</v>
      </c>
      <c r="J3161" t="s">
        <v>31</v>
      </c>
      <c r="K3161" t="s">
        <v>32</v>
      </c>
      <c r="L3161" t="s">
        <v>32</v>
      </c>
      <c r="M3161" t="s">
        <v>33</v>
      </c>
      <c r="N3161" t="s">
        <v>169</v>
      </c>
      <c r="O3161" t="s">
        <v>169</v>
      </c>
      <c r="P3161" t="s">
        <v>34</v>
      </c>
      <c r="Q3161" t="s">
        <v>35</v>
      </c>
      <c r="S3161" t="s">
        <v>30</v>
      </c>
      <c r="T3161" t="s">
        <v>2728</v>
      </c>
      <c r="U3161" t="s">
        <v>2729</v>
      </c>
      <c r="V3161" t="s">
        <v>40</v>
      </c>
      <c r="W3161" s="1">
        <v>710300</v>
      </c>
    </row>
    <row r="3162" spans="1:23" x14ac:dyDescent="0.2">
      <c r="A3162" t="s">
        <v>2096</v>
      </c>
      <c r="B3162" t="s">
        <v>2097</v>
      </c>
      <c r="C3162" t="s">
        <v>2718</v>
      </c>
      <c r="D3162" t="s">
        <v>2730</v>
      </c>
      <c r="E3162" t="s">
        <v>2731</v>
      </c>
      <c r="F3162" t="s">
        <v>2732</v>
      </c>
      <c r="G3162" t="s">
        <v>29</v>
      </c>
      <c r="H3162" t="s">
        <v>30</v>
      </c>
      <c r="I3162" t="s">
        <v>30</v>
      </c>
      <c r="J3162" t="s">
        <v>128</v>
      </c>
      <c r="K3162" t="s">
        <v>135</v>
      </c>
      <c r="L3162" t="s">
        <v>32</v>
      </c>
      <c r="M3162" t="s">
        <v>33</v>
      </c>
      <c r="N3162" t="s">
        <v>33</v>
      </c>
      <c r="O3162" t="s">
        <v>33</v>
      </c>
      <c r="P3162" t="s">
        <v>34</v>
      </c>
      <c r="Q3162" t="s">
        <v>35</v>
      </c>
      <c r="R3162" t="s">
        <v>136</v>
      </c>
      <c r="S3162" t="s">
        <v>30</v>
      </c>
      <c r="T3162" t="s">
        <v>2733</v>
      </c>
      <c r="U3162" t="s">
        <v>2734</v>
      </c>
      <c r="V3162" t="s">
        <v>39</v>
      </c>
      <c r="W3162" s="1">
        <v>2</v>
      </c>
    </row>
    <row r="3163" spans="1:23" x14ac:dyDescent="0.2">
      <c r="A3163" t="s">
        <v>2096</v>
      </c>
      <c r="B3163" t="s">
        <v>2097</v>
      </c>
      <c r="C3163" t="s">
        <v>2718</v>
      </c>
      <c r="D3163" t="s">
        <v>2730</v>
      </c>
      <c r="E3163" t="s">
        <v>2731</v>
      </c>
      <c r="F3163" t="s">
        <v>2732</v>
      </c>
      <c r="G3163" t="s">
        <v>29</v>
      </c>
      <c r="H3163" t="s">
        <v>30</v>
      </c>
      <c r="I3163" t="s">
        <v>30</v>
      </c>
      <c r="J3163" t="s">
        <v>128</v>
      </c>
      <c r="K3163" t="s">
        <v>135</v>
      </c>
      <c r="L3163" t="s">
        <v>32</v>
      </c>
      <c r="M3163" t="s">
        <v>33</v>
      </c>
      <c r="N3163" t="s">
        <v>33</v>
      </c>
      <c r="O3163" t="s">
        <v>33</v>
      </c>
      <c r="P3163" t="s">
        <v>34</v>
      </c>
      <c r="Q3163" t="s">
        <v>35</v>
      </c>
      <c r="R3163" t="s">
        <v>136</v>
      </c>
      <c r="S3163" t="s">
        <v>30</v>
      </c>
      <c r="T3163" t="s">
        <v>2733</v>
      </c>
      <c r="U3163" t="s">
        <v>2734</v>
      </c>
      <c r="V3163" t="s">
        <v>40</v>
      </c>
      <c r="W3163" s="1">
        <v>2452000</v>
      </c>
    </row>
    <row r="3164" spans="1:23" x14ac:dyDescent="0.2">
      <c r="A3164" t="s">
        <v>2096</v>
      </c>
      <c r="B3164" t="s">
        <v>2097</v>
      </c>
      <c r="C3164" t="s">
        <v>2718</v>
      </c>
      <c r="D3164" t="s">
        <v>2730</v>
      </c>
      <c r="E3164" t="s">
        <v>2731</v>
      </c>
      <c r="F3164" t="s">
        <v>2732</v>
      </c>
      <c r="G3164" t="s">
        <v>29</v>
      </c>
      <c r="H3164" t="s">
        <v>30</v>
      </c>
      <c r="I3164" t="s">
        <v>30</v>
      </c>
      <c r="J3164" t="s">
        <v>128</v>
      </c>
      <c r="K3164" t="s">
        <v>135</v>
      </c>
      <c r="L3164" t="s">
        <v>32</v>
      </c>
      <c r="M3164" t="s">
        <v>33</v>
      </c>
      <c r="N3164" t="s">
        <v>169</v>
      </c>
      <c r="O3164" t="s">
        <v>169</v>
      </c>
      <c r="P3164" t="s">
        <v>34</v>
      </c>
      <c r="Q3164" t="s">
        <v>35</v>
      </c>
      <c r="R3164" t="s">
        <v>136</v>
      </c>
      <c r="S3164" t="s">
        <v>30</v>
      </c>
      <c r="T3164" t="s">
        <v>2733</v>
      </c>
      <c r="U3164" t="s">
        <v>2734</v>
      </c>
      <c r="V3164" t="s">
        <v>39</v>
      </c>
      <c r="W3164" s="1">
        <v>3</v>
      </c>
    </row>
    <row r="3165" spans="1:23" x14ac:dyDescent="0.2">
      <c r="A3165" t="s">
        <v>2096</v>
      </c>
      <c r="B3165" t="s">
        <v>2097</v>
      </c>
      <c r="C3165" t="s">
        <v>2718</v>
      </c>
      <c r="D3165" t="s">
        <v>2730</v>
      </c>
      <c r="E3165" t="s">
        <v>2731</v>
      </c>
      <c r="F3165" t="s">
        <v>2732</v>
      </c>
      <c r="G3165" t="s">
        <v>29</v>
      </c>
      <c r="H3165" t="s">
        <v>30</v>
      </c>
      <c r="I3165" t="s">
        <v>30</v>
      </c>
      <c r="J3165" t="s">
        <v>128</v>
      </c>
      <c r="K3165" t="s">
        <v>135</v>
      </c>
      <c r="L3165" t="s">
        <v>32</v>
      </c>
      <c r="M3165" t="s">
        <v>33</v>
      </c>
      <c r="N3165" t="s">
        <v>169</v>
      </c>
      <c r="O3165" t="s">
        <v>169</v>
      </c>
      <c r="P3165" t="s">
        <v>34</v>
      </c>
      <c r="Q3165" t="s">
        <v>35</v>
      </c>
      <c r="R3165" t="s">
        <v>136</v>
      </c>
      <c r="S3165" t="s">
        <v>30</v>
      </c>
      <c r="T3165" t="s">
        <v>2733</v>
      </c>
      <c r="U3165" t="s">
        <v>2734</v>
      </c>
      <c r="V3165" t="s">
        <v>40</v>
      </c>
      <c r="W3165" s="1">
        <v>3678000</v>
      </c>
    </row>
    <row r="3166" spans="1:23" x14ac:dyDescent="0.2">
      <c r="A3166" t="s">
        <v>2096</v>
      </c>
      <c r="B3166" t="s">
        <v>2097</v>
      </c>
      <c r="C3166" t="s">
        <v>2718</v>
      </c>
      <c r="D3166" t="s">
        <v>2730</v>
      </c>
      <c r="E3166" t="s">
        <v>2731</v>
      </c>
      <c r="F3166" t="s">
        <v>2732</v>
      </c>
      <c r="G3166" t="s">
        <v>29</v>
      </c>
      <c r="H3166" t="s">
        <v>30</v>
      </c>
      <c r="I3166" t="s">
        <v>30</v>
      </c>
      <c r="J3166" t="s">
        <v>31</v>
      </c>
      <c r="K3166" t="s">
        <v>32</v>
      </c>
      <c r="L3166" t="s">
        <v>32</v>
      </c>
      <c r="M3166" t="s">
        <v>33</v>
      </c>
      <c r="N3166" t="s">
        <v>33</v>
      </c>
      <c r="O3166" t="s">
        <v>33</v>
      </c>
      <c r="P3166" t="s">
        <v>34</v>
      </c>
      <c r="Q3166" t="s">
        <v>35</v>
      </c>
      <c r="R3166" t="s">
        <v>353</v>
      </c>
      <c r="S3166" t="s">
        <v>30</v>
      </c>
      <c r="T3166" t="s">
        <v>2735</v>
      </c>
      <c r="U3166" t="s">
        <v>2736</v>
      </c>
      <c r="V3166" t="s">
        <v>39</v>
      </c>
      <c r="W3166" s="1">
        <v>4</v>
      </c>
    </row>
    <row r="3167" spans="1:23" x14ac:dyDescent="0.2">
      <c r="A3167" t="s">
        <v>2096</v>
      </c>
      <c r="B3167" t="s">
        <v>2097</v>
      </c>
      <c r="C3167" t="s">
        <v>2718</v>
      </c>
      <c r="D3167" t="s">
        <v>2730</v>
      </c>
      <c r="E3167" t="s">
        <v>2731</v>
      </c>
      <c r="F3167" t="s">
        <v>2732</v>
      </c>
      <c r="G3167" t="s">
        <v>29</v>
      </c>
      <c r="H3167" t="s">
        <v>30</v>
      </c>
      <c r="I3167" t="s">
        <v>30</v>
      </c>
      <c r="J3167" t="s">
        <v>31</v>
      </c>
      <c r="K3167" t="s">
        <v>32</v>
      </c>
      <c r="L3167" t="s">
        <v>32</v>
      </c>
      <c r="M3167" t="s">
        <v>33</v>
      </c>
      <c r="N3167" t="s">
        <v>33</v>
      </c>
      <c r="O3167" t="s">
        <v>33</v>
      </c>
      <c r="P3167" t="s">
        <v>34</v>
      </c>
      <c r="Q3167" t="s">
        <v>35</v>
      </c>
      <c r="R3167" t="s">
        <v>353</v>
      </c>
      <c r="S3167" t="s">
        <v>30</v>
      </c>
      <c r="T3167" t="s">
        <v>2735</v>
      </c>
      <c r="U3167" t="s">
        <v>2736</v>
      </c>
      <c r="V3167" t="s">
        <v>40</v>
      </c>
      <c r="W3167" s="1">
        <v>239600</v>
      </c>
    </row>
    <row r="3168" spans="1:23" x14ac:dyDescent="0.2">
      <c r="A3168" t="s">
        <v>2096</v>
      </c>
      <c r="B3168" t="s">
        <v>2097</v>
      </c>
      <c r="C3168" t="s">
        <v>2718</v>
      </c>
      <c r="D3168" t="s">
        <v>2730</v>
      </c>
      <c r="E3168" t="s">
        <v>2731</v>
      </c>
      <c r="F3168" t="s">
        <v>2732</v>
      </c>
      <c r="G3168" t="s">
        <v>49</v>
      </c>
      <c r="H3168" t="s">
        <v>30</v>
      </c>
      <c r="I3168" t="s">
        <v>30</v>
      </c>
      <c r="J3168" t="s">
        <v>31</v>
      </c>
      <c r="K3168" t="s">
        <v>2432</v>
      </c>
      <c r="L3168" t="s">
        <v>32</v>
      </c>
      <c r="M3168" t="s">
        <v>33</v>
      </c>
      <c r="N3168" t="s">
        <v>33</v>
      </c>
      <c r="O3168" t="s">
        <v>33</v>
      </c>
      <c r="P3168" t="s">
        <v>372</v>
      </c>
      <c r="Q3168" t="s">
        <v>373</v>
      </c>
      <c r="R3168" t="s">
        <v>58</v>
      </c>
      <c r="S3168" t="s">
        <v>30</v>
      </c>
      <c r="T3168" t="s">
        <v>2737</v>
      </c>
      <c r="U3168" t="s">
        <v>2738</v>
      </c>
      <c r="V3168" t="s">
        <v>39</v>
      </c>
      <c r="W3168" s="1">
        <v>1</v>
      </c>
    </row>
    <row r="3169" spans="1:23" x14ac:dyDescent="0.2">
      <c r="A3169" t="s">
        <v>2096</v>
      </c>
      <c r="B3169" t="s">
        <v>2097</v>
      </c>
      <c r="C3169" t="s">
        <v>2718</v>
      </c>
      <c r="D3169" t="s">
        <v>2730</v>
      </c>
      <c r="E3169" t="s">
        <v>2731</v>
      </c>
      <c r="F3169" t="s">
        <v>2732</v>
      </c>
      <c r="G3169" t="s">
        <v>49</v>
      </c>
      <c r="H3169" t="s">
        <v>30</v>
      </c>
      <c r="I3169" t="s">
        <v>30</v>
      </c>
      <c r="J3169" t="s">
        <v>31</v>
      </c>
      <c r="K3169" t="s">
        <v>2432</v>
      </c>
      <c r="L3169" t="s">
        <v>32</v>
      </c>
      <c r="M3169" t="s">
        <v>33</v>
      </c>
      <c r="N3169" t="s">
        <v>33</v>
      </c>
      <c r="O3169" t="s">
        <v>33</v>
      </c>
      <c r="P3169" t="s">
        <v>372</v>
      </c>
      <c r="Q3169" t="s">
        <v>373</v>
      </c>
      <c r="R3169" t="s">
        <v>58</v>
      </c>
      <c r="S3169" t="s">
        <v>30</v>
      </c>
      <c r="T3169" t="s">
        <v>2737</v>
      </c>
      <c r="U3169" t="s">
        <v>2738</v>
      </c>
      <c r="V3169" t="s">
        <v>40</v>
      </c>
      <c r="W3169" s="1">
        <v>799900</v>
      </c>
    </row>
    <row r="3170" spans="1:23" x14ac:dyDescent="0.2">
      <c r="A3170" t="s">
        <v>2096</v>
      </c>
      <c r="B3170" t="s">
        <v>2097</v>
      </c>
      <c r="C3170" t="s">
        <v>2718</v>
      </c>
      <c r="D3170" t="s">
        <v>2730</v>
      </c>
      <c r="E3170" t="s">
        <v>2731</v>
      </c>
      <c r="F3170" t="s">
        <v>2732</v>
      </c>
      <c r="G3170" t="s">
        <v>49</v>
      </c>
      <c r="H3170" t="s">
        <v>30</v>
      </c>
      <c r="I3170" t="s">
        <v>30</v>
      </c>
      <c r="J3170" t="s">
        <v>31</v>
      </c>
      <c r="K3170" t="s">
        <v>32</v>
      </c>
      <c r="L3170" t="s">
        <v>32</v>
      </c>
      <c r="M3170" t="s">
        <v>33</v>
      </c>
      <c r="N3170" t="s">
        <v>33</v>
      </c>
      <c r="O3170" t="s">
        <v>33</v>
      </c>
      <c r="P3170" t="s">
        <v>34</v>
      </c>
      <c r="Q3170" t="s">
        <v>35</v>
      </c>
      <c r="R3170" t="s">
        <v>73</v>
      </c>
      <c r="S3170" t="s">
        <v>30</v>
      </c>
      <c r="T3170" t="s">
        <v>2739</v>
      </c>
      <c r="U3170" t="s">
        <v>2740</v>
      </c>
      <c r="V3170" t="s">
        <v>39</v>
      </c>
      <c r="W3170" s="1">
        <v>2</v>
      </c>
    </row>
    <row r="3171" spans="1:23" x14ac:dyDescent="0.2">
      <c r="A3171" t="s">
        <v>2096</v>
      </c>
      <c r="B3171" t="s">
        <v>2097</v>
      </c>
      <c r="C3171" t="s">
        <v>2718</v>
      </c>
      <c r="D3171" t="s">
        <v>2730</v>
      </c>
      <c r="E3171" t="s">
        <v>2731</v>
      </c>
      <c r="F3171" t="s">
        <v>2732</v>
      </c>
      <c r="G3171" t="s">
        <v>49</v>
      </c>
      <c r="H3171" t="s">
        <v>30</v>
      </c>
      <c r="I3171" t="s">
        <v>30</v>
      </c>
      <c r="J3171" t="s">
        <v>31</v>
      </c>
      <c r="K3171" t="s">
        <v>32</v>
      </c>
      <c r="L3171" t="s">
        <v>32</v>
      </c>
      <c r="M3171" t="s">
        <v>33</v>
      </c>
      <c r="N3171" t="s">
        <v>33</v>
      </c>
      <c r="O3171" t="s">
        <v>33</v>
      </c>
      <c r="P3171" t="s">
        <v>34</v>
      </c>
      <c r="Q3171" t="s">
        <v>35</v>
      </c>
      <c r="R3171" t="s">
        <v>73</v>
      </c>
      <c r="S3171" t="s">
        <v>30</v>
      </c>
      <c r="T3171" t="s">
        <v>2739</v>
      </c>
      <c r="U3171" t="s">
        <v>2740</v>
      </c>
      <c r="V3171" t="s">
        <v>40</v>
      </c>
      <c r="W3171" s="1">
        <v>1399800</v>
      </c>
    </row>
    <row r="3172" spans="1:23" x14ac:dyDescent="0.2">
      <c r="A3172" t="s">
        <v>2096</v>
      </c>
      <c r="B3172" t="s">
        <v>2097</v>
      </c>
      <c r="C3172" t="s">
        <v>2718</v>
      </c>
      <c r="D3172" t="s">
        <v>2730</v>
      </c>
      <c r="E3172" t="s">
        <v>2731</v>
      </c>
      <c r="F3172" t="s">
        <v>2732</v>
      </c>
      <c r="G3172" t="s">
        <v>49</v>
      </c>
      <c r="H3172" t="s">
        <v>30</v>
      </c>
      <c r="I3172" t="s">
        <v>30</v>
      </c>
      <c r="J3172" t="s">
        <v>31</v>
      </c>
      <c r="K3172" t="s">
        <v>32</v>
      </c>
      <c r="L3172" t="s">
        <v>32</v>
      </c>
      <c r="M3172" t="s">
        <v>33</v>
      </c>
      <c r="N3172" t="s">
        <v>33</v>
      </c>
      <c r="O3172" t="s">
        <v>33</v>
      </c>
      <c r="P3172" t="s">
        <v>34</v>
      </c>
      <c r="Q3172" t="s">
        <v>35</v>
      </c>
      <c r="S3172" t="s">
        <v>30</v>
      </c>
      <c r="T3172" t="s">
        <v>2741</v>
      </c>
      <c r="U3172" t="s">
        <v>2742</v>
      </c>
      <c r="V3172" t="s">
        <v>39</v>
      </c>
      <c r="W3172" s="1">
        <v>4</v>
      </c>
    </row>
    <row r="3173" spans="1:23" x14ac:dyDescent="0.2">
      <c r="A3173" t="s">
        <v>2096</v>
      </c>
      <c r="B3173" t="s">
        <v>2097</v>
      </c>
      <c r="C3173" t="s">
        <v>2718</v>
      </c>
      <c r="D3173" t="s">
        <v>2730</v>
      </c>
      <c r="E3173" t="s">
        <v>2731</v>
      </c>
      <c r="F3173" t="s">
        <v>2732</v>
      </c>
      <c r="G3173" t="s">
        <v>49</v>
      </c>
      <c r="H3173" t="s">
        <v>30</v>
      </c>
      <c r="I3173" t="s">
        <v>30</v>
      </c>
      <c r="J3173" t="s">
        <v>31</v>
      </c>
      <c r="K3173" t="s">
        <v>32</v>
      </c>
      <c r="L3173" t="s">
        <v>32</v>
      </c>
      <c r="M3173" t="s">
        <v>33</v>
      </c>
      <c r="N3173" t="s">
        <v>33</v>
      </c>
      <c r="O3173" t="s">
        <v>33</v>
      </c>
      <c r="P3173" t="s">
        <v>34</v>
      </c>
      <c r="Q3173" t="s">
        <v>35</v>
      </c>
      <c r="S3173" t="s">
        <v>30</v>
      </c>
      <c r="T3173" t="s">
        <v>2741</v>
      </c>
      <c r="U3173" t="s">
        <v>2742</v>
      </c>
      <c r="V3173" t="s">
        <v>40</v>
      </c>
      <c r="W3173" s="1">
        <v>2531600</v>
      </c>
    </row>
    <row r="3174" spans="1:23" x14ac:dyDescent="0.2">
      <c r="A3174" t="s">
        <v>2096</v>
      </c>
      <c r="B3174" t="s">
        <v>2097</v>
      </c>
      <c r="C3174" t="s">
        <v>2718</v>
      </c>
      <c r="D3174" t="s">
        <v>2730</v>
      </c>
      <c r="E3174" t="s">
        <v>2731</v>
      </c>
      <c r="F3174" t="s">
        <v>2732</v>
      </c>
      <c r="G3174" t="s">
        <v>49</v>
      </c>
      <c r="H3174" t="s">
        <v>30</v>
      </c>
      <c r="I3174" t="s">
        <v>30</v>
      </c>
      <c r="J3174" t="s">
        <v>31</v>
      </c>
      <c r="K3174" t="s">
        <v>32</v>
      </c>
      <c r="L3174" t="s">
        <v>32</v>
      </c>
      <c r="M3174" t="s">
        <v>33</v>
      </c>
      <c r="N3174" t="s">
        <v>169</v>
      </c>
      <c r="O3174" t="s">
        <v>169</v>
      </c>
      <c r="P3174" t="s">
        <v>34</v>
      </c>
      <c r="Q3174" t="s">
        <v>35</v>
      </c>
      <c r="S3174" t="s">
        <v>30</v>
      </c>
      <c r="T3174" t="s">
        <v>2741</v>
      </c>
      <c r="U3174" t="s">
        <v>2742</v>
      </c>
      <c r="V3174" t="s">
        <v>39</v>
      </c>
      <c r="W3174" s="1">
        <v>1</v>
      </c>
    </row>
    <row r="3175" spans="1:23" x14ac:dyDescent="0.2">
      <c r="A3175" t="s">
        <v>2096</v>
      </c>
      <c r="B3175" t="s">
        <v>2097</v>
      </c>
      <c r="C3175" t="s">
        <v>2718</v>
      </c>
      <c r="D3175" t="s">
        <v>2730</v>
      </c>
      <c r="E3175" t="s">
        <v>2731</v>
      </c>
      <c r="F3175" t="s">
        <v>2732</v>
      </c>
      <c r="G3175" t="s">
        <v>49</v>
      </c>
      <c r="H3175" t="s">
        <v>30</v>
      </c>
      <c r="I3175" t="s">
        <v>30</v>
      </c>
      <c r="J3175" t="s">
        <v>31</v>
      </c>
      <c r="K3175" t="s">
        <v>32</v>
      </c>
      <c r="L3175" t="s">
        <v>32</v>
      </c>
      <c r="M3175" t="s">
        <v>33</v>
      </c>
      <c r="N3175" t="s">
        <v>169</v>
      </c>
      <c r="O3175" t="s">
        <v>169</v>
      </c>
      <c r="P3175" t="s">
        <v>34</v>
      </c>
      <c r="Q3175" t="s">
        <v>35</v>
      </c>
      <c r="S3175" t="s">
        <v>30</v>
      </c>
      <c r="T3175" t="s">
        <v>2741</v>
      </c>
      <c r="U3175" t="s">
        <v>2742</v>
      </c>
      <c r="V3175" t="s">
        <v>40</v>
      </c>
      <c r="W3175" s="1">
        <v>632900</v>
      </c>
    </row>
    <row r="3176" spans="1:23" x14ac:dyDescent="0.2">
      <c r="A3176" t="s">
        <v>2096</v>
      </c>
      <c r="B3176" t="s">
        <v>2097</v>
      </c>
      <c r="C3176" t="s">
        <v>2718</v>
      </c>
      <c r="D3176" t="s">
        <v>2730</v>
      </c>
      <c r="E3176" t="s">
        <v>2731</v>
      </c>
      <c r="F3176" t="s">
        <v>2732</v>
      </c>
      <c r="G3176" t="s">
        <v>49</v>
      </c>
      <c r="H3176" t="s">
        <v>30</v>
      </c>
      <c r="I3176" t="s">
        <v>30</v>
      </c>
      <c r="J3176" t="s">
        <v>31</v>
      </c>
      <c r="K3176" t="s">
        <v>32</v>
      </c>
      <c r="L3176" t="s">
        <v>32</v>
      </c>
      <c r="M3176" t="s">
        <v>33</v>
      </c>
      <c r="P3176" t="s">
        <v>34</v>
      </c>
      <c r="Q3176" t="s">
        <v>35</v>
      </c>
      <c r="S3176" t="s">
        <v>52</v>
      </c>
      <c r="T3176" t="s">
        <v>2743</v>
      </c>
      <c r="U3176" t="s">
        <v>2744</v>
      </c>
      <c r="V3176" t="s">
        <v>39</v>
      </c>
      <c r="W3176" s="1">
        <v>0</v>
      </c>
    </row>
    <row r="3177" spans="1:23" x14ac:dyDescent="0.2">
      <c r="A3177" t="s">
        <v>2096</v>
      </c>
      <c r="B3177" t="s">
        <v>2097</v>
      </c>
      <c r="C3177" t="s">
        <v>2718</v>
      </c>
      <c r="D3177" t="s">
        <v>2730</v>
      </c>
      <c r="E3177" t="s">
        <v>2731</v>
      </c>
      <c r="F3177" t="s">
        <v>2732</v>
      </c>
      <c r="G3177" t="s">
        <v>49</v>
      </c>
      <c r="H3177" t="s">
        <v>30</v>
      </c>
      <c r="I3177" t="s">
        <v>30</v>
      </c>
      <c r="J3177" t="s">
        <v>31</v>
      </c>
      <c r="K3177" t="s">
        <v>32</v>
      </c>
      <c r="L3177" t="s">
        <v>32</v>
      </c>
      <c r="M3177" t="s">
        <v>33</v>
      </c>
      <c r="P3177" t="s">
        <v>34</v>
      </c>
      <c r="Q3177" t="s">
        <v>35</v>
      </c>
      <c r="S3177" t="s">
        <v>52</v>
      </c>
      <c r="T3177" t="s">
        <v>2743</v>
      </c>
      <c r="U3177" t="s">
        <v>2744</v>
      </c>
      <c r="V3177" t="s">
        <v>40</v>
      </c>
      <c r="W3177" s="1">
        <v>1682200</v>
      </c>
    </row>
    <row r="3178" spans="1:23" x14ac:dyDescent="0.2">
      <c r="A3178" t="s">
        <v>2096</v>
      </c>
      <c r="B3178" t="s">
        <v>2097</v>
      </c>
      <c r="C3178" t="s">
        <v>2718</v>
      </c>
      <c r="D3178" t="s">
        <v>2730</v>
      </c>
      <c r="E3178" t="s">
        <v>2731</v>
      </c>
      <c r="F3178" t="s">
        <v>2732</v>
      </c>
      <c r="G3178" t="s">
        <v>49</v>
      </c>
      <c r="H3178" t="s">
        <v>30</v>
      </c>
      <c r="I3178" t="s">
        <v>30</v>
      </c>
      <c r="J3178" t="s">
        <v>31</v>
      </c>
      <c r="K3178" t="s">
        <v>32</v>
      </c>
      <c r="L3178" t="s">
        <v>32</v>
      </c>
      <c r="M3178" t="s">
        <v>176</v>
      </c>
      <c r="N3178" t="s">
        <v>176</v>
      </c>
      <c r="O3178" t="s">
        <v>176</v>
      </c>
      <c r="P3178" t="s">
        <v>34</v>
      </c>
      <c r="Q3178" t="s">
        <v>35</v>
      </c>
      <c r="S3178" t="s">
        <v>30</v>
      </c>
      <c r="T3178" t="s">
        <v>2741</v>
      </c>
      <c r="U3178" t="s">
        <v>2742</v>
      </c>
      <c r="V3178" t="s">
        <v>39</v>
      </c>
      <c r="W3178" s="1">
        <v>1</v>
      </c>
    </row>
    <row r="3179" spans="1:23" x14ac:dyDescent="0.2">
      <c r="A3179" t="s">
        <v>2096</v>
      </c>
      <c r="B3179" t="s">
        <v>2097</v>
      </c>
      <c r="C3179" t="s">
        <v>2718</v>
      </c>
      <c r="D3179" t="s">
        <v>2730</v>
      </c>
      <c r="E3179" t="s">
        <v>2731</v>
      </c>
      <c r="F3179" t="s">
        <v>2732</v>
      </c>
      <c r="G3179" t="s">
        <v>49</v>
      </c>
      <c r="H3179" t="s">
        <v>30</v>
      </c>
      <c r="I3179" t="s">
        <v>30</v>
      </c>
      <c r="J3179" t="s">
        <v>31</v>
      </c>
      <c r="K3179" t="s">
        <v>32</v>
      </c>
      <c r="L3179" t="s">
        <v>32</v>
      </c>
      <c r="M3179" t="s">
        <v>176</v>
      </c>
      <c r="N3179" t="s">
        <v>176</v>
      </c>
      <c r="O3179" t="s">
        <v>176</v>
      </c>
      <c r="P3179" t="s">
        <v>34</v>
      </c>
      <c r="Q3179" t="s">
        <v>35</v>
      </c>
      <c r="S3179" t="s">
        <v>30</v>
      </c>
      <c r="T3179" t="s">
        <v>2741</v>
      </c>
      <c r="U3179" t="s">
        <v>2742</v>
      </c>
      <c r="V3179" t="s">
        <v>40</v>
      </c>
      <c r="W3179" s="1">
        <v>632900</v>
      </c>
    </row>
    <row r="3180" spans="1:23" x14ac:dyDescent="0.2">
      <c r="A3180" t="s">
        <v>2096</v>
      </c>
      <c r="B3180" t="s">
        <v>2097</v>
      </c>
      <c r="C3180" t="s">
        <v>2718</v>
      </c>
      <c r="D3180" t="s">
        <v>2730</v>
      </c>
      <c r="E3180" t="s">
        <v>2731</v>
      </c>
      <c r="F3180" t="s">
        <v>2732</v>
      </c>
      <c r="G3180" t="s">
        <v>49</v>
      </c>
      <c r="H3180" t="s">
        <v>30</v>
      </c>
      <c r="I3180" t="s">
        <v>30</v>
      </c>
      <c r="J3180" t="s">
        <v>41</v>
      </c>
      <c r="K3180" t="s">
        <v>32</v>
      </c>
      <c r="L3180" t="s">
        <v>32</v>
      </c>
      <c r="M3180" t="s">
        <v>33</v>
      </c>
      <c r="N3180" t="s">
        <v>33</v>
      </c>
      <c r="O3180" t="s">
        <v>33</v>
      </c>
      <c r="P3180" t="s">
        <v>42</v>
      </c>
      <c r="Q3180" t="s">
        <v>43</v>
      </c>
      <c r="R3180" t="s">
        <v>353</v>
      </c>
      <c r="S3180" t="s">
        <v>30</v>
      </c>
      <c r="T3180" t="s">
        <v>1349</v>
      </c>
      <c r="U3180" t="s">
        <v>2745</v>
      </c>
      <c r="V3180" t="s">
        <v>39</v>
      </c>
      <c r="W3180" s="1">
        <v>2</v>
      </c>
    </row>
    <row r="3181" spans="1:23" x14ac:dyDescent="0.2">
      <c r="A3181" t="s">
        <v>2096</v>
      </c>
      <c r="B3181" t="s">
        <v>2097</v>
      </c>
      <c r="C3181" t="s">
        <v>2718</v>
      </c>
      <c r="D3181" t="s">
        <v>2730</v>
      </c>
      <c r="E3181" t="s">
        <v>2731</v>
      </c>
      <c r="F3181" t="s">
        <v>2732</v>
      </c>
      <c r="G3181" t="s">
        <v>49</v>
      </c>
      <c r="H3181" t="s">
        <v>30</v>
      </c>
      <c r="I3181" t="s">
        <v>30</v>
      </c>
      <c r="J3181" t="s">
        <v>41</v>
      </c>
      <c r="K3181" t="s">
        <v>32</v>
      </c>
      <c r="L3181" t="s">
        <v>32</v>
      </c>
      <c r="M3181" t="s">
        <v>33</v>
      </c>
      <c r="N3181" t="s">
        <v>33</v>
      </c>
      <c r="O3181" t="s">
        <v>33</v>
      </c>
      <c r="P3181" t="s">
        <v>42</v>
      </c>
      <c r="Q3181" t="s">
        <v>43</v>
      </c>
      <c r="R3181" t="s">
        <v>353</v>
      </c>
      <c r="S3181" t="s">
        <v>30</v>
      </c>
      <c r="T3181" t="s">
        <v>1349</v>
      </c>
      <c r="U3181" t="s">
        <v>2745</v>
      </c>
      <c r="V3181" t="s">
        <v>40</v>
      </c>
      <c r="W3181" s="1">
        <v>11110000</v>
      </c>
    </row>
    <row r="3182" spans="1:23" x14ac:dyDescent="0.2">
      <c r="A3182" t="s">
        <v>2096</v>
      </c>
      <c r="B3182" t="s">
        <v>2097</v>
      </c>
      <c r="C3182" t="s">
        <v>2718</v>
      </c>
      <c r="D3182" t="s">
        <v>2730</v>
      </c>
      <c r="E3182" t="s">
        <v>2731</v>
      </c>
      <c r="F3182" t="s">
        <v>2732</v>
      </c>
      <c r="G3182" t="s">
        <v>49</v>
      </c>
      <c r="H3182" t="s">
        <v>30</v>
      </c>
      <c r="I3182" t="s">
        <v>30</v>
      </c>
      <c r="J3182" t="s">
        <v>41</v>
      </c>
      <c r="K3182" t="s">
        <v>32</v>
      </c>
      <c r="L3182" t="s">
        <v>32</v>
      </c>
      <c r="M3182" t="s">
        <v>33</v>
      </c>
      <c r="N3182" t="s">
        <v>33</v>
      </c>
      <c r="O3182" t="s">
        <v>33</v>
      </c>
      <c r="P3182" t="s">
        <v>42</v>
      </c>
      <c r="Q3182" t="s">
        <v>43</v>
      </c>
      <c r="S3182" t="s">
        <v>30</v>
      </c>
      <c r="T3182" t="s">
        <v>2746</v>
      </c>
      <c r="U3182" t="s">
        <v>2747</v>
      </c>
      <c r="V3182" t="s">
        <v>39</v>
      </c>
      <c r="W3182" s="1">
        <v>2</v>
      </c>
    </row>
    <row r="3183" spans="1:23" x14ac:dyDescent="0.2">
      <c r="A3183" t="s">
        <v>2096</v>
      </c>
      <c r="B3183" t="s">
        <v>2097</v>
      </c>
      <c r="C3183" t="s">
        <v>2718</v>
      </c>
      <c r="D3183" t="s">
        <v>2730</v>
      </c>
      <c r="E3183" t="s">
        <v>2731</v>
      </c>
      <c r="F3183" t="s">
        <v>2732</v>
      </c>
      <c r="G3183" t="s">
        <v>49</v>
      </c>
      <c r="H3183" t="s">
        <v>30</v>
      </c>
      <c r="I3183" t="s">
        <v>30</v>
      </c>
      <c r="J3183" t="s">
        <v>41</v>
      </c>
      <c r="K3183" t="s">
        <v>32</v>
      </c>
      <c r="L3183" t="s">
        <v>32</v>
      </c>
      <c r="M3183" t="s">
        <v>33</v>
      </c>
      <c r="N3183" t="s">
        <v>33</v>
      </c>
      <c r="O3183" t="s">
        <v>33</v>
      </c>
      <c r="P3183" t="s">
        <v>42</v>
      </c>
      <c r="Q3183" t="s">
        <v>43</v>
      </c>
      <c r="S3183" t="s">
        <v>30</v>
      </c>
      <c r="T3183" t="s">
        <v>2746</v>
      </c>
      <c r="U3183" t="s">
        <v>2747</v>
      </c>
      <c r="V3183" t="s">
        <v>40</v>
      </c>
      <c r="W3183" s="1">
        <v>6193200</v>
      </c>
    </row>
    <row r="3184" spans="1:23" x14ac:dyDescent="0.2">
      <c r="A3184" t="s">
        <v>2096</v>
      </c>
      <c r="B3184" t="s">
        <v>2097</v>
      </c>
      <c r="C3184" t="s">
        <v>2718</v>
      </c>
      <c r="D3184" t="s">
        <v>2730</v>
      </c>
      <c r="E3184" t="s">
        <v>2731</v>
      </c>
      <c r="F3184" t="s">
        <v>2732</v>
      </c>
      <c r="G3184" t="s">
        <v>49</v>
      </c>
      <c r="H3184" t="s">
        <v>30</v>
      </c>
      <c r="I3184" t="s">
        <v>30</v>
      </c>
      <c r="J3184" t="s">
        <v>57</v>
      </c>
      <c r="K3184" t="s">
        <v>32</v>
      </c>
      <c r="L3184" t="s">
        <v>32</v>
      </c>
      <c r="M3184" t="s">
        <v>33</v>
      </c>
      <c r="N3184" t="s">
        <v>33</v>
      </c>
      <c r="O3184" t="s">
        <v>33</v>
      </c>
      <c r="P3184" t="s">
        <v>34</v>
      </c>
      <c r="Q3184" t="s">
        <v>35</v>
      </c>
      <c r="S3184" t="s">
        <v>30</v>
      </c>
      <c r="T3184" t="s">
        <v>2748</v>
      </c>
      <c r="U3184" t="s">
        <v>2749</v>
      </c>
      <c r="V3184" t="s">
        <v>39</v>
      </c>
      <c r="W3184" s="1">
        <v>6</v>
      </c>
    </row>
    <row r="3185" spans="1:23" x14ac:dyDescent="0.2">
      <c r="A3185" t="s">
        <v>2096</v>
      </c>
      <c r="B3185" t="s">
        <v>2097</v>
      </c>
      <c r="C3185" t="s">
        <v>2718</v>
      </c>
      <c r="D3185" t="s">
        <v>2730</v>
      </c>
      <c r="E3185" t="s">
        <v>2731</v>
      </c>
      <c r="F3185" t="s">
        <v>2732</v>
      </c>
      <c r="G3185" t="s">
        <v>49</v>
      </c>
      <c r="H3185" t="s">
        <v>30</v>
      </c>
      <c r="I3185" t="s">
        <v>30</v>
      </c>
      <c r="J3185" t="s">
        <v>57</v>
      </c>
      <c r="K3185" t="s">
        <v>32</v>
      </c>
      <c r="L3185" t="s">
        <v>32</v>
      </c>
      <c r="M3185" t="s">
        <v>33</v>
      </c>
      <c r="N3185" t="s">
        <v>33</v>
      </c>
      <c r="O3185" t="s">
        <v>33</v>
      </c>
      <c r="P3185" t="s">
        <v>34</v>
      </c>
      <c r="Q3185" t="s">
        <v>35</v>
      </c>
      <c r="S3185" t="s">
        <v>30</v>
      </c>
      <c r="T3185" t="s">
        <v>2748</v>
      </c>
      <c r="U3185" t="s">
        <v>2749</v>
      </c>
      <c r="V3185" t="s">
        <v>40</v>
      </c>
      <c r="W3185" s="1">
        <v>8745600</v>
      </c>
    </row>
    <row r="3186" spans="1:23" x14ac:dyDescent="0.2">
      <c r="A3186" t="s">
        <v>2096</v>
      </c>
      <c r="B3186" t="s">
        <v>2097</v>
      </c>
      <c r="C3186" t="s">
        <v>2718</v>
      </c>
      <c r="D3186" t="s">
        <v>2730</v>
      </c>
      <c r="E3186" t="s">
        <v>2731</v>
      </c>
      <c r="F3186" t="s">
        <v>2732</v>
      </c>
      <c r="G3186" t="s">
        <v>49</v>
      </c>
      <c r="H3186" t="s">
        <v>30</v>
      </c>
      <c r="I3186" t="s">
        <v>30</v>
      </c>
      <c r="J3186" t="s">
        <v>57</v>
      </c>
      <c r="K3186" t="s">
        <v>32</v>
      </c>
      <c r="L3186" t="s">
        <v>32</v>
      </c>
      <c r="M3186" t="s">
        <v>33</v>
      </c>
      <c r="P3186" t="s">
        <v>34</v>
      </c>
      <c r="Q3186" t="s">
        <v>35</v>
      </c>
      <c r="S3186" t="s">
        <v>30</v>
      </c>
      <c r="T3186" t="s">
        <v>2748</v>
      </c>
      <c r="U3186" t="s">
        <v>2749</v>
      </c>
      <c r="V3186" t="s">
        <v>39</v>
      </c>
      <c r="W3186" s="1">
        <v>1</v>
      </c>
    </row>
    <row r="3187" spans="1:23" x14ac:dyDescent="0.2">
      <c r="A3187" t="s">
        <v>2096</v>
      </c>
      <c r="B3187" t="s">
        <v>2097</v>
      </c>
      <c r="C3187" t="s">
        <v>2718</v>
      </c>
      <c r="D3187" t="s">
        <v>2730</v>
      </c>
      <c r="E3187" t="s">
        <v>2731</v>
      </c>
      <c r="F3187" t="s">
        <v>2732</v>
      </c>
      <c r="G3187" t="s">
        <v>49</v>
      </c>
      <c r="H3187" t="s">
        <v>30</v>
      </c>
      <c r="I3187" t="s">
        <v>30</v>
      </c>
      <c r="J3187" t="s">
        <v>57</v>
      </c>
      <c r="K3187" t="s">
        <v>32</v>
      </c>
      <c r="L3187" t="s">
        <v>32</v>
      </c>
      <c r="M3187" t="s">
        <v>33</v>
      </c>
      <c r="P3187" t="s">
        <v>34</v>
      </c>
      <c r="Q3187" t="s">
        <v>35</v>
      </c>
      <c r="S3187" t="s">
        <v>30</v>
      </c>
      <c r="T3187" t="s">
        <v>2748</v>
      </c>
      <c r="U3187" t="s">
        <v>2749</v>
      </c>
      <c r="V3187" t="s">
        <v>40</v>
      </c>
      <c r="W3187" s="1">
        <v>1457600</v>
      </c>
    </row>
    <row r="3188" spans="1:23" x14ac:dyDescent="0.2">
      <c r="A3188" t="s">
        <v>2096</v>
      </c>
      <c r="B3188" t="s">
        <v>2097</v>
      </c>
      <c r="C3188" t="s">
        <v>2718</v>
      </c>
      <c r="D3188" t="s">
        <v>2730</v>
      </c>
      <c r="E3188" t="s">
        <v>2731</v>
      </c>
      <c r="F3188" t="s">
        <v>2732</v>
      </c>
      <c r="G3188" t="s">
        <v>61</v>
      </c>
      <c r="H3188" t="s">
        <v>52</v>
      </c>
      <c r="I3188" t="s">
        <v>52</v>
      </c>
      <c r="J3188" t="s">
        <v>211</v>
      </c>
      <c r="K3188" t="s">
        <v>212</v>
      </c>
      <c r="L3188" t="s">
        <v>32</v>
      </c>
      <c r="M3188" t="s">
        <v>33</v>
      </c>
      <c r="P3188" t="s">
        <v>34</v>
      </c>
      <c r="Q3188" t="s">
        <v>35</v>
      </c>
      <c r="R3188" t="s">
        <v>215</v>
      </c>
      <c r="S3188" t="s">
        <v>52</v>
      </c>
      <c r="T3188" t="s">
        <v>2750</v>
      </c>
      <c r="U3188" t="s">
        <v>2751</v>
      </c>
      <c r="V3188" t="s">
        <v>39</v>
      </c>
      <c r="W3188" s="1">
        <v>0</v>
      </c>
    </row>
    <row r="3189" spans="1:23" x14ac:dyDescent="0.2">
      <c r="A3189" t="s">
        <v>2096</v>
      </c>
      <c r="B3189" t="s">
        <v>2097</v>
      </c>
      <c r="C3189" t="s">
        <v>2718</v>
      </c>
      <c r="D3189" t="s">
        <v>2730</v>
      </c>
      <c r="E3189" t="s">
        <v>2731</v>
      </c>
      <c r="F3189" t="s">
        <v>2732</v>
      </c>
      <c r="G3189" t="s">
        <v>61</v>
      </c>
      <c r="H3189" t="s">
        <v>52</v>
      </c>
      <c r="I3189" t="s">
        <v>52</v>
      </c>
      <c r="J3189" t="s">
        <v>211</v>
      </c>
      <c r="K3189" t="s">
        <v>212</v>
      </c>
      <c r="L3189" t="s">
        <v>32</v>
      </c>
      <c r="M3189" t="s">
        <v>33</v>
      </c>
      <c r="P3189" t="s">
        <v>34</v>
      </c>
      <c r="Q3189" t="s">
        <v>35</v>
      </c>
      <c r="R3189" t="s">
        <v>215</v>
      </c>
      <c r="S3189" t="s">
        <v>52</v>
      </c>
      <c r="T3189" t="s">
        <v>2750</v>
      </c>
      <c r="U3189" t="s">
        <v>2751</v>
      </c>
      <c r="V3189" t="s">
        <v>40</v>
      </c>
      <c r="W3189" s="1">
        <v>6956000</v>
      </c>
    </row>
    <row r="3190" spans="1:23" x14ac:dyDescent="0.2">
      <c r="A3190" t="s">
        <v>2096</v>
      </c>
      <c r="B3190" t="s">
        <v>2097</v>
      </c>
      <c r="C3190" t="s">
        <v>2718</v>
      </c>
      <c r="D3190" t="s">
        <v>2730</v>
      </c>
      <c r="E3190" t="s">
        <v>2731</v>
      </c>
      <c r="F3190" t="s">
        <v>2732</v>
      </c>
      <c r="G3190" t="s">
        <v>61</v>
      </c>
      <c r="H3190" t="s">
        <v>52</v>
      </c>
      <c r="I3190" t="s">
        <v>52</v>
      </c>
      <c r="J3190" t="s">
        <v>31</v>
      </c>
      <c r="K3190" t="s">
        <v>32</v>
      </c>
      <c r="L3190" t="s">
        <v>32</v>
      </c>
      <c r="M3190" t="s">
        <v>33</v>
      </c>
      <c r="P3190" t="s">
        <v>213</v>
      </c>
      <c r="Q3190" t="s">
        <v>214</v>
      </c>
      <c r="S3190" t="s">
        <v>52</v>
      </c>
      <c r="T3190" t="s">
        <v>2752</v>
      </c>
      <c r="U3190" t="s">
        <v>2753</v>
      </c>
      <c r="V3190" t="s">
        <v>39</v>
      </c>
      <c r="W3190" s="1">
        <v>0</v>
      </c>
    </row>
    <row r="3191" spans="1:23" x14ac:dyDescent="0.2">
      <c r="A3191" t="s">
        <v>2096</v>
      </c>
      <c r="B3191" t="s">
        <v>2097</v>
      </c>
      <c r="C3191" t="s">
        <v>2718</v>
      </c>
      <c r="D3191" t="s">
        <v>2730</v>
      </c>
      <c r="E3191" t="s">
        <v>2731</v>
      </c>
      <c r="F3191" t="s">
        <v>2732</v>
      </c>
      <c r="G3191" t="s">
        <v>61</v>
      </c>
      <c r="H3191" t="s">
        <v>52</v>
      </c>
      <c r="I3191" t="s">
        <v>52</v>
      </c>
      <c r="J3191" t="s">
        <v>31</v>
      </c>
      <c r="K3191" t="s">
        <v>32</v>
      </c>
      <c r="L3191" t="s">
        <v>32</v>
      </c>
      <c r="M3191" t="s">
        <v>33</v>
      </c>
      <c r="P3191" t="s">
        <v>213</v>
      </c>
      <c r="Q3191" t="s">
        <v>214</v>
      </c>
      <c r="S3191" t="s">
        <v>52</v>
      </c>
      <c r="T3191" t="s">
        <v>2752</v>
      </c>
      <c r="U3191" t="s">
        <v>2753</v>
      </c>
      <c r="V3191" t="s">
        <v>40</v>
      </c>
      <c r="W3191" s="1">
        <v>2156000</v>
      </c>
    </row>
    <row r="3192" spans="1:23" x14ac:dyDescent="0.2">
      <c r="A3192" t="s">
        <v>2096</v>
      </c>
      <c r="B3192" t="s">
        <v>2097</v>
      </c>
      <c r="C3192" t="s">
        <v>2718</v>
      </c>
      <c r="D3192" t="s">
        <v>2730</v>
      </c>
      <c r="E3192" t="s">
        <v>2731</v>
      </c>
      <c r="F3192" t="s">
        <v>2732</v>
      </c>
      <c r="G3192" t="s">
        <v>170</v>
      </c>
      <c r="H3192" t="s">
        <v>52</v>
      </c>
      <c r="I3192" t="s">
        <v>30</v>
      </c>
      <c r="J3192" t="s">
        <v>41</v>
      </c>
      <c r="K3192" t="s">
        <v>32</v>
      </c>
      <c r="L3192" t="s">
        <v>32</v>
      </c>
      <c r="M3192" t="s">
        <v>33</v>
      </c>
      <c r="P3192" t="s">
        <v>34</v>
      </c>
      <c r="Q3192" t="s">
        <v>35</v>
      </c>
      <c r="R3192" t="s">
        <v>58</v>
      </c>
      <c r="S3192" t="s">
        <v>52</v>
      </c>
      <c r="T3192" t="s">
        <v>2754</v>
      </c>
      <c r="U3192" t="s">
        <v>2755</v>
      </c>
      <c r="V3192" t="s">
        <v>39</v>
      </c>
      <c r="W3192" s="1">
        <v>0</v>
      </c>
    </row>
    <row r="3193" spans="1:23" x14ac:dyDescent="0.2">
      <c r="A3193" t="s">
        <v>2096</v>
      </c>
      <c r="B3193" t="s">
        <v>2097</v>
      </c>
      <c r="C3193" t="s">
        <v>2718</v>
      </c>
      <c r="D3193" t="s">
        <v>2730</v>
      </c>
      <c r="E3193" t="s">
        <v>2731</v>
      </c>
      <c r="F3193" t="s">
        <v>2732</v>
      </c>
      <c r="G3193" t="s">
        <v>170</v>
      </c>
      <c r="H3193" t="s">
        <v>52</v>
      </c>
      <c r="I3193" t="s">
        <v>30</v>
      </c>
      <c r="J3193" t="s">
        <v>41</v>
      </c>
      <c r="K3193" t="s">
        <v>32</v>
      </c>
      <c r="L3193" t="s">
        <v>32</v>
      </c>
      <c r="M3193" t="s">
        <v>33</v>
      </c>
      <c r="P3193" t="s">
        <v>34</v>
      </c>
      <c r="Q3193" t="s">
        <v>35</v>
      </c>
      <c r="R3193" t="s">
        <v>58</v>
      </c>
      <c r="S3193" t="s">
        <v>52</v>
      </c>
      <c r="T3193" t="s">
        <v>2754</v>
      </c>
      <c r="U3193" t="s">
        <v>2755</v>
      </c>
      <c r="V3193" t="s">
        <v>40</v>
      </c>
      <c r="W3193" s="1">
        <v>2599800</v>
      </c>
    </row>
    <row r="3194" spans="1:23" x14ac:dyDescent="0.2">
      <c r="A3194" t="s">
        <v>2096</v>
      </c>
      <c r="B3194" t="s">
        <v>2097</v>
      </c>
      <c r="C3194" t="s">
        <v>2718</v>
      </c>
      <c r="D3194" t="s">
        <v>2730</v>
      </c>
      <c r="E3194" t="s">
        <v>2731</v>
      </c>
      <c r="F3194" t="s">
        <v>2732</v>
      </c>
      <c r="G3194" t="s">
        <v>170</v>
      </c>
      <c r="H3194" t="s">
        <v>52</v>
      </c>
      <c r="I3194" t="s">
        <v>30</v>
      </c>
      <c r="J3194" t="s">
        <v>57</v>
      </c>
      <c r="K3194" t="s">
        <v>32</v>
      </c>
      <c r="L3194" t="s">
        <v>332</v>
      </c>
      <c r="M3194" t="s">
        <v>33</v>
      </c>
      <c r="N3194" t="s">
        <v>33</v>
      </c>
      <c r="O3194" t="s">
        <v>33</v>
      </c>
      <c r="P3194" t="s">
        <v>34</v>
      </c>
      <c r="Q3194" t="s">
        <v>35</v>
      </c>
      <c r="S3194" t="s">
        <v>30</v>
      </c>
      <c r="T3194" t="s">
        <v>2756</v>
      </c>
      <c r="U3194" t="s">
        <v>2757</v>
      </c>
      <c r="V3194" t="s">
        <v>39</v>
      </c>
      <c r="W3194" s="1">
        <v>1</v>
      </c>
    </row>
    <row r="3195" spans="1:23" x14ac:dyDescent="0.2">
      <c r="A3195" t="s">
        <v>2096</v>
      </c>
      <c r="B3195" t="s">
        <v>2097</v>
      </c>
      <c r="C3195" t="s">
        <v>2718</v>
      </c>
      <c r="D3195" t="s">
        <v>2730</v>
      </c>
      <c r="E3195" t="s">
        <v>2731</v>
      </c>
      <c r="F3195" t="s">
        <v>2732</v>
      </c>
      <c r="G3195" t="s">
        <v>170</v>
      </c>
      <c r="H3195" t="s">
        <v>52</v>
      </c>
      <c r="I3195" t="s">
        <v>30</v>
      </c>
      <c r="J3195" t="s">
        <v>57</v>
      </c>
      <c r="K3195" t="s">
        <v>32</v>
      </c>
      <c r="L3195" t="s">
        <v>332</v>
      </c>
      <c r="M3195" t="s">
        <v>33</v>
      </c>
      <c r="N3195" t="s">
        <v>33</v>
      </c>
      <c r="O3195" t="s">
        <v>33</v>
      </c>
      <c r="P3195" t="s">
        <v>34</v>
      </c>
      <c r="Q3195" t="s">
        <v>35</v>
      </c>
      <c r="S3195" t="s">
        <v>30</v>
      </c>
      <c r="T3195" t="s">
        <v>2756</v>
      </c>
      <c r="U3195" t="s">
        <v>2757</v>
      </c>
      <c r="V3195" t="s">
        <v>40</v>
      </c>
      <c r="W3195" s="1">
        <v>980000</v>
      </c>
    </row>
    <row r="3196" spans="1:23" x14ac:dyDescent="0.2">
      <c r="A3196" t="s">
        <v>2096</v>
      </c>
      <c r="B3196" t="s">
        <v>2097</v>
      </c>
      <c r="C3196" t="s">
        <v>2718</v>
      </c>
      <c r="D3196" t="s">
        <v>2730</v>
      </c>
      <c r="E3196" t="s">
        <v>2731</v>
      </c>
      <c r="F3196" t="s">
        <v>2732</v>
      </c>
      <c r="G3196" t="s">
        <v>170</v>
      </c>
      <c r="H3196" t="s">
        <v>52</v>
      </c>
      <c r="I3196" t="s">
        <v>30</v>
      </c>
      <c r="J3196" t="s">
        <v>57</v>
      </c>
      <c r="K3196" t="s">
        <v>32</v>
      </c>
      <c r="L3196" t="s">
        <v>32</v>
      </c>
      <c r="M3196" t="s">
        <v>33</v>
      </c>
      <c r="N3196" t="s">
        <v>33</v>
      </c>
      <c r="O3196" t="s">
        <v>33</v>
      </c>
      <c r="P3196" t="s">
        <v>34</v>
      </c>
      <c r="Q3196" t="s">
        <v>35</v>
      </c>
      <c r="S3196" t="s">
        <v>30</v>
      </c>
      <c r="T3196" t="s">
        <v>2756</v>
      </c>
      <c r="U3196" t="s">
        <v>2757</v>
      </c>
      <c r="V3196" t="s">
        <v>39</v>
      </c>
      <c r="W3196" s="1">
        <v>1</v>
      </c>
    </row>
    <row r="3197" spans="1:23" x14ac:dyDescent="0.2">
      <c r="A3197" t="s">
        <v>2096</v>
      </c>
      <c r="B3197" t="s">
        <v>2097</v>
      </c>
      <c r="C3197" t="s">
        <v>2718</v>
      </c>
      <c r="D3197" t="s">
        <v>2730</v>
      </c>
      <c r="E3197" t="s">
        <v>2731</v>
      </c>
      <c r="F3197" t="s">
        <v>2732</v>
      </c>
      <c r="G3197" t="s">
        <v>170</v>
      </c>
      <c r="H3197" t="s">
        <v>52</v>
      </c>
      <c r="I3197" t="s">
        <v>30</v>
      </c>
      <c r="J3197" t="s">
        <v>57</v>
      </c>
      <c r="K3197" t="s">
        <v>32</v>
      </c>
      <c r="L3197" t="s">
        <v>32</v>
      </c>
      <c r="M3197" t="s">
        <v>33</v>
      </c>
      <c r="N3197" t="s">
        <v>33</v>
      </c>
      <c r="O3197" t="s">
        <v>33</v>
      </c>
      <c r="P3197" t="s">
        <v>34</v>
      </c>
      <c r="Q3197" t="s">
        <v>35</v>
      </c>
      <c r="S3197" t="s">
        <v>30</v>
      </c>
      <c r="T3197" t="s">
        <v>2756</v>
      </c>
      <c r="U3197" t="s">
        <v>2757</v>
      </c>
      <c r="V3197" t="s">
        <v>40</v>
      </c>
      <c r="W3197" s="1">
        <v>1779900</v>
      </c>
    </row>
    <row r="3198" spans="1:23" x14ac:dyDescent="0.2">
      <c r="A3198" t="s">
        <v>2096</v>
      </c>
      <c r="B3198" t="s">
        <v>2097</v>
      </c>
      <c r="C3198" t="s">
        <v>2718</v>
      </c>
      <c r="D3198" t="s">
        <v>2730</v>
      </c>
      <c r="E3198" t="s">
        <v>2731</v>
      </c>
      <c r="F3198" t="s">
        <v>2732</v>
      </c>
      <c r="G3198" t="s">
        <v>64</v>
      </c>
      <c r="H3198" t="s">
        <v>30</v>
      </c>
      <c r="I3198" t="s">
        <v>52</v>
      </c>
      <c r="J3198" t="s">
        <v>31</v>
      </c>
      <c r="K3198" t="s">
        <v>32</v>
      </c>
      <c r="L3198" t="s">
        <v>32</v>
      </c>
      <c r="M3198" t="s">
        <v>33</v>
      </c>
      <c r="N3198" t="s">
        <v>33</v>
      </c>
      <c r="O3198" t="s">
        <v>33</v>
      </c>
      <c r="P3198" t="s">
        <v>34</v>
      </c>
      <c r="Q3198" t="s">
        <v>35</v>
      </c>
      <c r="S3198" t="s">
        <v>30</v>
      </c>
      <c r="T3198" t="s">
        <v>2758</v>
      </c>
      <c r="U3198" t="s">
        <v>2759</v>
      </c>
      <c r="V3198" t="s">
        <v>39</v>
      </c>
      <c r="W3198" s="1">
        <v>2</v>
      </c>
    </row>
    <row r="3199" spans="1:23" x14ac:dyDescent="0.2">
      <c r="A3199" t="s">
        <v>2096</v>
      </c>
      <c r="B3199" t="s">
        <v>2097</v>
      </c>
      <c r="C3199" t="s">
        <v>2718</v>
      </c>
      <c r="D3199" t="s">
        <v>2730</v>
      </c>
      <c r="E3199" t="s">
        <v>2731</v>
      </c>
      <c r="F3199" t="s">
        <v>2732</v>
      </c>
      <c r="G3199" t="s">
        <v>64</v>
      </c>
      <c r="H3199" t="s">
        <v>30</v>
      </c>
      <c r="I3199" t="s">
        <v>52</v>
      </c>
      <c r="J3199" t="s">
        <v>31</v>
      </c>
      <c r="K3199" t="s">
        <v>32</v>
      </c>
      <c r="L3199" t="s">
        <v>32</v>
      </c>
      <c r="M3199" t="s">
        <v>33</v>
      </c>
      <c r="N3199" t="s">
        <v>33</v>
      </c>
      <c r="O3199" t="s">
        <v>33</v>
      </c>
      <c r="P3199" t="s">
        <v>34</v>
      </c>
      <c r="Q3199" t="s">
        <v>35</v>
      </c>
      <c r="S3199" t="s">
        <v>30</v>
      </c>
      <c r="T3199" t="s">
        <v>2758</v>
      </c>
      <c r="U3199" t="s">
        <v>2759</v>
      </c>
      <c r="V3199" t="s">
        <v>40</v>
      </c>
      <c r="W3199" s="1">
        <v>333800</v>
      </c>
    </row>
    <row r="3200" spans="1:23" x14ac:dyDescent="0.2">
      <c r="A3200" t="s">
        <v>2096</v>
      </c>
      <c r="B3200" t="s">
        <v>2097</v>
      </c>
      <c r="C3200" t="s">
        <v>2718</v>
      </c>
      <c r="D3200" t="s">
        <v>2730</v>
      </c>
      <c r="E3200" t="s">
        <v>2731</v>
      </c>
      <c r="F3200" t="s">
        <v>2732</v>
      </c>
      <c r="G3200" t="s">
        <v>64</v>
      </c>
      <c r="H3200" t="s">
        <v>30</v>
      </c>
      <c r="I3200" t="s">
        <v>52</v>
      </c>
      <c r="J3200" t="s">
        <v>41</v>
      </c>
      <c r="K3200" t="s">
        <v>32</v>
      </c>
      <c r="L3200" t="s">
        <v>32</v>
      </c>
      <c r="M3200" t="s">
        <v>33</v>
      </c>
      <c r="N3200" t="s">
        <v>33</v>
      </c>
      <c r="O3200" t="s">
        <v>33</v>
      </c>
      <c r="P3200" t="s">
        <v>34</v>
      </c>
      <c r="Q3200" t="s">
        <v>35</v>
      </c>
      <c r="R3200" t="s">
        <v>58</v>
      </c>
      <c r="S3200" t="s">
        <v>30</v>
      </c>
      <c r="T3200" t="s">
        <v>2760</v>
      </c>
      <c r="U3200" t="s">
        <v>2761</v>
      </c>
      <c r="V3200" t="s">
        <v>39</v>
      </c>
      <c r="W3200" s="1">
        <v>4</v>
      </c>
    </row>
    <row r="3201" spans="1:23" x14ac:dyDescent="0.2">
      <c r="A3201" t="s">
        <v>2096</v>
      </c>
      <c r="B3201" t="s">
        <v>2097</v>
      </c>
      <c r="C3201" t="s">
        <v>2718</v>
      </c>
      <c r="D3201" t="s">
        <v>2730</v>
      </c>
      <c r="E3201" t="s">
        <v>2731</v>
      </c>
      <c r="F3201" t="s">
        <v>2732</v>
      </c>
      <c r="G3201" t="s">
        <v>64</v>
      </c>
      <c r="H3201" t="s">
        <v>30</v>
      </c>
      <c r="I3201" t="s">
        <v>52</v>
      </c>
      <c r="J3201" t="s">
        <v>41</v>
      </c>
      <c r="K3201" t="s">
        <v>32</v>
      </c>
      <c r="L3201" t="s">
        <v>32</v>
      </c>
      <c r="M3201" t="s">
        <v>33</v>
      </c>
      <c r="N3201" t="s">
        <v>33</v>
      </c>
      <c r="O3201" t="s">
        <v>33</v>
      </c>
      <c r="P3201" t="s">
        <v>34</v>
      </c>
      <c r="Q3201" t="s">
        <v>35</v>
      </c>
      <c r="R3201" t="s">
        <v>58</v>
      </c>
      <c r="S3201" t="s">
        <v>30</v>
      </c>
      <c r="T3201" t="s">
        <v>2760</v>
      </c>
      <c r="U3201" t="s">
        <v>2761</v>
      </c>
      <c r="V3201" t="s">
        <v>40</v>
      </c>
      <c r="W3201" s="1">
        <v>4876800</v>
      </c>
    </row>
    <row r="3202" spans="1:23" x14ac:dyDescent="0.2">
      <c r="A3202" t="s">
        <v>2096</v>
      </c>
      <c r="B3202" t="s">
        <v>2097</v>
      </c>
      <c r="C3202" t="s">
        <v>2718</v>
      </c>
      <c r="D3202" t="s">
        <v>2730</v>
      </c>
      <c r="E3202" t="s">
        <v>2731</v>
      </c>
      <c r="F3202" t="s">
        <v>2732</v>
      </c>
      <c r="G3202" t="s">
        <v>64</v>
      </c>
      <c r="H3202" t="s">
        <v>30</v>
      </c>
      <c r="I3202" t="s">
        <v>52</v>
      </c>
      <c r="J3202" t="s">
        <v>41</v>
      </c>
      <c r="K3202" t="s">
        <v>32</v>
      </c>
      <c r="L3202" t="s">
        <v>32</v>
      </c>
      <c r="M3202" t="s">
        <v>33</v>
      </c>
      <c r="N3202" t="s">
        <v>33</v>
      </c>
      <c r="O3202" t="s">
        <v>33</v>
      </c>
      <c r="P3202" t="s">
        <v>42</v>
      </c>
      <c r="Q3202" t="s">
        <v>43</v>
      </c>
      <c r="R3202" t="s">
        <v>162</v>
      </c>
      <c r="S3202" t="s">
        <v>30</v>
      </c>
      <c r="T3202" t="s">
        <v>2762</v>
      </c>
      <c r="U3202" t="s">
        <v>2763</v>
      </c>
      <c r="V3202" t="s">
        <v>39</v>
      </c>
      <c r="W3202" s="1">
        <v>2</v>
      </c>
    </row>
    <row r="3203" spans="1:23" x14ac:dyDescent="0.2">
      <c r="A3203" t="s">
        <v>2096</v>
      </c>
      <c r="B3203" t="s">
        <v>2097</v>
      </c>
      <c r="C3203" t="s">
        <v>2718</v>
      </c>
      <c r="D3203" t="s">
        <v>2730</v>
      </c>
      <c r="E3203" t="s">
        <v>2731</v>
      </c>
      <c r="F3203" t="s">
        <v>2732</v>
      </c>
      <c r="G3203" t="s">
        <v>64</v>
      </c>
      <c r="H3203" t="s">
        <v>30</v>
      </c>
      <c r="I3203" t="s">
        <v>52</v>
      </c>
      <c r="J3203" t="s">
        <v>41</v>
      </c>
      <c r="K3203" t="s">
        <v>32</v>
      </c>
      <c r="L3203" t="s">
        <v>32</v>
      </c>
      <c r="M3203" t="s">
        <v>33</v>
      </c>
      <c r="N3203" t="s">
        <v>33</v>
      </c>
      <c r="O3203" t="s">
        <v>33</v>
      </c>
      <c r="P3203" t="s">
        <v>42</v>
      </c>
      <c r="Q3203" t="s">
        <v>43</v>
      </c>
      <c r="R3203" t="s">
        <v>162</v>
      </c>
      <c r="S3203" t="s">
        <v>30</v>
      </c>
      <c r="T3203" t="s">
        <v>2762</v>
      </c>
      <c r="U3203" t="s">
        <v>2763</v>
      </c>
      <c r="V3203" t="s">
        <v>40</v>
      </c>
      <c r="W3203" s="1">
        <v>6793200</v>
      </c>
    </row>
    <row r="3204" spans="1:23" x14ac:dyDescent="0.2">
      <c r="A3204" t="s">
        <v>2096</v>
      </c>
      <c r="B3204" t="s">
        <v>2097</v>
      </c>
      <c r="C3204" t="s">
        <v>2718</v>
      </c>
      <c r="D3204" t="s">
        <v>2730</v>
      </c>
      <c r="E3204" t="s">
        <v>2731</v>
      </c>
      <c r="F3204" t="s">
        <v>2732</v>
      </c>
      <c r="G3204" t="s">
        <v>67</v>
      </c>
      <c r="H3204" t="s">
        <v>30</v>
      </c>
      <c r="I3204" t="s">
        <v>30</v>
      </c>
      <c r="J3204" t="s">
        <v>211</v>
      </c>
      <c r="K3204" t="s">
        <v>212</v>
      </c>
      <c r="L3204" t="s">
        <v>32</v>
      </c>
      <c r="M3204" t="s">
        <v>33</v>
      </c>
      <c r="P3204" t="s">
        <v>34</v>
      </c>
      <c r="Q3204" t="s">
        <v>35</v>
      </c>
      <c r="R3204" t="s">
        <v>242</v>
      </c>
      <c r="S3204" t="s">
        <v>52</v>
      </c>
      <c r="T3204" t="s">
        <v>2764</v>
      </c>
      <c r="U3204" t="s">
        <v>2765</v>
      </c>
      <c r="V3204" t="s">
        <v>39</v>
      </c>
      <c r="W3204" s="1">
        <v>0</v>
      </c>
    </row>
    <row r="3205" spans="1:23" x14ac:dyDescent="0.2">
      <c r="A3205" t="s">
        <v>2096</v>
      </c>
      <c r="B3205" t="s">
        <v>2097</v>
      </c>
      <c r="C3205" t="s">
        <v>2718</v>
      </c>
      <c r="D3205" t="s">
        <v>2730</v>
      </c>
      <c r="E3205" t="s">
        <v>2731</v>
      </c>
      <c r="F3205" t="s">
        <v>2732</v>
      </c>
      <c r="G3205" t="s">
        <v>67</v>
      </c>
      <c r="H3205" t="s">
        <v>30</v>
      </c>
      <c r="I3205" t="s">
        <v>30</v>
      </c>
      <c r="J3205" t="s">
        <v>211</v>
      </c>
      <c r="K3205" t="s">
        <v>212</v>
      </c>
      <c r="L3205" t="s">
        <v>32</v>
      </c>
      <c r="M3205" t="s">
        <v>33</v>
      </c>
      <c r="P3205" t="s">
        <v>34</v>
      </c>
      <c r="Q3205" t="s">
        <v>35</v>
      </c>
      <c r="R3205" t="s">
        <v>242</v>
      </c>
      <c r="S3205" t="s">
        <v>52</v>
      </c>
      <c r="T3205" t="s">
        <v>2764</v>
      </c>
      <c r="U3205" t="s">
        <v>2765</v>
      </c>
      <c r="V3205" t="s">
        <v>40</v>
      </c>
      <c r="W3205" s="1">
        <v>6559600</v>
      </c>
    </row>
    <row r="3206" spans="1:23" x14ac:dyDescent="0.2">
      <c r="A3206" t="s">
        <v>2096</v>
      </c>
      <c r="B3206" t="s">
        <v>2097</v>
      </c>
      <c r="C3206" t="s">
        <v>2718</v>
      </c>
      <c r="D3206" t="s">
        <v>2730</v>
      </c>
      <c r="E3206" t="s">
        <v>2731</v>
      </c>
      <c r="F3206" t="s">
        <v>2732</v>
      </c>
      <c r="G3206" t="s">
        <v>67</v>
      </c>
      <c r="H3206" t="s">
        <v>30</v>
      </c>
      <c r="I3206" t="s">
        <v>30</v>
      </c>
      <c r="J3206" t="s">
        <v>211</v>
      </c>
      <c r="K3206" t="s">
        <v>212</v>
      </c>
      <c r="L3206" t="s">
        <v>32</v>
      </c>
      <c r="M3206" t="s">
        <v>33</v>
      </c>
      <c r="P3206" t="s">
        <v>34</v>
      </c>
      <c r="Q3206" t="s">
        <v>35</v>
      </c>
      <c r="R3206" t="s">
        <v>215</v>
      </c>
      <c r="S3206" t="s">
        <v>52</v>
      </c>
      <c r="T3206" t="s">
        <v>2766</v>
      </c>
      <c r="U3206" t="s">
        <v>2767</v>
      </c>
      <c r="V3206" t="s">
        <v>39</v>
      </c>
      <c r="W3206" s="1">
        <v>0</v>
      </c>
    </row>
    <row r="3207" spans="1:23" x14ac:dyDescent="0.2">
      <c r="A3207" t="s">
        <v>2096</v>
      </c>
      <c r="B3207" t="s">
        <v>2097</v>
      </c>
      <c r="C3207" t="s">
        <v>2718</v>
      </c>
      <c r="D3207" t="s">
        <v>2730</v>
      </c>
      <c r="E3207" t="s">
        <v>2731</v>
      </c>
      <c r="F3207" t="s">
        <v>2732</v>
      </c>
      <c r="G3207" t="s">
        <v>67</v>
      </c>
      <c r="H3207" t="s">
        <v>30</v>
      </c>
      <c r="I3207" t="s">
        <v>30</v>
      </c>
      <c r="J3207" t="s">
        <v>211</v>
      </c>
      <c r="K3207" t="s">
        <v>212</v>
      </c>
      <c r="L3207" t="s">
        <v>32</v>
      </c>
      <c r="M3207" t="s">
        <v>33</v>
      </c>
      <c r="P3207" t="s">
        <v>34</v>
      </c>
      <c r="Q3207" t="s">
        <v>35</v>
      </c>
      <c r="R3207" t="s">
        <v>215</v>
      </c>
      <c r="S3207" t="s">
        <v>52</v>
      </c>
      <c r="T3207" t="s">
        <v>2766</v>
      </c>
      <c r="U3207" t="s">
        <v>2767</v>
      </c>
      <c r="V3207" t="s">
        <v>40</v>
      </c>
      <c r="W3207" s="1">
        <v>7719600</v>
      </c>
    </row>
    <row r="3208" spans="1:23" x14ac:dyDescent="0.2">
      <c r="A3208" t="s">
        <v>2096</v>
      </c>
      <c r="B3208" t="s">
        <v>2097</v>
      </c>
      <c r="C3208" t="s">
        <v>2718</v>
      </c>
      <c r="D3208" t="s">
        <v>2730</v>
      </c>
      <c r="E3208" t="s">
        <v>2731</v>
      </c>
      <c r="F3208" t="s">
        <v>2732</v>
      </c>
      <c r="G3208" t="s">
        <v>67</v>
      </c>
      <c r="H3208" t="s">
        <v>30</v>
      </c>
      <c r="I3208" t="s">
        <v>30</v>
      </c>
      <c r="J3208" t="s">
        <v>31</v>
      </c>
      <c r="K3208" t="s">
        <v>32</v>
      </c>
      <c r="L3208" t="s">
        <v>32</v>
      </c>
      <c r="M3208" t="s">
        <v>33</v>
      </c>
      <c r="N3208" t="s">
        <v>33</v>
      </c>
      <c r="O3208" t="s">
        <v>33</v>
      </c>
      <c r="P3208" t="s">
        <v>213</v>
      </c>
      <c r="Q3208" t="s">
        <v>214</v>
      </c>
      <c r="R3208" t="s">
        <v>228</v>
      </c>
      <c r="S3208" t="s">
        <v>30</v>
      </c>
      <c r="T3208" t="s">
        <v>2768</v>
      </c>
      <c r="U3208" t="s">
        <v>2769</v>
      </c>
      <c r="V3208" t="s">
        <v>39</v>
      </c>
      <c r="W3208" s="1">
        <v>2</v>
      </c>
    </row>
    <row r="3209" spans="1:23" x14ac:dyDescent="0.2">
      <c r="A3209" t="s">
        <v>2096</v>
      </c>
      <c r="B3209" t="s">
        <v>2097</v>
      </c>
      <c r="C3209" t="s">
        <v>2718</v>
      </c>
      <c r="D3209" t="s">
        <v>2730</v>
      </c>
      <c r="E3209" t="s">
        <v>2731</v>
      </c>
      <c r="F3209" t="s">
        <v>2732</v>
      </c>
      <c r="G3209" t="s">
        <v>67</v>
      </c>
      <c r="H3209" t="s">
        <v>30</v>
      </c>
      <c r="I3209" t="s">
        <v>30</v>
      </c>
      <c r="J3209" t="s">
        <v>31</v>
      </c>
      <c r="K3209" t="s">
        <v>32</v>
      </c>
      <c r="L3209" t="s">
        <v>32</v>
      </c>
      <c r="M3209" t="s">
        <v>33</v>
      </c>
      <c r="N3209" t="s">
        <v>33</v>
      </c>
      <c r="O3209" t="s">
        <v>33</v>
      </c>
      <c r="P3209" t="s">
        <v>213</v>
      </c>
      <c r="Q3209" t="s">
        <v>214</v>
      </c>
      <c r="R3209" t="s">
        <v>228</v>
      </c>
      <c r="S3209" t="s">
        <v>30</v>
      </c>
      <c r="T3209" t="s">
        <v>2768</v>
      </c>
      <c r="U3209" t="s">
        <v>2769</v>
      </c>
      <c r="V3209" t="s">
        <v>40</v>
      </c>
      <c r="W3209" s="1">
        <v>1178000</v>
      </c>
    </row>
    <row r="3210" spans="1:23" x14ac:dyDescent="0.2">
      <c r="A3210" t="s">
        <v>2096</v>
      </c>
      <c r="B3210" t="s">
        <v>2097</v>
      </c>
      <c r="C3210" t="s">
        <v>2718</v>
      </c>
      <c r="D3210" t="s">
        <v>2730</v>
      </c>
      <c r="E3210" t="s">
        <v>2731</v>
      </c>
      <c r="F3210" t="s">
        <v>2732</v>
      </c>
      <c r="G3210" t="s">
        <v>67</v>
      </c>
      <c r="H3210" t="s">
        <v>30</v>
      </c>
      <c r="I3210" t="s">
        <v>30</v>
      </c>
      <c r="J3210" t="s">
        <v>31</v>
      </c>
      <c r="K3210" t="s">
        <v>32</v>
      </c>
      <c r="L3210" t="s">
        <v>32</v>
      </c>
      <c r="M3210" t="s">
        <v>33</v>
      </c>
      <c r="N3210" t="s">
        <v>33</v>
      </c>
      <c r="O3210" t="s">
        <v>33</v>
      </c>
      <c r="P3210" t="s">
        <v>213</v>
      </c>
      <c r="Q3210" t="s">
        <v>214</v>
      </c>
      <c r="S3210" t="s">
        <v>30</v>
      </c>
      <c r="T3210" t="s">
        <v>2770</v>
      </c>
      <c r="U3210" t="s">
        <v>2771</v>
      </c>
      <c r="V3210" t="s">
        <v>39</v>
      </c>
      <c r="W3210" s="1">
        <v>5</v>
      </c>
    </row>
    <row r="3211" spans="1:23" x14ac:dyDescent="0.2">
      <c r="A3211" t="s">
        <v>2096</v>
      </c>
      <c r="B3211" t="s">
        <v>2097</v>
      </c>
      <c r="C3211" t="s">
        <v>2718</v>
      </c>
      <c r="D3211" t="s">
        <v>2730</v>
      </c>
      <c r="E3211" t="s">
        <v>2731</v>
      </c>
      <c r="F3211" t="s">
        <v>2732</v>
      </c>
      <c r="G3211" t="s">
        <v>67</v>
      </c>
      <c r="H3211" t="s">
        <v>30</v>
      </c>
      <c r="I3211" t="s">
        <v>30</v>
      </c>
      <c r="J3211" t="s">
        <v>31</v>
      </c>
      <c r="K3211" t="s">
        <v>32</v>
      </c>
      <c r="L3211" t="s">
        <v>32</v>
      </c>
      <c r="M3211" t="s">
        <v>33</v>
      </c>
      <c r="N3211" t="s">
        <v>33</v>
      </c>
      <c r="O3211" t="s">
        <v>33</v>
      </c>
      <c r="P3211" t="s">
        <v>213</v>
      </c>
      <c r="Q3211" t="s">
        <v>214</v>
      </c>
      <c r="S3211" t="s">
        <v>30</v>
      </c>
      <c r="T3211" t="s">
        <v>2770</v>
      </c>
      <c r="U3211" t="s">
        <v>2771</v>
      </c>
      <c r="V3211" t="s">
        <v>40</v>
      </c>
      <c r="W3211" s="1">
        <v>4014500</v>
      </c>
    </row>
    <row r="3212" spans="1:23" x14ac:dyDescent="0.2">
      <c r="A3212" t="s">
        <v>2096</v>
      </c>
      <c r="B3212" t="s">
        <v>2097</v>
      </c>
      <c r="C3212" t="s">
        <v>2718</v>
      </c>
      <c r="D3212" t="s">
        <v>2730</v>
      </c>
      <c r="E3212" t="s">
        <v>2731</v>
      </c>
      <c r="F3212" t="s">
        <v>2732</v>
      </c>
      <c r="G3212" t="s">
        <v>67</v>
      </c>
      <c r="H3212" t="s">
        <v>30</v>
      </c>
      <c r="I3212" t="s">
        <v>30</v>
      </c>
      <c r="J3212" t="s">
        <v>31</v>
      </c>
      <c r="K3212" t="s">
        <v>32</v>
      </c>
      <c r="L3212" t="s">
        <v>32</v>
      </c>
      <c r="M3212" t="s">
        <v>33</v>
      </c>
      <c r="N3212" t="s">
        <v>33</v>
      </c>
      <c r="O3212" t="s">
        <v>33</v>
      </c>
      <c r="P3212" t="s">
        <v>34</v>
      </c>
      <c r="Q3212" t="s">
        <v>35</v>
      </c>
      <c r="S3212" t="s">
        <v>30</v>
      </c>
      <c r="T3212" t="s">
        <v>2772</v>
      </c>
      <c r="U3212" t="s">
        <v>2773</v>
      </c>
      <c r="V3212" t="s">
        <v>39</v>
      </c>
      <c r="W3212" s="1">
        <v>2</v>
      </c>
    </row>
    <row r="3213" spans="1:23" x14ac:dyDescent="0.2">
      <c r="A3213" t="s">
        <v>2096</v>
      </c>
      <c r="B3213" t="s">
        <v>2097</v>
      </c>
      <c r="C3213" t="s">
        <v>2718</v>
      </c>
      <c r="D3213" t="s">
        <v>2730</v>
      </c>
      <c r="E3213" t="s">
        <v>2731</v>
      </c>
      <c r="F3213" t="s">
        <v>2732</v>
      </c>
      <c r="G3213" t="s">
        <v>67</v>
      </c>
      <c r="H3213" t="s">
        <v>30</v>
      </c>
      <c r="I3213" t="s">
        <v>30</v>
      </c>
      <c r="J3213" t="s">
        <v>31</v>
      </c>
      <c r="K3213" t="s">
        <v>32</v>
      </c>
      <c r="L3213" t="s">
        <v>32</v>
      </c>
      <c r="M3213" t="s">
        <v>33</v>
      </c>
      <c r="N3213" t="s">
        <v>33</v>
      </c>
      <c r="O3213" t="s">
        <v>33</v>
      </c>
      <c r="P3213" t="s">
        <v>34</v>
      </c>
      <c r="Q3213" t="s">
        <v>35</v>
      </c>
      <c r="S3213" t="s">
        <v>30</v>
      </c>
      <c r="T3213" t="s">
        <v>2772</v>
      </c>
      <c r="U3213" t="s">
        <v>2773</v>
      </c>
      <c r="V3213" t="s">
        <v>40</v>
      </c>
      <c r="W3213" s="1">
        <v>1499800</v>
      </c>
    </row>
    <row r="3214" spans="1:23" x14ac:dyDescent="0.2">
      <c r="A3214" t="s">
        <v>2096</v>
      </c>
      <c r="B3214" t="s">
        <v>2097</v>
      </c>
      <c r="C3214" t="s">
        <v>2718</v>
      </c>
      <c r="D3214" t="s">
        <v>2730</v>
      </c>
      <c r="E3214" t="s">
        <v>2731</v>
      </c>
      <c r="F3214" t="s">
        <v>2732</v>
      </c>
      <c r="G3214" t="s">
        <v>67</v>
      </c>
      <c r="H3214" t="s">
        <v>30</v>
      </c>
      <c r="I3214" t="s">
        <v>30</v>
      </c>
      <c r="J3214" t="s">
        <v>31</v>
      </c>
      <c r="K3214" t="s">
        <v>32</v>
      </c>
      <c r="L3214" t="s">
        <v>32</v>
      </c>
      <c r="M3214" t="s">
        <v>33</v>
      </c>
      <c r="N3214" t="s">
        <v>176</v>
      </c>
      <c r="O3214" t="s">
        <v>176</v>
      </c>
      <c r="P3214" t="s">
        <v>213</v>
      </c>
      <c r="Q3214" t="s">
        <v>214</v>
      </c>
      <c r="R3214" t="s">
        <v>228</v>
      </c>
      <c r="S3214" t="s">
        <v>30</v>
      </c>
      <c r="T3214" t="s">
        <v>2768</v>
      </c>
      <c r="U3214" t="s">
        <v>2769</v>
      </c>
      <c r="V3214" t="s">
        <v>39</v>
      </c>
      <c r="W3214" s="1">
        <v>1</v>
      </c>
    </row>
    <row r="3215" spans="1:23" x14ac:dyDescent="0.2">
      <c r="A3215" t="s">
        <v>2096</v>
      </c>
      <c r="B3215" t="s">
        <v>2097</v>
      </c>
      <c r="C3215" t="s">
        <v>2718</v>
      </c>
      <c r="D3215" t="s">
        <v>2730</v>
      </c>
      <c r="E3215" t="s">
        <v>2731</v>
      </c>
      <c r="F3215" t="s">
        <v>2732</v>
      </c>
      <c r="G3215" t="s">
        <v>67</v>
      </c>
      <c r="H3215" t="s">
        <v>30</v>
      </c>
      <c r="I3215" t="s">
        <v>30</v>
      </c>
      <c r="J3215" t="s">
        <v>31</v>
      </c>
      <c r="K3215" t="s">
        <v>32</v>
      </c>
      <c r="L3215" t="s">
        <v>32</v>
      </c>
      <c r="M3215" t="s">
        <v>33</v>
      </c>
      <c r="N3215" t="s">
        <v>176</v>
      </c>
      <c r="O3215" t="s">
        <v>176</v>
      </c>
      <c r="P3215" t="s">
        <v>213</v>
      </c>
      <c r="Q3215" t="s">
        <v>214</v>
      </c>
      <c r="R3215" t="s">
        <v>228</v>
      </c>
      <c r="S3215" t="s">
        <v>30</v>
      </c>
      <c r="T3215" t="s">
        <v>2768</v>
      </c>
      <c r="U3215" t="s">
        <v>2769</v>
      </c>
      <c r="V3215" t="s">
        <v>40</v>
      </c>
      <c r="W3215" s="1">
        <v>589000</v>
      </c>
    </row>
    <row r="3216" spans="1:23" x14ac:dyDescent="0.2">
      <c r="A3216" t="s">
        <v>2096</v>
      </c>
      <c r="B3216" t="s">
        <v>2097</v>
      </c>
      <c r="C3216" t="s">
        <v>2718</v>
      </c>
      <c r="D3216" t="s">
        <v>2730</v>
      </c>
      <c r="E3216" t="s">
        <v>2731</v>
      </c>
      <c r="F3216" t="s">
        <v>2732</v>
      </c>
      <c r="G3216" t="s">
        <v>67</v>
      </c>
      <c r="H3216" t="s">
        <v>30</v>
      </c>
      <c r="I3216" t="s">
        <v>30</v>
      </c>
      <c r="J3216" t="s">
        <v>41</v>
      </c>
      <c r="K3216" t="s">
        <v>32</v>
      </c>
      <c r="L3216" t="s">
        <v>32</v>
      </c>
      <c r="M3216" t="s">
        <v>33</v>
      </c>
      <c r="N3216" t="s">
        <v>33</v>
      </c>
      <c r="O3216" t="s">
        <v>33</v>
      </c>
      <c r="P3216" t="s">
        <v>213</v>
      </c>
      <c r="Q3216" t="s">
        <v>214</v>
      </c>
      <c r="R3216" t="s">
        <v>58</v>
      </c>
      <c r="S3216" t="s">
        <v>30</v>
      </c>
      <c r="T3216" t="s">
        <v>2754</v>
      </c>
      <c r="U3216" t="s">
        <v>2774</v>
      </c>
      <c r="V3216" t="s">
        <v>39</v>
      </c>
      <c r="W3216" s="1">
        <v>2</v>
      </c>
    </row>
    <row r="3217" spans="1:23" x14ac:dyDescent="0.2">
      <c r="A3217" t="s">
        <v>2096</v>
      </c>
      <c r="B3217" t="s">
        <v>2097</v>
      </c>
      <c r="C3217" t="s">
        <v>2718</v>
      </c>
      <c r="D3217" t="s">
        <v>2730</v>
      </c>
      <c r="E3217" t="s">
        <v>2731</v>
      </c>
      <c r="F3217" t="s">
        <v>2732</v>
      </c>
      <c r="G3217" t="s">
        <v>67</v>
      </c>
      <c r="H3217" t="s">
        <v>30</v>
      </c>
      <c r="I3217" t="s">
        <v>30</v>
      </c>
      <c r="J3217" t="s">
        <v>41</v>
      </c>
      <c r="K3217" t="s">
        <v>32</v>
      </c>
      <c r="L3217" t="s">
        <v>32</v>
      </c>
      <c r="M3217" t="s">
        <v>33</v>
      </c>
      <c r="N3217" t="s">
        <v>33</v>
      </c>
      <c r="O3217" t="s">
        <v>33</v>
      </c>
      <c r="P3217" t="s">
        <v>213</v>
      </c>
      <c r="Q3217" t="s">
        <v>214</v>
      </c>
      <c r="R3217" t="s">
        <v>58</v>
      </c>
      <c r="S3217" t="s">
        <v>30</v>
      </c>
      <c r="T3217" t="s">
        <v>2754</v>
      </c>
      <c r="U3217" t="s">
        <v>2774</v>
      </c>
      <c r="V3217" t="s">
        <v>40</v>
      </c>
      <c r="W3217" s="1">
        <v>2599800</v>
      </c>
    </row>
    <row r="3218" spans="1:23" x14ac:dyDescent="0.2">
      <c r="A3218" t="s">
        <v>2096</v>
      </c>
      <c r="B3218" t="s">
        <v>2097</v>
      </c>
      <c r="C3218" t="s">
        <v>2718</v>
      </c>
      <c r="D3218" t="s">
        <v>2730</v>
      </c>
      <c r="E3218" t="s">
        <v>2731</v>
      </c>
      <c r="F3218" t="s">
        <v>2732</v>
      </c>
      <c r="G3218" t="s">
        <v>67</v>
      </c>
      <c r="H3218" t="s">
        <v>30</v>
      </c>
      <c r="I3218" t="s">
        <v>30</v>
      </c>
      <c r="J3218" t="s">
        <v>41</v>
      </c>
      <c r="K3218" t="s">
        <v>32</v>
      </c>
      <c r="L3218" t="s">
        <v>32</v>
      </c>
      <c r="M3218" t="s">
        <v>33</v>
      </c>
      <c r="N3218" t="s">
        <v>33</v>
      </c>
      <c r="O3218" t="s">
        <v>33</v>
      </c>
      <c r="P3218" t="s">
        <v>42</v>
      </c>
      <c r="Q3218" t="s">
        <v>43</v>
      </c>
      <c r="R3218" t="s">
        <v>58</v>
      </c>
      <c r="S3218" t="s">
        <v>30</v>
      </c>
      <c r="T3218" t="s">
        <v>2775</v>
      </c>
      <c r="U3218" t="s">
        <v>2776</v>
      </c>
      <c r="V3218" t="s">
        <v>39</v>
      </c>
      <c r="W3218" s="1">
        <v>2</v>
      </c>
    </row>
    <row r="3219" spans="1:23" x14ac:dyDescent="0.2">
      <c r="A3219" t="s">
        <v>2096</v>
      </c>
      <c r="B3219" t="s">
        <v>2097</v>
      </c>
      <c r="C3219" t="s">
        <v>2718</v>
      </c>
      <c r="D3219" t="s">
        <v>2730</v>
      </c>
      <c r="E3219" t="s">
        <v>2731</v>
      </c>
      <c r="F3219" t="s">
        <v>2732</v>
      </c>
      <c r="G3219" t="s">
        <v>67</v>
      </c>
      <c r="H3219" t="s">
        <v>30</v>
      </c>
      <c r="I3219" t="s">
        <v>30</v>
      </c>
      <c r="J3219" t="s">
        <v>41</v>
      </c>
      <c r="K3219" t="s">
        <v>32</v>
      </c>
      <c r="L3219" t="s">
        <v>32</v>
      </c>
      <c r="M3219" t="s">
        <v>33</v>
      </c>
      <c r="N3219" t="s">
        <v>33</v>
      </c>
      <c r="O3219" t="s">
        <v>33</v>
      </c>
      <c r="P3219" t="s">
        <v>42</v>
      </c>
      <c r="Q3219" t="s">
        <v>43</v>
      </c>
      <c r="R3219" t="s">
        <v>58</v>
      </c>
      <c r="S3219" t="s">
        <v>30</v>
      </c>
      <c r="T3219" t="s">
        <v>2775</v>
      </c>
      <c r="U3219" t="s">
        <v>2776</v>
      </c>
      <c r="V3219" t="s">
        <v>40</v>
      </c>
      <c r="W3219" s="1">
        <v>2299800</v>
      </c>
    </row>
    <row r="3220" spans="1:23" x14ac:dyDescent="0.2">
      <c r="A3220" t="s">
        <v>2096</v>
      </c>
      <c r="B3220" t="s">
        <v>2097</v>
      </c>
      <c r="C3220" t="s">
        <v>2718</v>
      </c>
      <c r="D3220" t="s">
        <v>2730</v>
      </c>
      <c r="E3220" t="s">
        <v>2731</v>
      </c>
      <c r="F3220" t="s">
        <v>2732</v>
      </c>
      <c r="G3220" t="s">
        <v>67</v>
      </c>
      <c r="H3220" t="s">
        <v>30</v>
      </c>
      <c r="I3220" t="s">
        <v>30</v>
      </c>
      <c r="J3220" t="s">
        <v>41</v>
      </c>
      <c r="K3220" t="s">
        <v>32</v>
      </c>
      <c r="L3220" t="s">
        <v>32</v>
      </c>
      <c r="M3220" t="s">
        <v>33</v>
      </c>
      <c r="N3220" t="s">
        <v>33</v>
      </c>
      <c r="O3220" t="s">
        <v>33</v>
      </c>
      <c r="P3220" t="s">
        <v>42</v>
      </c>
      <c r="Q3220" t="s">
        <v>43</v>
      </c>
      <c r="S3220" t="s">
        <v>30</v>
      </c>
      <c r="T3220" t="s">
        <v>2777</v>
      </c>
      <c r="U3220" t="s">
        <v>2778</v>
      </c>
      <c r="V3220" t="s">
        <v>39</v>
      </c>
      <c r="W3220" s="1">
        <v>2</v>
      </c>
    </row>
    <row r="3221" spans="1:23" x14ac:dyDescent="0.2">
      <c r="A3221" t="s">
        <v>2096</v>
      </c>
      <c r="B3221" t="s">
        <v>2097</v>
      </c>
      <c r="C3221" t="s">
        <v>2718</v>
      </c>
      <c r="D3221" t="s">
        <v>2730</v>
      </c>
      <c r="E3221" t="s">
        <v>2731</v>
      </c>
      <c r="F3221" t="s">
        <v>2732</v>
      </c>
      <c r="G3221" t="s">
        <v>67</v>
      </c>
      <c r="H3221" t="s">
        <v>30</v>
      </c>
      <c r="I3221" t="s">
        <v>30</v>
      </c>
      <c r="J3221" t="s">
        <v>41</v>
      </c>
      <c r="K3221" t="s">
        <v>32</v>
      </c>
      <c r="L3221" t="s">
        <v>32</v>
      </c>
      <c r="M3221" t="s">
        <v>33</v>
      </c>
      <c r="N3221" t="s">
        <v>33</v>
      </c>
      <c r="O3221" t="s">
        <v>33</v>
      </c>
      <c r="P3221" t="s">
        <v>42</v>
      </c>
      <c r="Q3221" t="s">
        <v>43</v>
      </c>
      <c r="S3221" t="s">
        <v>30</v>
      </c>
      <c r="T3221" t="s">
        <v>2777</v>
      </c>
      <c r="U3221" t="s">
        <v>2778</v>
      </c>
      <c r="V3221" t="s">
        <v>40</v>
      </c>
      <c r="W3221" s="1">
        <v>2610800</v>
      </c>
    </row>
    <row r="3222" spans="1:23" x14ac:dyDescent="0.2">
      <c r="A3222" t="s">
        <v>2096</v>
      </c>
      <c r="B3222" t="s">
        <v>2097</v>
      </c>
      <c r="C3222" t="s">
        <v>2718</v>
      </c>
      <c r="D3222" t="s">
        <v>2730</v>
      </c>
      <c r="E3222" t="s">
        <v>2731</v>
      </c>
      <c r="F3222" t="s">
        <v>2732</v>
      </c>
      <c r="G3222" t="s">
        <v>67</v>
      </c>
      <c r="H3222" t="s">
        <v>30</v>
      </c>
      <c r="I3222" t="s">
        <v>30</v>
      </c>
      <c r="J3222" t="s">
        <v>41</v>
      </c>
      <c r="K3222" t="s">
        <v>32</v>
      </c>
      <c r="L3222" t="s">
        <v>32</v>
      </c>
      <c r="M3222" t="s">
        <v>33</v>
      </c>
      <c r="P3222" t="s">
        <v>34</v>
      </c>
      <c r="Q3222" t="s">
        <v>35</v>
      </c>
      <c r="S3222" t="s">
        <v>52</v>
      </c>
      <c r="T3222" t="s">
        <v>659</v>
      </c>
      <c r="U3222" t="s">
        <v>2779</v>
      </c>
      <c r="V3222" t="s">
        <v>39</v>
      </c>
      <c r="W3222" s="1">
        <v>0</v>
      </c>
    </row>
    <row r="3223" spans="1:23" x14ac:dyDescent="0.2">
      <c r="A3223" t="s">
        <v>2096</v>
      </c>
      <c r="B3223" t="s">
        <v>2097</v>
      </c>
      <c r="C3223" t="s">
        <v>2718</v>
      </c>
      <c r="D3223" t="s">
        <v>2730</v>
      </c>
      <c r="E3223" t="s">
        <v>2731</v>
      </c>
      <c r="F3223" t="s">
        <v>2732</v>
      </c>
      <c r="G3223" t="s">
        <v>67</v>
      </c>
      <c r="H3223" t="s">
        <v>30</v>
      </c>
      <c r="I3223" t="s">
        <v>30</v>
      </c>
      <c r="J3223" t="s">
        <v>41</v>
      </c>
      <c r="K3223" t="s">
        <v>32</v>
      </c>
      <c r="L3223" t="s">
        <v>32</v>
      </c>
      <c r="M3223" t="s">
        <v>33</v>
      </c>
      <c r="P3223" t="s">
        <v>34</v>
      </c>
      <c r="Q3223" t="s">
        <v>35</v>
      </c>
      <c r="S3223" t="s">
        <v>52</v>
      </c>
      <c r="T3223" t="s">
        <v>659</v>
      </c>
      <c r="U3223" t="s">
        <v>2779</v>
      </c>
      <c r="V3223" t="s">
        <v>40</v>
      </c>
      <c r="W3223" s="1">
        <v>4158000</v>
      </c>
    </row>
    <row r="3224" spans="1:23" x14ac:dyDescent="0.2">
      <c r="A3224" t="s">
        <v>2096</v>
      </c>
      <c r="B3224" t="s">
        <v>2097</v>
      </c>
      <c r="C3224" t="s">
        <v>2718</v>
      </c>
      <c r="D3224" t="s">
        <v>2730</v>
      </c>
      <c r="E3224" t="s">
        <v>2731</v>
      </c>
      <c r="F3224" t="s">
        <v>2732</v>
      </c>
      <c r="G3224" t="s">
        <v>89</v>
      </c>
      <c r="H3224" t="s">
        <v>30</v>
      </c>
      <c r="I3224" t="s">
        <v>30</v>
      </c>
      <c r="J3224" t="s">
        <v>128</v>
      </c>
      <c r="K3224" t="s">
        <v>181</v>
      </c>
      <c r="L3224" t="s">
        <v>32</v>
      </c>
      <c r="M3224" t="s">
        <v>33</v>
      </c>
      <c r="P3224" t="s">
        <v>34</v>
      </c>
      <c r="Q3224" t="s">
        <v>35</v>
      </c>
      <c r="S3224" t="s">
        <v>30</v>
      </c>
      <c r="T3224" t="s">
        <v>2780</v>
      </c>
      <c r="U3224" t="s">
        <v>2781</v>
      </c>
      <c r="V3224" t="s">
        <v>39</v>
      </c>
      <c r="W3224" s="1">
        <v>12</v>
      </c>
    </row>
    <row r="3225" spans="1:23" x14ac:dyDescent="0.2">
      <c r="A3225" t="s">
        <v>2096</v>
      </c>
      <c r="B3225" t="s">
        <v>2097</v>
      </c>
      <c r="C3225" t="s">
        <v>2718</v>
      </c>
      <c r="D3225" t="s">
        <v>2730</v>
      </c>
      <c r="E3225" t="s">
        <v>2731</v>
      </c>
      <c r="F3225" t="s">
        <v>2732</v>
      </c>
      <c r="G3225" t="s">
        <v>89</v>
      </c>
      <c r="H3225" t="s">
        <v>30</v>
      </c>
      <c r="I3225" t="s">
        <v>30</v>
      </c>
      <c r="J3225" t="s">
        <v>128</v>
      </c>
      <c r="K3225" t="s">
        <v>181</v>
      </c>
      <c r="L3225" t="s">
        <v>32</v>
      </c>
      <c r="M3225" t="s">
        <v>33</v>
      </c>
      <c r="P3225" t="s">
        <v>34</v>
      </c>
      <c r="Q3225" t="s">
        <v>35</v>
      </c>
      <c r="S3225" t="s">
        <v>30</v>
      </c>
      <c r="T3225" t="s">
        <v>2780</v>
      </c>
      <c r="U3225" t="s">
        <v>2781</v>
      </c>
      <c r="V3225" t="s">
        <v>40</v>
      </c>
      <c r="W3225" s="1">
        <v>0</v>
      </c>
    </row>
    <row r="3226" spans="1:23" x14ac:dyDescent="0.2">
      <c r="A3226" t="s">
        <v>2096</v>
      </c>
      <c r="B3226" t="s">
        <v>2097</v>
      </c>
      <c r="C3226" t="s">
        <v>2718</v>
      </c>
      <c r="D3226" t="s">
        <v>2730</v>
      </c>
      <c r="E3226" t="s">
        <v>2731</v>
      </c>
      <c r="F3226" t="s">
        <v>2732</v>
      </c>
      <c r="G3226" t="s">
        <v>89</v>
      </c>
      <c r="H3226" t="s">
        <v>30</v>
      </c>
      <c r="I3226" t="s">
        <v>30</v>
      </c>
      <c r="J3226" t="s">
        <v>31</v>
      </c>
      <c r="K3226" t="s">
        <v>32</v>
      </c>
      <c r="L3226" t="s">
        <v>32</v>
      </c>
      <c r="M3226" t="s">
        <v>33</v>
      </c>
      <c r="N3226" t="s">
        <v>33</v>
      </c>
      <c r="O3226" t="s">
        <v>33</v>
      </c>
      <c r="P3226" t="s">
        <v>34</v>
      </c>
      <c r="Q3226" t="s">
        <v>35</v>
      </c>
      <c r="S3226" t="s">
        <v>30</v>
      </c>
      <c r="T3226" t="s">
        <v>2782</v>
      </c>
      <c r="U3226" t="s">
        <v>2783</v>
      </c>
      <c r="V3226" t="s">
        <v>39</v>
      </c>
      <c r="W3226" s="1">
        <v>2</v>
      </c>
    </row>
    <row r="3227" spans="1:23" x14ac:dyDescent="0.2">
      <c r="A3227" t="s">
        <v>2096</v>
      </c>
      <c r="B3227" t="s">
        <v>2097</v>
      </c>
      <c r="C3227" t="s">
        <v>2718</v>
      </c>
      <c r="D3227" t="s">
        <v>2730</v>
      </c>
      <c r="E3227" t="s">
        <v>2731</v>
      </c>
      <c r="F3227" t="s">
        <v>2732</v>
      </c>
      <c r="G3227" t="s">
        <v>89</v>
      </c>
      <c r="H3227" t="s">
        <v>30</v>
      </c>
      <c r="I3227" t="s">
        <v>30</v>
      </c>
      <c r="J3227" t="s">
        <v>31</v>
      </c>
      <c r="K3227" t="s">
        <v>32</v>
      </c>
      <c r="L3227" t="s">
        <v>32</v>
      </c>
      <c r="M3227" t="s">
        <v>33</v>
      </c>
      <c r="N3227" t="s">
        <v>33</v>
      </c>
      <c r="O3227" t="s">
        <v>33</v>
      </c>
      <c r="P3227" t="s">
        <v>34</v>
      </c>
      <c r="Q3227" t="s">
        <v>35</v>
      </c>
      <c r="S3227" t="s">
        <v>30</v>
      </c>
      <c r="T3227" t="s">
        <v>2782</v>
      </c>
      <c r="U3227" t="s">
        <v>2783</v>
      </c>
      <c r="V3227" t="s">
        <v>40</v>
      </c>
      <c r="W3227" s="1">
        <v>1330000</v>
      </c>
    </row>
    <row r="3228" spans="1:23" x14ac:dyDescent="0.2">
      <c r="A3228" t="s">
        <v>2096</v>
      </c>
      <c r="B3228" t="s">
        <v>2097</v>
      </c>
      <c r="C3228" t="s">
        <v>2718</v>
      </c>
      <c r="D3228" t="s">
        <v>2730</v>
      </c>
      <c r="E3228" t="s">
        <v>2731</v>
      </c>
      <c r="F3228" t="s">
        <v>2732</v>
      </c>
      <c r="G3228" t="s">
        <v>89</v>
      </c>
      <c r="H3228" t="s">
        <v>30</v>
      </c>
      <c r="I3228" t="s">
        <v>30</v>
      </c>
      <c r="J3228" t="s">
        <v>31</v>
      </c>
      <c r="K3228" t="s">
        <v>32</v>
      </c>
      <c r="L3228" t="s">
        <v>32</v>
      </c>
      <c r="M3228" t="s">
        <v>33</v>
      </c>
      <c r="N3228" t="s">
        <v>33</v>
      </c>
      <c r="O3228" t="s">
        <v>33</v>
      </c>
      <c r="P3228" t="s">
        <v>34</v>
      </c>
      <c r="Q3228" t="s">
        <v>35</v>
      </c>
      <c r="S3228" t="s">
        <v>30</v>
      </c>
      <c r="T3228" t="s">
        <v>2784</v>
      </c>
      <c r="U3228" t="s">
        <v>2785</v>
      </c>
      <c r="V3228" t="s">
        <v>39</v>
      </c>
      <c r="W3228" s="1">
        <v>5</v>
      </c>
    </row>
    <row r="3229" spans="1:23" x14ac:dyDescent="0.2">
      <c r="A3229" t="s">
        <v>2096</v>
      </c>
      <c r="B3229" t="s">
        <v>2097</v>
      </c>
      <c r="C3229" t="s">
        <v>2718</v>
      </c>
      <c r="D3229" t="s">
        <v>2730</v>
      </c>
      <c r="E3229" t="s">
        <v>2731</v>
      </c>
      <c r="F3229" t="s">
        <v>2732</v>
      </c>
      <c r="G3229" t="s">
        <v>89</v>
      </c>
      <c r="H3229" t="s">
        <v>30</v>
      </c>
      <c r="I3229" t="s">
        <v>30</v>
      </c>
      <c r="J3229" t="s">
        <v>31</v>
      </c>
      <c r="K3229" t="s">
        <v>32</v>
      </c>
      <c r="L3229" t="s">
        <v>32</v>
      </c>
      <c r="M3229" t="s">
        <v>33</v>
      </c>
      <c r="N3229" t="s">
        <v>33</v>
      </c>
      <c r="O3229" t="s">
        <v>33</v>
      </c>
      <c r="P3229" t="s">
        <v>34</v>
      </c>
      <c r="Q3229" t="s">
        <v>35</v>
      </c>
      <c r="S3229" t="s">
        <v>30</v>
      </c>
      <c r="T3229" t="s">
        <v>2784</v>
      </c>
      <c r="U3229" t="s">
        <v>2785</v>
      </c>
      <c r="V3229" t="s">
        <v>40</v>
      </c>
      <c r="W3229" s="1">
        <v>6340000</v>
      </c>
    </row>
    <row r="3230" spans="1:23" x14ac:dyDescent="0.2">
      <c r="A3230" t="s">
        <v>2096</v>
      </c>
      <c r="B3230" t="s">
        <v>2097</v>
      </c>
      <c r="C3230" t="s">
        <v>2718</v>
      </c>
      <c r="D3230" t="s">
        <v>2730</v>
      </c>
      <c r="E3230" t="s">
        <v>2731</v>
      </c>
      <c r="F3230" t="s">
        <v>2732</v>
      </c>
      <c r="G3230" t="s">
        <v>89</v>
      </c>
      <c r="H3230" t="s">
        <v>30</v>
      </c>
      <c r="I3230" t="s">
        <v>30</v>
      </c>
      <c r="J3230" t="s">
        <v>31</v>
      </c>
      <c r="K3230" t="s">
        <v>32</v>
      </c>
      <c r="L3230" t="s">
        <v>32</v>
      </c>
      <c r="M3230" t="s">
        <v>33</v>
      </c>
      <c r="P3230" t="s">
        <v>34</v>
      </c>
      <c r="Q3230" t="s">
        <v>35</v>
      </c>
      <c r="S3230" t="s">
        <v>30</v>
      </c>
      <c r="T3230" t="s">
        <v>2784</v>
      </c>
      <c r="U3230" t="s">
        <v>2785</v>
      </c>
      <c r="V3230" t="s">
        <v>39</v>
      </c>
      <c r="W3230" s="1">
        <v>8</v>
      </c>
    </row>
    <row r="3231" spans="1:23" x14ac:dyDescent="0.2">
      <c r="A3231" t="s">
        <v>2096</v>
      </c>
      <c r="B3231" t="s">
        <v>2097</v>
      </c>
      <c r="C3231" t="s">
        <v>2718</v>
      </c>
      <c r="D3231" t="s">
        <v>2730</v>
      </c>
      <c r="E3231" t="s">
        <v>2731</v>
      </c>
      <c r="F3231" t="s">
        <v>2732</v>
      </c>
      <c r="G3231" t="s">
        <v>89</v>
      </c>
      <c r="H3231" t="s">
        <v>30</v>
      </c>
      <c r="I3231" t="s">
        <v>30</v>
      </c>
      <c r="J3231" t="s">
        <v>31</v>
      </c>
      <c r="K3231" t="s">
        <v>32</v>
      </c>
      <c r="L3231" t="s">
        <v>32</v>
      </c>
      <c r="M3231" t="s">
        <v>33</v>
      </c>
      <c r="P3231" t="s">
        <v>34</v>
      </c>
      <c r="Q3231" t="s">
        <v>35</v>
      </c>
      <c r="S3231" t="s">
        <v>30</v>
      </c>
      <c r="T3231" t="s">
        <v>2784</v>
      </c>
      <c r="U3231" t="s">
        <v>2785</v>
      </c>
      <c r="V3231" t="s">
        <v>40</v>
      </c>
      <c r="W3231" s="1">
        <v>10144000</v>
      </c>
    </row>
    <row r="3232" spans="1:23" x14ac:dyDescent="0.2">
      <c r="A3232" t="s">
        <v>2096</v>
      </c>
      <c r="B3232" t="s">
        <v>2097</v>
      </c>
      <c r="C3232" t="s">
        <v>2718</v>
      </c>
      <c r="D3232" t="s">
        <v>2730</v>
      </c>
      <c r="E3232" t="s">
        <v>2731</v>
      </c>
      <c r="F3232" t="s">
        <v>2732</v>
      </c>
      <c r="G3232" t="s">
        <v>89</v>
      </c>
      <c r="H3232" t="s">
        <v>30</v>
      </c>
      <c r="I3232" t="s">
        <v>30</v>
      </c>
      <c r="J3232" t="s">
        <v>41</v>
      </c>
      <c r="K3232" t="s">
        <v>32</v>
      </c>
      <c r="L3232" t="s">
        <v>32</v>
      </c>
      <c r="M3232" t="s">
        <v>33</v>
      </c>
      <c r="N3232" t="s">
        <v>33</v>
      </c>
      <c r="O3232" t="s">
        <v>33</v>
      </c>
      <c r="P3232" t="s">
        <v>34</v>
      </c>
      <c r="Q3232" t="s">
        <v>35</v>
      </c>
      <c r="S3232" t="s">
        <v>30</v>
      </c>
      <c r="T3232" t="s">
        <v>2161</v>
      </c>
      <c r="U3232" t="s">
        <v>2786</v>
      </c>
      <c r="V3232" t="s">
        <v>39</v>
      </c>
      <c r="W3232" s="1">
        <v>4</v>
      </c>
    </row>
    <row r="3233" spans="1:23" x14ac:dyDescent="0.2">
      <c r="A3233" t="s">
        <v>2096</v>
      </c>
      <c r="B3233" t="s">
        <v>2097</v>
      </c>
      <c r="C3233" t="s">
        <v>2718</v>
      </c>
      <c r="D3233" t="s">
        <v>2730</v>
      </c>
      <c r="E3233" t="s">
        <v>2731</v>
      </c>
      <c r="F3233" t="s">
        <v>2732</v>
      </c>
      <c r="G3233" t="s">
        <v>89</v>
      </c>
      <c r="H3233" t="s">
        <v>30</v>
      </c>
      <c r="I3233" t="s">
        <v>30</v>
      </c>
      <c r="J3233" t="s">
        <v>41</v>
      </c>
      <c r="K3233" t="s">
        <v>32</v>
      </c>
      <c r="L3233" t="s">
        <v>32</v>
      </c>
      <c r="M3233" t="s">
        <v>33</v>
      </c>
      <c r="N3233" t="s">
        <v>33</v>
      </c>
      <c r="O3233" t="s">
        <v>33</v>
      </c>
      <c r="P3233" t="s">
        <v>34</v>
      </c>
      <c r="Q3233" t="s">
        <v>35</v>
      </c>
      <c r="S3233" t="s">
        <v>30</v>
      </c>
      <c r="T3233" t="s">
        <v>2161</v>
      </c>
      <c r="U3233" t="s">
        <v>2786</v>
      </c>
      <c r="V3233" t="s">
        <v>40</v>
      </c>
      <c r="W3233" s="1">
        <v>4279600</v>
      </c>
    </row>
    <row r="3234" spans="1:23" x14ac:dyDescent="0.2">
      <c r="A3234" t="s">
        <v>2096</v>
      </c>
      <c r="B3234" t="s">
        <v>2097</v>
      </c>
      <c r="C3234" t="s">
        <v>2718</v>
      </c>
      <c r="D3234" t="s">
        <v>2730</v>
      </c>
      <c r="E3234" t="s">
        <v>2731</v>
      </c>
      <c r="F3234" t="s">
        <v>2732</v>
      </c>
      <c r="G3234" t="s">
        <v>89</v>
      </c>
      <c r="H3234" t="s">
        <v>30</v>
      </c>
      <c r="I3234" t="s">
        <v>30</v>
      </c>
      <c r="J3234" t="s">
        <v>41</v>
      </c>
      <c r="K3234" t="s">
        <v>32</v>
      </c>
      <c r="L3234" t="s">
        <v>32</v>
      </c>
      <c r="M3234" t="s">
        <v>33</v>
      </c>
      <c r="N3234" t="s">
        <v>33</v>
      </c>
      <c r="O3234" t="s">
        <v>33</v>
      </c>
      <c r="P3234" t="s">
        <v>42</v>
      </c>
      <c r="Q3234" t="s">
        <v>43</v>
      </c>
      <c r="S3234" t="s">
        <v>30</v>
      </c>
      <c r="T3234" t="s">
        <v>2787</v>
      </c>
      <c r="U3234" t="s">
        <v>2788</v>
      </c>
      <c r="V3234" t="s">
        <v>39</v>
      </c>
      <c r="W3234" s="1">
        <v>1</v>
      </c>
    </row>
    <row r="3235" spans="1:23" x14ac:dyDescent="0.2">
      <c r="A3235" t="s">
        <v>2096</v>
      </c>
      <c r="B3235" t="s">
        <v>2097</v>
      </c>
      <c r="C3235" t="s">
        <v>2718</v>
      </c>
      <c r="D3235" t="s">
        <v>2730</v>
      </c>
      <c r="E3235" t="s">
        <v>2731</v>
      </c>
      <c r="F3235" t="s">
        <v>2732</v>
      </c>
      <c r="G3235" t="s">
        <v>89</v>
      </c>
      <c r="H3235" t="s">
        <v>30</v>
      </c>
      <c r="I3235" t="s">
        <v>30</v>
      </c>
      <c r="J3235" t="s">
        <v>41</v>
      </c>
      <c r="K3235" t="s">
        <v>32</v>
      </c>
      <c r="L3235" t="s">
        <v>32</v>
      </c>
      <c r="M3235" t="s">
        <v>33</v>
      </c>
      <c r="N3235" t="s">
        <v>33</v>
      </c>
      <c r="O3235" t="s">
        <v>33</v>
      </c>
      <c r="P3235" t="s">
        <v>42</v>
      </c>
      <c r="Q3235" t="s">
        <v>43</v>
      </c>
      <c r="S3235" t="s">
        <v>30</v>
      </c>
      <c r="T3235" t="s">
        <v>2787</v>
      </c>
      <c r="U3235" t="s">
        <v>2788</v>
      </c>
      <c r="V3235" t="s">
        <v>40</v>
      </c>
      <c r="W3235" s="1">
        <v>3455000</v>
      </c>
    </row>
    <row r="3236" spans="1:23" x14ac:dyDescent="0.2">
      <c r="A3236" t="s">
        <v>2096</v>
      </c>
      <c r="B3236" t="s">
        <v>2097</v>
      </c>
      <c r="C3236" t="s">
        <v>2718</v>
      </c>
      <c r="D3236" t="s">
        <v>2730</v>
      </c>
      <c r="E3236" t="s">
        <v>2731</v>
      </c>
      <c r="F3236" t="s">
        <v>2732</v>
      </c>
      <c r="G3236" t="s">
        <v>106</v>
      </c>
      <c r="H3236" t="s">
        <v>30</v>
      </c>
      <c r="I3236" t="s">
        <v>30</v>
      </c>
      <c r="J3236" t="s">
        <v>128</v>
      </c>
      <c r="K3236" t="s">
        <v>181</v>
      </c>
      <c r="L3236" t="s">
        <v>32</v>
      </c>
      <c r="M3236" t="s">
        <v>33</v>
      </c>
      <c r="N3236" t="s">
        <v>33</v>
      </c>
      <c r="O3236" t="s">
        <v>33</v>
      </c>
      <c r="P3236" t="s">
        <v>34</v>
      </c>
      <c r="Q3236" t="s">
        <v>35</v>
      </c>
      <c r="S3236" t="s">
        <v>30</v>
      </c>
      <c r="T3236" t="s">
        <v>2789</v>
      </c>
      <c r="U3236" t="s">
        <v>2790</v>
      </c>
      <c r="V3236" t="s">
        <v>39</v>
      </c>
      <c r="W3236" s="1">
        <v>1</v>
      </c>
    </row>
    <row r="3237" spans="1:23" x14ac:dyDescent="0.2">
      <c r="A3237" t="s">
        <v>2096</v>
      </c>
      <c r="B3237" t="s">
        <v>2097</v>
      </c>
      <c r="C3237" t="s">
        <v>2718</v>
      </c>
      <c r="D3237" t="s">
        <v>2730</v>
      </c>
      <c r="E3237" t="s">
        <v>2731</v>
      </c>
      <c r="F3237" t="s">
        <v>2732</v>
      </c>
      <c r="G3237" t="s">
        <v>106</v>
      </c>
      <c r="H3237" t="s">
        <v>30</v>
      </c>
      <c r="I3237" t="s">
        <v>30</v>
      </c>
      <c r="J3237" t="s">
        <v>128</v>
      </c>
      <c r="K3237" t="s">
        <v>181</v>
      </c>
      <c r="L3237" t="s">
        <v>32</v>
      </c>
      <c r="M3237" t="s">
        <v>33</v>
      </c>
      <c r="N3237" t="s">
        <v>33</v>
      </c>
      <c r="O3237" t="s">
        <v>33</v>
      </c>
      <c r="P3237" t="s">
        <v>34</v>
      </c>
      <c r="Q3237" t="s">
        <v>35</v>
      </c>
      <c r="S3237" t="s">
        <v>30</v>
      </c>
      <c r="T3237" t="s">
        <v>2789</v>
      </c>
      <c r="U3237" t="s">
        <v>2790</v>
      </c>
      <c r="V3237" t="s">
        <v>40</v>
      </c>
      <c r="W3237" s="1">
        <v>0</v>
      </c>
    </row>
    <row r="3238" spans="1:23" x14ac:dyDescent="0.2">
      <c r="A3238" t="s">
        <v>2096</v>
      </c>
      <c r="B3238" t="s">
        <v>2097</v>
      </c>
      <c r="C3238" t="s">
        <v>2718</v>
      </c>
      <c r="D3238" t="s">
        <v>2730</v>
      </c>
      <c r="E3238" t="s">
        <v>2731</v>
      </c>
      <c r="F3238" t="s">
        <v>2732</v>
      </c>
      <c r="G3238" t="s">
        <v>106</v>
      </c>
      <c r="H3238" t="s">
        <v>30</v>
      </c>
      <c r="I3238" t="s">
        <v>30</v>
      </c>
      <c r="J3238" t="s">
        <v>31</v>
      </c>
      <c r="K3238" t="s">
        <v>32</v>
      </c>
      <c r="L3238" t="s">
        <v>32</v>
      </c>
      <c r="M3238" t="s">
        <v>33</v>
      </c>
      <c r="N3238" t="s">
        <v>33</v>
      </c>
      <c r="O3238" t="s">
        <v>33</v>
      </c>
      <c r="P3238" t="s">
        <v>34</v>
      </c>
      <c r="Q3238" t="s">
        <v>35</v>
      </c>
      <c r="S3238" t="s">
        <v>30</v>
      </c>
      <c r="T3238" t="s">
        <v>2791</v>
      </c>
      <c r="U3238" t="s">
        <v>2792</v>
      </c>
      <c r="V3238" t="s">
        <v>39</v>
      </c>
      <c r="W3238" s="1">
        <v>2</v>
      </c>
    </row>
    <row r="3239" spans="1:23" x14ac:dyDescent="0.2">
      <c r="A3239" t="s">
        <v>2096</v>
      </c>
      <c r="B3239" t="s">
        <v>2097</v>
      </c>
      <c r="C3239" t="s">
        <v>2718</v>
      </c>
      <c r="D3239" t="s">
        <v>2730</v>
      </c>
      <c r="E3239" t="s">
        <v>2731</v>
      </c>
      <c r="F3239" t="s">
        <v>2732</v>
      </c>
      <c r="G3239" t="s">
        <v>106</v>
      </c>
      <c r="H3239" t="s">
        <v>30</v>
      </c>
      <c r="I3239" t="s">
        <v>30</v>
      </c>
      <c r="J3239" t="s">
        <v>31</v>
      </c>
      <c r="K3239" t="s">
        <v>32</v>
      </c>
      <c r="L3239" t="s">
        <v>32</v>
      </c>
      <c r="M3239" t="s">
        <v>33</v>
      </c>
      <c r="N3239" t="s">
        <v>33</v>
      </c>
      <c r="O3239" t="s">
        <v>33</v>
      </c>
      <c r="P3239" t="s">
        <v>34</v>
      </c>
      <c r="Q3239" t="s">
        <v>35</v>
      </c>
      <c r="S3239" t="s">
        <v>30</v>
      </c>
      <c r="T3239" t="s">
        <v>2791</v>
      </c>
      <c r="U3239" t="s">
        <v>2792</v>
      </c>
      <c r="V3239" t="s">
        <v>40</v>
      </c>
      <c r="W3239" s="1">
        <v>2010000</v>
      </c>
    </row>
    <row r="3240" spans="1:23" x14ac:dyDescent="0.2">
      <c r="A3240" t="s">
        <v>2096</v>
      </c>
      <c r="B3240" t="s">
        <v>2097</v>
      </c>
      <c r="C3240" t="s">
        <v>2718</v>
      </c>
      <c r="D3240" t="s">
        <v>2730</v>
      </c>
      <c r="E3240" t="s">
        <v>2731</v>
      </c>
      <c r="F3240" t="s">
        <v>2732</v>
      </c>
      <c r="G3240" t="s">
        <v>106</v>
      </c>
      <c r="H3240" t="s">
        <v>30</v>
      </c>
      <c r="I3240" t="s">
        <v>30</v>
      </c>
      <c r="J3240" t="s">
        <v>31</v>
      </c>
      <c r="K3240" t="s">
        <v>32</v>
      </c>
      <c r="L3240" t="s">
        <v>32</v>
      </c>
      <c r="M3240" t="s">
        <v>33</v>
      </c>
      <c r="P3240" t="s">
        <v>34</v>
      </c>
      <c r="Q3240" t="s">
        <v>35</v>
      </c>
      <c r="S3240" t="s">
        <v>52</v>
      </c>
      <c r="T3240" t="s">
        <v>2770</v>
      </c>
      <c r="U3240" t="s">
        <v>2793</v>
      </c>
      <c r="V3240" t="s">
        <v>39</v>
      </c>
      <c r="W3240" s="1">
        <v>0</v>
      </c>
    </row>
    <row r="3241" spans="1:23" x14ac:dyDescent="0.2">
      <c r="A3241" t="s">
        <v>2096</v>
      </c>
      <c r="B3241" t="s">
        <v>2097</v>
      </c>
      <c r="C3241" t="s">
        <v>2718</v>
      </c>
      <c r="D3241" t="s">
        <v>2730</v>
      </c>
      <c r="E3241" t="s">
        <v>2731</v>
      </c>
      <c r="F3241" t="s">
        <v>2732</v>
      </c>
      <c r="G3241" t="s">
        <v>106</v>
      </c>
      <c r="H3241" t="s">
        <v>30</v>
      </c>
      <c r="I3241" t="s">
        <v>30</v>
      </c>
      <c r="J3241" t="s">
        <v>31</v>
      </c>
      <c r="K3241" t="s">
        <v>32</v>
      </c>
      <c r="L3241" t="s">
        <v>32</v>
      </c>
      <c r="M3241" t="s">
        <v>33</v>
      </c>
      <c r="P3241" t="s">
        <v>34</v>
      </c>
      <c r="Q3241" t="s">
        <v>35</v>
      </c>
      <c r="S3241" t="s">
        <v>52</v>
      </c>
      <c r="T3241" t="s">
        <v>2770</v>
      </c>
      <c r="U3241" t="s">
        <v>2793</v>
      </c>
      <c r="V3241" t="s">
        <v>40</v>
      </c>
      <c r="W3241" s="1">
        <v>4014500</v>
      </c>
    </row>
    <row r="3242" spans="1:23" x14ac:dyDescent="0.2">
      <c r="A3242" t="s">
        <v>2096</v>
      </c>
      <c r="B3242" t="s">
        <v>2097</v>
      </c>
      <c r="C3242" t="s">
        <v>2718</v>
      </c>
      <c r="D3242" t="s">
        <v>2730</v>
      </c>
      <c r="E3242" t="s">
        <v>2731</v>
      </c>
      <c r="F3242" t="s">
        <v>2732</v>
      </c>
      <c r="G3242" t="s">
        <v>106</v>
      </c>
      <c r="H3242" t="s">
        <v>30</v>
      </c>
      <c r="I3242" t="s">
        <v>30</v>
      </c>
      <c r="J3242" t="s">
        <v>41</v>
      </c>
      <c r="K3242" t="s">
        <v>32</v>
      </c>
      <c r="L3242" t="s">
        <v>32</v>
      </c>
      <c r="M3242" t="s">
        <v>33</v>
      </c>
      <c r="N3242" t="s">
        <v>33</v>
      </c>
      <c r="O3242" t="s">
        <v>33</v>
      </c>
      <c r="P3242" t="s">
        <v>42</v>
      </c>
      <c r="Q3242" t="s">
        <v>43</v>
      </c>
      <c r="S3242" t="s">
        <v>30</v>
      </c>
      <c r="T3242" t="s">
        <v>2794</v>
      </c>
      <c r="U3242" t="s">
        <v>2795</v>
      </c>
      <c r="V3242" t="s">
        <v>39</v>
      </c>
      <c r="W3242" s="1">
        <v>3</v>
      </c>
    </row>
    <row r="3243" spans="1:23" x14ac:dyDescent="0.2">
      <c r="A3243" t="s">
        <v>2096</v>
      </c>
      <c r="B3243" t="s">
        <v>2097</v>
      </c>
      <c r="C3243" t="s">
        <v>2718</v>
      </c>
      <c r="D3243" t="s">
        <v>2730</v>
      </c>
      <c r="E3243" t="s">
        <v>2731</v>
      </c>
      <c r="F3243" t="s">
        <v>2732</v>
      </c>
      <c r="G3243" t="s">
        <v>106</v>
      </c>
      <c r="H3243" t="s">
        <v>30</v>
      </c>
      <c r="I3243" t="s">
        <v>30</v>
      </c>
      <c r="J3243" t="s">
        <v>41</v>
      </c>
      <c r="K3243" t="s">
        <v>32</v>
      </c>
      <c r="L3243" t="s">
        <v>32</v>
      </c>
      <c r="M3243" t="s">
        <v>33</v>
      </c>
      <c r="N3243" t="s">
        <v>33</v>
      </c>
      <c r="O3243" t="s">
        <v>33</v>
      </c>
      <c r="P3243" t="s">
        <v>42</v>
      </c>
      <c r="Q3243" t="s">
        <v>43</v>
      </c>
      <c r="S3243" t="s">
        <v>30</v>
      </c>
      <c r="T3243" t="s">
        <v>2794</v>
      </c>
      <c r="U3243" t="s">
        <v>2795</v>
      </c>
      <c r="V3243" t="s">
        <v>40</v>
      </c>
      <c r="W3243" s="1">
        <v>1102800</v>
      </c>
    </row>
    <row r="3244" spans="1:23" x14ac:dyDescent="0.2">
      <c r="A3244" t="s">
        <v>2096</v>
      </c>
      <c r="B3244" t="s">
        <v>2097</v>
      </c>
      <c r="C3244" t="s">
        <v>2718</v>
      </c>
      <c r="D3244" t="s">
        <v>2730</v>
      </c>
      <c r="E3244" t="s">
        <v>2731</v>
      </c>
      <c r="F3244" t="s">
        <v>2732</v>
      </c>
      <c r="G3244" t="s">
        <v>106</v>
      </c>
      <c r="H3244" t="s">
        <v>30</v>
      </c>
      <c r="I3244" t="s">
        <v>30</v>
      </c>
      <c r="J3244" t="s">
        <v>57</v>
      </c>
      <c r="K3244" t="s">
        <v>32</v>
      </c>
      <c r="L3244" t="s">
        <v>32</v>
      </c>
      <c r="M3244" t="s">
        <v>33</v>
      </c>
      <c r="N3244" t="s">
        <v>33</v>
      </c>
      <c r="O3244" t="s">
        <v>33</v>
      </c>
      <c r="P3244" t="s">
        <v>213</v>
      </c>
      <c r="Q3244" t="s">
        <v>214</v>
      </c>
      <c r="R3244" t="s">
        <v>294</v>
      </c>
      <c r="S3244" t="s">
        <v>30</v>
      </c>
      <c r="T3244" t="s">
        <v>2796</v>
      </c>
      <c r="U3244" t="s">
        <v>2797</v>
      </c>
      <c r="V3244" t="s">
        <v>39</v>
      </c>
      <c r="W3244" s="1">
        <v>2</v>
      </c>
    </row>
    <row r="3245" spans="1:23" x14ac:dyDescent="0.2">
      <c r="A3245" t="s">
        <v>2096</v>
      </c>
      <c r="B3245" t="s">
        <v>2097</v>
      </c>
      <c r="C3245" t="s">
        <v>2718</v>
      </c>
      <c r="D3245" t="s">
        <v>2730</v>
      </c>
      <c r="E3245" t="s">
        <v>2731</v>
      </c>
      <c r="F3245" t="s">
        <v>2732</v>
      </c>
      <c r="G3245" t="s">
        <v>106</v>
      </c>
      <c r="H3245" t="s">
        <v>30</v>
      </c>
      <c r="I3245" t="s">
        <v>30</v>
      </c>
      <c r="J3245" t="s">
        <v>57</v>
      </c>
      <c r="K3245" t="s">
        <v>32</v>
      </c>
      <c r="L3245" t="s">
        <v>32</v>
      </c>
      <c r="M3245" t="s">
        <v>33</v>
      </c>
      <c r="N3245" t="s">
        <v>33</v>
      </c>
      <c r="O3245" t="s">
        <v>33</v>
      </c>
      <c r="P3245" t="s">
        <v>213</v>
      </c>
      <c r="Q3245" t="s">
        <v>214</v>
      </c>
      <c r="R3245" t="s">
        <v>294</v>
      </c>
      <c r="S3245" t="s">
        <v>30</v>
      </c>
      <c r="T3245" t="s">
        <v>2796</v>
      </c>
      <c r="U3245" t="s">
        <v>2797</v>
      </c>
      <c r="V3245" t="s">
        <v>40</v>
      </c>
      <c r="W3245" s="1">
        <v>2217800</v>
      </c>
    </row>
    <row r="3246" spans="1:23" x14ac:dyDescent="0.2">
      <c r="A3246" t="s">
        <v>2096</v>
      </c>
      <c r="B3246" t="s">
        <v>2097</v>
      </c>
      <c r="C3246" t="s">
        <v>2718</v>
      </c>
      <c r="D3246" t="s">
        <v>2730</v>
      </c>
      <c r="E3246" t="s">
        <v>2731</v>
      </c>
      <c r="F3246" t="s">
        <v>2732</v>
      </c>
      <c r="G3246" t="s">
        <v>106</v>
      </c>
      <c r="H3246" t="s">
        <v>30</v>
      </c>
      <c r="I3246" t="s">
        <v>30</v>
      </c>
      <c r="J3246" t="s">
        <v>57</v>
      </c>
      <c r="K3246" t="s">
        <v>32</v>
      </c>
      <c r="L3246" t="s">
        <v>32</v>
      </c>
      <c r="M3246" t="s">
        <v>33</v>
      </c>
      <c r="N3246" t="s">
        <v>176</v>
      </c>
      <c r="O3246" t="s">
        <v>176</v>
      </c>
      <c r="P3246" t="s">
        <v>213</v>
      </c>
      <c r="Q3246" t="s">
        <v>214</v>
      </c>
      <c r="R3246" t="s">
        <v>294</v>
      </c>
      <c r="S3246" t="s">
        <v>30</v>
      </c>
      <c r="T3246" t="s">
        <v>2796</v>
      </c>
      <c r="U3246" t="s">
        <v>2797</v>
      </c>
      <c r="V3246" t="s">
        <v>39</v>
      </c>
      <c r="W3246" s="1">
        <v>1</v>
      </c>
    </row>
    <row r="3247" spans="1:23" x14ac:dyDescent="0.2">
      <c r="A3247" t="s">
        <v>2096</v>
      </c>
      <c r="B3247" t="s">
        <v>2097</v>
      </c>
      <c r="C3247" t="s">
        <v>2718</v>
      </c>
      <c r="D3247" t="s">
        <v>2730</v>
      </c>
      <c r="E3247" t="s">
        <v>2731</v>
      </c>
      <c r="F3247" t="s">
        <v>2732</v>
      </c>
      <c r="G3247" t="s">
        <v>106</v>
      </c>
      <c r="H3247" t="s">
        <v>30</v>
      </c>
      <c r="I3247" t="s">
        <v>30</v>
      </c>
      <c r="J3247" t="s">
        <v>57</v>
      </c>
      <c r="K3247" t="s">
        <v>32</v>
      </c>
      <c r="L3247" t="s">
        <v>32</v>
      </c>
      <c r="M3247" t="s">
        <v>33</v>
      </c>
      <c r="N3247" t="s">
        <v>176</v>
      </c>
      <c r="O3247" t="s">
        <v>176</v>
      </c>
      <c r="P3247" t="s">
        <v>213</v>
      </c>
      <c r="Q3247" t="s">
        <v>214</v>
      </c>
      <c r="R3247" t="s">
        <v>294</v>
      </c>
      <c r="S3247" t="s">
        <v>30</v>
      </c>
      <c r="T3247" t="s">
        <v>2796</v>
      </c>
      <c r="U3247" t="s">
        <v>2797</v>
      </c>
      <c r="V3247" t="s">
        <v>40</v>
      </c>
      <c r="W3247" s="1">
        <v>1108900</v>
      </c>
    </row>
    <row r="3248" spans="1:23" x14ac:dyDescent="0.2">
      <c r="A3248" t="s">
        <v>2096</v>
      </c>
      <c r="B3248" t="s">
        <v>2097</v>
      </c>
      <c r="C3248" t="s">
        <v>2718</v>
      </c>
      <c r="D3248" t="s">
        <v>2730</v>
      </c>
      <c r="E3248" t="s">
        <v>2731</v>
      </c>
      <c r="F3248" t="s">
        <v>2732</v>
      </c>
      <c r="G3248" t="s">
        <v>106</v>
      </c>
      <c r="H3248" t="s">
        <v>30</v>
      </c>
      <c r="I3248" t="s">
        <v>30</v>
      </c>
      <c r="J3248" t="s">
        <v>57</v>
      </c>
      <c r="K3248" t="s">
        <v>32</v>
      </c>
      <c r="L3248" t="s">
        <v>32</v>
      </c>
      <c r="M3248" t="s">
        <v>33</v>
      </c>
      <c r="P3248" t="s">
        <v>34</v>
      </c>
      <c r="Q3248" t="s">
        <v>35</v>
      </c>
      <c r="R3248" t="s">
        <v>294</v>
      </c>
      <c r="S3248" t="s">
        <v>52</v>
      </c>
      <c r="T3248" t="s">
        <v>2796</v>
      </c>
      <c r="U3248" t="s">
        <v>2798</v>
      </c>
      <c r="V3248" t="s">
        <v>39</v>
      </c>
      <c r="W3248" s="1">
        <v>0</v>
      </c>
    </row>
    <row r="3249" spans="1:23" x14ac:dyDescent="0.2">
      <c r="A3249" t="s">
        <v>2096</v>
      </c>
      <c r="B3249" t="s">
        <v>2097</v>
      </c>
      <c r="C3249" t="s">
        <v>2718</v>
      </c>
      <c r="D3249" t="s">
        <v>2730</v>
      </c>
      <c r="E3249" t="s">
        <v>2731</v>
      </c>
      <c r="F3249" t="s">
        <v>2732</v>
      </c>
      <c r="G3249" t="s">
        <v>106</v>
      </c>
      <c r="H3249" t="s">
        <v>30</v>
      </c>
      <c r="I3249" t="s">
        <v>30</v>
      </c>
      <c r="J3249" t="s">
        <v>57</v>
      </c>
      <c r="K3249" t="s">
        <v>32</v>
      </c>
      <c r="L3249" t="s">
        <v>32</v>
      </c>
      <c r="M3249" t="s">
        <v>33</v>
      </c>
      <c r="P3249" t="s">
        <v>34</v>
      </c>
      <c r="Q3249" t="s">
        <v>35</v>
      </c>
      <c r="R3249" t="s">
        <v>294</v>
      </c>
      <c r="S3249" t="s">
        <v>52</v>
      </c>
      <c r="T3249" t="s">
        <v>2796</v>
      </c>
      <c r="U3249" t="s">
        <v>2798</v>
      </c>
      <c r="V3249" t="s">
        <v>40</v>
      </c>
      <c r="W3249" s="1">
        <v>2217800</v>
      </c>
    </row>
    <row r="3250" spans="1:23" x14ac:dyDescent="0.2">
      <c r="A3250" t="s">
        <v>2096</v>
      </c>
      <c r="B3250" t="s">
        <v>2097</v>
      </c>
      <c r="C3250" t="s">
        <v>2718</v>
      </c>
      <c r="D3250" t="s">
        <v>2730</v>
      </c>
      <c r="E3250" t="s">
        <v>2731</v>
      </c>
      <c r="F3250" t="s">
        <v>2732</v>
      </c>
      <c r="G3250" t="s">
        <v>106</v>
      </c>
      <c r="H3250" t="s">
        <v>30</v>
      </c>
      <c r="I3250" t="s">
        <v>30</v>
      </c>
      <c r="J3250" t="s">
        <v>57</v>
      </c>
      <c r="K3250" t="s">
        <v>32</v>
      </c>
      <c r="L3250" t="s">
        <v>32</v>
      </c>
      <c r="M3250" t="s">
        <v>176</v>
      </c>
      <c r="P3250" t="s">
        <v>34</v>
      </c>
      <c r="Q3250" t="s">
        <v>35</v>
      </c>
      <c r="R3250" t="s">
        <v>294</v>
      </c>
      <c r="S3250" t="s">
        <v>52</v>
      </c>
      <c r="T3250" t="s">
        <v>2796</v>
      </c>
      <c r="U3250" t="s">
        <v>2798</v>
      </c>
      <c r="V3250" t="s">
        <v>39</v>
      </c>
      <c r="W3250" s="1">
        <v>0</v>
      </c>
    </row>
    <row r="3251" spans="1:23" x14ac:dyDescent="0.2">
      <c r="A3251" t="s">
        <v>2096</v>
      </c>
      <c r="B3251" t="s">
        <v>2097</v>
      </c>
      <c r="C3251" t="s">
        <v>2718</v>
      </c>
      <c r="D3251" t="s">
        <v>2730</v>
      </c>
      <c r="E3251" t="s">
        <v>2731</v>
      </c>
      <c r="F3251" t="s">
        <v>2732</v>
      </c>
      <c r="G3251" t="s">
        <v>106</v>
      </c>
      <c r="H3251" t="s">
        <v>30</v>
      </c>
      <c r="I3251" t="s">
        <v>30</v>
      </c>
      <c r="J3251" t="s">
        <v>57</v>
      </c>
      <c r="K3251" t="s">
        <v>32</v>
      </c>
      <c r="L3251" t="s">
        <v>32</v>
      </c>
      <c r="M3251" t="s">
        <v>176</v>
      </c>
      <c r="P3251" t="s">
        <v>34</v>
      </c>
      <c r="Q3251" t="s">
        <v>35</v>
      </c>
      <c r="R3251" t="s">
        <v>294</v>
      </c>
      <c r="S3251" t="s">
        <v>52</v>
      </c>
      <c r="T3251" t="s">
        <v>2796</v>
      </c>
      <c r="U3251" t="s">
        <v>2798</v>
      </c>
      <c r="V3251" t="s">
        <v>40</v>
      </c>
      <c r="W3251" s="1">
        <v>942560</v>
      </c>
    </row>
    <row r="3252" spans="1:23" x14ac:dyDescent="0.2">
      <c r="A3252" t="s">
        <v>2096</v>
      </c>
      <c r="B3252" t="s">
        <v>2097</v>
      </c>
      <c r="C3252" t="s">
        <v>2718</v>
      </c>
      <c r="D3252" t="s">
        <v>2730</v>
      </c>
      <c r="E3252" t="s">
        <v>2731</v>
      </c>
      <c r="F3252" t="s">
        <v>2732</v>
      </c>
      <c r="G3252" t="s">
        <v>127</v>
      </c>
      <c r="H3252" t="s">
        <v>52</v>
      </c>
      <c r="I3252" t="s">
        <v>30</v>
      </c>
      <c r="J3252" t="s">
        <v>31</v>
      </c>
      <c r="K3252" t="s">
        <v>32</v>
      </c>
      <c r="L3252" t="s">
        <v>32</v>
      </c>
      <c r="M3252" t="s">
        <v>33</v>
      </c>
      <c r="N3252" t="s">
        <v>33</v>
      </c>
      <c r="O3252" t="s">
        <v>33</v>
      </c>
      <c r="P3252" t="s">
        <v>34</v>
      </c>
      <c r="Q3252" t="s">
        <v>35</v>
      </c>
      <c r="R3252" t="s">
        <v>184</v>
      </c>
      <c r="S3252" t="s">
        <v>30</v>
      </c>
      <c r="T3252" t="s">
        <v>2799</v>
      </c>
      <c r="U3252" t="s">
        <v>2800</v>
      </c>
      <c r="V3252" t="s">
        <v>39</v>
      </c>
      <c r="W3252" s="1">
        <v>2</v>
      </c>
    </row>
    <row r="3253" spans="1:23" x14ac:dyDescent="0.2">
      <c r="A3253" t="s">
        <v>2096</v>
      </c>
      <c r="B3253" t="s">
        <v>2097</v>
      </c>
      <c r="C3253" t="s">
        <v>2718</v>
      </c>
      <c r="D3253" t="s">
        <v>2730</v>
      </c>
      <c r="E3253" t="s">
        <v>2731</v>
      </c>
      <c r="F3253" t="s">
        <v>2732</v>
      </c>
      <c r="G3253" t="s">
        <v>127</v>
      </c>
      <c r="H3253" t="s">
        <v>52</v>
      </c>
      <c r="I3253" t="s">
        <v>30</v>
      </c>
      <c r="J3253" t="s">
        <v>31</v>
      </c>
      <c r="K3253" t="s">
        <v>32</v>
      </c>
      <c r="L3253" t="s">
        <v>32</v>
      </c>
      <c r="M3253" t="s">
        <v>33</v>
      </c>
      <c r="N3253" t="s">
        <v>33</v>
      </c>
      <c r="O3253" t="s">
        <v>33</v>
      </c>
      <c r="P3253" t="s">
        <v>34</v>
      </c>
      <c r="Q3253" t="s">
        <v>35</v>
      </c>
      <c r="R3253" t="s">
        <v>184</v>
      </c>
      <c r="S3253" t="s">
        <v>30</v>
      </c>
      <c r="T3253" t="s">
        <v>2799</v>
      </c>
      <c r="U3253" t="s">
        <v>2800</v>
      </c>
      <c r="V3253" t="s">
        <v>40</v>
      </c>
      <c r="W3253" s="1">
        <v>2553800</v>
      </c>
    </row>
    <row r="3254" spans="1:23" x14ac:dyDescent="0.2">
      <c r="A3254" t="s">
        <v>2096</v>
      </c>
      <c r="B3254" t="s">
        <v>2097</v>
      </c>
      <c r="C3254" t="s">
        <v>2718</v>
      </c>
      <c r="D3254" t="s">
        <v>2730</v>
      </c>
      <c r="E3254" t="s">
        <v>2731</v>
      </c>
      <c r="F3254" t="s">
        <v>2732</v>
      </c>
      <c r="G3254" t="s">
        <v>127</v>
      </c>
      <c r="H3254" t="s">
        <v>52</v>
      </c>
      <c r="I3254" t="s">
        <v>30</v>
      </c>
      <c r="J3254" t="s">
        <v>31</v>
      </c>
      <c r="K3254" t="s">
        <v>32</v>
      </c>
      <c r="L3254" t="s">
        <v>32</v>
      </c>
      <c r="M3254" t="s">
        <v>33</v>
      </c>
      <c r="P3254" t="s">
        <v>213</v>
      </c>
      <c r="Q3254" t="s">
        <v>214</v>
      </c>
      <c r="S3254" t="s">
        <v>52</v>
      </c>
      <c r="T3254" t="s">
        <v>2801</v>
      </c>
      <c r="U3254" t="s">
        <v>2802</v>
      </c>
      <c r="V3254" t="s">
        <v>39</v>
      </c>
      <c r="W3254" s="1">
        <v>0</v>
      </c>
    </row>
    <row r="3255" spans="1:23" x14ac:dyDescent="0.2">
      <c r="A3255" t="s">
        <v>2096</v>
      </c>
      <c r="B3255" t="s">
        <v>2097</v>
      </c>
      <c r="C3255" t="s">
        <v>2718</v>
      </c>
      <c r="D3255" t="s">
        <v>2730</v>
      </c>
      <c r="E3255" t="s">
        <v>2731</v>
      </c>
      <c r="F3255" t="s">
        <v>2732</v>
      </c>
      <c r="G3255" t="s">
        <v>127</v>
      </c>
      <c r="H3255" t="s">
        <v>52</v>
      </c>
      <c r="I3255" t="s">
        <v>30</v>
      </c>
      <c r="J3255" t="s">
        <v>31</v>
      </c>
      <c r="K3255" t="s">
        <v>32</v>
      </c>
      <c r="L3255" t="s">
        <v>32</v>
      </c>
      <c r="M3255" t="s">
        <v>33</v>
      </c>
      <c r="P3255" t="s">
        <v>213</v>
      </c>
      <c r="Q3255" t="s">
        <v>214</v>
      </c>
      <c r="S3255" t="s">
        <v>52</v>
      </c>
      <c r="T3255" t="s">
        <v>2801</v>
      </c>
      <c r="U3255" t="s">
        <v>2802</v>
      </c>
      <c r="V3255" t="s">
        <v>40</v>
      </c>
      <c r="W3255" s="1">
        <v>2399700</v>
      </c>
    </row>
    <row r="3256" spans="1:23" x14ac:dyDescent="0.2">
      <c r="A3256" t="s">
        <v>2096</v>
      </c>
      <c r="B3256" t="s">
        <v>2097</v>
      </c>
      <c r="C3256" t="s">
        <v>2718</v>
      </c>
      <c r="D3256" t="s">
        <v>2730</v>
      </c>
      <c r="E3256" t="s">
        <v>2731</v>
      </c>
      <c r="F3256" t="s">
        <v>2732</v>
      </c>
      <c r="G3256" t="s">
        <v>127</v>
      </c>
      <c r="H3256" t="s">
        <v>52</v>
      </c>
      <c r="I3256" t="s">
        <v>30</v>
      </c>
      <c r="J3256" t="s">
        <v>41</v>
      </c>
      <c r="K3256" t="s">
        <v>32</v>
      </c>
      <c r="L3256" t="s">
        <v>32</v>
      </c>
      <c r="M3256" t="s">
        <v>33</v>
      </c>
      <c r="P3256" t="s">
        <v>34</v>
      </c>
      <c r="Q3256" t="s">
        <v>35</v>
      </c>
      <c r="S3256" t="s">
        <v>30</v>
      </c>
      <c r="T3256" t="s">
        <v>1839</v>
      </c>
      <c r="U3256" t="s">
        <v>2803</v>
      </c>
      <c r="V3256" t="s">
        <v>39</v>
      </c>
      <c r="W3256" s="1">
        <v>3</v>
      </c>
    </row>
    <row r="3257" spans="1:23" x14ac:dyDescent="0.2">
      <c r="A3257" t="s">
        <v>2096</v>
      </c>
      <c r="B3257" t="s">
        <v>2097</v>
      </c>
      <c r="C3257" t="s">
        <v>2718</v>
      </c>
      <c r="D3257" t="s">
        <v>2730</v>
      </c>
      <c r="E3257" t="s">
        <v>2731</v>
      </c>
      <c r="F3257" t="s">
        <v>2732</v>
      </c>
      <c r="G3257" t="s">
        <v>127</v>
      </c>
      <c r="H3257" t="s">
        <v>52</v>
      </c>
      <c r="I3257" t="s">
        <v>30</v>
      </c>
      <c r="J3257" t="s">
        <v>41</v>
      </c>
      <c r="K3257" t="s">
        <v>32</v>
      </c>
      <c r="L3257" t="s">
        <v>32</v>
      </c>
      <c r="M3257" t="s">
        <v>33</v>
      </c>
      <c r="P3257" t="s">
        <v>34</v>
      </c>
      <c r="Q3257" t="s">
        <v>35</v>
      </c>
      <c r="S3257" t="s">
        <v>30</v>
      </c>
      <c r="T3257" t="s">
        <v>1839</v>
      </c>
      <c r="U3257" t="s">
        <v>2803</v>
      </c>
      <c r="V3257" t="s">
        <v>40</v>
      </c>
      <c r="W3257" s="1">
        <v>4197000</v>
      </c>
    </row>
    <row r="3258" spans="1:23" x14ac:dyDescent="0.2">
      <c r="A3258" t="s">
        <v>2096</v>
      </c>
      <c r="B3258" t="s">
        <v>2097</v>
      </c>
      <c r="C3258" t="s">
        <v>2718</v>
      </c>
      <c r="D3258" t="s">
        <v>2730</v>
      </c>
      <c r="E3258" t="s">
        <v>2731</v>
      </c>
      <c r="F3258" t="s">
        <v>2732</v>
      </c>
      <c r="G3258" t="s">
        <v>139</v>
      </c>
      <c r="H3258" t="s">
        <v>30</v>
      </c>
      <c r="I3258" t="s">
        <v>30</v>
      </c>
      <c r="J3258" t="s">
        <v>211</v>
      </c>
      <c r="K3258" t="s">
        <v>181</v>
      </c>
      <c r="L3258" t="s">
        <v>32</v>
      </c>
      <c r="M3258" t="s">
        <v>33</v>
      </c>
      <c r="P3258" t="s">
        <v>34</v>
      </c>
      <c r="Q3258" t="s">
        <v>35</v>
      </c>
      <c r="R3258" t="s">
        <v>215</v>
      </c>
      <c r="S3258" t="s">
        <v>30</v>
      </c>
      <c r="T3258" t="s">
        <v>2804</v>
      </c>
      <c r="U3258" t="s">
        <v>2805</v>
      </c>
      <c r="V3258" t="s">
        <v>39</v>
      </c>
      <c r="W3258" s="1">
        <v>4</v>
      </c>
    </row>
    <row r="3259" spans="1:23" x14ac:dyDescent="0.2">
      <c r="A3259" t="s">
        <v>2096</v>
      </c>
      <c r="B3259" t="s">
        <v>2097</v>
      </c>
      <c r="C3259" t="s">
        <v>2718</v>
      </c>
      <c r="D3259" t="s">
        <v>2730</v>
      </c>
      <c r="E3259" t="s">
        <v>2731</v>
      </c>
      <c r="F3259" t="s">
        <v>2732</v>
      </c>
      <c r="G3259" t="s">
        <v>139</v>
      </c>
      <c r="H3259" t="s">
        <v>30</v>
      </c>
      <c r="I3259" t="s">
        <v>30</v>
      </c>
      <c r="J3259" t="s">
        <v>211</v>
      </c>
      <c r="K3259" t="s">
        <v>181</v>
      </c>
      <c r="L3259" t="s">
        <v>32</v>
      </c>
      <c r="M3259" t="s">
        <v>33</v>
      </c>
      <c r="P3259" t="s">
        <v>34</v>
      </c>
      <c r="Q3259" t="s">
        <v>35</v>
      </c>
      <c r="R3259" t="s">
        <v>215</v>
      </c>
      <c r="S3259" t="s">
        <v>30</v>
      </c>
      <c r="T3259" t="s">
        <v>2804</v>
      </c>
      <c r="U3259" t="s">
        <v>2805</v>
      </c>
      <c r="V3259" t="s">
        <v>40</v>
      </c>
      <c r="W3259" s="1">
        <v>-200000</v>
      </c>
    </row>
    <row r="3260" spans="1:23" x14ac:dyDescent="0.2">
      <c r="A3260" t="s">
        <v>2096</v>
      </c>
      <c r="B3260" t="s">
        <v>2097</v>
      </c>
      <c r="C3260" t="s">
        <v>2718</v>
      </c>
      <c r="D3260" t="s">
        <v>2730</v>
      </c>
      <c r="E3260" t="s">
        <v>2731</v>
      </c>
      <c r="F3260" t="s">
        <v>2732</v>
      </c>
      <c r="G3260" t="s">
        <v>139</v>
      </c>
      <c r="H3260" t="s">
        <v>30</v>
      </c>
      <c r="I3260" t="s">
        <v>30</v>
      </c>
      <c r="J3260" t="s">
        <v>31</v>
      </c>
      <c r="K3260" t="s">
        <v>32</v>
      </c>
      <c r="L3260" t="s">
        <v>32</v>
      </c>
      <c r="M3260" t="s">
        <v>33</v>
      </c>
      <c r="N3260" t="s">
        <v>33</v>
      </c>
      <c r="O3260" t="s">
        <v>33</v>
      </c>
      <c r="P3260" t="s">
        <v>34</v>
      </c>
      <c r="Q3260" t="s">
        <v>35</v>
      </c>
      <c r="R3260" t="s">
        <v>353</v>
      </c>
      <c r="S3260" t="s">
        <v>30</v>
      </c>
      <c r="T3260" t="s">
        <v>2806</v>
      </c>
      <c r="U3260" t="s">
        <v>2807</v>
      </c>
      <c r="V3260" t="s">
        <v>39</v>
      </c>
      <c r="W3260" s="1">
        <v>1</v>
      </c>
    </row>
    <row r="3261" spans="1:23" x14ac:dyDescent="0.2">
      <c r="A3261" t="s">
        <v>2096</v>
      </c>
      <c r="B3261" t="s">
        <v>2097</v>
      </c>
      <c r="C3261" t="s">
        <v>2718</v>
      </c>
      <c r="D3261" t="s">
        <v>2730</v>
      </c>
      <c r="E3261" t="s">
        <v>2731</v>
      </c>
      <c r="F3261" t="s">
        <v>2732</v>
      </c>
      <c r="G3261" t="s">
        <v>139</v>
      </c>
      <c r="H3261" t="s">
        <v>30</v>
      </c>
      <c r="I3261" t="s">
        <v>30</v>
      </c>
      <c r="J3261" t="s">
        <v>31</v>
      </c>
      <c r="K3261" t="s">
        <v>32</v>
      </c>
      <c r="L3261" t="s">
        <v>32</v>
      </c>
      <c r="M3261" t="s">
        <v>33</v>
      </c>
      <c r="N3261" t="s">
        <v>33</v>
      </c>
      <c r="O3261" t="s">
        <v>33</v>
      </c>
      <c r="P3261" t="s">
        <v>34</v>
      </c>
      <c r="Q3261" t="s">
        <v>35</v>
      </c>
      <c r="R3261" t="s">
        <v>353</v>
      </c>
      <c r="S3261" t="s">
        <v>30</v>
      </c>
      <c r="T3261" t="s">
        <v>2806</v>
      </c>
      <c r="U3261" t="s">
        <v>2807</v>
      </c>
      <c r="V3261" t="s">
        <v>40</v>
      </c>
      <c r="W3261" s="1">
        <v>2950200</v>
      </c>
    </row>
    <row r="3262" spans="1:23" x14ac:dyDescent="0.2">
      <c r="A3262" t="s">
        <v>2096</v>
      </c>
      <c r="B3262" t="s">
        <v>2097</v>
      </c>
      <c r="C3262" t="s">
        <v>2718</v>
      </c>
      <c r="D3262" t="s">
        <v>2730</v>
      </c>
      <c r="E3262" t="s">
        <v>2731</v>
      </c>
      <c r="F3262" t="s">
        <v>2732</v>
      </c>
      <c r="G3262" t="s">
        <v>139</v>
      </c>
      <c r="H3262" t="s">
        <v>30</v>
      </c>
      <c r="I3262" t="s">
        <v>30</v>
      </c>
      <c r="J3262" t="s">
        <v>31</v>
      </c>
      <c r="K3262" t="s">
        <v>32</v>
      </c>
      <c r="L3262" t="s">
        <v>32</v>
      </c>
      <c r="M3262" t="s">
        <v>33</v>
      </c>
      <c r="P3262" t="s">
        <v>34</v>
      </c>
      <c r="Q3262" t="s">
        <v>35</v>
      </c>
      <c r="R3262" t="s">
        <v>228</v>
      </c>
      <c r="S3262" t="s">
        <v>30</v>
      </c>
      <c r="T3262" t="s">
        <v>2808</v>
      </c>
      <c r="U3262" t="s">
        <v>2809</v>
      </c>
      <c r="V3262" t="s">
        <v>39</v>
      </c>
      <c r="W3262" s="1">
        <v>8</v>
      </c>
    </row>
    <row r="3263" spans="1:23" x14ac:dyDescent="0.2">
      <c r="A3263" t="s">
        <v>2096</v>
      </c>
      <c r="B3263" t="s">
        <v>2097</v>
      </c>
      <c r="C3263" t="s">
        <v>2718</v>
      </c>
      <c r="D3263" t="s">
        <v>2730</v>
      </c>
      <c r="E3263" t="s">
        <v>2731</v>
      </c>
      <c r="F3263" t="s">
        <v>2732</v>
      </c>
      <c r="G3263" t="s">
        <v>139</v>
      </c>
      <c r="H3263" t="s">
        <v>30</v>
      </c>
      <c r="I3263" t="s">
        <v>30</v>
      </c>
      <c r="J3263" t="s">
        <v>31</v>
      </c>
      <c r="K3263" t="s">
        <v>32</v>
      </c>
      <c r="L3263" t="s">
        <v>32</v>
      </c>
      <c r="M3263" t="s">
        <v>33</v>
      </c>
      <c r="P3263" t="s">
        <v>34</v>
      </c>
      <c r="Q3263" t="s">
        <v>35</v>
      </c>
      <c r="R3263" t="s">
        <v>228</v>
      </c>
      <c r="S3263" t="s">
        <v>30</v>
      </c>
      <c r="T3263" t="s">
        <v>2808</v>
      </c>
      <c r="U3263" t="s">
        <v>2809</v>
      </c>
      <c r="V3263" t="s">
        <v>40</v>
      </c>
      <c r="W3263" s="1">
        <v>7192000</v>
      </c>
    </row>
    <row r="3264" spans="1:23" x14ac:dyDescent="0.2">
      <c r="A3264" t="s">
        <v>2096</v>
      </c>
      <c r="B3264" t="s">
        <v>2097</v>
      </c>
      <c r="C3264" t="s">
        <v>2718</v>
      </c>
      <c r="D3264" t="s">
        <v>2730</v>
      </c>
      <c r="E3264" t="s">
        <v>2731</v>
      </c>
      <c r="F3264" t="s">
        <v>2732</v>
      </c>
      <c r="G3264" t="s">
        <v>139</v>
      </c>
      <c r="H3264" t="s">
        <v>30</v>
      </c>
      <c r="I3264" t="s">
        <v>30</v>
      </c>
      <c r="J3264" t="s">
        <v>41</v>
      </c>
      <c r="K3264" t="s">
        <v>32</v>
      </c>
      <c r="L3264" t="s">
        <v>32</v>
      </c>
      <c r="M3264" t="s">
        <v>33</v>
      </c>
      <c r="N3264" t="s">
        <v>33</v>
      </c>
      <c r="O3264" t="s">
        <v>33</v>
      </c>
      <c r="P3264" t="s">
        <v>34</v>
      </c>
      <c r="Q3264" t="s">
        <v>35</v>
      </c>
      <c r="S3264" t="s">
        <v>30</v>
      </c>
      <c r="T3264" t="s">
        <v>2810</v>
      </c>
      <c r="U3264" t="s">
        <v>2811</v>
      </c>
      <c r="V3264" t="s">
        <v>39</v>
      </c>
      <c r="W3264" s="1">
        <v>2</v>
      </c>
    </row>
    <row r="3265" spans="1:23" x14ac:dyDescent="0.2">
      <c r="A3265" t="s">
        <v>2096</v>
      </c>
      <c r="B3265" t="s">
        <v>2097</v>
      </c>
      <c r="C3265" t="s">
        <v>2718</v>
      </c>
      <c r="D3265" t="s">
        <v>2730</v>
      </c>
      <c r="E3265" t="s">
        <v>2731</v>
      </c>
      <c r="F3265" t="s">
        <v>2732</v>
      </c>
      <c r="G3265" t="s">
        <v>139</v>
      </c>
      <c r="H3265" t="s">
        <v>30</v>
      </c>
      <c r="I3265" t="s">
        <v>30</v>
      </c>
      <c r="J3265" t="s">
        <v>41</v>
      </c>
      <c r="K3265" t="s">
        <v>32</v>
      </c>
      <c r="L3265" t="s">
        <v>32</v>
      </c>
      <c r="M3265" t="s">
        <v>33</v>
      </c>
      <c r="N3265" t="s">
        <v>33</v>
      </c>
      <c r="O3265" t="s">
        <v>33</v>
      </c>
      <c r="P3265" t="s">
        <v>34</v>
      </c>
      <c r="Q3265" t="s">
        <v>35</v>
      </c>
      <c r="S3265" t="s">
        <v>30</v>
      </c>
      <c r="T3265" t="s">
        <v>2810</v>
      </c>
      <c r="U3265" t="s">
        <v>2811</v>
      </c>
      <c r="V3265" t="s">
        <v>40</v>
      </c>
      <c r="W3265" s="1">
        <v>2910800</v>
      </c>
    </row>
    <row r="3266" spans="1:23" x14ac:dyDescent="0.2">
      <c r="A3266" t="s">
        <v>2096</v>
      </c>
      <c r="B3266" t="s">
        <v>2097</v>
      </c>
      <c r="C3266" t="s">
        <v>2718</v>
      </c>
      <c r="D3266" t="s">
        <v>2730</v>
      </c>
      <c r="E3266" t="s">
        <v>2731</v>
      </c>
      <c r="F3266" t="s">
        <v>2732</v>
      </c>
      <c r="G3266" t="s">
        <v>139</v>
      </c>
      <c r="H3266" t="s">
        <v>30</v>
      </c>
      <c r="I3266" t="s">
        <v>30</v>
      </c>
      <c r="J3266" t="s">
        <v>41</v>
      </c>
      <c r="K3266" t="s">
        <v>32</v>
      </c>
      <c r="L3266" t="s">
        <v>32</v>
      </c>
      <c r="M3266" t="s">
        <v>33</v>
      </c>
      <c r="P3266" t="s">
        <v>213</v>
      </c>
      <c r="Q3266" t="s">
        <v>214</v>
      </c>
      <c r="S3266" t="s">
        <v>52</v>
      </c>
      <c r="T3266" t="s">
        <v>2812</v>
      </c>
      <c r="U3266" t="s">
        <v>2813</v>
      </c>
      <c r="V3266" t="s">
        <v>39</v>
      </c>
      <c r="W3266" s="1">
        <v>0</v>
      </c>
    </row>
    <row r="3267" spans="1:23" x14ac:dyDescent="0.2">
      <c r="A3267" t="s">
        <v>2096</v>
      </c>
      <c r="B3267" t="s">
        <v>2097</v>
      </c>
      <c r="C3267" t="s">
        <v>2718</v>
      </c>
      <c r="D3267" t="s">
        <v>2730</v>
      </c>
      <c r="E3267" t="s">
        <v>2731</v>
      </c>
      <c r="F3267" t="s">
        <v>2732</v>
      </c>
      <c r="G3267" t="s">
        <v>139</v>
      </c>
      <c r="H3267" t="s">
        <v>30</v>
      </c>
      <c r="I3267" t="s">
        <v>30</v>
      </c>
      <c r="J3267" t="s">
        <v>41</v>
      </c>
      <c r="K3267" t="s">
        <v>32</v>
      </c>
      <c r="L3267" t="s">
        <v>32</v>
      </c>
      <c r="M3267" t="s">
        <v>33</v>
      </c>
      <c r="P3267" t="s">
        <v>213</v>
      </c>
      <c r="Q3267" t="s">
        <v>214</v>
      </c>
      <c r="S3267" t="s">
        <v>52</v>
      </c>
      <c r="T3267" t="s">
        <v>2812</v>
      </c>
      <c r="U3267" t="s">
        <v>2813</v>
      </c>
      <c r="V3267" t="s">
        <v>40</v>
      </c>
      <c r="W3267" s="1">
        <v>7996000</v>
      </c>
    </row>
    <row r="3268" spans="1:23" x14ac:dyDescent="0.2">
      <c r="A3268" t="s">
        <v>2096</v>
      </c>
      <c r="B3268" t="s">
        <v>2097</v>
      </c>
      <c r="C3268" t="s">
        <v>2718</v>
      </c>
      <c r="D3268" t="s">
        <v>2730</v>
      </c>
      <c r="E3268" t="s">
        <v>2731</v>
      </c>
      <c r="F3268" t="s">
        <v>2732</v>
      </c>
      <c r="G3268" t="s">
        <v>139</v>
      </c>
      <c r="H3268" t="s">
        <v>30</v>
      </c>
      <c r="I3268" t="s">
        <v>30</v>
      </c>
      <c r="J3268" t="s">
        <v>41</v>
      </c>
      <c r="K3268" t="s">
        <v>32</v>
      </c>
      <c r="L3268" t="s">
        <v>32</v>
      </c>
      <c r="M3268" t="s">
        <v>33</v>
      </c>
      <c r="P3268" t="s">
        <v>34</v>
      </c>
      <c r="Q3268" t="s">
        <v>35</v>
      </c>
      <c r="S3268" t="s">
        <v>30</v>
      </c>
      <c r="T3268" t="s">
        <v>2814</v>
      </c>
      <c r="U3268" t="s">
        <v>2815</v>
      </c>
      <c r="V3268" t="s">
        <v>39</v>
      </c>
      <c r="W3268" s="1">
        <v>2</v>
      </c>
    </row>
    <row r="3269" spans="1:23" x14ac:dyDescent="0.2">
      <c r="A3269" t="s">
        <v>2096</v>
      </c>
      <c r="B3269" t="s">
        <v>2097</v>
      </c>
      <c r="C3269" t="s">
        <v>2718</v>
      </c>
      <c r="D3269" t="s">
        <v>2730</v>
      </c>
      <c r="E3269" t="s">
        <v>2731</v>
      </c>
      <c r="F3269" t="s">
        <v>2732</v>
      </c>
      <c r="G3269" t="s">
        <v>139</v>
      </c>
      <c r="H3269" t="s">
        <v>30</v>
      </c>
      <c r="I3269" t="s">
        <v>30</v>
      </c>
      <c r="J3269" t="s">
        <v>41</v>
      </c>
      <c r="K3269" t="s">
        <v>32</v>
      </c>
      <c r="L3269" t="s">
        <v>32</v>
      </c>
      <c r="M3269" t="s">
        <v>33</v>
      </c>
      <c r="P3269" t="s">
        <v>34</v>
      </c>
      <c r="Q3269" t="s">
        <v>35</v>
      </c>
      <c r="S3269" t="s">
        <v>30</v>
      </c>
      <c r="T3269" t="s">
        <v>2814</v>
      </c>
      <c r="U3269" t="s">
        <v>2815</v>
      </c>
      <c r="V3269" t="s">
        <v>40</v>
      </c>
      <c r="W3269" s="1">
        <v>1583800</v>
      </c>
    </row>
    <row r="3270" spans="1:23" x14ac:dyDescent="0.2">
      <c r="A3270" t="s">
        <v>2096</v>
      </c>
      <c r="B3270" t="s">
        <v>2097</v>
      </c>
      <c r="C3270" t="s">
        <v>2718</v>
      </c>
      <c r="D3270" t="s">
        <v>2730</v>
      </c>
      <c r="E3270" t="s">
        <v>2731</v>
      </c>
      <c r="F3270" t="s">
        <v>2732</v>
      </c>
      <c r="G3270" t="s">
        <v>139</v>
      </c>
      <c r="H3270" t="s">
        <v>30</v>
      </c>
      <c r="I3270" t="s">
        <v>30</v>
      </c>
      <c r="J3270" t="s">
        <v>41</v>
      </c>
      <c r="K3270" t="s">
        <v>32</v>
      </c>
      <c r="L3270" t="s">
        <v>32</v>
      </c>
      <c r="M3270" t="s">
        <v>33</v>
      </c>
      <c r="P3270" t="s">
        <v>42</v>
      </c>
      <c r="Q3270" t="s">
        <v>43</v>
      </c>
      <c r="S3270" t="s">
        <v>30</v>
      </c>
      <c r="T3270" t="s">
        <v>2816</v>
      </c>
      <c r="U3270" t="s">
        <v>2817</v>
      </c>
      <c r="V3270" t="s">
        <v>39</v>
      </c>
      <c r="W3270" s="1">
        <v>2</v>
      </c>
    </row>
    <row r="3271" spans="1:23" x14ac:dyDescent="0.2">
      <c r="A3271" t="s">
        <v>2096</v>
      </c>
      <c r="B3271" t="s">
        <v>2097</v>
      </c>
      <c r="C3271" t="s">
        <v>2718</v>
      </c>
      <c r="D3271" t="s">
        <v>2730</v>
      </c>
      <c r="E3271" t="s">
        <v>2731</v>
      </c>
      <c r="F3271" t="s">
        <v>2732</v>
      </c>
      <c r="G3271" t="s">
        <v>139</v>
      </c>
      <c r="H3271" t="s">
        <v>30</v>
      </c>
      <c r="I3271" t="s">
        <v>30</v>
      </c>
      <c r="J3271" t="s">
        <v>41</v>
      </c>
      <c r="K3271" t="s">
        <v>32</v>
      </c>
      <c r="L3271" t="s">
        <v>32</v>
      </c>
      <c r="M3271" t="s">
        <v>33</v>
      </c>
      <c r="P3271" t="s">
        <v>42</v>
      </c>
      <c r="Q3271" t="s">
        <v>43</v>
      </c>
      <c r="S3271" t="s">
        <v>30</v>
      </c>
      <c r="T3271" t="s">
        <v>2816</v>
      </c>
      <c r="U3271" t="s">
        <v>2817</v>
      </c>
      <c r="V3271" t="s">
        <v>40</v>
      </c>
      <c r="W3271" s="1">
        <v>2064800</v>
      </c>
    </row>
    <row r="3272" spans="1:23" x14ac:dyDescent="0.2">
      <c r="A3272" t="s">
        <v>2096</v>
      </c>
      <c r="B3272" t="s">
        <v>2097</v>
      </c>
      <c r="C3272" t="s">
        <v>2718</v>
      </c>
      <c r="D3272" t="s">
        <v>2730</v>
      </c>
      <c r="E3272" t="s">
        <v>2818</v>
      </c>
      <c r="F3272" t="s">
        <v>2819</v>
      </c>
      <c r="G3272" t="s">
        <v>29</v>
      </c>
      <c r="H3272" t="s">
        <v>30</v>
      </c>
      <c r="I3272" t="s">
        <v>30</v>
      </c>
      <c r="J3272" t="s">
        <v>128</v>
      </c>
      <c r="K3272" t="s">
        <v>135</v>
      </c>
      <c r="L3272" t="s">
        <v>32</v>
      </c>
      <c r="M3272" t="s">
        <v>33</v>
      </c>
      <c r="N3272" t="s">
        <v>33</v>
      </c>
      <c r="O3272" t="s">
        <v>33</v>
      </c>
      <c r="P3272" t="s">
        <v>42</v>
      </c>
      <c r="Q3272" t="s">
        <v>43</v>
      </c>
      <c r="R3272" t="s">
        <v>136</v>
      </c>
      <c r="S3272" t="s">
        <v>30</v>
      </c>
      <c r="T3272" t="s">
        <v>2820</v>
      </c>
      <c r="U3272" t="s">
        <v>2821</v>
      </c>
      <c r="V3272" t="s">
        <v>39</v>
      </c>
      <c r="W3272" s="1">
        <v>2</v>
      </c>
    </row>
    <row r="3273" spans="1:23" x14ac:dyDescent="0.2">
      <c r="A3273" t="s">
        <v>2096</v>
      </c>
      <c r="B3273" t="s">
        <v>2097</v>
      </c>
      <c r="C3273" t="s">
        <v>2718</v>
      </c>
      <c r="D3273" t="s">
        <v>2730</v>
      </c>
      <c r="E3273" t="s">
        <v>2818</v>
      </c>
      <c r="F3273" t="s">
        <v>2819</v>
      </c>
      <c r="G3273" t="s">
        <v>29</v>
      </c>
      <c r="H3273" t="s">
        <v>30</v>
      </c>
      <c r="I3273" t="s">
        <v>30</v>
      </c>
      <c r="J3273" t="s">
        <v>128</v>
      </c>
      <c r="K3273" t="s">
        <v>135</v>
      </c>
      <c r="L3273" t="s">
        <v>32</v>
      </c>
      <c r="M3273" t="s">
        <v>33</v>
      </c>
      <c r="N3273" t="s">
        <v>33</v>
      </c>
      <c r="O3273" t="s">
        <v>33</v>
      </c>
      <c r="P3273" t="s">
        <v>42</v>
      </c>
      <c r="Q3273" t="s">
        <v>43</v>
      </c>
      <c r="R3273" t="s">
        <v>136</v>
      </c>
      <c r="S3273" t="s">
        <v>30</v>
      </c>
      <c r="T3273" t="s">
        <v>2820</v>
      </c>
      <c r="U3273" t="s">
        <v>2821</v>
      </c>
      <c r="V3273" t="s">
        <v>40</v>
      </c>
      <c r="W3273" s="1">
        <v>1724800</v>
      </c>
    </row>
    <row r="3274" spans="1:23" x14ac:dyDescent="0.2">
      <c r="A3274" t="s">
        <v>2096</v>
      </c>
      <c r="B3274" t="s">
        <v>2097</v>
      </c>
      <c r="C3274" t="s">
        <v>2718</v>
      </c>
      <c r="D3274" t="s">
        <v>2730</v>
      </c>
      <c r="E3274" t="s">
        <v>2818</v>
      </c>
      <c r="F3274" t="s">
        <v>2819</v>
      </c>
      <c r="G3274" t="s">
        <v>29</v>
      </c>
      <c r="H3274" t="s">
        <v>30</v>
      </c>
      <c r="I3274" t="s">
        <v>30</v>
      </c>
      <c r="J3274" t="s">
        <v>128</v>
      </c>
      <c r="K3274" t="s">
        <v>135</v>
      </c>
      <c r="L3274" t="s">
        <v>32</v>
      </c>
      <c r="M3274" t="s">
        <v>176</v>
      </c>
      <c r="N3274" t="s">
        <v>176</v>
      </c>
      <c r="O3274" t="s">
        <v>176</v>
      </c>
      <c r="P3274" t="s">
        <v>42</v>
      </c>
      <c r="Q3274" t="s">
        <v>43</v>
      </c>
      <c r="R3274" t="s">
        <v>136</v>
      </c>
      <c r="S3274" t="s">
        <v>30</v>
      </c>
      <c r="T3274" t="s">
        <v>2820</v>
      </c>
      <c r="U3274" t="s">
        <v>2821</v>
      </c>
      <c r="V3274" t="s">
        <v>39</v>
      </c>
      <c r="W3274" s="1">
        <v>2</v>
      </c>
    </row>
    <row r="3275" spans="1:23" x14ac:dyDescent="0.2">
      <c r="A3275" t="s">
        <v>2096</v>
      </c>
      <c r="B3275" t="s">
        <v>2097</v>
      </c>
      <c r="C3275" t="s">
        <v>2718</v>
      </c>
      <c r="D3275" t="s">
        <v>2730</v>
      </c>
      <c r="E3275" t="s">
        <v>2818</v>
      </c>
      <c r="F3275" t="s">
        <v>2819</v>
      </c>
      <c r="G3275" t="s">
        <v>29</v>
      </c>
      <c r="H3275" t="s">
        <v>30</v>
      </c>
      <c r="I3275" t="s">
        <v>30</v>
      </c>
      <c r="J3275" t="s">
        <v>128</v>
      </c>
      <c r="K3275" t="s">
        <v>135</v>
      </c>
      <c r="L3275" t="s">
        <v>32</v>
      </c>
      <c r="M3275" t="s">
        <v>176</v>
      </c>
      <c r="N3275" t="s">
        <v>176</v>
      </c>
      <c r="O3275" t="s">
        <v>176</v>
      </c>
      <c r="P3275" t="s">
        <v>42</v>
      </c>
      <c r="Q3275" t="s">
        <v>43</v>
      </c>
      <c r="R3275" t="s">
        <v>136</v>
      </c>
      <c r="S3275" t="s">
        <v>30</v>
      </c>
      <c r="T3275" t="s">
        <v>2820</v>
      </c>
      <c r="U3275" t="s">
        <v>2821</v>
      </c>
      <c r="V3275" t="s">
        <v>40</v>
      </c>
      <c r="W3275" s="1">
        <v>1719600</v>
      </c>
    </row>
    <row r="3276" spans="1:23" x14ac:dyDescent="0.2">
      <c r="A3276" t="s">
        <v>2096</v>
      </c>
      <c r="B3276" t="s">
        <v>2097</v>
      </c>
      <c r="C3276" t="s">
        <v>2718</v>
      </c>
      <c r="D3276" t="s">
        <v>2730</v>
      </c>
      <c r="E3276" t="s">
        <v>2818</v>
      </c>
      <c r="F3276" t="s">
        <v>2819</v>
      </c>
      <c r="G3276" t="s">
        <v>29</v>
      </c>
      <c r="H3276" t="s">
        <v>30</v>
      </c>
      <c r="I3276" t="s">
        <v>30</v>
      </c>
      <c r="J3276" t="s">
        <v>128</v>
      </c>
      <c r="K3276" t="s">
        <v>181</v>
      </c>
      <c r="L3276" t="s">
        <v>32</v>
      </c>
      <c r="M3276" t="s">
        <v>33</v>
      </c>
      <c r="P3276" t="s">
        <v>34</v>
      </c>
      <c r="Q3276" t="s">
        <v>35</v>
      </c>
      <c r="S3276" t="s">
        <v>30</v>
      </c>
      <c r="T3276" t="s">
        <v>2822</v>
      </c>
      <c r="U3276" t="s">
        <v>2823</v>
      </c>
      <c r="V3276" t="s">
        <v>39</v>
      </c>
      <c r="W3276" s="1">
        <v>34</v>
      </c>
    </row>
    <row r="3277" spans="1:23" x14ac:dyDescent="0.2">
      <c r="A3277" t="s">
        <v>2096</v>
      </c>
      <c r="B3277" t="s">
        <v>2097</v>
      </c>
      <c r="C3277" t="s">
        <v>2718</v>
      </c>
      <c r="D3277" t="s">
        <v>2730</v>
      </c>
      <c r="E3277" t="s">
        <v>2818</v>
      </c>
      <c r="F3277" t="s">
        <v>2819</v>
      </c>
      <c r="G3277" t="s">
        <v>29</v>
      </c>
      <c r="H3277" t="s">
        <v>30</v>
      </c>
      <c r="I3277" t="s">
        <v>30</v>
      </c>
      <c r="J3277" t="s">
        <v>128</v>
      </c>
      <c r="K3277" t="s">
        <v>181</v>
      </c>
      <c r="L3277" t="s">
        <v>32</v>
      </c>
      <c r="M3277" t="s">
        <v>33</v>
      </c>
      <c r="P3277" t="s">
        <v>34</v>
      </c>
      <c r="Q3277" t="s">
        <v>35</v>
      </c>
      <c r="S3277" t="s">
        <v>30</v>
      </c>
      <c r="T3277" t="s">
        <v>2822</v>
      </c>
      <c r="U3277" t="s">
        <v>2823</v>
      </c>
      <c r="V3277" t="s">
        <v>40</v>
      </c>
      <c r="W3277" s="1">
        <v>0</v>
      </c>
    </row>
    <row r="3278" spans="1:23" x14ac:dyDescent="0.2">
      <c r="A3278" t="s">
        <v>2096</v>
      </c>
      <c r="B3278" t="s">
        <v>2097</v>
      </c>
      <c r="C3278" t="s">
        <v>2718</v>
      </c>
      <c r="D3278" t="s">
        <v>2730</v>
      </c>
      <c r="E3278" t="s">
        <v>2818</v>
      </c>
      <c r="F3278" t="s">
        <v>2819</v>
      </c>
      <c r="G3278" t="s">
        <v>29</v>
      </c>
      <c r="H3278" t="s">
        <v>30</v>
      </c>
      <c r="I3278" t="s">
        <v>30</v>
      </c>
      <c r="J3278" t="s">
        <v>128</v>
      </c>
      <c r="K3278" t="s">
        <v>181</v>
      </c>
      <c r="L3278" t="s">
        <v>32</v>
      </c>
      <c r="M3278" t="s">
        <v>33</v>
      </c>
      <c r="P3278" t="s">
        <v>34</v>
      </c>
      <c r="Q3278" t="s">
        <v>35</v>
      </c>
      <c r="S3278" t="s">
        <v>30</v>
      </c>
      <c r="T3278" t="s">
        <v>2824</v>
      </c>
      <c r="U3278" t="s">
        <v>2825</v>
      </c>
      <c r="V3278" t="s">
        <v>39</v>
      </c>
      <c r="W3278" s="1">
        <v>28</v>
      </c>
    </row>
    <row r="3279" spans="1:23" x14ac:dyDescent="0.2">
      <c r="A3279" t="s">
        <v>2096</v>
      </c>
      <c r="B3279" t="s">
        <v>2097</v>
      </c>
      <c r="C3279" t="s">
        <v>2718</v>
      </c>
      <c r="D3279" t="s">
        <v>2730</v>
      </c>
      <c r="E3279" t="s">
        <v>2818</v>
      </c>
      <c r="F3279" t="s">
        <v>2819</v>
      </c>
      <c r="G3279" t="s">
        <v>29</v>
      </c>
      <c r="H3279" t="s">
        <v>30</v>
      </c>
      <c r="I3279" t="s">
        <v>30</v>
      </c>
      <c r="J3279" t="s">
        <v>128</v>
      </c>
      <c r="K3279" t="s">
        <v>181</v>
      </c>
      <c r="L3279" t="s">
        <v>32</v>
      </c>
      <c r="M3279" t="s">
        <v>33</v>
      </c>
      <c r="P3279" t="s">
        <v>34</v>
      </c>
      <c r="Q3279" t="s">
        <v>35</v>
      </c>
      <c r="S3279" t="s">
        <v>30</v>
      </c>
      <c r="T3279" t="s">
        <v>2824</v>
      </c>
      <c r="U3279" t="s">
        <v>2825</v>
      </c>
      <c r="V3279" t="s">
        <v>40</v>
      </c>
      <c r="W3279" s="1">
        <v>0</v>
      </c>
    </row>
    <row r="3280" spans="1:23" x14ac:dyDescent="0.2">
      <c r="A3280" t="s">
        <v>2096</v>
      </c>
      <c r="B3280" t="s">
        <v>2097</v>
      </c>
      <c r="C3280" t="s">
        <v>2718</v>
      </c>
      <c r="D3280" t="s">
        <v>2730</v>
      </c>
      <c r="E3280" t="s">
        <v>2818</v>
      </c>
      <c r="F3280" t="s">
        <v>2819</v>
      </c>
      <c r="G3280" t="s">
        <v>29</v>
      </c>
      <c r="H3280" t="s">
        <v>30</v>
      </c>
      <c r="I3280" t="s">
        <v>30</v>
      </c>
      <c r="J3280" t="s">
        <v>31</v>
      </c>
      <c r="K3280" t="s">
        <v>32</v>
      </c>
      <c r="L3280" t="s">
        <v>32</v>
      </c>
      <c r="M3280" t="s">
        <v>33</v>
      </c>
      <c r="N3280" t="s">
        <v>33</v>
      </c>
      <c r="O3280" t="s">
        <v>33</v>
      </c>
      <c r="P3280" t="s">
        <v>34</v>
      </c>
      <c r="Q3280" t="s">
        <v>35</v>
      </c>
      <c r="S3280" t="s">
        <v>30</v>
      </c>
      <c r="T3280" t="s">
        <v>2826</v>
      </c>
      <c r="U3280" t="s">
        <v>2827</v>
      </c>
      <c r="V3280" t="s">
        <v>39</v>
      </c>
      <c r="W3280" s="1">
        <v>2</v>
      </c>
    </row>
    <row r="3281" spans="1:23" x14ac:dyDescent="0.2">
      <c r="A3281" t="s">
        <v>2096</v>
      </c>
      <c r="B3281" t="s">
        <v>2097</v>
      </c>
      <c r="C3281" t="s">
        <v>2718</v>
      </c>
      <c r="D3281" t="s">
        <v>2730</v>
      </c>
      <c r="E3281" t="s">
        <v>2818</v>
      </c>
      <c r="F3281" t="s">
        <v>2819</v>
      </c>
      <c r="G3281" t="s">
        <v>29</v>
      </c>
      <c r="H3281" t="s">
        <v>30</v>
      </c>
      <c r="I3281" t="s">
        <v>30</v>
      </c>
      <c r="J3281" t="s">
        <v>31</v>
      </c>
      <c r="K3281" t="s">
        <v>32</v>
      </c>
      <c r="L3281" t="s">
        <v>32</v>
      </c>
      <c r="M3281" t="s">
        <v>33</v>
      </c>
      <c r="N3281" t="s">
        <v>33</v>
      </c>
      <c r="O3281" t="s">
        <v>33</v>
      </c>
      <c r="P3281" t="s">
        <v>34</v>
      </c>
      <c r="Q3281" t="s">
        <v>35</v>
      </c>
      <c r="S3281" t="s">
        <v>30</v>
      </c>
      <c r="T3281" t="s">
        <v>2826</v>
      </c>
      <c r="U3281" t="s">
        <v>2827</v>
      </c>
      <c r="V3281" t="s">
        <v>40</v>
      </c>
      <c r="W3281" s="1">
        <v>1553800</v>
      </c>
    </row>
    <row r="3282" spans="1:23" x14ac:dyDescent="0.2">
      <c r="A3282" t="s">
        <v>2096</v>
      </c>
      <c r="B3282" t="s">
        <v>2097</v>
      </c>
      <c r="C3282" t="s">
        <v>2718</v>
      </c>
      <c r="D3282" t="s">
        <v>2730</v>
      </c>
      <c r="E3282" t="s">
        <v>2818</v>
      </c>
      <c r="F3282" t="s">
        <v>2819</v>
      </c>
      <c r="G3282" t="s">
        <v>29</v>
      </c>
      <c r="H3282" t="s">
        <v>30</v>
      </c>
      <c r="I3282" t="s">
        <v>30</v>
      </c>
      <c r="J3282" t="s">
        <v>610</v>
      </c>
      <c r="K3282" t="s">
        <v>611</v>
      </c>
      <c r="L3282" t="s">
        <v>32</v>
      </c>
      <c r="M3282" t="s">
        <v>33</v>
      </c>
      <c r="P3282" t="s">
        <v>34</v>
      </c>
      <c r="Q3282" t="s">
        <v>35</v>
      </c>
      <c r="S3282" t="s">
        <v>30</v>
      </c>
      <c r="T3282" t="s">
        <v>2828</v>
      </c>
      <c r="U3282" t="s">
        <v>2829</v>
      </c>
      <c r="V3282" t="s">
        <v>39</v>
      </c>
      <c r="W3282" s="1">
        <v>5</v>
      </c>
    </row>
    <row r="3283" spans="1:23" x14ac:dyDescent="0.2">
      <c r="A3283" t="s">
        <v>2096</v>
      </c>
      <c r="B3283" t="s">
        <v>2097</v>
      </c>
      <c r="C3283" t="s">
        <v>2718</v>
      </c>
      <c r="D3283" t="s">
        <v>2730</v>
      </c>
      <c r="E3283" t="s">
        <v>2818</v>
      </c>
      <c r="F3283" t="s">
        <v>2819</v>
      </c>
      <c r="G3283" t="s">
        <v>29</v>
      </c>
      <c r="H3283" t="s">
        <v>30</v>
      </c>
      <c r="I3283" t="s">
        <v>30</v>
      </c>
      <c r="J3283" t="s">
        <v>610</v>
      </c>
      <c r="K3283" t="s">
        <v>611</v>
      </c>
      <c r="L3283" t="s">
        <v>32</v>
      </c>
      <c r="M3283" t="s">
        <v>33</v>
      </c>
      <c r="P3283" t="s">
        <v>34</v>
      </c>
      <c r="Q3283" t="s">
        <v>35</v>
      </c>
      <c r="S3283" t="s">
        <v>30</v>
      </c>
      <c r="T3283" t="s">
        <v>2828</v>
      </c>
      <c r="U3283" t="s">
        <v>2829</v>
      </c>
      <c r="V3283" t="s">
        <v>40</v>
      </c>
      <c r="W3283" s="1">
        <v>0</v>
      </c>
    </row>
    <row r="3284" spans="1:23" x14ac:dyDescent="0.2">
      <c r="A3284" t="s">
        <v>2096</v>
      </c>
      <c r="B3284" t="s">
        <v>2097</v>
      </c>
      <c r="C3284" t="s">
        <v>2718</v>
      </c>
      <c r="D3284" t="s">
        <v>2730</v>
      </c>
      <c r="E3284" t="s">
        <v>2818</v>
      </c>
      <c r="F3284" t="s">
        <v>2819</v>
      </c>
      <c r="G3284" t="s">
        <v>61</v>
      </c>
      <c r="H3284" t="s">
        <v>52</v>
      </c>
      <c r="I3284" t="s">
        <v>52</v>
      </c>
      <c r="J3284" t="s">
        <v>41</v>
      </c>
      <c r="K3284" t="s">
        <v>32</v>
      </c>
      <c r="L3284" t="s">
        <v>32</v>
      </c>
      <c r="M3284" t="s">
        <v>33</v>
      </c>
      <c r="N3284" t="s">
        <v>33</v>
      </c>
      <c r="O3284" t="s">
        <v>33</v>
      </c>
      <c r="P3284" t="s">
        <v>34</v>
      </c>
      <c r="Q3284" t="s">
        <v>35</v>
      </c>
      <c r="S3284" t="s">
        <v>30</v>
      </c>
      <c r="T3284" t="s">
        <v>2830</v>
      </c>
      <c r="U3284" t="s">
        <v>2831</v>
      </c>
      <c r="V3284" t="s">
        <v>39</v>
      </c>
      <c r="W3284" s="1">
        <v>1</v>
      </c>
    </row>
    <row r="3285" spans="1:23" x14ac:dyDescent="0.2">
      <c r="A3285" t="s">
        <v>2096</v>
      </c>
      <c r="B3285" t="s">
        <v>2097</v>
      </c>
      <c r="C3285" t="s">
        <v>2718</v>
      </c>
      <c r="D3285" t="s">
        <v>2730</v>
      </c>
      <c r="E3285" t="s">
        <v>2818</v>
      </c>
      <c r="F3285" t="s">
        <v>2819</v>
      </c>
      <c r="G3285" t="s">
        <v>61</v>
      </c>
      <c r="H3285" t="s">
        <v>52</v>
      </c>
      <c r="I3285" t="s">
        <v>52</v>
      </c>
      <c r="J3285" t="s">
        <v>41</v>
      </c>
      <c r="K3285" t="s">
        <v>32</v>
      </c>
      <c r="L3285" t="s">
        <v>32</v>
      </c>
      <c r="M3285" t="s">
        <v>33</v>
      </c>
      <c r="N3285" t="s">
        <v>33</v>
      </c>
      <c r="O3285" t="s">
        <v>33</v>
      </c>
      <c r="P3285" t="s">
        <v>34</v>
      </c>
      <c r="Q3285" t="s">
        <v>35</v>
      </c>
      <c r="S3285" t="s">
        <v>30</v>
      </c>
      <c r="T3285" t="s">
        <v>2830</v>
      </c>
      <c r="U3285" t="s">
        <v>2831</v>
      </c>
      <c r="V3285" t="s">
        <v>40</v>
      </c>
      <c r="W3285" s="1">
        <v>1128000</v>
      </c>
    </row>
    <row r="3286" spans="1:23" x14ac:dyDescent="0.2">
      <c r="A3286" t="s">
        <v>2096</v>
      </c>
      <c r="B3286" t="s">
        <v>2097</v>
      </c>
      <c r="C3286" t="s">
        <v>2718</v>
      </c>
      <c r="D3286" t="s">
        <v>2730</v>
      </c>
      <c r="E3286" t="s">
        <v>2818</v>
      </c>
      <c r="F3286" t="s">
        <v>2819</v>
      </c>
      <c r="G3286" t="s">
        <v>61</v>
      </c>
      <c r="H3286" t="s">
        <v>52</v>
      </c>
      <c r="I3286" t="s">
        <v>52</v>
      </c>
      <c r="J3286" t="s">
        <v>41</v>
      </c>
      <c r="K3286" t="s">
        <v>32</v>
      </c>
      <c r="L3286" t="s">
        <v>32</v>
      </c>
      <c r="M3286" t="s">
        <v>33</v>
      </c>
      <c r="P3286" t="s">
        <v>34</v>
      </c>
      <c r="Q3286" t="s">
        <v>35</v>
      </c>
      <c r="S3286" t="s">
        <v>52</v>
      </c>
      <c r="T3286" t="s">
        <v>2832</v>
      </c>
      <c r="U3286" t="s">
        <v>2833</v>
      </c>
      <c r="V3286" t="s">
        <v>39</v>
      </c>
      <c r="W3286" s="1">
        <v>0</v>
      </c>
    </row>
    <row r="3287" spans="1:23" x14ac:dyDescent="0.2">
      <c r="A3287" t="s">
        <v>2096</v>
      </c>
      <c r="B3287" t="s">
        <v>2097</v>
      </c>
      <c r="C3287" t="s">
        <v>2718</v>
      </c>
      <c r="D3287" t="s">
        <v>2730</v>
      </c>
      <c r="E3287" t="s">
        <v>2818</v>
      </c>
      <c r="F3287" t="s">
        <v>2819</v>
      </c>
      <c r="G3287" t="s">
        <v>61</v>
      </c>
      <c r="H3287" t="s">
        <v>52</v>
      </c>
      <c r="I3287" t="s">
        <v>52</v>
      </c>
      <c r="J3287" t="s">
        <v>41</v>
      </c>
      <c r="K3287" t="s">
        <v>32</v>
      </c>
      <c r="L3287" t="s">
        <v>32</v>
      </c>
      <c r="M3287" t="s">
        <v>33</v>
      </c>
      <c r="P3287" t="s">
        <v>34</v>
      </c>
      <c r="Q3287" t="s">
        <v>35</v>
      </c>
      <c r="S3287" t="s">
        <v>52</v>
      </c>
      <c r="T3287" t="s">
        <v>2832</v>
      </c>
      <c r="U3287" t="s">
        <v>2833</v>
      </c>
      <c r="V3287" t="s">
        <v>40</v>
      </c>
      <c r="W3287" s="1">
        <v>1128000</v>
      </c>
    </row>
    <row r="3288" spans="1:23" x14ac:dyDescent="0.2">
      <c r="A3288" t="s">
        <v>2096</v>
      </c>
      <c r="B3288" t="s">
        <v>2097</v>
      </c>
      <c r="C3288" t="s">
        <v>2718</v>
      </c>
      <c r="D3288" t="s">
        <v>2730</v>
      </c>
      <c r="E3288" t="s">
        <v>2818</v>
      </c>
      <c r="F3288" t="s">
        <v>2819</v>
      </c>
      <c r="G3288" t="s">
        <v>61</v>
      </c>
      <c r="H3288" t="s">
        <v>52</v>
      </c>
      <c r="I3288" t="s">
        <v>52</v>
      </c>
      <c r="J3288" t="s">
        <v>41</v>
      </c>
      <c r="K3288" t="s">
        <v>32</v>
      </c>
      <c r="L3288" t="s">
        <v>32</v>
      </c>
      <c r="M3288" t="s">
        <v>33</v>
      </c>
      <c r="P3288" t="s">
        <v>34</v>
      </c>
      <c r="Q3288" t="s">
        <v>35</v>
      </c>
      <c r="S3288" t="s">
        <v>52</v>
      </c>
      <c r="T3288" t="s">
        <v>2834</v>
      </c>
      <c r="U3288" t="s">
        <v>2835</v>
      </c>
      <c r="V3288" t="s">
        <v>39</v>
      </c>
      <c r="W3288" s="1">
        <v>0</v>
      </c>
    </row>
    <row r="3289" spans="1:23" x14ac:dyDescent="0.2">
      <c r="A3289" t="s">
        <v>2096</v>
      </c>
      <c r="B3289" t="s">
        <v>2097</v>
      </c>
      <c r="C3289" t="s">
        <v>2718</v>
      </c>
      <c r="D3289" t="s">
        <v>2730</v>
      </c>
      <c r="E3289" t="s">
        <v>2818</v>
      </c>
      <c r="F3289" t="s">
        <v>2819</v>
      </c>
      <c r="G3289" t="s">
        <v>61</v>
      </c>
      <c r="H3289" t="s">
        <v>52</v>
      </c>
      <c r="I3289" t="s">
        <v>52</v>
      </c>
      <c r="J3289" t="s">
        <v>41</v>
      </c>
      <c r="K3289" t="s">
        <v>32</v>
      </c>
      <c r="L3289" t="s">
        <v>32</v>
      </c>
      <c r="M3289" t="s">
        <v>33</v>
      </c>
      <c r="P3289" t="s">
        <v>34</v>
      </c>
      <c r="Q3289" t="s">
        <v>35</v>
      </c>
      <c r="S3289" t="s">
        <v>52</v>
      </c>
      <c r="T3289" t="s">
        <v>2834</v>
      </c>
      <c r="U3289" t="s">
        <v>2835</v>
      </c>
      <c r="V3289" t="s">
        <v>40</v>
      </c>
      <c r="W3289" s="1">
        <v>18147000</v>
      </c>
    </row>
    <row r="3290" spans="1:23" x14ac:dyDescent="0.2">
      <c r="A3290" t="s">
        <v>2096</v>
      </c>
      <c r="B3290" t="s">
        <v>2097</v>
      </c>
      <c r="C3290" t="s">
        <v>2718</v>
      </c>
      <c r="D3290" t="s">
        <v>2730</v>
      </c>
      <c r="E3290" t="s">
        <v>2818</v>
      </c>
      <c r="F3290" t="s">
        <v>2819</v>
      </c>
      <c r="G3290" t="s">
        <v>61</v>
      </c>
      <c r="H3290" t="s">
        <v>52</v>
      </c>
      <c r="I3290" t="s">
        <v>52</v>
      </c>
      <c r="J3290" t="s">
        <v>41</v>
      </c>
      <c r="K3290" t="s">
        <v>32</v>
      </c>
      <c r="L3290" t="s">
        <v>32</v>
      </c>
      <c r="M3290" t="s">
        <v>176</v>
      </c>
      <c r="N3290" t="s">
        <v>176</v>
      </c>
      <c r="O3290" t="s">
        <v>176</v>
      </c>
      <c r="P3290" t="s">
        <v>34</v>
      </c>
      <c r="Q3290" t="s">
        <v>35</v>
      </c>
      <c r="S3290" t="s">
        <v>30</v>
      </c>
      <c r="T3290" t="s">
        <v>2830</v>
      </c>
      <c r="U3290" t="s">
        <v>2831</v>
      </c>
      <c r="V3290" t="s">
        <v>39</v>
      </c>
      <c r="W3290" s="1">
        <v>1</v>
      </c>
    </row>
    <row r="3291" spans="1:23" x14ac:dyDescent="0.2">
      <c r="A3291" t="s">
        <v>2096</v>
      </c>
      <c r="B3291" t="s">
        <v>2097</v>
      </c>
      <c r="C3291" t="s">
        <v>2718</v>
      </c>
      <c r="D3291" t="s">
        <v>2730</v>
      </c>
      <c r="E3291" t="s">
        <v>2818</v>
      </c>
      <c r="F3291" t="s">
        <v>2819</v>
      </c>
      <c r="G3291" t="s">
        <v>61</v>
      </c>
      <c r="H3291" t="s">
        <v>52</v>
      </c>
      <c r="I3291" t="s">
        <v>52</v>
      </c>
      <c r="J3291" t="s">
        <v>41</v>
      </c>
      <c r="K3291" t="s">
        <v>32</v>
      </c>
      <c r="L3291" t="s">
        <v>32</v>
      </c>
      <c r="M3291" t="s">
        <v>176</v>
      </c>
      <c r="N3291" t="s">
        <v>176</v>
      </c>
      <c r="O3291" t="s">
        <v>176</v>
      </c>
      <c r="P3291" t="s">
        <v>34</v>
      </c>
      <c r="Q3291" t="s">
        <v>35</v>
      </c>
      <c r="S3291" t="s">
        <v>30</v>
      </c>
      <c r="T3291" t="s">
        <v>2830</v>
      </c>
      <c r="U3291" t="s">
        <v>2831</v>
      </c>
      <c r="V3291" t="s">
        <v>40</v>
      </c>
      <c r="W3291" s="1">
        <v>1128000</v>
      </c>
    </row>
    <row r="3292" spans="1:23" x14ac:dyDescent="0.2">
      <c r="A3292" t="s">
        <v>2096</v>
      </c>
      <c r="B3292" t="s">
        <v>2097</v>
      </c>
      <c r="C3292" t="s">
        <v>2718</v>
      </c>
      <c r="D3292" t="s">
        <v>2730</v>
      </c>
      <c r="E3292" t="s">
        <v>2818</v>
      </c>
      <c r="F3292" t="s">
        <v>2819</v>
      </c>
      <c r="G3292" t="s">
        <v>61</v>
      </c>
      <c r="H3292" t="s">
        <v>52</v>
      </c>
      <c r="I3292" t="s">
        <v>52</v>
      </c>
      <c r="J3292" t="s">
        <v>41</v>
      </c>
      <c r="K3292" t="s">
        <v>32</v>
      </c>
      <c r="L3292" t="s">
        <v>32</v>
      </c>
      <c r="M3292" t="s">
        <v>176</v>
      </c>
      <c r="P3292" t="s">
        <v>34</v>
      </c>
      <c r="Q3292" t="s">
        <v>35</v>
      </c>
      <c r="S3292" t="s">
        <v>52</v>
      </c>
      <c r="T3292" t="s">
        <v>2832</v>
      </c>
      <c r="U3292" t="s">
        <v>2833</v>
      </c>
      <c r="V3292" t="s">
        <v>39</v>
      </c>
      <c r="W3292" s="1">
        <v>0</v>
      </c>
    </row>
    <row r="3293" spans="1:23" x14ac:dyDescent="0.2">
      <c r="A3293" t="s">
        <v>2096</v>
      </c>
      <c r="B3293" t="s">
        <v>2097</v>
      </c>
      <c r="C3293" t="s">
        <v>2718</v>
      </c>
      <c r="D3293" t="s">
        <v>2730</v>
      </c>
      <c r="E3293" t="s">
        <v>2818</v>
      </c>
      <c r="F3293" t="s">
        <v>2819</v>
      </c>
      <c r="G3293" t="s">
        <v>61</v>
      </c>
      <c r="H3293" t="s">
        <v>52</v>
      </c>
      <c r="I3293" t="s">
        <v>52</v>
      </c>
      <c r="J3293" t="s">
        <v>41</v>
      </c>
      <c r="K3293" t="s">
        <v>32</v>
      </c>
      <c r="L3293" t="s">
        <v>32</v>
      </c>
      <c r="M3293" t="s">
        <v>176</v>
      </c>
      <c r="P3293" t="s">
        <v>34</v>
      </c>
      <c r="Q3293" t="s">
        <v>35</v>
      </c>
      <c r="S3293" t="s">
        <v>52</v>
      </c>
      <c r="T3293" t="s">
        <v>2832</v>
      </c>
      <c r="U3293" t="s">
        <v>2833</v>
      </c>
      <c r="V3293" t="s">
        <v>40</v>
      </c>
      <c r="W3293" s="1">
        <v>1064000</v>
      </c>
    </row>
    <row r="3294" spans="1:23" x14ac:dyDescent="0.2">
      <c r="A3294" t="s">
        <v>2096</v>
      </c>
      <c r="B3294" t="s">
        <v>2097</v>
      </c>
      <c r="C3294" t="s">
        <v>2718</v>
      </c>
      <c r="D3294" t="s">
        <v>2730</v>
      </c>
      <c r="E3294" t="s">
        <v>2818</v>
      </c>
      <c r="F3294" t="s">
        <v>2819</v>
      </c>
      <c r="G3294" t="s">
        <v>170</v>
      </c>
      <c r="H3294" t="s">
        <v>52</v>
      </c>
      <c r="I3294" t="s">
        <v>30</v>
      </c>
      <c r="J3294" t="s">
        <v>31</v>
      </c>
      <c r="K3294" t="s">
        <v>32</v>
      </c>
      <c r="L3294" t="s">
        <v>32</v>
      </c>
      <c r="M3294" t="s">
        <v>33</v>
      </c>
      <c r="N3294" t="s">
        <v>33</v>
      </c>
      <c r="O3294" t="s">
        <v>33</v>
      </c>
      <c r="P3294" t="s">
        <v>34</v>
      </c>
      <c r="Q3294" t="s">
        <v>35</v>
      </c>
      <c r="S3294" t="s">
        <v>30</v>
      </c>
      <c r="T3294" t="s">
        <v>111</v>
      </c>
      <c r="U3294" t="s">
        <v>2836</v>
      </c>
      <c r="V3294" t="s">
        <v>39</v>
      </c>
      <c r="W3294" s="1">
        <v>1</v>
      </c>
    </row>
    <row r="3295" spans="1:23" x14ac:dyDescent="0.2">
      <c r="A3295" t="s">
        <v>2096</v>
      </c>
      <c r="B3295" t="s">
        <v>2097</v>
      </c>
      <c r="C3295" t="s">
        <v>2718</v>
      </c>
      <c r="D3295" t="s">
        <v>2730</v>
      </c>
      <c r="E3295" t="s">
        <v>2818</v>
      </c>
      <c r="F3295" t="s">
        <v>2819</v>
      </c>
      <c r="G3295" t="s">
        <v>170</v>
      </c>
      <c r="H3295" t="s">
        <v>52</v>
      </c>
      <c r="I3295" t="s">
        <v>30</v>
      </c>
      <c r="J3295" t="s">
        <v>31</v>
      </c>
      <c r="K3295" t="s">
        <v>32</v>
      </c>
      <c r="L3295" t="s">
        <v>32</v>
      </c>
      <c r="M3295" t="s">
        <v>33</v>
      </c>
      <c r="N3295" t="s">
        <v>33</v>
      </c>
      <c r="O3295" t="s">
        <v>33</v>
      </c>
      <c r="P3295" t="s">
        <v>34</v>
      </c>
      <c r="Q3295" t="s">
        <v>35</v>
      </c>
      <c r="S3295" t="s">
        <v>30</v>
      </c>
      <c r="T3295" t="s">
        <v>111</v>
      </c>
      <c r="U3295" t="s">
        <v>2836</v>
      </c>
      <c r="V3295" t="s">
        <v>40</v>
      </c>
      <c r="W3295" s="1">
        <v>187900</v>
      </c>
    </row>
    <row r="3296" spans="1:23" x14ac:dyDescent="0.2">
      <c r="A3296" t="s">
        <v>2096</v>
      </c>
      <c r="B3296" t="s">
        <v>2097</v>
      </c>
      <c r="C3296" t="s">
        <v>2718</v>
      </c>
      <c r="D3296" t="s">
        <v>2730</v>
      </c>
      <c r="E3296" t="s">
        <v>2818</v>
      </c>
      <c r="F3296" t="s">
        <v>2819</v>
      </c>
      <c r="G3296" t="s">
        <v>64</v>
      </c>
      <c r="H3296" t="s">
        <v>30</v>
      </c>
      <c r="I3296" t="s">
        <v>52</v>
      </c>
      <c r="J3296" t="s">
        <v>31</v>
      </c>
      <c r="K3296" t="s">
        <v>32</v>
      </c>
      <c r="L3296" t="s">
        <v>32</v>
      </c>
      <c r="M3296" t="s">
        <v>33</v>
      </c>
      <c r="N3296" t="s">
        <v>33</v>
      </c>
      <c r="O3296" t="s">
        <v>33</v>
      </c>
      <c r="P3296" t="s">
        <v>34</v>
      </c>
      <c r="Q3296" t="s">
        <v>35</v>
      </c>
      <c r="S3296" t="s">
        <v>30</v>
      </c>
      <c r="T3296" t="s">
        <v>2837</v>
      </c>
      <c r="U3296" t="s">
        <v>2838</v>
      </c>
      <c r="V3296" t="s">
        <v>39</v>
      </c>
      <c r="W3296" s="1">
        <v>2</v>
      </c>
    </row>
    <row r="3297" spans="1:23" x14ac:dyDescent="0.2">
      <c r="A3297" t="s">
        <v>2096</v>
      </c>
      <c r="B3297" t="s">
        <v>2097</v>
      </c>
      <c r="C3297" t="s">
        <v>2718</v>
      </c>
      <c r="D3297" t="s">
        <v>2730</v>
      </c>
      <c r="E3297" t="s">
        <v>2818</v>
      </c>
      <c r="F3297" t="s">
        <v>2819</v>
      </c>
      <c r="G3297" t="s">
        <v>64</v>
      </c>
      <c r="H3297" t="s">
        <v>30</v>
      </c>
      <c r="I3297" t="s">
        <v>52</v>
      </c>
      <c r="J3297" t="s">
        <v>31</v>
      </c>
      <c r="K3297" t="s">
        <v>32</v>
      </c>
      <c r="L3297" t="s">
        <v>32</v>
      </c>
      <c r="M3297" t="s">
        <v>33</v>
      </c>
      <c r="N3297" t="s">
        <v>33</v>
      </c>
      <c r="O3297" t="s">
        <v>33</v>
      </c>
      <c r="P3297" t="s">
        <v>34</v>
      </c>
      <c r="Q3297" t="s">
        <v>35</v>
      </c>
      <c r="S3297" t="s">
        <v>30</v>
      </c>
      <c r="T3297" t="s">
        <v>2837</v>
      </c>
      <c r="U3297" t="s">
        <v>2838</v>
      </c>
      <c r="V3297" t="s">
        <v>40</v>
      </c>
      <c r="W3297" s="1">
        <v>2439800</v>
      </c>
    </row>
    <row r="3298" spans="1:23" x14ac:dyDescent="0.2">
      <c r="A3298" t="s">
        <v>2096</v>
      </c>
      <c r="B3298" t="s">
        <v>2097</v>
      </c>
      <c r="C3298" t="s">
        <v>2718</v>
      </c>
      <c r="D3298" t="s">
        <v>2730</v>
      </c>
      <c r="E3298" t="s">
        <v>2818</v>
      </c>
      <c r="F3298" t="s">
        <v>2819</v>
      </c>
      <c r="G3298" t="s">
        <v>67</v>
      </c>
      <c r="H3298" t="s">
        <v>30</v>
      </c>
      <c r="I3298" t="s">
        <v>30</v>
      </c>
      <c r="J3298" t="s">
        <v>31</v>
      </c>
      <c r="K3298" t="s">
        <v>32</v>
      </c>
      <c r="L3298" t="s">
        <v>32</v>
      </c>
      <c r="M3298" t="s">
        <v>33</v>
      </c>
      <c r="N3298" t="s">
        <v>33</v>
      </c>
      <c r="O3298" t="s">
        <v>33</v>
      </c>
      <c r="P3298" t="s">
        <v>42</v>
      </c>
      <c r="Q3298" t="s">
        <v>43</v>
      </c>
      <c r="S3298" t="s">
        <v>30</v>
      </c>
      <c r="T3298" t="s">
        <v>2839</v>
      </c>
      <c r="U3298" t="s">
        <v>2840</v>
      </c>
      <c r="V3298" t="s">
        <v>39</v>
      </c>
      <c r="W3298" s="1">
        <v>3</v>
      </c>
    </row>
    <row r="3299" spans="1:23" x14ac:dyDescent="0.2">
      <c r="A3299" t="s">
        <v>2096</v>
      </c>
      <c r="B3299" t="s">
        <v>2097</v>
      </c>
      <c r="C3299" t="s">
        <v>2718</v>
      </c>
      <c r="D3299" t="s">
        <v>2730</v>
      </c>
      <c r="E3299" t="s">
        <v>2818</v>
      </c>
      <c r="F3299" t="s">
        <v>2819</v>
      </c>
      <c r="G3299" t="s">
        <v>67</v>
      </c>
      <c r="H3299" t="s">
        <v>30</v>
      </c>
      <c r="I3299" t="s">
        <v>30</v>
      </c>
      <c r="J3299" t="s">
        <v>31</v>
      </c>
      <c r="K3299" t="s">
        <v>32</v>
      </c>
      <c r="L3299" t="s">
        <v>32</v>
      </c>
      <c r="M3299" t="s">
        <v>33</v>
      </c>
      <c r="N3299" t="s">
        <v>33</v>
      </c>
      <c r="O3299" t="s">
        <v>33</v>
      </c>
      <c r="P3299" t="s">
        <v>42</v>
      </c>
      <c r="Q3299" t="s">
        <v>43</v>
      </c>
      <c r="S3299" t="s">
        <v>30</v>
      </c>
      <c r="T3299" t="s">
        <v>2839</v>
      </c>
      <c r="U3299" t="s">
        <v>2840</v>
      </c>
      <c r="V3299" t="s">
        <v>40</v>
      </c>
      <c r="W3299" s="1">
        <v>1628700</v>
      </c>
    </row>
    <row r="3300" spans="1:23" x14ac:dyDescent="0.2">
      <c r="A3300" t="s">
        <v>2096</v>
      </c>
      <c r="B3300" t="s">
        <v>2097</v>
      </c>
      <c r="C3300" t="s">
        <v>2718</v>
      </c>
      <c r="D3300" t="s">
        <v>2730</v>
      </c>
      <c r="E3300" t="s">
        <v>2818</v>
      </c>
      <c r="F3300" t="s">
        <v>2819</v>
      </c>
      <c r="G3300" t="s">
        <v>67</v>
      </c>
      <c r="H3300" t="s">
        <v>30</v>
      </c>
      <c r="I3300" t="s">
        <v>30</v>
      </c>
      <c r="J3300" t="s">
        <v>31</v>
      </c>
      <c r="K3300" t="s">
        <v>32</v>
      </c>
      <c r="L3300" t="s">
        <v>32</v>
      </c>
      <c r="M3300" t="s">
        <v>33</v>
      </c>
      <c r="P3300" t="s">
        <v>34</v>
      </c>
      <c r="Q3300" t="s">
        <v>35</v>
      </c>
      <c r="S3300" t="s">
        <v>30</v>
      </c>
      <c r="T3300" t="s">
        <v>2841</v>
      </c>
      <c r="U3300" t="s">
        <v>2842</v>
      </c>
      <c r="V3300" t="s">
        <v>39</v>
      </c>
      <c r="W3300" s="1">
        <v>4</v>
      </c>
    </row>
    <row r="3301" spans="1:23" x14ac:dyDescent="0.2">
      <c r="A3301" t="s">
        <v>2096</v>
      </c>
      <c r="B3301" t="s">
        <v>2097</v>
      </c>
      <c r="C3301" t="s">
        <v>2718</v>
      </c>
      <c r="D3301" t="s">
        <v>2730</v>
      </c>
      <c r="E3301" t="s">
        <v>2818</v>
      </c>
      <c r="F3301" t="s">
        <v>2819</v>
      </c>
      <c r="G3301" t="s">
        <v>67</v>
      </c>
      <c r="H3301" t="s">
        <v>30</v>
      </c>
      <c r="I3301" t="s">
        <v>30</v>
      </c>
      <c r="J3301" t="s">
        <v>31</v>
      </c>
      <c r="K3301" t="s">
        <v>32</v>
      </c>
      <c r="L3301" t="s">
        <v>32</v>
      </c>
      <c r="M3301" t="s">
        <v>33</v>
      </c>
      <c r="P3301" t="s">
        <v>34</v>
      </c>
      <c r="Q3301" t="s">
        <v>35</v>
      </c>
      <c r="S3301" t="s">
        <v>30</v>
      </c>
      <c r="T3301" t="s">
        <v>2841</v>
      </c>
      <c r="U3301" t="s">
        <v>2842</v>
      </c>
      <c r="V3301" t="s">
        <v>40</v>
      </c>
      <c r="W3301" s="1">
        <v>5479600</v>
      </c>
    </row>
    <row r="3302" spans="1:23" x14ac:dyDescent="0.2">
      <c r="A3302" t="s">
        <v>2096</v>
      </c>
      <c r="B3302" t="s">
        <v>2097</v>
      </c>
      <c r="C3302" t="s">
        <v>2718</v>
      </c>
      <c r="D3302" t="s">
        <v>2730</v>
      </c>
      <c r="E3302" t="s">
        <v>2818</v>
      </c>
      <c r="F3302" t="s">
        <v>2819</v>
      </c>
      <c r="G3302" t="s">
        <v>67</v>
      </c>
      <c r="H3302" t="s">
        <v>30</v>
      </c>
      <c r="I3302" t="s">
        <v>30</v>
      </c>
      <c r="J3302" t="s">
        <v>233</v>
      </c>
      <c r="K3302" t="s">
        <v>234</v>
      </c>
      <c r="L3302" t="s">
        <v>32</v>
      </c>
      <c r="M3302" t="s">
        <v>33</v>
      </c>
      <c r="N3302" t="s">
        <v>33</v>
      </c>
      <c r="O3302" t="s">
        <v>33</v>
      </c>
      <c r="P3302" t="s">
        <v>34</v>
      </c>
      <c r="Q3302" t="s">
        <v>35</v>
      </c>
      <c r="R3302" t="s">
        <v>2843</v>
      </c>
      <c r="S3302" t="s">
        <v>30</v>
      </c>
      <c r="T3302" t="s">
        <v>2844</v>
      </c>
      <c r="U3302" t="s">
        <v>2845</v>
      </c>
      <c r="V3302" t="s">
        <v>39</v>
      </c>
      <c r="W3302" s="1">
        <v>3</v>
      </c>
    </row>
    <row r="3303" spans="1:23" x14ac:dyDescent="0.2">
      <c r="A3303" t="s">
        <v>2096</v>
      </c>
      <c r="B3303" t="s">
        <v>2097</v>
      </c>
      <c r="C3303" t="s">
        <v>2718</v>
      </c>
      <c r="D3303" t="s">
        <v>2730</v>
      </c>
      <c r="E3303" t="s">
        <v>2818</v>
      </c>
      <c r="F3303" t="s">
        <v>2819</v>
      </c>
      <c r="G3303" t="s">
        <v>67</v>
      </c>
      <c r="H3303" t="s">
        <v>30</v>
      </c>
      <c r="I3303" t="s">
        <v>30</v>
      </c>
      <c r="J3303" t="s">
        <v>233</v>
      </c>
      <c r="K3303" t="s">
        <v>234</v>
      </c>
      <c r="L3303" t="s">
        <v>32</v>
      </c>
      <c r="M3303" t="s">
        <v>33</v>
      </c>
      <c r="N3303" t="s">
        <v>33</v>
      </c>
      <c r="O3303" t="s">
        <v>33</v>
      </c>
      <c r="P3303" t="s">
        <v>34</v>
      </c>
      <c r="Q3303" t="s">
        <v>35</v>
      </c>
      <c r="R3303" t="s">
        <v>2843</v>
      </c>
      <c r="S3303" t="s">
        <v>30</v>
      </c>
      <c r="T3303" t="s">
        <v>2844</v>
      </c>
      <c r="U3303" t="s">
        <v>2845</v>
      </c>
      <c r="V3303" t="s">
        <v>40</v>
      </c>
      <c r="W3303" s="1">
        <v>5610600</v>
      </c>
    </row>
    <row r="3304" spans="1:23" x14ac:dyDescent="0.2">
      <c r="A3304" t="s">
        <v>2096</v>
      </c>
      <c r="B3304" t="s">
        <v>2097</v>
      </c>
      <c r="C3304" t="s">
        <v>2718</v>
      </c>
      <c r="D3304" t="s">
        <v>2730</v>
      </c>
      <c r="E3304" t="s">
        <v>2818</v>
      </c>
      <c r="F3304" t="s">
        <v>2819</v>
      </c>
      <c r="G3304" t="s">
        <v>67</v>
      </c>
      <c r="H3304" t="s">
        <v>30</v>
      </c>
      <c r="I3304" t="s">
        <v>30</v>
      </c>
      <c r="J3304" t="s">
        <v>233</v>
      </c>
      <c r="K3304" t="s">
        <v>234</v>
      </c>
      <c r="L3304" t="s">
        <v>32</v>
      </c>
      <c r="M3304" t="s">
        <v>176</v>
      </c>
      <c r="N3304" t="s">
        <v>195</v>
      </c>
      <c r="O3304" t="s">
        <v>195</v>
      </c>
      <c r="P3304" t="s">
        <v>34</v>
      </c>
      <c r="Q3304" t="s">
        <v>35</v>
      </c>
      <c r="R3304" t="s">
        <v>2843</v>
      </c>
      <c r="S3304" t="s">
        <v>30</v>
      </c>
      <c r="T3304" t="s">
        <v>2844</v>
      </c>
      <c r="U3304" t="s">
        <v>2845</v>
      </c>
      <c r="V3304" t="s">
        <v>39</v>
      </c>
      <c r="W3304" s="1">
        <v>1</v>
      </c>
    </row>
    <row r="3305" spans="1:23" x14ac:dyDescent="0.2">
      <c r="A3305" t="s">
        <v>2096</v>
      </c>
      <c r="B3305" t="s">
        <v>2097</v>
      </c>
      <c r="C3305" t="s">
        <v>2718</v>
      </c>
      <c r="D3305" t="s">
        <v>2730</v>
      </c>
      <c r="E3305" t="s">
        <v>2818</v>
      </c>
      <c r="F3305" t="s">
        <v>2819</v>
      </c>
      <c r="G3305" t="s">
        <v>67</v>
      </c>
      <c r="H3305" t="s">
        <v>30</v>
      </c>
      <c r="I3305" t="s">
        <v>30</v>
      </c>
      <c r="J3305" t="s">
        <v>233</v>
      </c>
      <c r="K3305" t="s">
        <v>234</v>
      </c>
      <c r="L3305" t="s">
        <v>32</v>
      </c>
      <c r="M3305" t="s">
        <v>176</v>
      </c>
      <c r="N3305" t="s">
        <v>195</v>
      </c>
      <c r="O3305" t="s">
        <v>195</v>
      </c>
      <c r="P3305" t="s">
        <v>34</v>
      </c>
      <c r="Q3305" t="s">
        <v>35</v>
      </c>
      <c r="R3305" t="s">
        <v>2843</v>
      </c>
      <c r="S3305" t="s">
        <v>30</v>
      </c>
      <c r="T3305" t="s">
        <v>2844</v>
      </c>
      <c r="U3305" t="s">
        <v>2845</v>
      </c>
      <c r="V3305" t="s">
        <v>40</v>
      </c>
      <c r="W3305" s="1">
        <v>1870200</v>
      </c>
    </row>
    <row r="3306" spans="1:23" x14ac:dyDescent="0.2">
      <c r="A3306" t="s">
        <v>2096</v>
      </c>
      <c r="B3306" t="s">
        <v>2097</v>
      </c>
      <c r="C3306" t="s">
        <v>2718</v>
      </c>
      <c r="D3306" t="s">
        <v>2730</v>
      </c>
      <c r="E3306" t="s">
        <v>2818</v>
      </c>
      <c r="F3306" t="s">
        <v>2819</v>
      </c>
      <c r="G3306" t="s">
        <v>67</v>
      </c>
      <c r="H3306" t="s">
        <v>30</v>
      </c>
      <c r="I3306" t="s">
        <v>30</v>
      </c>
      <c r="J3306" t="s">
        <v>57</v>
      </c>
      <c r="K3306" t="s">
        <v>32</v>
      </c>
      <c r="L3306" t="s">
        <v>32</v>
      </c>
      <c r="M3306" t="s">
        <v>33</v>
      </c>
      <c r="N3306" t="s">
        <v>33</v>
      </c>
      <c r="O3306" t="s">
        <v>33</v>
      </c>
      <c r="P3306" t="s">
        <v>213</v>
      </c>
      <c r="Q3306" t="s">
        <v>214</v>
      </c>
      <c r="S3306" t="s">
        <v>30</v>
      </c>
      <c r="T3306" t="s">
        <v>2846</v>
      </c>
      <c r="U3306" t="s">
        <v>2847</v>
      </c>
      <c r="V3306" t="s">
        <v>39</v>
      </c>
      <c r="W3306" s="1">
        <v>1</v>
      </c>
    </row>
    <row r="3307" spans="1:23" x14ac:dyDescent="0.2">
      <c r="A3307" t="s">
        <v>2096</v>
      </c>
      <c r="B3307" t="s">
        <v>2097</v>
      </c>
      <c r="C3307" t="s">
        <v>2718</v>
      </c>
      <c r="D3307" t="s">
        <v>2730</v>
      </c>
      <c r="E3307" t="s">
        <v>2818</v>
      </c>
      <c r="F3307" t="s">
        <v>2819</v>
      </c>
      <c r="G3307" t="s">
        <v>67</v>
      </c>
      <c r="H3307" t="s">
        <v>30</v>
      </c>
      <c r="I3307" t="s">
        <v>30</v>
      </c>
      <c r="J3307" t="s">
        <v>57</v>
      </c>
      <c r="K3307" t="s">
        <v>32</v>
      </c>
      <c r="L3307" t="s">
        <v>32</v>
      </c>
      <c r="M3307" t="s">
        <v>33</v>
      </c>
      <c r="N3307" t="s">
        <v>33</v>
      </c>
      <c r="O3307" t="s">
        <v>33</v>
      </c>
      <c r="P3307" t="s">
        <v>213</v>
      </c>
      <c r="Q3307" t="s">
        <v>214</v>
      </c>
      <c r="S3307" t="s">
        <v>30</v>
      </c>
      <c r="T3307" t="s">
        <v>2846</v>
      </c>
      <c r="U3307" t="s">
        <v>2847</v>
      </c>
      <c r="V3307" t="s">
        <v>40</v>
      </c>
      <c r="W3307" s="1">
        <v>1559000</v>
      </c>
    </row>
    <row r="3308" spans="1:23" x14ac:dyDescent="0.2">
      <c r="A3308" t="s">
        <v>2096</v>
      </c>
      <c r="B3308" t="s">
        <v>2097</v>
      </c>
      <c r="C3308" t="s">
        <v>2718</v>
      </c>
      <c r="D3308" t="s">
        <v>2730</v>
      </c>
      <c r="E3308" t="s">
        <v>2818</v>
      </c>
      <c r="F3308" t="s">
        <v>2819</v>
      </c>
      <c r="G3308" t="s">
        <v>67</v>
      </c>
      <c r="H3308" t="s">
        <v>30</v>
      </c>
      <c r="I3308" t="s">
        <v>30</v>
      </c>
      <c r="J3308" t="s">
        <v>57</v>
      </c>
      <c r="K3308" t="s">
        <v>32</v>
      </c>
      <c r="L3308" t="s">
        <v>32</v>
      </c>
      <c r="M3308" t="s">
        <v>33</v>
      </c>
      <c r="P3308" t="s">
        <v>213</v>
      </c>
      <c r="Q3308" t="s">
        <v>214</v>
      </c>
      <c r="S3308" t="s">
        <v>30</v>
      </c>
      <c r="T3308" t="s">
        <v>2846</v>
      </c>
      <c r="U3308" t="s">
        <v>2847</v>
      </c>
      <c r="V3308" t="s">
        <v>39</v>
      </c>
      <c r="W3308" s="1">
        <v>1</v>
      </c>
    </row>
    <row r="3309" spans="1:23" x14ac:dyDescent="0.2">
      <c r="A3309" t="s">
        <v>2096</v>
      </c>
      <c r="B3309" t="s">
        <v>2097</v>
      </c>
      <c r="C3309" t="s">
        <v>2718</v>
      </c>
      <c r="D3309" t="s">
        <v>2730</v>
      </c>
      <c r="E3309" t="s">
        <v>2818</v>
      </c>
      <c r="F3309" t="s">
        <v>2819</v>
      </c>
      <c r="G3309" t="s">
        <v>67</v>
      </c>
      <c r="H3309" t="s">
        <v>30</v>
      </c>
      <c r="I3309" t="s">
        <v>30</v>
      </c>
      <c r="J3309" t="s">
        <v>57</v>
      </c>
      <c r="K3309" t="s">
        <v>32</v>
      </c>
      <c r="L3309" t="s">
        <v>32</v>
      </c>
      <c r="M3309" t="s">
        <v>33</v>
      </c>
      <c r="P3309" t="s">
        <v>213</v>
      </c>
      <c r="Q3309" t="s">
        <v>214</v>
      </c>
      <c r="S3309" t="s">
        <v>30</v>
      </c>
      <c r="T3309" t="s">
        <v>2846</v>
      </c>
      <c r="U3309" t="s">
        <v>2847</v>
      </c>
      <c r="V3309" t="s">
        <v>40</v>
      </c>
      <c r="W3309" s="1">
        <v>1559000</v>
      </c>
    </row>
    <row r="3310" spans="1:23" x14ac:dyDescent="0.2">
      <c r="A3310" t="s">
        <v>2096</v>
      </c>
      <c r="B3310" t="s">
        <v>2097</v>
      </c>
      <c r="C3310" t="s">
        <v>2718</v>
      </c>
      <c r="D3310" t="s">
        <v>2730</v>
      </c>
      <c r="E3310" t="s">
        <v>2818</v>
      </c>
      <c r="F3310" t="s">
        <v>2819</v>
      </c>
      <c r="G3310" t="s">
        <v>89</v>
      </c>
      <c r="H3310" t="s">
        <v>30</v>
      </c>
      <c r="I3310" t="s">
        <v>30</v>
      </c>
      <c r="J3310" t="s">
        <v>128</v>
      </c>
      <c r="K3310" t="s">
        <v>181</v>
      </c>
      <c r="L3310" t="s">
        <v>32</v>
      </c>
      <c r="M3310" t="s">
        <v>33</v>
      </c>
      <c r="P3310" t="s">
        <v>34</v>
      </c>
      <c r="Q3310" t="s">
        <v>35</v>
      </c>
      <c r="R3310" t="s">
        <v>2843</v>
      </c>
      <c r="S3310" t="s">
        <v>30</v>
      </c>
      <c r="T3310" t="s">
        <v>2848</v>
      </c>
      <c r="U3310" t="s">
        <v>2849</v>
      </c>
      <c r="V3310" t="s">
        <v>39</v>
      </c>
      <c r="W3310" s="1">
        <v>21</v>
      </c>
    </row>
    <row r="3311" spans="1:23" x14ac:dyDescent="0.2">
      <c r="A3311" t="s">
        <v>2096</v>
      </c>
      <c r="B3311" t="s">
        <v>2097</v>
      </c>
      <c r="C3311" t="s">
        <v>2718</v>
      </c>
      <c r="D3311" t="s">
        <v>2730</v>
      </c>
      <c r="E3311" t="s">
        <v>2818</v>
      </c>
      <c r="F3311" t="s">
        <v>2819</v>
      </c>
      <c r="G3311" t="s">
        <v>89</v>
      </c>
      <c r="H3311" t="s">
        <v>30</v>
      </c>
      <c r="I3311" t="s">
        <v>30</v>
      </c>
      <c r="J3311" t="s">
        <v>128</v>
      </c>
      <c r="K3311" t="s">
        <v>181</v>
      </c>
      <c r="L3311" t="s">
        <v>32</v>
      </c>
      <c r="M3311" t="s">
        <v>33</v>
      </c>
      <c r="P3311" t="s">
        <v>34</v>
      </c>
      <c r="Q3311" t="s">
        <v>35</v>
      </c>
      <c r="R3311" t="s">
        <v>2843</v>
      </c>
      <c r="S3311" t="s">
        <v>30</v>
      </c>
      <c r="T3311" t="s">
        <v>2848</v>
      </c>
      <c r="U3311" t="s">
        <v>2849</v>
      </c>
      <c r="V3311" t="s">
        <v>40</v>
      </c>
      <c r="W3311" s="1">
        <v>3319344</v>
      </c>
    </row>
    <row r="3312" spans="1:23" x14ac:dyDescent="0.2">
      <c r="A3312" t="s">
        <v>2096</v>
      </c>
      <c r="B3312" t="s">
        <v>2097</v>
      </c>
      <c r="C3312" t="s">
        <v>2718</v>
      </c>
      <c r="D3312" t="s">
        <v>2730</v>
      </c>
      <c r="E3312" t="s">
        <v>2818</v>
      </c>
      <c r="F3312" t="s">
        <v>2819</v>
      </c>
      <c r="G3312" t="s">
        <v>89</v>
      </c>
      <c r="H3312" t="s">
        <v>30</v>
      </c>
      <c r="I3312" t="s">
        <v>30</v>
      </c>
      <c r="J3312" t="s">
        <v>128</v>
      </c>
      <c r="K3312" t="s">
        <v>181</v>
      </c>
      <c r="L3312" t="s">
        <v>32</v>
      </c>
      <c r="M3312" t="s">
        <v>33</v>
      </c>
      <c r="P3312" t="s">
        <v>34</v>
      </c>
      <c r="Q3312" t="s">
        <v>35</v>
      </c>
      <c r="R3312" t="s">
        <v>2843</v>
      </c>
      <c r="S3312" t="s">
        <v>30</v>
      </c>
      <c r="T3312" t="s">
        <v>2848</v>
      </c>
      <c r="U3312" t="s">
        <v>2850</v>
      </c>
      <c r="V3312" t="s">
        <v>39</v>
      </c>
      <c r="W3312" s="1">
        <v>23</v>
      </c>
    </row>
    <row r="3313" spans="1:23" x14ac:dyDescent="0.2">
      <c r="A3313" t="s">
        <v>2096</v>
      </c>
      <c r="B3313" t="s">
        <v>2097</v>
      </c>
      <c r="C3313" t="s">
        <v>2718</v>
      </c>
      <c r="D3313" t="s">
        <v>2730</v>
      </c>
      <c r="E3313" t="s">
        <v>2818</v>
      </c>
      <c r="F3313" t="s">
        <v>2819</v>
      </c>
      <c r="G3313" t="s">
        <v>89</v>
      </c>
      <c r="H3313" t="s">
        <v>30</v>
      </c>
      <c r="I3313" t="s">
        <v>30</v>
      </c>
      <c r="J3313" t="s">
        <v>128</v>
      </c>
      <c r="K3313" t="s">
        <v>181</v>
      </c>
      <c r="L3313" t="s">
        <v>32</v>
      </c>
      <c r="M3313" t="s">
        <v>33</v>
      </c>
      <c r="P3313" t="s">
        <v>34</v>
      </c>
      <c r="Q3313" t="s">
        <v>35</v>
      </c>
      <c r="R3313" t="s">
        <v>2843</v>
      </c>
      <c r="S3313" t="s">
        <v>30</v>
      </c>
      <c r="T3313" t="s">
        <v>2848</v>
      </c>
      <c r="U3313" t="s">
        <v>2850</v>
      </c>
      <c r="V3313" t="s">
        <v>40</v>
      </c>
      <c r="W3313" s="1">
        <v>3635472</v>
      </c>
    </row>
    <row r="3314" spans="1:23" x14ac:dyDescent="0.2">
      <c r="A3314" t="s">
        <v>2096</v>
      </c>
      <c r="B3314" t="s">
        <v>2097</v>
      </c>
      <c r="C3314" t="s">
        <v>2718</v>
      </c>
      <c r="D3314" t="s">
        <v>2730</v>
      </c>
      <c r="E3314" t="s">
        <v>2818</v>
      </c>
      <c r="F3314" t="s">
        <v>2819</v>
      </c>
      <c r="G3314" t="s">
        <v>89</v>
      </c>
      <c r="H3314" t="s">
        <v>30</v>
      </c>
      <c r="I3314" t="s">
        <v>30</v>
      </c>
      <c r="J3314" t="s">
        <v>128</v>
      </c>
      <c r="K3314" t="s">
        <v>181</v>
      </c>
      <c r="L3314" t="s">
        <v>32</v>
      </c>
      <c r="M3314" t="s">
        <v>33</v>
      </c>
      <c r="P3314" t="s">
        <v>34</v>
      </c>
      <c r="Q3314" t="s">
        <v>35</v>
      </c>
      <c r="R3314" t="s">
        <v>2843</v>
      </c>
      <c r="S3314" t="s">
        <v>52</v>
      </c>
      <c r="T3314" t="s">
        <v>2848</v>
      </c>
      <c r="U3314" t="s">
        <v>2849</v>
      </c>
      <c r="V3314" t="s">
        <v>39</v>
      </c>
      <c r="W3314" s="1">
        <v>0</v>
      </c>
    </row>
    <row r="3315" spans="1:23" x14ac:dyDescent="0.2">
      <c r="A3315" t="s">
        <v>2096</v>
      </c>
      <c r="B3315" t="s">
        <v>2097</v>
      </c>
      <c r="C3315" t="s">
        <v>2718</v>
      </c>
      <c r="D3315" t="s">
        <v>2730</v>
      </c>
      <c r="E3315" t="s">
        <v>2818</v>
      </c>
      <c r="F3315" t="s">
        <v>2819</v>
      </c>
      <c r="G3315" t="s">
        <v>89</v>
      </c>
      <c r="H3315" t="s">
        <v>30</v>
      </c>
      <c r="I3315" t="s">
        <v>30</v>
      </c>
      <c r="J3315" t="s">
        <v>128</v>
      </c>
      <c r="K3315" t="s">
        <v>181</v>
      </c>
      <c r="L3315" t="s">
        <v>32</v>
      </c>
      <c r="M3315" t="s">
        <v>33</v>
      </c>
      <c r="P3315" t="s">
        <v>34</v>
      </c>
      <c r="Q3315" t="s">
        <v>35</v>
      </c>
      <c r="R3315" t="s">
        <v>2843</v>
      </c>
      <c r="S3315" t="s">
        <v>52</v>
      </c>
      <c r="T3315" t="s">
        <v>2848</v>
      </c>
      <c r="U3315" t="s">
        <v>2849</v>
      </c>
      <c r="V3315" t="s">
        <v>40</v>
      </c>
      <c r="W3315" s="1">
        <v>1422576</v>
      </c>
    </row>
    <row r="3316" spans="1:23" x14ac:dyDescent="0.2">
      <c r="A3316" t="s">
        <v>2096</v>
      </c>
      <c r="B3316" t="s">
        <v>2097</v>
      </c>
      <c r="C3316" t="s">
        <v>2718</v>
      </c>
      <c r="D3316" t="s">
        <v>2730</v>
      </c>
      <c r="E3316" t="s">
        <v>2818</v>
      </c>
      <c r="F3316" t="s">
        <v>2819</v>
      </c>
      <c r="G3316" t="s">
        <v>89</v>
      </c>
      <c r="H3316" t="s">
        <v>30</v>
      </c>
      <c r="I3316" t="s">
        <v>30</v>
      </c>
      <c r="J3316" t="s">
        <v>128</v>
      </c>
      <c r="K3316" t="s">
        <v>181</v>
      </c>
      <c r="L3316" t="s">
        <v>32</v>
      </c>
      <c r="M3316" t="s">
        <v>33</v>
      </c>
      <c r="P3316" t="s">
        <v>34</v>
      </c>
      <c r="Q3316" t="s">
        <v>35</v>
      </c>
      <c r="R3316" t="s">
        <v>2843</v>
      </c>
      <c r="S3316" t="s">
        <v>52</v>
      </c>
      <c r="T3316" t="s">
        <v>2848</v>
      </c>
      <c r="U3316" t="s">
        <v>2850</v>
      </c>
      <c r="V3316" t="s">
        <v>39</v>
      </c>
      <c r="W3316" s="1">
        <v>0</v>
      </c>
    </row>
    <row r="3317" spans="1:23" x14ac:dyDescent="0.2">
      <c r="A3317" t="s">
        <v>2096</v>
      </c>
      <c r="B3317" t="s">
        <v>2097</v>
      </c>
      <c r="C3317" t="s">
        <v>2718</v>
      </c>
      <c r="D3317" t="s">
        <v>2730</v>
      </c>
      <c r="E3317" t="s">
        <v>2818</v>
      </c>
      <c r="F3317" t="s">
        <v>2819</v>
      </c>
      <c r="G3317" t="s">
        <v>89</v>
      </c>
      <c r="H3317" t="s">
        <v>30</v>
      </c>
      <c r="I3317" t="s">
        <v>30</v>
      </c>
      <c r="J3317" t="s">
        <v>128</v>
      </c>
      <c r="K3317" t="s">
        <v>181</v>
      </c>
      <c r="L3317" t="s">
        <v>32</v>
      </c>
      <c r="M3317" t="s">
        <v>33</v>
      </c>
      <c r="P3317" t="s">
        <v>34</v>
      </c>
      <c r="Q3317" t="s">
        <v>35</v>
      </c>
      <c r="R3317" t="s">
        <v>2843</v>
      </c>
      <c r="S3317" t="s">
        <v>52</v>
      </c>
      <c r="T3317" t="s">
        <v>2848</v>
      </c>
      <c r="U3317" t="s">
        <v>2850</v>
      </c>
      <c r="V3317" t="s">
        <v>40</v>
      </c>
      <c r="W3317" s="1">
        <v>0</v>
      </c>
    </row>
    <row r="3318" spans="1:23" x14ac:dyDescent="0.2">
      <c r="A3318" t="s">
        <v>2096</v>
      </c>
      <c r="B3318" t="s">
        <v>2097</v>
      </c>
      <c r="C3318" t="s">
        <v>2718</v>
      </c>
      <c r="D3318" t="s">
        <v>2730</v>
      </c>
      <c r="E3318" t="s">
        <v>2818</v>
      </c>
      <c r="F3318" t="s">
        <v>2819</v>
      </c>
      <c r="G3318" t="s">
        <v>89</v>
      </c>
      <c r="H3318" t="s">
        <v>30</v>
      </c>
      <c r="I3318" t="s">
        <v>30</v>
      </c>
      <c r="J3318" t="s">
        <v>855</v>
      </c>
      <c r="K3318" t="s">
        <v>856</v>
      </c>
      <c r="L3318" t="s">
        <v>32</v>
      </c>
      <c r="M3318" t="s">
        <v>33</v>
      </c>
      <c r="N3318" t="s">
        <v>33</v>
      </c>
      <c r="O3318" t="s">
        <v>33</v>
      </c>
      <c r="P3318" t="s">
        <v>34</v>
      </c>
      <c r="Q3318" t="s">
        <v>35</v>
      </c>
      <c r="S3318" t="s">
        <v>30</v>
      </c>
      <c r="T3318" t="s">
        <v>2851</v>
      </c>
      <c r="U3318" t="s">
        <v>2852</v>
      </c>
      <c r="V3318" t="s">
        <v>39</v>
      </c>
      <c r="W3318" s="1">
        <v>2</v>
      </c>
    </row>
    <row r="3319" spans="1:23" x14ac:dyDescent="0.2">
      <c r="A3319" t="s">
        <v>2096</v>
      </c>
      <c r="B3319" t="s">
        <v>2097</v>
      </c>
      <c r="C3319" t="s">
        <v>2718</v>
      </c>
      <c r="D3319" t="s">
        <v>2730</v>
      </c>
      <c r="E3319" t="s">
        <v>2818</v>
      </c>
      <c r="F3319" t="s">
        <v>2819</v>
      </c>
      <c r="G3319" t="s">
        <v>89</v>
      </c>
      <c r="H3319" t="s">
        <v>30</v>
      </c>
      <c r="I3319" t="s">
        <v>30</v>
      </c>
      <c r="J3319" t="s">
        <v>855</v>
      </c>
      <c r="K3319" t="s">
        <v>856</v>
      </c>
      <c r="L3319" t="s">
        <v>32</v>
      </c>
      <c r="M3319" t="s">
        <v>33</v>
      </c>
      <c r="N3319" t="s">
        <v>33</v>
      </c>
      <c r="O3319" t="s">
        <v>33</v>
      </c>
      <c r="P3319" t="s">
        <v>34</v>
      </c>
      <c r="Q3319" t="s">
        <v>35</v>
      </c>
      <c r="S3319" t="s">
        <v>30</v>
      </c>
      <c r="T3319" t="s">
        <v>2851</v>
      </c>
      <c r="U3319" t="s">
        <v>2852</v>
      </c>
      <c r="V3319" t="s">
        <v>40</v>
      </c>
      <c r="W3319" s="1">
        <v>3780000</v>
      </c>
    </row>
    <row r="3320" spans="1:23" x14ac:dyDescent="0.2">
      <c r="A3320" t="s">
        <v>2096</v>
      </c>
      <c r="B3320" t="s">
        <v>2097</v>
      </c>
      <c r="C3320" t="s">
        <v>2718</v>
      </c>
      <c r="D3320" t="s">
        <v>2730</v>
      </c>
      <c r="E3320" t="s">
        <v>2818</v>
      </c>
      <c r="F3320" t="s">
        <v>2819</v>
      </c>
      <c r="G3320" t="s">
        <v>106</v>
      </c>
      <c r="H3320" t="s">
        <v>30</v>
      </c>
      <c r="I3320" t="s">
        <v>30</v>
      </c>
      <c r="J3320" t="s">
        <v>128</v>
      </c>
      <c r="K3320" t="s">
        <v>135</v>
      </c>
      <c r="L3320" t="s">
        <v>332</v>
      </c>
      <c r="M3320" t="s">
        <v>33</v>
      </c>
      <c r="N3320" t="s">
        <v>33</v>
      </c>
      <c r="O3320" t="s">
        <v>33</v>
      </c>
      <c r="P3320" t="s">
        <v>34</v>
      </c>
      <c r="Q3320" t="s">
        <v>35</v>
      </c>
      <c r="R3320" t="s">
        <v>136</v>
      </c>
      <c r="S3320" t="s">
        <v>30</v>
      </c>
      <c r="T3320" t="s">
        <v>2853</v>
      </c>
      <c r="U3320" t="s">
        <v>2854</v>
      </c>
      <c r="V3320" t="s">
        <v>39</v>
      </c>
      <c r="W3320" s="1">
        <v>1</v>
      </c>
    </row>
    <row r="3321" spans="1:23" x14ac:dyDescent="0.2">
      <c r="A3321" t="s">
        <v>2096</v>
      </c>
      <c r="B3321" t="s">
        <v>2097</v>
      </c>
      <c r="C3321" t="s">
        <v>2718</v>
      </c>
      <c r="D3321" t="s">
        <v>2730</v>
      </c>
      <c r="E3321" t="s">
        <v>2818</v>
      </c>
      <c r="F3321" t="s">
        <v>2819</v>
      </c>
      <c r="G3321" t="s">
        <v>106</v>
      </c>
      <c r="H3321" t="s">
        <v>30</v>
      </c>
      <c r="I3321" t="s">
        <v>30</v>
      </c>
      <c r="J3321" t="s">
        <v>128</v>
      </c>
      <c r="K3321" t="s">
        <v>135</v>
      </c>
      <c r="L3321" t="s">
        <v>332</v>
      </c>
      <c r="M3321" t="s">
        <v>33</v>
      </c>
      <c r="N3321" t="s">
        <v>33</v>
      </c>
      <c r="O3321" t="s">
        <v>33</v>
      </c>
      <c r="P3321" t="s">
        <v>34</v>
      </c>
      <c r="Q3321" t="s">
        <v>35</v>
      </c>
      <c r="R3321" t="s">
        <v>136</v>
      </c>
      <c r="S3321" t="s">
        <v>30</v>
      </c>
      <c r="T3321" t="s">
        <v>2853</v>
      </c>
      <c r="U3321" t="s">
        <v>2854</v>
      </c>
      <c r="V3321" t="s">
        <v>40</v>
      </c>
      <c r="W3321" s="1">
        <v>523000</v>
      </c>
    </row>
    <row r="3322" spans="1:23" x14ac:dyDescent="0.2">
      <c r="A3322" t="s">
        <v>2096</v>
      </c>
      <c r="B3322" t="s">
        <v>2097</v>
      </c>
      <c r="C3322" t="s">
        <v>2718</v>
      </c>
      <c r="D3322" t="s">
        <v>2730</v>
      </c>
      <c r="E3322" t="s">
        <v>2818</v>
      </c>
      <c r="F3322" t="s">
        <v>2819</v>
      </c>
      <c r="G3322" t="s">
        <v>106</v>
      </c>
      <c r="H3322" t="s">
        <v>30</v>
      </c>
      <c r="I3322" t="s">
        <v>30</v>
      </c>
      <c r="J3322" t="s">
        <v>128</v>
      </c>
      <c r="K3322" t="s">
        <v>135</v>
      </c>
      <c r="L3322" t="s">
        <v>32</v>
      </c>
      <c r="M3322" t="s">
        <v>33</v>
      </c>
      <c r="N3322" t="s">
        <v>33</v>
      </c>
      <c r="O3322" t="s">
        <v>33</v>
      </c>
      <c r="P3322" t="s">
        <v>34</v>
      </c>
      <c r="Q3322" t="s">
        <v>35</v>
      </c>
      <c r="R3322" t="s">
        <v>136</v>
      </c>
      <c r="S3322" t="s">
        <v>30</v>
      </c>
      <c r="T3322" t="s">
        <v>2853</v>
      </c>
      <c r="U3322" t="s">
        <v>2854</v>
      </c>
      <c r="V3322" t="s">
        <v>39</v>
      </c>
      <c r="W3322" s="1">
        <v>7</v>
      </c>
    </row>
    <row r="3323" spans="1:23" x14ac:dyDescent="0.2">
      <c r="A3323" t="s">
        <v>2096</v>
      </c>
      <c r="B3323" t="s">
        <v>2097</v>
      </c>
      <c r="C3323" t="s">
        <v>2718</v>
      </c>
      <c r="D3323" t="s">
        <v>2730</v>
      </c>
      <c r="E3323" t="s">
        <v>2818</v>
      </c>
      <c r="F3323" t="s">
        <v>2819</v>
      </c>
      <c r="G3323" t="s">
        <v>106</v>
      </c>
      <c r="H3323" t="s">
        <v>30</v>
      </c>
      <c r="I3323" t="s">
        <v>30</v>
      </c>
      <c r="J3323" t="s">
        <v>128</v>
      </c>
      <c r="K3323" t="s">
        <v>135</v>
      </c>
      <c r="L3323" t="s">
        <v>32</v>
      </c>
      <c r="M3323" t="s">
        <v>33</v>
      </c>
      <c r="N3323" t="s">
        <v>33</v>
      </c>
      <c r="O3323" t="s">
        <v>33</v>
      </c>
      <c r="P3323" t="s">
        <v>34</v>
      </c>
      <c r="Q3323" t="s">
        <v>35</v>
      </c>
      <c r="R3323" t="s">
        <v>136</v>
      </c>
      <c r="S3323" t="s">
        <v>30</v>
      </c>
      <c r="T3323" t="s">
        <v>2853</v>
      </c>
      <c r="U3323" t="s">
        <v>2854</v>
      </c>
      <c r="V3323" t="s">
        <v>40</v>
      </c>
      <c r="W3323" s="1">
        <v>5243000</v>
      </c>
    </row>
    <row r="3324" spans="1:23" x14ac:dyDescent="0.2">
      <c r="A3324" t="s">
        <v>2096</v>
      </c>
      <c r="B3324" t="s">
        <v>2097</v>
      </c>
      <c r="C3324" t="s">
        <v>2718</v>
      </c>
      <c r="D3324" t="s">
        <v>2730</v>
      </c>
      <c r="E3324" t="s">
        <v>2818</v>
      </c>
      <c r="F3324" t="s">
        <v>2819</v>
      </c>
      <c r="G3324" t="s">
        <v>106</v>
      </c>
      <c r="H3324" t="s">
        <v>30</v>
      </c>
      <c r="I3324" t="s">
        <v>30</v>
      </c>
      <c r="J3324" t="s">
        <v>128</v>
      </c>
      <c r="K3324" t="s">
        <v>135</v>
      </c>
      <c r="L3324" t="s">
        <v>32</v>
      </c>
      <c r="M3324" t="s">
        <v>33</v>
      </c>
      <c r="N3324" t="s">
        <v>169</v>
      </c>
      <c r="O3324" t="s">
        <v>169</v>
      </c>
      <c r="P3324" t="s">
        <v>34</v>
      </c>
      <c r="Q3324" t="s">
        <v>35</v>
      </c>
      <c r="R3324" t="s">
        <v>136</v>
      </c>
      <c r="S3324" t="s">
        <v>30</v>
      </c>
      <c r="T3324" t="s">
        <v>2853</v>
      </c>
      <c r="U3324" t="s">
        <v>2854</v>
      </c>
      <c r="V3324" t="s">
        <v>39</v>
      </c>
      <c r="W3324" s="1">
        <v>1</v>
      </c>
    </row>
    <row r="3325" spans="1:23" x14ac:dyDescent="0.2">
      <c r="A3325" t="s">
        <v>2096</v>
      </c>
      <c r="B3325" t="s">
        <v>2097</v>
      </c>
      <c r="C3325" t="s">
        <v>2718</v>
      </c>
      <c r="D3325" t="s">
        <v>2730</v>
      </c>
      <c r="E3325" t="s">
        <v>2818</v>
      </c>
      <c r="F3325" t="s">
        <v>2819</v>
      </c>
      <c r="G3325" t="s">
        <v>106</v>
      </c>
      <c r="H3325" t="s">
        <v>30</v>
      </c>
      <c r="I3325" t="s">
        <v>30</v>
      </c>
      <c r="J3325" t="s">
        <v>128</v>
      </c>
      <c r="K3325" t="s">
        <v>135</v>
      </c>
      <c r="L3325" t="s">
        <v>32</v>
      </c>
      <c r="M3325" t="s">
        <v>33</v>
      </c>
      <c r="N3325" t="s">
        <v>169</v>
      </c>
      <c r="O3325" t="s">
        <v>169</v>
      </c>
      <c r="P3325" t="s">
        <v>34</v>
      </c>
      <c r="Q3325" t="s">
        <v>35</v>
      </c>
      <c r="R3325" t="s">
        <v>136</v>
      </c>
      <c r="S3325" t="s">
        <v>30</v>
      </c>
      <c r="T3325" t="s">
        <v>2853</v>
      </c>
      <c r="U3325" t="s">
        <v>2854</v>
      </c>
      <c r="V3325" t="s">
        <v>40</v>
      </c>
      <c r="W3325" s="1">
        <v>749000</v>
      </c>
    </row>
    <row r="3326" spans="1:23" x14ac:dyDescent="0.2">
      <c r="A3326" t="s">
        <v>2096</v>
      </c>
      <c r="B3326" t="s">
        <v>2097</v>
      </c>
      <c r="C3326" t="s">
        <v>2718</v>
      </c>
      <c r="D3326" t="s">
        <v>2730</v>
      </c>
      <c r="E3326" t="s">
        <v>2818</v>
      </c>
      <c r="F3326" t="s">
        <v>2819</v>
      </c>
      <c r="G3326" t="s">
        <v>106</v>
      </c>
      <c r="H3326" t="s">
        <v>30</v>
      </c>
      <c r="I3326" t="s">
        <v>30</v>
      </c>
      <c r="J3326" t="s">
        <v>128</v>
      </c>
      <c r="K3326" t="s">
        <v>135</v>
      </c>
      <c r="L3326" t="s">
        <v>32</v>
      </c>
      <c r="M3326" t="s">
        <v>176</v>
      </c>
      <c r="N3326" t="s">
        <v>176</v>
      </c>
      <c r="O3326" t="s">
        <v>176</v>
      </c>
      <c r="P3326" t="s">
        <v>34</v>
      </c>
      <c r="Q3326" t="s">
        <v>35</v>
      </c>
      <c r="R3326" t="s">
        <v>136</v>
      </c>
      <c r="S3326" t="s">
        <v>30</v>
      </c>
      <c r="T3326" t="s">
        <v>2853</v>
      </c>
      <c r="U3326" t="s">
        <v>2854</v>
      </c>
      <c r="V3326" t="s">
        <v>39</v>
      </c>
      <c r="W3326" s="1">
        <v>2</v>
      </c>
    </row>
    <row r="3327" spans="1:23" x14ac:dyDescent="0.2">
      <c r="A3327" t="s">
        <v>2096</v>
      </c>
      <c r="B3327" t="s">
        <v>2097</v>
      </c>
      <c r="C3327" t="s">
        <v>2718</v>
      </c>
      <c r="D3327" t="s">
        <v>2730</v>
      </c>
      <c r="E3327" t="s">
        <v>2818</v>
      </c>
      <c r="F3327" t="s">
        <v>2819</v>
      </c>
      <c r="G3327" t="s">
        <v>106</v>
      </c>
      <c r="H3327" t="s">
        <v>30</v>
      </c>
      <c r="I3327" t="s">
        <v>30</v>
      </c>
      <c r="J3327" t="s">
        <v>128</v>
      </c>
      <c r="K3327" t="s">
        <v>135</v>
      </c>
      <c r="L3327" t="s">
        <v>32</v>
      </c>
      <c r="M3327" t="s">
        <v>176</v>
      </c>
      <c r="N3327" t="s">
        <v>176</v>
      </c>
      <c r="O3327" t="s">
        <v>176</v>
      </c>
      <c r="P3327" t="s">
        <v>34</v>
      </c>
      <c r="Q3327" t="s">
        <v>35</v>
      </c>
      <c r="R3327" t="s">
        <v>136</v>
      </c>
      <c r="S3327" t="s">
        <v>30</v>
      </c>
      <c r="T3327" t="s">
        <v>2853</v>
      </c>
      <c r="U3327" t="s">
        <v>2854</v>
      </c>
      <c r="V3327" t="s">
        <v>40</v>
      </c>
      <c r="W3327" s="1">
        <v>898000</v>
      </c>
    </row>
    <row r="3328" spans="1:23" x14ac:dyDescent="0.2">
      <c r="A3328" t="s">
        <v>2096</v>
      </c>
      <c r="B3328" t="s">
        <v>2097</v>
      </c>
      <c r="C3328" t="s">
        <v>2718</v>
      </c>
      <c r="D3328" t="s">
        <v>2730</v>
      </c>
      <c r="E3328" t="s">
        <v>2818</v>
      </c>
      <c r="F3328" t="s">
        <v>2819</v>
      </c>
      <c r="G3328" t="s">
        <v>106</v>
      </c>
      <c r="H3328" t="s">
        <v>30</v>
      </c>
      <c r="I3328" t="s">
        <v>30</v>
      </c>
      <c r="J3328" t="s">
        <v>31</v>
      </c>
      <c r="K3328" t="s">
        <v>32</v>
      </c>
      <c r="L3328" t="s">
        <v>332</v>
      </c>
      <c r="M3328" t="s">
        <v>33</v>
      </c>
      <c r="N3328" t="s">
        <v>33</v>
      </c>
      <c r="O3328" t="s">
        <v>33</v>
      </c>
      <c r="P3328" t="s">
        <v>34</v>
      </c>
      <c r="Q3328" t="s">
        <v>35</v>
      </c>
      <c r="R3328" t="s">
        <v>184</v>
      </c>
      <c r="S3328" t="s">
        <v>30</v>
      </c>
      <c r="T3328" t="s">
        <v>2855</v>
      </c>
      <c r="U3328" t="s">
        <v>2856</v>
      </c>
      <c r="V3328" t="s">
        <v>39</v>
      </c>
      <c r="W3328" s="1">
        <v>1</v>
      </c>
    </row>
    <row r="3329" spans="1:23" x14ac:dyDescent="0.2">
      <c r="A3329" t="s">
        <v>2096</v>
      </c>
      <c r="B3329" t="s">
        <v>2097</v>
      </c>
      <c r="C3329" t="s">
        <v>2718</v>
      </c>
      <c r="D3329" t="s">
        <v>2730</v>
      </c>
      <c r="E3329" t="s">
        <v>2818</v>
      </c>
      <c r="F3329" t="s">
        <v>2819</v>
      </c>
      <c r="G3329" t="s">
        <v>106</v>
      </c>
      <c r="H3329" t="s">
        <v>30</v>
      </c>
      <c r="I3329" t="s">
        <v>30</v>
      </c>
      <c r="J3329" t="s">
        <v>31</v>
      </c>
      <c r="K3329" t="s">
        <v>32</v>
      </c>
      <c r="L3329" t="s">
        <v>332</v>
      </c>
      <c r="M3329" t="s">
        <v>33</v>
      </c>
      <c r="N3329" t="s">
        <v>33</v>
      </c>
      <c r="O3329" t="s">
        <v>33</v>
      </c>
      <c r="P3329" t="s">
        <v>34</v>
      </c>
      <c r="Q3329" t="s">
        <v>35</v>
      </c>
      <c r="R3329" t="s">
        <v>184</v>
      </c>
      <c r="S3329" t="s">
        <v>30</v>
      </c>
      <c r="T3329" t="s">
        <v>2855</v>
      </c>
      <c r="U3329" t="s">
        <v>2856</v>
      </c>
      <c r="V3329" t="s">
        <v>40</v>
      </c>
      <c r="W3329" s="1">
        <v>580000</v>
      </c>
    </row>
    <row r="3330" spans="1:23" x14ac:dyDescent="0.2">
      <c r="A3330" t="s">
        <v>2096</v>
      </c>
      <c r="B3330" t="s">
        <v>2097</v>
      </c>
      <c r="C3330" t="s">
        <v>2718</v>
      </c>
      <c r="D3330" t="s">
        <v>2730</v>
      </c>
      <c r="E3330" t="s">
        <v>2818</v>
      </c>
      <c r="F3330" t="s">
        <v>2819</v>
      </c>
      <c r="G3330" t="s">
        <v>106</v>
      </c>
      <c r="H3330" t="s">
        <v>30</v>
      </c>
      <c r="I3330" t="s">
        <v>30</v>
      </c>
      <c r="J3330" t="s">
        <v>31</v>
      </c>
      <c r="K3330" t="s">
        <v>32</v>
      </c>
      <c r="L3330" t="s">
        <v>332</v>
      </c>
      <c r="M3330" t="s">
        <v>33</v>
      </c>
      <c r="N3330" t="s">
        <v>33</v>
      </c>
      <c r="O3330" t="s">
        <v>33</v>
      </c>
      <c r="P3330" t="s">
        <v>34</v>
      </c>
      <c r="Q3330" t="s">
        <v>35</v>
      </c>
      <c r="S3330" t="s">
        <v>30</v>
      </c>
      <c r="T3330" t="s">
        <v>2857</v>
      </c>
      <c r="U3330" t="s">
        <v>2858</v>
      </c>
      <c r="V3330" t="s">
        <v>39</v>
      </c>
      <c r="W3330" s="1">
        <v>2</v>
      </c>
    </row>
    <row r="3331" spans="1:23" x14ac:dyDescent="0.2">
      <c r="A3331" t="s">
        <v>2096</v>
      </c>
      <c r="B3331" t="s">
        <v>2097</v>
      </c>
      <c r="C3331" t="s">
        <v>2718</v>
      </c>
      <c r="D3331" t="s">
        <v>2730</v>
      </c>
      <c r="E3331" t="s">
        <v>2818</v>
      </c>
      <c r="F3331" t="s">
        <v>2819</v>
      </c>
      <c r="G3331" t="s">
        <v>106</v>
      </c>
      <c r="H3331" t="s">
        <v>30</v>
      </c>
      <c r="I3331" t="s">
        <v>30</v>
      </c>
      <c r="J3331" t="s">
        <v>31</v>
      </c>
      <c r="K3331" t="s">
        <v>32</v>
      </c>
      <c r="L3331" t="s">
        <v>332</v>
      </c>
      <c r="M3331" t="s">
        <v>33</v>
      </c>
      <c r="N3331" t="s">
        <v>33</v>
      </c>
      <c r="O3331" t="s">
        <v>33</v>
      </c>
      <c r="P3331" t="s">
        <v>34</v>
      </c>
      <c r="Q3331" t="s">
        <v>35</v>
      </c>
      <c r="S3331" t="s">
        <v>30</v>
      </c>
      <c r="T3331" t="s">
        <v>2857</v>
      </c>
      <c r="U3331" t="s">
        <v>2858</v>
      </c>
      <c r="V3331" t="s">
        <v>40</v>
      </c>
      <c r="W3331" s="1">
        <v>1100000</v>
      </c>
    </row>
    <row r="3332" spans="1:23" x14ac:dyDescent="0.2">
      <c r="A3332" t="s">
        <v>2096</v>
      </c>
      <c r="B3332" t="s">
        <v>2097</v>
      </c>
      <c r="C3332" t="s">
        <v>2718</v>
      </c>
      <c r="D3332" t="s">
        <v>2730</v>
      </c>
      <c r="E3332" t="s">
        <v>2818</v>
      </c>
      <c r="F3332" t="s">
        <v>2819</v>
      </c>
      <c r="G3332" t="s">
        <v>106</v>
      </c>
      <c r="H3332" t="s">
        <v>30</v>
      </c>
      <c r="I3332" t="s">
        <v>30</v>
      </c>
      <c r="J3332" t="s">
        <v>31</v>
      </c>
      <c r="K3332" t="s">
        <v>32</v>
      </c>
      <c r="L3332" t="s">
        <v>32</v>
      </c>
      <c r="M3332" t="s">
        <v>33</v>
      </c>
      <c r="N3332" t="s">
        <v>33</v>
      </c>
      <c r="O3332" t="s">
        <v>33</v>
      </c>
      <c r="P3332" t="s">
        <v>34</v>
      </c>
      <c r="Q3332" t="s">
        <v>35</v>
      </c>
      <c r="R3332" t="s">
        <v>184</v>
      </c>
      <c r="S3332" t="s">
        <v>30</v>
      </c>
      <c r="T3332" t="s">
        <v>2855</v>
      </c>
      <c r="U3332" t="s">
        <v>2856</v>
      </c>
      <c r="V3332" t="s">
        <v>39</v>
      </c>
      <c r="W3332" s="1">
        <v>2</v>
      </c>
    </row>
    <row r="3333" spans="1:23" x14ac:dyDescent="0.2">
      <c r="A3333" t="s">
        <v>2096</v>
      </c>
      <c r="B3333" t="s">
        <v>2097</v>
      </c>
      <c r="C3333" t="s">
        <v>2718</v>
      </c>
      <c r="D3333" t="s">
        <v>2730</v>
      </c>
      <c r="E3333" t="s">
        <v>2818</v>
      </c>
      <c r="F3333" t="s">
        <v>2819</v>
      </c>
      <c r="G3333" t="s">
        <v>106</v>
      </c>
      <c r="H3333" t="s">
        <v>30</v>
      </c>
      <c r="I3333" t="s">
        <v>30</v>
      </c>
      <c r="J3333" t="s">
        <v>31</v>
      </c>
      <c r="K3333" t="s">
        <v>32</v>
      </c>
      <c r="L3333" t="s">
        <v>32</v>
      </c>
      <c r="M3333" t="s">
        <v>33</v>
      </c>
      <c r="N3333" t="s">
        <v>33</v>
      </c>
      <c r="O3333" t="s">
        <v>33</v>
      </c>
      <c r="P3333" t="s">
        <v>34</v>
      </c>
      <c r="Q3333" t="s">
        <v>35</v>
      </c>
      <c r="R3333" t="s">
        <v>184</v>
      </c>
      <c r="S3333" t="s">
        <v>30</v>
      </c>
      <c r="T3333" t="s">
        <v>2855</v>
      </c>
      <c r="U3333" t="s">
        <v>2856</v>
      </c>
      <c r="V3333" t="s">
        <v>40</v>
      </c>
      <c r="W3333" s="1">
        <v>1645800</v>
      </c>
    </row>
    <row r="3334" spans="1:23" x14ac:dyDescent="0.2">
      <c r="A3334" t="s">
        <v>2096</v>
      </c>
      <c r="B3334" t="s">
        <v>2097</v>
      </c>
      <c r="C3334" t="s">
        <v>2718</v>
      </c>
      <c r="D3334" t="s">
        <v>2730</v>
      </c>
      <c r="E3334" t="s">
        <v>2818</v>
      </c>
      <c r="F3334" t="s">
        <v>2819</v>
      </c>
      <c r="G3334" t="s">
        <v>106</v>
      </c>
      <c r="H3334" t="s">
        <v>30</v>
      </c>
      <c r="I3334" t="s">
        <v>30</v>
      </c>
      <c r="J3334" t="s">
        <v>31</v>
      </c>
      <c r="K3334" t="s">
        <v>181</v>
      </c>
      <c r="L3334" t="s">
        <v>332</v>
      </c>
      <c r="M3334" t="s">
        <v>33</v>
      </c>
      <c r="P3334" t="s">
        <v>34</v>
      </c>
      <c r="Q3334" t="s">
        <v>35</v>
      </c>
      <c r="S3334" t="s">
        <v>30</v>
      </c>
      <c r="T3334" t="s">
        <v>2859</v>
      </c>
      <c r="U3334" t="s">
        <v>2860</v>
      </c>
      <c r="V3334" t="s">
        <v>39</v>
      </c>
      <c r="W3334" s="1">
        <v>9</v>
      </c>
    </row>
    <row r="3335" spans="1:23" x14ac:dyDescent="0.2">
      <c r="A3335" t="s">
        <v>2096</v>
      </c>
      <c r="B3335" t="s">
        <v>2097</v>
      </c>
      <c r="C3335" t="s">
        <v>2718</v>
      </c>
      <c r="D3335" t="s">
        <v>2730</v>
      </c>
      <c r="E3335" t="s">
        <v>2818</v>
      </c>
      <c r="F3335" t="s">
        <v>2819</v>
      </c>
      <c r="G3335" t="s">
        <v>106</v>
      </c>
      <c r="H3335" t="s">
        <v>30</v>
      </c>
      <c r="I3335" t="s">
        <v>30</v>
      </c>
      <c r="J3335" t="s">
        <v>31</v>
      </c>
      <c r="K3335" t="s">
        <v>181</v>
      </c>
      <c r="L3335" t="s">
        <v>332</v>
      </c>
      <c r="M3335" t="s">
        <v>33</v>
      </c>
      <c r="P3335" t="s">
        <v>34</v>
      </c>
      <c r="Q3335" t="s">
        <v>35</v>
      </c>
      <c r="S3335" t="s">
        <v>30</v>
      </c>
      <c r="T3335" t="s">
        <v>2859</v>
      </c>
      <c r="U3335" t="s">
        <v>2860</v>
      </c>
      <c r="V3335" t="s">
        <v>40</v>
      </c>
      <c r="W3335" s="1">
        <v>7740000</v>
      </c>
    </row>
    <row r="3336" spans="1:23" x14ac:dyDescent="0.2">
      <c r="A3336" t="s">
        <v>2096</v>
      </c>
      <c r="B3336" t="s">
        <v>2097</v>
      </c>
      <c r="C3336" t="s">
        <v>2718</v>
      </c>
      <c r="D3336" t="s">
        <v>2730</v>
      </c>
      <c r="E3336" t="s">
        <v>2818</v>
      </c>
      <c r="F3336" t="s">
        <v>2819</v>
      </c>
      <c r="G3336" t="s">
        <v>119</v>
      </c>
      <c r="H3336" t="s">
        <v>30</v>
      </c>
      <c r="I3336" t="s">
        <v>52</v>
      </c>
      <c r="J3336" t="s">
        <v>128</v>
      </c>
      <c r="K3336" t="s">
        <v>32</v>
      </c>
      <c r="L3336" t="s">
        <v>32</v>
      </c>
      <c r="M3336" t="s">
        <v>33</v>
      </c>
      <c r="P3336" t="s">
        <v>34</v>
      </c>
      <c r="Q3336" t="s">
        <v>35</v>
      </c>
      <c r="R3336" t="s">
        <v>129</v>
      </c>
      <c r="S3336" t="s">
        <v>52</v>
      </c>
      <c r="T3336" t="s">
        <v>1443</v>
      </c>
      <c r="U3336" t="s">
        <v>2861</v>
      </c>
      <c r="V3336" t="s">
        <v>39</v>
      </c>
      <c r="W3336" s="1">
        <v>0</v>
      </c>
    </row>
    <row r="3337" spans="1:23" x14ac:dyDescent="0.2">
      <c r="A3337" t="s">
        <v>2096</v>
      </c>
      <c r="B3337" t="s">
        <v>2097</v>
      </c>
      <c r="C3337" t="s">
        <v>2718</v>
      </c>
      <c r="D3337" t="s">
        <v>2730</v>
      </c>
      <c r="E3337" t="s">
        <v>2818</v>
      </c>
      <c r="F3337" t="s">
        <v>2819</v>
      </c>
      <c r="G3337" t="s">
        <v>119</v>
      </c>
      <c r="H3337" t="s">
        <v>30</v>
      </c>
      <c r="I3337" t="s">
        <v>52</v>
      </c>
      <c r="J3337" t="s">
        <v>128</v>
      </c>
      <c r="K3337" t="s">
        <v>32</v>
      </c>
      <c r="L3337" t="s">
        <v>32</v>
      </c>
      <c r="M3337" t="s">
        <v>33</v>
      </c>
      <c r="P3337" t="s">
        <v>34</v>
      </c>
      <c r="Q3337" t="s">
        <v>35</v>
      </c>
      <c r="R3337" t="s">
        <v>129</v>
      </c>
      <c r="S3337" t="s">
        <v>52</v>
      </c>
      <c r="T3337" t="s">
        <v>1443</v>
      </c>
      <c r="U3337" t="s">
        <v>2861</v>
      </c>
      <c r="V3337" t="s">
        <v>40</v>
      </c>
      <c r="W3337" s="1">
        <v>537000</v>
      </c>
    </row>
    <row r="3338" spans="1:23" x14ac:dyDescent="0.2">
      <c r="A3338" t="s">
        <v>2096</v>
      </c>
      <c r="B3338" t="s">
        <v>2097</v>
      </c>
      <c r="C3338" t="s">
        <v>2718</v>
      </c>
      <c r="D3338" t="s">
        <v>2730</v>
      </c>
      <c r="E3338" t="s">
        <v>2818</v>
      </c>
      <c r="F3338" t="s">
        <v>2819</v>
      </c>
      <c r="G3338" t="s">
        <v>119</v>
      </c>
      <c r="H3338" t="s">
        <v>30</v>
      </c>
      <c r="I3338" t="s">
        <v>52</v>
      </c>
      <c r="J3338" t="s">
        <v>31</v>
      </c>
      <c r="K3338" t="s">
        <v>32</v>
      </c>
      <c r="L3338" t="s">
        <v>32</v>
      </c>
      <c r="M3338" t="s">
        <v>33</v>
      </c>
      <c r="P3338" t="s">
        <v>42</v>
      </c>
      <c r="Q3338" t="s">
        <v>43</v>
      </c>
      <c r="S3338" t="s">
        <v>52</v>
      </c>
      <c r="T3338" t="s">
        <v>2862</v>
      </c>
      <c r="U3338" t="s">
        <v>2863</v>
      </c>
      <c r="V3338" t="s">
        <v>39</v>
      </c>
      <c r="W3338" s="1">
        <v>0</v>
      </c>
    </row>
    <row r="3339" spans="1:23" x14ac:dyDescent="0.2">
      <c r="A3339" t="s">
        <v>2096</v>
      </c>
      <c r="B3339" t="s">
        <v>2097</v>
      </c>
      <c r="C3339" t="s">
        <v>2718</v>
      </c>
      <c r="D3339" t="s">
        <v>2730</v>
      </c>
      <c r="E3339" t="s">
        <v>2818</v>
      </c>
      <c r="F3339" t="s">
        <v>2819</v>
      </c>
      <c r="G3339" t="s">
        <v>119</v>
      </c>
      <c r="H3339" t="s">
        <v>30</v>
      </c>
      <c r="I3339" t="s">
        <v>52</v>
      </c>
      <c r="J3339" t="s">
        <v>31</v>
      </c>
      <c r="K3339" t="s">
        <v>32</v>
      </c>
      <c r="L3339" t="s">
        <v>32</v>
      </c>
      <c r="M3339" t="s">
        <v>33</v>
      </c>
      <c r="P3339" t="s">
        <v>42</v>
      </c>
      <c r="Q3339" t="s">
        <v>43</v>
      </c>
      <c r="S3339" t="s">
        <v>52</v>
      </c>
      <c r="T3339" t="s">
        <v>2862</v>
      </c>
      <c r="U3339" t="s">
        <v>2863</v>
      </c>
      <c r="V3339" t="s">
        <v>40</v>
      </c>
      <c r="W3339" s="1">
        <v>473600</v>
      </c>
    </row>
    <row r="3340" spans="1:23" x14ac:dyDescent="0.2">
      <c r="A3340" t="s">
        <v>2096</v>
      </c>
      <c r="B3340" t="s">
        <v>2097</v>
      </c>
      <c r="C3340" t="s">
        <v>2718</v>
      </c>
      <c r="D3340" t="s">
        <v>2730</v>
      </c>
      <c r="E3340" t="s">
        <v>2818</v>
      </c>
      <c r="F3340" t="s">
        <v>2819</v>
      </c>
      <c r="G3340" t="s">
        <v>139</v>
      </c>
      <c r="H3340" t="s">
        <v>30</v>
      </c>
      <c r="I3340" t="s">
        <v>30</v>
      </c>
      <c r="J3340" t="s">
        <v>128</v>
      </c>
      <c r="K3340" t="s">
        <v>135</v>
      </c>
      <c r="L3340" t="s">
        <v>32</v>
      </c>
      <c r="M3340" t="s">
        <v>33</v>
      </c>
      <c r="N3340" t="s">
        <v>33</v>
      </c>
      <c r="O3340" t="s">
        <v>33</v>
      </c>
      <c r="P3340" t="s">
        <v>42</v>
      </c>
      <c r="Q3340" t="s">
        <v>43</v>
      </c>
      <c r="R3340" t="s">
        <v>136</v>
      </c>
      <c r="S3340" t="s">
        <v>30</v>
      </c>
      <c r="T3340" t="s">
        <v>2864</v>
      </c>
      <c r="U3340" t="s">
        <v>2865</v>
      </c>
      <c r="V3340" t="s">
        <v>39</v>
      </c>
      <c r="W3340" s="1">
        <v>3</v>
      </c>
    </row>
    <row r="3341" spans="1:23" x14ac:dyDescent="0.2">
      <c r="A3341" t="s">
        <v>2096</v>
      </c>
      <c r="B3341" t="s">
        <v>2097</v>
      </c>
      <c r="C3341" t="s">
        <v>2718</v>
      </c>
      <c r="D3341" t="s">
        <v>2730</v>
      </c>
      <c r="E3341" t="s">
        <v>2818</v>
      </c>
      <c r="F3341" t="s">
        <v>2819</v>
      </c>
      <c r="G3341" t="s">
        <v>139</v>
      </c>
      <c r="H3341" t="s">
        <v>30</v>
      </c>
      <c r="I3341" t="s">
        <v>30</v>
      </c>
      <c r="J3341" t="s">
        <v>128</v>
      </c>
      <c r="K3341" t="s">
        <v>135</v>
      </c>
      <c r="L3341" t="s">
        <v>32</v>
      </c>
      <c r="M3341" t="s">
        <v>33</v>
      </c>
      <c r="N3341" t="s">
        <v>33</v>
      </c>
      <c r="O3341" t="s">
        <v>33</v>
      </c>
      <c r="P3341" t="s">
        <v>42</v>
      </c>
      <c r="Q3341" t="s">
        <v>43</v>
      </c>
      <c r="R3341" t="s">
        <v>136</v>
      </c>
      <c r="S3341" t="s">
        <v>30</v>
      </c>
      <c r="T3341" t="s">
        <v>2864</v>
      </c>
      <c r="U3341" t="s">
        <v>2865</v>
      </c>
      <c r="V3341" t="s">
        <v>40</v>
      </c>
      <c r="W3341" s="1">
        <v>1554000</v>
      </c>
    </row>
    <row r="3342" spans="1:23" x14ac:dyDescent="0.2">
      <c r="A3342" t="s">
        <v>2096</v>
      </c>
      <c r="B3342" t="s">
        <v>2097</v>
      </c>
      <c r="C3342" t="s">
        <v>2718</v>
      </c>
      <c r="D3342" t="s">
        <v>2730</v>
      </c>
      <c r="E3342" t="s">
        <v>2818</v>
      </c>
      <c r="F3342" t="s">
        <v>2819</v>
      </c>
      <c r="G3342" t="s">
        <v>139</v>
      </c>
      <c r="H3342" t="s">
        <v>30</v>
      </c>
      <c r="I3342" t="s">
        <v>30</v>
      </c>
      <c r="J3342" t="s">
        <v>128</v>
      </c>
      <c r="K3342" t="s">
        <v>135</v>
      </c>
      <c r="L3342" t="s">
        <v>32</v>
      </c>
      <c r="M3342" t="s">
        <v>33</v>
      </c>
      <c r="N3342" t="s">
        <v>33</v>
      </c>
      <c r="O3342" t="s">
        <v>33</v>
      </c>
      <c r="P3342" t="s">
        <v>42</v>
      </c>
      <c r="Q3342" t="s">
        <v>43</v>
      </c>
      <c r="R3342" t="s">
        <v>136</v>
      </c>
      <c r="S3342" t="s">
        <v>30</v>
      </c>
      <c r="T3342" t="s">
        <v>2864</v>
      </c>
      <c r="U3342" t="s">
        <v>2866</v>
      </c>
      <c r="V3342" t="s">
        <v>39</v>
      </c>
      <c r="W3342" s="1">
        <v>3</v>
      </c>
    </row>
    <row r="3343" spans="1:23" x14ac:dyDescent="0.2">
      <c r="A3343" t="s">
        <v>2096</v>
      </c>
      <c r="B3343" t="s">
        <v>2097</v>
      </c>
      <c r="C3343" t="s">
        <v>2718</v>
      </c>
      <c r="D3343" t="s">
        <v>2730</v>
      </c>
      <c r="E3343" t="s">
        <v>2818</v>
      </c>
      <c r="F3343" t="s">
        <v>2819</v>
      </c>
      <c r="G3343" t="s">
        <v>139</v>
      </c>
      <c r="H3343" t="s">
        <v>30</v>
      </c>
      <c r="I3343" t="s">
        <v>30</v>
      </c>
      <c r="J3343" t="s">
        <v>128</v>
      </c>
      <c r="K3343" t="s">
        <v>135</v>
      </c>
      <c r="L3343" t="s">
        <v>32</v>
      </c>
      <c r="M3343" t="s">
        <v>33</v>
      </c>
      <c r="N3343" t="s">
        <v>33</v>
      </c>
      <c r="O3343" t="s">
        <v>33</v>
      </c>
      <c r="P3343" t="s">
        <v>42</v>
      </c>
      <c r="Q3343" t="s">
        <v>43</v>
      </c>
      <c r="R3343" t="s">
        <v>136</v>
      </c>
      <c r="S3343" t="s">
        <v>30</v>
      </c>
      <c r="T3343" t="s">
        <v>2864</v>
      </c>
      <c r="U3343" t="s">
        <v>2866</v>
      </c>
      <c r="V3343" t="s">
        <v>40</v>
      </c>
      <c r="W3343" s="1">
        <v>1554000</v>
      </c>
    </row>
    <row r="3344" spans="1:23" x14ac:dyDescent="0.2">
      <c r="A3344" t="s">
        <v>2096</v>
      </c>
      <c r="B3344" t="s">
        <v>2097</v>
      </c>
      <c r="C3344" t="s">
        <v>2718</v>
      </c>
      <c r="D3344" t="s">
        <v>2730</v>
      </c>
      <c r="E3344" t="s">
        <v>2818</v>
      </c>
      <c r="F3344" t="s">
        <v>2819</v>
      </c>
      <c r="G3344" t="s">
        <v>139</v>
      </c>
      <c r="H3344" t="s">
        <v>30</v>
      </c>
      <c r="I3344" t="s">
        <v>30</v>
      </c>
      <c r="J3344" t="s">
        <v>128</v>
      </c>
      <c r="K3344" t="s">
        <v>135</v>
      </c>
      <c r="L3344" t="s">
        <v>32</v>
      </c>
      <c r="M3344" t="s">
        <v>33</v>
      </c>
      <c r="N3344" t="s">
        <v>169</v>
      </c>
      <c r="O3344" t="s">
        <v>169</v>
      </c>
      <c r="P3344" t="s">
        <v>42</v>
      </c>
      <c r="Q3344" t="s">
        <v>43</v>
      </c>
      <c r="R3344" t="s">
        <v>136</v>
      </c>
      <c r="S3344" t="s">
        <v>30</v>
      </c>
      <c r="T3344" t="s">
        <v>2864</v>
      </c>
      <c r="U3344" t="s">
        <v>2865</v>
      </c>
      <c r="V3344" t="s">
        <v>39</v>
      </c>
      <c r="W3344" s="1">
        <v>1</v>
      </c>
    </row>
    <row r="3345" spans="1:23" x14ac:dyDescent="0.2">
      <c r="A3345" t="s">
        <v>2096</v>
      </c>
      <c r="B3345" t="s">
        <v>2097</v>
      </c>
      <c r="C3345" t="s">
        <v>2718</v>
      </c>
      <c r="D3345" t="s">
        <v>2730</v>
      </c>
      <c r="E3345" t="s">
        <v>2818</v>
      </c>
      <c r="F3345" t="s">
        <v>2819</v>
      </c>
      <c r="G3345" t="s">
        <v>139</v>
      </c>
      <c r="H3345" t="s">
        <v>30</v>
      </c>
      <c r="I3345" t="s">
        <v>30</v>
      </c>
      <c r="J3345" t="s">
        <v>128</v>
      </c>
      <c r="K3345" t="s">
        <v>135</v>
      </c>
      <c r="L3345" t="s">
        <v>32</v>
      </c>
      <c r="M3345" t="s">
        <v>33</v>
      </c>
      <c r="N3345" t="s">
        <v>169</v>
      </c>
      <c r="O3345" t="s">
        <v>169</v>
      </c>
      <c r="P3345" t="s">
        <v>42</v>
      </c>
      <c r="Q3345" t="s">
        <v>43</v>
      </c>
      <c r="R3345" t="s">
        <v>136</v>
      </c>
      <c r="S3345" t="s">
        <v>30</v>
      </c>
      <c r="T3345" t="s">
        <v>2864</v>
      </c>
      <c r="U3345" t="s">
        <v>2865</v>
      </c>
      <c r="V3345" t="s">
        <v>40</v>
      </c>
      <c r="W3345" s="1">
        <v>518000</v>
      </c>
    </row>
    <row r="3346" spans="1:23" x14ac:dyDescent="0.2">
      <c r="A3346" t="s">
        <v>2096</v>
      </c>
      <c r="B3346" t="s">
        <v>2097</v>
      </c>
      <c r="C3346" t="s">
        <v>2718</v>
      </c>
      <c r="D3346" t="s">
        <v>2730</v>
      </c>
      <c r="E3346" t="s">
        <v>2818</v>
      </c>
      <c r="F3346" t="s">
        <v>2819</v>
      </c>
      <c r="G3346" t="s">
        <v>139</v>
      </c>
      <c r="H3346" t="s">
        <v>30</v>
      </c>
      <c r="I3346" t="s">
        <v>30</v>
      </c>
      <c r="J3346" t="s">
        <v>128</v>
      </c>
      <c r="K3346" t="s">
        <v>135</v>
      </c>
      <c r="L3346" t="s">
        <v>32</v>
      </c>
      <c r="M3346" t="s">
        <v>33</v>
      </c>
      <c r="N3346" t="s">
        <v>169</v>
      </c>
      <c r="O3346" t="s">
        <v>169</v>
      </c>
      <c r="P3346" t="s">
        <v>42</v>
      </c>
      <c r="Q3346" t="s">
        <v>43</v>
      </c>
      <c r="R3346" t="s">
        <v>136</v>
      </c>
      <c r="S3346" t="s">
        <v>30</v>
      </c>
      <c r="T3346" t="s">
        <v>2864</v>
      </c>
      <c r="U3346" t="s">
        <v>2866</v>
      </c>
      <c r="V3346" t="s">
        <v>39</v>
      </c>
      <c r="W3346" s="1">
        <v>1</v>
      </c>
    </row>
    <row r="3347" spans="1:23" x14ac:dyDescent="0.2">
      <c r="A3347" t="s">
        <v>2096</v>
      </c>
      <c r="B3347" t="s">
        <v>2097</v>
      </c>
      <c r="C3347" t="s">
        <v>2718</v>
      </c>
      <c r="D3347" t="s">
        <v>2730</v>
      </c>
      <c r="E3347" t="s">
        <v>2818</v>
      </c>
      <c r="F3347" t="s">
        <v>2819</v>
      </c>
      <c r="G3347" t="s">
        <v>139</v>
      </c>
      <c r="H3347" t="s">
        <v>30</v>
      </c>
      <c r="I3347" t="s">
        <v>30</v>
      </c>
      <c r="J3347" t="s">
        <v>128</v>
      </c>
      <c r="K3347" t="s">
        <v>135</v>
      </c>
      <c r="L3347" t="s">
        <v>32</v>
      </c>
      <c r="M3347" t="s">
        <v>33</v>
      </c>
      <c r="N3347" t="s">
        <v>169</v>
      </c>
      <c r="O3347" t="s">
        <v>169</v>
      </c>
      <c r="P3347" t="s">
        <v>42</v>
      </c>
      <c r="Q3347" t="s">
        <v>43</v>
      </c>
      <c r="R3347" t="s">
        <v>136</v>
      </c>
      <c r="S3347" t="s">
        <v>30</v>
      </c>
      <c r="T3347" t="s">
        <v>2864</v>
      </c>
      <c r="U3347" t="s">
        <v>2866</v>
      </c>
      <c r="V3347" t="s">
        <v>40</v>
      </c>
      <c r="W3347" s="1">
        <v>518000</v>
      </c>
    </row>
    <row r="3348" spans="1:23" x14ac:dyDescent="0.2">
      <c r="A3348" t="s">
        <v>2096</v>
      </c>
      <c r="B3348" t="s">
        <v>2097</v>
      </c>
      <c r="C3348" t="s">
        <v>2718</v>
      </c>
      <c r="D3348" t="s">
        <v>2730</v>
      </c>
      <c r="E3348" t="s">
        <v>2818</v>
      </c>
      <c r="F3348" t="s">
        <v>2819</v>
      </c>
      <c r="G3348" t="s">
        <v>139</v>
      </c>
      <c r="H3348" t="s">
        <v>30</v>
      </c>
      <c r="I3348" t="s">
        <v>30</v>
      </c>
      <c r="J3348" t="s">
        <v>128</v>
      </c>
      <c r="K3348" t="s">
        <v>32</v>
      </c>
      <c r="L3348" t="s">
        <v>32</v>
      </c>
      <c r="M3348" t="s">
        <v>33</v>
      </c>
      <c r="P3348" t="s">
        <v>34</v>
      </c>
      <c r="Q3348" t="s">
        <v>35</v>
      </c>
      <c r="R3348" t="s">
        <v>129</v>
      </c>
      <c r="S3348" t="s">
        <v>30</v>
      </c>
      <c r="T3348" t="s">
        <v>2867</v>
      </c>
      <c r="U3348" t="s">
        <v>2868</v>
      </c>
      <c r="V3348" t="s">
        <v>39</v>
      </c>
      <c r="W3348" s="1">
        <v>3</v>
      </c>
    </row>
    <row r="3349" spans="1:23" x14ac:dyDescent="0.2">
      <c r="A3349" t="s">
        <v>2096</v>
      </c>
      <c r="B3349" t="s">
        <v>2097</v>
      </c>
      <c r="C3349" t="s">
        <v>2718</v>
      </c>
      <c r="D3349" t="s">
        <v>2730</v>
      </c>
      <c r="E3349" t="s">
        <v>2818</v>
      </c>
      <c r="F3349" t="s">
        <v>2819</v>
      </c>
      <c r="G3349" t="s">
        <v>139</v>
      </c>
      <c r="H3349" t="s">
        <v>30</v>
      </c>
      <c r="I3349" t="s">
        <v>30</v>
      </c>
      <c r="J3349" t="s">
        <v>128</v>
      </c>
      <c r="K3349" t="s">
        <v>32</v>
      </c>
      <c r="L3349" t="s">
        <v>32</v>
      </c>
      <c r="M3349" t="s">
        <v>33</v>
      </c>
      <c r="P3349" t="s">
        <v>34</v>
      </c>
      <c r="Q3349" t="s">
        <v>35</v>
      </c>
      <c r="R3349" t="s">
        <v>129</v>
      </c>
      <c r="S3349" t="s">
        <v>30</v>
      </c>
      <c r="T3349" t="s">
        <v>2867</v>
      </c>
      <c r="U3349" t="s">
        <v>2868</v>
      </c>
      <c r="V3349" t="s">
        <v>40</v>
      </c>
      <c r="W3349" s="1">
        <v>537000</v>
      </c>
    </row>
    <row r="3350" spans="1:23" x14ac:dyDescent="0.2">
      <c r="A3350" t="s">
        <v>2096</v>
      </c>
      <c r="B3350" t="s">
        <v>2097</v>
      </c>
      <c r="C3350" t="s">
        <v>2718</v>
      </c>
      <c r="D3350" t="s">
        <v>2730</v>
      </c>
      <c r="E3350" t="s">
        <v>2818</v>
      </c>
      <c r="F3350" t="s">
        <v>2819</v>
      </c>
      <c r="G3350" t="s">
        <v>139</v>
      </c>
      <c r="H3350" t="s">
        <v>30</v>
      </c>
      <c r="I3350" t="s">
        <v>30</v>
      </c>
      <c r="J3350" t="s">
        <v>128</v>
      </c>
      <c r="K3350" t="s">
        <v>181</v>
      </c>
      <c r="L3350" t="s">
        <v>32</v>
      </c>
      <c r="M3350" t="s">
        <v>33</v>
      </c>
      <c r="N3350" t="s">
        <v>33</v>
      </c>
      <c r="O3350" t="s">
        <v>33</v>
      </c>
      <c r="P3350" t="s">
        <v>34</v>
      </c>
      <c r="Q3350" t="s">
        <v>35</v>
      </c>
      <c r="R3350" t="s">
        <v>2843</v>
      </c>
      <c r="S3350" t="s">
        <v>30</v>
      </c>
      <c r="T3350" t="s">
        <v>2848</v>
      </c>
      <c r="U3350" t="s">
        <v>2869</v>
      </c>
      <c r="V3350" t="s">
        <v>39</v>
      </c>
      <c r="W3350" s="1">
        <v>8</v>
      </c>
    </row>
    <row r="3351" spans="1:23" x14ac:dyDescent="0.2">
      <c r="A3351" t="s">
        <v>2096</v>
      </c>
      <c r="B3351" t="s">
        <v>2097</v>
      </c>
      <c r="C3351" t="s">
        <v>2718</v>
      </c>
      <c r="D3351" t="s">
        <v>2730</v>
      </c>
      <c r="E3351" t="s">
        <v>2818</v>
      </c>
      <c r="F3351" t="s">
        <v>2819</v>
      </c>
      <c r="G3351" t="s">
        <v>139</v>
      </c>
      <c r="H3351" t="s">
        <v>30</v>
      </c>
      <c r="I3351" t="s">
        <v>30</v>
      </c>
      <c r="J3351" t="s">
        <v>128</v>
      </c>
      <c r="K3351" t="s">
        <v>181</v>
      </c>
      <c r="L3351" t="s">
        <v>32</v>
      </c>
      <c r="M3351" t="s">
        <v>33</v>
      </c>
      <c r="N3351" t="s">
        <v>33</v>
      </c>
      <c r="O3351" t="s">
        <v>33</v>
      </c>
      <c r="P3351" t="s">
        <v>34</v>
      </c>
      <c r="Q3351" t="s">
        <v>35</v>
      </c>
      <c r="R3351" t="s">
        <v>2843</v>
      </c>
      <c r="S3351" t="s">
        <v>30</v>
      </c>
      <c r="T3351" t="s">
        <v>2848</v>
      </c>
      <c r="U3351" t="s">
        <v>2869</v>
      </c>
      <c r="V3351" t="s">
        <v>40</v>
      </c>
      <c r="W3351" s="1">
        <v>0</v>
      </c>
    </row>
    <row r="3352" spans="1:23" x14ac:dyDescent="0.2">
      <c r="A3352" t="s">
        <v>2096</v>
      </c>
      <c r="B3352" t="s">
        <v>2097</v>
      </c>
      <c r="C3352" t="s">
        <v>2718</v>
      </c>
      <c r="D3352" t="s">
        <v>2730</v>
      </c>
      <c r="E3352" t="s">
        <v>2818</v>
      </c>
      <c r="F3352" t="s">
        <v>2819</v>
      </c>
      <c r="G3352" t="s">
        <v>139</v>
      </c>
      <c r="H3352" t="s">
        <v>30</v>
      </c>
      <c r="I3352" t="s">
        <v>30</v>
      </c>
      <c r="J3352" t="s">
        <v>128</v>
      </c>
      <c r="K3352" t="s">
        <v>181</v>
      </c>
      <c r="L3352" t="s">
        <v>32</v>
      </c>
      <c r="M3352" t="s">
        <v>33</v>
      </c>
      <c r="P3352" t="s">
        <v>34</v>
      </c>
      <c r="Q3352" t="s">
        <v>35</v>
      </c>
      <c r="R3352" t="s">
        <v>2843</v>
      </c>
      <c r="S3352" t="s">
        <v>30</v>
      </c>
      <c r="T3352" t="s">
        <v>2848</v>
      </c>
      <c r="U3352" t="s">
        <v>2869</v>
      </c>
      <c r="V3352" t="s">
        <v>39</v>
      </c>
      <c r="W3352" s="1">
        <v>1</v>
      </c>
    </row>
    <row r="3353" spans="1:23" x14ac:dyDescent="0.2">
      <c r="A3353" t="s">
        <v>2096</v>
      </c>
      <c r="B3353" t="s">
        <v>2097</v>
      </c>
      <c r="C3353" t="s">
        <v>2718</v>
      </c>
      <c r="D3353" t="s">
        <v>2730</v>
      </c>
      <c r="E3353" t="s">
        <v>2818</v>
      </c>
      <c r="F3353" t="s">
        <v>2819</v>
      </c>
      <c r="G3353" t="s">
        <v>139</v>
      </c>
      <c r="H3353" t="s">
        <v>30</v>
      </c>
      <c r="I3353" t="s">
        <v>30</v>
      </c>
      <c r="J3353" t="s">
        <v>128</v>
      </c>
      <c r="K3353" t="s">
        <v>181</v>
      </c>
      <c r="L3353" t="s">
        <v>32</v>
      </c>
      <c r="M3353" t="s">
        <v>33</v>
      </c>
      <c r="P3353" t="s">
        <v>34</v>
      </c>
      <c r="Q3353" t="s">
        <v>35</v>
      </c>
      <c r="R3353" t="s">
        <v>2843</v>
      </c>
      <c r="S3353" t="s">
        <v>30</v>
      </c>
      <c r="T3353" t="s">
        <v>2848</v>
      </c>
      <c r="U3353" t="s">
        <v>2869</v>
      </c>
      <c r="V3353" t="s">
        <v>40</v>
      </c>
      <c r="W3353" s="1">
        <v>0</v>
      </c>
    </row>
    <row r="3354" spans="1:23" x14ac:dyDescent="0.2">
      <c r="A3354" t="s">
        <v>2096</v>
      </c>
      <c r="B3354" t="s">
        <v>2097</v>
      </c>
      <c r="C3354" t="s">
        <v>2718</v>
      </c>
      <c r="D3354" t="s">
        <v>2730</v>
      </c>
      <c r="E3354" t="s">
        <v>2818</v>
      </c>
      <c r="F3354" t="s">
        <v>2819</v>
      </c>
      <c r="G3354" t="s">
        <v>139</v>
      </c>
      <c r="H3354" t="s">
        <v>30</v>
      </c>
      <c r="I3354" t="s">
        <v>30</v>
      </c>
      <c r="J3354" t="s">
        <v>31</v>
      </c>
      <c r="K3354" t="s">
        <v>32</v>
      </c>
      <c r="L3354" t="s">
        <v>32</v>
      </c>
      <c r="M3354" t="s">
        <v>33</v>
      </c>
      <c r="N3354" t="s">
        <v>33</v>
      </c>
      <c r="O3354" t="s">
        <v>33</v>
      </c>
      <c r="P3354" t="s">
        <v>213</v>
      </c>
      <c r="Q3354" t="s">
        <v>214</v>
      </c>
      <c r="S3354" t="s">
        <v>30</v>
      </c>
      <c r="T3354" t="s">
        <v>2870</v>
      </c>
      <c r="U3354" t="s">
        <v>2871</v>
      </c>
      <c r="V3354" t="s">
        <v>39</v>
      </c>
      <c r="W3354" s="1">
        <v>2</v>
      </c>
    </row>
    <row r="3355" spans="1:23" x14ac:dyDescent="0.2">
      <c r="A3355" t="s">
        <v>2096</v>
      </c>
      <c r="B3355" t="s">
        <v>2097</v>
      </c>
      <c r="C3355" t="s">
        <v>2718</v>
      </c>
      <c r="D3355" t="s">
        <v>2730</v>
      </c>
      <c r="E3355" t="s">
        <v>2818</v>
      </c>
      <c r="F3355" t="s">
        <v>2819</v>
      </c>
      <c r="G3355" t="s">
        <v>139</v>
      </c>
      <c r="H3355" t="s">
        <v>30</v>
      </c>
      <c r="I3355" t="s">
        <v>30</v>
      </c>
      <c r="J3355" t="s">
        <v>31</v>
      </c>
      <c r="K3355" t="s">
        <v>32</v>
      </c>
      <c r="L3355" t="s">
        <v>32</v>
      </c>
      <c r="M3355" t="s">
        <v>33</v>
      </c>
      <c r="N3355" t="s">
        <v>33</v>
      </c>
      <c r="O3355" t="s">
        <v>33</v>
      </c>
      <c r="P3355" t="s">
        <v>213</v>
      </c>
      <c r="Q3355" t="s">
        <v>214</v>
      </c>
      <c r="S3355" t="s">
        <v>30</v>
      </c>
      <c r="T3355" t="s">
        <v>2870</v>
      </c>
      <c r="U3355" t="s">
        <v>2871</v>
      </c>
      <c r="V3355" t="s">
        <v>40</v>
      </c>
      <c r="W3355" s="1">
        <v>1644600</v>
      </c>
    </row>
    <row r="3356" spans="1:23" x14ac:dyDescent="0.2">
      <c r="A3356" t="s">
        <v>2096</v>
      </c>
      <c r="B3356" t="s">
        <v>2097</v>
      </c>
      <c r="C3356" t="s">
        <v>2718</v>
      </c>
      <c r="D3356" t="s">
        <v>2730</v>
      </c>
      <c r="E3356" t="s">
        <v>2818</v>
      </c>
      <c r="F3356" t="s">
        <v>2819</v>
      </c>
      <c r="G3356" t="s">
        <v>139</v>
      </c>
      <c r="H3356" t="s">
        <v>30</v>
      </c>
      <c r="I3356" t="s">
        <v>30</v>
      </c>
      <c r="J3356" t="s">
        <v>31</v>
      </c>
      <c r="K3356" t="s">
        <v>32</v>
      </c>
      <c r="L3356" t="s">
        <v>32</v>
      </c>
      <c r="M3356" t="s">
        <v>33</v>
      </c>
      <c r="N3356" t="s">
        <v>33</v>
      </c>
      <c r="O3356" t="s">
        <v>33</v>
      </c>
      <c r="P3356" t="s">
        <v>34</v>
      </c>
      <c r="Q3356" t="s">
        <v>35</v>
      </c>
      <c r="S3356" t="s">
        <v>30</v>
      </c>
      <c r="T3356" t="s">
        <v>2872</v>
      </c>
      <c r="U3356" t="s">
        <v>2873</v>
      </c>
      <c r="V3356" t="s">
        <v>39</v>
      </c>
      <c r="W3356" s="1">
        <v>2</v>
      </c>
    </row>
    <row r="3357" spans="1:23" x14ac:dyDescent="0.2">
      <c r="A3357" t="s">
        <v>2096</v>
      </c>
      <c r="B3357" t="s">
        <v>2097</v>
      </c>
      <c r="C3357" t="s">
        <v>2718</v>
      </c>
      <c r="D3357" t="s">
        <v>2730</v>
      </c>
      <c r="E3357" t="s">
        <v>2818</v>
      </c>
      <c r="F3357" t="s">
        <v>2819</v>
      </c>
      <c r="G3357" t="s">
        <v>139</v>
      </c>
      <c r="H3357" t="s">
        <v>30</v>
      </c>
      <c r="I3357" t="s">
        <v>30</v>
      </c>
      <c r="J3357" t="s">
        <v>31</v>
      </c>
      <c r="K3357" t="s">
        <v>32</v>
      </c>
      <c r="L3357" t="s">
        <v>32</v>
      </c>
      <c r="M3357" t="s">
        <v>33</v>
      </c>
      <c r="N3357" t="s">
        <v>33</v>
      </c>
      <c r="O3357" t="s">
        <v>33</v>
      </c>
      <c r="P3357" t="s">
        <v>34</v>
      </c>
      <c r="Q3357" t="s">
        <v>35</v>
      </c>
      <c r="S3357" t="s">
        <v>30</v>
      </c>
      <c r="T3357" t="s">
        <v>2872</v>
      </c>
      <c r="U3357" t="s">
        <v>2873</v>
      </c>
      <c r="V3357" t="s">
        <v>40</v>
      </c>
      <c r="W3357" s="1">
        <v>1599800</v>
      </c>
    </row>
    <row r="3358" spans="1:23" x14ac:dyDescent="0.2">
      <c r="A3358" t="s">
        <v>2096</v>
      </c>
      <c r="B3358" t="s">
        <v>2097</v>
      </c>
      <c r="C3358" t="s">
        <v>2718</v>
      </c>
      <c r="D3358" t="s">
        <v>2730</v>
      </c>
      <c r="E3358" t="s">
        <v>2818</v>
      </c>
      <c r="F3358" t="s">
        <v>2819</v>
      </c>
      <c r="G3358" t="s">
        <v>139</v>
      </c>
      <c r="H3358" t="s">
        <v>30</v>
      </c>
      <c r="I3358" t="s">
        <v>30</v>
      </c>
      <c r="J3358" t="s">
        <v>31</v>
      </c>
      <c r="K3358" t="s">
        <v>32</v>
      </c>
      <c r="L3358" t="s">
        <v>32</v>
      </c>
      <c r="M3358" t="s">
        <v>33</v>
      </c>
      <c r="N3358" t="s">
        <v>33</v>
      </c>
      <c r="O3358" t="s">
        <v>33</v>
      </c>
      <c r="P3358" t="s">
        <v>34</v>
      </c>
      <c r="Q3358" t="s">
        <v>35</v>
      </c>
      <c r="S3358" t="s">
        <v>30</v>
      </c>
      <c r="T3358" t="s">
        <v>2872</v>
      </c>
      <c r="U3358" t="s">
        <v>2874</v>
      </c>
      <c r="V3358" t="s">
        <v>39</v>
      </c>
      <c r="W3358" s="1">
        <v>2</v>
      </c>
    </row>
    <row r="3359" spans="1:23" x14ac:dyDescent="0.2">
      <c r="A3359" t="s">
        <v>2096</v>
      </c>
      <c r="B3359" t="s">
        <v>2097</v>
      </c>
      <c r="C3359" t="s">
        <v>2718</v>
      </c>
      <c r="D3359" t="s">
        <v>2730</v>
      </c>
      <c r="E3359" t="s">
        <v>2818</v>
      </c>
      <c r="F3359" t="s">
        <v>2819</v>
      </c>
      <c r="G3359" t="s">
        <v>139</v>
      </c>
      <c r="H3359" t="s">
        <v>30</v>
      </c>
      <c r="I3359" t="s">
        <v>30</v>
      </c>
      <c r="J3359" t="s">
        <v>31</v>
      </c>
      <c r="K3359" t="s">
        <v>32</v>
      </c>
      <c r="L3359" t="s">
        <v>32</v>
      </c>
      <c r="M3359" t="s">
        <v>33</v>
      </c>
      <c r="N3359" t="s">
        <v>33</v>
      </c>
      <c r="O3359" t="s">
        <v>33</v>
      </c>
      <c r="P3359" t="s">
        <v>34</v>
      </c>
      <c r="Q3359" t="s">
        <v>35</v>
      </c>
      <c r="S3359" t="s">
        <v>30</v>
      </c>
      <c r="T3359" t="s">
        <v>2872</v>
      </c>
      <c r="U3359" t="s">
        <v>2874</v>
      </c>
      <c r="V3359" t="s">
        <v>40</v>
      </c>
      <c r="W3359" s="1">
        <v>1599800</v>
      </c>
    </row>
    <row r="3360" spans="1:23" x14ac:dyDescent="0.2">
      <c r="A3360" t="s">
        <v>2096</v>
      </c>
      <c r="B3360" t="s">
        <v>2097</v>
      </c>
      <c r="C3360" t="s">
        <v>2718</v>
      </c>
      <c r="D3360" t="s">
        <v>2730</v>
      </c>
      <c r="E3360" t="s">
        <v>2818</v>
      </c>
      <c r="F3360" t="s">
        <v>2819</v>
      </c>
      <c r="G3360" t="s">
        <v>139</v>
      </c>
      <c r="H3360" t="s">
        <v>30</v>
      </c>
      <c r="I3360" t="s">
        <v>30</v>
      </c>
      <c r="J3360" t="s">
        <v>31</v>
      </c>
      <c r="K3360" t="s">
        <v>32</v>
      </c>
      <c r="L3360" t="s">
        <v>32</v>
      </c>
      <c r="M3360" t="s">
        <v>33</v>
      </c>
      <c r="N3360" t="s">
        <v>33</v>
      </c>
      <c r="O3360" t="s">
        <v>33</v>
      </c>
      <c r="P3360" t="s">
        <v>34</v>
      </c>
      <c r="Q3360" t="s">
        <v>35</v>
      </c>
      <c r="S3360" t="s">
        <v>30</v>
      </c>
      <c r="T3360" t="s">
        <v>2875</v>
      </c>
      <c r="U3360" t="s">
        <v>2876</v>
      </c>
      <c r="V3360" t="s">
        <v>39</v>
      </c>
      <c r="W3360" s="1">
        <v>2</v>
      </c>
    </row>
    <row r="3361" spans="1:23" x14ac:dyDescent="0.2">
      <c r="A3361" t="s">
        <v>2096</v>
      </c>
      <c r="B3361" t="s">
        <v>2097</v>
      </c>
      <c r="C3361" t="s">
        <v>2718</v>
      </c>
      <c r="D3361" t="s">
        <v>2730</v>
      </c>
      <c r="E3361" t="s">
        <v>2818</v>
      </c>
      <c r="F3361" t="s">
        <v>2819</v>
      </c>
      <c r="G3361" t="s">
        <v>139</v>
      </c>
      <c r="H3361" t="s">
        <v>30</v>
      </c>
      <c r="I3361" t="s">
        <v>30</v>
      </c>
      <c r="J3361" t="s">
        <v>31</v>
      </c>
      <c r="K3361" t="s">
        <v>32</v>
      </c>
      <c r="L3361" t="s">
        <v>32</v>
      </c>
      <c r="M3361" t="s">
        <v>33</v>
      </c>
      <c r="N3361" t="s">
        <v>33</v>
      </c>
      <c r="O3361" t="s">
        <v>33</v>
      </c>
      <c r="P3361" t="s">
        <v>34</v>
      </c>
      <c r="Q3361" t="s">
        <v>35</v>
      </c>
      <c r="S3361" t="s">
        <v>30</v>
      </c>
      <c r="T3361" t="s">
        <v>2875</v>
      </c>
      <c r="U3361" t="s">
        <v>2876</v>
      </c>
      <c r="V3361" t="s">
        <v>40</v>
      </c>
      <c r="W3361" s="1">
        <v>2779800</v>
      </c>
    </row>
    <row r="3362" spans="1:23" x14ac:dyDescent="0.2">
      <c r="A3362" t="s">
        <v>2096</v>
      </c>
      <c r="B3362" t="s">
        <v>2097</v>
      </c>
      <c r="C3362" t="s">
        <v>2718</v>
      </c>
      <c r="D3362" t="s">
        <v>2730</v>
      </c>
      <c r="E3362" t="s">
        <v>2818</v>
      </c>
      <c r="F3362" t="s">
        <v>2819</v>
      </c>
      <c r="G3362" t="s">
        <v>139</v>
      </c>
      <c r="H3362" t="s">
        <v>30</v>
      </c>
      <c r="I3362" t="s">
        <v>30</v>
      </c>
      <c r="J3362" t="s">
        <v>31</v>
      </c>
      <c r="K3362" t="s">
        <v>32</v>
      </c>
      <c r="L3362" t="s">
        <v>32</v>
      </c>
      <c r="M3362" t="s">
        <v>33</v>
      </c>
      <c r="N3362" t="s">
        <v>33</v>
      </c>
      <c r="O3362" t="s">
        <v>33</v>
      </c>
      <c r="P3362" t="s">
        <v>42</v>
      </c>
      <c r="Q3362" t="s">
        <v>43</v>
      </c>
      <c r="S3362" t="s">
        <v>30</v>
      </c>
      <c r="T3362" t="s">
        <v>2877</v>
      </c>
      <c r="U3362" t="s">
        <v>2878</v>
      </c>
      <c r="V3362" t="s">
        <v>39</v>
      </c>
      <c r="W3362" s="1">
        <v>2</v>
      </c>
    </row>
    <row r="3363" spans="1:23" x14ac:dyDescent="0.2">
      <c r="A3363" t="s">
        <v>2096</v>
      </c>
      <c r="B3363" t="s">
        <v>2097</v>
      </c>
      <c r="C3363" t="s">
        <v>2718</v>
      </c>
      <c r="D3363" t="s">
        <v>2730</v>
      </c>
      <c r="E3363" t="s">
        <v>2818</v>
      </c>
      <c r="F3363" t="s">
        <v>2819</v>
      </c>
      <c r="G3363" t="s">
        <v>139</v>
      </c>
      <c r="H3363" t="s">
        <v>30</v>
      </c>
      <c r="I3363" t="s">
        <v>30</v>
      </c>
      <c r="J3363" t="s">
        <v>31</v>
      </c>
      <c r="K3363" t="s">
        <v>32</v>
      </c>
      <c r="L3363" t="s">
        <v>32</v>
      </c>
      <c r="M3363" t="s">
        <v>33</v>
      </c>
      <c r="N3363" t="s">
        <v>33</v>
      </c>
      <c r="O3363" t="s">
        <v>33</v>
      </c>
      <c r="P3363" t="s">
        <v>42</v>
      </c>
      <c r="Q3363" t="s">
        <v>43</v>
      </c>
      <c r="S3363" t="s">
        <v>30</v>
      </c>
      <c r="T3363" t="s">
        <v>2877</v>
      </c>
      <c r="U3363" t="s">
        <v>2878</v>
      </c>
      <c r="V3363" t="s">
        <v>40</v>
      </c>
      <c r="W3363" s="1">
        <v>1959800</v>
      </c>
    </row>
    <row r="3364" spans="1:23" x14ac:dyDescent="0.2">
      <c r="A3364" t="s">
        <v>2096</v>
      </c>
      <c r="B3364" t="s">
        <v>2097</v>
      </c>
      <c r="C3364" t="s">
        <v>2718</v>
      </c>
      <c r="D3364" t="s">
        <v>2730</v>
      </c>
      <c r="E3364" t="s">
        <v>2818</v>
      </c>
      <c r="F3364" t="s">
        <v>2819</v>
      </c>
      <c r="G3364" t="s">
        <v>139</v>
      </c>
      <c r="H3364" t="s">
        <v>30</v>
      </c>
      <c r="I3364" t="s">
        <v>30</v>
      </c>
      <c r="J3364" t="s">
        <v>41</v>
      </c>
      <c r="K3364" t="s">
        <v>32</v>
      </c>
      <c r="L3364" t="s">
        <v>32</v>
      </c>
      <c r="M3364" t="s">
        <v>33</v>
      </c>
      <c r="N3364" t="s">
        <v>33</v>
      </c>
      <c r="O3364" t="s">
        <v>33</v>
      </c>
      <c r="P3364" t="s">
        <v>34</v>
      </c>
      <c r="Q3364" t="s">
        <v>35</v>
      </c>
      <c r="R3364" t="s">
        <v>54</v>
      </c>
      <c r="S3364" t="s">
        <v>30</v>
      </c>
      <c r="T3364" t="s">
        <v>2879</v>
      </c>
      <c r="U3364" t="s">
        <v>2880</v>
      </c>
      <c r="V3364" t="s">
        <v>39</v>
      </c>
      <c r="W3364" s="1">
        <v>2</v>
      </c>
    </row>
    <row r="3365" spans="1:23" x14ac:dyDescent="0.2">
      <c r="A3365" t="s">
        <v>2096</v>
      </c>
      <c r="B3365" t="s">
        <v>2097</v>
      </c>
      <c r="C3365" t="s">
        <v>2718</v>
      </c>
      <c r="D3365" t="s">
        <v>2730</v>
      </c>
      <c r="E3365" t="s">
        <v>2818</v>
      </c>
      <c r="F3365" t="s">
        <v>2819</v>
      </c>
      <c r="G3365" t="s">
        <v>139</v>
      </c>
      <c r="H3365" t="s">
        <v>30</v>
      </c>
      <c r="I3365" t="s">
        <v>30</v>
      </c>
      <c r="J3365" t="s">
        <v>41</v>
      </c>
      <c r="K3365" t="s">
        <v>32</v>
      </c>
      <c r="L3365" t="s">
        <v>32</v>
      </c>
      <c r="M3365" t="s">
        <v>33</v>
      </c>
      <c r="N3365" t="s">
        <v>33</v>
      </c>
      <c r="O3365" t="s">
        <v>33</v>
      </c>
      <c r="P3365" t="s">
        <v>34</v>
      </c>
      <c r="Q3365" t="s">
        <v>35</v>
      </c>
      <c r="R3365" t="s">
        <v>54</v>
      </c>
      <c r="S3365" t="s">
        <v>30</v>
      </c>
      <c r="T3365" t="s">
        <v>2879</v>
      </c>
      <c r="U3365" t="s">
        <v>2880</v>
      </c>
      <c r="V3365" t="s">
        <v>40</v>
      </c>
      <c r="W3365" s="1">
        <v>1841800</v>
      </c>
    </row>
    <row r="3366" spans="1:23" x14ac:dyDescent="0.2">
      <c r="A3366" t="s">
        <v>2096</v>
      </c>
      <c r="B3366" t="s">
        <v>2097</v>
      </c>
      <c r="C3366" t="s">
        <v>2718</v>
      </c>
      <c r="D3366" t="s">
        <v>2730</v>
      </c>
      <c r="E3366" t="s">
        <v>2818</v>
      </c>
      <c r="F3366" t="s">
        <v>2819</v>
      </c>
      <c r="G3366" t="s">
        <v>139</v>
      </c>
      <c r="H3366" t="s">
        <v>30</v>
      </c>
      <c r="I3366" t="s">
        <v>30</v>
      </c>
      <c r="J3366" t="s">
        <v>233</v>
      </c>
      <c r="K3366" t="s">
        <v>234</v>
      </c>
      <c r="L3366" t="s">
        <v>32</v>
      </c>
      <c r="M3366" t="s">
        <v>33</v>
      </c>
      <c r="N3366" t="s">
        <v>33</v>
      </c>
      <c r="O3366" t="s">
        <v>33</v>
      </c>
      <c r="P3366" t="s">
        <v>213</v>
      </c>
      <c r="Q3366" t="s">
        <v>214</v>
      </c>
      <c r="R3366" t="s">
        <v>148</v>
      </c>
      <c r="S3366" t="s">
        <v>30</v>
      </c>
      <c r="T3366" t="s">
        <v>2881</v>
      </c>
      <c r="U3366" t="s">
        <v>2882</v>
      </c>
      <c r="V3366" t="s">
        <v>39</v>
      </c>
      <c r="W3366" s="1">
        <v>4</v>
      </c>
    </row>
    <row r="3367" spans="1:23" x14ac:dyDescent="0.2">
      <c r="A3367" t="s">
        <v>2096</v>
      </c>
      <c r="B3367" t="s">
        <v>2097</v>
      </c>
      <c r="C3367" t="s">
        <v>2718</v>
      </c>
      <c r="D3367" t="s">
        <v>2730</v>
      </c>
      <c r="E3367" t="s">
        <v>2818</v>
      </c>
      <c r="F3367" t="s">
        <v>2819</v>
      </c>
      <c r="G3367" t="s">
        <v>139</v>
      </c>
      <c r="H3367" t="s">
        <v>30</v>
      </c>
      <c r="I3367" t="s">
        <v>30</v>
      </c>
      <c r="J3367" t="s">
        <v>233</v>
      </c>
      <c r="K3367" t="s">
        <v>234</v>
      </c>
      <c r="L3367" t="s">
        <v>32</v>
      </c>
      <c r="M3367" t="s">
        <v>33</v>
      </c>
      <c r="N3367" t="s">
        <v>33</v>
      </c>
      <c r="O3367" t="s">
        <v>33</v>
      </c>
      <c r="P3367" t="s">
        <v>213</v>
      </c>
      <c r="Q3367" t="s">
        <v>214</v>
      </c>
      <c r="R3367" t="s">
        <v>148</v>
      </c>
      <c r="S3367" t="s">
        <v>30</v>
      </c>
      <c r="T3367" t="s">
        <v>2881</v>
      </c>
      <c r="U3367" t="s">
        <v>2882</v>
      </c>
      <c r="V3367" t="s">
        <v>40</v>
      </c>
      <c r="W3367" s="1">
        <v>4412000</v>
      </c>
    </row>
    <row r="3368" spans="1:23" x14ac:dyDescent="0.2">
      <c r="A3368" t="s">
        <v>2096</v>
      </c>
      <c r="B3368" t="s">
        <v>2097</v>
      </c>
      <c r="C3368" t="s">
        <v>2718</v>
      </c>
      <c r="D3368" t="s">
        <v>2883</v>
      </c>
      <c r="E3368" t="s">
        <v>2884</v>
      </c>
      <c r="F3368" t="s">
        <v>2885</v>
      </c>
      <c r="G3368" t="s">
        <v>29</v>
      </c>
      <c r="H3368" t="s">
        <v>30</v>
      </c>
      <c r="I3368" t="s">
        <v>30</v>
      </c>
      <c r="J3368" t="s">
        <v>31</v>
      </c>
      <c r="K3368" t="s">
        <v>32</v>
      </c>
      <c r="L3368" t="s">
        <v>32</v>
      </c>
      <c r="M3368" t="s">
        <v>33</v>
      </c>
      <c r="N3368" t="s">
        <v>33</v>
      </c>
      <c r="O3368" t="s">
        <v>33</v>
      </c>
      <c r="P3368" t="s">
        <v>34</v>
      </c>
      <c r="Q3368" t="s">
        <v>35</v>
      </c>
      <c r="R3368" t="s">
        <v>184</v>
      </c>
      <c r="S3368" t="s">
        <v>30</v>
      </c>
      <c r="T3368" t="s">
        <v>2480</v>
      </c>
      <c r="U3368" t="s">
        <v>2886</v>
      </c>
      <c r="V3368" t="s">
        <v>39</v>
      </c>
      <c r="W3368" s="1">
        <v>1</v>
      </c>
    </row>
    <row r="3369" spans="1:23" x14ac:dyDescent="0.2">
      <c r="A3369" t="s">
        <v>2096</v>
      </c>
      <c r="B3369" t="s">
        <v>2097</v>
      </c>
      <c r="C3369" t="s">
        <v>2718</v>
      </c>
      <c r="D3369" t="s">
        <v>2883</v>
      </c>
      <c r="E3369" t="s">
        <v>2884</v>
      </c>
      <c r="F3369" t="s">
        <v>2885</v>
      </c>
      <c r="G3369" t="s">
        <v>29</v>
      </c>
      <c r="H3369" t="s">
        <v>30</v>
      </c>
      <c r="I3369" t="s">
        <v>30</v>
      </c>
      <c r="J3369" t="s">
        <v>31</v>
      </c>
      <c r="K3369" t="s">
        <v>32</v>
      </c>
      <c r="L3369" t="s">
        <v>32</v>
      </c>
      <c r="M3369" t="s">
        <v>33</v>
      </c>
      <c r="N3369" t="s">
        <v>33</v>
      </c>
      <c r="O3369" t="s">
        <v>33</v>
      </c>
      <c r="P3369" t="s">
        <v>34</v>
      </c>
      <c r="Q3369" t="s">
        <v>35</v>
      </c>
      <c r="R3369" t="s">
        <v>184</v>
      </c>
      <c r="S3369" t="s">
        <v>30</v>
      </c>
      <c r="T3369" t="s">
        <v>2480</v>
      </c>
      <c r="U3369" t="s">
        <v>2886</v>
      </c>
      <c r="V3369" t="s">
        <v>40</v>
      </c>
      <c r="W3369" s="1">
        <v>1155900</v>
      </c>
    </row>
    <row r="3370" spans="1:23" x14ac:dyDescent="0.2">
      <c r="A3370" t="s">
        <v>2096</v>
      </c>
      <c r="B3370" t="s">
        <v>2097</v>
      </c>
      <c r="C3370" t="s">
        <v>2718</v>
      </c>
      <c r="D3370" t="s">
        <v>2883</v>
      </c>
      <c r="E3370" t="s">
        <v>2884</v>
      </c>
      <c r="F3370" t="s">
        <v>2885</v>
      </c>
      <c r="G3370" t="s">
        <v>29</v>
      </c>
      <c r="H3370" t="s">
        <v>30</v>
      </c>
      <c r="I3370" t="s">
        <v>30</v>
      </c>
      <c r="J3370" t="s">
        <v>31</v>
      </c>
      <c r="K3370" t="s">
        <v>32</v>
      </c>
      <c r="L3370" t="s">
        <v>32</v>
      </c>
      <c r="M3370" t="s">
        <v>33</v>
      </c>
      <c r="N3370" t="s">
        <v>33</v>
      </c>
      <c r="O3370" t="s">
        <v>33</v>
      </c>
      <c r="P3370" t="s">
        <v>34</v>
      </c>
      <c r="Q3370" t="s">
        <v>35</v>
      </c>
      <c r="S3370" t="s">
        <v>30</v>
      </c>
      <c r="T3370" t="s">
        <v>2887</v>
      </c>
      <c r="U3370" t="s">
        <v>2888</v>
      </c>
      <c r="V3370" t="s">
        <v>39</v>
      </c>
      <c r="W3370" s="1">
        <v>1</v>
      </c>
    </row>
    <row r="3371" spans="1:23" x14ac:dyDescent="0.2">
      <c r="A3371" t="s">
        <v>2096</v>
      </c>
      <c r="B3371" t="s">
        <v>2097</v>
      </c>
      <c r="C3371" t="s">
        <v>2718</v>
      </c>
      <c r="D3371" t="s">
        <v>2883</v>
      </c>
      <c r="E3371" t="s">
        <v>2884</v>
      </c>
      <c r="F3371" t="s">
        <v>2885</v>
      </c>
      <c r="G3371" t="s">
        <v>29</v>
      </c>
      <c r="H3371" t="s">
        <v>30</v>
      </c>
      <c r="I3371" t="s">
        <v>30</v>
      </c>
      <c r="J3371" t="s">
        <v>31</v>
      </c>
      <c r="K3371" t="s">
        <v>32</v>
      </c>
      <c r="L3371" t="s">
        <v>32</v>
      </c>
      <c r="M3371" t="s">
        <v>33</v>
      </c>
      <c r="N3371" t="s">
        <v>33</v>
      </c>
      <c r="O3371" t="s">
        <v>33</v>
      </c>
      <c r="P3371" t="s">
        <v>34</v>
      </c>
      <c r="Q3371" t="s">
        <v>35</v>
      </c>
      <c r="S3371" t="s">
        <v>30</v>
      </c>
      <c r="T3371" t="s">
        <v>2887</v>
      </c>
      <c r="U3371" t="s">
        <v>2888</v>
      </c>
      <c r="V3371" t="s">
        <v>40</v>
      </c>
      <c r="W3371" s="1">
        <v>749900</v>
      </c>
    </row>
    <row r="3372" spans="1:23" x14ac:dyDescent="0.2">
      <c r="A3372" t="s">
        <v>2096</v>
      </c>
      <c r="B3372" t="s">
        <v>2097</v>
      </c>
      <c r="C3372" t="s">
        <v>2718</v>
      </c>
      <c r="D3372" t="s">
        <v>2883</v>
      </c>
      <c r="E3372" t="s">
        <v>2884</v>
      </c>
      <c r="F3372" t="s">
        <v>2885</v>
      </c>
      <c r="G3372" t="s">
        <v>29</v>
      </c>
      <c r="H3372" t="s">
        <v>30</v>
      </c>
      <c r="I3372" t="s">
        <v>30</v>
      </c>
      <c r="J3372" t="s">
        <v>31</v>
      </c>
      <c r="K3372" t="s">
        <v>32</v>
      </c>
      <c r="L3372" t="s">
        <v>32</v>
      </c>
      <c r="M3372" t="s">
        <v>33</v>
      </c>
      <c r="N3372" t="s">
        <v>33</v>
      </c>
      <c r="O3372" t="s">
        <v>33</v>
      </c>
      <c r="P3372" t="s">
        <v>42</v>
      </c>
      <c r="Q3372" t="s">
        <v>43</v>
      </c>
      <c r="S3372" t="s">
        <v>30</v>
      </c>
      <c r="T3372" t="s">
        <v>2889</v>
      </c>
      <c r="U3372" t="s">
        <v>2890</v>
      </c>
      <c r="V3372" t="s">
        <v>39</v>
      </c>
      <c r="W3372" s="1">
        <v>3</v>
      </c>
    </row>
    <row r="3373" spans="1:23" x14ac:dyDescent="0.2">
      <c r="A3373" t="s">
        <v>2096</v>
      </c>
      <c r="B3373" t="s">
        <v>2097</v>
      </c>
      <c r="C3373" t="s">
        <v>2718</v>
      </c>
      <c r="D3373" t="s">
        <v>2883</v>
      </c>
      <c r="E3373" t="s">
        <v>2884</v>
      </c>
      <c r="F3373" t="s">
        <v>2885</v>
      </c>
      <c r="G3373" t="s">
        <v>29</v>
      </c>
      <c r="H3373" t="s">
        <v>30</v>
      </c>
      <c r="I3373" t="s">
        <v>30</v>
      </c>
      <c r="J3373" t="s">
        <v>31</v>
      </c>
      <c r="K3373" t="s">
        <v>32</v>
      </c>
      <c r="L3373" t="s">
        <v>32</v>
      </c>
      <c r="M3373" t="s">
        <v>33</v>
      </c>
      <c r="N3373" t="s">
        <v>33</v>
      </c>
      <c r="O3373" t="s">
        <v>33</v>
      </c>
      <c r="P3373" t="s">
        <v>42</v>
      </c>
      <c r="Q3373" t="s">
        <v>43</v>
      </c>
      <c r="S3373" t="s">
        <v>30</v>
      </c>
      <c r="T3373" t="s">
        <v>2889</v>
      </c>
      <c r="U3373" t="s">
        <v>2890</v>
      </c>
      <c r="V3373" t="s">
        <v>40</v>
      </c>
      <c r="W3373" s="1">
        <v>2369700</v>
      </c>
    </row>
    <row r="3374" spans="1:23" x14ac:dyDescent="0.2">
      <c r="A3374" t="s">
        <v>2096</v>
      </c>
      <c r="B3374" t="s">
        <v>2097</v>
      </c>
      <c r="C3374" t="s">
        <v>2718</v>
      </c>
      <c r="D3374" t="s">
        <v>2883</v>
      </c>
      <c r="E3374" t="s">
        <v>2884</v>
      </c>
      <c r="F3374" t="s">
        <v>2885</v>
      </c>
      <c r="G3374" t="s">
        <v>29</v>
      </c>
      <c r="H3374" t="s">
        <v>30</v>
      </c>
      <c r="I3374" t="s">
        <v>30</v>
      </c>
      <c r="J3374" t="s">
        <v>31</v>
      </c>
      <c r="K3374" t="s">
        <v>32</v>
      </c>
      <c r="L3374" t="s">
        <v>32</v>
      </c>
      <c r="M3374" t="s">
        <v>33</v>
      </c>
      <c r="N3374" t="s">
        <v>176</v>
      </c>
      <c r="O3374" t="s">
        <v>176</v>
      </c>
      <c r="P3374" t="s">
        <v>42</v>
      </c>
      <c r="Q3374" t="s">
        <v>43</v>
      </c>
      <c r="S3374" t="s">
        <v>30</v>
      </c>
      <c r="T3374" t="s">
        <v>2889</v>
      </c>
      <c r="U3374" t="s">
        <v>2890</v>
      </c>
      <c r="V3374" t="s">
        <v>39</v>
      </c>
      <c r="W3374" s="1">
        <v>1</v>
      </c>
    </row>
    <row r="3375" spans="1:23" x14ac:dyDescent="0.2">
      <c r="A3375" t="s">
        <v>2096</v>
      </c>
      <c r="B3375" t="s">
        <v>2097</v>
      </c>
      <c r="C3375" t="s">
        <v>2718</v>
      </c>
      <c r="D3375" t="s">
        <v>2883</v>
      </c>
      <c r="E3375" t="s">
        <v>2884</v>
      </c>
      <c r="F3375" t="s">
        <v>2885</v>
      </c>
      <c r="G3375" t="s">
        <v>29</v>
      </c>
      <c r="H3375" t="s">
        <v>30</v>
      </c>
      <c r="I3375" t="s">
        <v>30</v>
      </c>
      <c r="J3375" t="s">
        <v>31</v>
      </c>
      <c r="K3375" t="s">
        <v>32</v>
      </c>
      <c r="L3375" t="s">
        <v>32</v>
      </c>
      <c r="M3375" t="s">
        <v>33</v>
      </c>
      <c r="N3375" t="s">
        <v>176</v>
      </c>
      <c r="O3375" t="s">
        <v>176</v>
      </c>
      <c r="P3375" t="s">
        <v>42</v>
      </c>
      <c r="Q3375" t="s">
        <v>43</v>
      </c>
      <c r="S3375" t="s">
        <v>30</v>
      </c>
      <c r="T3375" t="s">
        <v>2889</v>
      </c>
      <c r="U3375" t="s">
        <v>2890</v>
      </c>
      <c r="V3375" t="s">
        <v>40</v>
      </c>
      <c r="W3375" s="1">
        <v>789900</v>
      </c>
    </row>
    <row r="3376" spans="1:23" x14ac:dyDescent="0.2">
      <c r="A3376" t="s">
        <v>2096</v>
      </c>
      <c r="B3376" t="s">
        <v>2097</v>
      </c>
      <c r="C3376" t="s">
        <v>2718</v>
      </c>
      <c r="D3376" t="s">
        <v>2883</v>
      </c>
      <c r="E3376" t="s">
        <v>2884</v>
      </c>
      <c r="F3376" t="s">
        <v>2885</v>
      </c>
      <c r="G3376" t="s">
        <v>29</v>
      </c>
      <c r="H3376" t="s">
        <v>30</v>
      </c>
      <c r="I3376" t="s">
        <v>30</v>
      </c>
      <c r="J3376" t="s">
        <v>31</v>
      </c>
      <c r="K3376" t="s">
        <v>32</v>
      </c>
      <c r="L3376" t="s">
        <v>32</v>
      </c>
      <c r="M3376" t="s">
        <v>33</v>
      </c>
      <c r="P3376" t="s">
        <v>213</v>
      </c>
      <c r="Q3376" t="s">
        <v>2118</v>
      </c>
      <c r="S3376" t="s">
        <v>52</v>
      </c>
      <c r="T3376" t="s">
        <v>2891</v>
      </c>
      <c r="U3376" t="s">
        <v>2892</v>
      </c>
      <c r="V3376" t="s">
        <v>39</v>
      </c>
      <c r="W3376" s="1">
        <v>0</v>
      </c>
    </row>
    <row r="3377" spans="1:23" x14ac:dyDescent="0.2">
      <c r="A3377" t="s">
        <v>2096</v>
      </c>
      <c r="B3377" t="s">
        <v>2097</v>
      </c>
      <c r="C3377" t="s">
        <v>2718</v>
      </c>
      <c r="D3377" t="s">
        <v>2883</v>
      </c>
      <c r="E3377" t="s">
        <v>2884</v>
      </c>
      <c r="F3377" t="s">
        <v>2885</v>
      </c>
      <c r="G3377" t="s">
        <v>29</v>
      </c>
      <c r="H3377" t="s">
        <v>30</v>
      </c>
      <c r="I3377" t="s">
        <v>30</v>
      </c>
      <c r="J3377" t="s">
        <v>31</v>
      </c>
      <c r="K3377" t="s">
        <v>32</v>
      </c>
      <c r="L3377" t="s">
        <v>32</v>
      </c>
      <c r="M3377" t="s">
        <v>33</v>
      </c>
      <c r="P3377" t="s">
        <v>213</v>
      </c>
      <c r="Q3377" t="s">
        <v>2118</v>
      </c>
      <c r="S3377" t="s">
        <v>52</v>
      </c>
      <c r="T3377" t="s">
        <v>2891</v>
      </c>
      <c r="U3377" t="s">
        <v>2892</v>
      </c>
      <c r="V3377" t="s">
        <v>40</v>
      </c>
      <c r="W3377" s="1">
        <v>1805800</v>
      </c>
    </row>
    <row r="3378" spans="1:23" x14ac:dyDescent="0.2">
      <c r="A3378" t="s">
        <v>2096</v>
      </c>
      <c r="B3378" t="s">
        <v>2097</v>
      </c>
      <c r="C3378" t="s">
        <v>2718</v>
      </c>
      <c r="D3378" t="s">
        <v>2883</v>
      </c>
      <c r="E3378" t="s">
        <v>2884</v>
      </c>
      <c r="F3378" t="s">
        <v>2885</v>
      </c>
      <c r="G3378" t="s">
        <v>29</v>
      </c>
      <c r="H3378" t="s">
        <v>30</v>
      </c>
      <c r="I3378" t="s">
        <v>30</v>
      </c>
      <c r="J3378" t="s">
        <v>31</v>
      </c>
      <c r="K3378" t="s">
        <v>32</v>
      </c>
      <c r="L3378" t="s">
        <v>32</v>
      </c>
      <c r="M3378" t="s">
        <v>33</v>
      </c>
      <c r="P3378" t="s">
        <v>34</v>
      </c>
      <c r="Q3378" t="s">
        <v>35</v>
      </c>
      <c r="S3378" t="s">
        <v>52</v>
      </c>
      <c r="T3378" t="s">
        <v>2893</v>
      </c>
      <c r="U3378" t="s">
        <v>2894</v>
      </c>
      <c r="V3378" t="s">
        <v>39</v>
      </c>
      <c r="W3378" s="1">
        <v>0</v>
      </c>
    </row>
    <row r="3379" spans="1:23" x14ac:dyDescent="0.2">
      <c r="A3379" t="s">
        <v>2096</v>
      </c>
      <c r="B3379" t="s">
        <v>2097</v>
      </c>
      <c r="C3379" t="s">
        <v>2718</v>
      </c>
      <c r="D3379" t="s">
        <v>2883</v>
      </c>
      <c r="E3379" t="s">
        <v>2884</v>
      </c>
      <c r="F3379" t="s">
        <v>2885</v>
      </c>
      <c r="G3379" t="s">
        <v>29</v>
      </c>
      <c r="H3379" t="s">
        <v>30</v>
      </c>
      <c r="I3379" t="s">
        <v>30</v>
      </c>
      <c r="J3379" t="s">
        <v>31</v>
      </c>
      <c r="K3379" t="s">
        <v>32</v>
      </c>
      <c r="L3379" t="s">
        <v>32</v>
      </c>
      <c r="M3379" t="s">
        <v>33</v>
      </c>
      <c r="P3379" t="s">
        <v>34</v>
      </c>
      <c r="Q3379" t="s">
        <v>35</v>
      </c>
      <c r="S3379" t="s">
        <v>52</v>
      </c>
      <c r="T3379" t="s">
        <v>2893</v>
      </c>
      <c r="U3379" t="s">
        <v>2894</v>
      </c>
      <c r="V3379" t="s">
        <v>40</v>
      </c>
      <c r="W3379" s="1">
        <v>3159800</v>
      </c>
    </row>
    <row r="3380" spans="1:23" x14ac:dyDescent="0.2">
      <c r="A3380" t="s">
        <v>2096</v>
      </c>
      <c r="B3380" t="s">
        <v>2097</v>
      </c>
      <c r="C3380" t="s">
        <v>2718</v>
      </c>
      <c r="D3380" t="s">
        <v>2883</v>
      </c>
      <c r="E3380" t="s">
        <v>2884</v>
      </c>
      <c r="F3380" t="s">
        <v>2885</v>
      </c>
      <c r="G3380" t="s">
        <v>29</v>
      </c>
      <c r="H3380" t="s">
        <v>30</v>
      </c>
      <c r="I3380" t="s">
        <v>30</v>
      </c>
      <c r="J3380" t="s">
        <v>31</v>
      </c>
      <c r="K3380" t="s">
        <v>32</v>
      </c>
      <c r="L3380" t="s">
        <v>32</v>
      </c>
      <c r="M3380" t="s">
        <v>33</v>
      </c>
      <c r="P3380" t="s">
        <v>42</v>
      </c>
      <c r="Q3380" t="s">
        <v>43</v>
      </c>
      <c r="S3380" t="s">
        <v>52</v>
      </c>
      <c r="T3380" t="s">
        <v>2889</v>
      </c>
      <c r="U3380" t="s">
        <v>2895</v>
      </c>
      <c r="V3380" t="s">
        <v>39</v>
      </c>
      <c r="W3380" s="1">
        <v>0</v>
      </c>
    </row>
    <row r="3381" spans="1:23" x14ac:dyDescent="0.2">
      <c r="A3381" t="s">
        <v>2096</v>
      </c>
      <c r="B3381" t="s">
        <v>2097</v>
      </c>
      <c r="C3381" t="s">
        <v>2718</v>
      </c>
      <c r="D3381" t="s">
        <v>2883</v>
      </c>
      <c r="E3381" t="s">
        <v>2884</v>
      </c>
      <c r="F3381" t="s">
        <v>2885</v>
      </c>
      <c r="G3381" t="s">
        <v>29</v>
      </c>
      <c r="H3381" t="s">
        <v>30</v>
      </c>
      <c r="I3381" t="s">
        <v>30</v>
      </c>
      <c r="J3381" t="s">
        <v>31</v>
      </c>
      <c r="K3381" t="s">
        <v>32</v>
      </c>
      <c r="L3381" t="s">
        <v>32</v>
      </c>
      <c r="M3381" t="s">
        <v>33</v>
      </c>
      <c r="P3381" t="s">
        <v>42</v>
      </c>
      <c r="Q3381" t="s">
        <v>43</v>
      </c>
      <c r="S3381" t="s">
        <v>52</v>
      </c>
      <c r="T3381" t="s">
        <v>2889</v>
      </c>
      <c r="U3381" t="s">
        <v>2895</v>
      </c>
      <c r="V3381" t="s">
        <v>40</v>
      </c>
      <c r="W3381" s="1">
        <v>3159600</v>
      </c>
    </row>
    <row r="3382" spans="1:23" x14ac:dyDescent="0.2">
      <c r="A3382" t="s">
        <v>2096</v>
      </c>
      <c r="B3382" t="s">
        <v>2097</v>
      </c>
      <c r="C3382" t="s">
        <v>2718</v>
      </c>
      <c r="D3382" t="s">
        <v>2883</v>
      </c>
      <c r="E3382" t="s">
        <v>2884</v>
      </c>
      <c r="F3382" t="s">
        <v>2885</v>
      </c>
      <c r="G3382" t="s">
        <v>49</v>
      </c>
      <c r="H3382" t="s">
        <v>30</v>
      </c>
      <c r="I3382" t="s">
        <v>30</v>
      </c>
      <c r="J3382" t="s">
        <v>128</v>
      </c>
      <c r="K3382" t="s">
        <v>135</v>
      </c>
      <c r="L3382" t="s">
        <v>32</v>
      </c>
      <c r="M3382" t="s">
        <v>33</v>
      </c>
      <c r="N3382" t="s">
        <v>33</v>
      </c>
      <c r="O3382" t="s">
        <v>33</v>
      </c>
      <c r="P3382" t="s">
        <v>213</v>
      </c>
      <c r="Q3382" t="s">
        <v>2118</v>
      </c>
      <c r="R3382" t="s">
        <v>136</v>
      </c>
      <c r="S3382" t="s">
        <v>30</v>
      </c>
      <c r="T3382" t="s">
        <v>2896</v>
      </c>
      <c r="U3382" t="s">
        <v>2897</v>
      </c>
      <c r="V3382" t="s">
        <v>39</v>
      </c>
      <c r="W3382" s="1">
        <v>5</v>
      </c>
    </row>
    <row r="3383" spans="1:23" x14ac:dyDescent="0.2">
      <c r="A3383" t="s">
        <v>2096</v>
      </c>
      <c r="B3383" t="s">
        <v>2097</v>
      </c>
      <c r="C3383" t="s">
        <v>2718</v>
      </c>
      <c r="D3383" t="s">
        <v>2883</v>
      </c>
      <c r="E3383" t="s">
        <v>2884</v>
      </c>
      <c r="F3383" t="s">
        <v>2885</v>
      </c>
      <c r="G3383" t="s">
        <v>49</v>
      </c>
      <c r="H3383" t="s">
        <v>30</v>
      </c>
      <c r="I3383" t="s">
        <v>30</v>
      </c>
      <c r="J3383" t="s">
        <v>128</v>
      </c>
      <c r="K3383" t="s">
        <v>135</v>
      </c>
      <c r="L3383" t="s">
        <v>32</v>
      </c>
      <c r="M3383" t="s">
        <v>33</v>
      </c>
      <c r="N3383" t="s">
        <v>33</v>
      </c>
      <c r="O3383" t="s">
        <v>33</v>
      </c>
      <c r="P3383" t="s">
        <v>213</v>
      </c>
      <c r="Q3383" t="s">
        <v>2118</v>
      </c>
      <c r="R3383" t="s">
        <v>136</v>
      </c>
      <c r="S3383" t="s">
        <v>30</v>
      </c>
      <c r="T3383" t="s">
        <v>2896</v>
      </c>
      <c r="U3383" t="s">
        <v>2897</v>
      </c>
      <c r="V3383" t="s">
        <v>40</v>
      </c>
      <c r="W3383" s="1">
        <v>5795000</v>
      </c>
    </row>
    <row r="3384" spans="1:23" x14ac:dyDescent="0.2">
      <c r="A3384" t="s">
        <v>2096</v>
      </c>
      <c r="B3384" t="s">
        <v>2097</v>
      </c>
      <c r="C3384" t="s">
        <v>2718</v>
      </c>
      <c r="D3384" t="s">
        <v>2883</v>
      </c>
      <c r="E3384" t="s">
        <v>2884</v>
      </c>
      <c r="F3384" t="s">
        <v>2885</v>
      </c>
      <c r="G3384" t="s">
        <v>49</v>
      </c>
      <c r="H3384" t="s">
        <v>30</v>
      </c>
      <c r="I3384" t="s">
        <v>30</v>
      </c>
      <c r="J3384" t="s">
        <v>128</v>
      </c>
      <c r="K3384" t="s">
        <v>135</v>
      </c>
      <c r="L3384" t="s">
        <v>32</v>
      </c>
      <c r="M3384" t="s">
        <v>33</v>
      </c>
      <c r="P3384" t="s">
        <v>34</v>
      </c>
      <c r="Q3384" t="s">
        <v>35</v>
      </c>
      <c r="R3384" t="s">
        <v>136</v>
      </c>
      <c r="S3384" t="s">
        <v>52</v>
      </c>
      <c r="T3384" t="s">
        <v>2898</v>
      </c>
      <c r="U3384" t="s">
        <v>2899</v>
      </c>
      <c r="V3384" t="s">
        <v>39</v>
      </c>
      <c r="W3384" s="1">
        <v>0</v>
      </c>
    </row>
    <row r="3385" spans="1:23" x14ac:dyDescent="0.2">
      <c r="A3385" t="s">
        <v>2096</v>
      </c>
      <c r="B3385" t="s">
        <v>2097</v>
      </c>
      <c r="C3385" t="s">
        <v>2718</v>
      </c>
      <c r="D3385" t="s">
        <v>2883</v>
      </c>
      <c r="E3385" t="s">
        <v>2884</v>
      </c>
      <c r="F3385" t="s">
        <v>2885</v>
      </c>
      <c r="G3385" t="s">
        <v>49</v>
      </c>
      <c r="H3385" t="s">
        <v>30</v>
      </c>
      <c r="I3385" t="s">
        <v>30</v>
      </c>
      <c r="J3385" t="s">
        <v>128</v>
      </c>
      <c r="K3385" t="s">
        <v>135</v>
      </c>
      <c r="L3385" t="s">
        <v>32</v>
      </c>
      <c r="M3385" t="s">
        <v>33</v>
      </c>
      <c r="P3385" t="s">
        <v>34</v>
      </c>
      <c r="Q3385" t="s">
        <v>35</v>
      </c>
      <c r="R3385" t="s">
        <v>136</v>
      </c>
      <c r="S3385" t="s">
        <v>52</v>
      </c>
      <c r="T3385" t="s">
        <v>2898</v>
      </c>
      <c r="U3385" t="s">
        <v>2899</v>
      </c>
      <c r="V3385" t="s">
        <v>40</v>
      </c>
      <c r="W3385" s="1">
        <v>4679600</v>
      </c>
    </row>
    <row r="3386" spans="1:23" x14ac:dyDescent="0.2">
      <c r="A3386" t="s">
        <v>2096</v>
      </c>
      <c r="B3386" t="s">
        <v>2097</v>
      </c>
      <c r="C3386" t="s">
        <v>2718</v>
      </c>
      <c r="D3386" t="s">
        <v>2883</v>
      </c>
      <c r="E3386" t="s">
        <v>2884</v>
      </c>
      <c r="F3386" t="s">
        <v>2885</v>
      </c>
      <c r="G3386" t="s">
        <v>49</v>
      </c>
      <c r="H3386" t="s">
        <v>30</v>
      </c>
      <c r="I3386" t="s">
        <v>30</v>
      </c>
      <c r="J3386" t="s">
        <v>128</v>
      </c>
      <c r="K3386" t="s">
        <v>135</v>
      </c>
      <c r="L3386" t="s">
        <v>32</v>
      </c>
      <c r="M3386" t="s">
        <v>195</v>
      </c>
      <c r="N3386" t="s">
        <v>195</v>
      </c>
      <c r="O3386" t="s">
        <v>195</v>
      </c>
      <c r="P3386" t="s">
        <v>213</v>
      </c>
      <c r="Q3386" t="s">
        <v>2118</v>
      </c>
      <c r="R3386" t="s">
        <v>136</v>
      </c>
      <c r="S3386" t="s">
        <v>30</v>
      </c>
      <c r="T3386" t="s">
        <v>2896</v>
      </c>
      <c r="U3386" t="s">
        <v>2897</v>
      </c>
      <c r="V3386" t="s">
        <v>39</v>
      </c>
      <c r="W3386" s="1">
        <v>1</v>
      </c>
    </row>
    <row r="3387" spans="1:23" x14ac:dyDescent="0.2">
      <c r="A3387" t="s">
        <v>2096</v>
      </c>
      <c r="B3387" t="s">
        <v>2097</v>
      </c>
      <c r="C3387" t="s">
        <v>2718</v>
      </c>
      <c r="D3387" t="s">
        <v>2883</v>
      </c>
      <c r="E3387" t="s">
        <v>2884</v>
      </c>
      <c r="F3387" t="s">
        <v>2885</v>
      </c>
      <c r="G3387" t="s">
        <v>49</v>
      </c>
      <c r="H3387" t="s">
        <v>30</v>
      </c>
      <c r="I3387" t="s">
        <v>30</v>
      </c>
      <c r="J3387" t="s">
        <v>128</v>
      </c>
      <c r="K3387" t="s">
        <v>135</v>
      </c>
      <c r="L3387" t="s">
        <v>32</v>
      </c>
      <c r="M3387" t="s">
        <v>195</v>
      </c>
      <c r="N3387" t="s">
        <v>195</v>
      </c>
      <c r="O3387" t="s">
        <v>195</v>
      </c>
      <c r="P3387" t="s">
        <v>213</v>
      </c>
      <c r="Q3387" t="s">
        <v>2118</v>
      </c>
      <c r="R3387" t="s">
        <v>136</v>
      </c>
      <c r="S3387" t="s">
        <v>30</v>
      </c>
      <c r="T3387" t="s">
        <v>2896</v>
      </c>
      <c r="U3387" t="s">
        <v>2897</v>
      </c>
      <c r="V3387" t="s">
        <v>40</v>
      </c>
      <c r="W3387" s="1">
        <v>0</v>
      </c>
    </row>
    <row r="3388" spans="1:23" x14ac:dyDescent="0.2">
      <c r="A3388" t="s">
        <v>2096</v>
      </c>
      <c r="B3388" t="s">
        <v>2097</v>
      </c>
      <c r="C3388" t="s">
        <v>2718</v>
      </c>
      <c r="D3388" t="s">
        <v>2883</v>
      </c>
      <c r="E3388" t="s">
        <v>2884</v>
      </c>
      <c r="F3388" t="s">
        <v>2885</v>
      </c>
      <c r="G3388" t="s">
        <v>49</v>
      </c>
      <c r="H3388" t="s">
        <v>30</v>
      </c>
      <c r="I3388" t="s">
        <v>30</v>
      </c>
      <c r="J3388" t="s">
        <v>31</v>
      </c>
      <c r="K3388" t="s">
        <v>32</v>
      </c>
      <c r="L3388" t="s">
        <v>32</v>
      </c>
      <c r="M3388" t="s">
        <v>33</v>
      </c>
      <c r="N3388" t="s">
        <v>33</v>
      </c>
      <c r="O3388" t="s">
        <v>33</v>
      </c>
      <c r="P3388" t="s">
        <v>34</v>
      </c>
      <c r="Q3388" t="s">
        <v>35</v>
      </c>
      <c r="S3388" t="s">
        <v>30</v>
      </c>
      <c r="T3388" t="s">
        <v>2900</v>
      </c>
      <c r="U3388" t="s">
        <v>2901</v>
      </c>
      <c r="V3388" t="s">
        <v>39</v>
      </c>
      <c r="W3388" s="1">
        <v>2</v>
      </c>
    </row>
    <row r="3389" spans="1:23" x14ac:dyDescent="0.2">
      <c r="A3389" t="s">
        <v>2096</v>
      </c>
      <c r="B3389" t="s">
        <v>2097</v>
      </c>
      <c r="C3389" t="s">
        <v>2718</v>
      </c>
      <c r="D3389" t="s">
        <v>2883</v>
      </c>
      <c r="E3389" t="s">
        <v>2884</v>
      </c>
      <c r="F3389" t="s">
        <v>2885</v>
      </c>
      <c r="G3389" t="s">
        <v>49</v>
      </c>
      <c r="H3389" t="s">
        <v>30</v>
      </c>
      <c r="I3389" t="s">
        <v>30</v>
      </c>
      <c r="J3389" t="s">
        <v>31</v>
      </c>
      <c r="K3389" t="s">
        <v>32</v>
      </c>
      <c r="L3389" t="s">
        <v>32</v>
      </c>
      <c r="M3389" t="s">
        <v>33</v>
      </c>
      <c r="N3389" t="s">
        <v>33</v>
      </c>
      <c r="O3389" t="s">
        <v>33</v>
      </c>
      <c r="P3389" t="s">
        <v>34</v>
      </c>
      <c r="Q3389" t="s">
        <v>35</v>
      </c>
      <c r="S3389" t="s">
        <v>30</v>
      </c>
      <c r="T3389" t="s">
        <v>2900</v>
      </c>
      <c r="U3389" t="s">
        <v>2901</v>
      </c>
      <c r="V3389" t="s">
        <v>40</v>
      </c>
      <c r="W3389" s="1">
        <v>2739800</v>
      </c>
    </row>
    <row r="3390" spans="1:23" x14ac:dyDescent="0.2">
      <c r="A3390" t="s">
        <v>2096</v>
      </c>
      <c r="B3390" t="s">
        <v>2097</v>
      </c>
      <c r="C3390" t="s">
        <v>2718</v>
      </c>
      <c r="D3390" t="s">
        <v>2883</v>
      </c>
      <c r="E3390" t="s">
        <v>2884</v>
      </c>
      <c r="F3390" t="s">
        <v>2885</v>
      </c>
      <c r="G3390" t="s">
        <v>49</v>
      </c>
      <c r="H3390" t="s">
        <v>30</v>
      </c>
      <c r="I3390" t="s">
        <v>30</v>
      </c>
      <c r="J3390" t="s">
        <v>31</v>
      </c>
      <c r="K3390" t="s">
        <v>32</v>
      </c>
      <c r="L3390" t="s">
        <v>32</v>
      </c>
      <c r="M3390" t="s">
        <v>33</v>
      </c>
      <c r="P3390" t="s">
        <v>42</v>
      </c>
      <c r="Q3390" t="s">
        <v>43</v>
      </c>
      <c r="S3390" t="s">
        <v>30</v>
      </c>
      <c r="T3390" t="s">
        <v>2889</v>
      </c>
      <c r="U3390" t="s">
        <v>2902</v>
      </c>
      <c r="V3390" t="s">
        <v>39</v>
      </c>
      <c r="W3390" s="1">
        <v>1</v>
      </c>
    </row>
    <row r="3391" spans="1:23" x14ac:dyDescent="0.2">
      <c r="A3391" t="s">
        <v>2096</v>
      </c>
      <c r="B3391" t="s">
        <v>2097</v>
      </c>
      <c r="C3391" t="s">
        <v>2718</v>
      </c>
      <c r="D3391" t="s">
        <v>2883</v>
      </c>
      <c r="E3391" t="s">
        <v>2884</v>
      </c>
      <c r="F3391" t="s">
        <v>2885</v>
      </c>
      <c r="G3391" t="s">
        <v>49</v>
      </c>
      <c r="H3391" t="s">
        <v>30</v>
      </c>
      <c r="I3391" t="s">
        <v>30</v>
      </c>
      <c r="J3391" t="s">
        <v>31</v>
      </c>
      <c r="K3391" t="s">
        <v>32</v>
      </c>
      <c r="L3391" t="s">
        <v>32</v>
      </c>
      <c r="M3391" t="s">
        <v>33</v>
      </c>
      <c r="P3391" t="s">
        <v>42</v>
      </c>
      <c r="Q3391" t="s">
        <v>43</v>
      </c>
      <c r="S3391" t="s">
        <v>30</v>
      </c>
      <c r="T3391" t="s">
        <v>2889</v>
      </c>
      <c r="U3391" t="s">
        <v>2902</v>
      </c>
      <c r="V3391" t="s">
        <v>40</v>
      </c>
      <c r="W3391" s="1">
        <v>789900</v>
      </c>
    </row>
    <row r="3392" spans="1:23" x14ac:dyDescent="0.2">
      <c r="A3392" t="s">
        <v>2096</v>
      </c>
      <c r="B3392" t="s">
        <v>2097</v>
      </c>
      <c r="C3392" t="s">
        <v>2718</v>
      </c>
      <c r="D3392" t="s">
        <v>2883</v>
      </c>
      <c r="E3392" t="s">
        <v>2884</v>
      </c>
      <c r="F3392" t="s">
        <v>2885</v>
      </c>
      <c r="G3392" t="s">
        <v>49</v>
      </c>
      <c r="H3392" t="s">
        <v>30</v>
      </c>
      <c r="I3392" t="s">
        <v>30</v>
      </c>
      <c r="J3392" t="s">
        <v>41</v>
      </c>
      <c r="K3392" t="s">
        <v>32</v>
      </c>
      <c r="L3392" t="s">
        <v>32</v>
      </c>
      <c r="M3392" t="s">
        <v>33</v>
      </c>
      <c r="N3392" t="s">
        <v>33</v>
      </c>
      <c r="O3392" t="s">
        <v>33</v>
      </c>
      <c r="P3392" t="s">
        <v>34</v>
      </c>
      <c r="Q3392" t="s">
        <v>35</v>
      </c>
      <c r="S3392" t="s">
        <v>30</v>
      </c>
      <c r="T3392" t="s">
        <v>2903</v>
      </c>
      <c r="U3392" t="s">
        <v>2904</v>
      </c>
      <c r="V3392" t="s">
        <v>39</v>
      </c>
      <c r="W3392" s="1">
        <v>2</v>
      </c>
    </row>
    <row r="3393" spans="1:23" x14ac:dyDescent="0.2">
      <c r="A3393" t="s">
        <v>2096</v>
      </c>
      <c r="B3393" t="s">
        <v>2097</v>
      </c>
      <c r="C3393" t="s">
        <v>2718</v>
      </c>
      <c r="D3393" t="s">
        <v>2883</v>
      </c>
      <c r="E3393" t="s">
        <v>2884</v>
      </c>
      <c r="F3393" t="s">
        <v>2885</v>
      </c>
      <c r="G3393" t="s">
        <v>49</v>
      </c>
      <c r="H3393" t="s">
        <v>30</v>
      </c>
      <c r="I3393" t="s">
        <v>30</v>
      </c>
      <c r="J3393" t="s">
        <v>41</v>
      </c>
      <c r="K3393" t="s">
        <v>32</v>
      </c>
      <c r="L3393" t="s">
        <v>32</v>
      </c>
      <c r="M3393" t="s">
        <v>33</v>
      </c>
      <c r="N3393" t="s">
        <v>33</v>
      </c>
      <c r="O3393" t="s">
        <v>33</v>
      </c>
      <c r="P3393" t="s">
        <v>34</v>
      </c>
      <c r="Q3393" t="s">
        <v>35</v>
      </c>
      <c r="S3393" t="s">
        <v>30</v>
      </c>
      <c r="T3393" t="s">
        <v>2903</v>
      </c>
      <c r="U3393" t="s">
        <v>2904</v>
      </c>
      <c r="V3393" t="s">
        <v>40</v>
      </c>
      <c r="W3393" s="1">
        <v>2039800</v>
      </c>
    </row>
    <row r="3394" spans="1:23" x14ac:dyDescent="0.2">
      <c r="A3394" t="s">
        <v>2096</v>
      </c>
      <c r="B3394" t="s">
        <v>2097</v>
      </c>
      <c r="C3394" t="s">
        <v>2718</v>
      </c>
      <c r="D3394" t="s">
        <v>2883</v>
      </c>
      <c r="E3394" t="s">
        <v>2884</v>
      </c>
      <c r="F3394" t="s">
        <v>2885</v>
      </c>
      <c r="G3394" t="s">
        <v>49</v>
      </c>
      <c r="H3394" t="s">
        <v>30</v>
      </c>
      <c r="I3394" t="s">
        <v>30</v>
      </c>
      <c r="J3394" t="s">
        <v>57</v>
      </c>
      <c r="K3394" t="s">
        <v>32</v>
      </c>
      <c r="L3394" t="s">
        <v>32</v>
      </c>
      <c r="M3394" t="s">
        <v>33</v>
      </c>
      <c r="N3394" t="s">
        <v>33</v>
      </c>
      <c r="O3394" t="s">
        <v>33</v>
      </c>
      <c r="P3394" t="s">
        <v>213</v>
      </c>
      <c r="Q3394" t="s">
        <v>2111</v>
      </c>
      <c r="R3394" t="s">
        <v>2212</v>
      </c>
      <c r="S3394" t="s">
        <v>30</v>
      </c>
      <c r="T3394" t="s">
        <v>2905</v>
      </c>
      <c r="U3394" t="s">
        <v>2906</v>
      </c>
      <c r="V3394" t="s">
        <v>39</v>
      </c>
      <c r="W3394" s="1">
        <v>4</v>
      </c>
    </row>
    <row r="3395" spans="1:23" x14ac:dyDescent="0.2">
      <c r="A3395" t="s">
        <v>2096</v>
      </c>
      <c r="B3395" t="s">
        <v>2097</v>
      </c>
      <c r="C3395" t="s">
        <v>2718</v>
      </c>
      <c r="D3395" t="s">
        <v>2883</v>
      </c>
      <c r="E3395" t="s">
        <v>2884</v>
      </c>
      <c r="F3395" t="s">
        <v>2885</v>
      </c>
      <c r="G3395" t="s">
        <v>49</v>
      </c>
      <c r="H3395" t="s">
        <v>30</v>
      </c>
      <c r="I3395" t="s">
        <v>30</v>
      </c>
      <c r="J3395" t="s">
        <v>57</v>
      </c>
      <c r="K3395" t="s">
        <v>32</v>
      </c>
      <c r="L3395" t="s">
        <v>32</v>
      </c>
      <c r="M3395" t="s">
        <v>33</v>
      </c>
      <c r="N3395" t="s">
        <v>33</v>
      </c>
      <c r="O3395" t="s">
        <v>33</v>
      </c>
      <c r="P3395" t="s">
        <v>213</v>
      </c>
      <c r="Q3395" t="s">
        <v>2111</v>
      </c>
      <c r="R3395" t="s">
        <v>2212</v>
      </c>
      <c r="S3395" t="s">
        <v>30</v>
      </c>
      <c r="T3395" t="s">
        <v>2905</v>
      </c>
      <c r="U3395" t="s">
        <v>2906</v>
      </c>
      <c r="V3395" t="s">
        <v>40</v>
      </c>
      <c r="W3395" s="1">
        <v>5509600</v>
      </c>
    </row>
    <row r="3396" spans="1:23" x14ac:dyDescent="0.2">
      <c r="A3396" t="s">
        <v>2096</v>
      </c>
      <c r="B3396" t="s">
        <v>2097</v>
      </c>
      <c r="C3396" t="s">
        <v>2718</v>
      </c>
      <c r="D3396" t="s">
        <v>2883</v>
      </c>
      <c r="E3396" t="s">
        <v>2884</v>
      </c>
      <c r="F3396" t="s">
        <v>2885</v>
      </c>
      <c r="G3396" t="s">
        <v>49</v>
      </c>
      <c r="H3396" t="s">
        <v>30</v>
      </c>
      <c r="I3396" t="s">
        <v>30</v>
      </c>
      <c r="J3396" t="s">
        <v>57</v>
      </c>
      <c r="K3396" t="s">
        <v>32</v>
      </c>
      <c r="L3396" t="s">
        <v>32</v>
      </c>
      <c r="M3396" t="s">
        <v>33</v>
      </c>
      <c r="N3396" t="s">
        <v>33</v>
      </c>
      <c r="O3396" t="s">
        <v>33</v>
      </c>
      <c r="P3396" t="s">
        <v>42</v>
      </c>
      <c r="Q3396" t="s">
        <v>43</v>
      </c>
      <c r="R3396" t="s">
        <v>294</v>
      </c>
      <c r="S3396" t="s">
        <v>30</v>
      </c>
      <c r="T3396" t="s">
        <v>2907</v>
      </c>
      <c r="U3396" t="s">
        <v>2908</v>
      </c>
      <c r="V3396" t="s">
        <v>39</v>
      </c>
      <c r="W3396" s="1">
        <v>1</v>
      </c>
    </row>
    <row r="3397" spans="1:23" x14ac:dyDescent="0.2">
      <c r="A3397" t="s">
        <v>2096</v>
      </c>
      <c r="B3397" t="s">
        <v>2097</v>
      </c>
      <c r="C3397" t="s">
        <v>2718</v>
      </c>
      <c r="D3397" t="s">
        <v>2883</v>
      </c>
      <c r="E3397" t="s">
        <v>2884</v>
      </c>
      <c r="F3397" t="s">
        <v>2885</v>
      </c>
      <c r="G3397" t="s">
        <v>49</v>
      </c>
      <c r="H3397" t="s">
        <v>30</v>
      </c>
      <c r="I3397" t="s">
        <v>30</v>
      </c>
      <c r="J3397" t="s">
        <v>57</v>
      </c>
      <c r="K3397" t="s">
        <v>32</v>
      </c>
      <c r="L3397" t="s">
        <v>32</v>
      </c>
      <c r="M3397" t="s">
        <v>33</v>
      </c>
      <c r="N3397" t="s">
        <v>33</v>
      </c>
      <c r="O3397" t="s">
        <v>33</v>
      </c>
      <c r="P3397" t="s">
        <v>42</v>
      </c>
      <c r="Q3397" t="s">
        <v>43</v>
      </c>
      <c r="R3397" t="s">
        <v>294</v>
      </c>
      <c r="S3397" t="s">
        <v>30</v>
      </c>
      <c r="T3397" t="s">
        <v>2907</v>
      </c>
      <c r="U3397" t="s">
        <v>2908</v>
      </c>
      <c r="V3397" t="s">
        <v>40</v>
      </c>
      <c r="W3397" s="1">
        <v>1108900</v>
      </c>
    </row>
    <row r="3398" spans="1:23" x14ac:dyDescent="0.2">
      <c r="A3398" t="s">
        <v>2096</v>
      </c>
      <c r="B3398" t="s">
        <v>2097</v>
      </c>
      <c r="C3398" t="s">
        <v>2718</v>
      </c>
      <c r="D3398" t="s">
        <v>2883</v>
      </c>
      <c r="E3398" t="s">
        <v>2884</v>
      </c>
      <c r="F3398" t="s">
        <v>2885</v>
      </c>
      <c r="G3398" t="s">
        <v>61</v>
      </c>
      <c r="H3398" t="s">
        <v>52</v>
      </c>
      <c r="I3398" t="s">
        <v>52</v>
      </c>
      <c r="J3398" t="s">
        <v>31</v>
      </c>
      <c r="K3398" t="s">
        <v>32</v>
      </c>
      <c r="L3398" t="s">
        <v>32</v>
      </c>
      <c r="M3398" t="s">
        <v>33</v>
      </c>
      <c r="N3398" t="s">
        <v>33</v>
      </c>
      <c r="O3398" t="s">
        <v>33</v>
      </c>
      <c r="P3398" t="s">
        <v>213</v>
      </c>
      <c r="Q3398" t="s">
        <v>2111</v>
      </c>
      <c r="S3398" t="s">
        <v>30</v>
      </c>
      <c r="T3398" t="s">
        <v>2909</v>
      </c>
      <c r="U3398" t="s">
        <v>2910</v>
      </c>
      <c r="V3398" t="s">
        <v>39</v>
      </c>
      <c r="W3398" s="1">
        <v>1</v>
      </c>
    </row>
    <row r="3399" spans="1:23" x14ac:dyDescent="0.2">
      <c r="A3399" t="s">
        <v>2096</v>
      </c>
      <c r="B3399" t="s">
        <v>2097</v>
      </c>
      <c r="C3399" t="s">
        <v>2718</v>
      </c>
      <c r="D3399" t="s">
        <v>2883</v>
      </c>
      <c r="E3399" t="s">
        <v>2884</v>
      </c>
      <c r="F3399" t="s">
        <v>2885</v>
      </c>
      <c r="G3399" t="s">
        <v>61</v>
      </c>
      <c r="H3399" t="s">
        <v>52</v>
      </c>
      <c r="I3399" t="s">
        <v>52</v>
      </c>
      <c r="J3399" t="s">
        <v>31</v>
      </c>
      <c r="K3399" t="s">
        <v>32</v>
      </c>
      <c r="L3399" t="s">
        <v>32</v>
      </c>
      <c r="M3399" t="s">
        <v>33</v>
      </c>
      <c r="N3399" t="s">
        <v>33</v>
      </c>
      <c r="O3399" t="s">
        <v>33</v>
      </c>
      <c r="P3399" t="s">
        <v>213</v>
      </c>
      <c r="Q3399" t="s">
        <v>2111</v>
      </c>
      <c r="S3399" t="s">
        <v>30</v>
      </c>
      <c r="T3399" t="s">
        <v>2909</v>
      </c>
      <c r="U3399" t="s">
        <v>2910</v>
      </c>
      <c r="V3399" t="s">
        <v>40</v>
      </c>
      <c r="W3399" s="1">
        <v>1219900</v>
      </c>
    </row>
    <row r="3400" spans="1:23" x14ac:dyDescent="0.2">
      <c r="A3400" t="s">
        <v>2096</v>
      </c>
      <c r="B3400" t="s">
        <v>2097</v>
      </c>
      <c r="C3400" t="s">
        <v>2718</v>
      </c>
      <c r="D3400" t="s">
        <v>2883</v>
      </c>
      <c r="E3400" t="s">
        <v>2884</v>
      </c>
      <c r="F3400" t="s">
        <v>2885</v>
      </c>
      <c r="G3400" t="s">
        <v>61</v>
      </c>
      <c r="H3400" t="s">
        <v>52</v>
      </c>
      <c r="I3400" t="s">
        <v>52</v>
      </c>
      <c r="J3400" t="s">
        <v>31</v>
      </c>
      <c r="K3400" t="s">
        <v>32</v>
      </c>
      <c r="L3400" t="s">
        <v>32</v>
      </c>
      <c r="M3400" t="s">
        <v>33</v>
      </c>
      <c r="P3400" t="s">
        <v>213</v>
      </c>
      <c r="Q3400" t="s">
        <v>2111</v>
      </c>
      <c r="S3400" t="s">
        <v>30</v>
      </c>
      <c r="T3400" t="s">
        <v>2909</v>
      </c>
      <c r="U3400" t="s">
        <v>2910</v>
      </c>
      <c r="V3400" t="s">
        <v>39</v>
      </c>
      <c r="W3400" s="1">
        <v>2</v>
      </c>
    </row>
    <row r="3401" spans="1:23" x14ac:dyDescent="0.2">
      <c r="A3401" t="s">
        <v>2096</v>
      </c>
      <c r="B3401" t="s">
        <v>2097</v>
      </c>
      <c r="C3401" t="s">
        <v>2718</v>
      </c>
      <c r="D3401" t="s">
        <v>2883</v>
      </c>
      <c r="E3401" t="s">
        <v>2884</v>
      </c>
      <c r="F3401" t="s">
        <v>2885</v>
      </c>
      <c r="G3401" t="s">
        <v>61</v>
      </c>
      <c r="H3401" t="s">
        <v>52</v>
      </c>
      <c r="I3401" t="s">
        <v>52</v>
      </c>
      <c r="J3401" t="s">
        <v>31</v>
      </c>
      <c r="K3401" t="s">
        <v>32</v>
      </c>
      <c r="L3401" t="s">
        <v>32</v>
      </c>
      <c r="M3401" t="s">
        <v>33</v>
      </c>
      <c r="P3401" t="s">
        <v>213</v>
      </c>
      <c r="Q3401" t="s">
        <v>2111</v>
      </c>
      <c r="S3401" t="s">
        <v>30</v>
      </c>
      <c r="T3401" t="s">
        <v>2909</v>
      </c>
      <c r="U3401" t="s">
        <v>2910</v>
      </c>
      <c r="V3401" t="s">
        <v>40</v>
      </c>
      <c r="W3401" s="1">
        <v>2439800</v>
      </c>
    </row>
    <row r="3402" spans="1:23" x14ac:dyDescent="0.2">
      <c r="A3402" t="s">
        <v>2096</v>
      </c>
      <c r="B3402" t="s">
        <v>2097</v>
      </c>
      <c r="C3402" t="s">
        <v>2718</v>
      </c>
      <c r="D3402" t="s">
        <v>2883</v>
      </c>
      <c r="E3402" t="s">
        <v>2884</v>
      </c>
      <c r="F3402" t="s">
        <v>2885</v>
      </c>
      <c r="G3402" t="s">
        <v>170</v>
      </c>
      <c r="H3402" t="s">
        <v>52</v>
      </c>
      <c r="I3402" t="s">
        <v>30</v>
      </c>
      <c r="J3402" t="s">
        <v>31</v>
      </c>
      <c r="K3402" t="s">
        <v>32</v>
      </c>
      <c r="L3402" t="s">
        <v>32</v>
      </c>
      <c r="M3402" t="s">
        <v>33</v>
      </c>
      <c r="N3402" t="s">
        <v>33</v>
      </c>
      <c r="O3402" t="s">
        <v>33</v>
      </c>
      <c r="P3402" t="s">
        <v>213</v>
      </c>
      <c r="Q3402" t="s">
        <v>2118</v>
      </c>
      <c r="S3402" t="s">
        <v>30</v>
      </c>
      <c r="T3402" t="s">
        <v>2911</v>
      </c>
      <c r="U3402" t="s">
        <v>2912</v>
      </c>
      <c r="V3402" t="s">
        <v>39</v>
      </c>
      <c r="W3402" s="1">
        <v>2</v>
      </c>
    </row>
    <row r="3403" spans="1:23" x14ac:dyDescent="0.2">
      <c r="A3403" t="s">
        <v>2096</v>
      </c>
      <c r="B3403" t="s">
        <v>2097</v>
      </c>
      <c r="C3403" t="s">
        <v>2718</v>
      </c>
      <c r="D3403" t="s">
        <v>2883</v>
      </c>
      <c r="E3403" t="s">
        <v>2884</v>
      </c>
      <c r="F3403" t="s">
        <v>2885</v>
      </c>
      <c r="G3403" t="s">
        <v>170</v>
      </c>
      <c r="H3403" t="s">
        <v>52</v>
      </c>
      <c r="I3403" t="s">
        <v>30</v>
      </c>
      <c r="J3403" t="s">
        <v>31</v>
      </c>
      <c r="K3403" t="s">
        <v>32</v>
      </c>
      <c r="L3403" t="s">
        <v>32</v>
      </c>
      <c r="M3403" t="s">
        <v>33</v>
      </c>
      <c r="N3403" t="s">
        <v>33</v>
      </c>
      <c r="O3403" t="s">
        <v>33</v>
      </c>
      <c r="P3403" t="s">
        <v>213</v>
      </c>
      <c r="Q3403" t="s">
        <v>2118</v>
      </c>
      <c r="S3403" t="s">
        <v>30</v>
      </c>
      <c r="T3403" t="s">
        <v>2911</v>
      </c>
      <c r="U3403" t="s">
        <v>2912</v>
      </c>
      <c r="V3403" t="s">
        <v>40</v>
      </c>
      <c r="W3403" s="1">
        <v>358000</v>
      </c>
    </row>
    <row r="3404" spans="1:23" x14ac:dyDescent="0.2">
      <c r="A3404" t="s">
        <v>2096</v>
      </c>
      <c r="B3404" t="s">
        <v>2097</v>
      </c>
      <c r="C3404" t="s">
        <v>2718</v>
      </c>
      <c r="D3404" t="s">
        <v>2883</v>
      </c>
      <c r="E3404" t="s">
        <v>2884</v>
      </c>
      <c r="F3404" t="s">
        <v>2885</v>
      </c>
      <c r="G3404" t="s">
        <v>64</v>
      </c>
      <c r="H3404" t="s">
        <v>30</v>
      </c>
      <c r="I3404" t="s">
        <v>52</v>
      </c>
      <c r="J3404" t="s">
        <v>31</v>
      </c>
      <c r="K3404" t="s">
        <v>32</v>
      </c>
      <c r="L3404" t="s">
        <v>32</v>
      </c>
      <c r="M3404" t="s">
        <v>33</v>
      </c>
      <c r="N3404" t="s">
        <v>33</v>
      </c>
      <c r="O3404" t="s">
        <v>33</v>
      </c>
      <c r="P3404" t="s">
        <v>213</v>
      </c>
      <c r="Q3404" t="s">
        <v>2111</v>
      </c>
      <c r="S3404" t="s">
        <v>30</v>
      </c>
      <c r="T3404" t="s">
        <v>2913</v>
      </c>
      <c r="U3404" t="s">
        <v>2914</v>
      </c>
      <c r="V3404" t="s">
        <v>39</v>
      </c>
      <c r="W3404" s="1">
        <v>2</v>
      </c>
    </row>
    <row r="3405" spans="1:23" x14ac:dyDescent="0.2">
      <c r="A3405" t="s">
        <v>2096</v>
      </c>
      <c r="B3405" t="s">
        <v>2097</v>
      </c>
      <c r="C3405" t="s">
        <v>2718</v>
      </c>
      <c r="D3405" t="s">
        <v>2883</v>
      </c>
      <c r="E3405" t="s">
        <v>2884</v>
      </c>
      <c r="F3405" t="s">
        <v>2885</v>
      </c>
      <c r="G3405" t="s">
        <v>64</v>
      </c>
      <c r="H3405" t="s">
        <v>30</v>
      </c>
      <c r="I3405" t="s">
        <v>52</v>
      </c>
      <c r="J3405" t="s">
        <v>31</v>
      </c>
      <c r="K3405" t="s">
        <v>32</v>
      </c>
      <c r="L3405" t="s">
        <v>32</v>
      </c>
      <c r="M3405" t="s">
        <v>33</v>
      </c>
      <c r="N3405" t="s">
        <v>33</v>
      </c>
      <c r="O3405" t="s">
        <v>33</v>
      </c>
      <c r="P3405" t="s">
        <v>213</v>
      </c>
      <c r="Q3405" t="s">
        <v>2111</v>
      </c>
      <c r="S3405" t="s">
        <v>30</v>
      </c>
      <c r="T3405" t="s">
        <v>2913</v>
      </c>
      <c r="U3405" t="s">
        <v>2914</v>
      </c>
      <c r="V3405" t="s">
        <v>40</v>
      </c>
      <c r="W3405" s="1">
        <v>1608000</v>
      </c>
    </row>
    <row r="3406" spans="1:23" x14ac:dyDescent="0.2">
      <c r="A3406" t="s">
        <v>2096</v>
      </c>
      <c r="B3406" t="s">
        <v>2097</v>
      </c>
      <c r="C3406" t="s">
        <v>2718</v>
      </c>
      <c r="D3406" t="s">
        <v>2883</v>
      </c>
      <c r="E3406" t="s">
        <v>2884</v>
      </c>
      <c r="F3406" t="s">
        <v>2885</v>
      </c>
      <c r="G3406" t="s">
        <v>64</v>
      </c>
      <c r="H3406" t="s">
        <v>30</v>
      </c>
      <c r="I3406" t="s">
        <v>52</v>
      </c>
      <c r="J3406" t="s">
        <v>31</v>
      </c>
      <c r="K3406" t="s">
        <v>32</v>
      </c>
      <c r="L3406" t="s">
        <v>32</v>
      </c>
      <c r="M3406" t="s">
        <v>33</v>
      </c>
      <c r="P3406" t="s">
        <v>213</v>
      </c>
      <c r="Q3406" t="s">
        <v>2118</v>
      </c>
      <c r="S3406" t="s">
        <v>52</v>
      </c>
      <c r="T3406" t="s">
        <v>2915</v>
      </c>
      <c r="U3406" t="s">
        <v>2916</v>
      </c>
      <c r="V3406" t="s">
        <v>39</v>
      </c>
      <c r="W3406" s="1">
        <v>0</v>
      </c>
    </row>
    <row r="3407" spans="1:23" x14ac:dyDescent="0.2">
      <c r="A3407" t="s">
        <v>2096</v>
      </c>
      <c r="B3407" t="s">
        <v>2097</v>
      </c>
      <c r="C3407" t="s">
        <v>2718</v>
      </c>
      <c r="D3407" t="s">
        <v>2883</v>
      </c>
      <c r="E3407" t="s">
        <v>2884</v>
      </c>
      <c r="F3407" t="s">
        <v>2885</v>
      </c>
      <c r="G3407" t="s">
        <v>64</v>
      </c>
      <c r="H3407" t="s">
        <v>30</v>
      </c>
      <c r="I3407" t="s">
        <v>52</v>
      </c>
      <c r="J3407" t="s">
        <v>31</v>
      </c>
      <c r="K3407" t="s">
        <v>32</v>
      </c>
      <c r="L3407" t="s">
        <v>32</v>
      </c>
      <c r="M3407" t="s">
        <v>33</v>
      </c>
      <c r="P3407" t="s">
        <v>213</v>
      </c>
      <c r="Q3407" t="s">
        <v>2118</v>
      </c>
      <c r="S3407" t="s">
        <v>52</v>
      </c>
      <c r="T3407" t="s">
        <v>2915</v>
      </c>
      <c r="U3407" t="s">
        <v>2916</v>
      </c>
      <c r="V3407" t="s">
        <v>40</v>
      </c>
      <c r="W3407" s="1">
        <v>250900</v>
      </c>
    </row>
    <row r="3408" spans="1:23" x14ac:dyDescent="0.2">
      <c r="A3408" t="s">
        <v>2096</v>
      </c>
      <c r="B3408" t="s">
        <v>2097</v>
      </c>
      <c r="C3408" t="s">
        <v>2718</v>
      </c>
      <c r="D3408" t="s">
        <v>2883</v>
      </c>
      <c r="E3408" t="s">
        <v>2884</v>
      </c>
      <c r="F3408" t="s">
        <v>2885</v>
      </c>
      <c r="G3408" t="s">
        <v>64</v>
      </c>
      <c r="H3408" t="s">
        <v>30</v>
      </c>
      <c r="I3408" t="s">
        <v>52</v>
      </c>
      <c r="J3408" t="s">
        <v>41</v>
      </c>
      <c r="K3408" t="s">
        <v>32</v>
      </c>
      <c r="L3408" t="s">
        <v>32</v>
      </c>
      <c r="M3408" t="s">
        <v>33</v>
      </c>
      <c r="P3408" t="s">
        <v>34</v>
      </c>
      <c r="Q3408" t="s">
        <v>35</v>
      </c>
      <c r="S3408" t="s">
        <v>30</v>
      </c>
      <c r="T3408" t="s">
        <v>2917</v>
      </c>
      <c r="U3408" t="s">
        <v>2918</v>
      </c>
      <c r="V3408" t="s">
        <v>39</v>
      </c>
      <c r="W3408" s="1">
        <v>4</v>
      </c>
    </row>
    <row r="3409" spans="1:23" x14ac:dyDescent="0.2">
      <c r="A3409" t="s">
        <v>2096</v>
      </c>
      <c r="B3409" t="s">
        <v>2097</v>
      </c>
      <c r="C3409" t="s">
        <v>2718</v>
      </c>
      <c r="D3409" t="s">
        <v>2883</v>
      </c>
      <c r="E3409" t="s">
        <v>2884</v>
      </c>
      <c r="F3409" t="s">
        <v>2885</v>
      </c>
      <c r="G3409" t="s">
        <v>64</v>
      </c>
      <c r="H3409" t="s">
        <v>30</v>
      </c>
      <c r="I3409" t="s">
        <v>52</v>
      </c>
      <c r="J3409" t="s">
        <v>41</v>
      </c>
      <c r="K3409" t="s">
        <v>32</v>
      </c>
      <c r="L3409" t="s">
        <v>32</v>
      </c>
      <c r="M3409" t="s">
        <v>33</v>
      </c>
      <c r="P3409" t="s">
        <v>34</v>
      </c>
      <c r="Q3409" t="s">
        <v>35</v>
      </c>
      <c r="S3409" t="s">
        <v>30</v>
      </c>
      <c r="T3409" t="s">
        <v>2917</v>
      </c>
      <c r="U3409" t="s">
        <v>2918</v>
      </c>
      <c r="V3409" t="s">
        <v>40</v>
      </c>
      <c r="W3409" s="1">
        <v>8319600</v>
      </c>
    </row>
    <row r="3410" spans="1:23" x14ac:dyDescent="0.2">
      <c r="A3410" t="s">
        <v>2096</v>
      </c>
      <c r="B3410" t="s">
        <v>2097</v>
      </c>
      <c r="C3410" t="s">
        <v>2718</v>
      </c>
      <c r="D3410" t="s">
        <v>2883</v>
      </c>
      <c r="E3410" t="s">
        <v>2884</v>
      </c>
      <c r="F3410" t="s">
        <v>2885</v>
      </c>
      <c r="G3410" t="s">
        <v>67</v>
      </c>
      <c r="H3410" t="s">
        <v>30</v>
      </c>
      <c r="I3410" t="s">
        <v>30</v>
      </c>
      <c r="J3410" t="s">
        <v>31</v>
      </c>
      <c r="K3410" t="s">
        <v>32</v>
      </c>
      <c r="L3410" t="s">
        <v>32</v>
      </c>
      <c r="M3410" t="s">
        <v>33</v>
      </c>
      <c r="N3410" t="s">
        <v>33</v>
      </c>
      <c r="O3410" t="s">
        <v>33</v>
      </c>
      <c r="P3410" t="s">
        <v>213</v>
      </c>
      <c r="Q3410" t="s">
        <v>2111</v>
      </c>
      <c r="S3410" t="s">
        <v>30</v>
      </c>
      <c r="T3410" t="s">
        <v>2919</v>
      </c>
      <c r="U3410" t="s">
        <v>2920</v>
      </c>
      <c r="V3410" t="s">
        <v>39</v>
      </c>
      <c r="W3410" s="1">
        <v>3</v>
      </c>
    </row>
    <row r="3411" spans="1:23" x14ac:dyDescent="0.2">
      <c r="A3411" t="s">
        <v>2096</v>
      </c>
      <c r="B3411" t="s">
        <v>2097</v>
      </c>
      <c r="C3411" t="s">
        <v>2718</v>
      </c>
      <c r="D3411" t="s">
        <v>2883</v>
      </c>
      <c r="E3411" t="s">
        <v>2884</v>
      </c>
      <c r="F3411" t="s">
        <v>2885</v>
      </c>
      <c r="G3411" t="s">
        <v>67</v>
      </c>
      <c r="H3411" t="s">
        <v>30</v>
      </c>
      <c r="I3411" t="s">
        <v>30</v>
      </c>
      <c r="J3411" t="s">
        <v>31</v>
      </c>
      <c r="K3411" t="s">
        <v>32</v>
      </c>
      <c r="L3411" t="s">
        <v>32</v>
      </c>
      <c r="M3411" t="s">
        <v>33</v>
      </c>
      <c r="N3411" t="s">
        <v>33</v>
      </c>
      <c r="O3411" t="s">
        <v>33</v>
      </c>
      <c r="P3411" t="s">
        <v>213</v>
      </c>
      <c r="Q3411" t="s">
        <v>2111</v>
      </c>
      <c r="S3411" t="s">
        <v>30</v>
      </c>
      <c r="T3411" t="s">
        <v>2919</v>
      </c>
      <c r="U3411" t="s">
        <v>2920</v>
      </c>
      <c r="V3411" t="s">
        <v>40</v>
      </c>
      <c r="W3411" s="1">
        <v>2099700</v>
      </c>
    </row>
    <row r="3412" spans="1:23" x14ac:dyDescent="0.2">
      <c r="A3412" t="s">
        <v>2096</v>
      </c>
      <c r="B3412" t="s">
        <v>2097</v>
      </c>
      <c r="C3412" t="s">
        <v>2718</v>
      </c>
      <c r="D3412" t="s">
        <v>2883</v>
      </c>
      <c r="E3412" t="s">
        <v>2884</v>
      </c>
      <c r="F3412" t="s">
        <v>2885</v>
      </c>
      <c r="G3412" t="s">
        <v>67</v>
      </c>
      <c r="H3412" t="s">
        <v>30</v>
      </c>
      <c r="I3412" t="s">
        <v>30</v>
      </c>
      <c r="J3412" t="s">
        <v>31</v>
      </c>
      <c r="K3412" t="s">
        <v>32</v>
      </c>
      <c r="L3412" t="s">
        <v>32</v>
      </c>
      <c r="M3412" t="s">
        <v>33</v>
      </c>
      <c r="P3412" t="s">
        <v>213</v>
      </c>
      <c r="Q3412" t="s">
        <v>2111</v>
      </c>
      <c r="S3412" t="s">
        <v>52</v>
      </c>
      <c r="T3412" t="s">
        <v>2921</v>
      </c>
      <c r="U3412" t="s">
        <v>2922</v>
      </c>
      <c r="V3412" t="s">
        <v>39</v>
      </c>
      <c r="W3412" s="1">
        <v>0</v>
      </c>
    </row>
    <row r="3413" spans="1:23" x14ac:dyDescent="0.2">
      <c r="A3413" t="s">
        <v>2096</v>
      </c>
      <c r="B3413" t="s">
        <v>2097</v>
      </c>
      <c r="C3413" t="s">
        <v>2718</v>
      </c>
      <c r="D3413" t="s">
        <v>2883</v>
      </c>
      <c r="E3413" t="s">
        <v>2884</v>
      </c>
      <c r="F3413" t="s">
        <v>2885</v>
      </c>
      <c r="G3413" t="s">
        <v>67</v>
      </c>
      <c r="H3413" t="s">
        <v>30</v>
      </c>
      <c r="I3413" t="s">
        <v>30</v>
      </c>
      <c r="J3413" t="s">
        <v>31</v>
      </c>
      <c r="K3413" t="s">
        <v>32</v>
      </c>
      <c r="L3413" t="s">
        <v>32</v>
      </c>
      <c r="M3413" t="s">
        <v>33</v>
      </c>
      <c r="P3413" t="s">
        <v>213</v>
      </c>
      <c r="Q3413" t="s">
        <v>2111</v>
      </c>
      <c r="S3413" t="s">
        <v>52</v>
      </c>
      <c r="T3413" t="s">
        <v>2921</v>
      </c>
      <c r="U3413" t="s">
        <v>2922</v>
      </c>
      <c r="V3413" t="s">
        <v>40</v>
      </c>
      <c r="W3413" s="1">
        <v>4639600</v>
      </c>
    </row>
    <row r="3414" spans="1:23" x14ac:dyDescent="0.2">
      <c r="A3414" t="s">
        <v>2096</v>
      </c>
      <c r="B3414" t="s">
        <v>2097</v>
      </c>
      <c r="C3414" t="s">
        <v>2718</v>
      </c>
      <c r="D3414" t="s">
        <v>2883</v>
      </c>
      <c r="E3414" t="s">
        <v>2884</v>
      </c>
      <c r="F3414" t="s">
        <v>2885</v>
      </c>
      <c r="G3414" t="s">
        <v>67</v>
      </c>
      <c r="H3414" t="s">
        <v>30</v>
      </c>
      <c r="I3414" t="s">
        <v>30</v>
      </c>
      <c r="J3414" t="s">
        <v>57</v>
      </c>
      <c r="K3414" t="s">
        <v>32</v>
      </c>
      <c r="L3414" t="s">
        <v>32</v>
      </c>
      <c r="M3414" t="s">
        <v>33</v>
      </c>
      <c r="N3414" t="s">
        <v>33</v>
      </c>
      <c r="O3414" t="s">
        <v>33</v>
      </c>
      <c r="P3414" t="s">
        <v>213</v>
      </c>
      <c r="Q3414" t="s">
        <v>2111</v>
      </c>
      <c r="R3414" t="s">
        <v>108</v>
      </c>
      <c r="S3414" t="s">
        <v>30</v>
      </c>
      <c r="T3414" t="s">
        <v>2923</v>
      </c>
      <c r="U3414" t="s">
        <v>2924</v>
      </c>
      <c r="V3414" t="s">
        <v>39</v>
      </c>
      <c r="W3414" s="1">
        <v>2</v>
      </c>
    </row>
    <row r="3415" spans="1:23" x14ac:dyDescent="0.2">
      <c r="A3415" t="s">
        <v>2096</v>
      </c>
      <c r="B3415" t="s">
        <v>2097</v>
      </c>
      <c r="C3415" t="s">
        <v>2718</v>
      </c>
      <c r="D3415" t="s">
        <v>2883</v>
      </c>
      <c r="E3415" t="s">
        <v>2884</v>
      </c>
      <c r="F3415" t="s">
        <v>2885</v>
      </c>
      <c r="G3415" t="s">
        <v>67</v>
      </c>
      <c r="H3415" t="s">
        <v>30</v>
      </c>
      <c r="I3415" t="s">
        <v>30</v>
      </c>
      <c r="J3415" t="s">
        <v>57</v>
      </c>
      <c r="K3415" t="s">
        <v>32</v>
      </c>
      <c r="L3415" t="s">
        <v>32</v>
      </c>
      <c r="M3415" t="s">
        <v>33</v>
      </c>
      <c r="N3415" t="s">
        <v>33</v>
      </c>
      <c r="O3415" t="s">
        <v>33</v>
      </c>
      <c r="P3415" t="s">
        <v>213</v>
      </c>
      <c r="Q3415" t="s">
        <v>2111</v>
      </c>
      <c r="R3415" t="s">
        <v>108</v>
      </c>
      <c r="S3415" t="s">
        <v>30</v>
      </c>
      <c r="T3415" t="s">
        <v>2923</v>
      </c>
      <c r="U3415" t="s">
        <v>2924</v>
      </c>
      <c r="V3415" t="s">
        <v>40</v>
      </c>
      <c r="W3415" s="1">
        <v>1799800</v>
      </c>
    </row>
    <row r="3416" spans="1:23" x14ac:dyDescent="0.2">
      <c r="A3416" t="s">
        <v>2096</v>
      </c>
      <c r="B3416" t="s">
        <v>2097</v>
      </c>
      <c r="C3416" t="s">
        <v>2718</v>
      </c>
      <c r="D3416" t="s">
        <v>2883</v>
      </c>
      <c r="E3416" t="s">
        <v>2884</v>
      </c>
      <c r="F3416" t="s">
        <v>2885</v>
      </c>
      <c r="G3416" t="s">
        <v>89</v>
      </c>
      <c r="H3416" t="s">
        <v>30</v>
      </c>
      <c r="I3416" t="s">
        <v>30</v>
      </c>
      <c r="J3416" t="s">
        <v>31</v>
      </c>
      <c r="K3416" t="s">
        <v>32</v>
      </c>
      <c r="L3416" t="s">
        <v>32</v>
      </c>
      <c r="M3416" t="s">
        <v>33</v>
      </c>
      <c r="N3416" t="s">
        <v>33</v>
      </c>
      <c r="O3416" t="s">
        <v>33</v>
      </c>
      <c r="P3416" t="s">
        <v>213</v>
      </c>
      <c r="Q3416" t="s">
        <v>2111</v>
      </c>
      <c r="S3416" t="s">
        <v>30</v>
      </c>
      <c r="T3416" t="s">
        <v>2925</v>
      </c>
      <c r="U3416" t="s">
        <v>2926</v>
      </c>
      <c r="V3416" t="s">
        <v>39</v>
      </c>
      <c r="W3416" s="1">
        <v>2</v>
      </c>
    </row>
    <row r="3417" spans="1:23" x14ac:dyDescent="0.2">
      <c r="A3417" t="s">
        <v>2096</v>
      </c>
      <c r="B3417" t="s">
        <v>2097</v>
      </c>
      <c r="C3417" t="s">
        <v>2718</v>
      </c>
      <c r="D3417" t="s">
        <v>2883</v>
      </c>
      <c r="E3417" t="s">
        <v>2884</v>
      </c>
      <c r="F3417" t="s">
        <v>2885</v>
      </c>
      <c r="G3417" t="s">
        <v>89</v>
      </c>
      <c r="H3417" t="s">
        <v>30</v>
      </c>
      <c r="I3417" t="s">
        <v>30</v>
      </c>
      <c r="J3417" t="s">
        <v>31</v>
      </c>
      <c r="K3417" t="s">
        <v>32</v>
      </c>
      <c r="L3417" t="s">
        <v>32</v>
      </c>
      <c r="M3417" t="s">
        <v>33</v>
      </c>
      <c r="N3417" t="s">
        <v>33</v>
      </c>
      <c r="O3417" t="s">
        <v>33</v>
      </c>
      <c r="P3417" t="s">
        <v>213</v>
      </c>
      <c r="Q3417" t="s">
        <v>2111</v>
      </c>
      <c r="S3417" t="s">
        <v>30</v>
      </c>
      <c r="T3417" t="s">
        <v>2925</v>
      </c>
      <c r="U3417" t="s">
        <v>2926</v>
      </c>
      <c r="V3417" t="s">
        <v>40</v>
      </c>
      <c r="W3417" s="1">
        <v>1513800</v>
      </c>
    </row>
    <row r="3418" spans="1:23" x14ac:dyDescent="0.2">
      <c r="A3418" t="s">
        <v>2096</v>
      </c>
      <c r="B3418" t="s">
        <v>2097</v>
      </c>
      <c r="C3418" t="s">
        <v>2718</v>
      </c>
      <c r="D3418" t="s">
        <v>2883</v>
      </c>
      <c r="E3418" t="s">
        <v>2884</v>
      </c>
      <c r="F3418" t="s">
        <v>2885</v>
      </c>
      <c r="G3418" t="s">
        <v>89</v>
      </c>
      <c r="H3418" t="s">
        <v>30</v>
      </c>
      <c r="I3418" t="s">
        <v>30</v>
      </c>
      <c r="J3418" t="s">
        <v>31</v>
      </c>
      <c r="K3418" t="s">
        <v>32</v>
      </c>
      <c r="L3418" t="s">
        <v>32</v>
      </c>
      <c r="M3418" t="s">
        <v>33</v>
      </c>
      <c r="N3418" t="s">
        <v>176</v>
      </c>
      <c r="O3418" t="s">
        <v>176</v>
      </c>
      <c r="P3418" t="s">
        <v>213</v>
      </c>
      <c r="Q3418" t="s">
        <v>2111</v>
      </c>
      <c r="S3418" t="s">
        <v>30</v>
      </c>
      <c r="T3418" t="s">
        <v>2925</v>
      </c>
      <c r="U3418" t="s">
        <v>2926</v>
      </c>
      <c r="V3418" t="s">
        <v>39</v>
      </c>
      <c r="W3418" s="1">
        <v>1</v>
      </c>
    </row>
    <row r="3419" spans="1:23" x14ac:dyDescent="0.2">
      <c r="A3419" t="s">
        <v>2096</v>
      </c>
      <c r="B3419" t="s">
        <v>2097</v>
      </c>
      <c r="C3419" t="s">
        <v>2718</v>
      </c>
      <c r="D3419" t="s">
        <v>2883</v>
      </c>
      <c r="E3419" t="s">
        <v>2884</v>
      </c>
      <c r="F3419" t="s">
        <v>2885</v>
      </c>
      <c r="G3419" t="s">
        <v>89</v>
      </c>
      <c r="H3419" t="s">
        <v>30</v>
      </c>
      <c r="I3419" t="s">
        <v>30</v>
      </c>
      <c r="J3419" t="s">
        <v>31</v>
      </c>
      <c r="K3419" t="s">
        <v>32</v>
      </c>
      <c r="L3419" t="s">
        <v>32</v>
      </c>
      <c r="M3419" t="s">
        <v>33</v>
      </c>
      <c r="N3419" t="s">
        <v>176</v>
      </c>
      <c r="O3419" t="s">
        <v>176</v>
      </c>
      <c r="P3419" t="s">
        <v>213</v>
      </c>
      <c r="Q3419" t="s">
        <v>2111</v>
      </c>
      <c r="S3419" t="s">
        <v>30</v>
      </c>
      <c r="T3419" t="s">
        <v>2925</v>
      </c>
      <c r="U3419" t="s">
        <v>2926</v>
      </c>
      <c r="V3419" t="s">
        <v>40</v>
      </c>
      <c r="W3419" s="1">
        <v>756900</v>
      </c>
    </row>
    <row r="3420" spans="1:23" x14ac:dyDescent="0.2">
      <c r="A3420" t="s">
        <v>2096</v>
      </c>
      <c r="B3420" t="s">
        <v>2097</v>
      </c>
      <c r="C3420" t="s">
        <v>2718</v>
      </c>
      <c r="D3420" t="s">
        <v>2883</v>
      </c>
      <c r="E3420" t="s">
        <v>2884</v>
      </c>
      <c r="F3420" t="s">
        <v>2885</v>
      </c>
      <c r="G3420" t="s">
        <v>89</v>
      </c>
      <c r="H3420" t="s">
        <v>30</v>
      </c>
      <c r="I3420" t="s">
        <v>30</v>
      </c>
      <c r="J3420" t="s">
        <v>31</v>
      </c>
      <c r="K3420" t="s">
        <v>32</v>
      </c>
      <c r="L3420" t="s">
        <v>32</v>
      </c>
      <c r="M3420" t="s">
        <v>176</v>
      </c>
      <c r="N3420" t="s">
        <v>176</v>
      </c>
      <c r="O3420" t="s">
        <v>176</v>
      </c>
      <c r="P3420" t="s">
        <v>213</v>
      </c>
      <c r="Q3420" t="s">
        <v>2111</v>
      </c>
      <c r="S3420" t="s">
        <v>30</v>
      </c>
      <c r="T3420" t="s">
        <v>2925</v>
      </c>
      <c r="U3420" t="s">
        <v>2926</v>
      </c>
      <c r="V3420" t="s">
        <v>39</v>
      </c>
      <c r="W3420" s="1">
        <v>1</v>
      </c>
    </row>
    <row r="3421" spans="1:23" x14ac:dyDescent="0.2">
      <c r="A3421" t="s">
        <v>2096</v>
      </c>
      <c r="B3421" t="s">
        <v>2097</v>
      </c>
      <c r="C3421" t="s">
        <v>2718</v>
      </c>
      <c r="D3421" t="s">
        <v>2883</v>
      </c>
      <c r="E3421" t="s">
        <v>2884</v>
      </c>
      <c r="F3421" t="s">
        <v>2885</v>
      </c>
      <c r="G3421" t="s">
        <v>89</v>
      </c>
      <c r="H3421" t="s">
        <v>30</v>
      </c>
      <c r="I3421" t="s">
        <v>30</v>
      </c>
      <c r="J3421" t="s">
        <v>31</v>
      </c>
      <c r="K3421" t="s">
        <v>32</v>
      </c>
      <c r="L3421" t="s">
        <v>32</v>
      </c>
      <c r="M3421" t="s">
        <v>176</v>
      </c>
      <c r="N3421" t="s">
        <v>176</v>
      </c>
      <c r="O3421" t="s">
        <v>176</v>
      </c>
      <c r="P3421" t="s">
        <v>213</v>
      </c>
      <c r="Q3421" t="s">
        <v>2111</v>
      </c>
      <c r="S3421" t="s">
        <v>30</v>
      </c>
      <c r="T3421" t="s">
        <v>2925</v>
      </c>
      <c r="U3421" t="s">
        <v>2926</v>
      </c>
      <c r="V3421" t="s">
        <v>40</v>
      </c>
      <c r="W3421" s="1">
        <v>756900</v>
      </c>
    </row>
    <row r="3422" spans="1:23" x14ac:dyDescent="0.2">
      <c r="A3422" t="s">
        <v>2096</v>
      </c>
      <c r="B3422" t="s">
        <v>2097</v>
      </c>
      <c r="C3422" t="s">
        <v>2718</v>
      </c>
      <c r="D3422" t="s">
        <v>2883</v>
      </c>
      <c r="E3422" t="s">
        <v>2884</v>
      </c>
      <c r="F3422" t="s">
        <v>2885</v>
      </c>
      <c r="G3422" t="s">
        <v>89</v>
      </c>
      <c r="H3422" t="s">
        <v>30</v>
      </c>
      <c r="I3422" t="s">
        <v>30</v>
      </c>
      <c r="J3422" t="s">
        <v>31</v>
      </c>
      <c r="K3422" t="s">
        <v>32</v>
      </c>
      <c r="L3422" t="s">
        <v>32</v>
      </c>
      <c r="M3422" t="s">
        <v>176</v>
      </c>
      <c r="N3422" t="s">
        <v>195</v>
      </c>
      <c r="O3422" t="s">
        <v>195</v>
      </c>
      <c r="P3422" t="s">
        <v>213</v>
      </c>
      <c r="Q3422" t="s">
        <v>2111</v>
      </c>
      <c r="S3422" t="s">
        <v>30</v>
      </c>
      <c r="T3422" t="s">
        <v>2925</v>
      </c>
      <c r="U3422" t="s">
        <v>2926</v>
      </c>
      <c r="V3422" t="s">
        <v>39</v>
      </c>
      <c r="W3422" s="1">
        <v>1</v>
      </c>
    </row>
    <row r="3423" spans="1:23" x14ac:dyDescent="0.2">
      <c r="A3423" t="s">
        <v>2096</v>
      </c>
      <c r="B3423" t="s">
        <v>2097</v>
      </c>
      <c r="C3423" t="s">
        <v>2718</v>
      </c>
      <c r="D3423" t="s">
        <v>2883</v>
      </c>
      <c r="E3423" t="s">
        <v>2884</v>
      </c>
      <c r="F3423" t="s">
        <v>2885</v>
      </c>
      <c r="G3423" t="s">
        <v>89</v>
      </c>
      <c r="H3423" t="s">
        <v>30</v>
      </c>
      <c r="I3423" t="s">
        <v>30</v>
      </c>
      <c r="J3423" t="s">
        <v>31</v>
      </c>
      <c r="K3423" t="s">
        <v>32</v>
      </c>
      <c r="L3423" t="s">
        <v>32</v>
      </c>
      <c r="M3423" t="s">
        <v>176</v>
      </c>
      <c r="N3423" t="s">
        <v>195</v>
      </c>
      <c r="O3423" t="s">
        <v>195</v>
      </c>
      <c r="P3423" t="s">
        <v>213</v>
      </c>
      <c r="Q3423" t="s">
        <v>2111</v>
      </c>
      <c r="S3423" t="s">
        <v>30</v>
      </c>
      <c r="T3423" t="s">
        <v>2925</v>
      </c>
      <c r="U3423" t="s">
        <v>2926</v>
      </c>
      <c r="V3423" t="s">
        <v>40</v>
      </c>
      <c r="W3423" s="1">
        <v>756900</v>
      </c>
    </row>
    <row r="3424" spans="1:23" x14ac:dyDescent="0.2">
      <c r="A3424" t="s">
        <v>2096</v>
      </c>
      <c r="B3424" t="s">
        <v>2097</v>
      </c>
      <c r="C3424" t="s">
        <v>2718</v>
      </c>
      <c r="D3424" t="s">
        <v>2883</v>
      </c>
      <c r="E3424" t="s">
        <v>2884</v>
      </c>
      <c r="F3424" t="s">
        <v>2885</v>
      </c>
      <c r="G3424" t="s">
        <v>89</v>
      </c>
      <c r="H3424" t="s">
        <v>30</v>
      </c>
      <c r="I3424" t="s">
        <v>30</v>
      </c>
      <c r="J3424" t="s">
        <v>57</v>
      </c>
      <c r="K3424" t="s">
        <v>32</v>
      </c>
      <c r="L3424" t="s">
        <v>32</v>
      </c>
      <c r="M3424" t="s">
        <v>33</v>
      </c>
      <c r="N3424" t="s">
        <v>33</v>
      </c>
      <c r="O3424" t="s">
        <v>33</v>
      </c>
      <c r="P3424" t="s">
        <v>213</v>
      </c>
      <c r="Q3424" t="s">
        <v>2111</v>
      </c>
      <c r="S3424" t="s">
        <v>30</v>
      </c>
      <c r="T3424" t="s">
        <v>2927</v>
      </c>
      <c r="U3424" t="s">
        <v>2928</v>
      </c>
      <c r="V3424" t="s">
        <v>39</v>
      </c>
      <c r="W3424" s="1">
        <v>2</v>
      </c>
    </row>
    <row r="3425" spans="1:23" x14ac:dyDescent="0.2">
      <c r="A3425" t="s">
        <v>2096</v>
      </c>
      <c r="B3425" t="s">
        <v>2097</v>
      </c>
      <c r="C3425" t="s">
        <v>2718</v>
      </c>
      <c r="D3425" t="s">
        <v>2883</v>
      </c>
      <c r="E3425" t="s">
        <v>2884</v>
      </c>
      <c r="F3425" t="s">
        <v>2885</v>
      </c>
      <c r="G3425" t="s">
        <v>89</v>
      </c>
      <c r="H3425" t="s">
        <v>30</v>
      </c>
      <c r="I3425" t="s">
        <v>30</v>
      </c>
      <c r="J3425" t="s">
        <v>57</v>
      </c>
      <c r="K3425" t="s">
        <v>32</v>
      </c>
      <c r="L3425" t="s">
        <v>32</v>
      </c>
      <c r="M3425" t="s">
        <v>33</v>
      </c>
      <c r="N3425" t="s">
        <v>33</v>
      </c>
      <c r="O3425" t="s">
        <v>33</v>
      </c>
      <c r="P3425" t="s">
        <v>213</v>
      </c>
      <c r="Q3425" t="s">
        <v>2111</v>
      </c>
      <c r="S3425" t="s">
        <v>30</v>
      </c>
      <c r="T3425" t="s">
        <v>2927</v>
      </c>
      <c r="U3425" t="s">
        <v>2928</v>
      </c>
      <c r="V3425" t="s">
        <v>40</v>
      </c>
      <c r="W3425" s="1">
        <v>4461800</v>
      </c>
    </row>
    <row r="3426" spans="1:23" x14ac:dyDescent="0.2">
      <c r="A3426" t="s">
        <v>2096</v>
      </c>
      <c r="B3426" t="s">
        <v>2097</v>
      </c>
      <c r="C3426" t="s">
        <v>2718</v>
      </c>
      <c r="D3426" t="s">
        <v>2883</v>
      </c>
      <c r="E3426" t="s">
        <v>2884</v>
      </c>
      <c r="F3426" t="s">
        <v>2885</v>
      </c>
      <c r="G3426" t="s">
        <v>106</v>
      </c>
      <c r="H3426" t="s">
        <v>30</v>
      </c>
      <c r="I3426" t="s">
        <v>30</v>
      </c>
      <c r="J3426" t="s">
        <v>128</v>
      </c>
      <c r="K3426" t="s">
        <v>135</v>
      </c>
      <c r="L3426" t="s">
        <v>32</v>
      </c>
      <c r="M3426" t="s">
        <v>33</v>
      </c>
      <c r="N3426" t="s">
        <v>33</v>
      </c>
      <c r="O3426" t="s">
        <v>33</v>
      </c>
      <c r="P3426" t="s">
        <v>213</v>
      </c>
      <c r="Q3426" t="s">
        <v>2111</v>
      </c>
      <c r="R3426" t="s">
        <v>136</v>
      </c>
      <c r="S3426" t="s">
        <v>30</v>
      </c>
      <c r="T3426" t="s">
        <v>2929</v>
      </c>
      <c r="U3426" t="s">
        <v>2930</v>
      </c>
      <c r="V3426" t="s">
        <v>39</v>
      </c>
      <c r="W3426" s="1">
        <v>2</v>
      </c>
    </row>
    <row r="3427" spans="1:23" x14ac:dyDescent="0.2">
      <c r="A3427" t="s">
        <v>2096</v>
      </c>
      <c r="B3427" t="s">
        <v>2097</v>
      </c>
      <c r="C3427" t="s">
        <v>2718</v>
      </c>
      <c r="D3427" t="s">
        <v>2883</v>
      </c>
      <c r="E3427" t="s">
        <v>2884</v>
      </c>
      <c r="F3427" t="s">
        <v>2885</v>
      </c>
      <c r="G3427" t="s">
        <v>106</v>
      </c>
      <c r="H3427" t="s">
        <v>30</v>
      </c>
      <c r="I3427" t="s">
        <v>30</v>
      </c>
      <c r="J3427" t="s">
        <v>128</v>
      </c>
      <c r="K3427" t="s">
        <v>135</v>
      </c>
      <c r="L3427" t="s">
        <v>32</v>
      </c>
      <c r="M3427" t="s">
        <v>33</v>
      </c>
      <c r="N3427" t="s">
        <v>33</v>
      </c>
      <c r="O3427" t="s">
        <v>33</v>
      </c>
      <c r="P3427" t="s">
        <v>213</v>
      </c>
      <c r="Q3427" t="s">
        <v>2111</v>
      </c>
      <c r="R3427" t="s">
        <v>136</v>
      </c>
      <c r="S3427" t="s">
        <v>30</v>
      </c>
      <c r="T3427" t="s">
        <v>2929</v>
      </c>
      <c r="U3427" t="s">
        <v>2930</v>
      </c>
      <c r="V3427" t="s">
        <v>40</v>
      </c>
      <c r="W3427" s="1">
        <v>779800</v>
      </c>
    </row>
    <row r="3428" spans="1:23" x14ac:dyDescent="0.2">
      <c r="A3428" t="s">
        <v>2096</v>
      </c>
      <c r="B3428" t="s">
        <v>2097</v>
      </c>
      <c r="C3428" t="s">
        <v>2718</v>
      </c>
      <c r="D3428" t="s">
        <v>2883</v>
      </c>
      <c r="E3428" t="s">
        <v>2884</v>
      </c>
      <c r="F3428" t="s">
        <v>2885</v>
      </c>
      <c r="G3428" t="s">
        <v>106</v>
      </c>
      <c r="H3428" t="s">
        <v>30</v>
      </c>
      <c r="I3428" t="s">
        <v>30</v>
      </c>
      <c r="J3428" t="s">
        <v>31</v>
      </c>
      <c r="K3428" t="s">
        <v>32</v>
      </c>
      <c r="L3428" t="s">
        <v>32</v>
      </c>
      <c r="M3428" t="s">
        <v>33</v>
      </c>
      <c r="N3428" t="s">
        <v>33</v>
      </c>
      <c r="O3428" t="s">
        <v>33</v>
      </c>
      <c r="P3428" t="s">
        <v>213</v>
      </c>
      <c r="Q3428" t="s">
        <v>2111</v>
      </c>
      <c r="S3428" t="s">
        <v>30</v>
      </c>
      <c r="T3428" t="s">
        <v>2409</v>
      </c>
      <c r="U3428" t="s">
        <v>2931</v>
      </c>
      <c r="V3428" t="s">
        <v>39</v>
      </c>
      <c r="W3428" s="1">
        <v>2</v>
      </c>
    </row>
    <row r="3429" spans="1:23" x14ac:dyDescent="0.2">
      <c r="A3429" t="s">
        <v>2096</v>
      </c>
      <c r="B3429" t="s">
        <v>2097</v>
      </c>
      <c r="C3429" t="s">
        <v>2718</v>
      </c>
      <c r="D3429" t="s">
        <v>2883</v>
      </c>
      <c r="E3429" t="s">
        <v>2884</v>
      </c>
      <c r="F3429" t="s">
        <v>2885</v>
      </c>
      <c r="G3429" t="s">
        <v>106</v>
      </c>
      <c r="H3429" t="s">
        <v>30</v>
      </c>
      <c r="I3429" t="s">
        <v>30</v>
      </c>
      <c r="J3429" t="s">
        <v>31</v>
      </c>
      <c r="K3429" t="s">
        <v>32</v>
      </c>
      <c r="L3429" t="s">
        <v>32</v>
      </c>
      <c r="M3429" t="s">
        <v>33</v>
      </c>
      <c r="N3429" t="s">
        <v>33</v>
      </c>
      <c r="O3429" t="s">
        <v>33</v>
      </c>
      <c r="P3429" t="s">
        <v>213</v>
      </c>
      <c r="Q3429" t="s">
        <v>2111</v>
      </c>
      <c r="S3429" t="s">
        <v>30</v>
      </c>
      <c r="T3429" t="s">
        <v>2409</v>
      </c>
      <c r="U3429" t="s">
        <v>2931</v>
      </c>
      <c r="V3429" t="s">
        <v>40</v>
      </c>
      <c r="W3429" s="1">
        <v>1539800</v>
      </c>
    </row>
    <row r="3430" spans="1:23" x14ac:dyDescent="0.2">
      <c r="A3430" t="s">
        <v>2096</v>
      </c>
      <c r="B3430" t="s">
        <v>2097</v>
      </c>
      <c r="C3430" t="s">
        <v>2718</v>
      </c>
      <c r="D3430" t="s">
        <v>2883</v>
      </c>
      <c r="E3430" t="s">
        <v>2884</v>
      </c>
      <c r="F3430" t="s">
        <v>2885</v>
      </c>
      <c r="G3430" t="s">
        <v>106</v>
      </c>
      <c r="H3430" t="s">
        <v>30</v>
      </c>
      <c r="I3430" t="s">
        <v>30</v>
      </c>
      <c r="J3430" t="s">
        <v>31</v>
      </c>
      <c r="K3430" t="s">
        <v>32</v>
      </c>
      <c r="L3430" t="s">
        <v>32</v>
      </c>
      <c r="M3430" t="s">
        <v>33</v>
      </c>
      <c r="N3430" t="s">
        <v>33</v>
      </c>
      <c r="O3430" t="s">
        <v>33</v>
      </c>
      <c r="P3430" t="s">
        <v>34</v>
      </c>
      <c r="Q3430" t="s">
        <v>35</v>
      </c>
      <c r="S3430" t="s">
        <v>30</v>
      </c>
      <c r="T3430" t="s">
        <v>111</v>
      </c>
      <c r="U3430" t="s">
        <v>2932</v>
      </c>
      <c r="V3430" t="s">
        <v>39</v>
      </c>
      <c r="W3430" s="1">
        <v>7</v>
      </c>
    </row>
    <row r="3431" spans="1:23" x14ac:dyDescent="0.2">
      <c r="A3431" t="s">
        <v>2096</v>
      </c>
      <c r="B3431" t="s">
        <v>2097</v>
      </c>
      <c r="C3431" t="s">
        <v>2718</v>
      </c>
      <c r="D3431" t="s">
        <v>2883</v>
      </c>
      <c r="E3431" t="s">
        <v>2884</v>
      </c>
      <c r="F3431" t="s">
        <v>2885</v>
      </c>
      <c r="G3431" t="s">
        <v>106</v>
      </c>
      <c r="H3431" t="s">
        <v>30</v>
      </c>
      <c r="I3431" t="s">
        <v>30</v>
      </c>
      <c r="J3431" t="s">
        <v>31</v>
      </c>
      <c r="K3431" t="s">
        <v>32</v>
      </c>
      <c r="L3431" t="s">
        <v>32</v>
      </c>
      <c r="M3431" t="s">
        <v>33</v>
      </c>
      <c r="N3431" t="s">
        <v>33</v>
      </c>
      <c r="O3431" t="s">
        <v>33</v>
      </c>
      <c r="P3431" t="s">
        <v>34</v>
      </c>
      <c r="Q3431" t="s">
        <v>35</v>
      </c>
      <c r="S3431" t="s">
        <v>30</v>
      </c>
      <c r="T3431" t="s">
        <v>111</v>
      </c>
      <c r="U3431" t="s">
        <v>2932</v>
      </c>
      <c r="V3431" t="s">
        <v>40</v>
      </c>
      <c r="W3431" s="1">
        <v>1315300</v>
      </c>
    </row>
    <row r="3432" spans="1:23" x14ac:dyDescent="0.2">
      <c r="A3432" t="s">
        <v>2096</v>
      </c>
      <c r="B3432" t="s">
        <v>2097</v>
      </c>
      <c r="C3432" t="s">
        <v>2718</v>
      </c>
      <c r="D3432" t="s">
        <v>2883</v>
      </c>
      <c r="E3432" t="s">
        <v>2884</v>
      </c>
      <c r="F3432" t="s">
        <v>2885</v>
      </c>
      <c r="G3432" t="s">
        <v>106</v>
      </c>
      <c r="H3432" t="s">
        <v>30</v>
      </c>
      <c r="I3432" t="s">
        <v>30</v>
      </c>
      <c r="J3432" t="s">
        <v>31</v>
      </c>
      <c r="K3432" t="s">
        <v>32</v>
      </c>
      <c r="L3432" t="s">
        <v>32</v>
      </c>
      <c r="M3432" t="s">
        <v>33</v>
      </c>
      <c r="N3432" t="s">
        <v>33</v>
      </c>
      <c r="O3432" t="s">
        <v>33</v>
      </c>
      <c r="P3432" t="s">
        <v>34</v>
      </c>
      <c r="Q3432" t="s">
        <v>35</v>
      </c>
      <c r="S3432" t="s">
        <v>30</v>
      </c>
      <c r="T3432" t="s">
        <v>2933</v>
      </c>
      <c r="U3432" t="s">
        <v>2934</v>
      </c>
      <c r="V3432" t="s">
        <v>39</v>
      </c>
      <c r="W3432" s="1">
        <v>6</v>
      </c>
    </row>
    <row r="3433" spans="1:23" x14ac:dyDescent="0.2">
      <c r="A3433" t="s">
        <v>2096</v>
      </c>
      <c r="B3433" t="s">
        <v>2097</v>
      </c>
      <c r="C3433" t="s">
        <v>2718</v>
      </c>
      <c r="D3433" t="s">
        <v>2883</v>
      </c>
      <c r="E3433" t="s">
        <v>2884</v>
      </c>
      <c r="F3433" t="s">
        <v>2885</v>
      </c>
      <c r="G3433" t="s">
        <v>106</v>
      </c>
      <c r="H3433" t="s">
        <v>30</v>
      </c>
      <c r="I3433" t="s">
        <v>30</v>
      </c>
      <c r="J3433" t="s">
        <v>31</v>
      </c>
      <c r="K3433" t="s">
        <v>32</v>
      </c>
      <c r="L3433" t="s">
        <v>32</v>
      </c>
      <c r="M3433" t="s">
        <v>33</v>
      </c>
      <c r="N3433" t="s">
        <v>33</v>
      </c>
      <c r="O3433" t="s">
        <v>33</v>
      </c>
      <c r="P3433" t="s">
        <v>34</v>
      </c>
      <c r="Q3433" t="s">
        <v>35</v>
      </c>
      <c r="S3433" t="s">
        <v>30</v>
      </c>
      <c r="T3433" t="s">
        <v>2933</v>
      </c>
      <c r="U3433" t="s">
        <v>2934</v>
      </c>
      <c r="V3433" t="s">
        <v>40</v>
      </c>
      <c r="W3433" s="1">
        <v>3000000</v>
      </c>
    </row>
    <row r="3434" spans="1:23" x14ac:dyDescent="0.2">
      <c r="A3434" t="s">
        <v>2096</v>
      </c>
      <c r="B3434" t="s">
        <v>2097</v>
      </c>
      <c r="C3434" t="s">
        <v>2718</v>
      </c>
      <c r="D3434" t="s">
        <v>2883</v>
      </c>
      <c r="E3434" t="s">
        <v>2884</v>
      </c>
      <c r="F3434" t="s">
        <v>2885</v>
      </c>
      <c r="G3434" t="s">
        <v>106</v>
      </c>
      <c r="H3434" t="s">
        <v>30</v>
      </c>
      <c r="I3434" t="s">
        <v>30</v>
      </c>
      <c r="J3434" t="s">
        <v>31</v>
      </c>
      <c r="K3434" t="s">
        <v>32</v>
      </c>
      <c r="L3434" t="s">
        <v>32</v>
      </c>
      <c r="M3434" t="s">
        <v>33</v>
      </c>
      <c r="P3434" t="s">
        <v>34</v>
      </c>
      <c r="Q3434" t="s">
        <v>35</v>
      </c>
      <c r="S3434" t="s">
        <v>30</v>
      </c>
      <c r="T3434" t="s">
        <v>2933</v>
      </c>
      <c r="U3434" t="s">
        <v>2934</v>
      </c>
      <c r="V3434" t="s">
        <v>39</v>
      </c>
      <c r="W3434" s="1">
        <v>1</v>
      </c>
    </row>
    <row r="3435" spans="1:23" x14ac:dyDescent="0.2">
      <c r="A3435" t="s">
        <v>2096</v>
      </c>
      <c r="B3435" t="s">
        <v>2097</v>
      </c>
      <c r="C3435" t="s">
        <v>2718</v>
      </c>
      <c r="D3435" t="s">
        <v>2883</v>
      </c>
      <c r="E3435" t="s">
        <v>2884</v>
      </c>
      <c r="F3435" t="s">
        <v>2885</v>
      </c>
      <c r="G3435" t="s">
        <v>106</v>
      </c>
      <c r="H3435" t="s">
        <v>30</v>
      </c>
      <c r="I3435" t="s">
        <v>30</v>
      </c>
      <c r="J3435" t="s">
        <v>31</v>
      </c>
      <c r="K3435" t="s">
        <v>32</v>
      </c>
      <c r="L3435" t="s">
        <v>32</v>
      </c>
      <c r="M3435" t="s">
        <v>33</v>
      </c>
      <c r="P3435" t="s">
        <v>34</v>
      </c>
      <c r="Q3435" t="s">
        <v>35</v>
      </c>
      <c r="S3435" t="s">
        <v>30</v>
      </c>
      <c r="T3435" t="s">
        <v>2933</v>
      </c>
      <c r="U3435" t="s">
        <v>2934</v>
      </c>
      <c r="V3435" t="s">
        <v>40</v>
      </c>
      <c r="W3435" s="1">
        <v>500000</v>
      </c>
    </row>
    <row r="3436" spans="1:23" x14ac:dyDescent="0.2">
      <c r="A3436" t="s">
        <v>2096</v>
      </c>
      <c r="B3436" t="s">
        <v>2097</v>
      </c>
      <c r="C3436" t="s">
        <v>2718</v>
      </c>
      <c r="D3436" t="s">
        <v>2883</v>
      </c>
      <c r="E3436" t="s">
        <v>2884</v>
      </c>
      <c r="F3436" t="s">
        <v>2885</v>
      </c>
      <c r="G3436" t="s">
        <v>106</v>
      </c>
      <c r="H3436" t="s">
        <v>30</v>
      </c>
      <c r="I3436" t="s">
        <v>30</v>
      </c>
      <c r="J3436" t="s">
        <v>31</v>
      </c>
      <c r="K3436" t="s">
        <v>32</v>
      </c>
      <c r="L3436" t="s">
        <v>32</v>
      </c>
      <c r="M3436" t="s">
        <v>33</v>
      </c>
      <c r="P3436" t="s">
        <v>34</v>
      </c>
      <c r="Q3436" t="s">
        <v>35</v>
      </c>
      <c r="S3436" t="s">
        <v>52</v>
      </c>
      <c r="T3436" t="s">
        <v>2935</v>
      </c>
      <c r="U3436" t="s">
        <v>2936</v>
      </c>
      <c r="V3436" t="s">
        <v>39</v>
      </c>
      <c r="W3436" s="1">
        <v>0</v>
      </c>
    </row>
    <row r="3437" spans="1:23" x14ac:dyDescent="0.2">
      <c r="A3437" t="s">
        <v>2096</v>
      </c>
      <c r="B3437" t="s">
        <v>2097</v>
      </c>
      <c r="C3437" t="s">
        <v>2718</v>
      </c>
      <c r="D3437" t="s">
        <v>2883</v>
      </c>
      <c r="E3437" t="s">
        <v>2884</v>
      </c>
      <c r="F3437" t="s">
        <v>2885</v>
      </c>
      <c r="G3437" t="s">
        <v>106</v>
      </c>
      <c r="H3437" t="s">
        <v>30</v>
      </c>
      <c r="I3437" t="s">
        <v>30</v>
      </c>
      <c r="J3437" t="s">
        <v>31</v>
      </c>
      <c r="K3437" t="s">
        <v>32</v>
      </c>
      <c r="L3437" t="s">
        <v>32</v>
      </c>
      <c r="M3437" t="s">
        <v>33</v>
      </c>
      <c r="P3437" t="s">
        <v>34</v>
      </c>
      <c r="Q3437" t="s">
        <v>35</v>
      </c>
      <c r="S3437" t="s">
        <v>52</v>
      </c>
      <c r="T3437" t="s">
        <v>2935</v>
      </c>
      <c r="U3437" t="s">
        <v>2936</v>
      </c>
      <c r="V3437" t="s">
        <v>40</v>
      </c>
      <c r="W3437" s="1">
        <v>1279900</v>
      </c>
    </row>
    <row r="3438" spans="1:23" x14ac:dyDescent="0.2">
      <c r="A3438" t="s">
        <v>2096</v>
      </c>
      <c r="B3438" t="s">
        <v>2097</v>
      </c>
      <c r="C3438" t="s">
        <v>2718</v>
      </c>
      <c r="D3438" t="s">
        <v>2883</v>
      </c>
      <c r="E3438" t="s">
        <v>2884</v>
      </c>
      <c r="F3438" t="s">
        <v>2885</v>
      </c>
      <c r="G3438" t="s">
        <v>106</v>
      </c>
      <c r="H3438" t="s">
        <v>30</v>
      </c>
      <c r="I3438" t="s">
        <v>30</v>
      </c>
      <c r="J3438" t="s">
        <v>31</v>
      </c>
      <c r="K3438" t="s">
        <v>32</v>
      </c>
      <c r="L3438" t="s">
        <v>32</v>
      </c>
      <c r="M3438" t="s">
        <v>176</v>
      </c>
      <c r="N3438" t="s">
        <v>176</v>
      </c>
      <c r="O3438" t="s">
        <v>176</v>
      </c>
      <c r="P3438" t="s">
        <v>34</v>
      </c>
      <c r="Q3438" t="s">
        <v>35</v>
      </c>
      <c r="S3438" t="s">
        <v>30</v>
      </c>
      <c r="T3438" t="s">
        <v>111</v>
      </c>
      <c r="U3438" t="s">
        <v>2932</v>
      </c>
      <c r="V3438" t="s">
        <v>39</v>
      </c>
      <c r="W3438" s="1">
        <v>3</v>
      </c>
    </row>
    <row r="3439" spans="1:23" x14ac:dyDescent="0.2">
      <c r="A3439" t="s">
        <v>2096</v>
      </c>
      <c r="B3439" t="s">
        <v>2097</v>
      </c>
      <c r="C3439" t="s">
        <v>2718</v>
      </c>
      <c r="D3439" t="s">
        <v>2883</v>
      </c>
      <c r="E3439" t="s">
        <v>2884</v>
      </c>
      <c r="F3439" t="s">
        <v>2885</v>
      </c>
      <c r="G3439" t="s">
        <v>106</v>
      </c>
      <c r="H3439" t="s">
        <v>30</v>
      </c>
      <c r="I3439" t="s">
        <v>30</v>
      </c>
      <c r="J3439" t="s">
        <v>31</v>
      </c>
      <c r="K3439" t="s">
        <v>32</v>
      </c>
      <c r="L3439" t="s">
        <v>32</v>
      </c>
      <c r="M3439" t="s">
        <v>176</v>
      </c>
      <c r="N3439" t="s">
        <v>176</v>
      </c>
      <c r="O3439" t="s">
        <v>176</v>
      </c>
      <c r="P3439" t="s">
        <v>34</v>
      </c>
      <c r="Q3439" t="s">
        <v>35</v>
      </c>
      <c r="S3439" t="s">
        <v>30</v>
      </c>
      <c r="T3439" t="s">
        <v>111</v>
      </c>
      <c r="U3439" t="s">
        <v>2932</v>
      </c>
      <c r="V3439" t="s">
        <v>40</v>
      </c>
      <c r="W3439" s="1">
        <v>1163700</v>
      </c>
    </row>
    <row r="3440" spans="1:23" x14ac:dyDescent="0.2">
      <c r="A3440" t="s">
        <v>2096</v>
      </c>
      <c r="B3440" t="s">
        <v>2097</v>
      </c>
      <c r="C3440" t="s">
        <v>2718</v>
      </c>
      <c r="D3440" t="s">
        <v>2883</v>
      </c>
      <c r="E3440" t="s">
        <v>2884</v>
      </c>
      <c r="F3440" t="s">
        <v>2885</v>
      </c>
      <c r="G3440" t="s">
        <v>106</v>
      </c>
      <c r="H3440" t="s">
        <v>30</v>
      </c>
      <c r="I3440" t="s">
        <v>30</v>
      </c>
      <c r="J3440" t="s">
        <v>31</v>
      </c>
      <c r="K3440" t="s">
        <v>32</v>
      </c>
      <c r="L3440" t="s">
        <v>32</v>
      </c>
      <c r="M3440" t="s">
        <v>176</v>
      </c>
      <c r="N3440" t="s">
        <v>195</v>
      </c>
      <c r="O3440" t="s">
        <v>195</v>
      </c>
      <c r="P3440" t="s">
        <v>213</v>
      </c>
      <c r="Q3440" t="s">
        <v>2111</v>
      </c>
      <c r="S3440" t="s">
        <v>30</v>
      </c>
      <c r="T3440" t="s">
        <v>2409</v>
      </c>
      <c r="U3440" t="s">
        <v>2931</v>
      </c>
      <c r="V3440" t="s">
        <v>39</v>
      </c>
      <c r="W3440" s="1">
        <v>1</v>
      </c>
    </row>
    <row r="3441" spans="1:23" x14ac:dyDescent="0.2">
      <c r="A3441" t="s">
        <v>2096</v>
      </c>
      <c r="B3441" t="s">
        <v>2097</v>
      </c>
      <c r="C3441" t="s">
        <v>2718</v>
      </c>
      <c r="D3441" t="s">
        <v>2883</v>
      </c>
      <c r="E3441" t="s">
        <v>2884</v>
      </c>
      <c r="F3441" t="s">
        <v>2885</v>
      </c>
      <c r="G3441" t="s">
        <v>106</v>
      </c>
      <c r="H3441" t="s">
        <v>30</v>
      </c>
      <c r="I3441" t="s">
        <v>30</v>
      </c>
      <c r="J3441" t="s">
        <v>31</v>
      </c>
      <c r="K3441" t="s">
        <v>32</v>
      </c>
      <c r="L3441" t="s">
        <v>32</v>
      </c>
      <c r="M3441" t="s">
        <v>176</v>
      </c>
      <c r="N3441" t="s">
        <v>195</v>
      </c>
      <c r="O3441" t="s">
        <v>195</v>
      </c>
      <c r="P3441" t="s">
        <v>213</v>
      </c>
      <c r="Q3441" t="s">
        <v>2111</v>
      </c>
      <c r="S3441" t="s">
        <v>30</v>
      </c>
      <c r="T3441" t="s">
        <v>2409</v>
      </c>
      <c r="U3441" t="s">
        <v>2931</v>
      </c>
      <c r="V3441" t="s">
        <v>40</v>
      </c>
      <c r="W3441" s="1">
        <v>769900</v>
      </c>
    </row>
    <row r="3442" spans="1:23" x14ac:dyDescent="0.2">
      <c r="A3442" t="s">
        <v>2096</v>
      </c>
      <c r="B3442" t="s">
        <v>2097</v>
      </c>
      <c r="C3442" t="s">
        <v>2718</v>
      </c>
      <c r="D3442" t="s">
        <v>2883</v>
      </c>
      <c r="E3442" t="s">
        <v>2884</v>
      </c>
      <c r="F3442" t="s">
        <v>2885</v>
      </c>
      <c r="G3442" t="s">
        <v>106</v>
      </c>
      <c r="H3442" t="s">
        <v>30</v>
      </c>
      <c r="I3442" t="s">
        <v>30</v>
      </c>
      <c r="J3442" t="s">
        <v>41</v>
      </c>
      <c r="K3442" t="s">
        <v>32</v>
      </c>
      <c r="L3442" t="s">
        <v>32</v>
      </c>
      <c r="M3442" t="s">
        <v>33</v>
      </c>
      <c r="P3442" t="s">
        <v>34</v>
      </c>
      <c r="Q3442" t="s">
        <v>35</v>
      </c>
      <c r="R3442" t="s">
        <v>58</v>
      </c>
      <c r="S3442" t="s">
        <v>52</v>
      </c>
      <c r="T3442" t="s">
        <v>2039</v>
      </c>
      <c r="U3442" t="s">
        <v>2937</v>
      </c>
      <c r="V3442" t="s">
        <v>39</v>
      </c>
      <c r="W3442" s="1">
        <v>0</v>
      </c>
    </row>
    <row r="3443" spans="1:23" x14ac:dyDescent="0.2">
      <c r="A3443" t="s">
        <v>2096</v>
      </c>
      <c r="B3443" t="s">
        <v>2097</v>
      </c>
      <c r="C3443" t="s">
        <v>2718</v>
      </c>
      <c r="D3443" t="s">
        <v>2883</v>
      </c>
      <c r="E3443" t="s">
        <v>2884</v>
      </c>
      <c r="F3443" t="s">
        <v>2885</v>
      </c>
      <c r="G3443" t="s">
        <v>106</v>
      </c>
      <c r="H3443" t="s">
        <v>30</v>
      </c>
      <c r="I3443" t="s">
        <v>30</v>
      </c>
      <c r="J3443" t="s">
        <v>41</v>
      </c>
      <c r="K3443" t="s">
        <v>32</v>
      </c>
      <c r="L3443" t="s">
        <v>32</v>
      </c>
      <c r="M3443" t="s">
        <v>33</v>
      </c>
      <c r="P3443" t="s">
        <v>34</v>
      </c>
      <c r="Q3443" t="s">
        <v>35</v>
      </c>
      <c r="R3443" t="s">
        <v>58</v>
      </c>
      <c r="S3443" t="s">
        <v>52</v>
      </c>
      <c r="T3443" t="s">
        <v>2039</v>
      </c>
      <c r="U3443" t="s">
        <v>2937</v>
      </c>
      <c r="V3443" t="s">
        <v>40</v>
      </c>
      <c r="W3443" s="1">
        <v>12798000</v>
      </c>
    </row>
    <row r="3444" spans="1:23" x14ac:dyDescent="0.2">
      <c r="A3444" t="s">
        <v>2096</v>
      </c>
      <c r="B3444" t="s">
        <v>2097</v>
      </c>
      <c r="C3444" t="s">
        <v>2718</v>
      </c>
      <c r="D3444" t="s">
        <v>2883</v>
      </c>
      <c r="E3444" t="s">
        <v>2884</v>
      </c>
      <c r="F3444" t="s">
        <v>2885</v>
      </c>
      <c r="G3444" t="s">
        <v>127</v>
      </c>
      <c r="H3444" t="s">
        <v>52</v>
      </c>
      <c r="I3444" t="s">
        <v>30</v>
      </c>
      <c r="J3444" t="s">
        <v>31</v>
      </c>
      <c r="K3444" t="s">
        <v>32</v>
      </c>
      <c r="L3444" t="s">
        <v>32</v>
      </c>
      <c r="M3444" t="s">
        <v>33</v>
      </c>
      <c r="N3444" t="s">
        <v>33</v>
      </c>
      <c r="O3444" t="s">
        <v>33</v>
      </c>
      <c r="P3444" t="s">
        <v>34</v>
      </c>
      <c r="Q3444" t="s">
        <v>35</v>
      </c>
      <c r="S3444" t="s">
        <v>30</v>
      </c>
      <c r="T3444" t="s">
        <v>2935</v>
      </c>
      <c r="U3444" t="s">
        <v>2938</v>
      </c>
      <c r="V3444" t="s">
        <v>39</v>
      </c>
      <c r="W3444" s="1">
        <v>2</v>
      </c>
    </row>
    <row r="3445" spans="1:23" x14ac:dyDescent="0.2">
      <c r="A3445" t="s">
        <v>2096</v>
      </c>
      <c r="B3445" t="s">
        <v>2097</v>
      </c>
      <c r="C3445" t="s">
        <v>2718</v>
      </c>
      <c r="D3445" t="s">
        <v>2883</v>
      </c>
      <c r="E3445" t="s">
        <v>2884</v>
      </c>
      <c r="F3445" t="s">
        <v>2885</v>
      </c>
      <c r="G3445" t="s">
        <v>127</v>
      </c>
      <c r="H3445" t="s">
        <v>52</v>
      </c>
      <c r="I3445" t="s">
        <v>30</v>
      </c>
      <c r="J3445" t="s">
        <v>31</v>
      </c>
      <c r="K3445" t="s">
        <v>32</v>
      </c>
      <c r="L3445" t="s">
        <v>32</v>
      </c>
      <c r="M3445" t="s">
        <v>33</v>
      </c>
      <c r="N3445" t="s">
        <v>33</v>
      </c>
      <c r="O3445" t="s">
        <v>33</v>
      </c>
      <c r="P3445" t="s">
        <v>34</v>
      </c>
      <c r="Q3445" t="s">
        <v>35</v>
      </c>
      <c r="S3445" t="s">
        <v>30</v>
      </c>
      <c r="T3445" t="s">
        <v>2935</v>
      </c>
      <c r="U3445" t="s">
        <v>2938</v>
      </c>
      <c r="V3445" t="s">
        <v>40</v>
      </c>
      <c r="W3445" s="1">
        <v>2559800</v>
      </c>
    </row>
    <row r="3446" spans="1:23" x14ac:dyDescent="0.2">
      <c r="A3446" t="s">
        <v>2096</v>
      </c>
      <c r="B3446" t="s">
        <v>2097</v>
      </c>
      <c r="C3446" t="s">
        <v>2718</v>
      </c>
      <c r="D3446" t="s">
        <v>2883</v>
      </c>
      <c r="E3446" t="s">
        <v>2884</v>
      </c>
      <c r="F3446" t="s">
        <v>2885</v>
      </c>
      <c r="G3446" t="s">
        <v>127</v>
      </c>
      <c r="H3446" t="s">
        <v>52</v>
      </c>
      <c r="I3446" t="s">
        <v>30</v>
      </c>
      <c r="J3446" t="s">
        <v>31</v>
      </c>
      <c r="K3446" t="s">
        <v>32</v>
      </c>
      <c r="L3446" t="s">
        <v>32</v>
      </c>
      <c r="M3446" t="s">
        <v>33</v>
      </c>
      <c r="P3446" t="s">
        <v>213</v>
      </c>
      <c r="Q3446" t="s">
        <v>2111</v>
      </c>
      <c r="R3446" t="s">
        <v>151</v>
      </c>
      <c r="S3446" t="s">
        <v>52</v>
      </c>
      <c r="T3446" t="s">
        <v>2939</v>
      </c>
      <c r="U3446" t="s">
        <v>2940</v>
      </c>
      <c r="V3446" t="s">
        <v>39</v>
      </c>
      <c r="W3446" s="1">
        <v>0</v>
      </c>
    </row>
    <row r="3447" spans="1:23" x14ac:dyDescent="0.2">
      <c r="A3447" t="s">
        <v>2096</v>
      </c>
      <c r="B3447" t="s">
        <v>2097</v>
      </c>
      <c r="C3447" t="s">
        <v>2718</v>
      </c>
      <c r="D3447" t="s">
        <v>2883</v>
      </c>
      <c r="E3447" t="s">
        <v>2884</v>
      </c>
      <c r="F3447" t="s">
        <v>2885</v>
      </c>
      <c r="G3447" t="s">
        <v>127</v>
      </c>
      <c r="H3447" t="s">
        <v>52</v>
      </c>
      <c r="I3447" t="s">
        <v>30</v>
      </c>
      <c r="J3447" t="s">
        <v>31</v>
      </c>
      <c r="K3447" t="s">
        <v>32</v>
      </c>
      <c r="L3447" t="s">
        <v>32</v>
      </c>
      <c r="M3447" t="s">
        <v>33</v>
      </c>
      <c r="P3447" t="s">
        <v>213</v>
      </c>
      <c r="Q3447" t="s">
        <v>2111</v>
      </c>
      <c r="R3447" t="s">
        <v>151</v>
      </c>
      <c r="S3447" t="s">
        <v>52</v>
      </c>
      <c r="T3447" t="s">
        <v>2939</v>
      </c>
      <c r="U3447" t="s">
        <v>2940</v>
      </c>
      <c r="V3447" t="s">
        <v>40</v>
      </c>
      <c r="W3447" s="1">
        <v>858000</v>
      </c>
    </row>
    <row r="3448" spans="1:23" x14ac:dyDescent="0.2">
      <c r="A3448" t="s">
        <v>2096</v>
      </c>
      <c r="B3448" t="s">
        <v>2097</v>
      </c>
      <c r="C3448" t="s">
        <v>2718</v>
      </c>
      <c r="D3448" t="s">
        <v>2883</v>
      </c>
      <c r="E3448" t="s">
        <v>2884</v>
      </c>
      <c r="F3448" t="s">
        <v>2885</v>
      </c>
      <c r="G3448" t="s">
        <v>127</v>
      </c>
      <c r="H3448" t="s">
        <v>52</v>
      </c>
      <c r="I3448" t="s">
        <v>30</v>
      </c>
      <c r="J3448" t="s">
        <v>41</v>
      </c>
      <c r="K3448" t="s">
        <v>32</v>
      </c>
      <c r="L3448" t="s">
        <v>32</v>
      </c>
      <c r="M3448" t="s">
        <v>33</v>
      </c>
      <c r="P3448" t="s">
        <v>213</v>
      </c>
      <c r="Q3448" t="s">
        <v>2111</v>
      </c>
      <c r="S3448" t="s">
        <v>30</v>
      </c>
      <c r="T3448" t="s">
        <v>2941</v>
      </c>
      <c r="U3448" t="s">
        <v>2942</v>
      </c>
      <c r="V3448" t="s">
        <v>39</v>
      </c>
      <c r="W3448" s="1">
        <v>2</v>
      </c>
    </row>
    <row r="3449" spans="1:23" x14ac:dyDescent="0.2">
      <c r="A3449" t="s">
        <v>2096</v>
      </c>
      <c r="B3449" t="s">
        <v>2097</v>
      </c>
      <c r="C3449" t="s">
        <v>2718</v>
      </c>
      <c r="D3449" t="s">
        <v>2883</v>
      </c>
      <c r="E3449" t="s">
        <v>2884</v>
      </c>
      <c r="F3449" t="s">
        <v>2885</v>
      </c>
      <c r="G3449" t="s">
        <v>127</v>
      </c>
      <c r="H3449" t="s">
        <v>52</v>
      </c>
      <c r="I3449" t="s">
        <v>30</v>
      </c>
      <c r="J3449" t="s">
        <v>41</v>
      </c>
      <c r="K3449" t="s">
        <v>32</v>
      </c>
      <c r="L3449" t="s">
        <v>32</v>
      </c>
      <c r="M3449" t="s">
        <v>33</v>
      </c>
      <c r="P3449" t="s">
        <v>213</v>
      </c>
      <c r="Q3449" t="s">
        <v>2111</v>
      </c>
      <c r="S3449" t="s">
        <v>30</v>
      </c>
      <c r="T3449" t="s">
        <v>2941</v>
      </c>
      <c r="U3449" t="s">
        <v>2942</v>
      </c>
      <c r="V3449" t="s">
        <v>40</v>
      </c>
      <c r="W3449" s="1">
        <v>2599800</v>
      </c>
    </row>
    <row r="3450" spans="1:23" x14ac:dyDescent="0.2">
      <c r="A3450" t="s">
        <v>2096</v>
      </c>
      <c r="B3450" t="s">
        <v>2097</v>
      </c>
      <c r="C3450" t="s">
        <v>2718</v>
      </c>
      <c r="D3450" t="s">
        <v>2883</v>
      </c>
      <c r="E3450" t="s">
        <v>2884</v>
      </c>
      <c r="F3450" t="s">
        <v>2885</v>
      </c>
      <c r="G3450" t="s">
        <v>134</v>
      </c>
      <c r="H3450" t="s">
        <v>52</v>
      </c>
      <c r="I3450" t="s">
        <v>30</v>
      </c>
      <c r="J3450" t="s">
        <v>31</v>
      </c>
      <c r="K3450" t="s">
        <v>32</v>
      </c>
      <c r="L3450" t="s">
        <v>32</v>
      </c>
      <c r="M3450" t="s">
        <v>33</v>
      </c>
      <c r="P3450" t="s">
        <v>34</v>
      </c>
      <c r="Q3450" t="s">
        <v>35</v>
      </c>
      <c r="S3450" t="s">
        <v>30</v>
      </c>
      <c r="T3450" t="s">
        <v>2943</v>
      </c>
      <c r="U3450" t="s">
        <v>2944</v>
      </c>
      <c r="V3450" t="s">
        <v>39</v>
      </c>
      <c r="W3450" s="1">
        <v>6</v>
      </c>
    </row>
    <row r="3451" spans="1:23" x14ac:dyDescent="0.2">
      <c r="A3451" t="s">
        <v>2096</v>
      </c>
      <c r="B3451" t="s">
        <v>2097</v>
      </c>
      <c r="C3451" t="s">
        <v>2718</v>
      </c>
      <c r="D3451" t="s">
        <v>2883</v>
      </c>
      <c r="E3451" t="s">
        <v>2884</v>
      </c>
      <c r="F3451" t="s">
        <v>2885</v>
      </c>
      <c r="G3451" t="s">
        <v>134</v>
      </c>
      <c r="H3451" t="s">
        <v>52</v>
      </c>
      <c r="I3451" t="s">
        <v>30</v>
      </c>
      <c r="J3451" t="s">
        <v>31</v>
      </c>
      <c r="K3451" t="s">
        <v>32</v>
      </c>
      <c r="L3451" t="s">
        <v>32</v>
      </c>
      <c r="M3451" t="s">
        <v>33</v>
      </c>
      <c r="P3451" t="s">
        <v>34</v>
      </c>
      <c r="Q3451" t="s">
        <v>35</v>
      </c>
      <c r="S3451" t="s">
        <v>30</v>
      </c>
      <c r="T3451" t="s">
        <v>2943</v>
      </c>
      <c r="U3451" t="s">
        <v>2944</v>
      </c>
      <c r="V3451" t="s">
        <v>40</v>
      </c>
      <c r="W3451" s="1">
        <v>7919400</v>
      </c>
    </row>
    <row r="3452" spans="1:23" x14ac:dyDescent="0.2">
      <c r="A3452" t="s">
        <v>2096</v>
      </c>
      <c r="B3452" t="s">
        <v>2097</v>
      </c>
      <c r="C3452" t="s">
        <v>2718</v>
      </c>
      <c r="D3452" t="s">
        <v>2883</v>
      </c>
      <c r="E3452" t="s">
        <v>2884</v>
      </c>
      <c r="F3452" t="s">
        <v>2885</v>
      </c>
      <c r="G3452" t="s">
        <v>134</v>
      </c>
      <c r="H3452" t="s">
        <v>52</v>
      </c>
      <c r="I3452" t="s">
        <v>30</v>
      </c>
      <c r="J3452" t="s">
        <v>31</v>
      </c>
      <c r="K3452" t="s">
        <v>32</v>
      </c>
      <c r="L3452" t="s">
        <v>32</v>
      </c>
      <c r="M3452" t="s">
        <v>176</v>
      </c>
      <c r="P3452" t="s">
        <v>34</v>
      </c>
      <c r="Q3452" t="s">
        <v>35</v>
      </c>
      <c r="S3452" t="s">
        <v>30</v>
      </c>
      <c r="T3452" t="s">
        <v>2943</v>
      </c>
      <c r="U3452" t="s">
        <v>2944</v>
      </c>
      <c r="V3452" t="s">
        <v>39</v>
      </c>
      <c r="W3452" s="1">
        <v>4</v>
      </c>
    </row>
    <row r="3453" spans="1:23" x14ac:dyDescent="0.2">
      <c r="A3453" t="s">
        <v>2096</v>
      </c>
      <c r="B3453" t="s">
        <v>2097</v>
      </c>
      <c r="C3453" t="s">
        <v>2718</v>
      </c>
      <c r="D3453" t="s">
        <v>2883</v>
      </c>
      <c r="E3453" t="s">
        <v>2884</v>
      </c>
      <c r="F3453" t="s">
        <v>2885</v>
      </c>
      <c r="G3453" t="s">
        <v>134</v>
      </c>
      <c r="H3453" t="s">
        <v>52</v>
      </c>
      <c r="I3453" t="s">
        <v>30</v>
      </c>
      <c r="J3453" t="s">
        <v>31</v>
      </c>
      <c r="K3453" t="s">
        <v>32</v>
      </c>
      <c r="L3453" t="s">
        <v>32</v>
      </c>
      <c r="M3453" t="s">
        <v>176</v>
      </c>
      <c r="P3453" t="s">
        <v>34</v>
      </c>
      <c r="Q3453" t="s">
        <v>35</v>
      </c>
      <c r="S3453" t="s">
        <v>30</v>
      </c>
      <c r="T3453" t="s">
        <v>2943</v>
      </c>
      <c r="U3453" t="s">
        <v>2944</v>
      </c>
      <c r="V3453" t="s">
        <v>40</v>
      </c>
      <c r="W3453" s="1">
        <v>5679600</v>
      </c>
    </row>
    <row r="3454" spans="1:23" x14ac:dyDescent="0.2">
      <c r="A3454" t="s">
        <v>2096</v>
      </c>
      <c r="B3454" t="s">
        <v>2097</v>
      </c>
      <c r="C3454" t="s">
        <v>2718</v>
      </c>
      <c r="D3454" t="s">
        <v>2883</v>
      </c>
      <c r="E3454" t="s">
        <v>2884</v>
      </c>
      <c r="F3454" t="s">
        <v>2885</v>
      </c>
      <c r="G3454" t="s">
        <v>134</v>
      </c>
      <c r="H3454" t="s">
        <v>52</v>
      </c>
      <c r="I3454" t="s">
        <v>30</v>
      </c>
      <c r="J3454" t="s">
        <v>41</v>
      </c>
      <c r="K3454" t="s">
        <v>32</v>
      </c>
      <c r="L3454" t="s">
        <v>32</v>
      </c>
      <c r="M3454" t="s">
        <v>33</v>
      </c>
      <c r="P3454" t="s">
        <v>34</v>
      </c>
      <c r="Q3454" t="s">
        <v>35</v>
      </c>
      <c r="S3454" t="s">
        <v>30</v>
      </c>
      <c r="T3454" t="s">
        <v>2945</v>
      </c>
      <c r="U3454" t="s">
        <v>2946</v>
      </c>
      <c r="V3454" t="s">
        <v>39</v>
      </c>
      <c r="W3454" s="1">
        <v>2</v>
      </c>
    </row>
    <row r="3455" spans="1:23" x14ac:dyDescent="0.2">
      <c r="A3455" t="s">
        <v>2096</v>
      </c>
      <c r="B3455" t="s">
        <v>2097</v>
      </c>
      <c r="C3455" t="s">
        <v>2718</v>
      </c>
      <c r="D3455" t="s">
        <v>2883</v>
      </c>
      <c r="E3455" t="s">
        <v>2884</v>
      </c>
      <c r="F3455" t="s">
        <v>2885</v>
      </c>
      <c r="G3455" t="s">
        <v>134</v>
      </c>
      <c r="H3455" t="s">
        <v>52</v>
      </c>
      <c r="I3455" t="s">
        <v>30</v>
      </c>
      <c r="J3455" t="s">
        <v>41</v>
      </c>
      <c r="K3455" t="s">
        <v>32</v>
      </c>
      <c r="L3455" t="s">
        <v>32</v>
      </c>
      <c r="M3455" t="s">
        <v>33</v>
      </c>
      <c r="P3455" t="s">
        <v>34</v>
      </c>
      <c r="Q3455" t="s">
        <v>35</v>
      </c>
      <c r="S3455" t="s">
        <v>30</v>
      </c>
      <c r="T3455" t="s">
        <v>2945</v>
      </c>
      <c r="U3455" t="s">
        <v>2946</v>
      </c>
      <c r="V3455" t="s">
        <v>40</v>
      </c>
      <c r="W3455" s="1">
        <v>2518000</v>
      </c>
    </row>
    <row r="3456" spans="1:23" x14ac:dyDescent="0.2">
      <c r="A3456" t="s">
        <v>2096</v>
      </c>
      <c r="B3456" t="s">
        <v>2097</v>
      </c>
      <c r="C3456" t="s">
        <v>2718</v>
      </c>
      <c r="D3456" t="s">
        <v>2883</v>
      </c>
      <c r="E3456" t="s">
        <v>2884</v>
      </c>
      <c r="F3456" t="s">
        <v>2885</v>
      </c>
      <c r="G3456" t="s">
        <v>139</v>
      </c>
      <c r="H3456" t="s">
        <v>30</v>
      </c>
      <c r="I3456" t="s">
        <v>30</v>
      </c>
      <c r="J3456" t="s">
        <v>31</v>
      </c>
      <c r="K3456" t="s">
        <v>32</v>
      </c>
      <c r="L3456" t="s">
        <v>32</v>
      </c>
      <c r="M3456" t="s">
        <v>33</v>
      </c>
      <c r="N3456" t="s">
        <v>33</v>
      </c>
      <c r="O3456" t="s">
        <v>33</v>
      </c>
      <c r="P3456" t="s">
        <v>213</v>
      </c>
      <c r="Q3456" t="s">
        <v>2111</v>
      </c>
      <c r="S3456" t="s">
        <v>30</v>
      </c>
      <c r="T3456" t="s">
        <v>2947</v>
      </c>
      <c r="U3456" t="s">
        <v>2948</v>
      </c>
      <c r="V3456" t="s">
        <v>39</v>
      </c>
      <c r="W3456" s="1">
        <v>2</v>
      </c>
    </row>
    <row r="3457" spans="1:23" x14ac:dyDescent="0.2">
      <c r="A3457" t="s">
        <v>2096</v>
      </c>
      <c r="B3457" t="s">
        <v>2097</v>
      </c>
      <c r="C3457" t="s">
        <v>2718</v>
      </c>
      <c r="D3457" t="s">
        <v>2883</v>
      </c>
      <c r="E3457" t="s">
        <v>2884</v>
      </c>
      <c r="F3457" t="s">
        <v>2885</v>
      </c>
      <c r="G3457" t="s">
        <v>139</v>
      </c>
      <c r="H3457" t="s">
        <v>30</v>
      </c>
      <c r="I3457" t="s">
        <v>30</v>
      </c>
      <c r="J3457" t="s">
        <v>31</v>
      </c>
      <c r="K3457" t="s">
        <v>32</v>
      </c>
      <c r="L3457" t="s">
        <v>32</v>
      </c>
      <c r="M3457" t="s">
        <v>33</v>
      </c>
      <c r="N3457" t="s">
        <v>33</v>
      </c>
      <c r="O3457" t="s">
        <v>33</v>
      </c>
      <c r="P3457" t="s">
        <v>213</v>
      </c>
      <c r="Q3457" t="s">
        <v>2111</v>
      </c>
      <c r="S3457" t="s">
        <v>30</v>
      </c>
      <c r="T3457" t="s">
        <v>2947</v>
      </c>
      <c r="U3457" t="s">
        <v>2948</v>
      </c>
      <c r="V3457" t="s">
        <v>40</v>
      </c>
      <c r="W3457" s="1">
        <v>375800</v>
      </c>
    </row>
    <row r="3458" spans="1:23" x14ac:dyDescent="0.2">
      <c r="A3458" t="s">
        <v>2096</v>
      </c>
      <c r="B3458" t="s">
        <v>2097</v>
      </c>
      <c r="C3458" t="s">
        <v>2718</v>
      </c>
      <c r="D3458" t="s">
        <v>2883</v>
      </c>
      <c r="E3458" t="s">
        <v>2884</v>
      </c>
      <c r="F3458" t="s">
        <v>2885</v>
      </c>
      <c r="G3458" t="s">
        <v>139</v>
      </c>
      <c r="H3458" t="s">
        <v>30</v>
      </c>
      <c r="I3458" t="s">
        <v>30</v>
      </c>
      <c r="J3458" t="s">
        <v>41</v>
      </c>
      <c r="K3458" t="s">
        <v>32</v>
      </c>
      <c r="L3458" t="s">
        <v>32</v>
      </c>
      <c r="M3458" t="s">
        <v>33</v>
      </c>
      <c r="P3458" t="s">
        <v>213</v>
      </c>
      <c r="Q3458" t="s">
        <v>2111</v>
      </c>
      <c r="S3458" t="s">
        <v>30</v>
      </c>
      <c r="T3458" t="s">
        <v>2949</v>
      </c>
      <c r="U3458" t="s">
        <v>2950</v>
      </c>
      <c r="V3458" t="s">
        <v>39</v>
      </c>
      <c r="W3458" s="1">
        <v>2</v>
      </c>
    </row>
    <row r="3459" spans="1:23" x14ac:dyDescent="0.2">
      <c r="A3459" t="s">
        <v>2096</v>
      </c>
      <c r="B3459" t="s">
        <v>2097</v>
      </c>
      <c r="C3459" t="s">
        <v>2718</v>
      </c>
      <c r="D3459" t="s">
        <v>2883</v>
      </c>
      <c r="E3459" t="s">
        <v>2884</v>
      </c>
      <c r="F3459" t="s">
        <v>2885</v>
      </c>
      <c r="G3459" t="s">
        <v>139</v>
      </c>
      <c r="H3459" t="s">
        <v>30</v>
      </c>
      <c r="I3459" t="s">
        <v>30</v>
      </c>
      <c r="J3459" t="s">
        <v>41</v>
      </c>
      <c r="K3459" t="s">
        <v>32</v>
      </c>
      <c r="L3459" t="s">
        <v>32</v>
      </c>
      <c r="M3459" t="s">
        <v>33</v>
      </c>
      <c r="P3459" t="s">
        <v>213</v>
      </c>
      <c r="Q3459" t="s">
        <v>2111</v>
      </c>
      <c r="S3459" t="s">
        <v>30</v>
      </c>
      <c r="T3459" t="s">
        <v>2949</v>
      </c>
      <c r="U3459" t="s">
        <v>2950</v>
      </c>
      <c r="V3459" t="s">
        <v>40</v>
      </c>
      <c r="W3459" s="1">
        <v>2476000</v>
      </c>
    </row>
    <row r="3460" spans="1:23" x14ac:dyDescent="0.2">
      <c r="A3460" t="s">
        <v>2096</v>
      </c>
      <c r="B3460" t="s">
        <v>2097</v>
      </c>
      <c r="C3460" t="s">
        <v>2718</v>
      </c>
      <c r="D3460" t="s">
        <v>2883</v>
      </c>
      <c r="E3460" t="s">
        <v>2884</v>
      </c>
      <c r="F3460" t="s">
        <v>2885</v>
      </c>
      <c r="G3460" t="s">
        <v>139</v>
      </c>
      <c r="H3460" t="s">
        <v>30</v>
      </c>
      <c r="I3460" t="s">
        <v>30</v>
      </c>
      <c r="J3460" t="s">
        <v>57</v>
      </c>
      <c r="K3460" t="s">
        <v>32</v>
      </c>
      <c r="L3460" t="s">
        <v>32</v>
      </c>
      <c r="M3460" t="s">
        <v>33</v>
      </c>
      <c r="N3460" t="s">
        <v>33</v>
      </c>
      <c r="O3460" t="s">
        <v>33</v>
      </c>
      <c r="P3460" t="s">
        <v>213</v>
      </c>
      <c r="Q3460" t="s">
        <v>2111</v>
      </c>
      <c r="R3460" t="s">
        <v>2212</v>
      </c>
      <c r="S3460" t="s">
        <v>30</v>
      </c>
      <c r="T3460" t="s">
        <v>2951</v>
      </c>
      <c r="U3460" t="s">
        <v>2952</v>
      </c>
      <c r="V3460" t="s">
        <v>39</v>
      </c>
      <c r="W3460" s="1">
        <v>2</v>
      </c>
    </row>
    <row r="3461" spans="1:23" x14ac:dyDescent="0.2">
      <c r="A3461" t="s">
        <v>2096</v>
      </c>
      <c r="B3461" t="s">
        <v>2097</v>
      </c>
      <c r="C3461" t="s">
        <v>2718</v>
      </c>
      <c r="D3461" t="s">
        <v>2883</v>
      </c>
      <c r="E3461" t="s">
        <v>2884</v>
      </c>
      <c r="F3461" t="s">
        <v>2885</v>
      </c>
      <c r="G3461" t="s">
        <v>139</v>
      </c>
      <c r="H3461" t="s">
        <v>30</v>
      </c>
      <c r="I3461" t="s">
        <v>30</v>
      </c>
      <c r="J3461" t="s">
        <v>57</v>
      </c>
      <c r="K3461" t="s">
        <v>32</v>
      </c>
      <c r="L3461" t="s">
        <v>32</v>
      </c>
      <c r="M3461" t="s">
        <v>33</v>
      </c>
      <c r="N3461" t="s">
        <v>33</v>
      </c>
      <c r="O3461" t="s">
        <v>33</v>
      </c>
      <c r="P3461" t="s">
        <v>213</v>
      </c>
      <c r="Q3461" t="s">
        <v>2111</v>
      </c>
      <c r="R3461" t="s">
        <v>2212</v>
      </c>
      <c r="S3461" t="s">
        <v>30</v>
      </c>
      <c r="T3461" t="s">
        <v>2951</v>
      </c>
      <c r="U3461" t="s">
        <v>2952</v>
      </c>
      <c r="V3461" t="s">
        <v>40</v>
      </c>
      <c r="W3461" s="1">
        <v>2799800</v>
      </c>
    </row>
    <row r="3462" spans="1:23" x14ac:dyDescent="0.2">
      <c r="A3462" t="s">
        <v>2096</v>
      </c>
      <c r="B3462" t="s">
        <v>2097</v>
      </c>
      <c r="C3462" t="s">
        <v>2718</v>
      </c>
      <c r="D3462" t="s">
        <v>2953</v>
      </c>
      <c r="E3462" t="s">
        <v>2954</v>
      </c>
      <c r="F3462" t="s">
        <v>2955</v>
      </c>
      <c r="G3462" t="s">
        <v>29</v>
      </c>
      <c r="H3462" t="s">
        <v>30</v>
      </c>
      <c r="I3462" t="s">
        <v>30</v>
      </c>
      <c r="J3462" t="s">
        <v>31</v>
      </c>
      <c r="K3462" t="s">
        <v>32</v>
      </c>
      <c r="L3462" t="s">
        <v>32</v>
      </c>
      <c r="M3462" t="s">
        <v>33</v>
      </c>
      <c r="N3462" t="s">
        <v>33</v>
      </c>
      <c r="O3462" t="s">
        <v>33</v>
      </c>
      <c r="P3462" t="s">
        <v>34</v>
      </c>
      <c r="Q3462" t="s">
        <v>35</v>
      </c>
      <c r="R3462" t="s">
        <v>353</v>
      </c>
      <c r="S3462" t="s">
        <v>30</v>
      </c>
      <c r="T3462" t="s">
        <v>2956</v>
      </c>
      <c r="U3462" t="s">
        <v>2957</v>
      </c>
      <c r="V3462" t="s">
        <v>39</v>
      </c>
      <c r="W3462" s="1">
        <v>2</v>
      </c>
    </row>
    <row r="3463" spans="1:23" x14ac:dyDescent="0.2">
      <c r="A3463" t="s">
        <v>2096</v>
      </c>
      <c r="B3463" t="s">
        <v>2097</v>
      </c>
      <c r="C3463" t="s">
        <v>2718</v>
      </c>
      <c r="D3463" t="s">
        <v>2953</v>
      </c>
      <c r="E3463" t="s">
        <v>2954</v>
      </c>
      <c r="F3463" t="s">
        <v>2955</v>
      </c>
      <c r="G3463" t="s">
        <v>29</v>
      </c>
      <c r="H3463" t="s">
        <v>30</v>
      </c>
      <c r="I3463" t="s">
        <v>30</v>
      </c>
      <c r="J3463" t="s">
        <v>31</v>
      </c>
      <c r="K3463" t="s">
        <v>32</v>
      </c>
      <c r="L3463" t="s">
        <v>32</v>
      </c>
      <c r="M3463" t="s">
        <v>33</v>
      </c>
      <c r="N3463" t="s">
        <v>33</v>
      </c>
      <c r="O3463" t="s">
        <v>33</v>
      </c>
      <c r="P3463" t="s">
        <v>34</v>
      </c>
      <c r="Q3463" t="s">
        <v>35</v>
      </c>
      <c r="R3463" t="s">
        <v>353</v>
      </c>
      <c r="S3463" t="s">
        <v>30</v>
      </c>
      <c r="T3463" t="s">
        <v>2956</v>
      </c>
      <c r="U3463" t="s">
        <v>2957</v>
      </c>
      <c r="V3463" t="s">
        <v>40</v>
      </c>
      <c r="W3463" s="1">
        <v>119800</v>
      </c>
    </row>
    <row r="3464" spans="1:23" x14ac:dyDescent="0.2">
      <c r="A3464" t="s">
        <v>2096</v>
      </c>
      <c r="B3464" t="s">
        <v>2097</v>
      </c>
      <c r="C3464" t="s">
        <v>2718</v>
      </c>
      <c r="D3464" t="s">
        <v>2953</v>
      </c>
      <c r="E3464" t="s">
        <v>2954</v>
      </c>
      <c r="F3464" t="s">
        <v>2955</v>
      </c>
      <c r="G3464" t="s">
        <v>170</v>
      </c>
      <c r="H3464" t="s">
        <v>52</v>
      </c>
      <c r="I3464" t="s">
        <v>30</v>
      </c>
      <c r="J3464" t="s">
        <v>31</v>
      </c>
      <c r="K3464" t="s">
        <v>32</v>
      </c>
      <c r="L3464" t="s">
        <v>32</v>
      </c>
      <c r="M3464" t="s">
        <v>33</v>
      </c>
      <c r="N3464" t="s">
        <v>33</v>
      </c>
      <c r="O3464" t="s">
        <v>33</v>
      </c>
      <c r="P3464" t="s">
        <v>34</v>
      </c>
      <c r="Q3464" t="s">
        <v>35</v>
      </c>
      <c r="S3464" t="s">
        <v>30</v>
      </c>
      <c r="T3464" t="s">
        <v>2958</v>
      </c>
      <c r="U3464" t="s">
        <v>2959</v>
      </c>
      <c r="V3464" t="s">
        <v>39</v>
      </c>
      <c r="W3464" s="1">
        <v>2</v>
      </c>
    </row>
    <row r="3465" spans="1:23" x14ac:dyDescent="0.2">
      <c r="A3465" t="s">
        <v>2096</v>
      </c>
      <c r="B3465" t="s">
        <v>2097</v>
      </c>
      <c r="C3465" t="s">
        <v>2718</v>
      </c>
      <c r="D3465" t="s">
        <v>2953</v>
      </c>
      <c r="E3465" t="s">
        <v>2954</v>
      </c>
      <c r="F3465" t="s">
        <v>2955</v>
      </c>
      <c r="G3465" t="s">
        <v>170</v>
      </c>
      <c r="H3465" t="s">
        <v>52</v>
      </c>
      <c r="I3465" t="s">
        <v>30</v>
      </c>
      <c r="J3465" t="s">
        <v>31</v>
      </c>
      <c r="K3465" t="s">
        <v>32</v>
      </c>
      <c r="L3465" t="s">
        <v>32</v>
      </c>
      <c r="M3465" t="s">
        <v>33</v>
      </c>
      <c r="N3465" t="s">
        <v>33</v>
      </c>
      <c r="O3465" t="s">
        <v>33</v>
      </c>
      <c r="P3465" t="s">
        <v>34</v>
      </c>
      <c r="Q3465" t="s">
        <v>35</v>
      </c>
      <c r="S3465" t="s">
        <v>30</v>
      </c>
      <c r="T3465" t="s">
        <v>2958</v>
      </c>
      <c r="U3465" t="s">
        <v>2959</v>
      </c>
      <c r="V3465" t="s">
        <v>40</v>
      </c>
      <c r="W3465" s="1">
        <v>335800</v>
      </c>
    </row>
    <row r="3466" spans="1:23" x14ac:dyDescent="0.2">
      <c r="A3466" t="s">
        <v>2096</v>
      </c>
      <c r="B3466" t="s">
        <v>2097</v>
      </c>
      <c r="C3466" t="s">
        <v>2718</v>
      </c>
      <c r="D3466" t="s">
        <v>2953</v>
      </c>
      <c r="E3466" t="s">
        <v>2954</v>
      </c>
      <c r="F3466" t="s">
        <v>2955</v>
      </c>
      <c r="G3466" t="s">
        <v>64</v>
      </c>
      <c r="H3466" t="s">
        <v>30</v>
      </c>
      <c r="I3466" t="s">
        <v>52</v>
      </c>
      <c r="J3466" t="s">
        <v>31</v>
      </c>
      <c r="K3466" t="s">
        <v>32</v>
      </c>
      <c r="L3466" t="s">
        <v>32</v>
      </c>
      <c r="M3466" t="s">
        <v>33</v>
      </c>
      <c r="P3466" t="s">
        <v>34</v>
      </c>
      <c r="Q3466" t="s">
        <v>35</v>
      </c>
      <c r="S3466" t="s">
        <v>52</v>
      </c>
      <c r="T3466" t="s">
        <v>2960</v>
      </c>
      <c r="U3466" t="s">
        <v>2961</v>
      </c>
      <c r="V3466" t="s">
        <v>39</v>
      </c>
      <c r="W3466" s="1">
        <v>0</v>
      </c>
    </row>
    <row r="3467" spans="1:23" x14ac:dyDescent="0.2">
      <c r="A3467" t="s">
        <v>2096</v>
      </c>
      <c r="B3467" t="s">
        <v>2097</v>
      </c>
      <c r="C3467" t="s">
        <v>2718</v>
      </c>
      <c r="D3467" t="s">
        <v>2953</v>
      </c>
      <c r="E3467" t="s">
        <v>2954</v>
      </c>
      <c r="F3467" t="s">
        <v>2955</v>
      </c>
      <c r="G3467" t="s">
        <v>64</v>
      </c>
      <c r="H3467" t="s">
        <v>30</v>
      </c>
      <c r="I3467" t="s">
        <v>52</v>
      </c>
      <c r="J3467" t="s">
        <v>31</v>
      </c>
      <c r="K3467" t="s">
        <v>32</v>
      </c>
      <c r="L3467" t="s">
        <v>32</v>
      </c>
      <c r="M3467" t="s">
        <v>33</v>
      </c>
      <c r="P3467" t="s">
        <v>34</v>
      </c>
      <c r="Q3467" t="s">
        <v>35</v>
      </c>
      <c r="S3467" t="s">
        <v>52</v>
      </c>
      <c r="T3467" t="s">
        <v>2960</v>
      </c>
      <c r="U3467" t="s">
        <v>2961</v>
      </c>
      <c r="V3467" t="s">
        <v>40</v>
      </c>
      <c r="W3467" s="1">
        <v>1862700</v>
      </c>
    </row>
    <row r="3468" spans="1:23" x14ac:dyDescent="0.2">
      <c r="A3468" t="s">
        <v>2096</v>
      </c>
      <c r="B3468" t="s">
        <v>2097</v>
      </c>
      <c r="C3468" t="s">
        <v>2718</v>
      </c>
      <c r="D3468" t="s">
        <v>2953</v>
      </c>
      <c r="E3468" t="s">
        <v>2954</v>
      </c>
      <c r="F3468" t="s">
        <v>2955</v>
      </c>
      <c r="G3468" t="s">
        <v>67</v>
      </c>
      <c r="H3468" t="s">
        <v>30</v>
      </c>
      <c r="I3468" t="s">
        <v>30</v>
      </c>
      <c r="J3468" t="s">
        <v>41</v>
      </c>
      <c r="K3468" t="s">
        <v>181</v>
      </c>
      <c r="L3468" t="s">
        <v>32</v>
      </c>
      <c r="M3468" t="s">
        <v>33</v>
      </c>
      <c r="N3468" t="s">
        <v>33</v>
      </c>
      <c r="O3468" t="s">
        <v>33</v>
      </c>
      <c r="P3468" t="s">
        <v>372</v>
      </c>
      <c r="Q3468" t="s">
        <v>373</v>
      </c>
      <c r="R3468" t="s">
        <v>294</v>
      </c>
      <c r="S3468" t="s">
        <v>30</v>
      </c>
      <c r="T3468" t="s">
        <v>2106</v>
      </c>
      <c r="U3468" t="s">
        <v>2962</v>
      </c>
      <c r="V3468" t="s">
        <v>39</v>
      </c>
      <c r="W3468" s="1">
        <v>1</v>
      </c>
    </row>
    <row r="3469" spans="1:23" x14ac:dyDescent="0.2">
      <c r="A3469" t="s">
        <v>2096</v>
      </c>
      <c r="B3469" t="s">
        <v>2097</v>
      </c>
      <c r="C3469" t="s">
        <v>2718</v>
      </c>
      <c r="D3469" t="s">
        <v>2953</v>
      </c>
      <c r="E3469" t="s">
        <v>2954</v>
      </c>
      <c r="F3469" t="s">
        <v>2955</v>
      </c>
      <c r="G3469" t="s">
        <v>67</v>
      </c>
      <c r="H3469" t="s">
        <v>30</v>
      </c>
      <c r="I3469" t="s">
        <v>30</v>
      </c>
      <c r="J3469" t="s">
        <v>41</v>
      </c>
      <c r="K3469" t="s">
        <v>181</v>
      </c>
      <c r="L3469" t="s">
        <v>32</v>
      </c>
      <c r="M3469" t="s">
        <v>33</v>
      </c>
      <c r="N3469" t="s">
        <v>33</v>
      </c>
      <c r="O3469" t="s">
        <v>33</v>
      </c>
      <c r="P3469" t="s">
        <v>372</v>
      </c>
      <c r="Q3469" t="s">
        <v>373</v>
      </c>
      <c r="R3469" t="s">
        <v>294</v>
      </c>
      <c r="S3469" t="s">
        <v>30</v>
      </c>
      <c r="T3469" t="s">
        <v>2106</v>
      </c>
      <c r="U3469" t="s">
        <v>2962</v>
      </c>
      <c r="V3469" t="s">
        <v>40</v>
      </c>
      <c r="W3469" s="1">
        <v>299900</v>
      </c>
    </row>
    <row r="3470" spans="1:23" x14ac:dyDescent="0.2">
      <c r="A3470" t="s">
        <v>2096</v>
      </c>
      <c r="B3470" t="s">
        <v>2097</v>
      </c>
      <c r="C3470" t="s">
        <v>2718</v>
      </c>
      <c r="D3470" t="s">
        <v>2953</v>
      </c>
      <c r="E3470" t="s">
        <v>2954</v>
      </c>
      <c r="F3470" t="s">
        <v>2955</v>
      </c>
      <c r="G3470" t="s">
        <v>89</v>
      </c>
      <c r="H3470" t="s">
        <v>30</v>
      </c>
      <c r="I3470" t="s">
        <v>30</v>
      </c>
      <c r="J3470" t="s">
        <v>31</v>
      </c>
      <c r="K3470" t="s">
        <v>32</v>
      </c>
      <c r="L3470" t="s">
        <v>32</v>
      </c>
      <c r="M3470" t="s">
        <v>33</v>
      </c>
      <c r="N3470" t="s">
        <v>33</v>
      </c>
      <c r="O3470" t="s">
        <v>33</v>
      </c>
      <c r="P3470" t="s">
        <v>34</v>
      </c>
      <c r="Q3470" t="s">
        <v>35</v>
      </c>
      <c r="S3470" t="s">
        <v>30</v>
      </c>
      <c r="T3470" t="s">
        <v>2963</v>
      </c>
      <c r="U3470" t="s">
        <v>2964</v>
      </c>
      <c r="V3470" t="s">
        <v>39</v>
      </c>
      <c r="W3470" s="1">
        <v>2</v>
      </c>
    </row>
    <row r="3471" spans="1:23" x14ac:dyDescent="0.2">
      <c r="A3471" t="s">
        <v>2096</v>
      </c>
      <c r="B3471" t="s">
        <v>2097</v>
      </c>
      <c r="C3471" t="s">
        <v>2718</v>
      </c>
      <c r="D3471" t="s">
        <v>2953</v>
      </c>
      <c r="E3471" t="s">
        <v>2954</v>
      </c>
      <c r="F3471" t="s">
        <v>2955</v>
      </c>
      <c r="G3471" t="s">
        <v>89</v>
      </c>
      <c r="H3471" t="s">
        <v>30</v>
      </c>
      <c r="I3471" t="s">
        <v>30</v>
      </c>
      <c r="J3471" t="s">
        <v>31</v>
      </c>
      <c r="K3471" t="s">
        <v>32</v>
      </c>
      <c r="L3471" t="s">
        <v>32</v>
      </c>
      <c r="M3471" t="s">
        <v>33</v>
      </c>
      <c r="N3471" t="s">
        <v>33</v>
      </c>
      <c r="O3471" t="s">
        <v>33</v>
      </c>
      <c r="P3471" t="s">
        <v>34</v>
      </c>
      <c r="Q3471" t="s">
        <v>35</v>
      </c>
      <c r="S3471" t="s">
        <v>30</v>
      </c>
      <c r="T3471" t="s">
        <v>2963</v>
      </c>
      <c r="U3471" t="s">
        <v>2964</v>
      </c>
      <c r="V3471" t="s">
        <v>40</v>
      </c>
      <c r="W3471" s="1">
        <v>1653800</v>
      </c>
    </row>
    <row r="3472" spans="1:23" x14ac:dyDescent="0.2">
      <c r="A3472" t="s">
        <v>2096</v>
      </c>
      <c r="B3472" t="s">
        <v>2097</v>
      </c>
      <c r="C3472" t="s">
        <v>2718</v>
      </c>
      <c r="D3472" t="s">
        <v>2953</v>
      </c>
      <c r="E3472" t="s">
        <v>2954</v>
      </c>
      <c r="F3472" t="s">
        <v>2955</v>
      </c>
      <c r="G3472" t="s">
        <v>106</v>
      </c>
      <c r="H3472" t="s">
        <v>30</v>
      </c>
      <c r="I3472" t="s">
        <v>30</v>
      </c>
      <c r="J3472" t="s">
        <v>31</v>
      </c>
      <c r="K3472" t="s">
        <v>32</v>
      </c>
      <c r="L3472" t="s">
        <v>32</v>
      </c>
      <c r="M3472" t="s">
        <v>33</v>
      </c>
      <c r="N3472" t="s">
        <v>33</v>
      </c>
      <c r="O3472" t="s">
        <v>33</v>
      </c>
      <c r="P3472" t="s">
        <v>34</v>
      </c>
      <c r="Q3472" t="s">
        <v>35</v>
      </c>
      <c r="R3472" t="s">
        <v>228</v>
      </c>
      <c r="S3472" t="s">
        <v>30</v>
      </c>
      <c r="T3472" t="s">
        <v>2965</v>
      </c>
      <c r="U3472" t="s">
        <v>2966</v>
      </c>
      <c r="V3472" t="s">
        <v>39</v>
      </c>
      <c r="W3472" s="1">
        <v>3</v>
      </c>
    </row>
    <row r="3473" spans="1:23" x14ac:dyDescent="0.2">
      <c r="A3473" t="s">
        <v>2096</v>
      </c>
      <c r="B3473" t="s">
        <v>2097</v>
      </c>
      <c r="C3473" t="s">
        <v>2718</v>
      </c>
      <c r="D3473" t="s">
        <v>2953</v>
      </c>
      <c r="E3473" t="s">
        <v>2954</v>
      </c>
      <c r="F3473" t="s">
        <v>2955</v>
      </c>
      <c r="G3473" t="s">
        <v>106</v>
      </c>
      <c r="H3473" t="s">
        <v>30</v>
      </c>
      <c r="I3473" t="s">
        <v>30</v>
      </c>
      <c r="J3473" t="s">
        <v>31</v>
      </c>
      <c r="K3473" t="s">
        <v>32</v>
      </c>
      <c r="L3473" t="s">
        <v>32</v>
      </c>
      <c r="M3473" t="s">
        <v>33</v>
      </c>
      <c r="N3473" t="s">
        <v>33</v>
      </c>
      <c r="O3473" t="s">
        <v>33</v>
      </c>
      <c r="P3473" t="s">
        <v>34</v>
      </c>
      <c r="Q3473" t="s">
        <v>35</v>
      </c>
      <c r="R3473" t="s">
        <v>228</v>
      </c>
      <c r="S3473" t="s">
        <v>30</v>
      </c>
      <c r="T3473" t="s">
        <v>2965</v>
      </c>
      <c r="U3473" t="s">
        <v>2966</v>
      </c>
      <c r="V3473" t="s">
        <v>40</v>
      </c>
      <c r="W3473" s="1">
        <v>2099700</v>
      </c>
    </row>
    <row r="3474" spans="1:23" x14ac:dyDescent="0.2">
      <c r="A3474" t="s">
        <v>2096</v>
      </c>
      <c r="B3474" t="s">
        <v>2097</v>
      </c>
      <c r="C3474" t="s">
        <v>2718</v>
      </c>
      <c r="D3474" t="s">
        <v>2953</v>
      </c>
      <c r="E3474" t="s">
        <v>2954</v>
      </c>
      <c r="F3474" t="s">
        <v>2955</v>
      </c>
      <c r="G3474" t="s">
        <v>106</v>
      </c>
      <c r="H3474" t="s">
        <v>30</v>
      </c>
      <c r="I3474" t="s">
        <v>30</v>
      </c>
      <c r="J3474" t="s">
        <v>41</v>
      </c>
      <c r="K3474" t="s">
        <v>32</v>
      </c>
      <c r="L3474" t="s">
        <v>32</v>
      </c>
      <c r="M3474" t="s">
        <v>33</v>
      </c>
      <c r="N3474" t="s">
        <v>33</v>
      </c>
      <c r="O3474" t="s">
        <v>33</v>
      </c>
      <c r="P3474" t="s">
        <v>34</v>
      </c>
      <c r="Q3474" t="s">
        <v>35</v>
      </c>
      <c r="R3474" t="s">
        <v>162</v>
      </c>
      <c r="S3474" t="s">
        <v>30</v>
      </c>
      <c r="T3474" t="s">
        <v>2967</v>
      </c>
      <c r="U3474" t="s">
        <v>2968</v>
      </c>
      <c r="V3474" t="s">
        <v>39</v>
      </c>
      <c r="W3474" s="1">
        <v>2</v>
      </c>
    </row>
    <row r="3475" spans="1:23" x14ac:dyDescent="0.2">
      <c r="A3475" t="s">
        <v>2096</v>
      </c>
      <c r="B3475" t="s">
        <v>2097</v>
      </c>
      <c r="C3475" t="s">
        <v>2718</v>
      </c>
      <c r="D3475" t="s">
        <v>2953</v>
      </c>
      <c r="E3475" t="s">
        <v>2954</v>
      </c>
      <c r="F3475" t="s">
        <v>2955</v>
      </c>
      <c r="G3475" t="s">
        <v>106</v>
      </c>
      <c r="H3475" t="s">
        <v>30</v>
      </c>
      <c r="I3475" t="s">
        <v>30</v>
      </c>
      <c r="J3475" t="s">
        <v>41</v>
      </c>
      <c r="K3475" t="s">
        <v>32</v>
      </c>
      <c r="L3475" t="s">
        <v>32</v>
      </c>
      <c r="M3475" t="s">
        <v>33</v>
      </c>
      <c r="N3475" t="s">
        <v>33</v>
      </c>
      <c r="O3475" t="s">
        <v>33</v>
      </c>
      <c r="P3475" t="s">
        <v>34</v>
      </c>
      <c r="Q3475" t="s">
        <v>35</v>
      </c>
      <c r="R3475" t="s">
        <v>162</v>
      </c>
      <c r="S3475" t="s">
        <v>30</v>
      </c>
      <c r="T3475" t="s">
        <v>2967</v>
      </c>
      <c r="U3475" t="s">
        <v>2968</v>
      </c>
      <c r="V3475" t="s">
        <v>40</v>
      </c>
      <c r="W3475" s="1">
        <v>9793200</v>
      </c>
    </row>
    <row r="3476" spans="1:23" x14ac:dyDescent="0.2">
      <c r="A3476" t="s">
        <v>2096</v>
      </c>
      <c r="B3476" t="s">
        <v>2097</v>
      </c>
      <c r="C3476" t="s">
        <v>2718</v>
      </c>
      <c r="D3476" t="s">
        <v>2953</v>
      </c>
      <c r="E3476" t="s">
        <v>2954</v>
      </c>
      <c r="F3476" t="s">
        <v>2955</v>
      </c>
      <c r="G3476" t="s">
        <v>106</v>
      </c>
      <c r="H3476" t="s">
        <v>30</v>
      </c>
      <c r="I3476" t="s">
        <v>30</v>
      </c>
      <c r="J3476" t="s">
        <v>57</v>
      </c>
      <c r="K3476" t="s">
        <v>32</v>
      </c>
      <c r="L3476" t="s">
        <v>32</v>
      </c>
      <c r="M3476" t="s">
        <v>33</v>
      </c>
      <c r="P3476" t="s">
        <v>34</v>
      </c>
      <c r="Q3476" t="s">
        <v>35</v>
      </c>
      <c r="S3476" t="s">
        <v>52</v>
      </c>
      <c r="T3476" t="s">
        <v>2969</v>
      </c>
      <c r="U3476" t="s">
        <v>2970</v>
      </c>
      <c r="V3476" t="s">
        <v>39</v>
      </c>
      <c r="W3476" s="1">
        <v>0</v>
      </c>
    </row>
    <row r="3477" spans="1:23" x14ac:dyDescent="0.2">
      <c r="A3477" t="s">
        <v>2096</v>
      </c>
      <c r="B3477" t="s">
        <v>2097</v>
      </c>
      <c r="C3477" t="s">
        <v>2718</v>
      </c>
      <c r="D3477" t="s">
        <v>2953</v>
      </c>
      <c r="E3477" t="s">
        <v>2954</v>
      </c>
      <c r="F3477" t="s">
        <v>2955</v>
      </c>
      <c r="G3477" t="s">
        <v>106</v>
      </c>
      <c r="H3477" t="s">
        <v>30</v>
      </c>
      <c r="I3477" t="s">
        <v>30</v>
      </c>
      <c r="J3477" t="s">
        <v>57</v>
      </c>
      <c r="K3477" t="s">
        <v>32</v>
      </c>
      <c r="L3477" t="s">
        <v>32</v>
      </c>
      <c r="M3477" t="s">
        <v>33</v>
      </c>
      <c r="P3477" t="s">
        <v>34</v>
      </c>
      <c r="Q3477" t="s">
        <v>35</v>
      </c>
      <c r="S3477" t="s">
        <v>52</v>
      </c>
      <c r="T3477" t="s">
        <v>2969</v>
      </c>
      <c r="U3477" t="s">
        <v>2970</v>
      </c>
      <c r="V3477" t="s">
        <v>40</v>
      </c>
      <c r="W3477" s="1">
        <v>5299500</v>
      </c>
    </row>
    <row r="3478" spans="1:23" x14ac:dyDescent="0.2">
      <c r="A3478" t="s">
        <v>2096</v>
      </c>
      <c r="B3478" t="s">
        <v>2097</v>
      </c>
      <c r="C3478" t="s">
        <v>2971</v>
      </c>
      <c r="D3478" t="s">
        <v>2972</v>
      </c>
      <c r="E3478" t="s">
        <v>2973</v>
      </c>
      <c r="F3478" t="s">
        <v>2974</v>
      </c>
      <c r="G3478" t="s">
        <v>29</v>
      </c>
      <c r="H3478" t="s">
        <v>30</v>
      </c>
      <c r="I3478" t="s">
        <v>30</v>
      </c>
      <c r="J3478" t="s">
        <v>31</v>
      </c>
      <c r="K3478" t="s">
        <v>32</v>
      </c>
      <c r="L3478" t="s">
        <v>32</v>
      </c>
      <c r="M3478" t="s">
        <v>33</v>
      </c>
      <c r="N3478" t="s">
        <v>33</v>
      </c>
      <c r="O3478" t="s">
        <v>33</v>
      </c>
      <c r="P3478" t="s">
        <v>213</v>
      </c>
      <c r="Q3478" t="s">
        <v>2118</v>
      </c>
      <c r="R3478" t="s">
        <v>151</v>
      </c>
      <c r="S3478" t="s">
        <v>30</v>
      </c>
      <c r="T3478" t="s">
        <v>2975</v>
      </c>
      <c r="U3478" t="s">
        <v>2976</v>
      </c>
      <c r="V3478" t="s">
        <v>39</v>
      </c>
      <c r="W3478" s="1">
        <v>6</v>
      </c>
    </row>
    <row r="3479" spans="1:23" x14ac:dyDescent="0.2">
      <c r="A3479" t="s">
        <v>2096</v>
      </c>
      <c r="B3479" t="s">
        <v>2097</v>
      </c>
      <c r="C3479" t="s">
        <v>2971</v>
      </c>
      <c r="D3479" t="s">
        <v>2972</v>
      </c>
      <c r="E3479" t="s">
        <v>2973</v>
      </c>
      <c r="F3479" t="s">
        <v>2974</v>
      </c>
      <c r="G3479" t="s">
        <v>29</v>
      </c>
      <c r="H3479" t="s">
        <v>30</v>
      </c>
      <c r="I3479" t="s">
        <v>30</v>
      </c>
      <c r="J3479" t="s">
        <v>31</v>
      </c>
      <c r="K3479" t="s">
        <v>32</v>
      </c>
      <c r="L3479" t="s">
        <v>32</v>
      </c>
      <c r="M3479" t="s">
        <v>33</v>
      </c>
      <c r="N3479" t="s">
        <v>33</v>
      </c>
      <c r="O3479" t="s">
        <v>33</v>
      </c>
      <c r="P3479" t="s">
        <v>213</v>
      </c>
      <c r="Q3479" t="s">
        <v>2118</v>
      </c>
      <c r="R3479" t="s">
        <v>151</v>
      </c>
      <c r="S3479" t="s">
        <v>30</v>
      </c>
      <c r="T3479" t="s">
        <v>2975</v>
      </c>
      <c r="U3479" t="s">
        <v>2976</v>
      </c>
      <c r="V3479" t="s">
        <v>40</v>
      </c>
      <c r="W3479" s="1">
        <v>2999400</v>
      </c>
    </row>
    <row r="3480" spans="1:23" x14ac:dyDescent="0.2">
      <c r="A3480" t="s">
        <v>2096</v>
      </c>
      <c r="B3480" t="s">
        <v>2097</v>
      </c>
      <c r="C3480" t="s">
        <v>2971</v>
      </c>
      <c r="D3480" t="s">
        <v>2972</v>
      </c>
      <c r="E3480" t="s">
        <v>2973</v>
      </c>
      <c r="F3480" t="s">
        <v>2974</v>
      </c>
      <c r="G3480" t="s">
        <v>29</v>
      </c>
      <c r="H3480" t="s">
        <v>30</v>
      </c>
      <c r="I3480" t="s">
        <v>30</v>
      </c>
      <c r="J3480" t="s">
        <v>31</v>
      </c>
      <c r="K3480" t="s">
        <v>32</v>
      </c>
      <c r="L3480" t="s">
        <v>32</v>
      </c>
      <c r="M3480" t="s">
        <v>33</v>
      </c>
      <c r="N3480" t="s">
        <v>33</v>
      </c>
      <c r="O3480" t="s">
        <v>33</v>
      </c>
      <c r="P3480" t="s">
        <v>34</v>
      </c>
      <c r="Q3480" t="s">
        <v>35</v>
      </c>
      <c r="S3480" t="s">
        <v>30</v>
      </c>
      <c r="T3480" t="s">
        <v>2977</v>
      </c>
      <c r="U3480" t="s">
        <v>2978</v>
      </c>
      <c r="V3480" t="s">
        <v>39</v>
      </c>
      <c r="W3480" s="1">
        <v>1</v>
      </c>
    </row>
    <row r="3481" spans="1:23" x14ac:dyDescent="0.2">
      <c r="A3481" t="s">
        <v>2096</v>
      </c>
      <c r="B3481" t="s">
        <v>2097</v>
      </c>
      <c r="C3481" t="s">
        <v>2971</v>
      </c>
      <c r="D3481" t="s">
        <v>2972</v>
      </c>
      <c r="E3481" t="s">
        <v>2973</v>
      </c>
      <c r="F3481" t="s">
        <v>2974</v>
      </c>
      <c r="G3481" t="s">
        <v>29</v>
      </c>
      <c r="H3481" t="s">
        <v>30</v>
      </c>
      <c r="I3481" t="s">
        <v>30</v>
      </c>
      <c r="J3481" t="s">
        <v>31</v>
      </c>
      <c r="K3481" t="s">
        <v>32</v>
      </c>
      <c r="L3481" t="s">
        <v>32</v>
      </c>
      <c r="M3481" t="s">
        <v>33</v>
      </c>
      <c r="N3481" t="s">
        <v>33</v>
      </c>
      <c r="O3481" t="s">
        <v>33</v>
      </c>
      <c r="P3481" t="s">
        <v>34</v>
      </c>
      <c r="Q3481" t="s">
        <v>35</v>
      </c>
      <c r="S3481" t="s">
        <v>30</v>
      </c>
      <c r="T3481" t="s">
        <v>2977</v>
      </c>
      <c r="U3481" t="s">
        <v>2978</v>
      </c>
      <c r="V3481" t="s">
        <v>40</v>
      </c>
      <c r="W3481" s="1">
        <v>719900</v>
      </c>
    </row>
    <row r="3482" spans="1:23" x14ac:dyDescent="0.2">
      <c r="A3482" t="s">
        <v>2096</v>
      </c>
      <c r="B3482" t="s">
        <v>2097</v>
      </c>
      <c r="C3482" t="s">
        <v>2971</v>
      </c>
      <c r="D3482" t="s">
        <v>2972</v>
      </c>
      <c r="E3482" t="s">
        <v>2973</v>
      </c>
      <c r="F3482" t="s">
        <v>2974</v>
      </c>
      <c r="G3482" t="s">
        <v>49</v>
      </c>
      <c r="H3482" t="s">
        <v>30</v>
      </c>
      <c r="I3482" t="s">
        <v>30</v>
      </c>
      <c r="J3482" t="s">
        <v>31</v>
      </c>
      <c r="K3482" t="s">
        <v>32</v>
      </c>
      <c r="L3482" t="s">
        <v>32</v>
      </c>
      <c r="M3482" t="s">
        <v>33</v>
      </c>
      <c r="N3482" t="s">
        <v>33</v>
      </c>
      <c r="O3482" t="s">
        <v>33</v>
      </c>
      <c r="P3482" t="s">
        <v>34</v>
      </c>
      <c r="Q3482" t="s">
        <v>35</v>
      </c>
      <c r="R3482" t="s">
        <v>148</v>
      </c>
      <c r="S3482" t="s">
        <v>30</v>
      </c>
      <c r="T3482" t="s">
        <v>2979</v>
      </c>
      <c r="U3482" t="s">
        <v>2980</v>
      </c>
      <c r="V3482" t="s">
        <v>39</v>
      </c>
      <c r="W3482" s="1">
        <v>8</v>
      </c>
    </row>
    <row r="3483" spans="1:23" x14ac:dyDescent="0.2">
      <c r="A3483" t="s">
        <v>2096</v>
      </c>
      <c r="B3483" t="s">
        <v>2097</v>
      </c>
      <c r="C3483" t="s">
        <v>2971</v>
      </c>
      <c r="D3483" t="s">
        <v>2972</v>
      </c>
      <c r="E3483" t="s">
        <v>2973</v>
      </c>
      <c r="F3483" t="s">
        <v>2974</v>
      </c>
      <c r="G3483" t="s">
        <v>49</v>
      </c>
      <c r="H3483" t="s">
        <v>30</v>
      </c>
      <c r="I3483" t="s">
        <v>30</v>
      </c>
      <c r="J3483" t="s">
        <v>31</v>
      </c>
      <c r="K3483" t="s">
        <v>32</v>
      </c>
      <c r="L3483" t="s">
        <v>32</v>
      </c>
      <c r="M3483" t="s">
        <v>33</v>
      </c>
      <c r="N3483" t="s">
        <v>33</v>
      </c>
      <c r="O3483" t="s">
        <v>33</v>
      </c>
      <c r="P3483" t="s">
        <v>34</v>
      </c>
      <c r="Q3483" t="s">
        <v>35</v>
      </c>
      <c r="R3483" t="s">
        <v>148</v>
      </c>
      <c r="S3483" t="s">
        <v>30</v>
      </c>
      <c r="T3483" t="s">
        <v>2979</v>
      </c>
      <c r="U3483" t="s">
        <v>2980</v>
      </c>
      <c r="V3483" t="s">
        <v>40</v>
      </c>
      <c r="W3483" s="1">
        <v>6215200</v>
      </c>
    </row>
    <row r="3484" spans="1:23" x14ac:dyDescent="0.2">
      <c r="A3484" t="s">
        <v>2096</v>
      </c>
      <c r="B3484" t="s">
        <v>2097</v>
      </c>
      <c r="C3484" t="s">
        <v>2971</v>
      </c>
      <c r="D3484" t="s">
        <v>2972</v>
      </c>
      <c r="E3484" t="s">
        <v>2973</v>
      </c>
      <c r="F3484" t="s">
        <v>2974</v>
      </c>
      <c r="G3484" t="s">
        <v>49</v>
      </c>
      <c r="H3484" t="s">
        <v>30</v>
      </c>
      <c r="I3484" t="s">
        <v>30</v>
      </c>
      <c r="J3484" t="s">
        <v>31</v>
      </c>
      <c r="K3484" t="s">
        <v>32</v>
      </c>
      <c r="L3484" t="s">
        <v>32</v>
      </c>
      <c r="M3484" t="s">
        <v>33</v>
      </c>
      <c r="P3484" t="s">
        <v>213</v>
      </c>
      <c r="Q3484" t="s">
        <v>2111</v>
      </c>
      <c r="S3484" t="s">
        <v>52</v>
      </c>
      <c r="T3484" t="s">
        <v>2981</v>
      </c>
      <c r="U3484" t="s">
        <v>2982</v>
      </c>
      <c r="V3484" t="s">
        <v>39</v>
      </c>
      <c r="W3484" s="1">
        <v>0</v>
      </c>
    </row>
    <row r="3485" spans="1:23" x14ac:dyDescent="0.2">
      <c r="A3485" t="s">
        <v>2096</v>
      </c>
      <c r="B3485" t="s">
        <v>2097</v>
      </c>
      <c r="C3485" t="s">
        <v>2971</v>
      </c>
      <c r="D3485" t="s">
        <v>2972</v>
      </c>
      <c r="E3485" t="s">
        <v>2973</v>
      </c>
      <c r="F3485" t="s">
        <v>2974</v>
      </c>
      <c r="G3485" t="s">
        <v>49</v>
      </c>
      <c r="H3485" t="s">
        <v>30</v>
      </c>
      <c r="I3485" t="s">
        <v>30</v>
      </c>
      <c r="J3485" t="s">
        <v>31</v>
      </c>
      <c r="K3485" t="s">
        <v>32</v>
      </c>
      <c r="L3485" t="s">
        <v>32</v>
      </c>
      <c r="M3485" t="s">
        <v>33</v>
      </c>
      <c r="P3485" t="s">
        <v>213</v>
      </c>
      <c r="Q3485" t="s">
        <v>2111</v>
      </c>
      <c r="S3485" t="s">
        <v>52</v>
      </c>
      <c r="T3485" t="s">
        <v>2981</v>
      </c>
      <c r="U3485" t="s">
        <v>2982</v>
      </c>
      <c r="V3485" t="s">
        <v>40</v>
      </c>
      <c r="W3485" s="1">
        <v>1220600</v>
      </c>
    </row>
    <row r="3486" spans="1:23" x14ac:dyDescent="0.2">
      <c r="A3486" t="s">
        <v>2096</v>
      </c>
      <c r="B3486" t="s">
        <v>2097</v>
      </c>
      <c r="C3486" t="s">
        <v>2971</v>
      </c>
      <c r="D3486" t="s">
        <v>2972</v>
      </c>
      <c r="E3486" t="s">
        <v>2973</v>
      </c>
      <c r="F3486" t="s">
        <v>2974</v>
      </c>
      <c r="G3486" t="s">
        <v>49</v>
      </c>
      <c r="H3486" t="s">
        <v>30</v>
      </c>
      <c r="I3486" t="s">
        <v>30</v>
      </c>
      <c r="J3486" t="s">
        <v>41</v>
      </c>
      <c r="K3486" t="s">
        <v>32</v>
      </c>
      <c r="L3486" t="s">
        <v>32</v>
      </c>
      <c r="M3486" t="s">
        <v>33</v>
      </c>
      <c r="P3486" t="s">
        <v>34</v>
      </c>
      <c r="Q3486" t="s">
        <v>35</v>
      </c>
      <c r="R3486" t="s">
        <v>162</v>
      </c>
      <c r="S3486" t="s">
        <v>52</v>
      </c>
      <c r="T3486" t="s">
        <v>2983</v>
      </c>
      <c r="U3486" t="s">
        <v>2984</v>
      </c>
      <c r="V3486" t="s">
        <v>39</v>
      </c>
      <c r="W3486" s="1">
        <v>0</v>
      </c>
    </row>
    <row r="3487" spans="1:23" x14ac:dyDescent="0.2">
      <c r="A3487" t="s">
        <v>2096</v>
      </c>
      <c r="B3487" t="s">
        <v>2097</v>
      </c>
      <c r="C3487" t="s">
        <v>2971</v>
      </c>
      <c r="D3487" t="s">
        <v>2972</v>
      </c>
      <c r="E3487" t="s">
        <v>2973</v>
      </c>
      <c r="F3487" t="s">
        <v>2974</v>
      </c>
      <c r="G3487" t="s">
        <v>49</v>
      </c>
      <c r="H3487" t="s">
        <v>30</v>
      </c>
      <c r="I3487" t="s">
        <v>30</v>
      </c>
      <c r="J3487" t="s">
        <v>41</v>
      </c>
      <c r="K3487" t="s">
        <v>32</v>
      </c>
      <c r="L3487" t="s">
        <v>32</v>
      </c>
      <c r="M3487" t="s">
        <v>33</v>
      </c>
      <c r="P3487" t="s">
        <v>34</v>
      </c>
      <c r="Q3487" t="s">
        <v>35</v>
      </c>
      <c r="R3487" t="s">
        <v>162</v>
      </c>
      <c r="S3487" t="s">
        <v>52</v>
      </c>
      <c r="T3487" t="s">
        <v>2983</v>
      </c>
      <c r="U3487" t="s">
        <v>2984</v>
      </c>
      <c r="V3487" t="s">
        <v>40</v>
      </c>
      <c r="W3487" s="1">
        <v>8985600</v>
      </c>
    </row>
    <row r="3488" spans="1:23" x14ac:dyDescent="0.2">
      <c r="A3488" t="s">
        <v>2096</v>
      </c>
      <c r="B3488" t="s">
        <v>2097</v>
      </c>
      <c r="C3488" t="s">
        <v>2971</v>
      </c>
      <c r="D3488" t="s">
        <v>2972</v>
      </c>
      <c r="E3488" t="s">
        <v>2973</v>
      </c>
      <c r="F3488" t="s">
        <v>2974</v>
      </c>
      <c r="G3488" t="s">
        <v>61</v>
      </c>
      <c r="H3488" t="s">
        <v>52</v>
      </c>
      <c r="I3488" t="s">
        <v>52</v>
      </c>
      <c r="J3488" t="s">
        <v>41</v>
      </c>
      <c r="K3488" t="s">
        <v>32</v>
      </c>
      <c r="L3488" t="s">
        <v>32</v>
      </c>
      <c r="M3488" t="s">
        <v>33</v>
      </c>
      <c r="N3488" t="s">
        <v>33</v>
      </c>
      <c r="O3488" t="s">
        <v>33</v>
      </c>
      <c r="P3488" t="s">
        <v>213</v>
      </c>
      <c r="Q3488" t="s">
        <v>2111</v>
      </c>
      <c r="R3488" t="s">
        <v>54</v>
      </c>
      <c r="S3488" t="s">
        <v>30</v>
      </c>
      <c r="T3488" t="s">
        <v>2985</v>
      </c>
      <c r="U3488" t="s">
        <v>2986</v>
      </c>
      <c r="V3488" t="s">
        <v>39</v>
      </c>
      <c r="W3488" s="1">
        <v>7</v>
      </c>
    </row>
    <row r="3489" spans="1:23" x14ac:dyDescent="0.2">
      <c r="A3489" t="s">
        <v>2096</v>
      </c>
      <c r="B3489" t="s">
        <v>2097</v>
      </c>
      <c r="C3489" t="s">
        <v>2971</v>
      </c>
      <c r="D3489" t="s">
        <v>2972</v>
      </c>
      <c r="E3489" t="s">
        <v>2973</v>
      </c>
      <c r="F3489" t="s">
        <v>2974</v>
      </c>
      <c r="G3489" t="s">
        <v>61</v>
      </c>
      <c r="H3489" t="s">
        <v>52</v>
      </c>
      <c r="I3489" t="s">
        <v>52</v>
      </c>
      <c r="J3489" t="s">
        <v>41</v>
      </c>
      <c r="K3489" t="s">
        <v>32</v>
      </c>
      <c r="L3489" t="s">
        <v>32</v>
      </c>
      <c r="M3489" t="s">
        <v>33</v>
      </c>
      <c r="N3489" t="s">
        <v>33</v>
      </c>
      <c r="O3489" t="s">
        <v>33</v>
      </c>
      <c r="P3489" t="s">
        <v>213</v>
      </c>
      <c r="Q3489" t="s">
        <v>2111</v>
      </c>
      <c r="R3489" t="s">
        <v>54</v>
      </c>
      <c r="S3489" t="s">
        <v>30</v>
      </c>
      <c r="T3489" t="s">
        <v>2985</v>
      </c>
      <c r="U3489" t="s">
        <v>2986</v>
      </c>
      <c r="V3489" t="s">
        <v>40</v>
      </c>
      <c r="W3489" s="1">
        <v>8749300</v>
      </c>
    </row>
    <row r="3490" spans="1:23" x14ac:dyDescent="0.2">
      <c r="A3490" t="s">
        <v>2096</v>
      </c>
      <c r="B3490" t="s">
        <v>2097</v>
      </c>
      <c r="C3490" t="s">
        <v>2971</v>
      </c>
      <c r="D3490" t="s">
        <v>2972</v>
      </c>
      <c r="E3490" t="s">
        <v>2973</v>
      </c>
      <c r="F3490" t="s">
        <v>2974</v>
      </c>
      <c r="G3490" t="s">
        <v>170</v>
      </c>
      <c r="H3490" t="s">
        <v>52</v>
      </c>
      <c r="I3490" t="s">
        <v>30</v>
      </c>
      <c r="J3490" t="s">
        <v>31</v>
      </c>
      <c r="K3490" t="s">
        <v>32</v>
      </c>
      <c r="L3490" t="s">
        <v>32</v>
      </c>
      <c r="M3490" t="s">
        <v>33</v>
      </c>
      <c r="N3490" t="s">
        <v>33</v>
      </c>
      <c r="O3490" t="s">
        <v>33</v>
      </c>
      <c r="P3490" t="s">
        <v>213</v>
      </c>
      <c r="Q3490" t="s">
        <v>2111</v>
      </c>
      <c r="R3490" t="s">
        <v>73</v>
      </c>
      <c r="S3490" t="s">
        <v>30</v>
      </c>
      <c r="T3490" t="s">
        <v>2987</v>
      </c>
      <c r="U3490" t="s">
        <v>2988</v>
      </c>
      <c r="V3490" t="s">
        <v>39</v>
      </c>
      <c r="W3490" s="1">
        <v>6</v>
      </c>
    </row>
    <row r="3491" spans="1:23" x14ac:dyDescent="0.2">
      <c r="A3491" t="s">
        <v>2096</v>
      </c>
      <c r="B3491" t="s">
        <v>2097</v>
      </c>
      <c r="C3491" t="s">
        <v>2971</v>
      </c>
      <c r="D3491" t="s">
        <v>2972</v>
      </c>
      <c r="E3491" t="s">
        <v>2973</v>
      </c>
      <c r="F3491" t="s">
        <v>2974</v>
      </c>
      <c r="G3491" t="s">
        <v>170</v>
      </c>
      <c r="H3491" t="s">
        <v>52</v>
      </c>
      <c r="I3491" t="s">
        <v>30</v>
      </c>
      <c r="J3491" t="s">
        <v>31</v>
      </c>
      <c r="K3491" t="s">
        <v>32</v>
      </c>
      <c r="L3491" t="s">
        <v>32</v>
      </c>
      <c r="M3491" t="s">
        <v>33</v>
      </c>
      <c r="N3491" t="s">
        <v>33</v>
      </c>
      <c r="O3491" t="s">
        <v>33</v>
      </c>
      <c r="P3491" t="s">
        <v>213</v>
      </c>
      <c r="Q3491" t="s">
        <v>2111</v>
      </c>
      <c r="R3491" t="s">
        <v>73</v>
      </c>
      <c r="S3491" t="s">
        <v>30</v>
      </c>
      <c r="T3491" t="s">
        <v>2987</v>
      </c>
      <c r="U3491" t="s">
        <v>2988</v>
      </c>
      <c r="V3491" t="s">
        <v>40</v>
      </c>
      <c r="W3491" s="1">
        <v>2999400</v>
      </c>
    </row>
    <row r="3492" spans="1:23" x14ac:dyDescent="0.2">
      <c r="A3492" t="s">
        <v>2096</v>
      </c>
      <c r="B3492" t="s">
        <v>2097</v>
      </c>
      <c r="C3492" t="s">
        <v>2971</v>
      </c>
      <c r="D3492" t="s">
        <v>2972</v>
      </c>
      <c r="E3492" t="s">
        <v>2973</v>
      </c>
      <c r="F3492" t="s">
        <v>2974</v>
      </c>
      <c r="G3492" t="s">
        <v>170</v>
      </c>
      <c r="H3492" t="s">
        <v>52</v>
      </c>
      <c r="I3492" t="s">
        <v>30</v>
      </c>
      <c r="J3492" t="s">
        <v>31</v>
      </c>
      <c r="K3492" t="s">
        <v>32</v>
      </c>
      <c r="L3492" t="s">
        <v>32</v>
      </c>
      <c r="M3492" t="s">
        <v>33</v>
      </c>
      <c r="P3492" t="s">
        <v>213</v>
      </c>
      <c r="Q3492" t="s">
        <v>2111</v>
      </c>
      <c r="R3492" t="s">
        <v>184</v>
      </c>
      <c r="S3492" t="s">
        <v>52</v>
      </c>
      <c r="T3492" t="s">
        <v>2989</v>
      </c>
      <c r="U3492" t="s">
        <v>2990</v>
      </c>
      <c r="V3492" t="s">
        <v>39</v>
      </c>
      <c r="W3492" s="1">
        <v>0</v>
      </c>
    </row>
    <row r="3493" spans="1:23" x14ac:dyDescent="0.2">
      <c r="A3493" t="s">
        <v>2096</v>
      </c>
      <c r="B3493" t="s">
        <v>2097</v>
      </c>
      <c r="C3493" t="s">
        <v>2971</v>
      </c>
      <c r="D3493" t="s">
        <v>2972</v>
      </c>
      <c r="E3493" t="s">
        <v>2973</v>
      </c>
      <c r="F3493" t="s">
        <v>2974</v>
      </c>
      <c r="G3493" t="s">
        <v>170</v>
      </c>
      <c r="H3493" t="s">
        <v>52</v>
      </c>
      <c r="I3493" t="s">
        <v>30</v>
      </c>
      <c r="J3493" t="s">
        <v>31</v>
      </c>
      <c r="K3493" t="s">
        <v>32</v>
      </c>
      <c r="L3493" t="s">
        <v>32</v>
      </c>
      <c r="M3493" t="s">
        <v>33</v>
      </c>
      <c r="P3493" t="s">
        <v>213</v>
      </c>
      <c r="Q3493" t="s">
        <v>2111</v>
      </c>
      <c r="R3493" t="s">
        <v>184</v>
      </c>
      <c r="S3493" t="s">
        <v>52</v>
      </c>
      <c r="T3493" t="s">
        <v>2989</v>
      </c>
      <c r="U3493" t="s">
        <v>2990</v>
      </c>
      <c r="V3493" t="s">
        <v>40</v>
      </c>
      <c r="W3493" s="1">
        <v>1125800</v>
      </c>
    </row>
    <row r="3494" spans="1:23" x14ac:dyDescent="0.2">
      <c r="A3494" t="s">
        <v>2096</v>
      </c>
      <c r="B3494" t="s">
        <v>2097</v>
      </c>
      <c r="C3494" t="s">
        <v>2971</v>
      </c>
      <c r="D3494" t="s">
        <v>2972</v>
      </c>
      <c r="E3494" t="s">
        <v>2973</v>
      </c>
      <c r="F3494" t="s">
        <v>2974</v>
      </c>
      <c r="G3494" t="s">
        <v>64</v>
      </c>
      <c r="H3494" t="s">
        <v>30</v>
      </c>
      <c r="I3494" t="s">
        <v>52</v>
      </c>
      <c r="J3494" t="s">
        <v>31</v>
      </c>
      <c r="K3494" t="s">
        <v>32</v>
      </c>
      <c r="L3494" t="s">
        <v>32</v>
      </c>
      <c r="M3494" t="s">
        <v>33</v>
      </c>
      <c r="N3494" t="s">
        <v>33</v>
      </c>
      <c r="O3494" t="s">
        <v>33</v>
      </c>
      <c r="P3494" t="s">
        <v>213</v>
      </c>
      <c r="Q3494" t="s">
        <v>2111</v>
      </c>
      <c r="S3494" t="s">
        <v>30</v>
      </c>
      <c r="T3494" t="s">
        <v>2991</v>
      </c>
      <c r="U3494" t="s">
        <v>2992</v>
      </c>
      <c r="V3494" t="s">
        <v>39</v>
      </c>
      <c r="W3494" s="1">
        <v>4</v>
      </c>
    </row>
    <row r="3495" spans="1:23" x14ac:dyDescent="0.2">
      <c r="A3495" t="s">
        <v>2096</v>
      </c>
      <c r="B3495" t="s">
        <v>2097</v>
      </c>
      <c r="C3495" t="s">
        <v>2971</v>
      </c>
      <c r="D3495" t="s">
        <v>2972</v>
      </c>
      <c r="E3495" t="s">
        <v>2973</v>
      </c>
      <c r="F3495" t="s">
        <v>2974</v>
      </c>
      <c r="G3495" t="s">
        <v>64</v>
      </c>
      <c r="H3495" t="s">
        <v>30</v>
      </c>
      <c r="I3495" t="s">
        <v>52</v>
      </c>
      <c r="J3495" t="s">
        <v>31</v>
      </c>
      <c r="K3495" t="s">
        <v>32</v>
      </c>
      <c r="L3495" t="s">
        <v>32</v>
      </c>
      <c r="M3495" t="s">
        <v>33</v>
      </c>
      <c r="N3495" t="s">
        <v>33</v>
      </c>
      <c r="O3495" t="s">
        <v>33</v>
      </c>
      <c r="P3495" t="s">
        <v>213</v>
      </c>
      <c r="Q3495" t="s">
        <v>2111</v>
      </c>
      <c r="S3495" t="s">
        <v>30</v>
      </c>
      <c r="T3495" t="s">
        <v>2991</v>
      </c>
      <c r="U3495" t="s">
        <v>2992</v>
      </c>
      <c r="V3495" t="s">
        <v>40</v>
      </c>
      <c r="W3495" s="1">
        <v>1047600</v>
      </c>
    </row>
    <row r="3496" spans="1:23" x14ac:dyDescent="0.2">
      <c r="A3496" t="s">
        <v>2096</v>
      </c>
      <c r="B3496" t="s">
        <v>2097</v>
      </c>
      <c r="C3496" t="s">
        <v>2971</v>
      </c>
      <c r="D3496" t="s">
        <v>2972</v>
      </c>
      <c r="E3496" t="s">
        <v>2973</v>
      </c>
      <c r="F3496" t="s">
        <v>2974</v>
      </c>
      <c r="G3496" t="s">
        <v>64</v>
      </c>
      <c r="H3496" t="s">
        <v>30</v>
      </c>
      <c r="I3496" t="s">
        <v>52</v>
      </c>
      <c r="J3496" t="s">
        <v>31</v>
      </c>
      <c r="K3496" t="s">
        <v>32</v>
      </c>
      <c r="L3496" t="s">
        <v>32</v>
      </c>
      <c r="M3496" t="s">
        <v>33</v>
      </c>
      <c r="N3496" t="s">
        <v>33</v>
      </c>
      <c r="O3496" t="s">
        <v>33</v>
      </c>
      <c r="P3496" t="s">
        <v>34</v>
      </c>
      <c r="Q3496" t="s">
        <v>35</v>
      </c>
      <c r="S3496" t="s">
        <v>30</v>
      </c>
      <c r="T3496" t="s">
        <v>2963</v>
      </c>
      <c r="U3496" t="s">
        <v>2993</v>
      </c>
      <c r="V3496" t="s">
        <v>39</v>
      </c>
      <c r="W3496" s="1">
        <v>4</v>
      </c>
    </row>
    <row r="3497" spans="1:23" x14ac:dyDescent="0.2">
      <c r="A3497" t="s">
        <v>2096</v>
      </c>
      <c r="B3497" t="s">
        <v>2097</v>
      </c>
      <c r="C3497" t="s">
        <v>2971</v>
      </c>
      <c r="D3497" t="s">
        <v>2972</v>
      </c>
      <c r="E3497" t="s">
        <v>2973</v>
      </c>
      <c r="F3497" t="s">
        <v>2974</v>
      </c>
      <c r="G3497" t="s">
        <v>64</v>
      </c>
      <c r="H3497" t="s">
        <v>30</v>
      </c>
      <c r="I3497" t="s">
        <v>52</v>
      </c>
      <c r="J3497" t="s">
        <v>31</v>
      </c>
      <c r="K3497" t="s">
        <v>32</v>
      </c>
      <c r="L3497" t="s">
        <v>32</v>
      </c>
      <c r="M3497" t="s">
        <v>33</v>
      </c>
      <c r="N3497" t="s">
        <v>33</v>
      </c>
      <c r="O3497" t="s">
        <v>33</v>
      </c>
      <c r="P3497" t="s">
        <v>34</v>
      </c>
      <c r="Q3497" t="s">
        <v>35</v>
      </c>
      <c r="S3497" t="s">
        <v>30</v>
      </c>
      <c r="T3497" t="s">
        <v>2963</v>
      </c>
      <c r="U3497" t="s">
        <v>2993</v>
      </c>
      <c r="V3497" t="s">
        <v>40</v>
      </c>
      <c r="W3497" s="1">
        <v>3307600</v>
      </c>
    </row>
    <row r="3498" spans="1:23" x14ac:dyDescent="0.2">
      <c r="A3498" t="s">
        <v>2096</v>
      </c>
      <c r="B3498" t="s">
        <v>2097</v>
      </c>
      <c r="C3498" t="s">
        <v>2971</v>
      </c>
      <c r="D3498" t="s">
        <v>2972</v>
      </c>
      <c r="E3498" t="s">
        <v>2973</v>
      </c>
      <c r="F3498" t="s">
        <v>2974</v>
      </c>
      <c r="G3498" t="s">
        <v>64</v>
      </c>
      <c r="H3498" t="s">
        <v>30</v>
      </c>
      <c r="I3498" t="s">
        <v>52</v>
      </c>
      <c r="J3498" t="s">
        <v>41</v>
      </c>
      <c r="K3498" t="s">
        <v>32</v>
      </c>
      <c r="L3498" t="s">
        <v>32</v>
      </c>
      <c r="M3498" t="s">
        <v>33</v>
      </c>
      <c r="N3498" t="s">
        <v>33</v>
      </c>
      <c r="O3498" t="s">
        <v>33</v>
      </c>
      <c r="P3498" t="s">
        <v>34</v>
      </c>
      <c r="Q3498" t="s">
        <v>35</v>
      </c>
      <c r="S3498" t="s">
        <v>30</v>
      </c>
      <c r="T3498" t="s">
        <v>2994</v>
      </c>
      <c r="U3498" t="s">
        <v>2995</v>
      </c>
      <c r="V3498" t="s">
        <v>39</v>
      </c>
      <c r="W3498" s="1">
        <v>2</v>
      </c>
    </row>
    <row r="3499" spans="1:23" x14ac:dyDescent="0.2">
      <c r="A3499" t="s">
        <v>2096</v>
      </c>
      <c r="B3499" t="s">
        <v>2097</v>
      </c>
      <c r="C3499" t="s">
        <v>2971</v>
      </c>
      <c r="D3499" t="s">
        <v>2972</v>
      </c>
      <c r="E3499" t="s">
        <v>2973</v>
      </c>
      <c r="F3499" t="s">
        <v>2974</v>
      </c>
      <c r="G3499" t="s">
        <v>64</v>
      </c>
      <c r="H3499" t="s">
        <v>30</v>
      </c>
      <c r="I3499" t="s">
        <v>52</v>
      </c>
      <c r="J3499" t="s">
        <v>41</v>
      </c>
      <c r="K3499" t="s">
        <v>32</v>
      </c>
      <c r="L3499" t="s">
        <v>32</v>
      </c>
      <c r="M3499" t="s">
        <v>33</v>
      </c>
      <c r="N3499" t="s">
        <v>33</v>
      </c>
      <c r="O3499" t="s">
        <v>33</v>
      </c>
      <c r="P3499" t="s">
        <v>34</v>
      </c>
      <c r="Q3499" t="s">
        <v>35</v>
      </c>
      <c r="S3499" t="s">
        <v>30</v>
      </c>
      <c r="T3499" t="s">
        <v>2994</v>
      </c>
      <c r="U3499" t="s">
        <v>2995</v>
      </c>
      <c r="V3499" t="s">
        <v>40</v>
      </c>
      <c r="W3499" s="1">
        <v>1999800</v>
      </c>
    </row>
    <row r="3500" spans="1:23" x14ac:dyDescent="0.2">
      <c r="A3500" t="s">
        <v>2096</v>
      </c>
      <c r="B3500" t="s">
        <v>2097</v>
      </c>
      <c r="C3500" t="s">
        <v>2971</v>
      </c>
      <c r="D3500" t="s">
        <v>2972</v>
      </c>
      <c r="E3500" t="s">
        <v>2973</v>
      </c>
      <c r="F3500" t="s">
        <v>2974</v>
      </c>
      <c r="G3500" t="s">
        <v>64</v>
      </c>
      <c r="H3500" t="s">
        <v>30</v>
      </c>
      <c r="I3500" t="s">
        <v>52</v>
      </c>
      <c r="J3500" t="s">
        <v>41</v>
      </c>
      <c r="K3500" t="s">
        <v>32</v>
      </c>
      <c r="L3500" t="s">
        <v>32</v>
      </c>
      <c r="M3500" t="s">
        <v>33</v>
      </c>
      <c r="P3500" t="s">
        <v>34</v>
      </c>
      <c r="Q3500" t="s">
        <v>35</v>
      </c>
      <c r="S3500" t="s">
        <v>30</v>
      </c>
      <c r="T3500" t="s">
        <v>2996</v>
      </c>
      <c r="U3500" t="s">
        <v>2997</v>
      </c>
      <c r="V3500" t="s">
        <v>39</v>
      </c>
      <c r="W3500" s="1">
        <v>2</v>
      </c>
    </row>
    <row r="3501" spans="1:23" x14ac:dyDescent="0.2">
      <c r="A3501" t="s">
        <v>2096</v>
      </c>
      <c r="B3501" t="s">
        <v>2097</v>
      </c>
      <c r="C3501" t="s">
        <v>2971</v>
      </c>
      <c r="D3501" t="s">
        <v>2972</v>
      </c>
      <c r="E3501" t="s">
        <v>2973</v>
      </c>
      <c r="F3501" t="s">
        <v>2974</v>
      </c>
      <c r="G3501" t="s">
        <v>64</v>
      </c>
      <c r="H3501" t="s">
        <v>30</v>
      </c>
      <c r="I3501" t="s">
        <v>52</v>
      </c>
      <c r="J3501" t="s">
        <v>41</v>
      </c>
      <c r="K3501" t="s">
        <v>32</v>
      </c>
      <c r="L3501" t="s">
        <v>32</v>
      </c>
      <c r="M3501" t="s">
        <v>33</v>
      </c>
      <c r="P3501" t="s">
        <v>34</v>
      </c>
      <c r="Q3501" t="s">
        <v>35</v>
      </c>
      <c r="S3501" t="s">
        <v>30</v>
      </c>
      <c r="T3501" t="s">
        <v>2996</v>
      </c>
      <c r="U3501" t="s">
        <v>2997</v>
      </c>
      <c r="V3501" t="s">
        <v>40</v>
      </c>
      <c r="W3501" s="1">
        <v>2419800</v>
      </c>
    </row>
    <row r="3502" spans="1:23" x14ac:dyDescent="0.2">
      <c r="A3502" t="s">
        <v>2096</v>
      </c>
      <c r="B3502" t="s">
        <v>2097</v>
      </c>
      <c r="C3502" t="s">
        <v>2971</v>
      </c>
      <c r="D3502" t="s">
        <v>2972</v>
      </c>
      <c r="E3502" t="s">
        <v>2973</v>
      </c>
      <c r="F3502" t="s">
        <v>2974</v>
      </c>
      <c r="G3502" t="s">
        <v>67</v>
      </c>
      <c r="H3502" t="s">
        <v>30</v>
      </c>
      <c r="I3502" t="s">
        <v>30</v>
      </c>
      <c r="J3502" t="s">
        <v>41</v>
      </c>
      <c r="K3502" t="s">
        <v>32</v>
      </c>
      <c r="L3502" t="s">
        <v>32</v>
      </c>
      <c r="M3502" t="s">
        <v>33</v>
      </c>
      <c r="N3502" t="s">
        <v>33</v>
      </c>
      <c r="O3502" t="s">
        <v>33</v>
      </c>
      <c r="P3502" t="s">
        <v>213</v>
      </c>
      <c r="Q3502" t="s">
        <v>2111</v>
      </c>
      <c r="S3502" t="s">
        <v>30</v>
      </c>
      <c r="T3502" t="s">
        <v>2998</v>
      </c>
      <c r="U3502" t="s">
        <v>2999</v>
      </c>
      <c r="V3502" t="s">
        <v>39</v>
      </c>
      <c r="W3502" s="1">
        <v>5</v>
      </c>
    </row>
    <row r="3503" spans="1:23" x14ac:dyDescent="0.2">
      <c r="A3503" t="s">
        <v>2096</v>
      </c>
      <c r="B3503" t="s">
        <v>2097</v>
      </c>
      <c r="C3503" t="s">
        <v>2971</v>
      </c>
      <c r="D3503" t="s">
        <v>2972</v>
      </c>
      <c r="E3503" t="s">
        <v>2973</v>
      </c>
      <c r="F3503" t="s">
        <v>2974</v>
      </c>
      <c r="G3503" t="s">
        <v>67</v>
      </c>
      <c r="H3503" t="s">
        <v>30</v>
      </c>
      <c r="I3503" t="s">
        <v>30</v>
      </c>
      <c r="J3503" t="s">
        <v>41</v>
      </c>
      <c r="K3503" t="s">
        <v>32</v>
      </c>
      <c r="L3503" t="s">
        <v>32</v>
      </c>
      <c r="M3503" t="s">
        <v>33</v>
      </c>
      <c r="N3503" t="s">
        <v>33</v>
      </c>
      <c r="O3503" t="s">
        <v>33</v>
      </c>
      <c r="P3503" t="s">
        <v>213</v>
      </c>
      <c r="Q3503" t="s">
        <v>2111</v>
      </c>
      <c r="S3503" t="s">
        <v>30</v>
      </c>
      <c r="T3503" t="s">
        <v>2998</v>
      </c>
      <c r="U3503" t="s">
        <v>2999</v>
      </c>
      <c r="V3503" t="s">
        <v>40</v>
      </c>
      <c r="W3503" s="1">
        <v>4600000</v>
      </c>
    </row>
    <row r="3504" spans="1:23" x14ac:dyDescent="0.2">
      <c r="A3504" t="s">
        <v>2096</v>
      </c>
      <c r="B3504" t="s">
        <v>2097</v>
      </c>
      <c r="C3504" t="s">
        <v>2971</v>
      </c>
      <c r="D3504" t="s">
        <v>2972</v>
      </c>
      <c r="E3504" t="s">
        <v>2973</v>
      </c>
      <c r="F3504" t="s">
        <v>2974</v>
      </c>
      <c r="G3504" t="s">
        <v>67</v>
      </c>
      <c r="H3504" t="s">
        <v>30</v>
      </c>
      <c r="I3504" t="s">
        <v>30</v>
      </c>
      <c r="J3504" t="s">
        <v>41</v>
      </c>
      <c r="K3504" t="s">
        <v>32</v>
      </c>
      <c r="L3504" t="s">
        <v>32</v>
      </c>
      <c r="M3504" t="s">
        <v>33</v>
      </c>
      <c r="P3504" t="s">
        <v>213</v>
      </c>
      <c r="Q3504" t="s">
        <v>2111</v>
      </c>
      <c r="R3504" t="s">
        <v>54</v>
      </c>
      <c r="S3504" t="s">
        <v>52</v>
      </c>
      <c r="T3504" t="s">
        <v>3000</v>
      </c>
      <c r="U3504" t="s">
        <v>3001</v>
      </c>
      <c r="V3504" t="s">
        <v>39</v>
      </c>
      <c r="W3504" s="1">
        <v>0</v>
      </c>
    </row>
    <row r="3505" spans="1:23" x14ac:dyDescent="0.2">
      <c r="A3505" t="s">
        <v>2096</v>
      </c>
      <c r="B3505" t="s">
        <v>2097</v>
      </c>
      <c r="C3505" t="s">
        <v>2971</v>
      </c>
      <c r="D3505" t="s">
        <v>2972</v>
      </c>
      <c r="E3505" t="s">
        <v>2973</v>
      </c>
      <c r="F3505" t="s">
        <v>2974</v>
      </c>
      <c r="G3505" t="s">
        <v>67</v>
      </c>
      <c r="H3505" t="s">
        <v>30</v>
      </c>
      <c r="I3505" t="s">
        <v>30</v>
      </c>
      <c r="J3505" t="s">
        <v>41</v>
      </c>
      <c r="K3505" t="s">
        <v>32</v>
      </c>
      <c r="L3505" t="s">
        <v>32</v>
      </c>
      <c r="M3505" t="s">
        <v>33</v>
      </c>
      <c r="P3505" t="s">
        <v>213</v>
      </c>
      <c r="Q3505" t="s">
        <v>2111</v>
      </c>
      <c r="R3505" t="s">
        <v>54</v>
      </c>
      <c r="S3505" t="s">
        <v>52</v>
      </c>
      <c r="T3505" t="s">
        <v>3000</v>
      </c>
      <c r="U3505" t="s">
        <v>3001</v>
      </c>
      <c r="V3505" t="s">
        <v>40</v>
      </c>
      <c r="W3505" s="1">
        <v>1241800</v>
      </c>
    </row>
    <row r="3506" spans="1:23" x14ac:dyDescent="0.2">
      <c r="A3506" t="s">
        <v>2096</v>
      </c>
      <c r="B3506" t="s">
        <v>2097</v>
      </c>
      <c r="C3506" t="s">
        <v>2971</v>
      </c>
      <c r="D3506" t="s">
        <v>2972</v>
      </c>
      <c r="E3506" t="s">
        <v>2973</v>
      </c>
      <c r="F3506" t="s">
        <v>2974</v>
      </c>
      <c r="G3506" t="s">
        <v>67</v>
      </c>
      <c r="H3506" t="s">
        <v>30</v>
      </c>
      <c r="I3506" t="s">
        <v>30</v>
      </c>
      <c r="J3506" t="s">
        <v>57</v>
      </c>
      <c r="K3506" t="s">
        <v>32</v>
      </c>
      <c r="L3506" t="s">
        <v>32</v>
      </c>
      <c r="M3506" t="s">
        <v>33</v>
      </c>
      <c r="N3506" t="s">
        <v>33</v>
      </c>
      <c r="O3506" t="s">
        <v>33</v>
      </c>
      <c r="P3506" t="s">
        <v>34</v>
      </c>
      <c r="Q3506" t="s">
        <v>35</v>
      </c>
      <c r="S3506" t="s">
        <v>30</v>
      </c>
      <c r="T3506" t="s">
        <v>3002</v>
      </c>
      <c r="U3506" t="s">
        <v>3003</v>
      </c>
      <c r="V3506" t="s">
        <v>39</v>
      </c>
      <c r="W3506" s="1">
        <v>3</v>
      </c>
    </row>
    <row r="3507" spans="1:23" x14ac:dyDescent="0.2">
      <c r="A3507" t="s">
        <v>2096</v>
      </c>
      <c r="B3507" t="s">
        <v>2097</v>
      </c>
      <c r="C3507" t="s">
        <v>2971</v>
      </c>
      <c r="D3507" t="s">
        <v>2972</v>
      </c>
      <c r="E3507" t="s">
        <v>2973</v>
      </c>
      <c r="F3507" t="s">
        <v>2974</v>
      </c>
      <c r="G3507" t="s">
        <v>67</v>
      </c>
      <c r="H3507" t="s">
        <v>30</v>
      </c>
      <c r="I3507" t="s">
        <v>30</v>
      </c>
      <c r="J3507" t="s">
        <v>57</v>
      </c>
      <c r="K3507" t="s">
        <v>32</v>
      </c>
      <c r="L3507" t="s">
        <v>32</v>
      </c>
      <c r="M3507" t="s">
        <v>33</v>
      </c>
      <c r="N3507" t="s">
        <v>33</v>
      </c>
      <c r="O3507" t="s">
        <v>33</v>
      </c>
      <c r="P3507" t="s">
        <v>34</v>
      </c>
      <c r="Q3507" t="s">
        <v>35</v>
      </c>
      <c r="S3507" t="s">
        <v>30</v>
      </c>
      <c r="T3507" t="s">
        <v>3002</v>
      </c>
      <c r="U3507" t="s">
        <v>3003</v>
      </c>
      <c r="V3507" t="s">
        <v>40</v>
      </c>
      <c r="W3507" s="1">
        <v>5249700</v>
      </c>
    </row>
    <row r="3508" spans="1:23" x14ac:dyDescent="0.2">
      <c r="A3508" t="s">
        <v>2096</v>
      </c>
      <c r="B3508" t="s">
        <v>2097</v>
      </c>
      <c r="C3508" t="s">
        <v>2971</v>
      </c>
      <c r="D3508" t="s">
        <v>2972</v>
      </c>
      <c r="E3508" t="s">
        <v>2973</v>
      </c>
      <c r="F3508" t="s">
        <v>2974</v>
      </c>
      <c r="G3508" t="s">
        <v>89</v>
      </c>
      <c r="H3508" t="s">
        <v>30</v>
      </c>
      <c r="I3508" t="s">
        <v>30</v>
      </c>
      <c r="J3508" t="s">
        <v>128</v>
      </c>
      <c r="K3508" t="s">
        <v>135</v>
      </c>
      <c r="L3508" t="s">
        <v>32</v>
      </c>
      <c r="M3508" t="s">
        <v>33</v>
      </c>
      <c r="P3508" t="s">
        <v>213</v>
      </c>
      <c r="Q3508" t="s">
        <v>2118</v>
      </c>
      <c r="R3508" t="s">
        <v>136</v>
      </c>
      <c r="S3508" t="s">
        <v>52</v>
      </c>
      <c r="T3508" t="s">
        <v>3004</v>
      </c>
      <c r="U3508" t="s">
        <v>3005</v>
      </c>
      <c r="V3508" t="s">
        <v>39</v>
      </c>
      <c r="W3508" s="1">
        <v>0</v>
      </c>
    </row>
    <row r="3509" spans="1:23" x14ac:dyDescent="0.2">
      <c r="A3509" t="s">
        <v>2096</v>
      </c>
      <c r="B3509" t="s">
        <v>2097</v>
      </c>
      <c r="C3509" t="s">
        <v>2971</v>
      </c>
      <c r="D3509" t="s">
        <v>2972</v>
      </c>
      <c r="E3509" t="s">
        <v>2973</v>
      </c>
      <c r="F3509" t="s">
        <v>2974</v>
      </c>
      <c r="G3509" t="s">
        <v>89</v>
      </c>
      <c r="H3509" t="s">
        <v>30</v>
      </c>
      <c r="I3509" t="s">
        <v>30</v>
      </c>
      <c r="J3509" t="s">
        <v>128</v>
      </c>
      <c r="K3509" t="s">
        <v>135</v>
      </c>
      <c r="L3509" t="s">
        <v>32</v>
      </c>
      <c r="M3509" t="s">
        <v>33</v>
      </c>
      <c r="P3509" t="s">
        <v>213</v>
      </c>
      <c r="Q3509" t="s">
        <v>2118</v>
      </c>
      <c r="R3509" t="s">
        <v>136</v>
      </c>
      <c r="S3509" t="s">
        <v>52</v>
      </c>
      <c r="T3509" t="s">
        <v>3004</v>
      </c>
      <c r="U3509" t="s">
        <v>3005</v>
      </c>
      <c r="V3509" t="s">
        <v>40</v>
      </c>
      <c r="W3509" s="1">
        <v>419900</v>
      </c>
    </row>
    <row r="3510" spans="1:23" x14ac:dyDescent="0.2">
      <c r="A3510" t="s">
        <v>2096</v>
      </c>
      <c r="B3510" t="s">
        <v>2097</v>
      </c>
      <c r="C3510" t="s">
        <v>2971</v>
      </c>
      <c r="D3510" t="s">
        <v>2972</v>
      </c>
      <c r="E3510" t="s">
        <v>2973</v>
      </c>
      <c r="F3510" t="s">
        <v>2974</v>
      </c>
      <c r="G3510" t="s">
        <v>89</v>
      </c>
      <c r="H3510" t="s">
        <v>30</v>
      </c>
      <c r="I3510" t="s">
        <v>30</v>
      </c>
      <c r="J3510" t="s">
        <v>31</v>
      </c>
      <c r="K3510" t="s">
        <v>32</v>
      </c>
      <c r="L3510" t="s">
        <v>32</v>
      </c>
      <c r="M3510" t="s">
        <v>33</v>
      </c>
      <c r="N3510" t="s">
        <v>33</v>
      </c>
      <c r="O3510" t="s">
        <v>33</v>
      </c>
      <c r="P3510" t="s">
        <v>34</v>
      </c>
      <c r="Q3510" t="s">
        <v>35</v>
      </c>
      <c r="S3510" t="s">
        <v>30</v>
      </c>
      <c r="T3510" t="s">
        <v>3006</v>
      </c>
      <c r="U3510" t="s">
        <v>3007</v>
      </c>
      <c r="V3510" t="s">
        <v>39</v>
      </c>
      <c r="W3510" s="1">
        <v>2</v>
      </c>
    </row>
    <row r="3511" spans="1:23" x14ac:dyDescent="0.2">
      <c r="A3511" t="s">
        <v>2096</v>
      </c>
      <c r="B3511" t="s">
        <v>2097</v>
      </c>
      <c r="C3511" t="s">
        <v>2971</v>
      </c>
      <c r="D3511" t="s">
        <v>2972</v>
      </c>
      <c r="E3511" t="s">
        <v>2973</v>
      </c>
      <c r="F3511" t="s">
        <v>2974</v>
      </c>
      <c r="G3511" t="s">
        <v>89</v>
      </c>
      <c r="H3511" t="s">
        <v>30</v>
      </c>
      <c r="I3511" t="s">
        <v>30</v>
      </c>
      <c r="J3511" t="s">
        <v>31</v>
      </c>
      <c r="K3511" t="s">
        <v>32</v>
      </c>
      <c r="L3511" t="s">
        <v>32</v>
      </c>
      <c r="M3511" t="s">
        <v>33</v>
      </c>
      <c r="N3511" t="s">
        <v>33</v>
      </c>
      <c r="O3511" t="s">
        <v>33</v>
      </c>
      <c r="P3511" t="s">
        <v>34</v>
      </c>
      <c r="Q3511" t="s">
        <v>35</v>
      </c>
      <c r="S3511" t="s">
        <v>30</v>
      </c>
      <c r="T3511" t="s">
        <v>3006</v>
      </c>
      <c r="U3511" t="s">
        <v>3007</v>
      </c>
      <c r="V3511" t="s">
        <v>40</v>
      </c>
      <c r="W3511" s="1">
        <v>1003800</v>
      </c>
    </row>
    <row r="3512" spans="1:23" x14ac:dyDescent="0.2">
      <c r="A3512" t="s">
        <v>2096</v>
      </c>
      <c r="B3512" t="s">
        <v>2097</v>
      </c>
      <c r="C3512" t="s">
        <v>2971</v>
      </c>
      <c r="D3512" t="s">
        <v>2972</v>
      </c>
      <c r="E3512" t="s">
        <v>2973</v>
      </c>
      <c r="F3512" t="s">
        <v>2974</v>
      </c>
      <c r="G3512" t="s">
        <v>89</v>
      </c>
      <c r="H3512" t="s">
        <v>30</v>
      </c>
      <c r="I3512" t="s">
        <v>30</v>
      </c>
      <c r="J3512" t="s">
        <v>31</v>
      </c>
      <c r="K3512" t="s">
        <v>32</v>
      </c>
      <c r="L3512" t="s">
        <v>32</v>
      </c>
      <c r="M3512" t="s">
        <v>33</v>
      </c>
      <c r="P3512" t="s">
        <v>213</v>
      </c>
      <c r="Q3512" t="s">
        <v>2111</v>
      </c>
      <c r="S3512" t="s">
        <v>52</v>
      </c>
      <c r="T3512" t="s">
        <v>3008</v>
      </c>
      <c r="U3512" t="s">
        <v>3009</v>
      </c>
      <c r="V3512" t="s">
        <v>39</v>
      </c>
      <c r="W3512" s="1">
        <v>0</v>
      </c>
    </row>
    <row r="3513" spans="1:23" x14ac:dyDescent="0.2">
      <c r="A3513" t="s">
        <v>2096</v>
      </c>
      <c r="B3513" t="s">
        <v>2097</v>
      </c>
      <c r="C3513" t="s">
        <v>2971</v>
      </c>
      <c r="D3513" t="s">
        <v>2972</v>
      </c>
      <c r="E3513" t="s">
        <v>2973</v>
      </c>
      <c r="F3513" t="s">
        <v>2974</v>
      </c>
      <c r="G3513" t="s">
        <v>89</v>
      </c>
      <c r="H3513" t="s">
        <v>30</v>
      </c>
      <c r="I3513" t="s">
        <v>30</v>
      </c>
      <c r="J3513" t="s">
        <v>31</v>
      </c>
      <c r="K3513" t="s">
        <v>32</v>
      </c>
      <c r="L3513" t="s">
        <v>32</v>
      </c>
      <c r="M3513" t="s">
        <v>33</v>
      </c>
      <c r="P3513" t="s">
        <v>213</v>
      </c>
      <c r="Q3513" t="s">
        <v>2111</v>
      </c>
      <c r="S3513" t="s">
        <v>52</v>
      </c>
      <c r="T3513" t="s">
        <v>3008</v>
      </c>
      <c r="U3513" t="s">
        <v>3009</v>
      </c>
      <c r="V3513" t="s">
        <v>40</v>
      </c>
      <c r="W3513" s="1">
        <v>389900</v>
      </c>
    </row>
    <row r="3514" spans="1:23" x14ac:dyDescent="0.2">
      <c r="A3514" t="s">
        <v>2096</v>
      </c>
      <c r="B3514" t="s">
        <v>2097</v>
      </c>
      <c r="C3514" t="s">
        <v>2971</v>
      </c>
      <c r="D3514" t="s">
        <v>2972</v>
      </c>
      <c r="E3514" t="s">
        <v>2973</v>
      </c>
      <c r="F3514" t="s">
        <v>2974</v>
      </c>
      <c r="G3514" t="s">
        <v>89</v>
      </c>
      <c r="H3514" t="s">
        <v>30</v>
      </c>
      <c r="I3514" t="s">
        <v>30</v>
      </c>
      <c r="J3514" t="s">
        <v>31</v>
      </c>
      <c r="K3514" t="s">
        <v>32</v>
      </c>
      <c r="L3514" t="s">
        <v>32</v>
      </c>
      <c r="M3514" t="s">
        <v>33</v>
      </c>
      <c r="P3514" t="s">
        <v>34</v>
      </c>
      <c r="Q3514" t="s">
        <v>35</v>
      </c>
      <c r="S3514" t="s">
        <v>30</v>
      </c>
      <c r="T3514" t="s">
        <v>3010</v>
      </c>
      <c r="U3514" t="s">
        <v>3011</v>
      </c>
      <c r="V3514" t="s">
        <v>39</v>
      </c>
      <c r="W3514" s="1">
        <v>2</v>
      </c>
    </row>
    <row r="3515" spans="1:23" x14ac:dyDescent="0.2">
      <c r="A3515" t="s">
        <v>2096</v>
      </c>
      <c r="B3515" t="s">
        <v>2097</v>
      </c>
      <c r="C3515" t="s">
        <v>2971</v>
      </c>
      <c r="D3515" t="s">
        <v>2972</v>
      </c>
      <c r="E3515" t="s">
        <v>2973</v>
      </c>
      <c r="F3515" t="s">
        <v>2974</v>
      </c>
      <c r="G3515" t="s">
        <v>89</v>
      </c>
      <c r="H3515" t="s">
        <v>30</v>
      </c>
      <c r="I3515" t="s">
        <v>30</v>
      </c>
      <c r="J3515" t="s">
        <v>31</v>
      </c>
      <c r="K3515" t="s">
        <v>32</v>
      </c>
      <c r="L3515" t="s">
        <v>32</v>
      </c>
      <c r="M3515" t="s">
        <v>33</v>
      </c>
      <c r="P3515" t="s">
        <v>34</v>
      </c>
      <c r="Q3515" t="s">
        <v>35</v>
      </c>
      <c r="S3515" t="s">
        <v>30</v>
      </c>
      <c r="T3515" t="s">
        <v>3010</v>
      </c>
      <c r="U3515" t="s">
        <v>3011</v>
      </c>
      <c r="V3515" t="s">
        <v>40</v>
      </c>
      <c r="W3515" s="1">
        <v>3993200</v>
      </c>
    </row>
    <row r="3516" spans="1:23" x14ac:dyDescent="0.2">
      <c r="A3516" t="s">
        <v>2096</v>
      </c>
      <c r="B3516" t="s">
        <v>2097</v>
      </c>
      <c r="C3516" t="s">
        <v>2971</v>
      </c>
      <c r="D3516" t="s">
        <v>2972</v>
      </c>
      <c r="E3516" t="s">
        <v>2973</v>
      </c>
      <c r="F3516" t="s">
        <v>2974</v>
      </c>
      <c r="G3516" t="s">
        <v>89</v>
      </c>
      <c r="H3516" t="s">
        <v>30</v>
      </c>
      <c r="I3516" t="s">
        <v>30</v>
      </c>
      <c r="J3516" t="s">
        <v>31</v>
      </c>
      <c r="K3516" t="s">
        <v>32</v>
      </c>
      <c r="L3516" t="s">
        <v>32</v>
      </c>
      <c r="M3516" t="s">
        <v>176</v>
      </c>
      <c r="P3516" t="s">
        <v>213</v>
      </c>
      <c r="Q3516" t="s">
        <v>2111</v>
      </c>
      <c r="S3516" t="s">
        <v>52</v>
      </c>
      <c r="T3516" t="s">
        <v>3008</v>
      </c>
      <c r="U3516" t="s">
        <v>3009</v>
      </c>
      <c r="V3516" t="s">
        <v>39</v>
      </c>
      <c r="W3516" s="1">
        <v>0</v>
      </c>
    </row>
    <row r="3517" spans="1:23" x14ac:dyDescent="0.2">
      <c r="A3517" t="s">
        <v>2096</v>
      </c>
      <c r="B3517" t="s">
        <v>2097</v>
      </c>
      <c r="C3517" t="s">
        <v>2971</v>
      </c>
      <c r="D3517" t="s">
        <v>2972</v>
      </c>
      <c r="E3517" t="s">
        <v>2973</v>
      </c>
      <c r="F3517" t="s">
        <v>2974</v>
      </c>
      <c r="G3517" t="s">
        <v>89</v>
      </c>
      <c r="H3517" t="s">
        <v>30</v>
      </c>
      <c r="I3517" t="s">
        <v>30</v>
      </c>
      <c r="J3517" t="s">
        <v>31</v>
      </c>
      <c r="K3517" t="s">
        <v>32</v>
      </c>
      <c r="L3517" t="s">
        <v>32</v>
      </c>
      <c r="M3517" t="s">
        <v>176</v>
      </c>
      <c r="P3517" t="s">
        <v>213</v>
      </c>
      <c r="Q3517" t="s">
        <v>2111</v>
      </c>
      <c r="S3517" t="s">
        <v>52</v>
      </c>
      <c r="T3517" t="s">
        <v>3008</v>
      </c>
      <c r="U3517" t="s">
        <v>3009</v>
      </c>
      <c r="V3517" t="s">
        <v>40</v>
      </c>
      <c r="W3517" s="1">
        <v>389900</v>
      </c>
    </row>
    <row r="3518" spans="1:23" x14ac:dyDescent="0.2">
      <c r="A3518" t="s">
        <v>2096</v>
      </c>
      <c r="B3518" t="s">
        <v>2097</v>
      </c>
      <c r="C3518" t="s">
        <v>2971</v>
      </c>
      <c r="D3518" t="s">
        <v>2972</v>
      </c>
      <c r="E3518" t="s">
        <v>2973</v>
      </c>
      <c r="F3518" t="s">
        <v>2974</v>
      </c>
      <c r="G3518" t="s">
        <v>106</v>
      </c>
      <c r="H3518" t="s">
        <v>30</v>
      </c>
      <c r="I3518" t="s">
        <v>30</v>
      </c>
      <c r="J3518" t="s">
        <v>31</v>
      </c>
      <c r="K3518" t="s">
        <v>32</v>
      </c>
      <c r="L3518" t="s">
        <v>32</v>
      </c>
      <c r="M3518" t="s">
        <v>33</v>
      </c>
      <c r="N3518" t="s">
        <v>33</v>
      </c>
      <c r="O3518" t="s">
        <v>33</v>
      </c>
      <c r="P3518" t="s">
        <v>34</v>
      </c>
      <c r="Q3518" t="s">
        <v>35</v>
      </c>
      <c r="S3518" t="s">
        <v>30</v>
      </c>
      <c r="T3518" t="s">
        <v>3012</v>
      </c>
      <c r="U3518" t="s">
        <v>3013</v>
      </c>
      <c r="V3518" t="s">
        <v>39</v>
      </c>
      <c r="W3518" s="1">
        <v>2</v>
      </c>
    </row>
    <row r="3519" spans="1:23" x14ac:dyDescent="0.2">
      <c r="A3519" t="s">
        <v>2096</v>
      </c>
      <c r="B3519" t="s">
        <v>2097</v>
      </c>
      <c r="C3519" t="s">
        <v>2971</v>
      </c>
      <c r="D3519" t="s">
        <v>2972</v>
      </c>
      <c r="E3519" t="s">
        <v>2973</v>
      </c>
      <c r="F3519" t="s">
        <v>2974</v>
      </c>
      <c r="G3519" t="s">
        <v>106</v>
      </c>
      <c r="H3519" t="s">
        <v>30</v>
      </c>
      <c r="I3519" t="s">
        <v>30</v>
      </c>
      <c r="J3519" t="s">
        <v>31</v>
      </c>
      <c r="K3519" t="s">
        <v>32</v>
      </c>
      <c r="L3519" t="s">
        <v>32</v>
      </c>
      <c r="M3519" t="s">
        <v>33</v>
      </c>
      <c r="N3519" t="s">
        <v>33</v>
      </c>
      <c r="O3519" t="s">
        <v>33</v>
      </c>
      <c r="P3519" t="s">
        <v>34</v>
      </c>
      <c r="Q3519" t="s">
        <v>35</v>
      </c>
      <c r="S3519" t="s">
        <v>30</v>
      </c>
      <c r="T3519" t="s">
        <v>3012</v>
      </c>
      <c r="U3519" t="s">
        <v>3013</v>
      </c>
      <c r="V3519" t="s">
        <v>40</v>
      </c>
      <c r="W3519" s="1">
        <v>776000</v>
      </c>
    </row>
    <row r="3520" spans="1:23" x14ac:dyDescent="0.2">
      <c r="A3520" t="s">
        <v>2096</v>
      </c>
      <c r="B3520" t="s">
        <v>2097</v>
      </c>
      <c r="C3520" t="s">
        <v>2971</v>
      </c>
      <c r="D3520" t="s">
        <v>2972</v>
      </c>
      <c r="E3520" t="s">
        <v>2973</v>
      </c>
      <c r="F3520" t="s">
        <v>2974</v>
      </c>
      <c r="G3520" t="s">
        <v>106</v>
      </c>
      <c r="H3520" t="s">
        <v>30</v>
      </c>
      <c r="I3520" t="s">
        <v>30</v>
      </c>
      <c r="J3520" t="s">
        <v>31</v>
      </c>
      <c r="K3520" t="s">
        <v>32</v>
      </c>
      <c r="L3520" t="s">
        <v>32</v>
      </c>
      <c r="M3520" t="s">
        <v>33</v>
      </c>
      <c r="N3520" t="s">
        <v>33</v>
      </c>
      <c r="O3520" t="s">
        <v>33</v>
      </c>
      <c r="P3520" t="s">
        <v>34</v>
      </c>
      <c r="Q3520" t="s">
        <v>35</v>
      </c>
      <c r="S3520" t="s">
        <v>30</v>
      </c>
      <c r="T3520" t="s">
        <v>2933</v>
      </c>
      <c r="U3520" t="s">
        <v>3014</v>
      </c>
      <c r="V3520" t="s">
        <v>39</v>
      </c>
      <c r="W3520" s="1">
        <v>6</v>
      </c>
    </row>
    <row r="3521" spans="1:23" x14ac:dyDescent="0.2">
      <c r="A3521" t="s">
        <v>2096</v>
      </c>
      <c r="B3521" t="s">
        <v>2097</v>
      </c>
      <c r="C3521" t="s">
        <v>2971</v>
      </c>
      <c r="D3521" t="s">
        <v>2972</v>
      </c>
      <c r="E3521" t="s">
        <v>2973</v>
      </c>
      <c r="F3521" t="s">
        <v>2974</v>
      </c>
      <c r="G3521" t="s">
        <v>106</v>
      </c>
      <c r="H3521" t="s">
        <v>30</v>
      </c>
      <c r="I3521" t="s">
        <v>30</v>
      </c>
      <c r="J3521" t="s">
        <v>31</v>
      </c>
      <c r="K3521" t="s">
        <v>32</v>
      </c>
      <c r="L3521" t="s">
        <v>32</v>
      </c>
      <c r="M3521" t="s">
        <v>33</v>
      </c>
      <c r="N3521" t="s">
        <v>33</v>
      </c>
      <c r="O3521" t="s">
        <v>33</v>
      </c>
      <c r="P3521" t="s">
        <v>34</v>
      </c>
      <c r="Q3521" t="s">
        <v>35</v>
      </c>
      <c r="S3521" t="s">
        <v>30</v>
      </c>
      <c r="T3521" t="s">
        <v>2933</v>
      </c>
      <c r="U3521" t="s">
        <v>3014</v>
      </c>
      <c r="V3521" t="s">
        <v>40</v>
      </c>
      <c r="W3521" s="1">
        <v>3000000</v>
      </c>
    </row>
    <row r="3522" spans="1:23" x14ac:dyDescent="0.2">
      <c r="A3522" t="s">
        <v>2096</v>
      </c>
      <c r="B3522" t="s">
        <v>2097</v>
      </c>
      <c r="C3522" t="s">
        <v>2971</v>
      </c>
      <c r="D3522" t="s">
        <v>2972</v>
      </c>
      <c r="E3522" t="s">
        <v>2973</v>
      </c>
      <c r="F3522" t="s">
        <v>2974</v>
      </c>
      <c r="G3522" t="s">
        <v>106</v>
      </c>
      <c r="H3522" t="s">
        <v>30</v>
      </c>
      <c r="I3522" t="s">
        <v>30</v>
      </c>
      <c r="J3522" t="s">
        <v>31</v>
      </c>
      <c r="K3522" t="s">
        <v>32</v>
      </c>
      <c r="L3522" t="s">
        <v>32</v>
      </c>
      <c r="M3522" t="s">
        <v>33</v>
      </c>
      <c r="P3522" t="s">
        <v>213</v>
      </c>
      <c r="Q3522" t="s">
        <v>2111</v>
      </c>
      <c r="S3522" t="s">
        <v>52</v>
      </c>
      <c r="T3522" t="s">
        <v>3015</v>
      </c>
      <c r="U3522" t="s">
        <v>3016</v>
      </c>
      <c r="V3522" t="s">
        <v>39</v>
      </c>
      <c r="W3522" s="1">
        <v>0</v>
      </c>
    </row>
    <row r="3523" spans="1:23" x14ac:dyDescent="0.2">
      <c r="A3523" t="s">
        <v>2096</v>
      </c>
      <c r="B3523" t="s">
        <v>2097</v>
      </c>
      <c r="C3523" t="s">
        <v>2971</v>
      </c>
      <c r="D3523" t="s">
        <v>2972</v>
      </c>
      <c r="E3523" t="s">
        <v>2973</v>
      </c>
      <c r="F3523" t="s">
        <v>2974</v>
      </c>
      <c r="G3523" t="s">
        <v>106</v>
      </c>
      <c r="H3523" t="s">
        <v>30</v>
      </c>
      <c r="I3523" t="s">
        <v>30</v>
      </c>
      <c r="J3523" t="s">
        <v>31</v>
      </c>
      <c r="K3523" t="s">
        <v>32</v>
      </c>
      <c r="L3523" t="s">
        <v>32</v>
      </c>
      <c r="M3523" t="s">
        <v>33</v>
      </c>
      <c r="P3523" t="s">
        <v>213</v>
      </c>
      <c r="Q3523" t="s">
        <v>2111</v>
      </c>
      <c r="S3523" t="s">
        <v>52</v>
      </c>
      <c r="T3523" t="s">
        <v>3015</v>
      </c>
      <c r="U3523" t="s">
        <v>3016</v>
      </c>
      <c r="V3523" t="s">
        <v>40</v>
      </c>
      <c r="W3523" s="1">
        <v>2275800</v>
      </c>
    </row>
    <row r="3524" spans="1:23" x14ac:dyDescent="0.2">
      <c r="A3524" t="s">
        <v>2096</v>
      </c>
      <c r="B3524" t="s">
        <v>2097</v>
      </c>
      <c r="C3524" t="s">
        <v>2971</v>
      </c>
      <c r="D3524" t="s">
        <v>2972</v>
      </c>
      <c r="E3524" t="s">
        <v>2973</v>
      </c>
      <c r="F3524" t="s">
        <v>2974</v>
      </c>
      <c r="G3524" t="s">
        <v>119</v>
      </c>
      <c r="H3524" t="s">
        <v>30</v>
      </c>
      <c r="I3524" t="s">
        <v>52</v>
      </c>
      <c r="J3524" t="s">
        <v>31</v>
      </c>
      <c r="K3524" t="s">
        <v>32</v>
      </c>
      <c r="L3524" t="s">
        <v>32</v>
      </c>
      <c r="M3524" t="s">
        <v>33</v>
      </c>
      <c r="P3524" t="s">
        <v>34</v>
      </c>
      <c r="Q3524" t="s">
        <v>35</v>
      </c>
      <c r="S3524" t="s">
        <v>52</v>
      </c>
      <c r="T3524" t="s">
        <v>3017</v>
      </c>
      <c r="U3524" t="s">
        <v>3018</v>
      </c>
      <c r="V3524" t="s">
        <v>39</v>
      </c>
      <c r="W3524" s="1">
        <v>0</v>
      </c>
    </row>
    <row r="3525" spans="1:23" x14ac:dyDescent="0.2">
      <c r="A3525" t="s">
        <v>2096</v>
      </c>
      <c r="B3525" t="s">
        <v>2097</v>
      </c>
      <c r="C3525" t="s">
        <v>2971</v>
      </c>
      <c r="D3525" t="s">
        <v>2972</v>
      </c>
      <c r="E3525" t="s">
        <v>2973</v>
      </c>
      <c r="F3525" t="s">
        <v>2974</v>
      </c>
      <c r="G3525" t="s">
        <v>119</v>
      </c>
      <c r="H3525" t="s">
        <v>30</v>
      </c>
      <c r="I3525" t="s">
        <v>52</v>
      </c>
      <c r="J3525" t="s">
        <v>31</v>
      </c>
      <c r="K3525" t="s">
        <v>32</v>
      </c>
      <c r="L3525" t="s">
        <v>32</v>
      </c>
      <c r="M3525" t="s">
        <v>33</v>
      </c>
      <c r="P3525" t="s">
        <v>34</v>
      </c>
      <c r="Q3525" t="s">
        <v>35</v>
      </c>
      <c r="S3525" t="s">
        <v>52</v>
      </c>
      <c r="T3525" t="s">
        <v>3017</v>
      </c>
      <c r="U3525" t="s">
        <v>3018</v>
      </c>
      <c r="V3525" t="s">
        <v>40</v>
      </c>
      <c r="W3525" s="1">
        <v>4259700</v>
      </c>
    </row>
    <row r="3526" spans="1:23" x14ac:dyDescent="0.2">
      <c r="A3526" t="s">
        <v>2096</v>
      </c>
      <c r="B3526" t="s">
        <v>2097</v>
      </c>
      <c r="C3526" t="s">
        <v>2971</v>
      </c>
      <c r="D3526" t="s">
        <v>2972</v>
      </c>
      <c r="E3526" t="s">
        <v>2973</v>
      </c>
      <c r="F3526" t="s">
        <v>2974</v>
      </c>
      <c r="G3526" t="s">
        <v>119</v>
      </c>
      <c r="H3526" t="s">
        <v>30</v>
      </c>
      <c r="I3526" t="s">
        <v>52</v>
      </c>
      <c r="J3526" t="s">
        <v>31</v>
      </c>
      <c r="K3526" t="s">
        <v>32</v>
      </c>
      <c r="L3526" t="s">
        <v>32</v>
      </c>
      <c r="M3526" t="s">
        <v>33</v>
      </c>
      <c r="P3526" t="s">
        <v>34</v>
      </c>
      <c r="Q3526" t="s">
        <v>35</v>
      </c>
      <c r="S3526" t="s">
        <v>52</v>
      </c>
      <c r="T3526" t="s">
        <v>3019</v>
      </c>
      <c r="U3526" t="s">
        <v>3020</v>
      </c>
      <c r="V3526" t="s">
        <v>39</v>
      </c>
      <c r="W3526" s="1">
        <v>0</v>
      </c>
    </row>
    <row r="3527" spans="1:23" x14ac:dyDescent="0.2">
      <c r="A3527" t="s">
        <v>2096</v>
      </c>
      <c r="B3527" t="s">
        <v>2097</v>
      </c>
      <c r="C3527" t="s">
        <v>2971</v>
      </c>
      <c r="D3527" t="s">
        <v>2972</v>
      </c>
      <c r="E3527" t="s">
        <v>2973</v>
      </c>
      <c r="F3527" t="s">
        <v>2974</v>
      </c>
      <c r="G3527" t="s">
        <v>119</v>
      </c>
      <c r="H3527" t="s">
        <v>30</v>
      </c>
      <c r="I3527" t="s">
        <v>52</v>
      </c>
      <c r="J3527" t="s">
        <v>31</v>
      </c>
      <c r="K3527" t="s">
        <v>32</v>
      </c>
      <c r="L3527" t="s">
        <v>32</v>
      </c>
      <c r="M3527" t="s">
        <v>33</v>
      </c>
      <c r="P3527" t="s">
        <v>34</v>
      </c>
      <c r="Q3527" t="s">
        <v>35</v>
      </c>
      <c r="S3527" t="s">
        <v>52</v>
      </c>
      <c r="T3527" t="s">
        <v>3019</v>
      </c>
      <c r="U3527" t="s">
        <v>3020</v>
      </c>
      <c r="V3527" t="s">
        <v>40</v>
      </c>
      <c r="W3527" s="1">
        <v>4559700</v>
      </c>
    </row>
    <row r="3528" spans="1:23" x14ac:dyDescent="0.2">
      <c r="A3528" t="s">
        <v>2096</v>
      </c>
      <c r="B3528" t="s">
        <v>2097</v>
      </c>
      <c r="C3528" t="s">
        <v>2971</v>
      </c>
      <c r="D3528" t="s">
        <v>2972</v>
      </c>
      <c r="E3528" t="s">
        <v>2973</v>
      </c>
      <c r="F3528" t="s">
        <v>2974</v>
      </c>
      <c r="G3528" t="s">
        <v>119</v>
      </c>
      <c r="H3528" t="s">
        <v>30</v>
      </c>
      <c r="I3528" t="s">
        <v>52</v>
      </c>
      <c r="J3528" t="s">
        <v>41</v>
      </c>
      <c r="K3528" t="s">
        <v>32</v>
      </c>
      <c r="L3528" t="s">
        <v>32</v>
      </c>
      <c r="M3528" t="s">
        <v>33</v>
      </c>
      <c r="N3528" t="s">
        <v>33</v>
      </c>
      <c r="O3528" t="s">
        <v>33</v>
      </c>
      <c r="P3528" t="s">
        <v>34</v>
      </c>
      <c r="Q3528" t="s">
        <v>35</v>
      </c>
      <c r="S3528" t="s">
        <v>30</v>
      </c>
      <c r="T3528" t="s">
        <v>3021</v>
      </c>
      <c r="U3528" t="s">
        <v>3022</v>
      </c>
      <c r="V3528" t="s">
        <v>39</v>
      </c>
      <c r="W3528" s="1">
        <v>4</v>
      </c>
    </row>
    <row r="3529" spans="1:23" x14ac:dyDescent="0.2">
      <c r="A3529" t="s">
        <v>2096</v>
      </c>
      <c r="B3529" t="s">
        <v>2097</v>
      </c>
      <c r="C3529" t="s">
        <v>2971</v>
      </c>
      <c r="D3529" t="s">
        <v>2972</v>
      </c>
      <c r="E3529" t="s">
        <v>2973</v>
      </c>
      <c r="F3529" t="s">
        <v>2974</v>
      </c>
      <c r="G3529" t="s">
        <v>119</v>
      </c>
      <c r="H3529" t="s">
        <v>30</v>
      </c>
      <c r="I3529" t="s">
        <v>52</v>
      </c>
      <c r="J3529" t="s">
        <v>41</v>
      </c>
      <c r="K3529" t="s">
        <v>32</v>
      </c>
      <c r="L3529" t="s">
        <v>32</v>
      </c>
      <c r="M3529" t="s">
        <v>33</v>
      </c>
      <c r="N3529" t="s">
        <v>33</v>
      </c>
      <c r="O3529" t="s">
        <v>33</v>
      </c>
      <c r="P3529" t="s">
        <v>34</v>
      </c>
      <c r="Q3529" t="s">
        <v>35</v>
      </c>
      <c r="S3529" t="s">
        <v>30</v>
      </c>
      <c r="T3529" t="s">
        <v>3021</v>
      </c>
      <c r="U3529" t="s">
        <v>3022</v>
      </c>
      <c r="V3529" t="s">
        <v>40</v>
      </c>
      <c r="W3529" s="1">
        <v>5563600</v>
      </c>
    </row>
    <row r="3530" spans="1:23" x14ac:dyDescent="0.2">
      <c r="A3530" t="s">
        <v>2096</v>
      </c>
      <c r="B3530" t="s">
        <v>2097</v>
      </c>
      <c r="C3530" t="s">
        <v>2971</v>
      </c>
      <c r="D3530" t="s">
        <v>2972</v>
      </c>
      <c r="E3530" t="s">
        <v>2973</v>
      </c>
      <c r="F3530" t="s">
        <v>2974</v>
      </c>
      <c r="G3530" t="s">
        <v>119</v>
      </c>
      <c r="H3530" t="s">
        <v>30</v>
      </c>
      <c r="I3530" t="s">
        <v>52</v>
      </c>
      <c r="J3530" t="s">
        <v>41</v>
      </c>
      <c r="K3530" t="s">
        <v>32</v>
      </c>
      <c r="L3530" t="s">
        <v>32</v>
      </c>
      <c r="M3530" t="s">
        <v>33</v>
      </c>
      <c r="N3530" t="s">
        <v>176</v>
      </c>
      <c r="O3530" t="s">
        <v>176</v>
      </c>
      <c r="P3530" t="s">
        <v>34</v>
      </c>
      <c r="Q3530" t="s">
        <v>35</v>
      </c>
      <c r="S3530" t="s">
        <v>30</v>
      </c>
      <c r="T3530" t="s">
        <v>3021</v>
      </c>
      <c r="U3530" t="s">
        <v>3022</v>
      </c>
      <c r="V3530" t="s">
        <v>39</v>
      </c>
      <c r="W3530" s="1">
        <v>1</v>
      </c>
    </row>
    <row r="3531" spans="1:23" x14ac:dyDescent="0.2">
      <c r="A3531" t="s">
        <v>2096</v>
      </c>
      <c r="B3531" t="s">
        <v>2097</v>
      </c>
      <c r="C3531" t="s">
        <v>2971</v>
      </c>
      <c r="D3531" t="s">
        <v>2972</v>
      </c>
      <c r="E3531" t="s">
        <v>2973</v>
      </c>
      <c r="F3531" t="s">
        <v>2974</v>
      </c>
      <c r="G3531" t="s">
        <v>119</v>
      </c>
      <c r="H3531" t="s">
        <v>30</v>
      </c>
      <c r="I3531" t="s">
        <v>52</v>
      </c>
      <c r="J3531" t="s">
        <v>41</v>
      </c>
      <c r="K3531" t="s">
        <v>32</v>
      </c>
      <c r="L3531" t="s">
        <v>32</v>
      </c>
      <c r="M3531" t="s">
        <v>33</v>
      </c>
      <c r="N3531" t="s">
        <v>176</v>
      </c>
      <c r="O3531" t="s">
        <v>176</v>
      </c>
      <c r="P3531" t="s">
        <v>34</v>
      </c>
      <c r="Q3531" t="s">
        <v>35</v>
      </c>
      <c r="S3531" t="s">
        <v>30</v>
      </c>
      <c r="T3531" t="s">
        <v>3021</v>
      </c>
      <c r="U3531" t="s">
        <v>3022</v>
      </c>
      <c r="V3531" t="s">
        <v>40</v>
      </c>
      <c r="W3531" s="1">
        <v>1390900</v>
      </c>
    </row>
    <row r="3532" spans="1:23" x14ac:dyDescent="0.2">
      <c r="A3532" t="s">
        <v>2096</v>
      </c>
      <c r="B3532" t="s">
        <v>2097</v>
      </c>
      <c r="C3532" t="s">
        <v>2971</v>
      </c>
      <c r="D3532" t="s">
        <v>2972</v>
      </c>
      <c r="E3532" t="s">
        <v>2973</v>
      </c>
      <c r="F3532" t="s">
        <v>2974</v>
      </c>
      <c r="G3532" t="s">
        <v>119</v>
      </c>
      <c r="H3532" t="s">
        <v>30</v>
      </c>
      <c r="I3532" t="s">
        <v>52</v>
      </c>
      <c r="J3532" t="s">
        <v>41</v>
      </c>
      <c r="K3532" t="s">
        <v>32</v>
      </c>
      <c r="L3532" t="s">
        <v>32</v>
      </c>
      <c r="M3532" t="s">
        <v>33</v>
      </c>
      <c r="P3532" t="s">
        <v>213</v>
      </c>
      <c r="Q3532" t="s">
        <v>2111</v>
      </c>
      <c r="S3532" t="s">
        <v>52</v>
      </c>
      <c r="T3532" t="s">
        <v>3023</v>
      </c>
      <c r="U3532" t="s">
        <v>3024</v>
      </c>
      <c r="V3532" t="s">
        <v>39</v>
      </c>
      <c r="W3532" s="1">
        <v>0</v>
      </c>
    </row>
    <row r="3533" spans="1:23" x14ac:dyDescent="0.2">
      <c r="A3533" t="s">
        <v>2096</v>
      </c>
      <c r="B3533" t="s">
        <v>2097</v>
      </c>
      <c r="C3533" t="s">
        <v>2971</v>
      </c>
      <c r="D3533" t="s">
        <v>2972</v>
      </c>
      <c r="E3533" t="s">
        <v>2973</v>
      </c>
      <c r="F3533" t="s">
        <v>2974</v>
      </c>
      <c r="G3533" t="s">
        <v>119</v>
      </c>
      <c r="H3533" t="s">
        <v>30</v>
      </c>
      <c r="I3533" t="s">
        <v>52</v>
      </c>
      <c r="J3533" t="s">
        <v>41</v>
      </c>
      <c r="K3533" t="s">
        <v>32</v>
      </c>
      <c r="L3533" t="s">
        <v>32</v>
      </c>
      <c r="M3533" t="s">
        <v>33</v>
      </c>
      <c r="P3533" t="s">
        <v>213</v>
      </c>
      <c r="Q3533" t="s">
        <v>2111</v>
      </c>
      <c r="S3533" t="s">
        <v>52</v>
      </c>
      <c r="T3533" t="s">
        <v>3023</v>
      </c>
      <c r="U3533" t="s">
        <v>3024</v>
      </c>
      <c r="V3533" t="s">
        <v>40</v>
      </c>
      <c r="W3533" s="1">
        <v>6599400</v>
      </c>
    </row>
    <row r="3534" spans="1:23" x14ac:dyDescent="0.2">
      <c r="A3534" t="s">
        <v>2096</v>
      </c>
      <c r="B3534" t="s">
        <v>2097</v>
      </c>
      <c r="C3534" t="s">
        <v>2971</v>
      </c>
      <c r="D3534" t="s">
        <v>2972</v>
      </c>
      <c r="E3534" t="s">
        <v>2973</v>
      </c>
      <c r="F3534" t="s">
        <v>2974</v>
      </c>
      <c r="G3534" t="s">
        <v>119</v>
      </c>
      <c r="H3534" t="s">
        <v>30</v>
      </c>
      <c r="I3534" t="s">
        <v>52</v>
      </c>
      <c r="J3534" t="s">
        <v>41</v>
      </c>
      <c r="K3534" t="s">
        <v>32</v>
      </c>
      <c r="L3534" t="s">
        <v>32</v>
      </c>
      <c r="M3534" t="s">
        <v>176</v>
      </c>
      <c r="N3534" t="s">
        <v>195</v>
      </c>
      <c r="O3534" t="s">
        <v>176</v>
      </c>
      <c r="P3534" t="s">
        <v>34</v>
      </c>
      <c r="Q3534" t="s">
        <v>35</v>
      </c>
      <c r="S3534" t="s">
        <v>30</v>
      </c>
      <c r="T3534" t="s">
        <v>3021</v>
      </c>
      <c r="U3534" t="s">
        <v>3022</v>
      </c>
      <c r="V3534" t="s">
        <v>39</v>
      </c>
      <c r="W3534" s="1">
        <v>1</v>
      </c>
    </row>
    <row r="3535" spans="1:23" x14ac:dyDescent="0.2">
      <c r="A3535" t="s">
        <v>2096</v>
      </c>
      <c r="B3535" t="s">
        <v>2097</v>
      </c>
      <c r="C3535" t="s">
        <v>2971</v>
      </c>
      <c r="D3535" t="s">
        <v>2972</v>
      </c>
      <c r="E3535" t="s">
        <v>2973</v>
      </c>
      <c r="F3535" t="s">
        <v>2974</v>
      </c>
      <c r="G3535" t="s">
        <v>119</v>
      </c>
      <c r="H3535" t="s">
        <v>30</v>
      </c>
      <c r="I3535" t="s">
        <v>52</v>
      </c>
      <c r="J3535" t="s">
        <v>41</v>
      </c>
      <c r="K3535" t="s">
        <v>32</v>
      </c>
      <c r="L3535" t="s">
        <v>32</v>
      </c>
      <c r="M3535" t="s">
        <v>176</v>
      </c>
      <c r="N3535" t="s">
        <v>195</v>
      </c>
      <c r="O3535" t="s">
        <v>176</v>
      </c>
      <c r="P3535" t="s">
        <v>34</v>
      </c>
      <c r="Q3535" t="s">
        <v>35</v>
      </c>
      <c r="S3535" t="s">
        <v>30</v>
      </c>
      <c r="T3535" t="s">
        <v>3021</v>
      </c>
      <c r="U3535" t="s">
        <v>3022</v>
      </c>
      <c r="V3535" t="s">
        <v>40</v>
      </c>
      <c r="W3535" s="1">
        <v>1251810</v>
      </c>
    </row>
    <row r="3536" spans="1:23" x14ac:dyDescent="0.2">
      <c r="A3536" t="s">
        <v>2096</v>
      </c>
      <c r="B3536" t="s">
        <v>2097</v>
      </c>
      <c r="C3536" t="s">
        <v>2971</v>
      </c>
      <c r="D3536" t="s">
        <v>2972</v>
      </c>
      <c r="E3536" t="s">
        <v>2973</v>
      </c>
      <c r="F3536" t="s">
        <v>2974</v>
      </c>
      <c r="G3536" t="s">
        <v>119</v>
      </c>
      <c r="H3536" t="s">
        <v>30</v>
      </c>
      <c r="I3536" t="s">
        <v>52</v>
      </c>
      <c r="J3536" t="s">
        <v>41</v>
      </c>
      <c r="K3536" t="s">
        <v>32</v>
      </c>
      <c r="L3536" t="s">
        <v>32</v>
      </c>
      <c r="M3536" t="s">
        <v>176</v>
      </c>
      <c r="N3536" t="s">
        <v>195</v>
      </c>
      <c r="O3536" t="s">
        <v>195</v>
      </c>
      <c r="P3536" t="s">
        <v>34</v>
      </c>
      <c r="Q3536" t="s">
        <v>35</v>
      </c>
      <c r="S3536" t="s">
        <v>30</v>
      </c>
      <c r="T3536" t="s">
        <v>3021</v>
      </c>
      <c r="U3536" t="s">
        <v>3022</v>
      </c>
      <c r="V3536" t="s">
        <v>39</v>
      </c>
      <c r="W3536" s="1">
        <v>1</v>
      </c>
    </row>
    <row r="3537" spans="1:23" x14ac:dyDescent="0.2">
      <c r="A3537" t="s">
        <v>2096</v>
      </c>
      <c r="B3537" t="s">
        <v>2097</v>
      </c>
      <c r="C3537" t="s">
        <v>2971</v>
      </c>
      <c r="D3537" t="s">
        <v>2972</v>
      </c>
      <c r="E3537" t="s">
        <v>2973</v>
      </c>
      <c r="F3537" t="s">
        <v>2974</v>
      </c>
      <c r="G3537" t="s">
        <v>119</v>
      </c>
      <c r="H3537" t="s">
        <v>30</v>
      </c>
      <c r="I3537" t="s">
        <v>52</v>
      </c>
      <c r="J3537" t="s">
        <v>41</v>
      </c>
      <c r="K3537" t="s">
        <v>32</v>
      </c>
      <c r="L3537" t="s">
        <v>32</v>
      </c>
      <c r="M3537" t="s">
        <v>176</v>
      </c>
      <c r="N3537" t="s">
        <v>195</v>
      </c>
      <c r="O3537" t="s">
        <v>195</v>
      </c>
      <c r="P3537" t="s">
        <v>34</v>
      </c>
      <c r="Q3537" t="s">
        <v>35</v>
      </c>
      <c r="S3537" t="s">
        <v>30</v>
      </c>
      <c r="T3537" t="s">
        <v>3021</v>
      </c>
      <c r="U3537" t="s">
        <v>3022</v>
      </c>
      <c r="V3537" t="s">
        <v>40</v>
      </c>
      <c r="W3537" s="1">
        <v>1251810</v>
      </c>
    </row>
    <row r="3538" spans="1:23" x14ac:dyDescent="0.2">
      <c r="A3538" t="s">
        <v>2096</v>
      </c>
      <c r="B3538" t="s">
        <v>2097</v>
      </c>
      <c r="C3538" t="s">
        <v>2971</v>
      </c>
      <c r="D3538" t="s">
        <v>2972</v>
      </c>
      <c r="E3538" t="s">
        <v>2973</v>
      </c>
      <c r="F3538" t="s">
        <v>2974</v>
      </c>
      <c r="G3538" t="s">
        <v>127</v>
      </c>
      <c r="H3538" t="s">
        <v>52</v>
      </c>
      <c r="I3538" t="s">
        <v>30</v>
      </c>
      <c r="J3538" t="s">
        <v>31</v>
      </c>
      <c r="K3538" t="s">
        <v>32</v>
      </c>
      <c r="L3538" t="s">
        <v>32</v>
      </c>
      <c r="M3538" t="s">
        <v>33</v>
      </c>
      <c r="P3538" t="s">
        <v>213</v>
      </c>
      <c r="Q3538" t="s">
        <v>2118</v>
      </c>
      <c r="R3538" t="s">
        <v>151</v>
      </c>
      <c r="S3538" t="s">
        <v>52</v>
      </c>
      <c r="T3538" t="s">
        <v>3025</v>
      </c>
      <c r="U3538" t="s">
        <v>3026</v>
      </c>
      <c r="V3538" t="s">
        <v>39</v>
      </c>
      <c r="W3538" s="1">
        <v>0</v>
      </c>
    </row>
    <row r="3539" spans="1:23" x14ac:dyDescent="0.2">
      <c r="A3539" t="s">
        <v>2096</v>
      </c>
      <c r="B3539" t="s">
        <v>2097</v>
      </c>
      <c r="C3539" t="s">
        <v>2971</v>
      </c>
      <c r="D3539" t="s">
        <v>2972</v>
      </c>
      <c r="E3539" t="s">
        <v>2973</v>
      </c>
      <c r="F3539" t="s">
        <v>2974</v>
      </c>
      <c r="G3539" t="s">
        <v>127</v>
      </c>
      <c r="H3539" t="s">
        <v>52</v>
      </c>
      <c r="I3539" t="s">
        <v>30</v>
      </c>
      <c r="J3539" t="s">
        <v>31</v>
      </c>
      <c r="K3539" t="s">
        <v>32</v>
      </c>
      <c r="L3539" t="s">
        <v>32</v>
      </c>
      <c r="M3539" t="s">
        <v>33</v>
      </c>
      <c r="P3539" t="s">
        <v>213</v>
      </c>
      <c r="Q3539" t="s">
        <v>2118</v>
      </c>
      <c r="R3539" t="s">
        <v>151</v>
      </c>
      <c r="S3539" t="s">
        <v>52</v>
      </c>
      <c r="T3539" t="s">
        <v>3025</v>
      </c>
      <c r="U3539" t="s">
        <v>3026</v>
      </c>
      <c r="V3539" t="s">
        <v>40</v>
      </c>
      <c r="W3539" s="1">
        <v>429900</v>
      </c>
    </row>
    <row r="3540" spans="1:23" x14ac:dyDescent="0.2">
      <c r="A3540" t="s">
        <v>2096</v>
      </c>
      <c r="B3540" t="s">
        <v>2097</v>
      </c>
      <c r="C3540" t="s">
        <v>2971</v>
      </c>
      <c r="D3540" t="s">
        <v>2972</v>
      </c>
      <c r="E3540" t="s">
        <v>2973</v>
      </c>
      <c r="F3540" t="s">
        <v>2974</v>
      </c>
      <c r="G3540" t="s">
        <v>134</v>
      </c>
      <c r="H3540" t="s">
        <v>52</v>
      </c>
      <c r="I3540" t="s">
        <v>30</v>
      </c>
      <c r="J3540" t="s">
        <v>31</v>
      </c>
      <c r="K3540" t="s">
        <v>32</v>
      </c>
      <c r="L3540" t="s">
        <v>32</v>
      </c>
      <c r="M3540" t="s">
        <v>33</v>
      </c>
      <c r="N3540" t="s">
        <v>33</v>
      </c>
      <c r="O3540" t="s">
        <v>33</v>
      </c>
      <c r="P3540" t="s">
        <v>34</v>
      </c>
      <c r="Q3540" t="s">
        <v>35</v>
      </c>
      <c r="S3540" t="s">
        <v>30</v>
      </c>
      <c r="T3540" t="s">
        <v>3027</v>
      </c>
      <c r="U3540" t="s">
        <v>3028</v>
      </c>
      <c r="V3540" t="s">
        <v>39</v>
      </c>
      <c r="W3540" s="1">
        <v>2</v>
      </c>
    </row>
    <row r="3541" spans="1:23" x14ac:dyDescent="0.2">
      <c r="A3541" t="s">
        <v>2096</v>
      </c>
      <c r="B3541" t="s">
        <v>2097</v>
      </c>
      <c r="C3541" t="s">
        <v>2971</v>
      </c>
      <c r="D3541" t="s">
        <v>2972</v>
      </c>
      <c r="E3541" t="s">
        <v>2973</v>
      </c>
      <c r="F3541" t="s">
        <v>2974</v>
      </c>
      <c r="G3541" t="s">
        <v>134</v>
      </c>
      <c r="H3541" t="s">
        <v>52</v>
      </c>
      <c r="I3541" t="s">
        <v>30</v>
      </c>
      <c r="J3541" t="s">
        <v>31</v>
      </c>
      <c r="K3541" t="s">
        <v>32</v>
      </c>
      <c r="L3541" t="s">
        <v>32</v>
      </c>
      <c r="M3541" t="s">
        <v>33</v>
      </c>
      <c r="N3541" t="s">
        <v>33</v>
      </c>
      <c r="O3541" t="s">
        <v>33</v>
      </c>
      <c r="P3541" t="s">
        <v>34</v>
      </c>
      <c r="Q3541" t="s">
        <v>35</v>
      </c>
      <c r="S3541" t="s">
        <v>30</v>
      </c>
      <c r="T3541" t="s">
        <v>3027</v>
      </c>
      <c r="U3541" t="s">
        <v>3028</v>
      </c>
      <c r="V3541" t="s">
        <v>40</v>
      </c>
      <c r="W3541" s="1">
        <v>2559800</v>
      </c>
    </row>
    <row r="3542" spans="1:23" x14ac:dyDescent="0.2">
      <c r="A3542" t="s">
        <v>2096</v>
      </c>
      <c r="B3542" t="s">
        <v>2097</v>
      </c>
      <c r="C3542" t="s">
        <v>2971</v>
      </c>
      <c r="D3542" t="s">
        <v>2972</v>
      </c>
      <c r="E3542" t="s">
        <v>2973</v>
      </c>
      <c r="F3542" t="s">
        <v>2974</v>
      </c>
      <c r="G3542" t="s">
        <v>134</v>
      </c>
      <c r="H3542" t="s">
        <v>52</v>
      </c>
      <c r="I3542" t="s">
        <v>30</v>
      </c>
      <c r="J3542" t="s">
        <v>31</v>
      </c>
      <c r="K3542" t="s">
        <v>32</v>
      </c>
      <c r="L3542" t="s">
        <v>32</v>
      </c>
      <c r="M3542" t="s">
        <v>33</v>
      </c>
      <c r="N3542" t="s">
        <v>33</v>
      </c>
      <c r="O3542" t="s">
        <v>33</v>
      </c>
      <c r="P3542" t="s">
        <v>34</v>
      </c>
      <c r="Q3542" t="s">
        <v>35</v>
      </c>
      <c r="S3542" t="s">
        <v>30</v>
      </c>
      <c r="T3542" t="s">
        <v>3029</v>
      </c>
      <c r="U3542" t="s">
        <v>3030</v>
      </c>
      <c r="V3542" t="s">
        <v>39</v>
      </c>
      <c r="W3542" s="1">
        <v>1</v>
      </c>
    </row>
    <row r="3543" spans="1:23" x14ac:dyDescent="0.2">
      <c r="A3543" t="s">
        <v>2096</v>
      </c>
      <c r="B3543" t="s">
        <v>2097</v>
      </c>
      <c r="C3543" t="s">
        <v>2971</v>
      </c>
      <c r="D3543" t="s">
        <v>2972</v>
      </c>
      <c r="E3543" t="s">
        <v>2973</v>
      </c>
      <c r="F3543" t="s">
        <v>2974</v>
      </c>
      <c r="G3543" t="s">
        <v>134</v>
      </c>
      <c r="H3543" t="s">
        <v>52</v>
      </c>
      <c r="I3543" t="s">
        <v>30</v>
      </c>
      <c r="J3543" t="s">
        <v>31</v>
      </c>
      <c r="K3543" t="s">
        <v>32</v>
      </c>
      <c r="L3543" t="s">
        <v>32</v>
      </c>
      <c r="M3543" t="s">
        <v>33</v>
      </c>
      <c r="N3543" t="s">
        <v>33</v>
      </c>
      <c r="O3543" t="s">
        <v>33</v>
      </c>
      <c r="P3543" t="s">
        <v>34</v>
      </c>
      <c r="Q3543" t="s">
        <v>35</v>
      </c>
      <c r="S3543" t="s">
        <v>30</v>
      </c>
      <c r="T3543" t="s">
        <v>3029</v>
      </c>
      <c r="U3543" t="s">
        <v>3030</v>
      </c>
      <c r="V3543" t="s">
        <v>40</v>
      </c>
      <c r="W3543" s="1">
        <v>1369900</v>
      </c>
    </row>
    <row r="3544" spans="1:23" x14ac:dyDescent="0.2">
      <c r="A3544" t="s">
        <v>2096</v>
      </c>
      <c r="B3544" t="s">
        <v>2097</v>
      </c>
      <c r="C3544" t="s">
        <v>2971</v>
      </c>
      <c r="D3544" t="s">
        <v>2972</v>
      </c>
      <c r="E3544" t="s">
        <v>2973</v>
      </c>
      <c r="F3544" t="s">
        <v>2974</v>
      </c>
      <c r="G3544" t="s">
        <v>134</v>
      </c>
      <c r="H3544" t="s">
        <v>52</v>
      </c>
      <c r="I3544" t="s">
        <v>30</v>
      </c>
      <c r="J3544" t="s">
        <v>31</v>
      </c>
      <c r="K3544" t="s">
        <v>32</v>
      </c>
      <c r="L3544" t="s">
        <v>32</v>
      </c>
      <c r="M3544" t="s">
        <v>33</v>
      </c>
      <c r="P3544" t="s">
        <v>213</v>
      </c>
      <c r="Q3544" t="s">
        <v>2111</v>
      </c>
      <c r="R3544" t="s">
        <v>151</v>
      </c>
      <c r="S3544" t="s">
        <v>30</v>
      </c>
      <c r="T3544" t="s">
        <v>3031</v>
      </c>
      <c r="U3544" t="s">
        <v>3032</v>
      </c>
      <c r="V3544" t="s">
        <v>39</v>
      </c>
      <c r="W3544" s="1">
        <v>5</v>
      </c>
    </row>
    <row r="3545" spans="1:23" x14ac:dyDescent="0.2">
      <c r="A3545" t="s">
        <v>2096</v>
      </c>
      <c r="B3545" t="s">
        <v>2097</v>
      </c>
      <c r="C3545" t="s">
        <v>2971</v>
      </c>
      <c r="D3545" t="s">
        <v>2972</v>
      </c>
      <c r="E3545" t="s">
        <v>2973</v>
      </c>
      <c r="F3545" t="s">
        <v>2974</v>
      </c>
      <c r="G3545" t="s">
        <v>134</v>
      </c>
      <c r="H3545" t="s">
        <v>52</v>
      </c>
      <c r="I3545" t="s">
        <v>30</v>
      </c>
      <c r="J3545" t="s">
        <v>31</v>
      </c>
      <c r="K3545" t="s">
        <v>32</v>
      </c>
      <c r="L3545" t="s">
        <v>32</v>
      </c>
      <c r="M3545" t="s">
        <v>33</v>
      </c>
      <c r="P3545" t="s">
        <v>213</v>
      </c>
      <c r="Q3545" t="s">
        <v>2111</v>
      </c>
      <c r="R3545" t="s">
        <v>151</v>
      </c>
      <c r="S3545" t="s">
        <v>30</v>
      </c>
      <c r="T3545" t="s">
        <v>3031</v>
      </c>
      <c r="U3545" t="s">
        <v>3032</v>
      </c>
      <c r="V3545" t="s">
        <v>40</v>
      </c>
      <c r="W3545" s="1">
        <v>12804500</v>
      </c>
    </row>
    <row r="3546" spans="1:23" x14ac:dyDescent="0.2">
      <c r="A3546" t="s">
        <v>2096</v>
      </c>
      <c r="B3546" t="s">
        <v>2097</v>
      </c>
      <c r="C3546" t="s">
        <v>2971</v>
      </c>
      <c r="D3546" t="s">
        <v>2972</v>
      </c>
      <c r="E3546" t="s">
        <v>2973</v>
      </c>
      <c r="F3546" t="s">
        <v>2974</v>
      </c>
      <c r="G3546" t="s">
        <v>134</v>
      </c>
      <c r="H3546" t="s">
        <v>52</v>
      </c>
      <c r="I3546" t="s">
        <v>30</v>
      </c>
      <c r="J3546" t="s">
        <v>31</v>
      </c>
      <c r="K3546" t="s">
        <v>32</v>
      </c>
      <c r="L3546" t="s">
        <v>32</v>
      </c>
      <c r="M3546" t="s">
        <v>33</v>
      </c>
      <c r="P3546" t="s">
        <v>34</v>
      </c>
      <c r="Q3546" t="s">
        <v>35</v>
      </c>
      <c r="S3546" t="s">
        <v>30</v>
      </c>
      <c r="T3546" t="s">
        <v>3027</v>
      </c>
      <c r="U3546" t="s">
        <v>3028</v>
      </c>
      <c r="V3546" t="s">
        <v>39</v>
      </c>
      <c r="W3546" s="1">
        <v>2</v>
      </c>
    </row>
    <row r="3547" spans="1:23" x14ac:dyDescent="0.2">
      <c r="A3547" t="s">
        <v>2096</v>
      </c>
      <c r="B3547" t="s">
        <v>2097</v>
      </c>
      <c r="C3547" t="s">
        <v>2971</v>
      </c>
      <c r="D3547" t="s">
        <v>2972</v>
      </c>
      <c r="E3547" t="s">
        <v>2973</v>
      </c>
      <c r="F3547" t="s">
        <v>2974</v>
      </c>
      <c r="G3547" t="s">
        <v>134</v>
      </c>
      <c r="H3547" t="s">
        <v>52</v>
      </c>
      <c r="I3547" t="s">
        <v>30</v>
      </c>
      <c r="J3547" t="s">
        <v>31</v>
      </c>
      <c r="K3547" t="s">
        <v>32</v>
      </c>
      <c r="L3547" t="s">
        <v>32</v>
      </c>
      <c r="M3547" t="s">
        <v>33</v>
      </c>
      <c r="P3547" t="s">
        <v>34</v>
      </c>
      <c r="Q3547" t="s">
        <v>35</v>
      </c>
      <c r="S3547" t="s">
        <v>30</v>
      </c>
      <c r="T3547" t="s">
        <v>3027</v>
      </c>
      <c r="U3547" t="s">
        <v>3028</v>
      </c>
      <c r="V3547" t="s">
        <v>40</v>
      </c>
      <c r="W3547" s="1">
        <v>2559800</v>
      </c>
    </row>
    <row r="3548" spans="1:23" x14ac:dyDescent="0.2">
      <c r="A3548" t="s">
        <v>2096</v>
      </c>
      <c r="B3548" t="s">
        <v>2097</v>
      </c>
      <c r="C3548" t="s">
        <v>2971</v>
      </c>
      <c r="D3548" t="s">
        <v>2972</v>
      </c>
      <c r="E3548" t="s">
        <v>2973</v>
      </c>
      <c r="F3548" t="s">
        <v>2974</v>
      </c>
      <c r="G3548" t="s">
        <v>134</v>
      </c>
      <c r="H3548" t="s">
        <v>52</v>
      </c>
      <c r="I3548" t="s">
        <v>30</v>
      </c>
      <c r="J3548" t="s">
        <v>31</v>
      </c>
      <c r="K3548" t="s">
        <v>32</v>
      </c>
      <c r="L3548" t="s">
        <v>32</v>
      </c>
      <c r="M3548" t="s">
        <v>33</v>
      </c>
      <c r="P3548" t="s">
        <v>34</v>
      </c>
      <c r="Q3548" t="s">
        <v>35</v>
      </c>
      <c r="S3548" t="s">
        <v>30</v>
      </c>
      <c r="T3548" t="s">
        <v>3033</v>
      </c>
      <c r="U3548" t="s">
        <v>3034</v>
      </c>
      <c r="V3548" t="s">
        <v>39</v>
      </c>
      <c r="W3548" s="1">
        <v>6</v>
      </c>
    </row>
    <row r="3549" spans="1:23" x14ac:dyDescent="0.2">
      <c r="A3549" t="s">
        <v>2096</v>
      </c>
      <c r="B3549" t="s">
        <v>2097</v>
      </c>
      <c r="C3549" t="s">
        <v>2971</v>
      </c>
      <c r="D3549" t="s">
        <v>2972</v>
      </c>
      <c r="E3549" t="s">
        <v>2973</v>
      </c>
      <c r="F3549" t="s">
        <v>2974</v>
      </c>
      <c r="G3549" t="s">
        <v>134</v>
      </c>
      <c r="H3549" t="s">
        <v>52</v>
      </c>
      <c r="I3549" t="s">
        <v>30</v>
      </c>
      <c r="J3549" t="s">
        <v>31</v>
      </c>
      <c r="K3549" t="s">
        <v>32</v>
      </c>
      <c r="L3549" t="s">
        <v>32</v>
      </c>
      <c r="M3549" t="s">
        <v>33</v>
      </c>
      <c r="P3549" t="s">
        <v>34</v>
      </c>
      <c r="Q3549" t="s">
        <v>35</v>
      </c>
      <c r="S3549" t="s">
        <v>30</v>
      </c>
      <c r="T3549" t="s">
        <v>3033</v>
      </c>
      <c r="U3549" t="s">
        <v>3034</v>
      </c>
      <c r="V3549" t="s">
        <v>40</v>
      </c>
      <c r="W3549" s="1">
        <v>7019400</v>
      </c>
    </row>
    <row r="3550" spans="1:23" x14ac:dyDescent="0.2">
      <c r="A3550" t="s">
        <v>2096</v>
      </c>
      <c r="B3550" t="s">
        <v>2097</v>
      </c>
      <c r="C3550" t="s">
        <v>2971</v>
      </c>
      <c r="D3550" t="s">
        <v>2972</v>
      </c>
      <c r="E3550" t="s">
        <v>2973</v>
      </c>
      <c r="F3550" t="s">
        <v>2974</v>
      </c>
      <c r="G3550" t="s">
        <v>134</v>
      </c>
      <c r="H3550" t="s">
        <v>52</v>
      </c>
      <c r="I3550" t="s">
        <v>30</v>
      </c>
      <c r="J3550" t="s">
        <v>31</v>
      </c>
      <c r="K3550" t="s">
        <v>32</v>
      </c>
      <c r="L3550" t="s">
        <v>32</v>
      </c>
      <c r="M3550" t="s">
        <v>33</v>
      </c>
      <c r="P3550" t="s">
        <v>34</v>
      </c>
      <c r="Q3550" t="s">
        <v>35</v>
      </c>
      <c r="S3550" t="s">
        <v>30</v>
      </c>
      <c r="T3550" t="s">
        <v>3029</v>
      </c>
      <c r="U3550" t="s">
        <v>3030</v>
      </c>
      <c r="V3550" t="s">
        <v>39</v>
      </c>
      <c r="W3550" s="1">
        <v>3</v>
      </c>
    </row>
    <row r="3551" spans="1:23" x14ac:dyDescent="0.2">
      <c r="A3551" t="s">
        <v>2096</v>
      </c>
      <c r="B3551" t="s">
        <v>2097</v>
      </c>
      <c r="C3551" t="s">
        <v>2971</v>
      </c>
      <c r="D3551" t="s">
        <v>2972</v>
      </c>
      <c r="E3551" t="s">
        <v>2973</v>
      </c>
      <c r="F3551" t="s">
        <v>2974</v>
      </c>
      <c r="G3551" t="s">
        <v>134</v>
      </c>
      <c r="H3551" t="s">
        <v>52</v>
      </c>
      <c r="I3551" t="s">
        <v>30</v>
      </c>
      <c r="J3551" t="s">
        <v>31</v>
      </c>
      <c r="K3551" t="s">
        <v>32</v>
      </c>
      <c r="L3551" t="s">
        <v>32</v>
      </c>
      <c r="M3551" t="s">
        <v>33</v>
      </c>
      <c r="P3551" t="s">
        <v>34</v>
      </c>
      <c r="Q3551" t="s">
        <v>35</v>
      </c>
      <c r="S3551" t="s">
        <v>30</v>
      </c>
      <c r="T3551" t="s">
        <v>3029</v>
      </c>
      <c r="U3551" t="s">
        <v>3030</v>
      </c>
      <c r="V3551" t="s">
        <v>40</v>
      </c>
      <c r="W3551" s="1">
        <v>4109700</v>
      </c>
    </row>
    <row r="3552" spans="1:23" x14ac:dyDescent="0.2">
      <c r="A3552" t="s">
        <v>2096</v>
      </c>
      <c r="B3552" t="s">
        <v>2097</v>
      </c>
      <c r="C3552" t="s">
        <v>2971</v>
      </c>
      <c r="D3552" t="s">
        <v>2972</v>
      </c>
      <c r="E3552" t="s">
        <v>2973</v>
      </c>
      <c r="F3552" t="s">
        <v>2974</v>
      </c>
      <c r="G3552" t="s">
        <v>139</v>
      </c>
      <c r="H3552" t="s">
        <v>30</v>
      </c>
      <c r="I3552" t="s">
        <v>30</v>
      </c>
      <c r="J3552" t="s">
        <v>31</v>
      </c>
      <c r="K3552" t="s">
        <v>32</v>
      </c>
      <c r="L3552" t="s">
        <v>32</v>
      </c>
      <c r="M3552" t="s">
        <v>33</v>
      </c>
      <c r="N3552" t="s">
        <v>33</v>
      </c>
      <c r="O3552" t="s">
        <v>33</v>
      </c>
      <c r="P3552" t="s">
        <v>213</v>
      </c>
      <c r="Q3552" t="s">
        <v>2111</v>
      </c>
      <c r="S3552" t="s">
        <v>30</v>
      </c>
      <c r="T3552" t="s">
        <v>3029</v>
      </c>
      <c r="U3552" t="s">
        <v>3035</v>
      </c>
      <c r="V3552" t="s">
        <v>39</v>
      </c>
      <c r="W3552" s="1">
        <v>2</v>
      </c>
    </row>
    <row r="3553" spans="1:23" x14ac:dyDescent="0.2">
      <c r="A3553" t="s">
        <v>2096</v>
      </c>
      <c r="B3553" t="s">
        <v>2097</v>
      </c>
      <c r="C3553" t="s">
        <v>2971</v>
      </c>
      <c r="D3553" t="s">
        <v>2972</v>
      </c>
      <c r="E3553" t="s">
        <v>2973</v>
      </c>
      <c r="F3553" t="s">
        <v>2974</v>
      </c>
      <c r="G3553" t="s">
        <v>139</v>
      </c>
      <c r="H3553" t="s">
        <v>30</v>
      </c>
      <c r="I3553" t="s">
        <v>30</v>
      </c>
      <c r="J3553" t="s">
        <v>31</v>
      </c>
      <c r="K3553" t="s">
        <v>32</v>
      </c>
      <c r="L3553" t="s">
        <v>32</v>
      </c>
      <c r="M3553" t="s">
        <v>33</v>
      </c>
      <c r="N3553" t="s">
        <v>33</v>
      </c>
      <c r="O3553" t="s">
        <v>33</v>
      </c>
      <c r="P3553" t="s">
        <v>213</v>
      </c>
      <c r="Q3553" t="s">
        <v>2111</v>
      </c>
      <c r="S3553" t="s">
        <v>30</v>
      </c>
      <c r="T3553" t="s">
        <v>3029</v>
      </c>
      <c r="U3553" t="s">
        <v>3035</v>
      </c>
      <c r="V3553" t="s">
        <v>40</v>
      </c>
      <c r="W3553" s="1">
        <v>2739800</v>
      </c>
    </row>
    <row r="3554" spans="1:23" x14ac:dyDescent="0.2">
      <c r="A3554" t="s">
        <v>2096</v>
      </c>
      <c r="B3554" t="s">
        <v>2097</v>
      </c>
      <c r="C3554" t="s">
        <v>2971</v>
      </c>
      <c r="D3554" t="s">
        <v>2972</v>
      </c>
      <c r="E3554" t="s">
        <v>2973</v>
      </c>
      <c r="F3554" t="s">
        <v>2974</v>
      </c>
      <c r="G3554" t="s">
        <v>139</v>
      </c>
      <c r="H3554" t="s">
        <v>30</v>
      </c>
      <c r="I3554" t="s">
        <v>30</v>
      </c>
      <c r="J3554" t="s">
        <v>31</v>
      </c>
      <c r="K3554" t="s">
        <v>32</v>
      </c>
      <c r="L3554" t="s">
        <v>32</v>
      </c>
      <c r="M3554" t="s">
        <v>33</v>
      </c>
      <c r="P3554" t="s">
        <v>213</v>
      </c>
      <c r="Q3554" t="s">
        <v>2111</v>
      </c>
      <c r="S3554" t="s">
        <v>30</v>
      </c>
      <c r="T3554" t="s">
        <v>3036</v>
      </c>
      <c r="U3554" t="s">
        <v>3037</v>
      </c>
      <c r="V3554" t="s">
        <v>39</v>
      </c>
      <c r="W3554" s="1">
        <v>2</v>
      </c>
    </row>
    <row r="3555" spans="1:23" x14ac:dyDescent="0.2">
      <c r="A3555" t="s">
        <v>2096</v>
      </c>
      <c r="B3555" t="s">
        <v>2097</v>
      </c>
      <c r="C3555" t="s">
        <v>2971</v>
      </c>
      <c r="D3555" t="s">
        <v>2972</v>
      </c>
      <c r="E3555" t="s">
        <v>2973</v>
      </c>
      <c r="F3555" t="s">
        <v>2974</v>
      </c>
      <c r="G3555" t="s">
        <v>139</v>
      </c>
      <c r="H3555" t="s">
        <v>30</v>
      </c>
      <c r="I3555" t="s">
        <v>30</v>
      </c>
      <c r="J3555" t="s">
        <v>31</v>
      </c>
      <c r="K3555" t="s">
        <v>32</v>
      </c>
      <c r="L3555" t="s">
        <v>32</v>
      </c>
      <c r="M3555" t="s">
        <v>33</v>
      </c>
      <c r="P3555" t="s">
        <v>213</v>
      </c>
      <c r="Q3555" t="s">
        <v>2111</v>
      </c>
      <c r="S3555" t="s">
        <v>30</v>
      </c>
      <c r="T3555" t="s">
        <v>3036</v>
      </c>
      <c r="U3555" t="s">
        <v>3037</v>
      </c>
      <c r="V3555" t="s">
        <v>40</v>
      </c>
      <c r="W3555" s="1">
        <v>1710000</v>
      </c>
    </row>
    <row r="3556" spans="1:23" x14ac:dyDescent="0.2">
      <c r="A3556" t="s">
        <v>2096</v>
      </c>
      <c r="B3556" t="s">
        <v>2097</v>
      </c>
      <c r="C3556" t="s">
        <v>2971</v>
      </c>
      <c r="D3556" t="s">
        <v>2972</v>
      </c>
      <c r="E3556" t="s">
        <v>2973</v>
      </c>
      <c r="F3556" t="s">
        <v>2974</v>
      </c>
      <c r="G3556" t="s">
        <v>139</v>
      </c>
      <c r="H3556" t="s">
        <v>30</v>
      </c>
      <c r="I3556" t="s">
        <v>30</v>
      </c>
      <c r="J3556" t="s">
        <v>31</v>
      </c>
      <c r="K3556" t="s">
        <v>32</v>
      </c>
      <c r="L3556" t="s">
        <v>32</v>
      </c>
      <c r="M3556" t="s">
        <v>176</v>
      </c>
      <c r="P3556" t="s">
        <v>213</v>
      </c>
      <c r="Q3556" t="s">
        <v>2111</v>
      </c>
      <c r="S3556" t="s">
        <v>30</v>
      </c>
      <c r="T3556" t="s">
        <v>3036</v>
      </c>
      <c r="U3556" t="s">
        <v>3037</v>
      </c>
      <c r="V3556" t="s">
        <v>39</v>
      </c>
      <c r="W3556" s="1">
        <v>1</v>
      </c>
    </row>
    <row r="3557" spans="1:23" x14ac:dyDescent="0.2">
      <c r="A3557" t="s">
        <v>2096</v>
      </c>
      <c r="B3557" t="s">
        <v>2097</v>
      </c>
      <c r="C3557" t="s">
        <v>2971</v>
      </c>
      <c r="D3557" t="s">
        <v>2972</v>
      </c>
      <c r="E3557" t="s">
        <v>2973</v>
      </c>
      <c r="F3557" t="s">
        <v>2974</v>
      </c>
      <c r="G3557" t="s">
        <v>139</v>
      </c>
      <c r="H3557" t="s">
        <v>30</v>
      </c>
      <c r="I3557" t="s">
        <v>30</v>
      </c>
      <c r="J3557" t="s">
        <v>31</v>
      </c>
      <c r="K3557" t="s">
        <v>32</v>
      </c>
      <c r="L3557" t="s">
        <v>32</v>
      </c>
      <c r="M3557" t="s">
        <v>176</v>
      </c>
      <c r="P3557" t="s">
        <v>213</v>
      </c>
      <c r="Q3557" t="s">
        <v>2111</v>
      </c>
      <c r="S3557" t="s">
        <v>30</v>
      </c>
      <c r="T3557" t="s">
        <v>3036</v>
      </c>
      <c r="U3557" t="s">
        <v>3037</v>
      </c>
      <c r="V3557" t="s">
        <v>40</v>
      </c>
      <c r="W3557" s="1">
        <v>855000</v>
      </c>
    </row>
    <row r="3558" spans="1:23" x14ac:dyDescent="0.2">
      <c r="A3558" t="s">
        <v>2096</v>
      </c>
      <c r="B3558" t="s">
        <v>2097</v>
      </c>
      <c r="C3558" t="s">
        <v>2971</v>
      </c>
      <c r="D3558" t="s">
        <v>2972</v>
      </c>
      <c r="E3558" t="s">
        <v>3038</v>
      </c>
      <c r="F3558" t="s">
        <v>3039</v>
      </c>
      <c r="G3558" t="s">
        <v>67</v>
      </c>
      <c r="H3558" t="s">
        <v>30</v>
      </c>
      <c r="I3558" t="s">
        <v>30</v>
      </c>
      <c r="J3558" t="s">
        <v>31</v>
      </c>
      <c r="K3558" t="s">
        <v>32</v>
      </c>
      <c r="L3558" t="s">
        <v>32</v>
      </c>
      <c r="M3558" t="s">
        <v>33</v>
      </c>
      <c r="N3558" t="s">
        <v>33</v>
      </c>
      <c r="O3558" t="s">
        <v>33</v>
      </c>
      <c r="P3558" t="s">
        <v>34</v>
      </c>
      <c r="Q3558" t="s">
        <v>35</v>
      </c>
      <c r="S3558" t="s">
        <v>30</v>
      </c>
      <c r="T3558" t="s">
        <v>2770</v>
      </c>
      <c r="U3558" t="s">
        <v>3040</v>
      </c>
      <c r="V3558" t="s">
        <v>39</v>
      </c>
      <c r="W3558" s="1">
        <v>4</v>
      </c>
    </row>
    <row r="3559" spans="1:23" x14ac:dyDescent="0.2">
      <c r="A3559" t="s">
        <v>2096</v>
      </c>
      <c r="B3559" t="s">
        <v>2097</v>
      </c>
      <c r="C3559" t="s">
        <v>2971</v>
      </c>
      <c r="D3559" t="s">
        <v>2972</v>
      </c>
      <c r="E3559" t="s">
        <v>3038</v>
      </c>
      <c r="F3559" t="s">
        <v>3039</v>
      </c>
      <c r="G3559" t="s">
        <v>67</v>
      </c>
      <c r="H3559" t="s">
        <v>30</v>
      </c>
      <c r="I3559" t="s">
        <v>30</v>
      </c>
      <c r="J3559" t="s">
        <v>31</v>
      </c>
      <c r="K3559" t="s">
        <v>32</v>
      </c>
      <c r="L3559" t="s">
        <v>32</v>
      </c>
      <c r="M3559" t="s">
        <v>33</v>
      </c>
      <c r="N3559" t="s">
        <v>33</v>
      </c>
      <c r="O3559" t="s">
        <v>33</v>
      </c>
      <c r="P3559" t="s">
        <v>34</v>
      </c>
      <c r="Q3559" t="s">
        <v>35</v>
      </c>
      <c r="S3559" t="s">
        <v>30</v>
      </c>
      <c r="T3559" t="s">
        <v>2770</v>
      </c>
      <c r="U3559" t="s">
        <v>3040</v>
      </c>
      <c r="V3559" t="s">
        <v>40</v>
      </c>
      <c r="W3559" s="1">
        <v>3011600</v>
      </c>
    </row>
    <row r="3560" spans="1:23" x14ac:dyDescent="0.2">
      <c r="A3560" t="s">
        <v>2096</v>
      </c>
      <c r="B3560" t="s">
        <v>2097</v>
      </c>
      <c r="C3560" t="s">
        <v>2971</v>
      </c>
      <c r="D3560" t="s">
        <v>2972</v>
      </c>
      <c r="E3560" t="s">
        <v>3038</v>
      </c>
      <c r="F3560" t="s">
        <v>3039</v>
      </c>
      <c r="G3560" t="s">
        <v>89</v>
      </c>
      <c r="H3560" t="s">
        <v>30</v>
      </c>
      <c r="I3560" t="s">
        <v>30</v>
      </c>
      <c r="J3560" t="s">
        <v>31</v>
      </c>
      <c r="K3560" t="s">
        <v>32</v>
      </c>
      <c r="L3560" t="s">
        <v>32</v>
      </c>
      <c r="M3560" t="s">
        <v>33</v>
      </c>
      <c r="N3560" t="s">
        <v>33</v>
      </c>
      <c r="O3560" t="s">
        <v>33</v>
      </c>
      <c r="P3560" t="s">
        <v>34</v>
      </c>
      <c r="Q3560" t="s">
        <v>35</v>
      </c>
      <c r="S3560" t="s">
        <v>30</v>
      </c>
      <c r="T3560" t="s">
        <v>3041</v>
      </c>
      <c r="U3560" t="s">
        <v>3042</v>
      </c>
      <c r="V3560" t="s">
        <v>39</v>
      </c>
      <c r="W3560" s="1">
        <v>2</v>
      </c>
    </row>
    <row r="3561" spans="1:23" x14ac:dyDescent="0.2">
      <c r="A3561" t="s">
        <v>2096</v>
      </c>
      <c r="B3561" t="s">
        <v>2097</v>
      </c>
      <c r="C3561" t="s">
        <v>2971</v>
      </c>
      <c r="D3561" t="s">
        <v>2972</v>
      </c>
      <c r="E3561" t="s">
        <v>3038</v>
      </c>
      <c r="F3561" t="s">
        <v>3039</v>
      </c>
      <c r="G3561" t="s">
        <v>89</v>
      </c>
      <c r="H3561" t="s">
        <v>30</v>
      </c>
      <c r="I3561" t="s">
        <v>30</v>
      </c>
      <c r="J3561" t="s">
        <v>31</v>
      </c>
      <c r="K3561" t="s">
        <v>32</v>
      </c>
      <c r="L3561" t="s">
        <v>32</v>
      </c>
      <c r="M3561" t="s">
        <v>33</v>
      </c>
      <c r="N3561" t="s">
        <v>33</v>
      </c>
      <c r="O3561" t="s">
        <v>33</v>
      </c>
      <c r="P3561" t="s">
        <v>34</v>
      </c>
      <c r="Q3561" t="s">
        <v>35</v>
      </c>
      <c r="S3561" t="s">
        <v>30</v>
      </c>
      <c r="T3561" t="s">
        <v>3041</v>
      </c>
      <c r="U3561" t="s">
        <v>3042</v>
      </c>
      <c r="V3561" t="s">
        <v>40</v>
      </c>
      <c r="W3561" s="1">
        <v>1713800</v>
      </c>
    </row>
    <row r="3562" spans="1:23" x14ac:dyDescent="0.2">
      <c r="A3562" t="s">
        <v>2096</v>
      </c>
      <c r="B3562" t="s">
        <v>2097</v>
      </c>
      <c r="C3562" t="s">
        <v>2971</v>
      </c>
      <c r="D3562" t="s">
        <v>2972</v>
      </c>
      <c r="E3562" t="s">
        <v>3038</v>
      </c>
      <c r="F3562" t="s">
        <v>3039</v>
      </c>
      <c r="G3562" t="s">
        <v>89</v>
      </c>
      <c r="H3562" t="s">
        <v>30</v>
      </c>
      <c r="I3562" t="s">
        <v>30</v>
      </c>
      <c r="J3562" t="s">
        <v>31</v>
      </c>
      <c r="K3562" t="s">
        <v>32</v>
      </c>
      <c r="L3562" t="s">
        <v>32</v>
      </c>
      <c r="M3562" t="s">
        <v>176</v>
      </c>
      <c r="N3562" t="s">
        <v>176</v>
      </c>
      <c r="O3562" t="s">
        <v>176</v>
      </c>
      <c r="P3562" t="s">
        <v>34</v>
      </c>
      <c r="Q3562" t="s">
        <v>35</v>
      </c>
      <c r="S3562" t="s">
        <v>30</v>
      </c>
      <c r="T3562" t="s">
        <v>3041</v>
      </c>
      <c r="U3562" t="s">
        <v>3042</v>
      </c>
      <c r="V3562" t="s">
        <v>39</v>
      </c>
      <c r="W3562" s="1">
        <v>1</v>
      </c>
    </row>
    <row r="3563" spans="1:23" x14ac:dyDescent="0.2">
      <c r="A3563" t="s">
        <v>2096</v>
      </c>
      <c r="B3563" t="s">
        <v>2097</v>
      </c>
      <c r="C3563" t="s">
        <v>2971</v>
      </c>
      <c r="D3563" t="s">
        <v>2972</v>
      </c>
      <c r="E3563" t="s">
        <v>3038</v>
      </c>
      <c r="F3563" t="s">
        <v>3039</v>
      </c>
      <c r="G3563" t="s">
        <v>89</v>
      </c>
      <c r="H3563" t="s">
        <v>30</v>
      </c>
      <c r="I3563" t="s">
        <v>30</v>
      </c>
      <c r="J3563" t="s">
        <v>31</v>
      </c>
      <c r="K3563" t="s">
        <v>32</v>
      </c>
      <c r="L3563" t="s">
        <v>32</v>
      </c>
      <c r="M3563" t="s">
        <v>176</v>
      </c>
      <c r="N3563" t="s">
        <v>176</v>
      </c>
      <c r="O3563" t="s">
        <v>176</v>
      </c>
      <c r="P3563" t="s">
        <v>34</v>
      </c>
      <c r="Q3563" t="s">
        <v>35</v>
      </c>
      <c r="S3563" t="s">
        <v>30</v>
      </c>
      <c r="T3563" t="s">
        <v>3041</v>
      </c>
      <c r="U3563" t="s">
        <v>3042</v>
      </c>
      <c r="V3563" t="s">
        <v>40</v>
      </c>
      <c r="W3563" s="1">
        <v>906900</v>
      </c>
    </row>
    <row r="3564" spans="1:23" x14ac:dyDescent="0.2">
      <c r="A3564" t="s">
        <v>2096</v>
      </c>
      <c r="B3564" t="s">
        <v>2097</v>
      </c>
      <c r="C3564" t="s">
        <v>2971</v>
      </c>
      <c r="D3564" t="s">
        <v>2972</v>
      </c>
      <c r="E3564" t="s">
        <v>3038</v>
      </c>
      <c r="F3564" t="s">
        <v>3039</v>
      </c>
      <c r="G3564" t="s">
        <v>106</v>
      </c>
      <c r="H3564" t="s">
        <v>30</v>
      </c>
      <c r="I3564" t="s">
        <v>30</v>
      </c>
      <c r="J3564" t="s">
        <v>31</v>
      </c>
      <c r="K3564" t="s">
        <v>32</v>
      </c>
      <c r="L3564" t="s">
        <v>32</v>
      </c>
      <c r="M3564" t="s">
        <v>33</v>
      </c>
      <c r="N3564" t="s">
        <v>33</v>
      </c>
      <c r="O3564" t="s">
        <v>33</v>
      </c>
      <c r="P3564" t="s">
        <v>34</v>
      </c>
      <c r="Q3564" t="s">
        <v>35</v>
      </c>
      <c r="S3564" t="s">
        <v>30</v>
      </c>
      <c r="T3564" t="s">
        <v>3043</v>
      </c>
      <c r="U3564" t="s">
        <v>3044</v>
      </c>
      <c r="V3564" t="s">
        <v>39</v>
      </c>
      <c r="W3564" s="1">
        <v>2</v>
      </c>
    </row>
    <row r="3565" spans="1:23" x14ac:dyDescent="0.2">
      <c r="A3565" t="s">
        <v>2096</v>
      </c>
      <c r="B3565" t="s">
        <v>2097</v>
      </c>
      <c r="C3565" t="s">
        <v>2971</v>
      </c>
      <c r="D3565" t="s">
        <v>2972</v>
      </c>
      <c r="E3565" t="s">
        <v>3038</v>
      </c>
      <c r="F3565" t="s">
        <v>3039</v>
      </c>
      <c r="G3565" t="s">
        <v>106</v>
      </c>
      <c r="H3565" t="s">
        <v>30</v>
      </c>
      <c r="I3565" t="s">
        <v>30</v>
      </c>
      <c r="J3565" t="s">
        <v>31</v>
      </c>
      <c r="K3565" t="s">
        <v>32</v>
      </c>
      <c r="L3565" t="s">
        <v>32</v>
      </c>
      <c r="M3565" t="s">
        <v>33</v>
      </c>
      <c r="N3565" t="s">
        <v>33</v>
      </c>
      <c r="O3565" t="s">
        <v>33</v>
      </c>
      <c r="P3565" t="s">
        <v>34</v>
      </c>
      <c r="Q3565" t="s">
        <v>35</v>
      </c>
      <c r="S3565" t="s">
        <v>30</v>
      </c>
      <c r="T3565" t="s">
        <v>3043</v>
      </c>
      <c r="U3565" t="s">
        <v>3044</v>
      </c>
      <c r="V3565" t="s">
        <v>40</v>
      </c>
      <c r="W3565" s="1">
        <v>1081800</v>
      </c>
    </row>
    <row r="3566" spans="1:23" x14ac:dyDescent="0.2">
      <c r="A3566" t="s">
        <v>2096</v>
      </c>
      <c r="B3566" t="s">
        <v>2097</v>
      </c>
      <c r="C3566" t="s">
        <v>2971</v>
      </c>
      <c r="D3566" t="s">
        <v>2972</v>
      </c>
      <c r="E3566" t="s">
        <v>3045</v>
      </c>
      <c r="F3566" t="s">
        <v>3046</v>
      </c>
      <c r="G3566" t="s">
        <v>29</v>
      </c>
      <c r="H3566" t="s">
        <v>30</v>
      </c>
      <c r="I3566" t="s">
        <v>30</v>
      </c>
      <c r="J3566" t="s">
        <v>41</v>
      </c>
      <c r="K3566" t="s">
        <v>32</v>
      </c>
      <c r="L3566" t="s">
        <v>32</v>
      </c>
      <c r="M3566" t="s">
        <v>33</v>
      </c>
      <c r="N3566" t="s">
        <v>33</v>
      </c>
      <c r="O3566" t="s">
        <v>33</v>
      </c>
      <c r="P3566" t="s">
        <v>34</v>
      </c>
      <c r="Q3566" t="s">
        <v>35</v>
      </c>
      <c r="R3566" t="s">
        <v>162</v>
      </c>
      <c r="S3566" t="s">
        <v>30</v>
      </c>
      <c r="T3566" t="s">
        <v>333</v>
      </c>
      <c r="U3566" t="s">
        <v>3047</v>
      </c>
      <c r="V3566" t="s">
        <v>39</v>
      </c>
      <c r="W3566" s="1">
        <v>4</v>
      </c>
    </row>
    <row r="3567" spans="1:23" x14ac:dyDescent="0.2">
      <c r="A3567" t="s">
        <v>2096</v>
      </c>
      <c r="B3567" t="s">
        <v>2097</v>
      </c>
      <c r="C3567" t="s">
        <v>2971</v>
      </c>
      <c r="D3567" t="s">
        <v>2972</v>
      </c>
      <c r="E3567" t="s">
        <v>3045</v>
      </c>
      <c r="F3567" t="s">
        <v>3046</v>
      </c>
      <c r="G3567" t="s">
        <v>29</v>
      </c>
      <c r="H3567" t="s">
        <v>30</v>
      </c>
      <c r="I3567" t="s">
        <v>30</v>
      </c>
      <c r="J3567" t="s">
        <v>41</v>
      </c>
      <c r="K3567" t="s">
        <v>32</v>
      </c>
      <c r="L3567" t="s">
        <v>32</v>
      </c>
      <c r="M3567" t="s">
        <v>33</v>
      </c>
      <c r="N3567" t="s">
        <v>33</v>
      </c>
      <c r="O3567" t="s">
        <v>33</v>
      </c>
      <c r="P3567" t="s">
        <v>34</v>
      </c>
      <c r="Q3567" t="s">
        <v>35</v>
      </c>
      <c r="R3567" t="s">
        <v>162</v>
      </c>
      <c r="S3567" t="s">
        <v>30</v>
      </c>
      <c r="T3567" t="s">
        <v>333</v>
      </c>
      <c r="U3567" t="s">
        <v>3047</v>
      </c>
      <c r="V3567" t="s">
        <v>40</v>
      </c>
      <c r="W3567" s="1">
        <v>13381600</v>
      </c>
    </row>
    <row r="3568" spans="1:23" x14ac:dyDescent="0.2">
      <c r="A3568" t="s">
        <v>2096</v>
      </c>
      <c r="B3568" t="s">
        <v>2097</v>
      </c>
      <c r="C3568" t="s">
        <v>2971</v>
      </c>
      <c r="D3568" t="s">
        <v>2972</v>
      </c>
      <c r="E3568" t="s">
        <v>3045</v>
      </c>
      <c r="F3568" t="s">
        <v>3046</v>
      </c>
      <c r="G3568" t="s">
        <v>49</v>
      </c>
      <c r="H3568" t="s">
        <v>30</v>
      </c>
      <c r="I3568" t="s">
        <v>30</v>
      </c>
      <c r="J3568" t="s">
        <v>31</v>
      </c>
      <c r="K3568" t="s">
        <v>32</v>
      </c>
      <c r="L3568" t="s">
        <v>32</v>
      </c>
      <c r="M3568" t="s">
        <v>33</v>
      </c>
      <c r="N3568" t="s">
        <v>33</v>
      </c>
      <c r="O3568" t="s">
        <v>33</v>
      </c>
      <c r="P3568" t="s">
        <v>34</v>
      </c>
      <c r="Q3568" t="s">
        <v>35</v>
      </c>
      <c r="R3568" t="s">
        <v>228</v>
      </c>
      <c r="S3568" t="s">
        <v>30</v>
      </c>
      <c r="T3568" t="s">
        <v>3048</v>
      </c>
      <c r="U3568" t="s">
        <v>3049</v>
      </c>
      <c r="V3568" t="s">
        <v>39</v>
      </c>
      <c r="W3568" s="1">
        <v>2</v>
      </c>
    </row>
    <row r="3569" spans="1:23" x14ac:dyDescent="0.2">
      <c r="A3569" t="s">
        <v>2096</v>
      </c>
      <c r="B3569" t="s">
        <v>2097</v>
      </c>
      <c r="C3569" t="s">
        <v>2971</v>
      </c>
      <c r="D3569" t="s">
        <v>2972</v>
      </c>
      <c r="E3569" t="s">
        <v>3045</v>
      </c>
      <c r="F3569" t="s">
        <v>3046</v>
      </c>
      <c r="G3569" t="s">
        <v>49</v>
      </c>
      <c r="H3569" t="s">
        <v>30</v>
      </c>
      <c r="I3569" t="s">
        <v>30</v>
      </c>
      <c r="J3569" t="s">
        <v>31</v>
      </c>
      <c r="K3569" t="s">
        <v>32</v>
      </c>
      <c r="L3569" t="s">
        <v>32</v>
      </c>
      <c r="M3569" t="s">
        <v>33</v>
      </c>
      <c r="N3569" t="s">
        <v>33</v>
      </c>
      <c r="O3569" t="s">
        <v>33</v>
      </c>
      <c r="P3569" t="s">
        <v>34</v>
      </c>
      <c r="Q3569" t="s">
        <v>35</v>
      </c>
      <c r="R3569" t="s">
        <v>228</v>
      </c>
      <c r="S3569" t="s">
        <v>30</v>
      </c>
      <c r="T3569" t="s">
        <v>3048</v>
      </c>
      <c r="U3569" t="s">
        <v>3049</v>
      </c>
      <c r="V3569" t="s">
        <v>40</v>
      </c>
      <c r="W3569" s="1">
        <v>1399800</v>
      </c>
    </row>
    <row r="3570" spans="1:23" x14ac:dyDescent="0.2">
      <c r="A3570" t="s">
        <v>2096</v>
      </c>
      <c r="B3570" t="s">
        <v>2097</v>
      </c>
      <c r="C3570" t="s">
        <v>2971</v>
      </c>
      <c r="D3570" t="s">
        <v>2972</v>
      </c>
      <c r="E3570" t="s">
        <v>3045</v>
      </c>
      <c r="F3570" t="s">
        <v>3046</v>
      </c>
      <c r="G3570" t="s">
        <v>49</v>
      </c>
      <c r="H3570" t="s">
        <v>30</v>
      </c>
      <c r="I3570" t="s">
        <v>30</v>
      </c>
      <c r="J3570" t="s">
        <v>31</v>
      </c>
      <c r="K3570" t="s">
        <v>32</v>
      </c>
      <c r="L3570" t="s">
        <v>32</v>
      </c>
      <c r="M3570" t="s">
        <v>33</v>
      </c>
      <c r="N3570" t="s">
        <v>33</v>
      </c>
      <c r="O3570" t="s">
        <v>33</v>
      </c>
      <c r="P3570" t="s">
        <v>34</v>
      </c>
      <c r="Q3570" t="s">
        <v>35</v>
      </c>
      <c r="S3570" t="s">
        <v>30</v>
      </c>
      <c r="T3570" t="s">
        <v>3050</v>
      </c>
      <c r="U3570" t="s">
        <v>3051</v>
      </c>
      <c r="V3570" t="s">
        <v>39</v>
      </c>
      <c r="W3570" s="1">
        <v>3</v>
      </c>
    </row>
    <row r="3571" spans="1:23" x14ac:dyDescent="0.2">
      <c r="A3571" t="s">
        <v>2096</v>
      </c>
      <c r="B3571" t="s">
        <v>2097</v>
      </c>
      <c r="C3571" t="s">
        <v>2971</v>
      </c>
      <c r="D3571" t="s">
        <v>2972</v>
      </c>
      <c r="E3571" t="s">
        <v>3045</v>
      </c>
      <c r="F3571" t="s">
        <v>3046</v>
      </c>
      <c r="G3571" t="s">
        <v>49</v>
      </c>
      <c r="H3571" t="s">
        <v>30</v>
      </c>
      <c r="I3571" t="s">
        <v>30</v>
      </c>
      <c r="J3571" t="s">
        <v>31</v>
      </c>
      <c r="K3571" t="s">
        <v>32</v>
      </c>
      <c r="L3571" t="s">
        <v>32</v>
      </c>
      <c r="M3571" t="s">
        <v>33</v>
      </c>
      <c r="N3571" t="s">
        <v>33</v>
      </c>
      <c r="O3571" t="s">
        <v>33</v>
      </c>
      <c r="P3571" t="s">
        <v>34</v>
      </c>
      <c r="Q3571" t="s">
        <v>35</v>
      </c>
      <c r="S3571" t="s">
        <v>30</v>
      </c>
      <c r="T3571" t="s">
        <v>3050</v>
      </c>
      <c r="U3571" t="s">
        <v>3051</v>
      </c>
      <c r="V3571" t="s">
        <v>40</v>
      </c>
      <c r="W3571" s="1">
        <v>2429700</v>
      </c>
    </row>
    <row r="3572" spans="1:23" x14ac:dyDescent="0.2">
      <c r="A3572" t="s">
        <v>2096</v>
      </c>
      <c r="B3572" t="s">
        <v>2097</v>
      </c>
      <c r="C3572" t="s">
        <v>2971</v>
      </c>
      <c r="D3572" t="s">
        <v>2972</v>
      </c>
      <c r="E3572" t="s">
        <v>3045</v>
      </c>
      <c r="F3572" t="s">
        <v>3046</v>
      </c>
      <c r="G3572" t="s">
        <v>61</v>
      </c>
      <c r="H3572" t="s">
        <v>52</v>
      </c>
      <c r="I3572" t="s">
        <v>52</v>
      </c>
      <c r="J3572" t="s">
        <v>31</v>
      </c>
      <c r="K3572" t="s">
        <v>32</v>
      </c>
      <c r="L3572" t="s">
        <v>32</v>
      </c>
      <c r="M3572" t="s">
        <v>33</v>
      </c>
      <c r="N3572" t="s">
        <v>33</v>
      </c>
      <c r="O3572" t="s">
        <v>33</v>
      </c>
      <c r="P3572" t="s">
        <v>34</v>
      </c>
      <c r="Q3572" t="s">
        <v>35</v>
      </c>
      <c r="S3572" t="s">
        <v>30</v>
      </c>
      <c r="T3572" t="s">
        <v>3052</v>
      </c>
      <c r="U3572" t="s">
        <v>3053</v>
      </c>
      <c r="V3572" t="s">
        <v>39</v>
      </c>
      <c r="W3572" s="1">
        <v>4</v>
      </c>
    </row>
    <row r="3573" spans="1:23" x14ac:dyDescent="0.2">
      <c r="A3573" t="s">
        <v>2096</v>
      </c>
      <c r="B3573" t="s">
        <v>2097</v>
      </c>
      <c r="C3573" t="s">
        <v>2971</v>
      </c>
      <c r="D3573" t="s">
        <v>2972</v>
      </c>
      <c r="E3573" t="s">
        <v>3045</v>
      </c>
      <c r="F3573" t="s">
        <v>3046</v>
      </c>
      <c r="G3573" t="s">
        <v>61</v>
      </c>
      <c r="H3573" t="s">
        <v>52</v>
      </c>
      <c r="I3573" t="s">
        <v>52</v>
      </c>
      <c r="J3573" t="s">
        <v>31</v>
      </c>
      <c r="K3573" t="s">
        <v>32</v>
      </c>
      <c r="L3573" t="s">
        <v>32</v>
      </c>
      <c r="M3573" t="s">
        <v>33</v>
      </c>
      <c r="N3573" t="s">
        <v>33</v>
      </c>
      <c r="O3573" t="s">
        <v>33</v>
      </c>
      <c r="P3573" t="s">
        <v>34</v>
      </c>
      <c r="Q3573" t="s">
        <v>35</v>
      </c>
      <c r="S3573" t="s">
        <v>30</v>
      </c>
      <c r="T3573" t="s">
        <v>3052</v>
      </c>
      <c r="U3573" t="s">
        <v>3053</v>
      </c>
      <c r="V3573" t="s">
        <v>40</v>
      </c>
      <c r="W3573" s="1">
        <v>3199600</v>
      </c>
    </row>
    <row r="3574" spans="1:23" x14ac:dyDescent="0.2">
      <c r="A3574" t="s">
        <v>2096</v>
      </c>
      <c r="B3574" t="s">
        <v>2097</v>
      </c>
      <c r="C3574" t="s">
        <v>2971</v>
      </c>
      <c r="D3574" t="s">
        <v>2972</v>
      </c>
      <c r="E3574" t="s">
        <v>3045</v>
      </c>
      <c r="F3574" t="s">
        <v>3046</v>
      </c>
      <c r="G3574" t="s">
        <v>64</v>
      </c>
      <c r="H3574" t="s">
        <v>30</v>
      </c>
      <c r="I3574" t="s">
        <v>52</v>
      </c>
      <c r="J3574" t="s">
        <v>31</v>
      </c>
      <c r="K3574" t="s">
        <v>32</v>
      </c>
      <c r="L3574" t="s">
        <v>32</v>
      </c>
      <c r="M3574" t="s">
        <v>33</v>
      </c>
      <c r="N3574" t="s">
        <v>33</v>
      </c>
      <c r="O3574" t="s">
        <v>33</v>
      </c>
      <c r="P3574" t="s">
        <v>34</v>
      </c>
      <c r="Q3574" t="s">
        <v>35</v>
      </c>
      <c r="S3574" t="s">
        <v>30</v>
      </c>
      <c r="T3574" t="s">
        <v>3054</v>
      </c>
      <c r="U3574" t="s">
        <v>3055</v>
      </c>
      <c r="V3574" t="s">
        <v>39</v>
      </c>
      <c r="W3574" s="1">
        <v>5</v>
      </c>
    </row>
    <row r="3575" spans="1:23" x14ac:dyDescent="0.2">
      <c r="A3575" t="s">
        <v>2096</v>
      </c>
      <c r="B3575" t="s">
        <v>2097</v>
      </c>
      <c r="C3575" t="s">
        <v>2971</v>
      </c>
      <c r="D3575" t="s">
        <v>2972</v>
      </c>
      <c r="E3575" t="s">
        <v>3045</v>
      </c>
      <c r="F3575" t="s">
        <v>3046</v>
      </c>
      <c r="G3575" t="s">
        <v>64</v>
      </c>
      <c r="H3575" t="s">
        <v>30</v>
      </c>
      <c r="I3575" t="s">
        <v>52</v>
      </c>
      <c r="J3575" t="s">
        <v>31</v>
      </c>
      <c r="K3575" t="s">
        <v>32</v>
      </c>
      <c r="L3575" t="s">
        <v>32</v>
      </c>
      <c r="M3575" t="s">
        <v>33</v>
      </c>
      <c r="N3575" t="s">
        <v>33</v>
      </c>
      <c r="O3575" t="s">
        <v>33</v>
      </c>
      <c r="P3575" t="s">
        <v>34</v>
      </c>
      <c r="Q3575" t="s">
        <v>35</v>
      </c>
      <c r="S3575" t="s">
        <v>30</v>
      </c>
      <c r="T3575" t="s">
        <v>3054</v>
      </c>
      <c r="U3575" t="s">
        <v>3055</v>
      </c>
      <c r="V3575" t="s">
        <v>40</v>
      </c>
      <c r="W3575" s="1">
        <v>2149500</v>
      </c>
    </row>
    <row r="3576" spans="1:23" x14ac:dyDescent="0.2">
      <c r="A3576" t="s">
        <v>2096</v>
      </c>
      <c r="B3576" t="s">
        <v>2097</v>
      </c>
      <c r="C3576" t="s">
        <v>2971</v>
      </c>
      <c r="D3576" t="s">
        <v>2972</v>
      </c>
      <c r="E3576" t="s">
        <v>3045</v>
      </c>
      <c r="F3576" t="s">
        <v>3046</v>
      </c>
      <c r="G3576" t="s">
        <v>64</v>
      </c>
      <c r="H3576" t="s">
        <v>30</v>
      </c>
      <c r="I3576" t="s">
        <v>52</v>
      </c>
      <c r="J3576" t="s">
        <v>31</v>
      </c>
      <c r="K3576" t="s">
        <v>32</v>
      </c>
      <c r="L3576" t="s">
        <v>32</v>
      </c>
      <c r="M3576" t="s">
        <v>33</v>
      </c>
      <c r="N3576" t="s">
        <v>169</v>
      </c>
      <c r="O3576" t="s">
        <v>169</v>
      </c>
      <c r="P3576" t="s">
        <v>34</v>
      </c>
      <c r="Q3576" t="s">
        <v>35</v>
      </c>
      <c r="S3576" t="s">
        <v>30</v>
      </c>
      <c r="T3576" t="s">
        <v>3054</v>
      </c>
      <c r="U3576" t="s">
        <v>3055</v>
      </c>
      <c r="V3576" t="s">
        <v>39</v>
      </c>
      <c r="W3576" s="1">
        <v>1</v>
      </c>
    </row>
    <row r="3577" spans="1:23" x14ac:dyDescent="0.2">
      <c r="A3577" t="s">
        <v>2096</v>
      </c>
      <c r="B3577" t="s">
        <v>2097</v>
      </c>
      <c r="C3577" t="s">
        <v>2971</v>
      </c>
      <c r="D3577" t="s">
        <v>2972</v>
      </c>
      <c r="E3577" t="s">
        <v>3045</v>
      </c>
      <c r="F3577" t="s">
        <v>3046</v>
      </c>
      <c r="G3577" t="s">
        <v>64</v>
      </c>
      <c r="H3577" t="s">
        <v>30</v>
      </c>
      <c r="I3577" t="s">
        <v>52</v>
      </c>
      <c r="J3577" t="s">
        <v>31</v>
      </c>
      <c r="K3577" t="s">
        <v>32</v>
      </c>
      <c r="L3577" t="s">
        <v>32</v>
      </c>
      <c r="M3577" t="s">
        <v>33</v>
      </c>
      <c r="N3577" t="s">
        <v>169</v>
      </c>
      <c r="O3577" t="s">
        <v>169</v>
      </c>
      <c r="P3577" t="s">
        <v>34</v>
      </c>
      <c r="Q3577" t="s">
        <v>35</v>
      </c>
      <c r="S3577" t="s">
        <v>30</v>
      </c>
      <c r="T3577" t="s">
        <v>3054</v>
      </c>
      <c r="U3577" t="s">
        <v>3055</v>
      </c>
      <c r="V3577" t="s">
        <v>40</v>
      </c>
      <c r="W3577" s="1">
        <v>429900</v>
      </c>
    </row>
    <row r="3578" spans="1:23" x14ac:dyDescent="0.2">
      <c r="A3578" t="s">
        <v>2096</v>
      </c>
      <c r="B3578" t="s">
        <v>2097</v>
      </c>
      <c r="C3578" t="s">
        <v>2971</v>
      </c>
      <c r="D3578" t="s">
        <v>2972</v>
      </c>
      <c r="E3578" t="s">
        <v>3045</v>
      </c>
      <c r="F3578" t="s">
        <v>3046</v>
      </c>
      <c r="G3578" t="s">
        <v>64</v>
      </c>
      <c r="H3578" t="s">
        <v>30</v>
      </c>
      <c r="I3578" t="s">
        <v>52</v>
      </c>
      <c r="J3578" t="s">
        <v>31</v>
      </c>
      <c r="K3578" t="s">
        <v>32</v>
      </c>
      <c r="L3578" t="s">
        <v>32</v>
      </c>
      <c r="M3578" t="s">
        <v>33</v>
      </c>
      <c r="P3578" t="s">
        <v>34</v>
      </c>
      <c r="Q3578" t="s">
        <v>35</v>
      </c>
      <c r="S3578" t="s">
        <v>52</v>
      </c>
      <c r="T3578" t="s">
        <v>3056</v>
      </c>
      <c r="U3578" t="s">
        <v>3057</v>
      </c>
      <c r="V3578" t="s">
        <v>39</v>
      </c>
      <c r="W3578" s="1">
        <v>0</v>
      </c>
    </row>
    <row r="3579" spans="1:23" x14ac:dyDescent="0.2">
      <c r="A3579" t="s">
        <v>2096</v>
      </c>
      <c r="B3579" t="s">
        <v>2097</v>
      </c>
      <c r="C3579" t="s">
        <v>2971</v>
      </c>
      <c r="D3579" t="s">
        <v>2972</v>
      </c>
      <c r="E3579" t="s">
        <v>3045</v>
      </c>
      <c r="F3579" t="s">
        <v>3046</v>
      </c>
      <c r="G3579" t="s">
        <v>64</v>
      </c>
      <c r="H3579" t="s">
        <v>30</v>
      </c>
      <c r="I3579" t="s">
        <v>52</v>
      </c>
      <c r="J3579" t="s">
        <v>31</v>
      </c>
      <c r="K3579" t="s">
        <v>32</v>
      </c>
      <c r="L3579" t="s">
        <v>32</v>
      </c>
      <c r="M3579" t="s">
        <v>33</v>
      </c>
      <c r="P3579" t="s">
        <v>34</v>
      </c>
      <c r="Q3579" t="s">
        <v>35</v>
      </c>
      <c r="S3579" t="s">
        <v>52</v>
      </c>
      <c r="T3579" t="s">
        <v>3056</v>
      </c>
      <c r="U3579" t="s">
        <v>3057</v>
      </c>
      <c r="V3579" t="s">
        <v>40</v>
      </c>
      <c r="W3579" s="1">
        <v>2899500</v>
      </c>
    </row>
    <row r="3580" spans="1:23" x14ac:dyDescent="0.2">
      <c r="A3580" t="s">
        <v>2096</v>
      </c>
      <c r="B3580" t="s">
        <v>2097</v>
      </c>
      <c r="C3580" t="s">
        <v>2971</v>
      </c>
      <c r="D3580" t="s">
        <v>2972</v>
      </c>
      <c r="E3580" t="s">
        <v>3045</v>
      </c>
      <c r="F3580" t="s">
        <v>3046</v>
      </c>
      <c r="G3580" t="s">
        <v>67</v>
      </c>
      <c r="H3580" t="s">
        <v>30</v>
      </c>
      <c r="I3580" t="s">
        <v>30</v>
      </c>
      <c r="J3580" t="s">
        <v>41</v>
      </c>
      <c r="K3580" t="s">
        <v>32</v>
      </c>
      <c r="L3580" t="s">
        <v>32</v>
      </c>
      <c r="M3580" t="s">
        <v>33</v>
      </c>
      <c r="N3580" t="s">
        <v>33</v>
      </c>
      <c r="O3580" t="s">
        <v>33</v>
      </c>
      <c r="P3580" t="s">
        <v>34</v>
      </c>
      <c r="Q3580" t="s">
        <v>35</v>
      </c>
      <c r="R3580" t="s">
        <v>162</v>
      </c>
      <c r="S3580" t="s">
        <v>30</v>
      </c>
      <c r="T3580" t="s">
        <v>3058</v>
      </c>
      <c r="U3580" t="s">
        <v>3059</v>
      </c>
      <c r="V3580" t="s">
        <v>39</v>
      </c>
      <c r="W3580" s="1">
        <v>2</v>
      </c>
    </row>
    <row r="3581" spans="1:23" x14ac:dyDescent="0.2">
      <c r="A3581" t="s">
        <v>2096</v>
      </c>
      <c r="B3581" t="s">
        <v>2097</v>
      </c>
      <c r="C3581" t="s">
        <v>2971</v>
      </c>
      <c r="D3581" t="s">
        <v>2972</v>
      </c>
      <c r="E3581" t="s">
        <v>3045</v>
      </c>
      <c r="F3581" t="s">
        <v>3046</v>
      </c>
      <c r="G3581" t="s">
        <v>67</v>
      </c>
      <c r="H3581" t="s">
        <v>30</v>
      </c>
      <c r="I3581" t="s">
        <v>30</v>
      </c>
      <c r="J3581" t="s">
        <v>41</v>
      </c>
      <c r="K3581" t="s">
        <v>32</v>
      </c>
      <c r="L3581" t="s">
        <v>32</v>
      </c>
      <c r="M3581" t="s">
        <v>33</v>
      </c>
      <c r="N3581" t="s">
        <v>33</v>
      </c>
      <c r="O3581" t="s">
        <v>33</v>
      </c>
      <c r="P3581" t="s">
        <v>34</v>
      </c>
      <c r="Q3581" t="s">
        <v>35</v>
      </c>
      <c r="R3581" t="s">
        <v>162</v>
      </c>
      <c r="S3581" t="s">
        <v>30</v>
      </c>
      <c r="T3581" t="s">
        <v>3058</v>
      </c>
      <c r="U3581" t="s">
        <v>3059</v>
      </c>
      <c r="V3581" t="s">
        <v>40</v>
      </c>
      <c r="W3581" s="1">
        <v>6590800</v>
      </c>
    </row>
    <row r="3582" spans="1:23" x14ac:dyDescent="0.2">
      <c r="A3582" t="s">
        <v>2096</v>
      </c>
      <c r="B3582" t="s">
        <v>2097</v>
      </c>
      <c r="C3582" t="s">
        <v>2971</v>
      </c>
      <c r="D3582" t="s">
        <v>2972</v>
      </c>
      <c r="E3582" t="s">
        <v>3045</v>
      </c>
      <c r="F3582" t="s">
        <v>3046</v>
      </c>
      <c r="G3582" t="s">
        <v>89</v>
      </c>
      <c r="H3582" t="s">
        <v>30</v>
      </c>
      <c r="I3582" t="s">
        <v>30</v>
      </c>
      <c r="J3582" t="s">
        <v>31</v>
      </c>
      <c r="K3582" t="s">
        <v>32</v>
      </c>
      <c r="L3582" t="s">
        <v>32</v>
      </c>
      <c r="M3582" t="s">
        <v>33</v>
      </c>
      <c r="P3582" t="s">
        <v>34</v>
      </c>
      <c r="Q3582" t="s">
        <v>35</v>
      </c>
      <c r="S3582" t="s">
        <v>52</v>
      </c>
      <c r="T3582" t="s">
        <v>3060</v>
      </c>
      <c r="U3582" t="s">
        <v>3061</v>
      </c>
      <c r="V3582" t="s">
        <v>39</v>
      </c>
      <c r="W3582" s="1">
        <v>0</v>
      </c>
    </row>
    <row r="3583" spans="1:23" x14ac:dyDescent="0.2">
      <c r="A3583" t="s">
        <v>2096</v>
      </c>
      <c r="B3583" t="s">
        <v>2097</v>
      </c>
      <c r="C3583" t="s">
        <v>2971</v>
      </c>
      <c r="D3583" t="s">
        <v>2972</v>
      </c>
      <c r="E3583" t="s">
        <v>3045</v>
      </c>
      <c r="F3583" t="s">
        <v>3046</v>
      </c>
      <c r="G3583" t="s">
        <v>89</v>
      </c>
      <c r="H3583" t="s">
        <v>30</v>
      </c>
      <c r="I3583" t="s">
        <v>30</v>
      </c>
      <c r="J3583" t="s">
        <v>31</v>
      </c>
      <c r="K3583" t="s">
        <v>32</v>
      </c>
      <c r="L3583" t="s">
        <v>32</v>
      </c>
      <c r="M3583" t="s">
        <v>33</v>
      </c>
      <c r="P3583" t="s">
        <v>34</v>
      </c>
      <c r="Q3583" t="s">
        <v>35</v>
      </c>
      <c r="S3583" t="s">
        <v>52</v>
      </c>
      <c r="T3583" t="s">
        <v>3060</v>
      </c>
      <c r="U3583" t="s">
        <v>3061</v>
      </c>
      <c r="V3583" t="s">
        <v>40</v>
      </c>
      <c r="W3583" s="1">
        <v>1123800</v>
      </c>
    </row>
    <row r="3584" spans="1:23" x14ac:dyDescent="0.2">
      <c r="A3584" t="s">
        <v>2096</v>
      </c>
      <c r="B3584" t="s">
        <v>2097</v>
      </c>
      <c r="C3584" t="s">
        <v>2971</v>
      </c>
      <c r="D3584" t="s">
        <v>2972</v>
      </c>
      <c r="E3584" t="s">
        <v>3045</v>
      </c>
      <c r="F3584" t="s">
        <v>3046</v>
      </c>
      <c r="G3584" t="s">
        <v>106</v>
      </c>
      <c r="H3584" t="s">
        <v>30</v>
      </c>
      <c r="I3584" t="s">
        <v>30</v>
      </c>
      <c r="J3584" t="s">
        <v>128</v>
      </c>
      <c r="K3584" t="s">
        <v>181</v>
      </c>
      <c r="L3584" t="s">
        <v>32</v>
      </c>
      <c r="M3584" t="s">
        <v>33</v>
      </c>
      <c r="P3584" t="s">
        <v>34</v>
      </c>
      <c r="Q3584" t="s">
        <v>35</v>
      </c>
      <c r="S3584" t="s">
        <v>30</v>
      </c>
      <c r="T3584" t="s">
        <v>3062</v>
      </c>
      <c r="U3584" t="s">
        <v>3063</v>
      </c>
      <c r="V3584" t="s">
        <v>39</v>
      </c>
      <c r="W3584" s="1">
        <v>10</v>
      </c>
    </row>
    <row r="3585" spans="1:23" x14ac:dyDescent="0.2">
      <c r="A3585" t="s">
        <v>2096</v>
      </c>
      <c r="B3585" t="s">
        <v>2097</v>
      </c>
      <c r="C3585" t="s">
        <v>2971</v>
      </c>
      <c r="D3585" t="s">
        <v>2972</v>
      </c>
      <c r="E3585" t="s">
        <v>3045</v>
      </c>
      <c r="F3585" t="s">
        <v>3046</v>
      </c>
      <c r="G3585" t="s">
        <v>106</v>
      </c>
      <c r="H3585" t="s">
        <v>30</v>
      </c>
      <c r="I3585" t="s">
        <v>30</v>
      </c>
      <c r="J3585" t="s">
        <v>128</v>
      </c>
      <c r="K3585" t="s">
        <v>181</v>
      </c>
      <c r="L3585" t="s">
        <v>32</v>
      </c>
      <c r="M3585" t="s">
        <v>33</v>
      </c>
      <c r="P3585" t="s">
        <v>34</v>
      </c>
      <c r="Q3585" t="s">
        <v>35</v>
      </c>
      <c r="S3585" t="s">
        <v>30</v>
      </c>
      <c r="T3585" t="s">
        <v>3062</v>
      </c>
      <c r="U3585" t="s">
        <v>3063</v>
      </c>
      <c r="V3585" t="s">
        <v>40</v>
      </c>
      <c r="W3585" s="1">
        <v>14000000</v>
      </c>
    </row>
    <row r="3586" spans="1:23" x14ac:dyDescent="0.2">
      <c r="A3586" t="s">
        <v>2096</v>
      </c>
      <c r="B3586" t="s">
        <v>2097</v>
      </c>
      <c r="C3586" t="s">
        <v>2971</v>
      </c>
      <c r="D3586" t="s">
        <v>2972</v>
      </c>
      <c r="E3586" t="s">
        <v>3045</v>
      </c>
      <c r="F3586" t="s">
        <v>3046</v>
      </c>
      <c r="G3586" t="s">
        <v>106</v>
      </c>
      <c r="H3586" t="s">
        <v>30</v>
      </c>
      <c r="I3586" t="s">
        <v>30</v>
      </c>
      <c r="J3586" t="s">
        <v>128</v>
      </c>
      <c r="K3586" t="s">
        <v>181</v>
      </c>
      <c r="L3586" t="s">
        <v>32</v>
      </c>
      <c r="M3586" t="s">
        <v>33</v>
      </c>
      <c r="P3586" t="s">
        <v>34</v>
      </c>
      <c r="Q3586" t="s">
        <v>35</v>
      </c>
      <c r="S3586" t="s">
        <v>30</v>
      </c>
      <c r="T3586" t="s">
        <v>3062</v>
      </c>
      <c r="U3586" t="s">
        <v>3064</v>
      </c>
      <c r="V3586" t="s">
        <v>39</v>
      </c>
      <c r="W3586" s="1">
        <v>2</v>
      </c>
    </row>
    <row r="3587" spans="1:23" x14ac:dyDescent="0.2">
      <c r="A3587" t="s">
        <v>2096</v>
      </c>
      <c r="B3587" t="s">
        <v>2097</v>
      </c>
      <c r="C3587" t="s">
        <v>2971</v>
      </c>
      <c r="D3587" t="s">
        <v>2972</v>
      </c>
      <c r="E3587" t="s">
        <v>3045</v>
      </c>
      <c r="F3587" t="s">
        <v>3046</v>
      </c>
      <c r="G3587" t="s">
        <v>106</v>
      </c>
      <c r="H3587" t="s">
        <v>30</v>
      </c>
      <c r="I3587" t="s">
        <v>30</v>
      </c>
      <c r="J3587" t="s">
        <v>128</v>
      </c>
      <c r="K3587" t="s">
        <v>181</v>
      </c>
      <c r="L3587" t="s">
        <v>32</v>
      </c>
      <c r="M3587" t="s">
        <v>33</v>
      </c>
      <c r="P3587" t="s">
        <v>34</v>
      </c>
      <c r="Q3587" t="s">
        <v>35</v>
      </c>
      <c r="S3587" t="s">
        <v>30</v>
      </c>
      <c r="T3587" t="s">
        <v>3062</v>
      </c>
      <c r="U3587" t="s">
        <v>3064</v>
      </c>
      <c r="V3587" t="s">
        <v>40</v>
      </c>
      <c r="W3587" s="1">
        <v>2800000</v>
      </c>
    </row>
    <row r="3588" spans="1:23" x14ac:dyDescent="0.2">
      <c r="A3588" t="s">
        <v>2096</v>
      </c>
      <c r="B3588" t="s">
        <v>2097</v>
      </c>
      <c r="C3588" t="s">
        <v>2971</v>
      </c>
      <c r="D3588" t="s">
        <v>2972</v>
      </c>
      <c r="E3588" t="s">
        <v>3045</v>
      </c>
      <c r="F3588" t="s">
        <v>3046</v>
      </c>
      <c r="G3588" t="s">
        <v>106</v>
      </c>
      <c r="H3588" t="s">
        <v>30</v>
      </c>
      <c r="I3588" t="s">
        <v>30</v>
      </c>
      <c r="J3588" t="s">
        <v>128</v>
      </c>
      <c r="K3588" t="s">
        <v>181</v>
      </c>
      <c r="L3588" t="s">
        <v>32</v>
      </c>
      <c r="M3588" t="s">
        <v>33</v>
      </c>
      <c r="P3588" t="s">
        <v>34</v>
      </c>
      <c r="Q3588" t="s">
        <v>35</v>
      </c>
      <c r="S3588" t="s">
        <v>52</v>
      </c>
      <c r="T3588" t="s">
        <v>3062</v>
      </c>
      <c r="U3588" t="s">
        <v>3063</v>
      </c>
      <c r="V3588" t="s">
        <v>39</v>
      </c>
      <c r="W3588" s="1">
        <v>0</v>
      </c>
    </row>
    <row r="3589" spans="1:23" x14ac:dyDescent="0.2">
      <c r="A3589" t="s">
        <v>2096</v>
      </c>
      <c r="B3589" t="s">
        <v>2097</v>
      </c>
      <c r="C3589" t="s">
        <v>2971</v>
      </c>
      <c r="D3589" t="s">
        <v>2972</v>
      </c>
      <c r="E3589" t="s">
        <v>3045</v>
      </c>
      <c r="F3589" t="s">
        <v>3046</v>
      </c>
      <c r="G3589" t="s">
        <v>106</v>
      </c>
      <c r="H3589" t="s">
        <v>30</v>
      </c>
      <c r="I3589" t="s">
        <v>30</v>
      </c>
      <c r="J3589" t="s">
        <v>128</v>
      </c>
      <c r="K3589" t="s">
        <v>181</v>
      </c>
      <c r="L3589" t="s">
        <v>32</v>
      </c>
      <c r="M3589" t="s">
        <v>33</v>
      </c>
      <c r="P3589" t="s">
        <v>34</v>
      </c>
      <c r="Q3589" t="s">
        <v>35</v>
      </c>
      <c r="S3589" t="s">
        <v>52</v>
      </c>
      <c r="T3589" t="s">
        <v>3062</v>
      </c>
      <c r="U3589" t="s">
        <v>3063</v>
      </c>
      <c r="V3589" t="s">
        <v>40</v>
      </c>
      <c r="W3589" s="1">
        <v>2800000</v>
      </c>
    </row>
    <row r="3590" spans="1:23" x14ac:dyDescent="0.2">
      <c r="A3590" t="s">
        <v>2096</v>
      </c>
      <c r="B3590" t="s">
        <v>2097</v>
      </c>
      <c r="C3590" t="s">
        <v>2971</v>
      </c>
      <c r="D3590" t="s">
        <v>2972</v>
      </c>
      <c r="E3590" t="s">
        <v>3045</v>
      </c>
      <c r="F3590" t="s">
        <v>3046</v>
      </c>
      <c r="G3590" t="s">
        <v>106</v>
      </c>
      <c r="H3590" t="s">
        <v>30</v>
      </c>
      <c r="I3590" t="s">
        <v>30</v>
      </c>
      <c r="J3590" t="s">
        <v>31</v>
      </c>
      <c r="K3590" t="s">
        <v>32</v>
      </c>
      <c r="L3590" t="s">
        <v>32</v>
      </c>
      <c r="M3590" t="s">
        <v>33</v>
      </c>
      <c r="P3590" t="s">
        <v>34</v>
      </c>
      <c r="Q3590" t="s">
        <v>35</v>
      </c>
      <c r="S3590" t="s">
        <v>30</v>
      </c>
      <c r="T3590" t="s">
        <v>3065</v>
      </c>
      <c r="U3590" t="s">
        <v>3066</v>
      </c>
      <c r="V3590" t="s">
        <v>39</v>
      </c>
      <c r="W3590" s="1">
        <v>6</v>
      </c>
    </row>
    <row r="3591" spans="1:23" x14ac:dyDescent="0.2">
      <c r="A3591" t="s">
        <v>2096</v>
      </c>
      <c r="B3591" t="s">
        <v>2097</v>
      </c>
      <c r="C3591" t="s">
        <v>2971</v>
      </c>
      <c r="D3591" t="s">
        <v>2972</v>
      </c>
      <c r="E3591" t="s">
        <v>3045</v>
      </c>
      <c r="F3591" t="s">
        <v>3046</v>
      </c>
      <c r="G3591" t="s">
        <v>106</v>
      </c>
      <c r="H3591" t="s">
        <v>30</v>
      </c>
      <c r="I3591" t="s">
        <v>30</v>
      </c>
      <c r="J3591" t="s">
        <v>31</v>
      </c>
      <c r="K3591" t="s">
        <v>32</v>
      </c>
      <c r="L3591" t="s">
        <v>32</v>
      </c>
      <c r="M3591" t="s">
        <v>33</v>
      </c>
      <c r="P3591" t="s">
        <v>34</v>
      </c>
      <c r="Q3591" t="s">
        <v>35</v>
      </c>
      <c r="S3591" t="s">
        <v>30</v>
      </c>
      <c r="T3591" t="s">
        <v>3065</v>
      </c>
      <c r="U3591" t="s">
        <v>3066</v>
      </c>
      <c r="V3591" t="s">
        <v>40</v>
      </c>
      <c r="W3591" s="1">
        <v>2831400</v>
      </c>
    </row>
    <row r="3592" spans="1:23" x14ac:dyDescent="0.2">
      <c r="A3592" t="s">
        <v>2096</v>
      </c>
      <c r="B3592" t="s">
        <v>2097</v>
      </c>
      <c r="C3592" t="s">
        <v>2971</v>
      </c>
      <c r="D3592" t="s">
        <v>2972</v>
      </c>
      <c r="E3592" t="s">
        <v>3045</v>
      </c>
      <c r="F3592" t="s">
        <v>3046</v>
      </c>
      <c r="G3592" t="s">
        <v>119</v>
      </c>
      <c r="H3592" t="s">
        <v>30</v>
      </c>
      <c r="I3592" t="s">
        <v>52</v>
      </c>
      <c r="J3592" t="s">
        <v>31</v>
      </c>
      <c r="K3592" t="s">
        <v>32</v>
      </c>
      <c r="L3592" t="s">
        <v>32</v>
      </c>
      <c r="M3592" t="s">
        <v>33</v>
      </c>
      <c r="N3592" t="s">
        <v>33</v>
      </c>
      <c r="O3592" t="s">
        <v>33</v>
      </c>
      <c r="P3592" t="s">
        <v>34</v>
      </c>
      <c r="Q3592" t="s">
        <v>35</v>
      </c>
      <c r="S3592" t="s">
        <v>30</v>
      </c>
      <c r="T3592" t="s">
        <v>3067</v>
      </c>
      <c r="U3592" t="s">
        <v>3068</v>
      </c>
      <c r="V3592" t="s">
        <v>39</v>
      </c>
      <c r="W3592" s="1">
        <v>4</v>
      </c>
    </row>
    <row r="3593" spans="1:23" x14ac:dyDescent="0.2">
      <c r="A3593" t="s">
        <v>2096</v>
      </c>
      <c r="B3593" t="s">
        <v>2097</v>
      </c>
      <c r="C3593" t="s">
        <v>2971</v>
      </c>
      <c r="D3593" t="s">
        <v>2972</v>
      </c>
      <c r="E3593" t="s">
        <v>3045</v>
      </c>
      <c r="F3593" t="s">
        <v>3046</v>
      </c>
      <c r="G3593" t="s">
        <v>119</v>
      </c>
      <c r="H3593" t="s">
        <v>30</v>
      </c>
      <c r="I3593" t="s">
        <v>52</v>
      </c>
      <c r="J3593" t="s">
        <v>31</v>
      </c>
      <c r="K3593" t="s">
        <v>32</v>
      </c>
      <c r="L3593" t="s">
        <v>32</v>
      </c>
      <c r="M3593" t="s">
        <v>33</v>
      </c>
      <c r="N3593" t="s">
        <v>33</v>
      </c>
      <c r="O3593" t="s">
        <v>33</v>
      </c>
      <c r="P3593" t="s">
        <v>34</v>
      </c>
      <c r="Q3593" t="s">
        <v>35</v>
      </c>
      <c r="S3593" t="s">
        <v>30</v>
      </c>
      <c r="T3593" t="s">
        <v>3067</v>
      </c>
      <c r="U3593" t="s">
        <v>3068</v>
      </c>
      <c r="V3593" t="s">
        <v>40</v>
      </c>
      <c r="W3593" s="1">
        <v>2039600</v>
      </c>
    </row>
    <row r="3594" spans="1:23" x14ac:dyDescent="0.2">
      <c r="A3594" t="s">
        <v>2096</v>
      </c>
      <c r="B3594" t="s">
        <v>2097</v>
      </c>
      <c r="C3594" t="s">
        <v>2971</v>
      </c>
      <c r="D3594" t="s">
        <v>2972</v>
      </c>
      <c r="E3594" t="s">
        <v>3045</v>
      </c>
      <c r="F3594" t="s">
        <v>3046</v>
      </c>
      <c r="G3594" t="s">
        <v>127</v>
      </c>
      <c r="H3594" t="s">
        <v>52</v>
      </c>
      <c r="I3594" t="s">
        <v>30</v>
      </c>
      <c r="J3594" t="s">
        <v>31</v>
      </c>
      <c r="K3594" t="s">
        <v>32</v>
      </c>
      <c r="L3594" t="s">
        <v>32</v>
      </c>
      <c r="M3594" t="s">
        <v>33</v>
      </c>
      <c r="N3594" t="s">
        <v>33</v>
      </c>
      <c r="O3594" t="s">
        <v>33</v>
      </c>
      <c r="P3594" t="s">
        <v>34</v>
      </c>
      <c r="Q3594" t="s">
        <v>35</v>
      </c>
      <c r="R3594" t="s">
        <v>228</v>
      </c>
      <c r="S3594" t="s">
        <v>30</v>
      </c>
      <c r="T3594" t="s">
        <v>3069</v>
      </c>
      <c r="U3594" t="s">
        <v>3070</v>
      </c>
      <c r="V3594" t="s">
        <v>39</v>
      </c>
      <c r="W3594" s="1">
        <v>2</v>
      </c>
    </row>
    <row r="3595" spans="1:23" x14ac:dyDescent="0.2">
      <c r="A3595" t="s">
        <v>2096</v>
      </c>
      <c r="B3595" t="s">
        <v>2097</v>
      </c>
      <c r="C3595" t="s">
        <v>2971</v>
      </c>
      <c r="D3595" t="s">
        <v>2972</v>
      </c>
      <c r="E3595" t="s">
        <v>3045</v>
      </c>
      <c r="F3595" t="s">
        <v>3046</v>
      </c>
      <c r="G3595" t="s">
        <v>127</v>
      </c>
      <c r="H3595" t="s">
        <v>52</v>
      </c>
      <c r="I3595" t="s">
        <v>30</v>
      </c>
      <c r="J3595" t="s">
        <v>31</v>
      </c>
      <c r="K3595" t="s">
        <v>32</v>
      </c>
      <c r="L3595" t="s">
        <v>32</v>
      </c>
      <c r="M3595" t="s">
        <v>33</v>
      </c>
      <c r="N3595" t="s">
        <v>33</v>
      </c>
      <c r="O3595" t="s">
        <v>33</v>
      </c>
      <c r="P3595" t="s">
        <v>34</v>
      </c>
      <c r="Q3595" t="s">
        <v>35</v>
      </c>
      <c r="R3595" t="s">
        <v>228</v>
      </c>
      <c r="S3595" t="s">
        <v>30</v>
      </c>
      <c r="T3595" t="s">
        <v>3069</v>
      </c>
      <c r="U3595" t="s">
        <v>3070</v>
      </c>
      <c r="V3595" t="s">
        <v>40</v>
      </c>
      <c r="W3595" s="1">
        <v>1299800</v>
      </c>
    </row>
    <row r="3596" spans="1:23" x14ac:dyDescent="0.2">
      <c r="A3596" t="s">
        <v>2096</v>
      </c>
      <c r="B3596" t="s">
        <v>2097</v>
      </c>
      <c r="C3596" t="s">
        <v>2971</v>
      </c>
      <c r="D3596" t="s">
        <v>2972</v>
      </c>
      <c r="E3596" t="s">
        <v>3045</v>
      </c>
      <c r="F3596" t="s">
        <v>3046</v>
      </c>
      <c r="G3596" t="s">
        <v>134</v>
      </c>
      <c r="H3596" t="s">
        <v>52</v>
      </c>
      <c r="I3596" t="s">
        <v>30</v>
      </c>
      <c r="J3596" t="s">
        <v>41</v>
      </c>
      <c r="K3596" t="s">
        <v>32</v>
      </c>
      <c r="L3596" t="s">
        <v>32</v>
      </c>
      <c r="M3596" t="s">
        <v>33</v>
      </c>
      <c r="N3596" t="s">
        <v>33</v>
      </c>
      <c r="O3596" t="s">
        <v>33</v>
      </c>
      <c r="P3596" t="s">
        <v>34</v>
      </c>
      <c r="Q3596" t="s">
        <v>35</v>
      </c>
      <c r="S3596" t="s">
        <v>30</v>
      </c>
      <c r="T3596" t="s">
        <v>3071</v>
      </c>
      <c r="U3596" t="s">
        <v>3072</v>
      </c>
      <c r="V3596" t="s">
        <v>39</v>
      </c>
      <c r="W3596" s="1">
        <v>2</v>
      </c>
    </row>
    <row r="3597" spans="1:23" x14ac:dyDescent="0.2">
      <c r="A3597" t="s">
        <v>2096</v>
      </c>
      <c r="B3597" t="s">
        <v>2097</v>
      </c>
      <c r="C3597" t="s">
        <v>2971</v>
      </c>
      <c r="D3597" t="s">
        <v>2972</v>
      </c>
      <c r="E3597" t="s">
        <v>3045</v>
      </c>
      <c r="F3597" t="s">
        <v>3046</v>
      </c>
      <c r="G3597" t="s">
        <v>134</v>
      </c>
      <c r="H3597" t="s">
        <v>52</v>
      </c>
      <c r="I3597" t="s">
        <v>30</v>
      </c>
      <c r="J3597" t="s">
        <v>41</v>
      </c>
      <c r="K3597" t="s">
        <v>32</v>
      </c>
      <c r="L3597" t="s">
        <v>32</v>
      </c>
      <c r="M3597" t="s">
        <v>33</v>
      </c>
      <c r="N3597" t="s">
        <v>33</v>
      </c>
      <c r="O3597" t="s">
        <v>33</v>
      </c>
      <c r="P3597" t="s">
        <v>34</v>
      </c>
      <c r="Q3597" t="s">
        <v>35</v>
      </c>
      <c r="S3597" t="s">
        <v>30</v>
      </c>
      <c r="T3597" t="s">
        <v>3071</v>
      </c>
      <c r="U3597" t="s">
        <v>3072</v>
      </c>
      <c r="V3597" t="s">
        <v>40</v>
      </c>
      <c r="W3597" s="1">
        <v>6110000</v>
      </c>
    </row>
    <row r="3598" spans="1:23" x14ac:dyDescent="0.2">
      <c r="A3598" t="s">
        <v>2096</v>
      </c>
      <c r="B3598" t="s">
        <v>2097</v>
      </c>
      <c r="C3598" t="s">
        <v>2971</v>
      </c>
      <c r="D3598" t="s">
        <v>3073</v>
      </c>
      <c r="E3598" t="s">
        <v>3074</v>
      </c>
      <c r="F3598" t="s">
        <v>3075</v>
      </c>
      <c r="G3598" t="s">
        <v>29</v>
      </c>
      <c r="H3598" t="s">
        <v>30</v>
      </c>
      <c r="I3598" t="s">
        <v>30</v>
      </c>
      <c r="J3598" t="s">
        <v>31</v>
      </c>
      <c r="K3598" t="s">
        <v>32</v>
      </c>
      <c r="L3598" t="s">
        <v>32</v>
      </c>
      <c r="M3598" t="s">
        <v>33</v>
      </c>
      <c r="N3598" t="s">
        <v>33</v>
      </c>
      <c r="O3598" t="s">
        <v>33</v>
      </c>
      <c r="P3598" t="s">
        <v>34</v>
      </c>
      <c r="Q3598" t="s">
        <v>35</v>
      </c>
      <c r="S3598" t="s">
        <v>30</v>
      </c>
      <c r="T3598" t="s">
        <v>3076</v>
      </c>
      <c r="U3598" t="s">
        <v>3077</v>
      </c>
      <c r="V3598" t="s">
        <v>39</v>
      </c>
      <c r="W3598" s="1">
        <v>2</v>
      </c>
    </row>
    <row r="3599" spans="1:23" x14ac:dyDescent="0.2">
      <c r="A3599" t="s">
        <v>2096</v>
      </c>
      <c r="B3599" t="s">
        <v>2097</v>
      </c>
      <c r="C3599" t="s">
        <v>2971</v>
      </c>
      <c r="D3599" t="s">
        <v>3073</v>
      </c>
      <c r="E3599" t="s">
        <v>3074</v>
      </c>
      <c r="F3599" t="s">
        <v>3075</v>
      </c>
      <c r="G3599" t="s">
        <v>29</v>
      </c>
      <c r="H3599" t="s">
        <v>30</v>
      </c>
      <c r="I3599" t="s">
        <v>30</v>
      </c>
      <c r="J3599" t="s">
        <v>31</v>
      </c>
      <c r="K3599" t="s">
        <v>32</v>
      </c>
      <c r="L3599" t="s">
        <v>32</v>
      </c>
      <c r="M3599" t="s">
        <v>33</v>
      </c>
      <c r="N3599" t="s">
        <v>33</v>
      </c>
      <c r="O3599" t="s">
        <v>33</v>
      </c>
      <c r="P3599" t="s">
        <v>34</v>
      </c>
      <c r="Q3599" t="s">
        <v>35</v>
      </c>
      <c r="S3599" t="s">
        <v>30</v>
      </c>
      <c r="T3599" t="s">
        <v>3076</v>
      </c>
      <c r="U3599" t="s">
        <v>3077</v>
      </c>
      <c r="V3599" t="s">
        <v>40</v>
      </c>
      <c r="W3599" s="1">
        <v>2799800</v>
      </c>
    </row>
    <row r="3600" spans="1:23" x14ac:dyDescent="0.2">
      <c r="A3600" t="s">
        <v>2096</v>
      </c>
      <c r="B3600" t="s">
        <v>2097</v>
      </c>
      <c r="C3600" t="s">
        <v>2971</v>
      </c>
      <c r="D3600" t="s">
        <v>3073</v>
      </c>
      <c r="E3600" t="s">
        <v>3074</v>
      </c>
      <c r="F3600" t="s">
        <v>3075</v>
      </c>
      <c r="G3600" t="s">
        <v>29</v>
      </c>
      <c r="H3600" t="s">
        <v>30</v>
      </c>
      <c r="I3600" t="s">
        <v>30</v>
      </c>
      <c r="J3600" t="s">
        <v>31</v>
      </c>
      <c r="K3600" t="s">
        <v>32</v>
      </c>
      <c r="L3600" t="s">
        <v>32</v>
      </c>
      <c r="M3600" t="s">
        <v>33</v>
      </c>
      <c r="P3600" t="s">
        <v>34</v>
      </c>
      <c r="Q3600" t="s">
        <v>35</v>
      </c>
      <c r="S3600" t="s">
        <v>30</v>
      </c>
      <c r="T3600" t="s">
        <v>3078</v>
      </c>
      <c r="U3600" t="s">
        <v>3079</v>
      </c>
      <c r="V3600" t="s">
        <v>39</v>
      </c>
      <c r="W3600" s="1">
        <v>2</v>
      </c>
    </row>
    <row r="3601" spans="1:23" x14ac:dyDescent="0.2">
      <c r="A3601" t="s">
        <v>2096</v>
      </c>
      <c r="B3601" t="s">
        <v>2097</v>
      </c>
      <c r="C3601" t="s">
        <v>2971</v>
      </c>
      <c r="D3601" t="s">
        <v>3073</v>
      </c>
      <c r="E3601" t="s">
        <v>3074</v>
      </c>
      <c r="F3601" t="s">
        <v>3075</v>
      </c>
      <c r="G3601" t="s">
        <v>29</v>
      </c>
      <c r="H3601" t="s">
        <v>30</v>
      </c>
      <c r="I3601" t="s">
        <v>30</v>
      </c>
      <c r="J3601" t="s">
        <v>31</v>
      </c>
      <c r="K3601" t="s">
        <v>32</v>
      </c>
      <c r="L3601" t="s">
        <v>32</v>
      </c>
      <c r="M3601" t="s">
        <v>33</v>
      </c>
      <c r="P3601" t="s">
        <v>34</v>
      </c>
      <c r="Q3601" t="s">
        <v>35</v>
      </c>
      <c r="S3601" t="s">
        <v>30</v>
      </c>
      <c r="T3601" t="s">
        <v>3078</v>
      </c>
      <c r="U3601" t="s">
        <v>3079</v>
      </c>
      <c r="V3601" t="s">
        <v>40</v>
      </c>
      <c r="W3601" s="1">
        <v>1399800</v>
      </c>
    </row>
    <row r="3602" spans="1:23" x14ac:dyDescent="0.2">
      <c r="A3602" t="s">
        <v>2096</v>
      </c>
      <c r="B3602" t="s">
        <v>2097</v>
      </c>
      <c r="C3602" t="s">
        <v>2971</v>
      </c>
      <c r="D3602" t="s">
        <v>3073</v>
      </c>
      <c r="E3602" t="s">
        <v>3074</v>
      </c>
      <c r="F3602" t="s">
        <v>3075</v>
      </c>
      <c r="G3602" t="s">
        <v>29</v>
      </c>
      <c r="H3602" t="s">
        <v>30</v>
      </c>
      <c r="I3602" t="s">
        <v>30</v>
      </c>
      <c r="J3602" t="s">
        <v>41</v>
      </c>
      <c r="K3602" t="s">
        <v>32</v>
      </c>
      <c r="L3602" t="s">
        <v>32</v>
      </c>
      <c r="M3602" t="s">
        <v>33</v>
      </c>
      <c r="N3602" t="s">
        <v>33</v>
      </c>
      <c r="O3602" t="s">
        <v>33</v>
      </c>
      <c r="P3602" t="s">
        <v>34</v>
      </c>
      <c r="Q3602" t="s">
        <v>35</v>
      </c>
      <c r="R3602" t="s">
        <v>54</v>
      </c>
      <c r="S3602" t="s">
        <v>30</v>
      </c>
      <c r="T3602" t="s">
        <v>3080</v>
      </c>
      <c r="U3602" t="s">
        <v>3081</v>
      </c>
      <c r="V3602" t="s">
        <v>39</v>
      </c>
      <c r="W3602" s="1">
        <v>3</v>
      </c>
    </row>
    <row r="3603" spans="1:23" x14ac:dyDescent="0.2">
      <c r="A3603" t="s">
        <v>2096</v>
      </c>
      <c r="B3603" t="s">
        <v>2097</v>
      </c>
      <c r="C3603" t="s">
        <v>2971</v>
      </c>
      <c r="D3603" t="s">
        <v>3073</v>
      </c>
      <c r="E3603" t="s">
        <v>3074</v>
      </c>
      <c r="F3603" t="s">
        <v>3075</v>
      </c>
      <c r="G3603" t="s">
        <v>29</v>
      </c>
      <c r="H3603" t="s">
        <v>30</v>
      </c>
      <c r="I3603" t="s">
        <v>30</v>
      </c>
      <c r="J3603" t="s">
        <v>41</v>
      </c>
      <c r="K3603" t="s">
        <v>32</v>
      </c>
      <c r="L3603" t="s">
        <v>32</v>
      </c>
      <c r="M3603" t="s">
        <v>33</v>
      </c>
      <c r="N3603" t="s">
        <v>33</v>
      </c>
      <c r="O3603" t="s">
        <v>33</v>
      </c>
      <c r="P3603" t="s">
        <v>34</v>
      </c>
      <c r="Q3603" t="s">
        <v>35</v>
      </c>
      <c r="R3603" t="s">
        <v>54</v>
      </c>
      <c r="S3603" t="s">
        <v>30</v>
      </c>
      <c r="T3603" t="s">
        <v>3080</v>
      </c>
      <c r="U3603" t="s">
        <v>3081</v>
      </c>
      <c r="V3603" t="s">
        <v>40</v>
      </c>
      <c r="W3603" s="1">
        <v>2882700</v>
      </c>
    </row>
    <row r="3604" spans="1:23" x14ac:dyDescent="0.2">
      <c r="A3604" t="s">
        <v>2096</v>
      </c>
      <c r="B3604" t="s">
        <v>2097</v>
      </c>
      <c r="C3604" t="s">
        <v>2971</v>
      </c>
      <c r="D3604" t="s">
        <v>3073</v>
      </c>
      <c r="E3604" t="s">
        <v>3074</v>
      </c>
      <c r="F3604" t="s">
        <v>3075</v>
      </c>
      <c r="G3604" t="s">
        <v>49</v>
      </c>
      <c r="H3604" t="s">
        <v>30</v>
      </c>
      <c r="I3604" t="s">
        <v>30</v>
      </c>
      <c r="J3604" t="s">
        <v>57</v>
      </c>
      <c r="K3604" t="s">
        <v>32</v>
      </c>
      <c r="L3604" t="s">
        <v>32</v>
      </c>
      <c r="M3604" t="s">
        <v>33</v>
      </c>
      <c r="N3604" t="s">
        <v>33</v>
      </c>
      <c r="O3604" t="s">
        <v>33</v>
      </c>
      <c r="P3604" t="s">
        <v>34</v>
      </c>
      <c r="Q3604" t="s">
        <v>35</v>
      </c>
      <c r="S3604" t="s">
        <v>30</v>
      </c>
      <c r="T3604" t="s">
        <v>3082</v>
      </c>
      <c r="U3604" t="s">
        <v>3083</v>
      </c>
      <c r="V3604" t="s">
        <v>39</v>
      </c>
      <c r="W3604" s="1">
        <v>2</v>
      </c>
    </row>
    <row r="3605" spans="1:23" x14ac:dyDescent="0.2">
      <c r="A3605" t="s">
        <v>2096</v>
      </c>
      <c r="B3605" t="s">
        <v>2097</v>
      </c>
      <c r="C3605" t="s">
        <v>2971</v>
      </c>
      <c r="D3605" t="s">
        <v>3073</v>
      </c>
      <c r="E3605" t="s">
        <v>3074</v>
      </c>
      <c r="F3605" t="s">
        <v>3075</v>
      </c>
      <c r="G3605" t="s">
        <v>49</v>
      </c>
      <c r="H3605" t="s">
        <v>30</v>
      </c>
      <c r="I3605" t="s">
        <v>30</v>
      </c>
      <c r="J3605" t="s">
        <v>57</v>
      </c>
      <c r="K3605" t="s">
        <v>32</v>
      </c>
      <c r="L3605" t="s">
        <v>32</v>
      </c>
      <c r="M3605" t="s">
        <v>33</v>
      </c>
      <c r="N3605" t="s">
        <v>33</v>
      </c>
      <c r="O3605" t="s">
        <v>33</v>
      </c>
      <c r="P3605" t="s">
        <v>34</v>
      </c>
      <c r="Q3605" t="s">
        <v>35</v>
      </c>
      <c r="S3605" t="s">
        <v>30</v>
      </c>
      <c r="T3605" t="s">
        <v>3082</v>
      </c>
      <c r="U3605" t="s">
        <v>3083</v>
      </c>
      <c r="V3605" t="s">
        <v>40</v>
      </c>
      <c r="W3605" s="1">
        <v>3499800</v>
      </c>
    </row>
    <row r="3606" spans="1:23" x14ac:dyDescent="0.2">
      <c r="A3606" t="s">
        <v>2096</v>
      </c>
      <c r="B3606" t="s">
        <v>2097</v>
      </c>
      <c r="C3606" t="s">
        <v>2971</v>
      </c>
      <c r="D3606" t="s">
        <v>3073</v>
      </c>
      <c r="E3606" t="s">
        <v>3074</v>
      </c>
      <c r="F3606" t="s">
        <v>3075</v>
      </c>
      <c r="G3606" t="s">
        <v>61</v>
      </c>
      <c r="H3606" t="s">
        <v>52</v>
      </c>
      <c r="I3606" t="s">
        <v>52</v>
      </c>
      <c r="J3606" t="s">
        <v>128</v>
      </c>
      <c r="K3606" t="s">
        <v>181</v>
      </c>
      <c r="L3606" t="s">
        <v>32</v>
      </c>
      <c r="M3606" t="s">
        <v>33</v>
      </c>
      <c r="P3606" t="s">
        <v>372</v>
      </c>
      <c r="Q3606" t="s">
        <v>373</v>
      </c>
      <c r="S3606" t="s">
        <v>30</v>
      </c>
      <c r="T3606" t="s">
        <v>3084</v>
      </c>
      <c r="U3606" t="s">
        <v>3085</v>
      </c>
      <c r="V3606" t="s">
        <v>39</v>
      </c>
      <c r="W3606" s="1">
        <v>10</v>
      </c>
    </row>
    <row r="3607" spans="1:23" x14ac:dyDescent="0.2">
      <c r="A3607" t="s">
        <v>2096</v>
      </c>
      <c r="B3607" t="s">
        <v>2097</v>
      </c>
      <c r="C3607" t="s">
        <v>2971</v>
      </c>
      <c r="D3607" t="s">
        <v>3073</v>
      </c>
      <c r="E3607" t="s">
        <v>3074</v>
      </c>
      <c r="F3607" t="s">
        <v>3075</v>
      </c>
      <c r="G3607" t="s">
        <v>61</v>
      </c>
      <c r="H3607" t="s">
        <v>52</v>
      </c>
      <c r="I3607" t="s">
        <v>52</v>
      </c>
      <c r="J3607" t="s">
        <v>128</v>
      </c>
      <c r="K3607" t="s">
        <v>181</v>
      </c>
      <c r="L3607" t="s">
        <v>32</v>
      </c>
      <c r="M3607" t="s">
        <v>33</v>
      </c>
      <c r="P3607" t="s">
        <v>372</v>
      </c>
      <c r="Q3607" t="s">
        <v>373</v>
      </c>
      <c r="S3607" t="s">
        <v>30</v>
      </c>
      <c r="T3607" t="s">
        <v>3084</v>
      </c>
      <c r="U3607" t="s">
        <v>3085</v>
      </c>
      <c r="V3607" t="s">
        <v>40</v>
      </c>
      <c r="W3607" s="1">
        <v>5400000</v>
      </c>
    </row>
    <row r="3608" spans="1:23" x14ac:dyDescent="0.2">
      <c r="A3608" t="s">
        <v>2096</v>
      </c>
      <c r="B3608" t="s">
        <v>2097</v>
      </c>
      <c r="C3608" t="s">
        <v>2971</v>
      </c>
      <c r="D3608" t="s">
        <v>3073</v>
      </c>
      <c r="E3608" t="s">
        <v>3074</v>
      </c>
      <c r="F3608" t="s">
        <v>3075</v>
      </c>
      <c r="G3608" t="s">
        <v>61</v>
      </c>
      <c r="H3608" t="s">
        <v>52</v>
      </c>
      <c r="I3608" t="s">
        <v>52</v>
      </c>
      <c r="J3608" t="s">
        <v>41</v>
      </c>
      <c r="K3608" t="s">
        <v>32</v>
      </c>
      <c r="L3608" t="s">
        <v>32</v>
      </c>
      <c r="M3608" t="s">
        <v>33</v>
      </c>
      <c r="N3608" t="s">
        <v>33</v>
      </c>
      <c r="O3608" t="s">
        <v>33</v>
      </c>
      <c r="P3608" t="s">
        <v>34</v>
      </c>
      <c r="Q3608" t="s">
        <v>35</v>
      </c>
      <c r="R3608" t="s">
        <v>294</v>
      </c>
      <c r="S3608" t="s">
        <v>30</v>
      </c>
      <c r="T3608" t="s">
        <v>3086</v>
      </c>
      <c r="U3608" t="s">
        <v>3087</v>
      </c>
      <c r="V3608" t="s">
        <v>39</v>
      </c>
      <c r="W3608" s="1">
        <v>2</v>
      </c>
    </row>
    <row r="3609" spans="1:23" x14ac:dyDescent="0.2">
      <c r="A3609" t="s">
        <v>2096</v>
      </c>
      <c r="B3609" t="s">
        <v>2097</v>
      </c>
      <c r="C3609" t="s">
        <v>2971</v>
      </c>
      <c r="D3609" t="s">
        <v>3073</v>
      </c>
      <c r="E3609" t="s">
        <v>3074</v>
      </c>
      <c r="F3609" t="s">
        <v>3075</v>
      </c>
      <c r="G3609" t="s">
        <v>61</v>
      </c>
      <c r="H3609" t="s">
        <v>52</v>
      </c>
      <c r="I3609" t="s">
        <v>52</v>
      </c>
      <c r="J3609" t="s">
        <v>41</v>
      </c>
      <c r="K3609" t="s">
        <v>32</v>
      </c>
      <c r="L3609" t="s">
        <v>32</v>
      </c>
      <c r="M3609" t="s">
        <v>33</v>
      </c>
      <c r="N3609" t="s">
        <v>33</v>
      </c>
      <c r="O3609" t="s">
        <v>33</v>
      </c>
      <c r="P3609" t="s">
        <v>34</v>
      </c>
      <c r="Q3609" t="s">
        <v>35</v>
      </c>
      <c r="R3609" t="s">
        <v>294</v>
      </c>
      <c r="S3609" t="s">
        <v>30</v>
      </c>
      <c r="T3609" t="s">
        <v>3086</v>
      </c>
      <c r="U3609" t="s">
        <v>3087</v>
      </c>
      <c r="V3609" t="s">
        <v>40</v>
      </c>
      <c r="W3609" s="1">
        <v>2299800</v>
      </c>
    </row>
    <row r="3610" spans="1:23" x14ac:dyDescent="0.2">
      <c r="A3610" t="s">
        <v>2096</v>
      </c>
      <c r="B3610" t="s">
        <v>2097</v>
      </c>
      <c r="C3610" t="s">
        <v>2971</v>
      </c>
      <c r="D3610" t="s">
        <v>3073</v>
      </c>
      <c r="E3610" t="s">
        <v>3074</v>
      </c>
      <c r="F3610" t="s">
        <v>3075</v>
      </c>
      <c r="G3610" t="s">
        <v>170</v>
      </c>
      <c r="H3610" t="s">
        <v>52</v>
      </c>
      <c r="I3610" t="s">
        <v>30</v>
      </c>
      <c r="J3610" t="s">
        <v>41</v>
      </c>
      <c r="K3610" t="s">
        <v>32</v>
      </c>
      <c r="L3610" t="s">
        <v>32</v>
      </c>
      <c r="M3610" t="s">
        <v>33</v>
      </c>
      <c r="N3610" t="s">
        <v>33</v>
      </c>
      <c r="O3610" t="s">
        <v>33</v>
      </c>
      <c r="P3610" t="s">
        <v>34</v>
      </c>
      <c r="Q3610" t="s">
        <v>35</v>
      </c>
      <c r="S3610" t="s">
        <v>30</v>
      </c>
      <c r="T3610" t="s">
        <v>3088</v>
      </c>
      <c r="U3610" t="s">
        <v>3089</v>
      </c>
      <c r="V3610" t="s">
        <v>39</v>
      </c>
      <c r="W3610" s="1">
        <v>1</v>
      </c>
    </row>
    <row r="3611" spans="1:23" x14ac:dyDescent="0.2">
      <c r="A3611" t="s">
        <v>2096</v>
      </c>
      <c r="B3611" t="s">
        <v>2097</v>
      </c>
      <c r="C3611" t="s">
        <v>2971</v>
      </c>
      <c r="D3611" t="s">
        <v>3073</v>
      </c>
      <c r="E3611" t="s">
        <v>3074</v>
      </c>
      <c r="F3611" t="s">
        <v>3075</v>
      </c>
      <c r="G3611" t="s">
        <v>170</v>
      </c>
      <c r="H3611" t="s">
        <v>52</v>
      </c>
      <c r="I3611" t="s">
        <v>30</v>
      </c>
      <c r="J3611" t="s">
        <v>41</v>
      </c>
      <c r="K3611" t="s">
        <v>32</v>
      </c>
      <c r="L3611" t="s">
        <v>32</v>
      </c>
      <c r="M3611" t="s">
        <v>33</v>
      </c>
      <c r="N3611" t="s">
        <v>33</v>
      </c>
      <c r="O3611" t="s">
        <v>33</v>
      </c>
      <c r="P3611" t="s">
        <v>34</v>
      </c>
      <c r="Q3611" t="s">
        <v>35</v>
      </c>
      <c r="S3611" t="s">
        <v>30</v>
      </c>
      <c r="T3611" t="s">
        <v>3088</v>
      </c>
      <c r="U3611" t="s">
        <v>3089</v>
      </c>
      <c r="V3611" t="s">
        <v>40</v>
      </c>
      <c r="W3611" s="1">
        <v>1309900</v>
      </c>
    </row>
    <row r="3612" spans="1:23" x14ac:dyDescent="0.2">
      <c r="A3612" t="s">
        <v>2096</v>
      </c>
      <c r="B3612" t="s">
        <v>2097</v>
      </c>
      <c r="C3612" t="s">
        <v>2971</v>
      </c>
      <c r="D3612" t="s">
        <v>3073</v>
      </c>
      <c r="E3612" t="s">
        <v>3074</v>
      </c>
      <c r="F3612" t="s">
        <v>3075</v>
      </c>
      <c r="G3612" t="s">
        <v>170</v>
      </c>
      <c r="H3612" t="s">
        <v>52</v>
      </c>
      <c r="I3612" t="s">
        <v>30</v>
      </c>
      <c r="J3612" t="s">
        <v>41</v>
      </c>
      <c r="K3612" t="s">
        <v>32</v>
      </c>
      <c r="L3612" t="s">
        <v>32</v>
      </c>
      <c r="M3612" t="s">
        <v>33</v>
      </c>
      <c r="P3612" t="s">
        <v>34</v>
      </c>
      <c r="Q3612" t="s">
        <v>35</v>
      </c>
      <c r="S3612" t="s">
        <v>30</v>
      </c>
      <c r="T3612" t="s">
        <v>3088</v>
      </c>
      <c r="U3612" t="s">
        <v>3089</v>
      </c>
      <c r="V3612" t="s">
        <v>39</v>
      </c>
      <c r="W3612" s="1">
        <v>1</v>
      </c>
    </row>
    <row r="3613" spans="1:23" x14ac:dyDescent="0.2">
      <c r="A3613" t="s">
        <v>2096</v>
      </c>
      <c r="B3613" t="s">
        <v>2097</v>
      </c>
      <c r="C3613" t="s">
        <v>2971</v>
      </c>
      <c r="D3613" t="s">
        <v>3073</v>
      </c>
      <c r="E3613" t="s">
        <v>3074</v>
      </c>
      <c r="F3613" t="s">
        <v>3075</v>
      </c>
      <c r="G3613" t="s">
        <v>170</v>
      </c>
      <c r="H3613" t="s">
        <v>52</v>
      </c>
      <c r="I3613" t="s">
        <v>30</v>
      </c>
      <c r="J3613" t="s">
        <v>41</v>
      </c>
      <c r="K3613" t="s">
        <v>32</v>
      </c>
      <c r="L3613" t="s">
        <v>32</v>
      </c>
      <c r="M3613" t="s">
        <v>33</v>
      </c>
      <c r="P3613" t="s">
        <v>34</v>
      </c>
      <c r="Q3613" t="s">
        <v>35</v>
      </c>
      <c r="S3613" t="s">
        <v>30</v>
      </c>
      <c r="T3613" t="s">
        <v>3088</v>
      </c>
      <c r="U3613" t="s">
        <v>3089</v>
      </c>
      <c r="V3613" t="s">
        <v>40</v>
      </c>
      <c r="W3613" s="1">
        <v>1309900</v>
      </c>
    </row>
    <row r="3614" spans="1:23" x14ac:dyDescent="0.2">
      <c r="A3614" t="s">
        <v>2096</v>
      </c>
      <c r="B3614" t="s">
        <v>2097</v>
      </c>
      <c r="C3614" t="s">
        <v>2971</v>
      </c>
      <c r="D3614" t="s">
        <v>3073</v>
      </c>
      <c r="E3614" t="s">
        <v>3074</v>
      </c>
      <c r="F3614" t="s">
        <v>3075</v>
      </c>
      <c r="G3614" t="s">
        <v>89</v>
      </c>
      <c r="H3614" t="s">
        <v>30</v>
      </c>
      <c r="I3614" t="s">
        <v>30</v>
      </c>
      <c r="J3614" t="s">
        <v>31</v>
      </c>
      <c r="K3614" t="s">
        <v>32</v>
      </c>
      <c r="L3614" t="s">
        <v>32</v>
      </c>
      <c r="M3614" t="s">
        <v>33</v>
      </c>
      <c r="N3614" t="s">
        <v>33</v>
      </c>
      <c r="O3614" t="s">
        <v>33</v>
      </c>
      <c r="P3614" t="s">
        <v>34</v>
      </c>
      <c r="Q3614" t="s">
        <v>35</v>
      </c>
      <c r="S3614" t="s">
        <v>30</v>
      </c>
      <c r="T3614" t="s">
        <v>3090</v>
      </c>
      <c r="U3614" t="s">
        <v>3091</v>
      </c>
      <c r="V3614" t="s">
        <v>39</v>
      </c>
      <c r="W3614" s="1">
        <v>2</v>
      </c>
    </row>
    <row r="3615" spans="1:23" x14ac:dyDescent="0.2">
      <c r="A3615" t="s">
        <v>2096</v>
      </c>
      <c r="B3615" t="s">
        <v>2097</v>
      </c>
      <c r="C3615" t="s">
        <v>2971</v>
      </c>
      <c r="D3615" t="s">
        <v>3073</v>
      </c>
      <c r="E3615" t="s">
        <v>3074</v>
      </c>
      <c r="F3615" t="s">
        <v>3075</v>
      </c>
      <c r="G3615" t="s">
        <v>89</v>
      </c>
      <c r="H3615" t="s">
        <v>30</v>
      </c>
      <c r="I3615" t="s">
        <v>30</v>
      </c>
      <c r="J3615" t="s">
        <v>31</v>
      </c>
      <c r="K3615" t="s">
        <v>32</v>
      </c>
      <c r="L3615" t="s">
        <v>32</v>
      </c>
      <c r="M3615" t="s">
        <v>33</v>
      </c>
      <c r="N3615" t="s">
        <v>33</v>
      </c>
      <c r="O3615" t="s">
        <v>33</v>
      </c>
      <c r="P3615" t="s">
        <v>34</v>
      </c>
      <c r="Q3615" t="s">
        <v>35</v>
      </c>
      <c r="S3615" t="s">
        <v>30</v>
      </c>
      <c r="T3615" t="s">
        <v>3090</v>
      </c>
      <c r="U3615" t="s">
        <v>3091</v>
      </c>
      <c r="V3615" t="s">
        <v>40</v>
      </c>
      <c r="W3615" s="1">
        <v>2659800</v>
      </c>
    </row>
    <row r="3616" spans="1:23" x14ac:dyDescent="0.2">
      <c r="A3616" t="s">
        <v>2096</v>
      </c>
      <c r="B3616" t="s">
        <v>2097</v>
      </c>
      <c r="C3616" t="s">
        <v>2971</v>
      </c>
      <c r="D3616" t="s">
        <v>3073</v>
      </c>
      <c r="E3616" t="s">
        <v>3074</v>
      </c>
      <c r="F3616" t="s">
        <v>3075</v>
      </c>
      <c r="G3616" t="s">
        <v>139</v>
      </c>
      <c r="H3616" t="s">
        <v>30</v>
      </c>
      <c r="I3616" t="s">
        <v>30</v>
      </c>
      <c r="J3616" t="s">
        <v>41</v>
      </c>
      <c r="K3616" t="s">
        <v>32</v>
      </c>
      <c r="L3616" t="s">
        <v>32</v>
      </c>
      <c r="M3616" t="s">
        <v>33</v>
      </c>
      <c r="N3616" t="s">
        <v>33</v>
      </c>
      <c r="O3616" t="s">
        <v>33</v>
      </c>
      <c r="P3616" t="s">
        <v>34</v>
      </c>
      <c r="Q3616" t="s">
        <v>35</v>
      </c>
      <c r="S3616" t="s">
        <v>30</v>
      </c>
      <c r="T3616" t="s">
        <v>400</v>
      </c>
      <c r="U3616" t="s">
        <v>3092</v>
      </c>
      <c r="V3616" t="s">
        <v>39</v>
      </c>
      <c r="W3616" s="1">
        <v>2</v>
      </c>
    </row>
    <row r="3617" spans="1:23" x14ac:dyDescent="0.2">
      <c r="A3617" t="s">
        <v>2096</v>
      </c>
      <c r="B3617" t="s">
        <v>2097</v>
      </c>
      <c r="C3617" t="s">
        <v>2971</v>
      </c>
      <c r="D3617" t="s">
        <v>3073</v>
      </c>
      <c r="E3617" t="s">
        <v>3074</v>
      </c>
      <c r="F3617" t="s">
        <v>3075</v>
      </c>
      <c r="G3617" t="s">
        <v>139</v>
      </c>
      <c r="H3617" t="s">
        <v>30</v>
      </c>
      <c r="I3617" t="s">
        <v>30</v>
      </c>
      <c r="J3617" t="s">
        <v>41</v>
      </c>
      <c r="K3617" t="s">
        <v>32</v>
      </c>
      <c r="L3617" t="s">
        <v>32</v>
      </c>
      <c r="M3617" t="s">
        <v>33</v>
      </c>
      <c r="N3617" t="s">
        <v>33</v>
      </c>
      <c r="O3617" t="s">
        <v>33</v>
      </c>
      <c r="P3617" t="s">
        <v>34</v>
      </c>
      <c r="Q3617" t="s">
        <v>35</v>
      </c>
      <c r="S3617" t="s">
        <v>30</v>
      </c>
      <c r="T3617" t="s">
        <v>400</v>
      </c>
      <c r="U3617" t="s">
        <v>3092</v>
      </c>
      <c r="V3617" t="s">
        <v>40</v>
      </c>
      <c r="W3617" s="1">
        <v>2659800</v>
      </c>
    </row>
    <row r="3618" spans="1:23" x14ac:dyDescent="0.2">
      <c r="A3618" t="s">
        <v>2096</v>
      </c>
      <c r="B3618" t="s">
        <v>2097</v>
      </c>
      <c r="C3618" t="s">
        <v>2971</v>
      </c>
      <c r="D3618" t="s">
        <v>3093</v>
      </c>
      <c r="E3618" t="s">
        <v>3094</v>
      </c>
      <c r="F3618" t="s">
        <v>3095</v>
      </c>
      <c r="G3618" t="s">
        <v>29</v>
      </c>
      <c r="H3618" t="s">
        <v>30</v>
      </c>
      <c r="I3618" t="s">
        <v>30</v>
      </c>
      <c r="J3618" t="s">
        <v>41</v>
      </c>
      <c r="K3618" t="s">
        <v>32</v>
      </c>
      <c r="L3618" t="s">
        <v>32</v>
      </c>
      <c r="M3618" t="s">
        <v>33</v>
      </c>
      <c r="N3618" t="s">
        <v>33</v>
      </c>
      <c r="O3618" t="s">
        <v>33</v>
      </c>
      <c r="P3618" t="s">
        <v>213</v>
      </c>
      <c r="Q3618" t="s">
        <v>2111</v>
      </c>
      <c r="S3618" t="s">
        <v>30</v>
      </c>
      <c r="T3618" t="s">
        <v>3096</v>
      </c>
      <c r="U3618" t="s">
        <v>3097</v>
      </c>
      <c r="V3618" t="s">
        <v>39</v>
      </c>
      <c r="W3618" s="1">
        <v>5</v>
      </c>
    </row>
    <row r="3619" spans="1:23" x14ac:dyDescent="0.2">
      <c r="A3619" t="s">
        <v>2096</v>
      </c>
      <c r="B3619" t="s">
        <v>2097</v>
      </c>
      <c r="C3619" t="s">
        <v>2971</v>
      </c>
      <c r="D3619" t="s">
        <v>3093</v>
      </c>
      <c r="E3619" t="s">
        <v>3094</v>
      </c>
      <c r="F3619" t="s">
        <v>3095</v>
      </c>
      <c r="G3619" t="s">
        <v>29</v>
      </c>
      <c r="H3619" t="s">
        <v>30</v>
      </c>
      <c r="I3619" t="s">
        <v>30</v>
      </c>
      <c r="J3619" t="s">
        <v>41</v>
      </c>
      <c r="K3619" t="s">
        <v>32</v>
      </c>
      <c r="L3619" t="s">
        <v>32</v>
      </c>
      <c r="M3619" t="s">
        <v>33</v>
      </c>
      <c r="N3619" t="s">
        <v>33</v>
      </c>
      <c r="O3619" t="s">
        <v>33</v>
      </c>
      <c r="P3619" t="s">
        <v>213</v>
      </c>
      <c r="Q3619" t="s">
        <v>2111</v>
      </c>
      <c r="S3619" t="s">
        <v>30</v>
      </c>
      <c r="T3619" t="s">
        <v>3096</v>
      </c>
      <c r="U3619" t="s">
        <v>3097</v>
      </c>
      <c r="V3619" t="s">
        <v>40</v>
      </c>
      <c r="W3619" s="1">
        <v>4538000</v>
      </c>
    </row>
    <row r="3620" spans="1:23" x14ac:dyDescent="0.2">
      <c r="A3620" t="s">
        <v>2096</v>
      </c>
      <c r="B3620" t="s">
        <v>2097</v>
      </c>
      <c r="C3620" t="s">
        <v>2971</v>
      </c>
      <c r="D3620" t="s">
        <v>3093</v>
      </c>
      <c r="E3620" t="s">
        <v>3094</v>
      </c>
      <c r="F3620" t="s">
        <v>3095</v>
      </c>
      <c r="G3620" t="s">
        <v>29</v>
      </c>
      <c r="H3620" t="s">
        <v>30</v>
      </c>
      <c r="I3620" t="s">
        <v>30</v>
      </c>
      <c r="J3620" t="s">
        <v>41</v>
      </c>
      <c r="K3620" t="s">
        <v>32</v>
      </c>
      <c r="L3620" t="s">
        <v>32</v>
      </c>
      <c r="M3620" t="s">
        <v>33</v>
      </c>
      <c r="N3620" t="s">
        <v>33</v>
      </c>
      <c r="O3620" t="s">
        <v>33</v>
      </c>
      <c r="P3620" t="s">
        <v>34</v>
      </c>
      <c r="Q3620" t="s">
        <v>35</v>
      </c>
      <c r="S3620" t="s">
        <v>30</v>
      </c>
      <c r="T3620" t="s">
        <v>3098</v>
      </c>
      <c r="U3620" t="s">
        <v>3099</v>
      </c>
      <c r="V3620" t="s">
        <v>39</v>
      </c>
      <c r="W3620" s="1">
        <v>4</v>
      </c>
    </row>
    <row r="3621" spans="1:23" x14ac:dyDescent="0.2">
      <c r="A3621" t="s">
        <v>2096</v>
      </c>
      <c r="B3621" t="s">
        <v>2097</v>
      </c>
      <c r="C3621" t="s">
        <v>2971</v>
      </c>
      <c r="D3621" t="s">
        <v>3093</v>
      </c>
      <c r="E3621" t="s">
        <v>3094</v>
      </c>
      <c r="F3621" t="s">
        <v>3095</v>
      </c>
      <c r="G3621" t="s">
        <v>29</v>
      </c>
      <c r="H3621" t="s">
        <v>30</v>
      </c>
      <c r="I3621" t="s">
        <v>30</v>
      </c>
      <c r="J3621" t="s">
        <v>41</v>
      </c>
      <c r="K3621" t="s">
        <v>32</v>
      </c>
      <c r="L3621" t="s">
        <v>32</v>
      </c>
      <c r="M3621" t="s">
        <v>33</v>
      </c>
      <c r="N3621" t="s">
        <v>33</v>
      </c>
      <c r="O3621" t="s">
        <v>33</v>
      </c>
      <c r="P3621" t="s">
        <v>34</v>
      </c>
      <c r="Q3621" t="s">
        <v>35</v>
      </c>
      <c r="S3621" t="s">
        <v>30</v>
      </c>
      <c r="T3621" t="s">
        <v>3098</v>
      </c>
      <c r="U3621" t="s">
        <v>3099</v>
      </c>
      <c r="V3621" t="s">
        <v>40</v>
      </c>
      <c r="W3621" s="1">
        <v>5719600</v>
      </c>
    </row>
    <row r="3622" spans="1:23" x14ac:dyDescent="0.2">
      <c r="A3622" t="s">
        <v>2096</v>
      </c>
      <c r="B3622" t="s">
        <v>2097</v>
      </c>
      <c r="C3622" t="s">
        <v>2971</v>
      </c>
      <c r="D3622" t="s">
        <v>3093</v>
      </c>
      <c r="E3622" t="s">
        <v>3094</v>
      </c>
      <c r="F3622" t="s">
        <v>3095</v>
      </c>
      <c r="G3622" t="s">
        <v>49</v>
      </c>
      <c r="H3622" t="s">
        <v>30</v>
      </c>
      <c r="I3622" t="s">
        <v>30</v>
      </c>
      <c r="J3622" t="s">
        <v>128</v>
      </c>
      <c r="K3622" t="s">
        <v>135</v>
      </c>
      <c r="L3622" t="s">
        <v>32</v>
      </c>
      <c r="M3622" t="s">
        <v>33</v>
      </c>
      <c r="N3622" t="s">
        <v>33</v>
      </c>
      <c r="O3622" t="s">
        <v>33</v>
      </c>
      <c r="P3622" t="s">
        <v>213</v>
      </c>
      <c r="Q3622" t="s">
        <v>2111</v>
      </c>
      <c r="R3622" t="s">
        <v>136</v>
      </c>
      <c r="S3622" t="s">
        <v>30</v>
      </c>
      <c r="T3622" t="s">
        <v>3100</v>
      </c>
      <c r="U3622" t="s">
        <v>3101</v>
      </c>
      <c r="V3622" t="s">
        <v>39</v>
      </c>
      <c r="W3622" s="1">
        <v>1</v>
      </c>
    </row>
    <row r="3623" spans="1:23" x14ac:dyDescent="0.2">
      <c r="A3623" t="s">
        <v>2096</v>
      </c>
      <c r="B3623" t="s">
        <v>2097</v>
      </c>
      <c r="C3623" t="s">
        <v>2971</v>
      </c>
      <c r="D3623" t="s">
        <v>3093</v>
      </c>
      <c r="E3623" t="s">
        <v>3094</v>
      </c>
      <c r="F3623" t="s">
        <v>3095</v>
      </c>
      <c r="G3623" t="s">
        <v>49</v>
      </c>
      <c r="H3623" t="s">
        <v>30</v>
      </c>
      <c r="I3623" t="s">
        <v>30</v>
      </c>
      <c r="J3623" t="s">
        <v>128</v>
      </c>
      <c r="K3623" t="s">
        <v>135</v>
      </c>
      <c r="L3623" t="s">
        <v>32</v>
      </c>
      <c r="M3623" t="s">
        <v>33</v>
      </c>
      <c r="N3623" t="s">
        <v>33</v>
      </c>
      <c r="O3623" t="s">
        <v>33</v>
      </c>
      <c r="P3623" t="s">
        <v>213</v>
      </c>
      <c r="Q3623" t="s">
        <v>2111</v>
      </c>
      <c r="R3623" t="s">
        <v>136</v>
      </c>
      <c r="S3623" t="s">
        <v>30</v>
      </c>
      <c r="T3623" t="s">
        <v>3100</v>
      </c>
      <c r="U3623" t="s">
        <v>3101</v>
      </c>
      <c r="V3623" t="s">
        <v>40</v>
      </c>
      <c r="W3623" s="1">
        <v>689900</v>
      </c>
    </row>
    <row r="3624" spans="1:23" x14ac:dyDescent="0.2">
      <c r="A3624" t="s">
        <v>2096</v>
      </c>
      <c r="B3624" t="s">
        <v>2097</v>
      </c>
      <c r="C3624" t="s">
        <v>2971</v>
      </c>
      <c r="D3624" t="s">
        <v>3093</v>
      </c>
      <c r="E3624" t="s">
        <v>3094</v>
      </c>
      <c r="F3624" t="s">
        <v>3095</v>
      </c>
      <c r="G3624" t="s">
        <v>49</v>
      </c>
      <c r="H3624" t="s">
        <v>30</v>
      </c>
      <c r="I3624" t="s">
        <v>30</v>
      </c>
      <c r="J3624" t="s">
        <v>128</v>
      </c>
      <c r="K3624" t="s">
        <v>135</v>
      </c>
      <c r="L3624" t="s">
        <v>32</v>
      </c>
      <c r="M3624" t="s">
        <v>33</v>
      </c>
      <c r="N3624" t="s">
        <v>169</v>
      </c>
      <c r="O3624" t="s">
        <v>169</v>
      </c>
      <c r="P3624" t="s">
        <v>213</v>
      </c>
      <c r="Q3624" t="s">
        <v>2111</v>
      </c>
      <c r="R3624" t="s">
        <v>136</v>
      </c>
      <c r="S3624" t="s">
        <v>30</v>
      </c>
      <c r="T3624" t="s">
        <v>3100</v>
      </c>
      <c r="U3624" t="s">
        <v>3101</v>
      </c>
      <c r="V3624" t="s">
        <v>39</v>
      </c>
      <c r="W3624" s="1">
        <v>1</v>
      </c>
    </row>
    <row r="3625" spans="1:23" x14ac:dyDescent="0.2">
      <c r="A3625" t="s">
        <v>2096</v>
      </c>
      <c r="B3625" t="s">
        <v>2097</v>
      </c>
      <c r="C3625" t="s">
        <v>2971</v>
      </c>
      <c r="D3625" t="s">
        <v>3093</v>
      </c>
      <c r="E3625" t="s">
        <v>3094</v>
      </c>
      <c r="F3625" t="s">
        <v>3095</v>
      </c>
      <c r="G3625" t="s">
        <v>49</v>
      </c>
      <c r="H3625" t="s">
        <v>30</v>
      </c>
      <c r="I3625" t="s">
        <v>30</v>
      </c>
      <c r="J3625" t="s">
        <v>128</v>
      </c>
      <c r="K3625" t="s">
        <v>135</v>
      </c>
      <c r="L3625" t="s">
        <v>32</v>
      </c>
      <c r="M3625" t="s">
        <v>33</v>
      </c>
      <c r="N3625" t="s">
        <v>169</v>
      </c>
      <c r="O3625" t="s">
        <v>169</v>
      </c>
      <c r="P3625" t="s">
        <v>213</v>
      </c>
      <c r="Q3625" t="s">
        <v>2111</v>
      </c>
      <c r="R3625" t="s">
        <v>136</v>
      </c>
      <c r="S3625" t="s">
        <v>30</v>
      </c>
      <c r="T3625" t="s">
        <v>3100</v>
      </c>
      <c r="U3625" t="s">
        <v>3101</v>
      </c>
      <c r="V3625" t="s">
        <v>40</v>
      </c>
      <c r="W3625" s="1">
        <v>689900</v>
      </c>
    </row>
    <row r="3626" spans="1:23" x14ac:dyDescent="0.2">
      <c r="A3626" t="s">
        <v>2096</v>
      </c>
      <c r="B3626" t="s">
        <v>2097</v>
      </c>
      <c r="C3626" t="s">
        <v>2971</v>
      </c>
      <c r="D3626" t="s">
        <v>3093</v>
      </c>
      <c r="E3626" t="s">
        <v>3094</v>
      </c>
      <c r="F3626" t="s">
        <v>3095</v>
      </c>
      <c r="G3626" t="s">
        <v>49</v>
      </c>
      <c r="H3626" t="s">
        <v>30</v>
      </c>
      <c r="I3626" t="s">
        <v>30</v>
      </c>
      <c r="J3626" t="s">
        <v>31</v>
      </c>
      <c r="K3626" t="s">
        <v>32</v>
      </c>
      <c r="L3626" t="s">
        <v>32</v>
      </c>
      <c r="M3626" t="s">
        <v>33</v>
      </c>
      <c r="N3626" t="s">
        <v>33</v>
      </c>
      <c r="O3626" t="s">
        <v>33</v>
      </c>
      <c r="P3626" t="s">
        <v>213</v>
      </c>
      <c r="Q3626" t="s">
        <v>2118</v>
      </c>
      <c r="S3626" t="s">
        <v>30</v>
      </c>
      <c r="T3626" t="s">
        <v>3102</v>
      </c>
      <c r="U3626" t="s">
        <v>3103</v>
      </c>
      <c r="V3626" t="s">
        <v>39</v>
      </c>
      <c r="W3626" s="1">
        <v>1</v>
      </c>
    </row>
    <row r="3627" spans="1:23" x14ac:dyDescent="0.2">
      <c r="A3627" t="s">
        <v>2096</v>
      </c>
      <c r="B3627" t="s">
        <v>2097</v>
      </c>
      <c r="C3627" t="s">
        <v>2971</v>
      </c>
      <c r="D3627" t="s">
        <v>3093</v>
      </c>
      <c r="E3627" t="s">
        <v>3094</v>
      </c>
      <c r="F3627" t="s">
        <v>3095</v>
      </c>
      <c r="G3627" t="s">
        <v>49</v>
      </c>
      <c r="H3627" t="s">
        <v>30</v>
      </c>
      <c r="I3627" t="s">
        <v>30</v>
      </c>
      <c r="J3627" t="s">
        <v>31</v>
      </c>
      <c r="K3627" t="s">
        <v>32</v>
      </c>
      <c r="L3627" t="s">
        <v>32</v>
      </c>
      <c r="M3627" t="s">
        <v>33</v>
      </c>
      <c r="N3627" t="s">
        <v>33</v>
      </c>
      <c r="O3627" t="s">
        <v>33</v>
      </c>
      <c r="P3627" t="s">
        <v>213</v>
      </c>
      <c r="Q3627" t="s">
        <v>2118</v>
      </c>
      <c r="S3627" t="s">
        <v>30</v>
      </c>
      <c r="T3627" t="s">
        <v>3102</v>
      </c>
      <c r="U3627" t="s">
        <v>3103</v>
      </c>
      <c r="V3627" t="s">
        <v>40</v>
      </c>
      <c r="W3627" s="1">
        <v>726900</v>
      </c>
    </row>
    <row r="3628" spans="1:23" x14ac:dyDescent="0.2">
      <c r="A3628" t="s">
        <v>2096</v>
      </c>
      <c r="B3628" t="s">
        <v>2097</v>
      </c>
      <c r="C3628" t="s">
        <v>2971</v>
      </c>
      <c r="D3628" t="s">
        <v>3093</v>
      </c>
      <c r="E3628" t="s">
        <v>3094</v>
      </c>
      <c r="F3628" t="s">
        <v>3095</v>
      </c>
      <c r="G3628" t="s">
        <v>49</v>
      </c>
      <c r="H3628" t="s">
        <v>30</v>
      </c>
      <c r="I3628" t="s">
        <v>30</v>
      </c>
      <c r="J3628" t="s">
        <v>31</v>
      </c>
      <c r="K3628" t="s">
        <v>32</v>
      </c>
      <c r="L3628" t="s">
        <v>32</v>
      </c>
      <c r="M3628" t="s">
        <v>33</v>
      </c>
      <c r="N3628" t="s">
        <v>33</v>
      </c>
      <c r="O3628" t="s">
        <v>33</v>
      </c>
      <c r="P3628" t="s">
        <v>34</v>
      </c>
      <c r="Q3628" t="s">
        <v>35</v>
      </c>
      <c r="S3628" t="s">
        <v>30</v>
      </c>
      <c r="T3628" t="s">
        <v>3104</v>
      </c>
      <c r="U3628" t="s">
        <v>3105</v>
      </c>
      <c r="V3628" t="s">
        <v>39</v>
      </c>
      <c r="W3628" s="1">
        <v>6</v>
      </c>
    </row>
    <row r="3629" spans="1:23" x14ac:dyDescent="0.2">
      <c r="A3629" t="s">
        <v>2096</v>
      </c>
      <c r="B3629" t="s">
        <v>2097</v>
      </c>
      <c r="C3629" t="s">
        <v>2971</v>
      </c>
      <c r="D3629" t="s">
        <v>3093</v>
      </c>
      <c r="E3629" t="s">
        <v>3094</v>
      </c>
      <c r="F3629" t="s">
        <v>3095</v>
      </c>
      <c r="G3629" t="s">
        <v>49</v>
      </c>
      <c r="H3629" t="s">
        <v>30</v>
      </c>
      <c r="I3629" t="s">
        <v>30</v>
      </c>
      <c r="J3629" t="s">
        <v>31</v>
      </c>
      <c r="K3629" t="s">
        <v>32</v>
      </c>
      <c r="L3629" t="s">
        <v>32</v>
      </c>
      <c r="M3629" t="s">
        <v>33</v>
      </c>
      <c r="N3629" t="s">
        <v>33</v>
      </c>
      <c r="O3629" t="s">
        <v>33</v>
      </c>
      <c r="P3629" t="s">
        <v>34</v>
      </c>
      <c r="Q3629" t="s">
        <v>35</v>
      </c>
      <c r="S3629" t="s">
        <v>30</v>
      </c>
      <c r="T3629" t="s">
        <v>3104</v>
      </c>
      <c r="U3629" t="s">
        <v>3105</v>
      </c>
      <c r="V3629" t="s">
        <v>40</v>
      </c>
      <c r="W3629" s="1">
        <v>3719400</v>
      </c>
    </row>
    <row r="3630" spans="1:23" x14ac:dyDescent="0.2">
      <c r="A3630" t="s">
        <v>2096</v>
      </c>
      <c r="B3630" t="s">
        <v>2097</v>
      </c>
      <c r="C3630" t="s">
        <v>2971</v>
      </c>
      <c r="D3630" t="s">
        <v>3093</v>
      </c>
      <c r="E3630" t="s">
        <v>3094</v>
      </c>
      <c r="F3630" t="s">
        <v>3095</v>
      </c>
      <c r="G3630" t="s">
        <v>49</v>
      </c>
      <c r="H3630" t="s">
        <v>30</v>
      </c>
      <c r="I3630" t="s">
        <v>30</v>
      </c>
      <c r="J3630" t="s">
        <v>31</v>
      </c>
      <c r="K3630" t="s">
        <v>32</v>
      </c>
      <c r="L3630" t="s">
        <v>32</v>
      </c>
      <c r="M3630" t="s">
        <v>33</v>
      </c>
      <c r="N3630" t="s">
        <v>169</v>
      </c>
      <c r="O3630" t="s">
        <v>169</v>
      </c>
      <c r="P3630" t="s">
        <v>213</v>
      </c>
      <c r="Q3630" t="s">
        <v>2118</v>
      </c>
      <c r="S3630" t="s">
        <v>30</v>
      </c>
      <c r="T3630" t="s">
        <v>3102</v>
      </c>
      <c r="U3630" t="s">
        <v>3103</v>
      </c>
      <c r="V3630" t="s">
        <v>39</v>
      </c>
      <c r="W3630" s="1">
        <v>1</v>
      </c>
    </row>
    <row r="3631" spans="1:23" x14ac:dyDescent="0.2">
      <c r="A3631" t="s">
        <v>2096</v>
      </c>
      <c r="B3631" t="s">
        <v>2097</v>
      </c>
      <c r="C3631" t="s">
        <v>2971</v>
      </c>
      <c r="D3631" t="s">
        <v>3093</v>
      </c>
      <c r="E3631" t="s">
        <v>3094</v>
      </c>
      <c r="F3631" t="s">
        <v>3095</v>
      </c>
      <c r="G3631" t="s">
        <v>49</v>
      </c>
      <c r="H3631" t="s">
        <v>30</v>
      </c>
      <c r="I3631" t="s">
        <v>30</v>
      </c>
      <c r="J3631" t="s">
        <v>31</v>
      </c>
      <c r="K3631" t="s">
        <v>32</v>
      </c>
      <c r="L3631" t="s">
        <v>32</v>
      </c>
      <c r="M3631" t="s">
        <v>33</v>
      </c>
      <c r="N3631" t="s">
        <v>169</v>
      </c>
      <c r="O3631" t="s">
        <v>169</v>
      </c>
      <c r="P3631" t="s">
        <v>213</v>
      </c>
      <c r="Q3631" t="s">
        <v>2118</v>
      </c>
      <c r="S3631" t="s">
        <v>30</v>
      </c>
      <c r="T3631" t="s">
        <v>3102</v>
      </c>
      <c r="U3631" t="s">
        <v>3103</v>
      </c>
      <c r="V3631" t="s">
        <v>40</v>
      </c>
      <c r="W3631" s="1">
        <v>726900</v>
      </c>
    </row>
    <row r="3632" spans="1:23" x14ac:dyDescent="0.2">
      <c r="A3632" t="s">
        <v>2096</v>
      </c>
      <c r="B3632" t="s">
        <v>2097</v>
      </c>
      <c r="C3632" t="s">
        <v>2971</v>
      </c>
      <c r="D3632" t="s">
        <v>3093</v>
      </c>
      <c r="E3632" t="s">
        <v>3094</v>
      </c>
      <c r="F3632" t="s">
        <v>3095</v>
      </c>
      <c r="G3632" t="s">
        <v>61</v>
      </c>
      <c r="H3632" t="s">
        <v>52</v>
      </c>
      <c r="I3632" t="s">
        <v>52</v>
      </c>
      <c r="J3632" t="s">
        <v>31</v>
      </c>
      <c r="K3632" t="s">
        <v>32</v>
      </c>
      <c r="L3632" t="s">
        <v>32</v>
      </c>
      <c r="M3632" t="s">
        <v>33</v>
      </c>
      <c r="N3632" t="s">
        <v>33</v>
      </c>
      <c r="O3632" t="s">
        <v>33</v>
      </c>
      <c r="P3632" t="s">
        <v>213</v>
      </c>
      <c r="Q3632" t="s">
        <v>2111</v>
      </c>
      <c r="R3632" t="s">
        <v>73</v>
      </c>
      <c r="S3632" t="s">
        <v>30</v>
      </c>
      <c r="T3632" t="s">
        <v>2201</v>
      </c>
      <c r="U3632" t="s">
        <v>3106</v>
      </c>
      <c r="V3632" t="s">
        <v>39</v>
      </c>
      <c r="W3632" s="1">
        <v>1</v>
      </c>
    </row>
    <row r="3633" spans="1:23" x14ac:dyDescent="0.2">
      <c r="A3633" t="s">
        <v>2096</v>
      </c>
      <c r="B3633" t="s">
        <v>2097</v>
      </c>
      <c r="C3633" t="s">
        <v>2971</v>
      </c>
      <c r="D3633" t="s">
        <v>3093</v>
      </c>
      <c r="E3633" t="s">
        <v>3094</v>
      </c>
      <c r="F3633" t="s">
        <v>3095</v>
      </c>
      <c r="G3633" t="s">
        <v>61</v>
      </c>
      <c r="H3633" t="s">
        <v>52</v>
      </c>
      <c r="I3633" t="s">
        <v>52</v>
      </c>
      <c r="J3633" t="s">
        <v>31</v>
      </c>
      <c r="K3633" t="s">
        <v>32</v>
      </c>
      <c r="L3633" t="s">
        <v>32</v>
      </c>
      <c r="M3633" t="s">
        <v>33</v>
      </c>
      <c r="N3633" t="s">
        <v>33</v>
      </c>
      <c r="O3633" t="s">
        <v>33</v>
      </c>
      <c r="P3633" t="s">
        <v>213</v>
      </c>
      <c r="Q3633" t="s">
        <v>2111</v>
      </c>
      <c r="R3633" t="s">
        <v>73</v>
      </c>
      <c r="S3633" t="s">
        <v>30</v>
      </c>
      <c r="T3633" t="s">
        <v>2201</v>
      </c>
      <c r="U3633" t="s">
        <v>3106</v>
      </c>
      <c r="V3633" t="s">
        <v>40</v>
      </c>
      <c r="W3633" s="1">
        <v>299900</v>
      </c>
    </row>
    <row r="3634" spans="1:23" x14ac:dyDescent="0.2">
      <c r="A3634" t="s">
        <v>2096</v>
      </c>
      <c r="B3634" t="s">
        <v>2097</v>
      </c>
      <c r="C3634" t="s">
        <v>2971</v>
      </c>
      <c r="D3634" t="s">
        <v>3093</v>
      </c>
      <c r="E3634" t="s">
        <v>3094</v>
      </c>
      <c r="F3634" t="s">
        <v>3095</v>
      </c>
      <c r="G3634" t="s">
        <v>61</v>
      </c>
      <c r="H3634" t="s">
        <v>52</v>
      </c>
      <c r="I3634" t="s">
        <v>52</v>
      </c>
      <c r="J3634" t="s">
        <v>41</v>
      </c>
      <c r="K3634" t="s">
        <v>32</v>
      </c>
      <c r="L3634" t="s">
        <v>32</v>
      </c>
      <c r="M3634" t="s">
        <v>33</v>
      </c>
      <c r="N3634" t="s">
        <v>33</v>
      </c>
      <c r="O3634" t="s">
        <v>33</v>
      </c>
      <c r="P3634" t="s">
        <v>213</v>
      </c>
      <c r="Q3634" t="s">
        <v>2111</v>
      </c>
      <c r="S3634" t="s">
        <v>30</v>
      </c>
      <c r="T3634" t="s">
        <v>3107</v>
      </c>
      <c r="U3634" t="s">
        <v>3108</v>
      </c>
      <c r="V3634" t="s">
        <v>39</v>
      </c>
      <c r="W3634" s="1">
        <v>2</v>
      </c>
    </row>
    <row r="3635" spans="1:23" x14ac:dyDescent="0.2">
      <c r="A3635" t="s">
        <v>2096</v>
      </c>
      <c r="B3635" t="s">
        <v>2097</v>
      </c>
      <c r="C3635" t="s">
        <v>2971</v>
      </c>
      <c r="D3635" t="s">
        <v>3093</v>
      </c>
      <c r="E3635" t="s">
        <v>3094</v>
      </c>
      <c r="F3635" t="s">
        <v>3095</v>
      </c>
      <c r="G3635" t="s">
        <v>61</v>
      </c>
      <c r="H3635" t="s">
        <v>52</v>
      </c>
      <c r="I3635" t="s">
        <v>52</v>
      </c>
      <c r="J3635" t="s">
        <v>41</v>
      </c>
      <c r="K3635" t="s">
        <v>32</v>
      </c>
      <c r="L3635" t="s">
        <v>32</v>
      </c>
      <c r="M3635" t="s">
        <v>33</v>
      </c>
      <c r="N3635" t="s">
        <v>33</v>
      </c>
      <c r="O3635" t="s">
        <v>33</v>
      </c>
      <c r="P3635" t="s">
        <v>213</v>
      </c>
      <c r="Q3635" t="s">
        <v>2111</v>
      </c>
      <c r="S3635" t="s">
        <v>30</v>
      </c>
      <c r="T3635" t="s">
        <v>3107</v>
      </c>
      <c r="U3635" t="s">
        <v>3108</v>
      </c>
      <c r="V3635" t="s">
        <v>40</v>
      </c>
      <c r="W3635" s="1">
        <v>2378000</v>
      </c>
    </row>
    <row r="3636" spans="1:23" x14ac:dyDescent="0.2">
      <c r="A3636" t="s">
        <v>2096</v>
      </c>
      <c r="B3636" t="s">
        <v>2097</v>
      </c>
      <c r="C3636" t="s">
        <v>2971</v>
      </c>
      <c r="D3636" t="s">
        <v>3093</v>
      </c>
      <c r="E3636" t="s">
        <v>3094</v>
      </c>
      <c r="F3636" t="s">
        <v>3095</v>
      </c>
      <c r="G3636" t="s">
        <v>61</v>
      </c>
      <c r="H3636" t="s">
        <v>52</v>
      </c>
      <c r="I3636" t="s">
        <v>52</v>
      </c>
      <c r="J3636" t="s">
        <v>41</v>
      </c>
      <c r="K3636" t="s">
        <v>32</v>
      </c>
      <c r="L3636" t="s">
        <v>32</v>
      </c>
      <c r="M3636" t="s">
        <v>33</v>
      </c>
      <c r="N3636" t="s">
        <v>33</v>
      </c>
      <c r="O3636" t="s">
        <v>33</v>
      </c>
      <c r="P3636" t="s">
        <v>34</v>
      </c>
      <c r="Q3636" t="s">
        <v>35</v>
      </c>
      <c r="S3636" t="s">
        <v>30</v>
      </c>
      <c r="T3636" t="s">
        <v>3109</v>
      </c>
      <c r="U3636" t="s">
        <v>3110</v>
      </c>
      <c r="V3636" t="s">
        <v>39</v>
      </c>
      <c r="W3636" s="1">
        <v>4</v>
      </c>
    </row>
    <row r="3637" spans="1:23" x14ac:dyDescent="0.2">
      <c r="A3637" t="s">
        <v>2096</v>
      </c>
      <c r="B3637" t="s">
        <v>2097</v>
      </c>
      <c r="C3637" t="s">
        <v>2971</v>
      </c>
      <c r="D3637" t="s">
        <v>3093</v>
      </c>
      <c r="E3637" t="s">
        <v>3094</v>
      </c>
      <c r="F3637" t="s">
        <v>3095</v>
      </c>
      <c r="G3637" t="s">
        <v>61</v>
      </c>
      <c r="H3637" t="s">
        <v>52</v>
      </c>
      <c r="I3637" t="s">
        <v>52</v>
      </c>
      <c r="J3637" t="s">
        <v>41</v>
      </c>
      <c r="K3637" t="s">
        <v>32</v>
      </c>
      <c r="L3637" t="s">
        <v>32</v>
      </c>
      <c r="M3637" t="s">
        <v>33</v>
      </c>
      <c r="N3637" t="s">
        <v>33</v>
      </c>
      <c r="O3637" t="s">
        <v>33</v>
      </c>
      <c r="P3637" t="s">
        <v>34</v>
      </c>
      <c r="Q3637" t="s">
        <v>35</v>
      </c>
      <c r="S3637" t="s">
        <v>30</v>
      </c>
      <c r="T3637" t="s">
        <v>3109</v>
      </c>
      <c r="U3637" t="s">
        <v>3110</v>
      </c>
      <c r="V3637" t="s">
        <v>40</v>
      </c>
      <c r="W3637" s="1">
        <v>5199600</v>
      </c>
    </row>
    <row r="3638" spans="1:23" x14ac:dyDescent="0.2">
      <c r="A3638" t="s">
        <v>2096</v>
      </c>
      <c r="B3638" t="s">
        <v>2097</v>
      </c>
      <c r="C3638" t="s">
        <v>2971</v>
      </c>
      <c r="D3638" t="s">
        <v>3093</v>
      </c>
      <c r="E3638" t="s">
        <v>3094</v>
      </c>
      <c r="F3638" t="s">
        <v>3095</v>
      </c>
      <c r="G3638" t="s">
        <v>61</v>
      </c>
      <c r="H3638" t="s">
        <v>52</v>
      </c>
      <c r="I3638" t="s">
        <v>52</v>
      </c>
      <c r="J3638" t="s">
        <v>41</v>
      </c>
      <c r="K3638" t="s">
        <v>32</v>
      </c>
      <c r="L3638" t="s">
        <v>32</v>
      </c>
      <c r="M3638" t="s">
        <v>176</v>
      </c>
      <c r="N3638" t="s">
        <v>176</v>
      </c>
      <c r="O3638" t="s">
        <v>176</v>
      </c>
      <c r="P3638" t="s">
        <v>213</v>
      </c>
      <c r="Q3638" t="s">
        <v>2111</v>
      </c>
      <c r="S3638" t="s">
        <v>30</v>
      </c>
      <c r="T3638" t="s">
        <v>3107</v>
      </c>
      <c r="U3638" t="s">
        <v>3108</v>
      </c>
      <c r="V3638" t="s">
        <v>39</v>
      </c>
      <c r="W3638" s="1">
        <v>1</v>
      </c>
    </row>
    <row r="3639" spans="1:23" x14ac:dyDescent="0.2">
      <c r="A3639" t="s">
        <v>2096</v>
      </c>
      <c r="B3639" t="s">
        <v>2097</v>
      </c>
      <c r="C3639" t="s">
        <v>2971</v>
      </c>
      <c r="D3639" t="s">
        <v>3093</v>
      </c>
      <c r="E3639" t="s">
        <v>3094</v>
      </c>
      <c r="F3639" t="s">
        <v>3095</v>
      </c>
      <c r="G3639" t="s">
        <v>61</v>
      </c>
      <c r="H3639" t="s">
        <v>52</v>
      </c>
      <c r="I3639" t="s">
        <v>52</v>
      </c>
      <c r="J3639" t="s">
        <v>41</v>
      </c>
      <c r="K3639" t="s">
        <v>32</v>
      </c>
      <c r="L3639" t="s">
        <v>32</v>
      </c>
      <c r="M3639" t="s">
        <v>176</v>
      </c>
      <c r="N3639" t="s">
        <v>176</v>
      </c>
      <c r="O3639" t="s">
        <v>176</v>
      </c>
      <c r="P3639" t="s">
        <v>213</v>
      </c>
      <c r="Q3639" t="s">
        <v>2111</v>
      </c>
      <c r="S3639" t="s">
        <v>30</v>
      </c>
      <c r="T3639" t="s">
        <v>3107</v>
      </c>
      <c r="U3639" t="s">
        <v>3108</v>
      </c>
      <c r="V3639" t="s">
        <v>40</v>
      </c>
      <c r="W3639" s="1">
        <v>1129550</v>
      </c>
    </row>
    <row r="3640" spans="1:23" x14ac:dyDescent="0.2">
      <c r="A3640" t="s">
        <v>2096</v>
      </c>
      <c r="B3640" t="s">
        <v>2097</v>
      </c>
      <c r="C3640" t="s">
        <v>2971</v>
      </c>
      <c r="D3640" t="s">
        <v>3093</v>
      </c>
      <c r="E3640" t="s">
        <v>3094</v>
      </c>
      <c r="F3640" t="s">
        <v>3095</v>
      </c>
      <c r="G3640" t="s">
        <v>61</v>
      </c>
      <c r="H3640" t="s">
        <v>52</v>
      </c>
      <c r="I3640" t="s">
        <v>52</v>
      </c>
      <c r="J3640" t="s">
        <v>57</v>
      </c>
      <c r="K3640" t="s">
        <v>32</v>
      </c>
      <c r="L3640" t="s">
        <v>32</v>
      </c>
      <c r="M3640" t="s">
        <v>33</v>
      </c>
      <c r="N3640" t="s">
        <v>33</v>
      </c>
      <c r="O3640" t="s">
        <v>33</v>
      </c>
      <c r="P3640" t="s">
        <v>34</v>
      </c>
      <c r="Q3640" t="s">
        <v>35</v>
      </c>
      <c r="S3640" t="s">
        <v>30</v>
      </c>
      <c r="T3640" t="s">
        <v>3111</v>
      </c>
      <c r="U3640" t="s">
        <v>3112</v>
      </c>
      <c r="V3640" t="s">
        <v>39</v>
      </c>
      <c r="W3640" s="1">
        <v>4</v>
      </c>
    </row>
    <row r="3641" spans="1:23" x14ac:dyDescent="0.2">
      <c r="A3641" t="s">
        <v>2096</v>
      </c>
      <c r="B3641" t="s">
        <v>2097</v>
      </c>
      <c r="C3641" t="s">
        <v>2971</v>
      </c>
      <c r="D3641" t="s">
        <v>3093</v>
      </c>
      <c r="E3641" t="s">
        <v>3094</v>
      </c>
      <c r="F3641" t="s">
        <v>3095</v>
      </c>
      <c r="G3641" t="s">
        <v>61</v>
      </c>
      <c r="H3641" t="s">
        <v>52</v>
      </c>
      <c r="I3641" t="s">
        <v>52</v>
      </c>
      <c r="J3641" t="s">
        <v>57</v>
      </c>
      <c r="K3641" t="s">
        <v>32</v>
      </c>
      <c r="L3641" t="s">
        <v>32</v>
      </c>
      <c r="M3641" t="s">
        <v>33</v>
      </c>
      <c r="N3641" t="s">
        <v>33</v>
      </c>
      <c r="O3641" t="s">
        <v>33</v>
      </c>
      <c r="P3641" t="s">
        <v>34</v>
      </c>
      <c r="Q3641" t="s">
        <v>35</v>
      </c>
      <c r="S3641" t="s">
        <v>30</v>
      </c>
      <c r="T3641" t="s">
        <v>3111</v>
      </c>
      <c r="U3641" t="s">
        <v>3112</v>
      </c>
      <c r="V3641" t="s">
        <v>40</v>
      </c>
      <c r="W3641" s="1">
        <v>4767600</v>
      </c>
    </row>
    <row r="3642" spans="1:23" x14ac:dyDescent="0.2">
      <c r="A3642" t="s">
        <v>2096</v>
      </c>
      <c r="B3642" t="s">
        <v>2097</v>
      </c>
      <c r="C3642" t="s">
        <v>2971</v>
      </c>
      <c r="D3642" t="s">
        <v>3093</v>
      </c>
      <c r="E3642" t="s">
        <v>3094</v>
      </c>
      <c r="F3642" t="s">
        <v>3095</v>
      </c>
      <c r="G3642" t="s">
        <v>170</v>
      </c>
      <c r="H3642" t="s">
        <v>52</v>
      </c>
      <c r="I3642" t="s">
        <v>30</v>
      </c>
      <c r="J3642" t="s">
        <v>31</v>
      </c>
      <c r="K3642" t="s">
        <v>32</v>
      </c>
      <c r="L3642" t="s">
        <v>32</v>
      </c>
      <c r="M3642" t="s">
        <v>33</v>
      </c>
      <c r="N3642" t="s">
        <v>33</v>
      </c>
      <c r="O3642" t="s">
        <v>33</v>
      </c>
      <c r="P3642" t="s">
        <v>34</v>
      </c>
      <c r="Q3642" t="s">
        <v>35</v>
      </c>
      <c r="S3642" t="s">
        <v>30</v>
      </c>
      <c r="T3642" t="s">
        <v>3113</v>
      </c>
      <c r="U3642" t="s">
        <v>3114</v>
      </c>
      <c r="V3642" t="s">
        <v>39</v>
      </c>
      <c r="W3642" s="1">
        <v>2</v>
      </c>
    </row>
    <row r="3643" spans="1:23" x14ac:dyDescent="0.2">
      <c r="A3643" t="s">
        <v>2096</v>
      </c>
      <c r="B3643" t="s">
        <v>2097</v>
      </c>
      <c r="C3643" t="s">
        <v>2971</v>
      </c>
      <c r="D3643" t="s">
        <v>3093</v>
      </c>
      <c r="E3643" t="s">
        <v>3094</v>
      </c>
      <c r="F3643" t="s">
        <v>3095</v>
      </c>
      <c r="G3643" t="s">
        <v>170</v>
      </c>
      <c r="H3643" t="s">
        <v>52</v>
      </c>
      <c r="I3643" t="s">
        <v>30</v>
      </c>
      <c r="J3643" t="s">
        <v>31</v>
      </c>
      <c r="K3643" t="s">
        <v>32</v>
      </c>
      <c r="L3643" t="s">
        <v>32</v>
      </c>
      <c r="M3643" t="s">
        <v>33</v>
      </c>
      <c r="N3643" t="s">
        <v>33</v>
      </c>
      <c r="O3643" t="s">
        <v>33</v>
      </c>
      <c r="P3643" t="s">
        <v>34</v>
      </c>
      <c r="Q3643" t="s">
        <v>35</v>
      </c>
      <c r="S3643" t="s">
        <v>30</v>
      </c>
      <c r="T3643" t="s">
        <v>3113</v>
      </c>
      <c r="U3643" t="s">
        <v>3114</v>
      </c>
      <c r="V3643" t="s">
        <v>40</v>
      </c>
      <c r="W3643" s="1">
        <v>2219800</v>
      </c>
    </row>
    <row r="3644" spans="1:23" x14ac:dyDescent="0.2">
      <c r="A3644" t="s">
        <v>2096</v>
      </c>
      <c r="B3644" t="s">
        <v>2097</v>
      </c>
      <c r="C3644" t="s">
        <v>2971</v>
      </c>
      <c r="D3644" t="s">
        <v>3093</v>
      </c>
      <c r="E3644" t="s">
        <v>3094</v>
      </c>
      <c r="F3644" t="s">
        <v>3095</v>
      </c>
      <c r="G3644" t="s">
        <v>64</v>
      </c>
      <c r="H3644" t="s">
        <v>30</v>
      </c>
      <c r="I3644" t="s">
        <v>52</v>
      </c>
      <c r="J3644" t="s">
        <v>31</v>
      </c>
      <c r="K3644" t="s">
        <v>32</v>
      </c>
      <c r="L3644" t="s">
        <v>32</v>
      </c>
      <c r="M3644" t="s">
        <v>33</v>
      </c>
      <c r="N3644" t="s">
        <v>33</v>
      </c>
      <c r="O3644" t="s">
        <v>33</v>
      </c>
      <c r="P3644" t="s">
        <v>213</v>
      </c>
      <c r="Q3644" t="s">
        <v>2111</v>
      </c>
      <c r="R3644" t="s">
        <v>73</v>
      </c>
      <c r="S3644" t="s">
        <v>30</v>
      </c>
      <c r="T3644" t="s">
        <v>2201</v>
      </c>
      <c r="U3644" t="s">
        <v>3115</v>
      </c>
      <c r="V3644" t="s">
        <v>39</v>
      </c>
      <c r="W3644" s="1">
        <v>2</v>
      </c>
    </row>
    <row r="3645" spans="1:23" x14ac:dyDescent="0.2">
      <c r="A3645" t="s">
        <v>2096</v>
      </c>
      <c r="B3645" t="s">
        <v>2097</v>
      </c>
      <c r="C3645" t="s">
        <v>2971</v>
      </c>
      <c r="D3645" t="s">
        <v>3093</v>
      </c>
      <c r="E3645" t="s">
        <v>3094</v>
      </c>
      <c r="F3645" t="s">
        <v>3095</v>
      </c>
      <c r="G3645" t="s">
        <v>64</v>
      </c>
      <c r="H3645" t="s">
        <v>30</v>
      </c>
      <c r="I3645" t="s">
        <v>52</v>
      </c>
      <c r="J3645" t="s">
        <v>31</v>
      </c>
      <c r="K3645" t="s">
        <v>32</v>
      </c>
      <c r="L3645" t="s">
        <v>32</v>
      </c>
      <c r="M3645" t="s">
        <v>33</v>
      </c>
      <c r="N3645" t="s">
        <v>33</v>
      </c>
      <c r="O3645" t="s">
        <v>33</v>
      </c>
      <c r="P3645" t="s">
        <v>213</v>
      </c>
      <c r="Q3645" t="s">
        <v>2111</v>
      </c>
      <c r="R3645" t="s">
        <v>73</v>
      </c>
      <c r="S3645" t="s">
        <v>30</v>
      </c>
      <c r="T3645" t="s">
        <v>2201</v>
      </c>
      <c r="U3645" t="s">
        <v>3115</v>
      </c>
      <c r="V3645" t="s">
        <v>40</v>
      </c>
      <c r="W3645" s="1">
        <v>599800</v>
      </c>
    </row>
    <row r="3646" spans="1:23" x14ac:dyDescent="0.2">
      <c r="A3646" t="s">
        <v>2096</v>
      </c>
      <c r="B3646" t="s">
        <v>2097</v>
      </c>
      <c r="C3646" t="s">
        <v>2971</v>
      </c>
      <c r="D3646" t="s">
        <v>3093</v>
      </c>
      <c r="E3646" t="s">
        <v>3094</v>
      </c>
      <c r="F3646" t="s">
        <v>3095</v>
      </c>
      <c r="G3646" t="s">
        <v>64</v>
      </c>
      <c r="H3646" t="s">
        <v>30</v>
      </c>
      <c r="I3646" t="s">
        <v>52</v>
      </c>
      <c r="J3646" t="s">
        <v>31</v>
      </c>
      <c r="K3646" t="s">
        <v>32</v>
      </c>
      <c r="L3646" t="s">
        <v>32</v>
      </c>
      <c r="M3646" t="s">
        <v>33</v>
      </c>
      <c r="N3646" t="s">
        <v>33</v>
      </c>
      <c r="O3646" t="s">
        <v>33</v>
      </c>
      <c r="P3646" t="s">
        <v>213</v>
      </c>
      <c r="Q3646" t="s">
        <v>2111</v>
      </c>
      <c r="S3646" t="s">
        <v>30</v>
      </c>
      <c r="T3646" t="s">
        <v>2911</v>
      </c>
      <c r="U3646" t="s">
        <v>3116</v>
      </c>
      <c r="V3646" t="s">
        <v>39</v>
      </c>
      <c r="W3646" s="1">
        <v>2</v>
      </c>
    </row>
    <row r="3647" spans="1:23" x14ac:dyDescent="0.2">
      <c r="A3647" t="s">
        <v>2096</v>
      </c>
      <c r="B3647" t="s">
        <v>2097</v>
      </c>
      <c r="C3647" t="s">
        <v>2971</v>
      </c>
      <c r="D3647" t="s">
        <v>3093</v>
      </c>
      <c r="E3647" t="s">
        <v>3094</v>
      </c>
      <c r="F3647" t="s">
        <v>3095</v>
      </c>
      <c r="G3647" t="s">
        <v>64</v>
      </c>
      <c r="H3647" t="s">
        <v>30</v>
      </c>
      <c r="I3647" t="s">
        <v>52</v>
      </c>
      <c r="J3647" t="s">
        <v>31</v>
      </c>
      <c r="K3647" t="s">
        <v>32</v>
      </c>
      <c r="L3647" t="s">
        <v>32</v>
      </c>
      <c r="M3647" t="s">
        <v>33</v>
      </c>
      <c r="N3647" t="s">
        <v>33</v>
      </c>
      <c r="O3647" t="s">
        <v>33</v>
      </c>
      <c r="P3647" t="s">
        <v>213</v>
      </c>
      <c r="Q3647" t="s">
        <v>2111</v>
      </c>
      <c r="S3647" t="s">
        <v>30</v>
      </c>
      <c r="T3647" t="s">
        <v>2911</v>
      </c>
      <c r="U3647" t="s">
        <v>3116</v>
      </c>
      <c r="V3647" t="s">
        <v>40</v>
      </c>
      <c r="W3647" s="1">
        <v>358000</v>
      </c>
    </row>
    <row r="3648" spans="1:23" x14ac:dyDescent="0.2">
      <c r="A3648" t="s">
        <v>2096</v>
      </c>
      <c r="B3648" t="s">
        <v>2097</v>
      </c>
      <c r="C3648" t="s">
        <v>2971</v>
      </c>
      <c r="D3648" t="s">
        <v>3093</v>
      </c>
      <c r="E3648" t="s">
        <v>3094</v>
      </c>
      <c r="F3648" t="s">
        <v>3095</v>
      </c>
      <c r="G3648" t="s">
        <v>67</v>
      </c>
      <c r="H3648" t="s">
        <v>30</v>
      </c>
      <c r="I3648" t="s">
        <v>30</v>
      </c>
      <c r="J3648" t="s">
        <v>128</v>
      </c>
      <c r="K3648" t="s">
        <v>181</v>
      </c>
      <c r="L3648" t="s">
        <v>32</v>
      </c>
      <c r="M3648" t="s">
        <v>33</v>
      </c>
      <c r="N3648" t="s">
        <v>33</v>
      </c>
      <c r="O3648" t="s">
        <v>33</v>
      </c>
      <c r="P3648" t="s">
        <v>34</v>
      </c>
      <c r="Q3648" t="s">
        <v>35</v>
      </c>
      <c r="S3648" t="s">
        <v>30</v>
      </c>
      <c r="T3648" t="s">
        <v>3117</v>
      </c>
      <c r="U3648" t="s">
        <v>3118</v>
      </c>
      <c r="V3648" t="s">
        <v>39</v>
      </c>
      <c r="W3648" s="1">
        <v>1</v>
      </c>
    </row>
    <row r="3649" spans="1:23" x14ac:dyDescent="0.2">
      <c r="A3649" t="s">
        <v>2096</v>
      </c>
      <c r="B3649" t="s">
        <v>2097</v>
      </c>
      <c r="C3649" t="s">
        <v>2971</v>
      </c>
      <c r="D3649" t="s">
        <v>3093</v>
      </c>
      <c r="E3649" t="s">
        <v>3094</v>
      </c>
      <c r="F3649" t="s">
        <v>3095</v>
      </c>
      <c r="G3649" t="s">
        <v>67</v>
      </c>
      <c r="H3649" t="s">
        <v>30</v>
      </c>
      <c r="I3649" t="s">
        <v>30</v>
      </c>
      <c r="J3649" t="s">
        <v>128</v>
      </c>
      <c r="K3649" t="s">
        <v>181</v>
      </c>
      <c r="L3649" t="s">
        <v>32</v>
      </c>
      <c r="M3649" t="s">
        <v>33</v>
      </c>
      <c r="N3649" t="s">
        <v>33</v>
      </c>
      <c r="O3649" t="s">
        <v>33</v>
      </c>
      <c r="P3649" t="s">
        <v>34</v>
      </c>
      <c r="Q3649" t="s">
        <v>35</v>
      </c>
      <c r="S3649" t="s">
        <v>30</v>
      </c>
      <c r="T3649" t="s">
        <v>3117</v>
      </c>
      <c r="U3649" t="s">
        <v>3118</v>
      </c>
      <c r="V3649" t="s">
        <v>40</v>
      </c>
      <c r="W3649" s="1">
        <v>1175000</v>
      </c>
    </row>
    <row r="3650" spans="1:23" x14ac:dyDescent="0.2">
      <c r="A3650" t="s">
        <v>2096</v>
      </c>
      <c r="B3650" t="s">
        <v>2097</v>
      </c>
      <c r="C3650" t="s">
        <v>2971</v>
      </c>
      <c r="D3650" t="s">
        <v>3093</v>
      </c>
      <c r="E3650" t="s">
        <v>3094</v>
      </c>
      <c r="F3650" t="s">
        <v>3095</v>
      </c>
      <c r="G3650" t="s">
        <v>67</v>
      </c>
      <c r="H3650" t="s">
        <v>30</v>
      </c>
      <c r="I3650" t="s">
        <v>30</v>
      </c>
      <c r="J3650" t="s">
        <v>31</v>
      </c>
      <c r="K3650" t="s">
        <v>32</v>
      </c>
      <c r="L3650" t="s">
        <v>32</v>
      </c>
      <c r="M3650" t="s">
        <v>33</v>
      </c>
      <c r="N3650" t="s">
        <v>33</v>
      </c>
      <c r="O3650" t="s">
        <v>33</v>
      </c>
      <c r="P3650" t="s">
        <v>213</v>
      </c>
      <c r="Q3650" t="s">
        <v>2118</v>
      </c>
      <c r="S3650" t="s">
        <v>30</v>
      </c>
      <c r="T3650" t="s">
        <v>3119</v>
      </c>
      <c r="U3650" t="s">
        <v>3120</v>
      </c>
      <c r="V3650" t="s">
        <v>39</v>
      </c>
      <c r="W3650" s="1">
        <v>8</v>
      </c>
    </row>
    <row r="3651" spans="1:23" x14ac:dyDescent="0.2">
      <c r="A3651" t="s">
        <v>2096</v>
      </c>
      <c r="B3651" t="s">
        <v>2097</v>
      </c>
      <c r="C3651" t="s">
        <v>2971</v>
      </c>
      <c r="D3651" t="s">
        <v>3093</v>
      </c>
      <c r="E3651" t="s">
        <v>3094</v>
      </c>
      <c r="F3651" t="s">
        <v>3095</v>
      </c>
      <c r="G3651" t="s">
        <v>67</v>
      </c>
      <c r="H3651" t="s">
        <v>30</v>
      </c>
      <c r="I3651" t="s">
        <v>30</v>
      </c>
      <c r="J3651" t="s">
        <v>31</v>
      </c>
      <c r="K3651" t="s">
        <v>32</v>
      </c>
      <c r="L3651" t="s">
        <v>32</v>
      </c>
      <c r="M3651" t="s">
        <v>33</v>
      </c>
      <c r="N3651" t="s">
        <v>33</v>
      </c>
      <c r="O3651" t="s">
        <v>33</v>
      </c>
      <c r="P3651" t="s">
        <v>213</v>
      </c>
      <c r="Q3651" t="s">
        <v>2118</v>
      </c>
      <c r="S3651" t="s">
        <v>30</v>
      </c>
      <c r="T3651" t="s">
        <v>3119</v>
      </c>
      <c r="U3651" t="s">
        <v>3120</v>
      </c>
      <c r="V3651" t="s">
        <v>40</v>
      </c>
      <c r="W3651" s="1">
        <v>6719200</v>
      </c>
    </row>
    <row r="3652" spans="1:23" x14ac:dyDescent="0.2">
      <c r="A3652" t="s">
        <v>2096</v>
      </c>
      <c r="B3652" t="s">
        <v>2097</v>
      </c>
      <c r="C3652" t="s">
        <v>2971</v>
      </c>
      <c r="D3652" t="s">
        <v>3093</v>
      </c>
      <c r="E3652" t="s">
        <v>3094</v>
      </c>
      <c r="F3652" t="s">
        <v>3095</v>
      </c>
      <c r="G3652" t="s">
        <v>67</v>
      </c>
      <c r="H3652" t="s">
        <v>30</v>
      </c>
      <c r="I3652" t="s">
        <v>30</v>
      </c>
      <c r="J3652" t="s">
        <v>31</v>
      </c>
      <c r="K3652" t="s">
        <v>32</v>
      </c>
      <c r="L3652" t="s">
        <v>32</v>
      </c>
      <c r="M3652" t="s">
        <v>33</v>
      </c>
      <c r="N3652" t="s">
        <v>33</v>
      </c>
      <c r="O3652" t="s">
        <v>33</v>
      </c>
      <c r="P3652" t="s">
        <v>213</v>
      </c>
      <c r="Q3652" t="s">
        <v>2118</v>
      </c>
      <c r="S3652" t="s">
        <v>30</v>
      </c>
      <c r="T3652" t="s">
        <v>3102</v>
      </c>
      <c r="U3652" t="s">
        <v>3103</v>
      </c>
      <c r="V3652" t="s">
        <v>39</v>
      </c>
      <c r="W3652" s="1">
        <v>1</v>
      </c>
    </row>
    <row r="3653" spans="1:23" x14ac:dyDescent="0.2">
      <c r="A3653" t="s">
        <v>2096</v>
      </c>
      <c r="B3653" t="s">
        <v>2097</v>
      </c>
      <c r="C3653" t="s">
        <v>2971</v>
      </c>
      <c r="D3653" t="s">
        <v>3093</v>
      </c>
      <c r="E3653" t="s">
        <v>3094</v>
      </c>
      <c r="F3653" t="s">
        <v>3095</v>
      </c>
      <c r="G3653" t="s">
        <v>67</v>
      </c>
      <c r="H3653" t="s">
        <v>30</v>
      </c>
      <c r="I3653" t="s">
        <v>30</v>
      </c>
      <c r="J3653" t="s">
        <v>31</v>
      </c>
      <c r="K3653" t="s">
        <v>32</v>
      </c>
      <c r="L3653" t="s">
        <v>32</v>
      </c>
      <c r="M3653" t="s">
        <v>33</v>
      </c>
      <c r="N3653" t="s">
        <v>33</v>
      </c>
      <c r="O3653" t="s">
        <v>33</v>
      </c>
      <c r="P3653" t="s">
        <v>213</v>
      </c>
      <c r="Q3653" t="s">
        <v>2118</v>
      </c>
      <c r="S3653" t="s">
        <v>30</v>
      </c>
      <c r="T3653" t="s">
        <v>3102</v>
      </c>
      <c r="U3653" t="s">
        <v>3103</v>
      </c>
      <c r="V3653" t="s">
        <v>40</v>
      </c>
      <c r="W3653" s="1">
        <v>726900</v>
      </c>
    </row>
    <row r="3654" spans="1:23" x14ac:dyDescent="0.2">
      <c r="A3654" t="s">
        <v>2096</v>
      </c>
      <c r="B3654" t="s">
        <v>2097</v>
      </c>
      <c r="C3654" t="s">
        <v>2971</v>
      </c>
      <c r="D3654" t="s">
        <v>3093</v>
      </c>
      <c r="E3654" t="s">
        <v>3094</v>
      </c>
      <c r="F3654" t="s">
        <v>3095</v>
      </c>
      <c r="G3654" t="s">
        <v>67</v>
      </c>
      <c r="H3654" t="s">
        <v>30</v>
      </c>
      <c r="I3654" t="s">
        <v>30</v>
      </c>
      <c r="J3654" t="s">
        <v>31</v>
      </c>
      <c r="K3654" t="s">
        <v>32</v>
      </c>
      <c r="L3654" t="s">
        <v>32</v>
      </c>
      <c r="M3654" t="s">
        <v>33</v>
      </c>
      <c r="N3654" t="s">
        <v>33</v>
      </c>
      <c r="O3654" t="s">
        <v>33</v>
      </c>
      <c r="P3654" t="s">
        <v>213</v>
      </c>
      <c r="Q3654" t="s">
        <v>2111</v>
      </c>
      <c r="R3654" t="s">
        <v>151</v>
      </c>
      <c r="S3654" t="s">
        <v>30</v>
      </c>
      <c r="T3654" t="s">
        <v>3121</v>
      </c>
      <c r="U3654" t="s">
        <v>3122</v>
      </c>
      <c r="V3654" t="s">
        <v>39</v>
      </c>
      <c r="W3654" s="1">
        <v>1</v>
      </c>
    </row>
    <row r="3655" spans="1:23" x14ac:dyDescent="0.2">
      <c r="A3655" t="s">
        <v>2096</v>
      </c>
      <c r="B3655" t="s">
        <v>2097</v>
      </c>
      <c r="C3655" t="s">
        <v>2971</v>
      </c>
      <c r="D3655" t="s">
        <v>3093</v>
      </c>
      <c r="E3655" t="s">
        <v>3094</v>
      </c>
      <c r="F3655" t="s">
        <v>3095</v>
      </c>
      <c r="G3655" t="s">
        <v>67</v>
      </c>
      <c r="H3655" t="s">
        <v>30</v>
      </c>
      <c r="I3655" t="s">
        <v>30</v>
      </c>
      <c r="J3655" t="s">
        <v>31</v>
      </c>
      <c r="K3655" t="s">
        <v>32</v>
      </c>
      <c r="L3655" t="s">
        <v>32</v>
      </c>
      <c r="M3655" t="s">
        <v>33</v>
      </c>
      <c r="N3655" t="s">
        <v>33</v>
      </c>
      <c r="O3655" t="s">
        <v>33</v>
      </c>
      <c r="P3655" t="s">
        <v>213</v>
      </c>
      <c r="Q3655" t="s">
        <v>2111</v>
      </c>
      <c r="R3655" t="s">
        <v>151</v>
      </c>
      <c r="S3655" t="s">
        <v>30</v>
      </c>
      <c r="T3655" t="s">
        <v>3121</v>
      </c>
      <c r="U3655" t="s">
        <v>3122</v>
      </c>
      <c r="V3655" t="s">
        <v>40</v>
      </c>
      <c r="W3655" s="1">
        <v>499000</v>
      </c>
    </row>
    <row r="3656" spans="1:23" x14ac:dyDescent="0.2">
      <c r="A3656" t="s">
        <v>2096</v>
      </c>
      <c r="B3656" t="s">
        <v>2097</v>
      </c>
      <c r="C3656" t="s">
        <v>2971</v>
      </c>
      <c r="D3656" t="s">
        <v>3093</v>
      </c>
      <c r="E3656" t="s">
        <v>3094</v>
      </c>
      <c r="F3656" t="s">
        <v>3095</v>
      </c>
      <c r="G3656" t="s">
        <v>67</v>
      </c>
      <c r="H3656" t="s">
        <v>30</v>
      </c>
      <c r="I3656" t="s">
        <v>30</v>
      </c>
      <c r="J3656" t="s">
        <v>31</v>
      </c>
      <c r="K3656" t="s">
        <v>32</v>
      </c>
      <c r="L3656" t="s">
        <v>32</v>
      </c>
      <c r="M3656" t="s">
        <v>33</v>
      </c>
      <c r="N3656" t="s">
        <v>33</v>
      </c>
      <c r="O3656" t="s">
        <v>33</v>
      </c>
      <c r="P3656" t="s">
        <v>34</v>
      </c>
      <c r="Q3656" t="s">
        <v>35</v>
      </c>
      <c r="R3656" t="s">
        <v>184</v>
      </c>
      <c r="S3656" t="s">
        <v>30</v>
      </c>
      <c r="T3656" t="s">
        <v>3123</v>
      </c>
      <c r="U3656" t="s">
        <v>3124</v>
      </c>
      <c r="V3656" t="s">
        <v>39</v>
      </c>
      <c r="W3656" s="1">
        <v>1</v>
      </c>
    </row>
    <row r="3657" spans="1:23" x14ac:dyDescent="0.2">
      <c r="A3657" t="s">
        <v>2096</v>
      </c>
      <c r="B3657" t="s">
        <v>2097</v>
      </c>
      <c r="C3657" t="s">
        <v>2971</v>
      </c>
      <c r="D3657" t="s">
        <v>3093</v>
      </c>
      <c r="E3657" t="s">
        <v>3094</v>
      </c>
      <c r="F3657" t="s">
        <v>3095</v>
      </c>
      <c r="G3657" t="s">
        <v>67</v>
      </c>
      <c r="H3657" t="s">
        <v>30</v>
      </c>
      <c r="I3657" t="s">
        <v>30</v>
      </c>
      <c r="J3657" t="s">
        <v>31</v>
      </c>
      <c r="K3657" t="s">
        <v>32</v>
      </c>
      <c r="L3657" t="s">
        <v>32</v>
      </c>
      <c r="M3657" t="s">
        <v>33</v>
      </c>
      <c r="N3657" t="s">
        <v>33</v>
      </c>
      <c r="O3657" t="s">
        <v>33</v>
      </c>
      <c r="P3657" t="s">
        <v>34</v>
      </c>
      <c r="Q3657" t="s">
        <v>35</v>
      </c>
      <c r="R3657" t="s">
        <v>184</v>
      </c>
      <c r="S3657" t="s">
        <v>30</v>
      </c>
      <c r="T3657" t="s">
        <v>3123</v>
      </c>
      <c r="U3657" t="s">
        <v>3124</v>
      </c>
      <c r="V3657" t="s">
        <v>40</v>
      </c>
      <c r="W3657" s="1">
        <v>802900</v>
      </c>
    </row>
    <row r="3658" spans="1:23" x14ac:dyDescent="0.2">
      <c r="A3658" t="s">
        <v>2096</v>
      </c>
      <c r="B3658" t="s">
        <v>2097</v>
      </c>
      <c r="C3658" t="s">
        <v>2971</v>
      </c>
      <c r="D3658" t="s">
        <v>3093</v>
      </c>
      <c r="E3658" t="s">
        <v>3094</v>
      </c>
      <c r="F3658" t="s">
        <v>3095</v>
      </c>
      <c r="G3658" t="s">
        <v>89</v>
      </c>
      <c r="H3658" t="s">
        <v>30</v>
      </c>
      <c r="I3658" t="s">
        <v>30</v>
      </c>
      <c r="J3658" t="s">
        <v>31</v>
      </c>
      <c r="K3658" t="s">
        <v>32</v>
      </c>
      <c r="L3658" t="s">
        <v>32</v>
      </c>
      <c r="M3658" t="s">
        <v>33</v>
      </c>
      <c r="N3658" t="s">
        <v>33</v>
      </c>
      <c r="O3658" t="s">
        <v>33</v>
      </c>
      <c r="P3658" t="s">
        <v>213</v>
      </c>
      <c r="Q3658" t="s">
        <v>2118</v>
      </c>
      <c r="S3658" t="s">
        <v>30</v>
      </c>
      <c r="T3658" t="s">
        <v>3125</v>
      </c>
      <c r="U3658" t="s">
        <v>3126</v>
      </c>
      <c r="V3658" t="s">
        <v>39</v>
      </c>
      <c r="W3658" s="1">
        <v>3</v>
      </c>
    </row>
    <row r="3659" spans="1:23" x14ac:dyDescent="0.2">
      <c r="A3659" t="s">
        <v>2096</v>
      </c>
      <c r="B3659" t="s">
        <v>2097</v>
      </c>
      <c r="C3659" t="s">
        <v>2971</v>
      </c>
      <c r="D3659" t="s">
        <v>3093</v>
      </c>
      <c r="E3659" t="s">
        <v>3094</v>
      </c>
      <c r="F3659" t="s">
        <v>3095</v>
      </c>
      <c r="G3659" t="s">
        <v>89</v>
      </c>
      <c r="H3659" t="s">
        <v>30</v>
      </c>
      <c r="I3659" t="s">
        <v>30</v>
      </c>
      <c r="J3659" t="s">
        <v>31</v>
      </c>
      <c r="K3659" t="s">
        <v>32</v>
      </c>
      <c r="L3659" t="s">
        <v>32</v>
      </c>
      <c r="M3659" t="s">
        <v>33</v>
      </c>
      <c r="N3659" t="s">
        <v>33</v>
      </c>
      <c r="O3659" t="s">
        <v>33</v>
      </c>
      <c r="P3659" t="s">
        <v>213</v>
      </c>
      <c r="Q3659" t="s">
        <v>2118</v>
      </c>
      <c r="S3659" t="s">
        <v>30</v>
      </c>
      <c r="T3659" t="s">
        <v>3125</v>
      </c>
      <c r="U3659" t="s">
        <v>3126</v>
      </c>
      <c r="V3659" t="s">
        <v>40</v>
      </c>
      <c r="W3659" s="1">
        <v>2010000</v>
      </c>
    </row>
    <row r="3660" spans="1:23" x14ac:dyDescent="0.2">
      <c r="A3660" t="s">
        <v>2096</v>
      </c>
      <c r="B3660" t="s">
        <v>2097</v>
      </c>
      <c r="C3660" t="s">
        <v>2971</v>
      </c>
      <c r="D3660" t="s">
        <v>3093</v>
      </c>
      <c r="E3660" t="s">
        <v>3094</v>
      </c>
      <c r="F3660" t="s">
        <v>3095</v>
      </c>
      <c r="G3660" t="s">
        <v>89</v>
      </c>
      <c r="H3660" t="s">
        <v>30</v>
      </c>
      <c r="I3660" t="s">
        <v>30</v>
      </c>
      <c r="J3660" t="s">
        <v>31</v>
      </c>
      <c r="K3660" t="s">
        <v>32</v>
      </c>
      <c r="L3660" t="s">
        <v>32</v>
      </c>
      <c r="M3660" t="s">
        <v>33</v>
      </c>
      <c r="P3660" t="s">
        <v>34</v>
      </c>
      <c r="Q3660" t="s">
        <v>35</v>
      </c>
      <c r="R3660" t="s">
        <v>228</v>
      </c>
      <c r="S3660" t="s">
        <v>52</v>
      </c>
      <c r="T3660" t="s">
        <v>3127</v>
      </c>
      <c r="U3660" t="s">
        <v>3128</v>
      </c>
      <c r="V3660" t="s">
        <v>39</v>
      </c>
      <c r="W3660" s="1">
        <v>0</v>
      </c>
    </row>
    <row r="3661" spans="1:23" x14ac:dyDescent="0.2">
      <c r="A3661" t="s">
        <v>2096</v>
      </c>
      <c r="B3661" t="s">
        <v>2097</v>
      </c>
      <c r="C3661" t="s">
        <v>2971</v>
      </c>
      <c r="D3661" t="s">
        <v>3093</v>
      </c>
      <c r="E3661" t="s">
        <v>3094</v>
      </c>
      <c r="F3661" t="s">
        <v>3095</v>
      </c>
      <c r="G3661" t="s">
        <v>89</v>
      </c>
      <c r="H3661" t="s">
        <v>30</v>
      </c>
      <c r="I3661" t="s">
        <v>30</v>
      </c>
      <c r="J3661" t="s">
        <v>31</v>
      </c>
      <c r="K3661" t="s">
        <v>32</v>
      </c>
      <c r="L3661" t="s">
        <v>32</v>
      </c>
      <c r="M3661" t="s">
        <v>33</v>
      </c>
      <c r="P3661" t="s">
        <v>34</v>
      </c>
      <c r="Q3661" t="s">
        <v>35</v>
      </c>
      <c r="R3661" t="s">
        <v>228</v>
      </c>
      <c r="S3661" t="s">
        <v>52</v>
      </c>
      <c r="T3661" t="s">
        <v>3127</v>
      </c>
      <c r="U3661" t="s">
        <v>3128</v>
      </c>
      <c r="V3661" t="s">
        <v>40</v>
      </c>
      <c r="W3661" s="1">
        <v>1053800</v>
      </c>
    </row>
    <row r="3662" spans="1:23" x14ac:dyDescent="0.2">
      <c r="A3662" t="s">
        <v>2096</v>
      </c>
      <c r="B3662" t="s">
        <v>2097</v>
      </c>
      <c r="C3662" t="s">
        <v>2971</v>
      </c>
      <c r="D3662" t="s">
        <v>3093</v>
      </c>
      <c r="E3662" t="s">
        <v>3094</v>
      </c>
      <c r="F3662" t="s">
        <v>3095</v>
      </c>
      <c r="G3662" t="s">
        <v>89</v>
      </c>
      <c r="H3662" t="s">
        <v>30</v>
      </c>
      <c r="I3662" t="s">
        <v>30</v>
      </c>
      <c r="J3662" t="s">
        <v>41</v>
      </c>
      <c r="K3662" t="s">
        <v>32</v>
      </c>
      <c r="L3662" t="s">
        <v>32</v>
      </c>
      <c r="M3662" t="s">
        <v>33</v>
      </c>
      <c r="N3662" t="s">
        <v>33</v>
      </c>
      <c r="O3662" t="s">
        <v>33</v>
      </c>
      <c r="P3662" t="s">
        <v>213</v>
      </c>
      <c r="Q3662" t="s">
        <v>2118</v>
      </c>
      <c r="S3662" t="s">
        <v>30</v>
      </c>
      <c r="T3662" t="s">
        <v>3129</v>
      </c>
      <c r="U3662" t="s">
        <v>3130</v>
      </c>
      <c r="V3662" t="s">
        <v>39</v>
      </c>
      <c r="W3662" s="1">
        <v>2</v>
      </c>
    </row>
    <row r="3663" spans="1:23" x14ac:dyDescent="0.2">
      <c r="A3663" t="s">
        <v>2096</v>
      </c>
      <c r="B3663" t="s">
        <v>2097</v>
      </c>
      <c r="C3663" t="s">
        <v>2971</v>
      </c>
      <c r="D3663" t="s">
        <v>3093</v>
      </c>
      <c r="E3663" t="s">
        <v>3094</v>
      </c>
      <c r="F3663" t="s">
        <v>3095</v>
      </c>
      <c r="G3663" t="s">
        <v>89</v>
      </c>
      <c r="H3663" t="s">
        <v>30</v>
      </c>
      <c r="I3663" t="s">
        <v>30</v>
      </c>
      <c r="J3663" t="s">
        <v>41</v>
      </c>
      <c r="K3663" t="s">
        <v>32</v>
      </c>
      <c r="L3663" t="s">
        <v>32</v>
      </c>
      <c r="M3663" t="s">
        <v>33</v>
      </c>
      <c r="N3663" t="s">
        <v>33</v>
      </c>
      <c r="O3663" t="s">
        <v>33</v>
      </c>
      <c r="P3663" t="s">
        <v>213</v>
      </c>
      <c r="Q3663" t="s">
        <v>2118</v>
      </c>
      <c r="S3663" t="s">
        <v>30</v>
      </c>
      <c r="T3663" t="s">
        <v>3129</v>
      </c>
      <c r="U3663" t="s">
        <v>3130</v>
      </c>
      <c r="V3663" t="s">
        <v>40</v>
      </c>
      <c r="W3663" s="1">
        <v>1299800</v>
      </c>
    </row>
    <row r="3664" spans="1:23" x14ac:dyDescent="0.2">
      <c r="A3664" t="s">
        <v>2096</v>
      </c>
      <c r="B3664" t="s">
        <v>2097</v>
      </c>
      <c r="C3664" t="s">
        <v>2971</v>
      </c>
      <c r="D3664" t="s">
        <v>3093</v>
      </c>
      <c r="E3664" t="s">
        <v>3094</v>
      </c>
      <c r="F3664" t="s">
        <v>3095</v>
      </c>
      <c r="G3664" t="s">
        <v>89</v>
      </c>
      <c r="H3664" t="s">
        <v>30</v>
      </c>
      <c r="I3664" t="s">
        <v>30</v>
      </c>
      <c r="J3664" t="s">
        <v>41</v>
      </c>
      <c r="K3664" t="s">
        <v>32</v>
      </c>
      <c r="L3664" t="s">
        <v>32</v>
      </c>
      <c r="M3664" t="s">
        <v>33</v>
      </c>
      <c r="N3664" t="s">
        <v>33</v>
      </c>
      <c r="O3664" t="s">
        <v>33</v>
      </c>
      <c r="P3664" t="s">
        <v>34</v>
      </c>
      <c r="Q3664" t="s">
        <v>35</v>
      </c>
      <c r="S3664" t="s">
        <v>30</v>
      </c>
      <c r="T3664" t="s">
        <v>3131</v>
      </c>
      <c r="U3664" t="s">
        <v>3132</v>
      </c>
      <c r="V3664" t="s">
        <v>39</v>
      </c>
      <c r="W3664" s="1">
        <v>3</v>
      </c>
    </row>
    <row r="3665" spans="1:23" x14ac:dyDescent="0.2">
      <c r="A3665" t="s">
        <v>2096</v>
      </c>
      <c r="B3665" t="s">
        <v>2097</v>
      </c>
      <c r="C3665" t="s">
        <v>2971</v>
      </c>
      <c r="D3665" t="s">
        <v>3093</v>
      </c>
      <c r="E3665" t="s">
        <v>3094</v>
      </c>
      <c r="F3665" t="s">
        <v>3095</v>
      </c>
      <c r="G3665" t="s">
        <v>89</v>
      </c>
      <c r="H3665" t="s">
        <v>30</v>
      </c>
      <c r="I3665" t="s">
        <v>30</v>
      </c>
      <c r="J3665" t="s">
        <v>41</v>
      </c>
      <c r="K3665" t="s">
        <v>32</v>
      </c>
      <c r="L3665" t="s">
        <v>32</v>
      </c>
      <c r="M3665" t="s">
        <v>33</v>
      </c>
      <c r="N3665" t="s">
        <v>33</v>
      </c>
      <c r="O3665" t="s">
        <v>33</v>
      </c>
      <c r="P3665" t="s">
        <v>34</v>
      </c>
      <c r="Q3665" t="s">
        <v>35</v>
      </c>
      <c r="S3665" t="s">
        <v>30</v>
      </c>
      <c r="T3665" t="s">
        <v>3131</v>
      </c>
      <c r="U3665" t="s">
        <v>3132</v>
      </c>
      <c r="V3665" t="s">
        <v>40</v>
      </c>
      <c r="W3665" s="1">
        <v>4049700</v>
      </c>
    </row>
    <row r="3666" spans="1:23" x14ac:dyDescent="0.2">
      <c r="A3666" t="s">
        <v>2096</v>
      </c>
      <c r="B3666" t="s">
        <v>2097</v>
      </c>
      <c r="C3666" t="s">
        <v>2971</v>
      </c>
      <c r="D3666" t="s">
        <v>3093</v>
      </c>
      <c r="E3666" t="s">
        <v>3094</v>
      </c>
      <c r="F3666" t="s">
        <v>3095</v>
      </c>
      <c r="G3666" t="s">
        <v>119</v>
      </c>
      <c r="H3666" t="s">
        <v>30</v>
      </c>
      <c r="I3666" t="s">
        <v>52</v>
      </c>
      <c r="J3666" t="s">
        <v>31</v>
      </c>
      <c r="K3666" t="s">
        <v>32</v>
      </c>
      <c r="L3666" t="s">
        <v>32</v>
      </c>
      <c r="M3666" t="s">
        <v>33</v>
      </c>
      <c r="N3666" t="s">
        <v>33</v>
      </c>
      <c r="O3666" t="s">
        <v>33</v>
      </c>
      <c r="P3666" t="s">
        <v>213</v>
      </c>
      <c r="Q3666" t="s">
        <v>2111</v>
      </c>
      <c r="S3666" t="s">
        <v>30</v>
      </c>
      <c r="T3666" t="s">
        <v>3133</v>
      </c>
      <c r="U3666" t="s">
        <v>3134</v>
      </c>
      <c r="V3666" t="s">
        <v>39</v>
      </c>
      <c r="W3666" s="1">
        <v>2</v>
      </c>
    </row>
    <row r="3667" spans="1:23" x14ac:dyDescent="0.2">
      <c r="A3667" t="s">
        <v>2096</v>
      </c>
      <c r="B3667" t="s">
        <v>2097</v>
      </c>
      <c r="C3667" t="s">
        <v>2971</v>
      </c>
      <c r="D3667" t="s">
        <v>3093</v>
      </c>
      <c r="E3667" t="s">
        <v>3094</v>
      </c>
      <c r="F3667" t="s">
        <v>3095</v>
      </c>
      <c r="G3667" t="s">
        <v>119</v>
      </c>
      <c r="H3667" t="s">
        <v>30</v>
      </c>
      <c r="I3667" t="s">
        <v>52</v>
      </c>
      <c r="J3667" t="s">
        <v>31</v>
      </c>
      <c r="K3667" t="s">
        <v>32</v>
      </c>
      <c r="L3667" t="s">
        <v>32</v>
      </c>
      <c r="M3667" t="s">
        <v>33</v>
      </c>
      <c r="N3667" t="s">
        <v>33</v>
      </c>
      <c r="O3667" t="s">
        <v>33</v>
      </c>
      <c r="P3667" t="s">
        <v>213</v>
      </c>
      <c r="Q3667" t="s">
        <v>2111</v>
      </c>
      <c r="S3667" t="s">
        <v>30</v>
      </c>
      <c r="T3667" t="s">
        <v>3133</v>
      </c>
      <c r="U3667" t="s">
        <v>3134</v>
      </c>
      <c r="V3667" t="s">
        <v>40</v>
      </c>
      <c r="W3667" s="1">
        <v>1153800</v>
      </c>
    </row>
    <row r="3668" spans="1:23" x14ac:dyDescent="0.2">
      <c r="A3668" t="s">
        <v>2096</v>
      </c>
      <c r="B3668" t="s">
        <v>2097</v>
      </c>
      <c r="C3668" t="s">
        <v>2971</v>
      </c>
      <c r="D3668" t="s">
        <v>3093</v>
      </c>
      <c r="E3668" t="s">
        <v>3094</v>
      </c>
      <c r="F3668" t="s">
        <v>3095</v>
      </c>
      <c r="G3668" t="s">
        <v>119</v>
      </c>
      <c r="H3668" t="s">
        <v>30</v>
      </c>
      <c r="I3668" t="s">
        <v>52</v>
      </c>
      <c r="J3668" t="s">
        <v>31</v>
      </c>
      <c r="K3668" t="s">
        <v>32</v>
      </c>
      <c r="L3668" t="s">
        <v>32</v>
      </c>
      <c r="M3668" t="s">
        <v>33</v>
      </c>
      <c r="N3668" t="s">
        <v>33</v>
      </c>
      <c r="O3668" t="s">
        <v>33</v>
      </c>
      <c r="P3668" t="s">
        <v>34</v>
      </c>
      <c r="Q3668" t="s">
        <v>35</v>
      </c>
      <c r="R3668" t="s">
        <v>184</v>
      </c>
      <c r="S3668" t="s">
        <v>30</v>
      </c>
      <c r="T3668" t="s">
        <v>2480</v>
      </c>
      <c r="U3668" t="s">
        <v>3135</v>
      </c>
      <c r="V3668" t="s">
        <v>39</v>
      </c>
      <c r="W3668" s="1">
        <v>2</v>
      </c>
    </row>
    <row r="3669" spans="1:23" x14ac:dyDescent="0.2">
      <c r="A3669" t="s">
        <v>2096</v>
      </c>
      <c r="B3669" t="s">
        <v>2097</v>
      </c>
      <c r="C3669" t="s">
        <v>2971</v>
      </c>
      <c r="D3669" t="s">
        <v>3093</v>
      </c>
      <c r="E3669" t="s">
        <v>3094</v>
      </c>
      <c r="F3669" t="s">
        <v>3095</v>
      </c>
      <c r="G3669" t="s">
        <v>119</v>
      </c>
      <c r="H3669" t="s">
        <v>30</v>
      </c>
      <c r="I3669" t="s">
        <v>52</v>
      </c>
      <c r="J3669" t="s">
        <v>31</v>
      </c>
      <c r="K3669" t="s">
        <v>32</v>
      </c>
      <c r="L3669" t="s">
        <v>32</v>
      </c>
      <c r="M3669" t="s">
        <v>33</v>
      </c>
      <c r="N3669" t="s">
        <v>33</v>
      </c>
      <c r="O3669" t="s">
        <v>33</v>
      </c>
      <c r="P3669" t="s">
        <v>34</v>
      </c>
      <c r="Q3669" t="s">
        <v>35</v>
      </c>
      <c r="R3669" t="s">
        <v>184</v>
      </c>
      <c r="S3669" t="s">
        <v>30</v>
      </c>
      <c r="T3669" t="s">
        <v>2480</v>
      </c>
      <c r="U3669" t="s">
        <v>3135</v>
      </c>
      <c r="V3669" t="s">
        <v>40</v>
      </c>
      <c r="W3669" s="1">
        <v>2411800</v>
      </c>
    </row>
    <row r="3670" spans="1:23" x14ac:dyDescent="0.2">
      <c r="A3670" t="s">
        <v>2096</v>
      </c>
      <c r="B3670" t="s">
        <v>2097</v>
      </c>
      <c r="C3670" t="s">
        <v>2971</v>
      </c>
      <c r="D3670" t="s">
        <v>3093</v>
      </c>
      <c r="E3670" t="s">
        <v>3094</v>
      </c>
      <c r="F3670" t="s">
        <v>3095</v>
      </c>
      <c r="G3670" t="s">
        <v>119</v>
      </c>
      <c r="H3670" t="s">
        <v>30</v>
      </c>
      <c r="I3670" t="s">
        <v>52</v>
      </c>
      <c r="J3670" t="s">
        <v>31</v>
      </c>
      <c r="K3670" t="s">
        <v>32</v>
      </c>
      <c r="L3670" t="s">
        <v>32</v>
      </c>
      <c r="M3670" t="s">
        <v>33</v>
      </c>
      <c r="P3670" t="s">
        <v>213</v>
      </c>
      <c r="Q3670" t="s">
        <v>2111</v>
      </c>
      <c r="S3670" t="s">
        <v>30</v>
      </c>
      <c r="T3670" t="s">
        <v>3133</v>
      </c>
      <c r="U3670" t="s">
        <v>3134</v>
      </c>
      <c r="V3670" t="s">
        <v>39</v>
      </c>
      <c r="W3670" s="1">
        <v>1</v>
      </c>
    </row>
    <row r="3671" spans="1:23" x14ac:dyDescent="0.2">
      <c r="A3671" t="s">
        <v>2096</v>
      </c>
      <c r="B3671" t="s">
        <v>2097</v>
      </c>
      <c r="C3671" t="s">
        <v>2971</v>
      </c>
      <c r="D3671" t="s">
        <v>3093</v>
      </c>
      <c r="E3671" t="s">
        <v>3094</v>
      </c>
      <c r="F3671" t="s">
        <v>3095</v>
      </c>
      <c r="G3671" t="s">
        <v>119</v>
      </c>
      <c r="H3671" t="s">
        <v>30</v>
      </c>
      <c r="I3671" t="s">
        <v>52</v>
      </c>
      <c r="J3671" t="s">
        <v>31</v>
      </c>
      <c r="K3671" t="s">
        <v>32</v>
      </c>
      <c r="L3671" t="s">
        <v>32</v>
      </c>
      <c r="M3671" t="s">
        <v>33</v>
      </c>
      <c r="P3671" t="s">
        <v>213</v>
      </c>
      <c r="Q3671" t="s">
        <v>2111</v>
      </c>
      <c r="S3671" t="s">
        <v>30</v>
      </c>
      <c r="T3671" t="s">
        <v>3133</v>
      </c>
      <c r="U3671" t="s">
        <v>3134</v>
      </c>
      <c r="V3671" t="s">
        <v>40</v>
      </c>
      <c r="W3671" s="1">
        <v>576900</v>
      </c>
    </row>
    <row r="3672" spans="1:23" x14ac:dyDescent="0.2">
      <c r="A3672" t="s">
        <v>2096</v>
      </c>
      <c r="B3672" t="s">
        <v>2097</v>
      </c>
      <c r="C3672" t="s">
        <v>2971</v>
      </c>
      <c r="D3672" t="s">
        <v>3093</v>
      </c>
      <c r="E3672" t="s">
        <v>3094</v>
      </c>
      <c r="F3672" t="s">
        <v>3095</v>
      </c>
      <c r="G3672" t="s">
        <v>119</v>
      </c>
      <c r="H3672" t="s">
        <v>30</v>
      </c>
      <c r="I3672" t="s">
        <v>52</v>
      </c>
      <c r="J3672" t="s">
        <v>41</v>
      </c>
      <c r="K3672" t="s">
        <v>32</v>
      </c>
      <c r="L3672" t="s">
        <v>32</v>
      </c>
      <c r="M3672" t="s">
        <v>33</v>
      </c>
      <c r="N3672" t="s">
        <v>33</v>
      </c>
      <c r="O3672" t="s">
        <v>33</v>
      </c>
      <c r="P3672" t="s">
        <v>213</v>
      </c>
      <c r="Q3672" t="s">
        <v>2111</v>
      </c>
      <c r="R3672" t="s">
        <v>54</v>
      </c>
      <c r="S3672" t="s">
        <v>30</v>
      </c>
      <c r="T3672" t="s">
        <v>3136</v>
      </c>
      <c r="U3672" t="s">
        <v>3137</v>
      </c>
      <c r="V3672" t="s">
        <v>39</v>
      </c>
      <c r="W3672" s="1">
        <v>6</v>
      </c>
    </row>
    <row r="3673" spans="1:23" x14ac:dyDescent="0.2">
      <c r="A3673" t="s">
        <v>2096</v>
      </c>
      <c r="B3673" t="s">
        <v>2097</v>
      </c>
      <c r="C3673" t="s">
        <v>2971</v>
      </c>
      <c r="D3673" t="s">
        <v>3093</v>
      </c>
      <c r="E3673" t="s">
        <v>3094</v>
      </c>
      <c r="F3673" t="s">
        <v>3095</v>
      </c>
      <c r="G3673" t="s">
        <v>119</v>
      </c>
      <c r="H3673" t="s">
        <v>30</v>
      </c>
      <c r="I3673" t="s">
        <v>52</v>
      </c>
      <c r="J3673" t="s">
        <v>41</v>
      </c>
      <c r="K3673" t="s">
        <v>32</v>
      </c>
      <c r="L3673" t="s">
        <v>32</v>
      </c>
      <c r="M3673" t="s">
        <v>33</v>
      </c>
      <c r="N3673" t="s">
        <v>33</v>
      </c>
      <c r="O3673" t="s">
        <v>33</v>
      </c>
      <c r="P3673" t="s">
        <v>213</v>
      </c>
      <c r="Q3673" t="s">
        <v>2111</v>
      </c>
      <c r="R3673" t="s">
        <v>54</v>
      </c>
      <c r="S3673" t="s">
        <v>30</v>
      </c>
      <c r="T3673" t="s">
        <v>3136</v>
      </c>
      <c r="U3673" t="s">
        <v>3137</v>
      </c>
      <c r="V3673" t="s">
        <v>40</v>
      </c>
      <c r="W3673" s="1">
        <v>7494000</v>
      </c>
    </row>
    <row r="3674" spans="1:23" x14ac:dyDescent="0.2">
      <c r="A3674" t="s">
        <v>2096</v>
      </c>
      <c r="B3674" t="s">
        <v>2097</v>
      </c>
      <c r="C3674" t="s">
        <v>2971</v>
      </c>
      <c r="D3674" t="s">
        <v>3093</v>
      </c>
      <c r="E3674" t="s">
        <v>3094</v>
      </c>
      <c r="F3674" t="s">
        <v>3095</v>
      </c>
      <c r="G3674" t="s">
        <v>127</v>
      </c>
      <c r="H3674" t="s">
        <v>52</v>
      </c>
      <c r="I3674" t="s">
        <v>30</v>
      </c>
      <c r="J3674" t="s">
        <v>31</v>
      </c>
      <c r="K3674" t="s">
        <v>32</v>
      </c>
      <c r="L3674" t="s">
        <v>32</v>
      </c>
      <c r="M3674" t="s">
        <v>33</v>
      </c>
      <c r="N3674" t="s">
        <v>33</v>
      </c>
      <c r="O3674" t="s">
        <v>33</v>
      </c>
      <c r="P3674" t="s">
        <v>213</v>
      </c>
      <c r="Q3674" t="s">
        <v>2111</v>
      </c>
      <c r="S3674" t="s">
        <v>30</v>
      </c>
      <c r="T3674" t="s">
        <v>1806</v>
      </c>
      <c r="U3674" t="s">
        <v>3138</v>
      </c>
      <c r="V3674" t="s">
        <v>39</v>
      </c>
      <c r="W3674" s="1">
        <v>1</v>
      </c>
    </row>
    <row r="3675" spans="1:23" x14ac:dyDescent="0.2">
      <c r="A3675" t="s">
        <v>2096</v>
      </c>
      <c r="B3675" t="s">
        <v>2097</v>
      </c>
      <c r="C3675" t="s">
        <v>2971</v>
      </c>
      <c r="D3675" t="s">
        <v>3093</v>
      </c>
      <c r="E3675" t="s">
        <v>3094</v>
      </c>
      <c r="F3675" t="s">
        <v>3095</v>
      </c>
      <c r="G3675" t="s">
        <v>127</v>
      </c>
      <c r="H3675" t="s">
        <v>52</v>
      </c>
      <c r="I3675" t="s">
        <v>30</v>
      </c>
      <c r="J3675" t="s">
        <v>31</v>
      </c>
      <c r="K3675" t="s">
        <v>32</v>
      </c>
      <c r="L3675" t="s">
        <v>32</v>
      </c>
      <c r="M3675" t="s">
        <v>33</v>
      </c>
      <c r="N3675" t="s">
        <v>33</v>
      </c>
      <c r="O3675" t="s">
        <v>33</v>
      </c>
      <c r="P3675" t="s">
        <v>213</v>
      </c>
      <c r="Q3675" t="s">
        <v>2111</v>
      </c>
      <c r="S3675" t="s">
        <v>30</v>
      </c>
      <c r="T3675" t="s">
        <v>1806</v>
      </c>
      <c r="U3675" t="s">
        <v>3138</v>
      </c>
      <c r="V3675" t="s">
        <v>40</v>
      </c>
      <c r="W3675" s="1">
        <v>1044900</v>
      </c>
    </row>
    <row r="3676" spans="1:23" x14ac:dyDescent="0.2">
      <c r="A3676" t="s">
        <v>2096</v>
      </c>
      <c r="B3676" t="s">
        <v>2097</v>
      </c>
      <c r="C3676" t="s">
        <v>2971</v>
      </c>
      <c r="D3676" t="s">
        <v>3093</v>
      </c>
      <c r="E3676" t="s">
        <v>3094</v>
      </c>
      <c r="F3676" t="s">
        <v>3095</v>
      </c>
      <c r="G3676" t="s">
        <v>127</v>
      </c>
      <c r="H3676" t="s">
        <v>52</v>
      </c>
      <c r="I3676" t="s">
        <v>30</v>
      </c>
      <c r="J3676" t="s">
        <v>31</v>
      </c>
      <c r="K3676" t="s">
        <v>32</v>
      </c>
      <c r="L3676" t="s">
        <v>32</v>
      </c>
      <c r="M3676" t="s">
        <v>33</v>
      </c>
      <c r="N3676" t="s">
        <v>33</v>
      </c>
      <c r="O3676" t="s">
        <v>33</v>
      </c>
      <c r="P3676" t="s">
        <v>34</v>
      </c>
      <c r="Q3676" t="s">
        <v>35</v>
      </c>
      <c r="S3676" t="s">
        <v>30</v>
      </c>
      <c r="T3676" t="s">
        <v>3139</v>
      </c>
      <c r="U3676" t="s">
        <v>3140</v>
      </c>
      <c r="V3676" t="s">
        <v>39</v>
      </c>
      <c r="W3676" s="1">
        <v>2</v>
      </c>
    </row>
    <row r="3677" spans="1:23" x14ac:dyDescent="0.2">
      <c r="A3677" t="s">
        <v>2096</v>
      </c>
      <c r="B3677" t="s">
        <v>2097</v>
      </c>
      <c r="C3677" t="s">
        <v>2971</v>
      </c>
      <c r="D3677" t="s">
        <v>3093</v>
      </c>
      <c r="E3677" t="s">
        <v>3094</v>
      </c>
      <c r="F3677" t="s">
        <v>3095</v>
      </c>
      <c r="G3677" t="s">
        <v>127</v>
      </c>
      <c r="H3677" t="s">
        <v>52</v>
      </c>
      <c r="I3677" t="s">
        <v>30</v>
      </c>
      <c r="J3677" t="s">
        <v>31</v>
      </c>
      <c r="K3677" t="s">
        <v>32</v>
      </c>
      <c r="L3677" t="s">
        <v>32</v>
      </c>
      <c r="M3677" t="s">
        <v>33</v>
      </c>
      <c r="N3677" t="s">
        <v>33</v>
      </c>
      <c r="O3677" t="s">
        <v>33</v>
      </c>
      <c r="P3677" t="s">
        <v>34</v>
      </c>
      <c r="Q3677" t="s">
        <v>35</v>
      </c>
      <c r="S3677" t="s">
        <v>30</v>
      </c>
      <c r="T3677" t="s">
        <v>3139</v>
      </c>
      <c r="U3677" t="s">
        <v>3140</v>
      </c>
      <c r="V3677" t="s">
        <v>40</v>
      </c>
      <c r="W3677" s="1">
        <v>995200</v>
      </c>
    </row>
    <row r="3678" spans="1:23" x14ac:dyDescent="0.2">
      <c r="A3678" t="s">
        <v>2096</v>
      </c>
      <c r="B3678" t="s">
        <v>2097</v>
      </c>
      <c r="C3678" t="s">
        <v>2971</v>
      </c>
      <c r="D3678" t="s">
        <v>3093</v>
      </c>
      <c r="E3678" t="s">
        <v>3094</v>
      </c>
      <c r="F3678" t="s">
        <v>3095</v>
      </c>
      <c r="G3678" t="s">
        <v>127</v>
      </c>
      <c r="H3678" t="s">
        <v>52</v>
      </c>
      <c r="I3678" t="s">
        <v>30</v>
      </c>
      <c r="J3678" t="s">
        <v>31</v>
      </c>
      <c r="K3678" t="s">
        <v>32</v>
      </c>
      <c r="L3678" t="s">
        <v>32</v>
      </c>
      <c r="M3678" t="s">
        <v>33</v>
      </c>
      <c r="N3678" t="s">
        <v>33</v>
      </c>
      <c r="O3678" t="s">
        <v>33</v>
      </c>
      <c r="P3678" t="s">
        <v>34</v>
      </c>
      <c r="Q3678" t="s">
        <v>35</v>
      </c>
      <c r="S3678" t="s">
        <v>30</v>
      </c>
      <c r="T3678" t="s">
        <v>3141</v>
      </c>
      <c r="U3678" t="s">
        <v>3142</v>
      </c>
      <c r="V3678" t="s">
        <v>39</v>
      </c>
      <c r="W3678" s="1">
        <v>3</v>
      </c>
    </row>
    <row r="3679" spans="1:23" x14ac:dyDescent="0.2">
      <c r="A3679" t="s">
        <v>2096</v>
      </c>
      <c r="B3679" t="s">
        <v>2097</v>
      </c>
      <c r="C3679" t="s">
        <v>2971</v>
      </c>
      <c r="D3679" t="s">
        <v>3093</v>
      </c>
      <c r="E3679" t="s">
        <v>3094</v>
      </c>
      <c r="F3679" t="s">
        <v>3095</v>
      </c>
      <c r="G3679" t="s">
        <v>127</v>
      </c>
      <c r="H3679" t="s">
        <v>52</v>
      </c>
      <c r="I3679" t="s">
        <v>30</v>
      </c>
      <c r="J3679" t="s">
        <v>31</v>
      </c>
      <c r="K3679" t="s">
        <v>32</v>
      </c>
      <c r="L3679" t="s">
        <v>32</v>
      </c>
      <c r="M3679" t="s">
        <v>33</v>
      </c>
      <c r="N3679" t="s">
        <v>33</v>
      </c>
      <c r="O3679" t="s">
        <v>33</v>
      </c>
      <c r="P3679" t="s">
        <v>34</v>
      </c>
      <c r="Q3679" t="s">
        <v>35</v>
      </c>
      <c r="S3679" t="s">
        <v>30</v>
      </c>
      <c r="T3679" t="s">
        <v>3141</v>
      </c>
      <c r="U3679" t="s">
        <v>3142</v>
      </c>
      <c r="V3679" t="s">
        <v>40</v>
      </c>
      <c r="W3679" s="1">
        <v>2099700</v>
      </c>
    </row>
    <row r="3680" spans="1:23" x14ac:dyDescent="0.2">
      <c r="A3680" t="s">
        <v>2096</v>
      </c>
      <c r="B3680" t="s">
        <v>2097</v>
      </c>
      <c r="C3680" t="s">
        <v>2971</v>
      </c>
      <c r="D3680" t="s">
        <v>3093</v>
      </c>
      <c r="E3680" t="s">
        <v>3094</v>
      </c>
      <c r="F3680" t="s">
        <v>3095</v>
      </c>
      <c r="G3680" t="s">
        <v>134</v>
      </c>
      <c r="H3680" t="s">
        <v>52</v>
      </c>
      <c r="I3680" t="s">
        <v>30</v>
      </c>
      <c r="J3680" t="s">
        <v>41</v>
      </c>
      <c r="K3680" t="s">
        <v>32</v>
      </c>
      <c r="L3680" t="s">
        <v>32</v>
      </c>
      <c r="M3680" t="s">
        <v>33</v>
      </c>
      <c r="N3680" t="s">
        <v>33</v>
      </c>
      <c r="O3680" t="s">
        <v>33</v>
      </c>
      <c r="P3680" t="s">
        <v>213</v>
      </c>
      <c r="Q3680" t="s">
        <v>2111</v>
      </c>
      <c r="S3680" t="s">
        <v>30</v>
      </c>
      <c r="T3680" t="s">
        <v>3143</v>
      </c>
      <c r="U3680" t="s">
        <v>3144</v>
      </c>
      <c r="V3680" t="s">
        <v>39</v>
      </c>
      <c r="W3680" s="1">
        <v>1</v>
      </c>
    </row>
    <row r="3681" spans="1:23" x14ac:dyDescent="0.2">
      <c r="A3681" t="s">
        <v>2096</v>
      </c>
      <c r="B3681" t="s">
        <v>2097</v>
      </c>
      <c r="C3681" t="s">
        <v>2971</v>
      </c>
      <c r="D3681" t="s">
        <v>3093</v>
      </c>
      <c r="E3681" t="s">
        <v>3094</v>
      </c>
      <c r="F3681" t="s">
        <v>3095</v>
      </c>
      <c r="G3681" t="s">
        <v>134</v>
      </c>
      <c r="H3681" t="s">
        <v>52</v>
      </c>
      <c r="I3681" t="s">
        <v>30</v>
      </c>
      <c r="J3681" t="s">
        <v>41</v>
      </c>
      <c r="K3681" t="s">
        <v>32</v>
      </c>
      <c r="L3681" t="s">
        <v>32</v>
      </c>
      <c r="M3681" t="s">
        <v>33</v>
      </c>
      <c r="N3681" t="s">
        <v>33</v>
      </c>
      <c r="O3681" t="s">
        <v>33</v>
      </c>
      <c r="P3681" t="s">
        <v>213</v>
      </c>
      <c r="Q3681" t="s">
        <v>2111</v>
      </c>
      <c r="S3681" t="s">
        <v>30</v>
      </c>
      <c r="T3681" t="s">
        <v>3143</v>
      </c>
      <c r="U3681" t="s">
        <v>3144</v>
      </c>
      <c r="V3681" t="s">
        <v>40</v>
      </c>
      <c r="W3681" s="1">
        <v>951900</v>
      </c>
    </row>
    <row r="3682" spans="1:23" x14ac:dyDescent="0.2">
      <c r="A3682" t="s">
        <v>2096</v>
      </c>
      <c r="B3682" t="s">
        <v>2097</v>
      </c>
      <c r="C3682" t="s">
        <v>2971</v>
      </c>
      <c r="D3682" t="s">
        <v>3093</v>
      </c>
      <c r="E3682" t="s">
        <v>3094</v>
      </c>
      <c r="F3682" t="s">
        <v>3095</v>
      </c>
      <c r="G3682" t="s">
        <v>134</v>
      </c>
      <c r="H3682" t="s">
        <v>52</v>
      </c>
      <c r="I3682" t="s">
        <v>30</v>
      </c>
      <c r="J3682" t="s">
        <v>41</v>
      </c>
      <c r="K3682" t="s">
        <v>32</v>
      </c>
      <c r="L3682" t="s">
        <v>32</v>
      </c>
      <c r="M3682" t="s">
        <v>33</v>
      </c>
      <c r="N3682" t="s">
        <v>169</v>
      </c>
      <c r="O3682" t="s">
        <v>169</v>
      </c>
      <c r="P3682" t="s">
        <v>213</v>
      </c>
      <c r="Q3682" t="s">
        <v>2111</v>
      </c>
      <c r="S3682" t="s">
        <v>30</v>
      </c>
      <c r="T3682" t="s">
        <v>3143</v>
      </c>
      <c r="U3682" t="s">
        <v>3144</v>
      </c>
      <c r="V3682" t="s">
        <v>39</v>
      </c>
      <c r="W3682" s="1">
        <v>1</v>
      </c>
    </row>
    <row r="3683" spans="1:23" x14ac:dyDescent="0.2">
      <c r="A3683" t="s">
        <v>2096</v>
      </c>
      <c r="B3683" t="s">
        <v>2097</v>
      </c>
      <c r="C3683" t="s">
        <v>2971</v>
      </c>
      <c r="D3683" t="s">
        <v>3093</v>
      </c>
      <c r="E3683" t="s">
        <v>3094</v>
      </c>
      <c r="F3683" t="s">
        <v>3095</v>
      </c>
      <c r="G3683" t="s">
        <v>134</v>
      </c>
      <c r="H3683" t="s">
        <v>52</v>
      </c>
      <c r="I3683" t="s">
        <v>30</v>
      </c>
      <c r="J3683" t="s">
        <v>41</v>
      </c>
      <c r="K3683" t="s">
        <v>32</v>
      </c>
      <c r="L3683" t="s">
        <v>32</v>
      </c>
      <c r="M3683" t="s">
        <v>33</v>
      </c>
      <c r="N3683" t="s">
        <v>169</v>
      </c>
      <c r="O3683" t="s">
        <v>169</v>
      </c>
      <c r="P3683" t="s">
        <v>213</v>
      </c>
      <c r="Q3683" t="s">
        <v>2111</v>
      </c>
      <c r="S3683" t="s">
        <v>30</v>
      </c>
      <c r="T3683" t="s">
        <v>3143</v>
      </c>
      <c r="U3683" t="s">
        <v>3144</v>
      </c>
      <c r="V3683" t="s">
        <v>40</v>
      </c>
      <c r="W3683" s="1">
        <v>951900</v>
      </c>
    </row>
    <row r="3684" spans="1:23" x14ac:dyDescent="0.2">
      <c r="A3684" t="s">
        <v>2096</v>
      </c>
      <c r="B3684" t="s">
        <v>2097</v>
      </c>
      <c r="C3684" t="s">
        <v>2971</v>
      </c>
      <c r="D3684" t="s">
        <v>3093</v>
      </c>
      <c r="E3684" t="s">
        <v>3094</v>
      </c>
      <c r="F3684" t="s">
        <v>3095</v>
      </c>
      <c r="G3684" t="s">
        <v>139</v>
      </c>
      <c r="H3684" t="s">
        <v>30</v>
      </c>
      <c r="I3684" t="s">
        <v>30</v>
      </c>
      <c r="J3684" t="s">
        <v>128</v>
      </c>
      <c r="K3684" t="s">
        <v>135</v>
      </c>
      <c r="L3684" t="s">
        <v>32</v>
      </c>
      <c r="M3684" t="s">
        <v>33</v>
      </c>
      <c r="N3684" t="s">
        <v>33</v>
      </c>
      <c r="O3684" t="s">
        <v>33</v>
      </c>
      <c r="P3684" t="s">
        <v>213</v>
      </c>
      <c r="Q3684" t="s">
        <v>2111</v>
      </c>
      <c r="R3684" t="s">
        <v>136</v>
      </c>
      <c r="S3684" t="s">
        <v>30</v>
      </c>
      <c r="T3684" t="s">
        <v>3145</v>
      </c>
      <c r="U3684" t="s">
        <v>3146</v>
      </c>
      <c r="V3684" t="s">
        <v>39</v>
      </c>
      <c r="W3684" s="1">
        <v>3</v>
      </c>
    </row>
    <row r="3685" spans="1:23" x14ac:dyDescent="0.2">
      <c r="A3685" t="s">
        <v>2096</v>
      </c>
      <c r="B3685" t="s">
        <v>2097</v>
      </c>
      <c r="C3685" t="s">
        <v>2971</v>
      </c>
      <c r="D3685" t="s">
        <v>3093</v>
      </c>
      <c r="E3685" t="s">
        <v>3094</v>
      </c>
      <c r="F3685" t="s">
        <v>3095</v>
      </c>
      <c r="G3685" t="s">
        <v>139</v>
      </c>
      <c r="H3685" t="s">
        <v>30</v>
      </c>
      <c r="I3685" t="s">
        <v>30</v>
      </c>
      <c r="J3685" t="s">
        <v>128</v>
      </c>
      <c r="K3685" t="s">
        <v>135</v>
      </c>
      <c r="L3685" t="s">
        <v>32</v>
      </c>
      <c r="M3685" t="s">
        <v>33</v>
      </c>
      <c r="N3685" t="s">
        <v>33</v>
      </c>
      <c r="O3685" t="s">
        <v>33</v>
      </c>
      <c r="P3685" t="s">
        <v>213</v>
      </c>
      <c r="Q3685" t="s">
        <v>2111</v>
      </c>
      <c r="R3685" t="s">
        <v>136</v>
      </c>
      <c r="S3685" t="s">
        <v>30</v>
      </c>
      <c r="T3685" t="s">
        <v>3145</v>
      </c>
      <c r="U3685" t="s">
        <v>3146</v>
      </c>
      <c r="V3685" t="s">
        <v>40</v>
      </c>
      <c r="W3685" s="1">
        <v>924000</v>
      </c>
    </row>
    <row r="3686" spans="1:23" x14ac:dyDescent="0.2">
      <c r="A3686" t="s">
        <v>2096</v>
      </c>
      <c r="B3686" t="s">
        <v>2097</v>
      </c>
      <c r="C3686" t="s">
        <v>2971</v>
      </c>
      <c r="D3686" t="s">
        <v>3093</v>
      </c>
      <c r="E3686" t="s">
        <v>3094</v>
      </c>
      <c r="F3686" t="s">
        <v>3095</v>
      </c>
      <c r="G3686" t="s">
        <v>139</v>
      </c>
      <c r="H3686" t="s">
        <v>30</v>
      </c>
      <c r="I3686" t="s">
        <v>30</v>
      </c>
      <c r="J3686" t="s">
        <v>128</v>
      </c>
      <c r="K3686" t="s">
        <v>135</v>
      </c>
      <c r="L3686" t="s">
        <v>32</v>
      </c>
      <c r="M3686" t="s">
        <v>33</v>
      </c>
      <c r="P3686" t="s">
        <v>34</v>
      </c>
      <c r="Q3686" t="s">
        <v>35</v>
      </c>
      <c r="R3686" t="s">
        <v>136</v>
      </c>
      <c r="S3686" t="s">
        <v>52</v>
      </c>
      <c r="T3686" t="s">
        <v>3147</v>
      </c>
      <c r="U3686" t="s">
        <v>3148</v>
      </c>
      <c r="V3686" t="s">
        <v>39</v>
      </c>
      <c r="W3686" s="1">
        <v>0</v>
      </c>
    </row>
    <row r="3687" spans="1:23" x14ac:dyDescent="0.2">
      <c r="A3687" t="s">
        <v>2096</v>
      </c>
      <c r="B3687" t="s">
        <v>2097</v>
      </c>
      <c r="C3687" t="s">
        <v>2971</v>
      </c>
      <c r="D3687" t="s">
        <v>3093</v>
      </c>
      <c r="E3687" t="s">
        <v>3094</v>
      </c>
      <c r="F3687" t="s">
        <v>3095</v>
      </c>
      <c r="G3687" t="s">
        <v>139</v>
      </c>
      <c r="H3687" t="s">
        <v>30</v>
      </c>
      <c r="I3687" t="s">
        <v>30</v>
      </c>
      <c r="J3687" t="s">
        <v>128</v>
      </c>
      <c r="K3687" t="s">
        <v>135</v>
      </c>
      <c r="L3687" t="s">
        <v>32</v>
      </c>
      <c r="M3687" t="s">
        <v>33</v>
      </c>
      <c r="P3687" t="s">
        <v>34</v>
      </c>
      <c r="Q3687" t="s">
        <v>35</v>
      </c>
      <c r="R3687" t="s">
        <v>136</v>
      </c>
      <c r="S3687" t="s">
        <v>52</v>
      </c>
      <c r="T3687" t="s">
        <v>3147</v>
      </c>
      <c r="U3687" t="s">
        <v>3148</v>
      </c>
      <c r="V3687" t="s">
        <v>40</v>
      </c>
      <c r="W3687" s="1">
        <v>1529700</v>
      </c>
    </row>
    <row r="3688" spans="1:23" x14ac:dyDescent="0.2">
      <c r="A3688" t="s">
        <v>2096</v>
      </c>
      <c r="B3688" t="s">
        <v>2097</v>
      </c>
      <c r="C3688" t="s">
        <v>2971</v>
      </c>
      <c r="D3688" t="s">
        <v>3093</v>
      </c>
      <c r="E3688" t="s">
        <v>3094</v>
      </c>
      <c r="F3688" t="s">
        <v>3095</v>
      </c>
      <c r="G3688" t="s">
        <v>139</v>
      </c>
      <c r="H3688" t="s">
        <v>30</v>
      </c>
      <c r="I3688" t="s">
        <v>30</v>
      </c>
      <c r="J3688" t="s">
        <v>31</v>
      </c>
      <c r="K3688" t="s">
        <v>32</v>
      </c>
      <c r="L3688" t="s">
        <v>32</v>
      </c>
      <c r="M3688" t="s">
        <v>33</v>
      </c>
      <c r="P3688" t="s">
        <v>213</v>
      </c>
      <c r="Q3688" t="s">
        <v>2111</v>
      </c>
      <c r="S3688" t="s">
        <v>30</v>
      </c>
      <c r="T3688" t="s">
        <v>3149</v>
      </c>
      <c r="U3688" t="s">
        <v>3150</v>
      </c>
      <c r="V3688" t="s">
        <v>39</v>
      </c>
      <c r="W3688" s="1">
        <v>3</v>
      </c>
    </row>
    <row r="3689" spans="1:23" x14ac:dyDescent="0.2">
      <c r="A3689" t="s">
        <v>2096</v>
      </c>
      <c r="B3689" t="s">
        <v>2097</v>
      </c>
      <c r="C3689" t="s">
        <v>2971</v>
      </c>
      <c r="D3689" t="s">
        <v>3093</v>
      </c>
      <c r="E3689" t="s">
        <v>3094</v>
      </c>
      <c r="F3689" t="s">
        <v>3095</v>
      </c>
      <c r="G3689" t="s">
        <v>139</v>
      </c>
      <c r="H3689" t="s">
        <v>30</v>
      </c>
      <c r="I3689" t="s">
        <v>30</v>
      </c>
      <c r="J3689" t="s">
        <v>31</v>
      </c>
      <c r="K3689" t="s">
        <v>32</v>
      </c>
      <c r="L3689" t="s">
        <v>32</v>
      </c>
      <c r="M3689" t="s">
        <v>33</v>
      </c>
      <c r="P3689" t="s">
        <v>213</v>
      </c>
      <c r="Q3689" t="s">
        <v>2111</v>
      </c>
      <c r="S3689" t="s">
        <v>30</v>
      </c>
      <c r="T3689" t="s">
        <v>3149</v>
      </c>
      <c r="U3689" t="s">
        <v>3150</v>
      </c>
      <c r="V3689" t="s">
        <v>40</v>
      </c>
      <c r="W3689" s="1">
        <v>1199700</v>
      </c>
    </row>
    <row r="3690" spans="1:23" x14ac:dyDescent="0.2">
      <c r="A3690" t="s">
        <v>2096</v>
      </c>
      <c r="B3690" t="s">
        <v>2097</v>
      </c>
      <c r="C3690" t="s">
        <v>2971</v>
      </c>
      <c r="D3690" t="s">
        <v>3093</v>
      </c>
      <c r="E3690" t="s">
        <v>3094</v>
      </c>
      <c r="F3690" t="s">
        <v>3095</v>
      </c>
      <c r="G3690" t="s">
        <v>139</v>
      </c>
      <c r="H3690" t="s">
        <v>30</v>
      </c>
      <c r="I3690" t="s">
        <v>30</v>
      </c>
      <c r="J3690" t="s">
        <v>31</v>
      </c>
      <c r="K3690" t="s">
        <v>32</v>
      </c>
      <c r="L3690" t="s">
        <v>32</v>
      </c>
      <c r="M3690" t="s">
        <v>33</v>
      </c>
      <c r="P3690" t="s">
        <v>34</v>
      </c>
      <c r="Q3690" t="s">
        <v>35</v>
      </c>
      <c r="S3690" t="s">
        <v>30</v>
      </c>
      <c r="T3690" t="s">
        <v>3151</v>
      </c>
      <c r="U3690" t="s">
        <v>3152</v>
      </c>
      <c r="V3690" t="s">
        <v>39</v>
      </c>
      <c r="W3690" s="1">
        <v>4</v>
      </c>
    </row>
    <row r="3691" spans="1:23" x14ac:dyDescent="0.2">
      <c r="A3691" t="s">
        <v>2096</v>
      </c>
      <c r="B3691" t="s">
        <v>2097</v>
      </c>
      <c r="C3691" t="s">
        <v>2971</v>
      </c>
      <c r="D3691" t="s">
        <v>3093</v>
      </c>
      <c r="E3691" t="s">
        <v>3094</v>
      </c>
      <c r="F3691" t="s">
        <v>3095</v>
      </c>
      <c r="G3691" t="s">
        <v>139</v>
      </c>
      <c r="H3691" t="s">
        <v>30</v>
      </c>
      <c r="I3691" t="s">
        <v>30</v>
      </c>
      <c r="J3691" t="s">
        <v>31</v>
      </c>
      <c r="K3691" t="s">
        <v>32</v>
      </c>
      <c r="L3691" t="s">
        <v>32</v>
      </c>
      <c r="M3691" t="s">
        <v>33</v>
      </c>
      <c r="P3691" t="s">
        <v>34</v>
      </c>
      <c r="Q3691" t="s">
        <v>35</v>
      </c>
      <c r="S3691" t="s">
        <v>30</v>
      </c>
      <c r="T3691" t="s">
        <v>3151</v>
      </c>
      <c r="U3691" t="s">
        <v>3152</v>
      </c>
      <c r="V3691" t="s">
        <v>40</v>
      </c>
      <c r="W3691" s="1">
        <v>2763600</v>
      </c>
    </row>
    <row r="3692" spans="1:23" x14ac:dyDescent="0.2">
      <c r="A3692" t="s">
        <v>2096</v>
      </c>
      <c r="B3692" t="s">
        <v>2097</v>
      </c>
      <c r="C3692" t="s">
        <v>2971</v>
      </c>
      <c r="D3692" t="s">
        <v>3093</v>
      </c>
      <c r="E3692" t="s">
        <v>3094</v>
      </c>
      <c r="F3692" t="s">
        <v>3095</v>
      </c>
      <c r="G3692" t="s">
        <v>139</v>
      </c>
      <c r="H3692" t="s">
        <v>30</v>
      </c>
      <c r="I3692" t="s">
        <v>30</v>
      </c>
      <c r="J3692" t="s">
        <v>31</v>
      </c>
      <c r="K3692" t="s">
        <v>32</v>
      </c>
      <c r="L3692" t="s">
        <v>32</v>
      </c>
      <c r="M3692" t="s">
        <v>176</v>
      </c>
      <c r="P3692" t="s">
        <v>213</v>
      </c>
      <c r="Q3692" t="s">
        <v>2111</v>
      </c>
      <c r="S3692" t="s">
        <v>30</v>
      </c>
      <c r="T3692" t="s">
        <v>3149</v>
      </c>
      <c r="U3692" t="s">
        <v>3150</v>
      </c>
      <c r="V3692" t="s">
        <v>39</v>
      </c>
      <c r="W3692" s="1">
        <v>2</v>
      </c>
    </row>
    <row r="3693" spans="1:23" x14ac:dyDescent="0.2">
      <c r="A3693" t="s">
        <v>2096</v>
      </c>
      <c r="B3693" t="s">
        <v>2097</v>
      </c>
      <c r="C3693" t="s">
        <v>2971</v>
      </c>
      <c r="D3693" t="s">
        <v>3093</v>
      </c>
      <c r="E3693" t="s">
        <v>3094</v>
      </c>
      <c r="F3693" t="s">
        <v>3095</v>
      </c>
      <c r="G3693" t="s">
        <v>139</v>
      </c>
      <c r="H3693" t="s">
        <v>30</v>
      </c>
      <c r="I3693" t="s">
        <v>30</v>
      </c>
      <c r="J3693" t="s">
        <v>31</v>
      </c>
      <c r="K3693" t="s">
        <v>32</v>
      </c>
      <c r="L3693" t="s">
        <v>32</v>
      </c>
      <c r="M3693" t="s">
        <v>176</v>
      </c>
      <c r="P3693" t="s">
        <v>213</v>
      </c>
      <c r="Q3693" t="s">
        <v>2111</v>
      </c>
      <c r="S3693" t="s">
        <v>30</v>
      </c>
      <c r="T3693" t="s">
        <v>3149</v>
      </c>
      <c r="U3693" t="s">
        <v>3150</v>
      </c>
      <c r="V3693" t="s">
        <v>40</v>
      </c>
      <c r="W3693" s="1">
        <v>799800</v>
      </c>
    </row>
    <row r="3694" spans="1:23" x14ac:dyDescent="0.2">
      <c r="A3694" t="s">
        <v>2096</v>
      </c>
      <c r="B3694" t="s">
        <v>2097</v>
      </c>
      <c r="C3694" t="s">
        <v>2971</v>
      </c>
      <c r="D3694" t="s">
        <v>3153</v>
      </c>
      <c r="E3694" t="s">
        <v>3154</v>
      </c>
      <c r="F3694" t="s">
        <v>3155</v>
      </c>
      <c r="G3694" t="s">
        <v>29</v>
      </c>
      <c r="H3694" t="s">
        <v>30</v>
      </c>
      <c r="I3694" t="s">
        <v>30</v>
      </c>
      <c r="J3694" t="s">
        <v>31</v>
      </c>
      <c r="K3694" t="s">
        <v>32</v>
      </c>
      <c r="L3694" t="s">
        <v>32</v>
      </c>
      <c r="M3694" t="s">
        <v>33</v>
      </c>
      <c r="N3694" t="s">
        <v>33</v>
      </c>
      <c r="O3694" t="s">
        <v>33</v>
      </c>
      <c r="P3694" t="s">
        <v>34</v>
      </c>
      <c r="Q3694" t="s">
        <v>35</v>
      </c>
      <c r="S3694" t="s">
        <v>30</v>
      </c>
      <c r="T3694" t="s">
        <v>3156</v>
      </c>
      <c r="U3694" t="s">
        <v>3157</v>
      </c>
      <c r="V3694" t="s">
        <v>39</v>
      </c>
      <c r="W3694" s="1">
        <v>4</v>
      </c>
    </row>
    <row r="3695" spans="1:23" x14ac:dyDescent="0.2">
      <c r="A3695" t="s">
        <v>2096</v>
      </c>
      <c r="B3695" t="s">
        <v>2097</v>
      </c>
      <c r="C3695" t="s">
        <v>2971</v>
      </c>
      <c r="D3695" t="s">
        <v>3153</v>
      </c>
      <c r="E3695" t="s">
        <v>3154</v>
      </c>
      <c r="F3695" t="s">
        <v>3155</v>
      </c>
      <c r="G3695" t="s">
        <v>29</v>
      </c>
      <c r="H3695" t="s">
        <v>30</v>
      </c>
      <c r="I3695" t="s">
        <v>30</v>
      </c>
      <c r="J3695" t="s">
        <v>31</v>
      </c>
      <c r="K3695" t="s">
        <v>32</v>
      </c>
      <c r="L3695" t="s">
        <v>32</v>
      </c>
      <c r="M3695" t="s">
        <v>33</v>
      </c>
      <c r="N3695" t="s">
        <v>33</v>
      </c>
      <c r="O3695" t="s">
        <v>33</v>
      </c>
      <c r="P3695" t="s">
        <v>34</v>
      </c>
      <c r="Q3695" t="s">
        <v>35</v>
      </c>
      <c r="S3695" t="s">
        <v>30</v>
      </c>
      <c r="T3695" t="s">
        <v>3156</v>
      </c>
      <c r="U3695" t="s">
        <v>3157</v>
      </c>
      <c r="V3695" t="s">
        <v>40</v>
      </c>
      <c r="W3695" s="1">
        <v>1844000</v>
      </c>
    </row>
    <row r="3696" spans="1:23" x14ac:dyDescent="0.2">
      <c r="A3696" t="s">
        <v>2096</v>
      </c>
      <c r="B3696" t="s">
        <v>2097</v>
      </c>
      <c r="C3696" t="s">
        <v>2971</v>
      </c>
      <c r="D3696" t="s">
        <v>3153</v>
      </c>
      <c r="E3696" t="s">
        <v>3154</v>
      </c>
      <c r="F3696" t="s">
        <v>3155</v>
      </c>
      <c r="G3696" t="s">
        <v>29</v>
      </c>
      <c r="H3696" t="s">
        <v>30</v>
      </c>
      <c r="I3696" t="s">
        <v>30</v>
      </c>
      <c r="J3696" t="s">
        <v>31</v>
      </c>
      <c r="K3696" t="s">
        <v>32</v>
      </c>
      <c r="L3696" t="s">
        <v>32</v>
      </c>
      <c r="M3696" t="s">
        <v>33</v>
      </c>
      <c r="N3696" t="s">
        <v>33</v>
      </c>
      <c r="O3696" t="s">
        <v>33</v>
      </c>
      <c r="P3696" t="s">
        <v>34</v>
      </c>
      <c r="Q3696" t="s">
        <v>35</v>
      </c>
      <c r="S3696" t="s">
        <v>30</v>
      </c>
      <c r="T3696" t="s">
        <v>3158</v>
      </c>
      <c r="U3696" t="s">
        <v>3159</v>
      </c>
      <c r="V3696" t="s">
        <v>39</v>
      </c>
      <c r="W3696" s="1">
        <v>2</v>
      </c>
    </row>
    <row r="3697" spans="1:23" x14ac:dyDescent="0.2">
      <c r="A3697" t="s">
        <v>2096</v>
      </c>
      <c r="B3697" t="s">
        <v>2097</v>
      </c>
      <c r="C3697" t="s">
        <v>2971</v>
      </c>
      <c r="D3697" t="s">
        <v>3153</v>
      </c>
      <c r="E3697" t="s">
        <v>3154</v>
      </c>
      <c r="F3697" t="s">
        <v>3155</v>
      </c>
      <c r="G3697" t="s">
        <v>29</v>
      </c>
      <c r="H3697" t="s">
        <v>30</v>
      </c>
      <c r="I3697" t="s">
        <v>30</v>
      </c>
      <c r="J3697" t="s">
        <v>31</v>
      </c>
      <c r="K3697" t="s">
        <v>32</v>
      </c>
      <c r="L3697" t="s">
        <v>32</v>
      </c>
      <c r="M3697" t="s">
        <v>33</v>
      </c>
      <c r="N3697" t="s">
        <v>33</v>
      </c>
      <c r="O3697" t="s">
        <v>33</v>
      </c>
      <c r="P3697" t="s">
        <v>34</v>
      </c>
      <c r="Q3697" t="s">
        <v>35</v>
      </c>
      <c r="S3697" t="s">
        <v>30</v>
      </c>
      <c r="T3697" t="s">
        <v>3158</v>
      </c>
      <c r="U3697" t="s">
        <v>3159</v>
      </c>
      <c r="V3697" t="s">
        <v>40</v>
      </c>
      <c r="W3697" s="1">
        <v>982000</v>
      </c>
    </row>
    <row r="3698" spans="1:23" x14ac:dyDescent="0.2">
      <c r="A3698" t="s">
        <v>2096</v>
      </c>
      <c r="B3698" t="s">
        <v>2097</v>
      </c>
      <c r="C3698" t="s">
        <v>2971</v>
      </c>
      <c r="D3698" t="s">
        <v>3153</v>
      </c>
      <c r="E3698" t="s">
        <v>3154</v>
      </c>
      <c r="F3698" t="s">
        <v>3155</v>
      </c>
      <c r="G3698" t="s">
        <v>29</v>
      </c>
      <c r="H3698" t="s">
        <v>30</v>
      </c>
      <c r="I3698" t="s">
        <v>30</v>
      </c>
      <c r="J3698" t="s">
        <v>31</v>
      </c>
      <c r="K3698" t="s">
        <v>32</v>
      </c>
      <c r="L3698" t="s">
        <v>32</v>
      </c>
      <c r="M3698" t="s">
        <v>33</v>
      </c>
      <c r="N3698" t="s">
        <v>169</v>
      </c>
      <c r="O3698" t="s">
        <v>169</v>
      </c>
      <c r="P3698" t="s">
        <v>34</v>
      </c>
      <c r="Q3698" t="s">
        <v>35</v>
      </c>
      <c r="S3698" t="s">
        <v>30</v>
      </c>
      <c r="T3698" t="s">
        <v>3158</v>
      </c>
      <c r="U3698" t="s">
        <v>3159</v>
      </c>
      <c r="V3698" t="s">
        <v>39</v>
      </c>
      <c r="W3698" s="1">
        <v>1</v>
      </c>
    </row>
    <row r="3699" spans="1:23" x14ac:dyDescent="0.2">
      <c r="A3699" t="s">
        <v>2096</v>
      </c>
      <c r="B3699" t="s">
        <v>2097</v>
      </c>
      <c r="C3699" t="s">
        <v>2971</v>
      </c>
      <c r="D3699" t="s">
        <v>3153</v>
      </c>
      <c r="E3699" t="s">
        <v>3154</v>
      </c>
      <c r="F3699" t="s">
        <v>3155</v>
      </c>
      <c r="G3699" t="s">
        <v>29</v>
      </c>
      <c r="H3699" t="s">
        <v>30</v>
      </c>
      <c r="I3699" t="s">
        <v>30</v>
      </c>
      <c r="J3699" t="s">
        <v>31</v>
      </c>
      <c r="K3699" t="s">
        <v>32</v>
      </c>
      <c r="L3699" t="s">
        <v>32</v>
      </c>
      <c r="M3699" t="s">
        <v>33</v>
      </c>
      <c r="N3699" t="s">
        <v>169</v>
      </c>
      <c r="O3699" t="s">
        <v>169</v>
      </c>
      <c r="P3699" t="s">
        <v>34</v>
      </c>
      <c r="Q3699" t="s">
        <v>35</v>
      </c>
      <c r="S3699" t="s">
        <v>30</v>
      </c>
      <c r="T3699" t="s">
        <v>3158</v>
      </c>
      <c r="U3699" t="s">
        <v>3159</v>
      </c>
      <c r="V3699" t="s">
        <v>40</v>
      </c>
      <c r="W3699" s="1">
        <v>491000</v>
      </c>
    </row>
    <row r="3700" spans="1:23" x14ac:dyDescent="0.2">
      <c r="A3700" t="s">
        <v>2096</v>
      </c>
      <c r="B3700" t="s">
        <v>2097</v>
      </c>
      <c r="C3700" t="s">
        <v>2971</v>
      </c>
      <c r="D3700" t="s">
        <v>3153</v>
      </c>
      <c r="E3700" t="s">
        <v>3154</v>
      </c>
      <c r="F3700" t="s">
        <v>3155</v>
      </c>
      <c r="G3700" t="s">
        <v>29</v>
      </c>
      <c r="H3700" t="s">
        <v>30</v>
      </c>
      <c r="I3700" t="s">
        <v>30</v>
      </c>
      <c r="J3700" t="s">
        <v>31</v>
      </c>
      <c r="K3700" t="s">
        <v>32</v>
      </c>
      <c r="L3700" t="s">
        <v>32</v>
      </c>
      <c r="M3700" t="s">
        <v>33</v>
      </c>
      <c r="P3700" t="s">
        <v>34</v>
      </c>
      <c r="Q3700" t="s">
        <v>35</v>
      </c>
      <c r="S3700" t="s">
        <v>30</v>
      </c>
      <c r="T3700" t="s">
        <v>3158</v>
      </c>
      <c r="U3700" t="s">
        <v>3159</v>
      </c>
      <c r="V3700" t="s">
        <v>39</v>
      </c>
      <c r="W3700" s="1">
        <v>1</v>
      </c>
    </row>
    <row r="3701" spans="1:23" x14ac:dyDescent="0.2">
      <c r="A3701" t="s">
        <v>2096</v>
      </c>
      <c r="B3701" t="s">
        <v>2097</v>
      </c>
      <c r="C3701" t="s">
        <v>2971</v>
      </c>
      <c r="D3701" t="s">
        <v>3153</v>
      </c>
      <c r="E3701" t="s">
        <v>3154</v>
      </c>
      <c r="F3701" t="s">
        <v>3155</v>
      </c>
      <c r="G3701" t="s">
        <v>29</v>
      </c>
      <c r="H3701" t="s">
        <v>30</v>
      </c>
      <c r="I3701" t="s">
        <v>30</v>
      </c>
      <c r="J3701" t="s">
        <v>31</v>
      </c>
      <c r="K3701" t="s">
        <v>32</v>
      </c>
      <c r="L3701" t="s">
        <v>32</v>
      </c>
      <c r="M3701" t="s">
        <v>33</v>
      </c>
      <c r="P3701" t="s">
        <v>34</v>
      </c>
      <c r="Q3701" t="s">
        <v>35</v>
      </c>
      <c r="S3701" t="s">
        <v>30</v>
      </c>
      <c r="T3701" t="s">
        <v>3158</v>
      </c>
      <c r="U3701" t="s">
        <v>3159</v>
      </c>
      <c r="V3701" t="s">
        <v>40</v>
      </c>
      <c r="W3701" s="1">
        <v>491000</v>
      </c>
    </row>
    <row r="3702" spans="1:23" x14ac:dyDescent="0.2">
      <c r="A3702" t="s">
        <v>2096</v>
      </c>
      <c r="B3702" t="s">
        <v>2097</v>
      </c>
      <c r="C3702" t="s">
        <v>2971</v>
      </c>
      <c r="D3702" t="s">
        <v>3153</v>
      </c>
      <c r="E3702" t="s">
        <v>3154</v>
      </c>
      <c r="F3702" t="s">
        <v>3155</v>
      </c>
      <c r="G3702" t="s">
        <v>29</v>
      </c>
      <c r="H3702" t="s">
        <v>30</v>
      </c>
      <c r="I3702" t="s">
        <v>30</v>
      </c>
      <c r="J3702" t="s">
        <v>31</v>
      </c>
      <c r="K3702" t="s">
        <v>32</v>
      </c>
      <c r="L3702" t="s">
        <v>32</v>
      </c>
      <c r="M3702" t="s">
        <v>176</v>
      </c>
      <c r="N3702" t="s">
        <v>176</v>
      </c>
      <c r="O3702" t="s">
        <v>176</v>
      </c>
      <c r="P3702" t="s">
        <v>34</v>
      </c>
      <c r="Q3702" t="s">
        <v>35</v>
      </c>
      <c r="S3702" t="s">
        <v>30</v>
      </c>
      <c r="T3702" t="s">
        <v>3158</v>
      </c>
      <c r="U3702" t="s">
        <v>3159</v>
      </c>
      <c r="V3702" t="s">
        <v>39</v>
      </c>
      <c r="W3702" s="1">
        <v>1</v>
      </c>
    </row>
    <row r="3703" spans="1:23" x14ac:dyDescent="0.2">
      <c r="A3703" t="s">
        <v>2096</v>
      </c>
      <c r="B3703" t="s">
        <v>2097</v>
      </c>
      <c r="C3703" t="s">
        <v>2971</v>
      </c>
      <c r="D3703" t="s">
        <v>3153</v>
      </c>
      <c r="E3703" t="s">
        <v>3154</v>
      </c>
      <c r="F3703" t="s">
        <v>3155</v>
      </c>
      <c r="G3703" t="s">
        <v>29</v>
      </c>
      <c r="H3703" t="s">
        <v>30</v>
      </c>
      <c r="I3703" t="s">
        <v>30</v>
      </c>
      <c r="J3703" t="s">
        <v>31</v>
      </c>
      <c r="K3703" t="s">
        <v>32</v>
      </c>
      <c r="L3703" t="s">
        <v>32</v>
      </c>
      <c r="M3703" t="s">
        <v>176</v>
      </c>
      <c r="N3703" t="s">
        <v>176</v>
      </c>
      <c r="O3703" t="s">
        <v>176</v>
      </c>
      <c r="P3703" t="s">
        <v>34</v>
      </c>
      <c r="Q3703" t="s">
        <v>35</v>
      </c>
      <c r="S3703" t="s">
        <v>30</v>
      </c>
      <c r="T3703" t="s">
        <v>3158</v>
      </c>
      <c r="U3703" t="s">
        <v>3159</v>
      </c>
      <c r="V3703" t="s">
        <v>40</v>
      </c>
      <c r="W3703" s="1">
        <v>491000</v>
      </c>
    </row>
    <row r="3704" spans="1:23" x14ac:dyDescent="0.2">
      <c r="A3704" t="s">
        <v>2096</v>
      </c>
      <c r="B3704" t="s">
        <v>2097</v>
      </c>
      <c r="C3704" t="s">
        <v>2971</v>
      </c>
      <c r="D3704" t="s">
        <v>3153</v>
      </c>
      <c r="E3704" t="s">
        <v>3154</v>
      </c>
      <c r="F3704" t="s">
        <v>3155</v>
      </c>
      <c r="G3704" t="s">
        <v>49</v>
      </c>
      <c r="H3704" t="s">
        <v>30</v>
      </c>
      <c r="I3704" t="s">
        <v>30</v>
      </c>
      <c r="J3704" t="s">
        <v>31</v>
      </c>
      <c r="K3704" t="s">
        <v>32</v>
      </c>
      <c r="L3704" t="s">
        <v>32</v>
      </c>
      <c r="M3704" t="s">
        <v>33</v>
      </c>
      <c r="N3704" t="s">
        <v>33</v>
      </c>
      <c r="O3704" t="s">
        <v>33</v>
      </c>
      <c r="P3704" t="s">
        <v>34</v>
      </c>
      <c r="Q3704" t="s">
        <v>35</v>
      </c>
      <c r="S3704" t="s">
        <v>30</v>
      </c>
      <c r="T3704" t="s">
        <v>3156</v>
      </c>
      <c r="U3704" t="s">
        <v>3157</v>
      </c>
      <c r="V3704" t="s">
        <v>39</v>
      </c>
      <c r="W3704" s="1">
        <v>2</v>
      </c>
    </row>
    <row r="3705" spans="1:23" x14ac:dyDescent="0.2">
      <c r="A3705" t="s">
        <v>2096</v>
      </c>
      <c r="B3705" t="s">
        <v>2097</v>
      </c>
      <c r="C3705" t="s">
        <v>2971</v>
      </c>
      <c r="D3705" t="s">
        <v>3153</v>
      </c>
      <c r="E3705" t="s">
        <v>3154</v>
      </c>
      <c r="F3705" t="s">
        <v>3155</v>
      </c>
      <c r="G3705" t="s">
        <v>49</v>
      </c>
      <c r="H3705" t="s">
        <v>30</v>
      </c>
      <c r="I3705" t="s">
        <v>30</v>
      </c>
      <c r="J3705" t="s">
        <v>31</v>
      </c>
      <c r="K3705" t="s">
        <v>32</v>
      </c>
      <c r="L3705" t="s">
        <v>32</v>
      </c>
      <c r="M3705" t="s">
        <v>33</v>
      </c>
      <c r="N3705" t="s">
        <v>33</v>
      </c>
      <c r="O3705" t="s">
        <v>33</v>
      </c>
      <c r="P3705" t="s">
        <v>34</v>
      </c>
      <c r="Q3705" t="s">
        <v>35</v>
      </c>
      <c r="S3705" t="s">
        <v>30</v>
      </c>
      <c r="T3705" t="s">
        <v>3156</v>
      </c>
      <c r="U3705" t="s">
        <v>3157</v>
      </c>
      <c r="V3705" t="s">
        <v>40</v>
      </c>
      <c r="W3705" s="1">
        <v>922000</v>
      </c>
    </row>
    <row r="3706" spans="1:23" x14ac:dyDescent="0.2">
      <c r="A3706" t="s">
        <v>2096</v>
      </c>
      <c r="B3706" t="s">
        <v>2097</v>
      </c>
      <c r="C3706" t="s">
        <v>2971</v>
      </c>
      <c r="D3706" t="s">
        <v>3153</v>
      </c>
      <c r="E3706" t="s">
        <v>3154</v>
      </c>
      <c r="F3706" t="s">
        <v>3155</v>
      </c>
      <c r="G3706" t="s">
        <v>170</v>
      </c>
      <c r="H3706" t="s">
        <v>52</v>
      </c>
      <c r="I3706" t="s">
        <v>30</v>
      </c>
      <c r="J3706" t="s">
        <v>31</v>
      </c>
      <c r="K3706" t="s">
        <v>32</v>
      </c>
      <c r="L3706" t="s">
        <v>32</v>
      </c>
      <c r="M3706" t="s">
        <v>33</v>
      </c>
      <c r="N3706" t="s">
        <v>33</v>
      </c>
      <c r="O3706" t="s">
        <v>33</v>
      </c>
      <c r="P3706" t="s">
        <v>213</v>
      </c>
      <c r="Q3706" t="s">
        <v>2118</v>
      </c>
      <c r="S3706" t="s">
        <v>30</v>
      </c>
      <c r="T3706" t="s">
        <v>3160</v>
      </c>
      <c r="U3706" t="s">
        <v>3161</v>
      </c>
      <c r="V3706" t="s">
        <v>39</v>
      </c>
      <c r="W3706" s="1">
        <v>2</v>
      </c>
    </row>
    <row r="3707" spans="1:23" x14ac:dyDescent="0.2">
      <c r="A3707" t="s">
        <v>2096</v>
      </c>
      <c r="B3707" t="s">
        <v>2097</v>
      </c>
      <c r="C3707" t="s">
        <v>2971</v>
      </c>
      <c r="D3707" t="s">
        <v>3153</v>
      </c>
      <c r="E3707" t="s">
        <v>3154</v>
      </c>
      <c r="F3707" t="s">
        <v>3155</v>
      </c>
      <c r="G3707" t="s">
        <v>170</v>
      </c>
      <c r="H3707" t="s">
        <v>52</v>
      </c>
      <c r="I3707" t="s">
        <v>30</v>
      </c>
      <c r="J3707" t="s">
        <v>31</v>
      </c>
      <c r="K3707" t="s">
        <v>32</v>
      </c>
      <c r="L3707" t="s">
        <v>32</v>
      </c>
      <c r="M3707" t="s">
        <v>33</v>
      </c>
      <c r="N3707" t="s">
        <v>33</v>
      </c>
      <c r="O3707" t="s">
        <v>33</v>
      </c>
      <c r="P3707" t="s">
        <v>213</v>
      </c>
      <c r="Q3707" t="s">
        <v>2118</v>
      </c>
      <c r="S3707" t="s">
        <v>30</v>
      </c>
      <c r="T3707" t="s">
        <v>3160</v>
      </c>
      <c r="U3707" t="s">
        <v>3161</v>
      </c>
      <c r="V3707" t="s">
        <v>40</v>
      </c>
      <c r="W3707" s="1">
        <v>1222000</v>
      </c>
    </row>
    <row r="3708" spans="1:23" x14ac:dyDescent="0.2">
      <c r="A3708" t="s">
        <v>2096</v>
      </c>
      <c r="B3708" t="s">
        <v>2097</v>
      </c>
      <c r="C3708" t="s">
        <v>2971</v>
      </c>
      <c r="D3708" t="s">
        <v>3153</v>
      </c>
      <c r="E3708" t="s">
        <v>3154</v>
      </c>
      <c r="F3708" t="s">
        <v>3155</v>
      </c>
      <c r="G3708" t="s">
        <v>67</v>
      </c>
      <c r="H3708" t="s">
        <v>30</v>
      </c>
      <c r="I3708" t="s">
        <v>30</v>
      </c>
      <c r="J3708" t="s">
        <v>41</v>
      </c>
      <c r="K3708" t="s">
        <v>32</v>
      </c>
      <c r="L3708" t="s">
        <v>32</v>
      </c>
      <c r="M3708" t="s">
        <v>33</v>
      </c>
      <c r="N3708" t="s">
        <v>33</v>
      </c>
      <c r="O3708" t="s">
        <v>33</v>
      </c>
      <c r="P3708" t="s">
        <v>34</v>
      </c>
      <c r="Q3708" t="s">
        <v>35</v>
      </c>
      <c r="S3708" t="s">
        <v>30</v>
      </c>
      <c r="T3708" t="s">
        <v>3162</v>
      </c>
      <c r="U3708" t="s">
        <v>3163</v>
      </c>
      <c r="V3708" t="s">
        <v>39</v>
      </c>
      <c r="W3708" s="1">
        <v>2</v>
      </c>
    </row>
    <row r="3709" spans="1:23" x14ac:dyDescent="0.2">
      <c r="A3709" t="s">
        <v>2096</v>
      </c>
      <c r="B3709" t="s">
        <v>2097</v>
      </c>
      <c r="C3709" t="s">
        <v>2971</v>
      </c>
      <c r="D3709" t="s">
        <v>3153</v>
      </c>
      <c r="E3709" t="s">
        <v>3154</v>
      </c>
      <c r="F3709" t="s">
        <v>3155</v>
      </c>
      <c r="G3709" t="s">
        <v>67</v>
      </c>
      <c r="H3709" t="s">
        <v>30</v>
      </c>
      <c r="I3709" t="s">
        <v>30</v>
      </c>
      <c r="J3709" t="s">
        <v>41</v>
      </c>
      <c r="K3709" t="s">
        <v>32</v>
      </c>
      <c r="L3709" t="s">
        <v>32</v>
      </c>
      <c r="M3709" t="s">
        <v>33</v>
      </c>
      <c r="N3709" t="s">
        <v>33</v>
      </c>
      <c r="O3709" t="s">
        <v>33</v>
      </c>
      <c r="P3709" t="s">
        <v>34</v>
      </c>
      <c r="Q3709" t="s">
        <v>35</v>
      </c>
      <c r="S3709" t="s">
        <v>30</v>
      </c>
      <c r="T3709" t="s">
        <v>3162</v>
      </c>
      <c r="U3709" t="s">
        <v>3163</v>
      </c>
      <c r="V3709" t="s">
        <v>40</v>
      </c>
      <c r="W3709" s="1">
        <v>2536000</v>
      </c>
    </row>
    <row r="3710" spans="1:23" x14ac:dyDescent="0.2">
      <c r="A3710" t="s">
        <v>2096</v>
      </c>
      <c r="B3710" t="s">
        <v>2097</v>
      </c>
      <c r="C3710" t="s">
        <v>2971</v>
      </c>
      <c r="D3710" t="s">
        <v>3153</v>
      </c>
      <c r="E3710" t="s">
        <v>3154</v>
      </c>
      <c r="F3710" t="s">
        <v>3155</v>
      </c>
      <c r="G3710" t="s">
        <v>67</v>
      </c>
      <c r="H3710" t="s">
        <v>30</v>
      </c>
      <c r="I3710" t="s">
        <v>30</v>
      </c>
      <c r="J3710" t="s">
        <v>41</v>
      </c>
      <c r="K3710" t="s">
        <v>32</v>
      </c>
      <c r="L3710" t="s">
        <v>32</v>
      </c>
      <c r="M3710" t="s">
        <v>33</v>
      </c>
      <c r="P3710" t="s">
        <v>34</v>
      </c>
      <c r="Q3710" t="s">
        <v>35</v>
      </c>
      <c r="S3710" t="s">
        <v>30</v>
      </c>
      <c r="T3710" t="s">
        <v>3164</v>
      </c>
      <c r="U3710" t="s">
        <v>3165</v>
      </c>
      <c r="V3710" t="s">
        <v>39</v>
      </c>
      <c r="W3710" s="1">
        <v>5</v>
      </c>
    </row>
    <row r="3711" spans="1:23" x14ac:dyDescent="0.2">
      <c r="A3711" t="s">
        <v>2096</v>
      </c>
      <c r="B3711" t="s">
        <v>2097</v>
      </c>
      <c r="C3711" t="s">
        <v>2971</v>
      </c>
      <c r="D3711" t="s">
        <v>3153</v>
      </c>
      <c r="E3711" t="s">
        <v>3154</v>
      </c>
      <c r="F3711" t="s">
        <v>3155</v>
      </c>
      <c r="G3711" t="s">
        <v>67</v>
      </c>
      <c r="H3711" t="s">
        <v>30</v>
      </c>
      <c r="I3711" t="s">
        <v>30</v>
      </c>
      <c r="J3711" t="s">
        <v>41</v>
      </c>
      <c r="K3711" t="s">
        <v>32</v>
      </c>
      <c r="L3711" t="s">
        <v>32</v>
      </c>
      <c r="M3711" t="s">
        <v>33</v>
      </c>
      <c r="P3711" t="s">
        <v>34</v>
      </c>
      <c r="Q3711" t="s">
        <v>35</v>
      </c>
      <c r="S3711" t="s">
        <v>30</v>
      </c>
      <c r="T3711" t="s">
        <v>3164</v>
      </c>
      <c r="U3711" t="s">
        <v>3165</v>
      </c>
      <c r="V3711" t="s">
        <v>40</v>
      </c>
      <c r="W3711" s="1">
        <v>5805000</v>
      </c>
    </row>
    <row r="3712" spans="1:23" x14ac:dyDescent="0.2">
      <c r="A3712" t="s">
        <v>2096</v>
      </c>
      <c r="B3712" t="s">
        <v>2097</v>
      </c>
      <c r="C3712" t="s">
        <v>2971</v>
      </c>
      <c r="D3712" t="s">
        <v>3153</v>
      </c>
      <c r="E3712" t="s">
        <v>3154</v>
      </c>
      <c r="F3712" t="s">
        <v>3155</v>
      </c>
      <c r="G3712" t="s">
        <v>89</v>
      </c>
      <c r="H3712" t="s">
        <v>30</v>
      </c>
      <c r="I3712" t="s">
        <v>30</v>
      </c>
      <c r="J3712" t="s">
        <v>128</v>
      </c>
      <c r="K3712" t="s">
        <v>181</v>
      </c>
      <c r="L3712" t="s">
        <v>32</v>
      </c>
      <c r="M3712" t="s">
        <v>33</v>
      </c>
      <c r="P3712" t="s">
        <v>34</v>
      </c>
      <c r="Q3712" t="s">
        <v>35</v>
      </c>
      <c r="S3712" t="s">
        <v>30</v>
      </c>
      <c r="T3712" t="s">
        <v>3166</v>
      </c>
      <c r="U3712" t="s">
        <v>3167</v>
      </c>
      <c r="V3712" t="s">
        <v>39</v>
      </c>
      <c r="W3712" s="1">
        <v>14</v>
      </c>
    </row>
    <row r="3713" spans="1:23" x14ac:dyDescent="0.2">
      <c r="A3713" t="s">
        <v>2096</v>
      </c>
      <c r="B3713" t="s">
        <v>2097</v>
      </c>
      <c r="C3713" t="s">
        <v>2971</v>
      </c>
      <c r="D3713" t="s">
        <v>3153</v>
      </c>
      <c r="E3713" t="s">
        <v>3154</v>
      </c>
      <c r="F3713" t="s">
        <v>3155</v>
      </c>
      <c r="G3713" t="s">
        <v>89</v>
      </c>
      <c r="H3713" t="s">
        <v>30</v>
      </c>
      <c r="I3713" t="s">
        <v>30</v>
      </c>
      <c r="J3713" t="s">
        <v>128</v>
      </c>
      <c r="K3713" t="s">
        <v>181</v>
      </c>
      <c r="L3713" t="s">
        <v>32</v>
      </c>
      <c r="M3713" t="s">
        <v>33</v>
      </c>
      <c r="P3713" t="s">
        <v>34</v>
      </c>
      <c r="Q3713" t="s">
        <v>35</v>
      </c>
      <c r="S3713" t="s">
        <v>30</v>
      </c>
      <c r="T3713" t="s">
        <v>3166</v>
      </c>
      <c r="U3713" t="s">
        <v>3167</v>
      </c>
      <c r="V3713" t="s">
        <v>40</v>
      </c>
      <c r="W3713" s="1">
        <v>25200000</v>
      </c>
    </row>
    <row r="3714" spans="1:23" x14ac:dyDescent="0.2">
      <c r="A3714" t="s">
        <v>2096</v>
      </c>
      <c r="B3714" t="s">
        <v>2097</v>
      </c>
      <c r="C3714" t="s">
        <v>2971</v>
      </c>
      <c r="D3714" t="s">
        <v>3153</v>
      </c>
      <c r="E3714" t="s">
        <v>3154</v>
      </c>
      <c r="F3714" t="s">
        <v>3155</v>
      </c>
      <c r="G3714" t="s">
        <v>89</v>
      </c>
      <c r="H3714" t="s">
        <v>30</v>
      </c>
      <c r="I3714" t="s">
        <v>30</v>
      </c>
      <c r="J3714" t="s">
        <v>31</v>
      </c>
      <c r="K3714" t="s">
        <v>32</v>
      </c>
      <c r="L3714" t="s">
        <v>32</v>
      </c>
      <c r="M3714" t="s">
        <v>33</v>
      </c>
      <c r="N3714" t="s">
        <v>33</v>
      </c>
      <c r="O3714" t="s">
        <v>33</v>
      </c>
      <c r="P3714" t="s">
        <v>213</v>
      </c>
      <c r="Q3714" t="s">
        <v>2111</v>
      </c>
      <c r="S3714" t="s">
        <v>30</v>
      </c>
      <c r="T3714" t="s">
        <v>3168</v>
      </c>
      <c r="U3714" t="s">
        <v>3169</v>
      </c>
      <c r="V3714" t="s">
        <v>39</v>
      </c>
      <c r="W3714" s="1">
        <v>1</v>
      </c>
    </row>
    <row r="3715" spans="1:23" x14ac:dyDescent="0.2">
      <c r="A3715" t="s">
        <v>2096</v>
      </c>
      <c r="B3715" t="s">
        <v>2097</v>
      </c>
      <c r="C3715" t="s">
        <v>2971</v>
      </c>
      <c r="D3715" t="s">
        <v>3153</v>
      </c>
      <c r="E3715" t="s">
        <v>3154</v>
      </c>
      <c r="F3715" t="s">
        <v>3155</v>
      </c>
      <c r="G3715" t="s">
        <v>89</v>
      </c>
      <c r="H3715" t="s">
        <v>30</v>
      </c>
      <c r="I3715" t="s">
        <v>30</v>
      </c>
      <c r="J3715" t="s">
        <v>31</v>
      </c>
      <c r="K3715" t="s">
        <v>32</v>
      </c>
      <c r="L3715" t="s">
        <v>32</v>
      </c>
      <c r="M3715" t="s">
        <v>33</v>
      </c>
      <c r="N3715" t="s">
        <v>33</v>
      </c>
      <c r="O3715" t="s">
        <v>33</v>
      </c>
      <c r="P3715" t="s">
        <v>213</v>
      </c>
      <c r="Q3715" t="s">
        <v>2111</v>
      </c>
      <c r="S3715" t="s">
        <v>30</v>
      </c>
      <c r="T3715" t="s">
        <v>3168</v>
      </c>
      <c r="U3715" t="s">
        <v>3169</v>
      </c>
      <c r="V3715" t="s">
        <v>40</v>
      </c>
      <c r="W3715" s="1">
        <v>1045900</v>
      </c>
    </row>
    <row r="3716" spans="1:23" x14ac:dyDescent="0.2">
      <c r="A3716" t="s">
        <v>2096</v>
      </c>
      <c r="B3716" t="s">
        <v>2097</v>
      </c>
      <c r="C3716" t="s">
        <v>2971</v>
      </c>
      <c r="D3716" t="s">
        <v>3153</v>
      </c>
      <c r="E3716" t="s">
        <v>3154</v>
      </c>
      <c r="F3716" t="s">
        <v>3155</v>
      </c>
      <c r="G3716" t="s">
        <v>89</v>
      </c>
      <c r="H3716" t="s">
        <v>30</v>
      </c>
      <c r="I3716" t="s">
        <v>30</v>
      </c>
      <c r="J3716" t="s">
        <v>31</v>
      </c>
      <c r="K3716" t="s">
        <v>32</v>
      </c>
      <c r="L3716" t="s">
        <v>32</v>
      </c>
      <c r="M3716" t="s">
        <v>33</v>
      </c>
      <c r="N3716" t="s">
        <v>176</v>
      </c>
      <c r="O3716" t="s">
        <v>176</v>
      </c>
      <c r="P3716" t="s">
        <v>213</v>
      </c>
      <c r="Q3716" t="s">
        <v>2111</v>
      </c>
      <c r="S3716" t="s">
        <v>30</v>
      </c>
      <c r="T3716" t="s">
        <v>3168</v>
      </c>
      <c r="U3716" t="s">
        <v>3169</v>
      </c>
      <c r="V3716" t="s">
        <v>39</v>
      </c>
      <c r="W3716" s="1">
        <v>1</v>
      </c>
    </row>
    <row r="3717" spans="1:23" x14ac:dyDescent="0.2">
      <c r="A3717" t="s">
        <v>2096</v>
      </c>
      <c r="B3717" t="s">
        <v>2097</v>
      </c>
      <c r="C3717" t="s">
        <v>2971</v>
      </c>
      <c r="D3717" t="s">
        <v>3153</v>
      </c>
      <c r="E3717" t="s">
        <v>3154</v>
      </c>
      <c r="F3717" t="s">
        <v>3155</v>
      </c>
      <c r="G3717" t="s">
        <v>89</v>
      </c>
      <c r="H3717" t="s">
        <v>30</v>
      </c>
      <c r="I3717" t="s">
        <v>30</v>
      </c>
      <c r="J3717" t="s">
        <v>31</v>
      </c>
      <c r="K3717" t="s">
        <v>32</v>
      </c>
      <c r="L3717" t="s">
        <v>32</v>
      </c>
      <c r="M3717" t="s">
        <v>33</v>
      </c>
      <c r="N3717" t="s">
        <v>176</v>
      </c>
      <c r="O3717" t="s">
        <v>176</v>
      </c>
      <c r="P3717" t="s">
        <v>213</v>
      </c>
      <c r="Q3717" t="s">
        <v>2111</v>
      </c>
      <c r="S3717" t="s">
        <v>30</v>
      </c>
      <c r="T3717" t="s">
        <v>3168</v>
      </c>
      <c r="U3717" t="s">
        <v>3169</v>
      </c>
      <c r="V3717" t="s">
        <v>40</v>
      </c>
      <c r="W3717" s="1">
        <v>1045900</v>
      </c>
    </row>
    <row r="3718" spans="1:23" x14ac:dyDescent="0.2">
      <c r="A3718" t="s">
        <v>2096</v>
      </c>
      <c r="B3718" t="s">
        <v>2097</v>
      </c>
      <c r="C3718" t="s">
        <v>2971</v>
      </c>
      <c r="D3718" t="s">
        <v>3153</v>
      </c>
      <c r="E3718" t="s">
        <v>3154</v>
      </c>
      <c r="F3718" t="s">
        <v>3155</v>
      </c>
      <c r="G3718" t="s">
        <v>106</v>
      </c>
      <c r="H3718" t="s">
        <v>30</v>
      </c>
      <c r="I3718" t="s">
        <v>30</v>
      </c>
      <c r="J3718" t="s">
        <v>31</v>
      </c>
      <c r="K3718" t="s">
        <v>32</v>
      </c>
      <c r="L3718" t="s">
        <v>32</v>
      </c>
      <c r="M3718" t="s">
        <v>33</v>
      </c>
      <c r="P3718" t="s">
        <v>34</v>
      </c>
      <c r="Q3718" t="s">
        <v>35</v>
      </c>
      <c r="R3718" t="s">
        <v>228</v>
      </c>
      <c r="S3718" t="s">
        <v>52</v>
      </c>
      <c r="T3718" t="s">
        <v>3170</v>
      </c>
      <c r="U3718" t="s">
        <v>3171</v>
      </c>
      <c r="V3718" t="s">
        <v>39</v>
      </c>
      <c r="W3718" s="1">
        <v>0</v>
      </c>
    </row>
    <row r="3719" spans="1:23" x14ac:dyDescent="0.2">
      <c r="A3719" t="s">
        <v>2096</v>
      </c>
      <c r="B3719" t="s">
        <v>2097</v>
      </c>
      <c r="C3719" t="s">
        <v>2971</v>
      </c>
      <c r="D3719" t="s">
        <v>3153</v>
      </c>
      <c r="E3719" t="s">
        <v>3154</v>
      </c>
      <c r="F3719" t="s">
        <v>3155</v>
      </c>
      <c r="G3719" t="s">
        <v>106</v>
      </c>
      <c r="H3719" t="s">
        <v>30</v>
      </c>
      <c r="I3719" t="s">
        <v>30</v>
      </c>
      <c r="J3719" t="s">
        <v>31</v>
      </c>
      <c r="K3719" t="s">
        <v>32</v>
      </c>
      <c r="L3719" t="s">
        <v>32</v>
      </c>
      <c r="M3719" t="s">
        <v>33</v>
      </c>
      <c r="P3719" t="s">
        <v>34</v>
      </c>
      <c r="Q3719" t="s">
        <v>35</v>
      </c>
      <c r="R3719" t="s">
        <v>228</v>
      </c>
      <c r="S3719" t="s">
        <v>52</v>
      </c>
      <c r="T3719" t="s">
        <v>3170</v>
      </c>
      <c r="U3719" t="s">
        <v>3171</v>
      </c>
      <c r="V3719" t="s">
        <v>40</v>
      </c>
      <c r="W3719" s="1">
        <v>7790000</v>
      </c>
    </row>
    <row r="3720" spans="1:23" x14ac:dyDescent="0.2">
      <c r="A3720" t="s">
        <v>2096</v>
      </c>
      <c r="B3720" t="s">
        <v>2097</v>
      </c>
      <c r="C3720" t="s">
        <v>2971</v>
      </c>
      <c r="D3720" t="s">
        <v>3153</v>
      </c>
      <c r="E3720" t="s">
        <v>3154</v>
      </c>
      <c r="F3720" t="s">
        <v>3155</v>
      </c>
      <c r="G3720" t="s">
        <v>106</v>
      </c>
      <c r="H3720" t="s">
        <v>30</v>
      </c>
      <c r="I3720" t="s">
        <v>30</v>
      </c>
      <c r="J3720" t="s">
        <v>31</v>
      </c>
      <c r="K3720" t="s">
        <v>32</v>
      </c>
      <c r="L3720" t="s">
        <v>32</v>
      </c>
      <c r="M3720" t="s">
        <v>33</v>
      </c>
      <c r="P3720" t="s">
        <v>42</v>
      </c>
      <c r="Q3720" t="s">
        <v>43</v>
      </c>
      <c r="R3720" t="s">
        <v>228</v>
      </c>
      <c r="S3720" t="s">
        <v>52</v>
      </c>
      <c r="T3720" t="s">
        <v>3170</v>
      </c>
      <c r="U3720" t="s">
        <v>3172</v>
      </c>
      <c r="V3720" t="s">
        <v>39</v>
      </c>
      <c r="W3720" s="1">
        <v>0</v>
      </c>
    </row>
    <row r="3721" spans="1:23" x14ac:dyDescent="0.2">
      <c r="A3721" t="s">
        <v>2096</v>
      </c>
      <c r="B3721" t="s">
        <v>2097</v>
      </c>
      <c r="C3721" t="s">
        <v>2971</v>
      </c>
      <c r="D3721" t="s">
        <v>3153</v>
      </c>
      <c r="E3721" t="s">
        <v>3154</v>
      </c>
      <c r="F3721" t="s">
        <v>3155</v>
      </c>
      <c r="G3721" t="s">
        <v>106</v>
      </c>
      <c r="H3721" t="s">
        <v>30</v>
      </c>
      <c r="I3721" t="s">
        <v>30</v>
      </c>
      <c r="J3721" t="s">
        <v>31</v>
      </c>
      <c r="K3721" t="s">
        <v>32</v>
      </c>
      <c r="L3721" t="s">
        <v>32</v>
      </c>
      <c r="M3721" t="s">
        <v>33</v>
      </c>
      <c r="P3721" t="s">
        <v>42</v>
      </c>
      <c r="Q3721" t="s">
        <v>43</v>
      </c>
      <c r="R3721" t="s">
        <v>228</v>
      </c>
      <c r="S3721" t="s">
        <v>52</v>
      </c>
      <c r="T3721" t="s">
        <v>3170</v>
      </c>
      <c r="U3721" t="s">
        <v>3172</v>
      </c>
      <c r="V3721" t="s">
        <v>40</v>
      </c>
      <c r="W3721" s="1">
        <v>4674000</v>
      </c>
    </row>
    <row r="3722" spans="1:23" x14ac:dyDescent="0.2">
      <c r="A3722" t="s">
        <v>2096</v>
      </c>
      <c r="B3722" t="s">
        <v>2097</v>
      </c>
      <c r="C3722" t="s">
        <v>2971</v>
      </c>
      <c r="D3722" t="s">
        <v>3153</v>
      </c>
      <c r="E3722" t="s">
        <v>3154</v>
      </c>
      <c r="F3722" t="s">
        <v>3155</v>
      </c>
      <c r="G3722" t="s">
        <v>106</v>
      </c>
      <c r="H3722" t="s">
        <v>30</v>
      </c>
      <c r="I3722" t="s">
        <v>30</v>
      </c>
      <c r="J3722" t="s">
        <v>31</v>
      </c>
      <c r="K3722" t="s">
        <v>32</v>
      </c>
      <c r="L3722" t="s">
        <v>32</v>
      </c>
      <c r="M3722" t="s">
        <v>176</v>
      </c>
      <c r="P3722" t="s">
        <v>42</v>
      </c>
      <c r="Q3722" t="s">
        <v>43</v>
      </c>
      <c r="R3722" t="s">
        <v>228</v>
      </c>
      <c r="S3722" t="s">
        <v>52</v>
      </c>
      <c r="T3722" t="s">
        <v>3170</v>
      </c>
      <c r="U3722" t="s">
        <v>3172</v>
      </c>
      <c r="V3722" t="s">
        <v>39</v>
      </c>
      <c r="W3722" s="1">
        <v>0</v>
      </c>
    </row>
    <row r="3723" spans="1:23" x14ac:dyDescent="0.2">
      <c r="A3723" t="s">
        <v>2096</v>
      </c>
      <c r="B3723" t="s">
        <v>2097</v>
      </c>
      <c r="C3723" t="s">
        <v>2971</v>
      </c>
      <c r="D3723" t="s">
        <v>3153</v>
      </c>
      <c r="E3723" t="s">
        <v>3154</v>
      </c>
      <c r="F3723" t="s">
        <v>3155</v>
      </c>
      <c r="G3723" t="s">
        <v>106</v>
      </c>
      <c r="H3723" t="s">
        <v>30</v>
      </c>
      <c r="I3723" t="s">
        <v>30</v>
      </c>
      <c r="J3723" t="s">
        <v>31</v>
      </c>
      <c r="K3723" t="s">
        <v>32</v>
      </c>
      <c r="L3723" t="s">
        <v>32</v>
      </c>
      <c r="M3723" t="s">
        <v>176</v>
      </c>
      <c r="P3723" t="s">
        <v>42</v>
      </c>
      <c r="Q3723" t="s">
        <v>43</v>
      </c>
      <c r="R3723" t="s">
        <v>228</v>
      </c>
      <c r="S3723" t="s">
        <v>52</v>
      </c>
      <c r="T3723" t="s">
        <v>3170</v>
      </c>
      <c r="U3723" t="s">
        <v>3172</v>
      </c>
      <c r="V3723" t="s">
        <v>40</v>
      </c>
      <c r="W3723" s="1">
        <v>3116000</v>
      </c>
    </row>
    <row r="3724" spans="1:23" x14ac:dyDescent="0.2">
      <c r="A3724" t="s">
        <v>2096</v>
      </c>
      <c r="B3724" t="s">
        <v>2097</v>
      </c>
      <c r="C3724" t="s">
        <v>2971</v>
      </c>
      <c r="D3724" t="s">
        <v>3153</v>
      </c>
      <c r="E3724" t="s">
        <v>3154</v>
      </c>
      <c r="F3724" t="s">
        <v>3155</v>
      </c>
      <c r="G3724" t="s">
        <v>106</v>
      </c>
      <c r="H3724" t="s">
        <v>30</v>
      </c>
      <c r="I3724" t="s">
        <v>30</v>
      </c>
      <c r="J3724" t="s">
        <v>41</v>
      </c>
      <c r="K3724" t="s">
        <v>32</v>
      </c>
      <c r="L3724" t="s">
        <v>32</v>
      </c>
      <c r="M3724" t="s">
        <v>33</v>
      </c>
      <c r="N3724" t="s">
        <v>33</v>
      </c>
      <c r="O3724" t="s">
        <v>33</v>
      </c>
      <c r="P3724" t="s">
        <v>213</v>
      </c>
      <c r="Q3724" t="s">
        <v>2111</v>
      </c>
      <c r="S3724" t="s">
        <v>30</v>
      </c>
      <c r="T3724" t="s">
        <v>3173</v>
      </c>
      <c r="U3724" t="s">
        <v>3174</v>
      </c>
      <c r="V3724" t="s">
        <v>39</v>
      </c>
      <c r="W3724" s="1">
        <v>2</v>
      </c>
    </row>
    <row r="3725" spans="1:23" x14ac:dyDescent="0.2">
      <c r="A3725" t="s">
        <v>2096</v>
      </c>
      <c r="B3725" t="s">
        <v>2097</v>
      </c>
      <c r="C3725" t="s">
        <v>2971</v>
      </c>
      <c r="D3725" t="s">
        <v>3153</v>
      </c>
      <c r="E3725" t="s">
        <v>3154</v>
      </c>
      <c r="F3725" t="s">
        <v>3155</v>
      </c>
      <c r="G3725" t="s">
        <v>106</v>
      </c>
      <c r="H3725" t="s">
        <v>30</v>
      </c>
      <c r="I3725" t="s">
        <v>30</v>
      </c>
      <c r="J3725" t="s">
        <v>41</v>
      </c>
      <c r="K3725" t="s">
        <v>32</v>
      </c>
      <c r="L3725" t="s">
        <v>32</v>
      </c>
      <c r="M3725" t="s">
        <v>33</v>
      </c>
      <c r="N3725" t="s">
        <v>33</v>
      </c>
      <c r="O3725" t="s">
        <v>33</v>
      </c>
      <c r="P3725" t="s">
        <v>213</v>
      </c>
      <c r="Q3725" t="s">
        <v>2111</v>
      </c>
      <c r="S3725" t="s">
        <v>30</v>
      </c>
      <c r="T3725" t="s">
        <v>3173</v>
      </c>
      <c r="U3725" t="s">
        <v>3174</v>
      </c>
      <c r="V3725" t="s">
        <v>40</v>
      </c>
      <c r="W3725" s="1">
        <v>1862000</v>
      </c>
    </row>
    <row r="3726" spans="1:23" x14ac:dyDescent="0.2">
      <c r="A3726" t="s">
        <v>2096</v>
      </c>
      <c r="B3726" t="s">
        <v>2097</v>
      </c>
      <c r="C3726" t="s">
        <v>2971</v>
      </c>
      <c r="D3726" t="s">
        <v>3153</v>
      </c>
      <c r="E3726" t="s">
        <v>3154</v>
      </c>
      <c r="F3726" t="s">
        <v>3155</v>
      </c>
      <c r="G3726" t="s">
        <v>106</v>
      </c>
      <c r="H3726" t="s">
        <v>30</v>
      </c>
      <c r="I3726" t="s">
        <v>30</v>
      </c>
      <c r="J3726" t="s">
        <v>41</v>
      </c>
      <c r="K3726" t="s">
        <v>32</v>
      </c>
      <c r="L3726" t="s">
        <v>32</v>
      </c>
      <c r="M3726" t="s">
        <v>33</v>
      </c>
      <c r="N3726" t="s">
        <v>33</v>
      </c>
      <c r="O3726" t="s">
        <v>33</v>
      </c>
      <c r="P3726" t="s">
        <v>213</v>
      </c>
      <c r="Q3726" t="s">
        <v>2111</v>
      </c>
      <c r="S3726" t="s">
        <v>30</v>
      </c>
      <c r="T3726" t="s">
        <v>3175</v>
      </c>
      <c r="U3726" t="s">
        <v>3176</v>
      </c>
      <c r="V3726" t="s">
        <v>39</v>
      </c>
      <c r="W3726" s="1">
        <v>5</v>
      </c>
    </row>
    <row r="3727" spans="1:23" x14ac:dyDescent="0.2">
      <c r="A3727" t="s">
        <v>2096</v>
      </c>
      <c r="B3727" t="s">
        <v>2097</v>
      </c>
      <c r="C3727" t="s">
        <v>2971</v>
      </c>
      <c r="D3727" t="s">
        <v>3153</v>
      </c>
      <c r="E3727" t="s">
        <v>3154</v>
      </c>
      <c r="F3727" t="s">
        <v>3155</v>
      </c>
      <c r="G3727" t="s">
        <v>106</v>
      </c>
      <c r="H3727" t="s">
        <v>30</v>
      </c>
      <c r="I3727" t="s">
        <v>30</v>
      </c>
      <c r="J3727" t="s">
        <v>41</v>
      </c>
      <c r="K3727" t="s">
        <v>32</v>
      </c>
      <c r="L3727" t="s">
        <v>32</v>
      </c>
      <c r="M3727" t="s">
        <v>33</v>
      </c>
      <c r="N3727" t="s">
        <v>33</v>
      </c>
      <c r="O3727" t="s">
        <v>33</v>
      </c>
      <c r="P3727" t="s">
        <v>213</v>
      </c>
      <c r="Q3727" t="s">
        <v>2111</v>
      </c>
      <c r="S3727" t="s">
        <v>30</v>
      </c>
      <c r="T3727" t="s">
        <v>3175</v>
      </c>
      <c r="U3727" t="s">
        <v>3176</v>
      </c>
      <c r="V3727" t="s">
        <v>40</v>
      </c>
      <c r="W3727" s="1">
        <v>6474500</v>
      </c>
    </row>
    <row r="3728" spans="1:23" x14ac:dyDescent="0.2">
      <c r="A3728" t="s">
        <v>2096</v>
      </c>
      <c r="B3728" t="s">
        <v>2097</v>
      </c>
      <c r="C3728" t="s">
        <v>2971</v>
      </c>
      <c r="D3728" t="s">
        <v>3153</v>
      </c>
      <c r="E3728" t="s">
        <v>3154</v>
      </c>
      <c r="F3728" t="s">
        <v>3155</v>
      </c>
      <c r="G3728" t="s">
        <v>106</v>
      </c>
      <c r="H3728" t="s">
        <v>30</v>
      </c>
      <c r="I3728" t="s">
        <v>30</v>
      </c>
      <c r="J3728" t="s">
        <v>41</v>
      </c>
      <c r="K3728" t="s">
        <v>32</v>
      </c>
      <c r="L3728" t="s">
        <v>32</v>
      </c>
      <c r="M3728" t="s">
        <v>176</v>
      </c>
      <c r="N3728" t="s">
        <v>176</v>
      </c>
      <c r="O3728" t="s">
        <v>176</v>
      </c>
      <c r="P3728" t="s">
        <v>213</v>
      </c>
      <c r="Q3728" t="s">
        <v>2111</v>
      </c>
      <c r="S3728" t="s">
        <v>30</v>
      </c>
      <c r="T3728" t="s">
        <v>3175</v>
      </c>
      <c r="U3728" t="s">
        <v>3176</v>
      </c>
      <c r="V3728" t="s">
        <v>39</v>
      </c>
      <c r="W3728" s="1">
        <v>2</v>
      </c>
    </row>
    <row r="3729" spans="1:23" x14ac:dyDescent="0.2">
      <c r="A3729" t="s">
        <v>2096</v>
      </c>
      <c r="B3729" t="s">
        <v>2097</v>
      </c>
      <c r="C3729" t="s">
        <v>2971</v>
      </c>
      <c r="D3729" t="s">
        <v>3153</v>
      </c>
      <c r="E3729" t="s">
        <v>3154</v>
      </c>
      <c r="F3729" t="s">
        <v>3155</v>
      </c>
      <c r="G3729" t="s">
        <v>106</v>
      </c>
      <c r="H3729" t="s">
        <v>30</v>
      </c>
      <c r="I3729" t="s">
        <v>30</v>
      </c>
      <c r="J3729" t="s">
        <v>41</v>
      </c>
      <c r="K3729" t="s">
        <v>32</v>
      </c>
      <c r="L3729" t="s">
        <v>32</v>
      </c>
      <c r="M3729" t="s">
        <v>176</v>
      </c>
      <c r="N3729" t="s">
        <v>176</v>
      </c>
      <c r="O3729" t="s">
        <v>176</v>
      </c>
      <c r="P3729" t="s">
        <v>213</v>
      </c>
      <c r="Q3729" t="s">
        <v>2111</v>
      </c>
      <c r="S3729" t="s">
        <v>30</v>
      </c>
      <c r="T3729" t="s">
        <v>3175</v>
      </c>
      <c r="U3729" t="s">
        <v>3176</v>
      </c>
      <c r="V3729" t="s">
        <v>40</v>
      </c>
      <c r="W3729" s="1">
        <v>2589800</v>
      </c>
    </row>
    <row r="3730" spans="1:23" x14ac:dyDescent="0.2">
      <c r="A3730" t="s">
        <v>2096</v>
      </c>
      <c r="B3730" t="s">
        <v>2097</v>
      </c>
      <c r="C3730" t="s">
        <v>2971</v>
      </c>
      <c r="D3730" t="s">
        <v>3153</v>
      </c>
      <c r="E3730" t="s">
        <v>3154</v>
      </c>
      <c r="F3730" t="s">
        <v>3155</v>
      </c>
      <c r="G3730" t="s">
        <v>119</v>
      </c>
      <c r="H3730" t="s">
        <v>30</v>
      </c>
      <c r="I3730" t="s">
        <v>52</v>
      </c>
      <c r="J3730" t="s">
        <v>31</v>
      </c>
      <c r="K3730" t="s">
        <v>32</v>
      </c>
      <c r="L3730" t="s">
        <v>32</v>
      </c>
      <c r="M3730" t="s">
        <v>33</v>
      </c>
      <c r="N3730" t="s">
        <v>33</v>
      </c>
      <c r="O3730" t="s">
        <v>33</v>
      </c>
      <c r="P3730" t="s">
        <v>213</v>
      </c>
      <c r="Q3730" t="s">
        <v>2111</v>
      </c>
      <c r="S3730" t="s">
        <v>30</v>
      </c>
      <c r="T3730" t="s">
        <v>3177</v>
      </c>
      <c r="U3730" t="s">
        <v>3178</v>
      </c>
      <c r="V3730" t="s">
        <v>39</v>
      </c>
      <c r="W3730" s="1">
        <v>4</v>
      </c>
    </row>
    <row r="3731" spans="1:23" x14ac:dyDescent="0.2">
      <c r="A3731" t="s">
        <v>2096</v>
      </c>
      <c r="B3731" t="s">
        <v>2097</v>
      </c>
      <c r="C3731" t="s">
        <v>2971</v>
      </c>
      <c r="D3731" t="s">
        <v>3153</v>
      </c>
      <c r="E3731" t="s">
        <v>3154</v>
      </c>
      <c r="F3731" t="s">
        <v>3155</v>
      </c>
      <c r="G3731" t="s">
        <v>119</v>
      </c>
      <c r="H3731" t="s">
        <v>30</v>
      </c>
      <c r="I3731" t="s">
        <v>52</v>
      </c>
      <c r="J3731" t="s">
        <v>31</v>
      </c>
      <c r="K3731" t="s">
        <v>32</v>
      </c>
      <c r="L3731" t="s">
        <v>32</v>
      </c>
      <c r="M3731" t="s">
        <v>33</v>
      </c>
      <c r="N3731" t="s">
        <v>33</v>
      </c>
      <c r="O3731" t="s">
        <v>33</v>
      </c>
      <c r="P3731" t="s">
        <v>213</v>
      </c>
      <c r="Q3731" t="s">
        <v>2111</v>
      </c>
      <c r="S3731" t="s">
        <v>30</v>
      </c>
      <c r="T3731" t="s">
        <v>3177</v>
      </c>
      <c r="U3731" t="s">
        <v>3178</v>
      </c>
      <c r="V3731" t="s">
        <v>40</v>
      </c>
      <c r="W3731" s="1">
        <v>3279600</v>
      </c>
    </row>
    <row r="3732" spans="1:23" x14ac:dyDescent="0.2">
      <c r="A3732" t="s">
        <v>2096</v>
      </c>
      <c r="B3732" t="s">
        <v>2097</v>
      </c>
      <c r="C3732" t="s">
        <v>2971</v>
      </c>
      <c r="D3732" t="s">
        <v>3153</v>
      </c>
      <c r="E3732" t="s">
        <v>3154</v>
      </c>
      <c r="F3732" t="s">
        <v>3155</v>
      </c>
      <c r="G3732" t="s">
        <v>127</v>
      </c>
      <c r="H3732" t="s">
        <v>52</v>
      </c>
      <c r="I3732" t="s">
        <v>30</v>
      </c>
      <c r="J3732" t="s">
        <v>31</v>
      </c>
      <c r="K3732" t="s">
        <v>32</v>
      </c>
      <c r="L3732" t="s">
        <v>32</v>
      </c>
      <c r="M3732" t="s">
        <v>33</v>
      </c>
      <c r="N3732" t="s">
        <v>33</v>
      </c>
      <c r="O3732" t="s">
        <v>33</v>
      </c>
      <c r="P3732" t="s">
        <v>213</v>
      </c>
      <c r="Q3732" t="s">
        <v>2111</v>
      </c>
      <c r="R3732" t="s">
        <v>3179</v>
      </c>
      <c r="S3732" t="s">
        <v>30</v>
      </c>
      <c r="T3732" t="s">
        <v>3180</v>
      </c>
      <c r="U3732" t="s">
        <v>3181</v>
      </c>
      <c r="V3732" t="s">
        <v>39</v>
      </c>
      <c r="W3732" s="1">
        <v>3</v>
      </c>
    </row>
    <row r="3733" spans="1:23" x14ac:dyDescent="0.2">
      <c r="A3733" t="s">
        <v>2096</v>
      </c>
      <c r="B3733" t="s">
        <v>2097</v>
      </c>
      <c r="C3733" t="s">
        <v>2971</v>
      </c>
      <c r="D3733" t="s">
        <v>3153</v>
      </c>
      <c r="E3733" t="s">
        <v>3154</v>
      </c>
      <c r="F3733" t="s">
        <v>3155</v>
      </c>
      <c r="G3733" t="s">
        <v>127</v>
      </c>
      <c r="H3733" t="s">
        <v>52</v>
      </c>
      <c r="I3733" t="s">
        <v>30</v>
      </c>
      <c r="J3733" t="s">
        <v>31</v>
      </c>
      <c r="K3733" t="s">
        <v>32</v>
      </c>
      <c r="L3733" t="s">
        <v>32</v>
      </c>
      <c r="M3733" t="s">
        <v>33</v>
      </c>
      <c r="N3733" t="s">
        <v>33</v>
      </c>
      <c r="O3733" t="s">
        <v>33</v>
      </c>
      <c r="P3733" t="s">
        <v>213</v>
      </c>
      <c r="Q3733" t="s">
        <v>2111</v>
      </c>
      <c r="R3733" t="s">
        <v>3179</v>
      </c>
      <c r="S3733" t="s">
        <v>30</v>
      </c>
      <c r="T3733" t="s">
        <v>3180</v>
      </c>
      <c r="U3733" t="s">
        <v>3181</v>
      </c>
      <c r="V3733" t="s">
        <v>40</v>
      </c>
      <c r="W3733" s="1">
        <v>2616000</v>
      </c>
    </row>
    <row r="3734" spans="1:23" x14ac:dyDescent="0.2">
      <c r="A3734" t="s">
        <v>2096</v>
      </c>
      <c r="B3734" t="s">
        <v>2097</v>
      </c>
      <c r="C3734" t="s">
        <v>2971</v>
      </c>
      <c r="D3734" t="s">
        <v>3153</v>
      </c>
      <c r="E3734" t="s">
        <v>3154</v>
      </c>
      <c r="F3734" t="s">
        <v>3155</v>
      </c>
      <c r="G3734" t="s">
        <v>127</v>
      </c>
      <c r="H3734" t="s">
        <v>52</v>
      </c>
      <c r="I3734" t="s">
        <v>30</v>
      </c>
      <c r="J3734" t="s">
        <v>31</v>
      </c>
      <c r="K3734" t="s">
        <v>32</v>
      </c>
      <c r="L3734" t="s">
        <v>32</v>
      </c>
      <c r="M3734" t="s">
        <v>176</v>
      </c>
      <c r="N3734" t="s">
        <v>176</v>
      </c>
      <c r="O3734" t="s">
        <v>176</v>
      </c>
      <c r="P3734" t="s">
        <v>213</v>
      </c>
      <c r="Q3734" t="s">
        <v>2111</v>
      </c>
      <c r="R3734" t="s">
        <v>3179</v>
      </c>
      <c r="S3734" t="s">
        <v>30</v>
      </c>
      <c r="T3734" t="s">
        <v>3180</v>
      </c>
      <c r="U3734" t="s">
        <v>3181</v>
      </c>
      <c r="V3734" t="s">
        <v>39</v>
      </c>
      <c r="W3734" s="1">
        <v>1</v>
      </c>
    </row>
    <row r="3735" spans="1:23" x14ac:dyDescent="0.2">
      <c r="A3735" t="s">
        <v>2096</v>
      </c>
      <c r="B3735" t="s">
        <v>2097</v>
      </c>
      <c r="C3735" t="s">
        <v>2971</v>
      </c>
      <c r="D3735" t="s">
        <v>3153</v>
      </c>
      <c r="E3735" t="s">
        <v>3154</v>
      </c>
      <c r="F3735" t="s">
        <v>3155</v>
      </c>
      <c r="G3735" t="s">
        <v>127</v>
      </c>
      <c r="H3735" t="s">
        <v>52</v>
      </c>
      <c r="I3735" t="s">
        <v>30</v>
      </c>
      <c r="J3735" t="s">
        <v>31</v>
      </c>
      <c r="K3735" t="s">
        <v>32</v>
      </c>
      <c r="L3735" t="s">
        <v>32</v>
      </c>
      <c r="M3735" t="s">
        <v>176</v>
      </c>
      <c r="N3735" t="s">
        <v>176</v>
      </c>
      <c r="O3735" t="s">
        <v>176</v>
      </c>
      <c r="P3735" t="s">
        <v>213</v>
      </c>
      <c r="Q3735" t="s">
        <v>2111</v>
      </c>
      <c r="R3735" t="s">
        <v>3179</v>
      </c>
      <c r="S3735" t="s">
        <v>30</v>
      </c>
      <c r="T3735" t="s">
        <v>3180</v>
      </c>
      <c r="U3735" t="s">
        <v>3181</v>
      </c>
      <c r="V3735" t="s">
        <v>40</v>
      </c>
      <c r="W3735" s="1">
        <v>872000</v>
      </c>
    </row>
    <row r="3736" spans="1:23" x14ac:dyDescent="0.2">
      <c r="A3736" t="s">
        <v>2096</v>
      </c>
      <c r="B3736" t="s">
        <v>2097</v>
      </c>
      <c r="C3736" t="s">
        <v>2971</v>
      </c>
      <c r="D3736" t="s">
        <v>3153</v>
      </c>
      <c r="E3736" t="s">
        <v>3154</v>
      </c>
      <c r="F3736" t="s">
        <v>3155</v>
      </c>
      <c r="G3736" t="s">
        <v>134</v>
      </c>
      <c r="H3736" t="s">
        <v>52</v>
      </c>
      <c r="I3736" t="s">
        <v>30</v>
      </c>
      <c r="J3736" t="s">
        <v>41</v>
      </c>
      <c r="K3736" t="s">
        <v>32</v>
      </c>
      <c r="L3736" t="s">
        <v>32</v>
      </c>
      <c r="M3736" t="s">
        <v>33</v>
      </c>
      <c r="N3736" t="s">
        <v>33</v>
      </c>
      <c r="O3736" t="s">
        <v>33</v>
      </c>
      <c r="P3736" t="s">
        <v>213</v>
      </c>
      <c r="Q3736" t="s">
        <v>2111</v>
      </c>
      <c r="S3736" t="s">
        <v>30</v>
      </c>
      <c r="T3736" t="s">
        <v>3182</v>
      </c>
      <c r="U3736" t="s">
        <v>3183</v>
      </c>
      <c r="V3736" t="s">
        <v>39</v>
      </c>
      <c r="W3736" s="1">
        <v>2</v>
      </c>
    </row>
    <row r="3737" spans="1:23" x14ac:dyDescent="0.2">
      <c r="A3737" t="s">
        <v>2096</v>
      </c>
      <c r="B3737" t="s">
        <v>2097</v>
      </c>
      <c r="C3737" t="s">
        <v>2971</v>
      </c>
      <c r="D3737" t="s">
        <v>3153</v>
      </c>
      <c r="E3737" t="s">
        <v>3154</v>
      </c>
      <c r="F3737" t="s">
        <v>3155</v>
      </c>
      <c r="G3737" t="s">
        <v>134</v>
      </c>
      <c r="H3737" t="s">
        <v>52</v>
      </c>
      <c r="I3737" t="s">
        <v>30</v>
      </c>
      <c r="J3737" t="s">
        <v>41</v>
      </c>
      <c r="K3737" t="s">
        <v>32</v>
      </c>
      <c r="L3737" t="s">
        <v>32</v>
      </c>
      <c r="M3737" t="s">
        <v>33</v>
      </c>
      <c r="N3737" t="s">
        <v>33</v>
      </c>
      <c r="O3737" t="s">
        <v>33</v>
      </c>
      <c r="P3737" t="s">
        <v>213</v>
      </c>
      <c r="Q3737" t="s">
        <v>2111</v>
      </c>
      <c r="S3737" t="s">
        <v>30</v>
      </c>
      <c r="T3737" t="s">
        <v>3182</v>
      </c>
      <c r="U3737" t="s">
        <v>3183</v>
      </c>
      <c r="V3737" t="s">
        <v>40</v>
      </c>
      <c r="W3737" s="1">
        <v>2304000</v>
      </c>
    </row>
    <row r="3738" spans="1:23" x14ac:dyDescent="0.2">
      <c r="A3738" t="s">
        <v>2096</v>
      </c>
      <c r="B3738" t="s">
        <v>2097</v>
      </c>
      <c r="C3738" t="s">
        <v>2971</v>
      </c>
      <c r="D3738" t="s">
        <v>3153</v>
      </c>
      <c r="E3738" t="s">
        <v>3154</v>
      </c>
      <c r="F3738" t="s">
        <v>3155</v>
      </c>
      <c r="G3738" t="s">
        <v>139</v>
      </c>
      <c r="H3738" t="s">
        <v>30</v>
      </c>
      <c r="I3738" t="s">
        <v>30</v>
      </c>
      <c r="J3738" t="s">
        <v>31</v>
      </c>
      <c r="K3738" t="s">
        <v>32</v>
      </c>
      <c r="L3738" t="s">
        <v>32</v>
      </c>
      <c r="M3738" t="s">
        <v>33</v>
      </c>
      <c r="P3738" t="s">
        <v>213</v>
      </c>
      <c r="Q3738" t="s">
        <v>2111</v>
      </c>
      <c r="S3738" t="s">
        <v>30</v>
      </c>
      <c r="T3738" t="s">
        <v>3184</v>
      </c>
      <c r="U3738" t="s">
        <v>3185</v>
      </c>
      <c r="V3738" t="s">
        <v>39</v>
      </c>
      <c r="W3738" s="1">
        <v>3</v>
      </c>
    </row>
    <row r="3739" spans="1:23" x14ac:dyDescent="0.2">
      <c r="A3739" t="s">
        <v>2096</v>
      </c>
      <c r="B3739" t="s">
        <v>2097</v>
      </c>
      <c r="C3739" t="s">
        <v>2971</v>
      </c>
      <c r="D3739" t="s">
        <v>3153</v>
      </c>
      <c r="E3739" t="s">
        <v>3154</v>
      </c>
      <c r="F3739" t="s">
        <v>3155</v>
      </c>
      <c r="G3739" t="s">
        <v>139</v>
      </c>
      <c r="H3739" t="s">
        <v>30</v>
      </c>
      <c r="I3739" t="s">
        <v>30</v>
      </c>
      <c r="J3739" t="s">
        <v>31</v>
      </c>
      <c r="K3739" t="s">
        <v>32</v>
      </c>
      <c r="L3739" t="s">
        <v>32</v>
      </c>
      <c r="M3739" t="s">
        <v>33</v>
      </c>
      <c r="P3739" t="s">
        <v>213</v>
      </c>
      <c r="Q3739" t="s">
        <v>2111</v>
      </c>
      <c r="S3739" t="s">
        <v>30</v>
      </c>
      <c r="T3739" t="s">
        <v>3184</v>
      </c>
      <c r="U3739" t="s">
        <v>3185</v>
      </c>
      <c r="V3739" t="s">
        <v>40</v>
      </c>
      <c r="W3739" s="1">
        <v>2459700</v>
      </c>
    </row>
    <row r="3740" spans="1:23" x14ac:dyDescent="0.2">
      <c r="A3740" t="s">
        <v>2096</v>
      </c>
      <c r="B3740" t="s">
        <v>2097</v>
      </c>
      <c r="C3740" t="s">
        <v>2971</v>
      </c>
      <c r="D3740" t="s">
        <v>3153</v>
      </c>
      <c r="E3740" t="s">
        <v>3154</v>
      </c>
      <c r="F3740" t="s">
        <v>3155</v>
      </c>
      <c r="G3740" t="s">
        <v>139</v>
      </c>
      <c r="H3740" t="s">
        <v>30</v>
      </c>
      <c r="I3740" t="s">
        <v>30</v>
      </c>
      <c r="J3740" t="s">
        <v>41</v>
      </c>
      <c r="K3740" t="s">
        <v>32</v>
      </c>
      <c r="L3740" t="s">
        <v>32</v>
      </c>
      <c r="M3740" t="s">
        <v>33</v>
      </c>
      <c r="N3740" t="s">
        <v>33</v>
      </c>
      <c r="O3740" t="s">
        <v>33</v>
      </c>
      <c r="P3740" t="s">
        <v>213</v>
      </c>
      <c r="Q3740" t="s">
        <v>2118</v>
      </c>
      <c r="S3740" t="s">
        <v>30</v>
      </c>
      <c r="T3740" t="s">
        <v>3186</v>
      </c>
      <c r="U3740" t="s">
        <v>3187</v>
      </c>
      <c r="V3740" t="s">
        <v>39</v>
      </c>
      <c r="W3740" s="1">
        <v>2</v>
      </c>
    </row>
    <row r="3741" spans="1:23" x14ac:dyDescent="0.2">
      <c r="A3741" t="s">
        <v>2096</v>
      </c>
      <c r="B3741" t="s">
        <v>2097</v>
      </c>
      <c r="C3741" t="s">
        <v>2971</v>
      </c>
      <c r="D3741" t="s">
        <v>3153</v>
      </c>
      <c r="E3741" t="s">
        <v>3154</v>
      </c>
      <c r="F3741" t="s">
        <v>3155</v>
      </c>
      <c r="G3741" t="s">
        <v>139</v>
      </c>
      <c r="H3741" t="s">
        <v>30</v>
      </c>
      <c r="I3741" t="s">
        <v>30</v>
      </c>
      <c r="J3741" t="s">
        <v>41</v>
      </c>
      <c r="K3741" t="s">
        <v>32</v>
      </c>
      <c r="L3741" t="s">
        <v>32</v>
      </c>
      <c r="M3741" t="s">
        <v>33</v>
      </c>
      <c r="N3741" t="s">
        <v>33</v>
      </c>
      <c r="O3741" t="s">
        <v>33</v>
      </c>
      <c r="P3741" t="s">
        <v>213</v>
      </c>
      <c r="Q3741" t="s">
        <v>2118</v>
      </c>
      <c r="S3741" t="s">
        <v>30</v>
      </c>
      <c r="T3741" t="s">
        <v>3186</v>
      </c>
      <c r="U3741" t="s">
        <v>3187</v>
      </c>
      <c r="V3741" t="s">
        <v>40</v>
      </c>
      <c r="W3741" s="1">
        <v>2262000</v>
      </c>
    </row>
    <row r="3742" spans="1:23" x14ac:dyDescent="0.2">
      <c r="A3742" t="s">
        <v>2096</v>
      </c>
      <c r="B3742" t="s">
        <v>2097</v>
      </c>
      <c r="C3742" t="s">
        <v>2971</v>
      </c>
      <c r="D3742" t="s">
        <v>3153</v>
      </c>
      <c r="E3742" t="s">
        <v>3154</v>
      </c>
      <c r="F3742" t="s">
        <v>3155</v>
      </c>
      <c r="G3742" t="s">
        <v>139</v>
      </c>
      <c r="H3742" t="s">
        <v>30</v>
      </c>
      <c r="I3742" t="s">
        <v>30</v>
      </c>
      <c r="J3742" t="s">
        <v>41</v>
      </c>
      <c r="K3742" t="s">
        <v>32</v>
      </c>
      <c r="L3742" t="s">
        <v>32</v>
      </c>
      <c r="M3742" t="s">
        <v>33</v>
      </c>
      <c r="N3742" t="s">
        <v>33</v>
      </c>
      <c r="O3742" t="s">
        <v>33</v>
      </c>
      <c r="P3742" t="s">
        <v>34</v>
      </c>
      <c r="Q3742" t="s">
        <v>35</v>
      </c>
      <c r="S3742" t="s">
        <v>30</v>
      </c>
      <c r="T3742" t="s">
        <v>3188</v>
      </c>
      <c r="U3742" t="s">
        <v>3189</v>
      </c>
      <c r="V3742" t="s">
        <v>39</v>
      </c>
      <c r="W3742" s="1">
        <v>3</v>
      </c>
    </row>
    <row r="3743" spans="1:23" x14ac:dyDescent="0.2">
      <c r="A3743" t="s">
        <v>2096</v>
      </c>
      <c r="B3743" t="s">
        <v>2097</v>
      </c>
      <c r="C3743" t="s">
        <v>2971</v>
      </c>
      <c r="D3743" t="s">
        <v>3153</v>
      </c>
      <c r="E3743" t="s">
        <v>3154</v>
      </c>
      <c r="F3743" t="s">
        <v>3155</v>
      </c>
      <c r="G3743" t="s">
        <v>139</v>
      </c>
      <c r="H3743" t="s">
        <v>30</v>
      </c>
      <c r="I3743" t="s">
        <v>30</v>
      </c>
      <c r="J3743" t="s">
        <v>41</v>
      </c>
      <c r="K3743" t="s">
        <v>32</v>
      </c>
      <c r="L3743" t="s">
        <v>32</v>
      </c>
      <c r="M3743" t="s">
        <v>33</v>
      </c>
      <c r="N3743" t="s">
        <v>33</v>
      </c>
      <c r="O3743" t="s">
        <v>33</v>
      </c>
      <c r="P3743" t="s">
        <v>34</v>
      </c>
      <c r="Q3743" t="s">
        <v>35</v>
      </c>
      <c r="S3743" t="s">
        <v>30</v>
      </c>
      <c r="T3743" t="s">
        <v>3188</v>
      </c>
      <c r="U3743" t="s">
        <v>3189</v>
      </c>
      <c r="V3743" t="s">
        <v>40</v>
      </c>
      <c r="W3743" s="1">
        <v>4736700</v>
      </c>
    </row>
    <row r="3744" spans="1:23" x14ac:dyDescent="0.2">
      <c r="A3744" t="s">
        <v>2096</v>
      </c>
      <c r="B3744" t="s">
        <v>2097</v>
      </c>
      <c r="C3744" t="s">
        <v>3190</v>
      </c>
      <c r="D3744" t="s">
        <v>3191</v>
      </c>
      <c r="E3744" t="s">
        <v>3192</v>
      </c>
      <c r="F3744" t="s">
        <v>3193</v>
      </c>
      <c r="G3744" t="s">
        <v>29</v>
      </c>
      <c r="H3744" t="s">
        <v>30</v>
      </c>
      <c r="I3744" t="s">
        <v>30</v>
      </c>
      <c r="J3744" t="s">
        <v>31</v>
      </c>
      <c r="K3744" t="s">
        <v>32</v>
      </c>
      <c r="L3744" t="s">
        <v>32</v>
      </c>
      <c r="M3744" t="s">
        <v>33</v>
      </c>
      <c r="P3744" t="s">
        <v>372</v>
      </c>
      <c r="Q3744" t="s">
        <v>373</v>
      </c>
      <c r="R3744" t="s">
        <v>173</v>
      </c>
      <c r="S3744" t="s">
        <v>52</v>
      </c>
      <c r="T3744" t="s">
        <v>3194</v>
      </c>
      <c r="U3744" t="s">
        <v>3195</v>
      </c>
      <c r="V3744" t="s">
        <v>39</v>
      </c>
      <c r="W3744" s="1">
        <v>0</v>
      </c>
    </row>
    <row r="3745" spans="1:23" x14ac:dyDescent="0.2">
      <c r="A3745" t="s">
        <v>2096</v>
      </c>
      <c r="B3745" t="s">
        <v>2097</v>
      </c>
      <c r="C3745" t="s">
        <v>3190</v>
      </c>
      <c r="D3745" t="s">
        <v>3191</v>
      </c>
      <c r="E3745" t="s">
        <v>3192</v>
      </c>
      <c r="F3745" t="s">
        <v>3193</v>
      </c>
      <c r="G3745" t="s">
        <v>29</v>
      </c>
      <c r="H3745" t="s">
        <v>30</v>
      </c>
      <c r="I3745" t="s">
        <v>30</v>
      </c>
      <c r="J3745" t="s">
        <v>31</v>
      </c>
      <c r="K3745" t="s">
        <v>32</v>
      </c>
      <c r="L3745" t="s">
        <v>32</v>
      </c>
      <c r="M3745" t="s">
        <v>33</v>
      </c>
      <c r="P3745" t="s">
        <v>372</v>
      </c>
      <c r="Q3745" t="s">
        <v>373</v>
      </c>
      <c r="R3745" t="s">
        <v>173</v>
      </c>
      <c r="S3745" t="s">
        <v>52</v>
      </c>
      <c r="T3745" t="s">
        <v>3194</v>
      </c>
      <c r="U3745" t="s">
        <v>3195</v>
      </c>
      <c r="V3745" t="s">
        <v>40</v>
      </c>
      <c r="W3745" s="1">
        <v>0</v>
      </c>
    </row>
    <row r="3746" spans="1:23" x14ac:dyDescent="0.2">
      <c r="A3746" t="s">
        <v>2096</v>
      </c>
      <c r="B3746" t="s">
        <v>2097</v>
      </c>
      <c r="C3746" t="s">
        <v>3190</v>
      </c>
      <c r="D3746" t="s">
        <v>3191</v>
      </c>
      <c r="E3746" t="s">
        <v>3192</v>
      </c>
      <c r="F3746" t="s">
        <v>3193</v>
      </c>
      <c r="G3746" t="s">
        <v>49</v>
      </c>
      <c r="H3746" t="s">
        <v>30</v>
      </c>
      <c r="I3746" t="s">
        <v>30</v>
      </c>
      <c r="J3746" t="s">
        <v>31</v>
      </c>
      <c r="K3746" t="s">
        <v>181</v>
      </c>
      <c r="L3746" t="s">
        <v>32</v>
      </c>
      <c r="M3746" t="s">
        <v>33</v>
      </c>
      <c r="P3746" t="s">
        <v>372</v>
      </c>
      <c r="Q3746" t="s">
        <v>373</v>
      </c>
      <c r="S3746" t="s">
        <v>30</v>
      </c>
      <c r="T3746" t="s">
        <v>3196</v>
      </c>
      <c r="U3746" t="s">
        <v>3197</v>
      </c>
      <c r="V3746" t="s">
        <v>39</v>
      </c>
      <c r="W3746" s="1">
        <v>21</v>
      </c>
    </row>
    <row r="3747" spans="1:23" x14ac:dyDescent="0.2">
      <c r="A3747" t="s">
        <v>2096</v>
      </c>
      <c r="B3747" t="s">
        <v>2097</v>
      </c>
      <c r="C3747" t="s">
        <v>3190</v>
      </c>
      <c r="D3747" t="s">
        <v>3191</v>
      </c>
      <c r="E3747" t="s">
        <v>3192</v>
      </c>
      <c r="F3747" t="s">
        <v>3193</v>
      </c>
      <c r="G3747" t="s">
        <v>49</v>
      </c>
      <c r="H3747" t="s">
        <v>30</v>
      </c>
      <c r="I3747" t="s">
        <v>30</v>
      </c>
      <c r="J3747" t="s">
        <v>31</v>
      </c>
      <c r="K3747" t="s">
        <v>181</v>
      </c>
      <c r="L3747" t="s">
        <v>32</v>
      </c>
      <c r="M3747" t="s">
        <v>33</v>
      </c>
      <c r="P3747" t="s">
        <v>372</v>
      </c>
      <c r="Q3747" t="s">
        <v>373</v>
      </c>
      <c r="S3747" t="s">
        <v>30</v>
      </c>
      <c r="T3747" t="s">
        <v>3196</v>
      </c>
      <c r="U3747" t="s">
        <v>3197</v>
      </c>
      <c r="V3747" t="s">
        <v>40</v>
      </c>
      <c r="W3747" s="1">
        <v>35000000</v>
      </c>
    </row>
    <row r="3748" spans="1:23" x14ac:dyDescent="0.2">
      <c r="A3748" t="s">
        <v>2096</v>
      </c>
      <c r="B3748" t="s">
        <v>2097</v>
      </c>
      <c r="C3748" t="s">
        <v>3190</v>
      </c>
      <c r="D3748" t="s">
        <v>3191</v>
      </c>
      <c r="E3748" t="s">
        <v>3192</v>
      </c>
      <c r="F3748" t="s">
        <v>3193</v>
      </c>
      <c r="G3748" t="s">
        <v>67</v>
      </c>
      <c r="H3748" t="s">
        <v>30</v>
      </c>
      <c r="I3748" t="s">
        <v>30</v>
      </c>
      <c r="J3748" t="s">
        <v>31</v>
      </c>
      <c r="K3748" t="s">
        <v>32</v>
      </c>
      <c r="L3748" t="s">
        <v>32</v>
      </c>
      <c r="M3748" t="s">
        <v>33</v>
      </c>
      <c r="N3748" t="s">
        <v>33</v>
      </c>
      <c r="O3748" t="s">
        <v>33</v>
      </c>
      <c r="P3748" t="s">
        <v>34</v>
      </c>
      <c r="Q3748" t="s">
        <v>35</v>
      </c>
      <c r="R3748" t="s">
        <v>73</v>
      </c>
      <c r="S3748" t="s">
        <v>30</v>
      </c>
      <c r="T3748" t="s">
        <v>3198</v>
      </c>
      <c r="U3748" t="s">
        <v>3199</v>
      </c>
      <c r="V3748" t="s">
        <v>39</v>
      </c>
      <c r="W3748" s="1">
        <v>2</v>
      </c>
    </row>
    <row r="3749" spans="1:23" x14ac:dyDescent="0.2">
      <c r="A3749" t="s">
        <v>2096</v>
      </c>
      <c r="B3749" t="s">
        <v>2097</v>
      </c>
      <c r="C3749" t="s">
        <v>3190</v>
      </c>
      <c r="D3749" t="s">
        <v>3191</v>
      </c>
      <c r="E3749" t="s">
        <v>3192</v>
      </c>
      <c r="F3749" t="s">
        <v>3193</v>
      </c>
      <c r="G3749" t="s">
        <v>67</v>
      </c>
      <c r="H3749" t="s">
        <v>30</v>
      </c>
      <c r="I3749" t="s">
        <v>30</v>
      </c>
      <c r="J3749" t="s">
        <v>31</v>
      </c>
      <c r="K3749" t="s">
        <v>32</v>
      </c>
      <c r="L3749" t="s">
        <v>32</v>
      </c>
      <c r="M3749" t="s">
        <v>33</v>
      </c>
      <c r="N3749" t="s">
        <v>33</v>
      </c>
      <c r="O3749" t="s">
        <v>33</v>
      </c>
      <c r="P3749" t="s">
        <v>34</v>
      </c>
      <c r="Q3749" t="s">
        <v>35</v>
      </c>
      <c r="R3749" t="s">
        <v>73</v>
      </c>
      <c r="S3749" t="s">
        <v>30</v>
      </c>
      <c r="T3749" t="s">
        <v>3198</v>
      </c>
      <c r="U3749" t="s">
        <v>3199</v>
      </c>
      <c r="V3749" t="s">
        <v>40</v>
      </c>
      <c r="W3749" s="1">
        <v>2798000</v>
      </c>
    </row>
    <row r="3750" spans="1:23" x14ac:dyDescent="0.2">
      <c r="A3750" t="s">
        <v>2096</v>
      </c>
      <c r="B3750" t="s">
        <v>2097</v>
      </c>
      <c r="C3750" t="s">
        <v>3190</v>
      </c>
      <c r="D3750" t="s">
        <v>3191</v>
      </c>
      <c r="E3750" t="s">
        <v>3192</v>
      </c>
      <c r="F3750" t="s">
        <v>3193</v>
      </c>
      <c r="G3750" t="s">
        <v>67</v>
      </c>
      <c r="H3750" t="s">
        <v>30</v>
      </c>
      <c r="I3750" t="s">
        <v>30</v>
      </c>
      <c r="J3750" t="s">
        <v>855</v>
      </c>
      <c r="K3750" t="s">
        <v>856</v>
      </c>
      <c r="L3750" t="s">
        <v>32</v>
      </c>
      <c r="M3750" t="s">
        <v>33</v>
      </c>
      <c r="P3750" t="s">
        <v>34</v>
      </c>
      <c r="Q3750" t="s">
        <v>35</v>
      </c>
      <c r="S3750" t="s">
        <v>52</v>
      </c>
      <c r="T3750" t="s">
        <v>3200</v>
      </c>
      <c r="U3750" t="s">
        <v>3201</v>
      </c>
      <c r="V3750" t="s">
        <v>39</v>
      </c>
      <c r="W3750" s="1">
        <v>0</v>
      </c>
    </row>
    <row r="3751" spans="1:23" x14ac:dyDescent="0.2">
      <c r="A3751" t="s">
        <v>2096</v>
      </c>
      <c r="B3751" t="s">
        <v>2097</v>
      </c>
      <c r="C3751" t="s">
        <v>3190</v>
      </c>
      <c r="D3751" t="s">
        <v>3191</v>
      </c>
      <c r="E3751" t="s">
        <v>3192</v>
      </c>
      <c r="F3751" t="s">
        <v>3193</v>
      </c>
      <c r="G3751" t="s">
        <v>67</v>
      </c>
      <c r="H3751" t="s">
        <v>30</v>
      </c>
      <c r="I3751" t="s">
        <v>30</v>
      </c>
      <c r="J3751" t="s">
        <v>855</v>
      </c>
      <c r="K3751" t="s">
        <v>856</v>
      </c>
      <c r="L3751" t="s">
        <v>32</v>
      </c>
      <c r="M3751" t="s">
        <v>33</v>
      </c>
      <c r="P3751" t="s">
        <v>34</v>
      </c>
      <c r="Q3751" t="s">
        <v>35</v>
      </c>
      <c r="S3751" t="s">
        <v>52</v>
      </c>
      <c r="T3751" t="s">
        <v>3200</v>
      </c>
      <c r="U3751" t="s">
        <v>3201</v>
      </c>
      <c r="V3751" t="s">
        <v>40</v>
      </c>
      <c r="W3751" s="1">
        <v>3180000</v>
      </c>
    </row>
    <row r="3752" spans="1:23" x14ac:dyDescent="0.2">
      <c r="A3752" t="s">
        <v>2096</v>
      </c>
      <c r="B3752" t="s">
        <v>2097</v>
      </c>
      <c r="C3752" t="s">
        <v>3190</v>
      </c>
      <c r="D3752" t="s">
        <v>3191</v>
      </c>
      <c r="E3752" t="s">
        <v>3192</v>
      </c>
      <c r="F3752" t="s">
        <v>3193</v>
      </c>
      <c r="G3752" t="s">
        <v>89</v>
      </c>
      <c r="H3752" t="s">
        <v>30</v>
      </c>
      <c r="I3752" t="s">
        <v>30</v>
      </c>
      <c r="J3752" t="s">
        <v>31</v>
      </c>
      <c r="K3752" t="s">
        <v>32</v>
      </c>
      <c r="L3752" t="s">
        <v>32</v>
      </c>
      <c r="M3752" t="s">
        <v>33</v>
      </c>
      <c r="N3752" t="s">
        <v>33</v>
      </c>
      <c r="O3752" t="s">
        <v>33</v>
      </c>
      <c r="P3752" t="s">
        <v>34</v>
      </c>
      <c r="Q3752" t="s">
        <v>35</v>
      </c>
      <c r="S3752" t="s">
        <v>30</v>
      </c>
      <c r="T3752" t="s">
        <v>3202</v>
      </c>
      <c r="U3752" t="s">
        <v>3203</v>
      </c>
      <c r="V3752" t="s">
        <v>39</v>
      </c>
      <c r="W3752" s="1">
        <v>4</v>
      </c>
    </row>
    <row r="3753" spans="1:23" x14ac:dyDescent="0.2">
      <c r="A3753" t="s">
        <v>2096</v>
      </c>
      <c r="B3753" t="s">
        <v>2097</v>
      </c>
      <c r="C3753" t="s">
        <v>3190</v>
      </c>
      <c r="D3753" t="s">
        <v>3191</v>
      </c>
      <c r="E3753" t="s">
        <v>3192</v>
      </c>
      <c r="F3753" t="s">
        <v>3193</v>
      </c>
      <c r="G3753" t="s">
        <v>89</v>
      </c>
      <c r="H3753" t="s">
        <v>30</v>
      </c>
      <c r="I3753" t="s">
        <v>30</v>
      </c>
      <c r="J3753" t="s">
        <v>31</v>
      </c>
      <c r="K3753" t="s">
        <v>32</v>
      </c>
      <c r="L3753" t="s">
        <v>32</v>
      </c>
      <c r="M3753" t="s">
        <v>33</v>
      </c>
      <c r="N3753" t="s">
        <v>33</v>
      </c>
      <c r="O3753" t="s">
        <v>33</v>
      </c>
      <c r="P3753" t="s">
        <v>34</v>
      </c>
      <c r="Q3753" t="s">
        <v>35</v>
      </c>
      <c r="S3753" t="s">
        <v>30</v>
      </c>
      <c r="T3753" t="s">
        <v>3202</v>
      </c>
      <c r="U3753" t="s">
        <v>3203</v>
      </c>
      <c r="V3753" t="s">
        <v>40</v>
      </c>
      <c r="W3753" s="1">
        <v>6379600</v>
      </c>
    </row>
    <row r="3754" spans="1:23" x14ac:dyDescent="0.2">
      <c r="A3754" t="s">
        <v>2096</v>
      </c>
      <c r="B3754" t="s">
        <v>2097</v>
      </c>
      <c r="C3754" t="s">
        <v>3190</v>
      </c>
      <c r="D3754" t="s">
        <v>3204</v>
      </c>
      <c r="E3754" t="s">
        <v>3205</v>
      </c>
      <c r="F3754" t="s">
        <v>3206</v>
      </c>
      <c r="G3754" t="s">
        <v>29</v>
      </c>
      <c r="H3754" t="s">
        <v>30</v>
      </c>
      <c r="I3754" t="s">
        <v>30</v>
      </c>
      <c r="J3754" t="s">
        <v>31</v>
      </c>
      <c r="K3754" t="s">
        <v>32</v>
      </c>
      <c r="L3754" t="s">
        <v>32</v>
      </c>
      <c r="M3754" t="s">
        <v>33</v>
      </c>
      <c r="N3754" t="s">
        <v>33</v>
      </c>
      <c r="O3754" t="s">
        <v>33</v>
      </c>
      <c r="P3754" t="s">
        <v>34</v>
      </c>
      <c r="Q3754" t="s">
        <v>35</v>
      </c>
      <c r="R3754" t="s">
        <v>353</v>
      </c>
      <c r="S3754" t="s">
        <v>30</v>
      </c>
      <c r="T3754" t="s">
        <v>3207</v>
      </c>
      <c r="U3754" t="s">
        <v>3208</v>
      </c>
      <c r="V3754" t="s">
        <v>39</v>
      </c>
      <c r="W3754" s="1">
        <v>2</v>
      </c>
    </row>
    <row r="3755" spans="1:23" x14ac:dyDescent="0.2">
      <c r="A3755" t="s">
        <v>2096</v>
      </c>
      <c r="B3755" t="s">
        <v>2097</v>
      </c>
      <c r="C3755" t="s">
        <v>3190</v>
      </c>
      <c r="D3755" t="s">
        <v>3204</v>
      </c>
      <c r="E3755" t="s">
        <v>3205</v>
      </c>
      <c r="F3755" t="s">
        <v>3206</v>
      </c>
      <c r="G3755" t="s">
        <v>29</v>
      </c>
      <c r="H3755" t="s">
        <v>30</v>
      </c>
      <c r="I3755" t="s">
        <v>30</v>
      </c>
      <c r="J3755" t="s">
        <v>31</v>
      </c>
      <c r="K3755" t="s">
        <v>32</v>
      </c>
      <c r="L3755" t="s">
        <v>32</v>
      </c>
      <c r="M3755" t="s">
        <v>33</v>
      </c>
      <c r="N3755" t="s">
        <v>33</v>
      </c>
      <c r="O3755" t="s">
        <v>33</v>
      </c>
      <c r="P3755" t="s">
        <v>34</v>
      </c>
      <c r="Q3755" t="s">
        <v>35</v>
      </c>
      <c r="R3755" t="s">
        <v>353</v>
      </c>
      <c r="S3755" t="s">
        <v>30</v>
      </c>
      <c r="T3755" t="s">
        <v>3207</v>
      </c>
      <c r="U3755" t="s">
        <v>3208</v>
      </c>
      <c r="V3755" t="s">
        <v>40</v>
      </c>
      <c r="W3755" s="1">
        <v>519800</v>
      </c>
    </row>
    <row r="3756" spans="1:23" x14ac:dyDescent="0.2">
      <c r="A3756" t="s">
        <v>2096</v>
      </c>
      <c r="B3756" t="s">
        <v>2097</v>
      </c>
      <c r="C3756" t="s">
        <v>3190</v>
      </c>
      <c r="D3756" t="s">
        <v>3204</v>
      </c>
      <c r="E3756" t="s">
        <v>3205</v>
      </c>
      <c r="F3756" t="s">
        <v>3206</v>
      </c>
      <c r="G3756" t="s">
        <v>29</v>
      </c>
      <c r="H3756" t="s">
        <v>30</v>
      </c>
      <c r="I3756" t="s">
        <v>30</v>
      </c>
      <c r="J3756" t="s">
        <v>31</v>
      </c>
      <c r="K3756" t="s">
        <v>32</v>
      </c>
      <c r="L3756" t="s">
        <v>32</v>
      </c>
      <c r="M3756" t="s">
        <v>33</v>
      </c>
      <c r="P3756" t="s">
        <v>213</v>
      </c>
      <c r="Q3756" t="s">
        <v>2111</v>
      </c>
      <c r="S3756" t="s">
        <v>30</v>
      </c>
      <c r="T3756" t="s">
        <v>3209</v>
      </c>
      <c r="U3756" t="s">
        <v>3210</v>
      </c>
      <c r="V3756" t="s">
        <v>39</v>
      </c>
      <c r="W3756" s="1">
        <v>3</v>
      </c>
    </row>
    <row r="3757" spans="1:23" x14ac:dyDescent="0.2">
      <c r="A3757" t="s">
        <v>2096</v>
      </c>
      <c r="B3757" t="s">
        <v>2097</v>
      </c>
      <c r="C3757" t="s">
        <v>3190</v>
      </c>
      <c r="D3757" t="s">
        <v>3204</v>
      </c>
      <c r="E3757" t="s">
        <v>3205</v>
      </c>
      <c r="F3757" t="s">
        <v>3206</v>
      </c>
      <c r="G3757" t="s">
        <v>29</v>
      </c>
      <c r="H3757" t="s">
        <v>30</v>
      </c>
      <c r="I3757" t="s">
        <v>30</v>
      </c>
      <c r="J3757" t="s">
        <v>31</v>
      </c>
      <c r="K3757" t="s">
        <v>32</v>
      </c>
      <c r="L3757" t="s">
        <v>32</v>
      </c>
      <c r="M3757" t="s">
        <v>33</v>
      </c>
      <c r="P3757" t="s">
        <v>213</v>
      </c>
      <c r="Q3757" t="s">
        <v>2111</v>
      </c>
      <c r="S3757" t="s">
        <v>30</v>
      </c>
      <c r="T3757" t="s">
        <v>3209</v>
      </c>
      <c r="U3757" t="s">
        <v>3210</v>
      </c>
      <c r="V3757" t="s">
        <v>40</v>
      </c>
      <c r="W3757" s="1">
        <v>2849700</v>
      </c>
    </row>
    <row r="3758" spans="1:23" x14ac:dyDescent="0.2">
      <c r="A3758" t="s">
        <v>2096</v>
      </c>
      <c r="B3758" t="s">
        <v>2097</v>
      </c>
      <c r="C3758" t="s">
        <v>3190</v>
      </c>
      <c r="D3758" t="s">
        <v>3204</v>
      </c>
      <c r="E3758" t="s">
        <v>3205</v>
      </c>
      <c r="F3758" t="s">
        <v>3206</v>
      </c>
      <c r="G3758" t="s">
        <v>29</v>
      </c>
      <c r="H3758" t="s">
        <v>30</v>
      </c>
      <c r="I3758" t="s">
        <v>30</v>
      </c>
      <c r="J3758" t="s">
        <v>31</v>
      </c>
      <c r="K3758" t="s">
        <v>32</v>
      </c>
      <c r="L3758" t="s">
        <v>32</v>
      </c>
      <c r="M3758" t="s">
        <v>33</v>
      </c>
      <c r="P3758" t="s">
        <v>213</v>
      </c>
      <c r="Q3758" t="s">
        <v>2111</v>
      </c>
      <c r="S3758" t="s">
        <v>52</v>
      </c>
      <c r="T3758" t="s">
        <v>3211</v>
      </c>
      <c r="U3758" t="s">
        <v>3212</v>
      </c>
      <c r="V3758" t="s">
        <v>39</v>
      </c>
      <c r="W3758" s="1">
        <v>0</v>
      </c>
    </row>
    <row r="3759" spans="1:23" x14ac:dyDescent="0.2">
      <c r="A3759" t="s">
        <v>2096</v>
      </c>
      <c r="B3759" t="s">
        <v>2097</v>
      </c>
      <c r="C3759" t="s">
        <v>3190</v>
      </c>
      <c r="D3759" t="s">
        <v>3204</v>
      </c>
      <c r="E3759" t="s">
        <v>3205</v>
      </c>
      <c r="F3759" t="s">
        <v>3206</v>
      </c>
      <c r="G3759" t="s">
        <v>29</v>
      </c>
      <c r="H3759" t="s">
        <v>30</v>
      </c>
      <c r="I3759" t="s">
        <v>30</v>
      </c>
      <c r="J3759" t="s">
        <v>31</v>
      </c>
      <c r="K3759" t="s">
        <v>32</v>
      </c>
      <c r="L3759" t="s">
        <v>32</v>
      </c>
      <c r="M3759" t="s">
        <v>33</v>
      </c>
      <c r="P3759" t="s">
        <v>213</v>
      </c>
      <c r="Q3759" t="s">
        <v>2111</v>
      </c>
      <c r="S3759" t="s">
        <v>52</v>
      </c>
      <c r="T3759" t="s">
        <v>3211</v>
      </c>
      <c r="U3759" t="s">
        <v>3212</v>
      </c>
      <c r="V3759" t="s">
        <v>40</v>
      </c>
      <c r="W3759" s="1">
        <v>1490000</v>
      </c>
    </row>
    <row r="3760" spans="1:23" x14ac:dyDescent="0.2">
      <c r="A3760" t="s">
        <v>2096</v>
      </c>
      <c r="B3760" t="s">
        <v>2097</v>
      </c>
      <c r="C3760" t="s">
        <v>3190</v>
      </c>
      <c r="D3760" t="s">
        <v>3204</v>
      </c>
      <c r="E3760" t="s">
        <v>3205</v>
      </c>
      <c r="F3760" t="s">
        <v>3206</v>
      </c>
      <c r="G3760" t="s">
        <v>29</v>
      </c>
      <c r="H3760" t="s">
        <v>30</v>
      </c>
      <c r="I3760" t="s">
        <v>30</v>
      </c>
      <c r="J3760" t="s">
        <v>31</v>
      </c>
      <c r="K3760" t="s">
        <v>32</v>
      </c>
      <c r="L3760" t="s">
        <v>32</v>
      </c>
      <c r="M3760" t="s">
        <v>176</v>
      </c>
      <c r="P3760" t="s">
        <v>213</v>
      </c>
      <c r="Q3760" t="s">
        <v>2111</v>
      </c>
      <c r="S3760" t="s">
        <v>52</v>
      </c>
      <c r="T3760" t="s">
        <v>3211</v>
      </c>
      <c r="U3760" t="s">
        <v>3212</v>
      </c>
      <c r="V3760" t="s">
        <v>39</v>
      </c>
      <c r="W3760" s="1">
        <v>0</v>
      </c>
    </row>
    <row r="3761" spans="1:23" x14ac:dyDescent="0.2">
      <c r="A3761" t="s">
        <v>2096</v>
      </c>
      <c r="B3761" t="s">
        <v>2097</v>
      </c>
      <c r="C3761" t="s">
        <v>3190</v>
      </c>
      <c r="D3761" t="s">
        <v>3204</v>
      </c>
      <c r="E3761" t="s">
        <v>3205</v>
      </c>
      <c r="F3761" t="s">
        <v>3206</v>
      </c>
      <c r="G3761" t="s">
        <v>29</v>
      </c>
      <c r="H3761" t="s">
        <v>30</v>
      </c>
      <c r="I3761" t="s">
        <v>30</v>
      </c>
      <c r="J3761" t="s">
        <v>31</v>
      </c>
      <c r="K3761" t="s">
        <v>32</v>
      </c>
      <c r="L3761" t="s">
        <v>32</v>
      </c>
      <c r="M3761" t="s">
        <v>176</v>
      </c>
      <c r="P3761" t="s">
        <v>213</v>
      </c>
      <c r="Q3761" t="s">
        <v>2111</v>
      </c>
      <c r="S3761" t="s">
        <v>52</v>
      </c>
      <c r="T3761" t="s">
        <v>3211</v>
      </c>
      <c r="U3761" t="s">
        <v>3212</v>
      </c>
      <c r="V3761" t="s">
        <v>40</v>
      </c>
      <c r="W3761" s="1">
        <v>745000</v>
      </c>
    </row>
    <row r="3762" spans="1:23" x14ac:dyDescent="0.2">
      <c r="A3762" t="s">
        <v>2096</v>
      </c>
      <c r="B3762" t="s">
        <v>2097</v>
      </c>
      <c r="C3762" t="s">
        <v>3190</v>
      </c>
      <c r="D3762" t="s">
        <v>3204</v>
      </c>
      <c r="E3762" t="s">
        <v>3205</v>
      </c>
      <c r="F3762" t="s">
        <v>3206</v>
      </c>
      <c r="G3762" t="s">
        <v>49</v>
      </c>
      <c r="H3762" t="s">
        <v>30</v>
      </c>
      <c r="I3762" t="s">
        <v>30</v>
      </c>
      <c r="J3762" t="s">
        <v>31</v>
      </c>
      <c r="K3762" t="s">
        <v>32</v>
      </c>
      <c r="L3762" t="s">
        <v>32</v>
      </c>
      <c r="M3762" t="s">
        <v>33</v>
      </c>
      <c r="N3762" t="s">
        <v>33</v>
      </c>
      <c r="O3762" t="s">
        <v>33</v>
      </c>
      <c r="P3762" t="s">
        <v>213</v>
      </c>
      <c r="Q3762" t="s">
        <v>2111</v>
      </c>
      <c r="S3762" t="s">
        <v>30</v>
      </c>
      <c r="T3762" t="s">
        <v>3213</v>
      </c>
      <c r="U3762" t="s">
        <v>3214</v>
      </c>
      <c r="V3762" t="s">
        <v>39</v>
      </c>
      <c r="W3762" s="1">
        <v>2</v>
      </c>
    </row>
    <row r="3763" spans="1:23" x14ac:dyDescent="0.2">
      <c r="A3763" t="s">
        <v>2096</v>
      </c>
      <c r="B3763" t="s">
        <v>2097</v>
      </c>
      <c r="C3763" t="s">
        <v>3190</v>
      </c>
      <c r="D3763" t="s">
        <v>3204</v>
      </c>
      <c r="E3763" t="s">
        <v>3205</v>
      </c>
      <c r="F3763" t="s">
        <v>3206</v>
      </c>
      <c r="G3763" t="s">
        <v>49</v>
      </c>
      <c r="H3763" t="s">
        <v>30</v>
      </c>
      <c r="I3763" t="s">
        <v>30</v>
      </c>
      <c r="J3763" t="s">
        <v>31</v>
      </c>
      <c r="K3763" t="s">
        <v>32</v>
      </c>
      <c r="L3763" t="s">
        <v>32</v>
      </c>
      <c r="M3763" t="s">
        <v>33</v>
      </c>
      <c r="N3763" t="s">
        <v>33</v>
      </c>
      <c r="O3763" t="s">
        <v>33</v>
      </c>
      <c r="P3763" t="s">
        <v>213</v>
      </c>
      <c r="Q3763" t="s">
        <v>2111</v>
      </c>
      <c r="S3763" t="s">
        <v>30</v>
      </c>
      <c r="T3763" t="s">
        <v>3213</v>
      </c>
      <c r="U3763" t="s">
        <v>3214</v>
      </c>
      <c r="V3763" t="s">
        <v>40</v>
      </c>
      <c r="W3763" s="1">
        <v>2299800</v>
      </c>
    </row>
    <row r="3764" spans="1:23" x14ac:dyDescent="0.2">
      <c r="A3764" t="s">
        <v>2096</v>
      </c>
      <c r="B3764" t="s">
        <v>2097</v>
      </c>
      <c r="C3764" t="s">
        <v>3190</v>
      </c>
      <c r="D3764" t="s">
        <v>3204</v>
      </c>
      <c r="E3764" t="s">
        <v>3205</v>
      </c>
      <c r="F3764" t="s">
        <v>3206</v>
      </c>
      <c r="G3764" t="s">
        <v>49</v>
      </c>
      <c r="H3764" t="s">
        <v>30</v>
      </c>
      <c r="I3764" t="s">
        <v>30</v>
      </c>
      <c r="J3764" t="s">
        <v>31</v>
      </c>
      <c r="K3764" t="s">
        <v>32</v>
      </c>
      <c r="L3764" t="s">
        <v>32</v>
      </c>
      <c r="M3764" t="s">
        <v>33</v>
      </c>
      <c r="P3764" t="s">
        <v>213</v>
      </c>
      <c r="Q3764" t="s">
        <v>2111</v>
      </c>
      <c r="S3764" t="s">
        <v>52</v>
      </c>
      <c r="T3764" t="s">
        <v>3215</v>
      </c>
      <c r="U3764" t="s">
        <v>3216</v>
      </c>
      <c r="V3764" t="s">
        <v>39</v>
      </c>
      <c r="W3764" s="1">
        <v>0</v>
      </c>
    </row>
    <row r="3765" spans="1:23" x14ac:dyDescent="0.2">
      <c r="A3765" t="s">
        <v>2096</v>
      </c>
      <c r="B3765" t="s">
        <v>2097</v>
      </c>
      <c r="C3765" t="s">
        <v>3190</v>
      </c>
      <c r="D3765" t="s">
        <v>3204</v>
      </c>
      <c r="E3765" t="s">
        <v>3205</v>
      </c>
      <c r="F3765" t="s">
        <v>3206</v>
      </c>
      <c r="G3765" t="s">
        <v>49</v>
      </c>
      <c r="H3765" t="s">
        <v>30</v>
      </c>
      <c r="I3765" t="s">
        <v>30</v>
      </c>
      <c r="J3765" t="s">
        <v>31</v>
      </c>
      <c r="K3765" t="s">
        <v>32</v>
      </c>
      <c r="L3765" t="s">
        <v>32</v>
      </c>
      <c r="M3765" t="s">
        <v>33</v>
      </c>
      <c r="P3765" t="s">
        <v>213</v>
      </c>
      <c r="Q3765" t="s">
        <v>2111</v>
      </c>
      <c r="S3765" t="s">
        <v>52</v>
      </c>
      <c r="T3765" t="s">
        <v>3215</v>
      </c>
      <c r="U3765" t="s">
        <v>3216</v>
      </c>
      <c r="V3765" t="s">
        <v>40</v>
      </c>
      <c r="W3765" s="1">
        <v>3587700</v>
      </c>
    </row>
    <row r="3766" spans="1:23" x14ac:dyDescent="0.2">
      <c r="A3766" t="s">
        <v>2096</v>
      </c>
      <c r="B3766" t="s">
        <v>2097</v>
      </c>
      <c r="C3766" t="s">
        <v>3190</v>
      </c>
      <c r="D3766" t="s">
        <v>3204</v>
      </c>
      <c r="E3766" t="s">
        <v>3205</v>
      </c>
      <c r="F3766" t="s">
        <v>3206</v>
      </c>
      <c r="G3766" t="s">
        <v>61</v>
      </c>
      <c r="H3766" t="s">
        <v>52</v>
      </c>
      <c r="I3766" t="s">
        <v>52</v>
      </c>
      <c r="J3766" t="s">
        <v>31</v>
      </c>
      <c r="K3766" t="s">
        <v>32</v>
      </c>
      <c r="L3766" t="s">
        <v>32</v>
      </c>
      <c r="M3766" t="s">
        <v>33</v>
      </c>
      <c r="N3766" t="s">
        <v>33</v>
      </c>
      <c r="O3766" t="s">
        <v>33</v>
      </c>
      <c r="P3766" t="s">
        <v>34</v>
      </c>
      <c r="Q3766" t="s">
        <v>35</v>
      </c>
      <c r="S3766" t="s">
        <v>30</v>
      </c>
      <c r="T3766" t="s">
        <v>3217</v>
      </c>
      <c r="U3766" t="s">
        <v>3218</v>
      </c>
      <c r="V3766" t="s">
        <v>39</v>
      </c>
      <c r="W3766" s="1">
        <v>1</v>
      </c>
    </row>
    <row r="3767" spans="1:23" x14ac:dyDescent="0.2">
      <c r="A3767" t="s">
        <v>2096</v>
      </c>
      <c r="B3767" t="s">
        <v>2097</v>
      </c>
      <c r="C3767" t="s">
        <v>3190</v>
      </c>
      <c r="D3767" t="s">
        <v>3204</v>
      </c>
      <c r="E3767" t="s">
        <v>3205</v>
      </c>
      <c r="F3767" t="s">
        <v>3206</v>
      </c>
      <c r="G3767" t="s">
        <v>61</v>
      </c>
      <c r="H3767" t="s">
        <v>52</v>
      </c>
      <c r="I3767" t="s">
        <v>52</v>
      </c>
      <c r="J3767" t="s">
        <v>31</v>
      </c>
      <c r="K3767" t="s">
        <v>32</v>
      </c>
      <c r="L3767" t="s">
        <v>32</v>
      </c>
      <c r="M3767" t="s">
        <v>33</v>
      </c>
      <c r="N3767" t="s">
        <v>33</v>
      </c>
      <c r="O3767" t="s">
        <v>33</v>
      </c>
      <c r="P3767" t="s">
        <v>34</v>
      </c>
      <c r="Q3767" t="s">
        <v>35</v>
      </c>
      <c r="S3767" t="s">
        <v>30</v>
      </c>
      <c r="T3767" t="s">
        <v>3217</v>
      </c>
      <c r="U3767" t="s">
        <v>3218</v>
      </c>
      <c r="V3767" t="s">
        <v>40</v>
      </c>
      <c r="W3767" s="1">
        <v>949000</v>
      </c>
    </row>
    <row r="3768" spans="1:23" x14ac:dyDescent="0.2">
      <c r="A3768" t="s">
        <v>2096</v>
      </c>
      <c r="B3768" t="s">
        <v>2097</v>
      </c>
      <c r="C3768" t="s">
        <v>3190</v>
      </c>
      <c r="D3768" t="s">
        <v>3204</v>
      </c>
      <c r="E3768" t="s">
        <v>3205</v>
      </c>
      <c r="F3768" t="s">
        <v>3206</v>
      </c>
      <c r="G3768" t="s">
        <v>61</v>
      </c>
      <c r="H3768" t="s">
        <v>52</v>
      </c>
      <c r="I3768" t="s">
        <v>52</v>
      </c>
      <c r="J3768" t="s">
        <v>41</v>
      </c>
      <c r="K3768" t="s">
        <v>32</v>
      </c>
      <c r="L3768" t="s">
        <v>32</v>
      </c>
      <c r="M3768" t="s">
        <v>33</v>
      </c>
      <c r="N3768" t="s">
        <v>33</v>
      </c>
      <c r="O3768" t="s">
        <v>33</v>
      </c>
      <c r="P3768" t="s">
        <v>34</v>
      </c>
      <c r="Q3768" t="s">
        <v>35</v>
      </c>
      <c r="S3768" t="s">
        <v>30</v>
      </c>
      <c r="T3768" t="s">
        <v>3219</v>
      </c>
      <c r="U3768" t="s">
        <v>3220</v>
      </c>
      <c r="V3768" t="s">
        <v>39</v>
      </c>
      <c r="W3768" s="1">
        <v>4</v>
      </c>
    </row>
    <row r="3769" spans="1:23" x14ac:dyDescent="0.2">
      <c r="A3769" t="s">
        <v>2096</v>
      </c>
      <c r="B3769" t="s">
        <v>2097</v>
      </c>
      <c r="C3769" t="s">
        <v>3190</v>
      </c>
      <c r="D3769" t="s">
        <v>3204</v>
      </c>
      <c r="E3769" t="s">
        <v>3205</v>
      </c>
      <c r="F3769" t="s">
        <v>3206</v>
      </c>
      <c r="G3769" t="s">
        <v>61</v>
      </c>
      <c r="H3769" t="s">
        <v>52</v>
      </c>
      <c r="I3769" t="s">
        <v>52</v>
      </c>
      <c r="J3769" t="s">
        <v>41</v>
      </c>
      <c r="K3769" t="s">
        <v>32</v>
      </c>
      <c r="L3769" t="s">
        <v>32</v>
      </c>
      <c r="M3769" t="s">
        <v>33</v>
      </c>
      <c r="N3769" t="s">
        <v>33</v>
      </c>
      <c r="O3769" t="s">
        <v>33</v>
      </c>
      <c r="P3769" t="s">
        <v>34</v>
      </c>
      <c r="Q3769" t="s">
        <v>35</v>
      </c>
      <c r="S3769" t="s">
        <v>30</v>
      </c>
      <c r="T3769" t="s">
        <v>3219</v>
      </c>
      <c r="U3769" t="s">
        <v>3220</v>
      </c>
      <c r="V3769" t="s">
        <v>40</v>
      </c>
      <c r="W3769" s="1">
        <v>5199600</v>
      </c>
    </row>
    <row r="3770" spans="1:23" x14ac:dyDescent="0.2">
      <c r="A3770" t="s">
        <v>2096</v>
      </c>
      <c r="B3770" t="s">
        <v>2097</v>
      </c>
      <c r="C3770" t="s">
        <v>3190</v>
      </c>
      <c r="D3770" t="s">
        <v>3204</v>
      </c>
      <c r="E3770" t="s">
        <v>3205</v>
      </c>
      <c r="F3770" t="s">
        <v>3206</v>
      </c>
      <c r="G3770" t="s">
        <v>170</v>
      </c>
      <c r="H3770" t="s">
        <v>52</v>
      </c>
      <c r="I3770" t="s">
        <v>30</v>
      </c>
      <c r="J3770" t="s">
        <v>31</v>
      </c>
      <c r="K3770" t="s">
        <v>32</v>
      </c>
      <c r="L3770" t="s">
        <v>32</v>
      </c>
      <c r="M3770" t="s">
        <v>33</v>
      </c>
      <c r="N3770" t="s">
        <v>33</v>
      </c>
      <c r="O3770" t="s">
        <v>33</v>
      </c>
      <c r="P3770" t="s">
        <v>213</v>
      </c>
      <c r="Q3770" t="s">
        <v>2118</v>
      </c>
      <c r="S3770" t="s">
        <v>30</v>
      </c>
      <c r="T3770" t="s">
        <v>3221</v>
      </c>
      <c r="U3770" t="s">
        <v>3222</v>
      </c>
      <c r="V3770" t="s">
        <v>39</v>
      </c>
      <c r="W3770" s="1">
        <v>1</v>
      </c>
    </row>
    <row r="3771" spans="1:23" x14ac:dyDescent="0.2">
      <c r="A3771" t="s">
        <v>2096</v>
      </c>
      <c r="B3771" t="s">
        <v>2097</v>
      </c>
      <c r="C3771" t="s">
        <v>3190</v>
      </c>
      <c r="D3771" t="s">
        <v>3204</v>
      </c>
      <c r="E3771" t="s">
        <v>3205</v>
      </c>
      <c r="F3771" t="s">
        <v>3206</v>
      </c>
      <c r="G3771" t="s">
        <v>170</v>
      </c>
      <c r="H3771" t="s">
        <v>52</v>
      </c>
      <c r="I3771" t="s">
        <v>30</v>
      </c>
      <c r="J3771" t="s">
        <v>31</v>
      </c>
      <c r="K3771" t="s">
        <v>32</v>
      </c>
      <c r="L3771" t="s">
        <v>32</v>
      </c>
      <c r="M3771" t="s">
        <v>33</v>
      </c>
      <c r="N3771" t="s">
        <v>33</v>
      </c>
      <c r="O3771" t="s">
        <v>33</v>
      </c>
      <c r="P3771" t="s">
        <v>213</v>
      </c>
      <c r="Q3771" t="s">
        <v>2118</v>
      </c>
      <c r="S3771" t="s">
        <v>30</v>
      </c>
      <c r="T3771" t="s">
        <v>3221</v>
      </c>
      <c r="U3771" t="s">
        <v>3222</v>
      </c>
      <c r="V3771" t="s">
        <v>40</v>
      </c>
      <c r="W3771" s="1">
        <v>785900</v>
      </c>
    </row>
    <row r="3772" spans="1:23" x14ac:dyDescent="0.2">
      <c r="A3772" t="s">
        <v>2096</v>
      </c>
      <c r="B3772" t="s">
        <v>2097</v>
      </c>
      <c r="C3772" t="s">
        <v>3190</v>
      </c>
      <c r="D3772" t="s">
        <v>3204</v>
      </c>
      <c r="E3772" t="s">
        <v>3205</v>
      </c>
      <c r="F3772" t="s">
        <v>3206</v>
      </c>
      <c r="G3772" t="s">
        <v>170</v>
      </c>
      <c r="H3772" t="s">
        <v>52</v>
      </c>
      <c r="I3772" t="s">
        <v>30</v>
      </c>
      <c r="J3772" t="s">
        <v>31</v>
      </c>
      <c r="K3772" t="s">
        <v>32</v>
      </c>
      <c r="L3772" t="s">
        <v>32</v>
      </c>
      <c r="M3772" t="s">
        <v>176</v>
      </c>
      <c r="N3772" t="s">
        <v>195</v>
      </c>
      <c r="O3772" t="s">
        <v>195</v>
      </c>
      <c r="P3772" t="s">
        <v>213</v>
      </c>
      <c r="Q3772" t="s">
        <v>2118</v>
      </c>
      <c r="S3772" t="s">
        <v>30</v>
      </c>
      <c r="T3772" t="s">
        <v>3221</v>
      </c>
      <c r="U3772" t="s">
        <v>3222</v>
      </c>
      <c r="V3772" t="s">
        <v>39</v>
      </c>
      <c r="W3772" s="1">
        <v>1</v>
      </c>
    </row>
    <row r="3773" spans="1:23" x14ac:dyDescent="0.2">
      <c r="A3773" t="s">
        <v>2096</v>
      </c>
      <c r="B3773" t="s">
        <v>2097</v>
      </c>
      <c r="C3773" t="s">
        <v>3190</v>
      </c>
      <c r="D3773" t="s">
        <v>3204</v>
      </c>
      <c r="E3773" t="s">
        <v>3205</v>
      </c>
      <c r="F3773" t="s">
        <v>3206</v>
      </c>
      <c r="G3773" t="s">
        <v>170</v>
      </c>
      <c r="H3773" t="s">
        <v>52</v>
      </c>
      <c r="I3773" t="s">
        <v>30</v>
      </c>
      <c r="J3773" t="s">
        <v>31</v>
      </c>
      <c r="K3773" t="s">
        <v>32</v>
      </c>
      <c r="L3773" t="s">
        <v>32</v>
      </c>
      <c r="M3773" t="s">
        <v>176</v>
      </c>
      <c r="N3773" t="s">
        <v>195</v>
      </c>
      <c r="O3773" t="s">
        <v>195</v>
      </c>
      <c r="P3773" t="s">
        <v>213</v>
      </c>
      <c r="Q3773" t="s">
        <v>2118</v>
      </c>
      <c r="S3773" t="s">
        <v>30</v>
      </c>
      <c r="T3773" t="s">
        <v>3221</v>
      </c>
      <c r="U3773" t="s">
        <v>3222</v>
      </c>
      <c r="V3773" t="s">
        <v>40</v>
      </c>
      <c r="W3773" s="1">
        <v>785900</v>
      </c>
    </row>
    <row r="3774" spans="1:23" x14ac:dyDescent="0.2">
      <c r="A3774" t="s">
        <v>2096</v>
      </c>
      <c r="B3774" t="s">
        <v>2097</v>
      </c>
      <c r="C3774" t="s">
        <v>3190</v>
      </c>
      <c r="D3774" t="s">
        <v>3204</v>
      </c>
      <c r="E3774" t="s">
        <v>3205</v>
      </c>
      <c r="F3774" t="s">
        <v>3206</v>
      </c>
      <c r="G3774" t="s">
        <v>170</v>
      </c>
      <c r="H3774" t="s">
        <v>52</v>
      </c>
      <c r="I3774" t="s">
        <v>30</v>
      </c>
      <c r="J3774" t="s">
        <v>41</v>
      </c>
      <c r="K3774" t="s">
        <v>32</v>
      </c>
      <c r="L3774" t="s">
        <v>32</v>
      </c>
      <c r="M3774" t="s">
        <v>33</v>
      </c>
      <c r="P3774" t="s">
        <v>213</v>
      </c>
      <c r="Q3774" t="s">
        <v>2111</v>
      </c>
      <c r="R3774" t="s">
        <v>54</v>
      </c>
      <c r="S3774" t="s">
        <v>52</v>
      </c>
      <c r="T3774" t="s">
        <v>3223</v>
      </c>
      <c r="U3774" t="s">
        <v>3224</v>
      </c>
      <c r="V3774" t="s">
        <v>39</v>
      </c>
      <c r="W3774" s="1">
        <v>0</v>
      </c>
    </row>
    <row r="3775" spans="1:23" x14ac:dyDescent="0.2">
      <c r="A3775" t="s">
        <v>2096</v>
      </c>
      <c r="B3775" t="s">
        <v>2097</v>
      </c>
      <c r="C3775" t="s">
        <v>3190</v>
      </c>
      <c r="D3775" t="s">
        <v>3204</v>
      </c>
      <c r="E3775" t="s">
        <v>3205</v>
      </c>
      <c r="F3775" t="s">
        <v>3206</v>
      </c>
      <c r="G3775" t="s">
        <v>170</v>
      </c>
      <c r="H3775" t="s">
        <v>52</v>
      </c>
      <c r="I3775" t="s">
        <v>30</v>
      </c>
      <c r="J3775" t="s">
        <v>41</v>
      </c>
      <c r="K3775" t="s">
        <v>32</v>
      </c>
      <c r="L3775" t="s">
        <v>32</v>
      </c>
      <c r="M3775" t="s">
        <v>33</v>
      </c>
      <c r="P3775" t="s">
        <v>213</v>
      </c>
      <c r="Q3775" t="s">
        <v>2111</v>
      </c>
      <c r="R3775" t="s">
        <v>54</v>
      </c>
      <c r="S3775" t="s">
        <v>52</v>
      </c>
      <c r="T3775" t="s">
        <v>3223</v>
      </c>
      <c r="U3775" t="s">
        <v>3224</v>
      </c>
      <c r="V3775" t="s">
        <v>40</v>
      </c>
      <c r="W3775" s="1">
        <v>1501800</v>
      </c>
    </row>
    <row r="3776" spans="1:23" x14ac:dyDescent="0.2">
      <c r="A3776" t="s">
        <v>2096</v>
      </c>
      <c r="B3776" t="s">
        <v>2097</v>
      </c>
      <c r="C3776" t="s">
        <v>3190</v>
      </c>
      <c r="D3776" t="s">
        <v>3204</v>
      </c>
      <c r="E3776" t="s">
        <v>3205</v>
      </c>
      <c r="F3776" t="s">
        <v>3206</v>
      </c>
      <c r="G3776" t="s">
        <v>64</v>
      </c>
      <c r="H3776" t="s">
        <v>30</v>
      </c>
      <c r="I3776" t="s">
        <v>52</v>
      </c>
      <c r="J3776" t="s">
        <v>31</v>
      </c>
      <c r="K3776" t="s">
        <v>32</v>
      </c>
      <c r="L3776" t="s">
        <v>32</v>
      </c>
      <c r="M3776" t="s">
        <v>33</v>
      </c>
      <c r="P3776" t="s">
        <v>213</v>
      </c>
      <c r="Q3776" t="s">
        <v>2118</v>
      </c>
      <c r="R3776" t="s">
        <v>184</v>
      </c>
      <c r="S3776" t="s">
        <v>30</v>
      </c>
      <c r="T3776" t="s">
        <v>3225</v>
      </c>
      <c r="U3776" t="s">
        <v>3226</v>
      </c>
      <c r="V3776" t="s">
        <v>39</v>
      </c>
      <c r="W3776" s="1">
        <v>4</v>
      </c>
    </row>
    <row r="3777" spans="1:23" x14ac:dyDescent="0.2">
      <c r="A3777" t="s">
        <v>2096</v>
      </c>
      <c r="B3777" t="s">
        <v>2097</v>
      </c>
      <c r="C3777" t="s">
        <v>3190</v>
      </c>
      <c r="D3777" t="s">
        <v>3204</v>
      </c>
      <c r="E3777" t="s">
        <v>3205</v>
      </c>
      <c r="F3777" t="s">
        <v>3206</v>
      </c>
      <c r="G3777" t="s">
        <v>64</v>
      </c>
      <c r="H3777" t="s">
        <v>30</v>
      </c>
      <c r="I3777" t="s">
        <v>52</v>
      </c>
      <c r="J3777" t="s">
        <v>31</v>
      </c>
      <c r="K3777" t="s">
        <v>32</v>
      </c>
      <c r="L3777" t="s">
        <v>32</v>
      </c>
      <c r="M3777" t="s">
        <v>33</v>
      </c>
      <c r="P3777" t="s">
        <v>213</v>
      </c>
      <c r="Q3777" t="s">
        <v>2118</v>
      </c>
      <c r="R3777" t="s">
        <v>184</v>
      </c>
      <c r="S3777" t="s">
        <v>30</v>
      </c>
      <c r="T3777" t="s">
        <v>3225</v>
      </c>
      <c r="U3777" t="s">
        <v>3226</v>
      </c>
      <c r="V3777" t="s">
        <v>40</v>
      </c>
      <c r="W3777" s="1">
        <v>2531600</v>
      </c>
    </row>
    <row r="3778" spans="1:23" x14ac:dyDescent="0.2">
      <c r="A3778" t="s">
        <v>2096</v>
      </c>
      <c r="B3778" t="s">
        <v>2097</v>
      </c>
      <c r="C3778" t="s">
        <v>3190</v>
      </c>
      <c r="D3778" t="s">
        <v>3204</v>
      </c>
      <c r="E3778" t="s">
        <v>3205</v>
      </c>
      <c r="F3778" t="s">
        <v>3206</v>
      </c>
      <c r="G3778" t="s">
        <v>67</v>
      </c>
      <c r="H3778" t="s">
        <v>30</v>
      </c>
      <c r="I3778" t="s">
        <v>30</v>
      </c>
      <c r="J3778" t="s">
        <v>31</v>
      </c>
      <c r="K3778" t="s">
        <v>32</v>
      </c>
      <c r="L3778" t="s">
        <v>32</v>
      </c>
      <c r="M3778" t="s">
        <v>33</v>
      </c>
      <c r="N3778" t="s">
        <v>33</v>
      </c>
      <c r="O3778" t="s">
        <v>33</v>
      </c>
      <c r="P3778" t="s">
        <v>213</v>
      </c>
      <c r="Q3778" t="s">
        <v>2111</v>
      </c>
      <c r="S3778" t="s">
        <v>30</v>
      </c>
      <c r="T3778" t="s">
        <v>3227</v>
      </c>
      <c r="U3778" t="s">
        <v>3228</v>
      </c>
      <c r="V3778" t="s">
        <v>39</v>
      </c>
      <c r="W3778" s="1">
        <v>2</v>
      </c>
    </row>
    <row r="3779" spans="1:23" x14ac:dyDescent="0.2">
      <c r="A3779" t="s">
        <v>2096</v>
      </c>
      <c r="B3779" t="s">
        <v>2097</v>
      </c>
      <c r="C3779" t="s">
        <v>3190</v>
      </c>
      <c r="D3779" t="s">
        <v>3204</v>
      </c>
      <c r="E3779" t="s">
        <v>3205</v>
      </c>
      <c r="F3779" t="s">
        <v>3206</v>
      </c>
      <c r="G3779" t="s">
        <v>67</v>
      </c>
      <c r="H3779" t="s">
        <v>30</v>
      </c>
      <c r="I3779" t="s">
        <v>30</v>
      </c>
      <c r="J3779" t="s">
        <v>31</v>
      </c>
      <c r="K3779" t="s">
        <v>32</v>
      </c>
      <c r="L3779" t="s">
        <v>32</v>
      </c>
      <c r="M3779" t="s">
        <v>33</v>
      </c>
      <c r="N3779" t="s">
        <v>33</v>
      </c>
      <c r="O3779" t="s">
        <v>33</v>
      </c>
      <c r="P3779" t="s">
        <v>213</v>
      </c>
      <c r="Q3779" t="s">
        <v>2111</v>
      </c>
      <c r="S3779" t="s">
        <v>30</v>
      </c>
      <c r="T3779" t="s">
        <v>3227</v>
      </c>
      <c r="U3779" t="s">
        <v>3228</v>
      </c>
      <c r="V3779" t="s">
        <v>40</v>
      </c>
      <c r="W3779" s="1">
        <v>879800</v>
      </c>
    </row>
    <row r="3780" spans="1:23" x14ac:dyDescent="0.2">
      <c r="A3780" t="s">
        <v>2096</v>
      </c>
      <c r="B3780" t="s">
        <v>2097</v>
      </c>
      <c r="C3780" t="s">
        <v>3190</v>
      </c>
      <c r="D3780" t="s">
        <v>3204</v>
      </c>
      <c r="E3780" t="s">
        <v>3205</v>
      </c>
      <c r="F3780" t="s">
        <v>3206</v>
      </c>
      <c r="G3780" t="s">
        <v>67</v>
      </c>
      <c r="H3780" t="s">
        <v>30</v>
      </c>
      <c r="I3780" t="s">
        <v>30</v>
      </c>
      <c r="J3780" t="s">
        <v>31</v>
      </c>
      <c r="K3780" t="s">
        <v>32</v>
      </c>
      <c r="L3780" t="s">
        <v>32</v>
      </c>
      <c r="M3780" t="s">
        <v>33</v>
      </c>
      <c r="N3780" t="s">
        <v>33</v>
      </c>
      <c r="O3780" t="s">
        <v>33</v>
      </c>
      <c r="P3780" t="s">
        <v>34</v>
      </c>
      <c r="Q3780" t="s">
        <v>35</v>
      </c>
      <c r="S3780" t="s">
        <v>30</v>
      </c>
      <c r="T3780" t="s">
        <v>3229</v>
      </c>
      <c r="U3780" t="s">
        <v>3230</v>
      </c>
      <c r="V3780" t="s">
        <v>39</v>
      </c>
      <c r="W3780" s="1">
        <v>2</v>
      </c>
    </row>
    <row r="3781" spans="1:23" x14ac:dyDescent="0.2">
      <c r="A3781" t="s">
        <v>2096</v>
      </c>
      <c r="B3781" t="s">
        <v>2097</v>
      </c>
      <c r="C3781" t="s">
        <v>3190</v>
      </c>
      <c r="D3781" t="s">
        <v>3204</v>
      </c>
      <c r="E3781" t="s">
        <v>3205</v>
      </c>
      <c r="F3781" t="s">
        <v>3206</v>
      </c>
      <c r="G3781" t="s">
        <v>67</v>
      </c>
      <c r="H3781" t="s">
        <v>30</v>
      </c>
      <c r="I3781" t="s">
        <v>30</v>
      </c>
      <c r="J3781" t="s">
        <v>31</v>
      </c>
      <c r="K3781" t="s">
        <v>32</v>
      </c>
      <c r="L3781" t="s">
        <v>32</v>
      </c>
      <c r="M3781" t="s">
        <v>33</v>
      </c>
      <c r="N3781" t="s">
        <v>33</v>
      </c>
      <c r="O3781" t="s">
        <v>33</v>
      </c>
      <c r="P3781" t="s">
        <v>34</v>
      </c>
      <c r="Q3781" t="s">
        <v>35</v>
      </c>
      <c r="S3781" t="s">
        <v>30</v>
      </c>
      <c r="T3781" t="s">
        <v>3229</v>
      </c>
      <c r="U3781" t="s">
        <v>3230</v>
      </c>
      <c r="V3781" t="s">
        <v>40</v>
      </c>
      <c r="W3781" s="1">
        <v>2159800</v>
      </c>
    </row>
    <row r="3782" spans="1:23" x14ac:dyDescent="0.2">
      <c r="A3782" t="s">
        <v>2096</v>
      </c>
      <c r="B3782" t="s">
        <v>2097</v>
      </c>
      <c r="C3782" t="s">
        <v>3190</v>
      </c>
      <c r="D3782" t="s">
        <v>3204</v>
      </c>
      <c r="E3782" t="s">
        <v>3205</v>
      </c>
      <c r="F3782" t="s">
        <v>3206</v>
      </c>
      <c r="G3782" t="s">
        <v>89</v>
      </c>
      <c r="H3782" t="s">
        <v>30</v>
      </c>
      <c r="I3782" t="s">
        <v>30</v>
      </c>
      <c r="J3782" t="s">
        <v>31</v>
      </c>
      <c r="K3782" t="s">
        <v>32</v>
      </c>
      <c r="L3782" t="s">
        <v>32</v>
      </c>
      <c r="M3782" t="s">
        <v>33</v>
      </c>
      <c r="N3782" t="s">
        <v>33</v>
      </c>
      <c r="O3782" t="s">
        <v>33</v>
      </c>
      <c r="P3782" t="s">
        <v>213</v>
      </c>
      <c r="Q3782" t="s">
        <v>2111</v>
      </c>
      <c r="R3782" t="s">
        <v>151</v>
      </c>
      <c r="S3782" t="s">
        <v>30</v>
      </c>
      <c r="T3782" t="s">
        <v>3231</v>
      </c>
      <c r="U3782" t="s">
        <v>3232</v>
      </c>
      <c r="V3782" t="s">
        <v>39</v>
      </c>
      <c r="W3782" s="1">
        <v>3</v>
      </c>
    </row>
    <row r="3783" spans="1:23" x14ac:dyDescent="0.2">
      <c r="A3783" t="s">
        <v>2096</v>
      </c>
      <c r="B3783" t="s">
        <v>2097</v>
      </c>
      <c r="C3783" t="s">
        <v>3190</v>
      </c>
      <c r="D3783" t="s">
        <v>3204</v>
      </c>
      <c r="E3783" t="s">
        <v>3205</v>
      </c>
      <c r="F3783" t="s">
        <v>3206</v>
      </c>
      <c r="G3783" t="s">
        <v>89</v>
      </c>
      <c r="H3783" t="s">
        <v>30</v>
      </c>
      <c r="I3783" t="s">
        <v>30</v>
      </c>
      <c r="J3783" t="s">
        <v>31</v>
      </c>
      <c r="K3783" t="s">
        <v>32</v>
      </c>
      <c r="L3783" t="s">
        <v>32</v>
      </c>
      <c r="M3783" t="s">
        <v>33</v>
      </c>
      <c r="N3783" t="s">
        <v>33</v>
      </c>
      <c r="O3783" t="s">
        <v>33</v>
      </c>
      <c r="P3783" t="s">
        <v>213</v>
      </c>
      <c r="Q3783" t="s">
        <v>2111</v>
      </c>
      <c r="R3783" t="s">
        <v>151</v>
      </c>
      <c r="S3783" t="s">
        <v>30</v>
      </c>
      <c r="T3783" t="s">
        <v>3231</v>
      </c>
      <c r="U3783" t="s">
        <v>3232</v>
      </c>
      <c r="V3783" t="s">
        <v>40</v>
      </c>
      <c r="W3783" s="1">
        <v>1287000</v>
      </c>
    </row>
    <row r="3784" spans="1:23" x14ac:dyDescent="0.2">
      <c r="A3784" t="s">
        <v>2096</v>
      </c>
      <c r="B3784" t="s">
        <v>2097</v>
      </c>
      <c r="C3784" t="s">
        <v>3190</v>
      </c>
      <c r="D3784" t="s">
        <v>3204</v>
      </c>
      <c r="E3784" t="s">
        <v>3205</v>
      </c>
      <c r="F3784" t="s">
        <v>3206</v>
      </c>
      <c r="G3784" t="s">
        <v>89</v>
      </c>
      <c r="H3784" t="s">
        <v>30</v>
      </c>
      <c r="I3784" t="s">
        <v>30</v>
      </c>
      <c r="J3784" t="s">
        <v>31</v>
      </c>
      <c r="K3784" t="s">
        <v>32</v>
      </c>
      <c r="L3784" t="s">
        <v>32</v>
      </c>
      <c r="M3784" t="s">
        <v>33</v>
      </c>
      <c r="N3784" t="s">
        <v>33</v>
      </c>
      <c r="O3784" t="s">
        <v>33</v>
      </c>
      <c r="P3784" t="s">
        <v>213</v>
      </c>
      <c r="Q3784" t="s">
        <v>2111</v>
      </c>
      <c r="R3784" t="s">
        <v>173</v>
      </c>
      <c r="S3784" t="s">
        <v>30</v>
      </c>
      <c r="T3784" t="s">
        <v>3233</v>
      </c>
      <c r="U3784" t="s">
        <v>3234</v>
      </c>
      <c r="V3784" t="s">
        <v>39</v>
      </c>
      <c r="W3784" s="1">
        <v>1</v>
      </c>
    </row>
    <row r="3785" spans="1:23" x14ac:dyDescent="0.2">
      <c r="A3785" t="s">
        <v>2096</v>
      </c>
      <c r="B3785" t="s">
        <v>2097</v>
      </c>
      <c r="C3785" t="s">
        <v>3190</v>
      </c>
      <c r="D3785" t="s">
        <v>3204</v>
      </c>
      <c r="E3785" t="s">
        <v>3205</v>
      </c>
      <c r="F3785" t="s">
        <v>3206</v>
      </c>
      <c r="G3785" t="s">
        <v>89</v>
      </c>
      <c r="H3785" t="s">
        <v>30</v>
      </c>
      <c r="I3785" t="s">
        <v>30</v>
      </c>
      <c r="J3785" t="s">
        <v>31</v>
      </c>
      <c r="K3785" t="s">
        <v>32</v>
      </c>
      <c r="L3785" t="s">
        <v>32</v>
      </c>
      <c r="M3785" t="s">
        <v>33</v>
      </c>
      <c r="N3785" t="s">
        <v>33</v>
      </c>
      <c r="O3785" t="s">
        <v>33</v>
      </c>
      <c r="P3785" t="s">
        <v>213</v>
      </c>
      <c r="Q3785" t="s">
        <v>2111</v>
      </c>
      <c r="R3785" t="s">
        <v>173</v>
      </c>
      <c r="S3785" t="s">
        <v>30</v>
      </c>
      <c r="T3785" t="s">
        <v>3233</v>
      </c>
      <c r="U3785" t="s">
        <v>3234</v>
      </c>
      <c r="V3785" t="s">
        <v>40</v>
      </c>
      <c r="W3785" s="1">
        <v>578900</v>
      </c>
    </row>
    <row r="3786" spans="1:23" x14ac:dyDescent="0.2">
      <c r="A3786" t="s">
        <v>2096</v>
      </c>
      <c r="B3786" t="s">
        <v>2097</v>
      </c>
      <c r="C3786" t="s">
        <v>3190</v>
      </c>
      <c r="D3786" t="s">
        <v>3204</v>
      </c>
      <c r="E3786" t="s">
        <v>3205</v>
      </c>
      <c r="F3786" t="s">
        <v>3206</v>
      </c>
      <c r="G3786" t="s">
        <v>106</v>
      </c>
      <c r="H3786" t="s">
        <v>30</v>
      </c>
      <c r="I3786" t="s">
        <v>30</v>
      </c>
      <c r="J3786" t="s">
        <v>31</v>
      </c>
      <c r="K3786" t="s">
        <v>32</v>
      </c>
      <c r="L3786" t="s">
        <v>32</v>
      </c>
      <c r="M3786" t="s">
        <v>33</v>
      </c>
      <c r="N3786" t="s">
        <v>33</v>
      </c>
      <c r="O3786" t="s">
        <v>33</v>
      </c>
      <c r="P3786" t="s">
        <v>213</v>
      </c>
      <c r="Q3786" t="s">
        <v>2111</v>
      </c>
      <c r="R3786" t="s">
        <v>151</v>
      </c>
      <c r="S3786" t="s">
        <v>30</v>
      </c>
      <c r="T3786" t="s">
        <v>3235</v>
      </c>
      <c r="U3786" t="s">
        <v>3236</v>
      </c>
      <c r="V3786" t="s">
        <v>39</v>
      </c>
      <c r="W3786" s="1">
        <v>4</v>
      </c>
    </row>
    <row r="3787" spans="1:23" x14ac:dyDescent="0.2">
      <c r="A3787" t="s">
        <v>2096</v>
      </c>
      <c r="B3787" t="s">
        <v>2097</v>
      </c>
      <c r="C3787" t="s">
        <v>3190</v>
      </c>
      <c r="D3787" t="s">
        <v>3204</v>
      </c>
      <c r="E3787" t="s">
        <v>3205</v>
      </c>
      <c r="F3787" t="s">
        <v>3206</v>
      </c>
      <c r="G3787" t="s">
        <v>106</v>
      </c>
      <c r="H3787" t="s">
        <v>30</v>
      </c>
      <c r="I3787" t="s">
        <v>30</v>
      </c>
      <c r="J3787" t="s">
        <v>31</v>
      </c>
      <c r="K3787" t="s">
        <v>32</v>
      </c>
      <c r="L3787" t="s">
        <v>32</v>
      </c>
      <c r="M3787" t="s">
        <v>33</v>
      </c>
      <c r="N3787" t="s">
        <v>33</v>
      </c>
      <c r="O3787" t="s">
        <v>33</v>
      </c>
      <c r="P3787" t="s">
        <v>213</v>
      </c>
      <c r="Q3787" t="s">
        <v>2111</v>
      </c>
      <c r="R3787" t="s">
        <v>151</v>
      </c>
      <c r="S3787" t="s">
        <v>30</v>
      </c>
      <c r="T3787" t="s">
        <v>3235</v>
      </c>
      <c r="U3787" t="s">
        <v>3236</v>
      </c>
      <c r="V3787" t="s">
        <v>40</v>
      </c>
      <c r="W3787" s="1">
        <v>1716000</v>
      </c>
    </row>
    <row r="3788" spans="1:23" x14ac:dyDescent="0.2">
      <c r="A3788" t="s">
        <v>2096</v>
      </c>
      <c r="B3788" t="s">
        <v>2097</v>
      </c>
      <c r="C3788" t="s">
        <v>3190</v>
      </c>
      <c r="D3788" t="s">
        <v>3204</v>
      </c>
      <c r="E3788" t="s">
        <v>3205</v>
      </c>
      <c r="F3788" t="s">
        <v>3206</v>
      </c>
      <c r="G3788" t="s">
        <v>106</v>
      </c>
      <c r="H3788" t="s">
        <v>30</v>
      </c>
      <c r="I3788" t="s">
        <v>30</v>
      </c>
      <c r="J3788" t="s">
        <v>31</v>
      </c>
      <c r="K3788" t="s">
        <v>32</v>
      </c>
      <c r="L3788" t="s">
        <v>32</v>
      </c>
      <c r="M3788" t="s">
        <v>33</v>
      </c>
      <c r="N3788" t="s">
        <v>33</v>
      </c>
      <c r="O3788" t="s">
        <v>33</v>
      </c>
      <c r="P3788" t="s">
        <v>213</v>
      </c>
      <c r="Q3788" t="s">
        <v>2111</v>
      </c>
      <c r="S3788" t="s">
        <v>30</v>
      </c>
      <c r="T3788" t="s">
        <v>3237</v>
      </c>
      <c r="U3788" t="s">
        <v>3238</v>
      </c>
      <c r="V3788" t="s">
        <v>39</v>
      </c>
      <c r="W3788" s="1">
        <v>2</v>
      </c>
    </row>
    <row r="3789" spans="1:23" x14ac:dyDescent="0.2">
      <c r="A3789" t="s">
        <v>2096</v>
      </c>
      <c r="B3789" t="s">
        <v>2097</v>
      </c>
      <c r="C3789" t="s">
        <v>3190</v>
      </c>
      <c r="D3789" t="s">
        <v>3204</v>
      </c>
      <c r="E3789" t="s">
        <v>3205</v>
      </c>
      <c r="F3789" t="s">
        <v>3206</v>
      </c>
      <c r="G3789" t="s">
        <v>106</v>
      </c>
      <c r="H3789" t="s">
        <v>30</v>
      </c>
      <c r="I3789" t="s">
        <v>30</v>
      </c>
      <c r="J3789" t="s">
        <v>31</v>
      </c>
      <c r="K3789" t="s">
        <v>32</v>
      </c>
      <c r="L3789" t="s">
        <v>32</v>
      </c>
      <c r="M3789" t="s">
        <v>33</v>
      </c>
      <c r="N3789" t="s">
        <v>33</v>
      </c>
      <c r="O3789" t="s">
        <v>33</v>
      </c>
      <c r="P3789" t="s">
        <v>213</v>
      </c>
      <c r="Q3789" t="s">
        <v>2111</v>
      </c>
      <c r="S3789" t="s">
        <v>30</v>
      </c>
      <c r="T3789" t="s">
        <v>3237</v>
      </c>
      <c r="U3789" t="s">
        <v>3238</v>
      </c>
      <c r="V3789" t="s">
        <v>40</v>
      </c>
      <c r="W3789" s="1">
        <v>1853800</v>
      </c>
    </row>
    <row r="3790" spans="1:23" x14ac:dyDescent="0.2">
      <c r="A3790" t="s">
        <v>2096</v>
      </c>
      <c r="B3790" t="s">
        <v>2097</v>
      </c>
      <c r="C3790" t="s">
        <v>3190</v>
      </c>
      <c r="D3790" t="s">
        <v>3204</v>
      </c>
      <c r="E3790" t="s">
        <v>3205</v>
      </c>
      <c r="F3790" t="s">
        <v>3206</v>
      </c>
      <c r="G3790" t="s">
        <v>106</v>
      </c>
      <c r="H3790" t="s">
        <v>30</v>
      </c>
      <c r="I3790" t="s">
        <v>30</v>
      </c>
      <c r="J3790" t="s">
        <v>31</v>
      </c>
      <c r="K3790" t="s">
        <v>32</v>
      </c>
      <c r="L3790" t="s">
        <v>32</v>
      </c>
      <c r="M3790" t="s">
        <v>33</v>
      </c>
      <c r="N3790" t="s">
        <v>169</v>
      </c>
      <c r="O3790" t="s">
        <v>169</v>
      </c>
      <c r="P3790" t="s">
        <v>213</v>
      </c>
      <c r="Q3790" t="s">
        <v>2111</v>
      </c>
      <c r="S3790" t="s">
        <v>30</v>
      </c>
      <c r="T3790" t="s">
        <v>3237</v>
      </c>
      <c r="U3790" t="s">
        <v>3238</v>
      </c>
      <c r="V3790" t="s">
        <v>39</v>
      </c>
      <c r="W3790" s="1">
        <v>1</v>
      </c>
    </row>
    <row r="3791" spans="1:23" x14ac:dyDescent="0.2">
      <c r="A3791" t="s">
        <v>2096</v>
      </c>
      <c r="B3791" t="s">
        <v>2097</v>
      </c>
      <c r="C3791" t="s">
        <v>3190</v>
      </c>
      <c r="D3791" t="s">
        <v>3204</v>
      </c>
      <c r="E3791" t="s">
        <v>3205</v>
      </c>
      <c r="F3791" t="s">
        <v>3206</v>
      </c>
      <c r="G3791" t="s">
        <v>106</v>
      </c>
      <c r="H3791" t="s">
        <v>30</v>
      </c>
      <c r="I3791" t="s">
        <v>30</v>
      </c>
      <c r="J3791" t="s">
        <v>31</v>
      </c>
      <c r="K3791" t="s">
        <v>32</v>
      </c>
      <c r="L3791" t="s">
        <v>32</v>
      </c>
      <c r="M3791" t="s">
        <v>33</v>
      </c>
      <c r="N3791" t="s">
        <v>169</v>
      </c>
      <c r="O3791" t="s">
        <v>169</v>
      </c>
      <c r="P3791" t="s">
        <v>213</v>
      </c>
      <c r="Q3791" t="s">
        <v>2111</v>
      </c>
      <c r="S3791" t="s">
        <v>30</v>
      </c>
      <c r="T3791" t="s">
        <v>3237</v>
      </c>
      <c r="U3791" t="s">
        <v>3238</v>
      </c>
      <c r="V3791" t="s">
        <v>40</v>
      </c>
      <c r="W3791" s="1">
        <v>926900</v>
      </c>
    </row>
    <row r="3792" spans="1:23" x14ac:dyDescent="0.2">
      <c r="A3792" t="s">
        <v>2096</v>
      </c>
      <c r="B3792" t="s">
        <v>2097</v>
      </c>
      <c r="C3792" t="s">
        <v>3190</v>
      </c>
      <c r="D3792" t="s">
        <v>3204</v>
      </c>
      <c r="E3792" t="s">
        <v>3205</v>
      </c>
      <c r="F3792" t="s">
        <v>3206</v>
      </c>
      <c r="G3792" t="s">
        <v>119</v>
      </c>
      <c r="H3792" t="s">
        <v>30</v>
      </c>
      <c r="I3792" t="s">
        <v>52</v>
      </c>
      <c r="J3792" t="s">
        <v>31</v>
      </c>
      <c r="K3792" t="s">
        <v>32</v>
      </c>
      <c r="L3792" t="s">
        <v>32</v>
      </c>
      <c r="M3792" t="s">
        <v>33</v>
      </c>
      <c r="N3792" t="s">
        <v>33</v>
      </c>
      <c r="O3792" t="s">
        <v>33</v>
      </c>
      <c r="P3792" t="s">
        <v>213</v>
      </c>
      <c r="Q3792" t="s">
        <v>2118</v>
      </c>
      <c r="S3792" t="s">
        <v>30</v>
      </c>
      <c r="T3792" t="s">
        <v>2151</v>
      </c>
      <c r="U3792" t="s">
        <v>3239</v>
      </c>
      <c r="V3792" t="s">
        <v>39</v>
      </c>
      <c r="W3792" s="1">
        <v>5</v>
      </c>
    </row>
    <row r="3793" spans="1:23" x14ac:dyDescent="0.2">
      <c r="A3793" t="s">
        <v>2096</v>
      </c>
      <c r="B3793" t="s">
        <v>2097</v>
      </c>
      <c r="C3793" t="s">
        <v>3190</v>
      </c>
      <c r="D3793" t="s">
        <v>3204</v>
      </c>
      <c r="E3793" t="s">
        <v>3205</v>
      </c>
      <c r="F3793" t="s">
        <v>3206</v>
      </c>
      <c r="G3793" t="s">
        <v>119</v>
      </c>
      <c r="H3793" t="s">
        <v>30</v>
      </c>
      <c r="I3793" t="s">
        <v>52</v>
      </c>
      <c r="J3793" t="s">
        <v>31</v>
      </c>
      <c r="K3793" t="s">
        <v>32</v>
      </c>
      <c r="L3793" t="s">
        <v>32</v>
      </c>
      <c r="M3793" t="s">
        <v>33</v>
      </c>
      <c r="N3793" t="s">
        <v>33</v>
      </c>
      <c r="O3793" t="s">
        <v>33</v>
      </c>
      <c r="P3793" t="s">
        <v>213</v>
      </c>
      <c r="Q3793" t="s">
        <v>2118</v>
      </c>
      <c r="S3793" t="s">
        <v>30</v>
      </c>
      <c r="T3793" t="s">
        <v>2151</v>
      </c>
      <c r="U3793" t="s">
        <v>3239</v>
      </c>
      <c r="V3793" t="s">
        <v>40</v>
      </c>
      <c r="W3793" s="1">
        <v>4749500</v>
      </c>
    </row>
    <row r="3794" spans="1:23" x14ac:dyDescent="0.2">
      <c r="A3794" t="s">
        <v>2096</v>
      </c>
      <c r="B3794" t="s">
        <v>2097</v>
      </c>
      <c r="C3794" t="s">
        <v>3190</v>
      </c>
      <c r="D3794" t="s">
        <v>3204</v>
      </c>
      <c r="E3794" t="s">
        <v>3205</v>
      </c>
      <c r="F3794" t="s">
        <v>3206</v>
      </c>
      <c r="G3794" t="s">
        <v>127</v>
      </c>
      <c r="H3794" t="s">
        <v>52</v>
      </c>
      <c r="I3794" t="s">
        <v>30</v>
      </c>
      <c r="J3794" t="s">
        <v>41</v>
      </c>
      <c r="K3794" t="s">
        <v>32</v>
      </c>
      <c r="L3794" t="s">
        <v>32</v>
      </c>
      <c r="M3794" t="s">
        <v>33</v>
      </c>
      <c r="N3794" t="s">
        <v>33</v>
      </c>
      <c r="O3794" t="s">
        <v>33</v>
      </c>
      <c r="P3794" t="s">
        <v>213</v>
      </c>
      <c r="Q3794" t="s">
        <v>2111</v>
      </c>
      <c r="S3794" t="s">
        <v>30</v>
      </c>
      <c r="T3794" t="s">
        <v>3240</v>
      </c>
      <c r="U3794" t="s">
        <v>3241</v>
      </c>
      <c r="V3794" t="s">
        <v>39</v>
      </c>
      <c r="W3794" s="1">
        <v>2</v>
      </c>
    </row>
    <row r="3795" spans="1:23" x14ac:dyDescent="0.2">
      <c r="A3795" t="s">
        <v>2096</v>
      </c>
      <c r="B3795" t="s">
        <v>2097</v>
      </c>
      <c r="C3795" t="s">
        <v>3190</v>
      </c>
      <c r="D3795" t="s">
        <v>3204</v>
      </c>
      <c r="E3795" t="s">
        <v>3205</v>
      </c>
      <c r="F3795" t="s">
        <v>3206</v>
      </c>
      <c r="G3795" t="s">
        <v>127</v>
      </c>
      <c r="H3795" t="s">
        <v>52</v>
      </c>
      <c r="I3795" t="s">
        <v>30</v>
      </c>
      <c r="J3795" t="s">
        <v>41</v>
      </c>
      <c r="K3795" t="s">
        <v>32</v>
      </c>
      <c r="L3795" t="s">
        <v>32</v>
      </c>
      <c r="M3795" t="s">
        <v>33</v>
      </c>
      <c r="N3795" t="s">
        <v>33</v>
      </c>
      <c r="O3795" t="s">
        <v>33</v>
      </c>
      <c r="P3795" t="s">
        <v>213</v>
      </c>
      <c r="Q3795" t="s">
        <v>2111</v>
      </c>
      <c r="S3795" t="s">
        <v>30</v>
      </c>
      <c r="T3795" t="s">
        <v>3240</v>
      </c>
      <c r="U3795" t="s">
        <v>3241</v>
      </c>
      <c r="V3795" t="s">
        <v>40</v>
      </c>
      <c r="W3795" s="1">
        <v>2539800</v>
      </c>
    </row>
    <row r="3796" spans="1:23" x14ac:dyDescent="0.2">
      <c r="A3796" t="s">
        <v>2096</v>
      </c>
      <c r="B3796" t="s">
        <v>2097</v>
      </c>
      <c r="C3796" t="s">
        <v>3190</v>
      </c>
      <c r="D3796" t="s">
        <v>3204</v>
      </c>
      <c r="E3796" t="s">
        <v>3205</v>
      </c>
      <c r="F3796" t="s">
        <v>3206</v>
      </c>
      <c r="G3796" t="s">
        <v>127</v>
      </c>
      <c r="H3796" t="s">
        <v>52</v>
      </c>
      <c r="I3796" t="s">
        <v>30</v>
      </c>
      <c r="J3796" t="s">
        <v>41</v>
      </c>
      <c r="K3796" t="s">
        <v>32</v>
      </c>
      <c r="L3796" t="s">
        <v>32</v>
      </c>
      <c r="M3796" t="s">
        <v>33</v>
      </c>
      <c r="P3796" t="s">
        <v>213</v>
      </c>
      <c r="Q3796" t="s">
        <v>2111</v>
      </c>
      <c r="S3796" t="s">
        <v>30</v>
      </c>
      <c r="T3796" t="s">
        <v>3240</v>
      </c>
      <c r="U3796" t="s">
        <v>3241</v>
      </c>
      <c r="V3796" t="s">
        <v>39</v>
      </c>
      <c r="W3796" s="1">
        <v>3</v>
      </c>
    </row>
    <row r="3797" spans="1:23" x14ac:dyDescent="0.2">
      <c r="A3797" t="s">
        <v>2096</v>
      </c>
      <c r="B3797" t="s">
        <v>2097</v>
      </c>
      <c r="C3797" t="s">
        <v>3190</v>
      </c>
      <c r="D3797" t="s">
        <v>3204</v>
      </c>
      <c r="E3797" t="s">
        <v>3205</v>
      </c>
      <c r="F3797" t="s">
        <v>3206</v>
      </c>
      <c r="G3797" t="s">
        <v>127</v>
      </c>
      <c r="H3797" t="s">
        <v>52</v>
      </c>
      <c r="I3797" t="s">
        <v>30</v>
      </c>
      <c r="J3797" t="s">
        <v>41</v>
      </c>
      <c r="K3797" t="s">
        <v>32</v>
      </c>
      <c r="L3797" t="s">
        <v>32</v>
      </c>
      <c r="M3797" t="s">
        <v>33</v>
      </c>
      <c r="P3797" t="s">
        <v>213</v>
      </c>
      <c r="Q3797" t="s">
        <v>2111</v>
      </c>
      <c r="S3797" t="s">
        <v>30</v>
      </c>
      <c r="T3797" t="s">
        <v>3240</v>
      </c>
      <c r="U3797" t="s">
        <v>3241</v>
      </c>
      <c r="V3797" t="s">
        <v>40</v>
      </c>
      <c r="W3797" s="1">
        <v>3809700</v>
      </c>
    </row>
    <row r="3798" spans="1:23" x14ac:dyDescent="0.2">
      <c r="A3798" t="s">
        <v>2096</v>
      </c>
      <c r="B3798" t="s">
        <v>2097</v>
      </c>
      <c r="C3798" t="s">
        <v>3190</v>
      </c>
      <c r="D3798" t="s">
        <v>3204</v>
      </c>
      <c r="E3798" t="s">
        <v>3205</v>
      </c>
      <c r="F3798" t="s">
        <v>3206</v>
      </c>
      <c r="G3798" t="s">
        <v>139</v>
      </c>
      <c r="H3798" t="s">
        <v>30</v>
      </c>
      <c r="I3798" t="s">
        <v>30</v>
      </c>
      <c r="J3798" t="s">
        <v>31</v>
      </c>
      <c r="K3798" t="s">
        <v>32</v>
      </c>
      <c r="L3798" t="s">
        <v>32</v>
      </c>
      <c r="M3798" t="s">
        <v>33</v>
      </c>
      <c r="N3798" t="s">
        <v>33</v>
      </c>
      <c r="O3798" t="s">
        <v>33</v>
      </c>
      <c r="P3798" t="s">
        <v>213</v>
      </c>
      <c r="Q3798" t="s">
        <v>2111</v>
      </c>
      <c r="S3798" t="s">
        <v>30</v>
      </c>
      <c r="T3798" t="s">
        <v>3242</v>
      </c>
      <c r="U3798" t="s">
        <v>3243</v>
      </c>
      <c r="V3798" t="s">
        <v>39</v>
      </c>
      <c r="W3798" s="1">
        <v>2</v>
      </c>
    </row>
    <row r="3799" spans="1:23" x14ac:dyDescent="0.2">
      <c r="A3799" t="s">
        <v>2096</v>
      </c>
      <c r="B3799" t="s">
        <v>2097</v>
      </c>
      <c r="C3799" t="s">
        <v>3190</v>
      </c>
      <c r="D3799" t="s">
        <v>3204</v>
      </c>
      <c r="E3799" t="s">
        <v>3205</v>
      </c>
      <c r="F3799" t="s">
        <v>3206</v>
      </c>
      <c r="G3799" t="s">
        <v>139</v>
      </c>
      <c r="H3799" t="s">
        <v>30</v>
      </c>
      <c r="I3799" t="s">
        <v>30</v>
      </c>
      <c r="J3799" t="s">
        <v>31</v>
      </c>
      <c r="K3799" t="s">
        <v>32</v>
      </c>
      <c r="L3799" t="s">
        <v>32</v>
      </c>
      <c r="M3799" t="s">
        <v>33</v>
      </c>
      <c r="N3799" t="s">
        <v>33</v>
      </c>
      <c r="O3799" t="s">
        <v>33</v>
      </c>
      <c r="P3799" t="s">
        <v>213</v>
      </c>
      <c r="Q3799" t="s">
        <v>2111</v>
      </c>
      <c r="S3799" t="s">
        <v>30</v>
      </c>
      <c r="T3799" t="s">
        <v>3242</v>
      </c>
      <c r="U3799" t="s">
        <v>3243</v>
      </c>
      <c r="V3799" t="s">
        <v>40</v>
      </c>
      <c r="W3799" s="1">
        <v>1099800</v>
      </c>
    </row>
    <row r="3800" spans="1:23" x14ac:dyDescent="0.2">
      <c r="A3800" t="s">
        <v>2096</v>
      </c>
      <c r="B3800" t="s">
        <v>2097</v>
      </c>
      <c r="C3800" t="s">
        <v>3190</v>
      </c>
      <c r="D3800" t="s">
        <v>3204</v>
      </c>
      <c r="E3800" t="s">
        <v>3205</v>
      </c>
      <c r="F3800" t="s">
        <v>3206</v>
      </c>
      <c r="G3800" t="s">
        <v>139</v>
      </c>
      <c r="H3800" t="s">
        <v>30</v>
      </c>
      <c r="I3800" t="s">
        <v>30</v>
      </c>
      <c r="J3800" t="s">
        <v>31</v>
      </c>
      <c r="K3800" t="s">
        <v>32</v>
      </c>
      <c r="L3800" t="s">
        <v>32</v>
      </c>
      <c r="M3800" t="s">
        <v>33</v>
      </c>
      <c r="N3800" t="s">
        <v>33</v>
      </c>
      <c r="O3800" t="s">
        <v>33</v>
      </c>
      <c r="P3800" t="s">
        <v>34</v>
      </c>
      <c r="Q3800" t="s">
        <v>35</v>
      </c>
      <c r="S3800" t="s">
        <v>30</v>
      </c>
      <c r="T3800" t="s">
        <v>3244</v>
      </c>
      <c r="U3800" t="s">
        <v>3245</v>
      </c>
      <c r="V3800" t="s">
        <v>39</v>
      </c>
      <c r="W3800" s="1">
        <v>2</v>
      </c>
    </row>
    <row r="3801" spans="1:23" x14ac:dyDescent="0.2">
      <c r="A3801" t="s">
        <v>2096</v>
      </c>
      <c r="B3801" t="s">
        <v>2097</v>
      </c>
      <c r="C3801" t="s">
        <v>3190</v>
      </c>
      <c r="D3801" t="s">
        <v>3204</v>
      </c>
      <c r="E3801" t="s">
        <v>3205</v>
      </c>
      <c r="F3801" t="s">
        <v>3206</v>
      </c>
      <c r="G3801" t="s">
        <v>139</v>
      </c>
      <c r="H3801" t="s">
        <v>30</v>
      </c>
      <c r="I3801" t="s">
        <v>30</v>
      </c>
      <c r="J3801" t="s">
        <v>31</v>
      </c>
      <c r="K3801" t="s">
        <v>32</v>
      </c>
      <c r="L3801" t="s">
        <v>32</v>
      </c>
      <c r="M3801" t="s">
        <v>33</v>
      </c>
      <c r="N3801" t="s">
        <v>33</v>
      </c>
      <c r="O3801" t="s">
        <v>33</v>
      </c>
      <c r="P3801" t="s">
        <v>34</v>
      </c>
      <c r="Q3801" t="s">
        <v>35</v>
      </c>
      <c r="S3801" t="s">
        <v>30</v>
      </c>
      <c r="T3801" t="s">
        <v>3244</v>
      </c>
      <c r="U3801" t="s">
        <v>3245</v>
      </c>
      <c r="V3801" t="s">
        <v>40</v>
      </c>
      <c r="W3801" s="1">
        <v>1153800</v>
      </c>
    </row>
    <row r="3802" spans="1:23" x14ac:dyDescent="0.2">
      <c r="A3802" t="s">
        <v>2096</v>
      </c>
      <c r="B3802" t="s">
        <v>2097</v>
      </c>
      <c r="C3802" t="s">
        <v>3190</v>
      </c>
      <c r="D3802" t="s">
        <v>3204</v>
      </c>
      <c r="E3802" t="s">
        <v>3205</v>
      </c>
      <c r="F3802" t="s">
        <v>3206</v>
      </c>
      <c r="G3802" t="s">
        <v>139</v>
      </c>
      <c r="H3802" t="s">
        <v>30</v>
      </c>
      <c r="I3802" t="s">
        <v>30</v>
      </c>
      <c r="J3802" t="s">
        <v>41</v>
      </c>
      <c r="K3802" t="s">
        <v>32</v>
      </c>
      <c r="L3802" t="s">
        <v>32</v>
      </c>
      <c r="M3802" t="s">
        <v>33</v>
      </c>
      <c r="N3802" t="s">
        <v>33</v>
      </c>
      <c r="O3802" t="s">
        <v>33</v>
      </c>
      <c r="P3802" t="s">
        <v>213</v>
      </c>
      <c r="Q3802" t="s">
        <v>2111</v>
      </c>
      <c r="S3802" t="s">
        <v>30</v>
      </c>
      <c r="T3802" t="s">
        <v>1383</v>
      </c>
      <c r="U3802" t="s">
        <v>3246</v>
      </c>
      <c r="V3802" t="s">
        <v>39</v>
      </c>
      <c r="W3802" s="1">
        <v>3</v>
      </c>
    </row>
    <row r="3803" spans="1:23" x14ac:dyDescent="0.2">
      <c r="A3803" t="s">
        <v>2096</v>
      </c>
      <c r="B3803" t="s">
        <v>2097</v>
      </c>
      <c r="C3803" t="s">
        <v>3190</v>
      </c>
      <c r="D3803" t="s">
        <v>3204</v>
      </c>
      <c r="E3803" t="s">
        <v>3205</v>
      </c>
      <c r="F3803" t="s">
        <v>3206</v>
      </c>
      <c r="G3803" t="s">
        <v>139</v>
      </c>
      <c r="H3803" t="s">
        <v>30</v>
      </c>
      <c r="I3803" t="s">
        <v>30</v>
      </c>
      <c r="J3803" t="s">
        <v>41</v>
      </c>
      <c r="K3803" t="s">
        <v>32</v>
      </c>
      <c r="L3803" t="s">
        <v>32</v>
      </c>
      <c r="M3803" t="s">
        <v>33</v>
      </c>
      <c r="N3803" t="s">
        <v>33</v>
      </c>
      <c r="O3803" t="s">
        <v>33</v>
      </c>
      <c r="P3803" t="s">
        <v>213</v>
      </c>
      <c r="Q3803" t="s">
        <v>2111</v>
      </c>
      <c r="S3803" t="s">
        <v>30</v>
      </c>
      <c r="T3803" t="s">
        <v>1383</v>
      </c>
      <c r="U3803" t="s">
        <v>3246</v>
      </c>
      <c r="V3803" t="s">
        <v>40</v>
      </c>
      <c r="W3803" s="1">
        <v>2670000</v>
      </c>
    </row>
    <row r="3804" spans="1:23" x14ac:dyDescent="0.2">
      <c r="A3804" t="s">
        <v>2096</v>
      </c>
      <c r="B3804" t="s">
        <v>2097</v>
      </c>
      <c r="C3804" t="s">
        <v>3190</v>
      </c>
      <c r="D3804" t="s">
        <v>3204</v>
      </c>
      <c r="E3804" t="s">
        <v>3205</v>
      </c>
      <c r="F3804" t="s">
        <v>3206</v>
      </c>
      <c r="G3804" t="s">
        <v>139</v>
      </c>
      <c r="H3804" t="s">
        <v>30</v>
      </c>
      <c r="I3804" t="s">
        <v>30</v>
      </c>
      <c r="J3804" t="s">
        <v>57</v>
      </c>
      <c r="K3804" t="s">
        <v>32</v>
      </c>
      <c r="L3804" t="s">
        <v>32</v>
      </c>
      <c r="M3804" t="s">
        <v>33</v>
      </c>
      <c r="N3804" t="s">
        <v>33</v>
      </c>
      <c r="O3804" t="s">
        <v>33</v>
      </c>
      <c r="P3804" t="s">
        <v>34</v>
      </c>
      <c r="Q3804" t="s">
        <v>35</v>
      </c>
      <c r="S3804" t="s">
        <v>30</v>
      </c>
      <c r="T3804" t="s">
        <v>3247</v>
      </c>
      <c r="U3804" t="s">
        <v>3248</v>
      </c>
      <c r="V3804" t="s">
        <v>39</v>
      </c>
      <c r="W3804" s="1">
        <v>3</v>
      </c>
    </row>
    <row r="3805" spans="1:23" x14ac:dyDescent="0.2">
      <c r="A3805" t="s">
        <v>2096</v>
      </c>
      <c r="B3805" t="s">
        <v>2097</v>
      </c>
      <c r="C3805" t="s">
        <v>3190</v>
      </c>
      <c r="D3805" t="s">
        <v>3204</v>
      </c>
      <c r="E3805" t="s">
        <v>3205</v>
      </c>
      <c r="F3805" t="s">
        <v>3206</v>
      </c>
      <c r="G3805" t="s">
        <v>139</v>
      </c>
      <c r="H3805" t="s">
        <v>30</v>
      </c>
      <c r="I3805" t="s">
        <v>30</v>
      </c>
      <c r="J3805" t="s">
        <v>57</v>
      </c>
      <c r="K3805" t="s">
        <v>32</v>
      </c>
      <c r="L3805" t="s">
        <v>32</v>
      </c>
      <c r="M3805" t="s">
        <v>33</v>
      </c>
      <c r="N3805" t="s">
        <v>33</v>
      </c>
      <c r="O3805" t="s">
        <v>33</v>
      </c>
      <c r="P3805" t="s">
        <v>34</v>
      </c>
      <c r="Q3805" t="s">
        <v>35</v>
      </c>
      <c r="S3805" t="s">
        <v>30</v>
      </c>
      <c r="T3805" t="s">
        <v>3247</v>
      </c>
      <c r="U3805" t="s">
        <v>3248</v>
      </c>
      <c r="V3805" t="s">
        <v>40</v>
      </c>
      <c r="W3805" s="1">
        <v>1739700</v>
      </c>
    </row>
    <row r="3806" spans="1:23" x14ac:dyDescent="0.2">
      <c r="A3806" t="s">
        <v>2096</v>
      </c>
      <c r="B3806" t="s">
        <v>2097</v>
      </c>
      <c r="C3806" t="s">
        <v>3190</v>
      </c>
      <c r="D3806" t="s">
        <v>3204</v>
      </c>
      <c r="E3806" t="s">
        <v>3205</v>
      </c>
      <c r="F3806" t="s">
        <v>3206</v>
      </c>
      <c r="G3806" t="s">
        <v>139</v>
      </c>
      <c r="H3806" t="s">
        <v>30</v>
      </c>
      <c r="I3806" t="s">
        <v>30</v>
      </c>
      <c r="J3806" t="s">
        <v>57</v>
      </c>
      <c r="K3806" t="s">
        <v>32</v>
      </c>
      <c r="L3806" t="s">
        <v>32</v>
      </c>
      <c r="M3806" t="s">
        <v>33</v>
      </c>
      <c r="P3806" t="s">
        <v>34</v>
      </c>
      <c r="Q3806" t="s">
        <v>35</v>
      </c>
      <c r="S3806" t="s">
        <v>30</v>
      </c>
      <c r="T3806" t="s">
        <v>3247</v>
      </c>
      <c r="U3806" t="s">
        <v>3248</v>
      </c>
      <c r="V3806" t="s">
        <v>39</v>
      </c>
      <c r="W3806" s="1">
        <v>1</v>
      </c>
    </row>
    <row r="3807" spans="1:23" x14ac:dyDescent="0.2">
      <c r="A3807" t="s">
        <v>2096</v>
      </c>
      <c r="B3807" t="s">
        <v>2097</v>
      </c>
      <c r="C3807" t="s">
        <v>3190</v>
      </c>
      <c r="D3807" t="s">
        <v>3204</v>
      </c>
      <c r="E3807" t="s">
        <v>3205</v>
      </c>
      <c r="F3807" t="s">
        <v>3206</v>
      </c>
      <c r="G3807" t="s">
        <v>139</v>
      </c>
      <c r="H3807" t="s">
        <v>30</v>
      </c>
      <c r="I3807" t="s">
        <v>30</v>
      </c>
      <c r="J3807" t="s">
        <v>57</v>
      </c>
      <c r="K3807" t="s">
        <v>32</v>
      </c>
      <c r="L3807" t="s">
        <v>32</v>
      </c>
      <c r="M3807" t="s">
        <v>33</v>
      </c>
      <c r="P3807" t="s">
        <v>34</v>
      </c>
      <c r="Q3807" t="s">
        <v>35</v>
      </c>
      <c r="S3807" t="s">
        <v>30</v>
      </c>
      <c r="T3807" t="s">
        <v>3247</v>
      </c>
      <c r="U3807" t="s">
        <v>3248</v>
      </c>
      <c r="V3807" t="s">
        <v>40</v>
      </c>
      <c r="W3807" s="1">
        <v>579900</v>
      </c>
    </row>
    <row r="3808" spans="1:23" x14ac:dyDescent="0.2">
      <c r="A3808" t="s">
        <v>2096</v>
      </c>
      <c r="B3808" t="s">
        <v>2097</v>
      </c>
      <c r="C3808" t="s">
        <v>3190</v>
      </c>
      <c r="D3808" t="s">
        <v>3204</v>
      </c>
      <c r="E3808" t="s">
        <v>3249</v>
      </c>
      <c r="F3808" t="s">
        <v>3250</v>
      </c>
      <c r="G3808" t="s">
        <v>29</v>
      </c>
      <c r="H3808" t="s">
        <v>30</v>
      </c>
      <c r="I3808" t="s">
        <v>30</v>
      </c>
      <c r="J3808" t="s">
        <v>31</v>
      </c>
      <c r="K3808" t="s">
        <v>32</v>
      </c>
      <c r="L3808" t="s">
        <v>32</v>
      </c>
      <c r="M3808" t="s">
        <v>33</v>
      </c>
      <c r="N3808" t="s">
        <v>33</v>
      </c>
      <c r="O3808" t="s">
        <v>33</v>
      </c>
      <c r="P3808" t="s">
        <v>34</v>
      </c>
      <c r="Q3808" t="s">
        <v>35</v>
      </c>
      <c r="S3808" t="s">
        <v>30</v>
      </c>
      <c r="T3808" t="s">
        <v>3251</v>
      </c>
      <c r="U3808" t="s">
        <v>3252</v>
      </c>
      <c r="V3808" t="s">
        <v>39</v>
      </c>
      <c r="W3808" s="1">
        <v>4</v>
      </c>
    </row>
    <row r="3809" spans="1:23" x14ac:dyDescent="0.2">
      <c r="A3809" t="s">
        <v>2096</v>
      </c>
      <c r="B3809" t="s">
        <v>2097</v>
      </c>
      <c r="C3809" t="s">
        <v>3190</v>
      </c>
      <c r="D3809" t="s">
        <v>3204</v>
      </c>
      <c r="E3809" t="s">
        <v>3249</v>
      </c>
      <c r="F3809" t="s">
        <v>3250</v>
      </c>
      <c r="G3809" t="s">
        <v>29</v>
      </c>
      <c r="H3809" t="s">
        <v>30</v>
      </c>
      <c r="I3809" t="s">
        <v>30</v>
      </c>
      <c r="J3809" t="s">
        <v>31</v>
      </c>
      <c r="K3809" t="s">
        <v>32</v>
      </c>
      <c r="L3809" t="s">
        <v>32</v>
      </c>
      <c r="M3809" t="s">
        <v>33</v>
      </c>
      <c r="N3809" t="s">
        <v>33</v>
      </c>
      <c r="O3809" t="s">
        <v>33</v>
      </c>
      <c r="P3809" t="s">
        <v>34</v>
      </c>
      <c r="Q3809" t="s">
        <v>35</v>
      </c>
      <c r="S3809" t="s">
        <v>30</v>
      </c>
      <c r="T3809" t="s">
        <v>3251</v>
      </c>
      <c r="U3809" t="s">
        <v>3252</v>
      </c>
      <c r="V3809" t="s">
        <v>40</v>
      </c>
      <c r="W3809" s="1">
        <v>4651600</v>
      </c>
    </row>
    <row r="3810" spans="1:23" x14ac:dyDescent="0.2">
      <c r="A3810" t="s">
        <v>2096</v>
      </c>
      <c r="B3810" t="s">
        <v>2097</v>
      </c>
      <c r="C3810" t="s">
        <v>3190</v>
      </c>
      <c r="D3810" t="s">
        <v>3204</v>
      </c>
      <c r="E3810" t="s">
        <v>3249</v>
      </c>
      <c r="F3810" t="s">
        <v>3250</v>
      </c>
      <c r="G3810" t="s">
        <v>29</v>
      </c>
      <c r="H3810" t="s">
        <v>30</v>
      </c>
      <c r="I3810" t="s">
        <v>30</v>
      </c>
      <c r="J3810" t="s">
        <v>31</v>
      </c>
      <c r="K3810" t="s">
        <v>32</v>
      </c>
      <c r="L3810" t="s">
        <v>32</v>
      </c>
      <c r="M3810" t="s">
        <v>33</v>
      </c>
      <c r="P3810" t="s">
        <v>34</v>
      </c>
      <c r="Q3810" t="s">
        <v>35</v>
      </c>
      <c r="R3810" t="s">
        <v>173</v>
      </c>
      <c r="S3810" t="s">
        <v>52</v>
      </c>
      <c r="T3810" t="s">
        <v>3253</v>
      </c>
      <c r="U3810" t="s">
        <v>3254</v>
      </c>
      <c r="V3810" t="s">
        <v>39</v>
      </c>
      <c r="W3810" s="1">
        <v>0</v>
      </c>
    </row>
    <row r="3811" spans="1:23" x14ac:dyDescent="0.2">
      <c r="A3811" t="s">
        <v>2096</v>
      </c>
      <c r="B3811" t="s">
        <v>2097</v>
      </c>
      <c r="C3811" t="s">
        <v>3190</v>
      </c>
      <c r="D3811" t="s">
        <v>3204</v>
      </c>
      <c r="E3811" t="s">
        <v>3249</v>
      </c>
      <c r="F3811" t="s">
        <v>3250</v>
      </c>
      <c r="G3811" t="s">
        <v>29</v>
      </c>
      <c r="H3811" t="s">
        <v>30</v>
      </c>
      <c r="I3811" t="s">
        <v>30</v>
      </c>
      <c r="J3811" t="s">
        <v>31</v>
      </c>
      <c r="K3811" t="s">
        <v>32</v>
      </c>
      <c r="L3811" t="s">
        <v>32</v>
      </c>
      <c r="M3811" t="s">
        <v>33</v>
      </c>
      <c r="P3811" t="s">
        <v>34</v>
      </c>
      <c r="Q3811" t="s">
        <v>35</v>
      </c>
      <c r="R3811" t="s">
        <v>173</v>
      </c>
      <c r="S3811" t="s">
        <v>52</v>
      </c>
      <c r="T3811" t="s">
        <v>3253</v>
      </c>
      <c r="U3811" t="s">
        <v>3254</v>
      </c>
      <c r="V3811" t="s">
        <v>40</v>
      </c>
      <c r="W3811" s="1">
        <v>1899800</v>
      </c>
    </row>
    <row r="3812" spans="1:23" x14ac:dyDescent="0.2">
      <c r="A3812" t="s">
        <v>2096</v>
      </c>
      <c r="B3812" t="s">
        <v>2097</v>
      </c>
      <c r="C3812" t="s">
        <v>3190</v>
      </c>
      <c r="D3812" t="s">
        <v>3204</v>
      </c>
      <c r="E3812" t="s">
        <v>3249</v>
      </c>
      <c r="F3812" t="s">
        <v>3250</v>
      </c>
      <c r="G3812" t="s">
        <v>29</v>
      </c>
      <c r="H3812" t="s">
        <v>30</v>
      </c>
      <c r="I3812" t="s">
        <v>30</v>
      </c>
      <c r="J3812" t="s">
        <v>31</v>
      </c>
      <c r="K3812" t="s">
        <v>32</v>
      </c>
      <c r="L3812" t="s">
        <v>32</v>
      </c>
      <c r="M3812" t="s">
        <v>176</v>
      </c>
      <c r="P3812" t="s">
        <v>34</v>
      </c>
      <c r="Q3812" t="s">
        <v>35</v>
      </c>
      <c r="R3812" t="s">
        <v>173</v>
      </c>
      <c r="S3812" t="s">
        <v>52</v>
      </c>
      <c r="T3812" t="s">
        <v>3253</v>
      </c>
      <c r="U3812" t="s">
        <v>3254</v>
      </c>
      <c r="V3812" t="s">
        <v>39</v>
      </c>
      <c r="W3812" s="1">
        <v>0</v>
      </c>
    </row>
    <row r="3813" spans="1:23" x14ac:dyDescent="0.2">
      <c r="A3813" t="s">
        <v>2096</v>
      </c>
      <c r="B3813" t="s">
        <v>2097</v>
      </c>
      <c r="C3813" t="s">
        <v>3190</v>
      </c>
      <c r="D3813" t="s">
        <v>3204</v>
      </c>
      <c r="E3813" t="s">
        <v>3249</v>
      </c>
      <c r="F3813" t="s">
        <v>3250</v>
      </c>
      <c r="G3813" t="s">
        <v>29</v>
      </c>
      <c r="H3813" t="s">
        <v>30</v>
      </c>
      <c r="I3813" t="s">
        <v>30</v>
      </c>
      <c r="J3813" t="s">
        <v>31</v>
      </c>
      <c r="K3813" t="s">
        <v>32</v>
      </c>
      <c r="L3813" t="s">
        <v>32</v>
      </c>
      <c r="M3813" t="s">
        <v>176</v>
      </c>
      <c r="P3813" t="s">
        <v>34</v>
      </c>
      <c r="Q3813" t="s">
        <v>35</v>
      </c>
      <c r="R3813" t="s">
        <v>173</v>
      </c>
      <c r="S3813" t="s">
        <v>52</v>
      </c>
      <c r="T3813" t="s">
        <v>3253</v>
      </c>
      <c r="U3813" t="s">
        <v>3254</v>
      </c>
      <c r="V3813" t="s">
        <v>40</v>
      </c>
      <c r="W3813" s="1">
        <v>2849700</v>
      </c>
    </row>
    <row r="3814" spans="1:23" x14ac:dyDescent="0.2">
      <c r="A3814" t="s">
        <v>2096</v>
      </c>
      <c r="B3814" t="s">
        <v>2097</v>
      </c>
      <c r="C3814" t="s">
        <v>3190</v>
      </c>
      <c r="D3814" t="s">
        <v>3204</v>
      </c>
      <c r="E3814" t="s">
        <v>3249</v>
      </c>
      <c r="F3814" t="s">
        <v>3250</v>
      </c>
      <c r="G3814" t="s">
        <v>49</v>
      </c>
      <c r="H3814" t="s">
        <v>30</v>
      </c>
      <c r="I3814" t="s">
        <v>30</v>
      </c>
      <c r="J3814" t="s">
        <v>31</v>
      </c>
      <c r="K3814" t="s">
        <v>32</v>
      </c>
      <c r="L3814" t="s">
        <v>32</v>
      </c>
      <c r="M3814" t="s">
        <v>33</v>
      </c>
      <c r="N3814" t="s">
        <v>33</v>
      </c>
      <c r="O3814" t="s">
        <v>33</v>
      </c>
      <c r="P3814" t="s">
        <v>34</v>
      </c>
      <c r="Q3814" t="s">
        <v>35</v>
      </c>
      <c r="S3814" t="s">
        <v>30</v>
      </c>
      <c r="T3814" t="s">
        <v>3255</v>
      </c>
      <c r="U3814" t="s">
        <v>3256</v>
      </c>
      <c r="V3814" t="s">
        <v>39</v>
      </c>
      <c r="W3814" s="1">
        <v>3</v>
      </c>
    </row>
    <row r="3815" spans="1:23" x14ac:dyDescent="0.2">
      <c r="A3815" t="s">
        <v>2096</v>
      </c>
      <c r="B3815" t="s">
        <v>2097</v>
      </c>
      <c r="C3815" t="s">
        <v>3190</v>
      </c>
      <c r="D3815" t="s">
        <v>3204</v>
      </c>
      <c r="E3815" t="s">
        <v>3249</v>
      </c>
      <c r="F3815" t="s">
        <v>3250</v>
      </c>
      <c r="G3815" t="s">
        <v>49</v>
      </c>
      <c r="H3815" t="s">
        <v>30</v>
      </c>
      <c r="I3815" t="s">
        <v>30</v>
      </c>
      <c r="J3815" t="s">
        <v>31</v>
      </c>
      <c r="K3815" t="s">
        <v>32</v>
      </c>
      <c r="L3815" t="s">
        <v>32</v>
      </c>
      <c r="M3815" t="s">
        <v>33</v>
      </c>
      <c r="N3815" t="s">
        <v>33</v>
      </c>
      <c r="O3815" t="s">
        <v>33</v>
      </c>
      <c r="P3815" t="s">
        <v>34</v>
      </c>
      <c r="Q3815" t="s">
        <v>35</v>
      </c>
      <c r="S3815" t="s">
        <v>30</v>
      </c>
      <c r="T3815" t="s">
        <v>3255</v>
      </c>
      <c r="U3815" t="s">
        <v>3256</v>
      </c>
      <c r="V3815" t="s">
        <v>40</v>
      </c>
      <c r="W3815" s="1">
        <v>2429700</v>
      </c>
    </row>
    <row r="3816" spans="1:23" x14ac:dyDescent="0.2">
      <c r="A3816" t="s">
        <v>2096</v>
      </c>
      <c r="B3816" t="s">
        <v>2097</v>
      </c>
      <c r="C3816" t="s">
        <v>3190</v>
      </c>
      <c r="D3816" t="s">
        <v>3204</v>
      </c>
      <c r="E3816" t="s">
        <v>3249</v>
      </c>
      <c r="F3816" t="s">
        <v>3250</v>
      </c>
      <c r="G3816" t="s">
        <v>49</v>
      </c>
      <c r="H3816" t="s">
        <v>30</v>
      </c>
      <c r="I3816" t="s">
        <v>30</v>
      </c>
      <c r="J3816" t="s">
        <v>41</v>
      </c>
      <c r="K3816" t="s">
        <v>32</v>
      </c>
      <c r="L3816" t="s">
        <v>32</v>
      </c>
      <c r="M3816" t="s">
        <v>33</v>
      </c>
      <c r="N3816" t="s">
        <v>33</v>
      </c>
      <c r="O3816" t="s">
        <v>33</v>
      </c>
      <c r="P3816" t="s">
        <v>34</v>
      </c>
      <c r="Q3816" t="s">
        <v>35</v>
      </c>
      <c r="S3816" t="s">
        <v>30</v>
      </c>
      <c r="T3816" t="s">
        <v>3257</v>
      </c>
      <c r="U3816" t="s">
        <v>3258</v>
      </c>
      <c r="V3816" t="s">
        <v>39</v>
      </c>
      <c r="W3816" s="1">
        <v>2</v>
      </c>
    </row>
    <row r="3817" spans="1:23" x14ac:dyDescent="0.2">
      <c r="A3817" t="s">
        <v>2096</v>
      </c>
      <c r="B3817" t="s">
        <v>2097</v>
      </c>
      <c r="C3817" t="s">
        <v>3190</v>
      </c>
      <c r="D3817" t="s">
        <v>3204</v>
      </c>
      <c r="E3817" t="s">
        <v>3249</v>
      </c>
      <c r="F3817" t="s">
        <v>3250</v>
      </c>
      <c r="G3817" t="s">
        <v>49</v>
      </c>
      <c r="H3817" t="s">
        <v>30</v>
      </c>
      <c r="I3817" t="s">
        <v>30</v>
      </c>
      <c r="J3817" t="s">
        <v>41</v>
      </c>
      <c r="K3817" t="s">
        <v>32</v>
      </c>
      <c r="L3817" t="s">
        <v>32</v>
      </c>
      <c r="M3817" t="s">
        <v>33</v>
      </c>
      <c r="N3817" t="s">
        <v>33</v>
      </c>
      <c r="O3817" t="s">
        <v>33</v>
      </c>
      <c r="P3817" t="s">
        <v>34</v>
      </c>
      <c r="Q3817" t="s">
        <v>35</v>
      </c>
      <c r="S3817" t="s">
        <v>30</v>
      </c>
      <c r="T3817" t="s">
        <v>3257</v>
      </c>
      <c r="U3817" t="s">
        <v>3258</v>
      </c>
      <c r="V3817" t="s">
        <v>40</v>
      </c>
      <c r="W3817" s="1">
        <v>3799800</v>
      </c>
    </row>
    <row r="3818" spans="1:23" x14ac:dyDescent="0.2">
      <c r="A3818" t="s">
        <v>2096</v>
      </c>
      <c r="B3818" t="s">
        <v>2097</v>
      </c>
      <c r="C3818" t="s">
        <v>3190</v>
      </c>
      <c r="D3818" t="s">
        <v>3204</v>
      </c>
      <c r="E3818" t="s">
        <v>3249</v>
      </c>
      <c r="F3818" t="s">
        <v>3250</v>
      </c>
      <c r="G3818" t="s">
        <v>61</v>
      </c>
      <c r="H3818" t="s">
        <v>52</v>
      </c>
      <c r="I3818" t="s">
        <v>52</v>
      </c>
      <c r="J3818" t="s">
        <v>41</v>
      </c>
      <c r="K3818" t="s">
        <v>32</v>
      </c>
      <c r="L3818" t="s">
        <v>32</v>
      </c>
      <c r="M3818" t="s">
        <v>33</v>
      </c>
      <c r="N3818" t="s">
        <v>33</v>
      </c>
      <c r="O3818" t="s">
        <v>33</v>
      </c>
      <c r="P3818" t="s">
        <v>34</v>
      </c>
      <c r="Q3818" t="s">
        <v>35</v>
      </c>
      <c r="S3818" t="s">
        <v>30</v>
      </c>
      <c r="T3818" t="s">
        <v>3259</v>
      </c>
      <c r="U3818" t="s">
        <v>3260</v>
      </c>
      <c r="V3818" t="s">
        <v>39</v>
      </c>
      <c r="W3818" s="1">
        <v>2</v>
      </c>
    </row>
    <row r="3819" spans="1:23" x14ac:dyDescent="0.2">
      <c r="A3819" t="s">
        <v>2096</v>
      </c>
      <c r="B3819" t="s">
        <v>2097</v>
      </c>
      <c r="C3819" t="s">
        <v>3190</v>
      </c>
      <c r="D3819" t="s">
        <v>3204</v>
      </c>
      <c r="E3819" t="s">
        <v>3249</v>
      </c>
      <c r="F3819" t="s">
        <v>3250</v>
      </c>
      <c r="G3819" t="s">
        <v>61</v>
      </c>
      <c r="H3819" t="s">
        <v>52</v>
      </c>
      <c r="I3819" t="s">
        <v>52</v>
      </c>
      <c r="J3819" t="s">
        <v>41</v>
      </c>
      <c r="K3819" t="s">
        <v>32</v>
      </c>
      <c r="L3819" t="s">
        <v>32</v>
      </c>
      <c r="M3819" t="s">
        <v>33</v>
      </c>
      <c r="N3819" t="s">
        <v>33</v>
      </c>
      <c r="O3819" t="s">
        <v>33</v>
      </c>
      <c r="P3819" t="s">
        <v>34</v>
      </c>
      <c r="Q3819" t="s">
        <v>35</v>
      </c>
      <c r="S3819" t="s">
        <v>30</v>
      </c>
      <c r="T3819" t="s">
        <v>3259</v>
      </c>
      <c r="U3819" t="s">
        <v>3260</v>
      </c>
      <c r="V3819" t="s">
        <v>40</v>
      </c>
      <c r="W3819" s="1">
        <v>2008000</v>
      </c>
    </row>
    <row r="3820" spans="1:23" x14ac:dyDescent="0.2">
      <c r="A3820" t="s">
        <v>2096</v>
      </c>
      <c r="B3820" t="s">
        <v>2097</v>
      </c>
      <c r="C3820" t="s">
        <v>3190</v>
      </c>
      <c r="D3820" t="s">
        <v>3204</v>
      </c>
      <c r="E3820" t="s">
        <v>3249</v>
      </c>
      <c r="F3820" t="s">
        <v>3250</v>
      </c>
      <c r="G3820" t="s">
        <v>61</v>
      </c>
      <c r="H3820" t="s">
        <v>52</v>
      </c>
      <c r="I3820" t="s">
        <v>52</v>
      </c>
      <c r="J3820" t="s">
        <v>41</v>
      </c>
      <c r="K3820" t="s">
        <v>32</v>
      </c>
      <c r="L3820" t="s">
        <v>32</v>
      </c>
      <c r="M3820" t="s">
        <v>33</v>
      </c>
      <c r="N3820" t="s">
        <v>176</v>
      </c>
      <c r="O3820" t="s">
        <v>176</v>
      </c>
      <c r="P3820" t="s">
        <v>34</v>
      </c>
      <c r="Q3820" t="s">
        <v>35</v>
      </c>
      <c r="S3820" t="s">
        <v>30</v>
      </c>
      <c r="T3820" t="s">
        <v>3259</v>
      </c>
      <c r="U3820" t="s">
        <v>3260</v>
      </c>
      <c r="V3820" t="s">
        <v>39</v>
      </c>
      <c r="W3820" s="1">
        <v>2</v>
      </c>
    </row>
    <row r="3821" spans="1:23" x14ac:dyDescent="0.2">
      <c r="A3821" t="s">
        <v>2096</v>
      </c>
      <c r="B3821" t="s">
        <v>2097</v>
      </c>
      <c r="C3821" t="s">
        <v>3190</v>
      </c>
      <c r="D3821" t="s">
        <v>3204</v>
      </c>
      <c r="E3821" t="s">
        <v>3249</v>
      </c>
      <c r="F3821" t="s">
        <v>3250</v>
      </c>
      <c r="G3821" t="s">
        <v>61</v>
      </c>
      <c r="H3821" t="s">
        <v>52</v>
      </c>
      <c r="I3821" t="s">
        <v>52</v>
      </c>
      <c r="J3821" t="s">
        <v>41</v>
      </c>
      <c r="K3821" t="s">
        <v>32</v>
      </c>
      <c r="L3821" t="s">
        <v>32</v>
      </c>
      <c r="M3821" t="s">
        <v>33</v>
      </c>
      <c r="N3821" t="s">
        <v>176</v>
      </c>
      <c r="O3821" t="s">
        <v>176</v>
      </c>
      <c r="P3821" t="s">
        <v>34</v>
      </c>
      <c r="Q3821" t="s">
        <v>35</v>
      </c>
      <c r="S3821" t="s">
        <v>30</v>
      </c>
      <c r="T3821" t="s">
        <v>3259</v>
      </c>
      <c r="U3821" t="s">
        <v>3260</v>
      </c>
      <c r="V3821" t="s">
        <v>40</v>
      </c>
      <c r="W3821" s="1">
        <v>2008000</v>
      </c>
    </row>
    <row r="3822" spans="1:23" x14ac:dyDescent="0.2">
      <c r="A3822" t="s">
        <v>2096</v>
      </c>
      <c r="B3822" t="s">
        <v>2097</v>
      </c>
      <c r="C3822" t="s">
        <v>3190</v>
      </c>
      <c r="D3822" t="s">
        <v>3204</v>
      </c>
      <c r="E3822" t="s">
        <v>3249</v>
      </c>
      <c r="F3822" t="s">
        <v>3250</v>
      </c>
      <c r="G3822" t="s">
        <v>61</v>
      </c>
      <c r="H3822" t="s">
        <v>52</v>
      </c>
      <c r="I3822" t="s">
        <v>52</v>
      </c>
      <c r="J3822" t="s">
        <v>41</v>
      </c>
      <c r="K3822" t="s">
        <v>32</v>
      </c>
      <c r="L3822" t="s">
        <v>32</v>
      </c>
      <c r="M3822" t="s">
        <v>33</v>
      </c>
      <c r="N3822" t="s">
        <v>169</v>
      </c>
      <c r="O3822" t="s">
        <v>169</v>
      </c>
      <c r="P3822" t="s">
        <v>34</v>
      </c>
      <c r="Q3822" t="s">
        <v>35</v>
      </c>
      <c r="S3822" t="s">
        <v>30</v>
      </c>
      <c r="T3822" t="s">
        <v>3259</v>
      </c>
      <c r="U3822" t="s">
        <v>3260</v>
      </c>
      <c r="V3822" t="s">
        <v>39</v>
      </c>
      <c r="W3822" s="1">
        <v>1</v>
      </c>
    </row>
    <row r="3823" spans="1:23" x14ac:dyDescent="0.2">
      <c r="A3823" t="s">
        <v>2096</v>
      </c>
      <c r="B3823" t="s">
        <v>2097</v>
      </c>
      <c r="C3823" t="s">
        <v>3190</v>
      </c>
      <c r="D3823" t="s">
        <v>3204</v>
      </c>
      <c r="E3823" t="s">
        <v>3249</v>
      </c>
      <c r="F3823" t="s">
        <v>3250</v>
      </c>
      <c r="G3823" t="s">
        <v>61</v>
      </c>
      <c r="H3823" t="s">
        <v>52</v>
      </c>
      <c r="I3823" t="s">
        <v>52</v>
      </c>
      <c r="J3823" t="s">
        <v>41</v>
      </c>
      <c r="K3823" t="s">
        <v>32</v>
      </c>
      <c r="L3823" t="s">
        <v>32</v>
      </c>
      <c r="M3823" t="s">
        <v>33</v>
      </c>
      <c r="N3823" t="s">
        <v>169</v>
      </c>
      <c r="O3823" t="s">
        <v>169</v>
      </c>
      <c r="P3823" t="s">
        <v>34</v>
      </c>
      <c r="Q3823" t="s">
        <v>35</v>
      </c>
      <c r="S3823" t="s">
        <v>30</v>
      </c>
      <c r="T3823" t="s">
        <v>3259</v>
      </c>
      <c r="U3823" t="s">
        <v>3260</v>
      </c>
      <c r="V3823" t="s">
        <v>40</v>
      </c>
      <c r="W3823" s="1">
        <v>1004000</v>
      </c>
    </row>
    <row r="3824" spans="1:23" x14ac:dyDescent="0.2">
      <c r="A3824" t="s">
        <v>2096</v>
      </c>
      <c r="B3824" t="s">
        <v>2097</v>
      </c>
      <c r="C3824" t="s">
        <v>3190</v>
      </c>
      <c r="D3824" t="s">
        <v>3204</v>
      </c>
      <c r="E3824" t="s">
        <v>3249</v>
      </c>
      <c r="F3824" t="s">
        <v>3250</v>
      </c>
      <c r="G3824" t="s">
        <v>67</v>
      </c>
      <c r="H3824" t="s">
        <v>30</v>
      </c>
      <c r="I3824" t="s">
        <v>30</v>
      </c>
      <c r="J3824" t="s">
        <v>31</v>
      </c>
      <c r="K3824" t="s">
        <v>32</v>
      </c>
      <c r="L3824" t="s">
        <v>32</v>
      </c>
      <c r="M3824" t="s">
        <v>33</v>
      </c>
      <c r="N3824" t="s">
        <v>33</v>
      </c>
      <c r="O3824" t="s">
        <v>33</v>
      </c>
      <c r="P3824" t="s">
        <v>34</v>
      </c>
      <c r="Q3824" t="s">
        <v>35</v>
      </c>
      <c r="R3824" t="s">
        <v>173</v>
      </c>
      <c r="S3824" t="s">
        <v>30</v>
      </c>
      <c r="T3824" t="s">
        <v>3253</v>
      </c>
      <c r="U3824" t="s">
        <v>3261</v>
      </c>
      <c r="V3824" t="s">
        <v>39</v>
      </c>
      <c r="W3824" s="1">
        <v>2</v>
      </c>
    </row>
    <row r="3825" spans="1:23" x14ac:dyDescent="0.2">
      <c r="A3825" t="s">
        <v>2096</v>
      </c>
      <c r="B3825" t="s">
        <v>2097</v>
      </c>
      <c r="C3825" t="s">
        <v>3190</v>
      </c>
      <c r="D3825" t="s">
        <v>3204</v>
      </c>
      <c r="E3825" t="s">
        <v>3249</v>
      </c>
      <c r="F3825" t="s">
        <v>3250</v>
      </c>
      <c r="G3825" t="s">
        <v>67</v>
      </c>
      <c r="H3825" t="s">
        <v>30</v>
      </c>
      <c r="I3825" t="s">
        <v>30</v>
      </c>
      <c r="J3825" t="s">
        <v>31</v>
      </c>
      <c r="K3825" t="s">
        <v>32</v>
      </c>
      <c r="L3825" t="s">
        <v>32</v>
      </c>
      <c r="M3825" t="s">
        <v>33</v>
      </c>
      <c r="N3825" t="s">
        <v>33</v>
      </c>
      <c r="O3825" t="s">
        <v>33</v>
      </c>
      <c r="P3825" t="s">
        <v>34</v>
      </c>
      <c r="Q3825" t="s">
        <v>35</v>
      </c>
      <c r="R3825" t="s">
        <v>173</v>
      </c>
      <c r="S3825" t="s">
        <v>30</v>
      </c>
      <c r="T3825" t="s">
        <v>3253</v>
      </c>
      <c r="U3825" t="s">
        <v>3261</v>
      </c>
      <c r="V3825" t="s">
        <v>40</v>
      </c>
      <c r="W3825" s="1">
        <v>1899800</v>
      </c>
    </row>
    <row r="3826" spans="1:23" x14ac:dyDescent="0.2">
      <c r="A3826" t="s">
        <v>2096</v>
      </c>
      <c r="B3826" t="s">
        <v>2097</v>
      </c>
      <c r="C3826" t="s">
        <v>3190</v>
      </c>
      <c r="D3826" t="s">
        <v>3204</v>
      </c>
      <c r="E3826" t="s">
        <v>3249</v>
      </c>
      <c r="F3826" t="s">
        <v>3250</v>
      </c>
      <c r="G3826" t="s">
        <v>67</v>
      </c>
      <c r="H3826" t="s">
        <v>30</v>
      </c>
      <c r="I3826" t="s">
        <v>30</v>
      </c>
      <c r="J3826" t="s">
        <v>31</v>
      </c>
      <c r="K3826" t="s">
        <v>32</v>
      </c>
      <c r="L3826" t="s">
        <v>32</v>
      </c>
      <c r="M3826" t="s">
        <v>176</v>
      </c>
      <c r="N3826" t="s">
        <v>176</v>
      </c>
      <c r="O3826" t="s">
        <v>176</v>
      </c>
      <c r="P3826" t="s">
        <v>34</v>
      </c>
      <c r="Q3826" t="s">
        <v>35</v>
      </c>
      <c r="R3826" t="s">
        <v>173</v>
      </c>
      <c r="S3826" t="s">
        <v>30</v>
      </c>
      <c r="T3826" t="s">
        <v>3253</v>
      </c>
      <c r="U3826" t="s">
        <v>3261</v>
      </c>
      <c r="V3826" t="s">
        <v>39</v>
      </c>
      <c r="W3826" s="1">
        <v>2</v>
      </c>
    </row>
    <row r="3827" spans="1:23" x14ac:dyDescent="0.2">
      <c r="A3827" t="s">
        <v>2096</v>
      </c>
      <c r="B3827" t="s">
        <v>2097</v>
      </c>
      <c r="C3827" t="s">
        <v>3190</v>
      </c>
      <c r="D3827" t="s">
        <v>3204</v>
      </c>
      <c r="E3827" t="s">
        <v>3249</v>
      </c>
      <c r="F3827" t="s">
        <v>3250</v>
      </c>
      <c r="G3827" t="s">
        <v>67</v>
      </c>
      <c r="H3827" t="s">
        <v>30</v>
      </c>
      <c r="I3827" t="s">
        <v>30</v>
      </c>
      <c r="J3827" t="s">
        <v>31</v>
      </c>
      <c r="K3827" t="s">
        <v>32</v>
      </c>
      <c r="L3827" t="s">
        <v>32</v>
      </c>
      <c r="M3827" t="s">
        <v>176</v>
      </c>
      <c r="N3827" t="s">
        <v>176</v>
      </c>
      <c r="O3827" t="s">
        <v>176</v>
      </c>
      <c r="P3827" t="s">
        <v>34</v>
      </c>
      <c r="Q3827" t="s">
        <v>35</v>
      </c>
      <c r="R3827" t="s">
        <v>173</v>
      </c>
      <c r="S3827" t="s">
        <v>30</v>
      </c>
      <c r="T3827" t="s">
        <v>3253</v>
      </c>
      <c r="U3827" t="s">
        <v>3261</v>
      </c>
      <c r="V3827" t="s">
        <v>40</v>
      </c>
      <c r="W3827" s="1">
        <v>1899800</v>
      </c>
    </row>
    <row r="3828" spans="1:23" x14ac:dyDescent="0.2">
      <c r="A3828" t="s">
        <v>2096</v>
      </c>
      <c r="B3828" t="s">
        <v>2097</v>
      </c>
      <c r="C3828" t="s">
        <v>3190</v>
      </c>
      <c r="D3828" t="s">
        <v>3204</v>
      </c>
      <c r="E3828" t="s">
        <v>3249</v>
      </c>
      <c r="F3828" t="s">
        <v>3250</v>
      </c>
      <c r="G3828" t="s">
        <v>67</v>
      </c>
      <c r="H3828" t="s">
        <v>30</v>
      </c>
      <c r="I3828" t="s">
        <v>30</v>
      </c>
      <c r="J3828" t="s">
        <v>31</v>
      </c>
      <c r="K3828" t="s">
        <v>32</v>
      </c>
      <c r="L3828" t="s">
        <v>32</v>
      </c>
      <c r="M3828" t="s">
        <v>176</v>
      </c>
      <c r="N3828" t="s">
        <v>195</v>
      </c>
      <c r="O3828" t="s">
        <v>195</v>
      </c>
      <c r="P3828" t="s">
        <v>34</v>
      </c>
      <c r="Q3828" t="s">
        <v>35</v>
      </c>
      <c r="R3828" t="s">
        <v>173</v>
      </c>
      <c r="S3828" t="s">
        <v>30</v>
      </c>
      <c r="T3828" t="s">
        <v>3253</v>
      </c>
      <c r="U3828" t="s">
        <v>3261</v>
      </c>
      <c r="V3828" t="s">
        <v>39</v>
      </c>
      <c r="W3828" s="1">
        <v>1</v>
      </c>
    </row>
    <row r="3829" spans="1:23" x14ac:dyDescent="0.2">
      <c r="A3829" t="s">
        <v>2096</v>
      </c>
      <c r="B3829" t="s">
        <v>2097</v>
      </c>
      <c r="C3829" t="s">
        <v>3190</v>
      </c>
      <c r="D3829" t="s">
        <v>3204</v>
      </c>
      <c r="E3829" t="s">
        <v>3249</v>
      </c>
      <c r="F3829" t="s">
        <v>3250</v>
      </c>
      <c r="G3829" t="s">
        <v>67</v>
      </c>
      <c r="H3829" t="s">
        <v>30</v>
      </c>
      <c r="I3829" t="s">
        <v>30</v>
      </c>
      <c r="J3829" t="s">
        <v>31</v>
      </c>
      <c r="K3829" t="s">
        <v>32</v>
      </c>
      <c r="L3829" t="s">
        <v>32</v>
      </c>
      <c r="M3829" t="s">
        <v>176</v>
      </c>
      <c r="N3829" t="s">
        <v>195</v>
      </c>
      <c r="O3829" t="s">
        <v>195</v>
      </c>
      <c r="P3829" t="s">
        <v>34</v>
      </c>
      <c r="Q3829" t="s">
        <v>35</v>
      </c>
      <c r="R3829" t="s">
        <v>173</v>
      </c>
      <c r="S3829" t="s">
        <v>30</v>
      </c>
      <c r="T3829" t="s">
        <v>3253</v>
      </c>
      <c r="U3829" t="s">
        <v>3261</v>
      </c>
      <c r="V3829" t="s">
        <v>40</v>
      </c>
      <c r="W3829" s="1">
        <v>949900</v>
      </c>
    </row>
    <row r="3830" spans="1:23" x14ac:dyDescent="0.2">
      <c r="A3830" t="s">
        <v>2096</v>
      </c>
      <c r="B3830" t="s">
        <v>2097</v>
      </c>
      <c r="C3830" t="s">
        <v>3190</v>
      </c>
      <c r="D3830" t="s">
        <v>3204</v>
      </c>
      <c r="E3830" t="s">
        <v>3249</v>
      </c>
      <c r="F3830" t="s">
        <v>3250</v>
      </c>
      <c r="G3830" t="s">
        <v>89</v>
      </c>
      <c r="H3830" t="s">
        <v>30</v>
      </c>
      <c r="I3830" t="s">
        <v>30</v>
      </c>
      <c r="J3830" t="s">
        <v>31</v>
      </c>
      <c r="K3830" t="s">
        <v>32</v>
      </c>
      <c r="L3830" t="s">
        <v>32</v>
      </c>
      <c r="M3830" t="s">
        <v>33</v>
      </c>
      <c r="P3830" t="s">
        <v>34</v>
      </c>
      <c r="Q3830" t="s">
        <v>35</v>
      </c>
      <c r="S3830" t="s">
        <v>30</v>
      </c>
      <c r="T3830" t="s">
        <v>3262</v>
      </c>
      <c r="U3830" t="s">
        <v>3263</v>
      </c>
      <c r="V3830" t="s">
        <v>39</v>
      </c>
      <c r="W3830" s="1">
        <v>10</v>
      </c>
    </row>
    <row r="3831" spans="1:23" x14ac:dyDescent="0.2">
      <c r="A3831" t="s">
        <v>2096</v>
      </c>
      <c r="B3831" t="s">
        <v>2097</v>
      </c>
      <c r="C3831" t="s">
        <v>3190</v>
      </c>
      <c r="D3831" t="s">
        <v>3204</v>
      </c>
      <c r="E3831" t="s">
        <v>3249</v>
      </c>
      <c r="F3831" t="s">
        <v>3250</v>
      </c>
      <c r="G3831" t="s">
        <v>89</v>
      </c>
      <c r="H3831" t="s">
        <v>30</v>
      </c>
      <c r="I3831" t="s">
        <v>30</v>
      </c>
      <c r="J3831" t="s">
        <v>31</v>
      </c>
      <c r="K3831" t="s">
        <v>32</v>
      </c>
      <c r="L3831" t="s">
        <v>32</v>
      </c>
      <c r="M3831" t="s">
        <v>33</v>
      </c>
      <c r="P3831" t="s">
        <v>34</v>
      </c>
      <c r="Q3831" t="s">
        <v>35</v>
      </c>
      <c r="S3831" t="s">
        <v>30</v>
      </c>
      <c r="T3831" t="s">
        <v>3262</v>
      </c>
      <c r="U3831" t="s">
        <v>3263</v>
      </c>
      <c r="V3831" t="s">
        <v>40</v>
      </c>
      <c r="W3831" s="1">
        <v>15899000</v>
      </c>
    </row>
    <row r="3832" spans="1:23" x14ac:dyDescent="0.2">
      <c r="A3832" t="s">
        <v>2096</v>
      </c>
      <c r="B3832" t="s">
        <v>2097</v>
      </c>
      <c r="C3832" t="s">
        <v>3190</v>
      </c>
      <c r="D3832" t="s">
        <v>3204</v>
      </c>
      <c r="E3832" t="s">
        <v>3249</v>
      </c>
      <c r="F3832" t="s">
        <v>3250</v>
      </c>
      <c r="G3832" t="s">
        <v>89</v>
      </c>
      <c r="H3832" t="s">
        <v>30</v>
      </c>
      <c r="I3832" t="s">
        <v>30</v>
      </c>
      <c r="J3832" t="s">
        <v>356</v>
      </c>
      <c r="K3832" t="s">
        <v>181</v>
      </c>
      <c r="L3832" t="s">
        <v>32</v>
      </c>
      <c r="M3832" t="s">
        <v>33</v>
      </c>
      <c r="N3832" t="s">
        <v>33</v>
      </c>
      <c r="O3832" t="s">
        <v>33</v>
      </c>
      <c r="P3832" t="s">
        <v>34</v>
      </c>
      <c r="Q3832" t="s">
        <v>35</v>
      </c>
      <c r="R3832" t="s">
        <v>136</v>
      </c>
      <c r="S3832" t="s">
        <v>30</v>
      </c>
      <c r="T3832" t="s">
        <v>3264</v>
      </c>
      <c r="U3832" t="s">
        <v>3265</v>
      </c>
      <c r="V3832" t="s">
        <v>39</v>
      </c>
      <c r="W3832" s="1">
        <v>3</v>
      </c>
    </row>
    <row r="3833" spans="1:23" x14ac:dyDescent="0.2">
      <c r="A3833" t="s">
        <v>2096</v>
      </c>
      <c r="B3833" t="s">
        <v>2097</v>
      </c>
      <c r="C3833" t="s">
        <v>3190</v>
      </c>
      <c r="D3833" t="s">
        <v>3204</v>
      </c>
      <c r="E3833" t="s">
        <v>3249</v>
      </c>
      <c r="F3833" t="s">
        <v>3250</v>
      </c>
      <c r="G3833" t="s">
        <v>89</v>
      </c>
      <c r="H3833" t="s">
        <v>30</v>
      </c>
      <c r="I3833" t="s">
        <v>30</v>
      </c>
      <c r="J3833" t="s">
        <v>356</v>
      </c>
      <c r="K3833" t="s">
        <v>181</v>
      </c>
      <c r="L3833" t="s">
        <v>32</v>
      </c>
      <c r="M3833" t="s">
        <v>33</v>
      </c>
      <c r="N3833" t="s">
        <v>33</v>
      </c>
      <c r="O3833" t="s">
        <v>33</v>
      </c>
      <c r="P3833" t="s">
        <v>34</v>
      </c>
      <c r="Q3833" t="s">
        <v>35</v>
      </c>
      <c r="R3833" t="s">
        <v>136</v>
      </c>
      <c r="S3833" t="s">
        <v>30</v>
      </c>
      <c r="T3833" t="s">
        <v>3264</v>
      </c>
      <c r="U3833" t="s">
        <v>3265</v>
      </c>
      <c r="V3833" t="s">
        <v>40</v>
      </c>
      <c r="W3833" s="1">
        <v>12858000</v>
      </c>
    </row>
    <row r="3834" spans="1:23" x14ac:dyDescent="0.2">
      <c r="A3834" t="s">
        <v>2096</v>
      </c>
      <c r="B3834" t="s">
        <v>2097</v>
      </c>
      <c r="C3834" t="s">
        <v>3190</v>
      </c>
      <c r="D3834" t="s">
        <v>3204</v>
      </c>
      <c r="E3834" t="s">
        <v>3249</v>
      </c>
      <c r="F3834" t="s">
        <v>3250</v>
      </c>
      <c r="G3834" t="s">
        <v>119</v>
      </c>
      <c r="H3834" t="s">
        <v>30</v>
      </c>
      <c r="I3834" t="s">
        <v>52</v>
      </c>
      <c r="J3834" t="s">
        <v>31</v>
      </c>
      <c r="K3834" t="s">
        <v>32</v>
      </c>
      <c r="L3834" t="s">
        <v>32</v>
      </c>
      <c r="M3834" t="s">
        <v>33</v>
      </c>
      <c r="N3834" t="s">
        <v>33</v>
      </c>
      <c r="O3834" t="s">
        <v>33</v>
      </c>
      <c r="P3834" t="s">
        <v>34</v>
      </c>
      <c r="Q3834" t="s">
        <v>35</v>
      </c>
      <c r="S3834" t="s">
        <v>30</v>
      </c>
      <c r="T3834" t="s">
        <v>3266</v>
      </c>
      <c r="U3834" t="s">
        <v>3267</v>
      </c>
      <c r="V3834" t="s">
        <v>39</v>
      </c>
      <c r="W3834" s="1">
        <v>4</v>
      </c>
    </row>
    <row r="3835" spans="1:23" x14ac:dyDescent="0.2">
      <c r="A3835" t="s">
        <v>2096</v>
      </c>
      <c r="B3835" t="s">
        <v>2097</v>
      </c>
      <c r="C3835" t="s">
        <v>3190</v>
      </c>
      <c r="D3835" t="s">
        <v>3204</v>
      </c>
      <c r="E3835" t="s">
        <v>3249</v>
      </c>
      <c r="F3835" t="s">
        <v>3250</v>
      </c>
      <c r="G3835" t="s">
        <v>119</v>
      </c>
      <c r="H3835" t="s">
        <v>30</v>
      </c>
      <c r="I3835" t="s">
        <v>52</v>
      </c>
      <c r="J3835" t="s">
        <v>31</v>
      </c>
      <c r="K3835" t="s">
        <v>32</v>
      </c>
      <c r="L3835" t="s">
        <v>32</v>
      </c>
      <c r="M3835" t="s">
        <v>33</v>
      </c>
      <c r="N3835" t="s">
        <v>33</v>
      </c>
      <c r="O3835" t="s">
        <v>33</v>
      </c>
      <c r="P3835" t="s">
        <v>34</v>
      </c>
      <c r="Q3835" t="s">
        <v>35</v>
      </c>
      <c r="S3835" t="s">
        <v>30</v>
      </c>
      <c r="T3835" t="s">
        <v>3266</v>
      </c>
      <c r="U3835" t="s">
        <v>3267</v>
      </c>
      <c r="V3835" t="s">
        <v>40</v>
      </c>
      <c r="W3835" s="1">
        <v>2043600</v>
      </c>
    </row>
    <row r="3836" spans="1:23" x14ac:dyDescent="0.2">
      <c r="A3836" t="s">
        <v>2096</v>
      </c>
      <c r="B3836" t="s">
        <v>2097</v>
      </c>
      <c r="C3836" t="s">
        <v>3190</v>
      </c>
      <c r="D3836" t="s">
        <v>3204</v>
      </c>
      <c r="E3836" t="s">
        <v>3249</v>
      </c>
      <c r="F3836" t="s">
        <v>3250</v>
      </c>
      <c r="G3836" t="s">
        <v>119</v>
      </c>
      <c r="H3836" t="s">
        <v>30</v>
      </c>
      <c r="I3836" t="s">
        <v>52</v>
      </c>
      <c r="J3836" t="s">
        <v>31</v>
      </c>
      <c r="K3836" t="s">
        <v>32</v>
      </c>
      <c r="L3836" t="s">
        <v>32</v>
      </c>
      <c r="M3836" t="s">
        <v>33</v>
      </c>
      <c r="P3836" t="s">
        <v>34</v>
      </c>
      <c r="Q3836" t="s">
        <v>35</v>
      </c>
      <c r="S3836" t="s">
        <v>52</v>
      </c>
      <c r="T3836" t="s">
        <v>3262</v>
      </c>
      <c r="U3836" t="s">
        <v>3268</v>
      </c>
      <c r="V3836" t="s">
        <v>39</v>
      </c>
      <c r="W3836" s="1">
        <v>0</v>
      </c>
    </row>
    <row r="3837" spans="1:23" x14ac:dyDescent="0.2">
      <c r="A3837" t="s">
        <v>2096</v>
      </c>
      <c r="B3837" t="s">
        <v>2097</v>
      </c>
      <c r="C3837" t="s">
        <v>3190</v>
      </c>
      <c r="D3837" t="s">
        <v>3204</v>
      </c>
      <c r="E3837" t="s">
        <v>3249</v>
      </c>
      <c r="F3837" t="s">
        <v>3250</v>
      </c>
      <c r="G3837" t="s">
        <v>119</v>
      </c>
      <c r="H3837" t="s">
        <v>30</v>
      </c>
      <c r="I3837" t="s">
        <v>52</v>
      </c>
      <c r="J3837" t="s">
        <v>31</v>
      </c>
      <c r="K3837" t="s">
        <v>32</v>
      </c>
      <c r="L3837" t="s">
        <v>32</v>
      </c>
      <c r="M3837" t="s">
        <v>33</v>
      </c>
      <c r="P3837" t="s">
        <v>34</v>
      </c>
      <c r="Q3837" t="s">
        <v>35</v>
      </c>
      <c r="S3837" t="s">
        <v>52</v>
      </c>
      <c r="T3837" t="s">
        <v>3262</v>
      </c>
      <c r="U3837" t="s">
        <v>3268</v>
      </c>
      <c r="V3837" t="s">
        <v>40</v>
      </c>
      <c r="W3837" s="1">
        <v>1689900</v>
      </c>
    </row>
    <row r="3838" spans="1:23" x14ac:dyDescent="0.2">
      <c r="A3838" t="s">
        <v>2096</v>
      </c>
      <c r="B3838" t="s">
        <v>2097</v>
      </c>
      <c r="C3838" t="s">
        <v>3190</v>
      </c>
      <c r="D3838" t="s">
        <v>3204</v>
      </c>
      <c r="E3838" t="s">
        <v>3249</v>
      </c>
      <c r="F3838" t="s">
        <v>3250</v>
      </c>
      <c r="G3838" t="s">
        <v>139</v>
      </c>
      <c r="H3838" t="s">
        <v>30</v>
      </c>
      <c r="I3838" t="s">
        <v>30</v>
      </c>
      <c r="J3838" t="s">
        <v>31</v>
      </c>
      <c r="K3838" t="s">
        <v>32</v>
      </c>
      <c r="L3838" t="s">
        <v>32</v>
      </c>
      <c r="M3838" t="s">
        <v>33</v>
      </c>
      <c r="N3838" t="s">
        <v>33</v>
      </c>
      <c r="O3838" t="s">
        <v>33</v>
      </c>
      <c r="P3838" t="s">
        <v>34</v>
      </c>
      <c r="Q3838" t="s">
        <v>35</v>
      </c>
      <c r="R3838" t="s">
        <v>151</v>
      </c>
      <c r="S3838" t="s">
        <v>30</v>
      </c>
      <c r="T3838" t="s">
        <v>3269</v>
      </c>
      <c r="U3838" t="s">
        <v>3270</v>
      </c>
      <c r="V3838" t="s">
        <v>39</v>
      </c>
      <c r="W3838" s="1">
        <v>2</v>
      </c>
    </row>
    <row r="3839" spans="1:23" x14ac:dyDescent="0.2">
      <c r="A3839" t="s">
        <v>2096</v>
      </c>
      <c r="B3839" t="s">
        <v>2097</v>
      </c>
      <c r="C3839" t="s">
        <v>3190</v>
      </c>
      <c r="D3839" t="s">
        <v>3204</v>
      </c>
      <c r="E3839" t="s">
        <v>3249</v>
      </c>
      <c r="F3839" t="s">
        <v>3250</v>
      </c>
      <c r="G3839" t="s">
        <v>139</v>
      </c>
      <c r="H3839" t="s">
        <v>30</v>
      </c>
      <c r="I3839" t="s">
        <v>30</v>
      </c>
      <c r="J3839" t="s">
        <v>31</v>
      </c>
      <c r="K3839" t="s">
        <v>32</v>
      </c>
      <c r="L3839" t="s">
        <v>32</v>
      </c>
      <c r="M3839" t="s">
        <v>33</v>
      </c>
      <c r="N3839" t="s">
        <v>33</v>
      </c>
      <c r="O3839" t="s">
        <v>33</v>
      </c>
      <c r="P3839" t="s">
        <v>34</v>
      </c>
      <c r="Q3839" t="s">
        <v>35</v>
      </c>
      <c r="R3839" t="s">
        <v>151</v>
      </c>
      <c r="S3839" t="s">
        <v>30</v>
      </c>
      <c r="T3839" t="s">
        <v>3269</v>
      </c>
      <c r="U3839" t="s">
        <v>3270</v>
      </c>
      <c r="V3839" t="s">
        <v>40</v>
      </c>
      <c r="W3839" s="1">
        <v>2821800</v>
      </c>
    </row>
    <row r="3840" spans="1:23" x14ac:dyDescent="0.2">
      <c r="A3840" t="s">
        <v>2096</v>
      </c>
      <c r="B3840" t="s">
        <v>2097</v>
      </c>
      <c r="C3840" t="s">
        <v>3190</v>
      </c>
      <c r="D3840" t="s">
        <v>3271</v>
      </c>
      <c r="E3840" t="s">
        <v>3272</v>
      </c>
      <c r="F3840" t="s">
        <v>3273</v>
      </c>
      <c r="G3840" t="s">
        <v>29</v>
      </c>
      <c r="H3840" t="s">
        <v>30</v>
      </c>
      <c r="I3840" t="s">
        <v>30</v>
      </c>
      <c r="J3840" t="s">
        <v>31</v>
      </c>
      <c r="K3840" t="s">
        <v>32</v>
      </c>
      <c r="L3840" t="s">
        <v>32</v>
      </c>
      <c r="M3840" t="s">
        <v>33</v>
      </c>
      <c r="N3840" t="s">
        <v>33</v>
      </c>
      <c r="O3840" t="s">
        <v>33</v>
      </c>
      <c r="P3840" t="s">
        <v>213</v>
      </c>
      <c r="Q3840" t="s">
        <v>2111</v>
      </c>
      <c r="S3840" t="s">
        <v>30</v>
      </c>
      <c r="T3840" t="s">
        <v>3274</v>
      </c>
      <c r="U3840" t="s">
        <v>3275</v>
      </c>
      <c r="V3840" t="s">
        <v>39</v>
      </c>
      <c r="W3840" s="1">
        <v>2</v>
      </c>
    </row>
    <row r="3841" spans="1:23" x14ac:dyDescent="0.2">
      <c r="A3841" t="s">
        <v>2096</v>
      </c>
      <c r="B3841" t="s">
        <v>2097</v>
      </c>
      <c r="C3841" t="s">
        <v>3190</v>
      </c>
      <c r="D3841" t="s">
        <v>3271</v>
      </c>
      <c r="E3841" t="s">
        <v>3272</v>
      </c>
      <c r="F3841" t="s">
        <v>3273</v>
      </c>
      <c r="G3841" t="s">
        <v>29</v>
      </c>
      <c r="H3841" t="s">
        <v>30</v>
      </c>
      <c r="I3841" t="s">
        <v>30</v>
      </c>
      <c r="J3841" t="s">
        <v>31</v>
      </c>
      <c r="K3841" t="s">
        <v>32</v>
      </c>
      <c r="L3841" t="s">
        <v>32</v>
      </c>
      <c r="M3841" t="s">
        <v>33</v>
      </c>
      <c r="N3841" t="s">
        <v>33</v>
      </c>
      <c r="O3841" t="s">
        <v>33</v>
      </c>
      <c r="P3841" t="s">
        <v>213</v>
      </c>
      <c r="Q3841" t="s">
        <v>2111</v>
      </c>
      <c r="S3841" t="s">
        <v>30</v>
      </c>
      <c r="T3841" t="s">
        <v>3274</v>
      </c>
      <c r="U3841" t="s">
        <v>3275</v>
      </c>
      <c r="V3841" t="s">
        <v>40</v>
      </c>
      <c r="W3841" s="1">
        <v>1408000</v>
      </c>
    </row>
    <row r="3842" spans="1:23" x14ac:dyDescent="0.2">
      <c r="A3842" t="s">
        <v>2096</v>
      </c>
      <c r="B3842" t="s">
        <v>2097</v>
      </c>
      <c r="C3842" t="s">
        <v>3190</v>
      </c>
      <c r="D3842" t="s">
        <v>3271</v>
      </c>
      <c r="E3842" t="s">
        <v>3272</v>
      </c>
      <c r="F3842" t="s">
        <v>3273</v>
      </c>
      <c r="G3842" t="s">
        <v>29</v>
      </c>
      <c r="H3842" t="s">
        <v>30</v>
      </c>
      <c r="I3842" t="s">
        <v>30</v>
      </c>
      <c r="J3842" t="s">
        <v>31</v>
      </c>
      <c r="K3842" t="s">
        <v>32</v>
      </c>
      <c r="L3842" t="s">
        <v>32</v>
      </c>
      <c r="M3842" t="s">
        <v>33</v>
      </c>
      <c r="N3842" t="s">
        <v>33</v>
      </c>
      <c r="O3842" t="s">
        <v>33</v>
      </c>
      <c r="P3842" t="s">
        <v>213</v>
      </c>
      <c r="Q3842" t="s">
        <v>2111</v>
      </c>
      <c r="S3842" t="s">
        <v>30</v>
      </c>
      <c r="T3842" t="s">
        <v>2499</v>
      </c>
      <c r="U3842" t="s">
        <v>3276</v>
      </c>
      <c r="V3842" t="s">
        <v>39</v>
      </c>
      <c r="W3842" s="1">
        <v>2</v>
      </c>
    </row>
    <row r="3843" spans="1:23" x14ac:dyDescent="0.2">
      <c r="A3843" t="s">
        <v>2096</v>
      </c>
      <c r="B3843" t="s">
        <v>2097</v>
      </c>
      <c r="C3843" t="s">
        <v>3190</v>
      </c>
      <c r="D3843" t="s">
        <v>3271</v>
      </c>
      <c r="E3843" t="s">
        <v>3272</v>
      </c>
      <c r="F3843" t="s">
        <v>3273</v>
      </c>
      <c r="G3843" t="s">
        <v>29</v>
      </c>
      <c r="H3843" t="s">
        <v>30</v>
      </c>
      <c r="I3843" t="s">
        <v>30</v>
      </c>
      <c r="J3843" t="s">
        <v>31</v>
      </c>
      <c r="K3843" t="s">
        <v>32</v>
      </c>
      <c r="L3843" t="s">
        <v>32</v>
      </c>
      <c r="M3843" t="s">
        <v>33</v>
      </c>
      <c r="N3843" t="s">
        <v>33</v>
      </c>
      <c r="O3843" t="s">
        <v>33</v>
      </c>
      <c r="P3843" t="s">
        <v>213</v>
      </c>
      <c r="Q3843" t="s">
        <v>2111</v>
      </c>
      <c r="S3843" t="s">
        <v>30</v>
      </c>
      <c r="T3843" t="s">
        <v>2499</v>
      </c>
      <c r="U3843" t="s">
        <v>3276</v>
      </c>
      <c r="V3843" t="s">
        <v>40</v>
      </c>
      <c r="W3843" s="1">
        <v>1199800</v>
      </c>
    </row>
    <row r="3844" spans="1:23" x14ac:dyDescent="0.2">
      <c r="A3844" t="s">
        <v>2096</v>
      </c>
      <c r="B3844" t="s">
        <v>2097</v>
      </c>
      <c r="C3844" t="s">
        <v>3190</v>
      </c>
      <c r="D3844" t="s">
        <v>3271</v>
      </c>
      <c r="E3844" t="s">
        <v>3272</v>
      </c>
      <c r="F3844" t="s">
        <v>3273</v>
      </c>
      <c r="G3844" t="s">
        <v>49</v>
      </c>
      <c r="H3844" t="s">
        <v>30</v>
      </c>
      <c r="I3844" t="s">
        <v>30</v>
      </c>
      <c r="J3844" t="s">
        <v>31</v>
      </c>
      <c r="K3844" t="s">
        <v>32</v>
      </c>
      <c r="L3844" t="s">
        <v>32</v>
      </c>
      <c r="M3844" t="s">
        <v>33</v>
      </c>
      <c r="N3844" t="s">
        <v>33</v>
      </c>
      <c r="O3844" t="s">
        <v>33</v>
      </c>
      <c r="P3844" t="s">
        <v>34</v>
      </c>
      <c r="Q3844" t="s">
        <v>35</v>
      </c>
      <c r="S3844" t="s">
        <v>30</v>
      </c>
      <c r="T3844" t="s">
        <v>3277</v>
      </c>
      <c r="U3844" t="s">
        <v>3278</v>
      </c>
      <c r="V3844" t="s">
        <v>39</v>
      </c>
      <c r="W3844" s="1">
        <v>3</v>
      </c>
    </row>
    <row r="3845" spans="1:23" x14ac:dyDescent="0.2">
      <c r="A3845" t="s">
        <v>2096</v>
      </c>
      <c r="B3845" t="s">
        <v>2097</v>
      </c>
      <c r="C3845" t="s">
        <v>3190</v>
      </c>
      <c r="D3845" t="s">
        <v>3271</v>
      </c>
      <c r="E3845" t="s">
        <v>3272</v>
      </c>
      <c r="F3845" t="s">
        <v>3273</v>
      </c>
      <c r="G3845" t="s">
        <v>49</v>
      </c>
      <c r="H3845" t="s">
        <v>30</v>
      </c>
      <c r="I3845" t="s">
        <v>30</v>
      </c>
      <c r="J3845" t="s">
        <v>31</v>
      </c>
      <c r="K3845" t="s">
        <v>32</v>
      </c>
      <c r="L3845" t="s">
        <v>32</v>
      </c>
      <c r="M3845" t="s">
        <v>33</v>
      </c>
      <c r="N3845" t="s">
        <v>33</v>
      </c>
      <c r="O3845" t="s">
        <v>33</v>
      </c>
      <c r="P3845" t="s">
        <v>34</v>
      </c>
      <c r="Q3845" t="s">
        <v>35</v>
      </c>
      <c r="S3845" t="s">
        <v>30</v>
      </c>
      <c r="T3845" t="s">
        <v>3277</v>
      </c>
      <c r="U3845" t="s">
        <v>3278</v>
      </c>
      <c r="V3845" t="s">
        <v>40</v>
      </c>
      <c r="W3845" s="1">
        <v>1649700</v>
      </c>
    </row>
    <row r="3846" spans="1:23" x14ac:dyDescent="0.2">
      <c r="A3846" t="s">
        <v>2096</v>
      </c>
      <c r="B3846" t="s">
        <v>2097</v>
      </c>
      <c r="C3846" t="s">
        <v>3190</v>
      </c>
      <c r="D3846" t="s">
        <v>3271</v>
      </c>
      <c r="E3846" t="s">
        <v>3272</v>
      </c>
      <c r="F3846" t="s">
        <v>3273</v>
      </c>
      <c r="G3846" t="s">
        <v>49</v>
      </c>
      <c r="H3846" t="s">
        <v>30</v>
      </c>
      <c r="I3846" t="s">
        <v>30</v>
      </c>
      <c r="J3846" t="s">
        <v>31</v>
      </c>
      <c r="K3846" t="s">
        <v>32</v>
      </c>
      <c r="L3846" t="s">
        <v>32</v>
      </c>
      <c r="M3846" t="s">
        <v>33</v>
      </c>
      <c r="N3846" t="s">
        <v>33</v>
      </c>
      <c r="O3846" t="s">
        <v>33</v>
      </c>
      <c r="P3846" t="s">
        <v>34</v>
      </c>
      <c r="Q3846" t="s">
        <v>35</v>
      </c>
      <c r="S3846" t="s">
        <v>30</v>
      </c>
      <c r="T3846" t="s">
        <v>3279</v>
      </c>
      <c r="U3846" t="s">
        <v>3280</v>
      </c>
      <c r="V3846" t="s">
        <v>39</v>
      </c>
      <c r="W3846" s="1">
        <v>2</v>
      </c>
    </row>
    <row r="3847" spans="1:23" x14ac:dyDescent="0.2">
      <c r="A3847" t="s">
        <v>2096</v>
      </c>
      <c r="B3847" t="s">
        <v>2097</v>
      </c>
      <c r="C3847" t="s">
        <v>3190</v>
      </c>
      <c r="D3847" t="s">
        <v>3271</v>
      </c>
      <c r="E3847" t="s">
        <v>3272</v>
      </c>
      <c r="F3847" t="s">
        <v>3273</v>
      </c>
      <c r="G3847" t="s">
        <v>49</v>
      </c>
      <c r="H3847" t="s">
        <v>30</v>
      </c>
      <c r="I3847" t="s">
        <v>30</v>
      </c>
      <c r="J3847" t="s">
        <v>31</v>
      </c>
      <c r="K3847" t="s">
        <v>32</v>
      </c>
      <c r="L3847" t="s">
        <v>32</v>
      </c>
      <c r="M3847" t="s">
        <v>33</v>
      </c>
      <c r="N3847" t="s">
        <v>33</v>
      </c>
      <c r="O3847" t="s">
        <v>33</v>
      </c>
      <c r="P3847" t="s">
        <v>34</v>
      </c>
      <c r="Q3847" t="s">
        <v>35</v>
      </c>
      <c r="S3847" t="s">
        <v>30</v>
      </c>
      <c r="T3847" t="s">
        <v>3279</v>
      </c>
      <c r="U3847" t="s">
        <v>3280</v>
      </c>
      <c r="V3847" t="s">
        <v>40</v>
      </c>
      <c r="W3847" s="1">
        <v>2179800</v>
      </c>
    </row>
    <row r="3848" spans="1:23" x14ac:dyDescent="0.2">
      <c r="A3848" t="s">
        <v>2096</v>
      </c>
      <c r="B3848" t="s">
        <v>2097</v>
      </c>
      <c r="C3848" t="s">
        <v>3190</v>
      </c>
      <c r="D3848" t="s">
        <v>3271</v>
      </c>
      <c r="E3848" t="s">
        <v>3272</v>
      </c>
      <c r="F3848" t="s">
        <v>3273</v>
      </c>
      <c r="G3848" t="s">
        <v>49</v>
      </c>
      <c r="H3848" t="s">
        <v>30</v>
      </c>
      <c r="I3848" t="s">
        <v>30</v>
      </c>
      <c r="J3848" t="s">
        <v>41</v>
      </c>
      <c r="K3848" t="s">
        <v>32</v>
      </c>
      <c r="L3848" t="s">
        <v>32</v>
      </c>
      <c r="M3848" t="s">
        <v>33</v>
      </c>
      <c r="N3848" t="s">
        <v>33</v>
      </c>
      <c r="O3848" t="s">
        <v>33</v>
      </c>
      <c r="P3848" t="s">
        <v>213</v>
      </c>
      <c r="Q3848" t="s">
        <v>2111</v>
      </c>
      <c r="R3848" t="s">
        <v>294</v>
      </c>
      <c r="S3848" t="s">
        <v>30</v>
      </c>
      <c r="T3848" t="s">
        <v>3281</v>
      </c>
      <c r="U3848" t="s">
        <v>3282</v>
      </c>
      <c r="V3848" t="s">
        <v>39</v>
      </c>
      <c r="W3848" s="1">
        <v>2</v>
      </c>
    </row>
    <row r="3849" spans="1:23" x14ac:dyDescent="0.2">
      <c r="A3849" t="s">
        <v>2096</v>
      </c>
      <c r="B3849" t="s">
        <v>2097</v>
      </c>
      <c r="C3849" t="s">
        <v>3190</v>
      </c>
      <c r="D3849" t="s">
        <v>3271</v>
      </c>
      <c r="E3849" t="s">
        <v>3272</v>
      </c>
      <c r="F3849" t="s">
        <v>3273</v>
      </c>
      <c r="G3849" t="s">
        <v>49</v>
      </c>
      <c r="H3849" t="s">
        <v>30</v>
      </c>
      <c r="I3849" t="s">
        <v>30</v>
      </c>
      <c r="J3849" t="s">
        <v>41</v>
      </c>
      <c r="K3849" t="s">
        <v>32</v>
      </c>
      <c r="L3849" t="s">
        <v>32</v>
      </c>
      <c r="M3849" t="s">
        <v>33</v>
      </c>
      <c r="N3849" t="s">
        <v>33</v>
      </c>
      <c r="O3849" t="s">
        <v>33</v>
      </c>
      <c r="P3849" t="s">
        <v>213</v>
      </c>
      <c r="Q3849" t="s">
        <v>2111</v>
      </c>
      <c r="R3849" t="s">
        <v>294</v>
      </c>
      <c r="S3849" t="s">
        <v>30</v>
      </c>
      <c r="T3849" t="s">
        <v>3281</v>
      </c>
      <c r="U3849" t="s">
        <v>3282</v>
      </c>
      <c r="V3849" t="s">
        <v>40</v>
      </c>
      <c r="W3849" s="1">
        <v>1999800</v>
      </c>
    </row>
    <row r="3850" spans="1:23" x14ac:dyDescent="0.2">
      <c r="A3850" t="s">
        <v>2096</v>
      </c>
      <c r="B3850" t="s">
        <v>2097</v>
      </c>
      <c r="C3850" t="s">
        <v>3190</v>
      </c>
      <c r="D3850" t="s">
        <v>3271</v>
      </c>
      <c r="E3850" t="s">
        <v>3272</v>
      </c>
      <c r="F3850" t="s">
        <v>3273</v>
      </c>
      <c r="G3850" t="s">
        <v>61</v>
      </c>
      <c r="H3850" t="s">
        <v>52</v>
      </c>
      <c r="I3850" t="s">
        <v>52</v>
      </c>
      <c r="J3850" t="s">
        <v>31</v>
      </c>
      <c r="K3850" t="s">
        <v>32</v>
      </c>
      <c r="L3850" t="s">
        <v>32</v>
      </c>
      <c r="M3850" t="s">
        <v>33</v>
      </c>
      <c r="N3850" t="s">
        <v>33</v>
      </c>
      <c r="O3850" t="s">
        <v>33</v>
      </c>
      <c r="P3850" t="s">
        <v>213</v>
      </c>
      <c r="Q3850" t="s">
        <v>2111</v>
      </c>
      <c r="S3850" t="s">
        <v>30</v>
      </c>
      <c r="T3850" t="s">
        <v>3283</v>
      </c>
      <c r="U3850" t="s">
        <v>3284</v>
      </c>
      <c r="V3850" t="s">
        <v>39</v>
      </c>
      <c r="W3850" s="1">
        <v>2</v>
      </c>
    </row>
    <row r="3851" spans="1:23" x14ac:dyDescent="0.2">
      <c r="A3851" t="s">
        <v>2096</v>
      </c>
      <c r="B3851" t="s">
        <v>2097</v>
      </c>
      <c r="C3851" t="s">
        <v>3190</v>
      </c>
      <c r="D3851" t="s">
        <v>3271</v>
      </c>
      <c r="E3851" t="s">
        <v>3272</v>
      </c>
      <c r="F3851" t="s">
        <v>3273</v>
      </c>
      <c r="G3851" t="s">
        <v>61</v>
      </c>
      <c r="H3851" t="s">
        <v>52</v>
      </c>
      <c r="I3851" t="s">
        <v>52</v>
      </c>
      <c r="J3851" t="s">
        <v>31</v>
      </c>
      <c r="K3851" t="s">
        <v>32</v>
      </c>
      <c r="L3851" t="s">
        <v>32</v>
      </c>
      <c r="M3851" t="s">
        <v>33</v>
      </c>
      <c r="N3851" t="s">
        <v>33</v>
      </c>
      <c r="O3851" t="s">
        <v>33</v>
      </c>
      <c r="P3851" t="s">
        <v>213</v>
      </c>
      <c r="Q3851" t="s">
        <v>2111</v>
      </c>
      <c r="S3851" t="s">
        <v>30</v>
      </c>
      <c r="T3851" t="s">
        <v>3283</v>
      </c>
      <c r="U3851" t="s">
        <v>3284</v>
      </c>
      <c r="V3851" t="s">
        <v>40</v>
      </c>
      <c r="W3851" s="1">
        <v>2220600</v>
      </c>
    </row>
    <row r="3852" spans="1:23" x14ac:dyDescent="0.2">
      <c r="A3852" t="s">
        <v>2096</v>
      </c>
      <c r="B3852" t="s">
        <v>2097</v>
      </c>
      <c r="C3852" t="s">
        <v>3190</v>
      </c>
      <c r="D3852" t="s">
        <v>3271</v>
      </c>
      <c r="E3852" t="s">
        <v>3272</v>
      </c>
      <c r="F3852" t="s">
        <v>3273</v>
      </c>
      <c r="G3852" t="s">
        <v>61</v>
      </c>
      <c r="H3852" t="s">
        <v>52</v>
      </c>
      <c r="I3852" t="s">
        <v>52</v>
      </c>
      <c r="J3852" t="s">
        <v>31</v>
      </c>
      <c r="K3852" t="s">
        <v>32</v>
      </c>
      <c r="L3852" t="s">
        <v>32</v>
      </c>
      <c r="M3852" t="s">
        <v>33</v>
      </c>
      <c r="N3852" t="s">
        <v>176</v>
      </c>
      <c r="O3852" t="s">
        <v>176</v>
      </c>
      <c r="P3852" t="s">
        <v>213</v>
      </c>
      <c r="Q3852" t="s">
        <v>2111</v>
      </c>
      <c r="S3852" t="s">
        <v>30</v>
      </c>
      <c r="T3852" t="s">
        <v>3283</v>
      </c>
      <c r="U3852" t="s">
        <v>3284</v>
      </c>
      <c r="V3852" t="s">
        <v>39</v>
      </c>
      <c r="W3852" s="1">
        <v>1</v>
      </c>
    </row>
    <row r="3853" spans="1:23" x14ac:dyDescent="0.2">
      <c r="A3853" t="s">
        <v>2096</v>
      </c>
      <c r="B3853" t="s">
        <v>2097</v>
      </c>
      <c r="C3853" t="s">
        <v>3190</v>
      </c>
      <c r="D3853" t="s">
        <v>3271</v>
      </c>
      <c r="E3853" t="s">
        <v>3272</v>
      </c>
      <c r="F3853" t="s">
        <v>3273</v>
      </c>
      <c r="G3853" t="s">
        <v>61</v>
      </c>
      <c r="H3853" t="s">
        <v>52</v>
      </c>
      <c r="I3853" t="s">
        <v>52</v>
      </c>
      <c r="J3853" t="s">
        <v>31</v>
      </c>
      <c r="K3853" t="s">
        <v>32</v>
      </c>
      <c r="L3853" t="s">
        <v>32</v>
      </c>
      <c r="M3853" t="s">
        <v>33</v>
      </c>
      <c r="N3853" t="s">
        <v>176</v>
      </c>
      <c r="O3853" t="s">
        <v>176</v>
      </c>
      <c r="P3853" t="s">
        <v>213</v>
      </c>
      <c r="Q3853" t="s">
        <v>2111</v>
      </c>
      <c r="S3853" t="s">
        <v>30</v>
      </c>
      <c r="T3853" t="s">
        <v>3283</v>
      </c>
      <c r="U3853" t="s">
        <v>3284</v>
      </c>
      <c r="V3853" t="s">
        <v>40</v>
      </c>
      <c r="W3853" s="1">
        <v>1110300</v>
      </c>
    </row>
    <row r="3854" spans="1:23" x14ac:dyDescent="0.2">
      <c r="A3854" t="s">
        <v>2096</v>
      </c>
      <c r="B3854" t="s">
        <v>2097</v>
      </c>
      <c r="C3854" t="s">
        <v>3190</v>
      </c>
      <c r="D3854" t="s">
        <v>3271</v>
      </c>
      <c r="E3854" t="s">
        <v>3272</v>
      </c>
      <c r="F3854" t="s">
        <v>3273</v>
      </c>
      <c r="G3854" t="s">
        <v>61</v>
      </c>
      <c r="H3854" t="s">
        <v>52</v>
      </c>
      <c r="I3854" t="s">
        <v>52</v>
      </c>
      <c r="J3854" t="s">
        <v>31</v>
      </c>
      <c r="K3854" t="s">
        <v>32</v>
      </c>
      <c r="L3854" t="s">
        <v>32</v>
      </c>
      <c r="M3854" t="s">
        <v>33</v>
      </c>
      <c r="N3854" t="s">
        <v>169</v>
      </c>
      <c r="O3854" t="s">
        <v>169</v>
      </c>
      <c r="P3854" t="s">
        <v>213</v>
      </c>
      <c r="Q3854" t="s">
        <v>2111</v>
      </c>
      <c r="S3854" t="s">
        <v>30</v>
      </c>
      <c r="T3854" t="s">
        <v>3283</v>
      </c>
      <c r="U3854" t="s">
        <v>3284</v>
      </c>
      <c r="V3854" t="s">
        <v>39</v>
      </c>
      <c r="W3854" s="1">
        <v>1</v>
      </c>
    </row>
    <row r="3855" spans="1:23" x14ac:dyDescent="0.2">
      <c r="A3855" t="s">
        <v>2096</v>
      </c>
      <c r="B3855" t="s">
        <v>2097</v>
      </c>
      <c r="C3855" t="s">
        <v>3190</v>
      </c>
      <c r="D3855" t="s">
        <v>3271</v>
      </c>
      <c r="E3855" t="s">
        <v>3272</v>
      </c>
      <c r="F3855" t="s">
        <v>3273</v>
      </c>
      <c r="G3855" t="s">
        <v>61</v>
      </c>
      <c r="H3855" t="s">
        <v>52</v>
      </c>
      <c r="I3855" t="s">
        <v>52</v>
      </c>
      <c r="J3855" t="s">
        <v>31</v>
      </c>
      <c r="K3855" t="s">
        <v>32</v>
      </c>
      <c r="L3855" t="s">
        <v>32</v>
      </c>
      <c r="M3855" t="s">
        <v>33</v>
      </c>
      <c r="N3855" t="s">
        <v>169</v>
      </c>
      <c r="O3855" t="s">
        <v>169</v>
      </c>
      <c r="P3855" t="s">
        <v>213</v>
      </c>
      <c r="Q3855" t="s">
        <v>2111</v>
      </c>
      <c r="S3855" t="s">
        <v>30</v>
      </c>
      <c r="T3855" t="s">
        <v>3283</v>
      </c>
      <c r="U3855" t="s">
        <v>3284</v>
      </c>
      <c r="V3855" t="s">
        <v>40</v>
      </c>
      <c r="W3855" s="1">
        <v>1110300</v>
      </c>
    </row>
    <row r="3856" spans="1:23" x14ac:dyDescent="0.2">
      <c r="A3856" t="s">
        <v>2096</v>
      </c>
      <c r="B3856" t="s">
        <v>2097</v>
      </c>
      <c r="C3856" t="s">
        <v>3190</v>
      </c>
      <c r="D3856" t="s">
        <v>3271</v>
      </c>
      <c r="E3856" t="s">
        <v>3272</v>
      </c>
      <c r="F3856" t="s">
        <v>3273</v>
      </c>
      <c r="G3856" t="s">
        <v>170</v>
      </c>
      <c r="H3856" t="s">
        <v>52</v>
      </c>
      <c r="I3856" t="s">
        <v>30</v>
      </c>
      <c r="J3856" t="s">
        <v>31</v>
      </c>
      <c r="K3856" t="s">
        <v>32</v>
      </c>
      <c r="L3856" t="s">
        <v>32</v>
      </c>
      <c r="M3856" t="s">
        <v>33</v>
      </c>
      <c r="N3856" t="s">
        <v>33</v>
      </c>
      <c r="O3856" t="s">
        <v>33</v>
      </c>
      <c r="P3856" t="s">
        <v>213</v>
      </c>
      <c r="Q3856" t="s">
        <v>2111</v>
      </c>
      <c r="R3856" t="s">
        <v>173</v>
      </c>
      <c r="S3856" t="s">
        <v>30</v>
      </c>
      <c r="T3856" t="s">
        <v>3285</v>
      </c>
      <c r="U3856" t="s">
        <v>3286</v>
      </c>
      <c r="V3856" t="s">
        <v>39</v>
      </c>
      <c r="W3856" s="1">
        <v>6</v>
      </c>
    </row>
    <row r="3857" spans="1:23" x14ac:dyDescent="0.2">
      <c r="A3857" t="s">
        <v>2096</v>
      </c>
      <c r="B3857" t="s">
        <v>2097</v>
      </c>
      <c r="C3857" t="s">
        <v>3190</v>
      </c>
      <c r="D3857" t="s">
        <v>3271</v>
      </c>
      <c r="E3857" t="s">
        <v>3272</v>
      </c>
      <c r="F3857" t="s">
        <v>3273</v>
      </c>
      <c r="G3857" t="s">
        <v>170</v>
      </c>
      <c r="H3857" t="s">
        <v>52</v>
      </c>
      <c r="I3857" t="s">
        <v>30</v>
      </c>
      <c r="J3857" t="s">
        <v>31</v>
      </c>
      <c r="K3857" t="s">
        <v>32</v>
      </c>
      <c r="L3857" t="s">
        <v>32</v>
      </c>
      <c r="M3857" t="s">
        <v>33</v>
      </c>
      <c r="N3857" t="s">
        <v>33</v>
      </c>
      <c r="O3857" t="s">
        <v>33</v>
      </c>
      <c r="P3857" t="s">
        <v>213</v>
      </c>
      <c r="Q3857" t="s">
        <v>2111</v>
      </c>
      <c r="R3857" t="s">
        <v>173</v>
      </c>
      <c r="S3857" t="s">
        <v>30</v>
      </c>
      <c r="T3857" t="s">
        <v>3285</v>
      </c>
      <c r="U3857" t="s">
        <v>3286</v>
      </c>
      <c r="V3857" t="s">
        <v>40</v>
      </c>
      <c r="W3857" s="1">
        <v>3713400</v>
      </c>
    </row>
    <row r="3858" spans="1:23" x14ac:dyDescent="0.2">
      <c r="A3858" t="s">
        <v>2096</v>
      </c>
      <c r="B3858" t="s">
        <v>2097</v>
      </c>
      <c r="C3858" t="s">
        <v>3190</v>
      </c>
      <c r="D3858" t="s">
        <v>3271</v>
      </c>
      <c r="E3858" t="s">
        <v>3272</v>
      </c>
      <c r="F3858" t="s">
        <v>3273</v>
      </c>
      <c r="G3858" t="s">
        <v>170</v>
      </c>
      <c r="H3858" t="s">
        <v>52</v>
      </c>
      <c r="I3858" t="s">
        <v>30</v>
      </c>
      <c r="J3858" t="s">
        <v>31</v>
      </c>
      <c r="K3858" t="s">
        <v>32</v>
      </c>
      <c r="L3858" t="s">
        <v>32</v>
      </c>
      <c r="M3858" t="s">
        <v>33</v>
      </c>
      <c r="N3858" t="s">
        <v>33</v>
      </c>
      <c r="O3858" t="s">
        <v>33</v>
      </c>
      <c r="P3858" t="s">
        <v>213</v>
      </c>
      <c r="Q3858" t="s">
        <v>2111</v>
      </c>
      <c r="R3858" t="s">
        <v>58</v>
      </c>
      <c r="S3858" t="s">
        <v>30</v>
      </c>
      <c r="T3858" t="s">
        <v>3287</v>
      </c>
      <c r="U3858" t="s">
        <v>3288</v>
      </c>
      <c r="V3858" t="s">
        <v>39</v>
      </c>
      <c r="W3858" s="1">
        <v>2</v>
      </c>
    </row>
    <row r="3859" spans="1:23" x14ac:dyDescent="0.2">
      <c r="A3859" t="s">
        <v>2096</v>
      </c>
      <c r="B3859" t="s">
        <v>2097</v>
      </c>
      <c r="C3859" t="s">
        <v>3190</v>
      </c>
      <c r="D3859" t="s">
        <v>3271</v>
      </c>
      <c r="E3859" t="s">
        <v>3272</v>
      </c>
      <c r="F3859" t="s">
        <v>3273</v>
      </c>
      <c r="G3859" t="s">
        <v>170</v>
      </c>
      <c r="H3859" t="s">
        <v>52</v>
      </c>
      <c r="I3859" t="s">
        <v>30</v>
      </c>
      <c r="J3859" t="s">
        <v>31</v>
      </c>
      <c r="K3859" t="s">
        <v>32</v>
      </c>
      <c r="L3859" t="s">
        <v>32</v>
      </c>
      <c r="M3859" t="s">
        <v>33</v>
      </c>
      <c r="N3859" t="s">
        <v>33</v>
      </c>
      <c r="O3859" t="s">
        <v>33</v>
      </c>
      <c r="P3859" t="s">
        <v>213</v>
      </c>
      <c r="Q3859" t="s">
        <v>2111</v>
      </c>
      <c r="R3859" t="s">
        <v>58</v>
      </c>
      <c r="S3859" t="s">
        <v>30</v>
      </c>
      <c r="T3859" t="s">
        <v>3287</v>
      </c>
      <c r="U3859" t="s">
        <v>3288</v>
      </c>
      <c r="V3859" t="s">
        <v>40</v>
      </c>
      <c r="W3859" s="1">
        <v>1199800</v>
      </c>
    </row>
    <row r="3860" spans="1:23" x14ac:dyDescent="0.2">
      <c r="A3860" t="s">
        <v>2096</v>
      </c>
      <c r="B3860" t="s">
        <v>2097</v>
      </c>
      <c r="C3860" t="s">
        <v>3190</v>
      </c>
      <c r="D3860" t="s">
        <v>3271</v>
      </c>
      <c r="E3860" t="s">
        <v>3272</v>
      </c>
      <c r="F3860" t="s">
        <v>3273</v>
      </c>
      <c r="G3860" t="s">
        <v>64</v>
      </c>
      <c r="H3860" t="s">
        <v>30</v>
      </c>
      <c r="I3860" t="s">
        <v>52</v>
      </c>
      <c r="J3860" t="s">
        <v>31</v>
      </c>
      <c r="K3860" t="s">
        <v>32</v>
      </c>
      <c r="L3860" t="s">
        <v>32</v>
      </c>
      <c r="M3860" t="s">
        <v>33</v>
      </c>
      <c r="P3860" t="s">
        <v>213</v>
      </c>
      <c r="Q3860" t="s">
        <v>2111</v>
      </c>
      <c r="S3860" t="s">
        <v>52</v>
      </c>
      <c r="T3860" t="s">
        <v>3289</v>
      </c>
      <c r="U3860" t="s">
        <v>3290</v>
      </c>
      <c r="V3860" t="s">
        <v>39</v>
      </c>
      <c r="W3860" s="1">
        <v>0</v>
      </c>
    </row>
    <row r="3861" spans="1:23" x14ac:dyDescent="0.2">
      <c r="A3861" t="s">
        <v>2096</v>
      </c>
      <c r="B3861" t="s">
        <v>2097</v>
      </c>
      <c r="C3861" t="s">
        <v>3190</v>
      </c>
      <c r="D3861" t="s">
        <v>3271</v>
      </c>
      <c r="E3861" t="s">
        <v>3272</v>
      </c>
      <c r="F3861" t="s">
        <v>3273</v>
      </c>
      <c r="G3861" t="s">
        <v>64</v>
      </c>
      <c r="H3861" t="s">
        <v>30</v>
      </c>
      <c r="I3861" t="s">
        <v>52</v>
      </c>
      <c r="J3861" t="s">
        <v>31</v>
      </c>
      <c r="K3861" t="s">
        <v>32</v>
      </c>
      <c r="L3861" t="s">
        <v>32</v>
      </c>
      <c r="M3861" t="s">
        <v>33</v>
      </c>
      <c r="P3861" t="s">
        <v>213</v>
      </c>
      <c r="Q3861" t="s">
        <v>2111</v>
      </c>
      <c r="S3861" t="s">
        <v>52</v>
      </c>
      <c r="T3861" t="s">
        <v>3289</v>
      </c>
      <c r="U3861" t="s">
        <v>3290</v>
      </c>
      <c r="V3861" t="s">
        <v>40</v>
      </c>
      <c r="W3861" s="1">
        <v>702900</v>
      </c>
    </row>
    <row r="3862" spans="1:23" x14ac:dyDescent="0.2">
      <c r="A3862" t="s">
        <v>2096</v>
      </c>
      <c r="B3862" t="s">
        <v>2097</v>
      </c>
      <c r="C3862" t="s">
        <v>3190</v>
      </c>
      <c r="D3862" t="s">
        <v>3271</v>
      </c>
      <c r="E3862" t="s">
        <v>3272</v>
      </c>
      <c r="F3862" t="s">
        <v>3273</v>
      </c>
      <c r="G3862" t="s">
        <v>67</v>
      </c>
      <c r="H3862" t="s">
        <v>30</v>
      </c>
      <c r="I3862" t="s">
        <v>30</v>
      </c>
      <c r="J3862" t="s">
        <v>31</v>
      </c>
      <c r="K3862" t="s">
        <v>32</v>
      </c>
      <c r="L3862" t="s">
        <v>32</v>
      </c>
      <c r="M3862" t="s">
        <v>33</v>
      </c>
      <c r="N3862" t="s">
        <v>33</v>
      </c>
      <c r="O3862" t="s">
        <v>33</v>
      </c>
      <c r="P3862" t="s">
        <v>34</v>
      </c>
      <c r="Q3862" t="s">
        <v>35</v>
      </c>
      <c r="S3862" t="s">
        <v>30</v>
      </c>
      <c r="T3862" t="s">
        <v>3291</v>
      </c>
      <c r="U3862" t="s">
        <v>3292</v>
      </c>
      <c r="V3862" t="s">
        <v>39</v>
      </c>
      <c r="W3862" s="1">
        <v>6</v>
      </c>
    </row>
    <row r="3863" spans="1:23" x14ac:dyDescent="0.2">
      <c r="A3863" t="s">
        <v>2096</v>
      </c>
      <c r="B3863" t="s">
        <v>2097</v>
      </c>
      <c r="C3863" t="s">
        <v>3190</v>
      </c>
      <c r="D3863" t="s">
        <v>3271</v>
      </c>
      <c r="E3863" t="s">
        <v>3272</v>
      </c>
      <c r="F3863" t="s">
        <v>3273</v>
      </c>
      <c r="G3863" t="s">
        <v>67</v>
      </c>
      <c r="H3863" t="s">
        <v>30</v>
      </c>
      <c r="I3863" t="s">
        <v>30</v>
      </c>
      <c r="J3863" t="s">
        <v>31</v>
      </c>
      <c r="K3863" t="s">
        <v>32</v>
      </c>
      <c r="L3863" t="s">
        <v>32</v>
      </c>
      <c r="M3863" t="s">
        <v>33</v>
      </c>
      <c r="N3863" t="s">
        <v>33</v>
      </c>
      <c r="O3863" t="s">
        <v>33</v>
      </c>
      <c r="P3863" t="s">
        <v>34</v>
      </c>
      <c r="Q3863" t="s">
        <v>35</v>
      </c>
      <c r="S3863" t="s">
        <v>30</v>
      </c>
      <c r="T3863" t="s">
        <v>3291</v>
      </c>
      <c r="U3863" t="s">
        <v>3292</v>
      </c>
      <c r="V3863" t="s">
        <v>40</v>
      </c>
      <c r="W3863" s="1">
        <v>5045400</v>
      </c>
    </row>
    <row r="3864" spans="1:23" x14ac:dyDescent="0.2">
      <c r="A3864" t="s">
        <v>2096</v>
      </c>
      <c r="B3864" t="s">
        <v>2097</v>
      </c>
      <c r="C3864" t="s">
        <v>3190</v>
      </c>
      <c r="D3864" t="s">
        <v>3271</v>
      </c>
      <c r="E3864" t="s">
        <v>3272</v>
      </c>
      <c r="F3864" t="s">
        <v>3273</v>
      </c>
      <c r="G3864" t="s">
        <v>67</v>
      </c>
      <c r="H3864" t="s">
        <v>30</v>
      </c>
      <c r="I3864" t="s">
        <v>30</v>
      </c>
      <c r="J3864" t="s">
        <v>31</v>
      </c>
      <c r="K3864" t="s">
        <v>32</v>
      </c>
      <c r="L3864" t="s">
        <v>32</v>
      </c>
      <c r="M3864" t="s">
        <v>33</v>
      </c>
      <c r="P3864" t="s">
        <v>34</v>
      </c>
      <c r="Q3864" t="s">
        <v>35</v>
      </c>
      <c r="R3864" t="s">
        <v>184</v>
      </c>
      <c r="S3864" t="s">
        <v>30</v>
      </c>
      <c r="T3864" t="s">
        <v>3293</v>
      </c>
      <c r="U3864" t="s">
        <v>3294</v>
      </c>
      <c r="V3864" t="s">
        <v>39</v>
      </c>
      <c r="W3864" s="1">
        <v>6</v>
      </c>
    </row>
    <row r="3865" spans="1:23" x14ac:dyDescent="0.2">
      <c r="A3865" t="s">
        <v>2096</v>
      </c>
      <c r="B3865" t="s">
        <v>2097</v>
      </c>
      <c r="C3865" t="s">
        <v>3190</v>
      </c>
      <c r="D3865" t="s">
        <v>3271</v>
      </c>
      <c r="E3865" t="s">
        <v>3272</v>
      </c>
      <c r="F3865" t="s">
        <v>3273</v>
      </c>
      <c r="G3865" t="s">
        <v>67</v>
      </c>
      <c r="H3865" t="s">
        <v>30</v>
      </c>
      <c r="I3865" t="s">
        <v>30</v>
      </c>
      <c r="J3865" t="s">
        <v>31</v>
      </c>
      <c r="K3865" t="s">
        <v>32</v>
      </c>
      <c r="L3865" t="s">
        <v>32</v>
      </c>
      <c r="M3865" t="s">
        <v>33</v>
      </c>
      <c r="P3865" t="s">
        <v>34</v>
      </c>
      <c r="Q3865" t="s">
        <v>35</v>
      </c>
      <c r="R3865" t="s">
        <v>184</v>
      </c>
      <c r="S3865" t="s">
        <v>30</v>
      </c>
      <c r="T3865" t="s">
        <v>3293</v>
      </c>
      <c r="U3865" t="s">
        <v>3294</v>
      </c>
      <c r="V3865" t="s">
        <v>40</v>
      </c>
      <c r="W3865" s="1">
        <v>2417400</v>
      </c>
    </row>
    <row r="3866" spans="1:23" x14ac:dyDescent="0.2">
      <c r="A3866" t="s">
        <v>2096</v>
      </c>
      <c r="B3866" t="s">
        <v>2097</v>
      </c>
      <c r="C3866" t="s">
        <v>3190</v>
      </c>
      <c r="D3866" t="s">
        <v>3271</v>
      </c>
      <c r="E3866" t="s">
        <v>3272</v>
      </c>
      <c r="F3866" t="s">
        <v>3273</v>
      </c>
      <c r="G3866" t="s">
        <v>67</v>
      </c>
      <c r="H3866" t="s">
        <v>30</v>
      </c>
      <c r="I3866" t="s">
        <v>30</v>
      </c>
      <c r="J3866" t="s">
        <v>31</v>
      </c>
      <c r="K3866" t="s">
        <v>32</v>
      </c>
      <c r="L3866" t="s">
        <v>32</v>
      </c>
      <c r="M3866" t="s">
        <v>33</v>
      </c>
      <c r="P3866" t="s">
        <v>34</v>
      </c>
      <c r="Q3866" t="s">
        <v>35</v>
      </c>
      <c r="S3866" t="s">
        <v>52</v>
      </c>
      <c r="T3866" t="s">
        <v>3295</v>
      </c>
      <c r="U3866" t="s">
        <v>3296</v>
      </c>
      <c r="V3866" t="s">
        <v>39</v>
      </c>
      <c r="W3866" s="1">
        <v>0</v>
      </c>
    </row>
    <row r="3867" spans="1:23" x14ac:dyDescent="0.2">
      <c r="A3867" t="s">
        <v>2096</v>
      </c>
      <c r="B3867" t="s">
        <v>2097</v>
      </c>
      <c r="C3867" t="s">
        <v>3190</v>
      </c>
      <c r="D3867" t="s">
        <v>3271</v>
      </c>
      <c r="E3867" t="s">
        <v>3272</v>
      </c>
      <c r="F3867" t="s">
        <v>3273</v>
      </c>
      <c r="G3867" t="s">
        <v>67</v>
      </c>
      <c r="H3867" t="s">
        <v>30</v>
      </c>
      <c r="I3867" t="s">
        <v>30</v>
      </c>
      <c r="J3867" t="s">
        <v>31</v>
      </c>
      <c r="K3867" t="s">
        <v>32</v>
      </c>
      <c r="L3867" t="s">
        <v>32</v>
      </c>
      <c r="M3867" t="s">
        <v>33</v>
      </c>
      <c r="P3867" t="s">
        <v>34</v>
      </c>
      <c r="Q3867" t="s">
        <v>35</v>
      </c>
      <c r="S3867" t="s">
        <v>52</v>
      </c>
      <c r="T3867" t="s">
        <v>3295</v>
      </c>
      <c r="U3867" t="s">
        <v>3296</v>
      </c>
      <c r="V3867" t="s">
        <v>40</v>
      </c>
      <c r="W3867" s="1">
        <v>375800</v>
      </c>
    </row>
    <row r="3868" spans="1:23" x14ac:dyDescent="0.2">
      <c r="A3868" t="s">
        <v>2096</v>
      </c>
      <c r="B3868" t="s">
        <v>2097</v>
      </c>
      <c r="C3868" t="s">
        <v>3190</v>
      </c>
      <c r="D3868" t="s">
        <v>3271</v>
      </c>
      <c r="E3868" t="s">
        <v>3272</v>
      </c>
      <c r="F3868" t="s">
        <v>3273</v>
      </c>
      <c r="G3868" t="s">
        <v>67</v>
      </c>
      <c r="H3868" t="s">
        <v>30</v>
      </c>
      <c r="I3868" t="s">
        <v>30</v>
      </c>
      <c r="J3868" t="s">
        <v>41</v>
      </c>
      <c r="K3868" t="s">
        <v>32</v>
      </c>
      <c r="L3868" t="s">
        <v>32</v>
      </c>
      <c r="M3868" t="s">
        <v>33</v>
      </c>
      <c r="N3868" t="s">
        <v>33</v>
      </c>
      <c r="O3868" t="s">
        <v>33</v>
      </c>
      <c r="P3868" t="s">
        <v>213</v>
      </c>
      <c r="Q3868" t="s">
        <v>2111</v>
      </c>
      <c r="S3868" t="s">
        <v>30</v>
      </c>
      <c r="T3868" t="s">
        <v>2357</v>
      </c>
      <c r="U3868" t="s">
        <v>3297</v>
      </c>
      <c r="V3868" t="s">
        <v>39</v>
      </c>
      <c r="W3868" s="1">
        <v>6</v>
      </c>
    </row>
    <row r="3869" spans="1:23" x14ac:dyDescent="0.2">
      <c r="A3869" t="s">
        <v>2096</v>
      </c>
      <c r="B3869" t="s">
        <v>2097</v>
      </c>
      <c r="C3869" t="s">
        <v>3190</v>
      </c>
      <c r="D3869" t="s">
        <v>3271</v>
      </c>
      <c r="E3869" t="s">
        <v>3272</v>
      </c>
      <c r="F3869" t="s">
        <v>3273</v>
      </c>
      <c r="G3869" t="s">
        <v>67</v>
      </c>
      <c r="H3869" t="s">
        <v>30</v>
      </c>
      <c r="I3869" t="s">
        <v>30</v>
      </c>
      <c r="J3869" t="s">
        <v>41</v>
      </c>
      <c r="K3869" t="s">
        <v>32</v>
      </c>
      <c r="L3869" t="s">
        <v>32</v>
      </c>
      <c r="M3869" t="s">
        <v>33</v>
      </c>
      <c r="N3869" t="s">
        <v>33</v>
      </c>
      <c r="O3869" t="s">
        <v>33</v>
      </c>
      <c r="P3869" t="s">
        <v>213</v>
      </c>
      <c r="Q3869" t="s">
        <v>2111</v>
      </c>
      <c r="S3869" t="s">
        <v>30</v>
      </c>
      <c r="T3869" t="s">
        <v>2357</v>
      </c>
      <c r="U3869" t="s">
        <v>3297</v>
      </c>
      <c r="V3869" t="s">
        <v>40</v>
      </c>
      <c r="W3869" s="1">
        <v>5351400</v>
      </c>
    </row>
    <row r="3870" spans="1:23" x14ac:dyDescent="0.2">
      <c r="A3870" t="s">
        <v>2096</v>
      </c>
      <c r="B3870" t="s">
        <v>2097</v>
      </c>
      <c r="C3870" t="s">
        <v>3190</v>
      </c>
      <c r="D3870" t="s">
        <v>3271</v>
      </c>
      <c r="E3870" t="s">
        <v>3272</v>
      </c>
      <c r="F3870" t="s">
        <v>3273</v>
      </c>
      <c r="G3870" t="s">
        <v>89</v>
      </c>
      <c r="H3870" t="s">
        <v>30</v>
      </c>
      <c r="I3870" t="s">
        <v>30</v>
      </c>
      <c r="J3870" t="s">
        <v>31</v>
      </c>
      <c r="K3870" t="s">
        <v>32</v>
      </c>
      <c r="L3870" t="s">
        <v>32</v>
      </c>
      <c r="M3870" t="s">
        <v>33</v>
      </c>
      <c r="N3870" t="s">
        <v>33</v>
      </c>
      <c r="O3870" t="s">
        <v>33</v>
      </c>
      <c r="P3870" t="s">
        <v>213</v>
      </c>
      <c r="Q3870" t="s">
        <v>2111</v>
      </c>
      <c r="S3870" t="s">
        <v>30</v>
      </c>
      <c r="T3870" t="s">
        <v>3298</v>
      </c>
      <c r="U3870" t="s">
        <v>3299</v>
      </c>
      <c r="V3870" t="s">
        <v>39</v>
      </c>
      <c r="W3870" s="1">
        <v>2</v>
      </c>
    </row>
    <row r="3871" spans="1:23" x14ac:dyDescent="0.2">
      <c r="A3871" t="s">
        <v>2096</v>
      </c>
      <c r="B3871" t="s">
        <v>2097</v>
      </c>
      <c r="C3871" t="s">
        <v>3190</v>
      </c>
      <c r="D3871" t="s">
        <v>3271</v>
      </c>
      <c r="E3871" t="s">
        <v>3272</v>
      </c>
      <c r="F3871" t="s">
        <v>3273</v>
      </c>
      <c r="G3871" t="s">
        <v>89</v>
      </c>
      <c r="H3871" t="s">
        <v>30</v>
      </c>
      <c r="I3871" t="s">
        <v>30</v>
      </c>
      <c r="J3871" t="s">
        <v>31</v>
      </c>
      <c r="K3871" t="s">
        <v>32</v>
      </c>
      <c r="L3871" t="s">
        <v>32</v>
      </c>
      <c r="M3871" t="s">
        <v>33</v>
      </c>
      <c r="N3871" t="s">
        <v>33</v>
      </c>
      <c r="O3871" t="s">
        <v>33</v>
      </c>
      <c r="P3871" t="s">
        <v>213</v>
      </c>
      <c r="Q3871" t="s">
        <v>2111</v>
      </c>
      <c r="S3871" t="s">
        <v>30</v>
      </c>
      <c r="T3871" t="s">
        <v>3298</v>
      </c>
      <c r="U3871" t="s">
        <v>3299</v>
      </c>
      <c r="V3871" t="s">
        <v>40</v>
      </c>
      <c r="W3871" s="1">
        <v>2279800</v>
      </c>
    </row>
    <row r="3872" spans="1:23" x14ac:dyDescent="0.2">
      <c r="A3872" t="s">
        <v>2096</v>
      </c>
      <c r="B3872" t="s">
        <v>2097</v>
      </c>
      <c r="C3872" t="s">
        <v>3190</v>
      </c>
      <c r="D3872" t="s">
        <v>3271</v>
      </c>
      <c r="E3872" t="s">
        <v>3272</v>
      </c>
      <c r="F3872" t="s">
        <v>3273</v>
      </c>
      <c r="G3872" t="s">
        <v>89</v>
      </c>
      <c r="H3872" t="s">
        <v>30</v>
      </c>
      <c r="I3872" t="s">
        <v>30</v>
      </c>
      <c r="J3872" t="s">
        <v>31</v>
      </c>
      <c r="K3872" t="s">
        <v>32</v>
      </c>
      <c r="L3872" t="s">
        <v>32</v>
      </c>
      <c r="M3872" t="s">
        <v>33</v>
      </c>
      <c r="N3872" t="s">
        <v>33</v>
      </c>
      <c r="O3872" t="s">
        <v>33</v>
      </c>
      <c r="P3872" t="s">
        <v>34</v>
      </c>
      <c r="Q3872" t="s">
        <v>35</v>
      </c>
      <c r="S3872" t="s">
        <v>30</v>
      </c>
      <c r="T3872" t="s">
        <v>3300</v>
      </c>
      <c r="U3872" t="s">
        <v>3301</v>
      </c>
      <c r="V3872" t="s">
        <v>39</v>
      </c>
      <c r="W3872" s="1">
        <v>3</v>
      </c>
    </row>
    <row r="3873" spans="1:23" x14ac:dyDescent="0.2">
      <c r="A3873" t="s">
        <v>2096</v>
      </c>
      <c r="B3873" t="s">
        <v>2097</v>
      </c>
      <c r="C3873" t="s">
        <v>3190</v>
      </c>
      <c r="D3873" t="s">
        <v>3271</v>
      </c>
      <c r="E3873" t="s">
        <v>3272</v>
      </c>
      <c r="F3873" t="s">
        <v>3273</v>
      </c>
      <c r="G3873" t="s">
        <v>89</v>
      </c>
      <c r="H3873" t="s">
        <v>30</v>
      </c>
      <c r="I3873" t="s">
        <v>30</v>
      </c>
      <c r="J3873" t="s">
        <v>31</v>
      </c>
      <c r="K3873" t="s">
        <v>32</v>
      </c>
      <c r="L3873" t="s">
        <v>32</v>
      </c>
      <c r="M3873" t="s">
        <v>33</v>
      </c>
      <c r="N3873" t="s">
        <v>33</v>
      </c>
      <c r="O3873" t="s">
        <v>33</v>
      </c>
      <c r="P3873" t="s">
        <v>34</v>
      </c>
      <c r="Q3873" t="s">
        <v>35</v>
      </c>
      <c r="S3873" t="s">
        <v>30</v>
      </c>
      <c r="T3873" t="s">
        <v>3300</v>
      </c>
      <c r="U3873" t="s">
        <v>3301</v>
      </c>
      <c r="V3873" t="s">
        <v>40</v>
      </c>
      <c r="W3873" s="1">
        <v>2463000</v>
      </c>
    </row>
    <row r="3874" spans="1:23" x14ac:dyDescent="0.2">
      <c r="A3874" t="s">
        <v>2096</v>
      </c>
      <c r="B3874" t="s">
        <v>2097</v>
      </c>
      <c r="C3874" t="s">
        <v>3190</v>
      </c>
      <c r="D3874" t="s">
        <v>3271</v>
      </c>
      <c r="E3874" t="s">
        <v>3272</v>
      </c>
      <c r="F3874" t="s">
        <v>3273</v>
      </c>
      <c r="G3874" t="s">
        <v>89</v>
      </c>
      <c r="H3874" t="s">
        <v>30</v>
      </c>
      <c r="I3874" t="s">
        <v>30</v>
      </c>
      <c r="J3874" t="s">
        <v>31</v>
      </c>
      <c r="K3874" t="s">
        <v>32</v>
      </c>
      <c r="L3874" t="s">
        <v>32</v>
      </c>
      <c r="M3874" t="s">
        <v>33</v>
      </c>
      <c r="N3874" t="s">
        <v>169</v>
      </c>
      <c r="O3874" t="s">
        <v>169</v>
      </c>
      <c r="P3874" t="s">
        <v>213</v>
      </c>
      <c r="Q3874" t="s">
        <v>2111</v>
      </c>
      <c r="S3874" t="s">
        <v>30</v>
      </c>
      <c r="T3874" t="s">
        <v>3298</v>
      </c>
      <c r="U3874" t="s">
        <v>3299</v>
      </c>
      <c r="V3874" t="s">
        <v>39</v>
      </c>
      <c r="W3874" s="1">
        <v>1</v>
      </c>
    </row>
    <row r="3875" spans="1:23" x14ac:dyDescent="0.2">
      <c r="A3875" t="s">
        <v>2096</v>
      </c>
      <c r="B3875" t="s">
        <v>2097</v>
      </c>
      <c r="C3875" t="s">
        <v>3190</v>
      </c>
      <c r="D3875" t="s">
        <v>3271</v>
      </c>
      <c r="E3875" t="s">
        <v>3272</v>
      </c>
      <c r="F3875" t="s">
        <v>3273</v>
      </c>
      <c r="G3875" t="s">
        <v>89</v>
      </c>
      <c r="H3875" t="s">
        <v>30</v>
      </c>
      <c r="I3875" t="s">
        <v>30</v>
      </c>
      <c r="J3875" t="s">
        <v>31</v>
      </c>
      <c r="K3875" t="s">
        <v>32</v>
      </c>
      <c r="L3875" t="s">
        <v>32</v>
      </c>
      <c r="M3875" t="s">
        <v>33</v>
      </c>
      <c r="N3875" t="s">
        <v>169</v>
      </c>
      <c r="O3875" t="s">
        <v>169</v>
      </c>
      <c r="P3875" t="s">
        <v>213</v>
      </c>
      <c r="Q3875" t="s">
        <v>2111</v>
      </c>
      <c r="S3875" t="s">
        <v>30</v>
      </c>
      <c r="T3875" t="s">
        <v>3298</v>
      </c>
      <c r="U3875" t="s">
        <v>3299</v>
      </c>
      <c r="V3875" t="s">
        <v>40</v>
      </c>
      <c r="W3875" s="1">
        <v>1139900</v>
      </c>
    </row>
    <row r="3876" spans="1:23" x14ac:dyDescent="0.2">
      <c r="A3876" t="s">
        <v>2096</v>
      </c>
      <c r="B3876" t="s">
        <v>2097</v>
      </c>
      <c r="C3876" t="s">
        <v>3190</v>
      </c>
      <c r="D3876" t="s">
        <v>3271</v>
      </c>
      <c r="E3876" t="s">
        <v>3272</v>
      </c>
      <c r="F3876" t="s">
        <v>3273</v>
      </c>
      <c r="G3876" t="s">
        <v>89</v>
      </c>
      <c r="H3876" t="s">
        <v>30</v>
      </c>
      <c r="I3876" t="s">
        <v>30</v>
      </c>
      <c r="J3876" t="s">
        <v>31</v>
      </c>
      <c r="K3876" t="s">
        <v>32</v>
      </c>
      <c r="L3876" t="s">
        <v>32</v>
      </c>
      <c r="M3876" t="s">
        <v>176</v>
      </c>
      <c r="N3876" t="s">
        <v>195</v>
      </c>
      <c r="O3876" t="s">
        <v>195</v>
      </c>
      <c r="P3876" t="s">
        <v>213</v>
      </c>
      <c r="Q3876" t="s">
        <v>2111</v>
      </c>
      <c r="S3876" t="s">
        <v>30</v>
      </c>
      <c r="T3876" t="s">
        <v>3298</v>
      </c>
      <c r="U3876" t="s">
        <v>3299</v>
      </c>
      <c r="V3876" t="s">
        <v>39</v>
      </c>
      <c r="W3876" s="1">
        <v>1</v>
      </c>
    </row>
    <row r="3877" spans="1:23" x14ac:dyDescent="0.2">
      <c r="A3877" t="s">
        <v>2096</v>
      </c>
      <c r="B3877" t="s">
        <v>2097</v>
      </c>
      <c r="C3877" t="s">
        <v>3190</v>
      </c>
      <c r="D3877" t="s">
        <v>3271</v>
      </c>
      <c r="E3877" t="s">
        <v>3272</v>
      </c>
      <c r="F3877" t="s">
        <v>3273</v>
      </c>
      <c r="G3877" t="s">
        <v>89</v>
      </c>
      <c r="H3877" t="s">
        <v>30</v>
      </c>
      <c r="I3877" t="s">
        <v>30</v>
      </c>
      <c r="J3877" t="s">
        <v>31</v>
      </c>
      <c r="K3877" t="s">
        <v>32</v>
      </c>
      <c r="L3877" t="s">
        <v>32</v>
      </c>
      <c r="M3877" t="s">
        <v>176</v>
      </c>
      <c r="N3877" t="s">
        <v>195</v>
      </c>
      <c r="O3877" t="s">
        <v>195</v>
      </c>
      <c r="P3877" t="s">
        <v>213</v>
      </c>
      <c r="Q3877" t="s">
        <v>2111</v>
      </c>
      <c r="S3877" t="s">
        <v>30</v>
      </c>
      <c r="T3877" t="s">
        <v>3298</v>
      </c>
      <c r="U3877" t="s">
        <v>3299</v>
      </c>
      <c r="V3877" t="s">
        <v>40</v>
      </c>
      <c r="W3877" s="1">
        <v>1139900</v>
      </c>
    </row>
    <row r="3878" spans="1:23" x14ac:dyDescent="0.2">
      <c r="A3878" t="s">
        <v>2096</v>
      </c>
      <c r="B3878" t="s">
        <v>2097</v>
      </c>
      <c r="C3878" t="s">
        <v>3190</v>
      </c>
      <c r="D3878" t="s">
        <v>3271</v>
      </c>
      <c r="E3878" t="s">
        <v>3272</v>
      </c>
      <c r="F3878" t="s">
        <v>3273</v>
      </c>
      <c r="G3878" t="s">
        <v>89</v>
      </c>
      <c r="H3878" t="s">
        <v>30</v>
      </c>
      <c r="I3878" t="s">
        <v>30</v>
      </c>
      <c r="J3878" t="s">
        <v>41</v>
      </c>
      <c r="K3878" t="s">
        <v>32</v>
      </c>
      <c r="L3878" t="s">
        <v>32</v>
      </c>
      <c r="M3878" t="s">
        <v>33</v>
      </c>
      <c r="N3878" t="s">
        <v>33</v>
      </c>
      <c r="O3878" t="s">
        <v>33</v>
      </c>
      <c r="P3878" t="s">
        <v>213</v>
      </c>
      <c r="Q3878" t="s">
        <v>2111</v>
      </c>
      <c r="S3878" t="s">
        <v>30</v>
      </c>
      <c r="T3878" t="s">
        <v>3302</v>
      </c>
      <c r="U3878" t="s">
        <v>3303</v>
      </c>
      <c r="V3878" t="s">
        <v>39</v>
      </c>
      <c r="W3878" s="1">
        <v>2</v>
      </c>
    </row>
    <row r="3879" spans="1:23" x14ac:dyDescent="0.2">
      <c r="A3879" t="s">
        <v>2096</v>
      </c>
      <c r="B3879" t="s">
        <v>2097</v>
      </c>
      <c r="C3879" t="s">
        <v>3190</v>
      </c>
      <c r="D3879" t="s">
        <v>3271</v>
      </c>
      <c r="E3879" t="s">
        <v>3272</v>
      </c>
      <c r="F3879" t="s">
        <v>3273</v>
      </c>
      <c r="G3879" t="s">
        <v>89</v>
      </c>
      <c r="H3879" t="s">
        <v>30</v>
      </c>
      <c r="I3879" t="s">
        <v>30</v>
      </c>
      <c r="J3879" t="s">
        <v>41</v>
      </c>
      <c r="K3879" t="s">
        <v>32</v>
      </c>
      <c r="L3879" t="s">
        <v>32</v>
      </c>
      <c r="M3879" t="s">
        <v>33</v>
      </c>
      <c r="N3879" t="s">
        <v>33</v>
      </c>
      <c r="O3879" t="s">
        <v>33</v>
      </c>
      <c r="P3879" t="s">
        <v>213</v>
      </c>
      <c r="Q3879" t="s">
        <v>2111</v>
      </c>
      <c r="S3879" t="s">
        <v>30</v>
      </c>
      <c r="T3879" t="s">
        <v>3302</v>
      </c>
      <c r="U3879" t="s">
        <v>3303</v>
      </c>
      <c r="V3879" t="s">
        <v>40</v>
      </c>
      <c r="W3879" s="1">
        <v>2199800</v>
      </c>
    </row>
    <row r="3880" spans="1:23" x14ac:dyDescent="0.2">
      <c r="A3880" t="s">
        <v>2096</v>
      </c>
      <c r="B3880" t="s">
        <v>2097</v>
      </c>
      <c r="C3880" t="s">
        <v>3190</v>
      </c>
      <c r="D3880" t="s">
        <v>3271</v>
      </c>
      <c r="E3880" t="s">
        <v>3272</v>
      </c>
      <c r="F3880" t="s">
        <v>3273</v>
      </c>
      <c r="G3880" t="s">
        <v>106</v>
      </c>
      <c r="H3880" t="s">
        <v>30</v>
      </c>
      <c r="I3880" t="s">
        <v>30</v>
      </c>
      <c r="J3880" t="s">
        <v>31</v>
      </c>
      <c r="K3880" t="s">
        <v>32</v>
      </c>
      <c r="L3880" t="s">
        <v>32</v>
      </c>
      <c r="M3880" t="s">
        <v>33</v>
      </c>
      <c r="N3880" t="s">
        <v>33</v>
      </c>
      <c r="O3880" t="s">
        <v>33</v>
      </c>
      <c r="P3880" t="s">
        <v>213</v>
      </c>
      <c r="Q3880" t="s">
        <v>2111</v>
      </c>
      <c r="R3880" t="s">
        <v>2215</v>
      </c>
      <c r="S3880" t="s">
        <v>30</v>
      </c>
      <c r="T3880" t="s">
        <v>3304</v>
      </c>
      <c r="U3880" t="s">
        <v>3305</v>
      </c>
      <c r="V3880" t="s">
        <v>39</v>
      </c>
      <c r="W3880" s="1">
        <v>2</v>
      </c>
    </row>
    <row r="3881" spans="1:23" x14ac:dyDescent="0.2">
      <c r="A3881" t="s">
        <v>2096</v>
      </c>
      <c r="B3881" t="s">
        <v>2097</v>
      </c>
      <c r="C3881" t="s">
        <v>3190</v>
      </c>
      <c r="D3881" t="s">
        <v>3271</v>
      </c>
      <c r="E3881" t="s">
        <v>3272</v>
      </c>
      <c r="F3881" t="s">
        <v>3273</v>
      </c>
      <c r="G3881" t="s">
        <v>106</v>
      </c>
      <c r="H3881" t="s">
        <v>30</v>
      </c>
      <c r="I3881" t="s">
        <v>30</v>
      </c>
      <c r="J3881" t="s">
        <v>31</v>
      </c>
      <c r="K3881" t="s">
        <v>32</v>
      </c>
      <c r="L3881" t="s">
        <v>32</v>
      </c>
      <c r="M3881" t="s">
        <v>33</v>
      </c>
      <c r="N3881" t="s">
        <v>33</v>
      </c>
      <c r="O3881" t="s">
        <v>33</v>
      </c>
      <c r="P3881" t="s">
        <v>213</v>
      </c>
      <c r="Q3881" t="s">
        <v>2111</v>
      </c>
      <c r="R3881" t="s">
        <v>2215</v>
      </c>
      <c r="S3881" t="s">
        <v>30</v>
      </c>
      <c r="T3881" t="s">
        <v>3304</v>
      </c>
      <c r="U3881" t="s">
        <v>3305</v>
      </c>
      <c r="V3881" t="s">
        <v>40</v>
      </c>
      <c r="W3881" s="1">
        <v>577800</v>
      </c>
    </row>
    <row r="3882" spans="1:23" x14ac:dyDescent="0.2">
      <c r="A3882" t="s">
        <v>2096</v>
      </c>
      <c r="B3882" t="s">
        <v>2097</v>
      </c>
      <c r="C3882" t="s">
        <v>3190</v>
      </c>
      <c r="D3882" t="s">
        <v>3271</v>
      </c>
      <c r="E3882" t="s">
        <v>3272</v>
      </c>
      <c r="F3882" t="s">
        <v>3273</v>
      </c>
      <c r="G3882" t="s">
        <v>106</v>
      </c>
      <c r="H3882" t="s">
        <v>30</v>
      </c>
      <c r="I3882" t="s">
        <v>30</v>
      </c>
      <c r="J3882" t="s">
        <v>31</v>
      </c>
      <c r="K3882" t="s">
        <v>32</v>
      </c>
      <c r="L3882" t="s">
        <v>32</v>
      </c>
      <c r="M3882" t="s">
        <v>33</v>
      </c>
      <c r="N3882" t="s">
        <v>33</v>
      </c>
      <c r="O3882" t="s">
        <v>33</v>
      </c>
      <c r="P3882" t="s">
        <v>34</v>
      </c>
      <c r="Q3882" t="s">
        <v>35</v>
      </c>
      <c r="S3882" t="s">
        <v>30</v>
      </c>
      <c r="T3882" t="s">
        <v>410</v>
      </c>
      <c r="U3882" t="s">
        <v>3306</v>
      </c>
      <c r="V3882" t="s">
        <v>39</v>
      </c>
      <c r="W3882" s="1">
        <v>4</v>
      </c>
    </row>
    <row r="3883" spans="1:23" x14ac:dyDescent="0.2">
      <c r="A3883" t="s">
        <v>2096</v>
      </c>
      <c r="B3883" t="s">
        <v>2097</v>
      </c>
      <c r="C3883" t="s">
        <v>3190</v>
      </c>
      <c r="D3883" t="s">
        <v>3271</v>
      </c>
      <c r="E3883" t="s">
        <v>3272</v>
      </c>
      <c r="F3883" t="s">
        <v>3273</v>
      </c>
      <c r="G3883" t="s">
        <v>106</v>
      </c>
      <c r="H3883" t="s">
        <v>30</v>
      </c>
      <c r="I3883" t="s">
        <v>30</v>
      </c>
      <c r="J3883" t="s">
        <v>31</v>
      </c>
      <c r="K3883" t="s">
        <v>32</v>
      </c>
      <c r="L3883" t="s">
        <v>32</v>
      </c>
      <c r="M3883" t="s">
        <v>33</v>
      </c>
      <c r="N3883" t="s">
        <v>33</v>
      </c>
      <c r="O3883" t="s">
        <v>33</v>
      </c>
      <c r="P3883" t="s">
        <v>34</v>
      </c>
      <c r="Q3883" t="s">
        <v>35</v>
      </c>
      <c r="S3883" t="s">
        <v>30</v>
      </c>
      <c r="T3883" t="s">
        <v>410</v>
      </c>
      <c r="U3883" t="s">
        <v>3306</v>
      </c>
      <c r="V3883" t="s">
        <v>40</v>
      </c>
      <c r="W3883" s="1">
        <v>4499600</v>
      </c>
    </row>
    <row r="3884" spans="1:23" x14ac:dyDescent="0.2">
      <c r="A3884" t="s">
        <v>2096</v>
      </c>
      <c r="B3884" t="s">
        <v>2097</v>
      </c>
      <c r="C3884" t="s">
        <v>3190</v>
      </c>
      <c r="D3884" t="s">
        <v>3271</v>
      </c>
      <c r="E3884" t="s">
        <v>3272</v>
      </c>
      <c r="F3884" t="s">
        <v>3273</v>
      </c>
      <c r="G3884" t="s">
        <v>106</v>
      </c>
      <c r="H3884" t="s">
        <v>30</v>
      </c>
      <c r="I3884" t="s">
        <v>30</v>
      </c>
      <c r="J3884" t="s">
        <v>31</v>
      </c>
      <c r="K3884" t="s">
        <v>32</v>
      </c>
      <c r="L3884" t="s">
        <v>32</v>
      </c>
      <c r="M3884" t="s">
        <v>33</v>
      </c>
      <c r="N3884" t="s">
        <v>33</v>
      </c>
      <c r="O3884" t="s">
        <v>33</v>
      </c>
      <c r="P3884" t="s">
        <v>34</v>
      </c>
      <c r="Q3884" t="s">
        <v>35</v>
      </c>
      <c r="S3884" t="s">
        <v>30</v>
      </c>
      <c r="T3884" t="s">
        <v>3229</v>
      </c>
      <c r="U3884" t="s">
        <v>3307</v>
      </c>
      <c r="V3884" t="s">
        <v>39</v>
      </c>
      <c r="W3884" s="1">
        <v>3</v>
      </c>
    </row>
    <row r="3885" spans="1:23" x14ac:dyDescent="0.2">
      <c r="A3885" t="s">
        <v>2096</v>
      </c>
      <c r="B3885" t="s">
        <v>2097</v>
      </c>
      <c r="C3885" t="s">
        <v>3190</v>
      </c>
      <c r="D3885" t="s">
        <v>3271</v>
      </c>
      <c r="E3885" t="s">
        <v>3272</v>
      </c>
      <c r="F3885" t="s">
        <v>3273</v>
      </c>
      <c r="G3885" t="s">
        <v>106</v>
      </c>
      <c r="H3885" t="s">
        <v>30</v>
      </c>
      <c r="I3885" t="s">
        <v>30</v>
      </c>
      <c r="J3885" t="s">
        <v>31</v>
      </c>
      <c r="K3885" t="s">
        <v>32</v>
      </c>
      <c r="L3885" t="s">
        <v>32</v>
      </c>
      <c r="M3885" t="s">
        <v>33</v>
      </c>
      <c r="N3885" t="s">
        <v>33</v>
      </c>
      <c r="O3885" t="s">
        <v>33</v>
      </c>
      <c r="P3885" t="s">
        <v>34</v>
      </c>
      <c r="Q3885" t="s">
        <v>35</v>
      </c>
      <c r="S3885" t="s">
        <v>30</v>
      </c>
      <c r="T3885" t="s">
        <v>3229</v>
      </c>
      <c r="U3885" t="s">
        <v>3307</v>
      </c>
      <c r="V3885" t="s">
        <v>40</v>
      </c>
      <c r="W3885" s="1">
        <v>3359700</v>
      </c>
    </row>
    <row r="3886" spans="1:23" x14ac:dyDescent="0.2">
      <c r="A3886" t="s">
        <v>2096</v>
      </c>
      <c r="B3886" t="s">
        <v>2097</v>
      </c>
      <c r="C3886" t="s">
        <v>3190</v>
      </c>
      <c r="D3886" t="s">
        <v>3271</v>
      </c>
      <c r="E3886" t="s">
        <v>3272</v>
      </c>
      <c r="F3886" t="s">
        <v>3273</v>
      </c>
      <c r="G3886" t="s">
        <v>106</v>
      </c>
      <c r="H3886" t="s">
        <v>30</v>
      </c>
      <c r="I3886" t="s">
        <v>30</v>
      </c>
      <c r="J3886" t="s">
        <v>31</v>
      </c>
      <c r="K3886" t="s">
        <v>32</v>
      </c>
      <c r="L3886" t="s">
        <v>32</v>
      </c>
      <c r="M3886" t="s">
        <v>33</v>
      </c>
      <c r="P3886" t="s">
        <v>213</v>
      </c>
      <c r="Q3886" t="s">
        <v>2111</v>
      </c>
      <c r="R3886" t="s">
        <v>2215</v>
      </c>
      <c r="S3886" t="s">
        <v>52</v>
      </c>
      <c r="T3886" t="s">
        <v>3308</v>
      </c>
      <c r="U3886" t="s">
        <v>3309</v>
      </c>
      <c r="V3886" t="s">
        <v>39</v>
      </c>
      <c r="W3886" s="1">
        <v>0</v>
      </c>
    </row>
    <row r="3887" spans="1:23" x14ac:dyDescent="0.2">
      <c r="A3887" t="s">
        <v>2096</v>
      </c>
      <c r="B3887" t="s">
        <v>2097</v>
      </c>
      <c r="C3887" t="s">
        <v>3190</v>
      </c>
      <c r="D3887" t="s">
        <v>3271</v>
      </c>
      <c r="E3887" t="s">
        <v>3272</v>
      </c>
      <c r="F3887" t="s">
        <v>3273</v>
      </c>
      <c r="G3887" t="s">
        <v>106</v>
      </c>
      <c r="H3887" t="s">
        <v>30</v>
      </c>
      <c r="I3887" t="s">
        <v>30</v>
      </c>
      <c r="J3887" t="s">
        <v>31</v>
      </c>
      <c r="K3887" t="s">
        <v>32</v>
      </c>
      <c r="L3887" t="s">
        <v>32</v>
      </c>
      <c r="M3887" t="s">
        <v>33</v>
      </c>
      <c r="P3887" t="s">
        <v>213</v>
      </c>
      <c r="Q3887" t="s">
        <v>2111</v>
      </c>
      <c r="R3887" t="s">
        <v>2215</v>
      </c>
      <c r="S3887" t="s">
        <v>52</v>
      </c>
      <c r="T3887" t="s">
        <v>3308</v>
      </c>
      <c r="U3887" t="s">
        <v>3309</v>
      </c>
      <c r="V3887" t="s">
        <v>40</v>
      </c>
      <c r="W3887" s="1">
        <v>378900</v>
      </c>
    </row>
    <row r="3888" spans="1:23" x14ac:dyDescent="0.2">
      <c r="A3888" t="s">
        <v>2096</v>
      </c>
      <c r="B3888" t="s">
        <v>2097</v>
      </c>
      <c r="C3888" t="s">
        <v>3190</v>
      </c>
      <c r="D3888" t="s">
        <v>3271</v>
      </c>
      <c r="E3888" t="s">
        <v>3272</v>
      </c>
      <c r="F3888" t="s">
        <v>3273</v>
      </c>
      <c r="G3888" t="s">
        <v>106</v>
      </c>
      <c r="H3888" t="s">
        <v>30</v>
      </c>
      <c r="I3888" t="s">
        <v>30</v>
      </c>
      <c r="J3888" t="s">
        <v>31</v>
      </c>
      <c r="K3888" t="s">
        <v>32</v>
      </c>
      <c r="L3888" t="s">
        <v>32</v>
      </c>
      <c r="M3888" t="s">
        <v>33</v>
      </c>
      <c r="P3888" t="s">
        <v>34</v>
      </c>
      <c r="Q3888" t="s">
        <v>35</v>
      </c>
      <c r="S3888" t="s">
        <v>52</v>
      </c>
      <c r="T3888" t="s">
        <v>3310</v>
      </c>
      <c r="U3888" t="s">
        <v>3311</v>
      </c>
      <c r="V3888" t="s">
        <v>39</v>
      </c>
      <c r="W3888" s="1">
        <v>0</v>
      </c>
    </row>
    <row r="3889" spans="1:23" x14ac:dyDescent="0.2">
      <c r="A3889" t="s">
        <v>2096</v>
      </c>
      <c r="B3889" t="s">
        <v>2097</v>
      </c>
      <c r="C3889" t="s">
        <v>3190</v>
      </c>
      <c r="D3889" t="s">
        <v>3271</v>
      </c>
      <c r="E3889" t="s">
        <v>3272</v>
      </c>
      <c r="F3889" t="s">
        <v>3273</v>
      </c>
      <c r="G3889" t="s">
        <v>106</v>
      </c>
      <c r="H3889" t="s">
        <v>30</v>
      </c>
      <c r="I3889" t="s">
        <v>30</v>
      </c>
      <c r="J3889" t="s">
        <v>31</v>
      </c>
      <c r="K3889" t="s">
        <v>32</v>
      </c>
      <c r="L3889" t="s">
        <v>32</v>
      </c>
      <c r="M3889" t="s">
        <v>33</v>
      </c>
      <c r="P3889" t="s">
        <v>34</v>
      </c>
      <c r="Q3889" t="s">
        <v>35</v>
      </c>
      <c r="S3889" t="s">
        <v>52</v>
      </c>
      <c r="T3889" t="s">
        <v>3310</v>
      </c>
      <c r="U3889" t="s">
        <v>3311</v>
      </c>
      <c r="V3889" t="s">
        <v>40</v>
      </c>
      <c r="W3889" s="1">
        <v>3251400</v>
      </c>
    </row>
    <row r="3890" spans="1:23" x14ac:dyDescent="0.2">
      <c r="A3890" t="s">
        <v>2096</v>
      </c>
      <c r="B3890" t="s">
        <v>2097</v>
      </c>
      <c r="C3890" t="s">
        <v>3190</v>
      </c>
      <c r="D3890" t="s">
        <v>3271</v>
      </c>
      <c r="E3890" t="s">
        <v>3272</v>
      </c>
      <c r="F3890" t="s">
        <v>3273</v>
      </c>
      <c r="G3890" t="s">
        <v>106</v>
      </c>
      <c r="H3890" t="s">
        <v>30</v>
      </c>
      <c r="I3890" t="s">
        <v>30</v>
      </c>
      <c r="J3890" t="s">
        <v>57</v>
      </c>
      <c r="K3890" t="s">
        <v>32</v>
      </c>
      <c r="L3890" t="s">
        <v>32</v>
      </c>
      <c r="M3890" t="s">
        <v>33</v>
      </c>
      <c r="N3890" t="s">
        <v>33</v>
      </c>
      <c r="O3890" t="s">
        <v>33</v>
      </c>
      <c r="P3890" t="s">
        <v>34</v>
      </c>
      <c r="Q3890" t="s">
        <v>35</v>
      </c>
      <c r="S3890" t="s">
        <v>30</v>
      </c>
      <c r="T3890" t="s">
        <v>3312</v>
      </c>
      <c r="U3890" t="s">
        <v>3313</v>
      </c>
      <c r="V3890" t="s">
        <v>39</v>
      </c>
      <c r="W3890" s="1">
        <v>6</v>
      </c>
    </row>
    <row r="3891" spans="1:23" x14ac:dyDescent="0.2">
      <c r="A3891" t="s">
        <v>2096</v>
      </c>
      <c r="B3891" t="s">
        <v>2097</v>
      </c>
      <c r="C3891" t="s">
        <v>3190</v>
      </c>
      <c r="D3891" t="s">
        <v>3271</v>
      </c>
      <c r="E3891" t="s">
        <v>3272</v>
      </c>
      <c r="F3891" t="s">
        <v>3273</v>
      </c>
      <c r="G3891" t="s">
        <v>106</v>
      </c>
      <c r="H3891" t="s">
        <v>30</v>
      </c>
      <c r="I3891" t="s">
        <v>30</v>
      </c>
      <c r="J3891" t="s">
        <v>57</v>
      </c>
      <c r="K3891" t="s">
        <v>32</v>
      </c>
      <c r="L3891" t="s">
        <v>32</v>
      </c>
      <c r="M3891" t="s">
        <v>33</v>
      </c>
      <c r="N3891" t="s">
        <v>33</v>
      </c>
      <c r="O3891" t="s">
        <v>33</v>
      </c>
      <c r="P3891" t="s">
        <v>34</v>
      </c>
      <c r="Q3891" t="s">
        <v>35</v>
      </c>
      <c r="S3891" t="s">
        <v>30</v>
      </c>
      <c r="T3891" t="s">
        <v>3312</v>
      </c>
      <c r="U3891" t="s">
        <v>3313</v>
      </c>
      <c r="V3891" t="s">
        <v>40</v>
      </c>
      <c r="W3891" s="1">
        <v>10211400</v>
      </c>
    </row>
    <row r="3892" spans="1:23" x14ac:dyDescent="0.2">
      <c r="A3892" t="s">
        <v>2096</v>
      </c>
      <c r="B3892" t="s">
        <v>2097</v>
      </c>
      <c r="C3892" t="s">
        <v>3190</v>
      </c>
      <c r="D3892" t="s">
        <v>3271</v>
      </c>
      <c r="E3892" t="s">
        <v>3272</v>
      </c>
      <c r="F3892" t="s">
        <v>3273</v>
      </c>
      <c r="G3892" t="s">
        <v>106</v>
      </c>
      <c r="H3892" t="s">
        <v>30</v>
      </c>
      <c r="I3892" t="s">
        <v>30</v>
      </c>
      <c r="J3892" t="s">
        <v>57</v>
      </c>
      <c r="K3892" t="s">
        <v>32</v>
      </c>
      <c r="L3892" t="s">
        <v>32</v>
      </c>
      <c r="M3892" t="s">
        <v>33</v>
      </c>
      <c r="N3892" t="s">
        <v>176</v>
      </c>
      <c r="O3892" t="s">
        <v>176</v>
      </c>
      <c r="P3892" t="s">
        <v>34</v>
      </c>
      <c r="Q3892" t="s">
        <v>35</v>
      </c>
      <c r="S3892" t="s">
        <v>30</v>
      </c>
      <c r="T3892" t="s">
        <v>3312</v>
      </c>
      <c r="U3892" t="s">
        <v>3313</v>
      </c>
      <c r="V3892" t="s">
        <v>39</v>
      </c>
      <c r="W3892" s="1">
        <v>1</v>
      </c>
    </row>
    <row r="3893" spans="1:23" x14ac:dyDescent="0.2">
      <c r="A3893" t="s">
        <v>2096</v>
      </c>
      <c r="B3893" t="s">
        <v>2097</v>
      </c>
      <c r="C3893" t="s">
        <v>3190</v>
      </c>
      <c r="D3893" t="s">
        <v>3271</v>
      </c>
      <c r="E3893" t="s">
        <v>3272</v>
      </c>
      <c r="F3893" t="s">
        <v>3273</v>
      </c>
      <c r="G3893" t="s">
        <v>106</v>
      </c>
      <c r="H3893" t="s">
        <v>30</v>
      </c>
      <c r="I3893" t="s">
        <v>30</v>
      </c>
      <c r="J3893" t="s">
        <v>57</v>
      </c>
      <c r="K3893" t="s">
        <v>32</v>
      </c>
      <c r="L3893" t="s">
        <v>32</v>
      </c>
      <c r="M3893" t="s">
        <v>33</v>
      </c>
      <c r="N3893" t="s">
        <v>176</v>
      </c>
      <c r="O3893" t="s">
        <v>176</v>
      </c>
      <c r="P3893" t="s">
        <v>34</v>
      </c>
      <c r="Q3893" t="s">
        <v>35</v>
      </c>
      <c r="S3893" t="s">
        <v>30</v>
      </c>
      <c r="T3893" t="s">
        <v>3312</v>
      </c>
      <c r="U3893" t="s">
        <v>3313</v>
      </c>
      <c r="V3893" t="s">
        <v>40</v>
      </c>
      <c r="W3893" s="1">
        <v>1701900</v>
      </c>
    </row>
    <row r="3894" spans="1:23" x14ac:dyDescent="0.2">
      <c r="A3894" t="s">
        <v>2096</v>
      </c>
      <c r="B3894" t="s">
        <v>2097</v>
      </c>
      <c r="C3894" t="s">
        <v>3190</v>
      </c>
      <c r="D3894" t="s">
        <v>3271</v>
      </c>
      <c r="E3894" t="s">
        <v>3272</v>
      </c>
      <c r="F3894" t="s">
        <v>3273</v>
      </c>
      <c r="G3894" t="s">
        <v>106</v>
      </c>
      <c r="H3894" t="s">
        <v>30</v>
      </c>
      <c r="I3894" t="s">
        <v>30</v>
      </c>
      <c r="J3894" t="s">
        <v>57</v>
      </c>
      <c r="K3894" t="s">
        <v>32</v>
      </c>
      <c r="L3894" t="s">
        <v>32</v>
      </c>
      <c r="M3894" t="s">
        <v>33</v>
      </c>
      <c r="N3894" t="s">
        <v>169</v>
      </c>
      <c r="O3894" t="s">
        <v>169</v>
      </c>
      <c r="P3894" t="s">
        <v>34</v>
      </c>
      <c r="Q3894" t="s">
        <v>35</v>
      </c>
      <c r="S3894" t="s">
        <v>30</v>
      </c>
      <c r="T3894" t="s">
        <v>3312</v>
      </c>
      <c r="U3894" t="s">
        <v>3313</v>
      </c>
      <c r="V3894" t="s">
        <v>39</v>
      </c>
      <c r="W3894" s="1">
        <v>1</v>
      </c>
    </row>
    <row r="3895" spans="1:23" x14ac:dyDescent="0.2">
      <c r="A3895" t="s">
        <v>2096</v>
      </c>
      <c r="B3895" t="s">
        <v>2097</v>
      </c>
      <c r="C3895" t="s">
        <v>3190</v>
      </c>
      <c r="D3895" t="s">
        <v>3271</v>
      </c>
      <c r="E3895" t="s">
        <v>3272</v>
      </c>
      <c r="F3895" t="s">
        <v>3273</v>
      </c>
      <c r="G3895" t="s">
        <v>106</v>
      </c>
      <c r="H3895" t="s">
        <v>30</v>
      </c>
      <c r="I3895" t="s">
        <v>30</v>
      </c>
      <c r="J3895" t="s">
        <v>57</v>
      </c>
      <c r="K3895" t="s">
        <v>32</v>
      </c>
      <c r="L3895" t="s">
        <v>32</v>
      </c>
      <c r="M3895" t="s">
        <v>33</v>
      </c>
      <c r="N3895" t="s">
        <v>169</v>
      </c>
      <c r="O3895" t="s">
        <v>169</v>
      </c>
      <c r="P3895" t="s">
        <v>34</v>
      </c>
      <c r="Q3895" t="s">
        <v>35</v>
      </c>
      <c r="S3895" t="s">
        <v>30</v>
      </c>
      <c r="T3895" t="s">
        <v>3312</v>
      </c>
      <c r="U3895" t="s">
        <v>3313</v>
      </c>
      <c r="V3895" t="s">
        <v>40</v>
      </c>
      <c r="W3895" s="1">
        <v>1701900</v>
      </c>
    </row>
    <row r="3896" spans="1:23" x14ac:dyDescent="0.2">
      <c r="A3896" t="s">
        <v>2096</v>
      </c>
      <c r="B3896" t="s">
        <v>2097</v>
      </c>
      <c r="C3896" t="s">
        <v>3190</v>
      </c>
      <c r="D3896" t="s">
        <v>3271</v>
      </c>
      <c r="E3896" t="s">
        <v>3272</v>
      </c>
      <c r="F3896" t="s">
        <v>3273</v>
      </c>
      <c r="G3896" t="s">
        <v>106</v>
      </c>
      <c r="H3896" t="s">
        <v>30</v>
      </c>
      <c r="I3896" t="s">
        <v>30</v>
      </c>
      <c r="J3896" t="s">
        <v>57</v>
      </c>
      <c r="K3896" t="s">
        <v>32</v>
      </c>
      <c r="L3896" t="s">
        <v>32</v>
      </c>
      <c r="M3896" t="s">
        <v>176</v>
      </c>
      <c r="N3896" t="s">
        <v>176</v>
      </c>
      <c r="O3896" t="s">
        <v>176</v>
      </c>
      <c r="P3896" t="s">
        <v>34</v>
      </c>
      <c r="Q3896" t="s">
        <v>35</v>
      </c>
      <c r="S3896" t="s">
        <v>30</v>
      </c>
      <c r="T3896" t="s">
        <v>3312</v>
      </c>
      <c r="U3896" t="s">
        <v>3313</v>
      </c>
      <c r="V3896" t="s">
        <v>39</v>
      </c>
      <c r="W3896" s="1">
        <v>1</v>
      </c>
    </row>
    <row r="3897" spans="1:23" x14ac:dyDescent="0.2">
      <c r="A3897" t="s">
        <v>2096</v>
      </c>
      <c r="B3897" t="s">
        <v>2097</v>
      </c>
      <c r="C3897" t="s">
        <v>3190</v>
      </c>
      <c r="D3897" t="s">
        <v>3271</v>
      </c>
      <c r="E3897" t="s">
        <v>3272</v>
      </c>
      <c r="F3897" t="s">
        <v>3273</v>
      </c>
      <c r="G3897" t="s">
        <v>106</v>
      </c>
      <c r="H3897" t="s">
        <v>30</v>
      </c>
      <c r="I3897" t="s">
        <v>30</v>
      </c>
      <c r="J3897" t="s">
        <v>57</v>
      </c>
      <c r="K3897" t="s">
        <v>32</v>
      </c>
      <c r="L3897" t="s">
        <v>32</v>
      </c>
      <c r="M3897" t="s">
        <v>176</v>
      </c>
      <c r="N3897" t="s">
        <v>176</v>
      </c>
      <c r="O3897" t="s">
        <v>176</v>
      </c>
      <c r="P3897" t="s">
        <v>34</v>
      </c>
      <c r="Q3897" t="s">
        <v>35</v>
      </c>
      <c r="S3897" t="s">
        <v>30</v>
      </c>
      <c r="T3897" t="s">
        <v>3312</v>
      </c>
      <c r="U3897" t="s">
        <v>3313</v>
      </c>
      <c r="V3897" t="s">
        <v>40</v>
      </c>
      <c r="W3897" s="1">
        <v>1701900</v>
      </c>
    </row>
    <row r="3898" spans="1:23" x14ac:dyDescent="0.2">
      <c r="A3898" t="s">
        <v>2096</v>
      </c>
      <c r="B3898" t="s">
        <v>2097</v>
      </c>
      <c r="C3898" t="s">
        <v>3190</v>
      </c>
      <c r="D3898" t="s">
        <v>3271</v>
      </c>
      <c r="E3898" t="s">
        <v>3272</v>
      </c>
      <c r="F3898" t="s">
        <v>3273</v>
      </c>
      <c r="G3898" t="s">
        <v>119</v>
      </c>
      <c r="H3898" t="s">
        <v>30</v>
      </c>
      <c r="I3898" t="s">
        <v>52</v>
      </c>
      <c r="J3898" t="s">
        <v>31</v>
      </c>
      <c r="K3898" t="s">
        <v>32</v>
      </c>
      <c r="L3898" t="s">
        <v>32</v>
      </c>
      <c r="M3898" t="s">
        <v>33</v>
      </c>
      <c r="P3898" t="s">
        <v>213</v>
      </c>
      <c r="Q3898" t="s">
        <v>2118</v>
      </c>
      <c r="R3898" t="s">
        <v>151</v>
      </c>
      <c r="S3898" t="s">
        <v>52</v>
      </c>
      <c r="T3898" t="s">
        <v>3314</v>
      </c>
      <c r="U3898" t="s">
        <v>3315</v>
      </c>
      <c r="V3898" t="s">
        <v>39</v>
      </c>
      <c r="W3898" s="1">
        <v>0</v>
      </c>
    </row>
    <row r="3899" spans="1:23" x14ac:dyDescent="0.2">
      <c r="A3899" t="s">
        <v>2096</v>
      </c>
      <c r="B3899" t="s">
        <v>2097</v>
      </c>
      <c r="C3899" t="s">
        <v>3190</v>
      </c>
      <c r="D3899" t="s">
        <v>3271</v>
      </c>
      <c r="E3899" t="s">
        <v>3272</v>
      </c>
      <c r="F3899" t="s">
        <v>3273</v>
      </c>
      <c r="G3899" t="s">
        <v>119</v>
      </c>
      <c r="H3899" t="s">
        <v>30</v>
      </c>
      <c r="I3899" t="s">
        <v>52</v>
      </c>
      <c r="J3899" t="s">
        <v>31</v>
      </c>
      <c r="K3899" t="s">
        <v>32</v>
      </c>
      <c r="L3899" t="s">
        <v>32</v>
      </c>
      <c r="M3899" t="s">
        <v>33</v>
      </c>
      <c r="P3899" t="s">
        <v>213</v>
      </c>
      <c r="Q3899" t="s">
        <v>2118</v>
      </c>
      <c r="R3899" t="s">
        <v>151</v>
      </c>
      <c r="S3899" t="s">
        <v>52</v>
      </c>
      <c r="T3899" t="s">
        <v>3314</v>
      </c>
      <c r="U3899" t="s">
        <v>3315</v>
      </c>
      <c r="V3899" t="s">
        <v>40</v>
      </c>
      <c r="W3899" s="1">
        <v>429000</v>
      </c>
    </row>
    <row r="3900" spans="1:23" x14ac:dyDescent="0.2">
      <c r="A3900" t="s">
        <v>2096</v>
      </c>
      <c r="B3900" t="s">
        <v>2097</v>
      </c>
      <c r="C3900" t="s">
        <v>3190</v>
      </c>
      <c r="D3900" t="s">
        <v>3271</v>
      </c>
      <c r="E3900" t="s">
        <v>3272</v>
      </c>
      <c r="F3900" t="s">
        <v>3273</v>
      </c>
      <c r="G3900" t="s">
        <v>127</v>
      </c>
      <c r="H3900" t="s">
        <v>52</v>
      </c>
      <c r="I3900" t="s">
        <v>30</v>
      </c>
      <c r="J3900" t="s">
        <v>31</v>
      </c>
      <c r="K3900" t="s">
        <v>32</v>
      </c>
      <c r="L3900" t="s">
        <v>32</v>
      </c>
      <c r="M3900" t="s">
        <v>33</v>
      </c>
      <c r="N3900" t="s">
        <v>33</v>
      </c>
      <c r="O3900" t="s">
        <v>33</v>
      </c>
      <c r="P3900" t="s">
        <v>213</v>
      </c>
      <c r="Q3900" t="s">
        <v>2111</v>
      </c>
      <c r="S3900" t="s">
        <v>30</v>
      </c>
      <c r="T3900" t="s">
        <v>3316</v>
      </c>
      <c r="U3900" t="s">
        <v>3317</v>
      </c>
      <c r="V3900" t="s">
        <v>39</v>
      </c>
      <c r="W3900" s="1">
        <v>3</v>
      </c>
    </row>
    <row r="3901" spans="1:23" x14ac:dyDescent="0.2">
      <c r="A3901" t="s">
        <v>2096</v>
      </c>
      <c r="B3901" t="s">
        <v>2097</v>
      </c>
      <c r="C3901" t="s">
        <v>3190</v>
      </c>
      <c r="D3901" t="s">
        <v>3271</v>
      </c>
      <c r="E3901" t="s">
        <v>3272</v>
      </c>
      <c r="F3901" t="s">
        <v>3273</v>
      </c>
      <c r="G3901" t="s">
        <v>127</v>
      </c>
      <c r="H3901" t="s">
        <v>52</v>
      </c>
      <c r="I3901" t="s">
        <v>30</v>
      </c>
      <c r="J3901" t="s">
        <v>31</v>
      </c>
      <c r="K3901" t="s">
        <v>32</v>
      </c>
      <c r="L3901" t="s">
        <v>32</v>
      </c>
      <c r="M3901" t="s">
        <v>33</v>
      </c>
      <c r="N3901" t="s">
        <v>33</v>
      </c>
      <c r="O3901" t="s">
        <v>33</v>
      </c>
      <c r="P3901" t="s">
        <v>213</v>
      </c>
      <c r="Q3901" t="s">
        <v>2111</v>
      </c>
      <c r="S3901" t="s">
        <v>30</v>
      </c>
      <c r="T3901" t="s">
        <v>3316</v>
      </c>
      <c r="U3901" t="s">
        <v>3317</v>
      </c>
      <c r="V3901" t="s">
        <v>40</v>
      </c>
      <c r="W3901" s="1">
        <v>263700</v>
      </c>
    </row>
    <row r="3902" spans="1:23" x14ac:dyDescent="0.2">
      <c r="A3902" t="s">
        <v>2096</v>
      </c>
      <c r="B3902" t="s">
        <v>2097</v>
      </c>
      <c r="C3902" t="s">
        <v>3190</v>
      </c>
      <c r="D3902" t="s">
        <v>3271</v>
      </c>
      <c r="E3902" t="s">
        <v>3272</v>
      </c>
      <c r="F3902" t="s">
        <v>3273</v>
      </c>
      <c r="G3902" t="s">
        <v>127</v>
      </c>
      <c r="H3902" t="s">
        <v>52</v>
      </c>
      <c r="I3902" t="s">
        <v>30</v>
      </c>
      <c r="J3902" t="s">
        <v>31</v>
      </c>
      <c r="K3902" t="s">
        <v>32</v>
      </c>
      <c r="L3902" t="s">
        <v>32</v>
      </c>
      <c r="M3902" t="s">
        <v>33</v>
      </c>
      <c r="N3902" t="s">
        <v>33</v>
      </c>
      <c r="O3902" t="s">
        <v>33</v>
      </c>
      <c r="P3902" t="s">
        <v>34</v>
      </c>
      <c r="Q3902" t="s">
        <v>35</v>
      </c>
      <c r="S3902" t="s">
        <v>30</v>
      </c>
      <c r="T3902" t="s">
        <v>3318</v>
      </c>
      <c r="U3902" t="s">
        <v>3319</v>
      </c>
      <c r="V3902" t="s">
        <v>39</v>
      </c>
      <c r="W3902" s="1">
        <v>1</v>
      </c>
    </row>
    <row r="3903" spans="1:23" x14ac:dyDescent="0.2">
      <c r="A3903" t="s">
        <v>2096</v>
      </c>
      <c r="B3903" t="s">
        <v>2097</v>
      </c>
      <c r="C3903" t="s">
        <v>3190</v>
      </c>
      <c r="D3903" t="s">
        <v>3271</v>
      </c>
      <c r="E3903" t="s">
        <v>3272</v>
      </c>
      <c r="F3903" t="s">
        <v>3273</v>
      </c>
      <c r="G3903" t="s">
        <v>127</v>
      </c>
      <c r="H3903" t="s">
        <v>52</v>
      </c>
      <c r="I3903" t="s">
        <v>30</v>
      </c>
      <c r="J3903" t="s">
        <v>31</v>
      </c>
      <c r="K3903" t="s">
        <v>32</v>
      </c>
      <c r="L3903" t="s">
        <v>32</v>
      </c>
      <c r="M3903" t="s">
        <v>33</v>
      </c>
      <c r="N3903" t="s">
        <v>33</v>
      </c>
      <c r="O3903" t="s">
        <v>33</v>
      </c>
      <c r="P3903" t="s">
        <v>34</v>
      </c>
      <c r="Q3903" t="s">
        <v>35</v>
      </c>
      <c r="S3903" t="s">
        <v>30</v>
      </c>
      <c r="T3903" t="s">
        <v>3318</v>
      </c>
      <c r="U3903" t="s">
        <v>3319</v>
      </c>
      <c r="V3903" t="s">
        <v>40</v>
      </c>
      <c r="W3903" s="1">
        <v>1179900</v>
      </c>
    </row>
    <row r="3904" spans="1:23" x14ac:dyDescent="0.2">
      <c r="A3904" t="s">
        <v>2096</v>
      </c>
      <c r="B3904" t="s">
        <v>2097</v>
      </c>
      <c r="C3904" t="s">
        <v>3190</v>
      </c>
      <c r="D3904" t="s">
        <v>3271</v>
      </c>
      <c r="E3904" t="s">
        <v>3272</v>
      </c>
      <c r="F3904" t="s">
        <v>3273</v>
      </c>
      <c r="G3904" t="s">
        <v>127</v>
      </c>
      <c r="H3904" t="s">
        <v>52</v>
      </c>
      <c r="I3904" t="s">
        <v>30</v>
      </c>
      <c r="J3904" t="s">
        <v>31</v>
      </c>
      <c r="K3904" t="s">
        <v>32</v>
      </c>
      <c r="L3904" t="s">
        <v>32</v>
      </c>
      <c r="M3904" t="s">
        <v>33</v>
      </c>
      <c r="N3904" t="s">
        <v>33</v>
      </c>
      <c r="O3904" t="s">
        <v>33</v>
      </c>
      <c r="P3904" t="s">
        <v>42</v>
      </c>
      <c r="Q3904" t="s">
        <v>43</v>
      </c>
      <c r="R3904" t="s">
        <v>151</v>
      </c>
      <c r="S3904" t="s">
        <v>30</v>
      </c>
      <c r="T3904" t="s">
        <v>3231</v>
      </c>
      <c r="U3904" t="s">
        <v>3320</v>
      </c>
      <c r="V3904" t="s">
        <v>39</v>
      </c>
      <c r="W3904" s="1">
        <v>2</v>
      </c>
    </row>
    <row r="3905" spans="1:23" x14ac:dyDescent="0.2">
      <c r="A3905" t="s">
        <v>2096</v>
      </c>
      <c r="B3905" t="s">
        <v>2097</v>
      </c>
      <c r="C3905" t="s">
        <v>3190</v>
      </c>
      <c r="D3905" t="s">
        <v>3271</v>
      </c>
      <c r="E3905" t="s">
        <v>3272</v>
      </c>
      <c r="F3905" t="s">
        <v>3273</v>
      </c>
      <c r="G3905" t="s">
        <v>127</v>
      </c>
      <c r="H3905" t="s">
        <v>52</v>
      </c>
      <c r="I3905" t="s">
        <v>30</v>
      </c>
      <c r="J3905" t="s">
        <v>31</v>
      </c>
      <c r="K3905" t="s">
        <v>32</v>
      </c>
      <c r="L3905" t="s">
        <v>32</v>
      </c>
      <c r="M3905" t="s">
        <v>33</v>
      </c>
      <c r="N3905" t="s">
        <v>33</v>
      </c>
      <c r="O3905" t="s">
        <v>33</v>
      </c>
      <c r="P3905" t="s">
        <v>42</v>
      </c>
      <c r="Q3905" t="s">
        <v>43</v>
      </c>
      <c r="R3905" t="s">
        <v>151</v>
      </c>
      <c r="S3905" t="s">
        <v>30</v>
      </c>
      <c r="T3905" t="s">
        <v>3231</v>
      </c>
      <c r="U3905" t="s">
        <v>3320</v>
      </c>
      <c r="V3905" t="s">
        <v>40</v>
      </c>
      <c r="W3905" s="1">
        <v>858000</v>
      </c>
    </row>
    <row r="3906" spans="1:23" x14ac:dyDescent="0.2">
      <c r="A3906" t="s">
        <v>2096</v>
      </c>
      <c r="B3906" t="s">
        <v>2097</v>
      </c>
      <c r="C3906" t="s">
        <v>3190</v>
      </c>
      <c r="D3906" t="s">
        <v>3271</v>
      </c>
      <c r="E3906" t="s">
        <v>3272</v>
      </c>
      <c r="F3906" t="s">
        <v>3273</v>
      </c>
      <c r="G3906" t="s">
        <v>127</v>
      </c>
      <c r="H3906" t="s">
        <v>52</v>
      </c>
      <c r="I3906" t="s">
        <v>30</v>
      </c>
      <c r="J3906" t="s">
        <v>31</v>
      </c>
      <c r="K3906" t="s">
        <v>32</v>
      </c>
      <c r="L3906" t="s">
        <v>32</v>
      </c>
      <c r="M3906" t="s">
        <v>33</v>
      </c>
      <c r="P3906" t="s">
        <v>34</v>
      </c>
      <c r="Q3906" t="s">
        <v>35</v>
      </c>
      <c r="S3906" t="s">
        <v>30</v>
      </c>
      <c r="T3906" t="s">
        <v>3321</v>
      </c>
      <c r="U3906" t="s">
        <v>3322</v>
      </c>
      <c r="V3906" t="s">
        <v>39</v>
      </c>
      <c r="W3906" s="1">
        <v>14</v>
      </c>
    </row>
    <row r="3907" spans="1:23" x14ac:dyDescent="0.2">
      <c r="A3907" t="s">
        <v>2096</v>
      </c>
      <c r="B3907" t="s">
        <v>2097</v>
      </c>
      <c r="C3907" t="s">
        <v>3190</v>
      </c>
      <c r="D3907" t="s">
        <v>3271</v>
      </c>
      <c r="E3907" t="s">
        <v>3272</v>
      </c>
      <c r="F3907" t="s">
        <v>3273</v>
      </c>
      <c r="G3907" t="s">
        <v>127</v>
      </c>
      <c r="H3907" t="s">
        <v>52</v>
      </c>
      <c r="I3907" t="s">
        <v>30</v>
      </c>
      <c r="J3907" t="s">
        <v>31</v>
      </c>
      <c r="K3907" t="s">
        <v>32</v>
      </c>
      <c r="L3907" t="s">
        <v>32</v>
      </c>
      <c r="M3907" t="s">
        <v>33</v>
      </c>
      <c r="P3907" t="s">
        <v>34</v>
      </c>
      <c r="Q3907" t="s">
        <v>35</v>
      </c>
      <c r="S3907" t="s">
        <v>30</v>
      </c>
      <c r="T3907" t="s">
        <v>3321</v>
      </c>
      <c r="U3907" t="s">
        <v>3322</v>
      </c>
      <c r="V3907" t="s">
        <v>40</v>
      </c>
      <c r="W3907" s="1">
        <v>16098600</v>
      </c>
    </row>
    <row r="3908" spans="1:23" x14ac:dyDescent="0.2">
      <c r="A3908" t="s">
        <v>2096</v>
      </c>
      <c r="B3908" t="s">
        <v>2097</v>
      </c>
      <c r="C3908" t="s">
        <v>3190</v>
      </c>
      <c r="D3908" t="s">
        <v>3271</v>
      </c>
      <c r="E3908" t="s">
        <v>3272</v>
      </c>
      <c r="F3908" t="s">
        <v>3273</v>
      </c>
      <c r="G3908" t="s">
        <v>127</v>
      </c>
      <c r="H3908" t="s">
        <v>52</v>
      </c>
      <c r="I3908" t="s">
        <v>30</v>
      </c>
      <c r="J3908" t="s">
        <v>41</v>
      </c>
      <c r="K3908" t="s">
        <v>32</v>
      </c>
      <c r="L3908" t="s">
        <v>32</v>
      </c>
      <c r="M3908" t="s">
        <v>33</v>
      </c>
      <c r="P3908" t="s">
        <v>34</v>
      </c>
      <c r="Q3908" t="s">
        <v>35</v>
      </c>
      <c r="S3908" t="s">
        <v>30</v>
      </c>
      <c r="T3908" t="s">
        <v>3323</v>
      </c>
      <c r="U3908" t="s">
        <v>3324</v>
      </c>
      <c r="V3908" t="s">
        <v>39</v>
      </c>
      <c r="W3908" s="1">
        <v>2</v>
      </c>
    </row>
    <row r="3909" spans="1:23" x14ac:dyDescent="0.2">
      <c r="A3909" t="s">
        <v>2096</v>
      </c>
      <c r="B3909" t="s">
        <v>2097</v>
      </c>
      <c r="C3909" t="s">
        <v>3190</v>
      </c>
      <c r="D3909" t="s">
        <v>3271</v>
      </c>
      <c r="E3909" t="s">
        <v>3272</v>
      </c>
      <c r="F3909" t="s">
        <v>3273</v>
      </c>
      <c r="G3909" t="s">
        <v>127</v>
      </c>
      <c r="H3909" t="s">
        <v>52</v>
      </c>
      <c r="I3909" t="s">
        <v>30</v>
      </c>
      <c r="J3909" t="s">
        <v>41</v>
      </c>
      <c r="K3909" t="s">
        <v>32</v>
      </c>
      <c r="L3909" t="s">
        <v>32</v>
      </c>
      <c r="M3909" t="s">
        <v>33</v>
      </c>
      <c r="P3909" t="s">
        <v>34</v>
      </c>
      <c r="Q3909" t="s">
        <v>35</v>
      </c>
      <c r="S3909" t="s">
        <v>30</v>
      </c>
      <c r="T3909" t="s">
        <v>3323</v>
      </c>
      <c r="U3909" t="s">
        <v>3324</v>
      </c>
      <c r="V3909" t="s">
        <v>40</v>
      </c>
      <c r="W3909" s="1">
        <v>3161800</v>
      </c>
    </row>
    <row r="3910" spans="1:23" x14ac:dyDescent="0.2">
      <c r="A3910" t="s">
        <v>2096</v>
      </c>
      <c r="B3910" t="s">
        <v>2097</v>
      </c>
      <c r="C3910" t="s">
        <v>3190</v>
      </c>
      <c r="D3910" t="s">
        <v>3271</v>
      </c>
      <c r="E3910" t="s">
        <v>3272</v>
      </c>
      <c r="F3910" t="s">
        <v>3273</v>
      </c>
      <c r="G3910" t="s">
        <v>134</v>
      </c>
      <c r="H3910" t="s">
        <v>52</v>
      </c>
      <c r="I3910" t="s">
        <v>30</v>
      </c>
      <c r="J3910" t="s">
        <v>31</v>
      </c>
      <c r="K3910" t="s">
        <v>32</v>
      </c>
      <c r="L3910" t="s">
        <v>32</v>
      </c>
      <c r="M3910" t="s">
        <v>33</v>
      </c>
      <c r="N3910" t="s">
        <v>33</v>
      </c>
      <c r="O3910" t="s">
        <v>33</v>
      </c>
      <c r="P3910" t="s">
        <v>213</v>
      </c>
      <c r="Q3910" t="s">
        <v>2111</v>
      </c>
      <c r="R3910" t="s">
        <v>73</v>
      </c>
      <c r="S3910" t="s">
        <v>30</v>
      </c>
      <c r="T3910" t="s">
        <v>3325</v>
      </c>
      <c r="U3910" t="s">
        <v>3326</v>
      </c>
      <c r="V3910" t="s">
        <v>39</v>
      </c>
      <c r="W3910" s="1">
        <v>2</v>
      </c>
    </row>
    <row r="3911" spans="1:23" x14ac:dyDescent="0.2">
      <c r="A3911" t="s">
        <v>2096</v>
      </c>
      <c r="B3911" t="s">
        <v>2097</v>
      </c>
      <c r="C3911" t="s">
        <v>3190</v>
      </c>
      <c r="D3911" t="s">
        <v>3271</v>
      </c>
      <c r="E3911" t="s">
        <v>3272</v>
      </c>
      <c r="F3911" t="s">
        <v>3273</v>
      </c>
      <c r="G3911" t="s">
        <v>134</v>
      </c>
      <c r="H3911" t="s">
        <v>52</v>
      </c>
      <c r="I3911" t="s">
        <v>30</v>
      </c>
      <c r="J3911" t="s">
        <v>31</v>
      </c>
      <c r="K3911" t="s">
        <v>32</v>
      </c>
      <c r="L3911" t="s">
        <v>32</v>
      </c>
      <c r="M3911" t="s">
        <v>33</v>
      </c>
      <c r="N3911" t="s">
        <v>33</v>
      </c>
      <c r="O3911" t="s">
        <v>33</v>
      </c>
      <c r="P3911" t="s">
        <v>213</v>
      </c>
      <c r="Q3911" t="s">
        <v>2111</v>
      </c>
      <c r="R3911" t="s">
        <v>73</v>
      </c>
      <c r="S3911" t="s">
        <v>30</v>
      </c>
      <c r="T3911" t="s">
        <v>3325</v>
      </c>
      <c r="U3911" t="s">
        <v>3326</v>
      </c>
      <c r="V3911" t="s">
        <v>40</v>
      </c>
      <c r="W3911" s="1">
        <v>1199800</v>
      </c>
    </row>
    <row r="3912" spans="1:23" x14ac:dyDescent="0.2">
      <c r="A3912" t="s">
        <v>2096</v>
      </c>
      <c r="B3912" t="s">
        <v>2097</v>
      </c>
      <c r="C3912" t="s">
        <v>3190</v>
      </c>
      <c r="D3912" t="s">
        <v>3271</v>
      </c>
      <c r="E3912" t="s">
        <v>3272</v>
      </c>
      <c r="F3912" t="s">
        <v>3273</v>
      </c>
      <c r="G3912" t="s">
        <v>139</v>
      </c>
      <c r="H3912" t="s">
        <v>30</v>
      </c>
      <c r="I3912" t="s">
        <v>30</v>
      </c>
      <c r="J3912" t="s">
        <v>31</v>
      </c>
      <c r="K3912" t="s">
        <v>32</v>
      </c>
      <c r="L3912" t="s">
        <v>32</v>
      </c>
      <c r="M3912" t="s">
        <v>33</v>
      </c>
      <c r="N3912" t="s">
        <v>33</v>
      </c>
      <c r="O3912" t="s">
        <v>33</v>
      </c>
      <c r="P3912" t="s">
        <v>213</v>
      </c>
      <c r="Q3912" t="s">
        <v>2111</v>
      </c>
      <c r="S3912" t="s">
        <v>30</v>
      </c>
      <c r="T3912" t="s">
        <v>3327</v>
      </c>
      <c r="U3912" t="s">
        <v>3328</v>
      </c>
      <c r="V3912" t="s">
        <v>39</v>
      </c>
      <c r="W3912" s="1">
        <v>2</v>
      </c>
    </row>
    <row r="3913" spans="1:23" x14ac:dyDescent="0.2">
      <c r="A3913" t="s">
        <v>2096</v>
      </c>
      <c r="B3913" t="s">
        <v>2097</v>
      </c>
      <c r="C3913" t="s">
        <v>3190</v>
      </c>
      <c r="D3913" t="s">
        <v>3271</v>
      </c>
      <c r="E3913" t="s">
        <v>3272</v>
      </c>
      <c r="F3913" t="s">
        <v>3273</v>
      </c>
      <c r="G3913" t="s">
        <v>139</v>
      </c>
      <c r="H3913" t="s">
        <v>30</v>
      </c>
      <c r="I3913" t="s">
        <v>30</v>
      </c>
      <c r="J3913" t="s">
        <v>31</v>
      </c>
      <c r="K3913" t="s">
        <v>32</v>
      </c>
      <c r="L3913" t="s">
        <v>32</v>
      </c>
      <c r="M3913" t="s">
        <v>33</v>
      </c>
      <c r="N3913" t="s">
        <v>33</v>
      </c>
      <c r="O3913" t="s">
        <v>33</v>
      </c>
      <c r="P3913" t="s">
        <v>213</v>
      </c>
      <c r="Q3913" t="s">
        <v>2111</v>
      </c>
      <c r="S3913" t="s">
        <v>30</v>
      </c>
      <c r="T3913" t="s">
        <v>3327</v>
      </c>
      <c r="U3913" t="s">
        <v>3328</v>
      </c>
      <c r="V3913" t="s">
        <v>40</v>
      </c>
      <c r="W3913" s="1">
        <v>1799800</v>
      </c>
    </row>
    <row r="3914" spans="1:23" x14ac:dyDescent="0.2">
      <c r="A3914" t="s">
        <v>2096</v>
      </c>
      <c r="B3914" t="s">
        <v>2097</v>
      </c>
      <c r="C3914" t="s">
        <v>3190</v>
      </c>
      <c r="D3914" t="s">
        <v>3271</v>
      </c>
      <c r="E3914" t="s">
        <v>3272</v>
      </c>
      <c r="F3914" t="s">
        <v>3273</v>
      </c>
      <c r="G3914" t="s">
        <v>139</v>
      </c>
      <c r="H3914" t="s">
        <v>30</v>
      </c>
      <c r="I3914" t="s">
        <v>30</v>
      </c>
      <c r="J3914" t="s">
        <v>31</v>
      </c>
      <c r="K3914" t="s">
        <v>32</v>
      </c>
      <c r="L3914" t="s">
        <v>32</v>
      </c>
      <c r="M3914" t="s">
        <v>33</v>
      </c>
      <c r="P3914" t="s">
        <v>213</v>
      </c>
      <c r="Q3914" t="s">
        <v>2111</v>
      </c>
      <c r="R3914" t="s">
        <v>151</v>
      </c>
      <c r="S3914" t="s">
        <v>30</v>
      </c>
      <c r="T3914" t="s">
        <v>3329</v>
      </c>
      <c r="U3914" t="s">
        <v>3330</v>
      </c>
      <c r="V3914" t="s">
        <v>39</v>
      </c>
      <c r="W3914" s="1">
        <v>2</v>
      </c>
    </row>
    <row r="3915" spans="1:23" x14ac:dyDescent="0.2">
      <c r="A3915" t="s">
        <v>2096</v>
      </c>
      <c r="B3915" t="s">
        <v>2097</v>
      </c>
      <c r="C3915" t="s">
        <v>3190</v>
      </c>
      <c r="D3915" t="s">
        <v>3271</v>
      </c>
      <c r="E3915" t="s">
        <v>3272</v>
      </c>
      <c r="F3915" t="s">
        <v>3273</v>
      </c>
      <c r="G3915" t="s">
        <v>139</v>
      </c>
      <c r="H3915" t="s">
        <v>30</v>
      </c>
      <c r="I3915" t="s">
        <v>30</v>
      </c>
      <c r="J3915" t="s">
        <v>31</v>
      </c>
      <c r="K3915" t="s">
        <v>32</v>
      </c>
      <c r="L3915" t="s">
        <v>32</v>
      </c>
      <c r="M3915" t="s">
        <v>33</v>
      </c>
      <c r="P3915" t="s">
        <v>213</v>
      </c>
      <c r="Q3915" t="s">
        <v>2111</v>
      </c>
      <c r="R3915" t="s">
        <v>151</v>
      </c>
      <c r="S3915" t="s">
        <v>30</v>
      </c>
      <c r="T3915" t="s">
        <v>3329</v>
      </c>
      <c r="U3915" t="s">
        <v>3330</v>
      </c>
      <c r="V3915" t="s">
        <v>40</v>
      </c>
      <c r="W3915" s="1">
        <v>1059800</v>
      </c>
    </row>
    <row r="3916" spans="1:23" x14ac:dyDescent="0.2">
      <c r="A3916" t="s">
        <v>2096</v>
      </c>
      <c r="B3916" t="s">
        <v>2097</v>
      </c>
      <c r="C3916" t="s">
        <v>3190</v>
      </c>
      <c r="D3916" t="s">
        <v>3271</v>
      </c>
      <c r="E3916" t="s">
        <v>3272</v>
      </c>
      <c r="F3916" t="s">
        <v>3273</v>
      </c>
      <c r="G3916" t="s">
        <v>139</v>
      </c>
      <c r="H3916" t="s">
        <v>30</v>
      </c>
      <c r="I3916" t="s">
        <v>30</v>
      </c>
      <c r="J3916" t="s">
        <v>41</v>
      </c>
      <c r="K3916" t="s">
        <v>32</v>
      </c>
      <c r="L3916" t="s">
        <v>32</v>
      </c>
      <c r="M3916" t="s">
        <v>33</v>
      </c>
      <c r="P3916" t="s">
        <v>34</v>
      </c>
      <c r="Q3916" t="s">
        <v>35</v>
      </c>
      <c r="S3916" t="s">
        <v>30</v>
      </c>
      <c r="T3916" t="s">
        <v>3331</v>
      </c>
      <c r="U3916" t="s">
        <v>3332</v>
      </c>
      <c r="V3916" t="s">
        <v>39</v>
      </c>
      <c r="W3916" s="1">
        <v>2</v>
      </c>
    </row>
    <row r="3917" spans="1:23" x14ac:dyDescent="0.2">
      <c r="A3917" t="s">
        <v>2096</v>
      </c>
      <c r="B3917" t="s">
        <v>2097</v>
      </c>
      <c r="C3917" t="s">
        <v>3190</v>
      </c>
      <c r="D3917" t="s">
        <v>3271</v>
      </c>
      <c r="E3917" t="s">
        <v>3272</v>
      </c>
      <c r="F3917" t="s">
        <v>3273</v>
      </c>
      <c r="G3917" t="s">
        <v>139</v>
      </c>
      <c r="H3917" t="s">
        <v>30</v>
      </c>
      <c r="I3917" t="s">
        <v>30</v>
      </c>
      <c r="J3917" t="s">
        <v>41</v>
      </c>
      <c r="K3917" t="s">
        <v>32</v>
      </c>
      <c r="L3917" t="s">
        <v>32</v>
      </c>
      <c r="M3917" t="s">
        <v>33</v>
      </c>
      <c r="P3917" t="s">
        <v>34</v>
      </c>
      <c r="Q3917" t="s">
        <v>35</v>
      </c>
      <c r="S3917" t="s">
        <v>30</v>
      </c>
      <c r="T3917" t="s">
        <v>3331</v>
      </c>
      <c r="U3917" t="s">
        <v>3332</v>
      </c>
      <c r="V3917" t="s">
        <v>40</v>
      </c>
      <c r="W3917" s="1">
        <v>1742000</v>
      </c>
    </row>
    <row r="3918" spans="1:23" x14ac:dyDescent="0.2">
      <c r="A3918" t="s">
        <v>2096</v>
      </c>
      <c r="B3918" t="s">
        <v>2097</v>
      </c>
      <c r="C3918" t="s">
        <v>3190</v>
      </c>
      <c r="D3918" t="s">
        <v>3271</v>
      </c>
      <c r="E3918" t="s">
        <v>3272</v>
      </c>
      <c r="F3918" t="s">
        <v>3273</v>
      </c>
      <c r="G3918" t="s">
        <v>139</v>
      </c>
      <c r="H3918" t="s">
        <v>30</v>
      </c>
      <c r="I3918" t="s">
        <v>30</v>
      </c>
      <c r="J3918" t="s">
        <v>41</v>
      </c>
      <c r="K3918" t="s">
        <v>32</v>
      </c>
      <c r="L3918" t="s">
        <v>32</v>
      </c>
      <c r="M3918" t="s">
        <v>176</v>
      </c>
      <c r="P3918" t="s">
        <v>34</v>
      </c>
      <c r="Q3918" t="s">
        <v>35</v>
      </c>
      <c r="S3918" t="s">
        <v>30</v>
      </c>
      <c r="T3918" t="s">
        <v>3331</v>
      </c>
      <c r="U3918" t="s">
        <v>3332</v>
      </c>
      <c r="V3918" t="s">
        <v>39</v>
      </c>
      <c r="W3918" s="1">
        <v>1</v>
      </c>
    </row>
    <row r="3919" spans="1:23" x14ac:dyDescent="0.2">
      <c r="A3919" t="s">
        <v>2096</v>
      </c>
      <c r="B3919" t="s">
        <v>2097</v>
      </c>
      <c r="C3919" t="s">
        <v>3190</v>
      </c>
      <c r="D3919" t="s">
        <v>3271</v>
      </c>
      <c r="E3919" t="s">
        <v>3272</v>
      </c>
      <c r="F3919" t="s">
        <v>3273</v>
      </c>
      <c r="G3919" t="s">
        <v>139</v>
      </c>
      <c r="H3919" t="s">
        <v>30</v>
      </c>
      <c r="I3919" t="s">
        <v>30</v>
      </c>
      <c r="J3919" t="s">
        <v>41</v>
      </c>
      <c r="K3919" t="s">
        <v>32</v>
      </c>
      <c r="L3919" t="s">
        <v>32</v>
      </c>
      <c r="M3919" t="s">
        <v>176</v>
      </c>
      <c r="P3919" t="s">
        <v>34</v>
      </c>
      <c r="Q3919" t="s">
        <v>35</v>
      </c>
      <c r="S3919" t="s">
        <v>30</v>
      </c>
      <c r="T3919" t="s">
        <v>3331</v>
      </c>
      <c r="U3919" t="s">
        <v>3332</v>
      </c>
      <c r="V3919" t="s">
        <v>40</v>
      </c>
      <c r="W3919" s="1">
        <v>871000</v>
      </c>
    </row>
    <row r="3920" spans="1:23" x14ac:dyDescent="0.2">
      <c r="A3920" t="s">
        <v>2096</v>
      </c>
      <c r="B3920" t="s">
        <v>3333</v>
      </c>
      <c r="C3920" t="s">
        <v>3334</v>
      </c>
      <c r="D3920" t="s">
        <v>3335</v>
      </c>
      <c r="E3920" t="s">
        <v>3336</v>
      </c>
      <c r="F3920" t="s">
        <v>3337</v>
      </c>
      <c r="G3920" t="s">
        <v>29</v>
      </c>
      <c r="H3920" t="s">
        <v>30</v>
      </c>
      <c r="I3920" t="s">
        <v>30</v>
      </c>
      <c r="J3920" t="s">
        <v>31</v>
      </c>
      <c r="K3920" t="s">
        <v>32</v>
      </c>
      <c r="L3920" t="s">
        <v>32</v>
      </c>
      <c r="M3920" t="s">
        <v>33</v>
      </c>
      <c r="N3920" t="s">
        <v>33</v>
      </c>
      <c r="O3920" t="s">
        <v>33</v>
      </c>
      <c r="P3920" t="s">
        <v>34</v>
      </c>
      <c r="Q3920" t="s">
        <v>35</v>
      </c>
      <c r="R3920" t="s">
        <v>173</v>
      </c>
      <c r="S3920" t="s">
        <v>30</v>
      </c>
      <c r="T3920" t="s">
        <v>3338</v>
      </c>
      <c r="U3920" t="s">
        <v>3339</v>
      </c>
      <c r="V3920" t="s">
        <v>39</v>
      </c>
      <c r="W3920" s="1">
        <v>2</v>
      </c>
    </row>
    <row r="3921" spans="1:23" x14ac:dyDescent="0.2">
      <c r="A3921" t="s">
        <v>2096</v>
      </c>
      <c r="B3921" t="s">
        <v>3333</v>
      </c>
      <c r="C3921" t="s">
        <v>3334</v>
      </c>
      <c r="D3921" t="s">
        <v>3335</v>
      </c>
      <c r="E3921" t="s">
        <v>3336</v>
      </c>
      <c r="F3921" t="s">
        <v>3337</v>
      </c>
      <c r="G3921" t="s">
        <v>29</v>
      </c>
      <c r="H3921" t="s">
        <v>30</v>
      </c>
      <c r="I3921" t="s">
        <v>30</v>
      </c>
      <c r="J3921" t="s">
        <v>31</v>
      </c>
      <c r="K3921" t="s">
        <v>32</v>
      </c>
      <c r="L3921" t="s">
        <v>32</v>
      </c>
      <c r="M3921" t="s">
        <v>33</v>
      </c>
      <c r="N3921" t="s">
        <v>33</v>
      </c>
      <c r="O3921" t="s">
        <v>33</v>
      </c>
      <c r="P3921" t="s">
        <v>34</v>
      </c>
      <c r="Q3921" t="s">
        <v>35</v>
      </c>
      <c r="R3921" t="s">
        <v>173</v>
      </c>
      <c r="S3921" t="s">
        <v>30</v>
      </c>
      <c r="T3921" t="s">
        <v>3338</v>
      </c>
      <c r="U3921" t="s">
        <v>3339</v>
      </c>
      <c r="V3921" t="s">
        <v>40</v>
      </c>
      <c r="W3921" s="1">
        <v>1668800</v>
      </c>
    </row>
    <row r="3922" spans="1:23" x14ac:dyDescent="0.2">
      <c r="A3922" t="s">
        <v>2096</v>
      </c>
      <c r="B3922" t="s">
        <v>3333</v>
      </c>
      <c r="C3922" t="s">
        <v>3334</v>
      </c>
      <c r="D3922" t="s">
        <v>3335</v>
      </c>
      <c r="E3922" t="s">
        <v>3336</v>
      </c>
      <c r="F3922" t="s">
        <v>3337</v>
      </c>
      <c r="G3922" t="s">
        <v>29</v>
      </c>
      <c r="H3922" t="s">
        <v>30</v>
      </c>
      <c r="I3922" t="s">
        <v>30</v>
      </c>
      <c r="J3922" t="s">
        <v>31</v>
      </c>
      <c r="K3922" t="s">
        <v>32</v>
      </c>
      <c r="L3922" t="s">
        <v>32</v>
      </c>
      <c r="M3922" t="s">
        <v>33</v>
      </c>
      <c r="P3922" t="s">
        <v>34</v>
      </c>
      <c r="Q3922" t="s">
        <v>35</v>
      </c>
      <c r="R3922" t="s">
        <v>173</v>
      </c>
      <c r="S3922" t="s">
        <v>52</v>
      </c>
      <c r="T3922" t="s">
        <v>3338</v>
      </c>
      <c r="U3922" t="s">
        <v>3340</v>
      </c>
      <c r="V3922" t="s">
        <v>39</v>
      </c>
      <c r="W3922" s="1">
        <v>0</v>
      </c>
    </row>
    <row r="3923" spans="1:23" x14ac:dyDescent="0.2">
      <c r="A3923" t="s">
        <v>2096</v>
      </c>
      <c r="B3923" t="s">
        <v>3333</v>
      </c>
      <c r="C3923" t="s">
        <v>3334</v>
      </c>
      <c r="D3923" t="s">
        <v>3335</v>
      </c>
      <c r="E3923" t="s">
        <v>3336</v>
      </c>
      <c r="F3923" t="s">
        <v>3337</v>
      </c>
      <c r="G3923" t="s">
        <v>29</v>
      </c>
      <c r="H3923" t="s">
        <v>30</v>
      </c>
      <c r="I3923" t="s">
        <v>30</v>
      </c>
      <c r="J3923" t="s">
        <v>31</v>
      </c>
      <c r="K3923" t="s">
        <v>32</v>
      </c>
      <c r="L3923" t="s">
        <v>32</v>
      </c>
      <c r="M3923" t="s">
        <v>33</v>
      </c>
      <c r="P3923" t="s">
        <v>34</v>
      </c>
      <c r="Q3923" t="s">
        <v>35</v>
      </c>
      <c r="R3923" t="s">
        <v>173</v>
      </c>
      <c r="S3923" t="s">
        <v>52</v>
      </c>
      <c r="T3923" t="s">
        <v>3338</v>
      </c>
      <c r="U3923" t="s">
        <v>3340</v>
      </c>
      <c r="V3923" t="s">
        <v>40</v>
      </c>
      <c r="W3923" s="1">
        <v>834400</v>
      </c>
    </row>
    <row r="3924" spans="1:23" x14ac:dyDescent="0.2">
      <c r="A3924" t="s">
        <v>2096</v>
      </c>
      <c r="B3924" t="s">
        <v>3333</v>
      </c>
      <c r="C3924" t="s">
        <v>3334</v>
      </c>
      <c r="D3924" t="s">
        <v>3335</v>
      </c>
      <c r="E3924" t="s">
        <v>3336</v>
      </c>
      <c r="F3924" t="s">
        <v>3337</v>
      </c>
      <c r="G3924" t="s">
        <v>49</v>
      </c>
      <c r="H3924" t="s">
        <v>30</v>
      </c>
      <c r="I3924" t="s">
        <v>30</v>
      </c>
      <c r="J3924" t="s">
        <v>233</v>
      </c>
      <c r="K3924" t="s">
        <v>181</v>
      </c>
      <c r="L3924" t="s">
        <v>32</v>
      </c>
      <c r="M3924" t="s">
        <v>33</v>
      </c>
      <c r="N3924" t="s">
        <v>33</v>
      </c>
      <c r="O3924" t="s">
        <v>33</v>
      </c>
      <c r="P3924" t="s">
        <v>34</v>
      </c>
      <c r="Q3924" t="s">
        <v>35</v>
      </c>
      <c r="R3924" t="s">
        <v>693</v>
      </c>
      <c r="S3924" t="s">
        <v>30</v>
      </c>
      <c r="T3924" t="s">
        <v>3341</v>
      </c>
      <c r="U3924" t="s">
        <v>3342</v>
      </c>
      <c r="V3924" t="s">
        <v>39</v>
      </c>
      <c r="W3924" s="1">
        <v>6</v>
      </c>
    </row>
    <row r="3925" spans="1:23" x14ac:dyDescent="0.2">
      <c r="A3925" t="s">
        <v>2096</v>
      </c>
      <c r="B3925" t="s">
        <v>3333</v>
      </c>
      <c r="C3925" t="s">
        <v>3334</v>
      </c>
      <c r="D3925" t="s">
        <v>3335</v>
      </c>
      <c r="E3925" t="s">
        <v>3336</v>
      </c>
      <c r="F3925" t="s">
        <v>3337</v>
      </c>
      <c r="G3925" t="s">
        <v>49</v>
      </c>
      <c r="H3925" t="s">
        <v>30</v>
      </c>
      <c r="I3925" t="s">
        <v>30</v>
      </c>
      <c r="J3925" t="s">
        <v>233</v>
      </c>
      <c r="K3925" t="s">
        <v>181</v>
      </c>
      <c r="L3925" t="s">
        <v>32</v>
      </c>
      <c r="M3925" t="s">
        <v>33</v>
      </c>
      <c r="N3925" t="s">
        <v>33</v>
      </c>
      <c r="O3925" t="s">
        <v>33</v>
      </c>
      <c r="P3925" t="s">
        <v>34</v>
      </c>
      <c r="Q3925" t="s">
        <v>35</v>
      </c>
      <c r="R3925" t="s">
        <v>693</v>
      </c>
      <c r="S3925" t="s">
        <v>30</v>
      </c>
      <c r="T3925" t="s">
        <v>3341</v>
      </c>
      <c r="U3925" t="s">
        <v>3342</v>
      </c>
      <c r="V3925" t="s">
        <v>40</v>
      </c>
      <c r="W3925" s="1">
        <v>3540000</v>
      </c>
    </row>
    <row r="3926" spans="1:23" x14ac:dyDescent="0.2">
      <c r="A3926" t="s">
        <v>2096</v>
      </c>
      <c r="B3926" t="s">
        <v>3333</v>
      </c>
      <c r="C3926" t="s">
        <v>3334</v>
      </c>
      <c r="D3926" t="s">
        <v>3335</v>
      </c>
      <c r="E3926" t="s">
        <v>3336</v>
      </c>
      <c r="F3926" t="s">
        <v>3337</v>
      </c>
      <c r="G3926" t="s">
        <v>64</v>
      </c>
      <c r="H3926" t="s">
        <v>30</v>
      </c>
      <c r="I3926" t="s">
        <v>52</v>
      </c>
      <c r="J3926" t="s">
        <v>31</v>
      </c>
      <c r="K3926" t="s">
        <v>32</v>
      </c>
      <c r="L3926" t="s">
        <v>32</v>
      </c>
      <c r="M3926" t="s">
        <v>33</v>
      </c>
      <c r="N3926" t="s">
        <v>33</v>
      </c>
      <c r="O3926" t="s">
        <v>33</v>
      </c>
      <c r="P3926" t="s">
        <v>34</v>
      </c>
      <c r="Q3926" t="s">
        <v>35</v>
      </c>
      <c r="S3926" t="s">
        <v>30</v>
      </c>
      <c r="T3926" t="s">
        <v>3343</v>
      </c>
      <c r="U3926" t="s">
        <v>3344</v>
      </c>
      <c r="V3926" t="s">
        <v>39</v>
      </c>
      <c r="W3926" s="1">
        <v>2</v>
      </c>
    </row>
    <row r="3927" spans="1:23" x14ac:dyDescent="0.2">
      <c r="A3927" t="s">
        <v>2096</v>
      </c>
      <c r="B3927" t="s">
        <v>3333</v>
      </c>
      <c r="C3927" t="s">
        <v>3334</v>
      </c>
      <c r="D3927" t="s">
        <v>3335</v>
      </c>
      <c r="E3927" t="s">
        <v>3336</v>
      </c>
      <c r="F3927" t="s">
        <v>3337</v>
      </c>
      <c r="G3927" t="s">
        <v>64</v>
      </c>
      <c r="H3927" t="s">
        <v>30</v>
      </c>
      <c r="I3927" t="s">
        <v>52</v>
      </c>
      <c r="J3927" t="s">
        <v>31</v>
      </c>
      <c r="K3927" t="s">
        <v>32</v>
      </c>
      <c r="L3927" t="s">
        <v>32</v>
      </c>
      <c r="M3927" t="s">
        <v>33</v>
      </c>
      <c r="N3927" t="s">
        <v>33</v>
      </c>
      <c r="O3927" t="s">
        <v>33</v>
      </c>
      <c r="P3927" t="s">
        <v>34</v>
      </c>
      <c r="Q3927" t="s">
        <v>35</v>
      </c>
      <c r="S3927" t="s">
        <v>30</v>
      </c>
      <c r="T3927" t="s">
        <v>3343</v>
      </c>
      <c r="U3927" t="s">
        <v>3344</v>
      </c>
      <c r="V3927" t="s">
        <v>40</v>
      </c>
      <c r="W3927" s="1">
        <v>721800</v>
      </c>
    </row>
    <row r="3928" spans="1:23" x14ac:dyDescent="0.2">
      <c r="A3928" t="s">
        <v>2096</v>
      </c>
      <c r="B3928" t="s">
        <v>3333</v>
      </c>
      <c r="C3928" t="s">
        <v>3334</v>
      </c>
      <c r="D3928" t="s">
        <v>3335</v>
      </c>
      <c r="E3928" t="s">
        <v>3336</v>
      </c>
      <c r="F3928" t="s">
        <v>3337</v>
      </c>
      <c r="G3928" t="s">
        <v>64</v>
      </c>
      <c r="H3928" t="s">
        <v>30</v>
      </c>
      <c r="I3928" t="s">
        <v>52</v>
      </c>
      <c r="J3928" t="s">
        <v>31</v>
      </c>
      <c r="K3928" t="s">
        <v>32</v>
      </c>
      <c r="L3928" t="s">
        <v>32</v>
      </c>
      <c r="M3928" t="s">
        <v>176</v>
      </c>
      <c r="N3928" t="s">
        <v>195</v>
      </c>
      <c r="O3928" t="s">
        <v>195</v>
      </c>
      <c r="P3928" t="s">
        <v>34</v>
      </c>
      <c r="Q3928" t="s">
        <v>35</v>
      </c>
      <c r="S3928" t="s">
        <v>30</v>
      </c>
      <c r="T3928" t="s">
        <v>3343</v>
      </c>
      <c r="U3928" t="s">
        <v>3344</v>
      </c>
      <c r="V3928" t="s">
        <v>39</v>
      </c>
      <c r="W3928" s="1">
        <v>1</v>
      </c>
    </row>
    <row r="3929" spans="1:23" x14ac:dyDescent="0.2">
      <c r="A3929" t="s">
        <v>2096</v>
      </c>
      <c r="B3929" t="s">
        <v>3333</v>
      </c>
      <c r="C3929" t="s">
        <v>3334</v>
      </c>
      <c r="D3929" t="s">
        <v>3335</v>
      </c>
      <c r="E3929" t="s">
        <v>3336</v>
      </c>
      <c r="F3929" t="s">
        <v>3337</v>
      </c>
      <c r="G3929" t="s">
        <v>64</v>
      </c>
      <c r="H3929" t="s">
        <v>30</v>
      </c>
      <c r="I3929" t="s">
        <v>52</v>
      </c>
      <c r="J3929" t="s">
        <v>31</v>
      </c>
      <c r="K3929" t="s">
        <v>32</v>
      </c>
      <c r="L3929" t="s">
        <v>32</v>
      </c>
      <c r="M3929" t="s">
        <v>176</v>
      </c>
      <c r="N3929" t="s">
        <v>195</v>
      </c>
      <c r="O3929" t="s">
        <v>195</v>
      </c>
      <c r="P3929" t="s">
        <v>34</v>
      </c>
      <c r="Q3929" t="s">
        <v>35</v>
      </c>
      <c r="S3929" t="s">
        <v>30</v>
      </c>
      <c r="T3929" t="s">
        <v>3343</v>
      </c>
      <c r="U3929" t="s">
        <v>3344</v>
      </c>
      <c r="V3929" t="s">
        <v>40</v>
      </c>
      <c r="W3929" s="1">
        <v>324810</v>
      </c>
    </row>
    <row r="3930" spans="1:23" x14ac:dyDescent="0.2">
      <c r="A3930" t="s">
        <v>2096</v>
      </c>
      <c r="B3930" t="s">
        <v>3333</v>
      </c>
      <c r="C3930" t="s">
        <v>3334</v>
      </c>
      <c r="D3930" t="s">
        <v>3335</v>
      </c>
      <c r="E3930" t="s">
        <v>3336</v>
      </c>
      <c r="F3930" t="s">
        <v>3337</v>
      </c>
      <c r="G3930" t="s">
        <v>67</v>
      </c>
      <c r="H3930" t="s">
        <v>30</v>
      </c>
      <c r="I3930" t="s">
        <v>30</v>
      </c>
      <c r="J3930" t="s">
        <v>41</v>
      </c>
      <c r="K3930" t="s">
        <v>32</v>
      </c>
      <c r="L3930" t="s">
        <v>32</v>
      </c>
      <c r="M3930" t="s">
        <v>33</v>
      </c>
      <c r="N3930" t="s">
        <v>33</v>
      </c>
      <c r="O3930" t="s">
        <v>33</v>
      </c>
      <c r="P3930" t="s">
        <v>34</v>
      </c>
      <c r="Q3930" t="s">
        <v>35</v>
      </c>
      <c r="S3930" t="s">
        <v>30</v>
      </c>
      <c r="T3930" t="s">
        <v>3345</v>
      </c>
      <c r="U3930" t="s">
        <v>3346</v>
      </c>
      <c r="V3930" t="s">
        <v>39</v>
      </c>
      <c r="W3930" s="1">
        <v>4</v>
      </c>
    </row>
    <row r="3931" spans="1:23" x14ac:dyDescent="0.2">
      <c r="A3931" t="s">
        <v>2096</v>
      </c>
      <c r="B3931" t="s">
        <v>3333</v>
      </c>
      <c r="C3931" t="s">
        <v>3334</v>
      </c>
      <c r="D3931" t="s">
        <v>3335</v>
      </c>
      <c r="E3931" t="s">
        <v>3336</v>
      </c>
      <c r="F3931" t="s">
        <v>3337</v>
      </c>
      <c r="G3931" t="s">
        <v>67</v>
      </c>
      <c r="H3931" t="s">
        <v>30</v>
      </c>
      <c r="I3931" t="s">
        <v>30</v>
      </c>
      <c r="J3931" t="s">
        <v>41</v>
      </c>
      <c r="K3931" t="s">
        <v>32</v>
      </c>
      <c r="L3931" t="s">
        <v>32</v>
      </c>
      <c r="M3931" t="s">
        <v>33</v>
      </c>
      <c r="N3931" t="s">
        <v>33</v>
      </c>
      <c r="O3931" t="s">
        <v>33</v>
      </c>
      <c r="P3931" t="s">
        <v>34</v>
      </c>
      <c r="Q3931" t="s">
        <v>35</v>
      </c>
      <c r="S3931" t="s">
        <v>30</v>
      </c>
      <c r="T3931" t="s">
        <v>3345</v>
      </c>
      <c r="U3931" t="s">
        <v>3346</v>
      </c>
      <c r="V3931" t="s">
        <v>40</v>
      </c>
      <c r="W3931" s="1">
        <v>4596000</v>
      </c>
    </row>
    <row r="3932" spans="1:23" x14ac:dyDescent="0.2">
      <c r="A3932" t="s">
        <v>2096</v>
      </c>
      <c r="B3932" t="s">
        <v>3333</v>
      </c>
      <c r="C3932" t="s">
        <v>3334</v>
      </c>
      <c r="D3932" t="s">
        <v>3335</v>
      </c>
      <c r="E3932" t="s">
        <v>3336</v>
      </c>
      <c r="F3932" t="s">
        <v>3337</v>
      </c>
      <c r="G3932" t="s">
        <v>106</v>
      </c>
      <c r="H3932" t="s">
        <v>30</v>
      </c>
      <c r="I3932" t="s">
        <v>30</v>
      </c>
      <c r="J3932" t="s">
        <v>31</v>
      </c>
      <c r="K3932" t="s">
        <v>32</v>
      </c>
      <c r="L3932" t="s">
        <v>32</v>
      </c>
      <c r="M3932" t="s">
        <v>33</v>
      </c>
      <c r="N3932" t="s">
        <v>33</v>
      </c>
      <c r="O3932" t="s">
        <v>33</v>
      </c>
      <c r="P3932" t="s">
        <v>34</v>
      </c>
      <c r="Q3932" t="s">
        <v>35</v>
      </c>
      <c r="S3932" t="s">
        <v>30</v>
      </c>
      <c r="T3932" t="s">
        <v>3347</v>
      </c>
      <c r="U3932" t="s">
        <v>3348</v>
      </c>
      <c r="V3932" t="s">
        <v>39</v>
      </c>
      <c r="W3932" s="1">
        <v>4</v>
      </c>
    </row>
    <row r="3933" spans="1:23" x14ac:dyDescent="0.2">
      <c r="A3933" t="s">
        <v>2096</v>
      </c>
      <c r="B3933" t="s">
        <v>3333</v>
      </c>
      <c r="C3933" t="s">
        <v>3334</v>
      </c>
      <c r="D3933" t="s">
        <v>3335</v>
      </c>
      <c r="E3933" t="s">
        <v>3336</v>
      </c>
      <c r="F3933" t="s">
        <v>3337</v>
      </c>
      <c r="G3933" t="s">
        <v>106</v>
      </c>
      <c r="H3933" t="s">
        <v>30</v>
      </c>
      <c r="I3933" t="s">
        <v>30</v>
      </c>
      <c r="J3933" t="s">
        <v>31</v>
      </c>
      <c r="K3933" t="s">
        <v>32</v>
      </c>
      <c r="L3933" t="s">
        <v>32</v>
      </c>
      <c r="M3933" t="s">
        <v>33</v>
      </c>
      <c r="N3933" t="s">
        <v>33</v>
      </c>
      <c r="O3933" t="s">
        <v>33</v>
      </c>
      <c r="P3933" t="s">
        <v>34</v>
      </c>
      <c r="Q3933" t="s">
        <v>35</v>
      </c>
      <c r="S3933" t="s">
        <v>30</v>
      </c>
      <c r="T3933" t="s">
        <v>3347</v>
      </c>
      <c r="U3933" t="s">
        <v>3348</v>
      </c>
      <c r="V3933" t="s">
        <v>40</v>
      </c>
      <c r="W3933" s="1">
        <v>3164000</v>
      </c>
    </row>
    <row r="3934" spans="1:23" x14ac:dyDescent="0.2">
      <c r="A3934" t="s">
        <v>2096</v>
      </c>
      <c r="B3934" t="s">
        <v>3333</v>
      </c>
      <c r="C3934" t="s">
        <v>3334</v>
      </c>
      <c r="D3934" t="s">
        <v>3335</v>
      </c>
      <c r="E3934" t="s">
        <v>3336</v>
      </c>
      <c r="F3934" t="s">
        <v>3337</v>
      </c>
      <c r="G3934" t="s">
        <v>106</v>
      </c>
      <c r="H3934" t="s">
        <v>30</v>
      </c>
      <c r="I3934" t="s">
        <v>30</v>
      </c>
      <c r="J3934" t="s">
        <v>31</v>
      </c>
      <c r="K3934" t="s">
        <v>32</v>
      </c>
      <c r="L3934" t="s">
        <v>32</v>
      </c>
      <c r="M3934" t="s">
        <v>33</v>
      </c>
      <c r="N3934" t="s">
        <v>33</v>
      </c>
      <c r="O3934" t="s">
        <v>33</v>
      </c>
      <c r="P3934" t="s">
        <v>34</v>
      </c>
      <c r="Q3934" t="s">
        <v>35</v>
      </c>
      <c r="S3934" t="s">
        <v>30</v>
      </c>
      <c r="T3934" t="s">
        <v>3349</v>
      </c>
      <c r="U3934" t="s">
        <v>3350</v>
      </c>
      <c r="V3934" t="s">
        <v>39</v>
      </c>
      <c r="W3934" s="1">
        <v>6</v>
      </c>
    </row>
    <row r="3935" spans="1:23" x14ac:dyDescent="0.2">
      <c r="A3935" t="s">
        <v>2096</v>
      </c>
      <c r="B3935" t="s">
        <v>3333</v>
      </c>
      <c r="C3935" t="s">
        <v>3334</v>
      </c>
      <c r="D3935" t="s">
        <v>3335</v>
      </c>
      <c r="E3935" t="s">
        <v>3336</v>
      </c>
      <c r="F3935" t="s">
        <v>3337</v>
      </c>
      <c r="G3935" t="s">
        <v>106</v>
      </c>
      <c r="H3935" t="s">
        <v>30</v>
      </c>
      <c r="I3935" t="s">
        <v>30</v>
      </c>
      <c r="J3935" t="s">
        <v>31</v>
      </c>
      <c r="K3935" t="s">
        <v>32</v>
      </c>
      <c r="L3935" t="s">
        <v>32</v>
      </c>
      <c r="M3935" t="s">
        <v>33</v>
      </c>
      <c r="N3935" t="s">
        <v>33</v>
      </c>
      <c r="O3935" t="s">
        <v>33</v>
      </c>
      <c r="P3935" t="s">
        <v>34</v>
      </c>
      <c r="Q3935" t="s">
        <v>35</v>
      </c>
      <c r="S3935" t="s">
        <v>30</v>
      </c>
      <c r="T3935" t="s">
        <v>3349</v>
      </c>
      <c r="U3935" t="s">
        <v>3350</v>
      </c>
      <c r="V3935" t="s">
        <v>40</v>
      </c>
      <c r="W3935" s="1">
        <v>3258000</v>
      </c>
    </row>
    <row r="3936" spans="1:23" x14ac:dyDescent="0.2">
      <c r="A3936" t="s">
        <v>2096</v>
      </c>
      <c r="B3936" t="s">
        <v>3333</v>
      </c>
      <c r="C3936" t="s">
        <v>3334</v>
      </c>
      <c r="D3936" t="s">
        <v>3335</v>
      </c>
      <c r="E3936" t="s">
        <v>3336</v>
      </c>
      <c r="F3936" t="s">
        <v>3337</v>
      </c>
      <c r="G3936" t="s">
        <v>119</v>
      </c>
      <c r="H3936" t="s">
        <v>30</v>
      </c>
      <c r="I3936" t="s">
        <v>52</v>
      </c>
      <c r="J3936" t="s">
        <v>31</v>
      </c>
      <c r="K3936" t="s">
        <v>32</v>
      </c>
      <c r="L3936" t="s">
        <v>32</v>
      </c>
      <c r="M3936" t="s">
        <v>33</v>
      </c>
      <c r="N3936" t="s">
        <v>33</v>
      </c>
      <c r="O3936" t="s">
        <v>33</v>
      </c>
      <c r="P3936" t="s">
        <v>34</v>
      </c>
      <c r="Q3936" t="s">
        <v>35</v>
      </c>
      <c r="S3936" t="s">
        <v>30</v>
      </c>
      <c r="T3936" t="s">
        <v>3351</v>
      </c>
      <c r="U3936" t="s">
        <v>3352</v>
      </c>
      <c r="V3936" t="s">
        <v>39</v>
      </c>
      <c r="W3936" s="1">
        <v>2</v>
      </c>
    </row>
    <row r="3937" spans="1:23" x14ac:dyDescent="0.2">
      <c r="A3937" t="s">
        <v>2096</v>
      </c>
      <c r="B3937" t="s">
        <v>3333</v>
      </c>
      <c r="C3937" t="s">
        <v>3334</v>
      </c>
      <c r="D3937" t="s">
        <v>3335</v>
      </c>
      <c r="E3937" t="s">
        <v>3336</v>
      </c>
      <c r="F3937" t="s">
        <v>3337</v>
      </c>
      <c r="G3937" t="s">
        <v>119</v>
      </c>
      <c r="H3937" t="s">
        <v>30</v>
      </c>
      <c r="I3937" t="s">
        <v>52</v>
      </c>
      <c r="J3937" t="s">
        <v>31</v>
      </c>
      <c r="K3937" t="s">
        <v>32</v>
      </c>
      <c r="L3937" t="s">
        <v>32</v>
      </c>
      <c r="M3937" t="s">
        <v>33</v>
      </c>
      <c r="N3937" t="s">
        <v>33</v>
      </c>
      <c r="O3937" t="s">
        <v>33</v>
      </c>
      <c r="P3937" t="s">
        <v>34</v>
      </c>
      <c r="Q3937" t="s">
        <v>35</v>
      </c>
      <c r="S3937" t="s">
        <v>30</v>
      </c>
      <c r="T3937" t="s">
        <v>3351</v>
      </c>
      <c r="U3937" t="s">
        <v>3352</v>
      </c>
      <c r="V3937" t="s">
        <v>40</v>
      </c>
      <c r="W3937" s="1">
        <v>886000</v>
      </c>
    </row>
    <row r="3938" spans="1:23" x14ac:dyDescent="0.2">
      <c r="A3938" t="s">
        <v>2096</v>
      </c>
      <c r="B3938" t="s">
        <v>3333</v>
      </c>
      <c r="C3938" t="s">
        <v>3334</v>
      </c>
      <c r="D3938" t="s">
        <v>3335</v>
      </c>
      <c r="E3938" t="s">
        <v>3336</v>
      </c>
      <c r="F3938" t="s">
        <v>3337</v>
      </c>
      <c r="G3938" t="s">
        <v>139</v>
      </c>
      <c r="H3938" t="s">
        <v>30</v>
      </c>
      <c r="I3938" t="s">
        <v>30</v>
      </c>
      <c r="J3938" t="s">
        <v>31</v>
      </c>
      <c r="K3938" t="s">
        <v>32</v>
      </c>
      <c r="L3938" t="s">
        <v>32</v>
      </c>
      <c r="M3938" t="s">
        <v>33</v>
      </c>
      <c r="N3938" t="s">
        <v>33</v>
      </c>
      <c r="O3938" t="s">
        <v>33</v>
      </c>
      <c r="P3938" t="s">
        <v>34</v>
      </c>
      <c r="Q3938" t="s">
        <v>35</v>
      </c>
      <c r="R3938" t="s">
        <v>162</v>
      </c>
      <c r="S3938" t="s">
        <v>30</v>
      </c>
      <c r="T3938" t="s">
        <v>3353</v>
      </c>
      <c r="U3938" t="s">
        <v>3354</v>
      </c>
      <c r="V3938" t="s">
        <v>39</v>
      </c>
      <c r="W3938" s="1">
        <v>2</v>
      </c>
    </row>
    <row r="3939" spans="1:23" x14ac:dyDescent="0.2">
      <c r="A3939" t="s">
        <v>2096</v>
      </c>
      <c r="B3939" t="s">
        <v>3333</v>
      </c>
      <c r="C3939" t="s">
        <v>3334</v>
      </c>
      <c r="D3939" t="s">
        <v>3335</v>
      </c>
      <c r="E3939" t="s">
        <v>3336</v>
      </c>
      <c r="F3939" t="s">
        <v>3337</v>
      </c>
      <c r="G3939" t="s">
        <v>139</v>
      </c>
      <c r="H3939" t="s">
        <v>30</v>
      </c>
      <c r="I3939" t="s">
        <v>30</v>
      </c>
      <c r="J3939" t="s">
        <v>31</v>
      </c>
      <c r="K3939" t="s">
        <v>32</v>
      </c>
      <c r="L3939" t="s">
        <v>32</v>
      </c>
      <c r="M3939" t="s">
        <v>33</v>
      </c>
      <c r="N3939" t="s">
        <v>33</v>
      </c>
      <c r="O3939" t="s">
        <v>33</v>
      </c>
      <c r="P3939" t="s">
        <v>34</v>
      </c>
      <c r="Q3939" t="s">
        <v>35</v>
      </c>
      <c r="R3939" t="s">
        <v>162</v>
      </c>
      <c r="S3939" t="s">
        <v>30</v>
      </c>
      <c r="T3939" t="s">
        <v>3353</v>
      </c>
      <c r="U3939" t="s">
        <v>3354</v>
      </c>
      <c r="V3939" t="s">
        <v>40</v>
      </c>
      <c r="W3939" s="1">
        <v>2872800</v>
      </c>
    </row>
    <row r="3940" spans="1:23" x14ac:dyDescent="0.2">
      <c r="A3940" t="s">
        <v>2096</v>
      </c>
      <c r="B3940" t="s">
        <v>3333</v>
      </c>
      <c r="C3940" t="s">
        <v>3334</v>
      </c>
      <c r="D3940" t="s">
        <v>3335</v>
      </c>
      <c r="E3940" t="s">
        <v>3336</v>
      </c>
      <c r="F3940" t="s">
        <v>3337</v>
      </c>
      <c r="G3940" t="s">
        <v>139</v>
      </c>
      <c r="H3940" t="s">
        <v>30</v>
      </c>
      <c r="I3940" t="s">
        <v>30</v>
      </c>
      <c r="J3940" t="s">
        <v>31</v>
      </c>
      <c r="K3940" t="s">
        <v>32</v>
      </c>
      <c r="L3940" t="s">
        <v>32</v>
      </c>
      <c r="M3940" t="s">
        <v>33</v>
      </c>
      <c r="N3940" t="s">
        <v>33</v>
      </c>
      <c r="O3940" t="s">
        <v>33</v>
      </c>
      <c r="P3940" t="s">
        <v>34</v>
      </c>
      <c r="Q3940" t="s">
        <v>35</v>
      </c>
      <c r="R3940" t="s">
        <v>151</v>
      </c>
      <c r="S3940" t="s">
        <v>30</v>
      </c>
      <c r="T3940" t="s">
        <v>3355</v>
      </c>
      <c r="U3940" t="s">
        <v>3356</v>
      </c>
      <c r="V3940" t="s">
        <v>39</v>
      </c>
      <c r="W3940" s="1">
        <v>2</v>
      </c>
    </row>
    <row r="3941" spans="1:23" x14ac:dyDescent="0.2">
      <c r="A3941" t="s">
        <v>2096</v>
      </c>
      <c r="B3941" t="s">
        <v>3333</v>
      </c>
      <c r="C3941" t="s">
        <v>3334</v>
      </c>
      <c r="D3941" t="s">
        <v>3335</v>
      </c>
      <c r="E3941" t="s">
        <v>3336</v>
      </c>
      <c r="F3941" t="s">
        <v>3337</v>
      </c>
      <c r="G3941" t="s">
        <v>139</v>
      </c>
      <c r="H3941" t="s">
        <v>30</v>
      </c>
      <c r="I3941" t="s">
        <v>30</v>
      </c>
      <c r="J3941" t="s">
        <v>31</v>
      </c>
      <c r="K3941" t="s">
        <v>32</v>
      </c>
      <c r="L3941" t="s">
        <v>32</v>
      </c>
      <c r="M3941" t="s">
        <v>33</v>
      </c>
      <c r="N3941" t="s">
        <v>33</v>
      </c>
      <c r="O3941" t="s">
        <v>33</v>
      </c>
      <c r="P3941" t="s">
        <v>34</v>
      </c>
      <c r="Q3941" t="s">
        <v>35</v>
      </c>
      <c r="R3941" t="s">
        <v>151</v>
      </c>
      <c r="S3941" t="s">
        <v>30</v>
      </c>
      <c r="T3941" t="s">
        <v>3355</v>
      </c>
      <c r="U3941" t="s">
        <v>3356</v>
      </c>
      <c r="V3941" t="s">
        <v>40</v>
      </c>
      <c r="W3941" s="1">
        <v>698000</v>
      </c>
    </row>
    <row r="3942" spans="1:23" x14ac:dyDescent="0.2">
      <c r="A3942" t="s">
        <v>2096</v>
      </c>
      <c r="B3942" t="s">
        <v>3333</v>
      </c>
      <c r="C3942" t="s">
        <v>3334</v>
      </c>
      <c r="D3942" t="s">
        <v>3335</v>
      </c>
      <c r="E3942" t="s">
        <v>3336</v>
      </c>
      <c r="F3942" t="s">
        <v>3337</v>
      </c>
      <c r="G3942" t="s">
        <v>139</v>
      </c>
      <c r="H3942" t="s">
        <v>30</v>
      </c>
      <c r="I3942" t="s">
        <v>30</v>
      </c>
      <c r="J3942" t="s">
        <v>31</v>
      </c>
      <c r="K3942" t="s">
        <v>32</v>
      </c>
      <c r="L3942" t="s">
        <v>32</v>
      </c>
      <c r="M3942" t="s">
        <v>33</v>
      </c>
      <c r="P3942" t="s">
        <v>34</v>
      </c>
      <c r="Q3942" t="s">
        <v>35</v>
      </c>
      <c r="R3942" t="s">
        <v>162</v>
      </c>
      <c r="S3942" t="s">
        <v>30</v>
      </c>
      <c r="T3942" t="s">
        <v>3357</v>
      </c>
      <c r="U3942" t="s">
        <v>3358</v>
      </c>
      <c r="V3942" t="s">
        <v>39</v>
      </c>
      <c r="W3942" s="1">
        <v>2</v>
      </c>
    </row>
    <row r="3943" spans="1:23" x14ac:dyDescent="0.2">
      <c r="A3943" t="s">
        <v>2096</v>
      </c>
      <c r="B3943" t="s">
        <v>3333</v>
      </c>
      <c r="C3943" t="s">
        <v>3334</v>
      </c>
      <c r="D3943" t="s">
        <v>3335</v>
      </c>
      <c r="E3943" t="s">
        <v>3336</v>
      </c>
      <c r="F3943" t="s">
        <v>3337</v>
      </c>
      <c r="G3943" t="s">
        <v>139</v>
      </c>
      <c r="H3943" t="s">
        <v>30</v>
      </c>
      <c r="I3943" t="s">
        <v>30</v>
      </c>
      <c r="J3943" t="s">
        <v>31</v>
      </c>
      <c r="K3943" t="s">
        <v>32</v>
      </c>
      <c r="L3943" t="s">
        <v>32</v>
      </c>
      <c r="M3943" t="s">
        <v>33</v>
      </c>
      <c r="P3943" t="s">
        <v>34</v>
      </c>
      <c r="Q3943" t="s">
        <v>35</v>
      </c>
      <c r="R3943" t="s">
        <v>162</v>
      </c>
      <c r="S3943" t="s">
        <v>30</v>
      </c>
      <c r="T3943" t="s">
        <v>3357</v>
      </c>
      <c r="U3943" t="s">
        <v>3358</v>
      </c>
      <c r="V3943" t="s">
        <v>40</v>
      </c>
      <c r="W3943" s="1">
        <v>2598000</v>
      </c>
    </row>
    <row r="3944" spans="1:23" x14ac:dyDescent="0.2">
      <c r="A3944" t="s">
        <v>2096</v>
      </c>
      <c r="B3944" t="s">
        <v>3333</v>
      </c>
      <c r="C3944" t="s">
        <v>3334</v>
      </c>
      <c r="D3944" t="s">
        <v>3335</v>
      </c>
      <c r="E3944" t="s">
        <v>3336</v>
      </c>
      <c r="F3944" t="s">
        <v>3337</v>
      </c>
      <c r="G3944" t="s">
        <v>139</v>
      </c>
      <c r="H3944" t="s">
        <v>30</v>
      </c>
      <c r="I3944" t="s">
        <v>30</v>
      </c>
      <c r="J3944" t="s">
        <v>31</v>
      </c>
      <c r="K3944" t="s">
        <v>32</v>
      </c>
      <c r="L3944" t="s">
        <v>32</v>
      </c>
      <c r="M3944" t="s">
        <v>33</v>
      </c>
      <c r="P3944" t="s">
        <v>34</v>
      </c>
      <c r="Q3944" t="s">
        <v>35</v>
      </c>
      <c r="S3944" t="s">
        <v>30</v>
      </c>
      <c r="T3944" t="s">
        <v>3359</v>
      </c>
      <c r="U3944" t="s">
        <v>3360</v>
      </c>
      <c r="V3944" t="s">
        <v>39</v>
      </c>
      <c r="W3944" s="1">
        <v>1</v>
      </c>
    </row>
    <row r="3945" spans="1:23" x14ac:dyDescent="0.2">
      <c r="A3945" t="s">
        <v>2096</v>
      </c>
      <c r="B3945" t="s">
        <v>3333</v>
      </c>
      <c r="C3945" t="s">
        <v>3334</v>
      </c>
      <c r="D3945" t="s">
        <v>3335</v>
      </c>
      <c r="E3945" t="s">
        <v>3336</v>
      </c>
      <c r="F3945" t="s">
        <v>3337</v>
      </c>
      <c r="G3945" t="s">
        <v>139</v>
      </c>
      <c r="H3945" t="s">
        <v>30</v>
      </c>
      <c r="I3945" t="s">
        <v>30</v>
      </c>
      <c r="J3945" t="s">
        <v>31</v>
      </c>
      <c r="K3945" t="s">
        <v>32</v>
      </c>
      <c r="L3945" t="s">
        <v>32</v>
      </c>
      <c r="M3945" t="s">
        <v>33</v>
      </c>
      <c r="P3945" t="s">
        <v>34</v>
      </c>
      <c r="Q3945" t="s">
        <v>35</v>
      </c>
      <c r="S3945" t="s">
        <v>30</v>
      </c>
      <c r="T3945" t="s">
        <v>3359</v>
      </c>
      <c r="U3945" t="s">
        <v>3360</v>
      </c>
      <c r="V3945" t="s">
        <v>40</v>
      </c>
      <c r="W3945" s="1">
        <v>1349900</v>
      </c>
    </row>
    <row r="3946" spans="1:23" x14ac:dyDescent="0.2">
      <c r="A3946" t="s">
        <v>2096</v>
      </c>
      <c r="B3946" t="s">
        <v>3333</v>
      </c>
      <c r="C3946" t="s">
        <v>3334</v>
      </c>
      <c r="D3946" t="s">
        <v>3335</v>
      </c>
      <c r="E3946" t="s">
        <v>3361</v>
      </c>
      <c r="F3946" t="s">
        <v>3362</v>
      </c>
      <c r="G3946" t="s">
        <v>64</v>
      </c>
      <c r="H3946" t="s">
        <v>30</v>
      </c>
      <c r="I3946" t="s">
        <v>52</v>
      </c>
      <c r="J3946" t="s">
        <v>41</v>
      </c>
      <c r="K3946" t="s">
        <v>32</v>
      </c>
      <c r="L3946" t="s">
        <v>32</v>
      </c>
      <c r="M3946" t="s">
        <v>33</v>
      </c>
      <c r="N3946" t="s">
        <v>33</v>
      </c>
      <c r="O3946" t="s">
        <v>33</v>
      </c>
      <c r="P3946" t="s">
        <v>34</v>
      </c>
      <c r="Q3946" t="s">
        <v>35</v>
      </c>
      <c r="S3946" t="s">
        <v>30</v>
      </c>
      <c r="T3946" t="s">
        <v>3363</v>
      </c>
      <c r="U3946" t="s">
        <v>3364</v>
      </c>
      <c r="V3946" t="s">
        <v>39</v>
      </c>
      <c r="W3946" s="1">
        <v>4</v>
      </c>
    </row>
    <row r="3947" spans="1:23" x14ac:dyDescent="0.2">
      <c r="A3947" t="s">
        <v>2096</v>
      </c>
      <c r="B3947" t="s">
        <v>3333</v>
      </c>
      <c r="C3947" t="s">
        <v>3334</v>
      </c>
      <c r="D3947" t="s">
        <v>3335</v>
      </c>
      <c r="E3947" t="s">
        <v>3361</v>
      </c>
      <c r="F3947" t="s">
        <v>3362</v>
      </c>
      <c r="G3947" t="s">
        <v>64</v>
      </c>
      <c r="H3947" t="s">
        <v>30</v>
      </c>
      <c r="I3947" t="s">
        <v>52</v>
      </c>
      <c r="J3947" t="s">
        <v>41</v>
      </c>
      <c r="K3947" t="s">
        <v>32</v>
      </c>
      <c r="L3947" t="s">
        <v>32</v>
      </c>
      <c r="M3947" t="s">
        <v>33</v>
      </c>
      <c r="N3947" t="s">
        <v>33</v>
      </c>
      <c r="O3947" t="s">
        <v>33</v>
      </c>
      <c r="P3947" t="s">
        <v>34</v>
      </c>
      <c r="Q3947" t="s">
        <v>35</v>
      </c>
      <c r="S3947" t="s">
        <v>30</v>
      </c>
      <c r="T3947" t="s">
        <v>3363</v>
      </c>
      <c r="U3947" t="s">
        <v>3364</v>
      </c>
      <c r="V3947" t="s">
        <v>40</v>
      </c>
      <c r="W3947" s="1">
        <v>4239600</v>
      </c>
    </row>
    <row r="3948" spans="1:23" x14ac:dyDescent="0.2">
      <c r="A3948" t="s">
        <v>2096</v>
      </c>
      <c r="B3948" t="s">
        <v>3333</v>
      </c>
      <c r="C3948" t="s">
        <v>3334</v>
      </c>
      <c r="D3948" t="s">
        <v>3335</v>
      </c>
      <c r="E3948" t="s">
        <v>3361</v>
      </c>
      <c r="F3948" t="s">
        <v>3362</v>
      </c>
      <c r="G3948" t="s">
        <v>119</v>
      </c>
      <c r="H3948" t="s">
        <v>30</v>
      </c>
      <c r="I3948" t="s">
        <v>52</v>
      </c>
      <c r="J3948" t="s">
        <v>57</v>
      </c>
      <c r="K3948" t="s">
        <v>32</v>
      </c>
      <c r="L3948" t="s">
        <v>32</v>
      </c>
      <c r="M3948" t="s">
        <v>33</v>
      </c>
      <c r="N3948" t="s">
        <v>33</v>
      </c>
      <c r="O3948" t="s">
        <v>33</v>
      </c>
      <c r="P3948" t="s">
        <v>34</v>
      </c>
      <c r="Q3948" t="s">
        <v>35</v>
      </c>
      <c r="R3948" t="s">
        <v>319</v>
      </c>
      <c r="S3948" t="s">
        <v>30</v>
      </c>
      <c r="T3948" t="s">
        <v>3365</v>
      </c>
      <c r="U3948" t="s">
        <v>3366</v>
      </c>
      <c r="V3948" t="s">
        <v>39</v>
      </c>
      <c r="W3948" s="1">
        <v>2</v>
      </c>
    </row>
    <row r="3949" spans="1:23" x14ac:dyDescent="0.2">
      <c r="A3949" t="s">
        <v>2096</v>
      </c>
      <c r="B3949" t="s">
        <v>3333</v>
      </c>
      <c r="C3949" t="s">
        <v>3334</v>
      </c>
      <c r="D3949" t="s">
        <v>3335</v>
      </c>
      <c r="E3949" t="s">
        <v>3361</v>
      </c>
      <c r="F3949" t="s">
        <v>3362</v>
      </c>
      <c r="G3949" t="s">
        <v>119</v>
      </c>
      <c r="H3949" t="s">
        <v>30</v>
      </c>
      <c r="I3949" t="s">
        <v>52</v>
      </c>
      <c r="J3949" t="s">
        <v>57</v>
      </c>
      <c r="K3949" t="s">
        <v>32</v>
      </c>
      <c r="L3949" t="s">
        <v>32</v>
      </c>
      <c r="M3949" t="s">
        <v>33</v>
      </c>
      <c r="N3949" t="s">
        <v>33</v>
      </c>
      <c r="O3949" t="s">
        <v>33</v>
      </c>
      <c r="P3949" t="s">
        <v>34</v>
      </c>
      <c r="Q3949" t="s">
        <v>35</v>
      </c>
      <c r="R3949" t="s">
        <v>319</v>
      </c>
      <c r="S3949" t="s">
        <v>30</v>
      </c>
      <c r="T3949" t="s">
        <v>3365</v>
      </c>
      <c r="U3949" t="s">
        <v>3366</v>
      </c>
      <c r="V3949" t="s">
        <v>40</v>
      </c>
      <c r="W3949" s="1">
        <v>3524000</v>
      </c>
    </row>
    <row r="3950" spans="1:23" x14ac:dyDescent="0.2">
      <c r="A3950" t="s">
        <v>2096</v>
      </c>
      <c r="B3950" t="s">
        <v>3333</v>
      </c>
      <c r="C3950" t="s">
        <v>3334</v>
      </c>
      <c r="D3950" t="s">
        <v>3335</v>
      </c>
      <c r="E3950" t="s">
        <v>3361</v>
      </c>
      <c r="F3950" t="s">
        <v>3362</v>
      </c>
      <c r="G3950" t="s">
        <v>119</v>
      </c>
      <c r="H3950" t="s">
        <v>30</v>
      </c>
      <c r="I3950" t="s">
        <v>52</v>
      </c>
      <c r="J3950" t="s">
        <v>57</v>
      </c>
      <c r="K3950" t="s">
        <v>32</v>
      </c>
      <c r="L3950" t="s">
        <v>32</v>
      </c>
      <c r="M3950" t="s">
        <v>176</v>
      </c>
      <c r="N3950" t="s">
        <v>176</v>
      </c>
      <c r="O3950" t="s">
        <v>176</v>
      </c>
      <c r="P3950" t="s">
        <v>34</v>
      </c>
      <c r="Q3950" t="s">
        <v>35</v>
      </c>
      <c r="R3950" t="s">
        <v>319</v>
      </c>
      <c r="S3950" t="s">
        <v>30</v>
      </c>
      <c r="T3950" t="s">
        <v>3365</v>
      </c>
      <c r="U3950" t="s">
        <v>3366</v>
      </c>
      <c r="V3950" t="s">
        <v>39</v>
      </c>
      <c r="W3950" s="1">
        <v>1</v>
      </c>
    </row>
    <row r="3951" spans="1:23" x14ac:dyDescent="0.2">
      <c r="A3951" t="s">
        <v>2096</v>
      </c>
      <c r="B3951" t="s">
        <v>3333</v>
      </c>
      <c r="C3951" t="s">
        <v>3334</v>
      </c>
      <c r="D3951" t="s">
        <v>3335</v>
      </c>
      <c r="E3951" t="s">
        <v>3361</v>
      </c>
      <c r="F3951" t="s">
        <v>3362</v>
      </c>
      <c r="G3951" t="s">
        <v>119</v>
      </c>
      <c r="H3951" t="s">
        <v>30</v>
      </c>
      <c r="I3951" t="s">
        <v>52</v>
      </c>
      <c r="J3951" t="s">
        <v>57</v>
      </c>
      <c r="K3951" t="s">
        <v>32</v>
      </c>
      <c r="L3951" t="s">
        <v>32</v>
      </c>
      <c r="M3951" t="s">
        <v>176</v>
      </c>
      <c r="N3951" t="s">
        <v>176</v>
      </c>
      <c r="O3951" t="s">
        <v>176</v>
      </c>
      <c r="P3951" t="s">
        <v>34</v>
      </c>
      <c r="Q3951" t="s">
        <v>35</v>
      </c>
      <c r="R3951" t="s">
        <v>319</v>
      </c>
      <c r="S3951" t="s">
        <v>30</v>
      </c>
      <c r="T3951" t="s">
        <v>3365</v>
      </c>
      <c r="U3951" t="s">
        <v>3366</v>
      </c>
      <c r="V3951" t="s">
        <v>40</v>
      </c>
      <c r="W3951" s="1">
        <v>881000</v>
      </c>
    </row>
    <row r="3952" spans="1:23" x14ac:dyDescent="0.2">
      <c r="A3952" t="s">
        <v>2096</v>
      </c>
      <c r="B3952" t="s">
        <v>3333</v>
      </c>
      <c r="C3952" t="s">
        <v>3334</v>
      </c>
      <c r="D3952" t="s">
        <v>3335</v>
      </c>
      <c r="E3952" t="s">
        <v>3361</v>
      </c>
      <c r="F3952" t="s">
        <v>3362</v>
      </c>
      <c r="G3952" t="s">
        <v>119</v>
      </c>
      <c r="H3952" t="s">
        <v>30</v>
      </c>
      <c r="I3952" t="s">
        <v>52</v>
      </c>
      <c r="J3952" t="s">
        <v>57</v>
      </c>
      <c r="K3952" t="s">
        <v>32</v>
      </c>
      <c r="L3952" t="s">
        <v>32</v>
      </c>
      <c r="M3952" t="s">
        <v>176</v>
      </c>
      <c r="N3952" t="s">
        <v>195</v>
      </c>
      <c r="O3952" t="s">
        <v>176</v>
      </c>
      <c r="P3952" t="s">
        <v>34</v>
      </c>
      <c r="Q3952" t="s">
        <v>35</v>
      </c>
      <c r="R3952" t="s">
        <v>319</v>
      </c>
      <c r="S3952" t="s">
        <v>30</v>
      </c>
      <c r="T3952" t="s">
        <v>3365</v>
      </c>
      <c r="U3952" t="s">
        <v>3366</v>
      </c>
      <c r="V3952" t="s">
        <v>39</v>
      </c>
      <c r="W3952" s="1">
        <v>1</v>
      </c>
    </row>
    <row r="3953" spans="1:23" x14ac:dyDescent="0.2">
      <c r="A3953" t="s">
        <v>2096</v>
      </c>
      <c r="B3953" t="s">
        <v>3333</v>
      </c>
      <c r="C3953" t="s">
        <v>3334</v>
      </c>
      <c r="D3953" t="s">
        <v>3335</v>
      </c>
      <c r="E3953" t="s">
        <v>3361</v>
      </c>
      <c r="F3953" t="s">
        <v>3362</v>
      </c>
      <c r="G3953" t="s">
        <v>119</v>
      </c>
      <c r="H3953" t="s">
        <v>30</v>
      </c>
      <c r="I3953" t="s">
        <v>52</v>
      </c>
      <c r="J3953" t="s">
        <v>57</v>
      </c>
      <c r="K3953" t="s">
        <v>32</v>
      </c>
      <c r="L3953" t="s">
        <v>32</v>
      </c>
      <c r="M3953" t="s">
        <v>176</v>
      </c>
      <c r="N3953" t="s">
        <v>195</v>
      </c>
      <c r="O3953" t="s">
        <v>176</v>
      </c>
      <c r="P3953" t="s">
        <v>34</v>
      </c>
      <c r="Q3953" t="s">
        <v>35</v>
      </c>
      <c r="R3953" t="s">
        <v>319</v>
      </c>
      <c r="S3953" t="s">
        <v>30</v>
      </c>
      <c r="T3953" t="s">
        <v>3365</v>
      </c>
      <c r="U3953" t="s">
        <v>3366</v>
      </c>
      <c r="V3953" t="s">
        <v>40</v>
      </c>
      <c r="W3953" s="1">
        <v>881000</v>
      </c>
    </row>
    <row r="3954" spans="1:23" x14ac:dyDescent="0.2">
      <c r="A3954" t="s">
        <v>2096</v>
      </c>
      <c r="B3954" t="s">
        <v>3333</v>
      </c>
      <c r="C3954" t="s">
        <v>3334</v>
      </c>
      <c r="D3954" t="s">
        <v>3335</v>
      </c>
      <c r="E3954" t="s">
        <v>3361</v>
      </c>
      <c r="F3954" t="s">
        <v>3362</v>
      </c>
      <c r="G3954" t="s">
        <v>127</v>
      </c>
      <c r="H3954" t="s">
        <v>52</v>
      </c>
      <c r="I3954" t="s">
        <v>30</v>
      </c>
      <c r="J3954" t="s">
        <v>31</v>
      </c>
      <c r="K3954" t="s">
        <v>32</v>
      </c>
      <c r="L3954" t="s">
        <v>32</v>
      </c>
      <c r="M3954" t="s">
        <v>33</v>
      </c>
      <c r="N3954" t="s">
        <v>33</v>
      </c>
      <c r="O3954" t="s">
        <v>33</v>
      </c>
      <c r="P3954" t="s">
        <v>34</v>
      </c>
      <c r="Q3954" t="s">
        <v>35</v>
      </c>
      <c r="S3954" t="s">
        <v>30</v>
      </c>
      <c r="T3954" t="s">
        <v>3367</v>
      </c>
      <c r="U3954" t="s">
        <v>3368</v>
      </c>
      <c r="V3954" t="s">
        <v>39</v>
      </c>
      <c r="W3954" s="1">
        <v>2</v>
      </c>
    </row>
    <row r="3955" spans="1:23" x14ac:dyDescent="0.2">
      <c r="A3955" t="s">
        <v>2096</v>
      </c>
      <c r="B3955" t="s">
        <v>3333</v>
      </c>
      <c r="C3955" t="s">
        <v>3334</v>
      </c>
      <c r="D3955" t="s">
        <v>3335</v>
      </c>
      <c r="E3955" t="s">
        <v>3361</v>
      </c>
      <c r="F3955" t="s">
        <v>3362</v>
      </c>
      <c r="G3955" t="s">
        <v>127</v>
      </c>
      <c r="H3955" t="s">
        <v>52</v>
      </c>
      <c r="I3955" t="s">
        <v>30</v>
      </c>
      <c r="J3955" t="s">
        <v>31</v>
      </c>
      <c r="K3955" t="s">
        <v>32</v>
      </c>
      <c r="L3955" t="s">
        <v>32</v>
      </c>
      <c r="M3955" t="s">
        <v>33</v>
      </c>
      <c r="N3955" t="s">
        <v>33</v>
      </c>
      <c r="O3955" t="s">
        <v>33</v>
      </c>
      <c r="P3955" t="s">
        <v>34</v>
      </c>
      <c r="Q3955" t="s">
        <v>35</v>
      </c>
      <c r="S3955" t="s">
        <v>30</v>
      </c>
      <c r="T3955" t="s">
        <v>3367</v>
      </c>
      <c r="U3955" t="s">
        <v>3368</v>
      </c>
      <c r="V3955" t="s">
        <v>40</v>
      </c>
      <c r="W3955" s="1">
        <v>2081800</v>
      </c>
    </row>
    <row r="3956" spans="1:23" x14ac:dyDescent="0.2">
      <c r="A3956" t="s">
        <v>2096</v>
      </c>
      <c r="B3956" t="s">
        <v>3333</v>
      </c>
      <c r="C3956" t="s">
        <v>3334</v>
      </c>
      <c r="D3956" t="s">
        <v>3335</v>
      </c>
      <c r="E3956" t="s">
        <v>3361</v>
      </c>
      <c r="F3956" t="s">
        <v>3362</v>
      </c>
      <c r="G3956" t="s">
        <v>127</v>
      </c>
      <c r="H3956" t="s">
        <v>52</v>
      </c>
      <c r="I3956" t="s">
        <v>30</v>
      </c>
      <c r="J3956" t="s">
        <v>31</v>
      </c>
      <c r="K3956" t="s">
        <v>32</v>
      </c>
      <c r="L3956" t="s">
        <v>32</v>
      </c>
      <c r="M3956" t="s">
        <v>176</v>
      </c>
      <c r="N3956" t="s">
        <v>176</v>
      </c>
      <c r="O3956" t="s">
        <v>176</v>
      </c>
      <c r="P3956" t="s">
        <v>34</v>
      </c>
      <c r="Q3956" t="s">
        <v>35</v>
      </c>
      <c r="S3956" t="s">
        <v>30</v>
      </c>
      <c r="T3956" t="s">
        <v>3367</v>
      </c>
      <c r="U3956" t="s">
        <v>3368</v>
      </c>
      <c r="V3956" t="s">
        <v>39</v>
      </c>
      <c r="W3956" s="1">
        <v>1</v>
      </c>
    </row>
    <row r="3957" spans="1:23" x14ac:dyDescent="0.2">
      <c r="A3957" t="s">
        <v>2096</v>
      </c>
      <c r="B3957" t="s">
        <v>3333</v>
      </c>
      <c r="C3957" t="s">
        <v>3334</v>
      </c>
      <c r="D3957" t="s">
        <v>3335</v>
      </c>
      <c r="E3957" t="s">
        <v>3361</v>
      </c>
      <c r="F3957" t="s">
        <v>3362</v>
      </c>
      <c r="G3957" t="s">
        <v>127</v>
      </c>
      <c r="H3957" t="s">
        <v>52</v>
      </c>
      <c r="I3957" t="s">
        <v>30</v>
      </c>
      <c r="J3957" t="s">
        <v>31</v>
      </c>
      <c r="K3957" t="s">
        <v>32</v>
      </c>
      <c r="L3957" t="s">
        <v>32</v>
      </c>
      <c r="M3957" t="s">
        <v>176</v>
      </c>
      <c r="N3957" t="s">
        <v>176</v>
      </c>
      <c r="O3957" t="s">
        <v>176</v>
      </c>
      <c r="P3957" t="s">
        <v>34</v>
      </c>
      <c r="Q3957" t="s">
        <v>35</v>
      </c>
      <c r="S3957" t="s">
        <v>30</v>
      </c>
      <c r="T3957" t="s">
        <v>3367</v>
      </c>
      <c r="U3957" t="s">
        <v>3368</v>
      </c>
      <c r="V3957" t="s">
        <v>40</v>
      </c>
      <c r="W3957" s="1">
        <v>936810</v>
      </c>
    </row>
    <row r="3958" spans="1:23" x14ac:dyDescent="0.2">
      <c r="A3958" t="s">
        <v>2096</v>
      </c>
      <c r="B3958" t="s">
        <v>3333</v>
      </c>
      <c r="C3958" t="s">
        <v>3334</v>
      </c>
      <c r="D3958" t="s">
        <v>3335</v>
      </c>
      <c r="E3958" t="s">
        <v>3369</v>
      </c>
      <c r="F3958" t="s">
        <v>3370</v>
      </c>
      <c r="G3958" t="s">
        <v>61</v>
      </c>
      <c r="H3958" t="s">
        <v>52</v>
      </c>
      <c r="I3958" t="s">
        <v>52</v>
      </c>
      <c r="J3958" t="s">
        <v>31</v>
      </c>
      <c r="K3958" t="s">
        <v>32</v>
      </c>
      <c r="L3958" t="s">
        <v>32</v>
      </c>
      <c r="M3958" t="s">
        <v>33</v>
      </c>
      <c r="N3958" t="s">
        <v>33</v>
      </c>
      <c r="O3958" t="s">
        <v>33</v>
      </c>
      <c r="P3958" t="s">
        <v>34</v>
      </c>
      <c r="Q3958" t="s">
        <v>35</v>
      </c>
      <c r="S3958" t="s">
        <v>30</v>
      </c>
      <c r="T3958" t="s">
        <v>3371</v>
      </c>
      <c r="U3958" t="s">
        <v>3372</v>
      </c>
      <c r="V3958" t="s">
        <v>39</v>
      </c>
      <c r="W3958" s="1">
        <v>4</v>
      </c>
    </row>
    <row r="3959" spans="1:23" x14ac:dyDescent="0.2">
      <c r="A3959" t="s">
        <v>2096</v>
      </c>
      <c r="B3959" t="s">
        <v>3333</v>
      </c>
      <c r="C3959" t="s">
        <v>3334</v>
      </c>
      <c r="D3959" t="s">
        <v>3335</v>
      </c>
      <c r="E3959" t="s">
        <v>3369</v>
      </c>
      <c r="F3959" t="s">
        <v>3370</v>
      </c>
      <c r="G3959" t="s">
        <v>61</v>
      </c>
      <c r="H3959" t="s">
        <v>52</v>
      </c>
      <c r="I3959" t="s">
        <v>52</v>
      </c>
      <c r="J3959" t="s">
        <v>31</v>
      </c>
      <c r="K3959" t="s">
        <v>32</v>
      </c>
      <c r="L3959" t="s">
        <v>32</v>
      </c>
      <c r="M3959" t="s">
        <v>33</v>
      </c>
      <c r="N3959" t="s">
        <v>33</v>
      </c>
      <c r="O3959" t="s">
        <v>33</v>
      </c>
      <c r="P3959" t="s">
        <v>34</v>
      </c>
      <c r="Q3959" t="s">
        <v>35</v>
      </c>
      <c r="S3959" t="s">
        <v>30</v>
      </c>
      <c r="T3959" t="s">
        <v>3371</v>
      </c>
      <c r="U3959" t="s">
        <v>3372</v>
      </c>
      <c r="V3959" t="s">
        <v>40</v>
      </c>
      <c r="W3959" s="1">
        <v>4519600</v>
      </c>
    </row>
    <row r="3960" spans="1:23" x14ac:dyDescent="0.2">
      <c r="A3960" t="s">
        <v>2096</v>
      </c>
      <c r="B3960" t="s">
        <v>3333</v>
      </c>
      <c r="C3960" t="s">
        <v>3334</v>
      </c>
      <c r="D3960" t="s">
        <v>3335</v>
      </c>
      <c r="E3960" t="s">
        <v>3369</v>
      </c>
      <c r="F3960" t="s">
        <v>3370</v>
      </c>
      <c r="G3960" t="s">
        <v>170</v>
      </c>
      <c r="H3960" t="s">
        <v>52</v>
      </c>
      <c r="I3960" t="s">
        <v>30</v>
      </c>
      <c r="J3960" t="s">
        <v>31</v>
      </c>
      <c r="K3960" t="s">
        <v>32</v>
      </c>
      <c r="L3960" t="s">
        <v>32</v>
      </c>
      <c r="M3960" t="s">
        <v>33</v>
      </c>
      <c r="N3960" t="s">
        <v>33</v>
      </c>
      <c r="O3960" t="s">
        <v>33</v>
      </c>
      <c r="P3960" t="s">
        <v>34</v>
      </c>
      <c r="Q3960" t="s">
        <v>35</v>
      </c>
      <c r="S3960" t="s">
        <v>30</v>
      </c>
      <c r="T3960" t="s">
        <v>3371</v>
      </c>
      <c r="U3960" t="s">
        <v>3372</v>
      </c>
      <c r="V3960" t="s">
        <v>39</v>
      </c>
      <c r="W3960" s="1">
        <v>2</v>
      </c>
    </row>
    <row r="3961" spans="1:23" x14ac:dyDescent="0.2">
      <c r="A3961" t="s">
        <v>2096</v>
      </c>
      <c r="B3961" t="s">
        <v>3333</v>
      </c>
      <c r="C3961" t="s">
        <v>3334</v>
      </c>
      <c r="D3961" t="s">
        <v>3335</v>
      </c>
      <c r="E3961" t="s">
        <v>3369</v>
      </c>
      <c r="F3961" t="s">
        <v>3370</v>
      </c>
      <c r="G3961" t="s">
        <v>170</v>
      </c>
      <c r="H3961" t="s">
        <v>52</v>
      </c>
      <c r="I3961" t="s">
        <v>30</v>
      </c>
      <c r="J3961" t="s">
        <v>31</v>
      </c>
      <c r="K3961" t="s">
        <v>32</v>
      </c>
      <c r="L3961" t="s">
        <v>32</v>
      </c>
      <c r="M3961" t="s">
        <v>33</v>
      </c>
      <c r="N3961" t="s">
        <v>33</v>
      </c>
      <c r="O3961" t="s">
        <v>33</v>
      </c>
      <c r="P3961" t="s">
        <v>34</v>
      </c>
      <c r="Q3961" t="s">
        <v>35</v>
      </c>
      <c r="S3961" t="s">
        <v>30</v>
      </c>
      <c r="T3961" t="s">
        <v>3371</v>
      </c>
      <c r="U3961" t="s">
        <v>3372</v>
      </c>
      <c r="V3961" t="s">
        <v>40</v>
      </c>
      <c r="W3961" s="1">
        <v>2259800</v>
      </c>
    </row>
    <row r="3962" spans="1:23" x14ac:dyDescent="0.2">
      <c r="A3962" t="s">
        <v>2096</v>
      </c>
      <c r="B3962" t="s">
        <v>3333</v>
      </c>
      <c r="C3962" t="s">
        <v>3334</v>
      </c>
      <c r="D3962" t="s">
        <v>3335</v>
      </c>
      <c r="E3962" t="s">
        <v>3369</v>
      </c>
      <c r="F3962" t="s">
        <v>3370</v>
      </c>
      <c r="G3962" t="s">
        <v>67</v>
      </c>
      <c r="H3962" t="s">
        <v>30</v>
      </c>
      <c r="I3962" t="s">
        <v>30</v>
      </c>
      <c r="J3962" t="s">
        <v>31</v>
      </c>
      <c r="K3962" t="s">
        <v>32</v>
      </c>
      <c r="L3962" t="s">
        <v>32</v>
      </c>
      <c r="M3962" t="s">
        <v>33</v>
      </c>
      <c r="N3962" t="s">
        <v>33</v>
      </c>
      <c r="O3962" t="s">
        <v>33</v>
      </c>
      <c r="P3962" t="s">
        <v>34</v>
      </c>
      <c r="Q3962" t="s">
        <v>35</v>
      </c>
      <c r="R3962" t="s">
        <v>353</v>
      </c>
      <c r="S3962" t="s">
        <v>30</v>
      </c>
      <c r="T3962" t="s">
        <v>3373</v>
      </c>
      <c r="U3962" t="s">
        <v>3374</v>
      </c>
      <c r="V3962" t="s">
        <v>39</v>
      </c>
      <c r="W3962" s="1">
        <v>2</v>
      </c>
    </row>
    <row r="3963" spans="1:23" x14ac:dyDescent="0.2">
      <c r="A3963" t="s">
        <v>2096</v>
      </c>
      <c r="B3963" t="s">
        <v>3333</v>
      </c>
      <c r="C3963" t="s">
        <v>3334</v>
      </c>
      <c r="D3963" t="s">
        <v>3335</v>
      </c>
      <c r="E3963" t="s">
        <v>3369</v>
      </c>
      <c r="F3963" t="s">
        <v>3370</v>
      </c>
      <c r="G3963" t="s">
        <v>67</v>
      </c>
      <c r="H3963" t="s">
        <v>30</v>
      </c>
      <c r="I3963" t="s">
        <v>30</v>
      </c>
      <c r="J3963" t="s">
        <v>31</v>
      </c>
      <c r="K3963" t="s">
        <v>32</v>
      </c>
      <c r="L3963" t="s">
        <v>32</v>
      </c>
      <c r="M3963" t="s">
        <v>33</v>
      </c>
      <c r="N3963" t="s">
        <v>33</v>
      </c>
      <c r="O3963" t="s">
        <v>33</v>
      </c>
      <c r="P3963" t="s">
        <v>34</v>
      </c>
      <c r="Q3963" t="s">
        <v>35</v>
      </c>
      <c r="R3963" t="s">
        <v>353</v>
      </c>
      <c r="S3963" t="s">
        <v>30</v>
      </c>
      <c r="T3963" t="s">
        <v>3373</v>
      </c>
      <c r="U3963" t="s">
        <v>3374</v>
      </c>
      <c r="V3963" t="s">
        <v>40</v>
      </c>
      <c r="W3963" s="1">
        <v>359800</v>
      </c>
    </row>
    <row r="3964" spans="1:23" x14ac:dyDescent="0.2">
      <c r="A3964" t="s">
        <v>2096</v>
      </c>
      <c r="B3964" t="s">
        <v>3333</v>
      </c>
      <c r="C3964" t="s">
        <v>3334</v>
      </c>
      <c r="D3964" t="s">
        <v>3335</v>
      </c>
      <c r="E3964" t="s">
        <v>3369</v>
      </c>
      <c r="F3964" t="s">
        <v>3370</v>
      </c>
      <c r="G3964" t="s">
        <v>89</v>
      </c>
      <c r="H3964" t="s">
        <v>30</v>
      </c>
      <c r="I3964" t="s">
        <v>30</v>
      </c>
      <c r="J3964" t="s">
        <v>211</v>
      </c>
      <c r="K3964" t="s">
        <v>181</v>
      </c>
      <c r="L3964" t="s">
        <v>332</v>
      </c>
      <c r="M3964" t="s">
        <v>33</v>
      </c>
      <c r="N3964" t="s">
        <v>33</v>
      </c>
      <c r="O3964" t="s">
        <v>33</v>
      </c>
      <c r="P3964" t="s">
        <v>213</v>
      </c>
      <c r="Q3964" t="s">
        <v>214</v>
      </c>
      <c r="R3964" t="s">
        <v>215</v>
      </c>
      <c r="S3964" t="s">
        <v>30</v>
      </c>
      <c r="T3964" t="s">
        <v>3375</v>
      </c>
      <c r="U3964" t="s">
        <v>3376</v>
      </c>
      <c r="V3964" t="s">
        <v>39</v>
      </c>
      <c r="W3964" s="1">
        <v>8</v>
      </c>
    </row>
    <row r="3965" spans="1:23" x14ac:dyDescent="0.2">
      <c r="A3965" t="s">
        <v>2096</v>
      </c>
      <c r="B3965" t="s">
        <v>3333</v>
      </c>
      <c r="C3965" t="s">
        <v>3334</v>
      </c>
      <c r="D3965" t="s">
        <v>3335</v>
      </c>
      <c r="E3965" t="s">
        <v>3369</v>
      </c>
      <c r="F3965" t="s">
        <v>3370</v>
      </c>
      <c r="G3965" t="s">
        <v>89</v>
      </c>
      <c r="H3965" t="s">
        <v>30</v>
      </c>
      <c r="I3965" t="s">
        <v>30</v>
      </c>
      <c r="J3965" t="s">
        <v>211</v>
      </c>
      <c r="K3965" t="s">
        <v>181</v>
      </c>
      <c r="L3965" t="s">
        <v>332</v>
      </c>
      <c r="M3965" t="s">
        <v>33</v>
      </c>
      <c r="N3965" t="s">
        <v>33</v>
      </c>
      <c r="O3965" t="s">
        <v>33</v>
      </c>
      <c r="P3965" t="s">
        <v>213</v>
      </c>
      <c r="Q3965" t="s">
        <v>214</v>
      </c>
      <c r="R3965" t="s">
        <v>215</v>
      </c>
      <c r="S3965" t="s">
        <v>30</v>
      </c>
      <c r="T3965" t="s">
        <v>3375</v>
      </c>
      <c r="U3965" t="s">
        <v>3376</v>
      </c>
      <c r="V3965" t="s">
        <v>40</v>
      </c>
      <c r="W3965" s="1">
        <v>11720000</v>
      </c>
    </row>
    <row r="3966" spans="1:23" x14ac:dyDescent="0.2">
      <c r="A3966" t="s">
        <v>2096</v>
      </c>
      <c r="B3966" t="s">
        <v>3333</v>
      </c>
      <c r="C3966" t="s">
        <v>3334</v>
      </c>
      <c r="D3966" t="s">
        <v>3335</v>
      </c>
      <c r="E3966" t="s">
        <v>3369</v>
      </c>
      <c r="F3966" t="s">
        <v>3370</v>
      </c>
      <c r="G3966" t="s">
        <v>89</v>
      </c>
      <c r="H3966" t="s">
        <v>30</v>
      </c>
      <c r="I3966" t="s">
        <v>30</v>
      </c>
      <c r="J3966" t="s">
        <v>31</v>
      </c>
      <c r="K3966" t="s">
        <v>32</v>
      </c>
      <c r="L3966" t="s">
        <v>32</v>
      </c>
      <c r="M3966" t="s">
        <v>33</v>
      </c>
      <c r="N3966" t="s">
        <v>33</v>
      </c>
      <c r="O3966" t="s">
        <v>33</v>
      </c>
      <c r="P3966" t="s">
        <v>34</v>
      </c>
      <c r="Q3966" t="s">
        <v>35</v>
      </c>
      <c r="S3966" t="s">
        <v>30</v>
      </c>
      <c r="T3966" t="s">
        <v>3377</v>
      </c>
      <c r="U3966" t="s">
        <v>3378</v>
      </c>
      <c r="V3966" t="s">
        <v>39</v>
      </c>
      <c r="W3966" s="1">
        <v>4</v>
      </c>
    </row>
    <row r="3967" spans="1:23" x14ac:dyDescent="0.2">
      <c r="A3967" t="s">
        <v>2096</v>
      </c>
      <c r="B3967" t="s">
        <v>3333</v>
      </c>
      <c r="C3967" t="s">
        <v>3334</v>
      </c>
      <c r="D3967" t="s">
        <v>3335</v>
      </c>
      <c r="E3967" t="s">
        <v>3369</v>
      </c>
      <c r="F3967" t="s">
        <v>3370</v>
      </c>
      <c r="G3967" t="s">
        <v>89</v>
      </c>
      <c r="H3967" t="s">
        <v>30</v>
      </c>
      <c r="I3967" t="s">
        <v>30</v>
      </c>
      <c r="J3967" t="s">
        <v>31</v>
      </c>
      <c r="K3967" t="s">
        <v>32</v>
      </c>
      <c r="L3967" t="s">
        <v>32</v>
      </c>
      <c r="M3967" t="s">
        <v>33</v>
      </c>
      <c r="N3967" t="s">
        <v>33</v>
      </c>
      <c r="O3967" t="s">
        <v>33</v>
      </c>
      <c r="P3967" t="s">
        <v>34</v>
      </c>
      <c r="Q3967" t="s">
        <v>35</v>
      </c>
      <c r="S3967" t="s">
        <v>30</v>
      </c>
      <c r="T3967" t="s">
        <v>3377</v>
      </c>
      <c r="U3967" t="s">
        <v>3378</v>
      </c>
      <c r="V3967" t="s">
        <v>40</v>
      </c>
      <c r="W3967" s="1">
        <v>3639600</v>
      </c>
    </row>
    <row r="3968" spans="1:23" x14ac:dyDescent="0.2">
      <c r="A3968" t="s">
        <v>2096</v>
      </c>
      <c r="B3968" t="s">
        <v>3333</v>
      </c>
      <c r="C3968" t="s">
        <v>3334</v>
      </c>
      <c r="D3968" t="s">
        <v>3335</v>
      </c>
      <c r="E3968" t="s">
        <v>3369</v>
      </c>
      <c r="F3968" t="s">
        <v>3370</v>
      </c>
      <c r="G3968" t="s">
        <v>139</v>
      </c>
      <c r="H3968" t="s">
        <v>30</v>
      </c>
      <c r="I3968" t="s">
        <v>30</v>
      </c>
      <c r="J3968" t="s">
        <v>128</v>
      </c>
      <c r="K3968" t="s">
        <v>181</v>
      </c>
      <c r="L3968" t="s">
        <v>32</v>
      </c>
      <c r="M3968" t="s">
        <v>33</v>
      </c>
      <c r="N3968" t="s">
        <v>33</v>
      </c>
      <c r="O3968" t="s">
        <v>33</v>
      </c>
      <c r="P3968" t="s">
        <v>34</v>
      </c>
      <c r="Q3968" t="s">
        <v>35</v>
      </c>
      <c r="S3968" t="s">
        <v>30</v>
      </c>
      <c r="T3968" t="s">
        <v>3379</v>
      </c>
      <c r="U3968" t="s">
        <v>3380</v>
      </c>
      <c r="V3968" t="s">
        <v>39</v>
      </c>
      <c r="W3968" s="1">
        <v>8</v>
      </c>
    </row>
    <row r="3969" spans="1:23" x14ac:dyDescent="0.2">
      <c r="A3969" t="s">
        <v>2096</v>
      </c>
      <c r="B3969" t="s">
        <v>3333</v>
      </c>
      <c r="C3969" t="s">
        <v>3334</v>
      </c>
      <c r="D3969" t="s">
        <v>3335</v>
      </c>
      <c r="E3969" t="s">
        <v>3369</v>
      </c>
      <c r="F3969" t="s">
        <v>3370</v>
      </c>
      <c r="G3969" t="s">
        <v>139</v>
      </c>
      <c r="H3969" t="s">
        <v>30</v>
      </c>
      <c r="I3969" t="s">
        <v>30</v>
      </c>
      <c r="J3969" t="s">
        <v>128</v>
      </c>
      <c r="K3969" t="s">
        <v>181</v>
      </c>
      <c r="L3969" t="s">
        <v>32</v>
      </c>
      <c r="M3969" t="s">
        <v>33</v>
      </c>
      <c r="N3969" t="s">
        <v>33</v>
      </c>
      <c r="O3969" t="s">
        <v>33</v>
      </c>
      <c r="P3969" t="s">
        <v>34</v>
      </c>
      <c r="Q3969" t="s">
        <v>35</v>
      </c>
      <c r="S3969" t="s">
        <v>30</v>
      </c>
      <c r="T3969" t="s">
        <v>3379</v>
      </c>
      <c r="U3969" t="s">
        <v>3380</v>
      </c>
      <c r="V3969" t="s">
        <v>40</v>
      </c>
      <c r="W3969" s="1">
        <v>0</v>
      </c>
    </row>
    <row r="3970" spans="1:23" x14ac:dyDescent="0.2">
      <c r="A3970" t="s">
        <v>2096</v>
      </c>
      <c r="B3970" t="s">
        <v>3333</v>
      </c>
      <c r="C3970" t="s">
        <v>3334</v>
      </c>
      <c r="D3970" t="s">
        <v>3335</v>
      </c>
      <c r="E3970" t="s">
        <v>3369</v>
      </c>
      <c r="F3970" t="s">
        <v>3370</v>
      </c>
      <c r="G3970" t="s">
        <v>139</v>
      </c>
      <c r="H3970" t="s">
        <v>30</v>
      </c>
      <c r="I3970" t="s">
        <v>30</v>
      </c>
      <c r="J3970" t="s">
        <v>128</v>
      </c>
      <c r="K3970" t="s">
        <v>181</v>
      </c>
      <c r="L3970" t="s">
        <v>32</v>
      </c>
      <c r="M3970" t="s">
        <v>33</v>
      </c>
      <c r="N3970" t="s">
        <v>169</v>
      </c>
      <c r="O3970" t="s">
        <v>33</v>
      </c>
      <c r="P3970" t="s">
        <v>34</v>
      </c>
      <c r="Q3970" t="s">
        <v>35</v>
      </c>
      <c r="S3970" t="s">
        <v>30</v>
      </c>
      <c r="T3970" t="s">
        <v>3379</v>
      </c>
      <c r="U3970" t="s">
        <v>3380</v>
      </c>
      <c r="V3970" t="s">
        <v>39</v>
      </c>
      <c r="W3970" s="1">
        <v>1</v>
      </c>
    </row>
    <row r="3971" spans="1:23" x14ac:dyDescent="0.2">
      <c r="A3971" t="s">
        <v>2096</v>
      </c>
      <c r="B3971" t="s">
        <v>3333</v>
      </c>
      <c r="C3971" t="s">
        <v>3334</v>
      </c>
      <c r="D3971" t="s">
        <v>3335</v>
      </c>
      <c r="E3971" t="s">
        <v>3369</v>
      </c>
      <c r="F3971" t="s">
        <v>3370</v>
      </c>
      <c r="G3971" t="s">
        <v>139</v>
      </c>
      <c r="H3971" t="s">
        <v>30</v>
      </c>
      <c r="I3971" t="s">
        <v>30</v>
      </c>
      <c r="J3971" t="s">
        <v>128</v>
      </c>
      <c r="K3971" t="s">
        <v>181</v>
      </c>
      <c r="L3971" t="s">
        <v>32</v>
      </c>
      <c r="M3971" t="s">
        <v>33</v>
      </c>
      <c r="N3971" t="s">
        <v>169</v>
      </c>
      <c r="O3971" t="s">
        <v>33</v>
      </c>
      <c r="P3971" t="s">
        <v>34</v>
      </c>
      <c r="Q3971" t="s">
        <v>35</v>
      </c>
      <c r="S3971" t="s">
        <v>30</v>
      </c>
      <c r="T3971" t="s">
        <v>3379</v>
      </c>
      <c r="U3971" t="s">
        <v>3380</v>
      </c>
      <c r="V3971" t="s">
        <v>40</v>
      </c>
      <c r="W3971" s="1">
        <v>0</v>
      </c>
    </row>
    <row r="3972" spans="1:23" x14ac:dyDescent="0.2">
      <c r="A3972" t="s">
        <v>2096</v>
      </c>
      <c r="B3972" t="s">
        <v>3333</v>
      </c>
      <c r="C3972" t="s">
        <v>3334</v>
      </c>
      <c r="D3972" t="s">
        <v>3335</v>
      </c>
      <c r="E3972" t="s">
        <v>3369</v>
      </c>
      <c r="F3972" t="s">
        <v>3370</v>
      </c>
      <c r="G3972" t="s">
        <v>139</v>
      </c>
      <c r="H3972" t="s">
        <v>30</v>
      </c>
      <c r="I3972" t="s">
        <v>30</v>
      </c>
      <c r="J3972" t="s">
        <v>128</v>
      </c>
      <c r="K3972" t="s">
        <v>181</v>
      </c>
      <c r="L3972" t="s">
        <v>32</v>
      </c>
      <c r="M3972" t="s">
        <v>33</v>
      </c>
      <c r="N3972" t="s">
        <v>169</v>
      </c>
      <c r="O3972" t="s">
        <v>169</v>
      </c>
      <c r="P3972" t="s">
        <v>34</v>
      </c>
      <c r="Q3972" t="s">
        <v>35</v>
      </c>
      <c r="S3972" t="s">
        <v>30</v>
      </c>
      <c r="T3972" t="s">
        <v>3379</v>
      </c>
      <c r="U3972" t="s">
        <v>3380</v>
      </c>
      <c r="V3972" t="s">
        <v>39</v>
      </c>
      <c r="W3972" s="1">
        <v>1</v>
      </c>
    </row>
    <row r="3973" spans="1:23" x14ac:dyDescent="0.2">
      <c r="A3973" t="s">
        <v>2096</v>
      </c>
      <c r="B3973" t="s">
        <v>3333</v>
      </c>
      <c r="C3973" t="s">
        <v>3334</v>
      </c>
      <c r="D3973" t="s">
        <v>3335</v>
      </c>
      <c r="E3973" t="s">
        <v>3369</v>
      </c>
      <c r="F3973" t="s">
        <v>3370</v>
      </c>
      <c r="G3973" t="s">
        <v>139</v>
      </c>
      <c r="H3973" t="s">
        <v>30</v>
      </c>
      <c r="I3973" t="s">
        <v>30</v>
      </c>
      <c r="J3973" t="s">
        <v>128</v>
      </c>
      <c r="K3973" t="s">
        <v>181</v>
      </c>
      <c r="L3973" t="s">
        <v>32</v>
      </c>
      <c r="M3973" t="s">
        <v>33</v>
      </c>
      <c r="N3973" t="s">
        <v>169</v>
      </c>
      <c r="O3973" t="s">
        <v>169</v>
      </c>
      <c r="P3973" t="s">
        <v>34</v>
      </c>
      <c r="Q3973" t="s">
        <v>35</v>
      </c>
      <c r="S3973" t="s">
        <v>30</v>
      </c>
      <c r="T3973" t="s">
        <v>3379</v>
      </c>
      <c r="U3973" t="s">
        <v>3380</v>
      </c>
      <c r="V3973" t="s">
        <v>40</v>
      </c>
      <c r="W3973" s="1">
        <v>0</v>
      </c>
    </row>
    <row r="3974" spans="1:23" x14ac:dyDescent="0.2">
      <c r="A3974" t="s">
        <v>2096</v>
      </c>
      <c r="B3974" t="s">
        <v>3333</v>
      </c>
      <c r="C3974" t="s">
        <v>3334</v>
      </c>
      <c r="D3974" t="s">
        <v>3335</v>
      </c>
      <c r="E3974" t="s">
        <v>3369</v>
      </c>
      <c r="F3974" t="s">
        <v>3370</v>
      </c>
      <c r="G3974" t="s">
        <v>139</v>
      </c>
      <c r="H3974" t="s">
        <v>30</v>
      </c>
      <c r="I3974" t="s">
        <v>30</v>
      </c>
      <c r="J3974" t="s">
        <v>128</v>
      </c>
      <c r="K3974" t="s">
        <v>181</v>
      </c>
      <c r="L3974" t="s">
        <v>32</v>
      </c>
      <c r="M3974" t="s">
        <v>176</v>
      </c>
      <c r="N3974" t="s">
        <v>176</v>
      </c>
      <c r="O3974" t="s">
        <v>176</v>
      </c>
      <c r="P3974" t="s">
        <v>34</v>
      </c>
      <c r="Q3974" t="s">
        <v>35</v>
      </c>
      <c r="S3974" t="s">
        <v>30</v>
      </c>
      <c r="T3974" t="s">
        <v>3379</v>
      </c>
      <c r="U3974" t="s">
        <v>3380</v>
      </c>
      <c r="V3974" t="s">
        <v>39</v>
      </c>
      <c r="W3974" s="1">
        <v>2</v>
      </c>
    </row>
    <row r="3975" spans="1:23" x14ac:dyDescent="0.2">
      <c r="A3975" t="s">
        <v>2096</v>
      </c>
      <c r="B3975" t="s">
        <v>3333</v>
      </c>
      <c r="C3975" t="s">
        <v>3334</v>
      </c>
      <c r="D3975" t="s">
        <v>3335</v>
      </c>
      <c r="E3975" t="s">
        <v>3369</v>
      </c>
      <c r="F3975" t="s">
        <v>3370</v>
      </c>
      <c r="G3975" t="s">
        <v>139</v>
      </c>
      <c r="H3975" t="s">
        <v>30</v>
      </c>
      <c r="I3975" t="s">
        <v>30</v>
      </c>
      <c r="J3975" t="s">
        <v>128</v>
      </c>
      <c r="K3975" t="s">
        <v>181</v>
      </c>
      <c r="L3975" t="s">
        <v>32</v>
      </c>
      <c r="M3975" t="s">
        <v>176</v>
      </c>
      <c r="N3975" t="s">
        <v>176</v>
      </c>
      <c r="O3975" t="s">
        <v>176</v>
      </c>
      <c r="P3975" t="s">
        <v>34</v>
      </c>
      <c r="Q3975" t="s">
        <v>35</v>
      </c>
      <c r="S3975" t="s">
        <v>30</v>
      </c>
      <c r="T3975" t="s">
        <v>3379</v>
      </c>
      <c r="U3975" t="s">
        <v>3380</v>
      </c>
      <c r="V3975" t="s">
        <v>40</v>
      </c>
      <c r="W3975" s="1">
        <v>0</v>
      </c>
    </row>
    <row r="3976" spans="1:23" x14ac:dyDescent="0.2">
      <c r="A3976" t="s">
        <v>2096</v>
      </c>
      <c r="B3976" t="s">
        <v>3333</v>
      </c>
      <c r="C3976" t="s">
        <v>3334</v>
      </c>
      <c r="D3976" t="s">
        <v>3335</v>
      </c>
      <c r="E3976" t="s">
        <v>3369</v>
      </c>
      <c r="F3976" t="s">
        <v>3370</v>
      </c>
      <c r="G3976" t="s">
        <v>139</v>
      </c>
      <c r="H3976" t="s">
        <v>30</v>
      </c>
      <c r="I3976" t="s">
        <v>30</v>
      </c>
      <c r="J3976" t="s">
        <v>41</v>
      </c>
      <c r="K3976" t="s">
        <v>32</v>
      </c>
      <c r="L3976" t="s">
        <v>32</v>
      </c>
      <c r="M3976" t="s">
        <v>33</v>
      </c>
      <c r="P3976" t="s">
        <v>34</v>
      </c>
      <c r="Q3976" t="s">
        <v>35</v>
      </c>
      <c r="R3976" t="s">
        <v>54</v>
      </c>
      <c r="S3976" t="s">
        <v>30</v>
      </c>
      <c r="T3976" t="s">
        <v>3381</v>
      </c>
      <c r="U3976" t="s">
        <v>3382</v>
      </c>
      <c r="V3976" t="s">
        <v>39</v>
      </c>
      <c r="W3976" s="1">
        <v>5</v>
      </c>
    </row>
    <row r="3977" spans="1:23" x14ac:dyDescent="0.2">
      <c r="A3977" t="s">
        <v>2096</v>
      </c>
      <c r="B3977" t="s">
        <v>3333</v>
      </c>
      <c r="C3977" t="s">
        <v>3334</v>
      </c>
      <c r="D3977" t="s">
        <v>3335</v>
      </c>
      <c r="E3977" t="s">
        <v>3369</v>
      </c>
      <c r="F3977" t="s">
        <v>3370</v>
      </c>
      <c r="G3977" t="s">
        <v>139</v>
      </c>
      <c r="H3977" t="s">
        <v>30</v>
      </c>
      <c r="I3977" t="s">
        <v>30</v>
      </c>
      <c r="J3977" t="s">
        <v>41</v>
      </c>
      <c r="K3977" t="s">
        <v>32</v>
      </c>
      <c r="L3977" t="s">
        <v>32</v>
      </c>
      <c r="M3977" t="s">
        <v>33</v>
      </c>
      <c r="P3977" t="s">
        <v>34</v>
      </c>
      <c r="Q3977" t="s">
        <v>35</v>
      </c>
      <c r="R3977" t="s">
        <v>54</v>
      </c>
      <c r="S3977" t="s">
        <v>30</v>
      </c>
      <c r="T3977" t="s">
        <v>3381</v>
      </c>
      <c r="U3977" t="s">
        <v>3382</v>
      </c>
      <c r="V3977" t="s">
        <v>40</v>
      </c>
      <c r="W3977" s="1">
        <v>9495000</v>
      </c>
    </row>
    <row r="3978" spans="1:23" x14ac:dyDescent="0.2">
      <c r="A3978" t="s">
        <v>2096</v>
      </c>
      <c r="B3978" t="s">
        <v>3333</v>
      </c>
      <c r="C3978" t="s">
        <v>3334</v>
      </c>
      <c r="D3978" t="s">
        <v>3335</v>
      </c>
      <c r="E3978" t="s">
        <v>3383</v>
      </c>
      <c r="F3978" t="s">
        <v>3384</v>
      </c>
      <c r="G3978" t="s">
        <v>29</v>
      </c>
      <c r="H3978" t="s">
        <v>30</v>
      </c>
      <c r="I3978" t="s">
        <v>30</v>
      </c>
      <c r="J3978" t="s">
        <v>57</v>
      </c>
      <c r="K3978" t="s">
        <v>32</v>
      </c>
      <c r="L3978" t="s">
        <v>32</v>
      </c>
      <c r="M3978" t="s">
        <v>33</v>
      </c>
      <c r="N3978" t="s">
        <v>33</v>
      </c>
      <c r="O3978" t="s">
        <v>33</v>
      </c>
      <c r="P3978" t="s">
        <v>34</v>
      </c>
      <c r="Q3978" t="s">
        <v>35</v>
      </c>
      <c r="S3978" t="s">
        <v>30</v>
      </c>
      <c r="T3978" t="s">
        <v>3385</v>
      </c>
      <c r="U3978" t="s">
        <v>3386</v>
      </c>
      <c r="V3978" t="s">
        <v>39</v>
      </c>
      <c r="W3978" s="1">
        <v>3</v>
      </c>
    </row>
    <row r="3979" spans="1:23" x14ac:dyDescent="0.2">
      <c r="A3979" t="s">
        <v>2096</v>
      </c>
      <c r="B3979" t="s">
        <v>3333</v>
      </c>
      <c r="C3979" t="s">
        <v>3334</v>
      </c>
      <c r="D3979" t="s">
        <v>3335</v>
      </c>
      <c r="E3979" t="s">
        <v>3383</v>
      </c>
      <c r="F3979" t="s">
        <v>3384</v>
      </c>
      <c r="G3979" t="s">
        <v>29</v>
      </c>
      <c r="H3979" t="s">
        <v>30</v>
      </c>
      <c r="I3979" t="s">
        <v>30</v>
      </c>
      <c r="J3979" t="s">
        <v>57</v>
      </c>
      <c r="K3979" t="s">
        <v>32</v>
      </c>
      <c r="L3979" t="s">
        <v>32</v>
      </c>
      <c r="M3979" t="s">
        <v>33</v>
      </c>
      <c r="N3979" t="s">
        <v>33</v>
      </c>
      <c r="O3979" t="s">
        <v>33</v>
      </c>
      <c r="P3979" t="s">
        <v>34</v>
      </c>
      <c r="Q3979" t="s">
        <v>35</v>
      </c>
      <c r="S3979" t="s">
        <v>30</v>
      </c>
      <c r="T3979" t="s">
        <v>3385</v>
      </c>
      <c r="U3979" t="s">
        <v>3386</v>
      </c>
      <c r="V3979" t="s">
        <v>40</v>
      </c>
      <c r="W3979" s="1">
        <v>5339700</v>
      </c>
    </row>
    <row r="3980" spans="1:23" x14ac:dyDescent="0.2">
      <c r="A3980" t="s">
        <v>2096</v>
      </c>
      <c r="B3980" t="s">
        <v>3333</v>
      </c>
      <c r="C3980" t="s">
        <v>3334</v>
      </c>
      <c r="D3980" t="s">
        <v>3335</v>
      </c>
      <c r="E3980" t="s">
        <v>3383</v>
      </c>
      <c r="F3980" t="s">
        <v>3384</v>
      </c>
      <c r="G3980" t="s">
        <v>61</v>
      </c>
      <c r="H3980" t="s">
        <v>52</v>
      </c>
      <c r="I3980" t="s">
        <v>52</v>
      </c>
      <c r="J3980" t="s">
        <v>41</v>
      </c>
      <c r="K3980" t="s">
        <v>32</v>
      </c>
      <c r="L3980" t="s">
        <v>32</v>
      </c>
      <c r="M3980" t="s">
        <v>33</v>
      </c>
      <c r="N3980" t="s">
        <v>33</v>
      </c>
      <c r="O3980" t="s">
        <v>33</v>
      </c>
      <c r="P3980" t="s">
        <v>34</v>
      </c>
      <c r="Q3980" t="s">
        <v>35</v>
      </c>
      <c r="R3980" t="s">
        <v>58</v>
      </c>
      <c r="S3980" t="s">
        <v>30</v>
      </c>
      <c r="T3980" t="s">
        <v>3387</v>
      </c>
      <c r="U3980" t="s">
        <v>3388</v>
      </c>
      <c r="V3980" t="s">
        <v>39</v>
      </c>
      <c r="W3980" s="1">
        <v>4</v>
      </c>
    </row>
    <row r="3981" spans="1:23" x14ac:dyDescent="0.2">
      <c r="A3981" t="s">
        <v>2096</v>
      </c>
      <c r="B3981" t="s">
        <v>3333</v>
      </c>
      <c r="C3981" t="s">
        <v>3334</v>
      </c>
      <c r="D3981" t="s">
        <v>3335</v>
      </c>
      <c r="E3981" t="s">
        <v>3383</v>
      </c>
      <c r="F3981" t="s">
        <v>3384</v>
      </c>
      <c r="G3981" t="s">
        <v>61</v>
      </c>
      <c r="H3981" t="s">
        <v>52</v>
      </c>
      <c r="I3981" t="s">
        <v>52</v>
      </c>
      <c r="J3981" t="s">
        <v>41</v>
      </c>
      <c r="K3981" t="s">
        <v>32</v>
      </c>
      <c r="L3981" t="s">
        <v>32</v>
      </c>
      <c r="M3981" t="s">
        <v>33</v>
      </c>
      <c r="N3981" t="s">
        <v>33</v>
      </c>
      <c r="O3981" t="s">
        <v>33</v>
      </c>
      <c r="P3981" t="s">
        <v>34</v>
      </c>
      <c r="Q3981" t="s">
        <v>35</v>
      </c>
      <c r="R3981" t="s">
        <v>58</v>
      </c>
      <c r="S3981" t="s">
        <v>30</v>
      </c>
      <c r="T3981" t="s">
        <v>3387</v>
      </c>
      <c r="U3981" t="s">
        <v>3388</v>
      </c>
      <c r="V3981" t="s">
        <v>40</v>
      </c>
      <c r="W3981" s="1">
        <v>12463200</v>
      </c>
    </row>
    <row r="3982" spans="1:23" x14ac:dyDescent="0.2">
      <c r="A3982" t="s">
        <v>2096</v>
      </c>
      <c r="B3982" t="s">
        <v>3333</v>
      </c>
      <c r="C3982" t="s">
        <v>3334</v>
      </c>
      <c r="D3982" t="s">
        <v>3335</v>
      </c>
      <c r="E3982" t="s">
        <v>3383</v>
      </c>
      <c r="F3982" t="s">
        <v>3384</v>
      </c>
      <c r="G3982" t="s">
        <v>67</v>
      </c>
      <c r="H3982" t="s">
        <v>30</v>
      </c>
      <c r="I3982" t="s">
        <v>30</v>
      </c>
      <c r="J3982" t="s">
        <v>31</v>
      </c>
      <c r="K3982" t="s">
        <v>32</v>
      </c>
      <c r="L3982" t="s">
        <v>32</v>
      </c>
      <c r="M3982" t="s">
        <v>33</v>
      </c>
      <c r="N3982" t="s">
        <v>33</v>
      </c>
      <c r="O3982" t="s">
        <v>33</v>
      </c>
      <c r="P3982" t="s">
        <v>34</v>
      </c>
      <c r="Q3982" t="s">
        <v>35</v>
      </c>
      <c r="R3982" t="s">
        <v>228</v>
      </c>
      <c r="S3982" t="s">
        <v>30</v>
      </c>
      <c r="T3982" t="s">
        <v>3389</v>
      </c>
      <c r="U3982" t="s">
        <v>3390</v>
      </c>
      <c r="V3982" t="s">
        <v>39</v>
      </c>
      <c r="W3982" s="1">
        <v>4</v>
      </c>
    </row>
    <row r="3983" spans="1:23" x14ac:dyDescent="0.2">
      <c r="A3983" t="s">
        <v>2096</v>
      </c>
      <c r="B3983" t="s">
        <v>3333</v>
      </c>
      <c r="C3983" t="s">
        <v>3334</v>
      </c>
      <c r="D3983" t="s">
        <v>3335</v>
      </c>
      <c r="E3983" t="s">
        <v>3383</v>
      </c>
      <c r="F3983" t="s">
        <v>3384</v>
      </c>
      <c r="G3983" t="s">
        <v>67</v>
      </c>
      <c r="H3983" t="s">
        <v>30</v>
      </c>
      <c r="I3983" t="s">
        <v>30</v>
      </c>
      <c r="J3983" t="s">
        <v>31</v>
      </c>
      <c r="K3983" t="s">
        <v>32</v>
      </c>
      <c r="L3983" t="s">
        <v>32</v>
      </c>
      <c r="M3983" t="s">
        <v>33</v>
      </c>
      <c r="N3983" t="s">
        <v>33</v>
      </c>
      <c r="O3983" t="s">
        <v>33</v>
      </c>
      <c r="P3983" t="s">
        <v>34</v>
      </c>
      <c r="Q3983" t="s">
        <v>35</v>
      </c>
      <c r="R3983" t="s">
        <v>228</v>
      </c>
      <c r="S3983" t="s">
        <v>30</v>
      </c>
      <c r="T3983" t="s">
        <v>3389</v>
      </c>
      <c r="U3983" t="s">
        <v>3390</v>
      </c>
      <c r="V3983" t="s">
        <v>40</v>
      </c>
      <c r="W3983" s="1">
        <v>3040000</v>
      </c>
    </row>
    <row r="3984" spans="1:23" x14ac:dyDescent="0.2">
      <c r="A3984" t="s">
        <v>2096</v>
      </c>
      <c r="B3984" t="s">
        <v>3333</v>
      </c>
      <c r="C3984" t="s">
        <v>3334</v>
      </c>
      <c r="D3984" t="s">
        <v>3335</v>
      </c>
      <c r="E3984" t="s">
        <v>3383</v>
      </c>
      <c r="F3984" t="s">
        <v>3384</v>
      </c>
      <c r="G3984" t="s">
        <v>67</v>
      </c>
      <c r="H3984" t="s">
        <v>30</v>
      </c>
      <c r="I3984" t="s">
        <v>30</v>
      </c>
      <c r="J3984" t="s">
        <v>31</v>
      </c>
      <c r="K3984" t="s">
        <v>32</v>
      </c>
      <c r="L3984" t="s">
        <v>32</v>
      </c>
      <c r="M3984" t="s">
        <v>33</v>
      </c>
      <c r="N3984" t="s">
        <v>33</v>
      </c>
      <c r="O3984" t="s">
        <v>33</v>
      </c>
      <c r="P3984" t="s">
        <v>34</v>
      </c>
      <c r="Q3984" t="s">
        <v>35</v>
      </c>
      <c r="R3984" t="s">
        <v>228</v>
      </c>
      <c r="S3984" t="s">
        <v>30</v>
      </c>
      <c r="T3984" t="s">
        <v>3391</v>
      </c>
      <c r="U3984" t="s">
        <v>3392</v>
      </c>
      <c r="V3984" t="s">
        <v>39</v>
      </c>
      <c r="W3984" s="1">
        <v>3</v>
      </c>
    </row>
    <row r="3985" spans="1:23" x14ac:dyDescent="0.2">
      <c r="A3985" t="s">
        <v>2096</v>
      </c>
      <c r="B3985" t="s">
        <v>3333</v>
      </c>
      <c r="C3985" t="s">
        <v>3334</v>
      </c>
      <c r="D3985" t="s">
        <v>3335</v>
      </c>
      <c r="E3985" t="s">
        <v>3383</v>
      </c>
      <c r="F3985" t="s">
        <v>3384</v>
      </c>
      <c r="G3985" t="s">
        <v>67</v>
      </c>
      <c r="H3985" t="s">
        <v>30</v>
      </c>
      <c r="I3985" t="s">
        <v>30</v>
      </c>
      <c r="J3985" t="s">
        <v>31</v>
      </c>
      <c r="K3985" t="s">
        <v>32</v>
      </c>
      <c r="L3985" t="s">
        <v>32</v>
      </c>
      <c r="M3985" t="s">
        <v>33</v>
      </c>
      <c r="N3985" t="s">
        <v>33</v>
      </c>
      <c r="O3985" t="s">
        <v>33</v>
      </c>
      <c r="P3985" t="s">
        <v>34</v>
      </c>
      <c r="Q3985" t="s">
        <v>35</v>
      </c>
      <c r="R3985" t="s">
        <v>228</v>
      </c>
      <c r="S3985" t="s">
        <v>30</v>
      </c>
      <c r="T3985" t="s">
        <v>3391</v>
      </c>
      <c r="U3985" t="s">
        <v>3392</v>
      </c>
      <c r="V3985" t="s">
        <v>40</v>
      </c>
      <c r="W3985" s="1">
        <v>1251000</v>
      </c>
    </row>
    <row r="3986" spans="1:23" x14ac:dyDescent="0.2">
      <c r="A3986" t="s">
        <v>2096</v>
      </c>
      <c r="B3986" t="s">
        <v>3333</v>
      </c>
      <c r="C3986" t="s">
        <v>3334</v>
      </c>
      <c r="D3986" t="s">
        <v>3335</v>
      </c>
      <c r="E3986" t="s">
        <v>3383</v>
      </c>
      <c r="F3986" t="s">
        <v>3384</v>
      </c>
      <c r="G3986" t="s">
        <v>67</v>
      </c>
      <c r="H3986" t="s">
        <v>30</v>
      </c>
      <c r="I3986" t="s">
        <v>30</v>
      </c>
      <c r="J3986" t="s">
        <v>31</v>
      </c>
      <c r="K3986" t="s">
        <v>32</v>
      </c>
      <c r="L3986" t="s">
        <v>32</v>
      </c>
      <c r="M3986" t="s">
        <v>33</v>
      </c>
      <c r="N3986" t="s">
        <v>176</v>
      </c>
      <c r="O3986" t="s">
        <v>176</v>
      </c>
      <c r="P3986" t="s">
        <v>34</v>
      </c>
      <c r="Q3986" t="s">
        <v>35</v>
      </c>
      <c r="R3986" t="s">
        <v>228</v>
      </c>
      <c r="S3986" t="s">
        <v>30</v>
      </c>
      <c r="T3986" t="s">
        <v>3391</v>
      </c>
      <c r="U3986" t="s">
        <v>3392</v>
      </c>
      <c r="V3986" t="s">
        <v>39</v>
      </c>
      <c r="W3986" s="1">
        <v>1</v>
      </c>
    </row>
    <row r="3987" spans="1:23" x14ac:dyDescent="0.2">
      <c r="A3987" t="s">
        <v>2096</v>
      </c>
      <c r="B3987" t="s">
        <v>3333</v>
      </c>
      <c r="C3987" t="s">
        <v>3334</v>
      </c>
      <c r="D3987" t="s">
        <v>3335</v>
      </c>
      <c r="E3987" t="s">
        <v>3383</v>
      </c>
      <c r="F3987" t="s">
        <v>3384</v>
      </c>
      <c r="G3987" t="s">
        <v>67</v>
      </c>
      <c r="H3987" t="s">
        <v>30</v>
      </c>
      <c r="I3987" t="s">
        <v>30</v>
      </c>
      <c r="J3987" t="s">
        <v>31</v>
      </c>
      <c r="K3987" t="s">
        <v>32</v>
      </c>
      <c r="L3987" t="s">
        <v>32</v>
      </c>
      <c r="M3987" t="s">
        <v>33</v>
      </c>
      <c r="N3987" t="s">
        <v>176</v>
      </c>
      <c r="O3987" t="s">
        <v>176</v>
      </c>
      <c r="P3987" t="s">
        <v>34</v>
      </c>
      <c r="Q3987" t="s">
        <v>35</v>
      </c>
      <c r="R3987" t="s">
        <v>228</v>
      </c>
      <c r="S3987" t="s">
        <v>30</v>
      </c>
      <c r="T3987" t="s">
        <v>3391</v>
      </c>
      <c r="U3987" t="s">
        <v>3392</v>
      </c>
      <c r="V3987" t="s">
        <v>40</v>
      </c>
      <c r="W3987" s="1">
        <v>417000</v>
      </c>
    </row>
    <row r="3988" spans="1:23" x14ac:dyDescent="0.2">
      <c r="A3988" t="s">
        <v>2096</v>
      </c>
      <c r="B3988" t="s">
        <v>3333</v>
      </c>
      <c r="C3988" t="s">
        <v>3334</v>
      </c>
      <c r="D3988" t="s">
        <v>3335</v>
      </c>
      <c r="E3988" t="s">
        <v>3393</v>
      </c>
      <c r="F3988" t="s">
        <v>3394</v>
      </c>
      <c r="G3988" t="s">
        <v>67</v>
      </c>
      <c r="H3988" t="s">
        <v>30</v>
      </c>
      <c r="I3988" t="s">
        <v>30</v>
      </c>
      <c r="J3988" t="s">
        <v>31</v>
      </c>
      <c r="K3988" t="s">
        <v>32</v>
      </c>
      <c r="L3988" t="s">
        <v>332</v>
      </c>
      <c r="M3988" t="s">
        <v>33</v>
      </c>
      <c r="N3988" t="s">
        <v>33</v>
      </c>
      <c r="O3988" t="s">
        <v>33</v>
      </c>
      <c r="P3988" t="s">
        <v>34</v>
      </c>
      <c r="Q3988" t="s">
        <v>35</v>
      </c>
      <c r="S3988" t="s">
        <v>30</v>
      </c>
      <c r="T3988" t="s">
        <v>3395</v>
      </c>
      <c r="U3988" t="s">
        <v>3396</v>
      </c>
      <c r="V3988" t="s">
        <v>39</v>
      </c>
      <c r="W3988" s="1">
        <v>2</v>
      </c>
    </row>
    <row r="3989" spans="1:23" x14ac:dyDescent="0.2">
      <c r="A3989" t="s">
        <v>2096</v>
      </c>
      <c r="B3989" t="s">
        <v>3333</v>
      </c>
      <c r="C3989" t="s">
        <v>3334</v>
      </c>
      <c r="D3989" t="s">
        <v>3335</v>
      </c>
      <c r="E3989" t="s">
        <v>3393</v>
      </c>
      <c r="F3989" t="s">
        <v>3394</v>
      </c>
      <c r="G3989" t="s">
        <v>67</v>
      </c>
      <c r="H3989" t="s">
        <v>30</v>
      </c>
      <c r="I3989" t="s">
        <v>30</v>
      </c>
      <c r="J3989" t="s">
        <v>31</v>
      </c>
      <c r="K3989" t="s">
        <v>32</v>
      </c>
      <c r="L3989" t="s">
        <v>332</v>
      </c>
      <c r="M3989" t="s">
        <v>33</v>
      </c>
      <c r="N3989" t="s">
        <v>33</v>
      </c>
      <c r="O3989" t="s">
        <v>33</v>
      </c>
      <c r="P3989" t="s">
        <v>34</v>
      </c>
      <c r="Q3989" t="s">
        <v>35</v>
      </c>
      <c r="S3989" t="s">
        <v>30</v>
      </c>
      <c r="T3989" t="s">
        <v>3395</v>
      </c>
      <c r="U3989" t="s">
        <v>3396</v>
      </c>
      <c r="V3989" t="s">
        <v>40</v>
      </c>
      <c r="W3989" s="1">
        <v>600000</v>
      </c>
    </row>
    <row r="3990" spans="1:23" x14ac:dyDescent="0.2">
      <c r="A3990" t="s">
        <v>2096</v>
      </c>
      <c r="B3990" t="s">
        <v>3333</v>
      </c>
      <c r="C3990" t="s">
        <v>3334</v>
      </c>
      <c r="D3990" t="s">
        <v>3335</v>
      </c>
      <c r="E3990" t="s">
        <v>3393</v>
      </c>
      <c r="F3990" t="s">
        <v>3394</v>
      </c>
      <c r="G3990" t="s">
        <v>89</v>
      </c>
      <c r="H3990" t="s">
        <v>30</v>
      </c>
      <c r="I3990" t="s">
        <v>30</v>
      </c>
      <c r="J3990" t="s">
        <v>31</v>
      </c>
      <c r="K3990" t="s">
        <v>32</v>
      </c>
      <c r="L3990" t="s">
        <v>32</v>
      </c>
      <c r="M3990" t="s">
        <v>33</v>
      </c>
      <c r="P3990" t="s">
        <v>34</v>
      </c>
      <c r="Q3990" t="s">
        <v>35</v>
      </c>
      <c r="S3990" t="s">
        <v>30</v>
      </c>
      <c r="T3990" t="s">
        <v>3397</v>
      </c>
      <c r="U3990" t="s">
        <v>3398</v>
      </c>
      <c r="V3990" t="s">
        <v>39</v>
      </c>
      <c r="W3990" s="1">
        <v>4</v>
      </c>
    </row>
    <row r="3991" spans="1:23" x14ac:dyDescent="0.2">
      <c r="A3991" t="s">
        <v>2096</v>
      </c>
      <c r="B3991" t="s">
        <v>3333</v>
      </c>
      <c r="C3991" t="s">
        <v>3334</v>
      </c>
      <c r="D3991" t="s">
        <v>3335</v>
      </c>
      <c r="E3991" t="s">
        <v>3393</v>
      </c>
      <c r="F3991" t="s">
        <v>3394</v>
      </c>
      <c r="G3991" t="s">
        <v>89</v>
      </c>
      <c r="H3991" t="s">
        <v>30</v>
      </c>
      <c r="I3991" t="s">
        <v>30</v>
      </c>
      <c r="J3991" t="s">
        <v>31</v>
      </c>
      <c r="K3991" t="s">
        <v>32</v>
      </c>
      <c r="L3991" t="s">
        <v>32</v>
      </c>
      <c r="M3991" t="s">
        <v>33</v>
      </c>
      <c r="P3991" t="s">
        <v>34</v>
      </c>
      <c r="Q3991" t="s">
        <v>35</v>
      </c>
      <c r="S3991" t="s">
        <v>30</v>
      </c>
      <c r="T3991" t="s">
        <v>3397</v>
      </c>
      <c r="U3991" t="s">
        <v>3398</v>
      </c>
      <c r="V3991" t="s">
        <v>40</v>
      </c>
      <c r="W3991" s="1">
        <v>2596000</v>
      </c>
    </row>
    <row r="3992" spans="1:23" x14ac:dyDescent="0.2">
      <c r="A3992" t="s">
        <v>2096</v>
      </c>
      <c r="B3992" t="s">
        <v>3333</v>
      </c>
      <c r="C3992" t="s">
        <v>3334</v>
      </c>
      <c r="D3992" t="s">
        <v>3399</v>
      </c>
      <c r="E3992" t="s">
        <v>3400</v>
      </c>
      <c r="F3992" t="s">
        <v>3401</v>
      </c>
      <c r="G3992" t="s">
        <v>49</v>
      </c>
      <c r="H3992" t="s">
        <v>30</v>
      </c>
      <c r="I3992" t="s">
        <v>30</v>
      </c>
      <c r="J3992" t="s">
        <v>41</v>
      </c>
      <c r="K3992" t="s">
        <v>32</v>
      </c>
      <c r="L3992" t="s">
        <v>32</v>
      </c>
      <c r="M3992" t="s">
        <v>33</v>
      </c>
      <c r="N3992" t="s">
        <v>33</v>
      </c>
      <c r="O3992" t="s">
        <v>33</v>
      </c>
      <c r="P3992" t="s">
        <v>34</v>
      </c>
      <c r="Q3992" t="s">
        <v>35</v>
      </c>
      <c r="R3992" t="s">
        <v>73</v>
      </c>
      <c r="S3992" t="s">
        <v>30</v>
      </c>
      <c r="T3992" t="s">
        <v>1060</v>
      </c>
      <c r="U3992" t="s">
        <v>3402</v>
      </c>
      <c r="V3992" t="s">
        <v>39</v>
      </c>
      <c r="W3992" s="1">
        <v>4</v>
      </c>
    </row>
    <row r="3993" spans="1:23" x14ac:dyDescent="0.2">
      <c r="A3993" t="s">
        <v>2096</v>
      </c>
      <c r="B3993" t="s">
        <v>3333</v>
      </c>
      <c r="C3993" t="s">
        <v>3334</v>
      </c>
      <c r="D3993" t="s">
        <v>3399</v>
      </c>
      <c r="E3993" t="s">
        <v>3400</v>
      </c>
      <c r="F3993" t="s">
        <v>3401</v>
      </c>
      <c r="G3993" t="s">
        <v>49</v>
      </c>
      <c r="H3993" t="s">
        <v>30</v>
      </c>
      <c r="I3993" t="s">
        <v>30</v>
      </c>
      <c r="J3993" t="s">
        <v>41</v>
      </c>
      <c r="K3993" t="s">
        <v>32</v>
      </c>
      <c r="L3993" t="s">
        <v>32</v>
      </c>
      <c r="M3993" t="s">
        <v>33</v>
      </c>
      <c r="N3993" t="s">
        <v>33</v>
      </c>
      <c r="O3993" t="s">
        <v>33</v>
      </c>
      <c r="P3993" t="s">
        <v>34</v>
      </c>
      <c r="Q3993" t="s">
        <v>35</v>
      </c>
      <c r="R3993" t="s">
        <v>73</v>
      </c>
      <c r="S3993" t="s">
        <v>30</v>
      </c>
      <c r="T3993" t="s">
        <v>1060</v>
      </c>
      <c r="U3993" t="s">
        <v>3402</v>
      </c>
      <c r="V3993" t="s">
        <v>40</v>
      </c>
      <c r="W3993" s="1">
        <v>6199600</v>
      </c>
    </row>
    <row r="3994" spans="1:23" x14ac:dyDescent="0.2">
      <c r="A3994" t="s">
        <v>2096</v>
      </c>
      <c r="B3994" t="s">
        <v>3333</v>
      </c>
      <c r="C3994" t="s">
        <v>3334</v>
      </c>
      <c r="D3994" t="s">
        <v>3399</v>
      </c>
      <c r="E3994" t="s">
        <v>3400</v>
      </c>
      <c r="F3994" t="s">
        <v>3401</v>
      </c>
      <c r="G3994" t="s">
        <v>61</v>
      </c>
      <c r="H3994" t="s">
        <v>52</v>
      </c>
      <c r="I3994" t="s">
        <v>52</v>
      </c>
      <c r="J3994" t="s">
        <v>41</v>
      </c>
      <c r="K3994" t="s">
        <v>32</v>
      </c>
      <c r="L3994" t="s">
        <v>32</v>
      </c>
      <c r="M3994" t="s">
        <v>33</v>
      </c>
      <c r="N3994" t="s">
        <v>33</v>
      </c>
      <c r="O3994" t="s">
        <v>33</v>
      </c>
      <c r="P3994" t="s">
        <v>34</v>
      </c>
      <c r="Q3994" t="s">
        <v>35</v>
      </c>
      <c r="R3994" t="s">
        <v>54</v>
      </c>
      <c r="S3994" t="s">
        <v>30</v>
      </c>
      <c r="T3994" t="s">
        <v>3403</v>
      </c>
      <c r="U3994" t="s">
        <v>3404</v>
      </c>
      <c r="V3994" t="s">
        <v>39</v>
      </c>
      <c r="W3994" s="1">
        <v>1</v>
      </c>
    </row>
    <row r="3995" spans="1:23" x14ac:dyDescent="0.2">
      <c r="A3995" t="s">
        <v>2096</v>
      </c>
      <c r="B3995" t="s">
        <v>3333</v>
      </c>
      <c r="C3995" t="s">
        <v>3334</v>
      </c>
      <c r="D3995" t="s">
        <v>3399</v>
      </c>
      <c r="E3995" t="s">
        <v>3400</v>
      </c>
      <c r="F3995" t="s">
        <v>3401</v>
      </c>
      <c r="G3995" t="s">
        <v>61</v>
      </c>
      <c r="H3995" t="s">
        <v>52</v>
      </c>
      <c r="I3995" t="s">
        <v>52</v>
      </c>
      <c r="J3995" t="s">
        <v>41</v>
      </c>
      <c r="K3995" t="s">
        <v>32</v>
      </c>
      <c r="L3995" t="s">
        <v>32</v>
      </c>
      <c r="M3995" t="s">
        <v>33</v>
      </c>
      <c r="N3995" t="s">
        <v>33</v>
      </c>
      <c r="O3995" t="s">
        <v>33</v>
      </c>
      <c r="P3995" t="s">
        <v>34</v>
      </c>
      <c r="Q3995" t="s">
        <v>35</v>
      </c>
      <c r="R3995" t="s">
        <v>54</v>
      </c>
      <c r="S3995" t="s">
        <v>30</v>
      </c>
      <c r="T3995" t="s">
        <v>3403</v>
      </c>
      <c r="U3995" t="s">
        <v>3404</v>
      </c>
      <c r="V3995" t="s">
        <v>40</v>
      </c>
      <c r="W3995" s="1">
        <v>1000900</v>
      </c>
    </row>
    <row r="3996" spans="1:23" x14ac:dyDescent="0.2">
      <c r="A3996" t="s">
        <v>2096</v>
      </c>
      <c r="B3996" t="s">
        <v>3333</v>
      </c>
      <c r="C3996" t="s">
        <v>3334</v>
      </c>
      <c r="D3996" t="s">
        <v>3399</v>
      </c>
      <c r="E3996" t="s">
        <v>3400</v>
      </c>
      <c r="F3996" t="s">
        <v>3401</v>
      </c>
      <c r="G3996" t="s">
        <v>61</v>
      </c>
      <c r="H3996" t="s">
        <v>52</v>
      </c>
      <c r="I3996" t="s">
        <v>52</v>
      </c>
      <c r="J3996" t="s">
        <v>41</v>
      </c>
      <c r="K3996" t="s">
        <v>32</v>
      </c>
      <c r="L3996" t="s">
        <v>32</v>
      </c>
      <c r="M3996" t="s">
        <v>33</v>
      </c>
      <c r="P3996" t="s">
        <v>34</v>
      </c>
      <c r="Q3996" t="s">
        <v>35</v>
      </c>
      <c r="R3996" t="s">
        <v>54</v>
      </c>
      <c r="S3996" t="s">
        <v>30</v>
      </c>
      <c r="T3996" t="s">
        <v>3403</v>
      </c>
      <c r="U3996" t="s">
        <v>3404</v>
      </c>
      <c r="V3996" t="s">
        <v>39</v>
      </c>
      <c r="W3996" s="1">
        <v>4</v>
      </c>
    </row>
    <row r="3997" spans="1:23" x14ac:dyDescent="0.2">
      <c r="A3997" t="s">
        <v>2096</v>
      </c>
      <c r="B3997" t="s">
        <v>3333</v>
      </c>
      <c r="C3997" t="s">
        <v>3334</v>
      </c>
      <c r="D3997" t="s">
        <v>3399</v>
      </c>
      <c r="E3997" t="s">
        <v>3400</v>
      </c>
      <c r="F3997" t="s">
        <v>3401</v>
      </c>
      <c r="G3997" t="s">
        <v>61</v>
      </c>
      <c r="H3997" t="s">
        <v>52</v>
      </c>
      <c r="I3997" t="s">
        <v>52</v>
      </c>
      <c r="J3997" t="s">
        <v>41</v>
      </c>
      <c r="K3997" t="s">
        <v>32</v>
      </c>
      <c r="L3997" t="s">
        <v>32</v>
      </c>
      <c r="M3997" t="s">
        <v>33</v>
      </c>
      <c r="P3997" t="s">
        <v>34</v>
      </c>
      <c r="Q3997" t="s">
        <v>35</v>
      </c>
      <c r="R3997" t="s">
        <v>54</v>
      </c>
      <c r="S3997" t="s">
        <v>30</v>
      </c>
      <c r="T3997" t="s">
        <v>3403</v>
      </c>
      <c r="U3997" t="s">
        <v>3404</v>
      </c>
      <c r="V3997" t="s">
        <v>40</v>
      </c>
      <c r="W3997" s="1">
        <v>4003600</v>
      </c>
    </row>
    <row r="3998" spans="1:23" x14ac:dyDescent="0.2">
      <c r="A3998" t="s">
        <v>2096</v>
      </c>
      <c r="B3998" t="s">
        <v>3333</v>
      </c>
      <c r="C3998" t="s">
        <v>3334</v>
      </c>
      <c r="D3998" t="s">
        <v>3399</v>
      </c>
      <c r="E3998" t="s">
        <v>3400</v>
      </c>
      <c r="F3998" t="s">
        <v>3401</v>
      </c>
      <c r="G3998" t="s">
        <v>67</v>
      </c>
      <c r="H3998" t="s">
        <v>30</v>
      </c>
      <c r="I3998" t="s">
        <v>30</v>
      </c>
      <c r="J3998" t="s">
        <v>41</v>
      </c>
      <c r="K3998" t="s">
        <v>32</v>
      </c>
      <c r="L3998" t="s">
        <v>32</v>
      </c>
      <c r="M3998" t="s">
        <v>33</v>
      </c>
      <c r="P3998" t="s">
        <v>34</v>
      </c>
      <c r="Q3998" t="s">
        <v>35</v>
      </c>
      <c r="R3998" t="s">
        <v>54</v>
      </c>
      <c r="S3998" t="s">
        <v>52</v>
      </c>
      <c r="T3998" t="s">
        <v>3405</v>
      </c>
      <c r="U3998" t="s">
        <v>3406</v>
      </c>
      <c r="V3998" t="s">
        <v>39</v>
      </c>
      <c r="W3998" s="1">
        <v>0</v>
      </c>
    </row>
    <row r="3999" spans="1:23" x14ac:dyDescent="0.2">
      <c r="A3999" t="s">
        <v>2096</v>
      </c>
      <c r="B3999" t="s">
        <v>3333</v>
      </c>
      <c r="C3999" t="s">
        <v>3334</v>
      </c>
      <c r="D3999" t="s">
        <v>3399</v>
      </c>
      <c r="E3999" t="s">
        <v>3400</v>
      </c>
      <c r="F3999" t="s">
        <v>3401</v>
      </c>
      <c r="G3999" t="s">
        <v>67</v>
      </c>
      <c r="H3999" t="s">
        <v>30</v>
      </c>
      <c r="I3999" t="s">
        <v>30</v>
      </c>
      <c r="J3999" t="s">
        <v>41</v>
      </c>
      <c r="K3999" t="s">
        <v>32</v>
      </c>
      <c r="L3999" t="s">
        <v>32</v>
      </c>
      <c r="M3999" t="s">
        <v>33</v>
      </c>
      <c r="P3999" t="s">
        <v>34</v>
      </c>
      <c r="Q3999" t="s">
        <v>35</v>
      </c>
      <c r="R3999" t="s">
        <v>54</v>
      </c>
      <c r="S3999" t="s">
        <v>52</v>
      </c>
      <c r="T3999" t="s">
        <v>3405</v>
      </c>
      <c r="U3999" t="s">
        <v>3406</v>
      </c>
      <c r="V3999" t="s">
        <v>40</v>
      </c>
      <c r="W3999" s="1">
        <v>2923600</v>
      </c>
    </row>
    <row r="4000" spans="1:23" x14ac:dyDescent="0.2">
      <c r="A4000" t="s">
        <v>2096</v>
      </c>
      <c r="B4000" t="s">
        <v>3333</v>
      </c>
      <c r="C4000" t="s">
        <v>3334</v>
      </c>
      <c r="D4000" t="s">
        <v>3399</v>
      </c>
      <c r="E4000" t="s">
        <v>3400</v>
      </c>
      <c r="F4000" t="s">
        <v>3401</v>
      </c>
      <c r="G4000" t="s">
        <v>106</v>
      </c>
      <c r="H4000" t="s">
        <v>30</v>
      </c>
      <c r="I4000" t="s">
        <v>30</v>
      </c>
      <c r="J4000" t="s">
        <v>128</v>
      </c>
      <c r="K4000" t="s">
        <v>135</v>
      </c>
      <c r="L4000" t="s">
        <v>32</v>
      </c>
      <c r="M4000" t="s">
        <v>33</v>
      </c>
      <c r="N4000" t="s">
        <v>33</v>
      </c>
      <c r="O4000" t="s">
        <v>33</v>
      </c>
      <c r="P4000" t="s">
        <v>34</v>
      </c>
      <c r="Q4000" t="s">
        <v>35</v>
      </c>
      <c r="R4000" t="s">
        <v>136</v>
      </c>
      <c r="S4000" t="s">
        <v>30</v>
      </c>
      <c r="T4000" t="s">
        <v>3407</v>
      </c>
      <c r="U4000" t="s">
        <v>3408</v>
      </c>
      <c r="V4000" t="s">
        <v>39</v>
      </c>
      <c r="W4000" s="1">
        <v>3</v>
      </c>
    </row>
    <row r="4001" spans="1:23" x14ac:dyDescent="0.2">
      <c r="A4001" t="s">
        <v>2096</v>
      </c>
      <c r="B4001" t="s">
        <v>3333</v>
      </c>
      <c r="C4001" t="s">
        <v>3334</v>
      </c>
      <c r="D4001" t="s">
        <v>3399</v>
      </c>
      <c r="E4001" t="s">
        <v>3400</v>
      </c>
      <c r="F4001" t="s">
        <v>3401</v>
      </c>
      <c r="G4001" t="s">
        <v>106</v>
      </c>
      <c r="H4001" t="s">
        <v>30</v>
      </c>
      <c r="I4001" t="s">
        <v>30</v>
      </c>
      <c r="J4001" t="s">
        <v>128</v>
      </c>
      <c r="K4001" t="s">
        <v>135</v>
      </c>
      <c r="L4001" t="s">
        <v>32</v>
      </c>
      <c r="M4001" t="s">
        <v>33</v>
      </c>
      <c r="N4001" t="s">
        <v>33</v>
      </c>
      <c r="O4001" t="s">
        <v>33</v>
      </c>
      <c r="P4001" t="s">
        <v>34</v>
      </c>
      <c r="Q4001" t="s">
        <v>35</v>
      </c>
      <c r="R4001" t="s">
        <v>136</v>
      </c>
      <c r="S4001" t="s">
        <v>30</v>
      </c>
      <c r="T4001" t="s">
        <v>3407</v>
      </c>
      <c r="U4001" t="s">
        <v>3408</v>
      </c>
      <c r="V4001" t="s">
        <v>40</v>
      </c>
      <c r="W4001" s="1">
        <v>2069700</v>
      </c>
    </row>
    <row r="4002" spans="1:23" x14ac:dyDescent="0.2">
      <c r="A4002" t="s">
        <v>2096</v>
      </c>
      <c r="B4002" t="s">
        <v>3333</v>
      </c>
      <c r="C4002" t="s">
        <v>3334</v>
      </c>
      <c r="D4002" t="s">
        <v>3409</v>
      </c>
      <c r="E4002" t="s">
        <v>3410</v>
      </c>
      <c r="F4002" t="s">
        <v>3411</v>
      </c>
      <c r="G4002" t="s">
        <v>29</v>
      </c>
      <c r="H4002" t="s">
        <v>30</v>
      </c>
      <c r="I4002" t="s">
        <v>30</v>
      </c>
      <c r="J4002" t="s">
        <v>41</v>
      </c>
      <c r="K4002" t="s">
        <v>32</v>
      </c>
      <c r="L4002" t="s">
        <v>32</v>
      </c>
      <c r="M4002" t="s">
        <v>33</v>
      </c>
      <c r="N4002" t="s">
        <v>33</v>
      </c>
      <c r="O4002" t="s">
        <v>33</v>
      </c>
      <c r="P4002" t="s">
        <v>34</v>
      </c>
      <c r="Q4002" t="s">
        <v>35</v>
      </c>
      <c r="S4002" t="s">
        <v>30</v>
      </c>
      <c r="T4002" t="s">
        <v>3412</v>
      </c>
      <c r="U4002" t="s">
        <v>3413</v>
      </c>
      <c r="V4002" t="s">
        <v>39</v>
      </c>
      <c r="W4002" s="1">
        <v>4</v>
      </c>
    </row>
    <row r="4003" spans="1:23" x14ac:dyDescent="0.2">
      <c r="A4003" t="s">
        <v>2096</v>
      </c>
      <c r="B4003" t="s">
        <v>3333</v>
      </c>
      <c r="C4003" t="s">
        <v>3334</v>
      </c>
      <c r="D4003" t="s">
        <v>3409</v>
      </c>
      <c r="E4003" t="s">
        <v>3410</v>
      </c>
      <c r="F4003" t="s">
        <v>3411</v>
      </c>
      <c r="G4003" t="s">
        <v>29</v>
      </c>
      <c r="H4003" t="s">
        <v>30</v>
      </c>
      <c r="I4003" t="s">
        <v>30</v>
      </c>
      <c r="J4003" t="s">
        <v>41</v>
      </c>
      <c r="K4003" t="s">
        <v>32</v>
      </c>
      <c r="L4003" t="s">
        <v>32</v>
      </c>
      <c r="M4003" t="s">
        <v>33</v>
      </c>
      <c r="N4003" t="s">
        <v>33</v>
      </c>
      <c r="O4003" t="s">
        <v>33</v>
      </c>
      <c r="P4003" t="s">
        <v>34</v>
      </c>
      <c r="Q4003" t="s">
        <v>35</v>
      </c>
      <c r="S4003" t="s">
        <v>30</v>
      </c>
      <c r="T4003" t="s">
        <v>3412</v>
      </c>
      <c r="U4003" t="s">
        <v>3413</v>
      </c>
      <c r="V4003" t="s">
        <v>40</v>
      </c>
      <c r="W4003" s="1">
        <v>4500000</v>
      </c>
    </row>
    <row r="4004" spans="1:23" x14ac:dyDescent="0.2">
      <c r="A4004" t="s">
        <v>2096</v>
      </c>
      <c r="B4004" t="s">
        <v>3333</v>
      </c>
      <c r="C4004" t="s">
        <v>3334</v>
      </c>
      <c r="D4004" t="s">
        <v>3409</v>
      </c>
      <c r="E4004" t="s">
        <v>3410</v>
      </c>
      <c r="F4004" t="s">
        <v>3411</v>
      </c>
      <c r="G4004" t="s">
        <v>29</v>
      </c>
      <c r="H4004" t="s">
        <v>30</v>
      </c>
      <c r="I4004" t="s">
        <v>30</v>
      </c>
      <c r="J4004" t="s">
        <v>41</v>
      </c>
      <c r="K4004" t="s">
        <v>32</v>
      </c>
      <c r="L4004" t="s">
        <v>32</v>
      </c>
      <c r="M4004" t="s">
        <v>33</v>
      </c>
      <c r="N4004" t="s">
        <v>33</v>
      </c>
      <c r="O4004" t="s">
        <v>33</v>
      </c>
      <c r="P4004" t="s">
        <v>34</v>
      </c>
      <c r="Q4004" t="s">
        <v>35</v>
      </c>
      <c r="S4004" t="s">
        <v>30</v>
      </c>
      <c r="T4004" t="s">
        <v>3414</v>
      </c>
      <c r="U4004" t="s">
        <v>3415</v>
      </c>
      <c r="V4004" t="s">
        <v>39</v>
      </c>
      <c r="W4004" s="1">
        <v>6</v>
      </c>
    </row>
    <row r="4005" spans="1:23" x14ac:dyDescent="0.2">
      <c r="A4005" t="s">
        <v>2096</v>
      </c>
      <c r="B4005" t="s">
        <v>3333</v>
      </c>
      <c r="C4005" t="s">
        <v>3334</v>
      </c>
      <c r="D4005" t="s">
        <v>3409</v>
      </c>
      <c r="E4005" t="s">
        <v>3410</v>
      </c>
      <c r="F4005" t="s">
        <v>3411</v>
      </c>
      <c r="G4005" t="s">
        <v>29</v>
      </c>
      <c r="H4005" t="s">
        <v>30</v>
      </c>
      <c r="I4005" t="s">
        <v>30</v>
      </c>
      <c r="J4005" t="s">
        <v>41</v>
      </c>
      <c r="K4005" t="s">
        <v>32</v>
      </c>
      <c r="L4005" t="s">
        <v>32</v>
      </c>
      <c r="M4005" t="s">
        <v>33</v>
      </c>
      <c r="N4005" t="s">
        <v>33</v>
      </c>
      <c r="O4005" t="s">
        <v>33</v>
      </c>
      <c r="P4005" t="s">
        <v>34</v>
      </c>
      <c r="Q4005" t="s">
        <v>35</v>
      </c>
      <c r="S4005" t="s">
        <v>30</v>
      </c>
      <c r="T4005" t="s">
        <v>3414</v>
      </c>
      <c r="U4005" t="s">
        <v>3415</v>
      </c>
      <c r="V4005" t="s">
        <v>40</v>
      </c>
      <c r="W4005" s="1">
        <v>5306400</v>
      </c>
    </row>
    <row r="4006" spans="1:23" x14ac:dyDescent="0.2">
      <c r="A4006" t="s">
        <v>2096</v>
      </c>
      <c r="B4006" t="s">
        <v>3333</v>
      </c>
      <c r="C4006" t="s">
        <v>3334</v>
      </c>
      <c r="D4006" t="s">
        <v>3409</v>
      </c>
      <c r="E4006" t="s">
        <v>3410</v>
      </c>
      <c r="F4006" t="s">
        <v>3411</v>
      </c>
      <c r="G4006" t="s">
        <v>29</v>
      </c>
      <c r="H4006" t="s">
        <v>30</v>
      </c>
      <c r="I4006" t="s">
        <v>30</v>
      </c>
      <c r="J4006" t="s">
        <v>41</v>
      </c>
      <c r="K4006" t="s">
        <v>32</v>
      </c>
      <c r="L4006" t="s">
        <v>32</v>
      </c>
      <c r="M4006" t="s">
        <v>176</v>
      </c>
      <c r="N4006" t="s">
        <v>176</v>
      </c>
      <c r="O4006" t="s">
        <v>176</v>
      </c>
      <c r="P4006" t="s">
        <v>34</v>
      </c>
      <c r="Q4006" t="s">
        <v>35</v>
      </c>
      <c r="S4006" t="s">
        <v>30</v>
      </c>
      <c r="T4006" t="s">
        <v>3414</v>
      </c>
      <c r="U4006" t="s">
        <v>3415</v>
      </c>
      <c r="V4006" t="s">
        <v>39</v>
      </c>
      <c r="W4006" s="1">
        <v>2</v>
      </c>
    </row>
    <row r="4007" spans="1:23" x14ac:dyDescent="0.2">
      <c r="A4007" t="s">
        <v>2096</v>
      </c>
      <c r="B4007" t="s">
        <v>3333</v>
      </c>
      <c r="C4007" t="s">
        <v>3334</v>
      </c>
      <c r="D4007" t="s">
        <v>3409</v>
      </c>
      <c r="E4007" t="s">
        <v>3410</v>
      </c>
      <c r="F4007" t="s">
        <v>3411</v>
      </c>
      <c r="G4007" t="s">
        <v>29</v>
      </c>
      <c r="H4007" t="s">
        <v>30</v>
      </c>
      <c r="I4007" t="s">
        <v>30</v>
      </c>
      <c r="J4007" t="s">
        <v>41</v>
      </c>
      <c r="K4007" t="s">
        <v>32</v>
      </c>
      <c r="L4007" t="s">
        <v>32</v>
      </c>
      <c r="M4007" t="s">
        <v>176</v>
      </c>
      <c r="N4007" t="s">
        <v>176</v>
      </c>
      <c r="O4007" t="s">
        <v>176</v>
      </c>
      <c r="P4007" t="s">
        <v>34</v>
      </c>
      <c r="Q4007" t="s">
        <v>35</v>
      </c>
      <c r="S4007" t="s">
        <v>30</v>
      </c>
      <c r="T4007" t="s">
        <v>3414</v>
      </c>
      <c r="U4007" t="s">
        <v>3415</v>
      </c>
      <c r="V4007" t="s">
        <v>40</v>
      </c>
      <c r="W4007" s="1">
        <v>1768800</v>
      </c>
    </row>
    <row r="4008" spans="1:23" x14ac:dyDescent="0.2">
      <c r="A4008" t="s">
        <v>2096</v>
      </c>
      <c r="B4008" t="s">
        <v>3333</v>
      </c>
      <c r="C4008" t="s">
        <v>3334</v>
      </c>
      <c r="D4008" t="s">
        <v>3409</v>
      </c>
      <c r="E4008" t="s">
        <v>3410</v>
      </c>
      <c r="F4008" t="s">
        <v>3411</v>
      </c>
      <c r="G4008" t="s">
        <v>29</v>
      </c>
      <c r="H4008" t="s">
        <v>30</v>
      </c>
      <c r="I4008" t="s">
        <v>30</v>
      </c>
      <c r="J4008" t="s">
        <v>41</v>
      </c>
      <c r="K4008" t="s">
        <v>32</v>
      </c>
      <c r="L4008" t="s">
        <v>32</v>
      </c>
      <c r="M4008" t="s">
        <v>176</v>
      </c>
      <c r="N4008" t="s">
        <v>195</v>
      </c>
      <c r="O4008" t="s">
        <v>195</v>
      </c>
      <c r="P4008" t="s">
        <v>34</v>
      </c>
      <c r="Q4008" t="s">
        <v>35</v>
      </c>
      <c r="S4008" t="s">
        <v>30</v>
      </c>
      <c r="T4008" t="s">
        <v>3414</v>
      </c>
      <c r="U4008" t="s">
        <v>3415</v>
      </c>
      <c r="V4008" t="s">
        <v>39</v>
      </c>
      <c r="W4008" s="1">
        <v>1</v>
      </c>
    </row>
    <row r="4009" spans="1:23" x14ac:dyDescent="0.2">
      <c r="A4009" t="s">
        <v>2096</v>
      </c>
      <c r="B4009" t="s">
        <v>3333</v>
      </c>
      <c r="C4009" t="s">
        <v>3334</v>
      </c>
      <c r="D4009" t="s">
        <v>3409</v>
      </c>
      <c r="E4009" t="s">
        <v>3410</v>
      </c>
      <c r="F4009" t="s">
        <v>3411</v>
      </c>
      <c r="G4009" t="s">
        <v>29</v>
      </c>
      <c r="H4009" t="s">
        <v>30</v>
      </c>
      <c r="I4009" t="s">
        <v>30</v>
      </c>
      <c r="J4009" t="s">
        <v>41</v>
      </c>
      <c r="K4009" t="s">
        <v>32</v>
      </c>
      <c r="L4009" t="s">
        <v>32</v>
      </c>
      <c r="M4009" t="s">
        <v>176</v>
      </c>
      <c r="N4009" t="s">
        <v>195</v>
      </c>
      <c r="O4009" t="s">
        <v>195</v>
      </c>
      <c r="P4009" t="s">
        <v>34</v>
      </c>
      <c r="Q4009" t="s">
        <v>35</v>
      </c>
      <c r="S4009" t="s">
        <v>30</v>
      </c>
      <c r="T4009" t="s">
        <v>3414</v>
      </c>
      <c r="U4009" t="s">
        <v>3415</v>
      </c>
      <c r="V4009" t="s">
        <v>40</v>
      </c>
      <c r="W4009" s="1">
        <v>984400</v>
      </c>
    </row>
    <row r="4010" spans="1:23" x14ac:dyDescent="0.2">
      <c r="A4010" t="s">
        <v>2096</v>
      </c>
      <c r="B4010" t="s">
        <v>3333</v>
      </c>
      <c r="C4010" t="s">
        <v>3334</v>
      </c>
      <c r="D4010" t="s">
        <v>3409</v>
      </c>
      <c r="E4010" t="s">
        <v>3410</v>
      </c>
      <c r="F4010" t="s">
        <v>3411</v>
      </c>
      <c r="G4010" t="s">
        <v>29</v>
      </c>
      <c r="H4010" t="s">
        <v>30</v>
      </c>
      <c r="I4010" t="s">
        <v>30</v>
      </c>
      <c r="J4010" t="s">
        <v>57</v>
      </c>
      <c r="K4010" t="s">
        <v>32</v>
      </c>
      <c r="L4010" t="s">
        <v>32</v>
      </c>
      <c r="M4010" t="s">
        <v>33</v>
      </c>
      <c r="P4010" t="s">
        <v>34</v>
      </c>
      <c r="Q4010" t="s">
        <v>35</v>
      </c>
      <c r="R4010" t="s">
        <v>124</v>
      </c>
      <c r="S4010" t="s">
        <v>52</v>
      </c>
      <c r="T4010" t="s">
        <v>1688</v>
      </c>
      <c r="U4010" t="s">
        <v>3416</v>
      </c>
      <c r="V4010" t="s">
        <v>39</v>
      </c>
      <c r="W4010" s="1">
        <v>0</v>
      </c>
    </row>
    <row r="4011" spans="1:23" x14ac:dyDescent="0.2">
      <c r="A4011" t="s">
        <v>2096</v>
      </c>
      <c r="B4011" t="s">
        <v>3333</v>
      </c>
      <c r="C4011" t="s">
        <v>3334</v>
      </c>
      <c r="D4011" t="s">
        <v>3409</v>
      </c>
      <c r="E4011" t="s">
        <v>3410</v>
      </c>
      <c r="F4011" t="s">
        <v>3411</v>
      </c>
      <c r="G4011" t="s">
        <v>29</v>
      </c>
      <c r="H4011" t="s">
        <v>30</v>
      </c>
      <c r="I4011" t="s">
        <v>30</v>
      </c>
      <c r="J4011" t="s">
        <v>57</v>
      </c>
      <c r="K4011" t="s">
        <v>32</v>
      </c>
      <c r="L4011" t="s">
        <v>32</v>
      </c>
      <c r="M4011" t="s">
        <v>33</v>
      </c>
      <c r="P4011" t="s">
        <v>34</v>
      </c>
      <c r="Q4011" t="s">
        <v>35</v>
      </c>
      <c r="R4011" t="s">
        <v>124</v>
      </c>
      <c r="S4011" t="s">
        <v>52</v>
      </c>
      <c r="T4011" t="s">
        <v>1688</v>
      </c>
      <c r="U4011" t="s">
        <v>3416</v>
      </c>
      <c r="V4011" t="s">
        <v>40</v>
      </c>
      <c r="W4011" s="1">
        <v>2838000</v>
      </c>
    </row>
    <row r="4012" spans="1:23" x14ac:dyDescent="0.2">
      <c r="A4012" t="s">
        <v>2096</v>
      </c>
      <c r="B4012" t="s">
        <v>3333</v>
      </c>
      <c r="C4012" t="s">
        <v>3334</v>
      </c>
      <c r="D4012" t="s">
        <v>3409</v>
      </c>
      <c r="E4012" t="s">
        <v>3410</v>
      </c>
      <c r="F4012" t="s">
        <v>3411</v>
      </c>
      <c r="G4012" t="s">
        <v>49</v>
      </c>
      <c r="H4012" t="s">
        <v>30</v>
      </c>
      <c r="I4012" t="s">
        <v>30</v>
      </c>
      <c r="J4012" t="s">
        <v>41</v>
      </c>
      <c r="K4012" t="s">
        <v>32</v>
      </c>
      <c r="L4012" t="s">
        <v>32</v>
      </c>
      <c r="M4012" t="s">
        <v>33</v>
      </c>
      <c r="P4012" t="s">
        <v>34</v>
      </c>
      <c r="Q4012" t="s">
        <v>35</v>
      </c>
      <c r="S4012" t="s">
        <v>52</v>
      </c>
      <c r="T4012" t="s">
        <v>3417</v>
      </c>
      <c r="U4012" t="s">
        <v>3418</v>
      </c>
      <c r="V4012" t="s">
        <v>39</v>
      </c>
      <c r="W4012" s="1">
        <v>0</v>
      </c>
    </row>
    <row r="4013" spans="1:23" x14ac:dyDescent="0.2">
      <c r="A4013" t="s">
        <v>2096</v>
      </c>
      <c r="B4013" t="s">
        <v>3333</v>
      </c>
      <c r="C4013" t="s">
        <v>3334</v>
      </c>
      <c r="D4013" t="s">
        <v>3409</v>
      </c>
      <c r="E4013" t="s">
        <v>3410</v>
      </c>
      <c r="F4013" t="s">
        <v>3411</v>
      </c>
      <c r="G4013" t="s">
        <v>49</v>
      </c>
      <c r="H4013" t="s">
        <v>30</v>
      </c>
      <c r="I4013" t="s">
        <v>30</v>
      </c>
      <c r="J4013" t="s">
        <v>41</v>
      </c>
      <c r="K4013" t="s">
        <v>32</v>
      </c>
      <c r="L4013" t="s">
        <v>32</v>
      </c>
      <c r="M4013" t="s">
        <v>33</v>
      </c>
      <c r="P4013" t="s">
        <v>34</v>
      </c>
      <c r="Q4013" t="s">
        <v>35</v>
      </c>
      <c r="S4013" t="s">
        <v>52</v>
      </c>
      <c r="T4013" t="s">
        <v>3417</v>
      </c>
      <c r="U4013" t="s">
        <v>3418</v>
      </c>
      <c r="V4013" t="s">
        <v>40</v>
      </c>
      <c r="W4013" s="1">
        <v>3246000</v>
      </c>
    </row>
    <row r="4014" spans="1:23" x14ac:dyDescent="0.2">
      <c r="A4014" t="s">
        <v>2096</v>
      </c>
      <c r="B4014" t="s">
        <v>3333</v>
      </c>
      <c r="C4014" t="s">
        <v>3334</v>
      </c>
      <c r="D4014" t="s">
        <v>3409</v>
      </c>
      <c r="E4014" t="s">
        <v>3410</v>
      </c>
      <c r="F4014" t="s">
        <v>3411</v>
      </c>
      <c r="G4014" t="s">
        <v>49</v>
      </c>
      <c r="H4014" t="s">
        <v>30</v>
      </c>
      <c r="I4014" t="s">
        <v>30</v>
      </c>
      <c r="J4014" t="s">
        <v>41</v>
      </c>
      <c r="K4014" t="s">
        <v>32</v>
      </c>
      <c r="L4014" t="s">
        <v>32</v>
      </c>
      <c r="M4014" t="s">
        <v>33</v>
      </c>
      <c r="P4014" t="s">
        <v>34</v>
      </c>
      <c r="Q4014" t="s">
        <v>35</v>
      </c>
      <c r="S4014" t="s">
        <v>52</v>
      </c>
      <c r="T4014" t="s">
        <v>3417</v>
      </c>
      <c r="U4014" t="s">
        <v>3419</v>
      </c>
      <c r="V4014" t="s">
        <v>39</v>
      </c>
      <c r="W4014" s="1">
        <v>0</v>
      </c>
    </row>
    <row r="4015" spans="1:23" x14ac:dyDescent="0.2">
      <c r="A4015" t="s">
        <v>2096</v>
      </c>
      <c r="B4015" t="s">
        <v>3333</v>
      </c>
      <c r="C4015" t="s">
        <v>3334</v>
      </c>
      <c r="D4015" t="s">
        <v>3409</v>
      </c>
      <c r="E4015" t="s">
        <v>3410</v>
      </c>
      <c r="F4015" t="s">
        <v>3411</v>
      </c>
      <c r="G4015" t="s">
        <v>49</v>
      </c>
      <c r="H4015" t="s">
        <v>30</v>
      </c>
      <c r="I4015" t="s">
        <v>30</v>
      </c>
      <c r="J4015" t="s">
        <v>41</v>
      </c>
      <c r="K4015" t="s">
        <v>32</v>
      </c>
      <c r="L4015" t="s">
        <v>32</v>
      </c>
      <c r="M4015" t="s">
        <v>33</v>
      </c>
      <c r="P4015" t="s">
        <v>34</v>
      </c>
      <c r="Q4015" t="s">
        <v>35</v>
      </c>
      <c r="S4015" t="s">
        <v>52</v>
      </c>
      <c r="T4015" t="s">
        <v>3417</v>
      </c>
      <c r="U4015" t="s">
        <v>3419</v>
      </c>
      <c r="V4015" t="s">
        <v>40</v>
      </c>
      <c r="W4015" s="1">
        <v>0</v>
      </c>
    </row>
    <row r="4016" spans="1:23" x14ac:dyDescent="0.2">
      <c r="A4016" t="s">
        <v>2096</v>
      </c>
      <c r="B4016" t="s">
        <v>3333</v>
      </c>
      <c r="C4016" t="s">
        <v>3334</v>
      </c>
      <c r="D4016" t="s">
        <v>3409</v>
      </c>
      <c r="E4016" t="s">
        <v>3410</v>
      </c>
      <c r="F4016" t="s">
        <v>3411</v>
      </c>
      <c r="G4016" t="s">
        <v>67</v>
      </c>
      <c r="H4016" t="s">
        <v>30</v>
      </c>
      <c r="I4016" t="s">
        <v>30</v>
      </c>
      <c r="J4016" t="s">
        <v>31</v>
      </c>
      <c r="K4016" t="s">
        <v>32</v>
      </c>
      <c r="L4016" t="s">
        <v>32</v>
      </c>
      <c r="M4016" t="s">
        <v>33</v>
      </c>
      <c r="N4016" t="s">
        <v>33</v>
      </c>
      <c r="O4016" t="s">
        <v>33</v>
      </c>
      <c r="P4016" t="s">
        <v>34</v>
      </c>
      <c r="Q4016" t="s">
        <v>35</v>
      </c>
      <c r="R4016" t="s">
        <v>148</v>
      </c>
      <c r="S4016" t="s">
        <v>30</v>
      </c>
      <c r="T4016" t="s">
        <v>3420</v>
      </c>
      <c r="U4016" t="s">
        <v>3421</v>
      </c>
      <c r="V4016" t="s">
        <v>39</v>
      </c>
      <c r="W4016" s="1">
        <v>2</v>
      </c>
    </row>
    <row r="4017" spans="1:23" x14ac:dyDescent="0.2">
      <c r="A4017" t="s">
        <v>2096</v>
      </c>
      <c r="B4017" t="s">
        <v>3333</v>
      </c>
      <c r="C4017" t="s">
        <v>3334</v>
      </c>
      <c r="D4017" t="s">
        <v>3409</v>
      </c>
      <c r="E4017" t="s">
        <v>3410</v>
      </c>
      <c r="F4017" t="s">
        <v>3411</v>
      </c>
      <c r="G4017" t="s">
        <v>67</v>
      </c>
      <c r="H4017" t="s">
        <v>30</v>
      </c>
      <c r="I4017" t="s">
        <v>30</v>
      </c>
      <c r="J4017" t="s">
        <v>31</v>
      </c>
      <c r="K4017" t="s">
        <v>32</v>
      </c>
      <c r="L4017" t="s">
        <v>32</v>
      </c>
      <c r="M4017" t="s">
        <v>33</v>
      </c>
      <c r="N4017" t="s">
        <v>33</v>
      </c>
      <c r="O4017" t="s">
        <v>33</v>
      </c>
      <c r="P4017" t="s">
        <v>34</v>
      </c>
      <c r="Q4017" t="s">
        <v>35</v>
      </c>
      <c r="R4017" t="s">
        <v>148</v>
      </c>
      <c r="S4017" t="s">
        <v>30</v>
      </c>
      <c r="T4017" t="s">
        <v>3420</v>
      </c>
      <c r="U4017" t="s">
        <v>3421</v>
      </c>
      <c r="V4017" t="s">
        <v>40</v>
      </c>
      <c r="W4017" s="1">
        <v>6300400</v>
      </c>
    </row>
    <row r="4018" spans="1:23" x14ac:dyDescent="0.2">
      <c r="A4018" t="s">
        <v>2096</v>
      </c>
      <c r="B4018" t="s">
        <v>3333</v>
      </c>
      <c r="C4018" t="s">
        <v>3334</v>
      </c>
      <c r="D4018" t="s">
        <v>3409</v>
      </c>
      <c r="E4018" t="s">
        <v>3410</v>
      </c>
      <c r="F4018" t="s">
        <v>3411</v>
      </c>
      <c r="G4018" t="s">
        <v>67</v>
      </c>
      <c r="H4018" t="s">
        <v>30</v>
      </c>
      <c r="I4018" t="s">
        <v>30</v>
      </c>
      <c r="J4018" t="s">
        <v>41</v>
      </c>
      <c r="K4018" t="s">
        <v>32</v>
      </c>
      <c r="L4018" t="s">
        <v>32</v>
      </c>
      <c r="M4018" t="s">
        <v>33</v>
      </c>
      <c r="N4018" t="s">
        <v>33</v>
      </c>
      <c r="O4018" t="s">
        <v>33</v>
      </c>
      <c r="P4018" t="s">
        <v>34</v>
      </c>
      <c r="Q4018" t="s">
        <v>35</v>
      </c>
      <c r="R4018" t="s">
        <v>54</v>
      </c>
      <c r="S4018" t="s">
        <v>30</v>
      </c>
      <c r="T4018" t="s">
        <v>3422</v>
      </c>
      <c r="U4018" t="s">
        <v>3423</v>
      </c>
      <c r="V4018" t="s">
        <v>39</v>
      </c>
      <c r="W4018" s="1">
        <v>5</v>
      </c>
    </row>
    <row r="4019" spans="1:23" x14ac:dyDescent="0.2">
      <c r="A4019" t="s">
        <v>2096</v>
      </c>
      <c r="B4019" t="s">
        <v>3333</v>
      </c>
      <c r="C4019" t="s">
        <v>3334</v>
      </c>
      <c r="D4019" t="s">
        <v>3409</v>
      </c>
      <c r="E4019" t="s">
        <v>3410</v>
      </c>
      <c r="F4019" t="s">
        <v>3411</v>
      </c>
      <c r="G4019" t="s">
        <v>67</v>
      </c>
      <c r="H4019" t="s">
        <v>30</v>
      </c>
      <c r="I4019" t="s">
        <v>30</v>
      </c>
      <c r="J4019" t="s">
        <v>41</v>
      </c>
      <c r="K4019" t="s">
        <v>32</v>
      </c>
      <c r="L4019" t="s">
        <v>32</v>
      </c>
      <c r="M4019" t="s">
        <v>33</v>
      </c>
      <c r="N4019" t="s">
        <v>33</v>
      </c>
      <c r="O4019" t="s">
        <v>33</v>
      </c>
      <c r="P4019" t="s">
        <v>34</v>
      </c>
      <c r="Q4019" t="s">
        <v>35</v>
      </c>
      <c r="R4019" t="s">
        <v>54</v>
      </c>
      <c r="S4019" t="s">
        <v>30</v>
      </c>
      <c r="T4019" t="s">
        <v>3422</v>
      </c>
      <c r="U4019" t="s">
        <v>3423</v>
      </c>
      <c r="V4019" t="s">
        <v>40</v>
      </c>
      <c r="W4019" s="1">
        <v>4645000</v>
      </c>
    </row>
    <row r="4020" spans="1:23" x14ac:dyDescent="0.2">
      <c r="A4020" t="s">
        <v>2096</v>
      </c>
      <c r="B4020" t="s">
        <v>3333</v>
      </c>
      <c r="C4020" t="s">
        <v>3334</v>
      </c>
      <c r="D4020" t="s">
        <v>3409</v>
      </c>
      <c r="E4020" t="s">
        <v>3410</v>
      </c>
      <c r="F4020" t="s">
        <v>3411</v>
      </c>
      <c r="G4020" t="s">
        <v>67</v>
      </c>
      <c r="H4020" t="s">
        <v>30</v>
      </c>
      <c r="I4020" t="s">
        <v>30</v>
      </c>
      <c r="J4020" t="s">
        <v>41</v>
      </c>
      <c r="K4020" t="s">
        <v>32</v>
      </c>
      <c r="L4020" t="s">
        <v>32</v>
      </c>
      <c r="M4020" t="s">
        <v>33</v>
      </c>
      <c r="N4020" t="s">
        <v>33</v>
      </c>
      <c r="O4020" t="s">
        <v>33</v>
      </c>
      <c r="P4020" t="s">
        <v>34</v>
      </c>
      <c r="Q4020" t="s">
        <v>35</v>
      </c>
      <c r="S4020" t="s">
        <v>30</v>
      </c>
      <c r="T4020" t="s">
        <v>3424</v>
      </c>
      <c r="U4020" t="s">
        <v>3425</v>
      </c>
      <c r="V4020" t="s">
        <v>39</v>
      </c>
      <c r="W4020" s="1">
        <v>3</v>
      </c>
    </row>
    <row r="4021" spans="1:23" x14ac:dyDescent="0.2">
      <c r="A4021" t="s">
        <v>2096</v>
      </c>
      <c r="B4021" t="s">
        <v>3333</v>
      </c>
      <c r="C4021" t="s">
        <v>3334</v>
      </c>
      <c r="D4021" t="s">
        <v>3409</v>
      </c>
      <c r="E4021" t="s">
        <v>3410</v>
      </c>
      <c r="F4021" t="s">
        <v>3411</v>
      </c>
      <c r="G4021" t="s">
        <v>67</v>
      </c>
      <c r="H4021" t="s">
        <v>30</v>
      </c>
      <c r="I4021" t="s">
        <v>30</v>
      </c>
      <c r="J4021" t="s">
        <v>41</v>
      </c>
      <c r="K4021" t="s">
        <v>32</v>
      </c>
      <c r="L4021" t="s">
        <v>32</v>
      </c>
      <c r="M4021" t="s">
        <v>33</v>
      </c>
      <c r="N4021" t="s">
        <v>33</v>
      </c>
      <c r="O4021" t="s">
        <v>33</v>
      </c>
      <c r="P4021" t="s">
        <v>34</v>
      </c>
      <c r="Q4021" t="s">
        <v>35</v>
      </c>
      <c r="S4021" t="s">
        <v>30</v>
      </c>
      <c r="T4021" t="s">
        <v>3424</v>
      </c>
      <c r="U4021" t="s">
        <v>3425</v>
      </c>
      <c r="V4021" t="s">
        <v>40</v>
      </c>
      <c r="W4021" s="1">
        <v>3225000</v>
      </c>
    </row>
    <row r="4022" spans="1:23" x14ac:dyDescent="0.2">
      <c r="A4022" t="s">
        <v>2096</v>
      </c>
      <c r="B4022" t="s">
        <v>3333</v>
      </c>
      <c r="C4022" t="s">
        <v>3334</v>
      </c>
      <c r="D4022" t="s">
        <v>3409</v>
      </c>
      <c r="E4022" t="s">
        <v>3410</v>
      </c>
      <c r="F4022" t="s">
        <v>3411</v>
      </c>
      <c r="G4022" t="s">
        <v>67</v>
      </c>
      <c r="H4022" t="s">
        <v>30</v>
      </c>
      <c r="I4022" t="s">
        <v>30</v>
      </c>
      <c r="J4022" t="s">
        <v>41</v>
      </c>
      <c r="K4022" t="s">
        <v>32</v>
      </c>
      <c r="L4022" t="s">
        <v>32</v>
      </c>
      <c r="M4022" t="s">
        <v>33</v>
      </c>
      <c r="N4022" t="s">
        <v>33</v>
      </c>
      <c r="O4022" t="s">
        <v>33</v>
      </c>
      <c r="P4022" t="s">
        <v>34</v>
      </c>
      <c r="Q4022" t="s">
        <v>35</v>
      </c>
      <c r="S4022" t="s">
        <v>30</v>
      </c>
      <c r="T4022" t="s">
        <v>3426</v>
      </c>
      <c r="U4022" t="s">
        <v>3427</v>
      </c>
      <c r="V4022" t="s">
        <v>39</v>
      </c>
      <c r="W4022" s="1">
        <v>6</v>
      </c>
    </row>
    <row r="4023" spans="1:23" x14ac:dyDescent="0.2">
      <c r="A4023" t="s">
        <v>2096</v>
      </c>
      <c r="B4023" t="s">
        <v>3333</v>
      </c>
      <c r="C4023" t="s">
        <v>3334</v>
      </c>
      <c r="D4023" t="s">
        <v>3409</v>
      </c>
      <c r="E4023" t="s">
        <v>3410</v>
      </c>
      <c r="F4023" t="s">
        <v>3411</v>
      </c>
      <c r="G4023" t="s">
        <v>67</v>
      </c>
      <c r="H4023" t="s">
        <v>30</v>
      </c>
      <c r="I4023" t="s">
        <v>30</v>
      </c>
      <c r="J4023" t="s">
        <v>41</v>
      </c>
      <c r="K4023" t="s">
        <v>32</v>
      </c>
      <c r="L4023" t="s">
        <v>32</v>
      </c>
      <c r="M4023" t="s">
        <v>33</v>
      </c>
      <c r="N4023" t="s">
        <v>33</v>
      </c>
      <c r="O4023" t="s">
        <v>33</v>
      </c>
      <c r="P4023" t="s">
        <v>34</v>
      </c>
      <c r="Q4023" t="s">
        <v>35</v>
      </c>
      <c r="S4023" t="s">
        <v>30</v>
      </c>
      <c r="T4023" t="s">
        <v>3426</v>
      </c>
      <c r="U4023" t="s">
        <v>3427</v>
      </c>
      <c r="V4023" t="s">
        <v>40</v>
      </c>
      <c r="W4023" s="1">
        <v>7919400</v>
      </c>
    </row>
    <row r="4024" spans="1:23" x14ac:dyDescent="0.2">
      <c r="A4024" t="s">
        <v>2096</v>
      </c>
      <c r="B4024" t="s">
        <v>3333</v>
      </c>
      <c r="C4024" t="s">
        <v>3334</v>
      </c>
      <c r="D4024" t="s">
        <v>3409</v>
      </c>
      <c r="E4024" t="s">
        <v>3410</v>
      </c>
      <c r="F4024" t="s">
        <v>3411</v>
      </c>
      <c r="G4024" t="s">
        <v>67</v>
      </c>
      <c r="H4024" t="s">
        <v>30</v>
      </c>
      <c r="I4024" t="s">
        <v>30</v>
      </c>
      <c r="J4024" t="s">
        <v>41</v>
      </c>
      <c r="K4024" t="s">
        <v>32</v>
      </c>
      <c r="L4024" t="s">
        <v>32</v>
      </c>
      <c r="M4024" t="s">
        <v>33</v>
      </c>
      <c r="P4024" t="s">
        <v>34</v>
      </c>
      <c r="Q4024" t="s">
        <v>35</v>
      </c>
      <c r="R4024" t="s">
        <v>54</v>
      </c>
      <c r="S4024" t="s">
        <v>30</v>
      </c>
      <c r="T4024" t="s">
        <v>3422</v>
      </c>
      <c r="U4024" t="s">
        <v>3423</v>
      </c>
      <c r="V4024" t="s">
        <v>39</v>
      </c>
      <c r="W4024" s="1">
        <v>1</v>
      </c>
    </row>
    <row r="4025" spans="1:23" x14ac:dyDescent="0.2">
      <c r="A4025" t="s">
        <v>2096</v>
      </c>
      <c r="B4025" t="s">
        <v>3333</v>
      </c>
      <c r="C4025" t="s">
        <v>3334</v>
      </c>
      <c r="D4025" t="s">
        <v>3409</v>
      </c>
      <c r="E4025" t="s">
        <v>3410</v>
      </c>
      <c r="F4025" t="s">
        <v>3411</v>
      </c>
      <c r="G4025" t="s">
        <v>67</v>
      </c>
      <c r="H4025" t="s">
        <v>30</v>
      </c>
      <c r="I4025" t="s">
        <v>30</v>
      </c>
      <c r="J4025" t="s">
        <v>41</v>
      </c>
      <c r="K4025" t="s">
        <v>32</v>
      </c>
      <c r="L4025" t="s">
        <v>32</v>
      </c>
      <c r="M4025" t="s">
        <v>33</v>
      </c>
      <c r="P4025" t="s">
        <v>34</v>
      </c>
      <c r="Q4025" t="s">
        <v>35</v>
      </c>
      <c r="R4025" t="s">
        <v>54</v>
      </c>
      <c r="S4025" t="s">
        <v>30</v>
      </c>
      <c r="T4025" t="s">
        <v>3422</v>
      </c>
      <c r="U4025" t="s">
        <v>3423</v>
      </c>
      <c r="V4025" t="s">
        <v>40</v>
      </c>
      <c r="W4025" s="1">
        <v>929000</v>
      </c>
    </row>
    <row r="4026" spans="1:23" x14ac:dyDescent="0.2">
      <c r="A4026" t="s">
        <v>2096</v>
      </c>
      <c r="B4026" t="s">
        <v>3333</v>
      </c>
      <c r="C4026" t="s">
        <v>3334</v>
      </c>
      <c r="D4026" t="s">
        <v>3409</v>
      </c>
      <c r="E4026" t="s">
        <v>3410</v>
      </c>
      <c r="F4026" t="s">
        <v>3411</v>
      </c>
      <c r="G4026" t="s">
        <v>67</v>
      </c>
      <c r="H4026" t="s">
        <v>30</v>
      </c>
      <c r="I4026" t="s">
        <v>30</v>
      </c>
      <c r="J4026" t="s">
        <v>57</v>
      </c>
      <c r="K4026" t="s">
        <v>32</v>
      </c>
      <c r="L4026" t="s">
        <v>32</v>
      </c>
      <c r="M4026" t="s">
        <v>33</v>
      </c>
      <c r="N4026" t="s">
        <v>33</v>
      </c>
      <c r="O4026" t="s">
        <v>33</v>
      </c>
      <c r="P4026" t="s">
        <v>34</v>
      </c>
      <c r="Q4026" t="s">
        <v>35</v>
      </c>
      <c r="R4026" t="s">
        <v>294</v>
      </c>
      <c r="S4026" t="s">
        <v>30</v>
      </c>
      <c r="T4026" t="s">
        <v>3428</v>
      </c>
      <c r="U4026" t="s">
        <v>3429</v>
      </c>
      <c r="V4026" t="s">
        <v>39</v>
      </c>
      <c r="W4026" s="1">
        <v>2</v>
      </c>
    </row>
    <row r="4027" spans="1:23" x14ac:dyDescent="0.2">
      <c r="A4027" t="s">
        <v>2096</v>
      </c>
      <c r="B4027" t="s">
        <v>3333</v>
      </c>
      <c r="C4027" t="s">
        <v>3334</v>
      </c>
      <c r="D4027" t="s">
        <v>3409</v>
      </c>
      <c r="E4027" t="s">
        <v>3410</v>
      </c>
      <c r="F4027" t="s">
        <v>3411</v>
      </c>
      <c r="G4027" t="s">
        <v>67</v>
      </c>
      <c r="H4027" t="s">
        <v>30</v>
      </c>
      <c r="I4027" t="s">
        <v>30</v>
      </c>
      <c r="J4027" t="s">
        <v>57</v>
      </c>
      <c r="K4027" t="s">
        <v>32</v>
      </c>
      <c r="L4027" t="s">
        <v>32</v>
      </c>
      <c r="M4027" t="s">
        <v>33</v>
      </c>
      <c r="N4027" t="s">
        <v>33</v>
      </c>
      <c r="O4027" t="s">
        <v>33</v>
      </c>
      <c r="P4027" t="s">
        <v>34</v>
      </c>
      <c r="Q4027" t="s">
        <v>35</v>
      </c>
      <c r="R4027" t="s">
        <v>294</v>
      </c>
      <c r="S4027" t="s">
        <v>30</v>
      </c>
      <c r="T4027" t="s">
        <v>3428</v>
      </c>
      <c r="U4027" t="s">
        <v>3429</v>
      </c>
      <c r="V4027" t="s">
        <v>40</v>
      </c>
      <c r="W4027" s="1">
        <v>3946800</v>
      </c>
    </row>
    <row r="4028" spans="1:23" x14ac:dyDescent="0.2">
      <c r="A4028" t="s">
        <v>2096</v>
      </c>
      <c r="B4028" t="s">
        <v>3333</v>
      </c>
      <c r="C4028" t="s">
        <v>3334</v>
      </c>
      <c r="D4028" t="s">
        <v>3409</v>
      </c>
      <c r="E4028" t="s">
        <v>3410</v>
      </c>
      <c r="F4028" t="s">
        <v>3411</v>
      </c>
      <c r="G4028" t="s">
        <v>89</v>
      </c>
      <c r="H4028" t="s">
        <v>30</v>
      </c>
      <c r="I4028" t="s">
        <v>30</v>
      </c>
      <c r="J4028" t="s">
        <v>41</v>
      </c>
      <c r="K4028" t="s">
        <v>32</v>
      </c>
      <c r="L4028" t="s">
        <v>32</v>
      </c>
      <c r="M4028" t="s">
        <v>33</v>
      </c>
      <c r="N4028" t="s">
        <v>33</v>
      </c>
      <c r="O4028" t="s">
        <v>33</v>
      </c>
      <c r="P4028" t="s">
        <v>34</v>
      </c>
      <c r="Q4028" t="s">
        <v>35</v>
      </c>
      <c r="S4028" t="s">
        <v>30</v>
      </c>
      <c r="T4028" t="s">
        <v>3430</v>
      </c>
      <c r="U4028" t="s">
        <v>3431</v>
      </c>
      <c r="V4028" t="s">
        <v>39</v>
      </c>
      <c r="W4028" s="1">
        <v>7</v>
      </c>
    </row>
    <row r="4029" spans="1:23" x14ac:dyDescent="0.2">
      <c r="A4029" t="s">
        <v>2096</v>
      </c>
      <c r="B4029" t="s">
        <v>3333</v>
      </c>
      <c r="C4029" t="s">
        <v>3334</v>
      </c>
      <c r="D4029" t="s">
        <v>3409</v>
      </c>
      <c r="E4029" t="s">
        <v>3410</v>
      </c>
      <c r="F4029" t="s">
        <v>3411</v>
      </c>
      <c r="G4029" t="s">
        <v>89</v>
      </c>
      <c r="H4029" t="s">
        <v>30</v>
      </c>
      <c r="I4029" t="s">
        <v>30</v>
      </c>
      <c r="J4029" t="s">
        <v>41</v>
      </c>
      <c r="K4029" t="s">
        <v>32</v>
      </c>
      <c r="L4029" t="s">
        <v>32</v>
      </c>
      <c r="M4029" t="s">
        <v>33</v>
      </c>
      <c r="N4029" t="s">
        <v>33</v>
      </c>
      <c r="O4029" t="s">
        <v>33</v>
      </c>
      <c r="P4029" t="s">
        <v>34</v>
      </c>
      <c r="Q4029" t="s">
        <v>35</v>
      </c>
      <c r="S4029" t="s">
        <v>30</v>
      </c>
      <c r="T4029" t="s">
        <v>3430</v>
      </c>
      <c r="U4029" t="s">
        <v>3431</v>
      </c>
      <c r="V4029" t="s">
        <v>40</v>
      </c>
      <c r="W4029" s="1">
        <v>6946800</v>
      </c>
    </row>
    <row r="4030" spans="1:23" x14ac:dyDescent="0.2">
      <c r="A4030" t="s">
        <v>2096</v>
      </c>
      <c r="B4030" t="s">
        <v>3333</v>
      </c>
      <c r="C4030" t="s">
        <v>3334</v>
      </c>
      <c r="D4030" t="s">
        <v>3409</v>
      </c>
      <c r="E4030" t="s">
        <v>3410</v>
      </c>
      <c r="F4030" t="s">
        <v>3411</v>
      </c>
      <c r="G4030" t="s">
        <v>89</v>
      </c>
      <c r="H4030" t="s">
        <v>30</v>
      </c>
      <c r="I4030" t="s">
        <v>30</v>
      </c>
      <c r="J4030" t="s">
        <v>41</v>
      </c>
      <c r="K4030" t="s">
        <v>32</v>
      </c>
      <c r="L4030" t="s">
        <v>32</v>
      </c>
      <c r="M4030" t="s">
        <v>33</v>
      </c>
      <c r="P4030" t="s">
        <v>34</v>
      </c>
      <c r="Q4030" t="s">
        <v>35</v>
      </c>
      <c r="S4030" t="s">
        <v>30</v>
      </c>
      <c r="T4030" t="s">
        <v>3430</v>
      </c>
      <c r="U4030" t="s">
        <v>3431</v>
      </c>
      <c r="V4030" t="s">
        <v>39</v>
      </c>
      <c r="W4030" s="1">
        <v>1</v>
      </c>
    </row>
    <row r="4031" spans="1:23" x14ac:dyDescent="0.2">
      <c r="A4031" t="s">
        <v>2096</v>
      </c>
      <c r="B4031" t="s">
        <v>3333</v>
      </c>
      <c r="C4031" t="s">
        <v>3334</v>
      </c>
      <c r="D4031" t="s">
        <v>3409</v>
      </c>
      <c r="E4031" t="s">
        <v>3410</v>
      </c>
      <c r="F4031" t="s">
        <v>3411</v>
      </c>
      <c r="G4031" t="s">
        <v>89</v>
      </c>
      <c r="H4031" t="s">
        <v>30</v>
      </c>
      <c r="I4031" t="s">
        <v>30</v>
      </c>
      <c r="J4031" t="s">
        <v>41</v>
      </c>
      <c r="K4031" t="s">
        <v>32</v>
      </c>
      <c r="L4031" t="s">
        <v>32</v>
      </c>
      <c r="M4031" t="s">
        <v>33</v>
      </c>
      <c r="P4031" t="s">
        <v>34</v>
      </c>
      <c r="Q4031" t="s">
        <v>35</v>
      </c>
      <c r="S4031" t="s">
        <v>30</v>
      </c>
      <c r="T4031" t="s">
        <v>3430</v>
      </c>
      <c r="U4031" t="s">
        <v>3431</v>
      </c>
      <c r="V4031" t="s">
        <v>40</v>
      </c>
      <c r="W4031" s="1">
        <v>992400</v>
      </c>
    </row>
    <row r="4032" spans="1:23" x14ac:dyDescent="0.2">
      <c r="A4032" t="s">
        <v>2096</v>
      </c>
      <c r="B4032" t="s">
        <v>3333</v>
      </c>
      <c r="C4032" t="s">
        <v>3334</v>
      </c>
      <c r="D4032" t="s">
        <v>3409</v>
      </c>
      <c r="E4032" t="s">
        <v>3410</v>
      </c>
      <c r="F4032" t="s">
        <v>3411</v>
      </c>
      <c r="G4032" t="s">
        <v>106</v>
      </c>
      <c r="H4032" t="s">
        <v>30</v>
      </c>
      <c r="I4032" t="s">
        <v>30</v>
      </c>
      <c r="J4032" t="s">
        <v>41</v>
      </c>
      <c r="K4032" t="s">
        <v>32</v>
      </c>
      <c r="L4032" t="s">
        <v>32</v>
      </c>
      <c r="M4032" t="s">
        <v>33</v>
      </c>
      <c r="N4032" t="s">
        <v>33</v>
      </c>
      <c r="O4032" t="s">
        <v>33</v>
      </c>
      <c r="P4032" t="s">
        <v>34</v>
      </c>
      <c r="Q4032" t="s">
        <v>35</v>
      </c>
      <c r="R4032" t="s">
        <v>96</v>
      </c>
      <c r="S4032" t="s">
        <v>30</v>
      </c>
      <c r="T4032" t="s">
        <v>3432</v>
      </c>
      <c r="U4032" t="s">
        <v>3433</v>
      </c>
      <c r="V4032" t="s">
        <v>39</v>
      </c>
      <c r="W4032" s="1">
        <v>2</v>
      </c>
    </row>
    <row r="4033" spans="1:23" x14ac:dyDescent="0.2">
      <c r="A4033" t="s">
        <v>2096</v>
      </c>
      <c r="B4033" t="s">
        <v>3333</v>
      </c>
      <c r="C4033" t="s">
        <v>3334</v>
      </c>
      <c r="D4033" t="s">
        <v>3409</v>
      </c>
      <c r="E4033" t="s">
        <v>3410</v>
      </c>
      <c r="F4033" t="s">
        <v>3411</v>
      </c>
      <c r="G4033" t="s">
        <v>106</v>
      </c>
      <c r="H4033" t="s">
        <v>30</v>
      </c>
      <c r="I4033" t="s">
        <v>30</v>
      </c>
      <c r="J4033" t="s">
        <v>41</v>
      </c>
      <c r="K4033" t="s">
        <v>32</v>
      </c>
      <c r="L4033" t="s">
        <v>32</v>
      </c>
      <c r="M4033" t="s">
        <v>33</v>
      </c>
      <c r="N4033" t="s">
        <v>33</v>
      </c>
      <c r="O4033" t="s">
        <v>33</v>
      </c>
      <c r="P4033" t="s">
        <v>34</v>
      </c>
      <c r="Q4033" t="s">
        <v>35</v>
      </c>
      <c r="R4033" t="s">
        <v>96</v>
      </c>
      <c r="S4033" t="s">
        <v>30</v>
      </c>
      <c r="T4033" t="s">
        <v>3432</v>
      </c>
      <c r="U4033" t="s">
        <v>3433</v>
      </c>
      <c r="V4033" t="s">
        <v>40</v>
      </c>
      <c r="W4033" s="1">
        <v>7310000</v>
      </c>
    </row>
    <row r="4034" spans="1:23" x14ac:dyDescent="0.2">
      <c r="A4034" t="s">
        <v>2096</v>
      </c>
      <c r="B4034" t="s">
        <v>3333</v>
      </c>
      <c r="C4034" t="s">
        <v>3334</v>
      </c>
      <c r="D4034" t="s">
        <v>3409</v>
      </c>
      <c r="E4034" t="s">
        <v>3410</v>
      </c>
      <c r="F4034" t="s">
        <v>3411</v>
      </c>
      <c r="G4034" t="s">
        <v>139</v>
      </c>
      <c r="H4034" t="s">
        <v>30</v>
      </c>
      <c r="I4034" t="s">
        <v>30</v>
      </c>
      <c r="J4034" t="s">
        <v>128</v>
      </c>
      <c r="K4034" t="s">
        <v>135</v>
      </c>
      <c r="L4034" t="s">
        <v>32</v>
      </c>
      <c r="M4034" t="s">
        <v>33</v>
      </c>
      <c r="N4034" t="s">
        <v>33</v>
      </c>
      <c r="O4034" t="s">
        <v>33</v>
      </c>
      <c r="P4034" t="s">
        <v>34</v>
      </c>
      <c r="Q4034" t="s">
        <v>35</v>
      </c>
      <c r="R4034" t="s">
        <v>136</v>
      </c>
      <c r="S4034" t="s">
        <v>30</v>
      </c>
      <c r="T4034" t="s">
        <v>3434</v>
      </c>
      <c r="U4034" t="s">
        <v>3435</v>
      </c>
      <c r="V4034" t="s">
        <v>39</v>
      </c>
      <c r="W4034" s="1">
        <v>6</v>
      </c>
    </row>
    <row r="4035" spans="1:23" x14ac:dyDescent="0.2">
      <c r="A4035" t="s">
        <v>2096</v>
      </c>
      <c r="B4035" t="s">
        <v>3333</v>
      </c>
      <c r="C4035" t="s">
        <v>3334</v>
      </c>
      <c r="D4035" t="s">
        <v>3409</v>
      </c>
      <c r="E4035" t="s">
        <v>3410</v>
      </c>
      <c r="F4035" t="s">
        <v>3411</v>
      </c>
      <c r="G4035" t="s">
        <v>139</v>
      </c>
      <c r="H4035" t="s">
        <v>30</v>
      </c>
      <c r="I4035" t="s">
        <v>30</v>
      </c>
      <c r="J4035" t="s">
        <v>128</v>
      </c>
      <c r="K4035" t="s">
        <v>135</v>
      </c>
      <c r="L4035" t="s">
        <v>32</v>
      </c>
      <c r="M4035" t="s">
        <v>33</v>
      </c>
      <c r="N4035" t="s">
        <v>33</v>
      </c>
      <c r="O4035" t="s">
        <v>33</v>
      </c>
      <c r="P4035" t="s">
        <v>34</v>
      </c>
      <c r="Q4035" t="s">
        <v>35</v>
      </c>
      <c r="R4035" t="s">
        <v>136</v>
      </c>
      <c r="S4035" t="s">
        <v>30</v>
      </c>
      <c r="T4035" t="s">
        <v>3434</v>
      </c>
      <c r="U4035" t="s">
        <v>3435</v>
      </c>
      <c r="V4035" t="s">
        <v>40</v>
      </c>
      <c r="W4035" s="1">
        <v>3575400</v>
      </c>
    </row>
    <row r="4036" spans="1:23" x14ac:dyDescent="0.2">
      <c r="A4036" t="s">
        <v>2096</v>
      </c>
      <c r="B4036" t="s">
        <v>3333</v>
      </c>
      <c r="C4036" t="s">
        <v>3334</v>
      </c>
      <c r="D4036" t="s">
        <v>3409</v>
      </c>
      <c r="E4036" t="s">
        <v>3410</v>
      </c>
      <c r="F4036" t="s">
        <v>3411</v>
      </c>
      <c r="G4036" t="s">
        <v>139</v>
      </c>
      <c r="H4036" t="s">
        <v>30</v>
      </c>
      <c r="I4036" t="s">
        <v>30</v>
      </c>
      <c r="J4036" t="s">
        <v>128</v>
      </c>
      <c r="K4036" t="s">
        <v>135</v>
      </c>
      <c r="L4036" t="s">
        <v>32</v>
      </c>
      <c r="M4036" t="s">
        <v>33</v>
      </c>
      <c r="N4036" t="s">
        <v>176</v>
      </c>
      <c r="O4036" t="s">
        <v>176</v>
      </c>
      <c r="P4036" t="s">
        <v>34</v>
      </c>
      <c r="Q4036" t="s">
        <v>35</v>
      </c>
      <c r="R4036" t="s">
        <v>136</v>
      </c>
      <c r="S4036" t="s">
        <v>30</v>
      </c>
      <c r="T4036" t="s">
        <v>3434</v>
      </c>
      <c r="U4036" t="s">
        <v>3435</v>
      </c>
      <c r="V4036" t="s">
        <v>39</v>
      </c>
      <c r="W4036" s="1">
        <v>1</v>
      </c>
    </row>
    <row r="4037" spans="1:23" x14ac:dyDescent="0.2">
      <c r="A4037" t="s">
        <v>2096</v>
      </c>
      <c r="B4037" t="s">
        <v>3333</v>
      </c>
      <c r="C4037" t="s">
        <v>3334</v>
      </c>
      <c r="D4037" t="s">
        <v>3409</v>
      </c>
      <c r="E4037" t="s">
        <v>3410</v>
      </c>
      <c r="F4037" t="s">
        <v>3411</v>
      </c>
      <c r="G4037" t="s">
        <v>139</v>
      </c>
      <c r="H4037" t="s">
        <v>30</v>
      </c>
      <c r="I4037" t="s">
        <v>30</v>
      </c>
      <c r="J4037" t="s">
        <v>128</v>
      </c>
      <c r="K4037" t="s">
        <v>135</v>
      </c>
      <c r="L4037" t="s">
        <v>32</v>
      </c>
      <c r="M4037" t="s">
        <v>33</v>
      </c>
      <c r="N4037" t="s">
        <v>176</v>
      </c>
      <c r="O4037" t="s">
        <v>176</v>
      </c>
      <c r="P4037" t="s">
        <v>34</v>
      </c>
      <c r="Q4037" t="s">
        <v>35</v>
      </c>
      <c r="R4037" t="s">
        <v>136</v>
      </c>
      <c r="S4037" t="s">
        <v>30</v>
      </c>
      <c r="T4037" t="s">
        <v>3434</v>
      </c>
      <c r="U4037" t="s">
        <v>3435</v>
      </c>
      <c r="V4037" t="s">
        <v>40</v>
      </c>
      <c r="W4037" s="1">
        <v>595900</v>
      </c>
    </row>
    <row r="4038" spans="1:23" x14ac:dyDescent="0.2">
      <c r="A4038" t="s">
        <v>2096</v>
      </c>
      <c r="B4038" t="s">
        <v>3333</v>
      </c>
      <c r="C4038" t="s">
        <v>3334</v>
      </c>
      <c r="D4038" t="s">
        <v>3409</v>
      </c>
      <c r="E4038" t="s">
        <v>3410</v>
      </c>
      <c r="F4038" t="s">
        <v>3411</v>
      </c>
      <c r="G4038" t="s">
        <v>139</v>
      </c>
      <c r="H4038" t="s">
        <v>30</v>
      </c>
      <c r="I4038" t="s">
        <v>30</v>
      </c>
      <c r="J4038" t="s">
        <v>128</v>
      </c>
      <c r="K4038" t="s">
        <v>135</v>
      </c>
      <c r="L4038" t="s">
        <v>32</v>
      </c>
      <c r="M4038" t="s">
        <v>33</v>
      </c>
      <c r="N4038" t="s">
        <v>169</v>
      </c>
      <c r="O4038" t="s">
        <v>169</v>
      </c>
      <c r="P4038" t="s">
        <v>34</v>
      </c>
      <c r="Q4038" t="s">
        <v>35</v>
      </c>
      <c r="R4038" t="s">
        <v>136</v>
      </c>
      <c r="S4038" t="s">
        <v>30</v>
      </c>
      <c r="T4038" t="s">
        <v>3434</v>
      </c>
      <c r="U4038" t="s">
        <v>3435</v>
      </c>
      <c r="V4038" t="s">
        <v>39</v>
      </c>
      <c r="W4038" s="1">
        <v>1</v>
      </c>
    </row>
    <row r="4039" spans="1:23" x14ac:dyDescent="0.2">
      <c r="A4039" t="s">
        <v>2096</v>
      </c>
      <c r="B4039" t="s">
        <v>3333</v>
      </c>
      <c r="C4039" t="s">
        <v>3334</v>
      </c>
      <c r="D4039" t="s">
        <v>3409</v>
      </c>
      <c r="E4039" t="s">
        <v>3410</v>
      </c>
      <c r="F4039" t="s">
        <v>3411</v>
      </c>
      <c r="G4039" t="s">
        <v>139</v>
      </c>
      <c r="H4039" t="s">
        <v>30</v>
      </c>
      <c r="I4039" t="s">
        <v>30</v>
      </c>
      <c r="J4039" t="s">
        <v>128</v>
      </c>
      <c r="K4039" t="s">
        <v>135</v>
      </c>
      <c r="L4039" t="s">
        <v>32</v>
      </c>
      <c r="M4039" t="s">
        <v>33</v>
      </c>
      <c r="N4039" t="s">
        <v>169</v>
      </c>
      <c r="O4039" t="s">
        <v>169</v>
      </c>
      <c r="P4039" t="s">
        <v>34</v>
      </c>
      <c r="Q4039" t="s">
        <v>35</v>
      </c>
      <c r="R4039" t="s">
        <v>136</v>
      </c>
      <c r="S4039" t="s">
        <v>30</v>
      </c>
      <c r="T4039" t="s">
        <v>3434</v>
      </c>
      <c r="U4039" t="s">
        <v>3435</v>
      </c>
      <c r="V4039" t="s">
        <v>40</v>
      </c>
      <c r="W4039" s="1">
        <v>595900</v>
      </c>
    </row>
    <row r="4040" spans="1:23" x14ac:dyDescent="0.2">
      <c r="A4040" t="s">
        <v>2096</v>
      </c>
      <c r="B4040" t="s">
        <v>3333</v>
      </c>
      <c r="C4040" t="s">
        <v>3334</v>
      </c>
      <c r="D4040" t="s">
        <v>3409</v>
      </c>
      <c r="E4040" t="s">
        <v>3410</v>
      </c>
      <c r="F4040" t="s">
        <v>3411</v>
      </c>
      <c r="G4040" t="s">
        <v>139</v>
      </c>
      <c r="H4040" t="s">
        <v>30</v>
      </c>
      <c r="I4040" t="s">
        <v>30</v>
      </c>
      <c r="J4040" t="s">
        <v>128</v>
      </c>
      <c r="K4040" t="s">
        <v>135</v>
      </c>
      <c r="L4040" t="s">
        <v>32</v>
      </c>
      <c r="M4040" t="s">
        <v>176</v>
      </c>
      <c r="N4040" t="s">
        <v>176</v>
      </c>
      <c r="O4040" t="s">
        <v>176</v>
      </c>
      <c r="P4040" t="s">
        <v>34</v>
      </c>
      <c r="Q4040" t="s">
        <v>35</v>
      </c>
      <c r="R4040" t="s">
        <v>136</v>
      </c>
      <c r="S4040" t="s">
        <v>30</v>
      </c>
      <c r="T4040" t="s">
        <v>3434</v>
      </c>
      <c r="U4040" t="s">
        <v>3435</v>
      </c>
      <c r="V4040" t="s">
        <v>39</v>
      </c>
      <c r="W4040" s="1">
        <v>1</v>
      </c>
    </row>
    <row r="4041" spans="1:23" x14ac:dyDescent="0.2">
      <c r="A4041" t="s">
        <v>2096</v>
      </c>
      <c r="B4041" t="s">
        <v>3333</v>
      </c>
      <c r="C4041" t="s">
        <v>3334</v>
      </c>
      <c r="D4041" t="s">
        <v>3409</v>
      </c>
      <c r="E4041" t="s">
        <v>3410</v>
      </c>
      <c r="F4041" t="s">
        <v>3411</v>
      </c>
      <c r="G4041" t="s">
        <v>139</v>
      </c>
      <c r="H4041" t="s">
        <v>30</v>
      </c>
      <c r="I4041" t="s">
        <v>30</v>
      </c>
      <c r="J4041" t="s">
        <v>128</v>
      </c>
      <c r="K4041" t="s">
        <v>135</v>
      </c>
      <c r="L4041" t="s">
        <v>32</v>
      </c>
      <c r="M4041" t="s">
        <v>176</v>
      </c>
      <c r="N4041" t="s">
        <v>176</v>
      </c>
      <c r="O4041" t="s">
        <v>176</v>
      </c>
      <c r="P4041" t="s">
        <v>34</v>
      </c>
      <c r="Q4041" t="s">
        <v>35</v>
      </c>
      <c r="R4041" t="s">
        <v>136</v>
      </c>
      <c r="S4041" t="s">
        <v>30</v>
      </c>
      <c r="T4041" t="s">
        <v>3434</v>
      </c>
      <c r="U4041" t="s">
        <v>3435</v>
      </c>
      <c r="V4041" t="s">
        <v>40</v>
      </c>
      <c r="W4041" s="1">
        <v>595900</v>
      </c>
    </row>
    <row r="4042" spans="1:23" x14ac:dyDescent="0.2">
      <c r="A4042" t="s">
        <v>2096</v>
      </c>
      <c r="B4042" t="s">
        <v>3333</v>
      </c>
      <c r="C4042" t="s">
        <v>3334</v>
      </c>
      <c r="D4042" t="s">
        <v>3409</v>
      </c>
      <c r="E4042" t="s">
        <v>3436</v>
      </c>
      <c r="F4042" t="s">
        <v>3437</v>
      </c>
      <c r="G4042" t="s">
        <v>49</v>
      </c>
      <c r="H4042" t="s">
        <v>30</v>
      </c>
      <c r="I4042" t="s">
        <v>30</v>
      </c>
      <c r="J4042" t="s">
        <v>41</v>
      </c>
      <c r="K4042" t="s">
        <v>32</v>
      </c>
      <c r="L4042" t="s">
        <v>32</v>
      </c>
      <c r="M4042" t="s">
        <v>33</v>
      </c>
      <c r="N4042" t="s">
        <v>33</v>
      </c>
      <c r="O4042" t="s">
        <v>33</v>
      </c>
      <c r="P4042" t="s">
        <v>34</v>
      </c>
      <c r="Q4042" t="s">
        <v>35</v>
      </c>
      <c r="R4042" t="s">
        <v>73</v>
      </c>
      <c r="S4042" t="s">
        <v>30</v>
      </c>
      <c r="T4042" t="s">
        <v>3438</v>
      </c>
      <c r="U4042" t="s">
        <v>3439</v>
      </c>
      <c r="V4042" t="s">
        <v>39</v>
      </c>
      <c r="W4042" s="1">
        <v>6</v>
      </c>
    </row>
    <row r="4043" spans="1:23" x14ac:dyDescent="0.2">
      <c r="A4043" t="s">
        <v>2096</v>
      </c>
      <c r="B4043" t="s">
        <v>3333</v>
      </c>
      <c r="C4043" t="s">
        <v>3334</v>
      </c>
      <c r="D4043" t="s">
        <v>3409</v>
      </c>
      <c r="E4043" t="s">
        <v>3436</v>
      </c>
      <c r="F4043" t="s">
        <v>3437</v>
      </c>
      <c r="G4043" t="s">
        <v>49</v>
      </c>
      <c r="H4043" t="s">
        <v>30</v>
      </c>
      <c r="I4043" t="s">
        <v>30</v>
      </c>
      <c r="J4043" t="s">
        <v>41</v>
      </c>
      <c r="K4043" t="s">
        <v>32</v>
      </c>
      <c r="L4043" t="s">
        <v>32</v>
      </c>
      <c r="M4043" t="s">
        <v>33</v>
      </c>
      <c r="N4043" t="s">
        <v>33</v>
      </c>
      <c r="O4043" t="s">
        <v>33</v>
      </c>
      <c r="P4043" t="s">
        <v>34</v>
      </c>
      <c r="Q4043" t="s">
        <v>35</v>
      </c>
      <c r="R4043" t="s">
        <v>73</v>
      </c>
      <c r="S4043" t="s">
        <v>30</v>
      </c>
      <c r="T4043" t="s">
        <v>3438</v>
      </c>
      <c r="U4043" t="s">
        <v>3439</v>
      </c>
      <c r="V4043" t="s">
        <v>40</v>
      </c>
      <c r="W4043" s="1">
        <v>8699400</v>
      </c>
    </row>
    <row r="4044" spans="1:23" x14ac:dyDescent="0.2">
      <c r="A4044" t="s">
        <v>2096</v>
      </c>
      <c r="B4044" t="s">
        <v>3333</v>
      </c>
      <c r="C4044" t="s">
        <v>3334</v>
      </c>
      <c r="D4044" t="s">
        <v>3409</v>
      </c>
      <c r="E4044" t="s">
        <v>3436</v>
      </c>
      <c r="F4044" t="s">
        <v>3437</v>
      </c>
      <c r="G4044" t="s">
        <v>89</v>
      </c>
      <c r="H4044" t="s">
        <v>30</v>
      </c>
      <c r="I4044" t="s">
        <v>30</v>
      </c>
      <c r="J4044" t="s">
        <v>41</v>
      </c>
      <c r="K4044" t="s">
        <v>32</v>
      </c>
      <c r="L4044" t="s">
        <v>32</v>
      </c>
      <c r="M4044" t="s">
        <v>33</v>
      </c>
      <c r="N4044" t="s">
        <v>33</v>
      </c>
      <c r="O4044" t="s">
        <v>33</v>
      </c>
      <c r="P4044" t="s">
        <v>34</v>
      </c>
      <c r="Q4044" t="s">
        <v>35</v>
      </c>
      <c r="S4044" t="s">
        <v>30</v>
      </c>
      <c r="T4044" t="s">
        <v>3440</v>
      </c>
      <c r="U4044" t="s">
        <v>3441</v>
      </c>
      <c r="V4044" t="s">
        <v>39</v>
      </c>
      <c r="W4044" s="1">
        <v>2</v>
      </c>
    </row>
    <row r="4045" spans="1:23" x14ac:dyDescent="0.2">
      <c r="A4045" t="s">
        <v>2096</v>
      </c>
      <c r="B4045" t="s">
        <v>3333</v>
      </c>
      <c r="C4045" t="s">
        <v>3334</v>
      </c>
      <c r="D4045" t="s">
        <v>3409</v>
      </c>
      <c r="E4045" t="s">
        <v>3436</v>
      </c>
      <c r="F4045" t="s">
        <v>3437</v>
      </c>
      <c r="G4045" t="s">
        <v>89</v>
      </c>
      <c r="H4045" t="s">
        <v>30</v>
      </c>
      <c r="I4045" t="s">
        <v>30</v>
      </c>
      <c r="J4045" t="s">
        <v>41</v>
      </c>
      <c r="K4045" t="s">
        <v>32</v>
      </c>
      <c r="L4045" t="s">
        <v>32</v>
      </c>
      <c r="M4045" t="s">
        <v>33</v>
      </c>
      <c r="N4045" t="s">
        <v>33</v>
      </c>
      <c r="O4045" t="s">
        <v>33</v>
      </c>
      <c r="P4045" t="s">
        <v>34</v>
      </c>
      <c r="Q4045" t="s">
        <v>35</v>
      </c>
      <c r="S4045" t="s">
        <v>30</v>
      </c>
      <c r="T4045" t="s">
        <v>3440</v>
      </c>
      <c r="U4045" t="s">
        <v>3441</v>
      </c>
      <c r="V4045" t="s">
        <v>40</v>
      </c>
      <c r="W4045" s="1">
        <v>1642000</v>
      </c>
    </row>
    <row r="4046" spans="1:23" x14ac:dyDescent="0.2">
      <c r="A4046" t="s">
        <v>2096</v>
      </c>
      <c r="B4046" t="s">
        <v>3333</v>
      </c>
      <c r="C4046" t="s">
        <v>3442</v>
      </c>
      <c r="D4046" t="s">
        <v>3443</v>
      </c>
      <c r="E4046" t="s">
        <v>3444</v>
      </c>
      <c r="F4046" t="s">
        <v>3445</v>
      </c>
      <c r="G4046" t="s">
        <v>61</v>
      </c>
      <c r="H4046" t="s">
        <v>52</v>
      </c>
      <c r="I4046" t="s">
        <v>52</v>
      </c>
      <c r="J4046" t="s">
        <v>31</v>
      </c>
      <c r="K4046" t="s">
        <v>32</v>
      </c>
      <c r="L4046" t="s">
        <v>32</v>
      </c>
      <c r="M4046" t="s">
        <v>33</v>
      </c>
      <c r="N4046" t="s">
        <v>33</v>
      </c>
      <c r="O4046" t="s">
        <v>33</v>
      </c>
      <c r="P4046" t="s">
        <v>34</v>
      </c>
      <c r="Q4046" t="s">
        <v>35</v>
      </c>
      <c r="R4046" t="s">
        <v>228</v>
      </c>
      <c r="S4046" t="s">
        <v>30</v>
      </c>
      <c r="T4046" t="s">
        <v>3446</v>
      </c>
      <c r="U4046" t="s">
        <v>3447</v>
      </c>
      <c r="V4046" t="s">
        <v>39</v>
      </c>
      <c r="W4046" s="1">
        <v>1</v>
      </c>
    </row>
    <row r="4047" spans="1:23" x14ac:dyDescent="0.2">
      <c r="A4047" t="s">
        <v>2096</v>
      </c>
      <c r="B4047" t="s">
        <v>3333</v>
      </c>
      <c r="C4047" t="s">
        <v>3442</v>
      </c>
      <c r="D4047" t="s">
        <v>3443</v>
      </c>
      <c r="E4047" t="s">
        <v>3444</v>
      </c>
      <c r="F4047" t="s">
        <v>3445</v>
      </c>
      <c r="G4047" t="s">
        <v>61</v>
      </c>
      <c r="H4047" t="s">
        <v>52</v>
      </c>
      <c r="I4047" t="s">
        <v>52</v>
      </c>
      <c r="J4047" t="s">
        <v>31</v>
      </c>
      <c r="K4047" t="s">
        <v>32</v>
      </c>
      <c r="L4047" t="s">
        <v>32</v>
      </c>
      <c r="M4047" t="s">
        <v>33</v>
      </c>
      <c r="N4047" t="s">
        <v>33</v>
      </c>
      <c r="O4047" t="s">
        <v>33</v>
      </c>
      <c r="P4047" t="s">
        <v>34</v>
      </c>
      <c r="Q4047" t="s">
        <v>35</v>
      </c>
      <c r="R4047" t="s">
        <v>228</v>
      </c>
      <c r="S4047" t="s">
        <v>30</v>
      </c>
      <c r="T4047" t="s">
        <v>3446</v>
      </c>
      <c r="U4047" t="s">
        <v>3447</v>
      </c>
      <c r="V4047" t="s">
        <v>40</v>
      </c>
      <c r="W4047" s="1">
        <v>526900</v>
      </c>
    </row>
    <row r="4048" spans="1:23" x14ac:dyDescent="0.2">
      <c r="A4048" t="s">
        <v>2096</v>
      </c>
      <c r="B4048" t="s">
        <v>3333</v>
      </c>
      <c r="C4048" t="s">
        <v>3442</v>
      </c>
      <c r="D4048" t="s">
        <v>3443</v>
      </c>
      <c r="E4048" t="s">
        <v>3444</v>
      </c>
      <c r="F4048" t="s">
        <v>3445</v>
      </c>
      <c r="G4048" t="s">
        <v>67</v>
      </c>
      <c r="H4048" t="s">
        <v>30</v>
      </c>
      <c r="I4048" t="s">
        <v>30</v>
      </c>
      <c r="J4048" t="s">
        <v>41</v>
      </c>
      <c r="K4048" t="s">
        <v>32</v>
      </c>
      <c r="L4048" t="s">
        <v>32</v>
      </c>
      <c r="M4048" t="s">
        <v>33</v>
      </c>
      <c r="N4048" t="s">
        <v>33</v>
      </c>
      <c r="O4048" t="s">
        <v>33</v>
      </c>
      <c r="P4048" t="s">
        <v>34</v>
      </c>
      <c r="Q4048" t="s">
        <v>35</v>
      </c>
      <c r="S4048" t="s">
        <v>30</v>
      </c>
      <c r="T4048" t="s">
        <v>1052</v>
      </c>
      <c r="U4048" t="s">
        <v>3448</v>
      </c>
      <c r="V4048" t="s">
        <v>39</v>
      </c>
      <c r="W4048" s="1">
        <v>7</v>
      </c>
    </row>
    <row r="4049" spans="1:23" x14ac:dyDescent="0.2">
      <c r="A4049" t="s">
        <v>2096</v>
      </c>
      <c r="B4049" t="s">
        <v>3333</v>
      </c>
      <c r="C4049" t="s">
        <v>3442</v>
      </c>
      <c r="D4049" t="s">
        <v>3443</v>
      </c>
      <c r="E4049" t="s">
        <v>3444</v>
      </c>
      <c r="F4049" t="s">
        <v>3445</v>
      </c>
      <c r="G4049" t="s">
        <v>67</v>
      </c>
      <c r="H4049" t="s">
        <v>30</v>
      </c>
      <c r="I4049" t="s">
        <v>30</v>
      </c>
      <c r="J4049" t="s">
        <v>41</v>
      </c>
      <c r="K4049" t="s">
        <v>32</v>
      </c>
      <c r="L4049" t="s">
        <v>32</v>
      </c>
      <c r="M4049" t="s">
        <v>33</v>
      </c>
      <c r="N4049" t="s">
        <v>33</v>
      </c>
      <c r="O4049" t="s">
        <v>33</v>
      </c>
      <c r="P4049" t="s">
        <v>34</v>
      </c>
      <c r="Q4049" t="s">
        <v>35</v>
      </c>
      <c r="S4049" t="s">
        <v>30</v>
      </c>
      <c r="T4049" t="s">
        <v>1052</v>
      </c>
      <c r="U4049" t="s">
        <v>3448</v>
      </c>
      <c r="V4049" t="s">
        <v>40</v>
      </c>
      <c r="W4049" s="1">
        <v>9202300</v>
      </c>
    </row>
    <row r="4050" spans="1:23" x14ac:dyDescent="0.2">
      <c r="A4050" t="s">
        <v>2096</v>
      </c>
      <c r="B4050" t="s">
        <v>3333</v>
      </c>
      <c r="C4050" t="s">
        <v>3442</v>
      </c>
      <c r="D4050" t="s">
        <v>3443</v>
      </c>
      <c r="E4050" t="s">
        <v>3444</v>
      </c>
      <c r="F4050" t="s">
        <v>3445</v>
      </c>
      <c r="G4050" t="s">
        <v>67</v>
      </c>
      <c r="H4050" t="s">
        <v>30</v>
      </c>
      <c r="I4050" t="s">
        <v>30</v>
      </c>
      <c r="J4050" t="s">
        <v>41</v>
      </c>
      <c r="K4050" t="s">
        <v>32</v>
      </c>
      <c r="L4050" t="s">
        <v>32</v>
      </c>
      <c r="M4050" t="s">
        <v>33</v>
      </c>
      <c r="P4050" t="s">
        <v>34</v>
      </c>
      <c r="Q4050" t="s">
        <v>35</v>
      </c>
      <c r="S4050" t="s">
        <v>52</v>
      </c>
      <c r="T4050" t="s">
        <v>3449</v>
      </c>
      <c r="U4050" t="s">
        <v>3450</v>
      </c>
      <c r="V4050" t="s">
        <v>39</v>
      </c>
      <c r="W4050" s="1">
        <v>0</v>
      </c>
    </row>
    <row r="4051" spans="1:23" x14ac:dyDescent="0.2">
      <c r="A4051" t="s">
        <v>2096</v>
      </c>
      <c r="B4051" t="s">
        <v>3333</v>
      </c>
      <c r="C4051" t="s">
        <v>3442</v>
      </c>
      <c r="D4051" t="s">
        <v>3443</v>
      </c>
      <c r="E4051" t="s">
        <v>3444</v>
      </c>
      <c r="F4051" t="s">
        <v>3445</v>
      </c>
      <c r="G4051" t="s">
        <v>67</v>
      </c>
      <c r="H4051" t="s">
        <v>30</v>
      </c>
      <c r="I4051" t="s">
        <v>30</v>
      </c>
      <c r="J4051" t="s">
        <v>41</v>
      </c>
      <c r="K4051" t="s">
        <v>32</v>
      </c>
      <c r="L4051" t="s">
        <v>32</v>
      </c>
      <c r="M4051" t="s">
        <v>33</v>
      </c>
      <c r="P4051" t="s">
        <v>34</v>
      </c>
      <c r="Q4051" t="s">
        <v>35</v>
      </c>
      <c r="S4051" t="s">
        <v>52</v>
      </c>
      <c r="T4051" t="s">
        <v>3449</v>
      </c>
      <c r="U4051" t="s">
        <v>3450</v>
      </c>
      <c r="V4051" t="s">
        <v>40</v>
      </c>
      <c r="W4051" s="1">
        <v>0</v>
      </c>
    </row>
    <row r="4052" spans="1:23" x14ac:dyDescent="0.2">
      <c r="A4052" t="s">
        <v>2096</v>
      </c>
      <c r="B4052" t="s">
        <v>3333</v>
      </c>
      <c r="C4052" t="s">
        <v>3442</v>
      </c>
      <c r="D4052" t="s">
        <v>3443</v>
      </c>
      <c r="E4052" t="s">
        <v>3444</v>
      </c>
      <c r="F4052" t="s">
        <v>3445</v>
      </c>
      <c r="G4052" t="s">
        <v>139</v>
      </c>
      <c r="H4052" t="s">
        <v>30</v>
      </c>
      <c r="I4052" t="s">
        <v>30</v>
      </c>
      <c r="J4052" t="s">
        <v>41</v>
      </c>
      <c r="K4052" t="s">
        <v>32</v>
      </c>
      <c r="L4052" t="s">
        <v>32</v>
      </c>
      <c r="M4052" t="s">
        <v>33</v>
      </c>
      <c r="N4052" t="s">
        <v>33</v>
      </c>
      <c r="O4052" t="s">
        <v>33</v>
      </c>
      <c r="P4052" t="s">
        <v>34</v>
      </c>
      <c r="Q4052" t="s">
        <v>35</v>
      </c>
      <c r="R4052" t="s">
        <v>184</v>
      </c>
      <c r="S4052" t="s">
        <v>30</v>
      </c>
      <c r="T4052" t="s">
        <v>3451</v>
      </c>
      <c r="U4052" t="s">
        <v>3452</v>
      </c>
      <c r="V4052" t="s">
        <v>39</v>
      </c>
      <c r="W4052" s="1">
        <v>7</v>
      </c>
    </row>
    <row r="4053" spans="1:23" x14ac:dyDescent="0.2">
      <c r="A4053" t="s">
        <v>2096</v>
      </c>
      <c r="B4053" t="s">
        <v>3333</v>
      </c>
      <c r="C4053" t="s">
        <v>3442</v>
      </c>
      <c r="D4053" t="s">
        <v>3443</v>
      </c>
      <c r="E4053" t="s">
        <v>3444</v>
      </c>
      <c r="F4053" t="s">
        <v>3445</v>
      </c>
      <c r="G4053" t="s">
        <v>139</v>
      </c>
      <c r="H4053" t="s">
        <v>30</v>
      </c>
      <c r="I4053" t="s">
        <v>30</v>
      </c>
      <c r="J4053" t="s">
        <v>41</v>
      </c>
      <c r="K4053" t="s">
        <v>32</v>
      </c>
      <c r="L4053" t="s">
        <v>32</v>
      </c>
      <c r="M4053" t="s">
        <v>33</v>
      </c>
      <c r="N4053" t="s">
        <v>33</v>
      </c>
      <c r="O4053" t="s">
        <v>33</v>
      </c>
      <c r="P4053" t="s">
        <v>34</v>
      </c>
      <c r="Q4053" t="s">
        <v>35</v>
      </c>
      <c r="R4053" t="s">
        <v>184</v>
      </c>
      <c r="S4053" t="s">
        <v>30</v>
      </c>
      <c r="T4053" t="s">
        <v>3451</v>
      </c>
      <c r="U4053" t="s">
        <v>3452</v>
      </c>
      <c r="V4053" t="s">
        <v>40</v>
      </c>
      <c r="W4053" s="1">
        <v>9093000</v>
      </c>
    </row>
    <row r="4054" spans="1:23" x14ac:dyDescent="0.2">
      <c r="A4054" t="s">
        <v>2096</v>
      </c>
      <c r="B4054" t="s">
        <v>3333</v>
      </c>
      <c r="C4054" t="s">
        <v>3442</v>
      </c>
      <c r="D4054" t="s">
        <v>3443</v>
      </c>
      <c r="E4054" t="s">
        <v>3453</v>
      </c>
      <c r="F4054" t="s">
        <v>3454</v>
      </c>
      <c r="G4054" t="s">
        <v>64</v>
      </c>
      <c r="H4054" t="s">
        <v>30</v>
      </c>
      <c r="I4054" t="s">
        <v>52</v>
      </c>
      <c r="J4054" t="s">
        <v>41</v>
      </c>
      <c r="K4054" t="s">
        <v>32</v>
      </c>
      <c r="L4054" t="s">
        <v>32</v>
      </c>
      <c r="M4054" t="s">
        <v>33</v>
      </c>
      <c r="N4054" t="s">
        <v>33</v>
      </c>
      <c r="O4054" t="s">
        <v>33</v>
      </c>
      <c r="P4054" t="s">
        <v>34</v>
      </c>
      <c r="Q4054" t="s">
        <v>35</v>
      </c>
      <c r="R4054" t="s">
        <v>162</v>
      </c>
      <c r="S4054" t="s">
        <v>30</v>
      </c>
      <c r="T4054" t="s">
        <v>3455</v>
      </c>
      <c r="U4054" t="s">
        <v>3456</v>
      </c>
      <c r="V4054" t="s">
        <v>39</v>
      </c>
      <c r="W4054" s="1">
        <v>2</v>
      </c>
    </row>
    <row r="4055" spans="1:23" x14ac:dyDescent="0.2">
      <c r="A4055" t="s">
        <v>2096</v>
      </c>
      <c r="B4055" t="s">
        <v>3333</v>
      </c>
      <c r="C4055" t="s">
        <v>3442</v>
      </c>
      <c r="D4055" t="s">
        <v>3443</v>
      </c>
      <c r="E4055" t="s">
        <v>3453</v>
      </c>
      <c r="F4055" t="s">
        <v>3454</v>
      </c>
      <c r="G4055" t="s">
        <v>64</v>
      </c>
      <c r="H4055" t="s">
        <v>30</v>
      </c>
      <c r="I4055" t="s">
        <v>52</v>
      </c>
      <c r="J4055" t="s">
        <v>41</v>
      </c>
      <c r="K4055" t="s">
        <v>32</v>
      </c>
      <c r="L4055" t="s">
        <v>32</v>
      </c>
      <c r="M4055" t="s">
        <v>33</v>
      </c>
      <c r="N4055" t="s">
        <v>33</v>
      </c>
      <c r="O4055" t="s">
        <v>33</v>
      </c>
      <c r="P4055" t="s">
        <v>34</v>
      </c>
      <c r="Q4055" t="s">
        <v>35</v>
      </c>
      <c r="R4055" t="s">
        <v>162</v>
      </c>
      <c r="S4055" t="s">
        <v>30</v>
      </c>
      <c r="T4055" t="s">
        <v>3455</v>
      </c>
      <c r="U4055" t="s">
        <v>3456</v>
      </c>
      <c r="V4055" t="s">
        <v>40</v>
      </c>
      <c r="W4055" s="1">
        <v>4598000</v>
      </c>
    </row>
    <row r="4056" spans="1:23" x14ac:dyDescent="0.2">
      <c r="A4056" t="s">
        <v>2096</v>
      </c>
      <c r="B4056" t="s">
        <v>3333</v>
      </c>
      <c r="C4056" t="s">
        <v>3442</v>
      </c>
      <c r="D4056" t="s">
        <v>3443</v>
      </c>
      <c r="E4056" t="s">
        <v>3453</v>
      </c>
      <c r="F4056" t="s">
        <v>3454</v>
      </c>
      <c r="G4056" t="s">
        <v>89</v>
      </c>
      <c r="H4056" t="s">
        <v>30</v>
      </c>
      <c r="I4056" t="s">
        <v>30</v>
      </c>
      <c r="J4056" t="s">
        <v>41</v>
      </c>
      <c r="K4056" t="s">
        <v>32</v>
      </c>
      <c r="L4056" t="s">
        <v>32</v>
      </c>
      <c r="M4056" t="s">
        <v>33</v>
      </c>
      <c r="N4056" t="s">
        <v>33</v>
      </c>
      <c r="O4056" t="s">
        <v>33</v>
      </c>
      <c r="P4056" t="s">
        <v>34</v>
      </c>
      <c r="Q4056" t="s">
        <v>35</v>
      </c>
      <c r="S4056" t="s">
        <v>30</v>
      </c>
      <c r="T4056" t="s">
        <v>3457</v>
      </c>
      <c r="U4056" t="s">
        <v>3458</v>
      </c>
      <c r="V4056" t="s">
        <v>39</v>
      </c>
      <c r="W4056" s="1">
        <v>1</v>
      </c>
    </row>
    <row r="4057" spans="1:23" x14ac:dyDescent="0.2">
      <c r="A4057" t="s">
        <v>2096</v>
      </c>
      <c r="B4057" t="s">
        <v>3333</v>
      </c>
      <c r="C4057" t="s">
        <v>3442</v>
      </c>
      <c r="D4057" t="s">
        <v>3443</v>
      </c>
      <c r="E4057" t="s">
        <v>3453</v>
      </c>
      <c r="F4057" t="s">
        <v>3454</v>
      </c>
      <c r="G4057" t="s">
        <v>89</v>
      </c>
      <c r="H4057" t="s">
        <v>30</v>
      </c>
      <c r="I4057" t="s">
        <v>30</v>
      </c>
      <c r="J4057" t="s">
        <v>41</v>
      </c>
      <c r="K4057" t="s">
        <v>32</v>
      </c>
      <c r="L4057" t="s">
        <v>32</v>
      </c>
      <c r="M4057" t="s">
        <v>33</v>
      </c>
      <c r="N4057" t="s">
        <v>33</v>
      </c>
      <c r="O4057" t="s">
        <v>33</v>
      </c>
      <c r="P4057" t="s">
        <v>34</v>
      </c>
      <c r="Q4057" t="s">
        <v>35</v>
      </c>
      <c r="S4057" t="s">
        <v>30</v>
      </c>
      <c r="T4057" t="s">
        <v>3457</v>
      </c>
      <c r="U4057" t="s">
        <v>3458</v>
      </c>
      <c r="V4057" t="s">
        <v>40</v>
      </c>
      <c r="W4057" s="1">
        <v>1599000</v>
      </c>
    </row>
    <row r="4058" spans="1:23" x14ac:dyDescent="0.2">
      <c r="A4058" t="s">
        <v>2096</v>
      </c>
      <c r="B4058" t="s">
        <v>3333</v>
      </c>
      <c r="C4058" t="s">
        <v>3442</v>
      </c>
      <c r="D4058" t="s">
        <v>3443</v>
      </c>
      <c r="E4058" t="s">
        <v>3453</v>
      </c>
      <c r="F4058" t="s">
        <v>3454</v>
      </c>
      <c r="G4058" t="s">
        <v>89</v>
      </c>
      <c r="H4058" t="s">
        <v>30</v>
      </c>
      <c r="I4058" t="s">
        <v>30</v>
      </c>
      <c r="J4058" t="s">
        <v>41</v>
      </c>
      <c r="K4058" t="s">
        <v>32</v>
      </c>
      <c r="L4058" t="s">
        <v>32</v>
      </c>
      <c r="M4058" t="s">
        <v>33</v>
      </c>
      <c r="P4058" t="s">
        <v>34</v>
      </c>
      <c r="Q4058" t="s">
        <v>35</v>
      </c>
      <c r="S4058" t="s">
        <v>30</v>
      </c>
      <c r="T4058" t="s">
        <v>3457</v>
      </c>
      <c r="U4058" t="s">
        <v>3458</v>
      </c>
      <c r="V4058" t="s">
        <v>39</v>
      </c>
      <c r="W4058" s="1">
        <v>3</v>
      </c>
    </row>
    <row r="4059" spans="1:23" x14ac:dyDescent="0.2">
      <c r="A4059" t="s">
        <v>2096</v>
      </c>
      <c r="B4059" t="s">
        <v>3333</v>
      </c>
      <c r="C4059" t="s">
        <v>3442</v>
      </c>
      <c r="D4059" t="s">
        <v>3443</v>
      </c>
      <c r="E4059" t="s">
        <v>3453</v>
      </c>
      <c r="F4059" t="s">
        <v>3454</v>
      </c>
      <c r="G4059" t="s">
        <v>89</v>
      </c>
      <c r="H4059" t="s">
        <v>30</v>
      </c>
      <c r="I4059" t="s">
        <v>30</v>
      </c>
      <c r="J4059" t="s">
        <v>41</v>
      </c>
      <c r="K4059" t="s">
        <v>32</v>
      </c>
      <c r="L4059" t="s">
        <v>32</v>
      </c>
      <c r="M4059" t="s">
        <v>33</v>
      </c>
      <c r="P4059" t="s">
        <v>34</v>
      </c>
      <c r="Q4059" t="s">
        <v>35</v>
      </c>
      <c r="S4059" t="s">
        <v>30</v>
      </c>
      <c r="T4059" t="s">
        <v>3457</v>
      </c>
      <c r="U4059" t="s">
        <v>3458</v>
      </c>
      <c r="V4059" t="s">
        <v>40</v>
      </c>
      <c r="W4059" s="1">
        <v>4797000</v>
      </c>
    </row>
    <row r="4060" spans="1:23" x14ac:dyDescent="0.2">
      <c r="A4060" t="s">
        <v>2096</v>
      </c>
      <c r="B4060" t="s">
        <v>3333</v>
      </c>
      <c r="C4060" t="s">
        <v>3442</v>
      </c>
      <c r="D4060" t="s">
        <v>3443</v>
      </c>
      <c r="E4060" t="s">
        <v>3453</v>
      </c>
      <c r="F4060" t="s">
        <v>3454</v>
      </c>
      <c r="G4060" t="s">
        <v>106</v>
      </c>
      <c r="H4060" t="s">
        <v>30</v>
      </c>
      <c r="I4060" t="s">
        <v>30</v>
      </c>
      <c r="J4060" t="s">
        <v>31</v>
      </c>
      <c r="K4060" t="s">
        <v>32</v>
      </c>
      <c r="L4060" t="s">
        <v>32</v>
      </c>
      <c r="M4060" t="s">
        <v>33</v>
      </c>
      <c r="P4060" t="s">
        <v>34</v>
      </c>
      <c r="Q4060" t="s">
        <v>35</v>
      </c>
      <c r="R4060" t="s">
        <v>73</v>
      </c>
      <c r="S4060" t="s">
        <v>52</v>
      </c>
      <c r="T4060" t="s">
        <v>3459</v>
      </c>
      <c r="U4060" t="s">
        <v>3460</v>
      </c>
      <c r="V4060" t="s">
        <v>39</v>
      </c>
      <c r="W4060" s="1">
        <v>0</v>
      </c>
    </row>
    <row r="4061" spans="1:23" x14ac:dyDescent="0.2">
      <c r="A4061" t="s">
        <v>2096</v>
      </c>
      <c r="B4061" t="s">
        <v>3333</v>
      </c>
      <c r="C4061" t="s">
        <v>3442</v>
      </c>
      <c r="D4061" t="s">
        <v>3443</v>
      </c>
      <c r="E4061" t="s">
        <v>3453</v>
      </c>
      <c r="F4061" t="s">
        <v>3454</v>
      </c>
      <c r="G4061" t="s">
        <v>106</v>
      </c>
      <c r="H4061" t="s">
        <v>30</v>
      </c>
      <c r="I4061" t="s">
        <v>30</v>
      </c>
      <c r="J4061" t="s">
        <v>31</v>
      </c>
      <c r="K4061" t="s">
        <v>32</v>
      </c>
      <c r="L4061" t="s">
        <v>32</v>
      </c>
      <c r="M4061" t="s">
        <v>33</v>
      </c>
      <c r="P4061" t="s">
        <v>34</v>
      </c>
      <c r="Q4061" t="s">
        <v>35</v>
      </c>
      <c r="R4061" t="s">
        <v>73</v>
      </c>
      <c r="S4061" t="s">
        <v>52</v>
      </c>
      <c r="T4061" t="s">
        <v>3459</v>
      </c>
      <c r="U4061" t="s">
        <v>3460</v>
      </c>
      <c r="V4061" t="s">
        <v>40</v>
      </c>
      <c r="W4061" s="1">
        <v>0</v>
      </c>
    </row>
    <row r="4062" spans="1:23" x14ac:dyDescent="0.2">
      <c r="A4062" t="s">
        <v>2096</v>
      </c>
      <c r="B4062" t="s">
        <v>3333</v>
      </c>
      <c r="C4062" t="s">
        <v>3442</v>
      </c>
      <c r="D4062" t="s">
        <v>3443</v>
      </c>
      <c r="E4062" t="s">
        <v>3461</v>
      </c>
      <c r="F4062" t="s">
        <v>3462</v>
      </c>
      <c r="G4062" t="s">
        <v>89</v>
      </c>
      <c r="H4062" t="s">
        <v>30</v>
      </c>
      <c r="I4062" t="s">
        <v>30</v>
      </c>
      <c r="J4062" t="s">
        <v>31</v>
      </c>
      <c r="K4062" t="s">
        <v>32</v>
      </c>
      <c r="L4062" t="s">
        <v>32</v>
      </c>
      <c r="M4062" t="s">
        <v>33</v>
      </c>
      <c r="P4062" t="s">
        <v>34</v>
      </c>
      <c r="Q4062" t="s">
        <v>35</v>
      </c>
      <c r="R4062" t="s">
        <v>228</v>
      </c>
      <c r="S4062" t="s">
        <v>30</v>
      </c>
      <c r="T4062" t="s">
        <v>3463</v>
      </c>
      <c r="U4062" t="s">
        <v>3464</v>
      </c>
      <c r="V4062" t="s">
        <v>39</v>
      </c>
      <c r="W4062" s="1">
        <v>4</v>
      </c>
    </row>
    <row r="4063" spans="1:23" x14ac:dyDescent="0.2">
      <c r="A4063" t="s">
        <v>2096</v>
      </c>
      <c r="B4063" t="s">
        <v>3333</v>
      </c>
      <c r="C4063" t="s">
        <v>3442</v>
      </c>
      <c r="D4063" t="s">
        <v>3443</v>
      </c>
      <c r="E4063" t="s">
        <v>3461</v>
      </c>
      <c r="F4063" t="s">
        <v>3462</v>
      </c>
      <c r="G4063" t="s">
        <v>89</v>
      </c>
      <c r="H4063" t="s">
        <v>30</v>
      </c>
      <c r="I4063" t="s">
        <v>30</v>
      </c>
      <c r="J4063" t="s">
        <v>31</v>
      </c>
      <c r="K4063" t="s">
        <v>32</v>
      </c>
      <c r="L4063" t="s">
        <v>32</v>
      </c>
      <c r="M4063" t="s">
        <v>33</v>
      </c>
      <c r="P4063" t="s">
        <v>34</v>
      </c>
      <c r="Q4063" t="s">
        <v>35</v>
      </c>
      <c r="R4063" t="s">
        <v>228</v>
      </c>
      <c r="S4063" t="s">
        <v>30</v>
      </c>
      <c r="T4063" t="s">
        <v>3463</v>
      </c>
      <c r="U4063" t="s">
        <v>3464</v>
      </c>
      <c r="V4063" t="s">
        <v>40</v>
      </c>
      <c r="W4063" s="1">
        <v>3547600</v>
      </c>
    </row>
    <row r="4064" spans="1:23" x14ac:dyDescent="0.2">
      <c r="A4064" t="s">
        <v>2096</v>
      </c>
      <c r="B4064" t="s">
        <v>3333</v>
      </c>
      <c r="C4064" t="s">
        <v>3442</v>
      </c>
      <c r="D4064" t="s">
        <v>3443</v>
      </c>
      <c r="E4064" t="s">
        <v>3461</v>
      </c>
      <c r="F4064" t="s">
        <v>3462</v>
      </c>
      <c r="G4064" t="s">
        <v>106</v>
      </c>
      <c r="H4064" t="s">
        <v>30</v>
      </c>
      <c r="I4064" t="s">
        <v>30</v>
      </c>
      <c r="J4064" t="s">
        <v>31</v>
      </c>
      <c r="K4064" t="s">
        <v>32</v>
      </c>
      <c r="L4064" t="s">
        <v>32</v>
      </c>
      <c r="M4064" t="s">
        <v>33</v>
      </c>
      <c r="P4064" t="s">
        <v>34</v>
      </c>
      <c r="Q4064" t="s">
        <v>35</v>
      </c>
      <c r="R4064" t="s">
        <v>228</v>
      </c>
      <c r="S4064" t="s">
        <v>30</v>
      </c>
      <c r="T4064" t="s">
        <v>3463</v>
      </c>
      <c r="U4064" t="s">
        <v>3464</v>
      </c>
      <c r="V4064" t="s">
        <v>39</v>
      </c>
      <c r="W4064" s="1">
        <v>2</v>
      </c>
    </row>
    <row r="4065" spans="1:23" x14ac:dyDescent="0.2">
      <c r="A4065" t="s">
        <v>2096</v>
      </c>
      <c r="B4065" t="s">
        <v>3333</v>
      </c>
      <c r="C4065" t="s">
        <v>3442</v>
      </c>
      <c r="D4065" t="s">
        <v>3443</v>
      </c>
      <c r="E4065" t="s">
        <v>3461</v>
      </c>
      <c r="F4065" t="s">
        <v>3462</v>
      </c>
      <c r="G4065" t="s">
        <v>106</v>
      </c>
      <c r="H4065" t="s">
        <v>30</v>
      </c>
      <c r="I4065" t="s">
        <v>30</v>
      </c>
      <c r="J4065" t="s">
        <v>31</v>
      </c>
      <c r="K4065" t="s">
        <v>32</v>
      </c>
      <c r="L4065" t="s">
        <v>32</v>
      </c>
      <c r="M4065" t="s">
        <v>33</v>
      </c>
      <c r="P4065" t="s">
        <v>34</v>
      </c>
      <c r="Q4065" t="s">
        <v>35</v>
      </c>
      <c r="R4065" t="s">
        <v>228</v>
      </c>
      <c r="S4065" t="s">
        <v>30</v>
      </c>
      <c r="T4065" t="s">
        <v>3463</v>
      </c>
      <c r="U4065" t="s">
        <v>3464</v>
      </c>
      <c r="V4065" t="s">
        <v>40</v>
      </c>
      <c r="W4065" s="1">
        <v>1773800</v>
      </c>
    </row>
    <row r="4066" spans="1:23" x14ac:dyDescent="0.2">
      <c r="A4066" t="s">
        <v>2096</v>
      </c>
      <c r="B4066" t="s">
        <v>3333</v>
      </c>
      <c r="C4066" t="s">
        <v>3442</v>
      </c>
      <c r="D4066" t="s">
        <v>3443</v>
      </c>
      <c r="E4066" t="s">
        <v>3461</v>
      </c>
      <c r="F4066" t="s">
        <v>3462</v>
      </c>
      <c r="G4066" t="s">
        <v>106</v>
      </c>
      <c r="H4066" t="s">
        <v>30</v>
      </c>
      <c r="I4066" t="s">
        <v>30</v>
      </c>
      <c r="J4066" t="s">
        <v>31</v>
      </c>
      <c r="K4066" t="s">
        <v>32</v>
      </c>
      <c r="L4066" t="s">
        <v>32</v>
      </c>
      <c r="M4066" t="s">
        <v>33</v>
      </c>
      <c r="P4066" t="s">
        <v>34</v>
      </c>
      <c r="Q4066" t="s">
        <v>35</v>
      </c>
      <c r="R4066" t="s">
        <v>228</v>
      </c>
      <c r="S4066" t="s">
        <v>52</v>
      </c>
      <c r="T4066" t="s">
        <v>3463</v>
      </c>
      <c r="U4066" t="s">
        <v>3465</v>
      </c>
      <c r="V4066" t="s">
        <v>39</v>
      </c>
      <c r="W4066" s="1">
        <v>0</v>
      </c>
    </row>
    <row r="4067" spans="1:23" x14ac:dyDescent="0.2">
      <c r="A4067" t="s">
        <v>2096</v>
      </c>
      <c r="B4067" t="s">
        <v>3333</v>
      </c>
      <c r="C4067" t="s">
        <v>3442</v>
      </c>
      <c r="D4067" t="s">
        <v>3443</v>
      </c>
      <c r="E4067" t="s">
        <v>3461</v>
      </c>
      <c r="F4067" t="s">
        <v>3462</v>
      </c>
      <c r="G4067" t="s">
        <v>106</v>
      </c>
      <c r="H4067" t="s">
        <v>30</v>
      </c>
      <c r="I4067" t="s">
        <v>30</v>
      </c>
      <c r="J4067" t="s">
        <v>31</v>
      </c>
      <c r="K4067" t="s">
        <v>32</v>
      </c>
      <c r="L4067" t="s">
        <v>32</v>
      </c>
      <c r="M4067" t="s">
        <v>33</v>
      </c>
      <c r="P4067" t="s">
        <v>34</v>
      </c>
      <c r="Q4067" t="s">
        <v>35</v>
      </c>
      <c r="R4067" t="s">
        <v>228</v>
      </c>
      <c r="S4067" t="s">
        <v>52</v>
      </c>
      <c r="T4067" t="s">
        <v>3463</v>
      </c>
      <c r="U4067" t="s">
        <v>3465</v>
      </c>
      <c r="V4067" t="s">
        <v>40</v>
      </c>
      <c r="W4067" s="1">
        <v>0</v>
      </c>
    </row>
    <row r="4068" spans="1:23" x14ac:dyDescent="0.2">
      <c r="A4068" t="s">
        <v>2096</v>
      </c>
      <c r="B4068" t="s">
        <v>3333</v>
      </c>
      <c r="C4068" t="s">
        <v>3442</v>
      </c>
      <c r="D4068" t="s">
        <v>3466</v>
      </c>
      <c r="E4068" t="s">
        <v>3467</v>
      </c>
      <c r="F4068" t="s">
        <v>3468</v>
      </c>
      <c r="G4068" t="s">
        <v>29</v>
      </c>
      <c r="H4068" t="s">
        <v>30</v>
      </c>
      <c r="I4068" t="s">
        <v>30</v>
      </c>
      <c r="J4068" t="s">
        <v>41</v>
      </c>
      <c r="K4068" t="s">
        <v>32</v>
      </c>
      <c r="L4068" t="s">
        <v>32</v>
      </c>
      <c r="M4068" t="s">
        <v>33</v>
      </c>
      <c r="N4068" t="s">
        <v>33</v>
      </c>
      <c r="O4068" t="s">
        <v>33</v>
      </c>
      <c r="P4068" t="s">
        <v>34</v>
      </c>
      <c r="Q4068" t="s">
        <v>35</v>
      </c>
      <c r="R4068" t="s">
        <v>36</v>
      </c>
      <c r="S4068" t="s">
        <v>30</v>
      </c>
      <c r="T4068" t="s">
        <v>3469</v>
      </c>
      <c r="U4068" t="s">
        <v>3470</v>
      </c>
      <c r="V4068" t="s">
        <v>39</v>
      </c>
      <c r="W4068" s="1">
        <v>2</v>
      </c>
    </row>
    <row r="4069" spans="1:23" x14ac:dyDescent="0.2">
      <c r="A4069" t="s">
        <v>2096</v>
      </c>
      <c r="B4069" t="s">
        <v>3333</v>
      </c>
      <c r="C4069" t="s">
        <v>3442</v>
      </c>
      <c r="D4069" t="s">
        <v>3466</v>
      </c>
      <c r="E4069" t="s">
        <v>3467</v>
      </c>
      <c r="F4069" t="s">
        <v>3468</v>
      </c>
      <c r="G4069" t="s">
        <v>29</v>
      </c>
      <c r="H4069" t="s">
        <v>30</v>
      </c>
      <c r="I4069" t="s">
        <v>30</v>
      </c>
      <c r="J4069" t="s">
        <v>41</v>
      </c>
      <c r="K4069" t="s">
        <v>32</v>
      </c>
      <c r="L4069" t="s">
        <v>32</v>
      </c>
      <c r="M4069" t="s">
        <v>33</v>
      </c>
      <c r="N4069" t="s">
        <v>33</v>
      </c>
      <c r="O4069" t="s">
        <v>33</v>
      </c>
      <c r="P4069" t="s">
        <v>34</v>
      </c>
      <c r="Q4069" t="s">
        <v>35</v>
      </c>
      <c r="R4069" t="s">
        <v>36</v>
      </c>
      <c r="S4069" t="s">
        <v>30</v>
      </c>
      <c r="T4069" t="s">
        <v>3469</v>
      </c>
      <c r="U4069" t="s">
        <v>3470</v>
      </c>
      <c r="V4069" t="s">
        <v>40</v>
      </c>
      <c r="W4069" s="1">
        <v>2238000</v>
      </c>
    </row>
    <row r="4070" spans="1:23" x14ac:dyDescent="0.2">
      <c r="A4070" t="s">
        <v>2096</v>
      </c>
      <c r="B4070" t="s">
        <v>3333</v>
      </c>
      <c r="C4070" t="s">
        <v>3442</v>
      </c>
      <c r="D4070" t="s">
        <v>3466</v>
      </c>
      <c r="E4070" t="s">
        <v>3467</v>
      </c>
      <c r="F4070" t="s">
        <v>3468</v>
      </c>
      <c r="G4070" t="s">
        <v>29</v>
      </c>
      <c r="H4070" t="s">
        <v>30</v>
      </c>
      <c r="I4070" t="s">
        <v>30</v>
      </c>
      <c r="J4070" t="s">
        <v>57</v>
      </c>
      <c r="K4070" t="s">
        <v>32</v>
      </c>
      <c r="L4070" t="s">
        <v>32</v>
      </c>
      <c r="M4070" t="s">
        <v>33</v>
      </c>
      <c r="N4070" t="s">
        <v>33</v>
      </c>
      <c r="O4070" t="s">
        <v>33</v>
      </c>
      <c r="P4070" t="s">
        <v>34</v>
      </c>
      <c r="Q4070" t="s">
        <v>35</v>
      </c>
      <c r="R4070" t="s">
        <v>1355</v>
      </c>
      <c r="S4070" t="s">
        <v>30</v>
      </c>
      <c r="T4070" t="s">
        <v>3471</v>
      </c>
      <c r="U4070" t="s">
        <v>3472</v>
      </c>
      <c r="V4070" t="s">
        <v>39</v>
      </c>
      <c r="W4070" s="1">
        <v>2</v>
      </c>
    </row>
    <row r="4071" spans="1:23" x14ac:dyDescent="0.2">
      <c r="A4071" t="s">
        <v>2096</v>
      </c>
      <c r="B4071" t="s">
        <v>3333</v>
      </c>
      <c r="C4071" t="s">
        <v>3442</v>
      </c>
      <c r="D4071" t="s">
        <v>3466</v>
      </c>
      <c r="E4071" t="s">
        <v>3467</v>
      </c>
      <c r="F4071" t="s">
        <v>3468</v>
      </c>
      <c r="G4071" t="s">
        <v>29</v>
      </c>
      <c r="H4071" t="s">
        <v>30</v>
      </c>
      <c r="I4071" t="s">
        <v>30</v>
      </c>
      <c r="J4071" t="s">
        <v>57</v>
      </c>
      <c r="K4071" t="s">
        <v>32</v>
      </c>
      <c r="L4071" t="s">
        <v>32</v>
      </c>
      <c r="M4071" t="s">
        <v>33</v>
      </c>
      <c r="N4071" t="s">
        <v>33</v>
      </c>
      <c r="O4071" t="s">
        <v>33</v>
      </c>
      <c r="P4071" t="s">
        <v>34</v>
      </c>
      <c r="Q4071" t="s">
        <v>35</v>
      </c>
      <c r="R4071" t="s">
        <v>1355</v>
      </c>
      <c r="S4071" t="s">
        <v>30</v>
      </c>
      <c r="T4071" t="s">
        <v>3471</v>
      </c>
      <c r="U4071" t="s">
        <v>3472</v>
      </c>
      <c r="V4071" t="s">
        <v>40</v>
      </c>
      <c r="W4071" s="1">
        <v>4699800</v>
      </c>
    </row>
    <row r="4072" spans="1:23" x14ac:dyDescent="0.2">
      <c r="A4072" t="s">
        <v>2096</v>
      </c>
      <c r="B4072" t="s">
        <v>3333</v>
      </c>
      <c r="C4072" t="s">
        <v>3442</v>
      </c>
      <c r="D4072" t="s">
        <v>3466</v>
      </c>
      <c r="E4072" t="s">
        <v>3467</v>
      </c>
      <c r="F4072" t="s">
        <v>3468</v>
      </c>
      <c r="G4072" t="s">
        <v>49</v>
      </c>
      <c r="H4072" t="s">
        <v>30</v>
      </c>
      <c r="I4072" t="s">
        <v>30</v>
      </c>
      <c r="J4072" t="s">
        <v>31</v>
      </c>
      <c r="K4072" t="s">
        <v>32</v>
      </c>
      <c r="L4072" t="s">
        <v>32</v>
      </c>
      <c r="M4072" t="s">
        <v>33</v>
      </c>
      <c r="N4072" t="s">
        <v>33</v>
      </c>
      <c r="O4072" t="s">
        <v>33</v>
      </c>
      <c r="P4072" t="s">
        <v>34</v>
      </c>
      <c r="Q4072" t="s">
        <v>35</v>
      </c>
      <c r="R4072" t="s">
        <v>353</v>
      </c>
      <c r="S4072" t="s">
        <v>30</v>
      </c>
      <c r="T4072" t="s">
        <v>1338</v>
      </c>
      <c r="U4072" t="s">
        <v>3473</v>
      </c>
      <c r="V4072" t="s">
        <v>39</v>
      </c>
      <c r="W4072" s="1">
        <v>1</v>
      </c>
    </row>
    <row r="4073" spans="1:23" x14ac:dyDescent="0.2">
      <c r="A4073" t="s">
        <v>2096</v>
      </c>
      <c r="B4073" t="s">
        <v>3333</v>
      </c>
      <c r="C4073" t="s">
        <v>3442</v>
      </c>
      <c r="D4073" t="s">
        <v>3466</v>
      </c>
      <c r="E4073" t="s">
        <v>3467</v>
      </c>
      <c r="F4073" t="s">
        <v>3468</v>
      </c>
      <c r="G4073" t="s">
        <v>49</v>
      </c>
      <c r="H4073" t="s">
        <v>30</v>
      </c>
      <c r="I4073" t="s">
        <v>30</v>
      </c>
      <c r="J4073" t="s">
        <v>31</v>
      </c>
      <c r="K4073" t="s">
        <v>32</v>
      </c>
      <c r="L4073" t="s">
        <v>32</v>
      </c>
      <c r="M4073" t="s">
        <v>33</v>
      </c>
      <c r="N4073" t="s">
        <v>33</v>
      </c>
      <c r="O4073" t="s">
        <v>33</v>
      </c>
      <c r="P4073" t="s">
        <v>34</v>
      </c>
      <c r="Q4073" t="s">
        <v>35</v>
      </c>
      <c r="R4073" t="s">
        <v>353</v>
      </c>
      <c r="S4073" t="s">
        <v>30</v>
      </c>
      <c r="T4073" t="s">
        <v>1338</v>
      </c>
      <c r="U4073" t="s">
        <v>3473</v>
      </c>
      <c r="V4073" t="s">
        <v>40</v>
      </c>
      <c r="W4073" s="1">
        <v>177900</v>
      </c>
    </row>
    <row r="4074" spans="1:23" x14ac:dyDescent="0.2">
      <c r="A4074" t="s">
        <v>2096</v>
      </c>
      <c r="B4074" t="s">
        <v>3333</v>
      </c>
      <c r="C4074" t="s">
        <v>3442</v>
      </c>
      <c r="D4074" t="s">
        <v>3466</v>
      </c>
      <c r="E4074" t="s">
        <v>3467</v>
      </c>
      <c r="F4074" t="s">
        <v>3468</v>
      </c>
      <c r="G4074" t="s">
        <v>49</v>
      </c>
      <c r="H4074" t="s">
        <v>30</v>
      </c>
      <c r="I4074" t="s">
        <v>30</v>
      </c>
      <c r="J4074" t="s">
        <v>31</v>
      </c>
      <c r="K4074" t="s">
        <v>32</v>
      </c>
      <c r="L4074" t="s">
        <v>32</v>
      </c>
      <c r="M4074" t="s">
        <v>33</v>
      </c>
      <c r="P4074" t="s">
        <v>34</v>
      </c>
      <c r="Q4074" t="s">
        <v>35</v>
      </c>
      <c r="R4074" t="s">
        <v>353</v>
      </c>
      <c r="S4074" t="s">
        <v>30</v>
      </c>
      <c r="T4074" t="s">
        <v>1338</v>
      </c>
      <c r="U4074" t="s">
        <v>3473</v>
      </c>
      <c r="V4074" t="s">
        <v>39</v>
      </c>
      <c r="W4074" s="1">
        <v>3</v>
      </c>
    </row>
    <row r="4075" spans="1:23" x14ac:dyDescent="0.2">
      <c r="A4075" t="s">
        <v>2096</v>
      </c>
      <c r="B4075" t="s">
        <v>3333</v>
      </c>
      <c r="C4075" t="s">
        <v>3442</v>
      </c>
      <c r="D4075" t="s">
        <v>3466</v>
      </c>
      <c r="E4075" t="s">
        <v>3467</v>
      </c>
      <c r="F4075" t="s">
        <v>3468</v>
      </c>
      <c r="G4075" t="s">
        <v>49</v>
      </c>
      <c r="H4075" t="s">
        <v>30</v>
      </c>
      <c r="I4075" t="s">
        <v>30</v>
      </c>
      <c r="J4075" t="s">
        <v>31</v>
      </c>
      <c r="K4075" t="s">
        <v>32</v>
      </c>
      <c r="L4075" t="s">
        <v>32</v>
      </c>
      <c r="M4075" t="s">
        <v>33</v>
      </c>
      <c r="P4075" t="s">
        <v>34</v>
      </c>
      <c r="Q4075" t="s">
        <v>35</v>
      </c>
      <c r="R4075" t="s">
        <v>353</v>
      </c>
      <c r="S4075" t="s">
        <v>30</v>
      </c>
      <c r="T4075" t="s">
        <v>1338</v>
      </c>
      <c r="U4075" t="s">
        <v>3473</v>
      </c>
      <c r="V4075" t="s">
        <v>40</v>
      </c>
      <c r="W4075" s="1">
        <v>533700</v>
      </c>
    </row>
    <row r="4076" spans="1:23" x14ac:dyDescent="0.2">
      <c r="A4076" t="s">
        <v>2096</v>
      </c>
      <c r="B4076" t="s">
        <v>3333</v>
      </c>
      <c r="C4076" t="s">
        <v>3442</v>
      </c>
      <c r="D4076" t="s">
        <v>3466</v>
      </c>
      <c r="E4076" t="s">
        <v>3467</v>
      </c>
      <c r="F4076" t="s">
        <v>3468</v>
      </c>
      <c r="G4076" t="s">
        <v>49</v>
      </c>
      <c r="H4076" t="s">
        <v>30</v>
      </c>
      <c r="I4076" t="s">
        <v>30</v>
      </c>
      <c r="J4076" t="s">
        <v>41</v>
      </c>
      <c r="K4076" t="s">
        <v>32</v>
      </c>
      <c r="L4076" t="s">
        <v>32</v>
      </c>
      <c r="M4076" t="s">
        <v>33</v>
      </c>
      <c r="P4076" t="s">
        <v>34</v>
      </c>
      <c r="Q4076" t="s">
        <v>35</v>
      </c>
      <c r="S4076" t="s">
        <v>30</v>
      </c>
      <c r="T4076" t="s">
        <v>3474</v>
      </c>
      <c r="U4076" t="s">
        <v>3475</v>
      </c>
      <c r="V4076" t="s">
        <v>39</v>
      </c>
      <c r="W4076" s="1">
        <v>3</v>
      </c>
    </row>
    <row r="4077" spans="1:23" x14ac:dyDescent="0.2">
      <c r="A4077" t="s">
        <v>2096</v>
      </c>
      <c r="B4077" t="s">
        <v>3333</v>
      </c>
      <c r="C4077" t="s">
        <v>3442</v>
      </c>
      <c r="D4077" t="s">
        <v>3466</v>
      </c>
      <c r="E4077" t="s">
        <v>3467</v>
      </c>
      <c r="F4077" t="s">
        <v>3468</v>
      </c>
      <c r="G4077" t="s">
        <v>49</v>
      </c>
      <c r="H4077" t="s">
        <v>30</v>
      </c>
      <c r="I4077" t="s">
        <v>30</v>
      </c>
      <c r="J4077" t="s">
        <v>41</v>
      </c>
      <c r="K4077" t="s">
        <v>32</v>
      </c>
      <c r="L4077" t="s">
        <v>32</v>
      </c>
      <c r="M4077" t="s">
        <v>33</v>
      </c>
      <c r="P4077" t="s">
        <v>34</v>
      </c>
      <c r="Q4077" t="s">
        <v>35</v>
      </c>
      <c r="S4077" t="s">
        <v>30</v>
      </c>
      <c r="T4077" t="s">
        <v>3474</v>
      </c>
      <c r="U4077" t="s">
        <v>3475</v>
      </c>
      <c r="V4077" t="s">
        <v>40</v>
      </c>
      <c r="W4077" s="1">
        <v>2639700</v>
      </c>
    </row>
    <row r="4078" spans="1:23" x14ac:dyDescent="0.2">
      <c r="A4078" t="s">
        <v>2096</v>
      </c>
      <c r="B4078" t="s">
        <v>3333</v>
      </c>
      <c r="C4078" t="s">
        <v>3442</v>
      </c>
      <c r="D4078" t="s">
        <v>3466</v>
      </c>
      <c r="E4078" t="s">
        <v>3467</v>
      </c>
      <c r="F4078" t="s">
        <v>3468</v>
      </c>
      <c r="G4078" t="s">
        <v>61</v>
      </c>
      <c r="H4078" t="s">
        <v>52</v>
      </c>
      <c r="I4078" t="s">
        <v>52</v>
      </c>
      <c r="J4078" t="s">
        <v>31</v>
      </c>
      <c r="K4078" t="s">
        <v>32</v>
      </c>
      <c r="L4078" t="s">
        <v>32</v>
      </c>
      <c r="M4078" t="s">
        <v>33</v>
      </c>
      <c r="P4078" t="s">
        <v>34</v>
      </c>
      <c r="Q4078" t="s">
        <v>35</v>
      </c>
      <c r="S4078" t="s">
        <v>52</v>
      </c>
      <c r="T4078" t="s">
        <v>3476</v>
      </c>
      <c r="U4078" t="s">
        <v>3477</v>
      </c>
      <c r="V4078" t="s">
        <v>39</v>
      </c>
      <c r="W4078" s="1">
        <v>0</v>
      </c>
    </row>
    <row r="4079" spans="1:23" x14ac:dyDescent="0.2">
      <c r="A4079" t="s">
        <v>2096</v>
      </c>
      <c r="B4079" t="s">
        <v>3333</v>
      </c>
      <c r="C4079" t="s">
        <v>3442</v>
      </c>
      <c r="D4079" t="s">
        <v>3466</v>
      </c>
      <c r="E4079" t="s">
        <v>3467</v>
      </c>
      <c r="F4079" t="s">
        <v>3468</v>
      </c>
      <c r="G4079" t="s">
        <v>61</v>
      </c>
      <c r="H4079" t="s">
        <v>52</v>
      </c>
      <c r="I4079" t="s">
        <v>52</v>
      </c>
      <c r="J4079" t="s">
        <v>31</v>
      </c>
      <c r="K4079" t="s">
        <v>32</v>
      </c>
      <c r="L4079" t="s">
        <v>32</v>
      </c>
      <c r="M4079" t="s">
        <v>33</v>
      </c>
      <c r="P4079" t="s">
        <v>34</v>
      </c>
      <c r="Q4079" t="s">
        <v>35</v>
      </c>
      <c r="S4079" t="s">
        <v>52</v>
      </c>
      <c r="T4079" t="s">
        <v>3476</v>
      </c>
      <c r="U4079" t="s">
        <v>3477</v>
      </c>
      <c r="V4079" t="s">
        <v>40</v>
      </c>
      <c r="W4079" s="1">
        <v>3680400</v>
      </c>
    </row>
    <row r="4080" spans="1:23" x14ac:dyDescent="0.2">
      <c r="A4080" t="s">
        <v>2096</v>
      </c>
      <c r="B4080" t="s">
        <v>3333</v>
      </c>
      <c r="C4080" t="s">
        <v>3442</v>
      </c>
      <c r="D4080" t="s">
        <v>3466</v>
      </c>
      <c r="E4080" t="s">
        <v>3467</v>
      </c>
      <c r="F4080" t="s">
        <v>3468</v>
      </c>
      <c r="G4080" t="s">
        <v>61</v>
      </c>
      <c r="H4080" t="s">
        <v>52</v>
      </c>
      <c r="I4080" t="s">
        <v>52</v>
      </c>
      <c r="J4080" t="s">
        <v>57</v>
      </c>
      <c r="K4080" t="s">
        <v>32</v>
      </c>
      <c r="L4080" t="s">
        <v>32</v>
      </c>
      <c r="M4080" t="s">
        <v>33</v>
      </c>
      <c r="P4080" t="s">
        <v>213</v>
      </c>
      <c r="Q4080" t="s">
        <v>214</v>
      </c>
      <c r="R4080" t="s">
        <v>1355</v>
      </c>
      <c r="S4080" t="s">
        <v>52</v>
      </c>
      <c r="T4080" t="s">
        <v>3478</v>
      </c>
      <c r="U4080" t="s">
        <v>3479</v>
      </c>
      <c r="V4080" t="s">
        <v>39</v>
      </c>
      <c r="W4080" s="1">
        <v>0</v>
      </c>
    </row>
    <row r="4081" spans="1:23" x14ac:dyDescent="0.2">
      <c r="A4081" t="s">
        <v>2096</v>
      </c>
      <c r="B4081" t="s">
        <v>3333</v>
      </c>
      <c r="C4081" t="s">
        <v>3442</v>
      </c>
      <c r="D4081" t="s">
        <v>3466</v>
      </c>
      <c r="E4081" t="s">
        <v>3467</v>
      </c>
      <c r="F4081" t="s">
        <v>3468</v>
      </c>
      <c r="G4081" t="s">
        <v>61</v>
      </c>
      <c r="H4081" t="s">
        <v>52</v>
      </c>
      <c r="I4081" t="s">
        <v>52</v>
      </c>
      <c r="J4081" t="s">
        <v>57</v>
      </c>
      <c r="K4081" t="s">
        <v>32</v>
      </c>
      <c r="L4081" t="s">
        <v>32</v>
      </c>
      <c r="M4081" t="s">
        <v>33</v>
      </c>
      <c r="P4081" t="s">
        <v>213</v>
      </c>
      <c r="Q4081" t="s">
        <v>214</v>
      </c>
      <c r="R4081" t="s">
        <v>1355</v>
      </c>
      <c r="S4081" t="s">
        <v>52</v>
      </c>
      <c r="T4081" t="s">
        <v>3478</v>
      </c>
      <c r="U4081" t="s">
        <v>3479</v>
      </c>
      <c r="V4081" t="s">
        <v>40</v>
      </c>
      <c r="W4081" s="1">
        <v>2864700</v>
      </c>
    </row>
    <row r="4082" spans="1:23" x14ac:dyDescent="0.2">
      <c r="A4082" t="s">
        <v>2096</v>
      </c>
      <c r="B4082" t="s">
        <v>3333</v>
      </c>
      <c r="C4082" t="s">
        <v>3442</v>
      </c>
      <c r="D4082" t="s">
        <v>3466</v>
      </c>
      <c r="E4082" t="s">
        <v>3467</v>
      </c>
      <c r="F4082" t="s">
        <v>3468</v>
      </c>
      <c r="G4082" t="s">
        <v>170</v>
      </c>
      <c r="H4082" t="s">
        <v>52</v>
      </c>
      <c r="I4082" t="s">
        <v>30</v>
      </c>
      <c r="J4082" t="s">
        <v>41</v>
      </c>
      <c r="K4082" t="s">
        <v>32</v>
      </c>
      <c r="L4082" t="s">
        <v>32</v>
      </c>
      <c r="M4082" t="s">
        <v>33</v>
      </c>
      <c r="P4082" t="s">
        <v>34</v>
      </c>
      <c r="Q4082" t="s">
        <v>35</v>
      </c>
      <c r="R4082" t="s">
        <v>58</v>
      </c>
      <c r="S4082" t="s">
        <v>52</v>
      </c>
      <c r="T4082" t="s">
        <v>3480</v>
      </c>
      <c r="U4082" t="s">
        <v>3481</v>
      </c>
      <c r="V4082" t="s">
        <v>39</v>
      </c>
      <c r="W4082" s="1">
        <v>0</v>
      </c>
    </row>
    <row r="4083" spans="1:23" x14ac:dyDescent="0.2">
      <c r="A4083" t="s">
        <v>2096</v>
      </c>
      <c r="B4083" t="s">
        <v>3333</v>
      </c>
      <c r="C4083" t="s">
        <v>3442</v>
      </c>
      <c r="D4083" t="s">
        <v>3466</v>
      </c>
      <c r="E4083" t="s">
        <v>3467</v>
      </c>
      <c r="F4083" t="s">
        <v>3468</v>
      </c>
      <c r="G4083" t="s">
        <v>170</v>
      </c>
      <c r="H4083" t="s">
        <v>52</v>
      </c>
      <c r="I4083" t="s">
        <v>30</v>
      </c>
      <c r="J4083" t="s">
        <v>41</v>
      </c>
      <c r="K4083" t="s">
        <v>32</v>
      </c>
      <c r="L4083" t="s">
        <v>32</v>
      </c>
      <c r="M4083" t="s">
        <v>33</v>
      </c>
      <c r="P4083" t="s">
        <v>34</v>
      </c>
      <c r="Q4083" t="s">
        <v>35</v>
      </c>
      <c r="R4083" t="s">
        <v>58</v>
      </c>
      <c r="S4083" t="s">
        <v>52</v>
      </c>
      <c r="T4083" t="s">
        <v>3480</v>
      </c>
      <c r="U4083" t="s">
        <v>3481</v>
      </c>
      <c r="V4083" t="s">
        <v>40</v>
      </c>
      <c r="W4083" s="1">
        <v>2499800</v>
      </c>
    </row>
    <row r="4084" spans="1:23" x14ac:dyDescent="0.2">
      <c r="A4084" t="s">
        <v>2096</v>
      </c>
      <c r="B4084" t="s">
        <v>3333</v>
      </c>
      <c r="C4084" t="s">
        <v>3442</v>
      </c>
      <c r="D4084" t="s">
        <v>3466</v>
      </c>
      <c r="E4084" t="s">
        <v>3467</v>
      </c>
      <c r="F4084" t="s">
        <v>3468</v>
      </c>
      <c r="G4084" t="s">
        <v>67</v>
      </c>
      <c r="H4084" t="s">
        <v>30</v>
      </c>
      <c r="I4084" t="s">
        <v>30</v>
      </c>
      <c r="J4084" t="s">
        <v>128</v>
      </c>
      <c r="K4084" t="s">
        <v>135</v>
      </c>
      <c r="L4084" t="s">
        <v>32</v>
      </c>
      <c r="M4084" t="s">
        <v>33</v>
      </c>
      <c r="N4084" t="s">
        <v>33</v>
      </c>
      <c r="O4084" t="s">
        <v>33</v>
      </c>
      <c r="P4084" t="s">
        <v>34</v>
      </c>
      <c r="Q4084" t="s">
        <v>35</v>
      </c>
      <c r="R4084" t="s">
        <v>136</v>
      </c>
      <c r="S4084" t="s">
        <v>30</v>
      </c>
      <c r="T4084" t="s">
        <v>3482</v>
      </c>
      <c r="U4084" t="s">
        <v>3483</v>
      </c>
      <c r="V4084" t="s">
        <v>39</v>
      </c>
      <c r="W4084" s="1">
        <v>2</v>
      </c>
    </row>
    <row r="4085" spans="1:23" x14ac:dyDescent="0.2">
      <c r="A4085" t="s">
        <v>2096</v>
      </c>
      <c r="B4085" t="s">
        <v>3333</v>
      </c>
      <c r="C4085" t="s">
        <v>3442</v>
      </c>
      <c r="D4085" t="s">
        <v>3466</v>
      </c>
      <c r="E4085" t="s">
        <v>3467</v>
      </c>
      <c r="F4085" t="s">
        <v>3468</v>
      </c>
      <c r="G4085" t="s">
        <v>67</v>
      </c>
      <c r="H4085" t="s">
        <v>30</v>
      </c>
      <c r="I4085" t="s">
        <v>30</v>
      </c>
      <c r="J4085" t="s">
        <v>128</v>
      </c>
      <c r="K4085" t="s">
        <v>135</v>
      </c>
      <c r="L4085" t="s">
        <v>32</v>
      </c>
      <c r="M4085" t="s">
        <v>33</v>
      </c>
      <c r="N4085" t="s">
        <v>33</v>
      </c>
      <c r="O4085" t="s">
        <v>33</v>
      </c>
      <c r="P4085" t="s">
        <v>34</v>
      </c>
      <c r="Q4085" t="s">
        <v>35</v>
      </c>
      <c r="R4085" t="s">
        <v>136</v>
      </c>
      <c r="S4085" t="s">
        <v>30</v>
      </c>
      <c r="T4085" t="s">
        <v>3482</v>
      </c>
      <c r="U4085" t="s">
        <v>3483</v>
      </c>
      <c r="V4085" t="s">
        <v>40</v>
      </c>
      <c r="W4085" s="1">
        <v>1065400</v>
      </c>
    </row>
    <row r="4086" spans="1:23" x14ac:dyDescent="0.2">
      <c r="A4086" t="s">
        <v>2096</v>
      </c>
      <c r="B4086" t="s">
        <v>3333</v>
      </c>
      <c r="C4086" t="s">
        <v>3442</v>
      </c>
      <c r="D4086" t="s">
        <v>3466</v>
      </c>
      <c r="E4086" t="s">
        <v>3467</v>
      </c>
      <c r="F4086" t="s">
        <v>3468</v>
      </c>
      <c r="G4086" t="s">
        <v>67</v>
      </c>
      <c r="H4086" t="s">
        <v>30</v>
      </c>
      <c r="I4086" t="s">
        <v>30</v>
      </c>
      <c r="J4086" t="s">
        <v>31</v>
      </c>
      <c r="K4086" t="s">
        <v>32</v>
      </c>
      <c r="L4086" t="s">
        <v>32</v>
      </c>
      <c r="M4086" t="s">
        <v>33</v>
      </c>
      <c r="N4086" t="s">
        <v>33</v>
      </c>
      <c r="O4086" t="s">
        <v>33</v>
      </c>
      <c r="P4086" t="s">
        <v>42</v>
      </c>
      <c r="Q4086" t="s">
        <v>43</v>
      </c>
      <c r="R4086" t="s">
        <v>151</v>
      </c>
      <c r="S4086" t="s">
        <v>30</v>
      </c>
      <c r="T4086" t="s">
        <v>3484</v>
      </c>
      <c r="U4086" t="s">
        <v>3485</v>
      </c>
      <c r="V4086" t="s">
        <v>39</v>
      </c>
      <c r="W4086" s="1">
        <v>5</v>
      </c>
    </row>
    <row r="4087" spans="1:23" x14ac:dyDescent="0.2">
      <c r="A4087" t="s">
        <v>2096</v>
      </c>
      <c r="B4087" t="s">
        <v>3333</v>
      </c>
      <c r="C4087" t="s">
        <v>3442</v>
      </c>
      <c r="D4087" t="s">
        <v>3466</v>
      </c>
      <c r="E4087" t="s">
        <v>3467</v>
      </c>
      <c r="F4087" t="s">
        <v>3468</v>
      </c>
      <c r="G4087" t="s">
        <v>67</v>
      </c>
      <c r="H4087" t="s">
        <v>30</v>
      </c>
      <c r="I4087" t="s">
        <v>30</v>
      </c>
      <c r="J4087" t="s">
        <v>31</v>
      </c>
      <c r="K4087" t="s">
        <v>32</v>
      </c>
      <c r="L4087" t="s">
        <v>32</v>
      </c>
      <c r="M4087" t="s">
        <v>33</v>
      </c>
      <c r="N4087" t="s">
        <v>33</v>
      </c>
      <c r="O4087" t="s">
        <v>33</v>
      </c>
      <c r="P4087" t="s">
        <v>42</v>
      </c>
      <c r="Q4087" t="s">
        <v>43</v>
      </c>
      <c r="R4087" t="s">
        <v>151</v>
      </c>
      <c r="S4087" t="s">
        <v>30</v>
      </c>
      <c r="T4087" t="s">
        <v>3484</v>
      </c>
      <c r="U4087" t="s">
        <v>3485</v>
      </c>
      <c r="V4087" t="s">
        <v>40</v>
      </c>
      <c r="W4087" s="1">
        <v>2845000</v>
      </c>
    </row>
    <row r="4088" spans="1:23" x14ac:dyDescent="0.2">
      <c r="A4088" t="s">
        <v>2096</v>
      </c>
      <c r="B4088" t="s">
        <v>3333</v>
      </c>
      <c r="C4088" t="s">
        <v>3442</v>
      </c>
      <c r="D4088" t="s">
        <v>3466</v>
      </c>
      <c r="E4088" t="s">
        <v>3467</v>
      </c>
      <c r="F4088" t="s">
        <v>3468</v>
      </c>
      <c r="G4088" t="s">
        <v>67</v>
      </c>
      <c r="H4088" t="s">
        <v>30</v>
      </c>
      <c r="I4088" t="s">
        <v>30</v>
      </c>
      <c r="J4088" t="s">
        <v>41</v>
      </c>
      <c r="K4088" t="s">
        <v>32</v>
      </c>
      <c r="L4088" t="s">
        <v>32</v>
      </c>
      <c r="M4088" t="s">
        <v>33</v>
      </c>
      <c r="N4088" t="s">
        <v>33</v>
      </c>
      <c r="O4088" t="s">
        <v>33</v>
      </c>
      <c r="P4088" t="s">
        <v>213</v>
      </c>
      <c r="Q4088" t="s">
        <v>214</v>
      </c>
      <c r="R4088" t="s">
        <v>294</v>
      </c>
      <c r="S4088" t="s">
        <v>30</v>
      </c>
      <c r="T4088" t="s">
        <v>3486</v>
      </c>
      <c r="U4088" t="s">
        <v>3487</v>
      </c>
      <c r="V4088" t="s">
        <v>39</v>
      </c>
      <c r="W4088" s="1">
        <v>3</v>
      </c>
    </row>
    <row r="4089" spans="1:23" x14ac:dyDescent="0.2">
      <c r="A4089" t="s">
        <v>2096</v>
      </c>
      <c r="B4089" t="s">
        <v>3333</v>
      </c>
      <c r="C4089" t="s">
        <v>3442</v>
      </c>
      <c r="D4089" t="s">
        <v>3466</v>
      </c>
      <c r="E4089" t="s">
        <v>3467</v>
      </c>
      <c r="F4089" t="s">
        <v>3468</v>
      </c>
      <c r="G4089" t="s">
        <v>67</v>
      </c>
      <c r="H4089" t="s">
        <v>30</v>
      </c>
      <c r="I4089" t="s">
        <v>30</v>
      </c>
      <c r="J4089" t="s">
        <v>41</v>
      </c>
      <c r="K4089" t="s">
        <v>32</v>
      </c>
      <c r="L4089" t="s">
        <v>32</v>
      </c>
      <c r="M4089" t="s">
        <v>33</v>
      </c>
      <c r="N4089" t="s">
        <v>33</v>
      </c>
      <c r="O4089" t="s">
        <v>33</v>
      </c>
      <c r="P4089" t="s">
        <v>213</v>
      </c>
      <c r="Q4089" t="s">
        <v>214</v>
      </c>
      <c r="R4089" t="s">
        <v>294</v>
      </c>
      <c r="S4089" t="s">
        <v>30</v>
      </c>
      <c r="T4089" t="s">
        <v>3486</v>
      </c>
      <c r="U4089" t="s">
        <v>3487</v>
      </c>
      <c r="V4089" t="s">
        <v>40</v>
      </c>
      <c r="W4089" s="1">
        <v>5477400</v>
      </c>
    </row>
    <row r="4090" spans="1:23" x14ac:dyDescent="0.2">
      <c r="A4090" t="s">
        <v>2096</v>
      </c>
      <c r="B4090" t="s">
        <v>3333</v>
      </c>
      <c r="C4090" t="s">
        <v>3442</v>
      </c>
      <c r="D4090" t="s">
        <v>3466</v>
      </c>
      <c r="E4090" t="s">
        <v>3467</v>
      </c>
      <c r="F4090" t="s">
        <v>3468</v>
      </c>
      <c r="G4090" t="s">
        <v>67</v>
      </c>
      <c r="H4090" t="s">
        <v>30</v>
      </c>
      <c r="I4090" t="s">
        <v>30</v>
      </c>
      <c r="J4090" t="s">
        <v>41</v>
      </c>
      <c r="K4090" t="s">
        <v>32</v>
      </c>
      <c r="L4090" t="s">
        <v>32</v>
      </c>
      <c r="M4090" t="s">
        <v>33</v>
      </c>
      <c r="N4090" t="s">
        <v>33</v>
      </c>
      <c r="O4090" t="s">
        <v>33</v>
      </c>
      <c r="P4090" t="s">
        <v>34</v>
      </c>
      <c r="Q4090" t="s">
        <v>35</v>
      </c>
      <c r="R4090" t="s">
        <v>54</v>
      </c>
      <c r="S4090" t="s">
        <v>30</v>
      </c>
      <c r="T4090" t="s">
        <v>3488</v>
      </c>
      <c r="U4090" t="s">
        <v>3489</v>
      </c>
      <c r="V4090" t="s">
        <v>39</v>
      </c>
      <c r="W4090" s="1">
        <v>4</v>
      </c>
    </row>
    <row r="4091" spans="1:23" x14ac:dyDescent="0.2">
      <c r="A4091" t="s">
        <v>2096</v>
      </c>
      <c r="B4091" t="s">
        <v>3333</v>
      </c>
      <c r="C4091" t="s">
        <v>3442</v>
      </c>
      <c r="D4091" t="s">
        <v>3466</v>
      </c>
      <c r="E4091" t="s">
        <v>3467</v>
      </c>
      <c r="F4091" t="s">
        <v>3468</v>
      </c>
      <c r="G4091" t="s">
        <v>67</v>
      </c>
      <c r="H4091" t="s">
        <v>30</v>
      </c>
      <c r="I4091" t="s">
        <v>30</v>
      </c>
      <c r="J4091" t="s">
        <v>41</v>
      </c>
      <c r="K4091" t="s">
        <v>32</v>
      </c>
      <c r="L4091" t="s">
        <v>32</v>
      </c>
      <c r="M4091" t="s">
        <v>33</v>
      </c>
      <c r="N4091" t="s">
        <v>33</v>
      </c>
      <c r="O4091" t="s">
        <v>33</v>
      </c>
      <c r="P4091" t="s">
        <v>34</v>
      </c>
      <c r="Q4091" t="s">
        <v>35</v>
      </c>
      <c r="R4091" t="s">
        <v>54</v>
      </c>
      <c r="S4091" t="s">
        <v>30</v>
      </c>
      <c r="T4091" t="s">
        <v>3488</v>
      </c>
      <c r="U4091" t="s">
        <v>3489</v>
      </c>
      <c r="V4091" t="s">
        <v>40</v>
      </c>
      <c r="W4091" s="1">
        <v>7220400</v>
      </c>
    </row>
    <row r="4092" spans="1:23" x14ac:dyDescent="0.2">
      <c r="A4092" t="s">
        <v>2096</v>
      </c>
      <c r="B4092" t="s">
        <v>3333</v>
      </c>
      <c r="C4092" t="s">
        <v>3442</v>
      </c>
      <c r="D4092" t="s">
        <v>3466</v>
      </c>
      <c r="E4092" t="s">
        <v>3467</v>
      </c>
      <c r="F4092" t="s">
        <v>3468</v>
      </c>
      <c r="G4092" t="s">
        <v>67</v>
      </c>
      <c r="H4092" t="s">
        <v>30</v>
      </c>
      <c r="I4092" t="s">
        <v>30</v>
      </c>
      <c r="J4092" t="s">
        <v>41</v>
      </c>
      <c r="K4092" t="s">
        <v>32</v>
      </c>
      <c r="L4092" t="s">
        <v>32</v>
      </c>
      <c r="M4092" t="s">
        <v>33</v>
      </c>
      <c r="P4092" t="s">
        <v>213</v>
      </c>
      <c r="Q4092" t="s">
        <v>214</v>
      </c>
      <c r="R4092" t="s">
        <v>294</v>
      </c>
      <c r="S4092" t="s">
        <v>52</v>
      </c>
      <c r="T4092" t="s">
        <v>1814</v>
      </c>
      <c r="U4092" t="s">
        <v>3490</v>
      </c>
      <c r="V4092" t="s">
        <v>39</v>
      </c>
      <c r="W4092" s="1">
        <v>0</v>
      </c>
    </row>
    <row r="4093" spans="1:23" x14ac:dyDescent="0.2">
      <c r="A4093" t="s">
        <v>2096</v>
      </c>
      <c r="B4093" t="s">
        <v>3333</v>
      </c>
      <c r="C4093" t="s">
        <v>3442</v>
      </c>
      <c r="D4093" t="s">
        <v>3466</v>
      </c>
      <c r="E4093" t="s">
        <v>3467</v>
      </c>
      <c r="F4093" t="s">
        <v>3468</v>
      </c>
      <c r="G4093" t="s">
        <v>67</v>
      </c>
      <c r="H4093" t="s">
        <v>30</v>
      </c>
      <c r="I4093" t="s">
        <v>30</v>
      </c>
      <c r="J4093" t="s">
        <v>41</v>
      </c>
      <c r="K4093" t="s">
        <v>32</v>
      </c>
      <c r="L4093" t="s">
        <v>32</v>
      </c>
      <c r="M4093" t="s">
        <v>33</v>
      </c>
      <c r="P4093" t="s">
        <v>213</v>
      </c>
      <c r="Q4093" t="s">
        <v>214</v>
      </c>
      <c r="R4093" t="s">
        <v>294</v>
      </c>
      <c r="S4093" t="s">
        <v>52</v>
      </c>
      <c r="T4093" t="s">
        <v>1814</v>
      </c>
      <c r="U4093" t="s">
        <v>3490</v>
      </c>
      <c r="V4093" t="s">
        <v>40</v>
      </c>
      <c r="W4093" s="1">
        <v>5470200</v>
      </c>
    </row>
    <row r="4094" spans="1:23" x14ac:dyDescent="0.2">
      <c r="A4094" t="s">
        <v>2096</v>
      </c>
      <c r="B4094" t="s">
        <v>3333</v>
      </c>
      <c r="C4094" t="s">
        <v>3442</v>
      </c>
      <c r="D4094" t="s">
        <v>3466</v>
      </c>
      <c r="E4094" t="s">
        <v>3467</v>
      </c>
      <c r="F4094" t="s">
        <v>3468</v>
      </c>
      <c r="G4094" t="s">
        <v>67</v>
      </c>
      <c r="H4094" t="s">
        <v>30</v>
      </c>
      <c r="I4094" t="s">
        <v>30</v>
      </c>
      <c r="J4094" t="s">
        <v>41</v>
      </c>
      <c r="K4094" t="s">
        <v>32</v>
      </c>
      <c r="L4094" t="s">
        <v>32</v>
      </c>
      <c r="M4094" t="s">
        <v>33</v>
      </c>
      <c r="P4094" t="s">
        <v>34</v>
      </c>
      <c r="Q4094" t="s">
        <v>35</v>
      </c>
      <c r="R4094" t="s">
        <v>294</v>
      </c>
      <c r="S4094" t="s">
        <v>52</v>
      </c>
      <c r="T4094" t="s">
        <v>3486</v>
      </c>
      <c r="U4094" t="s">
        <v>3491</v>
      </c>
      <c r="V4094" t="s">
        <v>39</v>
      </c>
      <c r="W4094" s="1">
        <v>0</v>
      </c>
    </row>
    <row r="4095" spans="1:23" x14ac:dyDescent="0.2">
      <c r="A4095" t="s">
        <v>2096</v>
      </c>
      <c r="B4095" t="s">
        <v>3333</v>
      </c>
      <c r="C4095" t="s">
        <v>3442</v>
      </c>
      <c r="D4095" t="s">
        <v>3466</v>
      </c>
      <c r="E4095" t="s">
        <v>3467</v>
      </c>
      <c r="F4095" t="s">
        <v>3468</v>
      </c>
      <c r="G4095" t="s">
        <v>67</v>
      </c>
      <c r="H4095" t="s">
        <v>30</v>
      </c>
      <c r="I4095" t="s">
        <v>30</v>
      </c>
      <c r="J4095" t="s">
        <v>41</v>
      </c>
      <c r="K4095" t="s">
        <v>32</v>
      </c>
      <c r="L4095" t="s">
        <v>32</v>
      </c>
      <c r="M4095" t="s">
        <v>33</v>
      </c>
      <c r="P4095" t="s">
        <v>34</v>
      </c>
      <c r="Q4095" t="s">
        <v>35</v>
      </c>
      <c r="R4095" t="s">
        <v>294</v>
      </c>
      <c r="S4095" t="s">
        <v>52</v>
      </c>
      <c r="T4095" t="s">
        <v>3486</v>
      </c>
      <c r="U4095" t="s">
        <v>3491</v>
      </c>
      <c r="V4095" t="s">
        <v>40</v>
      </c>
      <c r="W4095" s="1">
        <v>5477400</v>
      </c>
    </row>
    <row r="4096" spans="1:23" x14ac:dyDescent="0.2">
      <c r="A4096" t="s">
        <v>2096</v>
      </c>
      <c r="B4096" t="s">
        <v>3333</v>
      </c>
      <c r="C4096" t="s">
        <v>3442</v>
      </c>
      <c r="D4096" t="s">
        <v>3466</v>
      </c>
      <c r="E4096" t="s">
        <v>3467</v>
      </c>
      <c r="F4096" t="s">
        <v>3468</v>
      </c>
      <c r="G4096" t="s">
        <v>67</v>
      </c>
      <c r="H4096" t="s">
        <v>30</v>
      </c>
      <c r="I4096" t="s">
        <v>30</v>
      </c>
      <c r="J4096" t="s">
        <v>57</v>
      </c>
      <c r="K4096" t="s">
        <v>32</v>
      </c>
      <c r="L4096" t="s">
        <v>32</v>
      </c>
      <c r="M4096" t="s">
        <v>33</v>
      </c>
      <c r="N4096" t="s">
        <v>33</v>
      </c>
      <c r="O4096" t="s">
        <v>33</v>
      </c>
      <c r="P4096" t="s">
        <v>34</v>
      </c>
      <c r="Q4096" t="s">
        <v>35</v>
      </c>
      <c r="S4096" t="s">
        <v>30</v>
      </c>
      <c r="T4096" t="s">
        <v>3492</v>
      </c>
      <c r="U4096" t="s">
        <v>3493</v>
      </c>
      <c r="V4096" t="s">
        <v>39</v>
      </c>
      <c r="W4096" s="1">
        <v>4</v>
      </c>
    </row>
    <row r="4097" spans="1:23" x14ac:dyDescent="0.2">
      <c r="A4097" t="s">
        <v>2096</v>
      </c>
      <c r="B4097" t="s">
        <v>3333</v>
      </c>
      <c r="C4097" t="s">
        <v>3442</v>
      </c>
      <c r="D4097" t="s">
        <v>3466</v>
      </c>
      <c r="E4097" t="s">
        <v>3467</v>
      </c>
      <c r="F4097" t="s">
        <v>3468</v>
      </c>
      <c r="G4097" t="s">
        <v>67</v>
      </c>
      <c r="H4097" t="s">
        <v>30</v>
      </c>
      <c r="I4097" t="s">
        <v>30</v>
      </c>
      <c r="J4097" t="s">
        <v>57</v>
      </c>
      <c r="K4097" t="s">
        <v>32</v>
      </c>
      <c r="L4097" t="s">
        <v>32</v>
      </c>
      <c r="M4097" t="s">
        <v>33</v>
      </c>
      <c r="N4097" t="s">
        <v>33</v>
      </c>
      <c r="O4097" t="s">
        <v>33</v>
      </c>
      <c r="P4097" t="s">
        <v>34</v>
      </c>
      <c r="Q4097" t="s">
        <v>35</v>
      </c>
      <c r="S4097" t="s">
        <v>30</v>
      </c>
      <c r="T4097" t="s">
        <v>3492</v>
      </c>
      <c r="U4097" t="s">
        <v>3493</v>
      </c>
      <c r="V4097" t="s">
        <v>40</v>
      </c>
      <c r="W4097" s="1">
        <v>8169600</v>
      </c>
    </row>
    <row r="4098" spans="1:23" x14ac:dyDescent="0.2">
      <c r="A4098" t="s">
        <v>2096</v>
      </c>
      <c r="B4098" t="s">
        <v>3333</v>
      </c>
      <c r="C4098" t="s">
        <v>3442</v>
      </c>
      <c r="D4098" t="s">
        <v>3466</v>
      </c>
      <c r="E4098" t="s">
        <v>3467</v>
      </c>
      <c r="F4098" t="s">
        <v>3468</v>
      </c>
      <c r="G4098" t="s">
        <v>67</v>
      </c>
      <c r="H4098" t="s">
        <v>30</v>
      </c>
      <c r="I4098" t="s">
        <v>30</v>
      </c>
      <c r="J4098" t="s">
        <v>57</v>
      </c>
      <c r="K4098" t="s">
        <v>32</v>
      </c>
      <c r="L4098" t="s">
        <v>32</v>
      </c>
      <c r="M4098" t="s">
        <v>33</v>
      </c>
      <c r="N4098" t="s">
        <v>169</v>
      </c>
      <c r="O4098" t="s">
        <v>169</v>
      </c>
      <c r="P4098" t="s">
        <v>34</v>
      </c>
      <c r="Q4098" t="s">
        <v>35</v>
      </c>
      <c r="S4098" t="s">
        <v>30</v>
      </c>
      <c r="T4098" t="s">
        <v>3492</v>
      </c>
      <c r="U4098" t="s">
        <v>3493</v>
      </c>
      <c r="V4098" t="s">
        <v>39</v>
      </c>
      <c r="W4098" s="1">
        <v>2</v>
      </c>
    </row>
    <row r="4099" spans="1:23" x14ac:dyDescent="0.2">
      <c r="A4099" t="s">
        <v>2096</v>
      </c>
      <c r="B4099" t="s">
        <v>3333</v>
      </c>
      <c r="C4099" t="s">
        <v>3442</v>
      </c>
      <c r="D4099" t="s">
        <v>3466</v>
      </c>
      <c r="E4099" t="s">
        <v>3467</v>
      </c>
      <c r="F4099" t="s">
        <v>3468</v>
      </c>
      <c r="G4099" t="s">
        <v>67</v>
      </c>
      <c r="H4099" t="s">
        <v>30</v>
      </c>
      <c r="I4099" t="s">
        <v>30</v>
      </c>
      <c r="J4099" t="s">
        <v>57</v>
      </c>
      <c r="K4099" t="s">
        <v>32</v>
      </c>
      <c r="L4099" t="s">
        <v>32</v>
      </c>
      <c r="M4099" t="s">
        <v>33</v>
      </c>
      <c r="N4099" t="s">
        <v>169</v>
      </c>
      <c r="O4099" t="s">
        <v>169</v>
      </c>
      <c r="P4099" t="s">
        <v>34</v>
      </c>
      <c r="Q4099" t="s">
        <v>35</v>
      </c>
      <c r="S4099" t="s">
        <v>30</v>
      </c>
      <c r="T4099" t="s">
        <v>3492</v>
      </c>
      <c r="U4099" t="s">
        <v>3493</v>
      </c>
      <c r="V4099" t="s">
        <v>40</v>
      </c>
      <c r="W4099" s="1">
        <v>4084800</v>
      </c>
    </row>
    <row r="4100" spans="1:23" x14ac:dyDescent="0.2">
      <c r="A4100" t="s">
        <v>2096</v>
      </c>
      <c r="B4100" t="s">
        <v>3333</v>
      </c>
      <c r="C4100" t="s">
        <v>3442</v>
      </c>
      <c r="D4100" t="s">
        <v>3466</v>
      </c>
      <c r="E4100" t="s">
        <v>3467</v>
      </c>
      <c r="F4100" t="s">
        <v>3468</v>
      </c>
      <c r="G4100" t="s">
        <v>89</v>
      </c>
      <c r="H4100" t="s">
        <v>30</v>
      </c>
      <c r="I4100" t="s">
        <v>30</v>
      </c>
      <c r="J4100" t="s">
        <v>31</v>
      </c>
      <c r="K4100" t="s">
        <v>32</v>
      </c>
      <c r="L4100" t="s">
        <v>32</v>
      </c>
      <c r="M4100" t="s">
        <v>33</v>
      </c>
      <c r="N4100" t="s">
        <v>33</v>
      </c>
      <c r="O4100" t="s">
        <v>33</v>
      </c>
      <c r="P4100" t="s">
        <v>213</v>
      </c>
      <c r="Q4100" t="s">
        <v>214</v>
      </c>
      <c r="S4100" t="s">
        <v>30</v>
      </c>
      <c r="T4100" t="s">
        <v>3494</v>
      </c>
      <c r="U4100" t="s">
        <v>3495</v>
      </c>
      <c r="V4100" t="s">
        <v>39</v>
      </c>
      <c r="W4100" s="1">
        <v>3</v>
      </c>
    </row>
    <row r="4101" spans="1:23" x14ac:dyDescent="0.2">
      <c r="A4101" t="s">
        <v>2096</v>
      </c>
      <c r="B4101" t="s">
        <v>3333</v>
      </c>
      <c r="C4101" t="s">
        <v>3442</v>
      </c>
      <c r="D4101" t="s">
        <v>3466</v>
      </c>
      <c r="E4101" t="s">
        <v>3467</v>
      </c>
      <c r="F4101" t="s">
        <v>3468</v>
      </c>
      <c r="G4101" t="s">
        <v>89</v>
      </c>
      <c r="H4101" t="s">
        <v>30</v>
      </c>
      <c r="I4101" t="s">
        <v>30</v>
      </c>
      <c r="J4101" t="s">
        <v>31</v>
      </c>
      <c r="K4101" t="s">
        <v>32</v>
      </c>
      <c r="L4101" t="s">
        <v>32</v>
      </c>
      <c r="M4101" t="s">
        <v>33</v>
      </c>
      <c r="N4101" t="s">
        <v>33</v>
      </c>
      <c r="O4101" t="s">
        <v>33</v>
      </c>
      <c r="P4101" t="s">
        <v>213</v>
      </c>
      <c r="Q4101" t="s">
        <v>214</v>
      </c>
      <c r="S4101" t="s">
        <v>30</v>
      </c>
      <c r="T4101" t="s">
        <v>3494</v>
      </c>
      <c r="U4101" t="s">
        <v>3495</v>
      </c>
      <c r="V4101" t="s">
        <v>40</v>
      </c>
      <c r="W4101" s="1">
        <v>3527700</v>
      </c>
    </row>
    <row r="4102" spans="1:23" x14ac:dyDescent="0.2">
      <c r="A4102" t="s">
        <v>2096</v>
      </c>
      <c r="B4102" t="s">
        <v>3333</v>
      </c>
      <c r="C4102" t="s">
        <v>3442</v>
      </c>
      <c r="D4102" t="s">
        <v>3466</v>
      </c>
      <c r="E4102" t="s">
        <v>3467</v>
      </c>
      <c r="F4102" t="s">
        <v>3468</v>
      </c>
      <c r="G4102" t="s">
        <v>89</v>
      </c>
      <c r="H4102" t="s">
        <v>30</v>
      </c>
      <c r="I4102" t="s">
        <v>30</v>
      </c>
      <c r="J4102" t="s">
        <v>31</v>
      </c>
      <c r="K4102" t="s">
        <v>32</v>
      </c>
      <c r="L4102" t="s">
        <v>32</v>
      </c>
      <c r="M4102" t="s">
        <v>33</v>
      </c>
      <c r="N4102" t="s">
        <v>33</v>
      </c>
      <c r="O4102" t="s">
        <v>33</v>
      </c>
      <c r="P4102" t="s">
        <v>34</v>
      </c>
      <c r="Q4102" t="s">
        <v>35</v>
      </c>
      <c r="S4102" t="s">
        <v>30</v>
      </c>
      <c r="T4102" t="s">
        <v>3496</v>
      </c>
      <c r="U4102" t="s">
        <v>3497</v>
      </c>
      <c r="V4102" t="s">
        <v>39</v>
      </c>
      <c r="W4102" s="1">
        <v>2</v>
      </c>
    </row>
    <row r="4103" spans="1:23" x14ac:dyDescent="0.2">
      <c r="A4103" t="s">
        <v>2096</v>
      </c>
      <c r="B4103" t="s">
        <v>3333</v>
      </c>
      <c r="C4103" t="s">
        <v>3442</v>
      </c>
      <c r="D4103" t="s">
        <v>3466</v>
      </c>
      <c r="E4103" t="s">
        <v>3467</v>
      </c>
      <c r="F4103" t="s">
        <v>3468</v>
      </c>
      <c r="G4103" t="s">
        <v>89</v>
      </c>
      <c r="H4103" t="s">
        <v>30</v>
      </c>
      <c r="I4103" t="s">
        <v>30</v>
      </c>
      <c r="J4103" t="s">
        <v>31</v>
      </c>
      <c r="K4103" t="s">
        <v>32</v>
      </c>
      <c r="L4103" t="s">
        <v>32</v>
      </c>
      <c r="M4103" t="s">
        <v>33</v>
      </c>
      <c r="N4103" t="s">
        <v>33</v>
      </c>
      <c r="O4103" t="s">
        <v>33</v>
      </c>
      <c r="P4103" t="s">
        <v>34</v>
      </c>
      <c r="Q4103" t="s">
        <v>35</v>
      </c>
      <c r="S4103" t="s">
        <v>30</v>
      </c>
      <c r="T4103" t="s">
        <v>3496</v>
      </c>
      <c r="U4103" t="s">
        <v>3497</v>
      </c>
      <c r="V4103" t="s">
        <v>40</v>
      </c>
      <c r="W4103" s="1">
        <v>1934400</v>
      </c>
    </row>
    <row r="4104" spans="1:23" x14ac:dyDescent="0.2">
      <c r="A4104" t="s">
        <v>2096</v>
      </c>
      <c r="B4104" t="s">
        <v>3333</v>
      </c>
      <c r="C4104" t="s">
        <v>3442</v>
      </c>
      <c r="D4104" t="s">
        <v>3466</v>
      </c>
      <c r="E4104" t="s">
        <v>3467</v>
      </c>
      <c r="F4104" t="s">
        <v>3468</v>
      </c>
      <c r="G4104" t="s">
        <v>89</v>
      </c>
      <c r="H4104" t="s">
        <v>30</v>
      </c>
      <c r="I4104" t="s">
        <v>30</v>
      </c>
      <c r="J4104" t="s">
        <v>41</v>
      </c>
      <c r="K4104" t="s">
        <v>32</v>
      </c>
      <c r="L4104" t="s">
        <v>32</v>
      </c>
      <c r="M4104" t="s">
        <v>33</v>
      </c>
      <c r="N4104" t="s">
        <v>33</v>
      </c>
      <c r="O4104" t="s">
        <v>33</v>
      </c>
      <c r="P4104" t="s">
        <v>213</v>
      </c>
      <c r="Q4104" t="s">
        <v>214</v>
      </c>
      <c r="S4104" t="s">
        <v>30</v>
      </c>
      <c r="T4104" t="s">
        <v>3498</v>
      </c>
      <c r="U4104" t="s">
        <v>3499</v>
      </c>
      <c r="V4104" t="s">
        <v>39</v>
      </c>
      <c r="W4104" s="1">
        <v>4</v>
      </c>
    </row>
    <row r="4105" spans="1:23" x14ac:dyDescent="0.2">
      <c r="A4105" t="s">
        <v>2096</v>
      </c>
      <c r="B4105" t="s">
        <v>3333</v>
      </c>
      <c r="C4105" t="s">
        <v>3442</v>
      </c>
      <c r="D4105" t="s">
        <v>3466</v>
      </c>
      <c r="E4105" t="s">
        <v>3467</v>
      </c>
      <c r="F4105" t="s">
        <v>3468</v>
      </c>
      <c r="G4105" t="s">
        <v>89</v>
      </c>
      <c r="H4105" t="s">
        <v>30</v>
      </c>
      <c r="I4105" t="s">
        <v>30</v>
      </c>
      <c r="J4105" t="s">
        <v>41</v>
      </c>
      <c r="K4105" t="s">
        <v>32</v>
      </c>
      <c r="L4105" t="s">
        <v>32</v>
      </c>
      <c r="M4105" t="s">
        <v>33</v>
      </c>
      <c r="N4105" t="s">
        <v>33</v>
      </c>
      <c r="O4105" t="s">
        <v>33</v>
      </c>
      <c r="P4105" t="s">
        <v>213</v>
      </c>
      <c r="Q4105" t="s">
        <v>214</v>
      </c>
      <c r="S4105" t="s">
        <v>30</v>
      </c>
      <c r="T4105" t="s">
        <v>3498</v>
      </c>
      <c r="U4105" t="s">
        <v>3499</v>
      </c>
      <c r="V4105" t="s">
        <v>40</v>
      </c>
      <c r="W4105" s="1">
        <v>4916000</v>
      </c>
    </row>
    <row r="4106" spans="1:23" x14ac:dyDescent="0.2">
      <c r="A4106" t="s">
        <v>2096</v>
      </c>
      <c r="B4106" t="s">
        <v>3333</v>
      </c>
      <c r="C4106" t="s">
        <v>3442</v>
      </c>
      <c r="D4106" t="s">
        <v>3466</v>
      </c>
      <c r="E4106" t="s">
        <v>3467</v>
      </c>
      <c r="F4106" t="s">
        <v>3468</v>
      </c>
      <c r="G4106" t="s">
        <v>89</v>
      </c>
      <c r="H4106" t="s">
        <v>30</v>
      </c>
      <c r="I4106" t="s">
        <v>30</v>
      </c>
      <c r="J4106" t="s">
        <v>41</v>
      </c>
      <c r="K4106" t="s">
        <v>32</v>
      </c>
      <c r="L4106" t="s">
        <v>32</v>
      </c>
      <c r="M4106" t="s">
        <v>33</v>
      </c>
      <c r="N4106" t="s">
        <v>33</v>
      </c>
      <c r="O4106" t="s">
        <v>33</v>
      </c>
      <c r="P4106" t="s">
        <v>34</v>
      </c>
      <c r="Q4106" t="s">
        <v>35</v>
      </c>
      <c r="R4106" t="s">
        <v>58</v>
      </c>
      <c r="S4106" t="s">
        <v>30</v>
      </c>
      <c r="T4106" t="s">
        <v>3500</v>
      </c>
      <c r="U4106" t="s">
        <v>3501</v>
      </c>
      <c r="V4106" t="s">
        <v>39</v>
      </c>
      <c r="W4106" s="1">
        <v>2</v>
      </c>
    </row>
    <row r="4107" spans="1:23" x14ac:dyDescent="0.2">
      <c r="A4107" t="s">
        <v>2096</v>
      </c>
      <c r="B4107" t="s">
        <v>3333</v>
      </c>
      <c r="C4107" t="s">
        <v>3442</v>
      </c>
      <c r="D4107" t="s">
        <v>3466</v>
      </c>
      <c r="E4107" t="s">
        <v>3467</v>
      </c>
      <c r="F4107" t="s">
        <v>3468</v>
      </c>
      <c r="G4107" t="s">
        <v>89</v>
      </c>
      <c r="H4107" t="s">
        <v>30</v>
      </c>
      <c r="I4107" t="s">
        <v>30</v>
      </c>
      <c r="J4107" t="s">
        <v>41</v>
      </c>
      <c r="K4107" t="s">
        <v>32</v>
      </c>
      <c r="L4107" t="s">
        <v>32</v>
      </c>
      <c r="M4107" t="s">
        <v>33</v>
      </c>
      <c r="N4107" t="s">
        <v>33</v>
      </c>
      <c r="O4107" t="s">
        <v>33</v>
      </c>
      <c r="P4107" t="s">
        <v>34</v>
      </c>
      <c r="Q4107" t="s">
        <v>35</v>
      </c>
      <c r="R4107" t="s">
        <v>58</v>
      </c>
      <c r="S4107" t="s">
        <v>30</v>
      </c>
      <c r="T4107" t="s">
        <v>3500</v>
      </c>
      <c r="U4107" t="s">
        <v>3501</v>
      </c>
      <c r="V4107" t="s">
        <v>40</v>
      </c>
      <c r="W4107" s="1">
        <v>3347600</v>
      </c>
    </row>
    <row r="4108" spans="1:23" x14ac:dyDescent="0.2">
      <c r="A4108" t="s">
        <v>2096</v>
      </c>
      <c r="B4108" t="s">
        <v>3333</v>
      </c>
      <c r="C4108" t="s">
        <v>3442</v>
      </c>
      <c r="D4108" t="s">
        <v>3466</v>
      </c>
      <c r="E4108" t="s">
        <v>3467</v>
      </c>
      <c r="F4108" t="s">
        <v>3468</v>
      </c>
      <c r="G4108" t="s">
        <v>89</v>
      </c>
      <c r="H4108" t="s">
        <v>30</v>
      </c>
      <c r="I4108" t="s">
        <v>30</v>
      </c>
      <c r="J4108" t="s">
        <v>41</v>
      </c>
      <c r="K4108" t="s">
        <v>32</v>
      </c>
      <c r="L4108" t="s">
        <v>32</v>
      </c>
      <c r="M4108" t="s">
        <v>33</v>
      </c>
      <c r="N4108" t="s">
        <v>33</v>
      </c>
      <c r="O4108" t="s">
        <v>33</v>
      </c>
      <c r="P4108" t="s">
        <v>42</v>
      </c>
      <c r="Q4108" t="s">
        <v>43</v>
      </c>
      <c r="R4108" t="s">
        <v>58</v>
      </c>
      <c r="S4108" t="s">
        <v>30</v>
      </c>
      <c r="T4108" t="s">
        <v>3480</v>
      </c>
      <c r="U4108" t="s">
        <v>3502</v>
      </c>
      <c r="V4108" t="s">
        <v>39</v>
      </c>
      <c r="W4108" s="1">
        <v>2</v>
      </c>
    </row>
    <row r="4109" spans="1:23" x14ac:dyDescent="0.2">
      <c r="A4109" t="s">
        <v>2096</v>
      </c>
      <c r="B4109" t="s">
        <v>3333</v>
      </c>
      <c r="C4109" t="s">
        <v>3442</v>
      </c>
      <c r="D4109" t="s">
        <v>3466</v>
      </c>
      <c r="E4109" t="s">
        <v>3467</v>
      </c>
      <c r="F4109" t="s">
        <v>3468</v>
      </c>
      <c r="G4109" t="s">
        <v>89</v>
      </c>
      <c r="H4109" t="s">
        <v>30</v>
      </c>
      <c r="I4109" t="s">
        <v>30</v>
      </c>
      <c r="J4109" t="s">
        <v>41</v>
      </c>
      <c r="K4109" t="s">
        <v>32</v>
      </c>
      <c r="L4109" t="s">
        <v>32</v>
      </c>
      <c r="M4109" t="s">
        <v>33</v>
      </c>
      <c r="N4109" t="s">
        <v>33</v>
      </c>
      <c r="O4109" t="s">
        <v>33</v>
      </c>
      <c r="P4109" t="s">
        <v>42</v>
      </c>
      <c r="Q4109" t="s">
        <v>43</v>
      </c>
      <c r="R4109" t="s">
        <v>58</v>
      </c>
      <c r="S4109" t="s">
        <v>30</v>
      </c>
      <c r="T4109" t="s">
        <v>3480</v>
      </c>
      <c r="U4109" t="s">
        <v>3502</v>
      </c>
      <c r="V4109" t="s">
        <v>40</v>
      </c>
      <c r="W4109" s="1">
        <v>2499800</v>
      </c>
    </row>
    <row r="4110" spans="1:23" x14ac:dyDescent="0.2">
      <c r="A4110" t="s">
        <v>2096</v>
      </c>
      <c r="B4110" t="s">
        <v>3333</v>
      </c>
      <c r="C4110" t="s">
        <v>3442</v>
      </c>
      <c r="D4110" t="s">
        <v>3466</v>
      </c>
      <c r="E4110" t="s">
        <v>3467</v>
      </c>
      <c r="F4110" t="s">
        <v>3468</v>
      </c>
      <c r="G4110" t="s">
        <v>89</v>
      </c>
      <c r="H4110" t="s">
        <v>30</v>
      </c>
      <c r="I4110" t="s">
        <v>30</v>
      </c>
      <c r="J4110" t="s">
        <v>41</v>
      </c>
      <c r="K4110" t="s">
        <v>32</v>
      </c>
      <c r="L4110" t="s">
        <v>32</v>
      </c>
      <c r="M4110" t="s">
        <v>33</v>
      </c>
      <c r="P4110" t="s">
        <v>34</v>
      </c>
      <c r="Q4110" t="s">
        <v>35</v>
      </c>
      <c r="R4110" t="s">
        <v>58</v>
      </c>
      <c r="S4110" t="s">
        <v>52</v>
      </c>
      <c r="T4110" t="s">
        <v>3500</v>
      </c>
      <c r="U4110" t="s">
        <v>3503</v>
      </c>
      <c r="V4110" t="s">
        <v>39</v>
      </c>
      <c r="W4110" s="1">
        <v>0</v>
      </c>
    </row>
    <row r="4111" spans="1:23" x14ac:dyDescent="0.2">
      <c r="A4111" t="s">
        <v>2096</v>
      </c>
      <c r="B4111" t="s">
        <v>3333</v>
      </c>
      <c r="C4111" t="s">
        <v>3442</v>
      </c>
      <c r="D4111" t="s">
        <v>3466</v>
      </c>
      <c r="E4111" t="s">
        <v>3467</v>
      </c>
      <c r="F4111" t="s">
        <v>3468</v>
      </c>
      <c r="G4111" t="s">
        <v>89</v>
      </c>
      <c r="H4111" t="s">
        <v>30</v>
      </c>
      <c r="I4111" t="s">
        <v>30</v>
      </c>
      <c r="J4111" t="s">
        <v>41</v>
      </c>
      <c r="K4111" t="s">
        <v>32</v>
      </c>
      <c r="L4111" t="s">
        <v>32</v>
      </c>
      <c r="M4111" t="s">
        <v>33</v>
      </c>
      <c r="P4111" t="s">
        <v>34</v>
      </c>
      <c r="Q4111" t="s">
        <v>35</v>
      </c>
      <c r="R4111" t="s">
        <v>58</v>
      </c>
      <c r="S4111" t="s">
        <v>52</v>
      </c>
      <c r="T4111" t="s">
        <v>3500</v>
      </c>
      <c r="U4111" t="s">
        <v>3503</v>
      </c>
      <c r="V4111" t="s">
        <v>40</v>
      </c>
      <c r="W4111" s="1">
        <v>3347600</v>
      </c>
    </row>
    <row r="4112" spans="1:23" x14ac:dyDescent="0.2">
      <c r="A4112" t="s">
        <v>2096</v>
      </c>
      <c r="B4112" t="s">
        <v>3333</v>
      </c>
      <c r="C4112" t="s">
        <v>3442</v>
      </c>
      <c r="D4112" t="s">
        <v>3466</v>
      </c>
      <c r="E4112" t="s">
        <v>3467</v>
      </c>
      <c r="F4112" t="s">
        <v>3468</v>
      </c>
      <c r="G4112" t="s">
        <v>89</v>
      </c>
      <c r="H4112" t="s">
        <v>30</v>
      </c>
      <c r="I4112" t="s">
        <v>30</v>
      </c>
      <c r="J4112" t="s">
        <v>41</v>
      </c>
      <c r="K4112" t="s">
        <v>32</v>
      </c>
      <c r="L4112" t="s">
        <v>32</v>
      </c>
      <c r="M4112" t="s">
        <v>176</v>
      </c>
      <c r="N4112" t="s">
        <v>176</v>
      </c>
      <c r="O4112" t="s">
        <v>176</v>
      </c>
      <c r="P4112" t="s">
        <v>213</v>
      </c>
      <c r="Q4112" t="s">
        <v>214</v>
      </c>
      <c r="S4112" t="s">
        <v>30</v>
      </c>
      <c r="T4112" t="s">
        <v>3498</v>
      </c>
      <c r="U4112" t="s">
        <v>3499</v>
      </c>
      <c r="V4112" t="s">
        <v>39</v>
      </c>
      <c r="W4112" s="1">
        <v>1</v>
      </c>
    </row>
    <row r="4113" spans="1:23" x14ac:dyDescent="0.2">
      <c r="A4113" t="s">
        <v>2096</v>
      </c>
      <c r="B4113" t="s">
        <v>3333</v>
      </c>
      <c r="C4113" t="s">
        <v>3442</v>
      </c>
      <c r="D4113" t="s">
        <v>3466</v>
      </c>
      <c r="E4113" t="s">
        <v>3467</v>
      </c>
      <c r="F4113" t="s">
        <v>3468</v>
      </c>
      <c r="G4113" t="s">
        <v>89</v>
      </c>
      <c r="H4113" t="s">
        <v>30</v>
      </c>
      <c r="I4113" t="s">
        <v>30</v>
      </c>
      <c r="J4113" t="s">
        <v>41</v>
      </c>
      <c r="K4113" t="s">
        <v>32</v>
      </c>
      <c r="L4113" t="s">
        <v>32</v>
      </c>
      <c r="M4113" t="s">
        <v>176</v>
      </c>
      <c r="N4113" t="s">
        <v>176</v>
      </c>
      <c r="O4113" t="s">
        <v>176</v>
      </c>
      <c r="P4113" t="s">
        <v>213</v>
      </c>
      <c r="Q4113" t="s">
        <v>214</v>
      </c>
      <c r="S4113" t="s">
        <v>30</v>
      </c>
      <c r="T4113" t="s">
        <v>3498</v>
      </c>
      <c r="U4113" t="s">
        <v>3499</v>
      </c>
      <c r="V4113" t="s">
        <v>40</v>
      </c>
      <c r="W4113" s="1">
        <v>1229000</v>
      </c>
    </row>
    <row r="4114" spans="1:23" x14ac:dyDescent="0.2">
      <c r="A4114" t="s">
        <v>2096</v>
      </c>
      <c r="B4114" t="s">
        <v>3333</v>
      </c>
      <c r="C4114" t="s">
        <v>3442</v>
      </c>
      <c r="D4114" t="s">
        <v>3466</v>
      </c>
      <c r="E4114" t="s">
        <v>3467</v>
      </c>
      <c r="F4114" t="s">
        <v>3468</v>
      </c>
      <c r="G4114" t="s">
        <v>89</v>
      </c>
      <c r="H4114" t="s">
        <v>30</v>
      </c>
      <c r="I4114" t="s">
        <v>30</v>
      </c>
      <c r="J4114" t="s">
        <v>41</v>
      </c>
      <c r="K4114" t="s">
        <v>32</v>
      </c>
      <c r="L4114" t="s">
        <v>32</v>
      </c>
      <c r="M4114" t="s">
        <v>176</v>
      </c>
      <c r="N4114" t="s">
        <v>195</v>
      </c>
      <c r="O4114" t="s">
        <v>195</v>
      </c>
      <c r="P4114" t="s">
        <v>213</v>
      </c>
      <c r="Q4114" t="s">
        <v>214</v>
      </c>
      <c r="S4114" t="s">
        <v>30</v>
      </c>
      <c r="T4114" t="s">
        <v>3498</v>
      </c>
      <c r="U4114" t="s">
        <v>3499</v>
      </c>
      <c r="V4114" t="s">
        <v>39</v>
      </c>
      <c r="W4114" s="1">
        <v>1</v>
      </c>
    </row>
    <row r="4115" spans="1:23" x14ac:dyDescent="0.2">
      <c r="A4115" t="s">
        <v>2096</v>
      </c>
      <c r="B4115" t="s">
        <v>3333</v>
      </c>
      <c r="C4115" t="s">
        <v>3442</v>
      </c>
      <c r="D4115" t="s">
        <v>3466</v>
      </c>
      <c r="E4115" t="s">
        <v>3467</v>
      </c>
      <c r="F4115" t="s">
        <v>3468</v>
      </c>
      <c r="G4115" t="s">
        <v>89</v>
      </c>
      <c r="H4115" t="s">
        <v>30</v>
      </c>
      <c r="I4115" t="s">
        <v>30</v>
      </c>
      <c r="J4115" t="s">
        <v>41</v>
      </c>
      <c r="K4115" t="s">
        <v>32</v>
      </c>
      <c r="L4115" t="s">
        <v>32</v>
      </c>
      <c r="M4115" t="s">
        <v>176</v>
      </c>
      <c r="N4115" t="s">
        <v>195</v>
      </c>
      <c r="O4115" t="s">
        <v>195</v>
      </c>
      <c r="P4115" t="s">
        <v>213</v>
      </c>
      <c r="Q4115" t="s">
        <v>214</v>
      </c>
      <c r="S4115" t="s">
        <v>30</v>
      </c>
      <c r="T4115" t="s">
        <v>3498</v>
      </c>
      <c r="U4115" t="s">
        <v>3499</v>
      </c>
      <c r="V4115" t="s">
        <v>40</v>
      </c>
      <c r="W4115" s="1">
        <v>1229000</v>
      </c>
    </row>
    <row r="4116" spans="1:23" x14ac:dyDescent="0.2">
      <c r="A4116" t="s">
        <v>2096</v>
      </c>
      <c r="B4116" t="s">
        <v>3333</v>
      </c>
      <c r="C4116" t="s">
        <v>3442</v>
      </c>
      <c r="D4116" t="s">
        <v>3466</v>
      </c>
      <c r="E4116" t="s">
        <v>3467</v>
      </c>
      <c r="F4116" t="s">
        <v>3468</v>
      </c>
      <c r="G4116" t="s">
        <v>106</v>
      </c>
      <c r="H4116" t="s">
        <v>30</v>
      </c>
      <c r="I4116" t="s">
        <v>30</v>
      </c>
      <c r="J4116" t="s">
        <v>41</v>
      </c>
      <c r="K4116" t="s">
        <v>32</v>
      </c>
      <c r="L4116" t="s">
        <v>32</v>
      </c>
      <c r="M4116" t="s">
        <v>33</v>
      </c>
      <c r="N4116" t="s">
        <v>33</v>
      </c>
      <c r="O4116" t="s">
        <v>33</v>
      </c>
      <c r="P4116" t="s">
        <v>34</v>
      </c>
      <c r="Q4116" t="s">
        <v>35</v>
      </c>
      <c r="R4116" t="s">
        <v>96</v>
      </c>
      <c r="S4116" t="s">
        <v>30</v>
      </c>
      <c r="T4116" t="s">
        <v>3504</v>
      </c>
      <c r="U4116" t="s">
        <v>3505</v>
      </c>
      <c r="V4116" t="s">
        <v>39</v>
      </c>
      <c r="W4116" s="1">
        <v>3</v>
      </c>
    </row>
    <row r="4117" spans="1:23" x14ac:dyDescent="0.2">
      <c r="A4117" t="s">
        <v>2096</v>
      </c>
      <c r="B4117" t="s">
        <v>3333</v>
      </c>
      <c r="C4117" t="s">
        <v>3442</v>
      </c>
      <c r="D4117" t="s">
        <v>3466</v>
      </c>
      <c r="E4117" t="s">
        <v>3467</v>
      </c>
      <c r="F4117" t="s">
        <v>3468</v>
      </c>
      <c r="G4117" t="s">
        <v>106</v>
      </c>
      <c r="H4117" t="s">
        <v>30</v>
      </c>
      <c r="I4117" t="s">
        <v>30</v>
      </c>
      <c r="J4117" t="s">
        <v>41</v>
      </c>
      <c r="K4117" t="s">
        <v>32</v>
      </c>
      <c r="L4117" t="s">
        <v>32</v>
      </c>
      <c r="M4117" t="s">
        <v>33</v>
      </c>
      <c r="N4117" t="s">
        <v>33</v>
      </c>
      <c r="O4117" t="s">
        <v>33</v>
      </c>
      <c r="P4117" t="s">
        <v>34</v>
      </c>
      <c r="Q4117" t="s">
        <v>35</v>
      </c>
      <c r="R4117" t="s">
        <v>96</v>
      </c>
      <c r="S4117" t="s">
        <v>30</v>
      </c>
      <c r="T4117" t="s">
        <v>3504</v>
      </c>
      <c r="U4117" t="s">
        <v>3505</v>
      </c>
      <c r="V4117" t="s">
        <v>40</v>
      </c>
      <c r="W4117" s="1">
        <v>16365000</v>
      </c>
    </row>
    <row r="4118" spans="1:23" x14ac:dyDescent="0.2">
      <c r="A4118" t="s">
        <v>2096</v>
      </c>
      <c r="B4118" t="s">
        <v>3333</v>
      </c>
      <c r="C4118" t="s">
        <v>3442</v>
      </c>
      <c r="D4118" t="s">
        <v>3466</v>
      </c>
      <c r="E4118" t="s">
        <v>3467</v>
      </c>
      <c r="F4118" t="s">
        <v>3468</v>
      </c>
      <c r="G4118" t="s">
        <v>106</v>
      </c>
      <c r="H4118" t="s">
        <v>30</v>
      </c>
      <c r="I4118" t="s">
        <v>30</v>
      </c>
      <c r="J4118" t="s">
        <v>41</v>
      </c>
      <c r="K4118" t="s">
        <v>32</v>
      </c>
      <c r="L4118" t="s">
        <v>32</v>
      </c>
      <c r="M4118" t="s">
        <v>33</v>
      </c>
      <c r="N4118" t="s">
        <v>33</v>
      </c>
      <c r="O4118" t="s">
        <v>33</v>
      </c>
      <c r="P4118" t="s">
        <v>34</v>
      </c>
      <c r="Q4118" t="s">
        <v>35</v>
      </c>
      <c r="S4118" t="s">
        <v>30</v>
      </c>
      <c r="T4118" t="s">
        <v>3506</v>
      </c>
      <c r="U4118" t="s">
        <v>3507</v>
      </c>
      <c r="V4118" t="s">
        <v>39</v>
      </c>
      <c r="W4118" s="1">
        <v>2</v>
      </c>
    </row>
    <row r="4119" spans="1:23" x14ac:dyDescent="0.2">
      <c r="A4119" t="s">
        <v>2096</v>
      </c>
      <c r="B4119" t="s">
        <v>3333</v>
      </c>
      <c r="C4119" t="s">
        <v>3442</v>
      </c>
      <c r="D4119" t="s">
        <v>3466</v>
      </c>
      <c r="E4119" t="s">
        <v>3467</v>
      </c>
      <c r="F4119" t="s">
        <v>3468</v>
      </c>
      <c r="G4119" t="s">
        <v>106</v>
      </c>
      <c r="H4119" t="s">
        <v>30</v>
      </c>
      <c r="I4119" t="s">
        <v>30</v>
      </c>
      <c r="J4119" t="s">
        <v>41</v>
      </c>
      <c r="K4119" t="s">
        <v>32</v>
      </c>
      <c r="L4119" t="s">
        <v>32</v>
      </c>
      <c r="M4119" t="s">
        <v>33</v>
      </c>
      <c r="N4119" t="s">
        <v>33</v>
      </c>
      <c r="O4119" t="s">
        <v>33</v>
      </c>
      <c r="P4119" t="s">
        <v>34</v>
      </c>
      <c r="Q4119" t="s">
        <v>35</v>
      </c>
      <c r="S4119" t="s">
        <v>30</v>
      </c>
      <c r="T4119" t="s">
        <v>3506</v>
      </c>
      <c r="U4119" t="s">
        <v>3507</v>
      </c>
      <c r="V4119" t="s">
        <v>40</v>
      </c>
      <c r="W4119" s="1">
        <v>2546000</v>
      </c>
    </row>
    <row r="4120" spans="1:23" x14ac:dyDescent="0.2">
      <c r="A4120" t="s">
        <v>2096</v>
      </c>
      <c r="B4120" t="s">
        <v>3333</v>
      </c>
      <c r="C4120" t="s">
        <v>3442</v>
      </c>
      <c r="D4120" t="s">
        <v>3466</v>
      </c>
      <c r="E4120" t="s">
        <v>3467</v>
      </c>
      <c r="F4120" t="s">
        <v>3468</v>
      </c>
      <c r="G4120" t="s">
        <v>106</v>
      </c>
      <c r="H4120" t="s">
        <v>30</v>
      </c>
      <c r="I4120" t="s">
        <v>30</v>
      </c>
      <c r="J4120" t="s">
        <v>41</v>
      </c>
      <c r="K4120" t="s">
        <v>32</v>
      </c>
      <c r="L4120" t="s">
        <v>32</v>
      </c>
      <c r="M4120" t="s">
        <v>33</v>
      </c>
      <c r="P4120" t="s">
        <v>34</v>
      </c>
      <c r="Q4120" t="s">
        <v>35</v>
      </c>
      <c r="R4120" t="s">
        <v>96</v>
      </c>
      <c r="S4120" t="s">
        <v>52</v>
      </c>
      <c r="T4120" t="s">
        <v>3504</v>
      </c>
      <c r="U4120" t="s">
        <v>3505</v>
      </c>
      <c r="V4120" t="s">
        <v>39</v>
      </c>
      <c r="W4120" s="1">
        <v>0</v>
      </c>
    </row>
    <row r="4121" spans="1:23" x14ac:dyDescent="0.2">
      <c r="A4121" t="s">
        <v>2096</v>
      </c>
      <c r="B4121" t="s">
        <v>3333</v>
      </c>
      <c r="C4121" t="s">
        <v>3442</v>
      </c>
      <c r="D4121" t="s">
        <v>3466</v>
      </c>
      <c r="E4121" t="s">
        <v>3467</v>
      </c>
      <c r="F4121" t="s">
        <v>3468</v>
      </c>
      <c r="G4121" t="s">
        <v>106</v>
      </c>
      <c r="H4121" t="s">
        <v>30</v>
      </c>
      <c r="I4121" t="s">
        <v>30</v>
      </c>
      <c r="J4121" t="s">
        <v>41</v>
      </c>
      <c r="K4121" t="s">
        <v>32</v>
      </c>
      <c r="L4121" t="s">
        <v>32</v>
      </c>
      <c r="M4121" t="s">
        <v>33</v>
      </c>
      <c r="P4121" t="s">
        <v>34</v>
      </c>
      <c r="Q4121" t="s">
        <v>35</v>
      </c>
      <c r="R4121" t="s">
        <v>96</v>
      </c>
      <c r="S4121" t="s">
        <v>52</v>
      </c>
      <c r="T4121" t="s">
        <v>3504</v>
      </c>
      <c r="U4121" t="s">
        <v>3505</v>
      </c>
      <c r="V4121" t="s">
        <v>40</v>
      </c>
      <c r="W4121" s="1">
        <v>5455000</v>
      </c>
    </row>
    <row r="4122" spans="1:23" x14ac:dyDescent="0.2">
      <c r="A4122" t="s">
        <v>2096</v>
      </c>
      <c r="B4122" t="s">
        <v>3333</v>
      </c>
      <c r="C4122" t="s">
        <v>3442</v>
      </c>
      <c r="D4122" t="s">
        <v>3466</v>
      </c>
      <c r="E4122" t="s">
        <v>3467</v>
      </c>
      <c r="F4122" t="s">
        <v>3468</v>
      </c>
      <c r="G4122" t="s">
        <v>119</v>
      </c>
      <c r="H4122" t="s">
        <v>30</v>
      </c>
      <c r="I4122" t="s">
        <v>52</v>
      </c>
      <c r="J4122" t="s">
        <v>41</v>
      </c>
      <c r="K4122" t="s">
        <v>32</v>
      </c>
      <c r="L4122" t="s">
        <v>32</v>
      </c>
      <c r="M4122" t="s">
        <v>33</v>
      </c>
      <c r="N4122" t="s">
        <v>33</v>
      </c>
      <c r="O4122" t="s">
        <v>33</v>
      </c>
      <c r="P4122" t="s">
        <v>34</v>
      </c>
      <c r="Q4122" t="s">
        <v>35</v>
      </c>
      <c r="S4122" t="s">
        <v>30</v>
      </c>
      <c r="T4122" t="s">
        <v>3508</v>
      </c>
      <c r="U4122" t="s">
        <v>3509</v>
      </c>
      <c r="V4122" t="s">
        <v>39</v>
      </c>
      <c r="W4122" s="1">
        <v>2</v>
      </c>
    </row>
    <row r="4123" spans="1:23" x14ac:dyDescent="0.2">
      <c r="A4123" t="s">
        <v>2096</v>
      </c>
      <c r="B4123" t="s">
        <v>3333</v>
      </c>
      <c r="C4123" t="s">
        <v>3442</v>
      </c>
      <c r="D4123" t="s">
        <v>3466</v>
      </c>
      <c r="E4123" t="s">
        <v>3467</v>
      </c>
      <c r="F4123" t="s">
        <v>3468</v>
      </c>
      <c r="G4123" t="s">
        <v>119</v>
      </c>
      <c r="H4123" t="s">
        <v>30</v>
      </c>
      <c r="I4123" t="s">
        <v>52</v>
      </c>
      <c r="J4123" t="s">
        <v>41</v>
      </c>
      <c r="K4123" t="s">
        <v>32</v>
      </c>
      <c r="L4123" t="s">
        <v>32</v>
      </c>
      <c r="M4123" t="s">
        <v>33</v>
      </c>
      <c r="N4123" t="s">
        <v>33</v>
      </c>
      <c r="O4123" t="s">
        <v>33</v>
      </c>
      <c r="P4123" t="s">
        <v>34</v>
      </c>
      <c r="Q4123" t="s">
        <v>35</v>
      </c>
      <c r="S4123" t="s">
        <v>30</v>
      </c>
      <c r="T4123" t="s">
        <v>3508</v>
      </c>
      <c r="U4123" t="s">
        <v>3509</v>
      </c>
      <c r="V4123" t="s">
        <v>40</v>
      </c>
      <c r="W4123" s="1">
        <v>8630800</v>
      </c>
    </row>
    <row r="4124" spans="1:23" x14ac:dyDescent="0.2">
      <c r="A4124" t="s">
        <v>2096</v>
      </c>
      <c r="B4124" t="s">
        <v>3333</v>
      </c>
      <c r="C4124" t="s">
        <v>3442</v>
      </c>
      <c r="D4124" t="s">
        <v>3466</v>
      </c>
      <c r="E4124" t="s">
        <v>3467</v>
      </c>
      <c r="F4124" t="s">
        <v>3468</v>
      </c>
      <c r="G4124" t="s">
        <v>119</v>
      </c>
      <c r="H4124" t="s">
        <v>30</v>
      </c>
      <c r="I4124" t="s">
        <v>52</v>
      </c>
      <c r="J4124" t="s">
        <v>41</v>
      </c>
      <c r="K4124" t="s">
        <v>32</v>
      </c>
      <c r="L4124" t="s">
        <v>32</v>
      </c>
      <c r="M4124" t="s">
        <v>33</v>
      </c>
      <c r="P4124" t="s">
        <v>34</v>
      </c>
      <c r="Q4124" t="s">
        <v>35</v>
      </c>
      <c r="R4124" t="s">
        <v>96</v>
      </c>
      <c r="S4124" t="s">
        <v>52</v>
      </c>
      <c r="T4124" t="s">
        <v>3504</v>
      </c>
      <c r="U4124" t="s">
        <v>3510</v>
      </c>
      <c r="V4124" t="s">
        <v>39</v>
      </c>
      <c r="W4124" s="1">
        <v>0</v>
      </c>
    </row>
    <row r="4125" spans="1:23" x14ac:dyDescent="0.2">
      <c r="A4125" t="s">
        <v>2096</v>
      </c>
      <c r="B4125" t="s">
        <v>3333</v>
      </c>
      <c r="C4125" t="s">
        <v>3442</v>
      </c>
      <c r="D4125" t="s">
        <v>3466</v>
      </c>
      <c r="E4125" t="s">
        <v>3467</v>
      </c>
      <c r="F4125" t="s">
        <v>3468</v>
      </c>
      <c r="G4125" t="s">
        <v>119</v>
      </c>
      <c r="H4125" t="s">
        <v>30</v>
      </c>
      <c r="I4125" t="s">
        <v>52</v>
      </c>
      <c r="J4125" t="s">
        <v>41</v>
      </c>
      <c r="K4125" t="s">
        <v>32</v>
      </c>
      <c r="L4125" t="s">
        <v>32</v>
      </c>
      <c r="M4125" t="s">
        <v>33</v>
      </c>
      <c r="P4125" t="s">
        <v>34</v>
      </c>
      <c r="Q4125" t="s">
        <v>35</v>
      </c>
      <c r="R4125" t="s">
        <v>96</v>
      </c>
      <c r="S4125" t="s">
        <v>52</v>
      </c>
      <c r="T4125" t="s">
        <v>3504</v>
      </c>
      <c r="U4125" t="s">
        <v>3510</v>
      </c>
      <c r="V4125" t="s">
        <v>40</v>
      </c>
      <c r="W4125" s="1">
        <v>0</v>
      </c>
    </row>
    <row r="4126" spans="1:23" x14ac:dyDescent="0.2">
      <c r="A4126" t="s">
        <v>2096</v>
      </c>
      <c r="B4126" t="s">
        <v>3333</v>
      </c>
      <c r="C4126" t="s">
        <v>3442</v>
      </c>
      <c r="D4126" t="s">
        <v>3466</v>
      </c>
      <c r="E4126" t="s">
        <v>3467</v>
      </c>
      <c r="F4126" t="s">
        <v>3468</v>
      </c>
      <c r="G4126" t="s">
        <v>127</v>
      </c>
      <c r="H4126" t="s">
        <v>52</v>
      </c>
      <c r="I4126" t="s">
        <v>30</v>
      </c>
      <c r="J4126" t="s">
        <v>41</v>
      </c>
      <c r="K4126" t="s">
        <v>32</v>
      </c>
      <c r="L4126" t="s">
        <v>32</v>
      </c>
      <c r="M4126" t="s">
        <v>33</v>
      </c>
      <c r="N4126" t="s">
        <v>33</v>
      </c>
      <c r="O4126" t="s">
        <v>33</v>
      </c>
      <c r="P4126" t="s">
        <v>34</v>
      </c>
      <c r="Q4126" t="s">
        <v>35</v>
      </c>
      <c r="S4126" t="s">
        <v>30</v>
      </c>
      <c r="T4126" t="s">
        <v>3511</v>
      </c>
      <c r="U4126" t="s">
        <v>3512</v>
      </c>
      <c r="V4126" t="s">
        <v>39</v>
      </c>
      <c r="W4126" s="1">
        <v>2</v>
      </c>
    </row>
    <row r="4127" spans="1:23" x14ac:dyDescent="0.2">
      <c r="A4127" t="s">
        <v>2096</v>
      </c>
      <c r="B4127" t="s">
        <v>3333</v>
      </c>
      <c r="C4127" t="s">
        <v>3442</v>
      </c>
      <c r="D4127" t="s">
        <v>3466</v>
      </c>
      <c r="E4127" t="s">
        <v>3467</v>
      </c>
      <c r="F4127" t="s">
        <v>3468</v>
      </c>
      <c r="G4127" t="s">
        <v>127</v>
      </c>
      <c r="H4127" t="s">
        <v>52</v>
      </c>
      <c r="I4127" t="s">
        <v>30</v>
      </c>
      <c r="J4127" t="s">
        <v>41</v>
      </c>
      <c r="K4127" t="s">
        <v>32</v>
      </c>
      <c r="L4127" t="s">
        <v>32</v>
      </c>
      <c r="M4127" t="s">
        <v>33</v>
      </c>
      <c r="N4127" t="s">
        <v>33</v>
      </c>
      <c r="O4127" t="s">
        <v>33</v>
      </c>
      <c r="P4127" t="s">
        <v>34</v>
      </c>
      <c r="Q4127" t="s">
        <v>35</v>
      </c>
      <c r="S4127" t="s">
        <v>30</v>
      </c>
      <c r="T4127" t="s">
        <v>3511</v>
      </c>
      <c r="U4127" t="s">
        <v>3512</v>
      </c>
      <c r="V4127" t="s">
        <v>40</v>
      </c>
      <c r="W4127" s="1">
        <v>2210000</v>
      </c>
    </row>
    <row r="4128" spans="1:23" x14ac:dyDescent="0.2">
      <c r="A4128" t="s">
        <v>2096</v>
      </c>
      <c r="B4128" t="s">
        <v>3333</v>
      </c>
      <c r="C4128" t="s">
        <v>3442</v>
      </c>
      <c r="D4128" t="s">
        <v>3466</v>
      </c>
      <c r="E4128" t="s">
        <v>3467</v>
      </c>
      <c r="F4128" t="s">
        <v>3468</v>
      </c>
      <c r="G4128" t="s">
        <v>127</v>
      </c>
      <c r="H4128" t="s">
        <v>52</v>
      </c>
      <c r="I4128" t="s">
        <v>30</v>
      </c>
      <c r="J4128" t="s">
        <v>41</v>
      </c>
      <c r="K4128" t="s">
        <v>32</v>
      </c>
      <c r="L4128" t="s">
        <v>32</v>
      </c>
      <c r="M4128" t="s">
        <v>33</v>
      </c>
      <c r="P4128" t="s">
        <v>42</v>
      </c>
      <c r="Q4128" t="s">
        <v>43</v>
      </c>
      <c r="S4128" t="s">
        <v>52</v>
      </c>
      <c r="T4128" t="s">
        <v>3511</v>
      </c>
      <c r="U4128" t="s">
        <v>3513</v>
      </c>
      <c r="V4128" t="s">
        <v>39</v>
      </c>
      <c r="W4128" s="1">
        <v>0</v>
      </c>
    </row>
    <row r="4129" spans="1:23" x14ac:dyDescent="0.2">
      <c r="A4129" t="s">
        <v>2096</v>
      </c>
      <c r="B4129" t="s">
        <v>3333</v>
      </c>
      <c r="C4129" t="s">
        <v>3442</v>
      </c>
      <c r="D4129" t="s">
        <v>3466</v>
      </c>
      <c r="E4129" t="s">
        <v>3467</v>
      </c>
      <c r="F4129" t="s">
        <v>3468</v>
      </c>
      <c r="G4129" t="s">
        <v>127</v>
      </c>
      <c r="H4129" t="s">
        <v>52</v>
      </c>
      <c r="I4129" t="s">
        <v>30</v>
      </c>
      <c r="J4129" t="s">
        <v>41</v>
      </c>
      <c r="K4129" t="s">
        <v>32</v>
      </c>
      <c r="L4129" t="s">
        <v>32</v>
      </c>
      <c r="M4129" t="s">
        <v>33</v>
      </c>
      <c r="P4129" t="s">
        <v>42</v>
      </c>
      <c r="Q4129" t="s">
        <v>43</v>
      </c>
      <c r="S4129" t="s">
        <v>52</v>
      </c>
      <c r="T4129" t="s">
        <v>3511</v>
      </c>
      <c r="U4129" t="s">
        <v>3513</v>
      </c>
      <c r="V4129" t="s">
        <v>40</v>
      </c>
      <c r="W4129" s="1">
        <v>0</v>
      </c>
    </row>
    <row r="4130" spans="1:23" x14ac:dyDescent="0.2">
      <c r="A4130" t="s">
        <v>2096</v>
      </c>
      <c r="B4130" t="s">
        <v>3333</v>
      </c>
      <c r="C4130" t="s">
        <v>3442</v>
      </c>
      <c r="D4130" t="s">
        <v>3466</v>
      </c>
      <c r="E4130" t="s">
        <v>3467</v>
      </c>
      <c r="F4130" t="s">
        <v>3468</v>
      </c>
      <c r="G4130" t="s">
        <v>134</v>
      </c>
      <c r="H4130" t="s">
        <v>52</v>
      </c>
      <c r="I4130" t="s">
        <v>30</v>
      </c>
      <c r="J4130" t="s">
        <v>31</v>
      </c>
      <c r="K4130" t="s">
        <v>32</v>
      </c>
      <c r="L4130" t="s">
        <v>32</v>
      </c>
      <c r="M4130" t="s">
        <v>33</v>
      </c>
      <c r="N4130" t="s">
        <v>33</v>
      </c>
      <c r="O4130" t="s">
        <v>33</v>
      </c>
      <c r="P4130" t="s">
        <v>34</v>
      </c>
      <c r="Q4130" t="s">
        <v>35</v>
      </c>
      <c r="R4130" t="s">
        <v>184</v>
      </c>
      <c r="S4130" t="s">
        <v>30</v>
      </c>
      <c r="T4130" t="s">
        <v>3514</v>
      </c>
      <c r="U4130" t="s">
        <v>3515</v>
      </c>
      <c r="V4130" t="s">
        <v>39</v>
      </c>
      <c r="W4130" s="1">
        <v>1</v>
      </c>
    </row>
    <row r="4131" spans="1:23" x14ac:dyDescent="0.2">
      <c r="A4131" t="s">
        <v>2096</v>
      </c>
      <c r="B4131" t="s">
        <v>3333</v>
      </c>
      <c r="C4131" t="s">
        <v>3442</v>
      </c>
      <c r="D4131" t="s">
        <v>3466</v>
      </c>
      <c r="E4131" t="s">
        <v>3467</v>
      </c>
      <c r="F4131" t="s">
        <v>3468</v>
      </c>
      <c r="G4131" t="s">
        <v>134</v>
      </c>
      <c r="H4131" t="s">
        <v>52</v>
      </c>
      <c r="I4131" t="s">
        <v>30</v>
      </c>
      <c r="J4131" t="s">
        <v>31</v>
      </c>
      <c r="K4131" t="s">
        <v>32</v>
      </c>
      <c r="L4131" t="s">
        <v>32</v>
      </c>
      <c r="M4131" t="s">
        <v>33</v>
      </c>
      <c r="N4131" t="s">
        <v>33</v>
      </c>
      <c r="O4131" t="s">
        <v>33</v>
      </c>
      <c r="P4131" t="s">
        <v>34</v>
      </c>
      <c r="Q4131" t="s">
        <v>35</v>
      </c>
      <c r="R4131" t="s">
        <v>184</v>
      </c>
      <c r="S4131" t="s">
        <v>30</v>
      </c>
      <c r="T4131" t="s">
        <v>3514</v>
      </c>
      <c r="U4131" t="s">
        <v>3515</v>
      </c>
      <c r="V4131" t="s">
        <v>40</v>
      </c>
      <c r="W4131" s="1">
        <v>1187500</v>
      </c>
    </row>
    <row r="4132" spans="1:23" x14ac:dyDescent="0.2">
      <c r="A4132" t="s">
        <v>2096</v>
      </c>
      <c r="B4132" t="s">
        <v>3333</v>
      </c>
      <c r="C4132" t="s">
        <v>3442</v>
      </c>
      <c r="D4132" t="s">
        <v>3466</v>
      </c>
      <c r="E4132" t="s">
        <v>3467</v>
      </c>
      <c r="F4132" t="s">
        <v>3468</v>
      </c>
      <c r="G4132" t="s">
        <v>134</v>
      </c>
      <c r="H4132" t="s">
        <v>52</v>
      </c>
      <c r="I4132" t="s">
        <v>30</v>
      </c>
      <c r="J4132" t="s">
        <v>31</v>
      </c>
      <c r="K4132" t="s">
        <v>32</v>
      </c>
      <c r="L4132" t="s">
        <v>32</v>
      </c>
      <c r="M4132" t="s">
        <v>176</v>
      </c>
      <c r="N4132" t="s">
        <v>176</v>
      </c>
      <c r="O4132" t="s">
        <v>176</v>
      </c>
      <c r="P4132" t="s">
        <v>34</v>
      </c>
      <c r="Q4132" t="s">
        <v>35</v>
      </c>
      <c r="R4132" t="s">
        <v>184</v>
      </c>
      <c r="S4132" t="s">
        <v>30</v>
      </c>
      <c r="T4132" t="s">
        <v>3514</v>
      </c>
      <c r="U4132" t="s">
        <v>3515</v>
      </c>
      <c r="V4132" t="s">
        <v>39</v>
      </c>
      <c r="W4132" s="1">
        <v>1</v>
      </c>
    </row>
    <row r="4133" spans="1:23" x14ac:dyDescent="0.2">
      <c r="A4133" t="s">
        <v>2096</v>
      </c>
      <c r="B4133" t="s">
        <v>3333</v>
      </c>
      <c r="C4133" t="s">
        <v>3442</v>
      </c>
      <c r="D4133" t="s">
        <v>3466</v>
      </c>
      <c r="E4133" t="s">
        <v>3467</v>
      </c>
      <c r="F4133" t="s">
        <v>3468</v>
      </c>
      <c r="G4133" t="s">
        <v>134</v>
      </c>
      <c r="H4133" t="s">
        <v>52</v>
      </c>
      <c r="I4133" t="s">
        <v>30</v>
      </c>
      <c r="J4133" t="s">
        <v>31</v>
      </c>
      <c r="K4133" t="s">
        <v>32</v>
      </c>
      <c r="L4133" t="s">
        <v>32</v>
      </c>
      <c r="M4133" t="s">
        <v>176</v>
      </c>
      <c r="N4133" t="s">
        <v>176</v>
      </c>
      <c r="O4133" t="s">
        <v>176</v>
      </c>
      <c r="P4133" t="s">
        <v>34</v>
      </c>
      <c r="Q4133" t="s">
        <v>35</v>
      </c>
      <c r="R4133" t="s">
        <v>184</v>
      </c>
      <c r="S4133" t="s">
        <v>30</v>
      </c>
      <c r="T4133" t="s">
        <v>3514</v>
      </c>
      <c r="U4133" t="s">
        <v>3515</v>
      </c>
      <c r="V4133" t="s">
        <v>40</v>
      </c>
      <c r="W4133" s="1">
        <v>1187500</v>
      </c>
    </row>
    <row r="4134" spans="1:23" x14ac:dyDescent="0.2">
      <c r="A4134" t="s">
        <v>2096</v>
      </c>
      <c r="B4134" t="s">
        <v>3333</v>
      </c>
      <c r="C4134" t="s">
        <v>3442</v>
      </c>
      <c r="D4134" t="s">
        <v>3466</v>
      </c>
      <c r="E4134" t="s">
        <v>3467</v>
      </c>
      <c r="F4134" t="s">
        <v>3468</v>
      </c>
      <c r="G4134" t="s">
        <v>134</v>
      </c>
      <c r="H4134" t="s">
        <v>52</v>
      </c>
      <c r="I4134" t="s">
        <v>30</v>
      </c>
      <c r="J4134" t="s">
        <v>41</v>
      </c>
      <c r="K4134" t="s">
        <v>32</v>
      </c>
      <c r="L4134" t="s">
        <v>32</v>
      </c>
      <c r="M4134" t="s">
        <v>33</v>
      </c>
      <c r="N4134" t="s">
        <v>33</v>
      </c>
      <c r="O4134" t="s">
        <v>33</v>
      </c>
      <c r="P4134" t="s">
        <v>34</v>
      </c>
      <c r="Q4134" t="s">
        <v>35</v>
      </c>
      <c r="R4134" t="s">
        <v>54</v>
      </c>
      <c r="S4134" t="s">
        <v>30</v>
      </c>
      <c r="T4134" t="s">
        <v>3516</v>
      </c>
      <c r="U4134" t="s">
        <v>3517</v>
      </c>
      <c r="V4134" t="s">
        <v>39</v>
      </c>
      <c r="W4134" s="1">
        <v>1</v>
      </c>
    </row>
    <row r="4135" spans="1:23" x14ac:dyDescent="0.2">
      <c r="A4135" t="s">
        <v>2096</v>
      </c>
      <c r="B4135" t="s">
        <v>3333</v>
      </c>
      <c r="C4135" t="s">
        <v>3442</v>
      </c>
      <c r="D4135" t="s">
        <v>3466</v>
      </c>
      <c r="E4135" t="s">
        <v>3467</v>
      </c>
      <c r="F4135" t="s">
        <v>3468</v>
      </c>
      <c r="G4135" t="s">
        <v>134</v>
      </c>
      <c r="H4135" t="s">
        <v>52</v>
      </c>
      <c r="I4135" t="s">
        <v>30</v>
      </c>
      <c r="J4135" t="s">
        <v>41</v>
      </c>
      <c r="K4135" t="s">
        <v>32</v>
      </c>
      <c r="L4135" t="s">
        <v>32</v>
      </c>
      <c r="M4135" t="s">
        <v>33</v>
      </c>
      <c r="N4135" t="s">
        <v>33</v>
      </c>
      <c r="O4135" t="s">
        <v>33</v>
      </c>
      <c r="P4135" t="s">
        <v>34</v>
      </c>
      <c r="Q4135" t="s">
        <v>35</v>
      </c>
      <c r="R4135" t="s">
        <v>54</v>
      </c>
      <c r="S4135" t="s">
        <v>30</v>
      </c>
      <c r="T4135" t="s">
        <v>3516</v>
      </c>
      <c r="U4135" t="s">
        <v>3517</v>
      </c>
      <c r="V4135" t="s">
        <v>40</v>
      </c>
      <c r="W4135" s="1">
        <v>959200</v>
      </c>
    </row>
    <row r="4136" spans="1:23" x14ac:dyDescent="0.2">
      <c r="A4136" t="s">
        <v>2096</v>
      </c>
      <c r="B4136" t="s">
        <v>3333</v>
      </c>
      <c r="C4136" t="s">
        <v>3442</v>
      </c>
      <c r="D4136" t="s">
        <v>3466</v>
      </c>
      <c r="E4136" t="s">
        <v>3467</v>
      </c>
      <c r="F4136" t="s">
        <v>3468</v>
      </c>
      <c r="G4136" t="s">
        <v>134</v>
      </c>
      <c r="H4136" t="s">
        <v>52</v>
      </c>
      <c r="I4136" t="s">
        <v>30</v>
      </c>
      <c r="J4136" t="s">
        <v>41</v>
      </c>
      <c r="K4136" t="s">
        <v>32</v>
      </c>
      <c r="L4136" t="s">
        <v>32</v>
      </c>
      <c r="M4136" t="s">
        <v>33</v>
      </c>
      <c r="P4136" t="s">
        <v>34</v>
      </c>
      <c r="Q4136" t="s">
        <v>35</v>
      </c>
      <c r="R4136" t="s">
        <v>54</v>
      </c>
      <c r="S4136" t="s">
        <v>30</v>
      </c>
      <c r="T4136" t="s">
        <v>3516</v>
      </c>
      <c r="U4136" t="s">
        <v>3517</v>
      </c>
      <c r="V4136" t="s">
        <v>39</v>
      </c>
      <c r="W4136" s="1">
        <v>6</v>
      </c>
    </row>
    <row r="4137" spans="1:23" x14ac:dyDescent="0.2">
      <c r="A4137" t="s">
        <v>2096</v>
      </c>
      <c r="B4137" t="s">
        <v>3333</v>
      </c>
      <c r="C4137" t="s">
        <v>3442</v>
      </c>
      <c r="D4137" t="s">
        <v>3466</v>
      </c>
      <c r="E4137" t="s">
        <v>3467</v>
      </c>
      <c r="F4137" t="s">
        <v>3468</v>
      </c>
      <c r="G4137" t="s">
        <v>134</v>
      </c>
      <c r="H4137" t="s">
        <v>52</v>
      </c>
      <c r="I4137" t="s">
        <v>30</v>
      </c>
      <c r="J4137" t="s">
        <v>41</v>
      </c>
      <c r="K4137" t="s">
        <v>32</v>
      </c>
      <c r="L4137" t="s">
        <v>32</v>
      </c>
      <c r="M4137" t="s">
        <v>33</v>
      </c>
      <c r="P4137" t="s">
        <v>34</v>
      </c>
      <c r="Q4137" t="s">
        <v>35</v>
      </c>
      <c r="R4137" t="s">
        <v>54</v>
      </c>
      <c r="S4137" t="s">
        <v>30</v>
      </c>
      <c r="T4137" t="s">
        <v>3516</v>
      </c>
      <c r="U4137" t="s">
        <v>3517</v>
      </c>
      <c r="V4137" t="s">
        <v>40</v>
      </c>
      <c r="W4137" s="1">
        <v>5755200</v>
      </c>
    </row>
    <row r="4138" spans="1:23" x14ac:dyDescent="0.2">
      <c r="A4138" t="s">
        <v>2096</v>
      </c>
      <c r="B4138" t="s">
        <v>3333</v>
      </c>
      <c r="C4138" t="s">
        <v>3442</v>
      </c>
      <c r="D4138" t="s">
        <v>3466</v>
      </c>
      <c r="E4138" t="s">
        <v>3467</v>
      </c>
      <c r="F4138" t="s">
        <v>3468</v>
      </c>
      <c r="G4138" t="s">
        <v>139</v>
      </c>
      <c r="H4138" t="s">
        <v>30</v>
      </c>
      <c r="I4138" t="s">
        <v>30</v>
      </c>
      <c r="J4138" t="s">
        <v>31</v>
      </c>
      <c r="K4138" t="s">
        <v>32</v>
      </c>
      <c r="L4138" t="s">
        <v>32</v>
      </c>
      <c r="M4138" t="s">
        <v>33</v>
      </c>
      <c r="N4138" t="s">
        <v>33</v>
      </c>
      <c r="O4138" t="s">
        <v>33</v>
      </c>
      <c r="P4138" t="s">
        <v>34</v>
      </c>
      <c r="Q4138" t="s">
        <v>35</v>
      </c>
      <c r="S4138" t="s">
        <v>30</v>
      </c>
      <c r="T4138" t="s">
        <v>3518</v>
      </c>
      <c r="U4138" t="s">
        <v>3519</v>
      </c>
      <c r="V4138" t="s">
        <v>39</v>
      </c>
      <c r="W4138" s="1">
        <v>1</v>
      </c>
    </row>
    <row r="4139" spans="1:23" x14ac:dyDescent="0.2">
      <c r="A4139" t="s">
        <v>2096</v>
      </c>
      <c r="B4139" t="s">
        <v>3333</v>
      </c>
      <c r="C4139" t="s">
        <v>3442</v>
      </c>
      <c r="D4139" t="s">
        <v>3466</v>
      </c>
      <c r="E4139" t="s">
        <v>3467</v>
      </c>
      <c r="F4139" t="s">
        <v>3468</v>
      </c>
      <c r="G4139" t="s">
        <v>139</v>
      </c>
      <c r="H4139" t="s">
        <v>30</v>
      </c>
      <c r="I4139" t="s">
        <v>30</v>
      </c>
      <c r="J4139" t="s">
        <v>31</v>
      </c>
      <c r="K4139" t="s">
        <v>32</v>
      </c>
      <c r="L4139" t="s">
        <v>32</v>
      </c>
      <c r="M4139" t="s">
        <v>33</v>
      </c>
      <c r="N4139" t="s">
        <v>33</v>
      </c>
      <c r="O4139" t="s">
        <v>33</v>
      </c>
      <c r="P4139" t="s">
        <v>34</v>
      </c>
      <c r="Q4139" t="s">
        <v>35</v>
      </c>
      <c r="S4139" t="s">
        <v>30</v>
      </c>
      <c r="T4139" t="s">
        <v>3518</v>
      </c>
      <c r="U4139" t="s">
        <v>3519</v>
      </c>
      <c r="V4139" t="s">
        <v>40</v>
      </c>
      <c r="W4139" s="1">
        <v>107000</v>
      </c>
    </row>
    <row r="4140" spans="1:23" x14ac:dyDescent="0.2">
      <c r="A4140" t="s">
        <v>2096</v>
      </c>
      <c r="B4140" t="s">
        <v>3333</v>
      </c>
      <c r="C4140" t="s">
        <v>3442</v>
      </c>
      <c r="D4140" t="s">
        <v>3466</v>
      </c>
      <c r="E4140" t="s">
        <v>3467</v>
      </c>
      <c r="F4140" t="s">
        <v>3468</v>
      </c>
      <c r="G4140" t="s">
        <v>139</v>
      </c>
      <c r="H4140" t="s">
        <v>30</v>
      </c>
      <c r="I4140" t="s">
        <v>30</v>
      </c>
      <c r="J4140" t="s">
        <v>31</v>
      </c>
      <c r="K4140" t="s">
        <v>32</v>
      </c>
      <c r="L4140" t="s">
        <v>32</v>
      </c>
      <c r="M4140" t="s">
        <v>33</v>
      </c>
      <c r="P4140" t="s">
        <v>34</v>
      </c>
      <c r="Q4140" t="s">
        <v>35</v>
      </c>
      <c r="R4140" t="s">
        <v>184</v>
      </c>
      <c r="S4140" t="s">
        <v>30</v>
      </c>
      <c r="T4140" t="s">
        <v>3520</v>
      </c>
      <c r="U4140" t="s">
        <v>3521</v>
      </c>
      <c r="V4140" t="s">
        <v>39</v>
      </c>
      <c r="W4140" s="1">
        <v>9</v>
      </c>
    </row>
    <row r="4141" spans="1:23" x14ac:dyDescent="0.2">
      <c r="A4141" t="s">
        <v>2096</v>
      </c>
      <c r="B4141" t="s">
        <v>3333</v>
      </c>
      <c r="C4141" t="s">
        <v>3442</v>
      </c>
      <c r="D4141" t="s">
        <v>3466</v>
      </c>
      <c r="E4141" t="s">
        <v>3467</v>
      </c>
      <c r="F4141" t="s">
        <v>3468</v>
      </c>
      <c r="G4141" t="s">
        <v>139</v>
      </c>
      <c r="H4141" t="s">
        <v>30</v>
      </c>
      <c r="I4141" t="s">
        <v>30</v>
      </c>
      <c r="J4141" t="s">
        <v>31</v>
      </c>
      <c r="K4141" t="s">
        <v>32</v>
      </c>
      <c r="L4141" t="s">
        <v>32</v>
      </c>
      <c r="M4141" t="s">
        <v>33</v>
      </c>
      <c r="P4141" t="s">
        <v>34</v>
      </c>
      <c r="Q4141" t="s">
        <v>35</v>
      </c>
      <c r="R4141" t="s">
        <v>184</v>
      </c>
      <c r="S4141" t="s">
        <v>30</v>
      </c>
      <c r="T4141" t="s">
        <v>3520</v>
      </c>
      <c r="U4141" t="s">
        <v>3521</v>
      </c>
      <c r="V4141" t="s">
        <v>40</v>
      </c>
      <c r="W4141" s="1">
        <v>9863100</v>
      </c>
    </row>
    <row r="4142" spans="1:23" x14ac:dyDescent="0.2">
      <c r="A4142" t="s">
        <v>2096</v>
      </c>
      <c r="B4142" t="s">
        <v>3333</v>
      </c>
      <c r="C4142" t="s">
        <v>3442</v>
      </c>
      <c r="D4142" t="s">
        <v>3466</v>
      </c>
      <c r="E4142" t="s">
        <v>3467</v>
      </c>
      <c r="F4142" t="s">
        <v>3468</v>
      </c>
      <c r="G4142" t="s">
        <v>139</v>
      </c>
      <c r="H4142" t="s">
        <v>30</v>
      </c>
      <c r="I4142" t="s">
        <v>30</v>
      </c>
      <c r="J4142" t="s">
        <v>31</v>
      </c>
      <c r="K4142" t="s">
        <v>32</v>
      </c>
      <c r="L4142" t="s">
        <v>32</v>
      </c>
      <c r="M4142" t="s">
        <v>33</v>
      </c>
      <c r="P4142" t="s">
        <v>34</v>
      </c>
      <c r="Q4142" t="s">
        <v>35</v>
      </c>
      <c r="S4142" t="s">
        <v>30</v>
      </c>
      <c r="T4142" t="s">
        <v>3518</v>
      </c>
      <c r="U4142" t="s">
        <v>3519</v>
      </c>
      <c r="V4142" t="s">
        <v>39</v>
      </c>
      <c r="W4142" s="1">
        <v>3</v>
      </c>
    </row>
    <row r="4143" spans="1:23" x14ac:dyDescent="0.2">
      <c r="A4143" t="s">
        <v>2096</v>
      </c>
      <c r="B4143" t="s">
        <v>3333</v>
      </c>
      <c r="C4143" t="s">
        <v>3442</v>
      </c>
      <c r="D4143" t="s">
        <v>3466</v>
      </c>
      <c r="E4143" t="s">
        <v>3467</v>
      </c>
      <c r="F4143" t="s">
        <v>3468</v>
      </c>
      <c r="G4143" t="s">
        <v>139</v>
      </c>
      <c r="H4143" t="s">
        <v>30</v>
      </c>
      <c r="I4143" t="s">
        <v>30</v>
      </c>
      <c r="J4143" t="s">
        <v>31</v>
      </c>
      <c r="K4143" t="s">
        <v>32</v>
      </c>
      <c r="L4143" t="s">
        <v>32</v>
      </c>
      <c r="M4143" t="s">
        <v>33</v>
      </c>
      <c r="P4143" t="s">
        <v>34</v>
      </c>
      <c r="Q4143" t="s">
        <v>35</v>
      </c>
      <c r="S4143" t="s">
        <v>30</v>
      </c>
      <c r="T4143" t="s">
        <v>3518</v>
      </c>
      <c r="U4143" t="s">
        <v>3519</v>
      </c>
      <c r="V4143" t="s">
        <v>40</v>
      </c>
      <c r="W4143" s="1">
        <v>321000</v>
      </c>
    </row>
    <row r="4144" spans="1:23" x14ac:dyDescent="0.2">
      <c r="A4144" t="s">
        <v>2096</v>
      </c>
      <c r="B4144" t="s">
        <v>3333</v>
      </c>
      <c r="C4144" t="s">
        <v>3442</v>
      </c>
      <c r="D4144" t="s">
        <v>3466</v>
      </c>
      <c r="E4144" t="s">
        <v>3467</v>
      </c>
      <c r="F4144" t="s">
        <v>3468</v>
      </c>
      <c r="G4144" t="s">
        <v>139</v>
      </c>
      <c r="H4144" t="s">
        <v>30</v>
      </c>
      <c r="I4144" t="s">
        <v>30</v>
      </c>
      <c r="J4144" t="s">
        <v>31</v>
      </c>
      <c r="K4144" t="s">
        <v>32</v>
      </c>
      <c r="L4144" t="s">
        <v>32</v>
      </c>
      <c r="M4144" t="s">
        <v>33</v>
      </c>
      <c r="P4144" t="s">
        <v>34</v>
      </c>
      <c r="Q4144" t="s">
        <v>35</v>
      </c>
      <c r="S4144" t="s">
        <v>30</v>
      </c>
      <c r="T4144" t="s">
        <v>3522</v>
      </c>
      <c r="U4144" t="s">
        <v>3523</v>
      </c>
      <c r="V4144" t="s">
        <v>39</v>
      </c>
      <c r="W4144" s="1">
        <v>4</v>
      </c>
    </row>
    <row r="4145" spans="1:23" x14ac:dyDescent="0.2">
      <c r="A4145" t="s">
        <v>2096</v>
      </c>
      <c r="B4145" t="s">
        <v>3333</v>
      </c>
      <c r="C4145" t="s">
        <v>3442</v>
      </c>
      <c r="D4145" t="s">
        <v>3466</v>
      </c>
      <c r="E4145" t="s">
        <v>3467</v>
      </c>
      <c r="F4145" t="s">
        <v>3468</v>
      </c>
      <c r="G4145" t="s">
        <v>139</v>
      </c>
      <c r="H4145" t="s">
        <v>30</v>
      </c>
      <c r="I4145" t="s">
        <v>30</v>
      </c>
      <c r="J4145" t="s">
        <v>31</v>
      </c>
      <c r="K4145" t="s">
        <v>32</v>
      </c>
      <c r="L4145" t="s">
        <v>32</v>
      </c>
      <c r="M4145" t="s">
        <v>33</v>
      </c>
      <c r="P4145" t="s">
        <v>34</v>
      </c>
      <c r="Q4145" t="s">
        <v>35</v>
      </c>
      <c r="S4145" t="s">
        <v>30</v>
      </c>
      <c r="T4145" t="s">
        <v>3522</v>
      </c>
      <c r="U4145" t="s">
        <v>3523</v>
      </c>
      <c r="V4145" t="s">
        <v>40</v>
      </c>
      <c r="W4145" s="1">
        <v>4999600</v>
      </c>
    </row>
    <row r="4146" spans="1:23" x14ac:dyDescent="0.2">
      <c r="A4146" t="s">
        <v>2096</v>
      </c>
      <c r="B4146" t="s">
        <v>3333</v>
      </c>
      <c r="C4146" t="s">
        <v>3442</v>
      </c>
      <c r="D4146" t="s">
        <v>3466</v>
      </c>
      <c r="E4146" t="s">
        <v>3467</v>
      </c>
      <c r="F4146" t="s">
        <v>3468</v>
      </c>
      <c r="G4146" t="s">
        <v>139</v>
      </c>
      <c r="H4146" t="s">
        <v>30</v>
      </c>
      <c r="I4146" t="s">
        <v>30</v>
      </c>
      <c r="J4146" t="s">
        <v>41</v>
      </c>
      <c r="K4146" t="s">
        <v>32</v>
      </c>
      <c r="L4146" t="s">
        <v>32</v>
      </c>
      <c r="M4146" t="s">
        <v>33</v>
      </c>
      <c r="P4146" t="s">
        <v>213</v>
      </c>
      <c r="Q4146" t="s">
        <v>214</v>
      </c>
      <c r="R4146" t="s">
        <v>54</v>
      </c>
      <c r="S4146" t="s">
        <v>30</v>
      </c>
      <c r="T4146" t="s">
        <v>3524</v>
      </c>
      <c r="U4146" t="s">
        <v>3525</v>
      </c>
      <c r="V4146" t="s">
        <v>39</v>
      </c>
      <c r="W4146" s="1">
        <v>2</v>
      </c>
    </row>
    <row r="4147" spans="1:23" x14ac:dyDescent="0.2">
      <c r="A4147" t="s">
        <v>2096</v>
      </c>
      <c r="B4147" t="s">
        <v>3333</v>
      </c>
      <c r="C4147" t="s">
        <v>3442</v>
      </c>
      <c r="D4147" t="s">
        <v>3466</v>
      </c>
      <c r="E4147" t="s">
        <v>3467</v>
      </c>
      <c r="F4147" t="s">
        <v>3468</v>
      </c>
      <c r="G4147" t="s">
        <v>139</v>
      </c>
      <c r="H4147" t="s">
        <v>30</v>
      </c>
      <c r="I4147" t="s">
        <v>30</v>
      </c>
      <c r="J4147" t="s">
        <v>41</v>
      </c>
      <c r="K4147" t="s">
        <v>32</v>
      </c>
      <c r="L4147" t="s">
        <v>32</v>
      </c>
      <c r="M4147" t="s">
        <v>33</v>
      </c>
      <c r="P4147" t="s">
        <v>213</v>
      </c>
      <c r="Q4147" t="s">
        <v>214</v>
      </c>
      <c r="R4147" t="s">
        <v>54</v>
      </c>
      <c r="S4147" t="s">
        <v>30</v>
      </c>
      <c r="T4147" t="s">
        <v>3524</v>
      </c>
      <c r="U4147" t="s">
        <v>3525</v>
      </c>
      <c r="V4147" t="s">
        <v>40</v>
      </c>
      <c r="W4147" s="1">
        <v>1998000</v>
      </c>
    </row>
    <row r="4148" spans="1:23" x14ac:dyDescent="0.2">
      <c r="A4148" t="s">
        <v>2096</v>
      </c>
      <c r="B4148" t="s">
        <v>3333</v>
      </c>
      <c r="C4148" t="s">
        <v>3442</v>
      </c>
      <c r="D4148" t="s">
        <v>3466</v>
      </c>
      <c r="E4148" t="s">
        <v>3526</v>
      </c>
      <c r="F4148" t="s">
        <v>3527</v>
      </c>
      <c r="G4148" t="s">
        <v>29</v>
      </c>
      <c r="H4148" t="s">
        <v>30</v>
      </c>
      <c r="I4148" t="s">
        <v>30</v>
      </c>
      <c r="J4148" t="s">
        <v>31</v>
      </c>
      <c r="K4148" t="s">
        <v>32</v>
      </c>
      <c r="L4148" t="s">
        <v>32</v>
      </c>
      <c r="M4148" t="s">
        <v>33</v>
      </c>
      <c r="N4148" t="s">
        <v>33</v>
      </c>
      <c r="O4148" t="s">
        <v>33</v>
      </c>
      <c r="P4148" t="s">
        <v>213</v>
      </c>
      <c r="Q4148" t="s">
        <v>2111</v>
      </c>
      <c r="S4148" t="s">
        <v>30</v>
      </c>
      <c r="T4148" t="s">
        <v>3528</v>
      </c>
      <c r="U4148" t="s">
        <v>3529</v>
      </c>
      <c r="V4148" t="s">
        <v>39</v>
      </c>
      <c r="W4148" s="1">
        <v>2</v>
      </c>
    </row>
    <row r="4149" spans="1:23" x14ac:dyDescent="0.2">
      <c r="A4149" t="s">
        <v>2096</v>
      </c>
      <c r="B4149" t="s">
        <v>3333</v>
      </c>
      <c r="C4149" t="s">
        <v>3442</v>
      </c>
      <c r="D4149" t="s">
        <v>3466</v>
      </c>
      <c r="E4149" t="s">
        <v>3526</v>
      </c>
      <c r="F4149" t="s">
        <v>3527</v>
      </c>
      <c r="G4149" t="s">
        <v>29</v>
      </c>
      <c r="H4149" t="s">
        <v>30</v>
      </c>
      <c r="I4149" t="s">
        <v>30</v>
      </c>
      <c r="J4149" t="s">
        <v>31</v>
      </c>
      <c r="K4149" t="s">
        <v>32</v>
      </c>
      <c r="L4149" t="s">
        <v>32</v>
      </c>
      <c r="M4149" t="s">
        <v>33</v>
      </c>
      <c r="N4149" t="s">
        <v>33</v>
      </c>
      <c r="O4149" t="s">
        <v>33</v>
      </c>
      <c r="P4149" t="s">
        <v>213</v>
      </c>
      <c r="Q4149" t="s">
        <v>2111</v>
      </c>
      <c r="S4149" t="s">
        <v>30</v>
      </c>
      <c r="T4149" t="s">
        <v>3528</v>
      </c>
      <c r="U4149" t="s">
        <v>3529</v>
      </c>
      <c r="V4149" t="s">
        <v>40</v>
      </c>
      <c r="W4149" s="1">
        <v>455200</v>
      </c>
    </row>
    <row r="4150" spans="1:23" x14ac:dyDescent="0.2">
      <c r="A4150" t="s">
        <v>2096</v>
      </c>
      <c r="B4150" t="s">
        <v>3333</v>
      </c>
      <c r="C4150" t="s">
        <v>3442</v>
      </c>
      <c r="D4150" t="s">
        <v>3466</v>
      </c>
      <c r="E4150" t="s">
        <v>3526</v>
      </c>
      <c r="F4150" t="s">
        <v>3527</v>
      </c>
      <c r="G4150" t="s">
        <v>29</v>
      </c>
      <c r="H4150" t="s">
        <v>30</v>
      </c>
      <c r="I4150" t="s">
        <v>30</v>
      </c>
      <c r="J4150" t="s">
        <v>57</v>
      </c>
      <c r="K4150" t="s">
        <v>32</v>
      </c>
      <c r="L4150" t="s">
        <v>32</v>
      </c>
      <c r="M4150" t="s">
        <v>33</v>
      </c>
      <c r="N4150" t="s">
        <v>33</v>
      </c>
      <c r="O4150" t="s">
        <v>33</v>
      </c>
      <c r="P4150" t="s">
        <v>213</v>
      </c>
      <c r="Q4150" t="s">
        <v>2111</v>
      </c>
      <c r="R4150" t="s">
        <v>319</v>
      </c>
      <c r="S4150" t="s">
        <v>30</v>
      </c>
      <c r="T4150" t="s">
        <v>3530</v>
      </c>
      <c r="U4150" t="s">
        <v>3531</v>
      </c>
      <c r="V4150" t="s">
        <v>39</v>
      </c>
      <c r="W4150" s="1">
        <v>2</v>
      </c>
    </row>
    <row r="4151" spans="1:23" x14ac:dyDescent="0.2">
      <c r="A4151" t="s">
        <v>2096</v>
      </c>
      <c r="B4151" t="s">
        <v>3333</v>
      </c>
      <c r="C4151" t="s">
        <v>3442</v>
      </c>
      <c r="D4151" t="s">
        <v>3466</v>
      </c>
      <c r="E4151" t="s">
        <v>3526</v>
      </c>
      <c r="F4151" t="s">
        <v>3527</v>
      </c>
      <c r="G4151" t="s">
        <v>29</v>
      </c>
      <c r="H4151" t="s">
        <v>30</v>
      </c>
      <c r="I4151" t="s">
        <v>30</v>
      </c>
      <c r="J4151" t="s">
        <v>57</v>
      </c>
      <c r="K4151" t="s">
        <v>32</v>
      </c>
      <c r="L4151" t="s">
        <v>32</v>
      </c>
      <c r="M4151" t="s">
        <v>33</v>
      </c>
      <c r="N4151" t="s">
        <v>33</v>
      </c>
      <c r="O4151" t="s">
        <v>33</v>
      </c>
      <c r="P4151" t="s">
        <v>213</v>
      </c>
      <c r="Q4151" t="s">
        <v>2111</v>
      </c>
      <c r="R4151" t="s">
        <v>319</v>
      </c>
      <c r="S4151" t="s">
        <v>30</v>
      </c>
      <c r="T4151" t="s">
        <v>3530</v>
      </c>
      <c r="U4151" t="s">
        <v>3531</v>
      </c>
      <c r="V4151" t="s">
        <v>40</v>
      </c>
      <c r="W4151" s="1">
        <v>4098000</v>
      </c>
    </row>
    <row r="4152" spans="1:23" x14ac:dyDescent="0.2">
      <c r="A4152" t="s">
        <v>2096</v>
      </c>
      <c r="B4152" t="s">
        <v>3333</v>
      </c>
      <c r="C4152" t="s">
        <v>3442</v>
      </c>
      <c r="D4152" t="s">
        <v>3466</v>
      </c>
      <c r="E4152" t="s">
        <v>3526</v>
      </c>
      <c r="F4152" t="s">
        <v>3527</v>
      </c>
      <c r="G4152" t="s">
        <v>49</v>
      </c>
      <c r="H4152" t="s">
        <v>30</v>
      </c>
      <c r="I4152" t="s">
        <v>30</v>
      </c>
      <c r="J4152" t="s">
        <v>41</v>
      </c>
      <c r="K4152" t="s">
        <v>32</v>
      </c>
      <c r="L4152" t="s">
        <v>32</v>
      </c>
      <c r="M4152" t="s">
        <v>33</v>
      </c>
      <c r="N4152" t="s">
        <v>33</v>
      </c>
      <c r="O4152" t="s">
        <v>33</v>
      </c>
      <c r="P4152" t="s">
        <v>34</v>
      </c>
      <c r="Q4152" t="s">
        <v>35</v>
      </c>
      <c r="R4152" t="s">
        <v>96</v>
      </c>
      <c r="S4152" t="s">
        <v>30</v>
      </c>
      <c r="T4152" t="s">
        <v>625</v>
      </c>
      <c r="U4152" t="s">
        <v>3532</v>
      </c>
      <c r="V4152" t="s">
        <v>39</v>
      </c>
      <c r="W4152" s="1">
        <v>2</v>
      </c>
    </row>
    <row r="4153" spans="1:23" x14ac:dyDescent="0.2">
      <c r="A4153" t="s">
        <v>2096</v>
      </c>
      <c r="B4153" t="s">
        <v>3333</v>
      </c>
      <c r="C4153" t="s">
        <v>3442</v>
      </c>
      <c r="D4153" t="s">
        <v>3466</v>
      </c>
      <c r="E4153" t="s">
        <v>3526</v>
      </c>
      <c r="F4153" t="s">
        <v>3527</v>
      </c>
      <c r="G4153" t="s">
        <v>49</v>
      </c>
      <c r="H4153" t="s">
        <v>30</v>
      </c>
      <c r="I4153" t="s">
        <v>30</v>
      </c>
      <c r="J4153" t="s">
        <v>41</v>
      </c>
      <c r="K4153" t="s">
        <v>32</v>
      </c>
      <c r="L4153" t="s">
        <v>32</v>
      </c>
      <c r="M4153" t="s">
        <v>33</v>
      </c>
      <c r="N4153" t="s">
        <v>33</v>
      </c>
      <c r="O4153" t="s">
        <v>33</v>
      </c>
      <c r="P4153" t="s">
        <v>34</v>
      </c>
      <c r="Q4153" t="s">
        <v>35</v>
      </c>
      <c r="R4153" t="s">
        <v>96</v>
      </c>
      <c r="S4153" t="s">
        <v>30</v>
      </c>
      <c r="T4153" t="s">
        <v>625</v>
      </c>
      <c r="U4153" t="s">
        <v>3532</v>
      </c>
      <c r="V4153" t="s">
        <v>40</v>
      </c>
      <c r="W4153" s="1">
        <v>10410000</v>
      </c>
    </row>
    <row r="4154" spans="1:23" x14ac:dyDescent="0.2">
      <c r="A4154" t="s">
        <v>2096</v>
      </c>
      <c r="B4154" t="s">
        <v>3333</v>
      </c>
      <c r="C4154" t="s">
        <v>3442</v>
      </c>
      <c r="D4154" t="s">
        <v>3466</v>
      </c>
      <c r="E4154" t="s">
        <v>3526</v>
      </c>
      <c r="F4154" t="s">
        <v>3527</v>
      </c>
      <c r="G4154" t="s">
        <v>49</v>
      </c>
      <c r="H4154" t="s">
        <v>30</v>
      </c>
      <c r="I4154" t="s">
        <v>30</v>
      </c>
      <c r="J4154" t="s">
        <v>41</v>
      </c>
      <c r="K4154" t="s">
        <v>32</v>
      </c>
      <c r="L4154" t="s">
        <v>32</v>
      </c>
      <c r="M4154" t="s">
        <v>33</v>
      </c>
      <c r="P4154" t="s">
        <v>213</v>
      </c>
      <c r="Q4154" t="s">
        <v>2118</v>
      </c>
      <c r="S4154" t="s">
        <v>52</v>
      </c>
      <c r="T4154" t="s">
        <v>3533</v>
      </c>
      <c r="U4154" t="s">
        <v>3534</v>
      </c>
      <c r="V4154" t="s">
        <v>39</v>
      </c>
      <c r="W4154" s="1">
        <v>0</v>
      </c>
    </row>
    <row r="4155" spans="1:23" x14ac:dyDescent="0.2">
      <c r="A4155" t="s">
        <v>2096</v>
      </c>
      <c r="B4155" t="s">
        <v>3333</v>
      </c>
      <c r="C4155" t="s">
        <v>3442</v>
      </c>
      <c r="D4155" t="s">
        <v>3466</v>
      </c>
      <c r="E4155" t="s">
        <v>3526</v>
      </c>
      <c r="F4155" t="s">
        <v>3527</v>
      </c>
      <c r="G4155" t="s">
        <v>49</v>
      </c>
      <c r="H4155" t="s">
        <v>30</v>
      </c>
      <c r="I4155" t="s">
        <v>30</v>
      </c>
      <c r="J4155" t="s">
        <v>41</v>
      </c>
      <c r="K4155" t="s">
        <v>32</v>
      </c>
      <c r="L4155" t="s">
        <v>32</v>
      </c>
      <c r="M4155" t="s">
        <v>33</v>
      </c>
      <c r="P4155" t="s">
        <v>213</v>
      </c>
      <c r="Q4155" t="s">
        <v>2118</v>
      </c>
      <c r="S4155" t="s">
        <v>52</v>
      </c>
      <c r="T4155" t="s">
        <v>3533</v>
      </c>
      <c r="U4155" t="s">
        <v>3534</v>
      </c>
      <c r="V4155" t="s">
        <v>40</v>
      </c>
      <c r="W4155" s="1">
        <v>4407000</v>
      </c>
    </row>
    <row r="4156" spans="1:23" x14ac:dyDescent="0.2">
      <c r="A4156" t="s">
        <v>2096</v>
      </c>
      <c r="B4156" t="s">
        <v>3333</v>
      </c>
      <c r="C4156" t="s">
        <v>3442</v>
      </c>
      <c r="D4156" t="s">
        <v>3466</v>
      </c>
      <c r="E4156" t="s">
        <v>3526</v>
      </c>
      <c r="F4156" t="s">
        <v>3527</v>
      </c>
      <c r="G4156" t="s">
        <v>49</v>
      </c>
      <c r="H4156" t="s">
        <v>30</v>
      </c>
      <c r="I4156" t="s">
        <v>30</v>
      </c>
      <c r="J4156" t="s">
        <v>57</v>
      </c>
      <c r="K4156" t="s">
        <v>32</v>
      </c>
      <c r="L4156" t="s">
        <v>32</v>
      </c>
      <c r="M4156" t="s">
        <v>33</v>
      </c>
      <c r="N4156" t="s">
        <v>33</v>
      </c>
      <c r="O4156" t="s">
        <v>33</v>
      </c>
      <c r="P4156" t="s">
        <v>213</v>
      </c>
      <c r="Q4156" t="s">
        <v>2118</v>
      </c>
      <c r="R4156" t="s">
        <v>319</v>
      </c>
      <c r="S4156" t="s">
        <v>30</v>
      </c>
      <c r="T4156" t="s">
        <v>3535</v>
      </c>
      <c r="U4156" t="s">
        <v>3536</v>
      </c>
      <c r="V4156" t="s">
        <v>39</v>
      </c>
      <c r="W4156" s="1">
        <v>2</v>
      </c>
    </row>
    <row r="4157" spans="1:23" x14ac:dyDescent="0.2">
      <c r="A4157" t="s">
        <v>2096</v>
      </c>
      <c r="B4157" t="s">
        <v>3333</v>
      </c>
      <c r="C4157" t="s">
        <v>3442</v>
      </c>
      <c r="D4157" t="s">
        <v>3466</v>
      </c>
      <c r="E4157" t="s">
        <v>3526</v>
      </c>
      <c r="F4157" t="s">
        <v>3527</v>
      </c>
      <c r="G4157" t="s">
        <v>49</v>
      </c>
      <c r="H4157" t="s">
        <v>30</v>
      </c>
      <c r="I4157" t="s">
        <v>30</v>
      </c>
      <c r="J4157" t="s">
        <v>57</v>
      </c>
      <c r="K4157" t="s">
        <v>32</v>
      </c>
      <c r="L4157" t="s">
        <v>32</v>
      </c>
      <c r="M4157" t="s">
        <v>33</v>
      </c>
      <c r="N4157" t="s">
        <v>33</v>
      </c>
      <c r="O4157" t="s">
        <v>33</v>
      </c>
      <c r="P4157" t="s">
        <v>213</v>
      </c>
      <c r="Q4157" t="s">
        <v>2118</v>
      </c>
      <c r="R4157" t="s">
        <v>319</v>
      </c>
      <c r="S4157" t="s">
        <v>30</v>
      </c>
      <c r="T4157" t="s">
        <v>3535</v>
      </c>
      <c r="U4157" t="s">
        <v>3536</v>
      </c>
      <c r="V4157" t="s">
        <v>40</v>
      </c>
      <c r="W4157" s="1">
        <v>4098000</v>
      </c>
    </row>
    <row r="4158" spans="1:23" x14ac:dyDescent="0.2">
      <c r="A4158" t="s">
        <v>2096</v>
      </c>
      <c r="B4158" t="s">
        <v>3333</v>
      </c>
      <c r="C4158" t="s">
        <v>3442</v>
      </c>
      <c r="D4158" t="s">
        <v>3466</v>
      </c>
      <c r="E4158" t="s">
        <v>3526</v>
      </c>
      <c r="F4158" t="s">
        <v>3527</v>
      </c>
      <c r="G4158" t="s">
        <v>61</v>
      </c>
      <c r="H4158" t="s">
        <v>52</v>
      </c>
      <c r="I4158" t="s">
        <v>52</v>
      </c>
      <c r="J4158" t="s">
        <v>31</v>
      </c>
      <c r="K4158" t="s">
        <v>32</v>
      </c>
      <c r="L4158" t="s">
        <v>32</v>
      </c>
      <c r="M4158" t="s">
        <v>33</v>
      </c>
      <c r="N4158" t="s">
        <v>33</v>
      </c>
      <c r="O4158" t="s">
        <v>33</v>
      </c>
      <c r="P4158" t="s">
        <v>213</v>
      </c>
      <c r="Q4158" t="s">
        <v>2118</v>
      </c>
      <c r="S4158" t="s">
        <v>30</v>
      </c>
      <c r="T4158" t="s">
        <v>3537</v>
      </c>
      <c r="U4158" t="s">
        <v>3538</v>
      </c>
      <c r="V4158" t="s">
        <v>39</v>
      </c>
      <c r="W4158" s="1">
        <v>1</v>
      </c>
    </row>
    <row r="4159" spans="1:23" x14ac:dyDescent="0.2">
      <c r="A4159" t="s">
        <v>2096</v>
      </c>
      <c r="B4159" t="s">
        <v>3333</v>
      </c>
      <c r="C4159" t="s">
        <v>3442</v>
      </c>
      <c r="D4159" t="s">
        <v>3466</v>
      </c>
      <c r="E4159" t="s">
        <v>3526</v>
      </c>
      <c r="F4159" t="s">
        <v>3527</v>
      </c>
      <c r="G4159" t="s">
        <v>61</v>
      </c>
      <c r="H4159" t="s">
        <v>52</v>
      </c>
      <c r="I4159" t="s">
        <v>52</v>
      </c>
      <c r="J4159" t="s">
        <v>31</v>
      </c>
      <c r="K4159" t="s">
        <v>32</v>
      </c>
      <c r="L4159" t="s">
        <v>32</v>
      </c>
      <c r="M4159" t="s">
        <v>33</v>
      </c>
      <c r="N4159" t="s">
        <v>33</v>
      </c>
      <c r="O4159" t="s">
        <v>33</v>
      </c>
      <c r="P4159" t="s">
        <v>213</v>
      </c>
      <c r="Q4159" t="s">
        <v>2118</v>
      </c>
      <c r="S4159" t="s">
        <v>30</v>
      </c>
      <c r="T4159" t="s">
        <v>3537</v>
      </c>
      <c r="U4159" t="s">
        <v>3538</v>
      </c>
      <c r="V4159" t="s">
        <v>40</v>
      </c>
      <c r="W4159" s="1">
        <v>1327500</v>
      </c>
    </row>
    <row r="4160" spans="1:23" x14ac:dyDescent="0.2">
      <c r="A4160" t="s">
        <v>2096</v>
      </c>
      <c r="B4160" t="s">
        <v>3333</v>
      </c>
      <c r="C4160" t="s">
        <v>3442</v>
      </c>
      <c r="D4160" t="s">
        <v>3466</v>
      </c>
      <c r="E4160" t="s">
        <v>3526</v>
      </c>
      <c r="F4160" t="s">
        <v>3527</v>
      </c>
      <c r="G4160" t="s">
        <v>61</v>
      </c>
      <c r="H4160" t="s">
        <v>52</v>
      </c>
      <c r="I4160" t="s">
        <v>52</v>
      </c>
      <c r="J4160" t="s">
        <v>31</v>
      </c>
      <c r="K4160" t="s">
        <v>32</v>
      </c>
      <c r="L4160" t="s">
        <v>32</v>
      </c>
      <c r="M4160" t="s">
        <v>33</v>
      </c>
      <c r="N4160" t="s">
        <v>169</v>
      </c>
      <c r="O4160" t="s">
        <v>169</v>
      </c>
      <c r="P4160" t="s">
        <v>213</v>
      </c>
      <c r="Q4160" t="s">
        <v>2118</v>
      </c>
      <c r="S4160" t="s">
        <v>30</v>
      </c>
      <c r="T4160" t="s">
        <v>3537</v>
      </c>
      <c r="U4160" t="s">
        <v>3538</v>
      </c>
      <c r="V4160" t="s">
        <v>39</v>
      </c>
      <c r="W4160" s="1">
        <v>1</v>
      </c>
    </row>
    <row r="4161" spans="1:23" x14ac:dyDescent="0.2">
      <c r="A4161" t="s">
        <v>2096</v>
      </c>
      <c r="B4161" t="s">
        <v>3333</v>
      </c>
      <c r="C4161" t="s">
        <v>3442</v>
      </c>
      <c r="D4161" t="s">
        <v>3466</v>
      </c>
      <c r="E4161" t="s">
        <v>3526</v>
      </c>
      <c r="F4161" t="s">
        <v>3527</v>
      </c>
      <c r="G4161" t="s">
        <v>61</v>
      </c>
      <c r="H4161" t="s">
        <v>52</v>
      </c>
      <c r="I4161" t="s">
        <v>52</v>
      </c>
      <c r="J4161" t="s">
        <v>31</v>
      </c>
      <c r="K4161" t="s">
        <v>32</v>
      </c>
      <c r="L4161" t="s">
        <v>32</v>
      </c>
      <c r="M4161" t="s">
        <v>33</v>
      </c>
      <c r="N4161" t="s">
        <v>169</v>
      </c>
      <c r="O4161" t="s">
        <v>169</v>
      </c>
      <c r="P4161" t="s">
        <v>213</v>
      </c>
      <c r="Q4161" t="s">
        <v>2118</v>
      </c>
      <c r="S4161" t="s">
        <v>30</v>
      </c>
      <c r="T4161" t="s">
        <v>3537</v>
      </c>
      <c r="U4161" t="s">
        <v>3538</v>
      </c>
      <c r="V4161" t="s">
        <v>40</v>
      </c>
      <c r="W4161" s="1">
        <v>1327500</v>
      </c>
    </row>
    <row r="4162" spans="1:23" x14ac:dyDescent="0.2">
      <c r="A4162" t="s">
        <v>2096</v>
      </c>
      <c r="B4162" t="s">
        <v>3333</v>
      </c>
      <c r="C4162" t="s">
        <v>3442</v>
      </c>
      <c r="D4162" t="s">
        <v>3466</v>
      </c>
      <c r="E4162" t="s">
        <v>3526</v>
      </c>
      <c r="F4162" t="s">
        <v>3527</v>
      </c>
      <c r="G4162" t="s">
        <v>170</v>
      </c>
      <c r="H4162" t="s">
        <v>52</v>
      </c>
      <c r="I4162" t="s">
        <v>30</v>
      </c>
      <c r="J4162" t="s">
        <v>31</v>
      </c>
      <c r="K4162" t="s">
        <v>32</v>
      </c>
      <c r="L4162" t="s">
        <v>32</v>
      </c>
      <c r="M4162" t="s">
        <v>33</v>
      </c>
      <c r="N4162" t="s">
        <v>33</v>
      </c>
      <c r="O4162" t="s">
        <v>33</v>
      </c>
      <c r="P4162" t="s">
        <v>34</v>
      </c>
      <c r="Q4162" t="s">
        <v>35</v>
      </c>
      <c r="S4162" t="s">
        <v>30</v>
      </c>
      <c r="T4162" t="s">
        <v>1200</v>
      </c>
      <c r="U4162" t="s">
        <v>3539</v>
      </c>
      <c r="V4162" t="s">
        <v>39</v>
      </c>
      <c r="W4162" s="1">
        <v>4</v>
      </c>
    </row>
    <row r="4163" spans="1:23" x14ac:dyDescent="0.2">
      <c r="A4163" t="s">
        <v>2096</v>
      </c>
      <c r="B4163" t="s">
        <v>3333</v>
      </c>
      <c r="C4163" t="s">
        <v>3442</v>
      </c>
      <c r="D4163" t="s">
        <v>3466</v>
      </c>
      <c r="E4163" t="s">
        <v>3526</v>
      </c>
      <c r="F4163" t="s">
        <v>3527</v>
      </c>
      <c r="G4163" t="s">
        <v>170</v>
      </c>
      <c r="H4163" t="s">
        <v>52</v>
      </c>
      <c r="I4163" t="s">
        <v>30</v>
      </c>
      <c r="J4163" t="s">
        <v>31</v>
      </c>
      <c r="K4163" t="s">
        <v>32</v>
      </c>
      <c r="L4163" t="s">
        <v>32</v>
      </c>
      <c r="M4163" t="s">
        <v>33</v>
      </c>
      <c r="N4163" t="s">
        <v>33</v>
      </c>
      <c r="O4163" t="s">
        <v>33</v>
      </c>
      <c r="P4163" t="s">
        <v>34</v>
      </c>
      <c r="Q4163" t="s">
        <v>35</v>
      </c>
      <c r="S4163" t="s">
        <v>30</v>
      </c>
      <c r="T4163" t="s">
        <v>1200</v>
      </c>
      <c r="U4163" t="s">
        <v>3539</v>
      </c>
      <c r="V4163" t="s">
        <v>40</v>
      </c>
      <c r="W4163" s="1">
        <v>4799600</v>
      </c>
    </row>
    <row r="4164" spans="1:23" x14ac:dyDescent="0.2">
      <c r="A4164" t="s">
        <v>2096</v>
      </c>
      <c r="B4164" t="s">
        <v>3333</v>
      </c>
      <c r="C4164" t="s">
        <v>3442</v>
      </c>
      <c r="D4164" t="s">
        <v>3466</v>
      </c>
      <c r="E4164" t="s">
        <v>3526</v>
      </c>
      <c r="F4164" t="s">
        <v>3527</v>
      </c>
      <c r="G4164" t="s">
        <v>64</v>
      </c>
      <c r="H4164" t="s">
        <v>30</v>
      </c>
      <c r="I4164" t="s">
        <v>52</v>
      </c>
      <c r="J4164" t="s">
        <v>31</v>
      </c>
      <c r="K4164" t="s">
        <v>32</v>
      </c>
      <c r="L4164" t="s">
        <v>32</v>
      </c>
      <c r="M4164" t="s">
        <v>33</v>
      </c>
      <c r="N4164" t="s">
        <v>33</v>
      </c>
      <c r="O4164" t="s">
        <v>33</v>
      </c>
      <c r="P4164" t="s">
        <v>213</v>
      </c>
      <c r="Q4164" t="s">
        <v>2111</v>
      </c>
      <c r="S4164" t="s">
        <v>30</v>
      </c>
      <c r="T4164" t="s">
        <v>3540</v>
      </c>
      <c r="U4164" t="s">
        <v>3541</v>
      </c>
      <c r="V4164" t="s">
        <v>39</v>
      </c>
      <c r="W4164" s="1">
        <v>3</v>
      </c>
    </row>
    <row r="4165" spans="1:23" x14ac:dyDescent="0.2">
      <c r="A4165" t="s">
        <v>2096</v>
      </c>
      <c r="B4165" t="s">
        <v>3333</v>
      </c>
      <c r="C4165" t="s">
        <v>3442</v>
      </c>
      <c r="D4165" t="s">
        <v>3466</v>
      </c>
      <c r="E4165" t="s">
        <v>3526</v>
      </c>
      <c r="F4165" t="s">
        <v>3527</v>
      </c>
      <c r="G4165" t="s">
        <v>64</v>
      </c>
      <c r="H4165" t="s">
        <v>30</v>
      </c>
      <c r="I4165" t="s">
        <v>52</v>
      </c>
      <c r="J4165" t="s">
        <v>31</v>
      </c>
      <c r="K4165" t="s">
        <v>32</v>
      </c>
      <c r="L4165" t="s">
        <v>32</v>
      </c>
      <c r="M4165" t="s">
        <v>33</v>
      </c>
      <c r="N4165" t="s">
        <v>33</v>
      </c>
      <c r="O4165" t="s">
        <v>33</v>
      </c>
      <c r="P4165" t="s">
        <v>213</v>
      </c>
      <c r="Q4165" t="s">
        <v>2111</v>
      </c>
      <c r="S4165" t="s">
        <v>30</v>
      </c>
      <c r="T4165" t="s">
        <v>3540</v>
      </c>
      <c r="U4165" t="s">
        <v>3541</v>
      </c>
      <c r="V4165" t="s">
        <v>40</v>
      </c>
      <c r="W4165" s="1">
        <v>2991300</v>
      </c>
    </row>
    <row r="4166" spans="1:23" x14ac:dyDescent="0.2">
      <c r="A4166" t="s">
        <v>2096</v>
      </c>
      <c r="B4166" t="s">
        <v>3333</v>
      </c>
      <c r="C4166" t="s">
        <v>3442</v>
      </c>
      <c r="D4166" t="s">
        <v>3466</v>
      </c>
      <c r="E4166" t="s">
        <v>3526</v>
      </c>
      <c r="F4166" t="s">
        <v>3527</v>
      </c>
      <c r="G4166" t="s">
        <v>64</v>
      </c>
      <c r="H4166" t="s">
        <v>30</v>
      </c>
      <c r="I4166" t="s">
        <v>52</v>
      </c>
      <c r="J4166" t="s">
        <v>31</v>
      </c>
      <c r="K4166" t="s">
        <v>32</v>
      </c>
      <c r="L4166" t="s">
        <v>32</v>
      </c>
      <c r="M4166" t="s">
        <v>33</v>
      </c>
      <c r="N4166" t="s">
        <v>33</v>
      </c>
      <c r="O4166" t="s">
        <v>33</v>
      </c>
      <c r="P4166" t="s">
        <v>34</v>
      </c>
      <c r="Q4166" t="s">
        <v>35</v>
      </c>
      <c r="S4166" t="s">
        <v>30</v>
      </c>
      <c r="T4166" t="s">
        <v>3542</v>
      </c>
      <c r="U4166" t="s">
        <v>3543</v>
      </c>
      <c r="V4166" t="s">
        <v>39</v>
      </c>
      <c r="W4166" s="1">
        <v>4</v>
      </c>
    </row>
    <row r="4167" spans="1:23" x14ac:dyDescent="0.2">
      <c r="A4167" t="s">
        <v>2096</v>
      </c>
      <c r="B4167" t="s">
        <v>3333</v>
      </c>
      <c r="C4167" t="s">
        <v>3442</v>
      </c>
      <c r="D4167" t="s">
        <v>3466</v>
      </c>
      <c r="E4167" t="s">
        <v>3526</v>
      </c>
      <c r="F4167" t="s">
        <v>3527</v>
      </c>
      <c r="G4167" t="s">
        <v>64</v>
      </c>
      <c r="H4167" t="s">
        <v>30</v>
      </c>
      <c r="I4167" t="s">
        <v>52</v>
      </c>
      <c r="J4167" t="s">
        <v>31</v>
      </c>
      <c r="K4167" t="s">
        <v>32</v>
      </c>
      <c r="L4167" t="s">
        <v>32</v>
      </c>
      <c r="M4167" t="s">
        <v>33</v>
      </c>
      <c r="N4167" t="s">
        <v>33</v>
      </c>
      <c r="O4167" t="s">
        <v>33</v>
      </c>
      <c r="P4167" t="s">
        <v>34</v>
      </c>
      <c r="Q4167" t="s">
        <v>35</v>
      </c>
      <c r="S4167" t="s">
        <v>30</v>
      </c>
      <c r="T4167" t="s">
        <v>3542</v>
      </c>
      <c r="U4167" t="s">
        <v>3543</v>
      </c>
      <c r="V4167" t="s">
        <v>40</v>
      </c>
      <c r="W4167" s="1">
        <v>3719600</v>
      </c>
    </row>
    <row r="4168" spans="1:23" x14ac:dyDescent="0.2">
      <c r="A4168" t="s">
        <v>2096</v>
      </c>
      <c r="B4168" t="s">
        <v>3333</v>
      </c>
      <c r="C4168" t="s">
        <v>3442</v>
      </c>
      <c r="D4168" t="s">
        <v>3466</v>
      </c>
      <c r="E4168" t="s">
        <v>3526</v>
      </c>
      <c r="F4168" t="s">
        <v>3527</v>
      </c>
      <c r="G4168" t="s">
        <v>64</v>
      </c>
      <c r="H4168" t="s">
        <v>30</v>
      </c>
      <c r="I4168" t="s">
        <v>52</v>
      </c>
      <c r="J4168" t="s">
        <v>31</v>
      </c>
      <c r="K4168" t="s">
        <v>32</v>
      </c>
      <c r="L4168" t="s">
        <v>32</v>
      </c>
      <c r="M4168" t="s">
        <v>33</v>
      </c>
      <c r="N4168" t="s">
        <v>169</v>
      </c>
      <c r="O4168" t="s">
        <v>169</v>
      </c>
      <c r="P4168" t="s">
        <v>213</v>
      </c>
      <c r="Q4168" t="s">
        <v>2111</v>
      </c>
      <c r="S4168" t="s">
        <v>30</v>
      </c>
      <c r="T4168" t="s">
        <v>3540</v>
      </c>
      <c r="U4168" t="s">
        <v>3541</v>
      </c>
      <c r="V4168" t="s">
        <v>39</v>
      </c>
      <c r="W4168" s="1">
        <v>1</v>
      </c>
    </row>
    <row r="4169" spans="1:23" x14ac:dyDescent="0.2">
      <c r="A4169" t="s">
        <v>2096</v>
      </c>
      <c r="B4169" t="s">
        <v>3333</v>
      </c>
      <c r="C4169" t="s">
        <v>3442</v>
      </c>
      <c r="D4169" t="s">
        <v>3466</v>
      </c>
      <c r="E4169" t="s">
        <v>3526</v>
      </c>
      <c r="F4169" t="s">
        <v>3527</v>
      </c>
      <c r="G4169" t="s">
        <v>64</v>
      </c>
      <c r="H4169" t="s">
        <v>30</v>
      </c>
      <c r="I4169" t="s">
        <v>52</v>
      </c>
      <c r="J4169" t="s">
        <v>31</v>
      </c>
      <c r="K4169" t="s">
        <v>32</v>
      </c>
      <c r="L4169" t="s">
        <v>32</v>
      </c>
      <c r="M4169" t="s">
        <v>33</v>
      </c>
      <c r="N4169" t="s">
        <v>169</v>
      </c>
      <c r="O4169" t="s">
        <v>169</v>
      </c>
      <c r="P4169" t="s">
        <v>213</v>
      </c>
      <c r="Q4169" t="s">
        <v>2111</v>
      </c>
      <c r="S4169" t="s">
        <v>30</v>
      </c>
      <c r="T4169" t="s">
        <v>3540</v>
      </c>
      <c r="U4169" t="s">
        <v>3541</v>
      </c>
      <c r="V4169" t="s">
        <v>40</v>
      </c>
      <c r="W4169" s="1">
        <v>997100</v>
      </c>
    </row>
    <row r="4170" spans="1:23" x14ac:dyDescent="0.2">
      <c r="A4170" t="s">
        <v>2096</v>
      </c>
      <c r="B4170" t="s">
        <v>3333</v>
      </c>
      <c r="C4170" t="s">
        <v>3442</v>
      </c>
      <c r="D4170" t="s">
        <v>3466</v>
      </c>
      <c r="E4170" t="s">
        <v>3526</v>
      </c>
      <c r="F4170" t="s">
        <v>3527</v>
      </c>
      <c r="G4170" t="s">
        <v>67</v>
      </c>
      <c r="H4170" t="s">
        <v>30</v>
      </c>
      <c r="I4170" t="s">
        <v>30</v>
      </c>
      <c r="J4170" t="s">
        <v>31</v>
      </c>
      <c r="K4170" t="s">
        <v>32</v>
      </c>
      <c r="L4170" t="s">
        <v>32</v>
      </c>
      <c r="M4170" t="s">
        <v>33</v>
      </c>
      <c r="P4170" t="s">
        <v>213</v>
      </c>
      <c r="Q4170" t="s">
        <v>2111</v>
      </c>
      <c r="S4170" t="s">
        <v>52</v>
      </c>
      <c r="T4170" t="s">
        <v>3544</v>
      </c>
      <c r="U4170" t="s">
        <v>3545</v>
      </c>
      <c r="V4170" t="s">
        <v>39</v>
      </c>
      <c r="W4170" s="1">
        <v>0</v>
      </c>
    </row>
    <row r="4171" spans="1:23" x14ac:dyDescent="0.2">
      <c r="A4171" t="s">
        <v>2096</v>
      </c>
      <c r="B4171" t="s">
        <v>3333</v>
      </c>
      <c r="C4171" t="s">
        <v>3442</v>
      </c>
      <c r="D4171" t="s">
        <v>3466</v>
      </c>
      <c r="E4171" t="s">
        <v>3526</v>
      </c>
      <c r="F4171" t="s">
        <v>3527</v>
      </c>
      <c r="G4171" t="s">
        <v>67</v>
      </c>
      <c r="H4171" t="s">
        <v>30</v>
      </c>
      <c r="I4171" t="s">
        <v>30</v>
      </c>
      <c r="J4171" t="s">
        <v>31</v>
      </c>
      <c r="K4171" t="s">
        <v>32</v>
      </c>
      <c r="L4171" t="s">
        <v>32</v>
      </c>
      <c r="M4171" t="s">
        <v>33</v>
      </c>
      <c r="P4171" t="s">
        <v>213</v>
      </c>
      <c r="Q4171" t="s">
        <v>2111</v>
      </c>
      <c r="S4171" t="s">
        <v>52</v>
      </c>
      <c r="T4171" t="s">
        <v>3544</v>
      </c>
      <c r="U4171" t="s">
        <v>3545</v>
      </c>
      <c r="V4171" t="s">
        <v>40</v>
      </c>
      <c r="W4171" s="1">
        <v>2033700</v>
      </c>
    </row>
    <row r="4172" spans="1:23" x14ac:dyDescent="0.2">
      <c r="A4172" t="s">
        <v>2096</v>
      </c>
      <c r="B4172" t="s">
        <v>3333</v>
      </c>
      <c r="C4172" t="s">
        <v>3442</v>
      </c>
      <c r="D4172" t="s">
        <v>3466</v>
      </c>
      <c r="E4172" t="s">
        <v>3526</v>
      </c>
      <c r="F4172" t="s">
        <v>3527</v>
      </c>
      <c r="G4172" t="s">
        <v>89</v>
      </c>
      <c r="H4172" t="s">
        <v>30</v>
      </c>
      <c r="I4172" t="s">
        <v>30</v>
      </c>
      <c r="J4172" t="s">
        <v>41</v>
      </c>
      <c r="K4172" t="s">
        <v>32</v>
      </c>
      <c r="L4172" t="s">
        <v>32</v>
      </c>
      <c r="M4172" t="s">
        <v>33</v>
      </c>
      <c r="N4172" t="s">
        <v>33</v>
      </c>
      <c r="O4172" t="s">
        <v>33</v>
      </c>
      <c r="P4172" t="s">
        <v>34</v>
      </c>
      <c r="Q4172" t="s">
        <v>35</v>
      </c>
      <c r="R4172" t="s">
        <v>96</v>
      </c>
      <c r="S4172" t="s">
        <v>30</v>
      </c>
      <c r="T4172" t="s">
        <v>3546</v>
      </c>
      <c r="U4172" t="s">
        <v>3547</v>
      </c>
      <c r="V4172" t="s">
        <v>39</v>
      </c>
      <c r="W4172" s="1">
        <v>2</v>
      </c>
    </row>
    <row r="4173" spans="1:23" x14ac:dyDescent="0.2">
      <c r="A4173" t="s">
        <v>2096</v>
      </c>
      <c r="B4173" t="s">
        <v>3333</v>
      </c>
      <c r="C4173" t="s">
        <v>3442</v>
      </c>
      <c r="D4173" t="s">
        <v>3466</v>
      </c>
      <c r="E4173" t="s">
        <v>3526</v>
      </c>
      <c r="F4173" t="s">
        <v>3527</v>
      </c>
      <c r="G4173" t="s">
        <v>89</v>
      </c>
      <c r="H4173" t="s">
        <v>30</v>
      </c>
      <c r="I4173" t="s">
        <v>30</v>
      </c>
      <c r="J4173" t="s">
        <v>41</v>
      </c>
      <c r="K4173" t="s">
        <v>32</v>
      </c>
      <c r="L4173" t="s">
        <v>32</v>
      </c>
      <c r="M4173" t="s">
        <v>33</v>
      </c>
      <c r="N4173" t="s">
        <v>33</v>
      </c>
      <c r="O4173" t="s">
        <v>33</v>
      </c>
      <c r="P4173" t="s">
        <v>34</v>
      </c>
      <c r="Q4173" t="s">
        <v>35</v>
      </c>
      <c r="R4173" t="s">
        <v>96</v>
      </c>
      <c r="S4173" t="s">
        <v>30</v>
      </c>
      <c r="T4173" t="s">
        <v>3546</v>
      </c>
      <c r="U4173" t="s">
        <v>3547</v>
      </c>
      <c r="V4173" t="s">
        <v>40</v>
      </c>
      <c r="W4173" s="1">
        <v>11210000</v>
      </c>
    </row>
    <row r="4174" spans="1:23" x14ac:dyDescent="0.2">
      <c r="A4174" t="s">
        <v>2096</v>
      </c>
      <c r="B4174" t="s">
        <v>3333</v>
      </c>
      <c r="C4174" t="s">
        <v>3442</v>
      </c>
      <c r="D4174" t="s">
        <v>3466</v>
      </c>
      <c r="E4174" t="s">
        <v>3526</v>
      </c>
      <c r="F4174" t="s">
        <v>3527</v>
      </c>
      <c r="G4174" t="s">
        <v>89</v>
      </c>
      <c r="H4174" t="s">
        <v>30</v>
      </c>
      <c r="I4174" t="s">
        <v>30</v>
      </c>
      <c r="J4174" t="s">
        <v>57</v>
      </c>
      <c r="K4174" t="s">
        <v>32</v>
      </c>
      <c r="L4174" t="s">
        <v>32</v>
      </c>
      <c r="M4174" t="s">
        <v>33</v>
      </c>
      <c r="N4174" t="s">
        <v>33</v>
      </c>
      <c r="O4174" t="s">
        <v>33</v>
      </c>
      <c r="P4174" t="s">
        <v>213</v>
      </c>
      <c r="Q4174" t="s">
        <v>2111</v>
      </c>
      <c r="S4174" t="s">
        <v>30</v>
      </c>
      <c r="T4174" t="s">
        <v>3548</v>
      </c>
      <c r="U4174" t="s">
        <v>3549</v>
      </c>
      <c r="V4174" t="s">
        <v>39</v>
      </c>
      <c r="W4174" s="1">
        <v>2</v>
      </c>
    </row>
    <row r="4175" spans="1:23" x14ac:dyDescent="0.2">
      <c r="A4175" t="s">
        <v>2096</v>
      </c>
      <c r="B4175" t="s">
        <v>3333</v>
      </c>
      <c r="C4175" t="s">
        <v>3442</v>
      </c>
      <c r="D4175" t="s">
        <v>3466</v>
      </c>
      <c r="E4175" t="s">
        <v>3526</v>
      </c>
      <c r="F4175" t="s">
        <v>3527</v>
      </c>
      <c r="G4175" t="s">
        <v>89</v>
      </c>
      <c r="H4175" t="s">
        <v>30</v>
      </c>
      <c r="I4175" t="s">
        <v>30</v>
      </c>
      <c r="J4175" t="s">
        <v>57</v>
      </c>
      <c r="K4175" t="s">
        <v>32</v>
      </c>
      <c r="L4175" t="s">
        <v>32</v>
      </c>
      <c r="M4175" t="s">
        <v>33</v>
      </c>
      <c r="N4175" t="s">
        <v>33</v>
      </c>
      <c r="O4175" t="s">
        <v>33</v>
      </c>
      <c r="P4175" t="s">
        <v>213</v>
      </c>
      <c r="Q4175" t="s">
        <v>2111</v>
      </c>
      <c r="S4175" t="s">
        <v>30</v>
      </c>
      <c r="T4175" t="s">
        <v>3548</v>
      </c>
      <c r="U4175" t="s">
        <v>3549</v>
      </c>
      <c r="V4175" t="s">
        <v>40</v>
      </c>
      <c r="W4175" s="1">
        <v>4891600</v>
      </c>
    </row>
    <row r="4176" spans="1:23" x14ac:dyDescent="0.2">
      <c r="A4176" t="s">
        <v>2096</v>
      </c>
      <c r="B4176" t="s">
        <v>3333</v>
      </c>
      <c r="C4176" t="s">
        <v>3442</v>
      </c>
      <c r="D4176" t="s">
        <v>3466</v>
      </c>
      <c r="E4176" t="s">
        <v>3526</v>
      </c>
      <c r="F4176" t="s">
        <v>3527</v>
      </c>
      <c r="G4176" t="s">
        <v>89</v>
      </c>
      <c r="H4176" t="s">
        <v>30</v>
      </c>
      <c r="I4176" t="s">
        <v>30</v>
      </c>
      <c r="J4176" t="s">
        <v>57</v>
      </c>
      <c r="K4176" t="s">
        <v>32</v>
      </c>
      <c r="L4176" t="s">
        <v>32</v>
      </c>
      <c r="M4176" t="s">
        <v>33</v>
      </c>
      <c r="P4176" t="s">
        <v>213</v>
      </c>
      <c r="Q4176" t="s">
        <v>2111</v>
      </c>
      <c r="S4176" t="s">
        <v>30</v>
      </c>
      <c r="T4176" t="s">
        <v>3548</v>
      </c>
      <c r="U4176" t="s">
        <v>3549</v>
      </c>
      <c r="V4176" t="s">
        <v>39</v>
      </c>
      <c r="W4176" s="1">
        <v>6</v>
      </c>
    </row>
    <row r="4177" spans="1:23" x14ac:dyDescent="0.2">
      <c r="A4177" t="s">
        <v>2096</v>
      </c>
      <c r="B4177" t="s">
        <v>3333</v>
      </c>
      <c r="C4177" t="s">
        <v>3442</v>
      </c>
      <c r="D4177" t="s">
        <v>3466</v>
      </c>
      <c r="E4177" t="s">
        <v>3526</v>
      </c>
      <c r="F4177" t="s">
        <v>3527</v>
      </c>
      <c r="G4177" t="s">
        <v>89</v>
      </c>
      <c r="H4177" t="s">
        <v>30</v>
      </c>
      <c r="I4177" t="s">
        <v>30</v>
      </c>
      <c r="J4177" t="s">
        <v>57</v>
      </c>
      <c r="K4177" t="s">
        <v>32</v>
      </c>
      <c r="L4177" t="s">
        <v>32</v>
      </c>
      <c r="M4177" t="s">
        <v>33</v>
      </c>
      <c r="P4177" t="s">
        <v>213</v>
      </c>
      <c r="Q4177" t="s">
        <v>2111</v>
      </c>
      <c r="S4177" t="s">
        <v>30</v>
      </c>
      <c r="T4177" t="s">
        <v>3548</v>
      </c>
      <c r="U4177" t="s">
        <v>3549</v>
      </c>
      <c r="V4177" t="s">
        <v>40</v>
      </c>
      <c r="W4177" s="1">
        <v>14674800</v>
      </c>
    </row>
    <row r="4178" spans="1:23" x14ac:dyDescent="0.2">
      <c r="A4178" t="s">
        <v>2096</v>
      </c>
      <c r="B4178" t="s">
        <v>3333</v>
      </c>
      <c r="C4178" t="s">
        <v>3442</v>
      </c>
      <c r="D4178" t="s">
        <v>3466</v>
      </c>
      <c r="E4178" t="s">
        <v>3526</v>
      </c>
      <c r="F4178" t="s">
        <v>3527</v>
      </c>
      <c r="G4178" t="s">
        <v>106</v>
      </c>
      <c r="H4178" t="s">
        <v>30</v>
      </c>
      <c r="I4178" t="s">
        <v>30</v>
      </c>
      <c r="J4178" t="s">
        <v>31</v>
      </c>
      <c r="K4178" t="s">
        <v>32</v>
      </c>
      <c r="L4178" t="s">
        <v>32</v>
      </c>
      <c r="M4178" t="s">
        <v>33</v>
      </c>
      <c r="N4178" t="s">
        <v>33</v>
      </c>
      <c r="O4178" t="s">
        <v>33</v>
      </c>
      <c r="P4178" t="s">
        <v>213</v>
      </c>
      <c r="Q4178" t="s">
        <v>2111</v>
      </c>
      <c r="S4178" t="s">
        <v>30</v>
      </c>
      <c r="T4178" t="s">
        <v>3550</v>
      </c>
      <c r="U4178" t="s">
        <v>3551</v>
      </c>
      <c r="V4178" t="s">
        <v>39</v>
      </c>
      <c r="W4178" s="1">
        <v>3</v>
      </c>
    </row>
    <row r="4179" spans="1:23" x14ac:dyDescent="0.2">
      <c r="A4179" t="s">
        <v>2096</v>
      </c>
      <c r="B4179" t="s">
        <v>3333</v>
      </c>
      <c r="C4179" t="s">
        <v>3442</v>
      </c>
      <c r="D4179" t="s">
        <v>3466</v>
      </c>
      <c r="E4179" t="s">
        <v>3526</v>
      </c>
      <c r="F4179" t="s">
        <v>3527</v>
      </c>
      <c r="G4179" t="s">
        <v>106</v>
      </c>
      <c r="H4179" t="s">
        <v>30</v>
      </c>
      <c r="I4179" t="s">
        <v>30</v>
      </c>
      <c r="J4179" t="s">
        <v>31</v>
      </c>
      <c r="K4179" t="s">
        <v>32</v>
      </c>
      <c r="L4179" t="s">
        <v>32</v>
      </c>
      <c r="M4179" t="s">
        <v>33</v>
      </c>
      <c r="N4179" t="s">
        <v>33</v>
      </c>
      <c r="O4179" t="s">
        <v>33</v>
      </c>
      <c r="P4179" t="s">
        <v>213</v>
      </c>
      <c r="Q4179" t="s">
        <v>2111</v>
      </c>
      <c r="S4179" t="s">
        <v>30</v>
      </c>
      <c r="T4179" t="s">
        <v>3550</v>
      </c>
      <c r="U4179" t="s">
        <v>3551</v>
      </c>
      <c r="V4179" t="s">
        <v>40</v>
      </c>
      <c r="W4179" s="1">
        <v>2244000</v>
      </c>
    </row>
    <row r="4180" spans="1:23" x14ac:dyDescent="0.2">
      <c r="A4180" t="s">
        <v>2096</v>
      </c>
      <c r="B4180" t="s">
        <v>3333</v>
      </c>
      <c r="C4180" t="s">
        <v>3442</v>
      </c>
      <c r="D4180" t="s">
        <v>3466</v>
      </c>
      <c r="E4180" t="s">
        <v>3526</v>
      </c>
      <c r="F4180" t="s">
        <v>3527</v>
      </c>
      <c r="G4180" t="s">
        <v>106</v>
      </c>
      <c r="H4180" t="s">
        <v>30</v>
      </c>
      <c r="I4180" t="s">
        <v>30</v>
      </c>
      <c r="J4180" t="s">
        <v>31</v>
      </c>
      <c r="K4180" t="s">
        <v>32</v>
      </c>
      <c r="L4180" t="s">
        <v>32</v>
      </c>
      <c r="M4180" t="s">
        <v>33</v>
      </c>
      <c r="N4180" t="s">
        <v>33</v>
      </c>
      <c r="O4180" t="s">
        <v>33</v>
      </c>
      <c r="P4180" t="s">
        <v>213</v>
      </c>
      <c r="Q4180" t="s">
        <v>2111</v>
      </c>
      <c r="S4180" t="s">
        <v>30</v>
      </c>
      <c r="T4180" t="s">
        <v>3552</v>
      </c>
      <c r="U4180" t="s">
        <v>3553</v>
      </c>
      <c r="V4180" t="s">
        <v>39</v>
      </c>
      <c r="W4180" s="1">
        <v>2</v>
      </c>
    </row>
    <row r="4181" spans="1:23" x14ac:dyDescent="0.2">
      <c r="A4181" t="s">
        <v>2096</v>
      </c>
      <c r="B4181" t="s">
        <v>3333</v>
      </c>
      <c r="C4181" t="s">
        <v>3442</v>
      </c>
      <c r="D4181" t="s">
        <v>3466</v>
      </c>
      <c r="E4181" t="s">
        <v>3526</v>
      </c>
      <c r="F4181" t="s">
        <v>3527</v>
      </c>
      <c r="G4181" t="s">
        <v>106</v>
      </c>
      <c r="H4181" t="s">
        <v>30</v>
      </c>
      <c r="I4181" t="s">
        <v>30</v>
      </c>
      <c r="J4181" t="s">
        <v>31</v>
      </c>
      <c r="K4181" t="s">
        <v>32</v>
      </c>
      <c r="L4181" t="s">
        <v>32</v>
      </c>
      <c r="M4181" t="s">
        <v>33</v>
      </c>
      <c r="N4181" t="s">
        <v>33</v>
      </c>
      <c r="O4181" t="s">
        <v>33</v>
      </c>
      <c r="P4181" t="s">
        <v>213</v>
      </c>
      <c r="Q4181" t="s">
        <v>2111</v>
      </c>
      <c r="S4181" t="s">
        <v>30</v>
      </c>
      <c r="T4181" t="s">
        <v>3552</v>
      </c>
      <c r="U4181" t="s">
        <v>3553</v>
      </c>
      <c r="V4181" t="s">
        <v>40</v>
      </c>
      <c r="W4181" s="1">
        <v>2414200</v>
      </c>
    </row>
    <row r="4182" spans="1:23" x14ac:dyDescent="0.2">
      <c r="A4182" t="s">
        <v>2096</v>
      </c>
      <c r="B4182" t="s">
        <v>3333</v>
      </c>
      <c r="C4182" t="s">
        <v>3442</v>
      </c>
      <c r="D4182" t="s">
        <v>3466</v>
      </c>
      <c r="E4182" t="s">
        <v>3526</v>
      </c>
      <c r="F4182" t="s">
        <v>3527</v>
      </c>
      <c r="G4182" t="s">
        <v>106</v>
      </c>
      <c r="H4182" t="s">
        <v>30</v>
      </c>
      <c r="I4182" t="s">
        <v>30</v>
      </c>
      <c r="J4182" t="s">
        <v>31</v>
      </c>
      <c r="K4182" t="s">
        <v>32</v>
      </c>
      <c r="L4182" t="s">
        <v>32</v>
      </c>
      <c r="M4182" t="s">
        <v>33</v>
      </c>
      <c r="N4182" t="s">
        <v>176</v>
      </c>
      <c r="O4182" t="s">
        <v>176</v>
      </c>
      <c r="P4182" t="s">
        <v>213</v>
      </c>
      <c r="Q4182" t="s">
        <v>2111</v>
      </c>
      <c r="S4182" t="s">
        <v>30</v>
      </c>
      <c r="T4182" t="s">
        <v>3552</v>
      </c>
      <c r="U4182" t="s">
        <v>3553</v>
      </c>
      <c r="V4182" t="s">
        <v>39</v>
      </c>
      <c r="W4182" s="1">
        <v>1</v>
      </c>
    </row>
    <row r="4183" spans="1:23" x14ac:dyDescent="0.2">
      <c r="A4183" t="s">
        <v>2096</v>
      </c>
      <c r="B4183" t="s">
        <v>3333</v>
      </c>
      <c r="C4183" t="s">
        <v>3442</v>
      </c>
      <c r="D4183" t="s">
        <v>3466</v>
      </c>
      <c r="E4183" t="s">
        <v>3526</v>
      </c>
      <c r="F4183" t="s">
        <v>3527</v>
      </c>
      <c r="G4183" t="s">
        <v>106</v>
      </c>
      <c r="H4183" t="s">
        <v>30</v>
      </c>
      <c r="I4183" t="s">
        <v>30</v>
      </c>
      <c r="J4183" t="s">
        <v>31</v>
      </c>
      <c r="K4183" t="s">
        <v>32</v>
      </c>
      <c r="L4183" t="s">
        <v>32</v>
      </c>
      <c r="M4183" t="s">
        <v>33</v>
      </c>
      <c r="N4183" t="s">
        <v>176</v>
      </c>
      <c r="O4183" t="s">
        <v>176</v>
      </c>
      <c r="P4183" t="s">
        <v>213</v>
      </c>
      <c r="Q4183" t="s">
        <v>2111</v>
      </c>
      <c r="S4183" t="s">
        <v>30</v>
      </c>
      <c r="T4183" t="s">
        <v>3552</v>
      </c>
      <c r="U4183" t="s">
        <v>3553</v>
      </c>
      <c r="V4183" t="s">
        <v>40</v>
      </c>
      <c r="W4183" s="1">
        <v>1207100</v>
      </c>
    </row>
    <row r="4184" spans="1:23" x14ac:dyDescent="0.2">
      <c r="A4184" t="s">
        <v>2096</v>
      </c>
      <c r="B4184" t="s">
        <v>3333</v>
      </c>
      <c r="C4184" t="s">
        <v>3442</v>
      </c>
      <c r="D4184" t="s">
        <v>3466</v>
      </c>
      <c r="E4184" t="s">
        <v>3526</v>
      </c>
      <c r="F4184" t="s">
        <v>3527</v>
      </c>
      <c r="G4184" t="s">
        <v>106</v>
      </c>
      <c r="H4184" t="s">
        <v>30</v>
      </c>
      <c r="I4184" t="s">
        <v>30</v>
      </c>
      <c r="J4184" t="s">
        <v>31</v>
      </c>
      <c r="K4184" t="s">
        <v>32</v>
      </c>
      <c r="L4184" t="s">
        <v>32</v>
      </c>
      <c r="M4184" t="s">
        <v>33</v>
      </c>
      <c r="N4184" t="s">
        <v>169</v>
      </c>
      <c r="O4184" t="s">
        <v>169</v>
      </c>
      <c r="P4184" t="s">
        <v>213</v>
      </c>
      <c r="Q4184" t="s">
        <v>2111</v>
      </c>
      <c r="S4184" t="s">
        <v>30</v>
      </c>
      <c r="T4184" t="s">
        <v>3552</v>
      </c>
      <c r="U4184" t="s">
        <v>3553</v>
      </c>
      <c r="V4184" t="s">
        <v>39</v>
      </c>
      <c r="W4184" s="1">
        <v>1</v>
      </c>
    </row>
    <row r="4185" spans="1:23" x14ac:dyDescent="0.2">
      <c r="A4185" t="s">
        <v>2096</v>
      </c>
      <c r="B4185" t="s">
        <v>3333</v>
      </c>
      <c r="C4185" t="s">
        <v>3442</v>
      </c>
      <c r="D4185" t="s">
        <v>3466</v>
      </c>
      <c r="E4185" t="s">
        <v>3526</v>
      </c>
      <c r="F4185" t="s">
        <v>3527</v>
      </c>
      <c r="G4185" t="s">
        <v>106</v>
      </c>
      <c r="H4185" t="s">
        <v>30</v>
      </c>
      <c r="I4185" t="s">
        <v>30</v>
      </c>
      <c r="J4185" t="s">
        <v>31</v>
      </c>
      <c r="K4185" t="s">
        <v>32</v>
      </c>
      <c r="L4185" t="s">
        <v>32</v>
      </c>
      <c r="M4185" t="s">
        <v>33</v>
      </c>
      <c r="N4185" t="s">
        <v>169</v>
      </c>
      <c r="O4185" t="s">
        <v>169</v>
      </c>
      <c r="P4185" t="s">
        <v>213</v>
      </c>
      <c r="Q4185" t="s">
        <v>2111</v>
      </c>
      <c r="S4185" t="s">
        <v>30</v>
      </c>
      <c r="T4185" t="s">
        <v>3552</v>
      </c>
      <c r="U4185" t="s">
        <v>3553</v>
      </c>
      <c r="V4185" t="s">
        <v>40</v>
      </c>
      <c r="W4185" s="1">
        <v>1207100</v>
      </c>
    </row>
    <row r="4186" spans="1:23" x14ac:dyDescent="0.2">
      <c r="A4186" t="s">
        <v>2096</v>
      </c>
      <c r="B4186" t="s">
        <v>3333</v>
      </c>
      <c r="C4186" t="s">
        <v>3442</v>
      </c>
      <c r="D4186" t="s">
        <v>3466</v>
      </c>
      <c r="E4186" t="s">
        <v>3526</v>
      </c>
      <c r="F4186" t="s">
        <v>3527</v>
      </c>
      <c r="G4186" t="s">
        <v>106</v>
      </c>
      <c r="H4186" t="s">
        <v>30</v>
      </c>
      <c r="I4186" t="s">
        <v>30</v>
      </c>
      <c r="J4186" t="s">
        <v>41</v>
      </c>
      <c r="K4186" t="s">
        <v>32</v>
      </c>
      <c r="L4186" t="s">
        <v>32</v>
      </c>
      <c r="M4186" t="s">
        <v>33</v>
      </c>
      <c r="N4186" t="s">
        <v>33</v>
      </c>
      <c r="O4186" t="s">
        <v>33</v>
      </c>
      <c r="P4186" t="s">
        <v>34</v>
      </c>
      <c r="Q4186" t="s">
        <v>35</v>
      </c>
      <c r="R4186" t="s">
        <v>124</v>
      </c>
      <c r="S4186" t="s">
        <v>30</v>
      </c>
      <c r="T4186" t="s">
        <v>3554</v>
      </c>
      <c r="U4186" t="s">
        <v>3555</v>
      </c>
      <c r="V4186" t="s">
        <v>39</v>
      </c>
      <c r="W4186" s="1">
        <v>10</v>
      </c>
    </row>
    <row r="4187" spans="1:23" x14ac:dyDescent="0.2">
      <c r="A4187" t="s">
        <v>2096</v>
      </c>
      <c r="B4187" t="s">
        <v>3333</v>
      </c>
      <c r="C4187" t="s">
        <v>3442</v>
      </c>
      <c r="D4187" t="s">
        <v>3466</v>
      </c>
      <c r="E4187" t="s">
        <v>3526</v>
      </c>
      <c r="F4187" t="s">
        <v>3527</v>
      </c>
      <c r="G4187" t="s">
        <v>106</v>
      </c>
      <c r="H4187" t="s">
        <v>30</v>
      </c>
      <c r="I4187" t="s">
        <v>30</v>
      </c>
      <c r="J4187" t="s">
        <v>41</v>
      </c>
      <c r="K4187" t="s">
        <v>32</v>
      </c>
      <c r="L4187" t="s">
        <v>32</v>
      </c>
      <c r="M4187" t="s">
        <v>33</v>
      </c>
      <c r="N4187" t="s">
        <v>33</v>
      </c>
      <c r="O4187" t="s">
        <v>33</v>
      </c>
      <c r="P4187" t="s">
        <v>34</v>
      </c>
      <c r="Q4187" t="s">
        <v>35</v>
      </c>
      <c r="R4187" t="s">
        <v>124</v>
      </c>
      <c r="S4187" t="s">
        <v>30</v>
      </c>
      <c r="T4187" t="s">
        <v>3554</v>
      </c>
      <c r="U4187" t="s">
        <v>3555</v>
      </c>
      <c r="V4187" t="s">
        <v>40</v>
      </c>
      <c r="W4187" s="1">
        <v>6020000</v>
      </c>
    </row>
    <row r="4188" spans="1:23" x14ac:dyDescent="0.2">
      <c r="A4188" t="s">
        <v>2096</v>
      </c>
      <c r="B4188" t="s">
        <v>3333</v>
      </c>
      <c r="C4188" t="s">
        <v>3442</v>
      </c>
      <c r="D4188" t="s">
        <v>3466</v>
      </c>
      <c r="E4188" t="s">
        <v>3526</v>
      </c>
      <c r="F4188" t="s">
        <v>3527</v>
      </c>
      <c r="G4188" t="s">
        <v>119</v>
      </c>
      <c r="H4188" t="s">
        <v>30</v>
      </c>
      <c r="I4188" t="s">
        <v>52</v>
      </c>
      <c r="J4188" t="s">
        <v>57</v>
      </c>
      <c r="K4188" t="s">
        <v>32</v>
      </c>
      <c r="L4188" t="s">
        <v>32</v>
      </c>
      <c r="M4188" t="s">
        <v>33</v>
      </c>
      <c r="N4188" t="s">
        <v>33</v>
      </c>
      <c r="O4188" t="s">
        <v>33</v>
      </c>
      <c r="P4188" t="s">
        <v>213</v>
      </c>
      <c r="Q4188" t="s">
        <v>2118</v>
      </c>
      <c r="S4188" t="s">
        <v>30</v>
      </c>
      <c r="T4188" t="s">
        <v>3556</v>
      </c>
      <c r="U4188" t="s">
        <v>3557</v>
      </c>
      <c r="V4188" t="s">
        <v>39</v>
      </c>
      <c r="W4188" s="1">
        <v>2</v>
      </c>
    </row>
    <row r="4189" spans="1:23" x14ac:dyDescent="0.2">
      <c r="A4189" t="s">
        <v>2096</v>
      </c>
      <c r="B4189" t="s">
        <v>3333</v>
      </c>
      <c r="C4189" t="s">
        <v>3442</v>
      </c>
      <c r="D4189" t="s">
        <v>3466</v>
      </c>
      <c r="E4189" t="s">
        <v>3526</v>
      </c>
      <c r="F4189" t="s">
        <v>3527</v>
      </c>
      <c r="G4189" t="s">
        <v>119</v>
      </c>
      <c r="H4189" t="s">
        <v>30</v>
      </c>
      <c r="I4189" t="s">
        <v>52</v>
      </c>
      <c r="J4189" t="s">
        <v>57</v>
      </c>
      <c r="K4189" t="s">
        <v>32</v>
      </c>
      <c r="L4189" t="s">
        <v>32</v>
      </c>
      <c r="M4189" t="s">
        <v>33</v>
      </c>
      <c r="N4189" t="s">
        <v>33</v>
      </c>
      <c r="O4189" t="s">
        <v>33</v>
      </c>
      <c r="P4189" t="s">
        <v>213</v>
      </c>
      <c r="Q4189" t="s">
        <v>2118</v>
      </c>
      <c r="S4189" t="s">
        <v>30</v>
      </c>
      <c r="T4189" t="s">
        <v>3556</v>
      </c>
      <c r="U4189" t="s">
        <v>3557</v>
      </c>
      <c r="V4189" t="s">
        <v>40</v>
      </c>
      <c r="W4189" s="1">
        <v>2956000</v>
      </c>
    </row>
    <row r="4190" spans="1:23" x14ac:dyDescent="0.2">
      <c r="A4190" t="s">
        <v>2096</v>
      </c>
      <c r="B4190" t="s">
        <v>3333</v>
      </c>
      <c r="C4190" t="s">
        <v>3442</v>
      </c>
      <c r="D4190" t="s">
        <v>3466</v>
      </c>
      <c r="E4190" t="s">
        <v>3526</v>
      </c>
      <c r="F4190" t="s">
        <v>3527</v>
      </c>
      <c r="G4190" t="s">
        <v>127</v>
      </c>
      <c r="H4190" t="s">
        <v>52</v>
      </c>
      <c r="I4190" t="s">
        <v>30</v>
      </c>
      <c r="J4190" t="s">
        <v>31</v>
      </c>
      <c r="K4190" t="s">
        <v>32</v>
      </c>
      <c r="L4190" t="s">
        <v>32</v>
      </c>
      <c r="M4190" t="s">
        <v>33</v>
      </c>
      <c r="N4190" t="s">
        <v>33</v>
      </c>
      <c r="O4190" t="s">
        <v>33</v>
      </c>
      <c r="P4190" t="s">
        <v>213</v>
      </c>
      <c r="Q4190" t="s">
        <v>2111</v>
      </c>
      <c r="S4190" t="s">
        <v>30</v>
      </c>
      <c r="T4190" t="s">
        <v>3558</v>
      </c>
      <c r="U4190" t="s">
        <v>3559</v>
      </c>
      <c r="V4190" t="s">
        <v>39</v>
      </c>
      <c r="W4190" s="1">
        <v>4</v>
      </c>
    </row>
    <row r="4191" spans="1:23" x14ac:dyDescent="0.2">
      <c r="A4191" t="s">
        <v>2096</v>
      </c>
      <c r="B4191" t="s">
        <v>3333</v>
      </c>
      <c r="C4191" t="s">
        <v>3442</v>
      </c>
      <c r="D4191" t="s">
        <v>3466</v>
      </c>
      <c r="E4191" t="s">
        <v>3526</v>
      </c>
      <c r="F4191" t="s">
        <v>3527</v>
      </c>
      <c r="G4191" t="s">
        <v>127</v>
      </c>
      <c r="H4191" t="s">
        <v>52</v>
      </c>
      <c r="I4191" t="s">
        <v>30</v>
      </c>
      <c r="J4191" t="s">
        <v>31</v>
      </c>
      <c r="K4191" t="s">
        <v>32</v>
      </c>
      <c r="L4191" t="s">
        <v>32</v>
      </c>
      <c r="M4191" t="s">
        <v>33</v>
      </c>
      <c r="N4191" t="s">
        <v>33</v>
      </c>
      <c r="O4191" t="s">
        <v>33</v>
      </c>
      <c r="P4191" t="s">
        <v>213</v>
      </c>
      <c r="Q4191" t="s">
        <v>2111</v>
      </c>
      <c r="S4191" t="s">
        <v>30</v>
      </c>
      <c r="T4191" t="s">
        <v>3558</v>
      </c>
      <c r="U4191" t="s">
        <v>3559</v>
      </c>
      <c r="V4191" t="s">
        <v>40</v>
      </c>
      <c r="W4191" s="1">
        <v>1270400</v>
      </c>
    </row>
    <row r="4192" spans="1:23" x14ac:dyDescent="0.2">
      <c r="A4192" t="s">
        <v>2096</v>
      </c>
      <c r="B4192" t="s">
        <v>3333</v>
      </c>
      <c r="C4192" t="s">
        <v>3442</v>
      </c>
      <c r="D4192" t="s">
        <v>3466</v>
      </c>
      <c r="E4192" t="s">
        <v>3526</v>
      </c>
      <c r="F4192" t="s">
        <v>3527</v>
      </c>
      <c r="G4192" t="s">
        <v>134</v>
      </c>
      <c r="H4192" t="s">
        <v>52</v>
      </c>
      <c r="I4192" t="s">
        <v>30</v>
      </c>
      <c r="J4192" t="s">
        <v>31</v>
      </c>
      <c r="K4192" t="s">
        <v>32</v>
      </c>
      <c r="L4192" t="s">
        <v>32</v>
      </c>
      <c r="M4192" t="s">
        <v>33</v>
      </c>
      <c r="P4192" t="s">
        <v>213</v>
      </c>
      <c r="Q4192" t="s">
        <v>2118</v>
      </c>
      <c r="R4192" t="s">
        <v>173</v>
      </c>
      <c r="S4192" t="s">
        <v>30</v>
      </c>
      <c r="T4192" t="s">
        <v>3560</v>
      </c>
      <c r="U4192" t="s">
        <v>3561</v>
      </c>
      <c r="V4192" t="s">
        <v>39</v>
      </c>
      <c r="W4192" s="1">
        <v>2</v>
      </c>
    </row>
    <row r="4193" spans="1:23" x14ac:dyDescent="0.2">
      <c r="A4193" t="s">
        <v>2096</v>
      </c>
      <c r="B4193" t="s">
        <v>3333</v>
      </c>
      <c r="C4193" t="s">
        <v>3442</v>
      </c>
      <c r="D4193" t="s">
        <v>3466</v>
      </c>
      <c r="E4193" t="s">
        <v>3526</v>
      </c>
      <c r="F4193" t="s">
        <v>3527</v>
      </c>
      <c r="G4193" t="s">
        <v>134</v>
      </c>
      <c r="H4193" t="s">
        <v>52</v>
      </c>
      <c r="I4193" t="s">
        <v>30</v>
      </c>
      <c r="J4193" t="s">
        <v>31</v>
      </c>
      <c r="K4193" t="s">
        <v>32</v>
      </c>
      <c r="L4193" t="s">
        <v>32</v>
      </c>
      <c r="M4193" t="s">
        <v>33</v>
      </c>
      <c r="P4193" t="s">
        <v>213</v>
      </c>
      <c r="Q4193" t="s">
        <v>2118</v>
      </c>
      <c r="R4193" t="s">
        <v>173</v>
      </c>
      <c r="S4193" t="s">
        <v>30</v>
      </c>
      <c r="T4193" t="s">
        <v>3560</v>
      </c>
      <c r="U4193" t="s">
        <v>3561</v>
      </c>
      <c r="V4193" t="s">
        <v>40</v>
      </c>
      <c r="W4193" s="1">
        <v>2449800</v>
      </c>
    </row>
    <row r="4194" spans="1:23" x14ac:dyDescent="0.2">
      <c r="A4194" t="s">
        <v>2096</v>
      </c>
      <c r="B4194" t="s">
        <v>3333</v>
      </c>
      <c r="C4194" t="s">
        <v>3442</v>
      </c>
      <c r="D4194" t="s">
        <v>3466</v>
      </c>
      <c r="E4194" t="s">
        <v>3526</v>
      </c>
      <c r="F4194" t="s">
        <v>3527</v>
      </c>
      <c r="G4194" t="s">
        <v>139</v>
      </c>
      <c r="H4194" t="s">
        <v>30</v>
      </c>
      <c r="I4194" t="s">
        <v>30</v>
      </c>
      <c r="J4194" t="s">
        <v>31</v>
      </c>
      <c r="K4194" t="s">
        <v>32</v>
      </c>
      <c r="L4194" t="s">
        <v>32</v>
      </c>
      <c r="M4194" t="s">
        <v>33</v>
      </c>
      <c r="P4194" t="s">
        <v>34</v>
      </c>
      <c r="Q4194" t="s">
        <v>35</v>
      </c>
      <c r="S4194" t="s">
        <v>30</v>
      </c>
      <c r="T4194" t="s">
        <v>3562</v>
      </c>
      <c r="U4194" t="s">
        <v>3563</v>
      </c>
      <c r="V4194" t="s">
        <v>39</v>
      </c>
      <c r="W4194" s="1">
        <v>3</v>
      </c>
    </row>
    <row r="4195" spans="1:23" x14ac:dyDescent="0.2">
      <c r="A4195" t="s">
        <v>2096</v>
      </c>
      <c r="B4195" t="s">
        <v>3333</v>
      </c>
      <c r="C4195" t="s">
        <v>3442</v>
      </c>
      <c r="D4195" t="s">
        <v>3466</v>
      </c>
      <c r="E4195" t="s">
        <v>3526</v>
      </c>
      <c r="F4195" t="s">
        <v>3527</v>
      </c>
      <c r="G4195" t="s">
        <v>139</v>
      </c>
      <c r="H4195" t="s">
        <v>30</v>
      </c>
      <c r="I4195" t="s">
        <v>30</v>
      </c>
      <c r="J4195" t="s">
        <v>31</v>
      </c>
      <c r="K4195" t="s">
        <v>32</v>
      </c>
      <c r="L4195" t="s">
        <v>32</v>
      </c>
      <c r="M4195" t="s">
        <v>33</v>
      </c>
      <c r="P4195" t="s">
        <v>34</v>
      </c>
      <c r="Q4195" t="s">
        <v>35</v>
      </c>
      <c r="S4195" t="s">
        <v>30</v>
      </c>
      <c r="T4195" t="s">
        <v>3562</v>
      </c>
      <c r="U4195" t="s">
        <v>3563</v>
      </c>
      <c r="V4195" t="s">
        <v>40</v>
      </c>
      <c r="W4195" s="1">
        <v>4107600</v>
      </c>
    </row>
    <row r="4196" spans="1:23" x14ac:dyDescent="0.2">
      <c r="A4196" t="s">
        <v>2096</v>
      </c>
      <c r="B4196" t="s">
        <v>3333</v>
      </c>
      <c r="C4196" t="s">
        <v>3442</v>
      </c>
      <c r="D4196" t="s">
        <v>3466</v>
      </c>
      <c r="E4196" t="s">
        <v>3526</v>
      </c>
      <c r="F4196" t="s">
        <v>3527</v>
      </c>
      <c r="G4196" t="s">
        <v>139</v>
      </c>
      <c r="H4196" t="s">
        <v>30</v>
      </c>
      <c r="I4196" t="s">
        <v>30</v>
      </c>
      <c r="J4196" t="s">
        <v>31</v>
      </c>
      <c r="K4196" t="s">
        <v>32</v>
      </c>
      <c r="L4196" t="s">
        <v>32</v>
      </c>
      <c r="M4196" t="s">
        <v>176</v>
      </c>
      <c r="P4196" t="s">
        <v>34</v>
      </c>
      <c r="Q4196" t="s">
        <v>35</v>
      </c>
      <c r="S4196" t="s">
        <v>30</v>
      </c>
      <c r="T4196" t="s">
        <v>3562</v>
      </c>
      <c r="U4196" t="s">
        <v>3563</v>
      </c>
      <c r="V4196" t="s">
        <v>39</v>
      </c>
      <c r="W4196" s="1">
        <v>2</v>
      </c>
    </row>
    <row r="4197" spans="1:23" x14ac:dyDescent="0.2">
      <c r="A4197" t="s">
        <v>2096</v>
      </c>
      <c r="B4197" t="s">
        <v>3333</v>
      </c>
      <c r="C4197" t="s">
        <v>3442</v>
      </c>
      <c r="D4197" t="s">
        <v>3466</v>
      </c>
      <c r="E4197" t="s">
        <v>3526</v>
      </c>
      <c r="F4197" t="s">
        <v>3527</v>
      </c>
      <c r="G4197" t="s">
        <v>139</v>
      </c>
      <c r="H4197" t="s">
        <v>30</v>
      </c>
      <c r="I4197" t="s">
        <v>30</v>
      </c>
      <c r="J4197" t="s">
        <v>31</v>
      </c>
      <c r="K4197" t="s">
        <v>32</v>
      </c>
      <c r="L4197" t="s">
        <v>32</v>
      </c>
      <c r="M4197" t="s">
        <v>176</v>
      </c>
      <c r="P4197" t="s">
        <v>34</v>
      </c>
      <c r="Q4197" t="s">
        <v>35</v>
      </c>
      <c r="S4197" t="s">
        <v>30</v>
      </c>
      <c r="T4197" t="s">
        <v>3562</v>
      </c>
      <c r="U4197" t="s">
        <v>3563</v>
      </c>
      <c r="V4197" t="s">
        <v>40</v>
      </c>
      <c r="W4197" s="1">
        <v>2738400</v>
      </c>
    </row>
    <row r="4198" spans="1:23" x14ac:dyDescent="0.2">
      <c r="A4198" t="s">
        <v>2096</v>
      </c>
      <c r="B4198" t="s">
        <v>3333</v>
      </c>
      <c r="C4198" t="s">
        <v>3442</v>
      </c>
      <c r="D4198" t="s">
        <v>3466</v>
      </c>
      <c r="E4198" t="s">
        <v>3564</v>
      </c>
      <c r="F4198" t="s">
        <v>3565</v>
      </c>
      <c r="G4198" t="s">
        <v>49</v>
      </c>
      <c r="H4198" t="s">
        <v>30</v>
      </c>
      <c r="I4198" t="s">
        <v>30</v>
      </c>
      <c r="J4198" t="s">
        <v>31</v>
      </c>
      <c r="K4198" t="s">
        <v>32</v>
      </c>
      <c r="L4198" t="s">
        <v>32</v>
      </c>
      <c r="M4198" t="s">
        <v>33</v>
      </c>
      <c r="N4198" t="s">
        <v>33</v>
      </c>
      <c r="O4198" t="s">
        <v>33</v>
      </c>
      <c r="P4198" t="s">
        <v>34</v>
      </c>
      <c r="Q4198" t="s">
        <v>35</v>
      </c>
      <c r="S4198" t="s">
        <v>30</v>
      </c>
      <c r="T4198" t="s">
        <v>3566</v>
      </c>
      <c r="U4198" t="s">
        <v>3567</v>
      </c>
      <c r="V4198" t="s">
        <v>39</v>
      </c>
      <c r="W4198" s="1">
        <v>2</v>
      </c>
    </row>
    <row r="4199" spans="1:23" x14ac:dyDescent="0.2">
      <c r="A4199" t="s">
        <v>2096</v>
      </c>
      <c r="B4199" t="s">
        <v>3333</v>
      </c>
      <c r="C4199" t="s">
        <v>3442</v>
      </c>
      <c r="D4199" t="s">
        <v>3466</v>
      </c>
      <c r="E4199" t="s">
        <v>3564</v>
      </c>
      <c r="F4199" t="s">
        <v>3565</v>
      </c>
      <c r="G4199" t="s">
        <v>49</v>
      </c>
      <c r="H4199" t="s">
        <v>30</v>
      </c>
      <c r="I4199" t="s">
        <v>30</v>
      </c>
      <c r="J4199" t="s">
        <v>31</v>
      </c>
      <c r="K4199" t="s">
        <v>32</v>
      </c>
      <c r="L4199" t="s">
        <v>32</v>
      </c>
      <c r="M4199" t="s">
        <v>33</v>
      </c>
      <c r="N4199" t="s">
        <v>33</v>
      </c>
      <c r="O4199" t="s">
        <v>33</v>
      </c>
      <c r="P4199" t="s">
        <v>34</v>
      </c>
      <c r="Q4199" t="s">
        <v>35</v>
      </c>
      <c r="S4199" t="s">
        <v>30</v>
      </c>
      <c r="T4199" t="s">
        <v>3566</v>
      </c>
      <c r="U4199" t="s">
        <v>3567</v>
      </c>
      <c r="V4199" t="s">
        <v>40</v>
      </c>
      <c r="W4199" s="1">
        <v>1718000</v>
      </c>
    </row>
    <row r="4200" spans="1:23" x14ac:dyDescent="0.2">
      <c r="A4200" t="s">
        <v>2096</v>
      </c>
      <c r="B4200" t="s">
        <v>3333</v>
      </c>
      <c r="C4200" t="s">
        <v>3442</v>
      </c>
      <c r="D4200" t="s">
        <v>3466</v>
      </c>
      <c r="E4200" t="s">
        <v>3564</v>
      </c>
      <c r="F4200" t="s">
        <v>3565</v>
      </c>
      <c r="G4200" t="s">
        <v>49</v>
      </c>
      <c r="H4200" t="s">
        <v>30</v>
      </c>
      <c r="I4200" t="s">
        <v>30</v>
      </c>
      <c r="J4200" t="s">
        <v>31</v>
      </c>
      <c r="K4200" t="s">
        <v>32</v>
      </c>
      <c r="L4200" t="s">
        <v>32</v>
      </c>
      <c r="M4200" t="s">
        <v>33</v>
      </c>
      <c r="N4200" t="s">
        <v>33</v>
      </c>
      <c r="O4200" t="s">
        <v>33</v>
      </c>
      <c r="P4200" t="s">
        <v>34</v>
      </c>
      <c r="Q4200" t="s">
        <v>35</v>
      </c>
      <c r="S4200" t="s">
        <v>30</v>
      </c>
      <c r="T4200" t="s">
        <v>3568</v>
      </c>
      <c r="U4200" t="s">
        <v>3569</v>
      </c>
      <c r="V4200" t="s">
        <v>39</v>
      </c>
      <c r="W4200" s="1">
        <v>2</v>
      </c>
    </row>
    <row r="4201" spans="1:23" x14ac:dyDescent="0.2">
      <c r="A4201" t="s">
        <v>2096</v>
      </c>
      <c r="B4201" t="s">
        <v>3333</v>
      </c>
      <c r="C4201" t="s">
        <v>3442</v>
      </c>
      <c r="D4201" t="s">
        <v>3466</v>
      </c>
      <c r="E4201" t="s">
        <v>3564</v>
      </c>
      <c r="F4201" t="s">
        <v>3565</v>
      </c>
      <c r="G4201" t="s">
        <v>49</v>
      </c>
      <c r="H4201" t="s">
        <v>30</v>
      </c>
      <c r="I4201" t="s">
        <v>30</v>
      </c>
      <c r="J4201" t="s">
        <v>31</v>
      </c>
      <c r="K4201" t="s">
        <v>32</v>
      </c>
      <c r="L4201" t="s">
        <v>32</v>
      </c>
      <c r="M4201" t="s">
        <v>33</v>
      </c>
      <c r="N4201" t="s">
        <v>33</v>
      </c>
      <c r="O4201" t="s">
        <v>33</v>
      </c>
      <c r="P4201" t="s">
        <v>34</v>
      </c>
      <c r="Q4201" t="s">
        <v>35</v>
      </c>
      <c r="S4201" t="s">
        <v>30</v>
      </c>
      <c r="T4201" t="s">
        <v>3568</v>
      </c>
      <c r="U4201" t="s">
        <v>3569</v>
      </c>
      <c r="V4201" t="s">
        <v>40</v>
      </c>
      <c r="W4201" s="1">
        <v>2098000</v>
      </c>
    </row>
    <row r="4202" spans="1:23" x14ac:dyDescent="0.2">
      <c r="A4202" t="s">
        <v>2096</v>
      </c>
      <c r="B4202" t="s">
        <v>3333</v>
      </c>
      <c r="C4202" t="s">
        <v>3442</v>
      </c>
      <c r="D4202" t="s">
        <v>3466</v>
      </c>
      <c r="E4202" t="s">
        <v>3564</v>
      </c>
      <c r="F4202" t="s">
        <v>3565</v>
      </c>
      <c r="G4202" t="s">
        <v>49</v>
      </c>
      <c r="H4202" t="s">
        <v>30</v>
      </c>
      <c r="I4202" t="s">
        <v>30</v>
      </c>
      <c r="J4202" t="s">
        <v>31</v>
      </c>
      <c r="K4202" t="s">
        <v>32</v>
      </c>
      <c r="L4202" t="s">
        <v>32</v>
      </c>
      <c r="M4202" t="s">
        <v>33</v>
      </c>
      <c r="N4202" t="s">
        <v>169</v>
      </c>
      <c r="O4202" t="s">
        <v>169</v>
      </c>
      <c r="P4202" t="s">
        <v>34</v>
      </c>
      <c r="Q4202" t="s">
        <v>35</v>
      </c>
      <c r="S4202" t="s">
        <v>30</v>
      </c>
      <c r="T4202" t="s">
        <v>3566</v>
      </c>
      <c r="U4202" t="s">
        <v>3567</v>
      </c>
      <c r="V4202" t="s">
        <v>39</v>
      </c>
      <c r="W4202" s="1">
        <v>1</v>
      </c>
    </row>
    <row r="4203" spans="1:23" x14ac:dyDescent="0.2">
      <c r="A4203" t="s">
        <v>2096</v>
      </c>
      <c r="B4203" t="s">
        <v>3333</v>
      </c>
      <c r="C4203" t="s">
        <v>3442</v>
      </c>
      <c r="D4203" t="s">
        <v>3466</v>
      </c>
      <c r="E4203" t="s">
        <v>3564</v>
      </c>
      <c r="F4203" t="s">
        <v>3565</v>
      </c>
      <c r="G4203" t="s">
        <v>49</v>
      </c>
      <c r="H4203" t="s">
        <v>30</v>
      </c>
      <c r="I4203" t="s">
        <v>30</v>
      </c>
      <c r="J4203" t="s">
        <v>31</v>
      </c>
      <c r="K4203" t="s">
        <v>32</v>
      </c>
      <c r="L4203" t="s">
        <v>32</v>
      </c>
      <c r="M4203" t="s">
        <v>33</v>
      </c>
      <c r="N4203" t="s">
        <v>169</v>
      </c>
      <c r="O4203" t="s">
        <v>169</v>
      </c>
      <c r="P4203" t="s">
        <v>34</v>
      </c>
      <c r="Q4203" t="s">
        <v>35</v>
      </c>
      <c r="S4203" t="s">
        <v>30</v>
      </c>
      <c r="T4203" t="s">
        <v>3566</v>
      </c>
      <c r="U4203" t="s">
        <v>3567</v>
      </c>
      <c r="V4203" t="s">
        <v>40</v>
      </c>
      <c r="W4203" s="1">
        <v>859000</v>
      </c>
    </row>
    <row r="4204" spans="1:23" x14ac:dyDescent="0.2">
      <c r="A4204" t="s">
        <v>2096</v>
      </c>
      <c r="B4204" t="s">
        <v>3333</v>
      </c>
      <c r="C4204" t="s">
        <v>3442</v>
      </c>
      <c r="D4204" t="s">
        <v>3466</v>
      </c>
      <c r="E4204" t="s">
        <v>3564</v>
      </c>
      <c r="F4204" t="s">
        <v>3565</v>
      </c>
      <c r="G4204" t="s">
        <v>49</v>
      </c>
      <c r="H4204" t="s">
        <v>30</v>
      </c>
      <c r="I4204" t="s">
        <v>30</v>
      </c>
      <c r="J4204" t="s">
        <v>31</v>
      </c>
      <c r="K4204" t="s">
        <v>32</v>
      </c>
      <c r="L4204" t="s">
        <v>32</v>
      </c>
      <c r="M4204" t="s">
        <v>176</v>
      </c>
      <c r="N4204" t="s">
        <v>176</v>
      </c>
      <c r="O4204" t="s">
        <v>176</v>
      </c>
      <c r="P4204" t="s">
        <v>34</v>
      </c>
      <c r="Q4204" t="s">
        <v>35</v>
      </c>
      <c r="S4204" t="s">
        <v>30</v>
      </c>
      <c r="T4204" t="s">
        <v>3566</v>
      </c>
      <c r="U4204" t="s">
        <v>3567</v>
      </c>
      <c r="V4204" t="s">
        <v>39</v>
      </c>
      <c r="W4204" s="1">
        <v>1</v>
      </c>
    </row>
    <row r="4205" spans="1:23" x14ac:dyDescent="0.2">
      <c r="A4205" t="s">
        <v>2096</v>
      </c>
      <c r="B4205" t="s">
        <v>3333</v>
      </c>
      <c r="C4205" t="s">
        <v>3442</v>
      </c>
      <c r="D4205" t="s">
        <v>3466</v>
      </c>
      <c r="E4205" t="s">
        <v>3564</v>
      </c>
      <c r="F4205" t="s">
        <v>3565</v>
      </c>
      <c r="G4205" t="s">
        <v>49</v>
      </c>
      <c r="H4205" t="s">
        <v>30</v>
      </c>
      <c r="I4205" t="s">
        <v>30</v>
      </c>
      <c r="J4205" t="s">
        <v>31</v>
      </c>
      <c r="K4205" t="s">
        <v>32</v>
      </c>
      <c r="L4205" t="s">
        <v>32</v>
      </c>
      <c r="M4205" t="s">
        <v>176</v>
      </c>
      <c r="N4205" t="s">
        <v>176</v>
      </c>
      <c r="O4205" t="s">
        <v>176</v>
      </c>
      <c r="P4205" t="s">
        <v>34</v>
      </c>
      <c r="Q4205" t="s">
        <v>35</v>
      </c>
      <c r="S4205" t="s">
        <v>30</v>
      </c>
      <c r="T4205" t="s">
        <v>3566</v>
      </c>
      <c r="U4205" t="s">
        <v>3567</v>
      </c>
      <c r="V4205" t="s">
        <v>40</v>
      </c>
      <c r="W4205" s="1">
        <v>859000</v>
      </c>
    </row>
    <row r="4206" spans="1:23" x14ac:dyDescent="0.2">
      <c r="A4206" t="s">
        <v>2096</v>
      </c>
      <c r="B4206" t="s">
        <v>3333</v>
      </c>
      <c r="C4206" t="s">
        <v>3442</v>
      </c>
      <c r="D4206" t="s">
        <v>3466</v>
      </c>
      <c r="E4206" t="s">
        <v>3564</v>
      </c>
      <c r="F4206" t="s">
        <v>3565</v>
      </c>
      <c r="G4206" t="s">
        <v>89</v>
      </c>
      <c r="H4206" t="s">
        <v>30</v>
      </c>
      <c r="I4206" t="s">
        <v>30</v>
      </c>
      <c r="J4206" t="s">
        <v>31</v>
      </c>
      <c r="K4206" t="s">
        <v>32</v>
      </c>
      <c r="L4206" t="s">
        <v>32</v>
      </c>
      <c r="M4206" t="s">
        <v>33</v>
      </c>
      <c r="N4206" t="s">
        <v>33</v>
      </c>
      <c r="O4206" t="s">
        <v>33</v>
      </c>
      <c r="P4206" t="s">
        <v>34</v>
      </c>
      <c r="Q4206" t="s">
        <v>35</v>
      </c>
      <c r="S4206" t="s">
        <v>30</v>
      </c>
      <c r="T4206" t="s">
        <v>3570</v>
      </c>
      <c r="U4206" t="s">
        <v>3571</v>
      </c>
      <c r="V4206" t="s">
        <v>39</v>
      </c>
      <c r="W4206" s="1">
        <v>2</v>
      </c>
    </row>
    <row r="4207" spans="1:23" x14ac:dyDescent="0.2">
      <c r="A4207" t="s">
        <v>2096</v>
      </c>
      <c r="B4207" t="s">
        <v>3333</v>
      </c>
      <c r="C4207" t="s">
        <v>3442</v>
      </c>
      <c r="D4207" t="s">
        <v>3466</v>
      </c>
      <c r="E4207" t="s">
        <v>3564</v>
      </c>
      <c r="F4207" t="s">
        <v>3565</v>
      </c>
      <c r="G4207" t="s">
        <v>89</v>
      </c>
      <c r="H4207" t="s">
        <v>30</v>
      </c>
      <c r="I4207" t="s">
        <v>30</v>
      </c>
      <c r="J4207" t="s">
        <v>31</v>
      </c>
      <c r="K4207" t="s">
        <v>32</v>
      </c>
      <c r="L4207" t="s">
        <v>32</v>
      </c>
      <c r="M4207" t="s">
        <v>33</v>
      </c>
      <c r="N4207" t="s">
        <v>33</v>
      </c>
      <c r="O4207" t="s">
        <v>33</v>
      </c>
      <c r="P4207" t="s">
        <v>34</v>
      </c>
      <c r="Q4207" t="s">
        <v>35</v>
      </c>
      <c r="S4207" t="s">
        <v>30</v>
      </c>
      <c r="T4207" t="s">
        <v>3570</v>
      </c>
      <c r="U4207" t="s">
        <v>3571</v>
      </c>
      <c r="V4207" t="s">
        <v>40</v>
      </c>
      <c r="W4207" s="1">
        <v>2555000</v>
      </c>
    </row>
    <row r="4208" spans="1:23" x14ac:dyDescent="0.2">
      <c r="A4208" t="s">
        <v>2096</v>
      </c>
      <c r="B4208" t="s">
        <v>3333</v>
      </c>
      <c r="C4208" t="s">
        <v>3442</v>
      </c>
      <c r="D4208" t="s">
        <v>3466</v>
      </c>
      <c r="E4208" t="s">
        <v>3564</v>
      </c>
      <c r="F4208" t="s">
        <v>3565</v>
      </c>
      <c r="G4208" t="s">
        <v>89</v>
      </c>
      <c r="H4208" t="s">
        <v>30</v>
      </c>
      <c r="I4208" t="s">
        <v>30</v>
      </c>
      <c r="J4208" t="s">
        <v>57</v>
      </c>
      <c r="K4208" t="s">
        <v>32</v>
      </c>
      <c r="L4208" t="s">
        <v>32</v>
      </c>
      <c r="M4208" t="s">
        <v>33</v>
      </c>
      <c r="N4208" t="s">
        <v>33</v>
      </c>
      <c r="O4208" t="s">
        <v>33</v>
      </c>
      <c r="P4208" t="s">
        <v>34</v>
      </c>
      <c r="Q4208" t="s">
        <v>35</v>
      </c>
      <c r="R4208" t="s">
        <v>319</v>
      </c>
      <c r="S4208" t="s">
        <v>30</v>
      </c>
      <c r="T4208" t="s">
        <v>3572</v>
      </c>
      <c r="U4208" t="s">
        <v>3573</v>
      </c>
      <c r="V4208" t="s">
        <v>39</v>
      </c>
      <c r="W4208" s="1">
        <v>4</v>
      </c>
    </row>
    <row r="4209" spans="1:23" x14ac:dyDescent="0.2">
      <c r="A4209" t="s">
        <v>2096</v>
      </c>
      <c r="B4209" t="s">
        <v>3333</v>
      </c>
      <c r="C4209" t="s">
        <v>3442</v>
      </c>
      <c r="D4209" t="s">
        <v>3466</v>
      </c>
      <c r="E4209" t="s">
        <v>3564</v>
      </c>
      <c r="F4209" t="s">
        <v>3565</v>
      </c>
      <c r="G4209" t="s">
        <v>89</v>
      </c>
      <c r="H4209" t="s">
        <v>30</v>
      </c>
      <c r="I4209" t="s">
        <v>30</v>
      </c>
      <c r="J4209" t="s">
        <v>57</v>
      </c>
      <c r="K4209" t="s">
        <v>32</v>
      </c>
      <c r="L4209" t="s">
        <v>32</v>
      </c>
      <c r="M4209" t="s">
        <v>33</v>
      </c>
      <c r="N4209" t="s">
        <v>33</v>
      </c>
      <c r="O4209" t="s">
        <v>33</v>
      </c>
      <c r="P4209" t="s">
        <v>34</v>
      </c>
      <c r="Q4209" t="s">
        <v>35</v>
      </c>
      <c r="R4209" t="s">
        <v>319</v>
      </c>
      <c r="S4209" t="s">
        <v>30</v>
      </c>
      <c r="T4209" t="s">
        <v>3572</v>
      </c>
      <c r="U4209" t="s">
        <v>3573</v>
      </c>
      <c r="V4209" t="s">
        <v>40</v>
      </c>
      <c r="W4209" s="1">
        <v>6676000</v>
      </c>
    </row>
    <row r="4210" spans="1:23" x14ac:dyDescent="0.2">
      <c r="A4210" t="s">
        <v>2096</v>
      </c>
      <c r="B4210" t="s">
        <v>3333</v>
      </c>
      <c r="C4210" t="s">
        <v>3442</v>
      </c>
      <c r="D4210" t="s">
        <v>3466</v>
      </c>
      <c r="E4210" t="s">
        <v>3564</v>
      </c>
      <c r="F4210" t="s">
        <v>3565</v>
      </c>
      <c r="G4210" t="s">
        <v>89</v>
      </c>
      <c r="H4210" t="s">
        <v>30</v>
      </c>
      <c r="I4210" t="s">
        <v>30</v>
      </c>
      <c r="J4210" t="s">
        <v>57</v>
      </c>
      <c r="K4210" t="s">
        <v>32</v>
      </c>
      <c r="L4210" t="s">
        <v>32</v>
      </c>
      <c r="M4210" t="s">
        <v>33</v>
      </c>
      <c r="P4210" t="s">
        <v>34</v>
      </c>
      <c r="Q4210" t="s">
        <v>35</v>
      </c>
      <c r="R4210" t="s">
        <v>319</v>
      </c>
      <c r="S4210" t="s">
        <v>30</v>
      </c>
      <c r="T4210" t="s">
        <v>3572</v>
      </c>
      <c r="U4210" t="s">
        <v>3573</v>
      </c>
      <c r="V4210" t="s">
        <v>39</v>
      </c>
      <c r="W4210" s="1">
        <v>3</v>
      </c>
    </row>
    <row r="4211" spans="1:23" x14ac:dyDescent="0.2">
      <c r="A4211" t="s">
        <v>2096</v>
      </c>
      <c r="B4211" t="s">
        <v>3333</v>
      </c>
      <c r="C4211" t="s">
        <v>3442</v>
      </c>
      <c r="D4211" t="s">
        <v>3466</v>
      </c>
      <c r="E4211" t="s">
        <v>3564</v>
      </c>
      <c r="F4211" t="s">
        <v>3565</v>
      </c>
      <c r="G4211" t="s">
        <v>89</v>
      </c>
      <c r="H4211" t="s">
        <v>30</v>
      </c>
      <c r="I4211" t="s">
        <v>30</v>
      </c>
      <c r="J4211" t="s">
        <v>57</v>
      </c>
      <c r="K4211" t="s">
        <v>32</v>
      </c>
      <c r="L4211" t="s">
        <v>32</v>
      </c>
      <c r="M4211" t="s">
        <v>33</v>
      </c>
      <c r="P4211" t="s">
        <v>34</v>
      </c>
      <c r="Q4211" t="s">
        <v>35</v>
      </c>
      <c r="R4211" t="s">
        <v>319</v>
      </c>
      <c r="S4211" t="s">
        <v>30</v>
      </c>
      <c r="T4211" t="s">
        <v>3572</v>
      </c>
      <c r="U4211" t="s">
        <v>3573</v>
      </c>
      <c r="V4211" t="s">
        <v>40</v>
      </c>
      <c r="W4211" s="1">
        <v>5097000</v>
      </c>
    </row>
    <row r="4212" spans="1:23" x14ac:dyDescent="0.2">
      <c r="A4212" t="s">
        <v>2096</v>
      </c>
      <c r="B4212" t="s">
        <v>3333</v>
      </c>
      <c r="C4212" t="s">
        <v>3442</v>
      </c>
      <c r="D4212" t="s">
        <v>3466</v>
      </c>
      <c r="E4212" t="s">
        <v>3564</v>
      </c>
      <c r="F4212" t="s">
        <v>3565</v>
      </c>
      <c r="G4212" t="s">
        <v>127</v>
      </c>
      <c r="H4212" t="s">
        <v>52</v>
      </c>
      <c r="I4212" t="s">
        <v>30</v>
      </c>
      <c r="J4212" t="s">
        <v>41</v>
      </c>
      <c r="K4212" t="s">
        <v>32</v>
      </c>
      <c r="L4212" t="s">
        <v>32</v>
      </c>
      <c r="M4212" t="s">
        <v>33</v>
      </c>
      <c r="N4212" t="s">
        <v>33</v>
      </c>
      <c r="O4212" t="s">
        <v>33</v>
      </c>
      <c r="P4212" t="s">
        <v>34</v>
      </c>
      <c r="Q4212" t="s">
        <v>35</v>
      </c>
      <c r="S4212" t="s">
        <v>30</v>
      </c>
      <c r="T4212" t="s">
        <v>733</v>
      </c>
      <c r="U4212" t="s">
        <v>3574</v>
      </c>
      <c r="V4212" t="s">
        <v>39</v>
      </c>
      <c r="W4212" s="1">
        <v>2</v>
      </c>
    </row>
    <row r="4213" spans="1:23" x14ac:dyDescent="0.2">
      <c r="A4213" t="s">
        <v>2096</v>
      </c>
      <c r="B4213" t="s">
        <v>3333</v>
      </c>
      <c r="C4213" t="s">
        <v>3442</v>
      </c>
      <c r="D4213" t="s">
        <v>3466</v>
      </c>
      <c r="E4213" t="s">
        <v>3564</v>
      </c>
      <c r="F4213" t="s">
        <v>3565</v>
      </c>
      <c r="G4213" t="s">
        <v>127</v>
      </c>
      <c r="H4213" t="s">
        <v>52</v>
      </c>
      <c r="I4213" t="s">
        <v>30</v>
      </c>
      <c r="J4213" t="s">
        <v>41</v>
      </c>
      <c r="K4213" t="s">
        <v>32</v>
      </c>
      <c r="L4213" t="s">
        <v>32</v>
      </c>
      <c r="M4213" t="s">
        <v>33</v>
      </c>
      <c r="N4213" t="s">
        <v>33</v>
      </c>
      <c r="O4213" t="s">
        <v>33</v>
      </c>
      <c r="P4213" t="s">
        <v>34</v>
      </c>
      <c r="Q4213" t="s">
        <v>35</v>
      </c>
      <c r="S4213" t="s">
        <v>30</v>
      </c>
      <c r="T4213" t="s">
        <v>733</v>
      </c>
      <c r="U4213" t="s">
        <v>3574</v>
      </c>
      <c r="V4213" t="s">
        <v>40</v>
      </c>
      <c r="W4213" s="1">
        <v>2136000</v>
      </c>
    </row>
    <row r="4214" spans="1:23" x14ac:dyDescent="0.2">
      <c r="A4214" t="s">
        <v>2096</v>
      </c>
      <c r="B4214" t="s">
        <v>3333</v>
      </c>
      <c r="C4214" t="s">
        <v>3442</v>
      </c>
      <c r="D4214" t="s">
        <v>3466</v>
      </c>
      <c r="E4214" t="s">
        <v>3564</v>
      </c>
      <c r="F4214" t="s">
        <v>3565</v>
      </c>
      <c r="G4214" t="s">
        <v>139</v>
      </c>
      <c r="H4214" t="s">
        <v>30</v>
      </c>
      <c r="I4214" t="s">
        <v>30</v>
      </c>
      <c r="J4214" t="s">
        <v>31</v>
      </c>
      <c r="K4214" t="s">
        <v>32</v>
      </c>
      <c r="L4214" t="s">
        <v>32</v>
      </c>
      <c r="M4214" t="s">
        <v>33</v>
      </c>
      <c r="N4214" t="s">
        <v>33</v>
      </c>
      <c r="O4214" t="s">
        <v>33</v>
      </c>
      <c r="P4214" t="s">
        <v>34</v>
      </c>
      <c r="Q4214" t="s">
        <v>35</v>
      </c>
      <c r="S4214" t="s">
        <v>30</v>
      </c>
      <c r="T4214" t="s">
        <v>3575</v>
      </c>
      <c r="U4214" t="s">
        <v>3576</v>
      </c>
      <c r="V4214" t="s">
        <v>39</v>
      </c>
      <c r="W4214" s="1">
        <v>1</v>
      </c>
    </row>
    <row r="4215" spans="1:23" x14ac:dyDescent="0.2">
      <c r="A4215" t="s">
        <v>2096</v>
      </c>
      <c r="B4215" t="s">
        <v>3333</v>
      </c>
      <c r="C4215" t="s">
        <v>3442</v>
      </c>
      <c r="D4215" t="s">
        <v>3466</v>
      </c>
      <c r="E4215" t="s">
        <v>3564</v>
      </c>
      <c r="F4215" t="s">
        <v>3565</v>
      </c>
      <c r="G4215" t="s">
        <v>139</v>
      </c>
      <c r="H4215" t="s">
        <v>30</v>
      </c>
      <c r="I4215" t="s">
        <v>30</v>
      </c>
      <c r="J4215" t="s">
        <v>31</v>
      </c>
      <c r="K4215" t="s">
        <v>32</v>
      </c>
      <c r="L4215" t="s">
        <v>32</v>
      </c>
      <c r="M4215" t="s">
        <v>33</v>
      </c>
      <c r="N4215" t="s">
        <v>33</v>
      </c>
      <c r="O4215" t="s">
        <v>33</v>
      </c>
      <c r="P4215" t="s">
        <v>34</v>
      </c>
      <c r="Q4215" t="s">
        <v>35</v>
      </c>
      <c r="S4215" t="s">
        <v>30</v>
      </c>
      <c r="T4215" t="s">
        <v>3575</v>
      </c>
      <c r="U4215" t="s">
        <v>3576</v>
      </c>
      <c r="V4215" t="s">
        <v>40</v>
      </c>
      <c r="W4215" s="1">
        <v>1305800</v>
      </c>
    </row>
    <row r="4216" spans="1:23" x14ac:dyDescent="0.2">
      <c r="A4216" t="s">
        <v>2096</v>
      </c>
      <c r="B4216" t="s">
        <v>3333</v>
      </c>
      <c r="C4216" t="s">
        <v>3442</v>
      </c>
      <c r="D4216" t="s">
        <v>3466</v>
      </c>
      <c r="E4216" t="s">
        <v>3564</v>
      </c>
      <c r="F4216" t="s">
        <v>3565</v>
      </c>
      <c r="G4216" t="s">
        <v>139</v>
      </c>
      <c r="H4216" t="s">
        <v>30</v>
      </c>
      <c r="I4216" t="s">
        <v>30</v>
      </c>
      <c r="J4216" t="s">
        <v>31</v>
      </c>
      <c r="K4216" t="s">
        <v>32</v>
      </c>
      <c r="L4216" t="s">
        <v>32</v>
      </c>
      <c r="M4216" t="s">
        <v>33</v>
      </c>
      <c r="P4216" t="s">
        <v>34</v>
      </c>
      <c r="Q4216" t="s">
        <v>35</v>
      </c>
      <c r="S4216" t="s">
        <v>30</v>
      </c>
      <c r="T4216" t="s">
        <v>3575</v>
      </c>
      <c r="U4216" t="s">
        <v>3576</v>
      </c>
      <c r="V4216" t="s">
        <v>39</v>
      </c>
      <c r="W4216" s="1">
        <v>7</v>
      </c>
    </row>
    <row r="4217" spans="1:23" x14ac:dyDescent="0.2">
      <c r="A4217" t="s">
        <v>2096</v>
      </c>
      <c r="B4217" t="s">
        <v>3333</v>
      </c>
      <c r="C4217" t="s">
        <v>3442</v>
      </c>
      <c r="D4217" t="s">
        <v>3466</v>
      </c>
      <c r="E4217" t="s">
        <v>3564</v>
      </c>
      <c r="F4217" t="s">
        <v>3565</v>
      </c>
      <c r="G4217" t="s">
        <v>139</v>
      </c>
      <c r="H4217" t="s">
        <v>30</v>
      </c>
      <c r="I4217" t="s">
        <v>30</v>
      </c>
      <c r="J4217" t="s">
        <v>31</v>
      </c>
      <c r="K4217" t="s">
        <v>32</v>
      </c>
      <c r="L4217" t="s">
        <v>32</v>
      </c>
      <c r="M4217" t="s">
        <v>33</v>
      </c>
      <c r="P4217" t="s">
        <v>34</v>
      </c>
      <c r="Q4217" t="s">
        <v>35</v>
      </c>
      <c r="S4217" t="s">
        <v>30</v>
      </c>
      <c r="T4217" t="s">
        <v>3575</v>
      </c>
      <c r="U4217" t="s">
        <v>3576</v>
      </c>
      <c r="V4217" t="s">
        <v>40</v>
      </c>
      <c r="W4217" s="1">
        <v>9140600</v>
      </c>
    </row>
    <row r="4218" spans="1:23" x14ac:dyDescent="0.2">
      <c r="A4218" t="s">
        <v>2096</v>
      </c>
      <c r="B4218" t="s">
        <v>3333</v>
      </c>
      <c r="C4218" t="s">
        <v>3442</v>
      </c>
      <c r="D4218" t="s">
        <v>3466</v>
      </c>
      <c r="E4218" t="s">
        <v>3577</v>
      </c>
      <c r="F4218" t="s">
        <v>3578</v>
      </c>
      <c r="G4218" t="s">
        <v>29</v>
      </c>
      <c r="H4218" t="s">
        <v>30</v>
      </c>
      <c r="I4218" t="s">
        <v>30</v>
      </c>
      <c r="J4218" t="s">
        <v>31</v>
      </c>
      <c r="K4218" t="s">
        <v>32</v>
      </c>
      <c r="L4218" t="s">
        <v>32</v>
      </c>
      <c r="M4218" t="s">
        <v>33</v>
      </c>
      <c r="N4218" t="s">
        <v>33</v>
      </c>
      <c r="O4218" t="s">
        <v>33</v>
      </c>
      <c r="P4218" t="s">
        <v>213</v>
      </c>
      <c r="Q4218" t="s">
        <v>2111</v>
      </c>
      <c r="S4218" t="s">
        <v>30</v>
      </c>
      <c r="T4218" t="s">
        <v>3579</v>
      </c>
      <c r="U4218" t="s">
        <v>3580</v>
      </c>
      <c r="V4218" t="s">
        <v>39</v>
      </c>
      <c r="W4218" s="1">
        <v>2</v>
      </c>
    </row>
    <row r="4219" spans="1:23" x14ac:dyDescent="0.2">
      <c r="A4219" t="s">
        <v>2096</v>
      </c>
      <c r="B4219" t="s">
        <v>3333</v>
      </c>
      <c r="C4219" t="s">
        <v>3442</v>
      </c>
      <c r="D4219" t="s">
        <v>3466</v>
      </c>
      <c r="E4219" t="s">
        <v>3577</v>
      </c>
      <c r="F4219" t="s">
        <v>3578</v>
      </c>
      <c r="G4219" t="s">
        <v>29</v>
      </c>
      <c r="H4219" t="s">
        <v>30</v>
      </c>
      <c r="I4219" t="s">
        <v>30</v>
      </c>
      <c r="J4219" t="s">
        <v>31</v>
      </c>
      <c r="K4219" t="s">
        <v>32</v>
      </c>
      <c r="L4219" t="s">
        <v>32</v>
      </c>
      <c r="M4219" t="s">
        <v>33</v>
      </c>
      <c r="N4219" t="s">
        <v>33</v>
      </c>
      <c r="O4219" t="s">
        <v>33</v>
      </c>
      <c r="P4219" t="s">
        <v>213</v>
      </c>
      <c r="Q4219" t="s">
        <v>2111</v>
      </c>
      <c r="S4219" t="s">
        <v>30</v>
      </c>
      <c r="T4219" t="s">
        <v>3579</v>
      </c>
      <c r="U4219" t="s">
        <v>3580</v>
      </c>
      <c r="V4219" t="s">
        <v>40</v>
      </c>
      <c r="W4219" s="1">
        <v>2194200</v>
      </c>
    </row>
    <row r="4220" spans="1:23" x14ac:dyDescent="0.2">
      <c r="A4220" t="s">
        <v>2096</v>
      </c>
      <c r="B4220" t="s">
        <v>3333</v>
      </c>
      <c r="C4220" t="s">
        <v>3442</v>
      </c>
      <c r="D4220" t="s">
        <v>3466</v>
      </c>
      <c r="E4220" t="s">
        <v>3577</v>
      </c>
      <c r="F4220" t="s">
        <v>3578</v>
      </c>
      <c r="G4220" t="s">
        <v>29</v>
      </c>
      <c r="H4220" t="s">
        <v>30</v>
      </c>
      <c r="I4220" t="s">
        <v>30</v>
      </c>
      <c r="J4220" t="s">
        <v>31</v>
      </c>
      <c r="K4220" t="s">
        <v>32</v>
      </c>
      <c r="L4220" t="s">
        <v>32</v>
      </c>
      <c r="M4220" t="s">
        <v>176</v>
      </c>
      <c r="N4220" t="s">
        <v>176</v>
      </c>
      <c r="O4220" t="s">
        <v>176</v>
      </c>
      <c r="P4220" t="s">
        <v>213</v>
      </c>
      <c r="Q4220" t="s">
        <v>2111</v>
      </c>
      <c r="S4220" t="s">
        <v>30</v>
      </c>
      <c r="T4220" t="s">
        <v>3579</v>
      </c>
      <c r="U4220" t="s">
        <v>3580</v>
      </c>
      <c r="V4220" t="s">
        <v>39</v>
      </c>
      <c r="W4220" s="1">
        <v>1</v>
      </c>
    </row>
    <row r="4221" spans="1:23" x14ac:dyDescent="0.2">
      <c r="A4221" t="s">
        <v>2096</v>
      </c>
      <c r="B4221" t="s">
        <v>3333</v>
      </c>
      <c r="C4221" t="s">
        <v>3442</v>
      </c>
      <c r="D4221" t="s">
        <v>3466</v>
      </c>
      <c r="E4221" t="s">
        <v>3577</v>
      </c>
      <c r="F4221" t="s">
        <v>3578</v>
      </c>
      <c r="G4221" t="s">
        <v>29</v>
      </c>
      <c r="H4221" t="s">
        <v>30</v>
      </c>
      <c r="I4221" t="s">
        <v>30</v>
      </c>
      <c r="J4221" t="s">
        <v>31</v>
      </c>
      <c r="K4221" t="s">
        <v>32</v>
      </c>
      <c r="L4221" t="s">
        <v>32</v>
      </c>
      <c r="M4221" t="s">
        <v>176</v>
      </c>
      <c r="N4221" t="s">
        <v>176</v>
      </c>
      <c r="O4221" t="s">
        <v>176</v>
      </c>
      <c r="P4221" t="s">
        <v>213</v>
      </c>
      <c r="Q4221" t="s">
        <v>2111</v>
      </c>
      <c r="S4221" t="s">
        <v>30</v>
      </c>
      <c r="T4221" t="s">
        <v>3579</v>
      </c>
      <c r="U4221" t="s">
        <v>3580</v>
      </c>
      <c r="V4221" t="s">
        <v>40</v>
      </c>
      <c r="W4221" s="1">
        <v>1097100</v>
      </c>
    </row>
    <row r="4222" spans="1:23" x14ac:dyDescent="0.2">
      <c r="A4222" t="s">
        <v>2096</v>
      </c>
      <c r="B4222" t="s">
        <v>3333</v>
      </c>
      <c r="C4222" t="s">
        <v>3442</v>
      </c>
      <c r="D4222" t="s">
        <v>3466</v>
      </c>
      <c r="E4222" t="s">
        <v>3577</v>
      </c>
      <c r="F4222" t="s">
        <v>3578</v>
      </c>
      <c r="G4222" t="s">
        <v>29</v>
      </c>
      <c r="H4222" t="s">
        <v>30</v>
      </c>
      <c r="I4222" t="s">
        <v>30</v>
      </c>
      <c r="J4222" t="s">
        <v>41</v>
      </c>
      <c r="K4222" t="s">
        <v>32</v>
      </c>
      <c r="L4222" t="s">
        <v>32</v>
      </c>
      <c r="M4222" t="s">
        <v>33</v>
      </c>
      <c r="N4222" t="s">
        <v>33</v>
      </c>
      <c r="O4222" t="s">
        <v>33</v>
      </c>
      <c r="P4222" t="s">
        <v>34</v>
      </c>
      <c r="Q4222" t="s">
        <v>35</v>
      </c>
      <c r="R4222" t="s">
        <v>294</v>
      </c>
      <c r="S4222" t="s">
        <v>30</v>
      </c>
      <c r="T4222" t="s">
        <v>1684</v>
      </c>
      <c r="U4222" t="s">
        <v>3581</v>
      </c>
      <c r="V4222" t="s">
        <v>39</v>
      </c>
      <c r="W4222" s="1">
        <v>2</v>
      </c>
    </row>
    <row r="4223" spans="1:23" x14ac:dyDescent="0.2">
      <c r="A4223" t="s">
        <v>2096</v>
      </c>
      <c r="B4223" t="s">
        <v>3333</v>
      </c>
      <c r="C4223" t="s">
        <v>3442</v>
      </c>
      <c r="D4223" t="s">
        <v>3466</v>
      </c>
      <c r="E4223" t="s">
        <v>3577</v>
      </c>
      <c r="F4223" t="s">
        <v>3578</v>
      </c>
      <c r="G4223" t="s">
        <v>29</v>
      </c>
      <c r="H4223" t="s">
        <v>30</v>
      </c>
      <c r="I4223" t="s">
        <v>30</v>
      </c>
      <c r="J4223" t="s">
        <v>41</v>
      </c>
      <c r="K4223" t="s">
        <v>32</v>
      </c>
      <c r="L4223" t="s">
        <v>32</v>
      </c>
      <c r="M4223" t="s">
        <v>33</v>
      </c>
      <c r="N4223" t="s">
        <v>33</v>
      </c>
      <c r="O4223" t="s">
        <v>33</v>
      </c>
      <c r="P4223" t="s">
        <v>34</v>
      </c>
      <c r="Q4223" t="s">
        <v>35</v>
      </c>
      <c r="R4223" t="s">
        <v>294</v>
      </c>
      <c r="S4223" t="s">
        <v>30</v>
      </c>
      <c r="T4223" t="s">
        <v>1684</v>
      </c>
      <c r="U4223" t="s">
        <v>3581</v>
      </c>
      <c r="V4223" t="s">
        <v>40</v>
      </c>
      <c r="W4223" s="1">
        <v>2038000</v>
      </c>
    </row>
    <row r="4224" spans="1:23" x14ac:dyDescent="0.2">
      <c r="A4224" t="s">
        <v>2096</v>
      </c>
      <c r="B4224" t="s">
        <v>3333</v>
      </c>
      <c r="C4224" t="s">
        <v>3442</v>
      </c>
      <c r="D4224" t="s">
        <v>3466</v>
      </c>
      <c r="E4224" t="s">
        <v>3577</v>
      </c>
      <c r="F4224" t="s">
        <v>3578</v>
      </c>
      <c r="G4224" t="s">
        <v>29</v>
      </c>
      <c r="H4224" t="s">
        <v>30</v>
      </c>
      <c r="I4224" t="s">
        <v>30</v>
      </c>
      <c r="J4224" t="s">
        <v>41</v>
      </c>
      <c r="K4224" t="s">
        <v>32</v>
      </c>
      <c r="L4224" t="s">
        <v>32</v>
      </c>
      <c r="M4224" t="s">
        <v>33</v>
      </c>
      <c r="N4224" t="s">
        <v>33</v>
      </c>
      <c r="O4224" t="s">
        <v>33</v>
      </c>
      <c r="P4224" t="s">
        <v>34</v>
      </c>
      <c r="Q4224" t="s">
        <v>35</v>
      </c>
      <c r="R4224" t="s">
        <v>58</v>
      </c>
      <c r="S4224" t="s">
        <v>30</v>
      </c>
      <c r="T4224" t="s">
        <v>3582</v>
      </c>
      <c r="U4224" t="s">
        <v>3583</v>
      </c>
      <c r="V4224" t="s">
        <v>39</v>
      </c>
      <c r="W4224" s="1">
        <v>7</v>
      </c>
    </row>
    <row r="4225" spans="1:23" x14ac:dyDescent="0.2">
      <c r="A4225" t="s">
        <v>2096</v>
      </c>
      <c r="B4225" t="s">
        <v>3333</v>
      </c>
      <c r="C4225" t="s">
        <v>3442</v>
      </c>
      <c r="D4225" t="s">
        <v>3466</v>
      </c>
      <c r="E4225" t="s">
        <v>3577</v>
      </c>
      <c r="F4225" t="s">
        <v>3578</v>
      </c>
      <c r="G4225" t="s">
        <v>29</v>
      </c>
      <c r="H4225" t="s">
        <v>30</v>
      </c>
      <c r="I4225" t="s">
        <v>30</v>
      </c>
      <c r="J4225" t="s">
        <v>41</v>
      </c>
      <c r="K4225" t="s">
        <v>32</v>
      </c>
      <c r="L4225" t="s">
        <v>32</v>
      </c>
      <c r="M4225" t="s">
        <v>33</v>
      </c>
      <c r="N4225" t="s">
        <v>33</v>
      </c>
      <c r="O4225" t="s">
        <v>33</v>
      </c>
      <c r="P4225" t="s">
        <v>34</v>
      </c>
      <c r="Q4225" t="s">
        <v>35</v>
      </c>
      <c r="R4225" t="s">
        <v>58</v>
      </c>
      <c r="S4225" t="s">
        <v>30</v>
      </c>
      <c r="T4225" t="s">
        <v>3582</v>
      </c>
      <c r="U4225" t="s">
        <v>3583</v>
      </c>
      <c r="V4225" t="s">
        <v>40</v>
      </c>
      <c r="W4225" s="1">
        <v>10400600</v>
      </c>
    </row>
    <row r="4226" spans="1:23" x14ac:dyDescent="0.2">
      <c r="A4226" t="s">
        <v>2096</v>
      </c>
      <c r="B4226" t="s">
        <v>3333</v>
      </c>
      <c r="C4226" t="s">
        <v>3442</v>
      </c>
      <c r="D4226" t="s">
        <v>3466</v>
      </c>
      <c r="E4226" t="s">
        <v>3577</v>
      </c>
      <c r="F4226" t="s">
        <v>3578</v>
      </c>
      <c r="G4226" t="s">
        <v>29</v>
      </c>
      <c r="H4226" t="s">
        <v>30</v>
      </c>
      <c r="I4226" t="s">
        <v>30</v>
      </c>
      <c r="J4226" t="s">
        <v>41</v>
      </c>
      <c r="K4226" t="s">
        <v>32</v>
      </c>
      <c r="L4226" t="s">
        <v>32</v>
      </c>
      <c r="M4226" t="s">
        <v>33</v>
      </c>
      <c r="P4226" t="s">
        <v>34</v>
      </c>
      <c r="Q4226" t="s">
        <v>35</v>
      </c>
      <c r="R4226" t="s">
        <v>58</v>
      </c>
      <c r="S4226" t="s">
        <v>30</v>
      </c>
      <c r="T4226" t="s">
        <v>3582</v>
      </c>
      <c r="U4226" t="s">
        <v>3583</v>
      </c>
      <c r="V4226" t="s">
        <v>39</v>
      </c>
      <c r="W4226" s="1">
        <v>1</v>
      </c>
    </row>
    <row r="4227" spans="1:23" x14ac:dyDescent="0.2">
      <c r="A4227" t="s">
        <v>2096</v>
      </c>
      <c r="B4227" t="s">
        <v>3333</v>
      </c>
      <c r="C4227" t="s">
        <v>3442</v>
      </c>
      <c r="D4227" t="s">
        <v>3466</v>
      </c>
      <c r="E4227" t="s">
        <v>3577</v>
      </c>
      <c r="F4227" t="s">
        <v>3578</v>
      </c>
      <c r="G4227" t="s">
        <v>29</v>
      </c>
      <c r="H4227" t="s">
        <v>30</v>
      </c>
      <c r="I4227" t="s">
        <v>30</v>
      </c>
      <c r="J4227" t="s">
        <v>41</v>
      </c>
      <c r="K4227" t="s">
        <v>32</v>
      </c>
      <c r="L4227" t="s">
        <v>32</v>
      </c>
      <c r="M4227" t="s">
        <v>33</v>
      </c>
      <c r="P4227" t="s">
        <v>34</v>
      </c>
      <c r="Q4227" t="s">
        <v>35</v>
      </c>
      <c r="R4227" t="s">
        <v>58</v>
      </c>
      <c r="S4227" t="s">
        <v>30</v>
      </c>
      <c r="T4227" t="s">
        <v>3582</v>
      </c>
      <c r="U4227" t="s">
        <v>3583</v>
      </c>
      <c r="V4227" t="s">
        <v>40</v>
      </c>
      <c r="W4227" s="1">
        <v>1485800</v>
      </c>
    </row>
    <row r="4228" spans="1:23" x14ac:dyDescent="0.2">
      <c r="A4228" t="s">
        <v>2096</v>
      </c>
      <c r="B4228" t="s">
        <v>3333</v>
      </c>
      <c r="C4228" t="s">
        <v>3442</v>
      </c>
      <c r="D4228" t="s">
        <v>3466</v>
      </c>
      <c r="E4228" t="s">
        <v>3577</v>
      </c>
      <c r="F4228" t="s">
        <v>3578</v>
      </c>
      <c r="G4228" t="s">
        <v>61</v>
      </c>
      <c r="H4228" t="s">
        <v>52</v>
      </c>
      <c r="I4228" t="s">
        <v>52</v>
      </c>
      <c r="J4228" t="s">
        <v>31</v>
      </c>
      <c r="K4228" t="s">
        <v>32</v>
      </c>
      <c r="L4228" t="s">
        <v>32</v>
      </c>
      <c r="M4228" t="s">
        <v>33</v>
      </c>
      <c r="N4228" t="s">
        <v>33</v>
      </c>
      <c r="O4228" t="s">
        <v>33</v>
      </c>
      <c r="P4228" t="s">
        <v>213</v>
      </c>
      <c r="Q4228" t="s">
        <v>2118</v>
      </c>
      <c r="S4228" t="s">
        <v>30</v>
      </c>
      <c r="T4228" t="s">
        <v>3584</v>
      </c>
      <c r="U4228" t="s">
        <v>3585</v>
      </c>
      <c r="V4228" t="s">
        <v>39</v>
      </c>
      <c r="W4228" s="1">
        <v>2</v>
      </c>
    </row>
    <row r="4229" spans="1:23" x14ac:dyDescent="0.2">
      <c r="A4229" t="s">
        <v>2096</v>
      </c>
      <c r="B4229" t="s">
        <v>3333</v>
      </c>
      <c r="C4229" t="s">
        <v>3442</v>
      </c>
      <c r="D4229" t="s">
        <v>3466</v>
      </c>
      <c r="E4229" t="s">
        <v>3577</v>
      </c>
      <c r="F4229" t="s">
        <v>3578</v>
      </c>
      <c r="G4229" t="s">
        <v>61</v>
      </c>
      <c r="H4229" t="s">
        <v>52</v>
      </c>
      <c r="I4229" t="s">
        <v>52</v>
      </c>
      <c r="J4229" t="s">
        <v>31</v>
      </c>
      <c r="K4229" t="s">
        <v>32</v>
      </c>
      <c r="L4229" t="s">
        <v>32</v>
      </c>
      <c r="M4229" t="s">
        <v>33</v>
      </c>
      <c r="N4229" t="s">
        <v>33</v>
      </c>
      <c r="O4229" t="s">
        <v>33</v>
      </c>
      <c r="P4229" t="s">
        <v>213</v>
      </c>
      <c r="Q4229" t="s">
        <v>2118</v>
      </c>
      <c r="S4229" t="s">
        <v>30</v>
      </c>
      <c r="T4229" t="s">
        <v>3584</v>
      </c>
      <c r="U4229" t="s">
        <v>3585</v>
      </c>
      <c r="V4229" t="s">
        <v>40</v>
      </c>
      <c r="W4229" s="1">
        <v>279000</v>
      </c>
    </row>
    <row r="4230" spans="1:23" x14ac:dyDescent="0.2">
      <c r="A4230" t="s">
        <v>2096</v>
      </c>
      <c r="B4230" t="s">
        <v>3333</v>
      </c>
      <c r="C4230" t="s">
        <v>3442</v>
      </c>
      <c r="D4230" t="s">
        <v>3466</v>
      </c>
      <c r="E4230" t="s">
        <v>3577</v>
      </c>
      <c r="F4230" t="s">
        <v>3578</v>
      </c>
      <c r="G4230" t="s">
        <v>61</v>
      </c>
      <c r="H4230" t="s">
        <v>52</v>
      </c>
      <c r="I4230" t="s">
        <v>52</v>
      </c>
      <c r="J4230" t="s">
        <v>31</v>
      </c>
      <c r="K4230" t="s">
        <v>32</v>
      </c>
      <c r="L4230" t="s">
        <v>32</v>
      </c>
      <c r="M4230" t="s">
        <v>33</v>
      </c>
      <c r="N4230" t="s">
        <v>33</v>
      </c>
      <c r="O4230" t="s">
        <v>33</v>
      </c>
      <c r="P4230" t="s">
        <v>34</v>
      </c>
      <c r="Q4230" t="s">
        <v>35</v>
      </c>
      <c r="S4230" t="s">
        <v>30</v>
      </c>
      <c r="T4230" t="s">
        <v>1117</v>
      </c>
      <c r="U4230" t="s">
        <v>3586</v>
      </c>
      <c r="V4230" t="s">
        <v>39</v>
      </c>
      <c r="W4230" s="1">
        <v>2</v>
      </c>
    </row>
    <row r="4231" spans="1:23" x14ac:dyDescent="0.2">
      <c r="A4231" t="s">
        <v>2096</v>
      </c>
      <c r="B4231" t="s">
        <v>3333</v>
      </c>
      <c r="C4231" t="s">
        <v>3442</v>
      </c>
      <c r="D4231" t="s">
        <v>3466</v>
      </c>
      <c r="E4231" t="s">
        <v>3577</v>
      </c>
      <c r="F4231" t="s">
        <v>3578</v>
      </c>
      <c r="G4231" t="s">
        <v>61</v>
      </c>
      <c r="H4231" t="s">
        <v>52</v>
      </c>
      <c r="I4231" t="s">
        <v>52</v>
      </c>
      <c r="J4231" t="s">
        <v>31</v>
      </c>
      <c r="K4231" t="s">
        <v>32</v>
      </c>
      <c r="L4231" t="s">
        <v>32</v>
      </c>
      <c r="M4231" t="s">
        <v>33</v>
      </c>
      <c r="N4231" t="s">
        <v>33</v>
      </c>
      <c r="O4231" t="s">
        <v>33</v>
      </c>
      <c r="P4231" t="s">
        <v>34</v>
      </c>
      <c r="Q4231" t="s">
        <v>35</v>
      </c>
      <c r="S4231" t="s">
        <v>30</v>
      </c>
      <c r="T4231" t="s">
        <v>1117</v>
      </c>
      <c r="U4231" t="s">
        <v>3586</v>
      </c>
      <c r="V4231" t="s">
        <v>40</v>
      </c>
      <c r="W4231" s="1">
        <v>1278000</v>
      </c>
    </row>
    <row r="4232" spans="1:23" x14ac:dyDescent="0.2">
      <c r="A4232" t="s">
        <v>2096</v>
      </c>
      <c r="B4232" t="s">
        <v>3333</v>
      </c>
      <c r="C4232" t="s">
        <v>3442</v>
      </c>
      <c r="D4232" t="s">
        <v>3466</v>
      </c>
      <c r="E4232" t="s">
        <v>3577</v>
      </c>
      <c r="F4232" t="s">
        <v>3578</v>
      </c>
      <c r="G4232" t="s">
        <v>170</v>
      </c>
      <c r="H4232" t="s">
        <v>52</v>
      </c>
      <c r="I4232" t="s">
        <v>30</v>
      </c>
      <c r="J4232" t="s">
        <v>31</v>
      </c>
      <c r="K4232" t="s">
        <v>32</v>
      </c>
      <c r="L4232" t="s">
        <v>32</v>
      </c>
      <c r="M4232" t="s">
        <v>33</v>
      </c>
      <c r="P4232" t="s">
        <v>213</v>
      </c>
      <c r="Q4232" t="s">
        <v>2111</v>
      </c>
      <c r="S4232" t="s">
        <v>52</v>
      </c>
      <c r="T4232" t="s">
        <v>3587</v>
      </c>
      <c r="U4232" t="s">
        <v>3588</v>
      </c>
      <c r="V4232" t="s">
        <v>39</v>
      </c>
      <c r="W4232" s="1">
        <v>0</v>
      </c>
    </row>
    <row r="4233" spans="1:23" x14ac:dyDescent="0.2">
      <c r="A4233" t="s">
        <v>2096</v>
      </c>
      <c r="B4233" t="s">
        <v>3333</v>
      </c>
      <c r="C4233" t="s">
        <v>3442</v>
      </c>
      <c r="D4233" t="s">
        <v>3466</v>
      </c>
      <c r="E4233" t="s">
        <v>3577</v>
      </c>
      <c r="F4233" t="s">
        <v>3578</v>
      </c>
      <c r="G4233" t="s">
        <v>170</v>
      </c>
      <c r="H4233" t="s">
        <v>52</v>
      </c>
      <c r="I4233" t="s">
        <v>30</v>
      </c>
      <c r="J4233" t="s">
        <v>31</v>
      </c>
      <c r="K4233" t="s">
        <v>32</v>
      </c>
      <c r="L4233" t="s">
        <v>32</v>
      </c>
      <c r="M4233" t="s">
        <v>33</v>
      </c>
      <c r="P4233" t="s">
        <v>213</v>
      </c>
      <c r="Q4233" t="s">
        <v>2111</v>
      </c>
      <c r="S4233" t="s">
        <v>52</v>
      </c>
      <c r="T4233" t="s">
        <v>3587</v>
      </c>
      <c r="U4233" t="s">
        <v>3588</v>
      </c>
      <c r="V4233" t="s">
        <v>40</v>
      </c>
      <c r="W4233" s="1">
        <v>0</v>
      </c>
    </row>
    <row r="4234" spans="1:23" x14ac:dyDescent="0.2">
      <c r="A4234" t="s">
        <v>2096</v>
      </c>
      <c r="B4234" t="s">
        <v>3333</v>
      </c>
      <c r="C4234" t="s">
        <v>3442</v>
      </c>
      <c r="D4234" t="s">
        <v>3466</v>
      </c>
      <c r="E4234" t="s">
        <v>3577</v>
      </c>
      <c r="F4234" t="s">
        <v>3578</v>
      </c>
      <c r="G4234" t="s">
        <v>64</v>
      </c>
      <c r="H4234" t="s">
        <v>30</v>
      </c>
      <c r="I4234" t="s">
        <v>52</v>
      </c>
      <c r="J4234" t="s">
        <v>31</v>
      </c>
      <c r="K4234" t="s">
        <v>32</v>
      </c>
      <c r="L4234" t="s">
        <v>32</v>
      </c>
      <c r="M4234" t="s">
        <v>33</v>
      </c>
      <c r="P4234" t="s">
        <v>213</v>
      </c>
      <c r="Q4234" t="s">
        <v>2111</v>
      </c>
      <c r="S4234" t="s">
        <v>52</v>
      </c>
      <c r="T4234" t="s">
        <v>3589</v>
      </c>
      <c r="U4234" t="s">
        <v>3590</v>
      </c>
      <c r="V4234" t="s">
        <v>39</v>
      </c>
      <c r="W4234" s="1">
        <v>0</v>
      </c>
    </row>
    <row r="4235" spans="1:23" x14ac:dyDescent="0.2">
      <c r="A4235" t="s">
        <v>2096</v>
      </c>
      <c r="B4235" t="s">
        <v>3333</v>
      </c>
      <c r="C4235" t="s">
        <v>3442</v>
      </c>
      <c r="D4235" t="s">
        <v>3466</v>
      </c>
      <c r="E4235" t="s">
        <v>3577</v>
      </c>
      <c r="F4235" t="s">
        <v>3578</v>
      </c>
      <c r="G4235" t="s">
        <v>64</v>
      </c>
      <c r="H4235" t="s">
        <v>30</v>
      </c>
      <c r="I4235" t="s">
        <v>52</v>
      </c>
      <c r="J4235" t="s">
        <v>31</v>
      </c>
      <c r="K4235" t="s">
        <v>32</v>
      </c>
      <c r="L4235" t="s">
        <v>32</v>
      </c>
      <c r="M4235" t="s">
        <v>33</v>
      </c>
      <c r="P4235" t="s">
        <v>213</v>
      </c>
      <c r="Q4235" t="s">
        <v>2111</v>
      </c>
      <c r="S4235" t="s">
        <v>52</v>
      </c>
      <c r="T4235" t="s">
        <v>3589</v>
      </c>
      <c r="U4235" t="s">
        <v>3590</v>
      </c>
      <c r="V4235" t="s">
        <v>40</v>
      </c>
      <c r="W4235" s="1">
        <v>0</v>
      </c>
    </row>
    <row r="4236" spans="1:23" x14ac:dyDescent="0.2">
      <c r="A4236" t="s">
        <v>2096</v>
      </c>
      <c r="B4236" t="s">
        <v>3333</v>
      </c>
      <c r="C4236" t="s">
        <v>3442</v>
      </c>
      <c r="D4236" t="s">
        <v>3466</v>
      </c>
      <c r="E4236" t="s">
        <v>3577</v>
      </c>
      <c r="F4236" t="s">
        <v>3578</v>
      </c>
      <c r="G4236" t="s">
        <v>64</v>
      </c>
      <c r="H4236" t="s">
        <v>30</v>
      </c>
      <c r="I4236" t="s">
        <v>52</v>
      </c>
      <c r="J4236" t="s">
        <v>41</v>
      </c>
      <c r="K4236" t="s">
        <v>32</v>
      </c>
      <c r="L4236" t="s">
        <v>32</v>
      </c>
      <c r="M4236" t="s">
        <v>33</v>
      </c>
      <c r="N4236" t="s">
        <v>33</v>
      </c>
      <c r="O4236" t="s">
        <v>33</v>
      </c>
      <c r="P4236" t="s">
        <v>34</v>
      </c>
      <c r="Q4236" t="s">
        <v>35</v>
      </c>
      <c r="R4236" t="s">
        <v>54</v>
      </c>
      <c r="S4236" t="s">
        <v>30</v>
      </c>
      <c r="T4236" t="s">
        <v>3591</v>
      </c>
      <c r="U4236" t="s">
        <v>3592</v>
      </c>
      <c r="V4236" t="s">
        <v>39</v>
      </c>
      <c r="W4236" s="1">
        <v>2</v>
      </c>
    </row>
    <row r="4237" spans="1:23" x14ac:dyDescent="0.2">
      <c r="A4237" t="s">
        <v>2096</v>
      </c>
      <c r="B4237" t="s">
        <v>3333</v>
      </c>
      <c r="C4237" t="s">
        <v>3442</v>
      </c>
      <c r="D4237" t="s">
        <v>3466</v>
      </c>
      <c r="E4237" t="s">
        <v>3577</v>
      </c>
      <c r="F4237" t="s">
        <v>3578</v>
      </c>
      <c r="G4237" t="s">
        <v>64</v>
      </c>
      <c r="H4237" t="s">
        <v>30</v>
      </c>
      <c r="I4237" t="s">
        <v>52</v>
      </c>
      <c r="J4237" t="s">
        <v>41</v>
      </c>
      <c r="K4237" t="s">
        <v>32</v>
      </c>
      <c r="L4237" t="s">
        <v>32</v>
      </c>
      <c r="M4237" t="s">
        <v>33</v>
      </c>
      <c r="N4237" t="s">
        <v>33</v>
      </c>
      <c r="O4237" t="s">
        <v>33</v>
      </c>
      <c r="P4237" t="s">
        <v>34</v>
      </c>
      <c r="Q4237" t="s">
        <v>35</v>
      </c>
      <c r="R4237" t="s">
        <v>54</v>
      </c>
      <c r="S4237" t="s">
        <v>30</v>
      </c>
      <c r="T4237" t="s">
        <v>3591</v>
      </c>
      <c r="U4237" t="s">
        <v>3592</v>
      </c>
      <c r="V4237" t="s">
        <v>40</v>
      </c>
      <c r="W4237" s="1">
        <v>3329800</v>
      </c>
    </row>
    <row r="4238" spans="1:23" x14ac:dyDescent="0.2">
      <c r="A4238" t="s">
        <v>2096</v>
      </c>
      <c r="B4238" t="s">
        <v>3333</v>
      </c>
      <c r="C4238" t="s">
        <v>3442</v>
      </c>
      <c r="D4238" t="s">
        <v>3466</v>
      </c>
      <c r="E4238" t="s">
        <v>3577</v>
      </c>
      <c r="F4238" t="s">
        <v>3578</v>
      </c>
      <c r="G4238" t="s">
        <v>64</v>
      </c>
      <c r="H4238" t="s">
        <v>30</v>
      </c>
      <c r="I4238" t="s">
        <v>52</v>
      </c>
      <c r="J4238" t="s">
        <v>41</v>
      </c>
      <c r="K4238" t="s">
        <v>32</v>
      </c>
      <c r="L4238" t="s">
        <v>32</v>
      </c>
      <c r="M4238" t="s">
        <v>33</v>
      </c>
      <c r="P4238" t="s">
        <v>34</v>
      </c>
      <c r="Q4238" t="s">
        <v>35</v>
      </c>
      <c r="R4238" t="s">
        <v>162</v>
      </c>
      <c r="S4238" t="s">
        <v>52</v>
      </c>
      <c r="T4238" t="s">
        <v>3593</v>
      </c>
      <c r="U4238" t="s">
        <v>3594</v>
      </c>
      <c r="V4238" t="s">
        <v>39</v>
      </c>
      <c r="W4238" s="1">
        <v>0</v>
      </c>
    </row>
    <row r="4239" spans="1:23" x14ac:dyDescent="0.2">
      <c r="A4239" t="s">
        <v>2096</v>
      </c>
      <c r="B4239" t="s">
        <v>3333</v>
      </c>
      <c r="C4239" t="s">
        <v>3442</v>
      </c>
      <c r="D4239" t="s">
        <v>3466</v>
      </c>
      <c r="E4239" t="s">
        <v>3577</v>
      </c>
      <c r="F4239" t="s">
        <v>3578</v>
      </c>
      <c r="G4239" t="s">
        <v>64</v>
      </c>
      <c r="H4239" t="s">
        <v>30</v>
      </c>
      <c r="I4239" t="s">
        <v>52</v>
      </c>
      <c r="J4239" t="s">
        <v>41</v>
      </c>
      <c r="K4239" t="s">
        <v>32</v>
      </c>
      <c r="L4239" t="s">
        <v>32</v>
      </c>
      <c r="M4239" t="s">
        <v>33</v>
      </c>
      <c r="P4239" t="s">
        <v>34</v>
      </c>
      <c r="Q4239" t="s">
        <v>35</v>
      </c>
      <c r="R4239" t="s">
        <v>162</v>
      </c>
      <c r="S4239" t="s">
        <v>52</v>
      </c>
      <c r="T4239" t="s">
        <v>3593</v>
      </c>
      <c r="U4239" t="s">
        <v>3594</v>
      </c>
      <c r="V4239" t="s">
        <v>40</v>
      </c>
      <c r="W4239" s="1">
        <v>0</v>
      </c>
    </row>
    <row r="4240" spans="1:23" x14ac:dyDescent="0.2">
      <c r="A4240" t="s">
        <v>2096</v>
      </c>
      <c r="B4240" t="s">
        <v>3333</v>
      </c>
      <c r="C4240" t="s">
        <v>3442</v>
      </c>
      <c r="D4240" t="s">
        <v>3466</v>
      </c>
      <c r="E4240" t="s">
        <v>3577</v>
      </c>
      <c r="F4240" t="s">
        <v>3578</v>
      </c>
      <c r="G4240" t="s">
        <v>67</v>
      </c>
      <c r="H4240" t="s">
        <v>30</v>
      </c>
      <c r="I4240" t="s">
        <v>30</v>
      </c>
      <c r="J4240" t="s">
        <v>41</v>
      </c>
      <c r="K4240" t="s">
        <v>32</v>
      </c>
      <c r="L4240" t="s">
        <v>32</v>
      </c>
      <c r="M4240" t="s">
        <v>33</v>
      </c>
      <c r="N4240" t="s">
        <v>33</v>
      </c>
      <c r="O4240" t="s">
        <v>33</v>
      </c>
      <c r="P4240" t="s">
        <v>34</v>
      </c>
      <c r="Q4240" t="s">
        <v>35</v>
      </c>
      <c r="R4240" t="s">
        <v>54</v>
      </c>
      <c r="S4240" t="s">
        <v>30</v>
      </c>
      <c r="T4240" t="s">
        <v>604</v>
      </c>
      <c r="U4240" t="s">
        <v>3595</v>
      </c>
      <c r="V4240" t="s">
        <v>39</v>
      </c>
      <c r="W4240" s="1">
        <v>4</v>
      </c>
    </row>
    <row r="4241" spans="1:23" x14ac:dyDescent="0.2">
      <c r="A4241" t="s">
        <v>2096</v>
      </c>
      <c r="B4241" t="s">
        <v>3333</v>
      </c>
      <c r="C4241" t="s">
        <v>3442</v>
      </c>
      <c r="D4241" t="s">
        <v>3466</v>
      </c>
      <c r="E4241" t="s">
        <v>3577</v>
      </c>
      <c r="F4241" t="s">
        <v>3578</v>
      </c>
      <c r="G4241" t="s">
        <v>67</v>
      </c>
      <c r="H4241" t="s">
        <v>30</v>
      </c>
      <c r="I4241" t="s">
        <v>30</v>
      </c>
      <c r="J4241" t="s">
        <v>41</v>
      </c>
      <c r="K4241" t="s">
        <v>32</v>
      </c>
      <c r="L4241" t="s">
        <v>32</v>
      </c>
      <c r="M4241" t="s">
        <v>33</v>
      </c>
      <c r="N4241" t="s">
        <v>33</v>
      </c>
      <c r="O4241" t="s">
        <v>33</v>
      </c>
      <c r="P4241" t="s">
        <v>34</v>
      </c>
      <c r="Q4241" t="s">
        <v>35</v>
      </c>
      <c r="R4241" t="s">
        <v>54</v>
      </c>
      <c r="S4241" t="s">
        <v>30</v>
      </c>
      <c r="T4241" t="s">
        <v>604</v>
      </c>
      <c r="U4241" t="s">
        <v>3595</v>
      </c>
      <c r="V4241" t="s">
        <v>40</v>
      </c>
      <c r="W4241" s="1">
        <v>4164400</v>
      </c>
    </row>
    <row r="4242" spans="1:23" x14ac:dyDescent="0.2">
      <c r="A4242" t="s">
        <v>2096</v>
      </c>
      <c r="B4242" t="s">
        <v>3333</v>
      </c>
      <c r="C4242" t="s">
        <v>3442</v>
      </c>
      <c r="D4242" t="s">
        <v>3466</v>
      </c>
      <c r="E4242" t="s">
        <v>3577</v>
      </c>
      <c r="F4242" t="s">
        <v>3578</v>
      </c>
      <c r="G4242" t="s">
        <v>67</v>
      </c>
      <c r="H4242" t="s">
        <v>30</v>
      </c>
      <c r="I4242" t="s">
        <v>30</v>
      </c>
      <c r="J4242" t="s">
        <v>41</v>
      </c>
      <c r="K4242" t="s">
        <v>32</v>
      </c>
      <c r="L4242" t="s">
        <v>32</v>
      </c>
      <c r="M4242" t="s">
        <v>33</v>
      </c>
      <c r="N4242" t="s">
        <v>33</v>
      </c>
      <c r="O4242" t="s">
        <v>33</v>
      </c>
      <c r="P4242" t="s">
        <v>34</v>
      </c>
      <c r="Q4242" t="s">
        <v>35</v>
      </c>
      <c r="S4242" t="s">
        <v>30</v>
      </c>
      <c r="T4242" t="s">
        <v>3596</v>
      </c>
      <c r="U4242" t="s">
        <v>3597</v>
      </c>
      <c r="V4242" t="s">
        <v>39</v>
      </c>
      <c r="W4242" s="1">
        <v>2</v>
      </c>
    </row>
    <row r="4243" spans="1:23" x14ac:dyDescent="0.2">
      <c r="A4243" t="s">
        <v>2096</v>
      </c>
      <c r="B4243" t="s">
        <v>3333</v>
      </c>
      <c r="C4243" t="s">
        <v>3442</v>
      </c>
      <c r="D4243" t="s">
        <v>3466</v>
      </c>
      <c r="E4243" t="s">
        <v>3577</v>
      </c>
      <c r="F4243" t="s">
        <v>3578</v>
      </c>
      <c r="G4243" t="s">
        <v>67</v>
      </c>
      <c r="H4243" t="s">
        <v>30</v>
      </c>
      <c r="I4243" t="s">
        <v>30</v>
      </c>
      <c r="J4243" t="s">
        <v>41</v>
      </c>
      <c r="K4243" t="s">
        <v>32</v>
      </c>
      <c r="L4243" t="s">
        <v>32</v>
      </c>
      <c r="M4243" t="s">
        <v>33</v>
      </c>
      <c r="N4243" t="s">
        <v>33</v>
      </c>
      <c r="O4243" t="s">
        <v>33</v>
      </c>
      <c r="P4243" t="s">
        <v>34</v>
      </c>
      <c r="Q4243" t="s">
        <v>35</v>
      </c>
      <c r="S4243" t="s">
        <v>30</v>
      </c>
      <c r="T4243" t="s">
        <v>3596</v>
      </c>
      <c r="U4243" t="s">
        <v>3597</v>
      </c>
      <c r="V4243" t="s">
        <v>40</v>
      </c>
      <c r="W4243" s="1">
        <v>3858000</v>
      </c>
    </row>
    <row r="4244" spans="1:23" x14ac:dyDescent="0.2">
      <c r="A4244" t="s">
        <v>2096</v>
      </c>
      <c r="B4244" t="s">
        <v>3333</v>
      </c>
      <c r="C4244" t="s">
        <v>3442</v>
      </c>
      <c r="D4244" t="s">
        <v>3466</v>
      </c>
      <c r="E4244" t="s">
        <v>3577</v>
      </c>
      <c r="F4244" t="s">
        <v>3578</v>
      </c>
      <c r="G4244" t="s">
        <v>67</v>
      </c>
      <c r="H4244" t="s">
        <v>30</v>
      </c>
      <c r="I4244" t="s">
        <v>30</v>
      </c>
      <c r="J4244" t="s">
        <v>41</v>
      </c>
      <c r="K4244" t="s">
        <v>32</v>
      </c>
      <c r="L4244" t="s">
        <v>32</v>
      </c>
      <c r="M4244" t="s">
        <v>33</v>
      </c>
      <c r="P4244" t="s">
        <v>34</v>
      </c>
      <c r="Q4244" t="s">
        <v>35</v>
      </c>
      <c r="S4244" t="s">
        <v>52</v>
      </c>
      <c r="T4244" t="s">
        <v>3598</v>
      </c>
      <c r="U4244" t="s">
        <v>3599</v>
      </c>
      <c r="V4244" t="s">
        <v>39</v>
      </c>
      <c r="W4244" s="1">
        <v>0</v>
      </c>
    </row>
    <row r="4245" spans="1:23" x14ac:dyDescent="0.2">
      <c r="A4245" t="s">
        <v>2096</v>
      </c>
      <c r="B4245" t="s">
        <v>3333</v>
      </c>
      <c r="C4245" t="s">
        <v>3442</v>
      </c>
      <c r="D4245" t="s">
        <v>3466</v>
      </c>
      <c r="E4245" t="s">
        <v>3577</v>
      </c>
      <c r="F4245" t="s">
        <v>3578</v>
      </c>
      <c r="G4245" t="s">
        <v>67</v>
      </c>
      <c r="H4245" t="s">
        <v>30</v>
      </c>
      <c r="I4245" t="s">
        <v>30</v>
      </c>
      <c r="J4245" t="s">
        <v>41</v>
      </c>
      <c r="K4245" t="s">
        <v>32</v>
      </c>
      <c r="L4245" t="s">
        <v>32</v>
      </c>
      <c r="M4245" t="s">
        <v>33</v>
      </c>
      <c r="P4245" t="s">
        <v>34</v>
      </c>
      <c r="Q4245" t="s">
        <v>35</v>
      </c>
      <c r="S4245" t="s">
        <v>52</v>
      </c>
      <c r="T4245" t="s">
        <v>3598</v>
      </c>
      <c r="U4245" t="s">
        <v>3599</v>
      </c>
      <c r="V4245" t="s">
        <v>40</v>
      </c>
      <c r="W4245" s="1">
        <v>0</v>
      </c>
    </row>
    <row r="4246" spans="1:23" x14ac:dyDescent="0.2">
      <c r="A4246" t="s">
        <v>2096</v>
      </c>
      <c r="B4246" t="s">
        <v>3333</v>
      </c>
      <c r="C4246" t="s">
        <v>3442</v>
      </c>
      <c r="D4246" t="s">
        <v>3466</v>
      </c>
      <c r="E4246" t="s">
        <v>3577</v>
      </c>
      <c r="F4246" t="s">
        <v>3578</v>
      </c>
      <c r="G4246" t="s">
        <v>89</v>
      </c>
      <c r="H4246" t="s">
        <v>30</v>
      </c>
      <c r="I4246" t="s">
        <v>30</v>
      </c>
      <c r="J4246" t="s">
        <v>31</v>
      </c>
      <c r="K4246" t="s">
        <v>32</v>
      </c>
      <c r="L4246" t="s">
        <v>32</v>
      </c>
      <c r="M4246" t="s">
        <v>33</v>
      </c>
      <c r="N4246" t="s">
        <v>33</v>
      </c>
      <c r="O4246" t="s">
        <v>33</v>
      </c>
      <c r="P4246" t="s">
        <v>34</v>
      </c>
      <c r="Q4246" t="s">
        <v>35</v>
      </c>
      <c r="S4246" t="s">
        <v>30</v>
      </c>
      <c r="T4246" t="s">
        <v>3600</v>
      </c>
      <c r="U4246" t="s">
        <v>3601</v>
      </c>
      <c r="V4246" t="s">
        <v>39</v>
      </c>
      <c r="W4246" s="1">
        <v>3</v>
      </c>
    </row>
    <row r="4247" spans="1:23" x14ac:dyDescent="0.2">
      <c r="A4247" t="s">
        <v>2096</v>
      </c>
      <c r="B4247" t="s">
        <v>3333</v>
      </c>
      <c r="C4247" t="s">
        <v>3442</v>
      </c>
      <c r="D4247" t="s">
        <v>3466</v>
      </c>
      <c r="E4247" t="s">
        <v>3577</v>
      </c>
      <c r="F4247" t="s">
        <v>3578</v>
      </c>
      <c r="G4247" t="s">
        <v>89</v>
      </c>
      <c r="H4247" t="s">
        <v>30</v>
      </c>
      <c r="I4247" t="s">
        <v>30</v>
      </c>
      <c r="J4247" t="s">
        <v>31</v>
      </c>
      <c r="K4247" t="s">
        <v>32</v>
      </c>
      <c r="L4247" t="s">
        <v>32</v>
      </c>
      <c r="M4247" t="s">
        <v>33</v>
      </c>
      <c r="N4247" t="s">
        <v>33</v>
      </c>
      <c r="O4247" t="s">
        <v>33</v>
      </c>
      <c r="P4247" t="s">
        <v>34</v>
      </c>
      <c r="Q4247" t="s">
        <v>35</v>
      </c>
      <c r="S4247" t="s">
        <v>30</v>
      </c>
      <c r="T4247" t="s">
        <v>3600</v>
      </c>
      <c r="U4247" t="s">
        <v>3601</v>
      </c>
      <c r="V4247" t="s">
        <v>40</v>
      </c>
      <c r="W4247" s="1">
        <v>2835000</v>
      </c>
    </row>
    <row r="4248" spans="1:23" x14ac:dyDescent="0.2">
      <c r="A4248" t="s">
        <v>2096</v>
      </c>
      <c r="B4248" t="s">
        <v>3333</v>
      </c>
      <c r="C4248" t="s">
        <v>3442</v>
      </c>
      <c r="D4248" t="s">
        <v>3466</v>
      </c>
      <c r="E4248" t="s">
        <v>3577</v>
      </c>
      <c r="F4248" t="s">
        <v>3578</v>
      </c>
      <c r="G4248" t="s">
        <v>89</v>
      </c>
      <c r="H4248" t="s">
        <v>30</v>
      </c>
      <c r="I4248" t="s">
        <v>30</v>
      </c>
      <c r="J4248" t="s">
        <v>31</v>
      </c>
      <c r="K4248" t="s">
        <v>32</v>
      </c>
      <c r="L4248" t="s">
        <v>32</v>
      </c>
      <c r="M4248" t="s">
        <v>33</v>
      </c>
      <c r="P4248" t="s">
        <v>213</v>
      </c>
      <c r="Q4248" t="s">
        <v>2118</v>
      </c>
      <c r="S4248" t="s">
        <v>30</v>
      </c>
      <c r="T4248" t="s">
        <v>3602</v>
      </c>
      <c r="U4248" t="s">
        <v>3603</v>
      </c>
      <c r="V4248" t="s">
        <v>39</v>
      </c>
      <c r="W4248" s="1">
        <v>2</v>
      </c>
    </row>
    <row r="4249" spans="1:23" x14ac:dyDescent="0.2">
      <c r="A4249" t="s">
        <v>2096</v>
      </c>
      <c r="B4249" t="s">
        <v>3333</v>
      </c>
      <c r="C4249" t="s">
        <v>3442</v>
      </c>
      <c r="D4249" t="s">
        <v>3466</v>
      </c>
      <c r="E4249" t="s">
        <v>3577</v>
      </c>
      <c r="F4249" t="s">
        <v>3578</v>
      </c>
      <c r="G4249" t="s">
        <v>89</v>
      </c>
      <c r="H4249" t="s">
        <v>30</v>
      </c>
      <c r="I4249" t="s">
        <v>30</v>
      </c>
      <c r="J4249" t="s">
        <v>31</v>
      </c>
      <c r="K4249" t="s">
        <v>32</v>
      </c>
      <c r="L4249" t="s">
        <v>32</v>
      </c>
      <c r="M4249" t="s">
        <v>33</v>
      </c>
      <c r="P4249" t="s">
        <v>213</v>
      </c>
      <c r="Q4249" t="s">
        <v>2118</v>
      </c>
      <c r="S4249" t="s">
        <v>30</v>
      </c>
      <c r="T4249" t="s">
        <v>3602</v>
      </c>
      <c r="U4249" t="s">
        <v>3603</v>
      </c>
      <c r="V4249" t="s">
        <v>40</v>
      </c>
      <c r="W4249" s="1">
        <v>2455000</v>
      </c>
    </row>
    <row r="4250" spans="1:23" x14ac:dyDescent="0.2">
      <c r="A4250" t="s">
        <v>2096</v>
      </c>
      <c r="B4250" t="s">
        <v>3333</v>
      </c>
      <c r="C4250" t="s">
        <v>3442</v>
      </c>
      <c r="D4250" t="s">
        <v>3466</v>
      </c>
      <c r="E4250" t="s">
        <v>3577</v>
      </c>
      <c r="F4250" t="s">
        <v>3578</v>
      </c>
      <c r="G4250" t="s">
        <v>89</v>
      </c>
      <c r="H4250" t="s">
        <v>30</v>
      </c>
      <c r="I4250" t="s">
        <v>30</v>
      </c>
      <c r="J4250" t="s">
        <v>31</v>
      </c>
      <c r="K4250" t="s">
        <v>32</v>
      </c>
      <c r="L4250" t="s">
        <v>32</v>
      </c>
      <c r="M4250" t="s">
        <v>33</v>
      </c>
      <c r="P4250" t="s">
        <v>34</v>
      </c>
      <c r="Q4250" t="s">
        <v>35</v>
      </c>
      <c r="S4250" t="s">
        <v>30</v>
      </c>
      <c r="T4250" t="s">
        <v>3604</v>
      </c>
      <c r="U4250" t="s">
        <v>3605</v>
      </c>
      <c r="V4250" t="s">
        <v>39</v>
      </c>
      <c r="W4250" s="1">
        <v>4</v>
      </c>
    </row>
    <row r="4251" spans="1:23" x14ac:dyDescent="0.2">
      <c r="A4251" t="s">
        <v>2096</v>
      </c>
      <c r="B4251" t="s">
        <v>3333</v>
      </c>
      <c r="C4251" t="s">
        <v>3442</v>
      </c>
      <c r="D4251" t="s">
        <v>3466</v>
      </c>
      <c r="E4251" t="s">
        <v>3577</v>
      </c>
      <c r="F4251" t="s">
        <v>3578</v>
      </c>
      <c r="G4251" t="s">
        <v>89</v>
      </c>
      <c r="H4251" t="s">
        <v>30</v>
      </c>
      <c r="I4251" t="s">
        <v>30</v>
      </c>
      <c r="J4251" t="s">
        <v>31</v>
      </c>
      <c r="K4251" t="s">
        <v>32</v>
      </c>
      <c r="L4251" t="s">
        <v>32</v>
      </c>
      <c r="M4251" t="s">
        <v>33</v>
      </c>
      <c r="P4251" t="s">
        <v>34</v>
      </c>
      <c r="Q4251" t="s">
        <v>35</v>
      </c>
      <c r="S4251" t="s">
        <v>30</v>
      </c>
      <c r="T4251" t="s">
        <v>3604</v>
      </c>
      <c r="U4251" t="s">
        <v>3605</v>
      </c>
      <c r="V4251" t="s">
        <v>40</v>
      </c>
      <c r="W4251" s="1">
        <v>3612000</v>
      </c>
    </row>
    <row r="4252" spans="1:23" x14ac:dyDescent="0.2">
      <c r="A4252" t="s">
        <v>2096</v>
      </c>
      <c r="B4252" t="s">
        <v>3333</v>
      </c>
      <c r="C4252" t="s">
        <v>3442</v>
      </c>
      <c r="D4252" t="s">
        <v>3466</v>
      </c>
      <c r="E4252" t="s">
        <v>3577</v>
      </c>
      <c r="F4252" t="s">
        <v>3578</v>
      </c>
      <c r="G4252" t="s">
        <v>89</v>
      </c>
      <c r="H4252" t="s">
        <v>30</v>
      </c>
      <c r="I4252" t="s">
        <v>30</v>
      </c>
      <c r="J4252" t="s">
        <v>41</v>
      </c>
      <c r="K4252" t="s">
        <v>32</v>
      </c>
      <c r="L4252" t="s">
        <v>32</v>
      </c>
      <c r="M4252" t="s">
        <v>33</v>
      </c>
      <c r="N4252" t="s">
        <v>33</v>
      </c>
      <c r="O4252" t="s">
        <v>33</v>
      </c>
      <c r="P4252" t="s">
        <v>34</v>
      </c>
      <c r="Q4252" t="s">
        <v>35</v>
      </c>
      <c r="S4252" t="s">
        <v>30</v>
      </c>
      <c r="T4252" t="s">
        <v>3606</v>
      </c>
      <c r="U4252" t="s">
        <v>3607</v>
      </c>
      <c r="V4252" t="s">
        <v>39</v>
      </c>
      <c r="W4252" s="1">
        <v>2</v>
      </c>
    </row>
    <row r="4253" spans="1:23" x14ac:dyDescent="0.2">
      <c r="A4253" t="s">
        <v>2096</v>
      </c>
      <c r="B4253" t="s">
        <v>3333</v>
      </c>
      <c r="C4253" t="s">
        <v>3442</v>
      </c>
      <c r="D4253" t="s">
        <v>3466</v>
      </c>
      <c r="E4253" t="s">
        <v>3577</v>
      </c>
      <c r="F4253" t="s">
        <v>3578</v>
      </c>
      <c r="G4253" t="s">
        <v>89</v>
      </c>
      <c r="H4253" t="s">
        <v>30</v>
      </c>
      <c r="I4253" t="s">
        <v>30</v>
      </c>
      <c r="J4253" t="s">
        <v>41</v>
      </c>
      <c r="K4253" t="s">
        <v>32</v>
      </c>
      <c r="L4253" t="s">
        <v>32</v>
      </c>
      <c r="M4253" t="s">
        <v>33</v>
      </c>
      <c r="N4253" t="s">
        <v>33</v>
      </c>
      <c r="O4253" t="s">
        <v>33</v>
      </c>
      <c r="P4253" t="s">
        <v>34</v>
      </c>
      <c r="Q4253" t="s">
        <v>35</v>
      </c>
      <c r="S4253" t="s">
        <v>30</v>
      </c>
      <c r="T4253" t="s">
        <v>3606</v>
      </c>
      <c r="U4253" t="s">
        <v>3607</v>
      </c>
      <c r="V4253" t="s">
        <v>40</v>
      </c>
      <c r="W4253" s="1">
        <v>2140400</v>
      </c>
    </row>
    <row r="4254" spans="1:23" x14ac:dyDescent="0.2">
      <c r="A4254" t="s">
        <v>2096</v>
      </c>
      <c r="B4254" t="s">
        <v>3333</v>
      </c>
      <c r="C4254" t="s">
        <v>3442</v>
      </c>
      <c r="D4254" t="s">
        <v>3466</v>
      </c>
      <c r="E4254" t="s">
        <v>3577</v>
      </c>
      <c r="F4254" t="s">
        <v>3578</v>
      </c>
      <c r="G4254" t="s">
        <v>89</v>
      </c>
      <c r="H4254" t="s">
        <v>30</v>
      </c>
      <c r="I4254" t="s">
        <v>30</v>
      </c>
      <c r="J4254" t="s">
        <v>41</v>
      </c>
      <c r="K4254" t="s">
        <v>32</v>
      </c>
      <c r="L4254" t="s">
        <v>32</v>
      </c>
      <c r="M4254" t="s">
        <v>33</v>
      </c>
      <c r="N4254" t="s">
        <v>176</v>
      </c>
      <c r="O4254" t="s">
        <v>176</v>
      </c>
      <c r="P4254" t="s">
        <v>34</v>
      </c>
      <c r="Q4254" t="s">
        <v>35</v>
      </c>
      <c r="S4254" t="s">
        <v>30</v>
      </c>
      <c r="T4254" t="s">
        <v>3606</v>
      </c>
      <c r="U4254" t="s">
        <v>3607</v>
      </c>
      <c r="V4254" t="s">
        <v>39</v>
      </c>
      <c r="W4254" s="1">
        <v>1</v>
      </c>
    </row>
    <row r="4255" spans="1:23" x14ac:dyDescent="0.2">
      <c r="A4255" t="s">
        <v>2096</v>
      </c>
      <c r="B4255" t="s">
        <v>3333</v>
      </c>
      <c r="C4255" t="s">
        <v>3442</v>
      </c>
      <c r="D4255" t="s">
        <v>3466</v>
      </c>
      <c r="E4255" t="s">
        <v>3577</v>
      </c>
      <c r="F4255" t="s">
        <v>3578</v>
      </c>
      <c r="G4255" t="s">
        <v>89</v>
      </c>
      <c r="H4255" t="s">
        <v>30</v>
      </c>
      <c r="I4255" t="s">
        <v>30</v>
      </c>
      <c r="J4255" t="s">
        <v>41</v>
      </c>
      <c r="K4255" t="s">
        <v>32</v>
      </c>
      <c r="L4255" t="s">
        <v>32</v>
      </c>
      <c r="M4255" t="s">
        <v>33</v>
      </c>
      <c r="N4255" t="s">
        <v>176</v>
      </c>
      <c r="O4255" t="s">
        <v>176</v>
      </c>
      <c r="P4255" t="s">
        <v>34</v>
      </c>
      <c r="Q4255" t="s">
        <v>35</v>
      </c>
      <c r="S4255" t="s">
        <v>30</v>
      </c>
      <c r="T4255" t="s">
        <v>3606</v>
      </c>
      <c r="U4255" t="s">
        <v>3607</v>
      </c>
      <c r="V4255" t="s">
        <v>40</v>
      </c>
      <c r="W4255" s="1">
        <v>1070200</v>
      </c>
    </row>
    <row r="4256" spans="1:23" x14ac:dyDescent="0.2">
      <c r="A4256" t="s">
        <v>2096</v>
      </c>
      <c r="B4256" t="s">
        <v>3333</v>
      </c>
      <c r="C4256" t="s">
        <v>3442</v>
      </c>
      <c r="D4256" t="s">
        <v>3466</v>
      </c>
      <c r="E4256" t="s">
        <v>3577</v>
      </c>
      <c r="F4256" t="s">
        <v>3578</v>
      </c>
      <c r="G4256" t="s">
        <v>106</v>
      </c>
      <c r="H4256" t="s">
        <v>30</v>
      </c>
      <c r="I4256" t="s">
        <v>30</v>
      </c>
      <c r="J4256" t="s">
        <v>31</v>
      </c>
      <c r="K4256" t="s">
        <v>32</v>
      </c>
      <c r="L4256" t="s">
        <v>32</v>
      </c>
      <c r="M4256" t="s">
        <v>33</v>
      </c>
      <c r="N4256" t="s">
        <v>33</v>
      </c>
      <c r="O4256" t="s">
        <v>33</v>
      </c>
      <c r="P4256" t="s">
        <v>213</v>
      </c>
      <c r="Q4256" t="s">
        <v>2111</v>
      </c>
      <c r="S4256" t="s">
        <v>30</v>
      </c>
      <c r="T4256" t="s">
        <v>3608</v>
      </c>
      <c r="U4256" t="s">
        <v>3609</v>
      </c>
      <c r="V4256" t="s">
        <v>39</v>
      </c>
      <c r="W4256" s="1">
        <v>1</v>
      </c>
    </row>
    <row r="4257" spans="1:23" x14ac:dyDescent="0.2">
      <c r="A4257" t="s">
        <v>2096</v>
      </c>
      <c r="B4257" t="s">
        <v>3333</v>
      </c>
      <c r="C4257" t="s">
        <v>3442</v>
      </c>
      <c r="D4257" t="s">
        <v>3466</v>
      </c>
      <c r="E4257" t="s">
        <v>3577</v>
      </c>
      <c r="F4257" t="s">
        <v>3578</v>
      </c>
      <c r="G4257" t="s">
        <v>106</v>
      </c>
      <c r="H4257" t="s">
        <v>30</v>
      </c>
      <c r="I4257" t="s">
        <v>30</v>
      </c>
      <c r="J4257" t="s">
        <v>31</v>
      </c>
      <c r="K4257" t="s">
        <v>32</v>
      </c>
      <c r="L4257" t="s">
        <v>32</v>
      </c>
      <c r="M4257" t="s">
        <v>33</v>
      </c>
      <c r="N4257" t="s">
        <v>33</v>
      </c>
      <c r="O4257" t="s">
        <v>33</v>
      </c>
      <c r="P4257" t="s">
        <v>213</v>
      </c>
      <c r="Q4257" t="s">
        <v>2111</v>
      </c>
      <c r="S4257" t="s">
        <v>30</v>
      </c>
      <c r="T4257" t="s">
        <v>3608</v>
      </c>
      <c r="U4257" t="s">
        <v>3609</v>
      </c>
      <c r="V4257" t="s">
        <v>40</v>
      </c>
      <c r="W4257" s="1">
        <v>209500</v>
      </c>
    </row>
    <row r="4258" spans="1:23" x14ac:dyDescent="0.2">
      <c r="A4258" t="s">
        <v>2096</v>
      </c>
      <c r="B4258" t="s">
        <v>3333</v>
      </c>
      <c r="C4258" t="s">
        <v>3442</v>
      </c>
      <c r="D4258" t="s">
        <v>3466</v>
      </c>
      <c r="E4258" t="s">
        <v>3577</v>
      </c>
      <c r="F4258" t="s">
        <v>3578</v>
      </c>
      <c r="G4258" t="s">
        <v>106</v>
      </c>
      <c r="H4258" t="s">
        <v>30</v>
      </c>
      <c r="I4258" t="s">
        <v>30</v>
      </c>
      <c r="J4258" t="s">
        <v>41</v>
      </c>
      <c r="K4258" t="s">
        <v>32</v>
      </c>
      <c r="L4258" t="s">
        <v>32</v>
      </c>
      <c r="M4258" t="s">
        <v>33</v>
      </c>
      <c r="P4258" t="s">
        <v>34</v>
      </c>
      <c r="Q4258" t="s">
        <v>35</v>
      </c>
      <c r="R4258" t="s">
        <v>36</v>
      </c>
      <c r="S4258" t="s">
        <v>52</v>
      </c>
      <c r="T4258" t="s">
        <v>3610</v>
      </c>
      <c r="U4258" t="s">
        <v>3611</v>
      </c>
      <c r="V4258" t="s">
        <v>39</v>
      </c>
      <c r="W4258" s="1">
        <v>0</v>
      </c>
    </row>
    <row r="4259" spans="1:23" x14ac:dyDescent="0.2">
      <c r="A4259" t="s">
        <v>2096</v>
      </c>
      <c r="B4259" t="s">
        <v>3333</v>
      </c>
      <c r="C4259" t="s">
        <v>3442</v>
      </c>
      <c r="D4259" t="s">
        <v>3466</v>
      </c>
      <c r="E4259" t="s">
        <v>3577</v>
      </c>
      <c r="F4259" t="s">
        <v>3578</v>
      </c>
      <c r="G4259" t="s">
        <v>106</v>
      </c>
      <c r="H4259" t="s">
        <v>30</v>
      </c>
      <c r="I4259" t="s">
        <v>30</v>
      </c>
      <c r="J4259" t="s">
        <v>41</v>
      </c>
      <c r="K4259" t="s">
        <v>32</v>
      </c>
      <c r="L4259" t="s">
        <v>32</v>
      </c>
      <c r="M4259" t="s">
        <v>33</v>
      </c>
      <c r="P4259" t="s">
        <v>34</v>
      </c>
      <c r="Q4259" t="s">
        <v>35</v>
      </c>
      <c r="R4259" t="s">
        <v>36</v>
      </c>
      <c r="S4259" t="s">
        <v>52</v>
      </c>
      <c r="T4259" t="s">
        <v>3610</v>
      </c>
      <c r="U4259" t="s">
        <v>3611</v>
      </c>
      <c r="V4259" t="s">
        <v>40</v>
      </c>
      <c r="W4259" s="1">
        <v>0</v>
      </c>
    </row>
    <row r="4260" spans="1:23" x14ac:dyDescent="0.2">
      <c r="A4260" t="s">
        <v>2096</v>
      </c>
      <c r="B4260" t="s">
        <v>3333</v>
      </c>
      <c r="C4260" t="s">
        <v>3442</v>
      </c>
      <c r="D4260" t="s">
        <v>3466</v>
      </c>
      <c r="E4260" t="s">
        <v>3577</v>
      </c>
      <c r="F4260" t="s">
        <v>3578</v>
      </c>
      <c r="G4260" t="s">
        <v>127</v>
      </c>
      <c r="H4260" t="s">
        <v>52</v>
      </c>
      <c r="I4260" t="s">
        <v>30</v>
      </c>
      <c r="J4260" t="s">
        <v>31</v>
      </c>
      <c r="K4260" t="s">
        <v>32</v>
      </c>
      <c r="L4260" t="s">
        <v>32</v>
      </c>
      <c r="M4260" t="s">
        <v>33</v>
      </c>
      <c r="N4260" t="s">
        <v>33</v>
      </c>
      <c r="O4260" t="s">
        <v>33</v>
      </c>
      <c r="P4260" t="s">
        <v>213</v>
      </c>
      <c r="Q4260" t="s">
        <v>2111</v>
      </c>
      <c r="S4260" t="s">
        <v>30</v>
      </c>
      <c r="T4260" t="s">
        <v>3612</v>
      </c>
      <c r="U4260" t="s">
        <v>3613</v>
      </c>
      <c r="V4260" t="s">
        <v>39</v>
      </c>
      <c r="W4260" s="1">
        <v>2</v>
      </c>
    </row>
    <row r="4261" spans="1:23" x14ac:dyDescent="0.2">
      <c r="A4261" t="s">
        <v>2096</v>
      </c>
      <c r="B4261" t="s">
        <v>3333</v>
      </c>
      <c r="C4261" t="s">
        <v>3442</v>
      </c>
      <c r="D4261" t="s">
        <v>3466</v>
      </c>
      <c r="E4261" t="s">
        <v>3577</v>
      </c>
      <c r="F4261" t="s">
        <v>3578</v>
      </c>
      <c r="G4261" t="s">
        <v>127</v>
      </c>
      <c r="H4261" t="s">
        <v>52</v>
      </c>
      <c r="I4261" t="s">
        <v>30</v>
      </c>
      <c r="J4261" t="s">
        <v>31</v>
      </c>
      <c r="K4261" t="s">
        <v>32</v>
      </c>
      <c r="L4261" t="s">
        <v>32</v>
      </c>
      <c r="M4261" t="s">
        <v>33</v>
      </c>
      <c r="N4261" t="s">
        <v>33</v>
      </c>
      <c r="O4261" t="s">
        <v>33</v>
      </c>
      <c r="P4261" t="s">
        <v>213</v>
      </c>
      <c r="Q4261" t="s">
        <v>2111</v>
      </c>
      <c r="S4261" t="s">
        <v>30</v>
      </c>
      <c r="T4261" t="s">
        <v>3612</v>
      </c>
      <c r="U4261" t="s">
        <v>3613</v>
      </c>
      <c r="V4261" t="s">
        <v>40</v>
      </c>
      <c r="W4261" s="1">
        <v>1813400</v>
      </c>
    </row>
    <row r="4262" spans="1:23" x14ac:dyDescent="0.2">
      <c r="A4262" t="s">
        <v>2096</v>
      </c>
      <c r="B4262" t="s">
        <v>3333</v>
      </c>
      <c r="C4262" t="s">
        <v>3442</v>
      </c>
      <c r="D4262" t="s">
        <v>3466</v>
      </c>
      <c r="E4262" t="s">
        <v>3577</v>
      </c>
      <c r="F4262" t="s">
        <v>3578</v>
      </c>
      <c r="G4262" t="s">
        <v>127</v>
      </c>
      <c r="H4262" t="s">
        <v>52</v>
      </c>
      <c r="I4262" t="s">
        <v>30</v>
      </c>
      <c r="J4262" t="s">
        <v>31</v>
      </c>
      <c r="K4262" t="s">
        <v>32</v>
      </c>
      <c r="L4262" t="s">
        <v>32</v>
      </c>
      <c r="M4262" t="s">
        <v>176</v>
      </c>
      <c r="N4262" t="s">
        <v>176</v>
      </c>
      <c r="O4262" t="s">
        <v>176</v>
      </c>
      <c r="P4262" t="s">
        <v>213</v>
      </c>
      <c r="Q4262" t="s">
        <v>2111</v>
      </c>
      <c r="S4262" t="s">
        <v>30</v>
      </c>
      <c r="T4262" t="s">
        <v>3612</v>
      </c>
      <c r="U4262" t="s">
        <v>3613</v>
      </c>
      <c r="V4262" t="s">
        <v>39</v>
      </c>
      <c r="W4262" s="1">
        <v>1</v>
      </c>
    </row>
    <row r="4263" spans="1:23" x14ac:dyDescent="0.2">
      <c r="A4263" t="s">
        <v>2096</v>
      </c>
      <c r="B4263" t="s">
        <v>3333</v>
      </c>
      <c r="C4263" t="s">
        <v>3442</v>
      </c>
      <c r="D4263" t="s">
        <v>3466</v>
      </c>
      <c r="E4263" t="s">
        <v>3577</v>
      </c>
      <c r="F4263" t="s">
        <v>3578</v>
      </c>
      <c r="G4263" t="s">
        <v>127</v>
      </c>
      <c r="H4263" t="s">
        <v>52</v>
      </c>
      <c r="I4263" t="s">
        <v>30</v>
      </c>
      <c r="J4263" t="s">
        <v>31</v>
      </c>
      <c r="K4263" t="s">
        <v>32</v>
      </c>
      <c r="L4263" t="s">
        <v>32</v>
      </c>
      <c r="M4263" t="s">
        <v>176</v>
      </c>
      <c r="N4263" t="s">
        <v>176</v>
      </c>
      <c r="O4263" t="s">
        <v>176</v>
      </c>
      <c r="P4263" t="s">
        <v>213</v>
      </c>
      <c r="Q4263" t="s">
        <v>2111</v>
      </c>
      <c r="S4263" t="s">
        <v>30</v>
      </c>
      <c r="T4263" t="s">
        <v>3612</v>
      </c>
      <c r="U4263" t="s">
        <v>3613</v>
      </c>
      <c r="V4263" t="s">
        <v>40</v>
      </c>
      <c r="W4263" s="1">
        <v>906700</v>
      </c>
    </row>
    <row r="4264" spans="1:23" x14ac:dyDescent="0.2">
      <c r="A4264" t="s">
        <v>2096</v>
      </c>
      <c r="B4264" t="s">
        <v>3333</v>
      </c>
      <c r="C4264" t="s">
        <v>3442</v>
      </c>
      <c r="D4264" t="s">
        <v>3466</v>
      </c>
      <c r="E4264" t="s">
        <v>3577</v>
      </c>
      <c r="F4264" t="s">
        <v>3578</v>
      </c>
      <c r="G4264" t="s">
        <v>127</v>
      </c>
      <c r="H4264" t="s">
        <v>52</v>
      </c>
      <c r="I4264" t="s">
        <v>30</v>
      </c>
      <c r="J4264" t="s">
        <v>41</v>
      </c>
      <c r="K4264" t="s">
        <v>32</v>
      </c>
      <c r="L4264" t="s">
        <v>32</v>
      </c>
      <c r="M4264" t="s">
        <v>33</v>
      </c>
      <c r="P4264" t="s">
        <v>34</v>
      </c>
      <c r="Q4264" t="s">
        <v>35</v>
      </c>
      <c r="S4264" t="s">
        <v>30</v>
      </c>
      <c r="T4264" t="s">
        <v>3614</v>
      </c>
      <c r="U4264" t="s">
        <v>3615</v>
      </c>
      <c r="V4264" t="s">
        <v>39</v>
      </c>
      <c r="W4264" s="1">
        <v>12</v>
      </c>
    </row>
    <row r="4265" spans="1:23" x14ac:dyDescent="0.2">
      <c r="A4265" t="s">
        <v>2096</v>
      </c>
      <c r="B4265" t="s">
        <v>3333</v>
      </c>
      <c r="C4265" t="s">
        <v>3442</v>
      </c>
      <c r="D4265" t="s">
        <v>3466</v>
      </c>
      <c r="E4265" t="s">
        <v>3577</v>
      </c>
      <c r="F4265" t="s">
        <v>3578</v>
      </c>
      <c r="G4265" t="s">
        <v>127</v>
      </c>
      <c r="H4265" t="s">
        <v>52</v>
      </c>
      <c r="I4265" t="s">
        <v>30</v>
      </c>
      <c r="J4265" t="s">
        <v>41</v>
      </c>
      <c r="K4265" t="s">
        <v>32</v>
      </c>
      <c r="L4265" t="s">
        <v>32</v>
      </c>
      <c r="M4265" t="s">
        <v>33</v>
      </c>
      <c r="P4265" t="s">
        <v>34</v>
      </c>
      <c r="Q4265" t="s">
        <v>35</v>
      </c>
      <c r="S4265" t="s">
        <v>30</v>
      </c>
      <c r="T4265" t="s">
        <v>3614</v>
      </c>
      <c r="U4265" t="s">
        <v>3615</v>
      </c>
      <c r="V4265" t="s">
        <v>40</v>
      </c>
      <c r="W4265" s="1">
        <v>17616000</v>
      </c>
    </row>
    <row r="4266" spans="1:23" x14ac:dyDescent="0.2">
      <c r="A4266" t="s">
        <v>2096</v>
      </c>
      <c r="B4266" t="s">
        <v>3333</v>
      </c>
      <c r="C4266" t="s">
        <v>3442</v>
      </c>
      <c r="D4266" t="s">
        <v>3466</v>
      </c>
      <c r="E4266" t="s">
        <v>3577</v>
      </c>
      <c r="F4266" t="s">
        <v>3578</v>
      </c>
      <c r="G4266" t="s">
        <v>134</v>
      </c>
      <c r="H4266" t="s">
        <v>52</v>
      </c>
      <c r="I4266" t="s">
        <v>30</v>
      </c>
      <c r="J4266" t="s">
        <v>31</v>
      </c>
      <c r="K4266" t="s">
        <v>32</v>
      </c>
      <c r="L4266" t="s">
        <v>32</v>
      </c>
      <c r="M4266" t="s">
        <v>33</v>
      </c>
      <c r="P4266" t="s">
        <v>213</v>
      </c>
      <c r="Q4266" t="s">
        <v>2111</v>
      </c>
      <c r="S4266" t="s">
        <v>30</v>
      </c>
      <c r="T4266" t="s">
        <v>3616</v>
      </c>
      <c r="U4266" t="s">
        <v>3617</v>
      </c>
      <c r="V4266" t="s">
        <v>39</v>
      </c>
      <c r="W4266" s="1">
        <v>4</v>
      </c>
    </row>
    <row r="4267" spans="1:23" x14ac:dyDescent="0.2">
      <c r="A4267" t="s">
        <v>2096</v>
      </c>
      <c r="B4267" t="s">
        <v>3333</v>
      </c>
      <c r="C4267" t="s">
        <v>3442</v>
      </c>
      <c r="D4267" t="s">
        <v>3466</v>
      </c>
      <c r="E4267" t="s">
        <v>3577</v>
      </c>
      <c r="F4267" t="s">
        <v>3578</v>
      </c>
      <c r="G4267" t="s">
        <v>134</v>
      </c>
      <c r="H4267" t="s">
        <v>52</v>
      </c>
      <c r="I4267" t="s">
        <v>30</v>
      </c>
      <c r="J4267" t="s">
        <v>31</v>
      </c>
      <c r="K4267" t="s">
        <v>32</v>
      </c>
      <c r="L4267" t="s">
        <v>32</v>
      </c>
      <c r="M4267" t="s">
        <v>33</v>
      </c>
      <c r="P4267" t="s">
        <v>213</v>
      </c>
      <c r="Q4267" t="s">
        <v>2111</v>
      </c>
      <c r="S4267" t="s">
        <v>30</v>
      </c>
      <c r="T4267" t="s">
        <v>3616</v>
      </c>
      <c r="U4267" t="s">
        <v>3617</v>
      </c>
      <c r="V4267" t="s">
        <v>40</v>
      </c>
      <c r="W4267" s="1">
        <v>3190400</v>
      </c>
    </row>
    <row r="4268" spans="1:23" x14ac:dyDescent="0.2">
      <c r="A4268" t="s">
        <v>2096</v>
      </c>
      <c r="B4268" t="s">
        <v>3333</v>
      </c>
      <c r="C4268" t="s">
        <v>3442</v>
      </c>
      <c r="D4268" t="s">
        <v>3466</v>
      </c>
      <c r="E4268" t="s">
        <v>3577</v>
      </c>
      <c r="F4268" t="s">
        <v>3578</v>
      </c>
      <c r="G4268" t="s">
        <v>134</v>
      </c>
      <c r="H4268" t="s">
        <v>52</v>
      </c>
      <c r="I4268" t="s">
        <v>30</v>
      </c>
      <c r="J4268" t="s">
        <v>31</v>
      </c>
      <c r="K4268" t="s">
        <v>32</v>
      </c>
      <c r="L4268" t="s">
        <v>32</v>
      </c>
      <c r="M4268" t="s">
        <v>33</v>
      </c>
      <c r="P4268" t="s">
        <v>213</v>
      </c>
      <c r="Q4268" t="s">
        <v>2111</v>
      </c>
      <c r="S4268" t="s">
        <v>30</v>
      </c>
      <c r="T4268" t="s">
        <v>3618</v>
      </c>
      <c r="U4268" t="s">
        <v>3619</v>
      </c>
      <c r="V4268" t="s">
        <v>39</v>
      </c>
      <c r="W4268" s="1">
        <v>3</v>
      </c>
    </row>
    <row r="4269" spans="1:23" x14ac:dyDescent="0.2">
      <c r="A4269" t="s">
        <v>2096</v>
      </c>
      <c r="B4269" t="s">
        <v>3333</v>
      </c>
      <c r="C4269" t="s">
        <v>3442</v>
      </c>
      <c r="D4269" t="s">
        <v>3466</v>
      </c>
      <c r="E4269" t="s">
        <v>3577</v>
      </c>
      <c r="F4269" t="s">
        <v>3578</v>
      </c>
      <c r="G4269" t="s">
        <v>134</v>
      </c>
      <c r="H4269" t="s">
        <v>52</v>
      </c>
      <c r="I4269" t="s">
        <v>30</v>
      </c>
      <c r="J4269" t="s">
        <v>31</v>
      </c>
      <c r="K4269" t="s">
        <v>32</v>
      </c>
      <c r="L4269" t="s">
        <v>32</v>
      </c>
      <c r="M4269" t="s">
        <v>33</v>
      </c>
      <c r="P4269" t="s">
        <v>213</v>
      </c>
      <c r="Q4269" t="s">
        <v>2111</v>
      </c>
      <c r="S4269" t="s">
        <v>30</v>
      </c>
      <c r="T4269" t="s">
        <v>3618</v>
      </c>
      <c r="U4269" t="s">
        <v>3619</v>
      </c>
      <c r="V4269" t="s">
        <v>40</v>
      </c>
      <c r="W4269" s="1">
        <v>3077700</v>
      </c>
    </row>
    <row r="4270" spans="1:23" x14ac:dyDescent="0.2">
      <c r="A4270" t="s">
        <v>2096</v>
      </c>
      <c r="B4270" t="s">
        <v>3333</v>
      </c>
      <c r="C4270" t="s">
        <v>3442</v>
      </c>
      <c r="D4270" t="s">
        <v>3466</v>
      </c>
      <c r="E4270" t="s">
        <v>3577</v>
      </c>
      <c r="F4270" t="s">
        <v>3578</v>
      </c>
      <c r="G4270" t="s">
        <v>134</v>
      </c>
      <c r="H4270" t="s">
        <v>52</v>
      </c>
      <c r="I4270" t="s">
        <v>30</v>
      </c>
      <c r="J4270" t="s">
        <v>31</v>
      </c>
      <c r="K4270" t="s">
        <v>32</v>
      </c>
      <c r="L4270" t="s">
        <v>32</v>
      </c>
      <c r="M4270" t="s">
        <v>176</v>
      </c>
      <c r="P4270" t="s">
        <v>213</v>
      </c>
      <c r="Q4270" t="s">
        <v>2111</v>
      </c>
      <c r="S4270" t="s">
        <v>30</v>
      </c>
      <c r="T4270" t="s">
        <v>3618</v>
      </c>
      <c r="U4270" t="s">
        <v>3619</v>
      </c>
      <c r="V4270" t="s">
        <v>39</v>
      </c>
      <c r="W4270" s="1">
        <v>1</v>
      </c>
    </row>
    <row r="4271" spans="1:23" x14ac:dyDescent="0.2">
      <c r="A4271" t="s">
        <v>2096</v>
      </c>
      <c r="B4271" t="s">
        <v>3333</v>
      </c>
      <c r="C4271" t="s">
        <v>3442</v>
      </c>
      <c r="D4271" t="s">
        <v>3466</v>
      </c>
      <c r="E4271" t="s">
        <v>3577</v>
      </c>
      <c r="F4271" t="s">
        <v>3578</v>
      </c>
      <c r="G4271" t="s">
        <v>134</v>
      </c>
      <c r="H4271" t="s">
        <v>52</v>
      </c>
      <c r="I4271" t="s">
        <v>30</v>
      </c>
      <c r="J4271" t="s">
        <v>31</v>
      </c>
      <c r="K4271" t="s">
        <v>32</v>
      </c>
      <c r="L4271" t="s">
        <v>32</v>
      </c>
      <c r="M4271" t="s">
        <v>176</v>
      </c>
      <c r="P4271" t="s">
        <v>213</v>
      </c>
      <c r="Q4271" t="s">
        <v>2111</v>
      </c>
      <c r="S4271" t="s">
        <v>30</v>
      </c>
      <c r="T4271" t="s">
        <v>3618</v>
      </c>
      <c r="U4271" t="s">
        <v>3619</v>
      </c>
      <c r="V4271" t="s">
        <v>40</v>
      </c>
      <c r="W4271" s="1">
        <v>1025900</v>
      </c>
    </row>
    <row r="4272" spans="1:23" x14ac:dyDescent="0.2">
      <c r="A4272" t="s">
        <v>2096</v>
      </c>
      <c r="B4272" t="s">
        <v>3333</v>
      </c>
      <c r="C4272" t="s">
        <v>3442</v>
      </c>
      <c r="D4272" t="s">
        <v>3466</v>
      </c>
      <c r="E4272" t="s">
        <v>3577</v>
      </c>
      <c r="F4272" t="s">
        <v>3578</v>
      </c>
      <c r="G4272" t="s">
        <v>139</v>
      </c>
      <c r="H4272" t="s">
        <v>30</v>
      </c>
      <c r="I4272" t="s">
        <v>30</v>
      </c>
      <c r="J4272" t="s">
        <v>31</v>
      </c>
      <c r="K4272" t="s">
        <v>32</v>
      </c>
      <c r="L4272" t="s">
        <v>32</v>
      </c>
      <c r="M4272" t="s">
        <v>33</v>
      </c>
      <c r="P4272" t="s">
        <v>213</v>
      </c>
      <c r="Q4272" t="s">
        <v>2111</v>
      </c>
      <c r="S4272" t="s">
        <v>30</v>
      </c>
      <c r="T4272" t="s">
        <v>3620</v>
      </c>
      <c r="U4272" t="s">
        <v>3621</v>
      </c>
      <c r="V4272" t="s">
        <v>39</v>
      </c>
      <c r="W4272" s="1">
        <v>2</v>
      </c>
    </row>
    <row r="4273" spans="1:23" x14ac:dyDescent="0.2">
      <c r="A4273" t="s">
        <v>2096</v>
      </c>
      <c r="B4273" t="s">
        <v>3333</v>
      </c>
      <c r="C4273" t="s">
        <v>3442</v>
      </c>
      <c r="D4273" t="s">
        <v>3466</v>
      </c>
      <c r="E4273" t="s">
        <v>3577</v>
      </c>
      <c r="F4273" t="s">
        <v>3578</v>
      </c>
      <c r="G4273" t="s">
        <v>139</v>
      </c>
      <c r="H4273" t="s">
        <v>30</v>
      </c>
      <c r="I4273" t="s">
        <v>30</v>
      </c>
      <c r="J4273" t="s">
        <v>31</v>
      </c>
      <c r="K4273" t="s">
        <v>32</v>
      </c>
      <c r="L4273" t="s">
        <v>32</v>
      </c>
      <c r="M4273" t="s">
        <v>33</v>
      </c>
      <c r="P4273" t="s">
        <v>213</v>
      </c>
      <c r="Q4273" t="s">
        <v>2111</v>
      </c>
      <c r="S4273" t="s">
        <v>30</v>
      </c>
      <c r="T4273" t="s">
        <v>3620</v>
      </c>
      <c r="U4273" t="s">
        <v>3621</v>
      </c>
      <c r="V4273" t="s">
        <v>40</v>
      </c>
      <c r="W4273" s="1">
        <v>1858000</v>
      </c>
    </row>
    <row r="4274" spans="1:23" x14ac:dyDescent="0.2">
      <c r="A4274" t="s">
        <v>2096</v>
      </c>
      <c r="B4274" t="s">
        <v>3333</v>
      </c>
      <c r="C4274" t="s">
        <v>3442</v>
      </c>
      <c r="D4274" t="s">
        <v>3466</v>
      </c>
      <c r="E4274" t="s">
        <v>3577</v>
      </c>
      <c r="F4274" t="s">
        <v>3578</v>
      </c>
      <c r="G4274" t="s">
        <v>139</v>
      </c>
      <c r="H4274" t="s">
        <v>30</v>
      </c>
      <c r="I4274" t="s">
        <v>30</v>
      </c>
      <c r="J4274" t="s">
        <v>31</v>
      </c>
      <c r="K4274" t="s">
        <v>32</v>
      </c>
      <c r="L4274" t="s">
        <v>32</v>
      </c>
      <c r="M4274" t="s">
        <v>33</v>
      </c>
      <c r="P4274" t="s">
        <v>34</v>
      </c>
      <c r="Q4274" t="s">
        <v>35</v>
      </c>
      <c r="S4274" t="s">
        <v>30</v>
      </c>
      <c r="T4274" t="s">
        <v>3604</v>
      </c>
      <c r="U4274" t="s">
        <v>3605</v>
      </c>
      <c r="V4274" t="s">
        <v>39</v>
      </c>
      <c r="W4274" s="1">
        <v>1</v>
      </c>
    </row>
    <row r="4275" spans="1:23" x14ac:dyDescent="0.2">
      <c r="A4275" t="s">
        <v>2096</v>
      </c>
      <c r="B4275" t="s">
        <v>3333</v>
      </c>
      <c r="C4275" t="s">
        <v>3442</v>
      </c>
      <c r="D4275" t="s">
        <v>3466</v>
      </c>
      <c r="E4275" t="s">
        <v>3577</v>
      </c>
      <c r="F4275" t="s">
        <v>3578</v>
      </c>
      <c r="G4275" t="s">
        <v>139</v>
      </c>
      <c r="H4275" t="s">
        <v>30</v>
      </c>
      <c r="I4275" t="s">
        <v>30</v>
      </c>
      <c r="J4275" t="s">
        <v>31</v>
      </c>
      <c r="K4275" t="s">
        <v>32</v>
      </c>
      <c r="L4275" t="s">
        <v>32</v>
      </c>
      <c r="M4275" t="s">
        <v>33</v>
      </c>
      <c r="P4275" t="s">
        <v>34</v>
      </c>
      <c r="Q4275" t="s">
        <v>35</v>
      </c>
      <c r="S4275" t="s">
        <v>30</v>
      </c>
      <c r="T4275" t="s">
        <v>3604</v>
      </c>
      <c r="U4275" t="s">
        <v>3605</v>
      </c>
      <c r="V4275" t="s">
        <v>40</v>
      </c>
      <c r="W4275" s="1">
        <v>903000</v>
      </c>
    </row>
    <row r="4276" spans="1:23" x14ac:dyDescent="0.2">
      <c r="A4276" t="s">
        <v>2096</v>
      </c>
      <c r="B4276" t="s">
        <v>3333</v>
      </c>
      <c r="C4276" t="s">
        <v>3442</v>
      </c>
      <c r="D4276" t="s">
        <v>3466</v>
      </c>
      <c r="E4276" t="s">
        <v>3577</v>
      </c>
      <c r="F4276" t="s">
        <v>3578</v>
      </c>
      <c r="G4276" t="s">
        <v>139</v>
      </c>
      <c r="H4276" t="s">
        <v>30</v>
      </c>
      <c r="I4276" t="s">
        <v>30</v>
      </c>
      <c r="J4276" t="s">
        <v>41</v>
      </c>
      <c r="K4276" t="s">
        <v>32</v>
      </c>
      <c r="L4276" t="s">
        <v>32</v>
      </c>
      <c r="M4276" t="s">
        <v>33</v>
      </c>
      <c r="N4276" t="s">
        <v>33</v>
      </c>
      <c r="O4276" t="s">
        <v>33</v>
      </c>
      <c r="P4276" t="s">
        <v>34</v>
      </c>
      <c r="Q4276" t="s">
        <v>35</v>
      </c>
      <c r="S4276" t="s">
        <v>30</v>
      </c>
      <c r="T4276" t="s">
        <v>3622</v>
      </c>
      <c r="U4276" t="s">
        <v>3623</v>
      </c>
      <c r="V4276" t="s">
        <v>39</v>
      </c>
      <c r="W4276" s="1">
        <v>4</v>
      </c>
    </row>
    <row r="4277" spans="1:23" x14ac:dyDescent="0.2">
      <c r="A4277" t="s">
        <v>2096</v>
      </c>
      <c r="B4277" t="s">
        <v>3333</v>
      </c>
      <c r="C4277" t="s">
        <v>3442</v>
      </c>
      <c r="D4277" t="s">
        <v>3466</v>
      </c>
      <c r="E4277" t="s">
        <v>3577</v>
      </c>
      <c r="F4277" t="s">
        <v>3578</v>
      </c>
      <c r="G4277" t="s">
        <v>139</v>
      </c>
      <c r="H4277" t="s">
        <v>30</v>
      </c>
      <c r="I4277" t="s">
        <v>30</v>
      </c>
      <c r="J4277" t="s">
        <v>41</v>
      </c>
      <c r="K4277" t="s">
        <v>32</v>
      </c>
      <c r="L4277" t="s">
        <v>32</v>
      </c>
      <c r="M4277" t="s">
        <v>33</v>
      </c>
      <c r="N4277" t="s">
        <v>33</v>
      </c>
      <c r="O4277" t="s">
        <v>33</v>
      </c>
      <c r="P4277" t="s">
        <v>34</v>
      </c>
      <c r="Q4277" t="s">
        <v>35</v>
      </c>
      <c r="S4277" t="s">
        <v>30</v>
      </c>
      <c r="T4277" t="s">
        <v>3622</v>
      </c>
      <c r="U4277" t="s">
        <v>3623</v>
      </c>
      <c r="V4277" t="s">
        <v>40</v>
      </c>
      <c r="W4277" s="1">
        <v>4572000</v>
      </c>
    </row>
    <row r="4278" spans="1:23" x14ac:dyDescent="0.2">
      <c r="A4278" t="s">
        <v>2096</v>
      </c>
      <c r="B4278" t="s">
        <v>3333</v>
      </c>
      <c r="C4278" t="s">
        <v>3442</v>
      </c>
      <c r="D4278" t="s">
        <v>3466</v>
      </c>
      <c r="E4278" t="s">
        <v>3577</v>
      </c>
      <c r="F4278" t="s">
        <v>3578</v>
      </c>
      <c r="G4278" t="s">
        <v>139</v>
      </c>
      <c r="H4278" t="s">
        <v>30</v>
      </c>
      <c r="I4278" t="s">
        <v>30</v>
      </c>
      <c r="J4278" t="s">
        <v>41</v>
      </c>
      <c r="K4278" t="s">
        <v>181</v>
      </c>
      <c r="L4278" t="s">
        <v>32</v>
      </c>
      <c r="M4278" t="s">
        <v>33</v>
      </c>
      <c r="N4278" t="s">
        <v>33</v>
      </c>
      <c r="O4278" t="s">
        <v>33</v>
      </c>
      <c r="P4278" t="s">
        <v>34</v>
      </c>
      <c r="Q4278" t="s">
        <v>35</v>
      </c>
      <c r="R4278" t="s">
        <v>294</v>
      </c>
      <c r="S4278" t="s">
        <v>30</v>
      </c>
      <c r="T4278" t="s">
        <v>3624</v>
      </c>
      <c r="U4278" t="s">
        <v>3625</v>
      </c>
      <c r="V4278" t="s">
        <v>39</v>
      </c>
      <c r="W4278" s="1">
        <v>1</v>
      </c>
    </row>
    <row r="4279" spans="1:23" x14ac:dyDescent="0.2">
      <c r="A4279" t="s">
        <v>2096</v>
      </c>
      <c r="B4279" t="s">
        <v>3333</v>
      </c>
      <c r="C4279" t="s">
        <v>3442</v>
      </c>
      <c r="D4279" t="s">
        <v>3466</v>
      </c>
      <c r="E4279" t="s">
        <v>3577</v>
      </c>
      <c r="F4279" t="s">
        <v>3578</v>
      </c>
      <c r="G4279" t="s">
        <v>139</v>
      </c>
      <c r="H4279" t="s">
        <v>30</v>
      </c>
      <c r="I4279" t="s">
        <v>30</v>
      </c>
      <c r="J4279" t="s">
        <v>41</v>
      </c>
      <c r="K4279" t="s">
        <v>181</v>
      </c>
      <c r="L4279" t="s">
        <v>32</v>
      </c>
      <c r="M4279" t="s">
        <v>33</v>
      </c>
      <c r="N4279" t="s">
        <v>33</v>
      </c>
      <c r="O4279" t="s">
        <v>33</v>
      </c>
      <c r="P4279" t="s">
        <v>34</v>
      </c>
      <c r="Q4279" t="s">
        <v>35</v>
      </c>
      <c r="R4279" t="s">
        <v>294</v>
      </c>
      <c r="S4279" t="s">
        <v>30</v>
      </c>
      <c r="T4279" t="s">
        <v>3624</v>
      </c>
      <c r="U4279" t="s">
        <v>3625</v>
      </c>
      <c r="V4279" t="s">
        <v>40</v>
      </c>
      <c r="W4279" s="1">
        <v>0</v>
      </c>
    </row>
    <row r="4280" spans="1:23" x14ac:dyDescent="0.2">
      <c r="A4280" t="s">
        <v>2096</v>
      </c>
      <c r="B4280" t="s">
        <v>3333</v>
      </c>
      <c r="C4280" t="s">
        <v>3442</v>
      </c>
      <c r="D4280" t="s">
        <v>3626</v>
      </c>
      <c r="E4280" t="s">
        <v>3627</v>
      </c>
      <c r="F4280" t="s">
        <v>3628</v>
      </c>
      <c r="G4280" t="s">
        <v>49</v>
      </c>
      <c r="H4280" t="s">
        <v>30</v>
      </c>
      <c r="I4280" t="s">
        <v>30</v>
      </c>
      <c r="J4280" t="s">
        <v>31</v>
      </c>
      <c r="K4280" t="s">
        <v>32</v>
      </c>
      <c r="L4280" t="s">
        <v>32</v>
      </c>
      <c r="M4280" t="s">
        <v>33</v>
      </c>
      <c r="N4280" t="s">
        <v>33</v>
      </c>
      <c r="O4280" t="s">
        <v>33</v>
      </c>
      <c r="P4280" t="s">
        <v>34</v>
      </c>
      <c r="Q4280" t="s">
        <v>35</v>
      </c>
      <c r="R4280" t="s">
        <v>162</v>
      </c>
      <c r="S4280" t="s">
        <v>30</v>
      </c>
      <c r="T4280" t="s">
        <v>163</v>
      </c>
      <c r="U4280" t="s">
        <v>3629</v>
      </c>
      <c r="V4280" t="s">
        <v>39</v>
      </c>
      <c r="W4280" s="1">
        <v>2</v>
      </c>
    </row>
    <row r="4281" spans="1:23" x14ac:dyDescent="0.2">
      <c r="A4281" t="s">
        <v>2096</v>
      </c>
      <c r="B4281" t="s">
        <v>3333</v>
      </c>
      <c r="C4281" t="s">
        <v>3442</v>
      </c>
      <c r="D4281" t="s">
        <v>3626</v>
      </c>
      <c r="E4281" t="s">
        <v>3627</v>
      </c>
      <c r="F4281" t="s">
        <v>3628</v>
      </c>
      <c r="G4281" t="s">
        <v>49</v>
      </c>
      <c r="H4281" t="s">
        <v>30</v>
      </c>
      <c r="I4281" t="s">
        <v>30</v>
      </c>
      <c r="J4281" t="s">
        <v>31</v>
      </c>
      <c r="K4281" t="s">
        <v>32</v>
      </c>
      <c r="L4281" t="s">
        <v>32</v>
      </c>
      <c r="M4281" t="s">
        <v>33</v>
      </c>
      <c r="N4281" t="s">
        <v>33</v>
      </c>
      <c r="O4281" t="s">
        <v>33</v>
      </c>
      <c r="P4281" t="s">
        <v>34</v>
      </c>
      <c r="Q4281" t="s">
        <v>35</v>
      </c>
      <c r="R4281" t="s">
        <v>162</v>
      </c>
      <c r="S4281" t="s">
        <v>30</v>
      </c>
      <c r="T4281" t="s">
        <v>163</v>
      </c>
      <c r="U4281" t="s">
        <v>3629</v>
      </c>
      <c r="V4281" t="s">
        <v>40</v>
      </c>
      <c r="W4281" s="1">
        <v>2971600</v>
      </c>
    </row>
    <row r="4282" spans="1:23" x14ac:dyDescent="0.2">
      <c r="A4282" t="s">
        <v>2096</v>
      </c>
      <c r="B4282" t="s">
        <v>3333</v>
      </c>
      <c r="C4282" t="s">
        <v>3442</v>
      </c>
      <c r="D4282" t="s">
        <v>3626</v>
      </c>
      <c r="E4282" t="s">
        <v>3627</v>
      </c>
      <c r="F4282" t="s">
        <v>3628</v>
      </c>
      <c r="G4282" t="s">
        <v>49</v>
      </c>
      <c r="H4282" t="s">
        <v>30</v>
      </c>
      <c r="I4282" t="s">
        <v>30</v>
      </c>
      <c r="J4282" t="s">
        <v>31</v>
      </c>
      <c r="K4282" t="s">
        <v>32</v>
      </c>
      <c r="L4282" t="s">
        <v>32</v>
      </c>
      <c r="M4282" t="s">
        <v>33</v>
      </c>
      <c r="N4282" t="s">
        <v>33</v>
      </c>
      <c r="O4282" t="s">
        <v>33</v>
      </c>
      <c r="P4282" t="s">
        <v>34</v>
      </c>
      <c r="Q4282" t="s">
        <v>35</v>
      </c>
      <c r="R4282" t="s">
        <v>173</v>
      </c>
      <c r="S4282" t="s">
        <v>30</v>
      </c>
      <c r="T4282" t="s">
        <v>3630</v>
      </c>
      <c r="U4282" t="s">
        <v>3631</v>
      </c>
      <c r="V4282" t="s">
        <v>39</v>
      </c>
      <c r="W4282" s="1">
        <v>4</v>
      </c>
    </row>
    <row r="4283" spans="1:23" x14ac:dyDescent="0.2">
      <c r="A4283" t="s">
        <v>2096</v>
      </c>
      <c r="B4283" t="s">
        <v>3333</v>
      </c>
      <c r="C4283" t="s">
        <v>3442</v>
      </c>
      <c r="D4283" t="s">
        <v>3626</v>
      </c>
      <c r="E4283" t="s">
        <v>3627</v>
      </c>
      <c r="F4283" t="s">
        <v>3628</v>
      </c>
      <c r="G4283" t="s">
        <v>49</v>
      </c>
      <c r="H4283" t="s">
        <v>30</v>
      </c>
      <c r="I4283" t="s">
        <v>30</v>
      </c>
      <c r="J4283" t="s">
        <v>31</v>
      </c>
      <c r="K4283" t="s">
        <v>32</v>
      </c>
      <c r="L4283" t="s">
        <v>32</v>
      </c>
      <c r="M4283" t="s">
        <v>33</v>
      </c>
      <c r="N4283" t="s">
        <v>33</v>
      </c>
      <c r="O4283" t="s">
        <v>33</v>
      </c>
      <c r="P4283" t="s">
        <v>34</v>
      </c>
      <c r="Q4283" t="s">
        <v>35</v>
      </c>
      <c r="R4283" t="s">
        <v>173</v>
      </c>
      <c r="S4283" t="s">
        <v>30</v>
      </c>
      <c r="T4283" t="s">
        <v>3630</v>
      </c>
      <c r="U4283" t="s">
        <v>3631</v>
      </c>
      <c r="V4283" t="s">
        <v>40</v>
      </c>
      <c r="W4283" s="1">
        <v>4392000</v>
      </c>
    </row>
    <row r="4284" spans="1:23" x14ac:dyDescent="0.2">
      <c r="A4284" t="s">
        <v>2096</v>
      </c>
      <c r="B4284" t="s">
        <v>3333</v>
      </c>
      <c r="C4284" t="s">
        <v>3442</v>
      </c>
      <c r="D4284" t="s">
        <v>3626</v>
      </c>
      <c r="E4284" t="s">
        <v>3627</v>
      </c>
      <c r="F4284" t="s">
        <v>3628</v>
      </c>
      <c r="G4284" t="s">
        <v>49</v>
      </c>
      <c r="H4284" t="s">
        <v>30</v>
      </c>
      <c r="I4284" t="s">
        <v>30</v>
      </c>
      <c r="J4284" t="s">
        <v>31</v>
      </c>
      <c r="K4284" t="s">
        <v>32</v>
      </c>
      <c r="L4284" t="s">
        <v>32</v>
      </c>
      <c r="M4284" t="s">
        <v>33</v>
      </c>
      <c r="N4284" t="s">
        <v>169</v>
      </c>
      <c r="O4284" t="s">
        <v>169</v>
      </c>
      <c r="P4284" t="s">
        <v>34</v>
      </c>
      <c r="Q4284" t="s">
        <v>35</v>
      </c>
      <c r="R4284" t="s">
        <v>173</v>
      </c>
      <c r="S4284" t="s">
        <v>30</v>
      </c>
      <c r="T4284" t="s">
        <v>3630</v>
      </c>
      <c r="U4284" t="s">
        <v>3631</v>
      </c>
      <c r="V4284" t="s">
        <v>39</v>
      </c>
      <c r="W4284" s="1">
        <v>1</v>
      </c>
    </row>
    <row r="4285" spans="1:23" x14ac:dyDescent="0.2">
      <c r="A4285" t="s">
        <v>2096</v>
      </c>
      <c r="B4285" t="s">
        <v>3333</v>
      </c>
      <c r="C4285" t="s">
        <v>3442</v>
      </c>
      <c r="D4285" t="s">
        <v>3626</v>
      </c>
      <c r="E4285" t="s">
        <v>3627</v>
      </c>
      <c r="F4285" t="s">
        <v>3628</v>
      </c>
      <c r="G4285" t="s">
        <v>49</v>
      </c>
      <c r="H4285" t="s">
        <v>30</v>
      </c>
      <c r="I4285" t="s">
        <v>30</v>
      </c>
      <c r="J4285" t="s">
        <v>31</v>
      </c>
      <c r="K4285" t="s">
        <v>32</v>
      </c>
      <c r="L4285" t="s">
        <v>32</v>
      </c>
      <c r="M4285" t="s">
        <v>33</v>
      </c>
      <c r="N4285" t="s">
        <v>169</v>
      </c>
      <c r="O4285" t="s">
        <v>169</v>
      </c>
      <c r="P4285" t="s">
        <v>34</v>
      </c>
      <c r="Q4285" t="s">
        <v>35</v>
      </c>
      <c r="R4285" t="s">
        <v>173</v>
      </c>
      <c r="S4285" t="s">
        <v>30</v>
      </c>
      <c r="T4285" t="s">
        <v>3630</v>
      </c>
      <c r="U4285" t="s">
        <v>3631</v>
      </c>
      <c r="V4285" t="s">
        <v>40</v>
      </c>
      <c r="W4285" s="1">
        <v>1098000</v>
      </c>
    </row>
    <row r="4286" spans="1:23" x14ac:dyDescent="0.2">
      <c r="A4286" t="s">
        <v>2096</v>
      </c>
      <c r="B4286" t="s">
        <v>3333</v>
      </c>
      <c r="C4286" t="s">
        <v>3442</v>
      </c>
      <c r="D4286" t="s">
        <v>3626</v>
      </c>
      <c r="E4286" t="s">
        <v>3627</v>
      </c>
      <c r="F4286" t="s">
        <v>3628</v>
      </c>
      <c r="G4286" t="s">
        <v>49</v>
      </c>
      <c r="H4286" t="s">
        <v>30</v>
      </c>
      <c r="I4286" t="s">
        <v>30</v>
      </c>
      <c r="J4286" t="s">
        <v>31</v>
      </c>
      <c r="K4286" t="s">
        <v>32</v>
      </c>
      <c r="L4286" t="s">
        <v>32</v>
      </c>
      <c r="M4286" t="s">
        <v>33</v>
      </c>
      <c r="P4286" t="s">
        <v>213</v>
      </c>
      <c r="Q4286" t="s">
        <v>2111</v>
      </c>
      <c r="S4286" t="s">
        <v>52</v>
      </c>
      <c r="T4286" t="s">
        <v>3632</v>
      </c>
      <c r="U4286" t="s">
        <v>3633</v>
      </c>
      <c r="V4286" t="s">
        <v>39</v>
      </c>
      <c r="W4286" s="1">
        <v>0</v>
      </c>
    </row>
    <row r="4287" spans="1:23" x14ac:dyDescent="0.2">
      <c r="A4287" t="s">
        <v>2096</v>
      </c>
      <c r="B4287" t="s">
        <v>3333</v>
      </c>
      <c r="C4287" t="s">
        <v>3442</v>
      </c>
      <c r="D4287" t="s">
        <v>3626</v>
      </c>
      <c r="E4287" t="s">
        <v>3627</v>
      </c>
      <c r="F4287" t="s">
        <v>3628</v>
      </c>
      <c r="G4287" t="s">
        <v>49</v>
      </c>
      <c r="H4287" t="s">
        <v>30</v>
      </c>
      <c r="I4287" t="s">
        <v>30</v>
      </c>
      <c r="J4287" t="s">
        <v>31</v>
      </c>
      <c r="K4287" t="s">
        <v>32</v>
      </c>
      <c r="L4287" t="s">
        <v>32</v>
      </c>
      <c r="M4287" t="s">
        <v>33</v>
      </c>
      <c r="P4287" t="s">
        <v>213</v>
      </c>
      <c r="Q4287" t="s">
        <v>2111</v>
      </c>
      <c r="S4287" t="s">
        <v>52</v>
      </c>
      <c r="T4287" t="s">
        <v>3632</v>
      </c>
      <c r="U4287" t="s">
        <v>3633</v>
      </c>
      <c r="V4287" t="s">
        <v>40</v>
      </c>
      <c r="W4287" s="1">
        <v>974900</v>
      </c>
    </row>
    <row r="4288" spans="1:23" x14ac:dyDescent="0.2">
      <c r="A4288" t="s">
        <v>2096</v>
      </c>
      <c r="B4288" t="s">
        <v>3333</v>
      </c>
      <c r="C4288" t="s">
        <v>3442</v>
      </c>
      <c r="D4288" t="s">
        <v>3626</v>
      </c>
      <c r="E4288" t="s">
        <v>3627</v>
      </c>
      <c r="F4288" t="s">
        <v>3628</v>
      </c>
      <c r="G4288" t="s">
        <v>49</v>
      </c>
      <c r="H4288" t="s">
        <v>30</v>
      </c>
      <c r="I4288" t="s">
        <v>30</v>
      </c>
      <c r="J4288" t="s">
        <v>233</v>
      </c>
      <c r="K4288" t="s">
        <v>181</v>
      </c>
      <c r="L4288" t="s">
        <v>32</v>
      </c>
      <c r="M4288" t="s">
        <v>33</v>
      </c>
      <c r="P4288" t="s">
        <v>34</v>
      </c>
      <c r="Q4288" t="s">
        <v>35</v>
      </c>
      <c r="R4288" t="s">
        <v>693</v>
      </c>
      <c r="S4288" t="s">
        <v>52</v>
      </c>
      <c r="T4288" t="s">
        <v>3634</v>
      </c>
      <c r="U4288" t="s">
        <v>3635</v>
      </c>
      <c r="V4288" t="s">
        <v>39</v>
      </c>
      <c r="W4288" s="1">
        <v>0</v>
      </c>
    </row>
    <row r="4289" spans="1:23" x14ac:dyDescent="0.2">
      <c r="A4289" t="s">
        <v>2096</v>
      </c>
      <c r="B4289" t="s">
        <v>3333</v>
      </c>
      <c r="C4289" t="s">
        <v>3442</v>
      </c>
      <c r="D4289" t="s">
        <v>3626</v>
      </c>
      <c r="E4289" t="s">
        <v>3627</v>
      </c>
      <c r="F4289" t="s">
        <v>3628</v>
      </c>
      <c r="G4289" t="s">
        <v>49</v>
      </c>
      <c r="H4289" t="s">
        <v>30</v>
      </c>
      <c r="I4289" t="s">
        <v>30</v>
      </c>
      <c r="J4289" t="s">
        <v>233</v>
      </c>
      <c r="K4289" t="s">
        <v>181</v>
      </c>
      <c r="L4289" t="s">
        <v>32</v>
      </c>
      <c r="M4289" t="s">
        <v>33</v>
      </c>
      <c r="P4289" t="s">
        <v>34</v>
      </c>
      <c r="Q4289" t="s">
        <v>35</v>
      </c>
      <c r="R4289" t="s">
        <v>693</v>
      </c>
      <c r="S4289" t="s">
        <v>52</v>
      </c>
      <c r="T4289" t="s">
        <v>3634</v>
      </c>
      <c r="U4289" t="s">
        <v>3635</v>
      </c>
      <c r="V4289" t="s">
        <v>40</v>
      </c>
      <c r="W4289" s="1">
        <v>0</v>
      </c>
    </row>
    <row r="4290" spans="1:23" x14ac:dyDescent="0.2">
      <c r="A4290" t="s">
        <v>2096</v>
      </c>
      <c r="B4290" t="s">
        <v>3333</v>
      </c>
      <c r="C4290" t="s">
        <v>3442</v>
      </c>
      <c r="D4290" t="s">
        <v>3626</v>
      </c>
      <c r="E4290" t="s">
        <v>3627</v>
      </c>
      <c r="F4290" t="s">
        <v>3628</v>
      </c>
      <c r="G4290" t="s">
        <v>49</v>
      </c>
      <c r="H4290" t="s">
        <v>30</v>
      </c>
      <c r="I4290" t="s">
        <v>30</v>
      </c>
      <c r="J4290" t="s">
        <v>356</v>
      </c>
      <c r="K4290" t="s">
        <v>181</v>
      </c>
      <c r="L4290" t="s">
        <v>32</v>
      </c>
      <c r="M4290" t="s">
        <v>33</v>
      </c>
      <c r="N4290" t="s">
        <v>33</v>
      </c>
      <c r="O4290" t="s">
        <v>33</v>
      </c>
      <c r="P4290" t="s">
        <v>34</v>
      </c>
      <c r="Q4290" t="s">
        <v>35</v>
      </c>
      <c r="S4290" t="s">
        <v>30</v>
      </c>
      <c r="T4290" t="s">
        <v>3636</v>
      </c>
      <c r="U4290" t="s">
        <v>3637</v>
      </c>
      <c r="V4290" t="s">
        <v>39</v>
      </c>
      <c r="W4290" s="1">
        <v>2</v>
      </c>
    </row>
    <row r="4291" spans="1:23" x14ac:dyDescent="0.2">
      <c r="A4291" t="s">
        <v>2096</v>
      </c>
      <c r="B4291" t="s">
        <v>3333</v>
      </c>
      <c r="C4291" t="s">
        <v>3442</v>
      </c>
      <c r="D4291" t="s">
        <v>3626</v>
      </c>
      <c r="E4291" t="s">
        <v>3627</v>
      </c>
      <c r="F4291" t="s">
        <v>3628</v>
      </c>
      <c r="G4291" t="s">
        <v>49</v>
      </c>
      <c r="H4291" t="s">
        <v>30</v>
      </c>
      <c r="I4291" t="s">
        <v>30</v>
      </c>
      <c r="J4291" t="s">
        <v>356</v>
      </c>
      <c r="K4291" t="s">
        <v>181</v>
      </c>
      <c r="L4291" t="s">
        <v>32</v>
      </c>
      <c r="M4291" t="s">
        <v>33</v>
      </c>
      <c r="N4291" t="s">
        <v>33</v>
      </c>
      <c r="O4291" t="s">
        <v>33</v>
      </c>
      <c r="P4291" t="s">
        <v>34</v>
      </c>
      <c r="Q4291" t="s">
        <v>35</v>
      </c>
      <c r="S4291" t="s">
        <v>30</v>
      </c>
      <c r="T4291" t="s">
        <v>3636</v>
      </c>
      <c r="U4291" t="s">
        <v>3637</v>
      </c>
      <c r="V4291" t="s">
        <v>40</v>
      </c>
      <c r="W4291" s="1">
        <v>1300000</v>
      </c>
    </row>
    <row r="4292" spans="1:23" x14ac:dyDescent="0.2">
      <c r="A4292" t="s">
        <v>2096</v>
      </c>
      <c r="B4292" t="s">
        <v>3333</v>
      </c>
      <c r="C4292" t="s">
        <v>3442</v>
      </c>
      <c r="D4292" t="s">
        <v>3626</v>
      </c>
      <c r="E4292" t="s">
        <v>3627</v>
      </c>
      <c r="F4292" t="s">
        <v>3628</v>
      </c>
      <c r="G4292" t="s">
        <v>49</v>
      </c>
      <c r="H4292" t="s">
        <v>30</v>
      </c>
      <c r="I4292" t="s">
        <v>30</v>
      </c>
      <c r="J4292" t="s">
        <v>356</v>
      </c>
      <c r="K4292" t="s">
        <v>181</v>
      </c>
      <c r="L4292" t="s">
        <v>32</v>
      </c>
      <c r="M4292" t="s">
        <v>33</v>
      </c>
      <c r="P4292" t="s">
        <v>34</v>
      </c>
      <c r="Q4292" t="s">
        <v>35</v>
      </c>
      <c r="S4292" t="s">
        <v>52</v>
      </c>
      <c r="T4292" t="s">
        <v>3636</v>
      </c>
      <c r="U4292" t="s">
        <v>3638</v>
      </c>
      <c r="V4292" t="s">
        <v>39</v>
      </c>
      <c r="W4292" s="1">
        <v>0</v>
      </c>
    </row>
    <row r="4293" spans="1:23" x14ac:dyDescent="0.2">
      <c r="A4293" t="s">
        <v>2096</v>
      </c>
      <c r="B4293" t="s">
        <v>3333</v>
      </c>
      <c r="C4293" t="s">
        <v>3442</v>
      </c>
      <c r="D4293" t="s">
        <v>3626</v>
      </c>
      <c r="E4293" t="s">
        <v>3627</v>
      </c>
      <c r="F4293" t="s">
        <v>3628</v>
      </c>
      <c r="G4293" t="s">
        <v>49</v>
      </c>
      <c r="H4293" t="s">
        <v>30</v>
      </c>
      <c r="I4293" t="s">
        <v>30</v>
      </c>
      <c r="J4293" t="s">
        <v>356</v>
      </c>
      <c r="K4293" t="s">
        <v>181</v>
      </c>
      <c r="L4293" t="s">
        <v>32</v>
      </c>
      <c r="M4293" t="s">
        <v>33</v>
      </c>
      <c r="P4293" t="s">
        <v>34</v>
      </c>
      <c r="Q4293" t="s">
        <v>35</v>
      </c>
      <c r="S4293" t="s">
        <v>52</v>
      </c>
      <c r="T4293" t="s">
        <v>3636</v>
      </c>
      <c r="U4293" t="s">
        <v>3638</v>
      </c>
      <c r="V4293" t="s">
        <v>40</v>
      </c>
      <c r="W4293" s="1">
        <v>1300000</v>
      </c>
    </row>
    <row r="4294" spans="1:23" x14ac:dyDescent="0.2">
      <c r="A4294" t="s">
        <v>2096</v>
      </c>
      <c r="B4294" t="s">
        <v>3333</v>
      </c>
      <c r="C4294" t="s">
        <v>3442</v>
      </c>
      <c r="D4294" t="s">
        <v>3626</v>
      </c>
      <c r="E4294" t="s">
        <v>3627</v>
      </c>
      <c r="F4294" t="s">
        <v>3628</v>
      </c>
      <c r="G4294" t="s">
        <v>61</v>
      </c>
      <c r="H4294" t="s">
        <v>52</v>
      </c>
      <c r="I4294" t="s">
        <v>52</v>
      </c>
      <c r="J4294" t="s">
        <v>128</v>
      </c>
      <c r="K4294" t="s">
        <v>135</v>
      </c>
      <c r="L4294" t="s">
        <v>32</v>
      </c>
      <c r="M4294" t="s">
        <v>33</v>
      </c>
      <c r="N4294" t="s">
        <v>33</v>
      </c>
      <c r="O4294" t="s">
        <v>33</v>
      </c>
      <c r="P4294" t="s">
        <v>213</v>
      </c>
      <c r="Q4294" t="s">
        <v>2111</v>
      </c>
      <c r="R4294" t="s">
        <v>136</v>
      </c>
      <c r="S4294" t="s">
        <v>30</v>
      </c>
      <c r="T4294" t="s">
        <v>3639</v>
      </c>
      <c r="U4294" t="s">
        <v>3640</v>
      </c>
      <c r="V4294" t="s">
        <v>39</v>
      </c>
      <c r="W4294" s="1">
        <v>2</v>
      </c>
    </row>
    <row r="4295" spans="1:23" x14ac:dyDescent="0.2">
      <c r="A4295" t="s">
        <v>2096</v>
      </c>
      <c r="B4295" t="s">
        <v>3333</v>
      </c>
      <c r="C4295" t="s">
        <v>3442</v>
      </c>
      <c r="D4295" t="s">
        <v>3626</v>
      </c>
      <c r="E4295" t="s">
        <v>3627</v>
      </c>
      <c r="F4295" t="s">
        <v>3628</v>
      </c>
      <c r="G4295" t="s">
        <v>61</v>
      </c>
      <c r="H4295" t="s">
        <v>52</v>
      </c>
      <c r="I4295" t="s">
        <v>52</v>
      </c>
      <c r="J4295" t="s">
        <v>128</v>
      </c>
      <c r="K4295" t="s">
        <v>135</v>
      </c>
      <c r="L4295" t="s">
        <v>32</v>
      </c>
      <c r="M4295" t="s">
        <v>33</v>
      </c>
      <c r="N4295" t="s">
        <v>33</v>
      </c>
      <c r="O4295" t="s">
        <v>33</v>
      </c>
      <c r="P4295" t="s">
        <v>213</v>
      </c>
      <c r="Q4295" t="s">
        <v>2111</v>
      </c>
      <c r="R4295" t="s">
        <v>136</v>
      </c>
      <c r="S4295" t="s">
        <v>30</v>
      </c>
      <c r="T4295" t="s">
        <v>3639</v>
      </c>
      <c r="U4295" t="s">
        <v>3640</v>
      </c>
      <c r="V4295" t="s">
        <v>40</v>
      </c>
      <c r="W4295" s="1">
        <v>1211800</v>
      </c>
    </row>
    <row r="4296" spans="1:23" x14ac:dyDescent="0.2">
      <c r="A4296" t="s">
        <v>2096</v>
      </c>
      <c r="B4296" t="s">
        <v>3333</v>
      </c>
      <c r="C4296" t="s">
        <v>3442</v>
      </c>
      <c r="D4296" t="s">
        <v>3626</v>
      </c>
      <c r="E4296" t="s">
        <v>3627</v>
      </c>
      <c r="F4296" t="s">
        <v>3628</v>
      </c>
      <c r="G4296" t="s">
        <v>61</v>
      </c>
      <c r="H4296" t="s">
        <v>52</v>
      </c>
      <c r="I4296" t="s">
        <v>52</v>
      </c>
      <c r="J4296" t="s">
        <v>128</v>
      </c>
      <c r="K4296" t="s">
        <v>135</v>
      </c>
      <c r="L4296" t="s">
        <v>32</v>
      </c>
      <c r="M4296" t="s">
        <v>33</v>
      </c>
      <c r="N4296" t="s">
        <v>176</v>
      </c>
      <c r="O4296" t="s">
        <v>176</v>
      </c>
      <c r="P4296" t="s">
        <v>213</v>
      </c>
      <c r="Q4296" t="s">
        <v>2111</v>
      </c>
      <c r="R4296" t="s">
        <v>136</v>
      </c>
      <c r="S4296" t="s">
        <v>30</v>
      </c>
      <c r="T4296" t="s">
        <v>3639</v>
      </c>
      <c r="U4296" t="s">
        <v>3640</v>
      </c>
      <c r="V4296" t="s">
        <v>39</v>
      </c>
      <c r="W4296" s="1">
        <v>1</v>
      </c>
    </row>
    <row r="4297" spans="1:23" x14ac:dyDescent="0.2">
      <c r="A4297" t="s">
        <v>2096</v>
      </c>
      <c r="B4297" t="s">
        <v>3333</v>
      </c>
      <c r="C4297" t="s">
        <v>3442</v>
      </c>
      <c r="D4297" t="s">
        <v>3626</v>
      </c>
      <c r="E4297" t="s">
        <v>3627</v>
      </c>
      <c r="F4297" t="s">
        <v>3628</v>
      </c>
      <c r="G4297" t="s">
        <v>61</v>
      </c>
      <c r="H4297" t="s">
        <v>52</v>
      </c>
      <c r="I4297" t="s">
        <v>52</v>
      </c>
      <c r="J4297" t="s">
        <v>128</v>
      </c>
      <c r="K4297" t="s">
        <v>135</v>
      </c>
      <c r="L4297" t="s">
        <v>32</v>
      </c>
      <c r="M4297" t="s">
        <v>33</v>
      </c>
      <c r="N4297" t="s">
        <v>176</v>
      </c>
      <c r="O4297" t="s">
        <v>176</v>
      </c>
      <c r="P4297" t="s">
        <v>213</v>
      </c>
      <c r="Q4297" t="s">
        <v>2111</v>
      </c>
      <c r="R4297" t="s">
        <v>136</v>
      </c>
      <c r="S4297" t="s">
        <v>30</v>
      </c>
      <c r="T4297" t="s">
        <v>3639</v>
      </c>
      <c r="U4297" t="s">
        <v>3640</v>
      </c>
      <c r="V4297" t="s">
        <v>40</v>
      </c>
      <c r="W4297" s="1">
        <v>605900</v>
      </c>
    </row>
    <row r="4298" spans="1:23" x14ac:dyDescent="0.2">
      <c r="A4298" t="s">
        <v>2096</v>
      </c>
      <c r="B4298" t="s">
        <v>3333</v>
      </c>
      <c r="C4298" t="s">
        <v>3442</v>
      </c>
      <c r="D4298" t="s">
        <v>3626</v>
      </c>
      <c r="E4298" t="s">
        <v>3627</v>
      </c>
      <c r="F4298" t="s">
        <v>3628</v>
      </c>
      <c r="G4298" t="s">
        <v>61</v>
      </c>
      <c r="H4298" t="s">
        <v>52</v>
      </c>
      <c r="I4298" t="s">
        <v>52</v>
      </c>
      <c r="J4298" t="s">
        <v>128</v>
      </c>
      <c r="K4298" t="s">
        <v>135</v>
      </c>
      <c r="L4298" t="s">
        <v>32</v>
      </c>
      <c r="M4298" t="s">
        <v>176</v>
      </c>
      <c r="N4298" t="s">
        <v>176</v>
      </c>
      <c r="O4298" t="s">
        <v>176</v>
      </c>
      <c r="P4298" t="s">
        <v>213</v>
      </c>
      <c r="Q4298" t="s">
        <v>2111</v>
      </c>
      <c r="R4298" t="s">
        <v>136</v>
      </c>
      <c r="S4298" t="s">
        <v>30</v>
      </c>
      <c r="T4298" t="s">
        <v>3639</v>
      </c>
      <c r="U4298" t="s">
        <v>3640</v>
      </c>
      <c r="V4298" t="s">
        <v>39</v>
      </c>
      <c r="W4298" s="1">
        <v>1</v>
      </c>
    </row>
    <row r="4299" spans="1:23" x14ac:dyDescent="0.2">
      <c r="A4299" t="s">
        <v>2096</v>
      </c>
      <c r="B4299" t="s">
        <v>3333</v>
      </c>
      <c r="C4299" t="s">
        <v>3442</v>
      </c>
      <c r="D4299" t="s">
        <v>3626</v>
      </c>
      <c r="E4299" t="s">
        <v>3627</v>
      </c>
      <c r="F4299" t="s">
        <v>3628</v>
      </c>
      <c r="G4299" t="s">
        <v>61</v>
      </c>
      <c r="H4299" t="s">
        <v>52</v>
      </c>
      <c r="I4299" t="s">
        <v>52</v>
      </c>
      <c r="J4299" t="s">
        <v>128</v>
      </c>
      <c r="K4299" t="s">
        <v>135</v>
      </c>
      <c r="L4299" t="s">
        <v>32</v>
      </c>
      <c r="M4299" t="s">
        <v>176</v>
      </c>
      <c r="N4299" t="s">
        <v>176</v>
      </c>
      <c r="O4299" t="s">
        <v>176</v>
      </c>
      <c r="P4299" t="s">
        <v>213</v>
      </c>
      <c r="Q4299" t="s">
        <v>2111</v>
      </c>
      <c r="R4299" t="s">
        <v>136</v>
      </c>
      <c r="S4299" t="s">
        <v>30</v>
      </c>
      <c r="T4299" t="s">
        <v>3639</v>
      </c>
      <c r="U4299" t="s">
        <v>3640</v>
      </c>
      <c r="V4299" t="s">
        <v>40</v>
      </c>
      <c r="W4299" s="1">
        <v>605900</v>
      </c>
    </row>
    <row r="4300" spans="1:23" x14ac:dyDescent="0.2">
      <c r="A4300" t="s">
        <v>2096</v>
      </c>
      <c r="B4300" t="s">
        <v>3333</v>
      </c>
      <c r="C4300" t="s">
        <v>3442</v>
      </c>
      <c r="D4300" t="s">
        <v>3626</v>
      </c>
      <c r="E4300" t="s">
        <v>3627</v>
      </c>
      <c r="F4300" t="s">
        <v>3628</v>
      </c>
      <c r="G4300" t="s">
        <v>170</v>
      </c>
      <c r="H4300" t="s">
        <v>52</v>
      </c>
      <c r="I4300" t="s">
        <v>30</v>
      </c>
      <c r="J4300" t="s">
        <v>31</v>
      </c>
      <c r="K4300" t="s">
        <v>32</v>
      </c>
      <c r="L4300" t="s">
        <v>32</v>
      </c>
      <c r="M4300" t="s">
        <v>33</v>
      </c>
      <c r="N4300" t="s">
        <v>33</v>
      </c>
      <c r="O4300" t="s">
        <v>33</v>
      </c>
      <c r="P4300" t="s">
        <v>213</v>
      </c>
      <c r="Q4300" t="s">
        <v>2111</v>
      </c>
      <c r="S4300" t="s">
        <v>30</v>
      </c>
      <c r="T4300" t="s">
        <v>3641</v>
      </c>
      <c r="U4300" t="s">
        <v>3642</v>
      </c>
      <c r="V4300" t="s">
        <v>39</v>
      </c>
      <c r="W4300" s="1">
        <v>4</v>
      </c>
    </row>
    <row r="4301" spans="1:23" x14ac:dyDescent="0.2">
      <c r="A4301" t="s">
        <v>2096</v>
      </c>
      <c r="B4301" t="s">
        <v>3333</v>
      </c>
      <c r="C4301" t="s">
        <v>3442</v>
      </c>
      <c r="D4301" t="s">
        <v>3626</v>
      </c>
      <c r="E4301" t="s">
        <v>3627</v>
      </c>
      <c r="F4301" t="s">
        <v>3628</v>
      </c>
      <c r="G4301" t="s">
        <v>170</v>
      </c>
      <c r="H4301" t="s">
        <v>52</v>
      </c>
      <c r="I4301" t="s">
        <v>30</v>
      </c>
      <c r="J4301" t="s">
        <v>31</v>
      </c>
      <c r="K4301" t="s">
        <v>32</v>
      </c>
      <c r="L4301" t="s">
        <v>32</v>
      </c>
      <c r="M4301" t="s">
        <v>33</v>
      </c>
      <c r="N4301" t="s">
        <v>33</v>
      </c>
      <c r="O4301" t="s">
        <v>33</v>
      </c>
      <c r="P4301" t="s">
        <v>213</v>
      </c>
      <c r="Q4301" t="s">
        <v>2111</v>
      </c>
      <c r="S4301" t="s">
        <v>30</v>
      </c>
      <c r="T4301" t="s">
        <v>3641</v>
      </c>
      <c r="U4301" t="s">
        <v>3642</v>
      </c>
      <c r="V4301" t="s">
        <v>40</v>
      </c>
      <c r="W4301" s="1">
        <v>4756000</v>
      </c>
    </row>
    <row r="4302" spans="1:23" x14ac:dyDescent="0.2">
      <c r="A4302" t="s">
        <v>2096</v>
      </c>
      <c r="B4302" t="s">
        <v>3333</v>
      </c>
      <c r="C4302" t="s">
        <v>3442</v>
      </c>
      <c r="D4302" t="s">
        <v>3626</v>
      </c>
      <c r="E4302" t="s">
        <v>3627</v>
      </c>
      <c r="F4302" t="s">
        <v>3628</v>
      </c>
      <c r="G4302" t="s">
        <v>170</v>
      </c>
      <c r="H4302" t="s">
        <v>52</v>
      </c>
      <c r="I4302" t="s">
        <v>30</v>
      </c>
      <c r="J4302" t="s">
        <v>31</v>
      </c>
      <c r="K4302" t="s">
        <v>32</v>
      </c>
      <c r="L4302" t="s">
        <v>32</v>
      </c>
      <c r="M4302" t="s">
        <v>33</v>
      </c>
      <c r="N4302" t="s">
        <v>33</v>
      </c>
      <c r="O4302" t="s">
        <v>33</v>
      </c>
      <c r="P4302" t="s">
        <v>34</v>
      </c>
      <c r="Q4302" t="s">
        <v>35</v>
      </c>
      <c r="R4302" t="s">
        <v>228</v>
      </c>
      <c r="S4302" t="s">
        <v>30</v>
      </c>
      <c r="T4302" t="s">
        <v>3643</v>
      </c>
      <c r="U4302" t="s">
        <v>3644</v>
      </c>
      <c r="V4302" t="s">
        <v>39</v>
      </c>
      <c r="W4302" s="1">
        <v>3</v>
      </c>
    </row>
    <row r="4303" spans="1:23" x14ac:dyDescent="0.2">
      <c r="A4303" t="s">
        <v>2096</v>
      </c>
      <c r="B4303" t="s">
        <v>3333</v>
      </c>
      <c r="C4303" t="s">
        <v>3442</v>
      </c>
      <c r="D4303" t="s">
        <v>3626</v>
      </c>
      <c r="E4303" t="s">
        <v>3627</v>
      </c>
      <c r="F4303" t="s">
        <v>3628</v>
      </c>
      <c r="G4303" t="s">
        <v>170</v>
      </c>
      <c r="H4303" t="s">
        <v>52</v>
      </c>
      <c r="I4303" t="s">
        <v>30</v>
      </c>
      <c r="J4303" t="s">
        <v>31</v>
      </c>
      <c r="K4303" t="s">
        <v>32</v>
      </c>
      <c r="L4303" t="s">
        <v>32</v>
      </c>
      <c r="M4303" t="s">
        <v>33</v>
      </c>
      <c r="N4303" t="s">
        <v>33</v>
      </c>
      <c r="O4303" t="s">
        <v>33</v>
      </c>
      <c r="P4303" t="s">
        <v>34</v>
      </c>
      <c r="Q4303" t="s">
        <v>35</v>
      </c>
      <c r="R4303" t="s">
        <v>228</v>
      </c>
      <c r="S4303" t="s">
        <v>30</v>
      </c>
      <c r="T4303" t="s">
        <v>3643</v>
      </c>
      <c r="U4303" t="s">
        <v>3644</v>
      </c>
      <c r="V4303" t="s">
        <v>40</v>
      </c>
      <c r="W4303" s="1">
        <v>1250700</v>
      </c>
    </row>
    <row r="4304" spans="1:23" x14ac:dyDescent="0.2">
      <c r="A4304" t="s">
        <v>2096</v>
      </c>
      <c r="B4304" t="s">
        <v>3333</v>
      </c>
      <c r="C4304" t="s">
        <v>3442</v>
      </c>
      <c r="D4304" t="s">
        <v>3626</v>
      </c>
      <c r="E4304" t="s">
        <v>3627</v>
      </c>
      <c r="F4304" t="s">
        <v>3628</v>
      </c>
      <c r="G4304" t="s">
        <v>170</v>
      </c>
      <c r="H4304" t="s">
        <v>52</v>
      </c>
      <c r="I4304" t="s">
        <v>30</v>
      </c>
      <c r="J4304" t="s">
        <v>31</v>
      </c>
      <c r="K4304" t="s">
        <v>32</v>
      </c>
      <c r="L4304" t="s">
        <v>32</v>
      </c>
      <c r="M4304" t="s">
        <v>33</v>
      </c>
      <c r="N4304" t="s">
        <v>33</v>
      </c>
      <c r="O4304" t="s">
        <v>33</v>
      </c>
      <c r="P4304" t="s">
        <v>34</v>
      </c>
      <c r="Q4304" t="s">
        <v>35</v>
      </c>
      <c r="S4304" t="s">
        <v>30</v>
      </c>
      <c r="T4304" t="s">
        <v>3645</v>
      </c>
      <c r="U4304" t="s">
        <v>3646</v>
      </c>
      <c r="V4304" t="s">
        <v>39</v>
      </c>
      <c r="W4304" s="1">
        <v>3</v>
      </c>
    </row>
    <row r="4305" spans="1:23" x14ac:dyDescent="0.2">
      <c r="A4305" t="s">
        <v>2096</v>
      </c>
      <c r="B4305" t="s">
        <v>3333</v>
      </c>
      <c r="C4305" t="s">
        <v>3442</v>
      </c>
      <c r="D4305" t="s">
        <v>3626</v>
      </c>
      <c r="E4305" t="s">
        <v>3627</v>
      </c>
      <c r="F4305" t="s">
        <v>3628</v>
      </c>
      <c r="G4305" t="s">
        <v>170</v>
      </c>
      <c r="H4305" t="s">
        <v>52</v>
      </c>
      <c r="I4305" t="s">
        <v>30</v>
      </c>
      <c r="J4305" t="s">
        <v>31</v>
      </c>
      <c r="K4305" t="s">
        <v>32</v>
      </c>
      <c r="L4305" t="s">
        <v>32</v>
      </c>
      <c r="M4305" t="s">
        <v>33</v>
      </c>
      <c r="N4305" t="s">
        <v>33</v>
      </c>
      <c r="O4305" t="s">
        <v>33</v>
      </c>
      <c r="P4305" t="s">
        <v>34</v>
      </c>
      <c r="Q4305" t="s">
        <v>35</v>
      </c>
      <c r="S4305" t="s">
        <v>30</v>
      </c>
      <c r="T4305" t="s">
        <v>3645</v>
      </c>
      <c r="U4305" t="s">
        <v>3646</v>
      </c>
      <c r="V4305" t="s">
        <v>40</v>
      </c>
      <c r="W4305" s="1">
        <v>3206700</v>
      </c>
    </row>
    <row r="4306" spans="1:23" x14ac:dyDescent="0.2">
      <c r="A4306" t="s">
        <v>2096</v>
      </c>
      <c r="B4306" t="s">
        <v>3333</v>
      </c>
      <c r="C4306" t="s">
        <v>3442</v>
      </c>
      <c r="D4306" t="s">
        <v>3626</v>
      </c>
      <c r="E4306" t="s">
        <v>3627</v>
      </c>
      <c r="F4306" t="s">
        <v>3628</v>
      </c>
      <c r="G4306" t="s">
        <v>67</v>
      </c>
      <c r="H4306" t="s">
        <v>30</v>
      </c>
      <c r="I4306" t="s">
        <v>30</v>
      </c>
      <c r="J4306" t="s">
        <v>31</v>
      </c>
      <c r="K4306" t="s">
        <v>32</v>
      </c>
      <c r="L4306" t="s">
        <v>32</v>
      </c>
      <c r="M4306" t="s">
        <v>33</v>
      </c>
      <c r="N4306" t="s">
        <v>33</v>
      </c>
      <c r="O4306" t="s">
        <v>33</v>
      </c>
      <c r="P4306" t="s">
        <v>213</v>
      </c>
      <c r="Q4306" t="s">
        <v>2118</v>
      </c>
      <c r="R4306" t="s">
        <v>73</v>
      </c>
      <c r="S4306" t="s">
        <v>30</v>
      </c>
      <c r="T4306" t="s">
        <v>3647</v>
      </c>
      <c r="U4306" t="s">
        <v>3648</v>
      </c>
      <c r="V4306" t="s">
        <v>39</v>
      </c>
      <c r="W4306" s="1">
        <v>2</v>
      </c>
    </row>
    <row r="4307" spans="1:23" x14ac:dyDescent="0.2">
      <c r="A4307" t="s">
        <v>2096</v>
      </c>
      <c r="B4307" t="s">
        <v>3333</v>
      </c>
      <c r="C4307" t="s">
        <v>3442</v>
      </c>
      <c r="D4307" t="s">
        <v>3626</v>
      </c>
      <c r="E4307" t="s">
        <v>3627</v>
      </c>
      <c r="F4307" t="s">
        <v>3628</v>
      </c>
      <c r="G4307" t="s">
        <v>67</v>
      </c>
      <c r="H4307" t="s">
        <v>30</v>
      </c>
      <c r="I4307" t="s">
        <v>30</v>
      </c>
      <c r="J4307" t="s">
        <v>31</v>
      </c>
      <c r="K4307" t="s">
        <v>32</v>
      </c>
      <c r="L4307" t="s">
        <v>32</v>
      </c>
      <c r="M4307" t="s">
        <v>33</v>
      </c>
      <c r="N4307" t="s">
        <v>33</v>
      </c>
      <c r="O4307" t="s">
        <v>33</v>
      </c>
      <c r="P4307" t="s">
        <v>213</v>
      </c>
      <c r="Q4307" t="s">
        <v>2118</v>
      </c>
      <c r="R4307" t="s">
        <v>73</v>
      </c>
      <c r="S4307" t="s">
        <v>30</v>
      </c>
      <c r="T4307" t="s">
        <v>3647</v>
      </c>
      <c r="U4307" t="s">
        <v>3648</v>
      </c>
      <c r="V4307" t="s">
        <v>40</v>
      </c>
      <c r="W4307" s="1">
        <v>1899800</v>
      </c>
    </row>
    <row r="4308" spans="1:23" x14ac:dyDescent="0.2">
      <c r="A4308" t="s">
        <v>2096</v>
      </c>
      <c r="B4308" t="s">
        <v>3333</v>
      </c>
      <c r="C4308" t="s">
        <v>3442</v>
      </c>
      <c r="D4308" t="s">
        <v>3626</v>
      </c>
      <c r="E4308" t="s">
        <v>3627</v>
      </c>
      <c r="F4308" t="s">
        <v>3628</v>
      </c>
      <c r="G4308" t="s">
        <v>67</v>
      </c>
      <c r="H4308" t="s">
        <v>30</v>
      </c>
      <c r="I4308" t="s">
        <v>30</v>
      </c>
      <c r="J4308" t="s">
        <v>31</v>
      </c>
      <c r="K4308" t="s">
        <v>32</v>
      </c>
      <c r="L4308" t="s">
        <v>32</v>
      </c>
      <c r="M4308" t="s">
        <v>33</v>
      </c>
      <c r="P4308" t="s">
        <v>213</v>
      </c>
      <c r="Q4308" t="s">
        <v>2111</v>
      </c>
      <c r="S4308" t="s">
        <v>52</v>
      </c>
      <c r="T4308" t="s">
        <v>3649</v>
      </c>
      <c r="U4308" t="s">
        <v>3650</v>
      </c>
      <c r="V4308" t="s">
        <v>39</v>
      </c>
      <c r="W4308" s="1">
        <v>0</v>
      </c>
    </row>
    <row r="4309" spans="1:23" x14ac:dyDescent="0.2">
      <c r="A4309" t="s">
        <v>2096</v>
      </c>
      <c r="B4309" t="s">
        <v>3333</v>
      </c>
      <c r="C4309" t="s">
        <v>3442</v>
      </c>
      <c r="D4309" t="s">
        <v>3626</v>
      </c>
      <c r="E4309" t="s">
        <v>3627</v>
      </c>
      <c r="F4309" t="s">
        <v>3628</v>
      </c>
      <c r="G4309" t="s">
        <v>67</v>
      </c>
      <c r="H4309" t="s">
        <v>30</v>
      </c>
      <c r="I4309" t="s">
        <v>30</v>
      </c>
      <c r="J4309" t="s">
        <v>31</v>
      </c>
      <c r="K4309" t="s">
        <v>32</v>
      </c>
      <c r="L4309" t="s">
        <v>32</v>
      </c>
      <c r="M4309" t="s">
        <v>33</v>
      </c>
      <c r="P4309" t="s">
        <v>213</v>
      </c>
      <c r="Q4309" t="s">
        <v>2111</v>
      </c>
      <c r="S4309" t="s">
        <v>52</v>
      </c>
      <c r="T4309" t="s">
        <v>3649</v>
      </c>
      <c r="U4309" t="s">
        <v>3650</v>
      </c>
      <c r="V4309" t="s">
        <v>40</v>
      </c>
      <c r="W4309" s="1">
        <v>0</v>
      </c>
    </row>
    <row r="4310" spans="1:23" x14ac:dyDescent="0.2">
      <c r="A4310" t="s">
        <v>2096</v>
      </c>
      <c r="B4310" t="s">
        <v>3333</v>
      </c>
      <c r="C4310" t="s">
        <v>3442</v>
      </c>
      <c r="D4310" t="s">
        <v>3626</v>
      </c>
      <c r="E4310" t="s">
        <v>3627</v>
      </c>
      <c r="F4310" t="s">
        <v>3628</v>
      </c>
      <c r="G4310" t="s">
        <v>67</v>
      </c>
      <c r="H4310" t="s">
        <v>30</v>
      </c>
      <c r="I4310" t="s">
        <v>30</v>
      </c>
      <c r="J4310" t="s">
        <v>31</v>
      </c>
      <c r="K4310" t="s">
        <v>32</v>
      </c>
      <c r="L4310" t="s">
        <v>32</v>
      </c>
      <c r="M4310" t="s">
        <v>176</v>
      </c>
      <c r="P4310" t="s">
        <v>213</v>
      </c>
      <c r="Q4310" t="s">
        <v>2111</v>
      </c>
      <c r="S4310" t="s">
        <v>52</v>
      </c>
      <c r="T4310" t="s">
        <v>3649</v>
      </c>
      <c r="U4310" t="s">
        <v>3650</v>
      </c>
      <c r="V4310" t="s">
        <v>39</v>
      </c>
      <c r="W4310" s="1">
        <v>0</v>
      </c>
    </row>
    <row r="4311" spans="1:23" x14ac:dyDescent="0.2">
      <c r="A4311" t="s">
        <v>2096</v>
      </c>
      <c r="B4311" t="s">
        <v>3333</v>
      </c>
      <c r="C4311" t="s">
        <v>3442</v>
      </c>
      <c r="D4311" t="s">
        <v>3626</v>
      </c>
      <c r="E4311" t="s">
        <v>3627</v>
      </c>
      <c r="F4311" t="s">
        <v>3628</v>
      </c>
      <c r="G4311" t="s">
        <v>67</v>
      </c>
      <c r="H4311" t="s">
        <v>30</v>
      </c>
      <c r="I4311" t="s">
        <v>30</v>
      </c>
      <c r="J4311" t="s">
        <v>31</v>
      </c>
      <c r="K4311" t="s">
        <v>32</v>
      </c>
      <c r="L4311" t="s">
        <v>32</v>
      </c>
      <c r="M4311" t="s">
        <v>176</v>
      </c>
      <c r="P4311" t="s">
        <v>213</v>
      </c>
      <c r="Q4311" t="s">
        <v>2111</v>
      </c>
      <c r="S4311" t="s">
        <v>52</v>
      </c>
      <c r="T4311" t="s">
        <v>3649</v>
      </c>
      <c r="U4311" t="s">
        <v>3650</v>
      </c>
      <c r="V4311" t="s">
        <v>40</v>
      </c>
      <c r="W4311" s="1">
        <v>0</v>
      </c>
    </row>
    <row r="4312" spans="1:23" x14ac:dyDescent="0.2">
      <c r="A4312" t="s">
        <v>2096</v>
      </c>
      <c r="B4312" t="s">
        <v>3333</v>
      </c>
      <c r="C4312" t="s">
        <v>3442</v>
      </c>
      <c r="D4312" t="s">
        <v>3626</v>
      </c>
      <c r="E4312" t="s">
        <v>3627</v>
      </c>
      <c r="F4312" t="s">
        <v>3628</v>
      </c>
      <c r="G4312" t="s">
        <v>67</v>
      </c>
      <c r="H4312" t="s">
        <v>30</v>
      </c>
      <c r="I4312" t="s">
        <v>30</v>
      </c>
      <c r="J4312" t="s">
        <v>356</v>
      </c>
      <c r="K4312" t="s">
        <v>181</v>
      </c>
      <c r="L4312" t="s">
        <v>332</v>
      </c>
      <c r="M4312" t="s">
        <v>33</v>
      </c>
      <c r="N4312" t="s">
        <v>33</v>
      </c>
      <c r="O4312" t="s">
        <v>33</v>
      </c>
      <c r="P4312" t="s">
        <v>34</v>
      </c>
      <c r="Q4312" t="s">
        <v>35</v>
      </c>
      <c r="S4312" t="s">
        <v>30</v>
      </c>
      <c r="T4312" t="s">
        <v>3651</v>
      </c>
      <c r="U4312" t="s">
        <v>3652</v>
      </c>
      <c r="V4312" t="s">
        <v>39</v>
      </c>
      <c r="W4312" s="1">
        <v>2</v>
      </c>
    </row>
    <row r="4313" spans="1:23" x14ac:dyDescent="0.2">
      <c r="A4313" t="s">
        <v>2096</v>
      </c>
      <c r="B4313" t="s">
        <v>3333</v>
      </c>
      <c r="C4313" t="s">
        <v>3442</v>
      </c>
      <c r="D4313" t="s">
        <v>3626</v>
      </c>
      <c r="E4313" t="s">
        <v>3627</v>
      </c>
      <c r="F4313" t="s">
        <v>3628</v>
      </c>
      <c r="G4313" t="s">
        <v>67</v>
      </c>
      <c r="H4313" t="s">
        <v>30</v>
      </c>
      <c r="I4313" t="s">
        <v>30</v>
      </c>
      <c r="J4313" t="s">
        <v>356</v>
      </c>
      <c r="K4313" t="s">
        <v>181</v>
      </c>
      <c r="L4313" t="s">
        <v>332</v>
      </c>
      <c r="M4313" t="s">
        <v>33</v>
      </c>
      <c r="N4313" t="s">
        <v>33</v>
      </c>
      <c r="O4313" t="s">
        <v>33</v>
      </c>
      <c r="P4313" t="s">
        <v>34</v>
      </c>
      <c r="Q4313" t="s">
        <v>35</v>
      </c>
      <c r="S4313" t="s">
        <v>30</v>
      </c>
      <c r="T4313" t="s">
        <v>3651</v>
      </c>
      <c r="U4313" t="s">
        <v>3652</v>
      </c>
      <c r="V4313" t="s">
        <v>40</v>
      </c>
      <c r="W4313" s="1">
        <v>4880000</v>
      </c>
    </row>
    <row r="4314" spans="1:23" x14ac:dyDescent="0.2">
      <c r="A4314" t="s">
        <v>2096</v>
      </c>
      <c r="B4314" t="s">
        <v>3333</v>
      </c>
      <c r="C4314" t="s">
        <v>3442</v>
      </c>
      <c r="D4314" t="s">
        <v>3626</v>
      </c>
      <c r="E4314" t="s">
        <v>3627</v>
      </c>
      <c r="F4314" t="s">
        <v>3628</v>
      </c>
      <c r="G4314" t="s">
        <v>89</v>
      </c>
      <c r="H4314" t="s">
        <v>30</v>
      </c>
      <c r="I4314" t="s">
        <v>30</v>
      </c>
      <c r="J4314" t="s">
        <v>31</v>
      </c>
      <c r="K4314" t="s">
        <v>32</v>
      </c>
      <c r="L4314" t="s">
        <v>32</v>
      </c>
      <c r="M4314" t="s">
        <v>33</v>
      </c>
      <c r="N4314" t="s">
        <v>33</v>
      </c>
      <c r="O4314" t="s">
        <v>33</v>
      </c>
      <c r="P4314" t="s">
        <v>213</v>
      </c>
      <c r="Q4314" t="s">
        <v>2111</v>
      </c>
      <c r="R4314" t="s">
        <v>228</v>
      </c>
      <c r="S4314" t="s">
        <v>30</v>
      </c>
      <c r="T4314" t="s">
        <v>3653</v>
      </c>
      <c r="U4314" t="s">
        <v>3654</v>
      </c>
      <c r="V4314" t="s">
        <v>39</v>
      </c>
      <c r="W4314" s="1">
        <v>2</v>
      </c>
    </row>
    <row r="4315" spans="1:23" x14ac:dyDescent="0.2">
      <c r="A4315" t="s">
        <v>2096</v>
      </c>
      <c r="B4315" t="s">
        <v>3333</v>
      </c>
      <c r="C4315" t="s">
        <v>3442</v>
      </c>
      <c r="D4315" t="s">
        <v>3626</v>
      </c>
      <c r="E4315" t="s">
        <v>3627</v>
      </c>
      <c r="F4315" t="s">
        <v>3628</v>
      </c>
      <c r="G4315" t="s">
        <v>89</v>
      </c>
      <c r="H4315" t="s">
        <v>30</v>
      </c>
      <c r="I4315" t="s">
        <v>30</v>
      </c>
      <c r="J4315" t="s">
        <v>31</v>
      </c>
      <c r="K4315" t="s">
        <v>32</v>
      </c>
      <c r="L4315" t="s">
        <v>32</v>
      </c>
      <c r="M4315" t="s">
        <v>33</v>
      </c>
      <c r="N4315" t="s">
        <v>33</v>
      </c>
      <c r="O4315" t="s">
        <v>33</v>
      </c>
      <c r="P4315" t="s">
        <v>213</v>
      </c>
      <c r="Q4315" t="s">
        <v>2111</v>
      </c>
      <c r="R4315" t="s">
        <v>228</v>
      </c>
      <c r="S4315" t="s">
        <v>30</v>
      </c>
      <c r="T4315" t="s">
        <v>3653</v>
      </c>
      <c r="U4315" t="s">
        <v>3654</v>
      </c>
      <c r="V4315" t="s">
        <v>40</v>
      </c>
      <c r="W4315" s="1">
        <v>753800</v>
      </c>
    </row>
    <row r="4316" spans="1:23" x14ac:dyDescent="0.2">
      <c r="A4316" t="s">
        <v>2096</v>
      </c>
      <c r="B4316" t="s">
        <v>3333</v>
      </c>
      <c r="C4316" t="s">
        <v>3442</v>
      </c>
      <c r="D4316" t="s">
        <v>3626</v>
      </c>
      <c r="E4316" t="s">
        <v>3627</v>
      </c>
      <c r="F4316" t="s">
        <v>3628</v>
      </c>
      <c r="G4316" t="s">
        <v>89</v>
      </c>
      <c r="H4316" t="s">
        <v>30</v>
      </c>
      <c r="I4316" t="s">
        <v>30</v>
      </c>
      <c r="J4316" t="s">
        <v>31</v>
      </c>
      <c r="K4316" t="s">
        <v>32</v>
      </c>
      <c r="L4316" t="s">
        <v>32</v>
      </c>
      <c r="M4316" t="s">
        <v>33</v>
      </c>
      <c r="P4316" t="s">
        <v>34</v>
      </c>
      <c r="Q4316" t="s">
        <v>35</v>
      </c>
      <c r="S4316" t="s">
        <v>52</v>
      </c>
      <c r="T4316" t="s">
        <v>3655</v>
      </c>
      <c r="U4316" t="s">
        <v>3656</v>
      </c>
      <c r="V4316" t="s">
        <v>39</v>
      </c>
      <c r="W4316" s="1">
        <v>0</v>
      </c>
    </row>
    <row r="4317" spans="1:23" x14ac:dyDescent="0.2">
      <c r="A4317" t="s">
        <v>2096</v>
      </c>
      <c r="B4317" t="s">
        <v>3333</v>
      </c>
      <c r="C4317" t="s">
        <v>3442</v>
      </c>
      <c r="D4317" t="s">
        <v>3626</v>
      </c>
      <c r="E4317" t="s">
        <v>3627</v>
      </c>
      <c r="F4317" t="s">
        <v>3628</v>
      </c>
      <c r="G4317" t="s">
        <v>89</v>
      </c>
      <c r="H4317" t="s">
        <v>30</v>
      </c>
      <c r="I4317" t="s">
        <v>30</v>
      </c>
      <c r="J4317" t="s">
        <v>31</v>
      </c>
      <c r="K4317" t="s">
        <v>32</v>
      </c>
      <c r="L4317" t="s">
        <v>32</v>
      </c>
      <c r="M4317" t="s">
        <v>33</v>
      </c>
      <c r="P4317" t="s">
        <v>34</v>
      </c>
      <c r="Q4317" t="s">
        <v>35</v>
      </c>
      <c r="S4317" t="s">
        <v>52</v>
      </c>
      <c r="T4317" t="s">
        <v>3655</v>
      </c>
      <c r="U4317" t="s">
        <v>3656</v>
      </c>
      <c r="V4317" t="s">
        <v>40</v>
      </c>
      <c r="W4317" s="1">
        <v>0</v>
      </c>
    </row>
    <row r="4318" spans="1:23" x14ac:dyDescent="0.2">
      <c r="A4318" t="s">
        <v>2096</v>
      </c>
      <c r="B4318" t="s">
        <v>3333</v>
      </c>
      <c r="C4318" t="s">
        <v>3442</v>
      </c>
      <c r="D4318" t="s">
        <v>3626</v>
      </c>
      <c r="E4318" t="s">
        <v>3627</v>
      </c>
      <c r="F4318" t="s">
        <v>3628</v>
      </c>
      <c r="G4318" t="s">
        <v>89</v>
      </c>
      <c r="H4318" t="s">
        <v>30</v>
      </c>
      <c r="I4318" t="s">
        <v>30</v>
      </c>
      <c r="J4318" t="s">
        <v>41</v>
      </c>
      <c r="K4318" t="s">
        <v>32</v>
      </c>
      <c r="L4318" t="s">
        <v>32</v>
      </c>
      <c r="M4318" t="s">
        <v>33</v>
      </c>
      <c r="P4318" t="s">
        <v>34</v>
      </c>
      <c r="Q4318" t="s">
        <v>35</v>
      </c>
      <c r="R4318" t="s">
        <v>1355</v>
      </c>
      <c r="S4318" t="s">
        <v>30</v>
      </c>
      <c r="T4318" t="s">
        <v>3657</v>
      </c>
      <c r="U4318" t="s">
        <v>3658</v>
      </c>
      <c r="V4318" t="s">
        <v>39</v>
      </c>
      <c r="W4318" s="1">
        <v>10</v>
      </c>
    </row>
    <row r="4319" spans="1:23" x14ac:dyDescent="0.2">
      <c r="A4319" t="s">
        <v>2096</v>
      </c>
      <c r="B4319" t="s">
        <v>3333</v>
      </c>
      <c r="C4319" t="s">
        <v>3442</v>
      </c>
      <c r="D4319" t="s">
        <v>3626</v>
      </c>
      <c r="E4319" t="s">
        <v>3627</v>
      </c>
      <c r="F4319" t="s">
        <v>3628</v>
      </c>
      <c r="G4319" t="s">
        <v>89</v>
      </c>
      <c r="H4319" t="s">
        <v>30</v>
      </c>
      <c r="I4319" t="s">
        <v>30</v>
      </c>
      <c r="J4319" t="s">
        <v>41</v>
      </c>
      <c r="K4319" t="s">
        <v>32</v>
      </c>
      <c r="L4319" t="s">
        <v>32</v>
      </c>
      <c r="M4319" t="s">
        <v>33</v>
      </c>
      <c r="P4319" t="s">
        <v>34</v>
      </c>
      <c r="Q4319" t="s">
        <v>35</v>
      </c>
      <c r="R4319" t="s">
        <v>1355</v>
      </c>
      <c r="S4319" t="s">
        <v>30</v>
      </c>
      <c r="T4319" t="s">
        <v>3657</v>
      </c>
      <c r="U4319" t="s">
        <v>3658</v>
      </c>
      <c r="V4319" t="s">
        <v>40</v>
      </c>
      <c r="W4319" s="1">
        <v>13249000</v>
      </c>
    </row>
    <row r="4320" spans="1:23" x14ac:dyDescent="0.2">
      <c r="A4320" t="s">
        <v>2096</v>
      </c>
      <c r="B4320" t="s">
        <v>3333</v>
      </c>
      <c r="C4320" t="s">
        <v>3442</v>
      </c>
      <c r="D4320" t="s">
        <v>3626</v>
      </c>
      <c r="E4320" t="s">
        <v>3627</v>
      </c>
      <c r="F4320" t="s">
        <v>3628</v>
      </c>
      <c r="G4320" t="s">
        <v>89</v>
      </c>
      <c r="H4320" t="s">
        <v>30</v>
      </c>
      <c r="I4320" t="s">
        <v>30</v>
      </c>
      <c r="J4320" t="s">
        <v>41</v>
      </c>
      <c r="K4320" t="s">
        <v>32</v>
      </c>
      <c r="L4320" t="s">
        <v>32</v>
      </c>
      <c r="M4320" t="s">
        <v>33</v>
      </c>
      <c r="P4320" t="s">
        <v>34</v>
      </c>
      <c r="Q4320" t="s">
        <v>35</v>
      </c>
      <c r="S4320" t="s">
        <v>52</v>
      </c>
      <c r="T4320" t="s">
        <v>3659</v>
      </c>
      <c r="U4320" t="s">
        <v>3660</v>
      </c>
      <c r="V4320" t="s">
        <v>39</v>
      </c>
      <c r="W4320" s="1">
        <v>0</v>
      </c>
    </row>
    <row r="4321" spans="1:23" x14ac:dyDescent="0.2">
      <c r="A4321" t="s">
        <v>2096</v>
      </c>
      <c r="B4321" t="s">
        <v>3333</v>
      </c>
      <c r="C4321" t="s">
        <v>3442</v>
      </c>
      <c r="D4321" t="s">
        <v>3626</v>
      </c>
      <c r="E4321" t="s">
        <v>3627</v>
      </c>
      <c r="F4321" t="s">
        <v>3628</v>
      </c>
      <c r="G4321" t="s">
        <v>89</v>
      </c>
      <c r="H4321" t="s">
        <v>30</v>
      </c>
      <c r="I4321" t="s">
        <v>30</v>
      </c>
      <c r="J4321" t="s">
        <v>41</v>
      </c>
      <c r="K4321" t="s">
        <v>32</v>
      </c>
      <c r="L4321" t="s">
        <v>32</v>
      </c>
      <c r="M4321" t="s">
        <v>33</v>
      </c>
      <c r="P4321" t="s">
        <v>34</v>
      </c>
      <c r="Q4321" t="s">
        <v>35</v>
      </c>
      <c r="S4321" t="s">
        <v>52</v>
      </c>
      <c r="T4321" t="s">
        <v>3659</v>
      </c>
      <c r="U4321" t="s">
        <v>3660</v>
      </c>
      <c r="V4321" t="s">
        <v>40</v>
      </c>
      <c r="W4321" s="1">
        <v>0</v>
      </c>
    </row>
    <row r="4322" spans="1:23" x14ac:dyDescent="0.2">
      <c r="A4322" t="s">
        <v>2096</v>
      </c>
      <c r="B4322" t="s">
        <v>3333</v>
      </c>
      <c r="C4322" t="s">
        <v>3442</v>
      </c>
      <c r="D4322" t="s">
        <v>3626</v>
      </c>
      <c r="E4322" t="s">
        <v>3627</v>
      </c>
      <c r="F4322" t="s">
        <v>3628</v>
      </c>
      <c r="G4322" t="s">
        <v>89</v>
      </c>
      <c r="H4322" t="s">
        <v>30</v>
      </c>
      <c r="I4322" t="s">
        <v>30</v>
      </c>
      <c r="J4322" t="s">
        <v>233</v>
      </c>
      <c r="K4322" t="s">
        <v>181</v>
      </c>
      <c r="L4322" t="s">
        <v>32</v>
      </c>
      <c r="M4322" t="s">
        <v>33</v>
      </c>
      <c r="P4322" t="s">
        <v>34</v>
      </c>
      <c r="Q4322" t="s">
        <v>35</v>
      </c>
      <c r="R4322" t="s">
        <v>693</v>
      </c>
      <c r="S4322" t="s">
        <v>52</v>
      </c>
      <c r="T4322" t="s">
        <v>3661</v>
      </c>
      <c r="U4322" t="s">
        <v>3662</v>
      </c>
      <c r="V4322" t="s">
        <v>39</v>
      </c>
      <c r="W4322" s="1">
        <v>0</v>
      </c>
    </row>
    <row r="4323" spans="1:23" x14ac:dyDescent="0.2">
      <c r="A4323" t="s">
        <v>2096</v>
      </c>
      <c r="B4323" t="s">
        <v>3333</v>
      </c>
      <c r="C4323" t="s">
        <v>3442</v>
      </c>
      <c r="D4323" t="s">
        <v>3626</v>
      </c>
      <c r="E4323" t="s">
        <v>3627</v>
      </c>
      <c r="F4323" t="s">
        <v>3628</v>
      </c>
      <c r="G4323" t="s">
        <v>89</v>
      </c>
      <c r="H4323" t="s">
        <v>30</v>
      </c>
      <c r="I4323" t="s">
        <v>30</v>
      </c>
      <c r="J4323" t="s">
        <v>233</v>
      </c>
      <c r="K4323" t="s">
        <v>181</v>
      </c>
      <c r="L4323" t="s">
        <v>32</v>
      </c>
      <c r="M4323" t="s">
        <v>33</v>
      </c>
      <c r="P4323" t="s">
        <v>34</v>
      </c>
      <c r="Q4323" t="s">
        <v>35</v>
      </c>
      <c r="R4323" t="s">
        <v>693</v>
      </c>
      <c r="S4323" t="s">
        <v>52</v>
      </c>
      <c r="T4323" t="s">
        <v>3661</v>
      </c>
      <c r="U4323" t="s">
        <v>3662</v>
      </c>
      <c r="V4323" t="s">
        <v>40</v>
      </c>
      <c r="W4323" s="1">
        <v>0</v>
      </c>
    </row>
    <row r="4324" spans="1:23" x14ac:dyDescent="0.2">
      <c r="A4324" t="s">
        <v>2096</v>
      </c>
      <c r="B4324" t="s">
        <v>3333</v>
      </c>
      <c r="C4324" t="s">
        <v>3442</v>
      </c>
      <c r="D4324" t="s">
        <v>3626</v>
      </c>
      <c r="E4324" t="s">
        <v>3627</v>
      </c>
      <c r="F4324" t="s">
        <v>3628</v>
      </c>
      <c r="G4324" t="s">
        <v>89</v>
      </c>
      <c r="H4324" t="s">
        <v>30</v>
      </c>
      <c r="I4324" t="s">
        <v>30</v>
      </c>
      <c r="J4324" t="s">
        <v>233</v>
      </c>
      <c r="K4324" t="s">
        <v>181</v>
      </c>
      <c r="L4324" t="s">
        <v>32</v>
      </c>
      <c r="M4324" t="s">
        <v>33</v>
      </c>
      <c r="P4324" t="s">
        <v>34</v>
      </c>
      <c r="Q4324" t="s">
        <v>35</v>
      </c>
      <c r="R4324" t="s">
        <v>693</v>
      </c>
      <c r="S4324" t="s">
        <v>52</v>
      </c>
      <c r="T4324" t="s">
        <v>3663</v>
      </c>
      <c r="U4324" t="s">
        <v>3664</v>
      </c>
      <c r="V4324" t="s">
        <v>39</v>
      </c>
      <c r="W4324" s="1">
        <v>0</v>
      </c>
    </row>
    <row r="4325" spans="1:23" x14ac:dyDescent="0.2">
      <c r="A4325" t="s">
        <v>2096</v>
      </c>
      <c r="B4325" t="s">
        <v>3333</v>
      </c>
      <c r="C4325" t="s">
        <v>3442</v>
      </c>
      <c r="D4325" t="s">
        <v>3626</v>
      </c>
      <c r="E4325" t="s">
        <v>3627</v>
      </c>
      <c r="F4325" t="s">
        <v>3628</v>
      </c>
      <c r="G4325" t="s">
        <v>89</v>
      </c>
      <c r="H4325" t="s">
        <v>30</v>
      </c>
      <c r="I4325" t="s">
        <v>30</v>
      </c>
      <c r="J4325" t="s">
        <v>233</v>
      </c>
      <c r="K4325" t="s">
        <v>181</v>
      </c>
      <c r="L4325" t="s">
        <v>32</v>
      </c>
      <c r="M4325" t="s">
        <v>33</v>
      </c>
      <c r="P4325" t="s">
        <v>34</v>
      </c>
      <c r="Q4325" t="s">
        <v>35</v>
      </c>
      <c r="R4325" t="s">
        <v>693</v>
      </c>
      <c r="S4325" t="s">
        <v>52</v>
      </c>
      <c r="T4325" t="s">
        <v>3663</v>
      </c>
      <c r="U4325" t="s">
        <v>3664</v>
      </c>
      <c r="V4325" t="s">
        <v>40</v>
      </c>
      <c r="W4325" s="1">
        <v>0</v>
      </c>
    </row>
    <row r="4326" spans="1:23" x14ac:dyDescent="0.2">
      <c r="A4326" t="s">
        <v>2096</v>
      </c>
      <c r="B4326" t="s">
        <v>3333</v>
      </c>
      <c r="C4326" t="s">
        <v>3442</v>
      </c>
      <c r="D4326" t="s">
        <v>3626</v>
      </c>
      <c r="E4326" t="s">
        <v>3627</v>
      </c>
      <c r="F4326" t="s">
        <v>3628</v>
      </c>
      <c r="G4326" t="s">
        <v>106</v>
      </c>
      <c r="H4326" t="s">
        <v>30</v>
      </c>
      <c r="I4326" t="s">
        <v>30</v>
      </c>
      <c r="J4326" t="s">
        <v>128</v>
      </c>
      <c r="K4326" t="s">
        <v>32</v>
      </c>
      <c r="L4326" t="s">
        <v>32</v>
      </c>
      <c r="M4326" t="s">
        <v>33</v>
      </c>
      <c r="N4326" t="s">
        <v>33</v>
      </c>
      <c r="O4326" t="s">
        <v>33</v>
      </c>
      <c r="P4326" t="s">
        <v>34</v>
      </c>
      <c r="Q4326" t="s">
        <v>35</v>
      </c>
      <c r="R4326" t="s">
        <v>129</v>
      </c>
      <c r="S4326" t="s">
        <v>30</v>
      </c>
      <c r="T4326" t="s">
        <v>3665</v>
      </c>
      <c r="U4326" t="s">
        <v>3666</v>
      </c>
      <c r="V4326" t="s">
        <v>39</v>
      </c>
      <c r="W4326" s="1">
        <v>2</v>
      </c>
    </row>
    <row r="4327" spans="1:23" x14ac:dyDescent="0.2">
      <c r="A4327" t="s">
        <v>2096</v>
      </c>
      <c r="B4327" t="s">
        <v>3333</v>
      </c>
      <c r="C4327" t="s">
        <v>3442</v>
      </c>
      <c r="D4327" t="s">
        <v>3626</v>
      </c>
      <c r="E4327" t="s">
        <v>3627</v>
      </c>
      <c r="F4327" t="s">
        <v>3628</v>
      </c>
      <c r="G4327" t="s">
        <v>106</v>
      </c>
      <c r="H4327" t="s">
        <v>30</v>
      </c>
      <c r="I4327" t="s">
        <v>30</v>
      </c>
      <c r="J4327" t="s">
        <v>128</v>
      </c>
      <c r="K4327" t="s">
        <v>32</v>
      </c>
      <c r="L4327" t="s">
        <v>32</v>
      </c>
      <c r="M4327" t="s">
        <v>33</v>
      </c>
      <c r="N4327" t="s">
        <v>33</v>
      </c>
      <c r="O4327" t="s">
        <v>33</v>
      </c>
      <c r="P4327" t="s">
        <v>34</v>
      </c>
      <c r="Q4327" t="s">
        <v>35</v>
      </c>
      <c r="R4327" t="s">
        <v>129</v>
      </c>
      <c r="S4327" t="s">
        <v>30</v>
      </c>
      <c r="T4327" t="s">
        <v>3665</v>
      </c>
      <c r="U4327" t="s">
        <v>3666</v>
      </c>
      <c r="V4327" t="s">
        <v>40</v>
      </c>
      <c r="W4327" s="1">
        <v>948000</v>
      </c>
    </row>
    <row r="4328" spans="1:23" x14ac:dyDescent="0.2">
      <c r="A4328" t="s">
        <v>2096</v>
      </c>
      <c r="B4328" t="s">
        <v>3333</v>
      </c>
      <c r="C4328" t="s">
        <v>3442</v>
      </c>
      <c r="D4328" t="s">
        <v>3626</v>
      </c>
      <c r="E4328" t="s">
        <v>3627</v>
      </c>
      <c r="F4328" t="s">
        <v>3628</v>
      </c>
      <c r="G4328" t="s">
        <v>106</v>
      </c>
      <c r="H4328" t="s">
        <v>30</v>
      </c>
      <c r="I4328" t="s">
        <v>30</v>
      </c>
      <c r="J4328" t="s">
        <v>31</v>
      </c>
      <c r="K4328" t="s">
        <v>32</v>
      </c>
      <c r="L4328" t="s">
        <v>32</v>
      </c>
      <c r="M4328" t="s">
        <v>33</v>
      </c>
      <c r="N4328" t="s">
        <v>33</v>
      </c>
      <c r="O4328" t="s">
        <v>33</v>
      </c>
      <c r="P4328" t="s">
        <v>34</v>
      </c>
      <c r="Q4328" t="s">
        <v>35</v>
      </c>
      <c r="R4328" t="s">
        <v>2347</v>
      </c>
      <c r="S4328" t="s">
        <v>30</v>
      </c>
      <c r="T4328" t="s">
        <v>3667</v>
      </c>
      <c r="U4328" t="s">
        <v>3668</v>
      </c>
      <c r="V4328" t="s">
        <v>39</v>
      </c>
      <c r="W4328" s="1">
        <v>2</v>
      </c>
    </row>
    <row r="4329" spans="1:23" x14ac:dyDescent="0.2">
      <c r="A4329" t="s">
        <v>2096</v>
      </c>
      <c r="B4329" t="s">
        <v>3333</v>
      </c>
      <c r="C4329" t="s">
        <v>3442</v>
      </c>
      <c r="D4329" t="s">
        <v>3626</v>
      </c>
      <c r="E4329" t="s">
        <v>3627</v>
      </c>
      <c r="F4329" t="s">
        <v>3628</v>
      </c>
      <c r="G4329" t="s">
        <v>106</v>
      </c>
      <c r="H4329" t="s">
        <v>30</v>
      </c>
      <c r="I4329" t="s">
        <v>30</v>
      </c>
      <c r="J4329" t="s">
        <v>31</v>
      </c>
      <c r="K4329" t="s">
        <v>32</v>
      </c>
      <c r="L4329" t="s">
        <v>32</v>
      </c>
      <c r="M4329" t="s">
        <v>33</v>
      </c>
      <c r="N4329" t="s">
        <v>33</v>
      </c>
      <c r="O4329" t="s">
        <v>33</v>
      </c>
      <c r="P4329" t="s">
        <v>34</v>
      </c>
      <c r="Q4329" t="s">
        <v>35</v>
      </c>
      <c r="R4329" t="s">
        <v>2347</v>
      </c>
      <c r="S4329" t="s">
        <v>30</v>
      </c>
      <c r="T4329" t="s">
        <v>3667</v>
      </c>
      <c r="U4329" t="s">
        <v>3668</v>
      </c>
      <c r="V4329" t="s">
        <v>40</v>
      </c>
      <c r="W4329" s="1">
        <v>2455800</v>
      </c>
    </row>
    <row r="4330" spans="1:23" x14ac:dyDescent="0.2">
      <c r="A4330" t="s">
        <v>2096</v>
      </c>
      <c r="B4330" t="s">
        <v>3333</v>
      </c>
      <c r="C4330" t="s">
        <v>3442</v>
      </c>
      <c r="D4330" t="s">
        <v>3626</v>
      </c>
      <c r="E4330" t="s">
        <v>3627</v>
      </c>
      <c r="F4330" t="s">
        <v>3628</v>
      </c>
      <c r="G4330" t="s">
        <v>106</v>
      </c>
      <c r="H4330" t="s">
        <v>30</v>
      </c>
      <c r="I4330" t="s">
        <v>30</v>
      </c>
      <c r="J4330" t="s">
        <v>41</v>
      </c>
      <c r="K4330" t="s">
        <v>32</v>
      </c>
      <c r="L4330" t="s">
        <v>32</v>
      </c>
      <c r="M4330" t="s">
        <v>33</v>
      </c>
      <c r="N4330" t="s">
        <v>33</v>
      </c>
      <c r="O4330" t="s">
        <v>33</v>
      </c>
      <c r="P4330" t="s">
        <v>34</v>
      </c>
      <c r="Q4330" t="s">
        <v>35</v>
      </c>
      <c r="S4330" t="s">
        <v>30</v>
      </c>
      <c r="T4330" t="s">
        <v>3669</v>
      </c>
      <c r="U4330" t="s">
        <v>3670</v>
      </c>
      <c r="V4330" t="s">
        <v>39</v>
      </c>
      <c r="W4330" s="1">
        <v>4</v>
      </c>
    </row>
    <row r="4331" spans="1:23" x14ac:dyDescent="0.2">
      <c r="A4331" t="s">
        <v>2096</v>
      </c>
      <c r="B4331" t="s">
        <v>3333</v>
      </c>
      <c r="C4331" t="s">
        <v>3442</v>
      </c>
      <c r="D4331" t="s">
        <v>3626</v>
      </c>
      <c r="E4331" t="s">
        <v>3627</v>
      </c>
      <c r="F4331" t="s">
        <v>3628</v>
      </c>
      <c r="G4331" t="s">
        <v>106</v>
      </c>
      <c r="H4331" t="s">
        <v>30</v>
      </c>
      <c r="I4331" t="s">
        <v>30</v>
      </c>
      <c r="J4331" t="s">
        <v>41</v>
      </c>
      <c r="K4331" t="s">
        <v>32</v>
      </c>
      <c r="L4331" t="s">
        <v>32</v>
      </c>
      <c r="M4331" t="s">
        <v>33</v>
      </c>
      <c r="N4331" t="s">
        <v>33</v>
      </c>
      <c r="O4331" t="s">
        <v>33</v>
      </c>
      <c r="P4331" t="s">
        <v>34</v>
      </c>
      <c r="Q4331" t="s">
        <v>35</v>
      </c>
      <c r="S4331" t="s">
        <v>30</v>
      </c>
      <c r="T4331" t="s">
        <v>3669</v>
      </c>
      <c r="U4331" t="s">
        <v>3670</v>
      </c>
      <c r="V4331" t="s">
        <v>40</v>
      </c>
      <c r="W4331" s="1">
        <v>5996000</v>
      </c>
    </row>
    <row r="4332" spans="1:23" x14ac:dyDescent="0.2">
      <c r="A4332" t="s">
        <v>2096</v>
      </c>
      <c r="B4332" t="s">
        <v>3333</v>
      </c>
      <c r="C4332" t="s">
        <v>3442</v>
      </c>
      <c r="D4332" t="s">
        <v>3626</v>
      </c>
      <c r="E4332" t="s">
        <v>3627</v>
      </c>
      <c r="F4332" t="s">
        <v>3628</v>
      </c>
      <c r="G4332" t="s">
        <v>106</v>
      </c>
      <c r="H4332" t="s">
        <v>30</v>
      </c>
      <c r="I4332" t="s">
        <v>30</v>
      </c>
      <c r="J4332" t="s">
        <v>233</v>
      </c>
      <c r="K4332" t="s">
        <v>181</v>
      </c>
      <c r="L4332" t="s">
        <v>332</v>
      </c>
      <c r="M4332" t="s">
        <v>33</v>
      </c>
      <c r="P4332" t="s">
        <v>34</v>
      </c>
      <c r="Q4332" t="s">
        <v>35</v>
      </c>
      <c r="R4332" t="s">
        <v>693</v>
      </c>
      <c r="S4332" t="s">
        <v>52</v>
      </c>
      <c r="T4332" t="s">
        <v>3661</v>
      </c>
      <c r="U4332" t="s">
        <v>3671</v>
      </c>
      <c r="V4332" t="s">
        <v>39</v>
      </c>
      <c r="W4332" s="1">
        <v>0</v>
      </c>
    </row>
    <row r="4333" spans="1:23" x14ac:dyDescent="0.2">
      <c r="A4333" t="s">
        <v>2096</v>
      </c>
      <c r="B4333" t="s">
        <v>3333</v>
      </c>
      <c r="C4333" t="s">
        <v>3442</v>
      </c>
      <c r="D4333" t="s">
        <v>3626</v>
      </c>
      <c r="E4333" t="s">
        <v>3627</v>
      </c>
      <c r="F4333" t="s">
        <v>3628</v>
      </c>
      <c r="G4333" t="s">
        <v>106</v>
      </c>
      <c r="H4333" t="s">
        <v>30</v>
      </c>
      <c r="I4333" t="s">
        <v>30</v>
      </c>
      <c r="J4333" t="s">
        <v>233</v>
      </c>
      <c r="K4333" t="s">
        <v>181</v>
      </c>
      <c r="L4333" t="s">
        <v>332</v>
      </c>
      <c r="M4333" t="s">
        <v>33</v>
      </c>
      <c r="P4333" t="s">
        <v>34</v>
      </c>
      <c r="Q4333" t="s">
        <v>35</v>
      </c>
      <c r="R4333" t="s">
        <v>693</v>
      </c>
      <c r="S4333" t="s">
        <v>52</v>
      </c>
      <c r="T4333" t="s">
        <v>3661</v>
      </c>
      <c r="U4333" t="s">
        <v>3671</v>
      </c>
      <c r="V4333" t="s">
        <v>40</v>
      </c>
      <c r="W4333" s="1">
        <v>0</v>
      </c>
    </row>
    <row r="4334" spans="1:23" x14ac:dyDescent="0.2">
      <c r="A4334" t="s">
        <v>2096</v>
      </c>
      <c r="B4334" t="s">
        <v>3333</v>
      </c>
      <c r="C4334" t="s">
        <v>3442</v>
      </c>
      <c r="D4334" t="s">
        <v>3626</v>
      </c>
      <c r="E4334" t="s">
        <v>3627</v>
      </c>
      <c r="F4334" t="s">
        <v>3628</v>
      </c>
      <c r="G4334" t="s">
        <v>119</v>
      </c>
      <c r="H4334" t="s">
        <v>30</v>
      </c>
      <c r="I4334" t="s">
        <v>52</v>
      </c>
      <c r="J4334" t="s">
        <v>41</v>
      </c>
      <c r="K4334" t="s">
        <v>32</v>
      </c>
      <c r="L4334" t="s">
        <v>32</v>
      </c>
      <c r="M4334" t="s">
        <v>33</v>
      </c>
      <c r="N4334" t="s">
        <v>33</v>
      </c>
      <c r="O4334" t="s">
        <v>33</v>
      </c>
      <c r="P4334" t="s">
        <v>34</v>
      </c>
      <c r="Q4334" t="s">
        <v>35</v>
      </c>
      <c r="S4334" t="s">
        <v>30</v>
      </c>
      <c r="T4334" t="s">
        <v>3672</v>
      </c>
      <c r="U4334" t="s">
        <v>3673</v>
      </c>
      <c r="V4334" t="s">
        <v>39</v>
      </c>
      <c r="W4334" s="1">
        <v>1</v>
      </c>
    </row>
    <row r="4335" spans="1:23" x14ac:dyDescent="0.2">
      <c r="A4335" t="s">
        <v>2096</v>
      </c>
      <c r="B4335" t="s">
        <v>3333</v>
      </c>
      <c r="C4335" t="s">
        <v>3442</v>
      </c>
      <c r="D4335" t="s">
        <v>3626</v>
      </c>
      <c r="E4335" t="s">
        <v>3627</v>
      </c>
      <c r="F4335" t="s">
        <v>3628</v>
      </c>
      <c r="G4335" t="s">
        <v>119</v>
      </c>
      <c r="H4335" t="s">
        <v>30</v>
      </c>
      <c r="I4335" t="s">
        <v>52</v>
      </c>
      <c r="J4335" t="s">
        <v>41</v>
      </c>
      <c r="K4335" t="s">
        <v>32</v>
      </c>
      <c r="L4335" t="s">
        <v>32</v>
      </c>
      <c r="M4335" t="s">
        <v>33</v>
      </c>
      <c r="N4335" t="s">
        <v>33</v>
      </c>
      <c r="O4335" t="s">
        <v>33</v>
      </c>
      <c r="P4335" t="s">
        <v>34</v>
      </c>
      <c r="Q4335" t="s">
        <v>35</v>
      </c>
      <c r="S4335" t="s">
        <v>30</v>
      </c>
      <c r="T4335" t="s">
        <v>3672</v>
      </c>
      <c r="U4335" t="s">
        <v>3673</v>
      </c>
      <c r="V4335" t="s">
        <v>40</v>
      </c>
      <c r="W4335" s="1">
        <v>1939900</v>
      </c>
    </row>
    <row r="4336" spans="1:23" x14ac:dyDescent="0.2">
      <c r="A4336" t="s">
        <v>2096</v>
      </c>
      <c r="B4336" t="s">
        <v>3333</v>
      </c>
      <c r="C4336" t="s">
        <v>3442</v>
      </c>
      <c r="D4336" t="s">
        <v>3626</v>
      </c>
      <c r="E4336" t="s">
        <v>3627</v>
      </c>
      <c r="F4336" t="s">
        <v>3628</v>
      </c>
      <c r="G4336" t="s">
        <v>119</v>
      </c>
      <c r="H4336" t="s">
        <v>30</v>
      </c>
      <c r="I4336" t="s">
        <v>52</v>
      </c>
      <c r="J4336" t="s">
        <v>41</v>
      </c>
      <c r="K4336" t="s">
        <v>32</v>
      </c>
      <c r="L4336" t="s">
        <v>32</v>
      </c>
      <c r="M4336" t="s">
        <v>33</v>
      </c>
      <c r="P4336" t="s">
        <v>34</v>
      </c>
      <c r="Q4336" t="s">
        <v>35</v>
      </c>
      <c r="S4336" t="s">
        <v>30</v>
      </c>
      <c r="T4336" t="s">
        <v>3672</v>
      </c>
      <c r="U4336" t="s">
        <v>3673</v>
      </c>
      <c r="V4336" t="s">
        <v>39</v>
      </c>
      <c r="W4336" s="1">
        <v>6</v>
      </c>
    </row>
    <row r="4337" spans="1:23" x14ac:dyDescent="0.2">
      <c r="A4337" t="s">
        <v>2096</v>
      </c>
      <c r="B4337" t="s">
        <v>3333</v>
      </c>
      <c r="C4337" t="s">
        <v>3442</v>
      </c>
      <c r="D4337" t="s">
        <v>3626</v>
      </c>
      <c r="E4337" t="s">
        <v>3627</v>
      </c>
      <c r="F4337" t="s">
        <v>3628</v>
      </c>
      <c r="G4337" t="s">
        <v>119</v>
      </c>
      <c r="H4337" t="s">
        <v>30</v>
      </c>
      <c r="I4337" t="s">
        <v>52</v>
      </c>
      <c r="J4337" t="s">
        <v>41</v>
      </c>
      <c r="K4337" t="s">
        <v>32</v>
      </c>
      <c r="L4337" t="s">
        <v>32</v>
      </c>
      <c r="M4337" t="s">
        <v>33</v>
      </c>
      <c r="P4337" t="s">
        <v>34</v>
      </c>
      <c r="Q4337" t="s">
        <v>35</v>
      </c>
      <c r="S4337" t="s">
        <v>30</v>
      </c>
      <c r="T4337" t="s">
        <v>3672</v>
      </c>
      <c r="U4337" t="s">
        <v>3673</v>
      </c>
      <c r="V4337" t="s">
        <v>40</v>
      </c>
      <c r="W4337" s="1">
        <v>11639400</v>
      </c>
    </row>
    <row r="4338" spans="1:23" x14ac:dyDescent="0.2">
      <c r="A4338" t="s">
        <v>2096</v>
      </c>
      <c r="B4338" t="s">
        <v>3333</v>
      </c>
      <c r="C4338" t="s">
        <v>3442</v>
      </c>
      <c r="D4338" t="s">
        <v>3626</v>
      </c>
      <c r="E4338" t="s">
        <v>3627</v>
      </c>
      <c r="F4338" t="s">
        <v>3628</v>
      </c>
      <c r="G4338" t="s">
        <v>127</v>
      </c>
      <c r="H4338" t="s">
        <v>52</v>
      </c>
      <c r="I4338" t="s">
        <v>30</v>
      </c>
      <c r="J4338" t="s">
        <v>31</v>
      </c>
      <c r="K4338" t="s">
        <v>32</v>
      </c>
      <c r="L4338" t="s">
        <v>32</v>
      </c>
      <c r="M4338" t="s">
        <v>33</v>
      </c>
      <c r="N4338" t="s">
        <v>33</v>
      </c>
      <c r="O4338" t="s">
        <v>33</v>
      </c>
      <c r="P4338" t="s">
        <v>213</v>
      </c>
      <c r="Q4338" t="s">
        <v>2118</v>
      </c>
      <c r="S4338" t="s">
        <v>30</v>
      </c>
      <c r="T4338" t="s">
        <v>3674</v>
      </c>
      <c r="U4338" t="s">
        <v>3675</v>
      </c>
      <c r="V4338" t="s">
        <v>39</v>
      </c>
      <c r="W4338" s="1">
        <v>2</v>
      </c>
    </row>
    <row r="4339" spans="1:23" x14ac:dyDescent="0.2">
      <c r="A4339" t="s">
        <v>2096</v>
      </c>
      <c r="B4339" t="s">
        <v>3333</v>
      </c>
      <c r="C4339" t="s">
        <v>3442</v>
      </c>
      <c r="D4339" t="s">
        <v>3626</v>
      </c>
      <c r="E4339" t="s">
        <v>3627</v>
      </c>
      <c r="F4339" t="s">
        <v>3628</v>
      </c>
      <c r="G4339" t="s">
        <v>127</v>
      </c>
      <c r="H4339" t="s">
        <v>52</v>
      </c>
      <c r="I4339" t="s">
        <v>30</v>
      </c>
      <c r="J4339" t="s">
        <v>31</v>
      </c>
      <c r="K4339" t="s">
        <v>32</v>
      </c>
      <c r="L4339" t="s">
        <v>32</v>
      </c>
      <c r="M4339" t="s">
        <v>33</v>
      </c>
      <c r="N4339" t="s">
        <v>33</v>
      </c>
      <c r="O4339" t="s">
        <v>33</v>
      </c>
      <c r="P4339" t="s">
        <v>213</v>
      </c>
      <c r="Q4339" t="s">
        <v>2118</v>
      </c>
      <c r="S4339" t="s">
        <v>30</v>
      </c>
      <c r="T4339" t="s">
        <v>3674</v>
      </c>
      <c r="U4339" t="s">
        <v>3675</v>
      </c>
      <c r="V4339" t="s">
        <v>40</v>
      </c>
      <c r="W4339" s="1">
        <v>319000</v>
      </c>
    </row>
    <row r="4340" spans="1:23" x14ac:dyDescent="0.2">
      <c r="A4340" t="s">
        <v>2096</v>
      </c>
      <c r="B4340" t="s">
        <v>3333</v>
      </c>
      <c r="C4340" t="s">
        <v>3442</v>
      </c>
      <c r="D4340" t="s">
        <v>3626</v>
      </c>
      <c r="E4340" t="s">
        <v>3627</v>
      </c>
      <c r="F4340" t="s">
        <v>3628</v>
      </c>
      <c r="G4340" t="s">
        <v>127</v>
      </c>
      <c r="H4340" t="s">
        <v>52</v>
      </c>
      <c r="I4340" t="s">
        <v>30</v>
      </c>
      <c r="J4340" t="s">
        <v>31</v>
      </c>
      <c r="K4340" t="s">
        <v>32</v>
      </c>
      <c r="L4340" t="s">
        <v>32</v>
      </c>
      <c r="M4340" t="s">
        <v>33</v>
      </c>
      <c r="N4340" t="s">
        <v>33</v>
      </c>
      <c r="O4340" t="s">
        <v>33</v>
      </c>
      <c r="P4340" t="s">
        <v>213</v>
      </c>
      <c r="Q4340" t="s">
        <v>2111</v>
      </c>
      <c r="S4340" t="s">
        <v>30</v>
      </c>
      <c r="T4340" t="s">
        <v>3676</v>
      </c>
      <c r="U4340" t="s">
        <v>3677</v>
      </c>
      <c r="V4340" t="s">
        <v>39</v>
      </c>
      <c r="W4340" s="1">
        <v>4</v>
      </c>
    </row>
    <row r="4341" spans="1:23" x14ac:dyDescent="0.2">
      <c r="A4341" t="s">
        <v>2096</v>
      </c>
      <c r="B4341" t="s">
        <v>3333</v>
      </c>
      <c r="C4341" t="s">
        <v>3442</v>
      </c>
      <c r="D4341" t="s">
        <v>3626</v>
      </c>
      <c r="E4341" t="s">
        <v>3627</v>
      </c>
      <c r="F4341" t="s">
        <v>3628</v>
      </c>
      <c r="G4341" t="s">
        <v>127</v>
      </c>
      <c r="H4341" t="s">
        <v>52</v>
      </c>
      <c r="I4341" t="s">
        <v>30</v>
      </c>
      <c r="J4341" t="s">
        <v>31</v>
      </c>
      <c r="K4341" t="s">
        <v>32</v>
      </c>
      <c r="L4341" t="s">
        <v>32</v>
      </c>
      <c r="M4341" t="s">
        <v>33</v>
      </c>
      <c r="N4341" t="s">
        <v>33</v>
      </c>
      <c r="O4341" t="s">
        <v>33</v>
      </c>
      <c r="P4341" t="s">
        <v>213</v>
      </c>
      <c r="Q4341" t="s">
        <v>2111</v>
      </c>
      <c r="S4341" t="s">
        <v>30</v>
      </c>
      <c r="T4341" t="s">
        <v>3676</v>
      </c>
      <c r="U4341" t="s">
        <v>3677</v>
      </c>
      <c r="V4341" t="s">
        <v>40</v>
      </c>
      <c r="W4341" s="1">
        <v>3599600</v>
      </c>
    </row>
    <row r="4342" spans="1:23" x14ac:dyDescent="0.2">
      <c r="A4342" t="s">
        <v>2096</v>
      </c>
      <c r="B4342" t="s">
        <v>3333</v>
      </c>
      <c r="C4342" t="s">
        <v>3442</v>
      </c>
      <c r="D4342" t="s">
        <v>3626</v>
      </c>
      <c r="E4342" t="s">
        <v>3627</v>
      </c>
      <c r="F4342" t="s">
        <v>3628</v>
      </c>
      <c r="G4342" t="s">
        <v>127</v>
      </c>
      <c r="H4342" t="s">
        <v>52</v>
      </c>
      <c r="I4342" t="s">
        <v>30</v>
      </c>
      <c r="J4342" t="s">
        <v>31</v>
      </c>
      <c r="K4342" t="s">
        <v>32</v>
      </c>
      <c r="L4342" t="s">
        <v>32</v>
      </c>
      <c r="M4342" t="s">
        <v>33</v>
      </c>
      <c r="N4342" t="s">
        <v>176</v>
      </c>
      <c r="O4342" t="s">
        <v>176</v>
      </c>
      <c r="P4342" t="s">
        <v>213</v>
      </c>
      <c r="Q4342" t="s">
        <v>2118</v>
      </c>
      <c r="S4342" t="s">
        <v>30</v>
      </c>
      <c r="T4342" t="s">
        <v>3674</v>
      </c>
      <c r="U4342" t="s">
        <v>3675</v>
      </c>
      <c r="V4342" t="s">
        <v>39</v>
      </c>
      <c r="W4342" s="1">
        <v>1</v>
      </c>
    </row>
    <row r="4343" spans="1:23" x14ac:dyDescent="0.2">
      <c r="A4343" t="s">
        <v>2096</v>
      </c>
      <c r="B4343" t="s">
        <v>3333</v>
      </c>
      <c r="C4343" t="s">
        <v>3442</v>
      </c>
      <c r="D4343" t="s">
        <v>3626</v>
      </c>
      <c r="E4343" t="s">
        <v>3627</v>
      </c>
      <c r="F4343" t="s">
        <v>3628</v>
      </c>
      <c r="G4343" t="s">
        <v>127</v>
      </c>
      <c r="H4343" t="s">
        <v>52</v>
      </c>
      <c r="I4343" t="s">
        <v>30</v>
      </c>
      <c r="J4343" t="s">
        <v>31</v>
      </c>
      <c r="K4343" t="s">
        <v>32</v>
      </c>
      <c r="L4343" t="s">
        <v>32</v>
      </c>
      <c r="M4343" t="s">
        <v>33</v>
      </c>
      <c r="N4343" t="s">
        <v>176</v>
      </c>
      <c r="O4343" t="s">
        <v>176</v>
      </c>
      <c r="P4343" t="s">
        <v>213</v>
      </c>
      <c r="Q4343" t="s">
        <v>2118</v>
      </c>
      <c r="S4343" t="s">
        <v>30</v>
      </c>
      <c r="T4343" t="s">
        <v>3674</v>
      </c>
      <c r="U4343" t="s">
        <v>3675</v>
      </c>
      <c r="V4343" t="s">
        <v>40</v>
      </c>
      <c r="W4343" s="1">
        <v>159500</v>
      </c>
    </row>
    <row r="4344" spans="1:23" x14ac:dyDescent="0.2">
      <c r="A4344" t="s">
        <v>2096</v>
      </c>
      <c r="B4344" t="s">
        <v>3333</v>
      </c>
      <c r="C4344" t="s">
        <v>3442</v>
      </c>
      <c r="D4344" t="s">
        <v>3626</v>
      </c>
      <c r="E4344" t="s">
        <v>3627</v>
      </c>
      <c r="F4344" t="s">
        <v>3628</v>
      </c>
      <c r="G4344" t="s">
        <v>134</v>
      </c>
      <c r="H4344" t="s">
        <v>52</v>
      </c>
      <c r="I4344" t="s">
        <v>30</v>
      </c>
      <c r="J4344" t="s">
        <v>31</v>
      </c>
      <c r="K4344" t="s">
        <v>32</v>
      </c>
      <c r="L4344" t="s">
        <v>32</v>
      </c>
      <c r="M4344" t="s">
        <v>33</v>
      </c>
      <c r="N4344" t="s">
        <v>33</v>
      </c>
      <c r="O4344" t="s">
        <v>33</v>
      </c>
      <c r="P4344" t="s">
        <v>34</v>
      </c>
      <c r="Q4344" t="s">
        <v>35</v>
      </c>
      <c r="S4344" t="s">
        <v>30</v>
      </c>
      <c r="T4344" t="s">
        <v>3678</v>
      </c>
      <c r="U4344" t="s">
        <v>3679</v>
      </c>
      <c r="V4344" t="s">
        <v>39</v>
      </c>
      <c r="W4344" s="1">
        <v>2</v>
      </c>
    </row>
    <row r="4345" spans="1:23" x14ac:dyDescent="0.2">
      <c r="A4345" t="s">
        <v>2096</v>
      </c>
      <c r="B4345" t="s">
        <v>3333</v>
      </c>
      <c r="C4345" t="s">
        <v>3442</v>
      </c>
      <c r="D4345" t="s">
        <v>3626</v>
      </c>
      <c r="E4345" t="s">
        <v>3627</v>
      </c>
      <c r="F4345" t="s">
        <v>3628</v>
      </c>
      <c r="G4345" t="s">
        <v>134</v>
      </c>
      <c r="H4345" t="s">
        <v>52</v>
      </c>
      <c r="I4345" t="s">
        <v>30</v>
      </c>
      <c r="J4345" t="s">
        <v>31</v>
      </c>
      <c r="K4345" t="s">
        <v>32</v>
      </c>
      <c r="L4345" t="s">
        <v>32</v>
      </c>
      <c r="M4345" t="s">
        <v>33</v>
      </c>
      <c r="N4345" t="s">
        <v>33</v>
      </c>
      <c r="O4345" t="s">
        <v>33</v>
      </c>
      <c r="P4345" t="s">
        <v>34</v>
      </c>
      <c r="Q4345" t="s">
        <v>35</v>
      </c>
      <c r="S4345" t="s">
        <v>30</v>
      </c>
      <c r="T4345" t="s">
        <v>3678</v>
      </c>
      <c r="U4345" t="s">
        <v>3679</v>
      </c>
      <c r="V4345" t="s">
        <v>40</v>
      </c>
      <c r="W4345" s="1">
        <v>7450400</v>
      </c>
    </row>
    <row r="4346" spans="1:23" x14ac:dyDescent="0.2">
      <c r="A4346" t="s">
        <v>2096</v>
      </c>
      <c r="B4346" t="s">
        <v>3333</v>
      </c>
      <c r="C4346" t="s">
        <v>3442</v>
      </c>
      <c r="D4346" t="s">
        <v>3626</v>
      </c>
      <c r="E4346" t="s">
        <v>3627</v>
      </c>
      <c r="F4346" t="s">
        <v>3628</v>
      </c>
      <c r="G4346" t="s">
        <v>134</v>
      </c>
      <c r="H4346" t="s">
        <v>52</v>
      </c>
      <c r="I4346" t="s">
        <v>30</v>
      </c>
      <c r="J4346" t="s">
        <v>31</v>
      </c>
      <c r="K4346" t="s">
        <v>32</v>
      </c>
      <c r="L4346" t="s">
        <v>32</v>
      </c>
      <c r="M4346" t="s">
        <v>33</v>
      </c>
      <c r="P4346" t="s">
        <v>34</v>
      </c>
      <c r="Q4346" t="s">
        <v>35</v>
      </c>
      <c r="R4346" t="s">
        <v>228</v>
      </c>
      <c r="S4346" t="s">
        <v>30</v>
      </c>
      <c r="T4346" t="s">
        <v>3680</v>
      </c>
      <c r="U4346" t="s">
        <v>3681</v>
      </c>
      <c r="V4346" t="s">
        <v>39</v>
      </c>
      <c r="W4346" s="1">
        <v>3</v>
      </c>
    </row>
    <row r="4347" spans="1:23" x14ac:dyDescent="0.2">
      <c r="A4347" t="s">
        <v>2096</v>
      </c>
      <c r="B4347" t="s">
        <v>3333</v>
      </c>
      <c r="C4347" t="s">
        <v>3442</v>
      </c>
      <c r="D4347" t="s">
        <v>3626</v>
      </c>
      <c r="E4347" t="s">
        <v>3627</v>
      </c>
      <c r="F4347" t="s">
        <v>3628</v>
      </c>
      <c r="G4347" t="s">
        <v>134</v>
      </c>
      <c r="H4347" t="s">
        <v>52</v>
      </c>
      <c r="I4347" t="s">
        <v>30</v>
      </c>
      <c r="J4347" t="s">
        <v>31</v>
      </c>
      <c r="K4347" t="s">
        <v>32</v>
      </c>
      <c r="L4347" t="s">
        <v>32</v>
      </c>
      <c r="M4347" t="s">
        <v>33</v>
      </c>
      <c r="P4347" t="s">
        <v>34</v>
      </c>
      <c r="Q4347" t="s">
        <v>35</v>
      </c>
      <c r="R4347" t="s">
        <v>228</v>
      </c>
      <c r="S4347" t="s">
        <v>30</v>
      </c>
      <c r="T4347" t="s">
        <v>3680</v>
      </c>
      <c r="U4347" t="s">
        <v>3681</v>
      </c>
      <c r="V4347" t="s">
        <v>40</v>
      </c>
      <c r="W4347" s="1">
        <v>1677000</v>
      </c>
    </row>
    <row r="4348" spans="1:23" x14ac:dyDescent="0.2">
      <c r="A4348" t="s">
        <v>2096</v>
      </c>
      <c r="B4348" t="s">
        <v>3333</v>
      </c>
      <c r="C4348" t="s">
        <v>3442</v>
      </c>
      <c r="D4348" t="s">
        <v>3626</v>
      </c>
      <c r="E4348" t="s">
        <v>3627</v>
      </c>
      <c r="F4348" t="s">
        <v>3628</v>
      </c>
      <c r="G4348" t="s">
        <v>139</v>
      </c>
      <c r="H4348" t="s">
        <v>30</v>
      </c>
      <c r="I4348" t="s">
        <v>30</v>
      </c>
      <c r="J4348" t="s">
        <v>128</v>
      </c>
      <c r="K4348" t="s">
        <v>181</v>
      </c>
      <c r="L4348" t="s">
        <v>32</v>
      </c>
      <c r="M4348" t="s">
        <v>33</v>
      </c>
      <c r="P4348" t="s">
        <v>34</v>
      </c>
      <c r="Q4348" t="s">
        <v>35</v>
      </c>
      <c r="S4348" t="s">
        <v>30</v>
      </c>
      <c r="T4348" t="s">
        <v>3682</v>
      </c>
      <c r="U4348" t="s">
        <v>3683</v>
      </c>
      <c r="V4348" t="s">
        <v>39</v>
      </c>
      <c r="W4348" s="1">
        <v>5</v>
      </c>
    </row>
    <row r="4349" spans="1:23" x14ac:dyDescent="0.2">
      <c r="A4349" t="s">
        <v>2096</v>
      </c>
      <c r="B4349" t="s">
        <v>3333</v>
      </c>
      <c r="C4349" t="s">
        <v>3442</v>
      </c>
      <c r="D4349" t="s">
        <v>3626</v>
      </c>
      <c r="E4349" t="s">
        <v>3627</v>
      </c>
      <c r="F4349" t="s">
        <v>3628</v>
      </c>
      <c r="G4349" t="s">
        <v>139</v>
      </c>
      <c r="H4349" t="s">
        <v>30</v>
      </c>
      <c r="I4349" t="s">
        <v>30</v>
      </c>
      <c r="J4349" t="s">
        <v>128</v>
      </c>
      <c r="K4349" t="s">
        <v>181</v>
      </c>
      <c r="L4349" t="s">
        <v>32</v>
      </c>
      <c r="M4349" t="s">
        <v>33</v>
      </c>
      <c r="P4349" t="s">
        <v>34</v>
      </c>
      <c r="Q4349" t="s">
        <v>35</v>
      </c>
      <c r="S4349" t="s">
        <v>30</v>
      </c>
      <c r="T4349" t="s">
        <v>3682</v>
      </c>
      <c r="U4349" t="s">
        <v>3683</v>
      </c>
      <c r="V4349" t="s">
        <v>40</v>
      </c>
      <c r="W4349" s="1">
        <v>0</v>
      </c>
    </row>
    <row r="4350" spans="1:23" x14ac:dyDescent="0.2">
      <c r="A4350" t="s">
        <v>2096</v>
      </c>
      <c r="B4350" t="s">
        <v>3333</v>
      </c>
      <c r="C4350" t="s">
        <v>3442</v>
      </c>
      <c r="D4350" t="s">
        <v>3626</v>
      </c>
      <c r="E4350" t="s">
        <v>3627</v>
      </c>
      <c r="F4350" t="s">
        <v>3628</v>
      </c>
      <c r="G4350" t="s">
        <v>139</v>
      </c>
      <c r="H4350" t="s">
        <v>30</v>
      </c>
      <c r="I4350" t="s">
        <v>30</v>
      </c>
      <c r="J4350" t="s">
        <v>41</v>
      </c>
      <c r="K4350" t="s">
        <v>32</v>
      </c>
      <c r="L4350" t="s">
        <v>32</v>
      </c>
      <c r="M4350" t="s">
        <v>33</v>
      </c>
      <c r="P4350" t="s">
        <v>213</v>
      </c>
      <c r="Q4350" t="s">
        <v>2111</v>
      </c>
      <c r="S4350" t="s">
        <v>52</v>
      </c>
      <c r="T4350" t="s">
        <v>3684</v>
      </c>
      <c r="U4350" t="s">
        <v>3685</v>
      </c>
      <c r="V4350" t="s">
        <v>39</v>
      </c>
      <c r="W4350" s="1">
        <v>0</v>
      </c>
    </row>
    <row r="4351" spans="1:23" x14ac:dyDescent="0.2">
      <c r="A4351" t="s">
        <v>2096</v>
      </c>
      <c r="B4351" t="s">
        <v>3333</v>
      </c>
      <c r="C4351" t="s">
        <v>3442</v>
      </c>
      <c r="D4351" t="s">
        <v>3626</v>
      </c>
      <c r="E4351" t="s">
        <v>3627</v>
      </c>
      <c r="F4351" t="s">
        <v>3628</v>
      </c>
      <c r="G4351" t="s">
        <v>139</v>
      </c>
      <c r="H4351" t="s">
        <v>30</v>
      </c>
      <c r="I4351" t="s">
        <v>30</v>
      </c>
      <c r="J4351" t="s">
        <v>41</v>
      </c>
      <c r="K4351" t="s">
        <v>32</v>
      </c>
      <c r="L4351" t="s">
        <v>32</v>
      </c>
      <c r="M4351" t="s">
        <v>33</v>
      </c>
      <c r="P4351" t="s">
        <v>213</v>
      </c>
      <c r="Q4351" t="s">
        <v>2111</v>
      </c>
      <c r="S4351" t="s">
        <v>52</v>
      </c>
      <c r="T4351" t="s">
        <v>3684</v>
      </c>
      <c r="U4351" t="s">
        <v>3685</v>
      </c>
      <c r="V4351" t="s">
        <v>40</v>
      </c>
      <c r="W4351" s="1">
        <v>0</v>
      </c>
    </row>
    <row r="4352" spans="1:23" x14ac:dyDescent="0.2">
      <c r="A4352" t="s">
        <v>2096</v>
      </c>
      <c r="B4352" t="s">
        <v>3333</v>
      </c>
      <c r="C4352" t="s">
        <v>3442</v>
      </c>
      <c r="D4352" t="s">
        <v>3626</v>
      </c>
      <c r="E4352" t="s">
        <v>3627</v>
      </c>
      <c r="F4352" t="s">
        <v>3628</v>
      </c>
      <c r="G4352" t="s">
        <v>139</v>
      </c>
      <c r="H4352" t="s">
        <v>30</v>
      </c>
      <c r="I4352" t="s">
        <v>30</v>
      </c>
      <c r="J4352" t="s">
        <v>41</v>
      </c>
      <c r="K4352" t="s">
        <v>32</v>
      </c>
      <c r="L4352" t="s">
        <v>32</v>
      </c>
      <c r="M4352" t="s">
        <v>33</v>
      </c>
      <c r="P4352" t="s">
        <v>34</v>
      </c>
      <c r="Q4352" t="s">
        <v>35</v>
      </c>
      <c r="S4352" t="s">
        <v>30</v>
      </c>
      <c r="T4352" t="s">
        <v>3686</v>
      </c>
      <c r="U4352" t="s">
        <v>3687</v>
      </c>
      <c r="V4352" t="s">
        <v>39</v>
      </c>
      <c r="W4352" s="1">
        <v>4</v>
      </c>
    </row>
    <row r="4353" spans="1:23" x14ac:dyDescent="0.2">
      <c r="A4353" t="s">
        <v>2096</v>
      </c>
      <c r="B4353" t="s">
        <v>3333</v>
      </c>
      <c r="C4353" t="s">
        <v>3442</v>
      </c>
      <c r="D4353" t="s">
        <v>3626</v>
      </c>
      <c r="E4353" t="s">
        <v>3627</v>
      </c>
      <c r="F4353" t="s">
        <v>3628</v>
      </c>
      <c r="G4353" t="s">
        <v>139</v>
      </c>
      <c r="H4353" t="s">
        <v>30</v>
      </c>
      <c r="I4353" t="s">
        <v>30</v>
      </c>
      <c r="J4353" t="s">
        <v>41</v>
      </c>
      <c r="K4353" t="s">
        <v>32</v>
      </c>
      <c r="L4353" t="s">
        <v>32</v>
      </c>
      <c r="M4353" t="s">
        <v>33</v>
      </c>
      <c r="P4353" t="s">
        <v>34</v>
      </c>
      <c r="Q4353" t="s">
        <v>35</v>
      </c>
      <c r="S4353" t="s">
        <v>30</v>
      </c>
      <c r="T4353" t="s">
        <v>3686</v>
      </c>
      <c r="U4353" t="s">
        <v>3687</v>
      </c>
      <c r="V4353" t="s">
        <v>40</v>
      </c>
      <c r="W4353" s="1">
        <v>4632400</v>
      </c>
    </row>
    <row r="4354" spans="1:23" x14ac:dyDescent="0.2">
      <c r="A4354" t="s">
        <v>2096</v>
      </c>
      <c r="B4354" t="s">
        <v>3333</v>
      </c>
      <c r="C4354" t="s">
        <v>3442</v>
      </c>
      <c r="D4354" t="s">
        <v>3626</v>
      </c>
      <c r="E4354" t="s">
        <v>3688</v>
      </c>
      <c r="F4354" t="s">
        <v>3689</v>
      </c>
      <c r="G4354" t="s">
        <v>29</v>
      </c>
      <c r="H4354" t="s">
        <v>30</v>
      </c>
      <c r="I4354" t="s">
        <v>30</v>
      </c>
      <c r="J4354" t="s">
        <v>31</v>
      </c>
      <c r="K4354" t="s">
        <v>32</v>
      </c>
      <c r="L4354" t="s">
        <v>32</v>
      </c>
      <c r="M4354" t="s">
        <v>33</v>
      </c>
      <c r="N4354" t="s">
        <v>33</v>
      </c>
      <c r="O4354" t="s">
        <v>33</v>
      </c>
      <c r="P4354" t="s">
        <v>34</v>
      </c>
      <c r="Q4354" t="s">
        <v>35</v>
      </c>
      <c r="S4354" t="s">
        <v>30</v>
      </c>
      <c r="T4354" t="s">
        <v>3690</v>
      </c>
      <c r="U4354" t="s">
        <v>3691</v>
      </c>
      <c r="V4354" t="s">
        <v>39</v>
      </c>
      <c r="W4354" s="1">
        <v>2</v>
      </c>
    </row>
    <row r="4355" spans="1:23" x14ac:dyDescent="0.2">
      <c r="A4355" t="s">
        <v>2096</v>
      </c>
      <c r="B4355" t="s">
        <v>3333</v>
      </c>
      <c r="C4355" t="s">
        <v>3442</v>
      </c>
      <c r="D4355" t="s">
        <v>3626</v>
      </c>
      <c r="E4355" t="s">
        <v>3688</v>
      </c>
      <c r="F4355" t="s">
        <v>3689</v>
      </c>
      <c r="G4355" t="s">
        <v>29</v>
      </c>
      <c r="H4355" t="s">
        <v>30</v>
      </c>
      <c r="I4355" t="s">
        <v>30</v>
      </c>
      <c r="J4355" t="s">
        <v>31</v>
      </c>
      <c r="K4355" t="s">
        <v>32</v>
      </c>
      <c r="L4355" t="s">
        <v>32</v>
      </c>
      <c r="M4355" t="s">
        <v>33</v>
      </c>
      <c r="N4355" t="s">
        <v>33</v>
      </c>
      <c r="O4355" t="s">
        <v>33</v>
      </c>
      <c r="P4355" t="s">
        <v>34</v>
      </c>
      <c r="Q4355" t="s">
        <v>35</v>
      </c>
      <c r="S4355" t="s">
        <v>30</v>
      </c>
      <c r="T4355" t="s">
        <v>3690</v>
      </c>
      <c r="U4355" t="s">
        <v>3691</v>
      </c>
      <c r="V4355" t="s">
        <v>40</v>
      </c>
      <c r="W4355" s="1">
        <v>2711600</v>
      </c>
    </row>
    <row r="4356" spans="1:23" x14ac:dyDescent="0.2">
      <c r="A4356" t="s">
        <v>2096</v>
      </c>
      <c r="B4356" t="s">
        <v>3333</v>
      </c>
      <c r="C4356" t="s">
        <v>3442</v>
      </c>
      <c r="D4356" t="s">
        <v>3626</v>
      </c>
      <c r="E4356" t="s">
        <v>3688</v>
      </c>
      <c r="F4356" t="s">
        <v>3689</v>
      </c>
      <c r="G4356" t="s">
        <v>29</v>
      </c>
      <c r="H4356" t="s">
        <v>30</v>
      </c>
      <c r="I4356" t="s">
        <v>30</v>
      </c>
      <c r="J4356" t="s">
        <v>41</v>
      </c>
      <c r="K4356" t="s">
        <v>32</v>
      </c>
      <c r="L4356" t="s">
        <v>32</v>
      </c>
      <c r="M4356" t="s">
        <v>33</v>
      </c>
      <c r="N4356" t="s">
        <v>33</v>
      </c>
      <c r="O4356" t="s">
        <v>33</v>
      </c>
      <c r="P4356" t="s">
        <v>34</v>
      </c>
      <c r="Q4356" t="s">
        <v>35</v>
      </c>
      <c r="R4356" t="s">
        <v>162</v>
      </c>
      <c r="S4356" t="s">
        <v>30</v>
      </c>
      <c r="T4356" t="s">
        <v>3692</v>
      </c>
      <c r="U4356" t="s">
        <v>3693</v>
      </c>
      <c r="V4356" t="s">
        <v>39</v>
      </c>
      <c r="W4356" s="1">
        <v>2</v>
      </c>
    </row>
    <row r="4357" spans="1:23" x14ac:dyDescent="0.2">
      <c r="A4357" t="s">
        <v>2096</v>
      </c>
      <c r="B4357" t="s">
        <v>3333</v>
      </c>
      <c r="C4357" t="s">
        <v>3442</v>
      </c>
      <c r="D4357" t="s">
        <v>3626</v>
      </c>
      <c r="E4357" t="s">
        <v>3688</v>
      </c>
      <c r="F4357" t="s">
        <v>3689</v>
      </c>
      <c r="G4357" t="s">
        <v>29</v>
      </c>
      <c r="H4357" t="s">
        <v>30</v>
      </c>
      <c r="I4357" t="s">
        <v>30</v>
      </c>
      <c r="J4357" t="s">
        <v>41</v>
      </c>
      <c r="K4357" t="s">
        <v>32</v>
      </c>
      <c r="L4357" t="s">
        <v>32</v>
      </c>
      <c r="M4357" t="s">
        <v>33</v>
      </c>
      <c r="N4357" t="s">
        <v>33</v>
      </c>
      <c r="O4357" t="s">
        <v>33</v>
      </c>
      <c r="P4357" t="s">
        <v>34</v>
      </c>
      <c r="Q4357" t="s">
        <v>35</v>
      </c>
      <c r="R4357" t="s">
        <v>162</v>
      </c>
      <c r="S4357" t="s">
        <v>30</v>
      </c>
      <c r="T4357" t="s">
        <v>3692</v>
      </c>
      <c r="U4357" t="s">
        <v>3693</v>
      </c>
      <c r="V4357" t="s">
        <v>40</v>
      </c>
      <c r="W4357" s="1">
        <v>5598000</v>
      </c>
    </row>
    <row r="4358" spans="1:23" x14ac:dyDescent="0.2">
      <c r="A4358" t="s">
        <v>2096</v>
      </c>
      <c r="B4358" t="s">
        <v>3333</v>
      </c>
      <c r="C4358" t="s">
        <v>3442</v>
      </c>
      <c r="D4358" t="s">
        <v>3626</v>
      </c>
      <c r="E4358" t="s">
        <v>3688</v>
      </c>
      <c r="F4358" t="s">
        <v>3689</v>
      </c>
      <c r="G4358" t="s">
        <v>29</v>
      </c>
      <c r="H4358" t="s">
        <v>30</v>
      </c>
      <c r="I4358" t="s">
        <v>30</v>
      </c>
      <c r="J4358" t="s">
        <v>610</v>
      </c>
      <c r="K4358" t="s">
        <v>611</v>
      </c>
      <c r="L4358" t="s">
        <v>32</v>
      </c>
      <c r="M4358" t="s">
        <v>33</v>
      </c>
      <c r="N4358" t="s">
        <v>33</v>
      </c>
      <c r="O4358" t="s">
        <v>33</v>
      </c>
      <c r="P4358" t="s">
        <v>213</v>
      </c>
      <c r="Q4358" t="s">
        <v>214</v>
      </c>
      <c r="R4358" t="s">
        <v>3694</v>
      </c>
      <c r="S4358" t="s">
        <v>30</v>
      </c>
      <c r="T4358" t="s">
        <v>3695</v>
      </c>
      <c r="U4358" t="s">
        <v>3696</v>
      </c>
      <c r="V4358" t="s">
        <v>39</v>
      </c>
      <c r="W4358" s="1">
        <v>2</v>
      </c>
    </row>
    <row r="4359" spans="1:23" x14ac:dyDescent="0.2">
      <c r="A4359" t="s">
        <v>2096</v>
      </c>
      <c r="B4359" t="s">
        <v>3333</v>
      </c>
      <c r="C4359" t="s">
        <v>3442</v>
      </c>
      <c r="D4359" t="s">
        <v>3626</v>
      </c>
      <c r="E4359" t="s">
        <v>3688</v>
      </c>
      <c r="F4359" t="s">
        <v>3689</v>
      </c>
      <c r="G4359" t="s">
        <v>29</v>
      </c>
      <c r="H4359" t="s">
        <v>30</v>
      </c>
      <c r="I4359" t="s">
        <v>30</v>
      </c>
      <c r="J4359" t="s">
        <v>610</v>
      </c>
      <c r="K4359" t="s">
        <v>611</v>
      </c>
      <c r="L4359" t="s">
        <v>32</v>
      </c>
      <c r="M4359" t="s">
        <v>33</v>
      </c>
      <c r="N4359" t="s">
        <v>33</v>
      </c>
      <c r="O4359" t="s">
        <v>33</v>
      </c>
      <c r="P4359" t="s">
        <v>213</v>
      </c>
      <c r="Q4359" t="s">
        <v>214</v>
      </c>
      <c r="R4359" t="s">
        <v>3694</v>
      </c>
      <c r="S4359" t="s">
        <v>30</v>
      </c>
      <c r="T4359" t="s">
        <v>3695</v>
      </c>
      <c r="U4359" t="s">
        <v>3696</v>
      </c>
      <c r="V4359" t="s">
        <v>40</v>
      </c>
      <c r="W4359" s="1">
        <v>1998000</v>
      </c>
    </row>
    <row r="4360" spans="1:23" x14ac:dyDescent="0.2">
      <c r="A4360" t="s">
        <v>2096</v>
      </c>
      <c r="B4360" t="s">
        <v>3333</v>
      </c>
      <c r="C4360" t="s">
        <v>3442</v>
      </c>
      <c r="D4360" t="s">
        <v>3626</v>
      </c>
      <c r="E4360" t="s">
        <v>3688</v>
      </c>
      <c r="F4360" t="s">
        <v>3689</v>
      </c>
      <c r="G4360" t="s">
        <v>29</v>
      </c>
      <c r="H4360" t="s">
        <v>30</v>
      </c>
      <c r="I4360" t="s">
        <v>30</v>
      </c>
      <c r="J4360" t="s">
        <v>610</v>
      </c>
      <c r="K4360" t="s">
        <v>611</v>
      </c>
      <c r="L4360" t="s">
        <v>32</v>
      </c>
      <c r="M4360" t="s">
        <v>176</v>
      </c>
      <c r="N4360" t="s">
        <v>176</v>
      </c>
      <c r="O4360" t="s">
        <v>176</v>
      </c>
      <c r="P4360" t="s">
        <v>213</v>
      </c>
      <c r="Q4360" t="s">
        <v>214</v>
      </c>
      <c r="R4360" t="s">
        <v>3694</v>
      </c>
      <c r="S4360" t="s">
        <v>30</v>
      </c>
      <c r="T4360" t="s">
        <v>3695</v>
      </c>
      <c r="U4360" t="s">
        <v>3696</v>
      </c>
      <c r="V4360" t="s">
        <v>39</v>
      </c>
      <c r="W4360" s="1">
        <v>2</v>
      </c>
    </row>
    <row r="4361" spans="1:23" x14ac:dyDescent="0.2">
      <c r="A4361" t="s">
        <v>2096</v>
      </c>
      <c r="B4361" t="s">
        <v>3333</v>
      </c>
      <c r="C4361" t="s">
        <v>3442</v>
      </c>
      <c r="D4361" t="s">
        <v>3626</v>
      </c>
      <c r="E4361" t="s">
        <v>3688</v>
      </c>
      <c r="F4361" t="s">
        <v>3689</v>
      </c>
      <c r="G4361" t="s">
        <v>29</v>
      </c>
      <c r="H4361" t="s">
        <v>30</v>
      </c>
      <c r="I4361" t="s">
        <v>30</v>
      </c>
      <c r="J4361" t="s">
        <v>610</v>
      </c>
      <c r="K4361" t="s">
        <v>611</v>
      </c>
      <c r="L4361" t="s">
        <v>32</v>
      </c>
      <c r="M4361" t="s">
        <v>176</v>
      </c>
      <c r="N4361" t="s">
        <v>176</v>
      </c>
      <c r="O4361" t="s">
        <v>176</v>
      </c>
      <c r="P4361" t="s">
        <v>213</v>
      </c>
      <c r="Q4361" t="s">
        <v>214</v>
      </c>
      <c r="R4361" t="s">
        <v>3694</v>
      </c>
      <c r="S4361" t="s">
        <v>30</v>
      </c>
      <c r="T4361" t="s">
        <v>3695</v>
      </c>
      <c r="U4361" t="s">
        <v>3696</v>
      </c>
      <c r="V4361" t="s">
        <v>40</v>
      </c>
      <c r="W4361" s="1">
        <v>999000</v>
      </c>
    </row>
    <row r="4362" spans="1:23" x14ac:dyDescent="0.2">
      <c r="A4362" t="s">
        <v>2096</v>
      </c>
      <c r="B4362" t="s">
        <v>3333</v>
      </c>
      <c r="C4362" t="s">
        <v>3442</v>
      </c>
      <c r="D4362" t="s">
        <v>3626</v>
      </c>
      <c r="E4362" t="s">
        <v>3688</v>
      </c>
      <c r="F4362" t="s">
        <v>3689</v>
      </c>
      <c r="G4362" t="s">
        <v>49</v>
      </c>
      <c r="H4362" t="s">
        <v>30</v>
      </c>
      <c r="I4362" t="s">
        <v>30</v>
      </c>
      <c r="J4362" t="s">
        <v>31</v>
      </c>
      <c r="K4362" t="s">
        <v>32</v>
      </c>
      <c r="L4362" t="s">
        <v>32</v>
      </c>
      <c r="M4362" t="s">
        <v>33</v>
      </c>
      <c r="N4362" t="s">
        <v>33</v>
      </c>
      <c r="O4362" t="s">
        <v>33</v>
      </c>
      <c r="P4362" t="s">
        <v>34</v>
      </c>
      <c r="Q4362" t="s">
        <v>35</v>
      </c>
      <c r="S4362" t="s">
        <v>30</v>
      </c>
      <c r="T4362" t="s">
        <v>3697</v>
      </c>
      <c r="U4362" t="s">
        <v>3698</v>
      </c>
      <c r="V4362" t="s">
        <v>39</v>
      </c>
      <c r="W4362" s="1">
        <v>7</v>
      </c>
    </row>
    <row r="4363" spans="1:23" x14ac:dyDescent="0.2">
      <c r="A4363" t="s">
        <v>2096</v>
      </c>
      <c r="B4363" t="s">
        <v>3333</v>
      </c>
      <c r="C4363" t="s">
        <v>3442</v>
      </c>
      <c r="D4363" t="s">
        <v>3626</v>
      </c>
      <c r="E4363" t="s">
        <v>3688</v>
      </c>
      <c r="F4363" t="s">
        <v>3689</v>
      </c>
      <c r="G4363" t="s">
        <v>49</v>
      </c>
      <c r="H4363" t="s">
        <v>30</v>
      </c>
      <c r="I4363" t="s">
        <v>30</v>
      </c>
      <c r="J4363" t="s">
        <v>31</v>
      </c>
      <c r="K4363" t="s">
        <v>32</v>
      </c>
      <c r="L4363" t="s">
        <v>32</v>
      </c>
      <c r="M4363" t="s">
        <v>33</v>
      </c>
      <c r="N4363" t="s">
        <v>33</v>
      </c>
      <c r="O4363" t="s">
        <v>33</v>
      </c>
      <c r="P4363" t="s">
        <v>34</v>
      </c>
      <c r="Q4363" t="s">
        <v>35</v>
      </c>
      <c r="S4363" t="s">
        <v>30</v>
      </c>
      <c r="T4363" t="s">
        <v>3697</v>
      </c>
      <c r="U4363" t="s">
        <v>3698</v>
      </c>
      <c r="V4363" t="s">
        <v>40</v>
      </c>
      <c r="W4363" s="1">
        <v>7412300</v>
      </c>
    </row>
    <row r="4364" spans="1:23" x14ac:dyDescent="0.2">
      <c r="A4364" t="s">
        <v>2096</v>
      </c>
      <c r="B4364" t="s">
        <v>3333</v>
      </c>
      <c r="C4364" t="s">
        <v>3442</v>
      </c>
      <c r="D4364" t="s">
        <v>3626</v>
      </c>
      <c r="E4364" t="s">
        <v>3688</v>
      </c>
      <c r="F4364" t="s">
        <v>3689</v>
      </c>
      <c r="G4364" t="s">
        <v>49</v>
      </c>
      <c r="H4364" t="s">
        <v>30</v>
      </c>
      <c r="I4364" t="s">
        <v>30</v>
      </c>
      <c r="J4364" t="s">
        <v>31</v>
      </c>
      <c r="K4364" t="s">
        <v>32</v>
      </c>
      <c r="L4364" t="s">
        <v>32</v>
      </c>
      <c r="M4364" t="s">
        <v>33</v>
      </c>
      <c r="P4364" t="s">
        <v>34</v>
      </c>
      <c r="Q4364" t="s">
        <v>35</v>
      </c>
      <c r="S4364" t="s">
        <v>52</v>
      </c>
      <c r="T4364" t="s">
        <v>3697</v>
      </c>
      <c r="U4364" t="s">
        <v>3699</v>
      </c>
      <c r="V4364" t="s">
        <v>39</v>
      </c>
      <c r="W4364" s="1">
        <v>0</v>
      </c>
    </row>
    <row r="4365" spans="1:23" x14ac:dyDescent="0.2">
      <c r="A4365" t="s">
        <v>2096</v>
      </c>
      <c r="B4365" t="s">
        <v>3333</v>
      </c>
      <c r="C4365" t="s">
        <v>3442</v>
      </c>
      <c r="D4365" t="s">
        <v>3626</v>
      </c>
      <c r="E4365" t="s">
        <v>3688</v>
      </c>
      <c r="F4365" t="s">
        <v>3689</v>
      </c>
      <c r="G4365" t="s">
        <v>49</v>
      </c>
      <c r="H4365" t="s">
        <v>30</v>
      </c>
      <c r="I4365" t="s">
        <v>30</v>
      </c>
      <c r="J4365" t="s">
        <v>31</v>
      </c>
      <c r="K4365" t="s">
        <v>32</v>
      </c>
      <c r="L4365" t="s">
        <v>32</v>
      </c>
      <c r="M4365" t="s">
        <v>33</v>
      </c>
      <c r="P4365" t="s">
        <v>34</v>
      </c>
      <c r="Q4365" t="s">
        <v>35</v>
      </c>
      <c r="S4365" t="s">
        <v>52</v>
      </c>
      <c r="T4365" t="s">
        <v>3697</v>
      </c>
      <c r="U4365" t="s">
        <v>3699</v>
      </c>
      <c r="V4365" t="s">
        <v>40</v>
      </c>
      <c r="W4365" s="1">
        <v>8551200</v>
      </c>
    </row>
    <row r="4366" spans="1:23" x14ac:dyDescent="0.2">
      <c r="A4366" t="s">
        <v>2096</v>
      </c>
      <c r="B4366" t="s">
        <v>3333</v>
      </c>
      <c r="C4366" t="s">
        <v>3442</v>
      </c>
      <c r="D4366" t="s">
        <v>3626</v>
      </c>
      <c r="E4366" t="s">
        <v>3688</v>
      </c>
      <c r="F4366" t="s">
        <v>3689</v>
      </c>
      <c r="G4366" t="s">
        <v>49</v>
      </c>
      <c r="H4366" t="s">
        <v>30</v>
      </c>
      <c r="I4366" t="s">
        <v>30</v>
      </c>
      <c r="J4366" t="s">
        <v>31</v>
      </c>
      <c r="K4366" t="s">
        <v>32</v>
      </c>
      <c r="L4366" t="s">
        <v>32</v>
      </c>
      <c r="M4366" t="s">
        <v>33</v>
      </c>
      <c r="P4366" t="s">
        <v>34</v>
      </c>
      <c r="Q4366" t="s">
        <v>35</v>
      </c>
      <c r="S4366" t="s">
        <v>52</v>
      </c>
      <c r="T4366" t="s">
        <v>3697</v>
      </c>
      <c r="U4366" t="s">
        <v>3698</v>
      </c>
      <c r="V4366" t="s">
        <v>39</v>
      </c>
      <c r="W4366" s="1">
        <v>0</v>
      </c>
    </row>
    <row r="4367" spans="1:23" x14ac:dyDescent="0.2">
      <c r="A4367" t="s">
        <v>2096</v>
      </c>
      <c r="B4367" t="s">
        <v>3333</v>
      </c>
      <c r="C4367" t="s">
        <v>3442</v>
      </c>
      <c r="D4367" t="s">
        <v>3626</v>
      </c>
      <c r="E4367" t="s">
        <v>3688</v>
      </c>
      <c r="F4367" t="s">
        <v>3689</v>
      </c>
      <c r="G4367" t="s">
        <v>49</v>
      </c>
      <c r="H4367" t="s">
        <v>30</v>
      </c>
      <c r="I4367" t="s">
        <v>30</v>
      </c>
      <c r="J4367" t="s">
        <v>31</v>
      </c>
      <c r="K4367" t="s">
        <v>32</v>
      </c>
      <c r="L4367" t="s">
        <v>32</v>
      </c>
      <c r="M4367" t="s">
        <v>33</v>
      </c>
      <c r="P4367" t="s">
        <v>34</v>
      </c>
      <c r="Q4367" t="s">
        <v>35</v>
      </c>
      <c r="S4367" t="s">
        <v>52</v>
      </c>
      <c r="T4367" t="s">
        <v>3697</v>
      </c>
      <c r="U4367" t="s">
        <v>3698</v>
      </c>
      <c r="V4367" t="s">
        <v>40</v>
      </c>
      <c r="W4367" s="1">
        <v>0</v>
      </c>
    </row>
    <row r="4368" spans="1:23" x14ac:dyDescent="0.2">
      <c r="A4368" t="s">
        <v>2096</v>
      </c>
      <c r="B4368" t="s">
        <v>3333</v>
      </c>
      <c r="C4368" t="s">
        <v>3442</v>
      </c>
      <c r="D4368" t="s">
        <v>3626</v>
      </c>
      <c r="E4368" t="s">
        <v>3688</v>
      </c>
      <c r="F4368" t="s">
        <v>3689</v>
      </c>
      <c r="G4368" t="s">
        <v>49</v>
      </c>
      <c r="H4368" t="s">
        <v>30</v>
      </c>
      <c r="I4368" t="s">
        <v>30</v>
      </c>
      <c r="J4368" t="s">
        <v>41</v>
      </c>
      <c r="K4368" t="s">
        <v>32</v>
      </c>
      <c r="L4368" t="s">
        <v>32</v>
      </c>
      <c r="M4368" t="s">
        <v>33</v>
      </c>
      <c r="N4368" t="s">
        <v>33</v>
      </c>
      <c r="O4368" t="s">
        <v>33</v>
      </c>
      <c r="P4368" t="s">
        <v>34</v>
      </c>
      <c r="Q4368" t="s">
        <v>35</v>
      </c>
      <c r="S4368" t="s">
        <v>30</v>
      </c>
      <c r="T4368" t="s">
        <v>3700</v>
      </c>
      <c r="U4368" t="s">
        <v>3701</v>
      </c>
      <c r="V4368" t="s">
        <v>39</v>
      </c>
      <c r="W4368" s="1">
        <v>2</v>
      </c>
    </row>
    <row r="4369" spans="1:23" x14ac:dyDescent="0.2">
      <c r="A4369" t="s">
        <v>2096</v>
      </c>
      <c r="B4369" t="s">
        <v>3333</v>
      </c>
      <c r="C4369" t="s">
        <v>3442</v>
      </c>
      <c r="D4369" t="s">
        <v>3626</v>
      </c>
      <c r="E4369" t="s">
        <v>3688</v>
      </c>
      <c r="F4369" t="s">
        <v>3689</v>
      </c>
      <c r="G4369" t="s">
        <v>49</v>
      </c>
      <c r="H4369" t="s">
        <v>30</v>
      </c>
      <c r="I4369" t="s">
        <v>30</v>
      </c>
      <c r="J4369" t="s">
        <v>41</v>
      </c>
      <c r="K4369" t="s">
        <v>32</v>
      </c>
      <c r="L4369" t="s">
        <v>32</v>
      </c>
      <c r="M4369" t="s">
        <v>33</v>
      </c>
      <c r="N4369" t="s">
        <v>33</v>
      </c>
      <c r="O4369" t="s">
        <v>33</v>
      </c>
      <c r="P4369" t="s">
        <v>34</v>
      </c>
      <c r="Q4369" t="s">
        <v>35</v>
      </c>
      <c r="S4369" t="s">
        <v>30</v>
      </c>
      <c r="T4369" t="s">
        <v>3700</v>
      </c>
      <c r="U4369" t="s">
        <v>3701</v>
      </c>
      <c r="V4369" t="s">
        <v>40</v>
      </c>
      <c r="W4369" s="1">
        <v>2726000</v>
      </c>
    </row>
    <row r="4370" spans="1:23" x14ac:dyDescent="0.2">
      <c r="A4370" t="s">
        <v>2096</v>
      </c>
      <c r="B4370" t="s">
        <v>3333</v>
      </c>
      <c r="C4370" t="s">
        <v>3442</v>
      </c>
      <c r="D4370" t="s">
        <v>3626</v>
      </c>
      <c r="E4370" t="s">
        <v>3688</v>
      </c>
      <c r="F4370" t="s">
        <v>3689</v>
      </c>
      <c r="G4370" t="s">
        <v>170</v>
      </c>
      <c r="H4370" t="s">
        <v>52</v>
      </c>
      <c r="I4370" t="s">
        <v>30</v>
      </c>
      <c r="J4370" t="s">
        <v>211</v>
      </c>
      <c r="K4370" t="s">
        <v>212</v>
      </c>
      <c r="L4370" t="s">
        <v>32</v>
      </c>
      <c r="M4370" t="s">
        <v>33</v>
      </c>
      <c r="N4370" t="s">
        <v>33</v>
      </c>
      <c r="O4370" t="s">
        <v>33</v>
      </c>
      <c r="P4370" t="s">
        <v>34</v>
      </c>
      <c r="Q4370" t="s">
        <v>35</v>
      </c>
      <c r="R4370" t="s">
        <v>215</v>
      </c>
      <c r="S4370" t="s">
        <v>30</v>
      </c>
      <c r="T4370" t="s">
        <v>3702</v>
      </c>
      <c r="U4370" t="s">
        <v>3703</v>
      </c>
      <c r="V4370" t="s">
        <v>39</v>
      </c>
      <c r="W4370" s="1">
        <v>5</v>
      </c>
    </row>
    <row r="4371" spans="1:23" x14ac:dyDescent="0.2">
      <c r="A4371" t="s">
        <v>2096</v>
      </c>
      <c r="B4371" t="s">
        <v>3333</v>
      </c>
      <c r="C4371" t="s">
        <v>3442</v>
      </c>
      <c r="D4371" t="s">
        <v>3626</v>
      </c>
      <c r="E4371" t="s">
        <v>3688</v>
      </c>
      <c r="F4371" t="s">
        <v>3689</v>
      </c>
      <c r="G4371" t="s">
        <v>170</v>
      </c>
      <c r="H4371" t="s">
        <v>52</v>
      </c>
      <c r="I4371" t="s">
        <v>30</v>
      </c>
      <c r="J4371" t="s">
        <v>211</v>
      </c>
      <c r="K4371" t="s">
        <v>212</v>
      </c>
      <c r="L4371" t="s">
        <v>32</v>
      </c>
      <c r="M4371" t="s">
        <v>33</v>
      </c>
      <c r="N4371" t="s">
        <v>33</v>
      </c>
      <c r="O4371" t="s">
        <v>33</v>
      </c>
      <c r="P4371" t="s">
        <v>34</v>
      </c>
      <c r="Q4371" t="s">
        <v>35</v>
      </c>
      <c r="R4371" t="s">
        <v>215</v>
      </c>
      <c r="S4371" t="s">
        <v>30</v>
      </c>
      <c r="T4371" t="s">
        <v>3702</v>
      </c>
      <c r="U4371" t="s">
        <v>3703</v>
      </c>
      <c r="V4371" t="s">
        <v>40</v>
      </c>
      <c r="W4371" s="1">
        <v>8549500</v>
      </c>
    </row>
    <row r="4372" spans="1:23" x14ac:dyDescent="0.2">
      <c r="A4372" t="s">
        <v>2096</v>
      </c>
      <c r="B4372" t="s">
        <v>3333</v>
      </c>
      <c r="C4372" t="s">
        <v>3442</v>
      </c>
      <c r="D4372" t="s">
        <v>3626</v>
      </c>
      <c r="E4372" t="s">
        <v>3688</v>
      </c>
      <c r="F4372" t="s">
        <v>3689</v>
      </c>
      <c r="G4372" t="s">
        <v>170</v>
      </c>
      <c r="H4372" t="s">
        <v>52</v>
      </c>
      <c r="I4372" t="s">
        <v>30</v>
      </c>
      <c r="J4372" t="s">
        <v>211</v>
      </c>
      <c r="K4372" t="s">
        <v>212</v>
      </c>
      <c r="L4372" t="s">
        <v>32</v>
      </c>
      <c r="M4372" t="s">
        <v>33</v>
      </c>
      <c r="P4372" t="s">
        <v>34</v>
      </c>
      <c r="Q4372" t="s">
        <v>35</v>
      </c>
      <c r="R4372" t="s">
        <v>215</v>
      </c>
      <c r="S4372" t="s">
        <v>30</v>
      </c>
      <c r="T4372" t="s">
        <v>3702</v>
      </c>
      <c r="U4372" t="s">
        <v>3703</v>
      </c>
      <c r="V4372" t="s">
        <v>39</v>
      </c>
      <c r="W4372" s="1">
        <v>1</v>
      </c>
    </row>
    <row r="4373" spans="1:23" x14ac:dyDescent="0.2">
      <c r="A4373" t="s">
        <v>2096</v>
      </c>
      <c r="B4373" t="s">
        <v>3333</v>
      </c>
      <c r="C4373" t="s">
        <v>3442</v>
      </c>
      <c r="D4373" t="s">
        <v>3626</v>
      </c>
      <c r="E4373" t="s">
        <v>3688</v>
      </c>
      <c r="F4373" t="s">
        <v>3689</v>
      </c>
      <c r="G4373" t="s">
        <v>170</v>
      </c>
      <c r="H4373" t="s">
        <v>52</v>
      </c>
      <c r="I4373" t="s">
        <v>30</v>
      </c>
      <c r="J4373" t="s">
        <v>211</v>
      </c>
      <c r="K4373" t="s">
        <v>212</v>
      </c>
      <c r="L4373" t="s">
        <v>32</v>
      </c>
      <c r="M4373" t="s">
        <v>33</v>
      </c>
      <c r="P4373" t="s">
        <v>34</v>
      </c>
      <c r="Q4373" t="s">
        <v>35</v>
      </c>
      <c r="R4373" t="s">
        <v>215</v>
      </c>
      <c r="S4373" t="s">
        <v>30</v>
      </c>
      <c r="T4373" t="s">
        <v>3702</v>
      </c>
      <c r="U4373" t="s">
        <v>3703</v>
      </c>
      <c r="V4373" t="s">
        <v>40</v>
      </c>
      <c r="W4373" s="1">
        <v>1709900</v>
      </c>
    </row>
    <row r="4374" spans="1:23" x14ac:dyDescent="0.2">
      <c r="A4374" t="s">
        <v>2096</v>
      </c>
      <c r="B4374" t="s">
        <v>3333</v>
      </c>
      <c r="C4374" t="s">
        <v>3442</v>
      </c>
      <c r="D4374" t="s">
        <v>3626</v>
      </c>
      <c r="E4374" t="s">
        <v>3688</v>
      </c>
      <c r="F4374" t="s">
        <v>3689</v>
      </c>
      <c r="G4374" t="s">
        <v>170</v>
      </c>
      <c r="H4374" t="s">
        <v>52</v>
      </c>
      <c r="I4374" t="s">
        <v>30</v>
      </c>
      <c r="J4374" t="s">
        <v>211</v>
      </c>
      <c r="K4374" t="s">
        <v>212</v>
      </c>
      <c r="L4374" t="s">
        <v>32</v>
      </c>
      <c r="M4374" t="s">
        <v>33</v>
      </c>
      <c r="P4374" t="s">
        <v>34</v>
      </c>
      <c r="Q4374" t="s">
        <v>35</v>
      </c>
      <c r="R4374" t="s">
        <v>215</v>
      </c>
      <c r="S4374" t="s">
        <v>52</v>
      </c>
      <c r="T4374" t="s">
        <v>3702</v>
      </c>
      <c r="U4374" t="s">
        <v>3703</v>
      </c>
      <c r="V4374" t="s">
        <v>39</v>
      </c>
      <c r="W4374" s="1">
        <v>0</v>
      </c>
    </row>
    <row r="4375" spans="1:23" x14ac:dyDescent="0.2">
      <c r="A4375" t="s">
        <v>2096</v>
      </c>
      <c r="B4375" t="s">
        <v>3333</v>
      </c>
      <c r="C4375" t="s">
        <v>3442</v>
      </c>
      <c r="D4375" t="s">
        <v>3626</v>
      </c>
      <c r="E4375" t="s">
        <v>3688</v>
      </c>
      <c r="F4375" t="s">
        <v>3689</v>
      </c>
      <c r="G4375" t="s">
        <v>170</v>
      </c>
      <c r="H4375" t="s">
        <v>52</v>
      </c>
      <c r="I4375" t="s">
        <v>30</v>
      </c>
      <c r="J4375" t="s">
        <v>211</v>
      </c>
      <c r="K4375" t="s">
        <v>212</v>
      </c>
      <c r="L4375" t="s">
        <v>32</v>
      </c>
      <c r="M4375" t="s">
        <v>33</v>
      </c>
      <c r="P4375" t="s">
        <v>34</v>
      </c>
      <c r="Q4375" t="s">
        <v>35</v>
      </c>
      <c r="R4375" t="s">
        <v>215</v>
      </c>
      <c r="S4375" t="s">
        <v>52</v>
      </c>
      <c r="T4375" t="s">
        <v>3702</v>
      </c>
      <c r="U4375" t="s">
        <v>3703</v>
      </c>
      <c r="V4375" t="s">
        <v>40</v>
      </c>
      <c r="W4375" s="1">
        <v>3419800</v>
      </c>
    </row>
    <row r="4376" spans="1:23" x14ac:dyDescent="0.2">
      <c r="A4376" t="s">
        <v>2096</v>
      </c>
      <c r="B4376" t="s">
        <v>3333</v>
      </c>
      <c r="C4376" t="s">
        <v>3442</v>
      </c>
      <c r="D4376" t="s">
        <v>3626</v>
      </c>
      <c r="E4376" t="s">
        <v>3688</v>
      </c>
      <c r="F4376" t="s">
        <v>3689</v>
      </c>
      <c r="G4376" t="s">
        <v>64</v>
      </c>
      <c r="H4376" t="s">
        <v>30</v>
      </c>
      <c r="I4376" t="s">
        <v>52</v>
      </c>
      <c r="J4376" t="s">
        <v>128</v>
      </c>
      <c r="K4376" t="s">
        <v>135</v>
      </c>
      <c r="L4376" t="s">
        <v>32</v>
      </c>
      <c r="M4376" t="s">
        <v>33</v>
      </c>
      <c r="N4376" t="s">
        <v>33</v>
      </c>
      <c r="O4376" t="s">
        <v>33</v>
      </c>
      <c r="P4376" t="s">
        <v>34</v>
      </c>
      <c r="Q4376" t="s">
        <v>35</v>
      </c>
      <c r="R4376" t="s">
        <v>136</v>
      </c>
      <c r="S4376" t="s">
        <v>30</v>
      </c>
      <c r="T4376" t="s">
        <v>3704</v>
      </c>
      <c r="U4376" t="s">
        <v>3705</v>
      </c>
      <c r="V4376" t="s">
        <v>39</v>
      </c>
      <c r="W4376" s="1">
        <v>2</v>
      </c>
    </row>
    <row r="4377" spans="1:23" x14ac:dyDescent="0.2">
      <c r="A4377" t="s">
        <v>2096</v>
      </c>
      <c r="B4377" t="s">
        <v>3333</v>
      </c>
      <c r="C4377" t="s">
        <v>3442</v>
      </c>
      <c r="D4377" t="s">
        <v>3626</v>
      </c>
      <c r="E4377" t="s">
        <v>3688</v>
      </c>
      <c r="F4377" t="s">
        <v>3689</v>
      </c>
      <c r="G4377" t="s">
        <v>64</v>
      </c>
      <c r="H4377" t="s">
        <v>30</v>
      </c>
      <c r="I4377" t="s">
        <v>52</v>
      </c>
      <c r="J4377" t="s">
        <v>128</v>
      </c>
      <c r="K4377" t="s">
        <v>135</v>
      </c>
      <c r="L4377" t="s">
        <v>32</v>
      </c>
      <c r="M4377" t="s">
        <v>33</v>
      </c>
      <c r="N4377" t="s">
        <v>33</v>
      </c>
      <c r="O4377" t="s">
        <v>33</v>
      </c>
      <c r="P4377" t="s">
        <v>34</v>
      </c>
      <c r="Q4377" t="s">
        <v>35</v>
      </c>
      <c r="R4377" t="s">
        <v>136</v>
      </c>
      <c r="S4377" t="s">
        <v>30</v>
      </c>
      <c r="T4377" t="s">
        <v>3704</v>
      </c>
      <c r="U4377" t="s">
        <v>3705</v>
      </c>
      <c r="V4377" t="s">
        <v>40</v>
      </c>
      <c r="W4377" s="1">
        <v>1546000</v>
      </c>
    </row>
    <row r="4378" spans="1:23" x14ac:dyDescent="0.2">
      <c r="A4378" t="s">
        <v>2096</v>
      </c>
      <c r="B4378" t="s">
        <v>3333</v>
      </c>
      <c r="C4378" t="s">
        <v>3442</v>
      </c>
      <c r="D4378" t="s">
        <v>3626</v>
      </c>
      <c r="E4378" t="s">
        <v>3688</v>
      </c>
      <c r="F4378" t="s">
        <v>3689</v>
      </c>
      <c r="G4378" t="s">
        <v>64</v>
      </c>
      <c r="H4378" t="s">
        <v>30</v>
      </c>
      <c r="I4378" t="s">
        <v>52</v>
      </c>
      <c r="J4378" t="s">
        <v>128</v>
      </c>
      <c r="K4378" t="s">
        <v>135</v>
      </c>
      <c r="L4378" t="s">
        <v>32</v>
      </c>
      <c r="M4378" t="s">
        <v>195</v>
      </c>
      <c r="N4378" t="s">
        <v>1135</v>
      </c>
      <c r="O4378" t="s">
        <v>1135</v>
      </c>
      <c r="P4378" t="s">
        <v>34</v>
      </c>
      <c r="Q4378" t="s">
        <v>35</v>
      </c>
      <c r="R4378" t="s">
        <v>136</v>
      </c>
      <c r="S4378" t="s">
        <v>30</v>
      </c>
      <c r="T4378" t="s">
        <v>3704</v>
      </c>
      <c r="U4378" t="s">
        <v>3705</v>
      </c>
      <c r="V4378" t="s">
        <v>39</v>
      </c>
      <c r="W4378" s="1">
        <v>1</v>
      </c>
    </row>
    <row r="4379" spans="1:23" x14ac:dyDescent="0.2">
      <c r="A4379" t="s">
        <v>2096</v>
      </c>
      <c r="B4379" t="s">
        <v>3333</v>
      </c>
      <c r="C4379" t="s">
        <v>3442</v>
      </c>
      <c r="D4379" t="s">
        <v>3626</v>
      </c>
      <c r="E4379" t="s">
        <v>3688</v>
      </c>
      <c r="F4379" t="s">
        <v>3689</v>
      </c>
      <c r="G4379" t="s">
        <v>64</v>
      </c>
      <c r="H4379" t="s">
        <v>30</v>
      </c>
      <c r="I4379" t="s">
        <v>52</v>
      </c>
      <c r="J4379" t="s">
        <v>128</v>
      </c>
      <c r="K4379" t="s">
        <v>135</v>
      </c>
      <c r="L4379" t="s">
        <v>32</v>
      </c>
      <c r="M4379" t="s">
        <v>195</v>
      </c>
      <c r="N4379" t="s">
        <v>1135</v>
      </c>
      <c r="O4379" t="s">
        <v>1135</v>
      </c>
      <c r="P4379" t="s">
        <v>34</v>
      </c>
      <c r="Q4379" t="s">
        <v>35</v>
      </c>
      <c r="R4379" t="s">
        <v>136</v>
      </c>
      <c r="S4379" t="s">
        <v>30</v>
      </c>
      <c r="T4379" t="s">
        <v>3704</v>
      </c>
      <c r="U4379" t="s">
        <v>3705</v>
      </c>
      <c r="V4379" t="s">
        <v>40</v>
      </c>
      <c r="W4379" s="1">
        <v>80300</v>
      </c>
    </row>
    <row r="4380" spans="1:23" x14ac:dyDescent="0.2">
      <c r="A4380" t="s">
        <v>2096</v>
      </c>
      <c r="B4380" t="s">
        <v>3333</v>
      </c>
      <c r="C4380" t="s">
        <v>3442</v>
      </c>
      <c r="D4380" t="s">
        <v>3626</v>
      </c>
      <c r="E4380" t="s">
        <v>3688</v>
      </c>
      <c r="F4380" t="s">
        <v>3689</v>
      </c>
      <c r="G4380" t="s">
        <v>64</v>
      </c>
      <c r="H4380" t="s">
        <v>30</v>
      </c>
      <c r="I4380" t="s">
        <v>52</v>
      </c>
      <c r="J4380" t="s">
        <v>41</v>
      </c>
      <c r="K4380" t="s">
        <v>32</v>
      </c>
      <c r="L4380" t="s">
        <v>32</v>
      </c>
      <c r="M4380" t="s">
        <v>33</v>
      </c>
      <c r="N4380" t="s">
        <v>33</v>
      </c>
      <c r="O4380" t="s">
        <v>33</v>
      </c>
      <c r="P4380" t="s">
        <v>34</v>
      </c>
      <c r="Q4380" t="s">
        <v>35</v>
      </c>
      <c r="S4380" t="s">
        <v>30</v>
      </c>
      <c r="T4380" t="s">
        <v>3706</v>
      </c>
      <c r="U4380" t="s">
        <v>3707</v>
      </c>
      <c r="V4380" t="s">
        <v>39</v>
      </c>
      <c r="W4380" s="1">
        <v>2</v>
      </c>
    </row>
    <row r="4381" spans="1:23" x14ac:dyDescent="0.2">
      <c r="A4381" t="s">
        <v>2096</v>
      </c>
      <c r="B4381" t="s">
        <v>3333</v>
      </c>
      <c r="C4381" t="s">
        <v>3442</v>
      </c>
      <c r="D4381" t="s">
        <v>3626</v>
      </c>
      <c r="E4381" t="s">
        <v>3688</v>
      </c>
      <c r="F4381" t="s">
        <v>3689</v>
      </c>
      <c r="G4381" t="s">
        <v>64</v>
      </c>
      <c r="H4381" t="s">
        <v>30</v>
      </c>
      <c r="I4381" t="s">
        <v>52</v>
      </c>
      <c r="J4381" t="s">
        <v>41</v>
      </c>
      <c r="K4381" t="s">
        <v>32</v>
      </c>
      <c r="L4381" t="s">
        <v>32</v>
      </c>
      <c r="M4381" t="s">
        <v>33</v>
      </c>
      <c r="N4381" t="s">
        <v>33</v>
      </c>
      <c r="O4381" t="s">
        <v>33</v>
      </c>
      <c r="P4381" t="s">
        <v>34</v>
      </c>
      <c r="Q4381" t="s">
        <v>35</v>
      </c>
      <c r="S4381" t="s">
        <v>30</v>
      </c>
      <c r="T4381" t="s">
        <v>3706</v>
      </c>
      <c r="U4381" t="s">
        <v>3707</v>
      </c>
      <c r="V4381" t="s">
        <v>40</v>
      </c>
      <c r="W4381" s="1">
        <v>3358000</v>
      </c>
    </row>
    <row r="4382" spans="1:23" x14ac:dyDescent="0.2">
      <c r="A4382" t="s">
        <v>2096</v>
      </c>
      <c r="B4382" t="s">
        <v>3333</v>
      </c>
      <c r="C4382" t="s">
        <v>3442</v>
      </c>
      <c r="D4382" t="s">
        <v>3626</v>
      </c>
      <c r="E4382" t="s">
        <v>3688</v>
      </c>
      <c r="F4382" t="s">
        <v>3689</v>
      </c>
      <c r="G4382" t="s">
        <v>67</v>
      </c>
      <c r="H4382" t="s">
        <v>30</v>
      </c>
      <c r="I4382" t="s">
        <v>30</v>
      </c>
      <c r="J4382" t="s">
        <v>41</v>
      </c>
      <c r="K4382" t="s">
        <v>32</v>
      </c>
      <c r="L4382" t="s">
        <v>32</v>
      </c>
      <c r="M4382" t="s">
        <v>33</v>
      </c>
      <c r="N4382" t="s">
        <v>33</v>
      </c>
      <c r="O4382" t="s">
        <v>33</v>
      </c>
      <c r="P4382" t="s">
        <v>34</v>
      </c>
      <c r="Q4382" t="s">
        <v>35</v>
      </c>
      <c r="S4382" t="s">
        <v>30</v>
      </c>
      <c r="T4382" t="s">
        <v>3708</v>
      </c>
      <c r="U4382" t="s">
        <v>3709</v>
      </c>
      <c r="V4382" t="s">
        <v>39</v>
      </c>
      <c r="W4382" s="1">
        <v>2</v>
      </c>
    </row>
    <row r="4383" spans="1:23" x14ac:dyDescent="0.2">
      <c r="A4383" t="s">
        <v>2096</v>
      </c>
      <c r="B4383" t="s">
        <v>3333</v>
      </c>
      <c r="C4383" t="s">
        <v>3442</v>
      </c>
      <c r="D4383" t="s">
        <v>3626</v>
      </c>
      <c r="E4383" t="s">
        <v>3688</v>
      </c>
      <c r="F4383" t="s">
        <v>3689</v>
      </c>
      <c r="G4383" t="s">
        <v>67</v>
      </c>
      <c r="H4383" t="s">
        <v>30</v>
      </c>
      <c r="I4383" t="s">
        <v>30</v>
      </c>
      <c r="J4383" t="s">
        <v>41</v>
      </c>
      <c r="K4383" t="s">
        <v>32</v>
      </c>
      <c r="L4383" t="s">
        <v>32</v>
      </c>
      <c r="M4383" t="s">
        <v>33</v>
      </c>
      <c r="N4383" t="s">
        <v>33</v>
      </c>
      <c r="O4383" t="s">
        <v>33</v>
      </c>
      <c r="P4383" t="s">
        <v>34</v>
      </c>
      <c r="Q4383" t="s">
        <v>35</v>
      </c>
      <c r="S4383" t="s">
        <v>30</v>
      </c>
      <c r="T4383" t="s">
        <v>3708</v>
      </c>
      <c r="U4383" t="s">
        <v>3709</v>
      </c>
      <c r="V4383" t="s">
        <v>40</v>
      </c>
      <c r="W4383" s="1">
        <v>2474800</v>
      </c>
    </row>
    <row r="4384" spans="1:23" x14ac:dyDescent="0.2">
      <c r="A4384" t="s">
        <v>2096</v>
      </c>
      <c r="B4384" t="s">
        <v>3333</v>
      </c>
      <c r="C4384" t="s">
        <v>3442</v>
      </c>
      <c r="D4384" t="s">
        <v>3626</v>
      </c>
      <c r="E4384" t="s">
        <v>3688</v>
      </c>
      <c r="F4384" t="s">
        <v>3689</v>
      </c>
      <c r="G4384" t="s">
        <v>67</v>
      </c>
      <c r="H4384" t="s">
        <v>30</v>
      </c>
      <c r="I4384" t="s">
        <v>30</v>
      </c>
      <c r="J4384" t="s">
        <v>610</v>
      </c>
      <c r="K4384" t="s">
        <v>611</v>
      </c>
      <c r="L4384" t="s">
        <v>32</v>
      </c>
      <c r="M4384" t="s">
        <v>33</v>
      </c>
      <c r="N4384" t="s">
        <v>33</v>
      </c>
      <c r="O4384" t="s">
        <v>33</v>
      </c>
      <c r="P4384" t="s">
        <v>34</v>
      </c>
      <c r="Q4384" t="s">
        <v>35</v>
      </c>
      <c r="R4384" t="s">
        <v>1632</v>
      </c>
      <c r="S4384" t="s">
        <v>30</v>
      </c>
      <c r="T4384" t="s">
        <v>3710</v>
      </c>
      <c r="U4384" t="s">
        <v>3711</v>
      </c>
      <c r="V4384" t="s">
        <v>39</v>
      </c>
      <c r="W4384" s="1">
        <v>2</v>
      </c>
    </row>
    <row r="4385" spans="1:23" x14ac:dyDescent="0.2">
      <c r="A4385" t="s">
        <v>2096</v>
      </c>
      <c r="B4385" t="s">
        <v>3333</v>
      </c>
      <c r="C4385" t="s">
        <v>3442</v>
      </c>
      <c r="D4385" t="s">
        <v>3626</v>
      </c>
      <c r="E4385" t="s">
        <v>3688</v>
      </c>
      <c r="F4385" t="s">
        <v>3689</v>
      </c>
      <c r="G4385" t="s">
        <v>67</v>
      </c>
      <c r="H4385" t="s">
        <v>30</v>
      </c>
      <c r="I4385" t="s">
        <v>30</v>
      </c>
      <c r="J4385" t="s">
        <v>610</v>
      </c>
      <c r="K4385" t="s">
        <v>611</v>
      </c>
      <c r="L4385" t="s">
        <v>32</v>
      </c>
      <c r="M4385" t="s">
        <v>33</v>
      </c>
      <c r="N4385" t="s">
        <v>33</v>
      </c>
      <c r="O4385" t="s">
        <v>33</v>
      </c>
      <c r="P4385" t="s">
        <v>34</v>
      </c>
      <c r="Q4385" t="s">
        <v>35</v>
      </c>
      <c r="R4385" t="s">
        <v>1632</v>
      </c>
      <c r="S4385" t="s">
        <v>30</v>
      </c>
      <c r="T4385" t="s">
        <v>3710</v>
      </c>
      <c r="U4385" t="s">
        <v>3711</v>
      </c>
      <c r="V4385" t="s">
        <v>40</v>
      </c>
      <c r="W4385" s="1">
        <v>218000</v>
      </c>
    </row>
    <row r="4386" spans="1:23" x14ac:dyDescent="0.2">
      <c r="A4386" t="s">
        <v>2096</v>
      </c>
      <c r="B4386" t="s">
        <v>3333</v>
      </c>
      <c r="C4386" t="s">
        <v>3442</v>
      </c>
      <c r="D4386" t="s">
        <v>3626</v>
      </c>
      <c r="E4386" t="s">
        <v>3688</v>
      </c>
      <c r="F4386" t="s">
        <v>3689</v>
      </c>
      <c r="G4386" t="s">
        <v>89</v>
      </c>
      <c r="H4386" t="s">
        <v>30</v>
      </c>
      <c r="I4386" t="s">
        <v>30</v>
      </c>
      <c r="J4386" t="s">
        <v>31</v>
      </c>
      <c r="K4386" t="s">
        <v>32</v>
      </c>
      <c r="L4386" t="s">
        <v>32</v>
      </c>
      <c r="M4386" t="s">
        <v>33</v>
      </c>
      <c r="N4386" t="s">
        <v>33</v>
      </c>
      <c r="O4386" t="s">
        <v>33</v>
      </c>
      <c r="P4386" t="s">
        <v>213</v>
      </c>
      <c r="Q4386" t="s">
        <v>214</v>
      </c>
      <c r="S4386" t="s">
        <v>30</v>
      </c>
      <c r="T4386" t="s">
        <v>3712</v>
      </c>
      <c r="U4386" t="s">
        <v>3713</v>
      </c>
      <c r="V4386" t="s">
        <v>39</v>
      </c>
      <c r="W4386" s="1">
        <v>2</v>
      </c>
    </row>
    <row r="4387" spans="1:23" x14ac:dyDescent="0.2">
      <c r="A4387" t="s">
        <v>2096</v>
      </c>
      <c r="B4387" t="s">
        <v>3333</v>
      </c>
      <c r="C4387" t="s">
        <v>3442</v>
      </c>
      <c r="D4387" t="s">
        <v>3626</v>
      </c>
      <c r="E4387" t="s">
        <v>3688</v>
      </c>
      <c r="F4387" t="s">
        <v>3689</v>
      </c>
      <c r="G4387" t="s">
        <v>89</v>
      </c>
      <c r="H4387" t="s">
        <v>30</v>
      </c>
      <c r="I4387" t="s">
        <v>30</v>
      </c>
      <c r="J4387" t="s">
        <v>31</v>
      </c>
      <c r="K4387" t="s">
        <v>32</v>
      </c>
      <c r="L4387" t="s">
        <v>32</v>
      </c>
      <c r="M4387" t="s">
        <v>33</v>
      </c>
      <c r="N4387" t="s">
        <v>33</v>
      </c>
      <c r="O4387" t="s">
        <v>33</v>
      </c>
      <c r="P4387" t="s">
        <v>213</v>
      </c>
      <c r="Q4387" t="s">
        <v>214</v>
      </c>
      <c r="S4387" t="s">
        <v>30</v>
      </c>
      <c r="T4387" t="s">
        <v>3712</v>
      </c>
      <c r="U4387" t="s">
        <v>3713</v>
      </c>
      <c r="V4387" t="s">
        <v>40</v>
      </c>
      <c r="W4387" s="1">
        <v>1979800</v>
      </c>
    </row>
    <row r="4388" spans="1:23" x14ac:dyDescent="0.2">
      <c r="A4388" t="s">
        <v>2096</v>
      </c>
      <c r="B4388" t="s">
        <v>3333</v>
      </c>
      <c r="C4388" t="s">
        <v>3442</v>
      </c>
      <c r="D4388" t="s">
        <v>3626</v>
      </c>
      <c r="E4388" t="s">
        <v>3688</v>
      </c>
      <c r="F4388" t="s">
        <v>3689</v>
      </c>
      <c r="G4388" t="s">
        <v>89</v>
      </c>
      <c r="H4388" t="s">
        <v>30</v>
      </c>
      <c r="I4388" t="s">
        <v>30</v>
      </c>
      <c r="J4388" t="s">
        <v>31</v>
      </c>
      <c r="K4388" t="s">
        <v>32</v>
      </c>
      <c r="L4388" t="s">
        <v>32</v>
      </c>
      <c r="M4388" t="s">
        <v>33</v>
      </c>
      <c r="N4388" t="s">
        <v>33</v>
      </c>
      <c r="O4388" t="s">
        <v>33</v>
      </c>
      <c r="P4388" t="s">
        <v>34</v>
      </c>
      <c r="Q4388" t="s">
        <v>35</v>
      </c>
      <c r="R4388" t="s">
        <v>36</v>
      </c>
      <c r="S4388" t="s">
        <v>30</v>
      </c>
      <c r="T4388" t="s">
        <v>3714</v>
      </c>
      <c r="U4388" t="s">
        <v>3715</v>
      </c>
      <c r="V4388" t="s">
        <v>39</v>
      </c>
      <c r="W4388" s="1">
        <v>3</v>
      </c>
    </row>
    <row r="4389" spans="1:23" x14ac:dyDescent="0.2">
      <c r="A4389" t="s">
        <v>2096</v>
      </c>
      <c r="B4389" t="s">
        <v>3333</v>
      </c>
      <c r="C4389" t="s">
        <v>3442</v>
      </c>
      <c r="D4389" t="s">
        <v>3626</v>
      </c>
      <c r="E4389" t="s">
        <v>3688</v>
      </c>
      <c r="F4389" t="s">
        <v>3689</v>
      </c>
      <c r="G4389" t="s">
        <v>89</v>
      </c>
      <c r="H4389" t="s">
        <v>30</v>
      </c>
      <c r="I4389" t="s">
        <v>30</v>
      </c>
      <c r="J4389" t="s">
        <v>31</v>
      </c>
      <c r="K4389" t="s">
        <v>32</v>
      </c>
      <c r="L4389" t="s">
        <v>32</v>
      </c>
      <c r="M4389" t="s">
        <v>33</v>
      </c>
      <c r="N4389" t="s">
        <v>33</v>
      </c>
      <c r="O4389" t="s">
        <v>33</v>
      </c>
      <c r="P4389" t="s">
        <v>34</v>
      </c>
      <c r="Q4389" t="s">
        <v>35</v>
      </c>
      <c r="R4389" t="s">
        <v>36</v>
      </c>
      <c r="S4389" t="s">
        <v>30</v>
      </c>
      <c r="T4389" t="s">
        <v>3714</v>
      </c>
      <c r="U4389" t="s">
        <v>3715</v>
      </c>
      <c r="V4389" t="s">
        <v>40</v>
      </c>
      <c r="W4389" s="1">
        <v>2004000</v>
      </c>
    </row>
    <row r="4390" spans="1:23" x14ac:dyDescent="0.2">
      <c r="A4390" t="s">
        <v>2096</v>
      </c>
      <c r="B4390" t="s">
        <v>3333</v>
      </c>
      <c r="C4390" t="s">
        <v>3442</v>
      </c>
      <c r="D4390" t="s">
        <v>3626</v>
      </c>
      <c r="E4390" t="s">
        <v>3688</v>
      </c>
      <c r="F4390" t="s">
        <v>3689</v>
      </c>
      <c r="G4390" t="s">
        <v>89</v>
      </c>
      <c r="H4390" t="s">
        <v>30</v>
      </c>
      <c r="I4390" t="s">
        <v>30</v>
      </c>
      <c r="J4390" t="s">
        <v>31</v>
      </c>
      <c r="K4390" t="s">
        <v>32</v>
      </c>
      <c r="L4390" t="s">
        <v>32</v>
      </c>
      <c r="M4390" t="s">
        <v>33</v>
      </c>
      <c r="N4390" t="s">
        <v>169</v>
      </c>
      <c r="O4390" t="s">
        <v>169</v>
      </c>
      <c r="P4390" t="s">
        <v>213</v>
      </c>
      <c r="Q4390" t="s">
        <v>214</v>
      </c>
      <c r="S4390" t="s">
        <v>30</v>
      </c>
      <c r="T4390" t="s">
        <v>3712</v>
      </c>
      <c r="U4390" t="s">
        <v>3713</v>
      </c>
      <c r="V4390" t="s">
        <v>39</v>
      </c>
      <c r="W4390" s="1">
        <v>1</v>
      </c>
    </row>
    <row r="4391" spans="1:23" x14ac:dyDescent="0.2">
      <c r="A4391" t="s">
        <v>2096</v>
      </c>
      <c r="B4391" t="s">
        <v>3333</v>
      </c>
      <c r="C4391" t="s">
        <v>3442</v>
      </c>
      <c r="D4391" t="s">
        <v>3626</v>
      </c>
      <c r="E4391" t="s">
        <v>3688</v>
      </c>
      <c r="F4391" t="s">
        <v>3689</v>
      </c>
      <c r="G4391" t="s">
        <v>89</v>
      </c>
      <c r="H4391" t="s">
        <v>30</v>
      </c>
      <c r="I4391" t="s">
        <v>30</v>
      </c>
      <c r="J4391" t="s">
        <v>31</v>
      </c>
      <c r="K4391" t="s">
        <v>32</v>
      </c>
      <c r="L4391" t="s">
        <v>32</v>
      </c>
      <c r="M4391" t="s">
        <v>33</v>
      </c>
      <c r="N4391" t="s">
        <v>169</v>
      </c>
      <c r="O4391" t="s">
        <v>169</v>
      </c>
      <c r="P4391" t="s">
        <v>213</v>
      </c>
      <c r="Q4391" t="s">
        <v>214</v>
      </c>
      <c r="S4391" t="s">
        <v>30</v>
      </c>
      <c r="T4391" t="s">
        <v>3712</v>
      </c>
      <c r="U4391" t="s">
        <v>3713</v>
      </c>
      <c r="V4391" t="s">
        <v>40</v>
      </c>
      <c r="W4391" s="1">
        <v>989900</v>
      </c>
    </row>
    <row r="4392" spans="1:23" x14ac:dyDescent="0.2">
      <c r="A4392" t="s">
        <v>2096</v>
      </c>
      <c r="B4392" t="s">
        <v>3333</v>
      </c>
      <c r="C4392" t="s">
        <v>3442</v>
      </c>
      <c r="D4392" t="s">
        <v>3626</v>
      </c>
      <c r="E4392" t="s">
        <v>3688</v>
      </c>
      <c r="F4392" t="s">
        <v>3689</v>
      </c>
      <c r="G4392" t="s">
        <v>89</v>
      </c>
      <c r="H4392" t="s">
        <v>30</v>
      </c>
      <c r="I4392" t="s">
        <v>30</v>
      </c>
      <c r="J4392" t="s">
        <v>31</v>
      </c>
      <c r="K4392" t="s">
        <v>32</v>
      </c>
      <c r="L4392" t="s">
        <v>32</v>
      </c>
      <c r="M4392" t="s">
        <v>176</v>
      </c>
      <c r="N4392" t="s">
        <v>176</v>
      </c>
      <c r="O4392" t="s">
        <v>176</v>
      </c>
      <c r="P4392" t="s">
        <v>213</v>
      </c>
      <c r="Q4392" t="s">
        <v>214</v>
      </c>
      <c r="S4392" t="s">
        <v>30</v>
      </c>
      <c r="T4392" t="s">
        <v>3712</v>
      </c>
      <c r="U4392" t="s">
        <v>3713</v>
      </c>
      <c r="V4392" t="s">
        <v>39</v>
      </c>
      <c r="W4392" s="1">
        <v>1</v>
      </c>
    </row>
    <row r="4393" spans="1:23" x14ac:dyDescent="0.2">
      <c r="A4393" t="s">
        <v>2096</v>
      </c>
      <c r="B4393" t="s">
        <v>3333</v>
      </c>
      <c r="C4393" t="s">
        <v>3442</v>
      </c>
      <c r="D4393" t="s">
        <v>3626</v>
      </c>
      <c r="E4393" t="s">
        <v>3688</v>
      </c>
      <c r="F4393" t="s">
        <v>3689</v>
      </c>
      <c r="G4393" t="s">
        <v>89</v>
      </c>
      <c r="H4393" t="s">
        <v>30</v>
      </c>
      <c r="I4393" t="s">
        <v>30</v>
      </c>
      <c r="J4393" t="s">
        <v>31</v>
      </c>
      <c r="K4393" t="s">
        <v>32</v>
      </c>
      <c r="L4393" t="s">
        <v>32</v>
      </c>
      <c r="M4393" t="s">
        <v>176</v>
      </c>
      <c r="N4393" t="s">
        <v>176</v>
      </c>
      <c r="O4393" t="s">
        <v>176</v>
      </c>
      <c r="P4393" t="s">
        <v>213</v>
      </c>
      <c r="Q4393" t="s">
        <v>214</v>
      </c>
      <c r="S4393" t="s">
        <v>30</v>
      </c>
      <c r="T4393" t="s">
        <v>3712</v>
      </c>
      <c r="U4393" t="s">
        <v>3713</v>
      </c>
      <c r="V4393" t="s">
        <v>40</v>
      </c>
      <c r="W4393" s="1">
        <v>989900</v>
      </c>
    </row>
    <row r="4394" spans="1:23" x14ac:dyDescent="0.2">
      <c r="A4394" t="s">
        <v>2096</v>
      </c>
      <c r="B4394" t="s">
        <v>3333</v>
      </c>
      <c r="C4394" t="s">
        <v>3442</v>
      </c>
      <c r="D4394" t="s">
        <v>3626</v>
      </c>
      <c r="E4394" t="s">
        <v>3688</v>
      </c>
      <c r="F4394" t="s">
        <v>3689</v>
      </c>
      <c r="G4394" t="s">
        <v>89</v>
      </c>
      <c r="H4394" t="s">
        <v>30</v>
      </c>
      <c r="I4394" t="s">
        <v>30</v>
      </c>
      <c r="J4394" t="s">
        <v>31</v>
      </c>
      <c r="K4394" t="s">
        <v>32</v>
      </c>
      <c r="L4394" t="s">
        <v>32</v>
      </c>
      <c r="M4394" t="s">
        <v>176</v>
      </c>
      <c r="N4394" t="s">
        <v>195</v>
      </c>
      <c r="O4394" t="s">
        <v>195</v>
      </c>
      <c r="P4394" t="s">
        <v>34</v>
      </c>
      <c r="Q4394" t="s">
        <v>35</v>
      </c>
      <c r="R4394" t="s">
        <v>36</v>
      </c>
      <c r="S4394" t="s">
        <v>30</v>
      </c>
      <c r="T4394" t="s">
        <v>3714</v>
      </c>
      <c r="U4394" t="s">
        <v>3715</v>
      </c>
      <c r="V4394" t="s">
        <v>39</v>
      </c>
      <c r="W4394" s="1">
        <v>1</v>
      </c>
    </row>
    <row r="4395" spans="1:23" x14ac:dyDescent="0.2">
      <c r="A4395" t="s">
        <v>2096</v>
      </c>
      <c r="B4395" t="s">
        <v>3333</v>
      </c>
      <c r="C4395" t="s">
        <v>3442</v>
      </c>
      <c r="D4395" t="s">
        <v>3626</v>
      </c>
      <c r="E4395" t="s">
        <v>3688</v>
      </c>
      <c r="F4395" t="s">
        <v>3689</v>
      </c>
      <c r="G4395" t="s">
        <v>89</v>
      </c>
      <c r="H4395" t="s">
        <v>30</v>
      </c>
      <c r="I4395" t="s">
        <v>30</v>
      </c>
      <c r="J4395" t="s">
        <v>31</v>
      </c>
      <c r="K4395" t="s">
        <v>32</v>
      </c>
      <c r="L4395" t="s">
        <v>32</v>
      </c>
      <c r="M4395" t="s">
        <v>176</v>
      </c>
      <c r="N4395" t="s">
        <v>195</v>
      </c>
      <c r="O4395" t="s">
        <v>195</v>
      </c>
      <c r="P4395" t="s">
        <v>34</v>
      </c>
      <c r="Q4395" t="s">
        <v>35</v>
      </c>
      <c r="R4395" t="s">
        <v>36</v>
      </c>
      <c r="S4395" t="s">
        <v>30</v>
      </c>
      <c r="T4395" t="s">
        <v>3714</v>
      </c>
      <c r="U4395" t="s">
        <v>3715</v>
      </c>
      <c r="V4395" t="s">
        <v>40</v>
      </c>
      <c r="W4395" s="1">
        <v>334000</v>
      </c>
    </row>
    <row r="4396" spans="1:23" x14ac:dyDescent="0.2">
      <c r="A4396" t="s">
        <v>2096</v>
      </c>
      <c r="B4396" t="s">
        <v>3333</v>
      </c>
      <c r="C4396" t="s">
        <v>3442</v>
      </c>
      <c r="D4396" t="s">
        <v>3626</v>
      </c>
      <c r="E4396" t="s">
        <v>3688</v>
      </c>
      <c r="F4396" t="s">
        <v>3689</v>
      </c>
      <c r="G4396" t="s">
        <v>89</v>
      </c>
      <c r="H4396" t="s">
        <v>30</v>
      </c>
      <c r="I4396" t="s">
        <v>30</v>
      </c>
      <c r="J4396" t="s">
        <v>41</v>
      </c>
      <c r="K4396" t="s">
        <v>32</v>
      </c>
      <c r="L4396" t="s">
        <v>32</v>
      </c>
      <c r="M4396" t="s">
        <v>33</v>
      </c>
      <c r="N4396" t="s">
        <v>33</v>
      </c>
      <c r="O4396" t="s">
        <v>33</v>
      </c>
      <c r="P4396" t="s">
        <v>213</v>
      </c>
      <c r="Q4396" t="s">
        <v>214</v>
      </c>
      <c r="R4396" t="s">
        <v>162</v>
      </c>
      <c r="S4396" t="s">
        <v>30</v>
      </c>
      <c r="T4396" t="s">
        <v>3716</v>
      </c>
      <c r="U4396" t="s">
        <v>3717</v>
      </c>
      <c r="V4396" t="s">
        <v>39</v>
      </c>
      <c r="W4396" s="1">
        <v>1</v>
      </c>
    </row>
    <row r="4397" spans="1:23" x14ac:dyDescent="0.2">
      <c r="A4397" t="s">
        <v>2096</v>
      </c>
      <c r="B4397" t="s">
        <v>3333</v>
      </c>
      <c r="C4397" t="s">
        <v>3442</v>
      </c>
      <c r="D4397" t="s">
        <v>3626</v>
      </c>
      <c r="E4397" t="s">
        <v>3688</v>
      </c>
      <c r="F4397" t="s">
        <v>3689</v>
      </c>
      <c r="G4397" t="s">
        <v>89</v>
      </c>
      <c r="H4397" t="s">
        <v>30</v>
      </c>
      <c r="I4397" t="s">
        <v>30</v>
      </c>
      <c r="J4397" t="s">
        <v>41</v>
      </c>
      <c r="K4397" t="s">
        <v>32</v>
      </c>
      <c r="L4397" t="s">
        <v>32</v>
      </c>
      <c r="M4397" t="s">
        <v>33</v>
      </c>
      <c r="N4397" t="s">
        <v>33</v>
      </c>
      <c r="O4397" t="s">
        <v>33</v>
      </c>
      <c r="P4397" t="s">
        <v>213</v>
      </c>
      <c r="Q4397" t="s">
        <v>214</v>
      </c>
      <c r="R4397" t="s">
        <v>162</v>
      </c>
      <c r="S4397" t="s">
        <v>30</v>
      </c>
      <c r="T4397" t="s">
        <v>3716</v>
      </c>
      <c r="U4397" t="s">
        <v>3717</v>
      </c>
      <c r="V4397" t="s">
        <v>40</v>
      </c>
      <c r="W4397" s="1">
        <v>3275400</v>
      </c>
    </row>
    <row r="4398" spans="1:23" x14ac:dyDescent="0.2">
      <c r="A4398" t="s">
        <v>2096</v>
      </c>
      <c r="B4398" t="s">
        <v>3333</v>
      </c>
      <c r="C4398" t="s">
        <v>3442</v>
      </c>
      <c r="D4398" t="s">
        <v>3626</v>
      </c>
      <c r="E4398" t="s">
        <v>3688</v>
      </c>
      <c r="F4398" t="s">
        <v>3689</v>
      </c>
      <c r="G4398" t="s">
        <v>89</v>
      </c>
      <c r="H4398" t="s">
        <v>30</v>
      </c>
      <c r="I4398" t="s">
        <v>30</v>
      </c>
      <c r="J4398" t="s">
        <v>41</v>
      </c>
      <c r="K4398" t="s">
        <v>32</v>
      </c>
      <c r="L4398" t="s">
        <v>32</v>
      </c>
      <c r="M4398" t="s">
        <v>33</v>
      </c>
      <c r="P4398" t="s">
        <v>213</v>
      </c>
      <c r="Q4398" t="s">
        <v>214</v>
      </c>
      <c r="R4398" t="s">
        <v>162</v>
      </c>
      <c r="S4398" t="s">
        <v>30</v>
      </c>
      <c r="T4398" t="s">
        <v>3716</v>
      </c>
      <c r="U4398" t="s">
        <v>3717</v>
      </c>
      <c r="V4398" t="s">
        <v>39</v>
      </c>
      <c r="W4398" s="1">
        <v>3</v>
      </c>
    </row>
    <row r="4399" spans="1:23" x14ac:dyDescent="0.2">
      <c r="A4399" t="s">
        <v>2096</v>
      </c>
      <c r="B4399" t="s">
        <v>3333</v>
      </c>
      <c r="C4399" t="s">
        <v>3442</v>
      </c>
      <c r="D4399" t="s">
        <v>3626</v>
      </c>
      <c r="E4399" t="s">
        <v>3688</v>
      </c>
      <c r="F4399" t="s">
        <v>3689</v>
      </c>
      <c r="G4399" t="s">
        <v>89</v>
      </c>
      <c r="H4399" t="s">
        <v>30</v>
      </c>
      <c r="I4399" t="s">
        <v>30</v>
      </c>
      <c r="J4399" t="s">
        <v>41</v>
      </c>
      <c r="K4399" t="s">
        <v>32</v>
      </c>
      <c r="L4399" t="s">
        <v>32</v>
      </c>
      <c r="M4399" t="s">
        <v>33</v>
      </c>
      <c r="P4399" t="s">
        <v>213</v>
      </c>
      <c r="Q4399" t="s">
        <v>214</v>
      </c>
      <c r="R4399" t="s">
        <v>162</v>
      </c>
      <c r="S4399" t="s">
        <v>30</v>
      </c>
      <c r="T4399" t="s">
        <v>3716</v>
      </c>
      <c r="U4399" t="s">
        <v>3717</v>
      </c>
      <c r="V4399" t="s">
        <v>40</v>
      </c>
      <c r="W4399" s="1">
        <v>9826200</v>
      </c>
    </row>
    <row r="4400" spans="1:23" x14ac:dyDescent="0.2">
      <c r="A4400" t="s">
        <v>2096</v>
      </c>
      <c r="B4400" t="s">
        <v>3333</v>
      </c>
      <c r="C4400" t="s">
        <v>3442</v>
      </c>
      <c r="D4400" t="s">
        <v>3626</v>
      </c>
      <c r="E4400" t="s">
        <v>3688</v>
      </c>
      <c r="F4400" t="s">
        <v>3689</v>
      </c>
      <c r="G4400" t="s">
        <v>106</v>
      </c>
      <c r="H4400" t="s">
        <v>30</v>
      </c>
      <c r="I4400" t="s">
        <v>30</v>
      </c>
      <c r="J4400" t="s">
        <v>211</v>
      </c>
      <c r="K4400" t="s">
        <v>212</v>
      </c>
      <c r="L4400" t="s">
        <v>32</v>
      </c>
      <c r="M4400" t="s">
        <v>33</v>
      </c>
      <c r="N4400" t="s">
        <v>33</v>
      </c>
      <c r="O4400" t="s">
        <v>33</v>
      </c>
      <c r="P4400" t="s">
        <v>34</v>
      </c>
      <c r="Q4400" t="s">
        <v>35</v>
      </c>
      <c r="R4400" t="s">
        <v>242</v>
      </c>
      <c r="S4400" t="s">
        <v>30</v>
      </c>
      <c r="T4400" t="s">
        <v>3718</v>
      </c>
      <c r="U4400" t="s">
        <v>3719</v>
      </c>
      <c r="V4400" t="s">
        <v>39</v>
      </c>
      <c r="W4400" s="1">
        <v>2</v>
      </c>
    </row>
    <row r="4401" spans="1:23" x14ac:dyDescent="0.2">
      <c r="A4401" t="s">
        <v>2096</v>
      </c>
      <c r="B4401" t="s">
        <v>3333</v>
      </c>
      <c r="C4401" t="s">
        <v>3442</v>
      </c>
      <c r="D4401" t="s">
        <v>3626</v>
      </c>
      <c r="E4401" t="s">
        <v>3688</v>
      </c>
      <c r="F4401" t="s">
        <v>3689</v>
      </c>
      <c r="G4401" t="s">
        <v>106</v>
      </c>
      <c r="H4401" t="s">
        <v>30</v>
      </c>
      <c r="I4401" t="s">
        <v>30</v>
      </c>
      <c r="J4401" t="s">
        <v>211</v>
      </c>
      <c r="K4401" t="s">
        <v>212</v>
      </c>
      <c r="L4401" t="s">
        <v>32</v>
      </c>
      <c r="M4401" t="s">
        <v>33</v>
      </c>
      <c r="N4401" t="s">
        <v>33</v>
      </c>
      <c r="O4401" t="s">
        <v>33</v>
      </c>
      <c r="P4401" t="s">
        <v>34</v>
      </c>
      <c r="Q4401" t="s">
        <v>35</v>
      </c>
      <c r="R4401" t="s">
        <v>242</v>
      </c>
      <c r="S4401" t="s">
        <v>30</v>
      </c>
      <c r="T4401" t="s">
        <v>3718</v>
      </c>
      <c r="U4401" t="s">
        <v>3719</v>
      </c>
      <c r="V4401" t="s">
        <v>40</v>
      </c>
      <c r="W4401" s="1">
        <v>776000</v>
      </c>
    </row>
    <row r="4402" spans="1:23" x14ac:dyDescent="0.2">
      <c r="A4402" t="s">
        <v>2096</v>
      </c>
      <c r="B4402" t="s">
        <v>3333</v>
      </c>
      <c r="C4402" t="s">
        <v>3442</v>
      </c>
      <c r="D4402" t="s">
        <v>3626</v>
      </c>
      <c r="E4402" t="s">
        <v>3688</v>
      </c>
      <c r="F4402" t="s">
        <v>3689</v>
      </c>
      <c r="G4402" t="s">
        <v>106</v>
      </c>
      <c r="H4402" t="s">
        <v>30</v>
      </c>
      <c r="I4402" t="s">
        <v>30</v>
      </c>
      <c r="J4402" t="s">
        <v>31</v>
      </c>
      <c r="K4402" t="s">
        <v>32</v>
      </c>
      <c r="L4402" t="s">
        <v>32</v>
      </c>
      <c r="M4402" t="s">
        <v>33</v>
      </c>
      <c r="N4402" t="s">
        <v>33</v>
      </c>
      <c r="O4402" t="s">
        <v>33</v>
      </c>
      <c r="P4402" t="s">
        <v>213</v>
      </c>
      <c r="Q4402" t="s">
        <v>214</v>
      </c>
      <c r="R4402" t="s">
        <v>353</v>
      </c>
      <c r="S4402" t="s">
        <v>30</v>
      </c>
      <c r="T4402" t="s">
        <v>3720</v>
      </c>
      <c r="U4402" t="s">
        <v>3721</v>
      </c>
      <c r="V4402" t="s">
        <v>39</v>
      </c>
      <c r="W4402" s="1">
        <v>4</v>
      </c>
    </row>
    <row r="4403" spans="1:23" x14ac:dyDescent="0.2">
      <c r="A4403" t="s">
        <v>2096</v>
      </c>
      <c r="B4403" t="s">
        <v>3333</v>
      </c>
      <c r="C4403" t="s">
        <v>3442</v>
      </c>
      <c r="D4403" t="s">
        <v>3626</v>
      </c>
      <c r="E4403" t="s">
        <v>3688</v>
      </c>
      <c r="F4403" t="s">
        <v>3689</v>
      </c>
      <c r="G4403" t="s">
        <v>106</v>
      </c>
      <c r="H4403" t="s">
        <v>30</v>
      </c>
      <c r="I4403" t="s">
        <v>30</v>
      </c>
      <c r="J4403" t="s">
        <v>31</v>
      </c>
      <c r="K4403" t="s">
        <v>32</v>
      </c>
      <c r="L4403" t="s">
        <v>32</v>
      </c>
      <c r="M4403" t="s">
        <v>33</v>
      </c>
      <c r="N4403" t="s">
        <v>33</v>
      </c>
      <c r="O4403" t="s">
        <v>33</v>
      </c>
      <c r="P4403" t="s">
        <v>213</v>
      </c>
      <c r="Q4403" t="s">
        <v>214</v>
      </c>
      <c r="R4403" t="s">
        <v>353</v>
      </c>
      <c r="S4403" t="s">
        <v>30</v>
      </c>
      <c r="T4403" t="s">
        <v>3720</v>
      </c>
      <c r="U4403" t="s">
        <v>3721</v>
      </c>
      <c r="V4403" t="s">
        <v>40</v>
      </c>
      <c r="W4403" s="1">
        <v>919600</v>
      </c>
    </row>
    <row r="4404" spans="1:23" x14ac:dyDescent="0.2">
      <c r="A4404" t="s">
        <v>2096</v>
      </c>
      <c r="B4404" t="s">
        <v>3333</v>
      </c>
      <c r="C4404" t="s">
        <v>3442</v>
      </c>
      <c r="D4404" t="s">
        <v>3626</v>
      </c>
      <c r="E4404" t="s">
        <v>3688</v>
      </c>
      <c r="F4404" t="s">
        <v>3689</v>
      </c>
      <c r="G4404" t="s">
        <v>127</v>
      </c>
      <c r="H4404" t="s">
        <v>52</v>
      </c>
      <c r="I4404" t="s">
        <v>30</v>
      </c>
      <c r="J4404" t="s">
        <v>41</v>
      </c>
      <c r="K4404" t="s">
        <v>32</v>
      </c>
      <c r="L4404" t="s">
        <v>32</v>
      </c>
      <c r="M4404" t="s">
        <v>33</v>
      </c>
      <c r="N4404" t="s">
        <v>33</v>
      </c>
      <c r="O4404" t="s">
        <v>33</v>
      </c>
      <c r="P4404" t="s">
        <v>34</v>
      </c>
      <c r="Q4404" t="s">
        <v>35</v>
      </c>
      <c r="R4404" t="s">
        <v>36</v>
      </c>
      <c r="S4404" t="s">
        <v>30</v>
      </c>
      <c r="T4404" t="s">
        <v>3722</v>
      </c>
      <c r="U4404" t="s">
        <v>3723</v>
      </c>
      <c r="V4404" t="s">
        <v>39</v>
      </c>
      <c r="W4404" s="1">
        <v>1</v>
      </c>
    </row>
    <row r="4405" spans="1:23" x14ac:dyDescent="0.2">
      <c r="A4405" t="s">
        <v>2096</v>
      </c>
      <c r="B4405" t="s">
        <v>3333</v>
      </c>
      <c r="C4405" t="s">
        <v>3442</v>
      </c>
      <c r="D4405" t="s">
        <v>3626</v>
      </c>
      <c r="E4405" t="s">
        <v>3688</v>
      </c>
      <c r="F4405" t="s">
        <v>3689</v>
      </c>
      <c r="G4405" t="s">
        <v>127</v>
      </c>
      <c r="H4405" t="s">
        <v>52</v>
      </c>
      <c r="I4405" t="s">
        <v>30</v>
      </c>
      <c r="J4405" t="s">
        <v>41</v>
      </c>
      <c r="K4405" t="s">
        <v>32</v>
      </c>
      <c r="L4405" t="s">
        <v>32</v>
      </c>
      <c r="M4405" t="s">
        <v>33</v>
      </c>
      <c r="N4405" t="s">
        <v>33</v>
      </c>
      <c r="O4405" t="s">
        <v>33</v>
      </c>
      <c r="P4405" t="s">
        <v>34</v>
      </c>
      <c r="Q4405" t="s">
        <v>35</v>
      </c>
      <c r="R4405" t="s">
        <v>36</v>
      </c>
      <c r="S4405" t="s">
        <v>30</v>
      </c>
      <c r="T4405" t="s">
        <v>3722</v>
      </c>
      <c r="U4405" t="s">
        <v>3723</v>
      </c>
      <c r="V4405" t="s">
        <v>40</v>
      </c>
      <c r="W4405" s="1">
        <v>1248000</v>
      </c>
    </row>
    <row r="4406" spans="1:23" x14ac:dyDescent="0.2">
      <c r="A4406" t="s">
        <v>2096</v>
      </c>
      <c r="B4406" t="s">
        <v>3333</v>
      </c>
      <c r="C4406" t="s">
        <v>3442</v>
      </c>
      <c r="D4406" t="s">
        <v>3626</v>
      </c>
      <c r="E4406" t="s">
        <v>3688</v>
      </c>
      <c r="F4406" t="s">
        <v>3689</v>
      </c>
      <c r="G4406" t="s">
        <v>127</v>
      </c>
      <c r="H4406" t="s">
        <v>52</v>
      </c>
      <c r="I4406" t="s">
        <v>30</v>
      </c>
      <c r="J4406" t="s">
        <v>41</v>
      </c>
      <c r="K4406" t="s">
        <v>32</v>
      </c>
      <c r="L4406" t="s">
        <v>32</v>
      </c>
      <c r="M4406" t="s">
        <v>33</v>
      </c>
      <c r="P4406" t="s">
        <v>34</v>
      </c>
      <c r="Q4406" t="s">
        <v>35</v>
      </c>
      <c r="R4406" t="s">
        <v>36</v>
      </c>
      <c r="S4406" t="s">
        <v>30</v>
      </c>
      <c r="T4406" t="s">
        <v>3722</v>
      </c>
      <c r="U4406" t="s">
        <v>3723</v>
      </c>
      <c r="V4406" t="s">
        <v>39</v>
      </c>
      <c r="W4406" s="1">
        <v>1</v>
      </c>
    </row>
    <row r="4407" spans="1:23" x14ac:dyDescent="0.2">
      <c r="A4407" t="s">
        <v>2096</v>
      </c>
      <c r="B4407" t="s">
        <v>3333</v>
      </c>
      <c r="C4407" t="s">
        <v>3442</v>
      </c>
      <c r="D4407" t="s">
        <v>3626</v>
      </c>
      <c r="E4407" t="s">
        <v>3688</v>
      </c>
      <c r="F4407" t="s">
        <v>3689</v>
      </c>
      <c r="G4407" t="s">
        <v>127</v>
      </c>
      <c r="H4407" t="s">
        <v>52</v>
      </c>
      <c r="I4407" t="s">
        <v>30</v>
      </c>
      <c r="J4407" t="s">
        <v>41</v>
      </c>
      <c r="K4407" t="s">
        <v>32</v>
      </c>
      <c r="L4407" t="s">
        <v>32</v>
      </c>
      <c r="M4407" t="s">
        <v>33</v>
      </c>
      <c r="P4407" t="s">
        <v>34</v>
      </c>
      <c r="Q4407" t="s">
        <v>35</v>
      </c>
      <c r="R4407" t="s">
        <v>36</v>
      </c>
      <c r="S4407" t="s">
        <v>30</v>
      </c>
      <c r="T4407" t="s">
        <v>3722</v>
      </c>
      <c r="U4407" t="s">
        <v>3723</v>
      </c>
      <c r="V4407" t="s">
        <v>40</v>
      </c>
      <c r="W4407" s="1">
        <v>1248000</v>
      </c>
    </row>
    <row r="4408" spans="1:23" x14ac:dyDescent="0.2">
      <c r="A4408" t="s">
        <v>2096</v>
      </c>
      <c r="B4408" t="s">
        <v>3333</v>
      </c>
      <c r="C4408" t="s">
        <v>3442</v>
      </c>
      <c r="D4408" t="s">
        <v>3626</v>
      </c>
      <c r="E4408" t="s">
        <v>3688</v>
      </c>
      <c r="F4408" t="s">
        <v>3689</v>
      </c>
      <c r="G4408" t="s">
        <v>134</v>
      </c>
      <c r="H4408" t="s">
        <v>52</v>
      </c>
      <c r="I4408" t="s">
        <v>30</v>
      </c>
      <c r="J4408" t="s">
        <v>41</v>
      </c>
      <c r="K4408" t="s">
        <v>32</v>
      </c>
      <c r="L4408" t="s">
        <v>32</v>
      </c>
      <c r="M4408" t="s">
        <v>33</v>
      </c>
      <c r="N4408" t="s">
        <v>33</v>
      </c>
      <c r="O4408" t="s">
        <v>33</v>
      </c>
      <c r="P4408" t="s">
        <v>34</v>
      </c>
      <c r="Q4408" t="s">
        <v>35</v>
      </c>
      <c r="S4408" t="s">
        <v>30</v>
      </c>
      <c r="T4408" t="s">
        <v>3724</v>
      </c>
      <c r="U4408" t="s">
        <v>3725</v>
      </c>
      <c r="V4408" t="s">
        <v>39</v>
      </c>
      <c r="W4408" s="1">
        <v>2</v>
      </c>
    </row>
    <row r="4409" spans="1:23" x14ac:dyDescent="0.2">
      <c r="A4409" t="s">
        <v>2096</v>
      </c>
      <c r="B4409" t="s">
        <v>3333</v>
      </c>
      <c r="C4409" t="s">
        <v>3442</v>
      </c>
      <c r="D4409" t="s">
        <v>3626</v>
      </c>
      <c r="E4409" t="s">
        <v>3688</v>
      </c>
      <c r="F4409" t="s">
        <v>3689</v>
      </c>
      <c r="G4409" t="s">
        <v>134</v>
      </c>
      <c r="H4409" t="s">
        <v>52</v>
      </c>
      <c r="I4409" t="s">
        <v>30</v>
      </c>
      <c r="J4409" t="s">
        <v>41</v>
      </c>
      <c r="K4409" t="s">
        <v>32</v>
      </c>
      <c r="L4409" t="s">
        <v>32</v>
      </c>
      <c r="M4409" t="s">
        <v>33</v>
      </c>
      <c r="N4409" t="s">
        <v>33</v>
      </c>
      <c r="O4409" t="s">
        <v>33</v>
      </c>
      <c r="P4409" t="s">
        <v>34</v>
      </c>
      <c r="Q4409" t="s">
        <v>35</v>
      </c>
      <c r="S4409" t="s">
        <v>30</v>
      </c>
      <c r="T4409" t="s">
        <v>3724</v>
      </c>
      <c r="U4409" t="s">
        <v>3725</v>
      </c>
      <c r="V4409" t="s">
        <v>40</v>
      </c>
      <c r="W4409" s="1">
        <v>6710000</v>
      </c>
    </row>
    <row r="4410" spans="1:23" x14ac:dyDescent="0.2">
      <c r="A4410" t="s">
        <v>2096</v>
      </c>
      <c r="B4410" t="s">
        <v>3333</v>
      </c>
      <c r="C4410" t="s">
        <v>3442</v>
      </c>
      <c r="D4410" t="s">
        <v>3626</v>
      </c>
      <c r="E4410" t="s">
        <v>3688</v>
      </c>
      <c r="F4410" t="s">
        <v>3689</v>
      </c>
      <c r="G4410" t="s">
        <v>139</v>
      </c>
      <c r="H4410" t="s">
        <v>30</v>
      </c>
      <c r="I4410" t="s">
        <v>30</v>
      </c>
      <c r="J4410" t="s">
        <v>211</v>
      </c>
      <c r="K4410" t="s">
        <v>212</v>
      </c>
      <c r="L4410" t="s">
        <v>32</v>
      </c>
      <c r="M4410" t="s">
        <v>33</v>
      </c>
      <c r="N4410" t="s">
        <v>33</v>
      </c>
      <c r="O4410" t="s">
        <v>33</v>
      </c>
      <c r="P4410" t="s">
        <v>34</v>
      </c>
      <c r="Q4410" t="s">
        <v>35</v>
      </c>
      <c r="R4410" t="s">
        <v>215</v>
      </c>
      <c r="S4410" t="s">
        <v>30</v>
      </c>
      <c r="T4410" t="s">
        <v>3726</v>
      </c>
      <c r="U4410" t="s">
        <v>3727</v>
      </c>
      <c r="V4410" t="s">
        <v>39</v>
      </c>
      <c r="W4410" s="1">
        <v>2</v>
      </c>
    </row>
    <row r="4411" spans="1:23" x14ac:dyDescent="0.2">
      <c r="A4411" t="s">
        <v>2096</v>
      </c>
      <c r="B4411" t="s">
        <v>3333</v>
      </c>
      <c r="C4411" t="s">
        <v>3442</v>
      </c>
      <c r="D4411" t="s">
        <v>3626</v>
      </c>
      <c r="E4411" t="s">
        <v>3688</v>
      </c>
      <c r="F4411" t="s">
        <v>3689</v>
      </c>
      <c r="G4411" t="s">
        <v>139</v>
      </c>
      <c r="H4411" t="s">
        <v>30</v>
      </c>
      <c r="I4411" t="s">
        <v>30</v>
      </c>
      <c r="J4411" t="s">
        <v>211</v>
      </c>
      <c r="K4411" t="s">
        <v>212</v>
      </c>
      <c r="L4411" t="s">
        <v>32</v>
      </c>
      <c r="M4411" t="s">
        <v>33</v>
      </c>
      <c r="N4411" t="s">
        <v>33</v>
      </c>
      <c r="O4411" t="s">
        <v>33</v>
      </c>
      <c r="P4411" t="s">
        <v>34</v>
      </c>
      <c r="Q4411" t="s">
        <v>35</v>
      </c>
      <c r="R4411" t="s">
        <v>215</v>
      </c>
      <c r="S4411" t="s">
        <v>30</v>
      </c>
      <c r="T4411" t="s">
        <v>3726</v>
      </c>
      <c r="U4411" t="s">
        <v>3727</v>
      </c>
      <c r="V4411" t="s">
        <v>40</v>
      </c>
      <c r="W4411" s="1">
        <v>3599800</v>
      </c>
    </row>
    <row r="4412" spans="1:23" x14ac:dyDescent="0.2">
      <c r="A4412" t="s">
        <v>2096</v>
      </c>
      <c r="B4412" t="s">
        <v>3333</v>
      </c>
      <c r="C4412" t="s">
        <v>3442</v>
      </c>
      <c r="D4412" t="s">
        <v>3626</v>
      </c>
      <c r="E4412" t="s">
        <v>3688</v>
      </c>
      <c r="F4412" t="s">
        <v>3689</v>
      </c>
      <c r="G4412" t="s">
        <v>139</v>
      </c>
      <c r="H4412" t="s">
        <v>30</v>
      </c>
      <c r="I4412" t="s">
        <v>30</v>
      </c>
      <c r="J4412" t="s">
        <v>211</v>
      </c>
      <c r="K4412" t="s">
        <v>212</v>
      </c>
      <c r="L4412" t="s">
        <v>32</v>
      </c>
      <c r="M4412" t="s">
        <v>33</v>
      </c>
      <c r="P4412" t="s">
        <v>34</v>
      </c>
      <c r="Q4412" t="s">
        <v>35</v>
      </c>
      <c r="R4412" t="s">
        <v>215</v>
      </c>
      <c r="S4412" t="s">
        <v>30</v>
      </c>
      <c r="T4412" t="s">
        <v>3726</v>
      </c>
      <c r="U4412" t="s">
        <v>3727</v>
      </c>
      <c r="V4412" t="s">
        <v>39</v>
      </c>
      <c r="W4412" s="1">
        <v>2</v>
      </c>
    </row>
    <row r="4413" spans="1:23" x14ac:dyDescent="0.2">
      <c r="A4413" t="s">
        <v>2096</v>
      </c>
      <c r="B4413" t="s">
        <v>3333</v>
      </c>
      <c r="C4413" t="s">
        <v>3442</v>
      </c>
      <c r="D4413" t="s">
        <v>3626</v>
      </c>
      <c r="E4413" t="s">
        <v>3688</v>
      </c>
      <c r="F4413" t="s">
        <v>3689</v>
      </c>
      <c r="G4413" t="s">
        <v>139</v>
      </c>
      <c r="H4413" t="s">
        <v>30</v>
      </c>
      <c r="I4413" t="s">
        <v>30</v>
      </c>
      <c r="J4413" t="s">
        <v>211</v>
      </c>
      <c r="K4413" t="s">
        <v>212</v>
      </c>
      <c r="L4413" t="s">
        <v>32</v>
      </c>
      <c r="M4413" t="s">
        <v>33</v>
      </c>
      <c r="P4413" t="s">
        <v>34</v>
      </c>
      <c r="Q4413" t="s">
        <v>35</v>
      </c>
      <c r="R4413" t="s">
        <v>215</v>
      </c>
      <c r="S4413" t="s">
        <v>30</v>
      </c>
      <c r="T4413" t="s">
        <v>3726</v>
      </c>
      <c r="U4413" t="s">
        <v>3727</v>
      </c>
      <c r="V4413" t="s">
        <v>40</v>
      </c>
      <c r="W4413" s="1">
        <v>3599800</v>
      </c>
    </row>
    <row r="4414" spans="1:23" x14ac:dyDescent="0.2">
      <c r="A4414" t="s">
        <v>2096</v>
      </c>
      <c r="B4414" t="s">
        <v>3333</v>
      </c>
      <c r="C4414" t="s">
        <v>3442</v>
      </c>
      <c r="D4414" t="s">
        <v>3626</v>
      </c>
      <c r="E4414" t="s">
        <v>3688</v>
      </c>
      <c r="F4414" t="s">
        <v>3689</v>
      </c>
      <c r="G4414" t="s">
        <v>139</v>
      </c>
      <c r="H4414" t="s">
        <v>30</v>
      </c>
      <c r="I4414" t="s">
        <v>30</v>
      </c>
      <c r="J4414" t="s">
        <v>31</v>
      </c>
      <c r="K4414" t="s">
        <v>32</v>
      </c>
      <c r="L4414" t="s">
        <v>32</v>
      </c>
      <c r="M4414" t="s">
        <v>33</v>
      </c>
      <c r="N4414" t="s">
        <v>33</v>
      </c>
      <c r="O4414" t="s">
        <v>33</v>
      </c>
      <c r="P4414" t="s">
        <v>34</v>
      </c>
      <c r="Q4414" t="s">
        <v>35</v>
      </c>
      <c r="R4414" t="s">
        <v>151</v>
      </c>
      <c r="S4414" t="s">
        <v>30</v>
      </c>
      <c r="T4414" t="s">
        <v>3728</v>
      </c>
      <c r="U4414" t="s">
        <v>3729</v>
      </c>
      <c r="V4414" t="s">
        <v>39</v>
      </c>
      <c r="W4414" s="1">
        <v>1</v>
      </c>
    </row>
    <row r="4415" spans="1:23" x14ac:dyDescent="0.2">
      <c r="A4415" t="s">
        <v>2096</v>
      </c>
      <c r="B4415" t="s">
        <v>3333</v>
      </c>
      <c r="C4415" t="s">
        <v>3442</v>
      </c>
      <c r="D4415" t="s">
        <v>3626</v>
      </c>
      <c r="E4415" t="s">
        <v>3688</v>
      </c>
      <c r="F4415" t="s">
        <v>3689</v>
      </c>
      <c r="G4415" t="s">
        <v>139</v>
      </c>
      <c r="H4415" t="s">
        <v>30</v>
      </c>
      <c r="I4415" t="s">
        <v>30</v>
      </c>
      <c r="J4415" t="s">
        <v>31</v>
      </c>
      <c r="K4415" t="s">
        <v>32</v>
      </c>
      <c r="L4415" t="s">
        <v>32</v>
      </c>
      <c r="M4415" t="s">
        <v>33</v>
      </c>
      <c r="N4415" t="s">
        <v>33</v>
      </c>
      <c r="O4415" t="s">
        <v>33</v>
      </c>
      <c r="P4415" t="s">
        <v>34</v>
      </c>
      <c r="Q4415" t="s">
        <v>35</v>
      </c>
      <c r="R4415" t="s">
        <v>151</v>
      </c>
      <c r="S4415" t="s">
        <v>30</v>
      </c>
      <c r="T4415" t="s">
        <v>3728</v>
      </c>
      <c r="U4415" t="s">
        <v>3729</v>
      </c>
      <c r="V4415" t="s">
        <v>40</v>
      </c>
      <c r="W4415" s="1">
        <v>1283900</v>
      </c>
    </row>
    <row r="4416" spans="1:23" x14ac:dyDescent="0.2">
      <c r="A4416" t="s">
        <v>2096</v>
      </c>
      <c r="B4416" t="s">
        <v>3333</v>
      </c>
      <c r="C4416" t="s">
        <v>3442</v>
      </c>
      <c r="D4416" t="s">
        <v>3626</v>
      </c>
      <c r="E4416" t="s">
        <v>3688</v>
      </c>
      <c r="F4416" t="s">
        <v>3689</v>
      </c>
      <c r="G4416" t="s">
        <v>139</v>
      </c>
      <c r="H4416" t="s">
        <v>30</v>
      </c>
      <c r="I4416" t="s">
        <v>30</v>
      </c>
      <c r="J4416" t="s">
        <v>31</v>
      </c>
      <c r="K4416" t="s">
        <v>32</v>
      </c>
      <c r="L4416" t="s">
        <v>32</v>
      </c>
      <c r="M4416" t="s">
        <v>33</v>
      </c>
      <c r="N4416" t="s">
        <v>33</v>
      </c>
      <c r="O4416" t="s">
        <v>33</v>
      </c>
      <c r="P4416" t="s">
        <v>34</v>
      </c>
      <c r="Q4416" t="s">
        <v>35</v>
      </c>
      <c r="S4416" t="s">
        <v>30</v>
      </c>
      <c r="T4416" t="s">
        <v>1249</v>
      </c>
      <c r="U4416" t="s">
        <v>3730</v>
      </c>
      <c r="V4416" t="s">
        <v>39</v>
      </c>
      <c r="W4416" s="1">
        <v>1</v>
      </c>
    </row>
    <row r="4417" spans="1:23" x14ac:dyDescent="0.2">
      <c r="A4417" t="s">
        <v>2096</v>
      </c>
      <c r="B4417" t="s">
        <v>3333</v>
      </c>
      <c r="C4417" t="s">
        <v>3442</v>
      </c>
      <c r="D4417" t="s">
        <v>3626</v>
      </c>
      <c r="E4417" t="s">
        <v>3688</v>
      </c>
      <c r="F4417" t="s">
        <v>3689</v>
      </c>
      <c r="G4417" t="s">
        <v>139</v>
      </c>
      <c r="H4417" t="s">
        <v>30</v>
      </c>
      <c r="I4417" t="s">
        <v>30</v>
      </c>
      <c r="J4417" t="s">
        <v>31</v>
      </c>
      <c r="K4417" t="s">
        <v>32</v>
      </c>
      <c r="L4417" t="s">
        <v>32</v>
      </c>
      <c r="M4417" t="s">
        <v>33</v>
      </c>
      <c r="N4417" t="s">
        <v>33</v>
      </c>
      <c r="O4417" t="s">
        <v>33</v>
      </c>
      <c r="P4417" t="s">
        <v>34</v>
      </c>
      <c r="Q4417" t="s">
        <v>35</v>
      </c>
      <c r="S4417" t="s">
        <v>30</v>
      </c>
      <c r="T4417" t="s">
        <v>1249</v>
      </c>
      <c r="U4417" t="s">
        <v>3730</v>
      </c>
      <c r="V4417" t="s">
        <v>40</v>
      </c>
      <c r="W4417" s="1">
        <v>839900</v>
      </c>
    </row>
    <row r="4418" spans="1:23" x14ac:dyDescent="0.2">
      <c r="A4418" t="s">
        <v>2096</v>
      </c>
      <c r="B4418" t="s">
        <v>3333</v>
      </c>
      <c r="C4418" t="s">
        <v>3442</v>
      </c>
      <c r="D4418" t="s">
        <v>3626</v>
      </c>
      <c r="E4418" t="s">
        <v>3688</v>
      </c>
      <c r="F4418" t="s">
        <v>3689</v>
      </c>
      <c r="G4418" t="s">
        <v>139</v>
      </c>
      <c r="H4418" t="s">
        <v>30</v>
      </c>
      <c r="I4418" t="s">
        <v>30</v>
      </c>
      <c r="J4418" t="s">
        <v>31</v>
      </c>
      <c r="K4418" t="s">
        <v>32</v>
      </c>
      <c r="L4418" t="s">
        <v>32</v>
      </c>
      <c r="M4418" t="s">
        <v>33</v>
      </c>
      <c r="P4418" t="s">
        <v>34</v>
      </c>
      <c r="Q4418" t="s">
        <v>35</v>
      </c>
      <c r="R4418" t="s">
        <v>151</v>
      </c>
      <c r="S4418" t="s">
        <v>30</v>
      </c>
      <c r="T4418" t="s">
        <v>3728</v>
      </c>
      <c r="U4418" t="s">
        <v>3729</v>
      </c>
      <c r="V4418" t="s">
        <v>39</v>
      </c>
      <c r="W4418" s="1">
        <v>3</v>
      </c>
    </row>
    <row r="4419" spans="1:23" x14ac:dyDescent="0.2">
      <c r="A4419" t="s">
        <v>2096</v>
      </c>
      <c r="B4419" t="s">
        <v>3333</v>
      </c>
      <c r="C4419" t="s">
        <v>3442</v>
      </c>
      <c r="D4419" t="s">
        <v>3626</v>
      </c>
      <c r="E4419" t="s">
        <v>3688</v>
      </c>
      <c r="F4419" t="s">
        <v>3689</v>
      </c>
      <c r="G4419" t="s">
        <v>139</v>
      </c>
      <c r="H4419" t="s">
        <v>30</v>
      </c>
      <c r="I4419" t="s">
        <v>30</v>
      </c>
      <c r="J4419" t="s">
        <v>31</v>
      </c>
      <c r="K4419" t="s">
        <v>32</v>
      </c>
      <c r="L4419" t="s">
        <v>32</v>
      </c>
      <c r="M4419" t="s">
        <v>33</v>
      </c>
      <c r="P4419" t="s">
        <v>34</v>
      </c>
      <c r="Q4419" t="s">
        <v>35</v>
      </c>
      <c r="R4419" t="s">
        <v>151</v>
      </c>
      <c r="S4419" t="s">
        <v>30</v>
      </c>
      <c r="T4419" t="s">
        <v>3728</v>
      </c>
      <c r="U4419" t="s">
        <v>3729</v>
      </c>
      <c r="V4419" t="s">
        <v>40</v>
      </c>
      <c r="W4419" s="1">
        <v>3851700</v>
      </c>
    </row>
    <row r="4420" spans="1:23" x14ac:dyDescent="0.2">
      <c r="A4420" t="s">
        <v>2096</v>
      </c>
      <c r="B4420" t="s">
        <v>3333</v>
      </c>
      <c r="C4420" t="s">
        <v>3442</v>
      </c>
      <c r="D4420" t="s">
        <v>3626</v>
      </c>
      <c r="E4420" t="s">
        <v>3731</v>
      </c>
      <c r="F4420" t="s">
        <v>3732</v>
      </c>
      <c r="G4420" t="s">
        <v>49</v>
      </c>
      <c r="H4420" t="s">
        <v>30</v>
      </c>
      <c r="I4420" t="s">
        <v>30</v>
      </c>
      <c r="J4420" t="s">
        <v>128</v>
      </c>
      <c r="K4420" t="s">
        <v>181</v>
      </c>
      <c r="L4420" t="s">
        <v>32</v>
      </c>
      <c r="M4420" t="s">
        <v>33</v>
      </c>
      <c r="N4420" t="s">
        <v>33</v>
      </c>
      <c r="O4420" t="s">
        <v>33</v>
      </c>
      <c r="P4420" t="s">
        <v>34</v>
      </c>
      <c r="Q4420" t="s">
        <v>35</v>
      </c>
      <c r="S4420" t="s">
        <v>30</v>
      </c>
      <c r="T4420" t="s">
        <v>3733</v>
      </c>
      <c r="U4420" t="s">
        <v>3734</v>
      </c>
      <c r="V4420" t="s">
        <v>39</v>
      </c>
      <c r="W4420" s="1">
        <v>4</v>
      </c>
    </row>
    <row r="4421" spans="1:23" x14ac:dyDescent="0.2">
      <c r="A4421" t="s">
        <v>2096</v>
      </c>
      <c r="B4421" t="s">
        <v>3333</v>
      </c>
      <c r="C4421" t="s">
        <v>3442</v>
      </c>
      <c r="D4421" t="s">
        <v>3626</v>
      </c>
      <c r="E4421" t="s">
        <v>3731</v>
      </c>
      <c r="F4421" t="s">
        <v>3732</v>
      </c>
      <c r="G4421" t="s">
        <v>49</v>
      </c>
      <c r="H4421" t="s">
        <v>30</v>
      </c>
      <c r="I4421" t="s">
        <v>30</v>
      </c>
      <c r="J4421" t="s">
        <v>128</v>
      </c>
      <c r="K4421" t="s">
        <v>181</v>
      </c>
      <c r="L4421" t="s">
        <v>32</v>
      </c>
      <c r="M4421" t="s">
        <v>33</v>
      </c>
      <c r="N4421" t="s">
        <v>33</v>
      </c>
      <c r="O4421" t="s">
        <v>33</v>
      </c>
      <c r="P4421" t="s">
        <v>34</v>
      </c>
      <c r="Q4421" t="s">
        <v>35</v>
      </c>
      <c r="S4421" t="s">
        <v>30</v>
      </c>
      <c r="T4421" t="s">
        <v>3733</v>
      </c>
      <c r="U4421" t="s">
        <v>3734</v>
      </c>
      <c r="V4421" t="s">
        <v>40</v>
      </c>
      <c r="W4421" s="1">
        <v>0</v>
      </c>
    </row>
    <row r="4422" spans="1:23" x14ac:dyDescent="0.2">
      <c r="A4422" t="s">
        <v>2096</v>
      </c>
      <c r="B4422" t="s">
        <v>3333</v>
      </c>
      <c r="C4422" t="s">
        <v>3442</v>
      </c>
      <c r="D4422" t="s">
        <v>3626</v>
      </c>
      <c r="E4422" t="s">
        <v>3731</v>
      </c>
      <c r="F4422" t="s">
        <v>3732</v>
      </c>
      <c r="G4422" t="s">
        <v>67</v>
      </c>
      <c r="H4422" t="s">
        <v>30</v>
      </c>
      <c r="I4422" t="s">
        <v>30</v>
      </c>
      <c r="J4422" t="s">
        <v>31</v>
      </c>
      <c r="K4422" t="s">
        <v>32</v>
      </c>
      <c r="L4422" t="s">
        <v>32</v>
      </c>
      <c r="M4422" t="s">
        <v>33</v>
      </c>
      <c r="N4422" t="s">
        <v>33</v>
      </c>
      <c r="O4422" t="s">
        <v>33</v>
      </c>
      <c r="P4422" t="s">
        <v>34</v>
      </c>
      <c r="Q4422" t="s">
        <v>35</v>
      </c>
      <c r="S4422" t="s">
        <v>30</v>
      </c>
      <c r="T4422" t="s">
        <v>3735</v>
      </c>
      <c r="U4422" t="s">
        <v>3736</v>
      </c>
      <c r="V4422" t="s">
        <v>39</v>
      </c>
      <c r="W4422" s="1">
        <v>9</v>
      </c>
    </row>
    <row r="4423" spans="1:23" x14ac:dyDescent="0.2">
      <c r="A4423" t="s">
        <v>2096</v>
      </c>
      <c r="B4423" t="s">
        <v>3333</v>
      </c>
      <c r="C4423" t="s">
        <v>3442</v>
      </c>
      <c r="D4423" t="s">
        <v>3626</v>
      </c>
      <c r="E4423" t="s">
        <v>3731</v>
      </c>
      <c r="F4423" t="s">
        <v>3732</v>
      </c>
      <c r="G4423" t="s">
        <v>67</v>
      </c>
      <c r="H4423" t="s">
        <v>30</v>
      </c>
      <c r="I4423" t="s">
        <v>30</v>
      </c>
      <c r="J4423" t="s">
        <v>31</v>
      </c>
      <c r="K4423" t="s">
        <v>32</v>
      </c>
      <c r="L4423" t="s">
        <v>32</v>
      </c>
      <c r="M4423" t="s">
        <v>33</v>
      </c>
      <c r="N4423" t="s">
        <v>33</v>
      </c>
      <c r="O4423" t="s">
        <v>33</v>
      </c>
      <c r="P4423" t="s">
        <v>34</v>
      </c>
      <c r="Q4423" t="s">
        <v>35</v>
      </c>
      <c r="S4423" t="s">
        <v>30</v>
      </c>
      <c r="T4423" t="s">
        <v>3735</v>
      </c>
      <c r="U4423" t="s">
        <v>3736</v>
      </c>
      <c r="V4423" t="s">
        <v>40</v>
      </c>
      <c r="W4423" s="1">
        <v>6102900</v>
      </c>
    </row>
    <row r="4424" spans="1:23" x14ac:dyDescent="0.2">
      <c r="A4424" t="s">
        <v>2096</v>
      </c>
      <c r="B4424" t="s">
        <v>3333</v>
      </c>
      <c r="C4424" t="s">
        <v>3442</v>
      </c>
      <c r="D4424" t="s">
        <v>3626</v>
      </c>
      <c r="E4424" t="s">
        <v>3731</v>
      </c>
      <c r="F4424" t="s">
        <v>3732</v>
      </c>
      <c r="G4424" t="s">
        <v>67</v>
      </c>
      <c r="H4424" t="s">
        <v>30</v>
      </c>
      <c r="I4424" t="s">
        <v>30</v>
      </c>
      <c r="J4424" t="s">
        <v>31</v>
      </c>
      <c r="K4424" t="s">
        <v>32</v>
      </c>
      <c r="L4424" t="s">
        <v>32</v>
      </c>
      <c r="M4424" t="s">
        <v>33</v>
      </c>
      <c r="N4424" t="s">
        <v>33</v>
      </c>
      <c r="O4424" t="s">
        <v>33</v>
      </c>
      <c r="P4424" t="s">
        <v>34</v>
      </c>
      <c r="Q4424" t="s">
        <v>35</v>
      </c>
      <c r="S4424" t="s">
        <v>30</v>
      </c>
      <c r="T4424" t="s">
        <v>3737</v>
      </c>
      <c r="U4424" t="s">
        <v>3738</v>
      </c>
      <c r="V4424" t="s">
        <v>39</v>
      </c>
      <c r="W4424" s="1">
        <v>2</v>
      </c>
    </row>
    <row r="4425" spans="1:23" x14ac:dyDescent="0.2">
      <c r="A4425" t="s">
        <v>2096</v>
      </c>
      <c r="B4425" t="s">
        <v>3333</v>
      </c>
      <c r="C4425" t="s">
        <v>3442</v>
      </c>
      <c r="D4425" t="s">
        <v>3626</v>
      </c>
      <c r="E4425" t="s">
        <v>3731</v>
      </c>
      <c r="F4425" t="s">
        <v>3732</v>
      </c>
      <c r="G4425" t="s">
        <v>67</v>
      </c>
      <c r="H4425" t="s">
        <v>30</v>
      </c>
      <c r="I4425" t="s">
        <v>30</v>
      </c>
      <c r="J4425" t="s">
        <v>31</v>
      </c>
      <c r="K4425" t="s">
        <v>32</v>
      </c>
      <c r="L4425" t="s">
        <v>32</v>
      </c>
      <c r="M4425" t="s">
        <v>33</v>
      </c>
      <c r="N4425" t="s">
        <v>33</v>
      </c>
      <c r="O4425" t="s">
        <v>33</v>
      </c>
      <c r="P4425" t="s">
        <v>34</v>
      </c>
      <c r="Q4425" t="s">
        <v>35</v>
      </c>
      <c r="S4425" t="s">
        <v>30</v>
      </c>
      <c r="T4425" t="s">
        <v>3737</v>
      </c>
      <c r="U4425" t="s">
        <v>3738</v>
      </c>
      <c r="V4425" t="s">
        <v>40</v>
      </c>
      <c r="W4425" s="1">
        <v>1740200</v>
      </c>
    </row>
    <row r="4426" spans="1:23" x14ac:dyDescent="0.2">
      <c r="A4426" t="s">
        <v>2096</v>
      </c>
      <c r="B4426" t="s">
        <v>3333</v>
      </c>
      <c r="C4426" t="s">
        <v>3739</v>
      </c>
      <c r="D4426" t="s">
        <v>3740</v>
      </c>
      <c r="E4426" t="s">
        <v>3741</v>
      </c>
      <c r="F4426" t="s">
        <v>3742</v>
      </c>
      <c r="G4426" t="s">
        <v>67</v>
      </c>
      <c r="H4426" t="s">
        <v>30</v>
      </c>
      <c r="I4426" t="s">
        <v>30</v>
      </c>
      <c r="J4426" t="s">
        <v>31</v>
      </c>
      <c r="K4426" t="s">
        <v>32</v>
      </c>
      <c r="L4426" t="s">
        <v>32</v>
      </c>
      <c r="M4426" t="s">
        <v>33</v>
      </c>
      <c r="N4426" t="s">
        <v>33</v>
      </c>
      <c r="O4426" t="s">
        <v>33</v>
      </c>
      <c r="P4426" t="s">
        <v>34</v>
      </c>
      <c r="Q4426" t="s">
        <v>35</v>
      </c>
      <c r="S4426" t="s">
        <v>30</v>
      </c>
      <c r="T4426" t="s">
        <v>3743</v>
      </c>
      <c r="U4426" t="s">
        <v>3744</v>
      </c>
      <c r="V4426" t="s">
        <v>39</v>
      </c>
      <c r="W4426" s="1">
        <v>10</v>
      </c>
    </row>
    <row r="4427" spans="1:23" x14ac:dyDescent="0.2">
      <c r="A4427" t="s">
        <v>2096</v>
      </c>
      <c r="B4427" t="s">
        <v>3333</v>
      </c>
      <c r="C4427" t="s">
        <v>3739</v>
      </c>
      <c r="D4427" t="s">
        <v>3740</v>
      </c>
      <c r="E4427" t="s">
        <v>3741</v>
      </c>
      <c r="F4427" t="s">
        <v>3742</v>
      </c>
      <c r="G4427" t="s">
        <v>67</v>
      </c>
      <c r="H4427" t="s">
        <v>30</v>
      </c>
      <c r="I4427" t="s">
        <v>30</v>
      </c>
      <c r="J4427" t="s">
        <v>31</v>
      </c>
      <c r="K4427" t="s">
        <v>32</v>
      </c>
      <c r="L4427" t="s">
        <v>32</v>
      </c>
      <c r="M4427" t="s">
        <v>33</v>
      </c>
      <c r="N4427" t="s">
        <v>33</v>
      </c>
      <c r="O4427" t="s">
        <v>33</v>
      </c>
      <c r="P4427" t="s">
        <v>34</v>
      </c>
      <c r="Q4427" t="s">
        <v>35</v>
      </c>
      <c r="S4427" t="s">
        <v>30</v>
      </c>
      <c r="T4427" t="s">
        <v>3743</v>
      </c>
      <c r="U4427" t="s">
        <v>3744</v>
      </c>
      <c r="V4427" t="s">
        <v>40</v>
      </c>
      <c r="W4427" s="1">
        <v>11375000</v>
      </c>
    </row>
    <row r="4428" spans="1:23" x14ac:dyDescent="0.2">
      <c r="A4428" t="s">
        <v>2096</v>
      </c>
      <c r="B4428" t="s">
        <v>3333</v>
      </c>
      <c r="C4428" t="s">
        <v>3739</v>
      </c>
      <c r="D4428" t="s">
        <v>3740</v>
      </c>
      <c r="E4428" t="s">
        <v>3741</v>
      </c>
      <c r="F4428" t="s">
        <v>3742</v>
      </c>
      <c r="G4428" t="s">
        <v>67</v>
      </c>
      <c r="H4428" t="s">
        <v>30</v>
      </c>
      <c r="I4428" t="s">
        <v>30</v>
      </c>
      <c r="J4428" t="s">
        <v>31</v>
      </c>
      <c r="K4428" t="s">
        <v>32</v>
      </c>
      <c r="L4428" t="s">
        <v>32</v>
      </c>
      <c r="M4428" t="s">
        <v>33</v>
      </c>
      <c r="P4428" t="s">
        <v>34</v>
      </c>
      <c r="Q4428" t="s">
        <v>35</v>
      </c>
      <c r="S4428" t="s">
        <v>52</v>
      </c>
      <c r="T4428" t="s">
        <v>3743</v>
      </c>
      <c r="U4428" t="s">
        <v>3744</v>
      </c>
      <c r="V4428" t="s">
        <v>39</v>
      </c>
      <c r="W4428" s="1">
        <v>0</v>
      </c>
    </row>
    <row r="4429" spans="1:23" x14ac:dyDescent="0.2">
      <c r="A4429" t="s">
        <v>2096</v>
      </c>
      <c r="B4429" t="s">
        <v>3333</v>
      </c>
      <c r="C4429" t="s">
        <v>3739</v>
      </c>
      <c r="D4429" t="s">
        <v>3740</v>
      </c>
      <c r="E4429" t="s">
        <v>3741</v>
      </c>
      <c r="F4429" t="s">
        <v>3742</v>
      </c>
      <c r="G4429" t="s">
        <v>67</v>
      </c>
      <c r="H4429" t="s">
        <v>30</v>
      </c>
      <c r="I4429" t="s">
        <v>30</v>
      </c>
      <c r="J4429" t="s">
        <v>31</v>
      </c>
      <c r="K4429" t="s">
        <v>32</v>
      </c>
      <c r="L4429" t="s">
        <v>32</v>
      </c>
      <c r="M4429" t="s">
        <v>33</v>
      </c>
      <c r="P4429" t="s">
        <v>34</v>
      </c>
      <c r="Q4429" t="s">
        <v>35</v>
      </c>
      <c r="S4429" t="s">
        <v>52</v>
      </c>
      <c r="T4429" t="s">
        <v>3743</v>
      </c>
      <c r="U4429" t="s">
        <v>3744</v>
      </c>
      <c r="V4429" t="s">
        <v>40</v>
      </c>
      <c r="W4429" s="1">
        <v>2335000</v>
      </c>
    </row>
    <row r="4430" spans="1:23" x14ac:dyDescent="0.2">
      <c r="A4430" t="s">
        <v>2096</v>
      </c>
      <c r="B4430" t="s">
        <v>3333</v>
      </c>
      <c r="C4430" t="s">
        <v>3739</v>
      </c>
      <c r="D4430" t="s">
        <v>3740</v>
      </c>
      <c r="E4430" t="s">
        <v>3741</v>
      </c>
      <c r="F4430" t="s">
        <v>3742</v>
      </c>
      <c r="G4430" t="s">
        <v>67</v>
      </c>
      <c r="H4430" t="s">
        <v>30</v>
      </c>
      <c r="I4430" t="s">
        <v>30</v>
      </c>
      <c r="J4430" t="s">
        <v>31</v>
      </c>
      <c r="K4430" t="s">
        <v>32</v>
      </c>
      <c r="L4430" t="s">
        <v>32</v>
      </c>
      <c r="M4430" t="s">
        <v>33</v>
      </c>
      <c r="P4430" t="s">
        <v>34</v>
      </c>
      <c r="Q4430" t="s">
        <v>35</v>
      </c>
      <c r="S4430" t="s">
        <v>52</v>
      </c>
      <c r="T4430" t="s">
        <v>3743</v>
      </c>
      <c r="U4430" t="s">
        <v>3745</v>
      </c>
      <c r="V4430" t="s">
        <v>39</v>
      </c>
      <c r="W4430" s="1">
        <v>0</v>
      </c>
    </row>
    <row r="4431" spans="1:23" x14ac:dyDescent="0.2">
      <c r="A4431" t="s">
        <v>2096</v>
      </c>
      <c r="B4431" t="s">
        <v>3333</v>
      </c>
      <c r="C4431" t="s">
        <v>3739</v>
      </c>
      <c r="D4431" t="s">
        <v>3740</v>
      </c>
      <c r="E4431" t="s">
        <v>3741</v>
      </c>
      <c r="F4431" t="s">
        <v>3742</v>
      </c>
      <c r="G4431" t="s">
        <v>67</v>
      </c>
      <c r="H4431" t="s">
        <v>30</v>
      </c>
      <c r="I4431" t="s">
        <v>30</v>
      </c>
      <c r="J4431" t="s">
        <v>31</v>
      </c>
      <c r="K4431" t="s">
        <v>32</v>
      </c>
      <c r="L4431" t="s">
        <v>32</v>
      </c>
      <c r="M4431" t="s">
        <v>33</v>
      </c>
      <c r="P4431" t="s">
        <v>34</v>
      </c>
      <c r="Q4431" t="s">
        <v>35</v>
      </c>
      <c r="S4431" t="s">
        <v>52</v>
      </c>
      <c r="T4431" t="s">
        <v>3743</v>
      </c>
      <c r="U4431" t="s">
        <v>3745</v>
      </c>
      <c r="V4431" t="s">
        <v>40</v>
      </c>
      <c r="W4431" s="1">
        <v>2335000</v>
      </c>
    </row>
    <row r="4432" spans="1:23" x14ac:dyDescent="0.2">
      <c r="A4432" t="s">
        <v>2096</v>
      </c>
      <c r="B4432" t="s">
        <v>3333</v>
      </c>
      <c r="C4432" t="s">
        <v>3739</v>
      </c>
      <c r="D4432" t="s">
        <v>3740</v>
      </c>
      <c r="E4432" t="s">
        <v>3741</v>
      </c>
      <c r="F4432" t="s">
        <v>3742</v>
      </c>
      <c r="G4432" t="s">
        <v>139</v>
      </c>
      <c r="H4432" t="s">
        <v>30</v>
      </c>
      <c r="I4432" t="s">
        <v>30</v>
      </c>
      <c r="J4432" t="s">
        <v>41</v>
      </c>
      <c r="K4432" t="s">
        <v>32</v>
      </c>
      <c r="L4432" t="s">
        <v>32</v>
      </c>
      <c r="M4432" t="s">
        <v>33</v>
      </c>
      <c r="P4432" t="s">
        <v>34</v>
      </c>
      <c r="Q4432" t="s">
        <v>35</v>
      </c>
      <c r="S4432" t="s">
        <v>30</v>
      </c>
      <c r="T4432" t="s">
        <v>3746</v>
      </c>
      <c r="U4432" t="s">
        <v>3747</v>
      </c>
      <c r="V4432" t="s">
        <v>39</v>
      </c>
      <c r="W4432" s="1">
        <v>1</v>
      </c>
    </row>
    <row r="4433" spans="1:23" x14ac:dyDescent="0.2">
      <c r="A4433" t="s">
        <v>2096</v>
      </c>
      <c r="B4433" t="s">
        <v>3333</v>
      </c>
      <c r="C4433" t="s">
        <v>3739</v>
      </c>
      <c r="D4433" t="s">
        <v>3740</v>
      </c>
      <c r="E4433" t="s">
        <v>3741</v>
      </c>
      <c r="F4433" t="s">
        <v>3742</v>
      </c>
      <c r="G4433" t="s">
        <v>139</v>
      </c>
      <c r="H4433" t="s">
        <v>30</v>
      </c>
      <c r="I4433" t="s">
        <v>30</v>
      </c>
      <c r="J4433" t="s">
        <v>41</v>
      </c>
      <c r="K4433" t="s">
        <v>32</v>
      </c>
      <c r="L4433" t="s">
        <v>32</v>
      </c>
      <c r="M4433" t="s">
        <v>33</v>
      </c>
      <c r="P4433" t="s">
        <v>34</v>
      </c>
      <c r="Q4433" t="s">
        <v>35</v>
      </c>
      <c r="S4433" t="s">
        <v>30</v>
      </c>
      <c r="T4433" t="s">
        <v>3746</v>
      </c>
      <c r="U4433" t="s">
        <v>3747</v>
      </c>
      <c r="V4433" t="s">
        <v>40</v>
      </c>
      <c r="W4433" s="1">
        <v>1088000</v>
      </c>
    </row>
    <row r="4434" spans="1:23" x14ac:dyDescent="0.2">
      <c r="A4434" t="s">
        <v>2096</v>
      </c>
      <c r="B4434" t="s">
        <v>3333</v>
      </c>
      <c r="C4434" t="s">
        <v>3739</v>
      </c>
      <c r="D4434" t="s">
        <v>3740</v>
      </c>
      <c r="E4434" t="s">
        <v>3741</v>
      </c>
      <c r="F4434" t="s">
        <v>3742</v>
      </c>
      <c r="G4434" t="s">
        <v>139</v>
      </c>
      <c r="H4434" t="s">
        <v>30</v>
      </c>
      <c r="I4434" t="s">
        <v>30</v>
      </c>
      <c r="J4434" t="s">
        <v>41</v>
      </c>
      <c r="K4434" t="s">
        <v>32</v>
      </c>
      <c r="L4434" t="s">
        <v>32</v>
      </c>
      <c r="M4434" t="s">
        <v>33</v>
      </c>
      <c r="P4434" t="s">
        <v>34</v>
      </c>
      <c r="Q4434" t="s">
        <v>35</v>
      </c>
      <c r="S4434" t="s">
        <v>30</v>
      </c>
      <c r="T4434" t="s">
        <v>3748</v>
      </c>
      <c r="U4434" t="s">
        <v>3749</v>
      </c>
      <c r="V4434" t="s">
        <v>39</v>
      </c>
      <c r="W4434" s="1">
        <v>1</v>
      </c>
    </row>
    <row r="4435" spans="1:23" x14ac:dyDescent="0.2">
      <c r="A4435" t="s">
        <v>2096</v>
      </c>
      <c r="B4435" t="s">
        <v>3333</v>
      </c>
      <c r="C4435" t="s">
        <v>3739</v>
      </c>
      <c r="D4435" t="s">
        <v>3740</v>
      </c>
      <c r="E4435" t="s">
        <v>3741</v>
      </c>
      <c r="F4435" t="s">
        <v>3742</v>
      </c>
      <c r="G4435" t="s">
        <v>139</v>
      </c>
      <c r="H4435" t="s">
        <v>30</v>
      </c>
      <c r="I4435" t="s">
        <v>30</v>
      </c>
      <c r="J4435" t="s">
        <v>41</v>
      </c>
      <c r="K4435" t="s">
        <v>32</v>
      </c>
      <c r="L4435" t="s">
        <v>32</v>
      </c>
      <c r="M4435" t="s">
        <v>33</v>
      </c>
      <c r="P4435" t="s">
        <v>34</v>
      </c>
      <c r="Q4435" t="s">
        <v>35</v>
      </c>
      <c r="S4435" t="s">
        <v>30</v>
      </c>
      <c r="T4435" t="s">
        <v>3748</v>
      </c>
      <c r="U4435" t="s">
        <v>3749</v>
      </c>
      <c r="V4435" t="s">
        <v>40</v>
      </c>
      <c r="W4435" s="1">
        <v>1108000</v>
      </c>
    </row>
    <row r="4436" spans="1:23" x14ac:dyDescent="0.2">
      <c r="A4436" t="s">
        <v>2096</v>
      </c>
      <c r="B4436" t="s">
        <v>3333</v>
      </c>
      <c r="C4436" t="s">
        <v>3739</v>
      </c>
      <c r="D4436" t="s">
        <v>3740</v>
      </c>
      <c r="E4436" t="s">
        <v>3741</v>
      </c>
      <c r="F4436" t="s">
        <v>3742</v>
      </c>
      <c r="G4436" t="s">
        <v>139</v>
      </c>
      <c r="H4436" t="s">
        <v>30</v>
      </c>
      <c r="I4436" t="s">
        <v>30</v>
      </c>
      <c r="J4436" t="s">
        <v>41</v>
      </c>
      <c r="K4436" t="s">
        <v>32</v>
      </c>
      <c r="L4436" t="s">
        <v>32</v>
      </c>
      <c r="M4436" t="s">
        <v>33</v>
      </c>
      <c r="P4436" t="s">
        <v>34</v>
      </c>
      <c r="Q4436" t="s">
        <v>35</v>
      </c>
      <c r="S4436" t="s">
        <v>30</v>
      </c>
      <c r="T4436" t="s">
        <v>3750</v>
      </c>
      <c r="U4436" t="s">
        <v>3751</v>
      </c>
      <c r="V4436" t="s">
        <v>39</v>
      </c>
      <c r="W4436" s="1">
        <v>2</v>
      </c>
    </row>
    <row r="4437" spans="1:23" x14ac:dyDescent="0.2">
      <c r="A4437" t="s">
        <v>2096</v>
      </c>
      <c r="B4437" t="s">
        <v>3333</v>
      </c>
      <c r="C4437" t="s">
        <v>3739</v>
      </c>
      <c r="D4437" t="s">
        <v>3740</v>
      </c>
      <c r="E4437" t="s">
        <v>3741</v>
      </c>
      <c r="F4437" t="s">
        <v>3742</v>
      </c>
      <c r="G4437" t="s">
        <v>139</v>
      </c>
      <c r="H4437" t="s">
        <v>30</v>
      </c>
      <c r="I4437" t="s">
        <v>30</v>
      </c>
      <c r="J4437" t="s">
        <v>41</v>
      </c>
      <c r="K4437" t="s">
        <v>32</v>
      </c>
      <c r="L4437" t="s">
        <v>32</v>
      </c>
      <c r="M4437" t="s">
        <v>33</v>
      </c>
      <c r="P4437" t="s">
        <v>34</v>
      </c>
      <c r="Q4437" t="s">
        <v>35</v>
      </c>
      <c r="S4437" t="s">
        <v>30</v>
      </c>
      <c r="T4437" t="s">
        <v>3750</v>
      </c>
      <c r="U4437" t="s">
        <v>3751</v>
      </c>
      <c r="V4437" t="s">
        <v>40</v>
      </c>
      <c r="W4437" s="1">
        <v>3511600</v>
      </c>
    </row>
    <row r="4438" spans="1:23" x14ac:dyDescent="0.2">
      <c r="A4438" t="s">
        <v>2096</v>
      </c>
      <c r="B4438" t="s">
        <v>3333</v>
      </c>
      <c r="C4438" t="s">
        <v>3739</v>
      </c>
      <c r="D4438" t="s">
        <v>3752</v>
      </c>
      <c r="E4438" t="s">
        <v>3753</v>
      </c>
      <c r="F4438" t="s">
        <v>3754</v>
      </c>
      <c r="G4438" t="s">
        <v>29</v>
      </c>
      <c r="H4438" t="s">
        <v>30</v>
      </c>
      <c r="I4438" t="s">
        <v>30</v>
      </c>
      <c r="J4438" t="s">
        <v>41</v>
      </c>
      <c r="K4438" t="s">
        <v>32</v>
      </c>
      <c r="L4438" t="s">
        <v>32</v>
      </c>
      <c r="M4438" t="s">
        <v>33</v>
      </c>
      <c r="N4438" t="s">
        <v>33</v>
      </c>
      <c r="O4438" t="s">
        <v>33</v>
      </c>
      <c r="P4438" t="s">
        <v>213</v>
      </c>
      <c r="Q4438" t="s">
        <v>2111</v>
      </c>
      <c r="S4438" t="s">
        <v>30</v>
      </c>
      <c r="T4438" t="s">
        <v>3755</v>
      </c>
      <c r="U4438" t="s">
        <v>3756</v>
      </c>
      <c r="V4438" t="s">
        <v>39</v>
      </c>
      <c r="W4438" s="1">
        <v>2</v>
      </c>
    </row>
    <row r="4439" spans="1:23" x14ac:dyDescent="0.2">
      <c r="A4439" t="s">
        <v>2096</v>
      </c>
      <c r="B4439" t="s">
        <v>3333</v>
      </c>
      <c r="C4439" t="s">
        <v>3739</v>
      </c>
      <c r="D4439" t="s">
        <v>3752</v>
      </c>
      <c r="E4439" t="s">
        <v>3753</v>
      </c>
      <c r="F4439" t="s">
        <v>3754</v>
      </c>
      <c r="G4439" t="s">
        <v>29</v>
      </c>
      <c r="H4439" t="s">
        <v>30</v>
      </c>
      <c r="I4439" t="s">
        <v>30</v>
      </c>
      <c r="J4439" t="s">
        <v>41</v>
      </c>
      <c r="K4439" t="s">
        <v>32</v>
      </c>
      <c r="L4439" t="s">
        <v>32</v>
      </c>
      <c r="M4439" t="s">
        <v>33</v>
      </c>
      <c r="N4439" t="s">
        <v>33</v>
      </c>
      <c r="O4439" t="s">
        <v>33</v>
      </c>
      <c r="P4439" t="s">
        <v>213</v>
      </c>
      <c r="Q4439" t="s">
        <v>2111</v>
      </c>
      <c r="S4439" t="s">
        <v>30</v>
      </c>
      <c r="T4439" t="s">
        <v>3755</v>
      </c>
      <c r="U4439" t="s">
        <v>3756</v>
      </c>
      <c r="V4439" t="s">
        <v>40</v>
      </c>
      <c r="W4439" s="1">
        <v>2334200</v>
      </c>
    </row>
    <row r="4440" spans="1:23" x14ac:dyDescent="0.2">
      <c r="A4440" t="s">
        <v>2096</v>
      </c>
      <c r="B4440" t="s">
        <v>3333</v>
      </c>
      <c r="C4440" t="s">
        <v>3739</v>
      </c>
      <c r="D4440" t="s">
        <v>3752</v>
      </c>
      <c r="E4440" t="s">
        <v>3753</v>
      </c>
      <c r="F4440" t="s">
        <v>3754</v>
      </c>
      <c r="G4440" t="s">
        <v>29</v>
      </c>
      <c r="H4440" t="s">
        <v>30</v>
      </c>
      <c r="I4440" t="s">
        <v>30</v>
      </c>
      <c r="J4440" t="s">
        <v>41</v>
      </c>
      <c r="K4440" t="s">
        <v>32</v>
      </c>
      <c r="L4440" t="s">
        <v>32</v>
      </c>
      <c r="M4440" t="s">
        <v>33</v>
      </c>
      <c r="N4440" t="s">
        <v>33</v>
      </c>
      <c r="O4440" t="s">
        <v>33</v>
      </c>
      <c r="P4440" t="s">
        <v>34</v>
      </c>
      <c r="Q4440" t="s">
        <v>35</v>
      </c>
      <c r="S4440" t="s">
        <v>30</v>
      </c>
      <c r="T4440" t="s">
        <v>3757</v>
      </c>
      <c r="U4440" t="s">
        <v>3758</v>
      </c>
      <c r="V4440" t="s">
        <v>39</v>
      </c>
      <c r="W4440" s="1">
        <v>6</v>
      </c>
    </row>
    <row r="4441" spans="1:23" x14ac:dyDescent="0.2">
      <c r="A4441" t="s">
        <v>2096</v>
      </c>
      <c r="B4441" t="s">
        <v>3333</v>
      </c>
      <c r="C4441" t="s">
        <v>3739</v>
      </c>
      <c r="D4441" t="s">
        <v>3752</v>
      </c>
      <c r="E4441" t="s">
        <v>3753</v>
      </c>
      <c r="F4441" t="s">
        <v>3754</v>
      </c>
      <c r="G4441" t="s">
        <v>29</v>
      </c>
      <c r="H4441" t="s">
        <v>30</v>
      </c>
      <c r="I4441" t="s">
        <v>30</v>
      </c>
      <c r="J4441" t="s">
        <v>41</v>
      </c>
      <c r="K4441" t="s">
        <v>32</v>
      </c>
      <c r="L4441" t="s">
        <v>32</v>
      </c>
      <c r="M4441" t="s">
        <v>33</v>
      </c>
      <c r="N4441" t="s">
        <v>33</v>
      </c>
      <c r="O4441" t="s">
        <v>33</v>
      </c>
      <c r="P4441" t="s">
        <v>34</v>
      </c>
      <c r="Q4441" t="s">
        <v>35</v>
      </c>
      <c r="S4441" t="s">
        <v>30</v>
      </c>
      <c r="T4441" t="s">
        <v>3757</v>
      </c>
      <c r="U4441" t="s">
        <v>3758</v>
      </c>
      <c r="V4441" t="s">
        <v>40</v>
      </c>
      <c r="W4441" s="1">
        <v>6438000</v>
      </c>
    </row>
    <row r="4442" spans="1:23" x14ac:dyDescent="0.2">
      <c r="A4442" t="s">
        <v>2096</v>
      </c>
      <c r="B4442" t="s">
        <v>3333</v>
      </c>
      <c r="C4442" t="s">
        <v>3739</v>
      </c>
      <c r="D4442" t="s">
        <v>3752</v>
      </c>
      <c r="E4442" t="s">
        <v>3753</v>
      </c>
      <c r="F4442" t="s">
        <v>3754</v>
      </c>
      <c r="G4442" t="s">
        <v>29</v>
      </c>
      <c r="H4442" t="s">
        <v>30</v>
      </c>
      <c r="I4442" t="s">
        <v>30</v>
      </c>
      <c r="J4442" t="s">
        <v>233</v>
      </c>
      <c r="K4442" t="s">
        <v>181</v>
      </c>
      <c r="L4442" t="s">
        <v>332</v>
      </c>
      <c r="M4442" t="s">
        <v>33</v>
      </c>
      <c r="N4442" t="s">
        <v>33</v>
      </c>
      <c r="O4442" t="s">
        <v>33</v>
      </c>
      <c r="P4442" t="s">
        <v>34</v>
      </c>
      <c r="Q4442" t="s">
        <v>35</v>
      </c>
      <c r="R4442" t="s">
        <v>693</v>
      </c>
      <c r="S4442" t="s">
        <v>30</v>
      </c>
      <c r="T4442" t="s">
        <v>3759</v>
      </c>
      <c r="U4442" t="s">
        <v>3760</v>
      </c>
      <c r="V4442" t="s">
        <v>39</v>
      </c>
      <c r="W4442" s="1">
        <v>10</v>
      </c>
    </row>
    <row r="4443" spans="1:23" x14ac:dyDescent="0.2">
      <c r="A4443" t="s">
        <v>2096</v>
      </c>
      <c r="B4443" t="s">
        <v>3333</v>
      </c>
      <c r="C4443" t="s">
        <v>3739</v>
      </c>
      <c r="D4443" t="s">
        <v>3752</v>
      </c>
      <c r="E4443" t="s">
        <v>3753</v>
      </c>
      <c r="F4443" t="s">
        <v>3754</v>
      </c>
      <c r="G4443" t="s">
        <v>29</v>
      </c>
      <c r="H4443" t="s">
        <v>30</v>
      </c>
      <c r="I4443" t="s">
        <v>30</v>
      </c>
      <c r="J4443" t="s">
        <v>233</v>
      </c>
      <c r="K4443" t="s">
        <v>181</v>
      </c>
      <c r="L4443" t="s">
        <v>332</v>
      </c>
      <c r="M4443" t="s">
        <v>33</v>
      </c>
      <c r="N4443" t="s">
        <v>33</v>
      </c>
      <c r="O4443" t="s">
        <v>33</v>
      </c>
      <c r="P4443" t="s">
        <v>34</v>
      </c>
      <c r="Q4443" t="s">
        <v>35</v>
      </c>
      <c r="R4443" t="s">
        <v>693</v>
      </c>
      <c r="S4443" t="s">
        <v>30</v>
      </c>
      <c r="T4443" t="s">
        <v>3759</v>
      </c>
      <c r="U4443" t="s">
        <v>3760</v>
      </c>
      <c r="V4443" t="s">
        <v>40</v>
      </c>
      <c r="W4443" s="1">
        <v>0</v>
      </c>
    </row>
    <row r="4444" spans="1:23" x14ac:dyDescent="0.2">
      <c r="A4444" t="s">
        <v>2096</v>
      </c>
      <c r="B4444" t="s">
        <v>3333</v>
      </c>
      <c r="C4444" t="s">
        <v>3739</v>
      </c>
      <c r="D4444" t="s">
        <v>3752</v>
      </c>
      <c r="E4444" t="s">
        <v>3753</v>
      </c>
      <c r="F4444" t="s">
        <v>3754</v>
      </c>
      <c r="G4444" t="s">
        <v>29</v>
      </c>
      <c r="H4444" t="s">
        <v>30</v>
      </c>
      <c r="I4444" t="s">
        <v>30</v>
      </c>
      <c r="J4444" t="s">
        <v>57</v>
      </c>
      <c r="K4444" t="s">
        <v>32</v>
      </c>
      <c r="L4444" t="s">
        <v>32</v>
      </c>
      <c r="M4444" t="s">
        <v>33</v>
      </c>
      <c r="N4444" t="s">
        <v>33</v>
      </c>
      <c r="O4444" t="s">
        <v>33</v>
      </c>
      <c r="P4444" t="s">
        <v>34</v>
      </c>
      <c r="Q4444" t="s">
        <v>35</v>
      </c>
      <c r="R4444" t="s">
        <v>319</v>
      </c>
      <c r="S4444" t="s">
        <v>30</v>
      </c>
      <c r="T4444" t="s">
        <v>3761</v>
      </c>
      <c r="U4444" t="s">
        <v>3762</v>
      </c>
      <c r="V4444" t="s">
        <v>39</v>
      </c>
      <c r="W4444" s="1">
        <v>3</v>
      </c>
    </row>
    <row r="4445" spans="1:23" x14ac:dyDescent="0.2">
      <c r="A4445" t="s">
        <v>2096</v>
      </c>
      <c r="B4445" t="s">
        <v>3333</v>
      </c>
      <c r="C4445" t="s">
        <v>3739</v>
      </c>
      <c r="D4445" t="s">
        <v>3752</v>
      </c>
      <c r="E4445" t="s">
        <v>3753</v>
      </c>
      <c r="F4445" t="s">
        <v>3754</v>
      </c>
      <c r="G4445" t="s">
        <v>29</v>
      </c>
      <c r="H4445" t="s">
        <v>30</v>
      </c>
      <c r="I4445" t="s">
        <v>30</v>
      </c>
      <c r="J4445" t="s">
        <v>57</v>
      </c>
      <c r="K4445" t="s">
        <v>32</v>
      </c>
      <c r="L4445" t="s">
        <v>32</v>
      </c>
      <c r="M4445" t="s">
        <v>33</v>
      </c>
      <c r="N4445" t="s">
        <v>33</v>
      </c>
      <c r="O4445" t="s">
        <v>33</v>
      </c>
      <c r="P4445" t="s">
        <v>34</v>
      </c>
      <c r="Q4445" t="s">
        <v>35</v>
      </c>
      <c r="R4445" t="s">
        <v>319</v>
      </c>
      <c r="S4445" t="s">
        <v>30</v>
      </c>
      <c r="T4445" t="s">
        <v>3761</v>
      </c>
      <c r="U4445" t="s">
        <v>3762</v>
      </c>
      <c r="V4445" t="s">
        <v>40</v>
      </c>
      <c r="W4445" s="1">
        <v>4269000</v>
      </c>
    </row>
    <row r="4446" spans="1:23" x14ac:dyDescent="0.2">
      <c r="A4446" t="s">
        <v>2096</v>
      </c>
      <c r="B4446" t="s">
        <v>3333</v>
      </c>
      <c r="C4446" t="s">
        <v>3739</v>
      </c>
      <c r="D4446" t="s">
        <v>3752</v>
      </c>
      <c r="E4446" t="s">
        <v>3753</v>
      </c>
      <c r="F4446" t="s">
        <v>3754</v>
      </c>
      <c r="G4446" t="s">
        <v>29</v>
      </c>
      <c r="H4446" t="s">
        <v>30</v>
      </c>
      <c r="I4446" t="s">
        <v>30</v>
      </c>
      <c r="J4446" t="s">
        <v>57</v>
      </c>
      <c r="K4446" t="s">
        <v>32</v>
      </c>
      <c r="L4446" t="s">
        <v>32</v>
      </c>
      <c r="M4446" t="s">
        <v>33</v>
      </c>
      <c r="P4446" t="s">
        <v>34</v>
      </c>
      <c r="Q4446" t="s">
        <v>35</v>
      </c>
      <c r="R4446" t="s">
        <v>294</v>
      </c>
      <c r="S4446" t="s">
        <v>52</v>
      </c>
      <c r="T4446" t="s">
        <v>3763</v>
      </c>
      <c r="U4446" t="s">
        <v>3764</v>
      </c>
      <c r="V4446" t="s">
        <v>39</v>
      </c>
      <c r="W4446" s="1">
        <v>0</v>
      </c>
    </row>
    <row r="4447" spans="1:23" x14ac:dyDescent="0.2">
      <c r="A4447" t="s">
        <v>2096</v>
      </c>
      <c r="B4447" t="s">
        <v>3333</v>
      </c>
      <c r="C4447" t="s">
        <v>3739</v>
      </c>
      <c r="D4447" t="s">
        <v>3752</v>
      </c>
      <c r="E4447" t="s">
        <v>3753</v>
      </c>
      <c r="F4447" t="s">
        <v>3754</v>
      </c>
      <c r="G4447" t="s">
        <v>29</v>
      </c>
      <c r="H4447" t="s">
        <v>30</v>
      </c>
      <c r="I4447" t="s">
        <v>30</v>
      </c>
      <c r="J4447" t="s">
        <v>57</v>
      </c>
      <c r="K4447" t="s">
        <v>32</v>
      </c>
      <c r="L4447" t="s">
        <v>32</v>
      </c>
      <c r="M4447" t="s">
        <v>33</v>
      </c>
      <c r="P4447" t="s">
        <v>34</v>
      </c>
      <c r="Q4447" t="s">
        <v>35</v>
      </c>
      <c r="R4447" t="s">
        <v>294</v>
      </c>
      <c r="S4447" t="s">
        <v>52</v>
      </c>
      <c r="T4447" t="s">
        <v>3763</v>
      </c>
      <c r="U4447" t="s">
        <v>3764</v>
      </c>
      <c r="V4447" t="s">
        <v>40</v>
      </c>
      <c r="W4447" s="1">
        <v>6208000</v>
      </c>
    </row>
    <row r="4448" spans="1:23" x14ac:dyDescent="0.2">
      <c r="A4448" t="s">
        <v>2096</v>
      </c>
      <c r="B4448" t="s">
        <v>3333</v>
      </c>
      <c r="C4448" t="s">
        <v>3739</v>
      </c>
      <c r="D4448" t="s">
        <v>3752</v>
      </c>
      <c r="E4448" t="s">
        <v>3753</v>
      </c>
      <c r="F4448" t="s">
        <v>3754</v>
      </c>
      <c r="G4448" t="s">
        <v>49</v>
      </c>
      <c r="H4448" t="s">
        <v>30</v>
      </c>
      <c r="I4448" t="s">
        <v>30</v>
      </c>
      <c r="J4448" t="s">
        <v>41</v>
      </c>
      <c r="K4448" t="s">
        <v>32</v>
      </c>
      <c r="L4448" t="s">
        <v>32</v>
      </c>
      <c r="M4448" t="s">
        <v>33</v>
      </c>
      <c r="N4448" t="s">
        <v>33</v>
      </c>
      <c r="O4448" t="s">
        <v>33</v>
      </c>
      <c r="P4448" t="s">
        <v>34</v>
      </c>
      <c r="Q4448" t="s">
        <v>35</v>
      </c>
      <c r="R4448" t="s">
        <v>162</v>
      </c>
      <c r="S4448" t="s">
        <v>30</v>
      </c>
      <c r="T4448" t="s">
        <v>3765</v>
      </c>
      <c r="U4448" t="s">
        <v>3766</v>
      </c>
      <c r="V4448" t="s">
        <v>39</v>
      </c>
      <c r="W4448" s="1">
        <v>1</v>
      </c>
    </row>
    <row r="4449" spans="1:23" x14ac:dyDescent="0.2">
      <c r="A4449" t="s">
        <v>2096</v>
      </c>
      <c r="B4449" t="s">
        <v>3333</v>
      </c>
      <c r="C4449" t="s">
        <v>3739</v>
      </c>
      <c r="D4449" t="s">
        <v>3752</v>
      </c>
      <c r="E4449" t="s">
        <v>3753</v>
      </c>
      <c r="F4449" t="s">
        <v>3754</v>
      </c>
      <c r="G4449" t="s">
        <v>49</v>
      </c>
      <c r="H4449" t="s">
        <v>30</v>
      </c>
      <c r="I4449" t="s">
        <v>30</v>
      </c>
      <c r="J4449" t="s">
        <v>41</v>
      </c>
      <c r="K4449" t="s">
        <v>32</v>
      </c>
      <c r="L4449" t="s">
        <v>32</v>
      </c>
      <c r="M4449" t="s">
        <v>33</v>
      </c>
      <c r="N4449" t="s">
        <v>33</v>
      </c>
      <c r="O4449" t="s">
        <v>33</v>
      </c>
      <c r="P4449" t="s">
        <v>34</v>
      </c>
      <c r="Q4449" t="s">
        <v>35</v>
      </c>
      <c r="R4449" t="s">
        <v>162</v>
      </c>
      <c r="S4449" t="s">
        <v>30</v>
      </c>
      <c r="T4449" t="s">
        <v>3765</v>
      </c>
      <c r="U4449" t="s">
        <v>3766</v>
      </c>
      <c r="V4449" t="s">
        <v>40</v>
      </c>
      <c r="W4449" s="1">
        <v>2905800</v>
      </c>
    </row>
    <row r="4450" spans="1:23" x14ac:dyDescent="0.2">
      <c r="A4450" t="s">
        <v>2096</v>
      </c>
      <c r="B4450" t="s">
        <v>3333</v>
      </c>
      <c r="C4450" t="s">
        <v>3739</v>
      </c>
      <c r="D4450" t="s">
        <v>3752</v>
      </c>
      <c r="E4450" t="s">
        <v>3753</v>
      </c>
      <c r="F4450" t="s">
        <v>3754</v>
      </c>
      <c r="G4450" t="s">
        <v>49</v>
      </c>
      <c r="H4450" t="s">
        <v>30</v>
      </c>
      <c r="I4450" t="s">
        <v>30</v>
      </c>
      <c r="J4450" t="s">
        <v>41</v>
      </c>
      <c r="K4450" t="s">
        <v>32</v>
      </c>
      <c r="L4450" t="s">
        <v>32</v>
      </c>
      <c r="M4450" t="s">
        <v>33</v>
      </c>
      <c r="P4450" t="s">
        <v>213</v>
      </c>
      <c r="Q4450" t="s">
        <v>2111</v>
      </c>
      <c r="S4450" t="s">
        <v>30</v>
      </c>
      <c r="T4450" t="s">
        <v>3767</v>
      </c>
      <c r="U4450" t="s">
        <v>3768</v>
      </c>
      <c r="V4450" t="s">
        <v>39</v>
      </c>
      <c r="W4450" s="1">
        <v>4</v>
      </c>
    </row>
    <row r="4451" spans="1:23" x14ac:dyDescent="0.2">
      <c r="A4451" t="s">
        <v>2096</v>
      </c>
      <c r="B4451" t="s">
        <v>3333</v>
      </c>
      <c r="C4451" t="s">
        <v>3739</v>
      </c>
      <c r="D4451" t="s">
        <v>3752</v>
      </c>
      <c r="E4451" t="s">
        <v>3753</v>
      </c>
      <c r="F4451" t="s">
        <v>3754</v>
      </c>
      <c r="G4451" t="s">
        <v>49</v>
      </c>
      <c r="H4451" t="s">
        <v>30</v>
      </c>
      <c r="I4451" t="s">
        <v>30</v>
      </c>
      <c r="J4451" t="s">
        <v>41</v>
      </c>
      <c r="K4451" t="s">
        <v>32</v>
      </c>
      <c r="L4451" t="s">
        <v>32</v>
      </c>
      <c r="M4451" t="s">
        <v>33</v>
      </c>
      <c r="P4451" t="s">
        <v>213</v>
      </c>
      <c r="Q4451" t="s">
        <v>2111</v>
      </c>
      <c r="S4451" t="s">
        <v>30</v>
      </c>
      <c r="T4451" t="s">
        <v>3767</v>
      </c>
      <c r="U4451" t="s">
        <v>3768</v>
      </c>
      <c r="V4451" t="s">
        <v>40</v>
      </c>
      <c r="W4451" s="1">
        <v>6103200</v>
      </c>
    </row>
    <row r="4452" spans="1:23" x14ac:dyDescent="0.2">
      <c r="A4452" t="s">
        <v>2096</v>
      </c>
      <c r="B4452" t="s">
        <v>3333</v>
      </c>
      <c r="C4452" t="s">
        <v>3739</v>
      </c>
      <c r="D4452" t="s">
        <v>3752</v>
      </c>
      <c r="E4452" t="s">
        <v>3753</v>
      </c>
      <c r="F4452" t="s">
        <v>3754</v>
      </c>
      <c r="G4452" t="s">
        <v>61</v>
      </c>
      <c r="H4452" t="s">
        <v>52</v>
      </c>
      <c r="I4452" t="s">
        <v>52</v>
      </c>
      <c r="J4452" t="s">
        <v>128</v>
      </c>
      <c r="K4452" t="s">
        <v>135</v>
      </c>
      <c r="L4452" t="s">
        <v>32</v>
      </c>
      <c r="M4452" t="s">
        <v>33</v>
      </c>
      <c r="N4452" t="s">
        <v>33</v>
      </c>
      <c r="O4452" t="s">
        <v>33</v>
      </c>
      <c r="P4452" t="s">
        <v>34</v>
      </c>
      <c r="Q4452" t="s">
        <v>35</v>
      </c>
      <c r="R4452" t="s">
        <v>136</v>
      </c>
      <c r="S4452" t="s">
        <v>30</v>
      </c>
      <c r="T4452" t="s">
        <v>3769</v>
      </c>
      <c r="U4452" t="s">
        <v>3770</v>
      </c>
      <c r="V4452" t="s">
        <v>39</v>
      </c>
      <c r="W4452" s="1">
        <v>4</v>
      </c>
    </row>
    <row r="4453" spans="1:23" x14ac:dyDescent="0.2">
      <c r="A4453" t="s">
        <v>2096</v>
      </c>
      <c r="B4453" t="s">
        <v>3333</v>
      </c>
      <c r="C4453" t="s">
        <v>3739</v>
      </c>
      <c r="D4453" t="s">
        <v>3752</v>
      </c>
      <c r="E4453" t="s">
        <v>3753</v>
      </c>
      <c r="F4453" t="s">
        <v>3754</v>
      </c>
      <c r="G4453" t="s">
        <v>61</v>
      </c>
      <c r="H4453" t="s">
        <v>52</v>
      </c>
      <c r="I4453" t="s">
        <v>52</v>
      </c>
      <c r="J4453" t="s">
        <v>128</v>
      </c>
      <c r="K4453" t="s">
        <v>135</v>
      </c>
      <c r="L4453" t="s">
        <v>32</v>
      </c>
      <c r="M4453" t="s">
        <v>33</v>
      </c>
      <c r="N4453" t="s">
        <v>33</v>
      </c>
      <c r="O4453" t="s">
        <v>33</v>
      </c>
      <c r="P4453" t="s">
        <v>34</v>
      </c>
      <c r="Q4453" t="s">
        <v>35</v>
      </c>
      <c r="R4453" t="s">
        <v>136</v>
      </c>
      <c r="S4453" t="s">
        <v>30</v>
      </c>
      <c r="T4453" t="s">
        <v>3769</v>
      </c>
      <c r="U4453" t="s">
        <v>3770</v>
      </c>
      <c r="V4453" t="s">
        <v>40</v>
      </c>
      <c r="W4453" s="1">
        <v>1987600</v>
      </c>
    </row>
    <row r="4454" spans="1:23" x14ac:dyDescent="0.2">
      <c r="A4454" t="s">
        <v>2096</v>
      </c>
      <c r="B4454" t="s">
        <v>3333</v>
      </c>
      <c r="C4454" t="s">
        <v>3739</v>
      </c>
      <c r="D4454" t="s">
        <v>3752</v>
      </c>
      <c r="E4454" t="s">
        <v>3753</v>
      </c>
      <c r="F4454" t="s">
        <v>3754</v>
      </c>
      <c r="G4454" t="s">
        <v>61</v>
      </c>
      <c r="H4454" t="s">
        <v>52</v>
      </c>
      <c r="I4454" t="s">
        <v>52</v>
      </c>
      <c r="J4454" t="s">
        <v>41</v>
      </c>
      <c r="K4454" t="s">
        <v>32</v>
      </c>
      <c r="L4454" t="s">
        <v>32</v>
      </c>
      <c r="M4454" t="s">
        <v>33</v>
      </c>
      <c r="P4454" t="s">
        <v>34</v>
      </c>
      <c r="Q4454" t="s">
        <v>35</v>
      </c>
      <c r="S4454" t="s">
        <v>30</v>
      </c>
      <c r="T4454" t="s">
        <v>3771</v>
      </c>
      <c r="U4454" t="s">
        <v>3772</v>
      </c>
      <c r="V4454" t="s">
        <v>39</v>
      </c>
      <c r="W4454" s="1">
        <v>2</v>
      </c>
    </row>
    <row r="4455" spans="1:23" x14ac:dyDescent="0.2">
      <c r="A4455" t="s">
        <v>2096</v>
      </c>
      <c r="B4455" t="s">
        <v>3333</v>
      </c>
      <c r="C4455" t="s">
        <v>3739</v>
      </c>
      <c r="D4455" t="s">
        <v>3752</v>
      </c>
      <c r="E4455" t="s">
        <v>3753</v>
      </c>
      <c r="F4455" t="s">
        <v>3754</v>
      </c>
      <c r="G4455" t="s">
        <v>61</v>
      </c>
      <c r="H4455" t="s">
        <v>52</v>
      </c>
      <c r="I4455" t="s">
        <v>52</v>
      </c>
      <c r="J4455" t="s">
        <v>41</v>
      </c>
      <c r="K4455" t="s">
        <v>32</v>
      </c>
      <c r="L4455" t="s">
        <v>32</v>
      </c>
      <c r="M4455" t="s">
        <v>33</v>
      </c>
      <c r="P4455" t="s">
        <v>34</v>
      </c>
      <c r="Q4455" t="s">
        <v>35</v>
      </c>
      <c r="S4455" t="s">
        <v>30</v>
      </c>
      <c r="T4455" t="s">
        <v>3771</v>
      </c>
      <c r="U4455" t="s">
        <v>3772</v>
      </c>
      <c r="V4455" t="s">
        <v>40</v>
      </c>
      <c r="W4455" s="1">
        <v>2174200</v>
      </c>
    </row>
    <row r="4456" spans="1:23" x14ac:dyDescent="0.2">
      <c r="A4456" t="s">
        <v>2096</v>
      </c>
      <c r="B4456" t="s">
        <v>3333</v>
      </c>
      <c r="C4456" t="s">
        <v>3739</v>
      </c>
      <c r="D4456" t="s">
        <v>3752</v>
      </c>
      <c r="E4456" t="s">
        <v>3753</v>
      </c>
      <c r="F4456" t="s">
        <v>3754</v>
      </c>
      <c r="G4456" t="s">
        <v>61</v>
      </c>
      <c r="H4456" t="s">
        <v>52</v>
      </c>
      <c r="I4456" t="s">
        <v>52</v>
      </c>
      <c r="J4456" t="s">
        <v>57</v>
      </c>
      <c r="K4456" t="s">
        <v>32</v>
      </c>
      <c r="L4456" t="s">
        <v>32</v>
      </c>
      <c r="M4456" t="s">
        <v>33</v>
      </c>
      <c r="N4456" t="s">
        <v>33</v>
      </c>
      <c r="O4456" t="s">
        <v>33</v>
      </c>
      <c r="P4456" t="s">
        <v>34</v>
      </c>
      <c r="Q4456" t="s">
        <v>35</v>
      </c>
      <c r="R4456" t="s">
        <v>294</v>
      </c>
      <c r="S4456" t="s">
        <v>30</v>
      </c>
      <c r="T4456" t="s">
        <v>3773</v>
      </c>
      <c r="U4456" t="s">
        <v>3774</v>
      </c>
      <c r="V4456" t="s">
        <v>39</v>
      </c>
      <c r="W4456" s="1">
        <v>6</v>
      </c>
    </row>
    <row r="4457" spans="1:23" x14ac:dyDescent="0.2">
      <c r="A4457" t="s">
        <v>2096</v>
      </c>
      <c r="B4457" t="s">
        <v>3333</v>
      </c>
      <c r="C4457" t="s">
        <v>3739</v>
      </c>
      <c r="D4457" t="s">
        <v>3752</v>
      </c>
      <c r="E4457" t="s">
        <v>3753</v>
      </c>
      <c r="F4457" t="s">
        <v>3754</v>
      </c>
      <c r="G4457" t="s">
        <v>61</v>
      </c>
      <c r="H4457" t="s">
        <v>52</v>
      </c>
      <c r="I4457" t="s">
        <v>52</v>
      </c>
      <c r="J4457" t="s">
        <v>57</v>
      </c>
      <c r="K4457" t="s">
        <v>32</v>
      </c>
      <c r="L4457" t="s">
        <v>32</v>
      </c>
      <c r="M4457" t="s">
        <v>33</v>
      </c>
      <c r="N4457" t="s">
        <v>33</v>
      </c>
      <c r="O4457" t="s">
        <v>33</v>
      </c>
      <c r="P4457" t="s">
        <v>34</v>
      </c>
      <c r="Q4457" t="s">
        <v>35</v>
      </c>
      <c r="R4457" t="s">
        <v>294</v>
      </c>
      <c r="S4457" t="s">
        <v>30</v>
      </c>
      <c r="T4457" t="s">
        <v>3773</v>
      </c>
      <c r="U4457" t="s">
        <v>3774</v>
      </c>
      <c r="V4457" t="s">
        <v>40</v>
      </c>
      <c r="W4457" s="1">
        <v>9612000</v>
      </c>
    </row>
    <row r="4458" spans="1:23" x14ac:dyDescent="0.2">
      <c r="A4458" t="s">
        <v>2096</v>
      </c>
      <c r="B4458" t="s">
        <v>3333</v>
      </c>
      <c r="C4458" t="s">
        <v>3739</v>
      </c>
      <c r="D4458" t="s">
        <v>3752</v>
      </c>
      <c r="E4458" t="s">
        <v>3753</v>
      </c>
      <c r="F4458" t="s">
        <v>3754</v>
      </c>
      <c r="G4458" t="s">
        <v>170</v>
      </c>
      <c r="H4458" t="s">
        <v>52</v>
      </c>
      <c r="I4458" t="s">
        <v>30</v>
      </c>
      <c r="J4458" t="s">
        <v>31</v>
      </c>
      <c r="K4458" t="s">
        <v>32</v>
      </c>
      <c r="L4458" t="s">
        <v>32</v>
      </c>
      <c r="M4458" t="s">
        <v>33</v>
      </c>
      <c r="P4458" t="s">
        <v>213</v>
      </c>
      <c r="Q4458" t="s">
        <v>2111</v>
      </c>
      <c r="R4458" t="s">
        <v>73</v>
      </c>
      <c r="S4458" t="s">
        <v>52</v>
      </c>
      <c r="T4458" t="s">
        <v>3647</v>
      </c>
      <c r="U4458" t="s">
        <v>3775</v>
      </c>
      <c r="V4458" t="s">
        <v>39</v>
      </c>
      <c r="W4458" s="1">
        <v>0</v>
      </c>
    </row>
    <row r="4459" spans="1:23" x14ac:dyDescent="0.2">
      <c r="A4459" t="s">
        <v>2096</v>
      </c>
      <c r="B4459" t="s">
        <v>3333</v>
      </c>
      <c r="C4459" t="s">
        <v>3739</v>
      </c>
      <c r="D4459" t="s">
        <v>3752</v>
      </c>
      <c r="E4459" t="s">
        <v>3753</v>
      </c>
      <c r="F4459" t="s">
        <v>3754</v>
      </c>
      <c r="G4459" t="s">
        <v>170</v>
      </c>
      <c r="H4459" t="s">
        <v>52</v>
      </c>
      <c r="I4459" t="s">
        <v>30</v>
      </c>
      <c r="J4459" t="s">
        <v>31</v>
      </c>
      <c r="K4459" t="s">
        <v>32</v>
      </c>
      <c r="L4459" t="s">
        <v>32</v>
      </c>
      <c r="M4459" t="s">
        <v>33</v>
      </c>
      <c r="P4459" t="s">
        <v>213</v>
      </c>
      <c r="Q4459" t="s">
        <v>2111</v>
      </c>
      <c r="R4459" t="s">
        <v>73</v>
      </c>
      <c r="S4459" t="s">
        <v>52</v>
      </c>
      <c r="T4459" t="s">
        <v>3647</v>
      </c>
      <c r="U4459" t="s">
        <v>3775</v>
      </c>
      <c r="V4459" t="s">
        <v>40</v>
      </c>
      <c r="W4459" s="1">
        <v>1899800</v>
      </c>
    </row>
    <row r="4460" spans="1:23" x14ac:dyDescent="0.2">
      <c r="A4460" t="s">
        <v>2096</v>
      </c>
      <c r="B4460" t="s">
        <v>3333</v>
      </c>
      <c r="C4460" t="s">
        <v>3739</v>
      </c>
      <c r="D4460" t="s">
        <v>3752</v>
      </c>
      <c r="E4460" t="s">
        <v>3753</v>
      </c>
      <c r="F4460" t="s">
        <v>3754</v>
      </c>
      <c r="G4460" t="s">
        <v>64</v>
      </c>
      <c r="H4460" t="s">
        <v>30</v>
      </c>
      <c r="I4460" t="s">
        <v>52</v>
      </c>
      <c r="J4460" t="s">
        <v>31</v>
      </c>
      <c r="K4460" t="s">
        <v>32</v>
      </c>
      <c r="L4460" t="s">
        <v>32</v>
      </c>
      <c r="M4460" t="s">
        <v>33</v>
      </c>
      <c r="N4460" t="s">
        <v>33</v>
      </c>
      <c r="O4460" t="s">
        <v>33</v>
      </c>
      <c r="P4460" t="s">
        <v>34</v>
      </c>
      <c r="Q4460" t="s">
        <v>35</v>
      </c>
      <c r="S4460" t="s">
        <v>30</v>
      </c>
      <c r="T4460" t="s">
        <v>3602</v>
      </c>
      <c r="U4460" t="s">
        <v>3776</v>
      </c>
      <c r="V4460" t="s">
        <v>39</v>
      </c>
      <c r="W4460" s="1">
        <v>2</v>
      </c>
    </row>
    <row r="4461" spans="1:23" x14ac:dyDescent="0.2">
      <c r="A4461" t="s">
        <v>2096</v>
      </c>
      <c r="B4461" t="s">
        <v>3333</v>
      </c>
      <c r="C4461" t="s">
        <v>3739</v>
      </c>
      <c r="D4461" t="s">
        <v>3752</v>
      </c>
      <c r="E4461" t="s">
        <v>3753</v>
      </c>
      <c r="F4461" t="s">
        <v>3754</v>
      </c>
      <c r="G4461" t="s">
        <v>64</v>
      </c>
      <c r="H4461" t="s">
        <v>30</v>
      </c>
      <c r="I4461" t="s">
        <v>52</v>
      </c>
      <c r="J4461" t="s">
        <v>31</v>
      </c>
      <c r="K4461" t="s">
        <v>32</v>
      </c>
      <c r="L4461" t="s">
        <v>32</v>
      </c>
      <c r="M4461" t="s">
        <v>33</v>
      </c>
      <c r="N4461" t="s">
        <v>33</v>
      </c>
      <c r="O4461" t="s">
        <v>33</v>
      </c>
      <c r="P4461" t="s">
        <v>34</v>
      </c>
      <c r="Q4461" t="s">
        <v>35</v>
      </c>
      <c r="S4461" t="s">
        <v>30</v>
      </c>
      <c r="T4461" t="s">
        <v>3602</v>
      </c>
      <c r="U4461" t="s">
        <v>3776</v>
      </c>
      <c r="V4461" t="s">
        <v>40</v>
      </c>
      <c r="W4461" s="1">
        <v>2455000</v>
      </c>
    </row>
    <row r="4462" spans="1:23" x14ac:dyDescent="0.2">
      <c r="A4462" t="s">
        <v>2096</v>
      </c>
      <c r="B4462" t="s">
        <v>3333</v>
      </c>
      <c r="C4462" t="s">
        <v>3739</v>
      </c>
      <c r="D4462" t="s">
        <v>3752</v>
      </c>
      <c r="E4462" t="s">
        <v>3753</v>
      </c>
      <c r="F4462" t="s">
        <v>3754</v>
      </c>
      <c r="G4462" t="s">
        <v>64</v>
      </c>
      <c r="H4462" t="s">
        <v>30</v>
      </c>
      <c r="I4462" t="s">
        <v>52</v>
      </c>
      <c r="J4462" t="s">
        <v>31</v>
      </c>
      <c r="K4462" t="s">
        <v>32</v>
      </c>
      <c r="L4462" t="s">
        <v>32</v>
      </c>
      <c r="M4462" t="s">
        <v>33</v>
      </c>
      <c r="N4462" t="s">
        <v>33</v>
      </c>
      <c r="O4462" t="s">
        <v>33</v>
      </c>
      <c r="P4462" t="s">
        <v>34</v>
      </c>
      <c r="Q4462" t="s">
        <v>35</v>
      </c>
      <c r="S4462" t="s">
        <v>30</v>
      </c>
      <c r="T4462" t="s">
        <v>3777</v>
      </c>
      <c r="U4462" t="s">
        <v>3778</v>
      </c>
      <c r="V4462" t="s">
        <v>39</v>
      </c>
      <c r="W4462" s="1">
        <v>2</v>
      </c>
    </row>
    <row r="4463" spans="1:23" x14ac:dyDescent="0.2">
      <c r="A4463" t="s">
        <v>2096</v>
      </c>
      <c r="B4463" t="s">
        <v>3333</v>
      </c>
      <c r="C4463" t="s">
        <v>3739</v>
      </c>
      <c r="D4463" t="s">
        <v>3752</v>
      </c>
      <c r="E4463" t="s">
        <v>3753</v>
      </c>
      <c r="F4463" t="s">
        <v>3754</v>
      </c>
      <c r="G4463" t="s">
        <v>64</v>
      </c>
      <c r="H4463" t="s">
        <v>30</v>
      </c>
      <c r="I4463" t="s">
        <v>52</v>
      </c>
      <c r="J4463" t="s">
        <v>31</v>
      </c>
      <c r="K4463" t="s">
        <v>32</v>
      </c>
      <c r="L4463" t="s">
        <v>32</v>
      </c>
      <c r="M4463" t="s">
        <v>33</v>
      </c>
      <c r="N4463" t="s">
        <v>33</v>
      </c>
      <c r="O4463" t="s">
        <v>33</v>
      </c>
      <c r="P4463" t="s">
        <v>34</v>
      </c>
      <c r="Q4463" t="s">
        <v>35</v>
      </c>
      <c r="S4463" t="s">
        <v>30</v>
      </c>
      <c r="T4463" t="s">
        <v>3777</v>
      </c>
      <c r="U4463" t="s">
        <v>3778</v>
      </c>
      <c r="V4463" t="s">
        <v>40</v>
      </c>
      <c r="W4463" s="1">
        <v>2271600</v>
      </c>
    </row>
    <row r="4464" spans="1:23" x14ac:dyDescent="0.2">
      <c r="A4464" t="s">
        <v>2096</v>
      </c>
      <c r="B4464" t="s">
        <v>3333</v>
      </c>
      <c r="C4464" t="s">
        <v>3739</v>
      </c>
      <c r="D4464" t="s">
        <v>3752</v>
      </c>
      <c r="E4464" t="s">
        <v>3753</v>
      </c>
      <c r="F4464" t="s">
        <v>3754</v>
      </c>
      <c r="G4464" t="s">
        <v>64</v>
      </c>
      <c r="H4464" t="s">
        <v>30</v>
      </c>
      <c r="I4464" t="s">
        <v>52</v>
      </c>
      <c r="J4464" t="s">
        <v>31</v>
      </c>
      <c r="K4464" t="s">
        <v>32</v>
      </c>
      <c r="L4464" t="s">
        <v>32</v>
      </c>
      <c r="M4464" t="s">
        <v>33</v>
      </c>
      <c r="P4464" t="s">
        <v>213</v>
      </c>
      <c r="Q4464" t="s">
        <v>2111</v>
      </c>
      <c r="S4464" t="s">
        <v>52</v>
      </c>
      <c r="T4464" t="s">
        <v>3779</v>
      </c>
      <c r="U4464" t="s">
        <v>3780</v>
      </c>
      <c r="V4464" t="s">
        <v>39</v>
      </c>
      <c r="W4464" s="1">
        <v>0</v>
      </c>
    </row>
    <row r="4465" spans="1:23" x14ac:dyDescent="0.2">
      <c r="A4465" t="s">
        <v>2096</v>
      </c>
      <c r="B4465" t="s">
        <v>3333</v>
      </c>
      <c r="C4465" t="s">
        <v>3739</v>
      </c>
      <c r="D4465" t="s">
        <v>3752</v>
      </c>
      <c r="E4465" t="s">
        <v>3753</v>
      </c>
      <c r="F4465" t="s">
        <v>3754</v>
      </c>
      <c r="G4465" t="s">
        <v>64</v>
      </c>
      <c r="H4465" t="s">
        <v>30</v>
      </c>
      <c r="I4465" t="s">
        <v>52</v>
      </c>
      <c r="J4465" t="s">
        <v>31</v>
      </c>
      <c r="K4465" t="s">
        <v>32</v>
      </c>
      <c r="L4465" t="s">
        <v>32</v>
      </c>
      <c r="M4465" t="s">
        <v>33</v>
      </c>
      <c r="P4465" t="s">
        <v>213</v>
      </c>
      <c r="Q4465" t="s">
        <v>2111</v>
      </c>
      <c r="S4465" t="s">
        <v>52</v>
      </c>
      <c r="T4465" t="s">
        <v>3779</v>
      </c>
      <c r="U4465" t="s">
        <v>3780</v>
      </c>
      <c r="V4465" t="s">
        <v>40</v>
      </c>
      <c r="W4465" s="1">
        <v>627900</v>
      </c>
    </row>
    <row r="4466" spans="1:23" x14ac:dyDescent="0.2">
      <c r="A4466" t="s">
        <v>2096</v>
      </c>
      <c r="B4466" t="s">
        <v>3333</v>
      </c>
      <c r="C4466" t="s">
        <v>3739</v>
      </c>
      <c r="D4466" t="s">
        <v>3752</v>
      </c>
      <c r="E4466" t="s">
        <v>3753</v>
      </c>
      <c r="F4466" t="s">
        <v>3754</v>
      </c>
      <c r="G4466" t="s">
        <v>64</v>
      </c>
      <c r="H4466" t="s">
        <v>30</v>
      </c>
      <c r="I4466" t="s">
        <v>52</v>
      </c>
      <c r="J4466" t="s">
        <v>31</v>
      </c>
      <c r="K4466" t="s">
        <v>32</v>
      </c>
      <c r="L4466" t="s">
        <v>32</v>
      </c>
      <c r="M4466" t="s">
        <v>33</v>
      </c>
      <c r="P4466" t="s">
        <v>34</v>
      </c>
      <c r="Q4466" t="s">
        <v>35</v>
      </c>
      <c r="S4466" t="s">
        <v>30</v>
      </c>
      <c r="T4466" t="s">
        <v>3781</v>
      </c>
      <c r="U4466" t="s">
        <v>3782</v>
      </c>
      <c r="V4466" t="s">
        <v>39</v>
      </c>
      <c r="W4466" s="1">
        <v>6</v>
      </c>
    </row>
    <row r="4467" spans="1:23" x14ac:dyDescent="0.2">
      <c r="A4467" t="s">
        <v>2096</v>
      </c>
      <c r="B4467" t="s">
        <v>3333</v>
      </c>
      <c r="C4467" t="s">
        <v>3739</v>
      </c>
      <c r="D4467" t="s">
        <v>3752</v>
      </c>
      <c r="E4467" t="s">
        <v>3753</v>
      </c>
      <c r="F4467" t="s">
        <v>3754</v>
      </c>
      <c r="G4467" t="s">
        <v>64</v>
      </c>
      <c r="H4467" t="s">
        <v>30</v>
      </c>
      <c r="I4467" t="s">
        <v>52</v>
      </c>
      <c r="J4467" t="s">
        <v>31</v>
      </c>
      <c r="K4467" t="s">
        <v>32</v>
      </c>
      <c r="L4467" t="s">
        <v>32</v>
      </c>
      <c r="M4467" t="s">
        <v>33</v>
      </c>
      <c r="P4467" t="s">
        <v>34</v>
      </c>
      <c r="Q4467" t="s">
        <v>35</v>
      </c>
      <c r="S4467" t="s">
        <v>30</v>
      </c>
      <c r="T4467" t="s">
        <v>3781</v>
      </c>
      <c r="U4467" t="s">
        <v>3782</v>
      </c>
      <c r="V4467" t="s">
        <v>40</v>
      </c>
      <c r="W4467" s="1">
        <v>4605600</v>
      </c>
    </row>
    <row r="4468" spans="1:23" x14ac:dyDescent="0.2">
      <c r="A4468" t="s">
        <v>2096</v>
      </c>
      <c r="B4468" t="s">
        <v>3333</v>
      </c>
      <c r="C4468" t="s">
        <v>3739</v>
      </c>
      <c r="D4468" t="s">
        <v>3752</v>
      </c>
      <c r="E4468" t="s">
        <v>3753</v>
      </c>
      <c r="F4468" t="s">
        <v>3754</v>
      </c>
      <c r="G4468" t="s">
        <v>64</v>
      </c>
      <c r="H4468" t="s">
        <v>30</v>
      </c>
      <c r="I4468" t="s">
        <v>52</v>
      </c>
      <c r="J4468" t="s">
        <v>31</v>
      </c>
      <c r="K4468" t="s">
        <v>32</v>
      </c>
      <c r="L4468" t="s">
        <v>32</v>
      </c>
      <c r="M4468" t="s">
        <v>33</v>
      </c>
      <c r="P4468" t="s">
        <v>34</v>
      </c>
      <c r="Q4468" t="s">
        <v>35</v>
      </c>
      <c r="S4468" t="s">
        <v>30</v>
      </c>
      <c r="T4468" t="s">
        <v>3783</v>
      </c>
      <c r="U4468" t="s">
        <v>3784</v>
      </c>
      <c r="V4468" t="s">
        <v>39</v>
      </c>
      <c r="W4468" s="1">
        <v>3</v>
      </c>
    </row>
    <row r="4469" spans="1:23" x14ac:dyDescent="0.2">
      <c r="A4469" t="s">
        <v>2096</v>
      </c>
      <c r="B4469" t="s">
        <v>3333</v>
      </c>
      <c r="C4469" t="s">
        <v>3739</v>
      </c>
      <c r="D4469" t="s">
        <v>3752</v>
      </c>
      <c r="E4469" t="s">
        <v>3753</v>
      </c>
      <c r="F4469" t="s">
        <v>3754</v>
      </c>
      <c r="G4469" t="s">
        <v>64</v>
      </c>
      <c r="H4469" t="s">
        <v>30</v>
      </c>
      <c r="I4469" t="s">
        <v>52</v>
      </c>
      <c r="J4469" t="s">
        <v>31</v>
      </c>
      <c r="K4469" t="s">
        <v>32</v>
      </c>
      <c r="L4469" t="s">
        <v>32</v>
      </c>
      <c r="M4469" t="s">
        <v>33</v>
      </c>
      <c r="P4469" t="s">
        <v>34</v>
      </c>
      <c r="Q4469" t="s">
        <v>35</v>
      </c>
      <c r="S4469" t="s">
        <v>30</v>
      </c>
      <c r="T4469" t="s">
        <v>3783</v>
      </c>
      <c r="U4469" t="s">
        <v>3784</v>
      </c>
      <c r="V4469" t="s">
        <v>40</v>
      </c>
      <c r="W4469" s="1">
        <v>3832500</v>
      </c>
    </row>
    <row r="4470" spans="1:23" x14ac:dyDescent="0.2">
      <c r="A4470" t="s">
        <v>2096</v>
      </c>
      <c r="B4470" t="s">
        <v>3333</v>
      </c>
      <c r="C4470" t="s">
        <v>3739</v>
      </c>
      <c r="D4470" t="s">
        <v>3752</v>
      </c>
      <c r="E4470" t="s">
        <v>3753</v>
      </c>
      <c r="F4470" t="s">
        <v>3754</v>
      </c>
      <c r="G4470" t="s">
        <v>64</v>
      </c>
      <c r="H4470" t="s">
        <v>30</v>
      </c>
      <c r="I4470" t="s">
        <v>52</v>
      </c>
      <c r="J4470" t="s">
        <v>31</v>
      </c>
      <c r="K4470" t="s">
        <v>32</v>
      </c>
      <c r="L4470" t="s">
        <v>32</v>
      </c>
      <c r="M4470" t="s">
        <v>33</v>
      </c>
      <c r="P4470" t="s">
        <v>34</v>
      </c>
      <c r="Q4470" t="s">
        <v>35</v>
      </c>
      <c r="S4470" t="s">
        <v>52</v>
      </c>
      <c r="T4470" t="s">
        <v>3777</v>
      </c>
      <c r="U4470" t="s">
        <v>3778</v>
      </c>
      <c r="V4470" t="s">
        <v>39</v>
      </c>
      <c r="W4470" s="1">
        <v>0</v>
      </c>
    </row>
    <row r="4471" spans="1:23" x14ac:dyDescent="0.2">
      <c r="A4471" t="s">
        <v>2096</v>
      </c>
      <c r="B4471" t="s">
        <v>3333</v>
      </c>
      <c r="C4471" t="s">
        <v>3739</v>
      </c>
      <c r="D4471" t="s">
        <v>3752</v>
      </c>
      <c r="E4471" t="s">
        <v>3753</v>
      </c>
      <c r="F4471" t="s">
        <v>3754</v>
      </c>
      <c r="G4471" t="s">
        <v>64</v>
      </c>
      <c r="H4471" t="s">
        <v>30</v>
      </c>
      <c r="I4471" t="s">
        <v>52</v>
      </c>
      <c r="J4471" t="s">
        <v>31</v>
      </c>
      <c r="K4471" t="s">
        <v>32</v>
      </c>
      <c r="L4471" t="s">
        <v>32</v>
      </c>
      <c r="M4471" t="s">
        <v>33</v>
      </c>
      <c r="P4471" t="s">
        <v>34</v>
      </c>
      <c r="Q4471" t="s">
        <v>35</v>
      </c>
      <c r="S4471" t="s">
        <v>52</v>
      </c>
      <c r="T4471" t="s">
        <v>3777</v>
      </c>
      <c r="U4471" t="s">
        <v>3778</v>
      </c>
      <c r="V4471" t="s">
        <v>40</v>
      </c>
      <c r="W4471" s="1">
        <v>2271600</v>
      </c>
    </row>
    <row r="4472" spans="1:23" x14ac:dyDescent="0.2">
      <c r="A4472" t="s">
        <v>2096</v>
      </c>
      <c r="B4472" t="s">
        <v>3333</v>
      </c>
      <c r="C4472" t="s">
        <v>3739</v>
      </c>
      <c r="D4472" t="s">
        <v>3752</v>
      </c>
      <c r="E4472" t="s">
        <v>3753</v>
      </c>
      <c r="F4472" t="s">
        <v>3754</v>
      </c>
      <c r="G4472" t="s">
        <v>64</v>
      </c>
      <c r="H4472" t="s">
        <v>30</v>
      </c>
      <c r="I4472" t="s">
        <v>52</v>
      </c>
      <c r="J4472" t="s">
        <v>31</v>
      </c>
      <c r="K4472" t="s">
        <v>32</v>
      </c>
      <c r="L4472" t="s">
        <v>32</v>
      </c>
      <c r="M4472" t="s">
        <v>176</v>
      </c>
      <c r="P4472" t="s">
        <v>213</v>
      </c>
      <c r="Q4472" t="s">
        <v>2111</v>
      </c>
      <c r="S4472" t="s">
        <v>52</v>
      </c>
      <c r="T4472" t="s">
        <v>3779</v>
      </c>
      <c r="U4472" t="s">
        <v>3780</v>
      </c>
      <c r="V4472" t="s">
        <v>39</v>
      </c>
      <c r="W4472" s="1">
        <v>0</v>
      </c>
    </row>
    <row r="4473" spans="1:23" x14ac:dyDescent="0.2">
      <c r="A4473" t="s">
        <v>2096</v>
      </c>
      <c r="B4473" t="s">
        <v>3333</v>
      </c>
      <c r="C4473" t="s">
        <v>3739</v>
      </c>
      <c r="D4473" t="s">
        <v>3752</v>
      </c>
      <c r="E4473" t="s">
        <v>3753</v>
      </c>
      <c r="F4473" t="s">
        <v>3754</v>
      </c>
      <c r="G4473" t="s">
        <v>64</v>
      </c>
      <c r="H4473" t="s">
        <v>30</v>
      </c>
      <c r="I4473" t="s">
        <v>52</v>
      </c>
      <c r="J4473" t="s">
        <v>31</v>
      </c>
      <c r="K4473" t="s">
        <v>32</v>
      </c>
      <c r="L4473" t="s">
        <v>32</v>
      </c>
      <c r="M4473" t="s">
        <v>176</v>
      </c>
      <c r="P4473" t="s">
        <v>213</v>
      </c>
      <c r="Q4473" t="s">
        <v>2111</v>
      </c>
      <c r="S4473" t="s">
        <v>52</v>
      </c>
      <c r="T4473" t="s">
        <v>3779</v>
      </c>
      <c r="U4473" t="s">
        <v>3780</v>
      </c>
      <c r="V4473" t="s">
        <v>40</v>
      </c>
      <c r="W4473" s="1">
        <v>627900</v>
      </c>
    </row>
    <row r="4474" spans="1:23" x14ac:dyDescent="0.2">
      <c r="A4474" t="s">
        <v>2096</v>
      </c>
      <c r="B4474" t="s">
        <v>3333</v>
      </c>
      <c r="C4474" t="s">
        <v>3739</v>
      </c>
      <c r="D4474" t="s">
        <v>3752</v>
      </c>
      <c r="E4474" t="s">
        <v>3753</v>
      </c>
      <c r="F4474" t="s">
        <v>3754</v>
      </c>
      <c r="G4474" t="s">
        <v>67</v>
      </c>
      <c r="H4474" t="s">
        <v>30</v>
      </c>
      <c r="I4474" t="s">
        <v>30</v>
      </c>
      <c r="J4474" t="s">
        <v>41</v>
      </c>
      <c r="K4474" t="s">
        <v>32</v>
      </c>
      <c r="L4474" t="s">
        <v>32</v>
      </c>
      <c r="M4474" t="s">
        <v>33</v>
      </c>
      <c r="N4474" t="s">
        <v>33</v>
      </c>
      <c r="O4474" t="s">
        <v>33</v>
      </c>
      <c r="P4474" t="s">
        <v>213</v>
      </c>
      <c r="Q4474" t="s">
        <v>2118</v>
      </c>
      <c r="S4474" t="s">
        <v>30</v>
      </c>
      <c r="T4474" t="s">
        <v>3785</v>
      </c>
      <c r="U4474" t="s">
        <v>3786</v>
      </c>
      <c r="V4474" t="s">
        <v>39</v>
      </c>
      <c r="W4474" s="1">
        <v>3</v>
      </c>
    </row>
    <row r="4475" spans="1:23" x14ac:dyDescent="0.2">
      <c r="A4475" t="s">
        <v>2096</v>
      </c>
      <c r="B4475" t="s">
        <v>3333</v>
      </c>
      <c r="C4475" t="s">
        <v>3739</v>
      </c>
      <c r="D4475" t="s">
        <v>3752</v>
      </c>
      <c r="E4475" t="s">
        <v>3753</v>
      </c>
      <c r="F4475" t="s">
        <v>3754</v>
      </c>
      <c r="G4475" t="s">
        <v>67</v>
      </c>
      <c r="H4475" t="s">
        <v>30</v>
      </c>
      <c r="I4475" t="s">
        <v>30</v>
      </c>
      <c r="J4475" t="s">
        <v>41</v>
      </c>
      <c r="K4475" t="s">
        <v>32</v>
      </c>
      <c r="L4475" t="s">
        <v>32</v>
      </c>
      <c r="M4475" t="s">
        <v>33</v>
      </c>
      <c r="N4475" t="s">
        <v>33</v>
      </c>
      <c r="O4475" t="s">
        <v>33</v>
      </c>
      <c r="P4475" t="s">
        <v>213</v>
      </c>
      <c r="Q4475" t="s">
        <v>2118</v>
      </c>
      <c r="S4475" t="s">
        <v>30</v>
      </c>
      <c r="T4475" t="s">
        <v>3785</v>
      </c>
      <c r="U4475" t="s">
        <v>3786</v>
      </c>
      <c r="V4475" t="s">
        <v>40</v>
      </c>
      <c r="W4475" s="1">
        <v>4497000</v>
      </c>
    </row>
    <row r="4476" spans="1:23" x14ac:dyDescent="0.2">
      <c r="A4476" t="s">
        <v>2096</v>
      </c>
      <c r="B4476" t="s">
        <v>3333</v>
      </c>
      <c r="C4476" t="s">
        <v>3739</v>
      </c>
      <c r="D4476" t="s">
        <v>3752</v>
      </c>
      <c r="E4476" t="s">
        <v>3753</v>
      </c>
      <c r="F4476" t="s">
        <v>3754</v>
      </c>
      <c r="G4476" t="s">
        <v>67</v>
      </c>
      <c r="H4476" t="s">
        <v>30</v>
      </c>
      <c r="I4476" t="s">
        <v>30</v>
      </c>
      <c r="J4476" t="s">
        <v>41</v>
      </c>
      <c r="K4476" t="s">
        <v>32</v>
      </c>
      <c r="L4476" t="s">
        <v>32</v>
      </c>
      <c r="M4476" t="s">
        <v>33</v>
      </c>
      <c r="N4476" t="s">
        <v>33</v>
      </c>
      <c r="O4476" t="s">
        <v>33</v>
      </c>
      <c r="P4476" t="s">
        <v>34</v>
      </c>
      <c r="Q4476" t="s">
        <v>35</v>
      </c>
      <c r="S4476" t="s">
        <v>30</v>
      </c>
      <c r="T4476" t="s">
        <v>3787</v>
      </c>
      <c r="U4476" t="s">
        <v>3788</v>
      </c>
      <c r="V4476" t="s">
        <v>39</v>
      </c>
      <c r="W4476" s="1">
        <v>5</v>
      </c>
    </row>
    <row r="4477" spans="1:23" x14ac:dyDescent="0.2">
      <c r="A4477" t="s">
        <v>2096</v>
      </c>
      <c r="B4477" t="s">
        <v>3333</v>
      </c>
      <c r="C4477" t="s">
        <v>3739</v>
      </c>
      <c r="D4477" t="s">
        <v>3752</v>
      </c>
      <c r="E4477" t="s">
        <v>3753</v>
      </c>
      <c r="F4477" t="s">
        <v>3754</v>
      </c>
      <c r="G4477" t="s">
        <v>67</v>
      </c>
      <c r="H4477" t="s">
        <v>30</v>
      </c>
      <c r="I4477" t="s">
        <v>30</v>
      </c>
      <c r="J4477" t="s">
        <v>41</v>
      </c>
      <c r="K4477" t="s">
        <v>32</v>
      </c>
      <c r="L4477" t="s">
        <v>32</v>
      </c>
      <c r="M4477" t="s">
        <v>33</v>
      </c>
      <c r="N4477" t="s">
        <v>33</v>
      </c>
      <c r="O4477" t="s">
        <v>33</v>
      </c>
      <c r="P4477" t="s">
        <v>34</v>
      </c>
      <c r="Q4477" t="s">
        <v>35</v>
      </c>
      <c r="S4477" t="s">
        <v>30</v>
      </c>
      <c r="T4477" t="s">
        <v>3787</v>
      </c>
      <c r="U4477" t="s">
        <v>3788</v>
      </c>
      <c r="V4477" t="s">
        <v>40</v>
      </c>
      <c r="W4477" s="1">
        <v>6145000</v>
      </c>
    </row>
    <row r="4478" spans="1:23" x14ac:dyDescent="0.2">
      <c r="A4478" t="s">
        <v>2096</v>
      </c>
      <c r="B4478" t="s">
        <v>3333</v>
      </c>
      <c r="C4478" t="s">
        <v>3739</v>
      </c>
      <c r="D4478" t="s">
        <v>3752</v>
      </c>
      <c r="E4478" t="s">
        <v>3753</v>
      </c>
      <c r="F4478" t="s">
        <v>3754</v>
      </c>
      <c r="G4478" t="s">
        <v>67</v>
      </c>
      <c r="H4478" t="s">
        <v>30</v>
      </c>
      <c r="I4478" t="s">
        <v>30</v>
      </c>
      <c r="J4478" t="s">
        <v>41</v>
      </c>
      <c r="K4478" t="s">
        <v>32</v>
      </c>
      <c r="L4478" t="s">
        <v>32</v>
      </c>
      <c r="M4478" t="s">
        <v>33</v>
      </c>
      <c r="N4478" t="s">
        <v>33</v>
      </c>
      <c r="O4478" t="s">
        <v>33</v>
      </c>
      <c r="P4478" t="s">
        <v>34</v>
      </c>
      <c r="Q4478" t="s">
        <v>35</v>
      </c>
      <c r="S4478" t="s">
        <v>30</v>
      </c>
      <c r="T4478" t="s">
        <v>3789</v>
      </c>
      <c r="U4478" t="s">
        <v>3790</v>
      </c>
      <c r="V4478" t="s">
        <v>39</v>
      </c>
      <c r="W4478" s="1">
        <v>4</v>
      </c>
    </row>
    <row r="4479" spans="1:23" x14ac:dyDescent="0.2">
      <c r="A4479" t="s">
        <v>2096</v>
      </c>
      <c r="B4479" t="s">
        <v>3333</v>
      </c>
      <c r="C4479" t="s">
        <v>3739</v>
      </c>
      <c r="D4479" t="s">
        <v>3752</v>
      </c>
      <c r="E4479" t="s">
        <v>3753</v>
      </c>
      <c r="F4479" t="s">
        <v>3754</v>
      </c>
      <c r="G4479" t="s">
        <v>67</v>
      </c>
      <c r="H4479" t="s">
        <v>30</v>
      </c>
      <c r="I4479" t="s">
        <v>30</v>
      </c>
      <c r="J4479" t="s">
        <v>41</v>
      </c>
      <c r="K4479" t="s">
        <v>32</v>
      </c>
      <c r="L4479" t="s">
        <v>32</v>
      </c>
      <c r="M4479" t="s">
        <v>33</v>
      </c>
      <c r="N4479" t="s">
        <v>33</v>
      </c>
      <c r="O4479" t="s">
        <v>33</v>
      </c>
      <c r="P4479" t="s">
        <v>34</v>
      </c>
      <c r="Q4479" t="s">
        <v>35</v>
      </c>
      <c r="S4479" t="s">
        <v>30</v>
      </c>
      <c r="T4479" t="s">
        <v>3789</v>
      </c>
      <c r="U4479" t="s">
        <v>3790</v>
      </c>
      <c r="V4479" t="s">
        <v>40</v>
      </c>
      <c r="W4479" s="1">
        <v>5188400</v>
      </c>
    </row>
    <row r="4480" spans="1:23" x14ac:dyDescent="0.2">
      <c r="A4480" t="s">
        <v>2096</v>
      </c>
      <c r="B4480" t="s">
        <v>3333</v>
      </c>
      <c r="C4480" t="s">
        <v>3739</v>
      </c>
      <c r="D4480" t="s">
        <v>3752</v>
      </c>
      <c r="E4480" t="s">
        <v>3753</v>
      </c>
      <c r="F4480" t="s">
        <v>3754</v>
      </c>
      <c r="G4480" t="s">
        <v>67</v>
      </c>
      <c r="H4480" t="s">
        <v>30</v>
      </c>
      <c r="I4480" t="s">
        <v>30</v>
      </c>
      <c r="J4480" t="s">
        <v>41</v>
      </c>
      <c r="K4480" t="s">
        <v>32</v>
      </c>
      <c r="L4480" t="s">
        <v>32</v>
      </c>
      <c r="M4480" t="s">
        <v>176</v>
      </c>
      <c r="N4480" t="s">
        <v>176</v>
      </c>
      <c r="O4480" t="s">
        <v>176</v>
      </c>
      <c r="P4480" t="s">
        <v>34</v>
      </c>
      <c r="Q4480" t="s">
        <v>35</v>
      </c>
      <c r="S4480" t="s">
        <v>30</v>
      </c>
      <c r="T4480" t="s">
        <v>3787</v>
      </c>
      <c r="U4480" t="s">
        <v>3788</v>
      </c>
      <c r="V4480" t="s">
        <v>39</v>
      </c>
      <c r="W4480" s="1">
        <v>2</v>
      </c>
    </row>
    <row r="4481" spans="1:23" x14ac:dyDescent="0.2">
      <c r="A4481" t="s">
        <v>2096</v>
      </c>
      <c r="B4481" t="s">
        <v>3333</v>
      </c>
      <c r="C4481" t="s">
        <v>3739</v>
      </c>
      <c r="D4481" t="s">
        <v>3752</v>
      </c>
      <c r="E4481" t="s">
        <v>3753</v>
      </c>
      <c r="F4481" t="s">
        <v>3754</v>
      </c>
      <c r="G4481" t="s">
        <v>67</v>
      </c>
      <c r="H4481" t="s">
        <v>30</v>
      </c>
      <c r="I4481" t="s">
        <v>30</v>
      </c>
      <c r="J4481" t="s">
        <v>41</v>
      </c>
      <c r="K4481" t="s">
        <v>32</v>
      </c>
      <c r="L4481" t="s">
        <v>32</v>
      </c>
      <c r="M4481" t="s">
        <v>176</v>
      </c>
      <c r="N4481" t="s">
        <v>176</v>
      </c>
      <c r="O4481" t="s">
        <v>176</v>
      </c>
      <c r="P4481" t="s">
        <v>34</v>
      </c>
      <c r="Q4481" t="s">
        <v>35</v>
      </c>
      <c r="S4481" t="s">
        <v>30</v>
      </c>
      <c r="T4481" t="s">
        <v>3787</v>
      </c>
      <c r="U4481" t="s">
        <v>3788</v>
      </c>
      <c r="V4481" t="s">
        <v>40</v>
      </c>
      <c r="W4481" s="1">
        <v>2458000</v>
      </c>
    </row>
    <row r="4482" spans="1:23" x14ac:dyDescent="0.2">
      <c r="A4482" t="s">
        <v>2096</v>
      </c>
      <c r="B4482" t="s">
        <v>3333</v>
      </c>
      <c r="C4482" t="s">
        <v>3739</v>
      </c>
      <c r="D4482" t="s">
        <v>3752</v>
      </c>
      <c r="E4482" t="s">
        <v>3753</v>
      </c>
      <c r="F4482" t="s">
        <v>3754</v>
      </c>
      <c r="G4482" t="s">
        <v>67</v>
      </c>
      <c r="H4482" t="s">
        <v>30</v>
      </c>
      <c r="I4482" t="s">
        <v>30</v>
      </c>
      <c r="J4482" t="s">
        <v>41</v>
      </c>
      <c r="K4482" t="s">
        <v>32</v>
      </c>
      <c r="L4482" t="s">
        <v>32</v>
      </c>
      <c r="M4482" t="s">
        <v>176</v>
      </c>
      <c r="N4482" t="s">
        <v>195</v>
      </c>
      <c r="O4482" t="s">
        <v>195</v>
      </c>
      <c r="P4482" t="s">
        <v>34</v>
      </c>
      <c r="Q4482" t="s">
        <v>35</v>
      </c>
      <c r="S4482" t="s">
        <v>30</v>
      </c>
      <c r="T4482" t="s">
        <v>3787</v>
      </c>
      <c r="U4482" t="s">
        <v>3788</v>
      </c>
      <c r="V4482" t="s">
        <v>39</v>
      </c>
      <c r="W4482" s="1">
        <v>1</v>
      </c>
    </row>
    <row r="4483" spans="1:23" x14ac:dyDescent="0.2">
      <c r="A4483" t="s">
        <v>2096</v>
      </c>
      <c r="B4483" t="s">
        <v>3333</v>
      </c>
      <c r="C4483" t="s">
        <v>3739</v>
      </c>
      <c r="D4483" t="s">
        <v>3752</v>
      </c>
      <c r="E4483" t="s">
        <v>3753</v>
      </c>
      <c r="F4483" t="s">
        <v>3754</v>
      </c>
      <c r="G4483" t="s">
        <v>67</v>
      </c>
      <c r="H4483" t="s">
        <v>30</v>
      </c>
      <c r="I4483" t="s">
        <v>30</v>
      </c>
      <c r="J4483" t="s">
        <v>41</v>
      </c>
      <c r="K4483" t="s">
        <v>32</v>
      </c>
      <c r="L4483" t="s">
        <v>32</v>
      </c>
      <c r="M4483" t="s">
        <v>176</v>
      </c>
      <c r="N4483" t="s">
        <v>195</v>
      </c>
      <c r="O4483" t="s">
        <v>195</v>
      </c>
      <c r="P4483" t="s">
        <v>34</v>
      </c>
      <c r="Q4483" t="s">
        <v>35</v>
      </c>
      <c r="S4483" t="s">
        <v>30</v>
      </c>
      <c r="T4483" t="s">
        <v>3787</v>
      </c>
      <c r="U4483" t="s">
        <v>3788</v>
      </c>
      <c r="V4483" t="s">
        <v>40</v>
      </c>
      <c r="W4483" s="1">
        <v>1229000</v>
      </c>
    </row>
    <row r="4484" spans="1:23" x14ac:dyDescent="0.2">
      <c r="A4484" t="s">
        <v>2096</v>
      </c>
      <c r="B4484" t="s">
        <v>3333</v>
      </c>
      <c r="C4484" t="s">
        <v>3739</v>
      </c>
      <c r="D4484" t="s">
        <v>3752</v>
      </c>
      <c r="E4484" t="s">
        <v>3753</v>
      </c>
      <c r="F4484" t="s">
        <v>3754</v>
      </c>
      <c r="G4484" t="s">
        <v>89</v>
      </c>
      <c r="H4484" t="s">
        <v>30</v>
      </c>
      <c r="I4484" t="s">
        <v>30</v>
      </c>
      <c r="J4484" t="s">
        <v>31</v>
      </c>
      <c r="K4484" t="s">
        <v>32</v>
      </c>
      <c r="L4484" t="s">
        <v>32</v>
      </c>
      <c r="M4484" t="s">
        <v>33</v>
      </c>
      <c r="N4484" t="s">
        <v>33</v>
      </c>
      <c r="O4484" t="s">
        <v>33</v>
      </c>
      <c r="P4484" t="s">
        <v>34</v>
      </c>
      <c r="Q4484" t="s">
        <v>35</v>
      </c>
      <c r="R4484" t="s">
        <v>73</v>
      </c>
      <c r="S4484" t="s">
        <v>30</v>
      </c>
      <c r="T4484" t="s">
        <v>3791</v>
      </c>
      <c r="U4484" t="s">
        <v>3792</v>
      </c>
      <c r="V4484" t="s">
        <v>39</v>
      </c>
      <c r="W4484" s="1">
        <v>6</v>
      </c>
    </row>
    <row r="4485" spans="1:23" x14ac:dyDescent="0.2">
      <c r="A4485" t="s">
        <v>2096</v>
      </c>
      <c r="B4485" t="s">
        <v>3333</v>
      </c>
      <c r="C4485" t="s">
        <v>3739</v>
      </c>
      <c r="D4485" t="s">
        <v>3752</v>
      </c>
      <c r="E4485" t="s">
        <v>3753</v>
      </c>
      <c r="F4485" t="s">
        <v>3754</v>
      </c>
      <c r="G4485" t="s">
        <v>89</v>
      </c>
      <c r="H4485" t="s">
        <v>30</v>
      </c>
      <c r="I4485" t="s">
        <v>30</v>
      </c>
      <c r="J4485" t="s">
        <v>31</v>
      </c>
      <c r="K4485" t="s">
        <v>32</v>
      </c>
      <c r="L4485" t="s">
        <v>32</v>
      </c>
      <c r="M4485" t="s">
        <v>33</v>
      </c>
      <c r="N4485" t="s">
        <v>33</v>
      </c>
      <c r="O4485" t="s">
        <v>33</v>
      </c>
      <c r="P4485" t="s">
        <v>34</v>
      </c>
      <c r="Q4485" t="s">
        <v>35</v>
      </c>
      <c r="R4485" t="s">
        <v>73</v>
      </c>
      <c r="S4485" t="s">
        <v>30</v>
      </c>
      <c r="T4485" t="s">
        <v>3791</v>
      </c>
      <c r="U4485" t="s">
        <v>3792</v>
      </c>
      <c r="V4485" t="s">
        <v>40</v>
      </c>
      <c r="W4485" s="1">
        <v>4199400</v>
      </c>
    </row>
    <row r="4486" spans="1:23" x14ac:dyDescent="0.2">
      <c r="A4486" t="s">
        <v>2096</v>
      </c>
      <c r="B4486" t="s">
        <v>3333</v>
      </c>
      <c r="C4486" t="s">
        <v>3739</v>
      </c>
      <c r="D4486" t="s">
        <v>3752</v>
      </c>
      <c r="E4486" t="s">
        <v>3753</v>
      </c>
      <c r="F4486" t="s">
        <v>3754</v>
      </c>
      <c r="G4486" t="s">
        <v>89</v>
      </c>
      <c r="H4486" t="s">
        <v>30</v>
      </c>
      <c r="I4486" t="s">
        <v>30</v>
      </c>
      <c r="J4486" t="s">
        <v>31</v>
      </c>
      <c r="K4486" t="s">
        <v>32</v>
      </c>
      <c r="L4486" t="s">
        <v>32</v>
      </c>
      <c r="M4486" t="s">
        <v>33</v>
      </c>
      <c r="P4486" t="s">
        <v>34</v>
      </c>
      <c r="Q4486" t="s">
        <v>35</v>
      </c>
      <c r="S4486" t="s">
        <v>30</v>
      </c>
      <c r="T4486" t="s">
        <v>3793</v>
      </c>
      <c r="U4486" t="s">
        <v>3794</v>
      </c>
      <c r="V4486" t="s">
        <v>39</v>
      </c>
      <c r="W4486" s="1">
        <v>4</v>
      </c>
    </row>
    <row r="4487" spans="1:23" x14ac:dyDescent="0.2">
      <c r="A4487" t="s">
        <v>2096</v>
      </c>
      <c r="B4487" t="s">
        <v>3333</v>
      </c>
      <c r="C4487" t="s">
        <v>3739</v>
      </c>
      <c r="D4487" t="s">
        <v>3752</v>
      </c>
      <c r="E4487" t="s">
        <v>3753</v>
      </c>
      <c r="F4487" t="s">
        <v>3754</v>
      </c>
      <c r="G4487" t="s">
        <v>89</v>
      </c>
      <c r="H4487" t="s">
        <v>30</v>
      </c>
      <c r="I4487" t="s">
        <v>30</v>
      </c>
      <c r="J4487" t="s">
        <v>31</v>
      </c>
      <c r="K4487" t="s">
        <v>32</v>
      </c>
      <c r="L4487" t="s">
        <v>32</v>
      </c>
      <c r="M4487" t="s">
        <v>33</v>
      </c>
      <c r="P4487" t="s">
        <v>34</v>
      </c>
      <c r="Q4487" t="s">
        <v>35</v>
      </c>
      <c r="S4487" t="s">
        <v>30</v>
      </c>
      <c r="T4487" t="s">
        <v>3793</v>
      </c>
      <c r="U4487" t="s">
        <v>3794</v>
      </c>
      <c r="V4487" t="s">
        <v>40</v>
      </c>
      <c r="W4487" s="1">
        <v>4430000</v>
      </c>
    </row>
    <row r="4488" spans="1:23" x14ac:dyDescent="0.2">
      <c r="A4488" t="s">
        <v>2096</v>
      </c>
      <c r="B4488" t="s">
        <v>3333</v>
      </c>
      <c r="C4488" t="s">
        <v>3739</v>
      </c>
      <c r="D4488" t="s">
        <v>3752</v>
      </c>
      <c r="E4488" t="s">
        <v>3753</v>
      </c>
      <c r="F4488" t="s">
        <v>3754</v>
      </c>
      <c r="G4488" t="s">
        <v>89</v>
      </c>
      <c r="H4488" t="s">
        <v>30</v>
      </c>
      <c r="I4488" t="s">
        <v>30</v>
      </c>
      <c r="J4488" t="s">
        <v>31</v>
      </c>
      <c r="K4488" t="s">
        <v>32</v>
      </c>
      <c r="L4488" t="s">
        <v>32</v>
      </c>
      <c r="M4488" t="s">
        <v>33</v>
      </c>
      <c r="P4488" t="s">
        <v>34</v>
      </c>
      <c r="Q4488" t="s">
        <v>35</v>
      </c>
      <c r="S4488" t="s">
        <v>30</v>
      </c>
      <c r="T4488" t="s">
        <v>3795</v>
      </c>
      <c r="U4488" t="s">
        <v>3796</v>
      </c>
      <c r="V4488" t="s">
        <v>39</v>
      </c>
      <c r="W4488" s="1">
        <v>3</v>
      </c>
    </row>
    <row r="4489" spans="1:23" x14ac:dyDescent="0.2">
      <c r="A4489" t="s">
        <v>2096</v>
      </c>
      <c r="B4489" t="s">
        <v>3333</v>
      </c>
      <c r="C4489" t="s">
        <v>3739</v>
      </c>
      <c r="D4489" t="s">
        <v>3752</v>
      </c>
      <c r="E4489" t="s">
        <v>3753</v>
      </c>
      <c r="F4489" t="s">
        <v>3754</v>
      </c>
      <c r="G4489" t="s">
        <v>89</v>
      </c>
      <c r="H4489" t="s">
        <v>30</v>
      </c>
      <c r="I4489" t="s">
        <v>30</v>
      </c>
      <c r="J4489" t="s">
        <v>31</v>
      </c>
      <c r="K4489" t="s">
        <v>32</v>
      </c>
      <c r="L4489" t="s">
        <v>32</v>
      </c>
      <c r="M4489" t="s">
        <v>33</v>
      </c>
      <c r="P4489" t="s">
        <v>34</v>
      </c>
      <c r="Q4489" t="s">
        <v>35</v>
      </c>
      <c r="S4489" t="s">
        <v>30</v>
      </c>
      <c r="T4489" t="s">
        <v>3795</v>
      </c>
      <c r="U4489" t="s">
        <v>3796</v>
      </c>
      <c r="V4489" t="s">
        <v>40</v>
      </c>
      <c r="W4489" s="1">
        <v>4127400</v>
      </c>
    </row>
    <row r="4490" spans="1:23" x14ac:dyDescent="0.2">
      <c r="A4490" t="s">
        <v>2096</v>
      </c>
      <c r="B4490" t="s">
        <v>3333</v>
      </c>
      <c r="C4490" t="s">
        <v>3739</v>
      </c>
      <c r="D4490" t="s">
        <v>3752</v>
      </c>
      <c r="E4490" t="s">
        <v>3753</v>
      </c>
      <c r="F4490" t="s">
        <v>3754</v>
      </c>
      <c r="G4490" t="s">
        <v>89</v>
      </c>
      <c r="H4490" t="s">
        <v>30</v>
      </c>
      <c r="I4490" t="s">
        <v>30</v>
      </c>
      <c r="J4490" t="s">
        <v>41</v>
      </c>
      <c r="K4490" t="s">
        <v>32</v>
      </c>
      <c r="L4490" t="s">
        <v>32</v>
      </c>
      <c r="M4490" t="s">
        <v>33</v>
      </c>
      <c r="N4490" t="s">
        <v>33</v>
      </c>
      <c r="O4490" t="s">
        <v>33</v>
      </c>
      <c r="P4490" t="s">
        <v>34</v>
      </c>
      <c r="Q4490" t="s">
        <v>35</v>
      </c>
      <c r="R4490" t="s">
        <v>294</v>
      </c>
      <c r="S4490" t="s">
        <v>30</v>
      </c>
      <c r="T4490" t="s">
        <v>3797</v>
      </c>
      <c r="U4490" t="s">
        <v>3798</v>
      </c>
      <c r="V4490" t="s">
        <v>39</v>
      </c>
      <c r="W4490" s="1">
        <v>2</v>
      </c>
    </row>
    <row r="4491" spans="1:23" x14ac:dyDescent="0.2">
      <c r="A4491" t="s">
        <v>2096</v>
      </c>
      <c r="B4491" t="s">
        <v>3333</v>
      </c>
      <c r="C4491" t="s">
        <v>3739</v>
      </c>
      <c r="D4491" t="s">
        <v>3752</v>
      </c>
      <c r="E4491" t="s">
        <v>3753</v>
      </c>
      <c r="F4491" t="s">
        <v>3754</v>
      </c>
      <c r="G4491" t="s">
        <v>89</v>
      </c>
      <c r="H4491" t="s">
        <v>30</v>
      </c>
      <c r="I4491" t="s">
        <v>30</v>
      </c>
      <c r="J4491" t="s">
        <v>41</v>
      </c>
      <c r="K4491" t="s">
        <v>32</v>
      </c>
      <c r="L4491" t="s">
        <v>32</v>
      </c>
      <c r="M4491" t="s">
        <v>33</v>
      </c>
      <c r="N4491" t="s">
        <v>33</v>
      </c>
      <c r="O4491" t="s">
        <v>33</v>
      </c>
      <c r="P4491" t="s">
        <v>34</v>
      </c>
      <c r="Q4491" t="s">
        <v>35</v>
      </c>
      <c r="R4491" t="s">
        <v>294</v>
      </c>
      <c r="S4491" t="s">
        <v>30</v>
      </c>
      <c r="T4491" t="s">
        <v>3797</v>
      </c>
      <c r="U4491" t="s">
        <v>3798</v>
      </c>
      <c r="V4491" t="s">
        <v>40</v>
      </c>
      <c r="W4491" s="1">
        <v>2038000</v>
      </c>
    </row>
    <row r="4492" spans="1:23" x14ac:dyDescent="0.2">
      <c r="A4492" t="s">
        <v>2096</v>
      </c>
      <c r="B4492" t="s">
        <v>3333</v>
      </c>
      <c r="C4492" t="s">
        <v>3739</v>
      </c>
      <c r="D4492" t="s">
        <v>3752</v>
      </c>
      <c r="E4492" t="s">
        <v>3753</v>
      </c>
      <c r="F4492" t="s">
        <v>3754</v>
      </c>
      <c r="G4492" t="s">
        <v>89</v>
      </c>
      <c r="H4492" t="s">
        <v>30</v>
      </c>
      <c r="I4492" t="s">
        <v>30</v>
      </c>
      <c r="J4492" t="s">
        <v>57</v>
      </c>
      <c r="K4492" t="s">
        <v>32</v>
      </c>
      <c r="L4492" t="s">
        <v>32</v>
      </c>
      <c r="M4492" t="s">
        <v>33</v>
      </c>
      <c r="N4492" t="s">
        <v>33</v>
      </c>
      <c r="O4492" t="s">
        <v>33</v>
      </c>
      <c r="P4492" t="s">
        <v>34</v>
      </c>
      <c r="Q4492" t="s">
        <v>35</v>
      </c>
      <c r="R4492" t="s">
        <v>319</v>
      </c>
      <c r="S4492" t="s">
        <v>30</v>
      </c>
      <c r="T4492" t="s">
        <v>3799</v>
      </c>
      <c r="U4492" t="s">
        <v>3800</v>
      </c>
      <c r="V4492" t="s">
        <v>39</v>
      </c>
      <c r="W4492" s="1">
        <v>2</v>
      </c>
    </row>
    <row r="4493" spans="1:23" x14ac:dyDescent="0.2">
      <c r="A4493" t="s">
        <v>2096</v>
      </c>
      <c r="B4493" t="s">
        <v>3333</v>
      </c>
      <c r="C4493" t="s">
        <v>3739</v>
      </c>
      <c r="D4493" t="s">
        <v>3752</v>
      </c>
      <c r="E4493" t="s">
        <v>3753</v>
      </c>
      <c r="F4493" t="s">
        <v>3754</v>
      </c>
      <c r="G4493" t="s">
        <v>89</v>
      </c>
      <c r="H4493" t="s">
        <v>30</v>
      </c>
      <c r="I4493" t="s">
        <v>30</v>
      </c>
      <c r="J4493" t="s">
        <v>57</v>
      </c>
      <c r="K4493" t="s">
        <v>32</v>
      </c>
      <c r="L4493" t="s">
        <v>32</v>
      </c>
      <c r="M4493" t="s">
        <v>33</v>
      </c>
      <c r="N4493" t="s">
        <v>33</v>
      </c>
      <c r="O4493" t="s">
        <v>33</v>
      </c>
      <c r="P4493" t="s">
        <v>34</v>
      </c>
      <c r="Q4493" t="s">
        <v>35</v>
      </c>
      <c r="R4493" t="s">
        <v>319</v>
      </c>
      <c r="S4493" t="s">
        <v>30</v>
      </c>
      <c r="T4493" t="s">
        <v>3799</v>
      </c>
      <c r="U4493" t="s">
        <v>3800</v>
      </c>
      <c r="V4493" t="s">
        <v>40</v>
      </c>
      <c r="W4493" s="1">
        <v>3598000</v>
      </c>
    </row>
    <row r="4494" spans="1:23" x14ac:dyDescent="0.2">
      <c r="A4494" t="s">
        <v>2096</v>
      </c>
      <c r="B4494" t="s">
        <v>3333</v>
      </c>
      <c r="C4494" t="s">
        <v>3739</v>
      </c>
      <c r="D4494" t="s">
        <v>3752</v>
      </c>
      <c r="E4494" t="s">
        <v>3753</v>
      </c>
      <c r="F4494" t="s">
        <v>3754</v>
      </c>
      <c r="G4494" t="s">
        <v>106</v>
      </c>
      <c r="H4494" t="s">
        <v>30</v>
      </c>
      <c r="I4494" t="s">
        <v>30</v>
      </c>
      <c r="J4494" t="s">
        <v>211</v>
      </c>
      <c r="K4494" t="s">
        <v>212</v>
      </c>
      <c r="L4494" t="s">
        <v>32</v>
      </c>
      <c r="M4494" t="s">
        <v>33</v>
      </c>
      <c r="N4494" t="s">
        <v>33</v>
      </c>
      <c r="O4494" t="s">
        <v>33</v>
      </c>
      <c r="P4494" t="s">
        <v>34</v>
      </c>
      <c r="Q4494" t="s">
        <v>35</v>
      </c>
      <c r="R4494" t="s">
        <v>215</v>
      </c>
      <c r="S4494" t="s">
        <v>30</v>
      </c>
      <c r="T4494" t="s">
        <v>3801</v>
      </c>
      <c r="U4494" t="s">
        <v>3802</v>
      </c>
      <c r="V4494" t="s">
        <v>39</v>
      </c>
      <c r="W4494" s="1">
        <v>4</v>
      </c>
    </row>
    <row r="4495" spans="1:23" x14ac:dyDescent="0.2">
      <c r="A4495" t="s">
        <v>2096</v>
      </c>
      <c r="B4495" t="s">
        <v>3333</v>
      </c>
      <c r="C4495" t="s">
        <v>3739</v>
      </c>
      <c r="D4495" t="s">
        <v>3752</v>
      </c>
      <c r="E4495" t="s">
        <v>3753</v>
      </c>
      <c r="F4495" t="s">
        <v>3754</v>
      </c>
      <c r="G4495" t="s">
        <v>106</v>
      </c>
      <c r="H4495" t="s">
        <v>30</v>
      </c>
      <c r="I4495" t="s">
        <v>30</v>
      </c>
      <c r="J4495" t="s">
        <v>211</v>
      </c>
      <c r="K4495" t="s">
        <v>212</v>
      </c>
      <c r="L4495" t="s">
        <v>32</v>
      </c>
      <c r="M4495" t="s">
        <v>33</v>
      </c>
      <c r="N4495" t="s">
        <v>33</v>
      </c>
      <c r="O4495" t="s">
        <v>33</v>
      </c>
      <c r="P4495" t="s">
        <v>34</v>
      </c>
      <c r="Q4495" t="s">
        <v>35</v>
      </c>
      <c r="R4495" t="s">
        <v>215</v>
      </c>
      <c r="S4495" t="s">
        <v>30</v>
      </c>
      <c r="T4495" t="s">
        <v>3801</v>
      </c>
      <c r="U4495" t="s">
        <v>3802</v>
      </c>
      <c r="V4495" t="s">
        <v>40</v>
      </c>
      <c r="W4495" s="1">
        <v>11999600</v>
      </c>
    </row>
    <row r="4496" spans="1:23" x14ac:dyDescent="0.2">
      <c r="A4496" t="s">
        <v>2096</v>
      </c>
      <c r="B4496" t="s">
        <v>3333</v>
      </c>
      <c r="C4496" t="s">
        <v>3739</v>
      </c>
      <c r="D4496" t="s">
        <v>3752</v>
      </c>
      <c r="E4496" t="s">
        <v>3753</v>
      </c>
      <c r="F4496" t="s">
        <v>3754</v>
      </c>
      <c r="G4496" t="s">
        <v>106</v>
      </c>
      <c r="H4496" t="s">
        <v>30</v>
      </c>
      <c r="I4496" t="s">
        <v>30</v>
      </c>
      <c r="J4496" t="s">
        <v>128</v>
      </c>
      <c r="K4496" t="s">
        <v>135</v>
      </c>
      <c r="L4496" t="s">
        <v>32</v>
      </c>
      <c r="M4496" t="s">
        <v>33</v>
      </c>
      <c r="N4496" t="s">
        <v>33</v>
      </c>
      <c r="O4496" t="s">
        <v>33</v>
      </c>
      <c r="P4496" t="s">
        <v>213</v>
      </c>
      <c r="Q4496" t="s">
        <v>2111</v>
      </c>
      <c r="R4496" t="s">
        <v>274</v>
      </c>
      <c r="S4496" t="s">
        <v>30</v>
      </c>
      <c r="T4496" t="s">
        <v>3803</v>
      </c>
      <c r="U4496" t="s">
        <v>3804</v>
      </c>
      <c r="V4496" t="s">
        <v>39</v>
      </c>
      <c r="W4496" s="1">
        <v>2</v>
      </c>
    </row>
    <row r="4497" spans="1:23" x14ac:dyDescent="0.2">
      <c r="A4497" t="s">
        <v>2096</v>
      </c>
      <c r="B4497" t="s">
        <v>3333</v>
      </c>
      <c r="C4497" t="s">
        <v>3739</v>
      </c>
      <c r="D4497" t="s">
        <v>3752</v>
      </c>
      <c r="E4497" t="s">
        <v>3753</v>
      </c>
      <c r="F4497" t="s">
        <v>3754</v>
      </c>
      <c r="G4497" t="s">
        <v>106</v>
      </c>
      <c r="H4497" t="s">
        <v>30</v>
      </c>
      <c r="I4497" t="s">
        <v>30</v>
      </c>
      <c r="J4497" t="s">
        <v>128</v>
      </c>
      <c r="K4497" t="s">
        <v>135</v>
      </c>
      <c r="L4497" t="s">
        <v>32</v>
      </c>
      <c r="M4497" t="s">
        <v>33</v>
      </c>
      <c r="N4497" t="s">
        <v>33</v>
      </c>
      <c r="O4497" t="s">
        <v>33</v>
      </c>
      <c r="P4497" t="s">
        <v>213</v>
      </c>
      <c r="Q4497" t="s">
        <v>2111</v>
      </c>
      <c r="R4497" t="s">
        <v>274</v>
      </c>
      <c r="S4497" t="s">
        <v>30</v>
      </c>
      <c r="T4497" t="s">
        <v>3803</v>
      </c>
      <c r="U4497" t="s">
        <v>3804</v>
      </c>
      <c r="V4497" t="s">
        <v>40</v>
      </c>
      <c r="W4497" s="1">
        <v>641800</v>
      </c>
    </row>
    <row r="4498" spans="1:23" x14ac:dyDescent="0.2">
      <c r="A4498" t="s">
        <v>2096</v>
      </c>
      <c r="B4498" t="s">
        <v>3333</v>
      </c>
      <c r="C4498" t="s">
        <v>3739</v>
      </c>
      <c r="D4498" t="s">
        <v>3752</v>
      </c>
      <c r="E4498" t="s">
        <v>3753</v>
      </c>
      <c r="F4498" t="s">
        <v>3754</v>
      </c>
      <c r="G4498" t="s">
        <v>106</v>
      </c>
      <c r="H4498" t="s">
        <v>30</v>
      </c>
      <c r="I4498" t="s">
        <v>30</v>
      </c>
      <c r="J4498" t="s">
        <v>31</v>
      </c>
      <c r="K4498" t="s">
        <v>32</v>
      </c>
      <c r="L4498" t="s">
        <v>32</v>
      </c>
      <c r="M4498" t="s">
        <v>33</v>
      </c>
      <c r="P4498" t="s">
        <v>34</v>
      </c>
      <c r="Q4498" t="s">
        <v>35</v>
      </c>
      <c r="R4498" t="s">
        <v>228</v>
      </c>
      <c r="S4498" t="s">
        <v>52</v>
      </c>
      <c r="T4498" t="s">
        <v>3805</v>
      </c>
      <c r="U4498" t="s">
        <v>3806</v>
      </c>
      <c r="V4498" t="s">
        <v>39</v>
      </c>
      <c r="W4498" s="1">
        <v>0</v>
      </c>
    </row>
    <row r="4499" spans="1:23" x14ac:dyDescent="0.2">
      <c r="A4499" t="s">
        <v>2096</v>
      </c>
      <c r="B4499" t="s">
        <v>3333</v>
      </c>
      <c r="C4499" t="s">
        <v>3739</v>
      </c>
      <c r="D4499" t="s">
        <v>3752</v>
      </c>
      <c r="E4499" t="s">
        <v>3753</v>
      </c>
      <c r="F4499" t="s">
        <v>3754</v>
      </c>
      <c r="G4499" t="s">
        <v>106</v>
      </c>
      <c r="H4499" t="s">
        <v>30</v>
      </c>
      <c r="I4499" t="s">
        <v>30</v>
      </c>
      <c r="J4499" t="s">
        <v>31</v>
      </c>
      <c r="K4499" t="s">
        <v>32</v>
      </c>
      <c r="L4499" t="s">
        <v>32</v>
      </c>
      <c r="M4499" t="s">
        <v>33</v>
      </c>
      <c r="P4499" t="s">
        <v>34</v>
      </c>
      <c r="Q4499" t="s">
        <v>35</v>
      </c>
      <c r="R4499" t="s">
        <v>228</v>
      </c>
      <c r="S4499" t="s">
        <v>52</v>
      </c>
      <c r="T4499" t="s">
        <v>3805</v>
      </c>
      <c r="U4499" t="s">
        <v>3806</v>
      </c>
      <c r="V4499" t="s">
        <v>40</v>
      </c>
      <c r="W4499" s="1">
        <v>5718300</v>
      </c>
    </row>
    <row r="4500" spans="1:23" x14ac:dyDescent="0.2">
      <c r="A4500" t="s">
        <v>2096</v>
      </c>
      <c r="B4500" t="s">
        <v>3333</v>
      </c>
      <c r="C4500" t="s">
        <v>3739</v>
      </c>
      <c r="D4500" t="s">
        <v>3752</v>
      </c>
      <c r="E4500" t="s">
        <v>3753</v>
      </c>
      <c r="F4500" t="s">
        <v>3754</v>
      </c>
      <c r="G4500" t="s">
        <v>106</v>
      </c>
      <c r="H4500" t="s">
        <v>30</v>
      </c>
      <c r="I4500" t="s">
        <v>30</v>
      </c>
      <c r="J4500" t="s">
        <v>31</v>
      </c>
      <c r="K4500" t="s">
        <v>32</v>
      </c>
      <c r="L4500" t="s">
        <v>32</v>
      </c>
      <c r="M4500" t="s">
        <v>176</v>
      </c>
      <c r="P4500" t="s">
        <v>34</v>
      </c>
      <c r="Q4500" t="s">
        <v>35</v>
      </c>
      <c r="R4500" t="s">
        <v>228</v>
      </c>
      <c r="S4500" t="s">
        <v>52</v>
      </c>
      <c r="T4500" t="s">
        <v>3805</v>
      </c>
      <c r="U4500" t="s">
        <v>3806</v>
      </c>
      <c r="V4500" t="s">
        <v>39</v>
      </c>
      <c r="W4500" s="1">
        <v>0</v>
      </c>
    </row>
    <row r="4501" spans="1:23" x14ac:dyDescent="0.2">
      <c r="A4501" t="s">
        <v>2096</v>
      </c>
      <c r="B4501" t="s">
        <v>3333</v>
      </c>
      <c r="C4501" t="s">
        <v>3739</v>
      </c>
      <c r="D4501" t="s">
        <v>3752</v>
      </c>
      <c r="E4501" t="s">
        <v>3753</v>
      </c>
      <c r="F4501" t="s">
        <v>3754</v>
      </c>
      <c r="G4501" t="s">
        <v>106</v>
      </c>
      <c r="H4501" t="s">
        <v>30</v>
      </c>
      <c r="I4501" t="s">
        <v>30</v>
      </c>
      <c r="J4501" t="s">
        <v>31</v>
      </c>
      <c r="K4501" t="s">
        <v>32</v>
      </c>
      <c r="L4501" t="s">
        <v>32</v>
      </c>
      <c r="M4501" t="s">
        <v>176</v>
      </c>
      <c r="P4501" t="s">
        <v>34</v>
      </c>
      <c r="Q4501" t="s">
        <v>35</v>
      </c>
      <c r="R4501" t="s">
        <v>228</v>
      </c>
      <c r="S4501" t="s">
        <v>52</v>
      </c>
      <c r="T4501" t="s">
        <v>3805</v>
      </c>
      <c r="U4501" t="s">
        <v>3806</v>
      </c>
      <c r="V4501" t="s">
        <v>40</v>
      </c>
      <c r="W4501" s="1">
        <v>2205630</v>
      </c>
    </row>
    <row r="4502" spans="1:23" x14ac:dyDescent="0.2">
      <c r="A4502" t="s">
        <v>2096</v>
      </c>
      <c r="B4502" t="s">
        <v>3333</v>
      </c>
      <c r="C4502" t="s">
        <v>3739</v>
      </c>
      <c r="D4502" t="s">
        <v>3752</v>
      </c>
      <c r="E4502" t="s">
        <v>3753</v>
      </c>
      <c r="F4502" t="s">
        <v>3754</v>
      </c>
      <c r="G4502" t="s">
        <v>106</v>
      </c>
      <c r="H4502" t="s">
        <v>30</v>
      </c>
      <c r="I4502" t="s">
        <v>30</v>
      </c>
      <c r="J4502" t="s">
        <v>41</v>
      </c>
      <c r="K4502" t="s">
        <v>32</v>
      </c>
      <c r="L4502" t="s">
        <v>32</v>
      </c>
      <c r="M4502" t="s">
        <v>33</v>
      </c>
      <c r="N4502" t="s">
        <v>33</v>
      </c>
      <c r="O4502" t="s">
        <v>33</v>
      </c>
      <c r="P4502" t="s">
        <v>213</v>
      </c>
      <c r="Q4502" t="s">
        <v>2111</v>
      </c>
      <c r="S4502" t="s">
        <v>30</v>
      </c>
      <c r="T4502" t="s">
        <v>3807</v>
      </c>
      <c r="U4502" t="s">
        <v>3808</v>
      </c>
      <c r="V4502" t="s">
        <v>39</v>
      </c>
      <c r="W4502" s="1">
        <v>3</v>
      </c>
    </row>
    <row r="4503" spans="1:23" x14ac:dyDescent="0.2">
      <c r="A4503" t="s">
        <v>2096</v>
      </c>
      <c r="B4503" t="s">
        <v>3333</v>
      </c>
      <c r="C4503" t="s">
        <v>3739</v>
      </c>
      <c r="D4503" t="s">
        <v>3752</v>
      </c>
      <c r="E4503" t="s">
        <v>3753</v>
      </c>
      <c r="F4503" t="s">
        <v>3754</v>
      </c>
      <c r="G4503" t="s">
        <v>106</v>
      </c>
      <c r="H4503" t="s">
        <v>30</v>
      </c>
      <c r="I4503" t="s">
        <v>30</v>
      </c>
      <c r="J4503" t="s">
        <v>41</v>
      </c>
      <c r="K4503" t="s">
        <v>32</v>
      </c>
      <c r="L4503" t="s">
        <v>32</v>
      </c>
      <c r="M4503" t="s">
        <v>33</v>
      </c>
      <c r="N4503" t="s">
        <v>33</v>
      </c>
      <c r="O4503" t="s">
        <v>33</v>
      </c>
      <c r="P4503" t="s">
        <v>213</v>
      </c>
      <c r="Q4503" t="s">
        <v>2111</v>
      </c>
      <c r="S4503" t="s">
        <v>30</v>
      </c>
      <c r="T4503" t="s">
        <v>3807</v>
      </c>
      <c r="U4503" t="s">
        <v>3808</v>
      </c>
      <c r="V4503" t="s">
        <v>40</v>
      </c>
      <c r="W4503" s="1">
        <v>5007000</v>
      </c>
    </row>
    <row r="4504" spans="1:23" x14ac:dyDescent="0.2">
      <c r="A4504" t="s">
        <v>2096</v>
      </c>
      <c r="B4504" t="s">
        <v>3333</v>
      </c>
      <c r="C4504" t="s">
        <v>3739</v>
      </c>
      <c r="D4504" t="s">
        <v>3752</v>
      </c>
      <c r="E4504" t="s">
        <v>3753</v>
      </c>
      <c r="F4504" t="s">
        <v>3754</v>
      </c>
      <c r="G4504" t="s">
        <v>119</v>
      </c>
      <c r="H4504" t="s">
        <v>30</v>
      </c>
      <c r="I4504" t="s">
        <v>52</v>
      </c>
      <c r="J4504" t="s">
        <v>31</v>
      </c>
      <c r="K4504" t="s">
        <v>32</v>
      </c>
      <c r="L4504" t="s">
        <v>32</v>
      </c>
      <c r="M4504" t="s">
        <v>33</v>
      </c>
      <c r="P4504" t="s">
        <v>34</v>
      </c>
      <c r="Q4504" t="s">
        <v>35</v>
      </c>
      <c r="R4504" t="s">
        <v>228</v>
      </c>
      <c r="S4504" t="s">
        <v>30</v>
      </c>
      <c r="T4504" t="s">
        <v>3809</v>
      </c>
      <c r="U4504" t="s">
        <v>3810</v>
      </c>
      <c r="V4504" t="s">
        <v>39</v>
      </c>
      <c r="W4504" s="1">
        <v>10</v>
      </c>
    </row>
    <row r="4505" spans="1:23" x14ac:dyDescent="0.2">
      <c r="A4505" t="s">
        <v>2096</v>
      </c>
      <c r="B4505" t="s">
        <v>3333</v>
      </c>
      <c r="C4505" t="s">
        <v>3739</v>
      </c>
      <c r="D4505" t="s">
        <v>3752</v>
      </c>
      <c r="E4505" t="s">
        <v>3753</v>
      </c>
      <c r="F4505" t="s">
        <v>3754</v>
      </c>
      <c r="G4505" t="s">
        <v>119</v>
      </c>
      <c r="H4505" t="s">
        <v>30</v>
      </c>
      <c r="I4505" t="s">
        <v>52</v>
      </c>
      <c r="J4505" t="s">
        <v>31</v>
      </c>
      <c r="K4505" t="s">
        <v>32</v>
      </c>
      <c r="L4505" t="s">
        <v>32</v>
      </c>
      <c r="M4505" t="s">
        <v>33</v>
      </c>
      <c r="P4505" t="s">
        <v>34</v>
      </c>
      <c r="Q4505" t="s">
        <v>35</v>
      </c>
      <c r="R4505" t="s">
        <v>228</v>
      </c>
      <c r="S4505" t="s">
        <v>30</v>
      </c>
      <c r="T4505" t="s">
        <v>3809</v>
      </c>
      <c r="U4505" t="s">
        <v>3810</v>
      </c>
      <c r="V4505" t="s">
        <v>40</v>
      </c>
      <c r="W4505" s="1">
        <v>8169000</v>
      </c>
    </row>
    <row r="4506" spans="1:23" x14ac:dyDescent="0.2">
      <c r="A4506" t="s">
        <v>2096</v>
      </c>
      <c r="B4506" t="s">
        <v>3333</v>
      </c>
      <c r="C4506" t="s">
        <v>3739</v>
      </c>
      <c r="D4506" t="s">
        <v>3752</v>
      </c>
      <c r="E4506" t="s">
        <v>3753</v>
      </c>
      <c r="F4506" t="s">
        <v>3754</v>
      </c>
      <c r="G4506" t="s">
        <v>119</v>
      </c>
      <c r="H4506" t="s">
        <v>30</v>
      </c>
      <c r="I4506" t="s">
        <v>52</v>
      </c>
      <c r="J4506" t="s">
        <v>41</v>
      </c>
      <c r="K4506" t="s">
        <v>32</v>
      </c>
      <c r="L4506" t="s">
        <v>32</v>
      </c>
      <c r="M4506" t="s">
        <v>33</v>
      </c>
      <c r="P4506" t="s">
        <v>34</v>
      </c>
      <c r="Q4506" t="s">
        <v>35</v>
      </c>
      <c r="R4506" t="s">
        <v>1355</v>
      </c>
      <c r="S4506" t="s">
        <v>30</v>
      </c>
      <c r="T4506" t="s">
        <v>3657</v>
      </c>
      <c r="U4506" t="s">
        <v>3811</v>
      </c>
      <c r="V4506" t="s">
        <v>39</v>
      </c>
      <c r="W4506" s="1">
        <v>4</v>
      </c>
    </row>
    <row r="4507" spans="1:23" x14ac:dyDescent="0.2">
      <c r="A4507" t="s">
        <v>2096</v>
      </c>
      <c r="B4507" t="s">
        <v>3333</v>
      </c>
      <c r="C4507" t="s">
        <v>3739</v>
      </c>
      <c r="D4507" t="s">
        <v>3752</v>
      </c>
      <c r="E4507" t="s">
        <v>3753</v>
      </c>
      <c r="F4507" t="s">
        <v>3754</v>
      </c>
      <c r="G4507" t="s">
        <v>119</v>
      </c>
      <c r="H4507" t="s">
        <v>30</v>
      </c>
      <c r="I4507" t="s">
        <v>52</v>
      </c>
      <c r="J4507" t="s">
        <v>41</v>
      </c>
      <c r="K4507" t="s">
        <v>32</v>
      </c>
      <c r="L4507" t="s">
        <v>32</v>
      </c>
      <c r="M4507" t="s">
        <v>33</v>
      </c>
      <c r="P4507" t="s">
        <v>34</v>
      </c>
      <c r="Q4507" t="s">
        <v>35</v>
      </c>
      <c r="R4507" t="s">
        <v>1355</v>
      </c>
      <c r="S4507" t="s">
        <v>30</v>
      </c>
      <c r="T4507" t="s">
        <v>3657</v>
      </c>
      <c r="U4507" t="s">
        <v>3811</v>
      </c>
      <c r="V4507" t="s">
        <v>40</v>
      </c>
      <c r="W4507" s="1">
        <v>5499600</v>
      </c>
    </row>
    <row r="4508" spans="1:23" x14ac:dyDescent="0.2">
      <c r="A4508" t="s">
        <v>2096</v>
      </c>
      <c r="B4508" t="s">
        <v>3333</v>
      </c>
      <c r="C4508" t="s">
        <v>3739</v>
      </c>
      <c r="D4508" t="s">
        <v>3752</v>
      </c>
      <c r="E4508" t="s">
        <v>3753</v>
      </c>
      <c r="F4508" t="s">
        <v>3754</v>
      </c>
      <c r="G4508" t="s">
        <v>119</v>
      </c>
      <c r="H4508" t="s">
        <v>30</v>
      </c>
      <c r="I4508" t="s">
        <v>52</v>
      </c>
      <c r="J4508" t="s">
        <v>41</v>
      </c>
      <c r="K4508" t="s">
        <v>32</v>
      </c>
      <c r="L4508" t="s">
        <v>32</v>
      </c>
      <c r="M4508" t="s">
        <v>33</v>
      </c>
      <c r="P4508" t="s">
        <v>34</v>
      </c>
      <c r="Q4508" t="s">
        <v>35</v>
      </c>
      <c r="S4508" t="s">
        <v>30</v>
      </c>
      <c r="T4508" t="s">
        <v>3812</v>
      </c>
      <c r="U4508" t="s">
        <v>3813</v>
      </c>
      <c r="V4508" t="s">
        <v>39</v>
      </c>
      <c r="W4508" s="1">
        <v>3</v>
      </c>
    </row>
    <row r="4509" spans="1:23" x14ac:dyDescent="0.2">
      <c r="A4509" t="s">
        <v>2096</v>
      </c>
      <c r="B4509" t="s">
        <v>3333</v>
      </c>
      <c r="C4509" t="s">
        <v>3739</v>
      </c>
      <c r="D4509" t="s">
        <v>3752</v>
      </c>
      <c r="E4509" t="s">
        <v>3753</v>
      </c>
      <c r="F4509" t="s">
        <v>3754</v>
      </c>
      <c r="G4509" t="s">
        <v>119</v>
      </c>
      <c r="H4509" t="s">
        <v>30</v>
      </c>
      <c r="I4509" t="s">
        <v>52</v>
      </c>
      <c r="J4509" t="s">
        <v>41</v>
      </c>
      <c r="K4509" t="s">
        <v>32</v>
      </c>
      <c r="L4509" t="s">
        <v>32</v>
      </c>
      <c r="M4509" t="s">
        <v>33</v>
      </c>
      <c r="P4509" t="s">
        <v>34</v>
      </c>
      <c r="Q4509" t="s">
        <v>35</v>
      </c>
      <c r="S4509" t="s">
        <v>30</v>
      </c>
      <c r="T4509" t="s">
        <v>3812</v>
      </c>
      <c r="U4509" t="s">
        <v>3813</v>
      </c>
      <c r="V4509" t="s">
        <v>40</v>
      </c>
      <c r="W4509" s="1">
        <v>3474000</v>
      </c>
    </row>
    <row r="4510" spans="1:23" x14ac:dyDescent="0.2">
      <c r="A4510" t="s">
        <v>2096</v>
      </c>
      <c r="B4510" t="s">
        <v>3333</v>
      </c>
      <c r="C4510" t="s">
        <v>3739</v>
      </c>
      <c r="D4510" t="s">
        <v>3752</v>
      </c>
      <c r="E4510" t="s">
        <v>3753</v>
      </c>
      <c r="F4510" t="s">
        <v>3754</v>
      </c>
      <c r="G4510" t="s">
        <v>127</v>
      </c>
      <c r="H4510" t="s">
        <v>52</v>
      </c>
      <c r="I4510" t="s">
        <v>30</v>
      </c>
      <c r="J4510" t="s">
        <v>31</v>
      </c>
      <c r="K4510" t="s">
        <v>32</v>
      </c>
      <c r="L4510" t="s">
        <v>32</v>
      </c>
      <c r="M4510" t="s">
        <v>33</v>
      </c>
      <c r="N4510" t="s">
        <v>33</v>
      </c>
      <c r="O4510" t="s">
        <v>33</v>
      </c>
      <c r="P4510" t="s">
        <v>34</v>
      </c>
      <c r="Q4510" t="s">
        <v>35</v>
      </c>
      <c r="R4510" t="s">
        <v>228</v>
      </c>
      <c r="S4510" t="s">
        <v>30</v>
      </c>
      <c r="T4510" t="s">
        <v>3814</v>
      </c>
      <c r="U4510" t="s">
        <v>3815</v>
      </c>
      <c r="V4510" t="s">
        <v>39</v>
      </c>
      <c r="W4510" s="1">
        <v>3</v>
      </c>
    </row>
    <row r="4511" spans="1:23" x14ac:dyDescent="0.2">
      <c r="A4511" t="s">
        <v>2096</v>
      </c>
      <c r="B4511" t="s">
        <v>3333</v>
      </c>
      <c r="C4511" t="s">
        <v>3739</v>
      </c>
      <c r="D4511" t="s">
        <v>3752</v>
      </c>
      <c r="E4511" t="s">
        <v>3753</v>
      </c>
      <c r="F4511" t="s">
        <v>3754</v>
      </c>
      <c r="G4511" t="s">
        <v>127</v>
      </c>
      <c r="H4511" t="s">
        <v>52</v>
      </c>
      <c r="I4511" t="s">
        <v>30</v>
      </c>
      <c r="J4511" t="s">
        <v>31</v>
      </c>
      <c r="K4511" t="s">
        <v>32</v>
      </c>
      <c r="L4511" t="s">
        <v>32</v>
      </c>
      <c r="M4511" t="s">
        <v>33</v>
      </c>
      <c r="N4511" t="s">
        <v>33</v>
      </c>
      <c r="O4511" t="s">
        <v>33</v>
      </c>
      <c r="P4511" t="s">
        <v>34</v>
      </c>
      <c r="Q4511" t="s">
        <v>35</v>
      </c>
      <c r="R4511" t="s">
        <v>228</v>
      </c>
      <c r="S4511" t="s">
        <v>30</v>
      </c>
      <c r="T4511" t="s">
        <v>3814</v>
      </c>
      <c r="U4511" t="s">
        <v>3815</v>
      </c>
      <c r="V4511" t="s">
        <v>40</v>
      </c>
      <c r="W4511" s="1">
        <v>2602800</v>
      </c>
    </row>
    <row r="4512" spans="1:23" x14ac:dyDescent="0.2">
      <c r="A4512" t="s">
        <v>2096</v>
      </c>
      <c r="B4512" t="s">
        <v>3333</v>
      </c>
      <c r="C4512" t="s">
        <v>3739</v>
      </c>
      <c r="D4512" t="s">
        <v>3752</v>
      </c>
      <c r="E4512" t="s">
        <v>3753</v>
      </c>
      <c r="F4512" t="s">
        <v>3754</v>
      </c>
      <c r="G4512" t="s">
        <v>127</v>
      </c>
      <c r="H4512" t="s">
        <v>52</v>
      </c>
      <c r="I4512" t="s">
        <v>30</v>
      </c>
      <c r="J4512" t="s">
        <v>31</v>
      </c>
      <c r="K4512" t="s">
        <v>32</v>
      </c>
      <c r="L4512" t="s">
        <v>32</v>
      </c>
      <c r="M4512" t="s">
        <v>33</v>
      </c>
      <c r="N4512" t="s">
        <v>33</v>
      </c>
      <c r="O4512" t="s">
        <v>33</v>
      </c>
      <c r="P4512" t="s">
        <v>34</v>
      </c>
      <c r="Q4512" t="s">
        <v>35</v>
      </c>
      <c r="S4512" t="s">
        <v>30</v>
      </c>
      <c r="T4512" t="s">
        <v>3816</v>
      </c>
      <c r="U4512" t="s">
        <v>3817</v>
      </c>
      <c r="V4512" t="s">
        <v>39</v>
      </c>
      <c r="W4512" s="1">
        <v>4</v>
      </c>
    </row>
    <row r="4513" spans="1:23" x14ac:dyDescent="0.2">
      <c r="A4513" t="s">
        <v>2096</v>
      </c>
      <c r="B4513" t="s">
        <v>3333</v>
      </c>
      <c r="C4513" t="s">
        <v>3739</v>
      </c>
      <c r="D4513" t="s">
        <v>3752</v>
      </c>
      <c r="E4513" t="s">
        <v>3753</v>
      </c>
      <c r="F4513" t="s">
        <v>3754</v>
      </c>
      <c r="G4513" t="s">
        <v>127</v>
      </c>
      <c r="H4513" t="s">
        <v>52</v>
      </c>
      <c r="I4513" t="s">
        <v>30</v>
      </c>
      <c r="J4513" t="s">
        <v>31</v>
      </c>
      <c r="K4513" t="s">
        <v>32</v>
      </c>
      <c r="L4513" t="s">
        <v>32</v>
      </c>
      <c r="M4513" t="s">
        <v>33</v>
      </c>
      <c r="N4513" t="s">
        <v>33</v>
      </c>
      <c r="O4513" t="s">
        <v>33</v>
      </c>
      <c r="P4513" t="s">
        <v>34</v>
      </c>
      <c r="Q4513" t="s">
        <v>35</v>
      </c>
      <c r="S4513" t="s">
        <v>30</v>
      </c>
      <c r="T4513" t="s">
        <v>3816</v>
      </c>
      <c r="U4513" t="s">
        <v>3817</v>
      </c>
      <c r="V4513" t="s">
        <v>40</v>
      </c>
      <c r="W4513" s="1">
        <v>3737600</v>
      </c>
    </row>
    <row r="4514" spans="1:23" x14ac:dyDescent="0.2">
      <c r="A4514" t="s">
        <v>2096</v>
      </c>
      <c r="B4514" t="s">
        <v>3333</v>
      </c>
      <c r="C4514" t="s">
        <v>3739</v>
      </c>
      <c r="D4514" t="s">
        <v>3752</v>
      </c>
      <c r="E4514" t="s">
        <v>3753</v>
      </c>
      <c r="F4514" t="s">
        <v>3754</v>
      </c>
      <c r="G4514" t="s">
        <v>127</v>
      </c>
      <c r="H4514" t="s">
        <v>52</v>
      </c>
      <c r="I4514" t="s">
        <v>30</v>
      </c>
      <c r="J4514" t="s">
        <v>31</v>
      </c>
      <c r="K4514" t="s">
        <v>32</v>
      </c>
      <c r="L4514" t="s">
        <v>32</v>
      </c>
      <c r="M4514" t="s">
        <v>33</v>
      </c>
      <c r="N4514" t="s">
        <v>33</v>
      </c>
      <c r="O4514" t="s">
        <v>33</v>
      </c>
      <c r="P4514" t="s">
        <v>34</v>
      </c>
      <c r="Q4514" t="s">
        <v>35</v>
      </c>
      <c r="S4514" t="s">
        <v>30</v>
      </c>
      <c r="T4514" t="s">
        <v>3818</v>
      </c>
      <c r="U4514" t="s">
        <v>3819</v>
      </c>
      <c r="V4514" t="s">
        <v>39</v>
      </c>
      <c r="W4514" s="1">
        <v>2</v>
      </c>
    </row>
    <row r="4515" spans="1:23" x14ac:dyDescent="0.2">
      <c r="A4515" t="s">
        <v>2096</v>
      </c>
      <c r="B4515" t="s">
        <v>3333</v>
      </c>
      <c r="C4515" t="s">
        <v>3739</v>
      </c>
      <c r="D4515" t="s">
        <v>3752</v>
      </c>
      <c r="E4515" t="s">
        <v>3753</v>
      </c>
      <c r="F4515" t="s">
        <v>3754</v>
      </c>
      <c r="G4515" t="s">
        <v>127</v>
      </c>
      <c r="H4515" t="s">
        <v>52</v>
      </c>
      <c r="I4515" t="s">
        <v>30</v>
      </c>
      <c r="J4515" t="s">
        <v>31</v>
      </c>
      <c r="K4515" t="s">
        <v>32</v>
      </c>
      <c r="L4515" t="s">
        <v>32</v>
      </c>
      <c r="M4515" t="s">
        <v>33</v>
      </c>
      <c r="N4515" t="s">
        <v>33</v>
      </c>
      <c r="O4515" t="s">
        <v>33</v>
      </c>
      <c r="P4515" t="s">
        <v>34</v>
      </c>
      <c r="Q4515" t="s">
        <v>35</v>
      </c>
      <c r="S4515" t="s">
        <v>30</v>
      </c>
      <c r="T4515" t="s">
        <v>3818</v>
      </c>
      <c r="U4515" t="s">
        <v>3819</v>
      </c>
      <c r="V4515" t="s">
        <v>40</v>
      </c>
      <c r="W4515" s="1">
        <v>2595000</v>
      </c>
    </row>
    <row r="4516" spans="1:23" x14ac:dyDescent="0.2">
      <c r="A4516" t="s">
        <v>2096</v>
      </c>
      <c r="B4516" t="s">
        <v>3333</v>
      </c>
      <c r="C4516" t="s">
        <v>3739</v>
      </c>
      <c r="D4516" t="s">
        <v>3752</v>
      </c>
      <c r="E4516" t="s">
        <v>3753</v>
      </c>
      <c r="F4516" t="s">
        <v>3754</v>
      </c>
      <c r="G4516" t="s">
        <v>127</v>
      </c>
      <c r="H4516" t="s">
        <v>52</v>
      </c>
      <c r="I4516" t="s">
        <v>30</v>
      </c>
      <c r="J4516" t="s">
        <v>31</v>
      </c>
      <c r="K4516" t="s">
        <v>32</v>
      </c>
      <c r="L4516" t="s">
        <v>32</v>
      </c>
      <c r="M4516" t="s">
        <v>33</v>
      </c>
      <c r="N4516" t="s">
        <v>169</v>
      </c>
      <c r="O4516" t="s">
        <v>169</v>
      </c>
      <c r="P4516" t="s">
        <v>34</v>
      </c>
      <c r="Q4516" t="s">
        <v>35</v>
      </c>
      <c r="R4516" t="s">
        <v>228</v>
      </c>
      <c r="S4516" t="s">
        <v>30</v>
      </c>
      <c r="T4516" t="s">
        <v>3814</v>
      </c>
      <c r="U4516" t="s">
        <v>3815</v>
      </c>
      <c r="V4516" t="s">
        <v>39</v>
      </c>
      <c r="W4516" s="1">
        <v>1</v>
      </c>
    </row>
    <row r="4517" spans="1:23" x14ac:dyDescent="0.2">
      <c r="A4517" t="s">
        <v>2096</v>
      </c>
      <c r="B4517" t="s">
        <v>3333</v>
      </c>
      <c r="C4517" t="s">
        <v>3739</v>
      </c>
      <c r="D4517" t="s">
        <v>3752</v>
      </c>
      <c r="E4517" t="s">
        <v>3753</v>
      </c>
      <c r="F4517" t="s">
        <v>3754</v>
      </c>
      <c r="G4517" t="s">
        <v>127</v>
      </c>
      <c r="H4517" t="s">
        <v>52</v>
      </c>
      <c r="I4517" t="s">
        <v>30</v>
      </c>
      <c r="J4517" t="s">
        <v>31</v>
      </c>
      <c r="K4517" t="s">
        <v>32</v>
      </c>
      <c r="L4517" t="s">
        <v>32</v>
      </c>
      <c r="M4517" t="s">
        <v>33</v>
      </c>
      <c r="N4517" t="s">
        <v>169</v>
      </c>
      <c r="O4517" t="s">
        <v>169</v>
      </c>
      <c r="P4517" t="s">
        <v>34</v>
      </c>
      <c r="Q4517" t="s">
        <v>35</v>
      </c>
      <c r="R4517" t="s">
        <v>228</v>
      </c>
      <c r="S4517" t="s">
        <v>30</v>
      </c>
      <c r="T4517" t="s">
        <v>3814</v>
      </c>
      <c r="U4517" t="s">
        <v>3815</v>
      </c>
      <c r="V4517" t="s">
        <v>40</v>
      </c>
      <c r="W4517" s="1">
        <v>867600</v>
      </c>
    </row>
    <row r="4518" spans="1:23" x14ac:dyDescent="0.2">
      <c r="A4518" t="s">
        <v>2096</v>
      </c>
      <c r="B4518" t="s">
        <v>3333</v>
      </c>
      <c r="C4518" t="s">
        <v>3739</v>
      </c>
      <c r="D4518" t="s">
        <v>3752</v>
      </c>
      <c r="E4518" t="s">
        <v>3753</v>
      </c>
      <c r="F4518" t="s">
        <v>3754</v>
      </c>
      <c r="G4518" t="s">
        <v>127</v>
      </c>
      <c r="H4518" t="s">
        <v>52</v>
      </c>
      <c r="I4518" t="s">
        <v>30</v>
      </c>
      <c r="J4518" t="s">
        <v>31</v>
      </c>
      <c r="K4518" t="s">
        <v>32</v>
      </c>
      <c r="L4518" t="s">
        <v>32</v>
      </c>
      <c r="M4518" t="s">
        <v>33</v>
      </c>
      <c r="N4518" t="s">
        <v>169</v>
      </c>
      <c r="O4518" t="s">
        <v>169</v>
      </c>
      <c r="P4518" t="s">
        <v>34</v>
      </c>
      <c r="Q4518" t="s">
        <v>35</v>
      </c>
      <c r="S4518" t="s">
        <v>30</v>
      </c>
      <c r="T4518" t="s">
        <v>3818</v>
      </c>
      <c r="U4518" t="s">
        <v>3819</v>
      </c>
      <c r="V4518" t="s">
        <v>39</v>
      </c>
      <c r="W4518" s="1">
        <v>1</v>
      </c>
    </row>
    <row r="4519" spans="1:23" x14ac:dyDescent="0.2">
      <c r="A4519" t="s">
        <v>2096</v>
      </c>
      <c r="B4519" t="s">
        <v>3333</v>
      </c>
      <c r="C4519" t="s">
        <v>3739</v>
      </c>
      <c r="D4519" t="s">
        <v>3752</v>
      </c>
      <c r="E4519" t="s">
        <v>3753</v>
      </c>
      <c r="F4519" t="s">
        <v>3754</v>
      </c>
      <c r="G4519" t="s">
        <v>127</v>
      </c>
      <c r="H4519" t="s">
        <v>52</v>
      </c>
      <c r="I4519" t="s">
        <v>30</v>
      </c>
      <c r="J4519" t="s">
        <v>31</v>
      </c>
      <c r="K4519" t="s">
        <v>32</v>
      </c>
      <c r="L4519" t="s">
        <v>32</v>
      </c>
      <c r="M4519" t="s">
        <v>33</v>
      </c>
      <c r="N4519" t="s">
        <v>169</v>
      </c>
      <c r="O4519" t="s">
        <v>169</v>
      </c>
      <c r="P4519" t="s">
        <v>34</v>
      </c>
      <c r="Q4519" t="s">
        <v>35</v>
      </c>
      <c r="S4519" t="s">
        <v>30</v>
      </c>
      <c r="T4519" t="s">
        <v>3818</v>
      </c>
      <c r="U4519" t="s">
        <v>3819</v>
      </c>
      <c r="V4519" t="s">
        <v>40</v>
      </c>
      <c r="W4519" s="1">
        <v>1297500</v>
      </c>
    </row>
    <row r="4520" spans="1:23" x14ac:dyDescent="0.2">
      <c r="A4520" t="s">
        <v>2096</v>
      </c>
      <c r="B4520" t="s">
        <v>3333</v>
      </c>
      <c r="C4520" t="s">
        <v>3739</v>
      </c>
      <c r="D4520" t="s">
        <v>3752</v>
      </c>
      <c r="E4520" t="s">
        <v>3753</v>
      </c>
      <c r="F4520" t="s">
        <v>3754</v>
      </c>
      <c r="G4520" t="s">
        <v>127</v>
      </c>
      <c r="H4520" t="s">
        <v>52</v>
      </c>
      <c r="I4520" t="s">
        <v>30</v>
      </c>
      <c r="J4520" t="s">
        <v>31</v>
      </c>
      <c r="K4520" t="s">
        <v>32</v>
      </c>
      <c r="L4520" t="s">
        <v>32</v>
      </c>
      <c r="M4520" t="s">
        <v>33</v>
      </c>
      <c r="P4520" t="s">
        <v>34</v>
      </c>
      <c r="Q4520" t="s">
        <v>35</v>
      </c>
      <c r="S4520" t="s">
        <v>30</v>
      </c>
      <c r="T4520" t="s">
        <v>3820</v>
      </c>
      <c r="U4520" t="s">
        <v>3821</v>
      </c>
      <c r="V4520" t="s">
        <v>39</v>
      </c>
      <c r="W4520" s="1">
        <v>4</v>
      </c>
    </row>
    <row r="4521" spans="1:23" x14ac:dyDescent="0.2">
      <c r="A4521" t="s">
        <v>2096</v>
      </c>
      <c r="B4521" t="s">
        <v>3333</v>
      </c>
      <c r="C4521" t="s">
        <v>3739</v>
      </c>
      <c r="D4521" t="s">
        <v>3752</v>
      </c>
      <c r="E4521" t="s">
        <v>3753</v>
      </c>
      <c r="F4521" t="s">
        <v>3754</v>
      </c>
      <c r="G4521" t="s">
        <v>127</v>
      </c>
      <c r="H4521" t="s">
        <v>52</v>
      </c>
      <c r="I4521" t="s">
        <v>30</v>
      </c>
      <c r="J4521" t="s">
        <v>31</v>
      </c>
      <c r="K4521" t="s">
        <v>32</v>
      </c>
      <c r="L4521" t="s">
        <v>32</v>
      </c>
      <c r="M4521" t="s">
        <v>33</v>
      </c>
      <c r="P4521" t="s">
        <v>34</v>
      </c>
      <c r="Q4521" t="s">
        <v>35</v>
      </c>
      <c r="S4521" t="s">
        <v>30</v>
      </c>
      <c r="T4521" t="s">
        <v>3820</v>
      </c>
      <c r="U4521" t="s">
        <v>3821</v>
      </c>
      <c r="V4521" t="s">
        <v>40</v>
      </c>
      <c r="W4521" s="1">
        <v>1416000</v>
      </c>
    </row>
    <row r="4522" spans="1:23" x14ac:dyDescent="0.2">
      <c r="A4522" t="s">
        <v>2096</v>
      </c>
      <c r="B4522" t="s">
        <v>3333</v>
      </c>
      <c r="C4522" t="s">
        <v>3739</v>
      </c>
      <c r="D4522" t="s">
        <v>3752</v>
      </c>
      <c r="E4522" t="s">
        <v>3753</v>
      </c>
      <c r="F4522" t="s">
        <v>3754</v>
      </c>
      <c r="G4522" t="s">
        <v>127</v>
      </c>
      <c r="H4522" t="s">
        <v>52</v>
      </c>
      <c r="I4522" t="s">
        <v>30</v>
      </c>
      <c r="J4522" t="s">
        <v>31</v>
      </c>
      <c r="K4522" t="s">
        <v>32</v>
      </c>
      <c r="L4522" t="s">
        <v>32</v>
      </c>
      <c r="M4522" t="s">
        <v>176</v>
      </c>
      <c r="N4522" t="s">
        <v>176</v>
      </c>
      <c r="O4522" t="s">
        <v>176</v>
      </c>
      <c r="P4522" t="s">
        <v>34</v>
      </c>
      <c r="Q4522" t="s">
        <v>35</v>
      </c>
      <c r="S4522" t="s">
        <v>30</v>
      </c>
      <c r="T4522" t="s">
        <v>3818</v>
      </c>
      <c r="U4522" t="s">
        <v>3819</v>
      </c>
      <c r="V4522" t="s">
        <v>39</v>
      </c>
      <c r="W4522" s="1">
        <v>1</v>
      </c>
    </row>
    <row r="4523" spans="1:23" x14ac:dyDescent="0.2">
      <c r="A4523" t="s">
        <v>2096</v>
      </c>
      <c r="B4523" t="s">
        <v>3333</v>
      </c>
      <c r="C4523" t="s">
        <v>3739</v>
      </c>
      <c r="D4523" t="s">
        <v>3752</v>
      </c>
      <c r="E4523" t="s">
        <v>3753</v>
      </c>
      <c r="F4523" t="s">
        <v>3754</v>
      </c>
      <c r="G4523" t="s">
        <v>127</v>
      </c>
      <c r="H4523" t="s">
        <v>52</v>
      </c>
      <c r="I4523" t="s">
        <v>30</v>
      </c>
      <c r="J4523" t="s">
        <v>31</v>
      </c>
      <c r="K4523" t="s">
        <v>32</v>
      </c>
      <c r="L4523" t="s">
        <v>32</v>
      </c>
      <c r="M4523" t="s">
        <v>176</v>
      </c>
      <c r="N4523" t="s">
        <v>176</v>
      </c>
      <c r="O4523" t="s">
        <v>176</v>
      </c>
      <c r="P4523" t="s">
        <v>34</v>
      </c>
      <c r="Q4523" t="s">
        <v>35</v>
      </c>
      <c r="S4523" t="s">
        <v>30</v>
      </c>
      <c r="T4523" t="s">
        <v>3818</v>
      </c>
      <c r="U4523" t="s">
        <v>3819</v>
      </c>
      <c r="V4523" t="s">
        <v>40</v>
      </c>
      <c r="W4523" s="1">
        <v>1297500</v>
      </c>
    </row>
    <row r="4524" spans="1:23" x14ac:dyDescent="0.2">
      <c r="A4524" t="s">
        <v>2096</v>
      </c>
      <c r="B4524" t="s">
        <v>3333</v>
      </c>
      <c r="C4524" t="s">
        <v>3739</v>
      </c>
      <c r="D4524" t="s">
        <v>3752</v>
      </c>
      <c r="E4524" t="s">
        <v>3753</v>
      </c>
      <c r="F4524" t="s">
        <v>3754</v>
      </c>
      <c r="G4524" t="s">
        <v>134</v>
      </c>
      <c r="H4524" t="s">
        <v>52</v>
      </c>
      <c r="I4524" t="s">
        <v>30</v>
      </c>
      <c r="J4524" t="s">
        <v>31</v>
      </c>
      <c r="K4524" t="s">
        <v>32</v>
      </c>
      <c r="L4524" t="s">
        <v>32</v>
      </c>
      <c r="M4524" t="s">
        <v>33</v>
      </c>
      <c r="N4524" t="s">
        <v>33</v>
      </c>
      <c r="O4524" t="s">
        <v>33</v>
      </c>
      <c r="P4524" t="s">
        <v>213</v>
      </c>
      <c r="Q4524" t="s">
        <v>2111</v>
      </c>
      <c r="S4524" t="s">
        <v>30</v>
      </c>
      <c r="T4524" t="s">
        <v>3822</v>
      </c>
      <c r="U4524" t="s">
        <v>3823</v>
      </c>
      <c r="V4524" t="s">
        <v>39</v>
      </c>
      <c r="W4524" s="1">
        <v>1</v>
      </c>
    </row>
    <row r="4525" spans="1:23" x14ac:dyDescent="0.2">
      <c r="A4525" t="s">
        <v>2096</v>
      </c>
      <c r="B4525" t="s">
        <v>3333</v>
      </c>
      <c r="C4525" t="s">
        <v>3739</v>
      </c>
      <c r="D4525" t="s">
        <v>3752</v>
      </c>
      <c r="E4525" t="s">
        <v>3753</v>
      </c>
      <c r="F4525" t="s">
        <v>3754</v>
      </c>
      <c r="G4525" t="s">
        <v>134</v>
      </c>
      <c r="H4525" t="s">
        <v>52</v>
      </c>
      <c r="I4525" t="s">
        <v>30</v>
      </c>
      <c r="J4525" t="s">
        <v>31</v>
      </c>
      <c r="K4525" t="s">
        <v>32</v>
      </c>
      <c r="L4525" t="s">
        <v>32</v>
      </c>
      <c r="M4525" t="s">
        <v>33</v>
      </c>
      <c r="N4525" t="s">
        <v>33</v>
      </c>
      <c r="O4525" t="s">
        <v>33</v>
      </c>
      <c r="P4525" t="s">
        <v>213</v>
      </c>
      <c r="Q4525" t="s">
        <v>2111</v>
      </c>
      <c r="S4525" t="s">
        <v>30</v>
      </c>
      <c r="T4525" t="s">
        <v>3822</v>
      </c>
      <c r="U4525" t="s">
        <v>3823</v>
      </c>
      <c r="V4525" t="s">
        <v>40</v>
      </c>
      <c r="W4525" s="1">
        <v>1135800</v>
      </c>
    </row>
    <row r="4526" spans="1:23" x14ac:dyDescent="0.2">
      <c r="A4526" t="s">
        <v>2096</v>
      </c>
      <c r="B4526" t="s">
        <v>3333</v>
      </c>
      <c r="C4526" t="s">
        <v>3739</v>
      </c>
      <c r="D4526" t="s">
        <v>3752</v>
      </c>
      <c r="E4526" t="s">
        <v>3753</v>
      </c>
      <c r="F4526" t="s">
        <v>3754</v>
      </c>
      <c r="G4526" t="s">
        <v>134</v>
      </c>
      <c r="H4526" t="s">
        <v>52</v>
      </c>
      <c r="I4526" t="s">
        <v>30</v>
      </c>
      <c r="J4526" t="s">
        <v>31</v>
      </c>
      <c r="K4526" t="s">
        <v>32</v>
      </c>
      <c r="L4526" t="s">
        <v>32</v>
      </c>
      <c r="M4526" t="s">
        <v>33</v>
      </c>
      <c r="N4526" t="s">
        <v>176</v>
      </c>
      <c r="O4526" t="s">
        <v>176</v>
      </c>
      <c r="P4526" t="s">
        <v>213</v>
      </c>
      <c r="Q4526" t="s">
        <v>2111</v>
      </c>
      <c r="S4526" t="s">
        <v>30</v>
      </c>
      <c r="T4526" t="s">
        <v>3822</v>
      </c>
      <c r="U4526" t="s">
        <v>3823</v>
      </c>
      <c r="V4526" t="s">
        <v>39</v>
      </c>
      <c r="W4526" s="1">
        <v>1</v>
      </c>
    </row>
    <row r="4527" spans="1:23" x14ac:dyDescent="0.2">
      <c r="A4527" t="s">
        <v>2096</v>
      </c>
      <c r="B4527" t="s">
        <v>3333</v>
      </c>
      <c r="C4527" t="s">
        <v>3739</v>
      </c>
      <c r="D4527" t="s">
        <v>3752</v>
      </c>
      <c r="E4527" t="s">
        <v>3753</v>
      </c>
      <c r="F4527" t="s">
        <v>3754</v>
      </c>
      <c r="G4527" t="s">
        <v>134</v>
      </c>
      <c r="H4527" t="s">
        <v>52</v>
      </c>
      <c r="I4527" t="s">
        <v>30</v>
      </c>
      <c r="J4527" t="s">
        <v>31</v>
      </c>
      <c r="K4527" t="s">
        <v>32</v>
      </c>
      <c r="L4527" t="s">
        <v>32</v>
      </c>
      <c r="M4527" t="s">
        <v>33</v>
      </c>
      <c r="N4527" t="s">
        <v>176</v>
      </c>
      <c r="O4527" t="s">
        <v>176</v>
      </c>
      <c r="P4527" t="s">
        <v>213</v>
      </c>
      <c r="Q4527" t="s">
        <v>2111</v>
      </c>
      <c r="S4527" t="s">
        <v>30</v>
      </c>
      <c r="T4527" t="s">
        <v>3822</v>
      </c>
      <c r="U4527" t="s">
        <v>3823</v>
      </c>
      <c r="V4527" t="s">
        <v>40</v>
      </c>
      <c r="W4527" s="1">
        <v>1135800</v>
      </c>
    </row>
    <row r="4528" spans="1:23" x14ac:dyDescent="0.2">
      <c r="A4528" t="s">
        <v>2096</v>
      </c>
      <c r="B4528" t="s">
        <v>3333</v>
      </c>
      <c r="C4528" t="s">
        <v>3739</v>
      </c>
      <c r="D4528" t="s">
        <v>3752</v>
      </c>
      <c r="E4528" t="s">
        <v>3753</v>
      </c>
      <c r="F4528" t="s">
        <v>3754</v>
      </c>
      <c r="G4528" t="s">
        <v>134</v>
      </c>
      <c r="H4528" t="s">
        <v>52</v>
      </c>
      <c r="I4528" t="s">
        <v>30</v>
      </c>
      <c r="J4528" t="s">
        <v>31</v>
      </c>
      <c r="K4528" t="s">
        <v>32</v>
      </c>
      <c r="L4528" t="s">
        <v>32</v>
      </c>
      <c r="M4528" t="s">
        <v>33</v>
      </c>
      <c r="N4528" t="s">
        <v>169</v>
      </c>
      <c r="O4528" t="s">
        <v>169</v>
      </c>
      <c r="P4528" t="s">
        <v>213</v>
      </c>
      <c r="Q4528" t="s">
        <v>2111</v>
      </c>
      <c r="S4528" t="s">
        <v>30</v>
      </c>
      <c r="T4528" t="s">
        <v>3822</v>
      </c>
      <c r="U4528" t="s">
        <v>3823</v>
      </c>
      <c r="V4528" t="s">
        <v>39</v>
      </c>
      <c r="W4528" s="1">
        <v>1</v>
      </c>
    </row>
    <row r="4529" spans="1:23" x14ac:dyDescent="0.2">
      <c r="A4529" t="s">
        <v>2096</v>
      </c>
      <c r="B4529" t="s">
        <v>3333</v>
      </c>
      <c r="C4529" t="s">
        <v>3739</v>
      </c>
      <c r="D4529" t="s">
        <v>3752</v>
      </c>
      <c r="E4529" t="s">
        <v>3753</v>
      </c>
      <c r="F4529" t="s">
        <v>3754</v>
      </c>
      <c r="G4529" t="s">
        <v>134</v>
      </c>
      <c r="H4529" t="s">
        <v>52</v>
      </c>
      <c r="I4529" t="s">
        <v>30</v>
      </c>
      <c r="J4529" t="s">
        <v>31</v>
      </c>
      <c r="K4529" t="s">
        <v>32</v>
      </c>
      <c r="L4529" t="s">
        <v>32</v>
      </c>
      <c r="M4529" t="s">
        <v>33</v>
      </c>
      <c r="N4529" t="s">
        <v>169</v>
      </c>
      <c r="O4529" t="s">
        <v>169</v>
      </c>
      <c r="P4529" t="s">
        <v>213</v>
      </c>
      <c r="Q4529" t="s">
        <v>2111</v>
      </c>
      <c r="S4529" t="s">
        <v>30</v>
      </c>
      <c r="T4529" t="s">
        <v>3822</v>
      </c>
      <c r="U4529" t="s">
        <v>3823</v>
      </c>
      <c r="V4529" t="s">
        <v>40</v>
      </c>
      <c r="W4529" s="1">
        <v>1135800</v>
      </c>
    </row>
    <row r="4530" spans="1:23" x14ac:dyDescent="0.2">
      <c r="A4530" t="s">
        <v>2096</v>
      </c>
      <c r="B4530" t="s">
        <v>3333</v>
      </c>
      <c r="C4530" t="s">
        <v>3739</v>
      </c>
      <c r="D4530" t="s">
        <v>3752</v>
      </c>
      <c r="E4530" t="s">
        <v>3753</v>
      </c>
      <c r="F4530" t="s">
        <v>3754</v>
      </c>
      <c r="G4530" t="s">
        <v>134</v>
      </c>
      <c r="H4530" t="s">
        <v>52</v>
      </c>
      <c r="I4530" t="s">
        <v>30</v>
      </c>
      <c r="J4530" t="s">
        <v>31</v>
      </c>
      <c r="K4530" t="s">
        <v>32</v>
      </c>
      <c r="L4530" t="s">
        <v>32</v>
      </c>
      <c r="M4530" t="s">
        <v>33</v>
      </c>
      <c r="P4530" t="s">
        <v>213</v>
      </c>
      <c r="Q4530" t="s">
        <v>2111</v>
      </c>
      <c r="S4530" t="s">
        <v>52</v>
      </c>
      <c r="T4530" t="s">
        <v>3824</v>
      </c>
      <c r="U4530" t="s">
        <v>3825</v>
      </c>
      <c r="V4530" t="s">
        <v>39</v>
      </c>
      <c r="W4530" s="1">
        <v>0</v>
      </c>
    </row>
    <row r="4531" spans="1:23" x14ac:dyDescent="0.2">
      <c r="A4531" t="s">
        <v>2096</v>
      </c>
      <c r="B4531" t="s">
        <v>3333</v>
      </c>
      <c r="C4531" t="s">
        <v>3739</v>
      </c>
      <c r="D4531" t="s">
        <v>3752</v>
      </c>
      <c r="E4531" t="s">
        <v>3753</v>
      </c>
      <c r="F4531" t="s">
        <v>3754</v>
      </c>
      <c r="G4531" t="s">
        <v>134</v>
      </c>
      <c r="H4531" t="s">
        <v>52</v>
      </c>
      <c r="I4531" t="s">
        <v>30</v>
      </c>
      <c r="J4531" t="s">
        <v>31</v>
      </c>
      <c r="K4531" t="s">
        <v>32</v>
      </c>
      <c r="L4531" t="s">
        <v>32</v>
      </c>
      <c r="M4531" t="s">
        <v>33</v>
      </c>
      <c r="P4531" t="s">
        <v>213</v>
      </c>
      <c r="Q4531" t="s">
        <v>2111</v>
      </c>
      <c r="S4531" t="s">
        <v>52</v>
      </c>
      <c r="T4531" t="s">
        <v>3824</v>
      </c>
      <c r="U4531" t="s">
        <v>3825</v>
      </c>
      <c r="V4531" t="s">
        <v>40</v>
      </c>
      <c r="W4531" s="1">
        <v>1415800</v>
      </c>
    </row>
    <row r="4532" spans="1:23" x14ac:dyDescent="0.2">
      <c r="A4532" t="s">
        <v>2096</v>
      </c>
      <c r="B4532" t="s">
        <v>3333</v>
      </c>
      <c r="C4532" t="s">
        <v>3739</v>
      </c>
      <c r="D4532" t="s">
        <v>3752</v>
      </c>
      <c r="E4532" t="s">
        <v>3753</v>
      </c>
      <c r="F4532" t="s">
        <v>3754</v>
      </c>
      <c r="G4532" t="s">
        <v>134</v>
      </c>
      <c r="H4532" t="s">
        <v>52</v>
      </c>
      <c r="I4532" t="s">
        <v>30</v>
      </c>
      <c r="J4532" t="s">
        <v>41</v>
      </c>
      <c r="K4532" t="s">
        <v>32</v>
      </c>
      <c r="L4532" t="s">
        <v>32</v>
      </c>
      <c r="M4532" t="s">
        <v>33</v>
      </c>
      <c r="N4532" t="s">
        <v>33</v>
      </c>
      <c r="O4532" t="s">
        <v>33</v>
      </c>
      <c r="P4532" t="s">
        <v>34</v>
      </c>
      <c r="Q4532" t="s">
        <v>35</v>
      </c>
      <c r="R4532" t="s">
        <v>36</v>
      </c>
      <c r="S4532" t="s">
        <v>30</v>
      </c>
      <c r="T4532" t="s">
        <v>3826</v>
      </c>
      <c r="U4532" t="s">
        <v>3827</v>
      </c>
      <c r="V4532" t="s">
        <v>39</v>
      </c>
      <c r="W4532" s="1">
        <v>2</v>
      </c>
    </row>
    <row r="4533" spans="1:23" x14ac:dyDescent="0.2">
      <c r="A4533" t="s">
        <v>2096</v>
      </c>
      <c r="B4533" t="s">
        <v>3333</v>
      </c>
      <c r="C4533" t="s">
        <v>3739</v>
      </c>
      <c r="D4533" t="s">
        <v>3752</v>
      </c>
      <c r="E4533" t="s">
        <v>3753</v>
      </c>
      <c r="F4533" t="s">
        <v>3754</v>
      </c>
      <c r="G4533" t="s">
        <v>134</v>
      </c>
      <c r="H4533" t="s">
        <v>52</v>
      </c>
      <c r="I4533" t="s">
        <v>30</v>
      </c>
      <c r="J4533" t="s">
        <v>41</v>
      </c>
      <c r="K4533" t="s">
        <v>32</v>
      </c>
      <c r="L4533" t="s">
        <v>32</v>
      </c>
      <c r="M4533" t="s">
        <v>33</v>
      </c>
      <c r="N4533" t="s">
        <v>33</v>
      </c>
      <c r="O4533" t="s">
        <v>33</v>
      </c>
      <c r="P4533" t="s">
        <v>34</v>
      </c>
      <c r="Q4533" t="s">
        <v>35</v>
      </c>
      <c r="R4533" t="s">
        <v>36</v>
      </c>
      <c r="S4533" t="s">
        <v>30</v>
      </c>
      <c r="T4533" t="s">
        <v>3826</v>
      </c>
      <c r="U4533" t="s">
        <v>3827</v>
      </c>
      <c r="V4533" t="s">
        <v>40</v>
      </c>
      <c r="W4533" s="1">
        <v>2538000</v>
      </c>
    </row>
    <row r="4534" spans="1:23" x14ac:dyDescent="0.2">
      <c r="A4534" t="s">
        <v>2096</v>
      </c>
      <c r="B4534" t="s">
        <v>3333</v>
      </c>
      <c r="C4534" t="s">
        <v>3739</v>
      </c>
      <c r="D4534" t="s">
        <v>3752</v>
      </c>
      <c r="E4534" t="s">
        <v>3753</v>
      </c>
      <c r="F4534" t="s">
        <v>3754</v>
      </c>
      <c r="G4534" t="s">
        <v>139</v>
      </c>
      <c r="H4534" t="s">
        <v>30</v>
      </c>
      <c r="I4534" t="s">
        <v>30</v>
      </c>
      <c r="J4534" t="s">
        <v>31</v>
      </c>
      <c r="K4534" t="s">
        <v>32</v>
      </c>
      <c r="L4534" t="s">
        <v>32</v>
      </c>
      <c r="M4534" t="s">
        <v>33</v>
      </c>
      <c r="P4534" t="s">
        <v>34</v>
      </c>
      <c r="Q4534" t="s">
        <v>35</v>
      </c>
      <c r="S4534" t="s">
        <v>30</v>
      </c>
      <c r="T4534" t="s">
        <v>3828</v>
      </c>
      <c r="U4534" t="s">
        <v>3829</v>
      </c>
      <c r="V4534" t="s">
        <v>39</v>
      </c>
      <c r="W4534" s="1">
        <v>8</v>
      </c>
    </row>
    <row r="4535" spans="1:23" x14ac:dyDescent="0.2">
      <c r="A4535" t="s">
        <v>2096</v>
      </c>
      <c r="B4535" t="s">
        <v>3333</v>
      </c>
      <c r="C4535" t="s">
        <v>3739</v>
      </c>
      <c r="D4535" t="s">
        <v>3752</v>
      </c>
      <c r="E4535" t="s">
        <v>3753</v>
      </c>
      <c r="F4535" t="s">
        <v>3754</v>
      </c>
      <c r="G4535" t="s">
        <v>139</v>
      </c>
      <c r="H4535" t="s">
        <v>30</v>
      </c>
      <c r="I4535" t="s">
        <v>30</v>
      </c>
      <c r="J4535" t="s">
        <v>31</v>
      </c>
      <c r="K4535" t="s">
        <v>32</v>
      </c>
      <c r="L4535" t="s">
        <v>32</v>
      </c>
      <c r="M4535" t="s">
        <v>33</v>
      </c>
      <c r="P4535" t="s">
        <v>34</v>
      </c>
      <c r="Q4535" t="s">
        <v>35</v>
      </c>
      <c r="S4535" t="s">
        <v>30</v>
      </c>
      <c r="T4535" t="s">
        <v>3828</v>
      </c>
      <c r="U4535" t="s">
        <v>3829</v>
      </c>
      <c r="V4535" t="s">
        <v>40</v>
      </c>
      <c r="W4535" s="1">
        <v>10119200</v>
      </c>
    </row>
    <row r="4536" spans="1:23" x14ac:dyDescent="0.2">
      <c r="A4536" t="s">
        <v>2096</v>
      </c>
      <c r="B4536" t="s">
        <v>3333</v>
      </c>
      <c r="C4536" t="s">
        <v>3739</v>
      </c>
      <c r="D4536" t="s">
        <v>3752</v>
      </c>
      <c r="E4536" t="s">
        <v>3753</v>
      </c>
      <c r="F4536" t="s">
        <v>3754</v>
      </c>
      <c r="G4536" t="s">
        <v>139</v>
      </c>
      <c r="H4536" t="s">
        <v>30</v>
      </c>
      <c r="I4536" t="s">
        <v>30</v>
      </c>
      <c r="J4536" t="s">
        <v>31</v>
      </c>
      <c r="K4536" t="s">
        <v>32</v>
      </c>
      <c r="L4536" t="s">
        <v>32</v>
      </c>
      <c r="M4536" t="s">
        <v>33</v>
      </c>
      <c r="P4536" t="s">
        <v>34</v>
      </c>
      <c r="Q4536" t="s">
        <v>35</v>
      </c>
      <c r="S4536" t="s">
        <v>30</v>
      </c>
      <c r="T4536" t="s">
        <v>3830</v>
      </c>
      <c r="U4536" t="s">
        <v>3831</v>
      </c>
      <c r="V4536" t="s">
        <v>39</v>
      </c>
      <c r="W4536" s="1">
        <v>2</v>
      </c>
    </row>
    <row r="4537" spans="1:23" x14ac:dyDescent="0.2">
      <c r="A4537" t="s">
        <v>2096</v>
      </c>
      <c r="B4537" t="s">
        <v>3333</v>
      </c>
      <c r="C4537" t="s">
        <v>3739</v>
      </c>
      <c r="D4537" t="s">
        <v>3752</v>
      </c>
      <c r="E4537" t="s">
        <v>3753</v>
      </c>
      <c r="F4537" t="s">
        <v>3754</v>
      </c>
      <c r="G4537" t="s">
        <v>139</v>
      </c>
      <c r="H4537" t="s">
        <v>30</v>
      </c>
      <c r="I4537" t="s">
        <v>30</v>
      </c>
      <c r="J4537" t="s">
        <v>31</v>
      </c>
      <c r="K4537" t="s">
        <v>32</v>
      </c>
      <c r="L4537" t="s">
        <v>32</v>
      </c>
      <c r="M4537" t="s">
        <v>33</v>
      </c>
      <c r="P4537" t="s">
        <v>34</v>
      </c>
      <c r="Q4537" t="s">
        <v>35</v>
      </c>
      <c r="S4537" t="s">
        <v>30</v>
      </c>
      <c r="T4537" t="s">
        <v>3830</v>
      </c>
      <c r="U4537" t="s">
        <v>3831</v>
      </c>
      <c r="V4537" t="s">
        <v>40</v>
      </c>
      <c r="W4537" s="1">
        <v>2058000</v>
      </c>
    </row>
    <row r="4538" spans="1:23" x14ac:dyDescent="0.2">
      <c r="A4538" t="s">
        <v>2096</v>
      </c>
      <c r="B4538" t="s">
        <v>3333</v>
      </c>
      <c r="C4538" t="s">
        <v>3739</v>
      </c>
      <c r="D4538" t="s">
        <v>3752</v>
      </c>
      <c r="E4538" t="s">
        <v>3753</v>
      </c>
      <c r="F4538" t="s">
        <v>3754</v>
      </c>
      <c r="G4538" t="s">
        <v>139</v>
      </c>
      <c r="H4538" t="s">
        <v>30</v>
      </c>
      <c r="I4538" t="s">
        <v>30</v>
      </c>
      <c r="J4538" t="s">
        <v>31</v>
      </c>
      <c r="K4538" t="s">
        <v>32</v>
      </c>
      <c r="L4538" t="s">
        <v>32</v>
      </c>
      <c r="M4538" t="s">
        <v>33</v>
      </c>
      <c r="P4538" t="s">
        <v>34</v>
      </c>
      <c r="Q4538" t="s">
        <v>35</v>
      </c>
      <c r="S4538" t="s">
        <v>30</v>
      </c>
      <c r="T4538" t="s">
        <v>3832</v>
      </c>
      <c r="U4538" t="s">
        <v>3833</v>
      </c>
      <c r="V4538" t="s">
        <v>39</v>
      </c>
      <c r="W4538" s="1">
        <v>4</v>
      </c>
    </row>
    <row r="4539" spans="1:23" x14ac:dyDescent="0.2">
      <c r="A4539" t="s">
        <v>2096</v>
      </c>
      <c r="B4539" t="s">
        <v>3333</v>
      </c>
      <c r="C4539" t="s">
        <v>3739</v>
      </c>
      <c r="D4539" t="s">
        <v>3752</v>
      </c>
      <c r="E4539" t="s">
        <v>3753</v>
      </c>
      <c r="F4539" t="s">
        <v>3754</v>
      </c>
      <c r="G4539" t="s">
        <v>139</v>
      </c>
      <c r="H4539" t="s">
        <v>30</v>
      </c>
      <c r="I4539" t="s">
        <v>30</v>
      </c>
      <c r="J4539" t="s">
        <v>31</v>
      </c>
      <c r="K4539" t="s">
        <v>32</v>
      </c>
      <c r="L4539" t="s">
        <v>32</v>
      </c>
      <c r="M4539" t="s">
        <v>33</v>
      </c>
      <c r="P4539" t="s">
        <v>34</v>
      </c>
      <c r="Q4539" t="s">
        <v>35</v>
      </c>
      <c r="S4539" t="s">
        <v>30</v>
      </c>
      <c r="T4539" t="s">
        <v>3832</v>
      </c>
      <c r="U4539" t="s">
        <v>3833</v>
      </c>
      <c r="V4539" t="s">
        <v>40</v>
      </c>
      <c r="W4539" s="1">
        <v>5503200</v>
      </c>
    </row>
    <row r="4540" spans="1:23" x14ac:dyDescent="0.2">
      <c r="A4540" t="s">
        <v>2096</v>
      </c>
      <c r="B4540" t="s">
        <v>3333</v>
      </c>
      <c r="C4540" t="s">
        <v>3739</v>
      </c>
      <c r="D4540" t="s">
        <v>3752</v>
      </c>
      <c r="E4540" t="s">
        <v>3753</v>
      </c>
      <c r="F4540" t="s">
        <v>3754</v>
      </c>
      <c r="G4540" t="s">
        <v>139</v>
      </c>
      <c r="H4540" t="s">
        <v>30</v>
      </c>
      <c r="I4540" t="s">
        <v>30</v>
      </c>
      <c r="J4540" t="s">
        <v>41</v>
      </c>
      <c r="K4540" t="s">
        <v>32</v>
      </c>
      <c r="L4540" t="s">
        <v>32</v>
      </c>
      <c r="M4540" t="s">
        <v>33</v>
      </c>
      <c r="N4540" t="s">
        <v>33</v>
      </c>
      <c r="O4540" t="s">
        <v>33</v>
      </c>
      <c r="P4540" t="s">
        <v>34</v>
      </c>
      <c r="Q4540" t="s">
        <v>35</v>
      </c>
      <c r="R4540" t="s">
        <v>58</v>
      </c>
      <c r="S4540" t="s">
        <v>30</v>
      </c>
      <c r="T4540" t="s">
        <v>3834</v>
      </c>
      <c r="U4540" t="s">
        <v>3835</v>
      </c>
      <c r="V4540" t="s">
        <v>39</v>
      </c>
      <c r="W4540" s="1">
        <v>3</v>
      </c>
    </row>
    <row r="4541" spans="1:23" x14ac:dyDescent="0.2">
      <c r="A4541" t="s">
        <v>2096</v>
      </c>
      <c r="B4541" t="s">
        <v>3333</v>
      </c>
      <c r="C4541" t="s">
        <v>3739</v>
      </c>
      <c r="D4541" t="s">
        <v>3752</v>
      </c>
      <c r="E4541" t="s">
        <v>3753</v>
      </c>
      <c r="F4541" t="s">
        <v>3754</v>
      </c>
      <c r="G4541" t="s">
        <v>139</v>
      </c>
      <c r="H4541" t="s">
        <v>30</v>
      </c>
      <c r="I4541" t="s">
        <v>30</v>
      </c>
      <c r="J4541" t="s">
        <v>41</v>
      </c>
      <c r="K4541" t="s">
        <v>32</v>
      </c>
      <c r="L4541" t="s">
        <v>32</v>
      </c>
      <c r="M4541" t="s">
        <v>33</v>
      </c>
      <c r="N4541" t="s">
        <v>33</v>
      </c>
      <c r="O4541" t="s">
        <v>33</v>
      </c>
      <c r="P4541" t="s">
        <v>34</v>
      </c>
      <c r="Q4541" t="s">
        <v>35</v>
      </c>
      <c r="R4541" t="s">
        <v>58</v>
      </c>
      <c r="S4541" t="s">
        <v>30</v>
      </c>
      <c r="T4541" t="s">
        <v>3834</v>
      </c>
      <c r="U4541" t="s">
        <v>3835</v>
      </c>
      <c r="V4541" t="s">
        <v>40</v>
      </c>
      <c r="W4541" s="1">
        <v>4199700</v>
      </c>
    </row>
    <row r="4542" spans="1:23" x14ac:dyDescent="0.2">
      <c r="A4542" t="s">
        <v>2096</v>
      </c>
      <c r="B4542" t="s">
        <v>3333</v>
      </c>
      <c r="C4542" t="s">
        <v>3739</v>
      </c>
      <c r="D4542" t="s">
        <v>3752</v>
      </c>
      <c r="E4542" t="s">
        <v>3836</v>
      </c>
      <c r="F4542" t="s">
        <v>3837</v>
      </c>
      <c r="G4542" t="s">
        <v>29</v>
      </c>
      <c r="H4542" t="s">
        <v>30</v>
      </c>
      <c r="I4542" t="s">
        <v>30</v>
      </c>
      <c r="J4542" t="s">
        <v>31</v>
      </c>
      <c r="K4542" t="s">
        <v>32</v>
      </c>
      <c r="L4542" t="s">
        <v>32</v>
      </c>
      <c r="M4542" t="s">
        <v>33</v>
      </c>
      <c r="N4542" t="s">
        <v>33</v>
      </c>
      <c r="O4542" t="s">
        <v>33</v>
      </c>
      <c r="P4542" t="s">
        <v>213</v>
      </c>
      <c r="Q4542" t="s">
        <v>2111</v>
      </c>
      <c r="S4542" t="s">
        <v>30</v>
      </c>
      <c r="T4542" t="s">
        <v>3602</v>
      </c>
      <c r="U4542" t="s">
        <v>3838</v>
      </c>
      <c r="V4542" t="s">
        <v>39</v>
      </c>
      <c r="W4542" s="1">
        <v>2</v>
      </c>
    </row>
    <row r="4543" spans="1:23" x14ac:dyDescent="0.2">
      <c r="A4543" t="s">
        <v>2096</v>
      </c>
      <c r="B4543" t="s">
        <v>3333</v>
      </c>
      <c r="C4543" t="s">
        <v>3739</v>
      </c>
      <c r="D4543" t="s">
        <v>3752</v>
      </c>
      <c r="E4543" t="s">
        <v>3836</v>
      </c>
      <c r="F4543" t="s">
        <v>3837</v>
      </c>
      <c r="G4543" t="s">
        <v>29</v>
      </c>
      <c r="H4543" t="s">
        <v>30</v>
      </c>
      <c r="I4543" t="s">
        <v>30</v>
      </c>
      <c r="J4543" t="s">
        <v>31</v>
      </c>
      <c r="K4543" t="s">
        <v>32</v>
      </c>
      <c r="L4543" t="s">
        <v>32</v>
      </c>
      <c r="M4543" t="s">
        <v>33</v>
      </c>
      <c r="N4543" t="s">
        <v>33</v>
      </c>
      <c r="O4543" t="s">
        <v>33</v>
      </c>
      <c r="P4543" t="s">
        <v>213</v>
      </c>
      <c r="Q4543" t="s">
        <v>2111</v>
      </c>
      <c r="S4543" t="s">
        <v>30</v>
      </c>
      <c r="T4543" t="s">
        <v>3602</v>
      </c>
      <c r="U4543" t="s">
        <v>3838</v>
      </c>
      <c r="V4543" t="s">
        <v>40</v>
      </c>
      <c r="W4543" s="1">
        <v>2355000</v>
      </c>
    </row>
    <row r="4544" spans="1:23" x14ac:dyDescent="0.2">
      <c r="A4544" t="s">
        <v>2096</v>
      </c>
      <c r="B4544" t="s">
        <v>3333</v>
      </c>
      <c r="C4544" t="s">
        <v>3739</v>
      </c>
      <c r="D4544" t="s">
        <v>3752</v>
      </c>
      <c r="E4544" t="s">
        <v>3836</v>
      </c>
      <c r="F4544" t="s">
        <v>3837</v>
      </c>
      <c r="G4544" t="s">
        <v>29</v>
      </c>
      <c r="H4544" t="s">
        <v>30</v>
      </c>
      <c r="I4544" t="s">
        <v>30</v>
      </c>
      <c r="J4544" t="s">
        <v>31</v>
      </c>
      <c r="K4544" t="s">
        <v>32</v>
      </c>
      <c r="L4544" t="s">
        <v>32</v>
      </c>
      <c r="M4544" t="s">
        <v>33</v>
      </c>
      <c r="P4544" t="s">
        <v>34</v>
      </c>
      <c r="Q4544" t="s">
        <v>35</v>
      </c>
      <c r="R4544" t="s">
        <v>173</v>
      </c>
      <c r="S4544" t="s">
        <v>52</v>
      </c>
      <c r="T4544" t="s">
        <v>3839</v>
      </c>
      <c r="U4544" t="s">
        <v>3840</v>
      </c>
      <c r="V4544" t="s">
        <v>39</v>
      </c>
      <c r="W4544" s="1">
        <v>0</v>
      </c>
    </row>
    <row r="4545" spans="1:23" x14ac:dyDescent="0.2">
      <c r="A4545" t="s">
        <v>2096</v>
      </c>
      <c r="B4545" t="s">
        <v>3333</v>
      </c>
      <c r="C4545" t="s">
        <v>3739</v>
      </c>
      <c r="D4545" t="s">
        <v>3752</v>
      </c>
      <c r="E4545" t="s">
        <v>3836</v>
      </c>
      <c r="F4545" t="s">
        <v>3837</v>
      </c>
      <c r="G4545" t="s">
        <v>29</v>
      </c>
      <c r="H4545" t="s">
        <v>30</v>
      </c>
      <c r="I4545" t="s">
        <v>30</v>
      </c>
      <c r="J4545" t="s">
        <v>31</v>
      </c>
      <c r="K4545" t="s">
        <v>32</v>
      </c>
      <c r="L4545" t="s">
        <v>32</v>
      </c>
      <c r="M4545" t="s">
        <v>33</v>
      </c>
      <c r="P4545" t="s">
        <v>34</v>
      </c>
      <c r="Q4545" t="s">
        <v>35</v>
      </c>
      <c r="R4545" t="s">
        <v>173</v>
      </c>
      <c r="S4545" t="s">
        <v>52</v>
      </c>
      <c r="T4545" t="s">
        <v>3839</v>
      </c>
      <c r="U4545" t="s">
        <v>3840</v>
      </c>
      <c r="V4545" t="s">
        <v>40</v>
      </c>
      <c r="W4545" s="1">
        <v>6075600</v>
      </c>
    </row>
    <row r="4546" spans="1:23" x14ac:dyDescent="0.2">
      <c r="A4546" t="s">
        <v>2096</v>
      </c>
      <c r="B4546" t="s">
        <v>3333</v>
      </c>
      <c r="C4546" t="s">
        <v>3739</v>
      </c>
      <c r="D4546" t="s">
        <v>3752</v>
      </c>
      <c r="E4546" t="s">
        <v>3836</v>
      </c>
      <c r="F4546" t="s">
        <v>3837</v>
      </c>
      <c r="G4546" t="s">
        <v>29</v>
      </c>
      <c r="H4546" t="s">
        <v>30</v>
      </c>
      <c r="I4546" t="s">
        <v>30</v>
      </c>
      <c r="J4546" t="s">
        <v>31</v>
      </c>
      <c r="K4546" t="s">
        <v>32</v>
      </c>
      <c r="L4546" t="s">
        <v>32</v>
      </c>
      <c r="M4546" t="s">
        <v>176</v>
      </c>
      <c r="P4546" t="s">
        <v>34</v>
      </c>
      <c r="Q4546" t="s">
        <v>35</v>
      </c>
      <c r="R4546" t="s">
        <v>173</v>
      </c>
      <c r="S4546" t="s">
        <v>52</v>
      </c>
      <c r="T4546" t="s">
        <v>3839</v>
      </c>
      <c r="U4546" t="s">
        <v>3840</v>
      </c>
      <c r="V4546" t="s">
        <v>39</v>
      </c>
      <c r="W4546" s="1">
        <v>0</v>
      </c>
    </row>
    <row r="4547" spans="1:23" x14ac:dyDescent="0.2">
      <c r="A4547" t="s">
        <v>2096</v>
      </c>
      <c r="B4547" t="s">
        <v>3333</v>
      </c>
      <c r="C4547" t="s">
        <v>3739</v>
      </c>
      <c r="D4547" t="s">
        <v>3752</v>
      </c>
      <c r="E4547" t="s">
        <v>3836</v>
      </c>
      <c r="F4547" t="s">
        <v>3837</v>
      </c>
      <c r="G4547" t="s">
        <v>29</v>
      </c>
      <c r="H4547" t="s">
        <v>30</v>
      </c>
      <c r="I4547" t="s">
        <v>30</v>
      </c>
      <c r="J4547" t="s">
        <v>31</v>
      </c>
      <c r="K4547" t="s">
        <v>32</v>
      </c>
      <c r="L4547" t="s">
        <v>32</v>
      </c>
      <c r="M4547" t="s">
        <v>176</v>
      </c>
      <c r="P4547" t="s">
        <v>34</v>
      </c>
      <c r="Q4547" t="s">
        <v>35</v>
      </c>
      <c r="R4547" t="s">
        <v>173</v>
      </c>
      <c r="S4547" t="s">
        <v>52</v>
      </c>
      <c r="T4547" t="s">
        <v>3839</v>
      </c>
      <c r="U4547" t="s">
        <v>3840</v>
      </c>
      <c r="V4547" t="s">
        <v>40</v>
      </c>
      <c r="W4547" s="1">
        <v>2835280</v>
      </c>
    </row>
    <row r="4548" spans="1:23" x14ac:dyDescent="0.2">
      <c r="A4548" t="s">
        <v>2096</v>
      </c>
      <c r="B4548" t="s">
        <v>3333</v>
      </c>
      <c r="C4548" t="s">
        <v>3739</v>
      </c>
      <c r="D4548" t="s">
        <v>3752</v>
      </c>
      <c r="E4548" t="s">
        <v>3836</v>
      </c>
      <c r="F4548" t="s">
        <v>3837</v>
      </c>
      <c r="G4548" t="s">
        <v>49</v>
      </c>
      <c r="H4548" t="s">
        <v>30</v>
      </c>
      <c r="I4548" t="s">
        <v>30</v>
      </c>
      <c r="J4548" t="s">
        <v>128</v>
      </c>
      <c r="K4548" t="s">
        <v>181</v>
      </c>
      <c r="L4548" t="s">
        <v>332</v>
      </c>
      <c r="M4548" t="s">
        <v>33</v>
      </c>
      <c r="P4548" t="s">
        <v>34</v>
      </c>
      <c r="Q4548" t="s">
        <v>35</v>
      </c>
      <c r="S4548" t="s">
        <v>30</v>
      </c>
      <c r="T4548" t="s">
        <v>3841</v>
      </c>
      <c r="U4548" t="s">
        <v>3842</v>
      </c>
      <c r="V4548" t="s">
        <v>39</v>
      </c>
      <c r="W4548" s="1">
        <v>1</v>
      </c>
    </row>
    <row r="4549" spans="1:23" x14ac:dyDescent="0.2">
      <c r="A4549" t="s">
        <v>2096</v>
      </c>
      <c r="B4549" t="s">
        <v>3333</v>
      </c>
      <c r="C4549" t="s">
        <v>3739</v>
      </c>
      <c r="D4549" t="s">
        <v>3752</v>
      </c>
      <c r="E4549" t="s">
        <v>3836</v>
      </c>
      <c r="F4549" t="s">
        <v>3837</v>
      </c>
      <c r="G4549" t="s">
        <v>49</v>
      </c>
      <c r="H4549" t="s">
        <v>30</v>
      </c>
      <c r="I4549" t="s">
        <v>30</v>
      </c>
      <c r="J4549" t="s">
        <v>128</v>
      </c>
      <c r="K4549" t="s">
        <v>181</v>
      </c>
      <c r="L4549" t="s">
        <v>332</v>
      </c>
      <c r="M4549" t="s">
        <v>33</v>
      </c>
      <c r="P4549" t="s">
        <v>34</v>
      </c>
      <c r="Q4549" t="s">
        <v>35</v>
      </c>
      <c r="S4549" t="s">
        <v>30</v>
      </c>
      <c r="T4549" t="s">
        <v>3841</v>
      </c>
      <c r="U4549" t="s">
        <v>3842</v>
      </c>
      <c r="V4549" t="s">
        <v>40</v>
      </c>
      <c r="W4549" s="1">
        <v>1459900</v>
      </c>
    </row>
    <row r="4550" spans="1:23" x14ac:dyDescent="0.2">
      <c r="A4550" t="s">
        <v>2096</v>
      </c>
      <c r="B4550" t="s">
        <v>3333</v>
      </c>
      <c r="C4550" t="s">
        <v>3739</v>
      </c>
      <c r="D4550" t="s">
        <v>3752</v>
      </c>
      <c r="E4550" t="s">
        <v>3836</v>
      </c>
      <c r="F4550" t="s">
        <v>3837</v>
      </c>
      <c r="G4550" t="s">
        <v>49</v>
      </c>
      <c r="H4550" t="s">
        <v>30</v>
      </c>
      <c r="I4550" t="s">
        <v>30</v>
      </c>
      <c r="J4550" t="s">
        <v>128</v>
      </c>
      <c r="K4550" t="s">
        <v>181</v>
      </c>
      <c r="L4550" t="s">
        <v>32</v>
      </c>
      <c r="M4550" t="s">
        <v>33</v>
      </c>
      <c r="N4550" t="s">
        <v>33</v>
      </c>
      <c r="O4550" t="s">
        <v>33</v>
      </c>
      <c r="P4550" t="s">
        <v>34</v>
      </c>
      <c r="Q4550" t="s">
        <v>35</v>
      </c>
      <c r="S4550" t="s">
        <v>30</v>
      </c>
      <c r="T4550" t="s">
        <v>3841</v>
      </c>
      <c r="U4550" t="s">
        <v>3842</v>
      </c>
      <c r="V4550" t="s">
        <v>39</v>
      </c>
      <c r="W4550" s="1">
        <v>6</v>
      </c>
    </row>
    <row r="4551" spans="1:23" x14ac:dyDescent="0.2">
      <c r="A4551" t="s">
        <v>2096</v>
      </c>
      <c r="B4551" t="s">
        <v>3333</v>
      </c>
      <c r="C4551" t="s">
        <v>3739</v>
      </c>
      <c r="D4551" t="s">
        <v>3752</v>
      </c>
      <c r="E4551" t="s">
        <v>3836</v>
      </c>
      <c r="F4551" t="s">
        <v>3837</v>
      </c>
      <c r="G4551" t="s">
        <v>49</v>
      </c>
      <c r="H4551" t="s">
        <v>30</v>
      </c>
      <c r="I4551" t="s">
        <v>30</v>
      </c>
      <c r="J4551" t="s">
        <v>128</v>
      </c>
      <c r="K4551" t="s">
        <v>181</v>
      </c>
      <c r="L4551" t="s">
        <v>32</v>
      </c>
      <c r="M4551" t="s">
        <v>33</v>
      </c>
      <c r="N4551" t="s">
        <v>33</v>
      </c>
      <c r="O4551" t="s">
        <v>33</v>
      </c>
      <c r="P4551" t="s">
        <v>34</v>
      </c>
      <c r="Q4551" t="s">
        <v>35</v>
      </c>
      <c r="S4551" t="s">
        <v>30</v>
      </c>
      <c r="T4551" t="s">
        <v>3841</v>
      </c>
      <c r="U4551" t="s">
        <v>3842</v>
      </c>
      <c r="V4551" t="s">
        <v>40</v>
      </c>
      <c r="W4551" s="1">
        <v>0</v>
      </c>
    </row>
    <row r="4552" spans="1:23" x14ac:dyDescent="0.2">
      <c r="A4552" t="s">
        <v>2096</v>
      </c>
      <c r="B4552" t="s">
        <v>3333</v>
      </c>
      <c r="C4552" t="s">
        <v>3739</v>
      </c>
      <c r="D4552" t="s">
        <v>3752</v>
      </c>
      <c r="E4552" t="s">
        <v>3836</v>
      </c>
      <c r="F4552" t="s">
        <v>3837</v>
      </c>
      <c r="G4552" t="s">
        <v>49</v>
      </c>
      <c r="H4552" t="s">
        <v>30</v>
      </c>
      <c r="I4552" t="s">
        <v>30</v>
      </c>
      <c r="J4552" t="s">
        <v>128</v>
      </c>
      <c r="K4552" t="s">
        <v>181</v>
      </c>
      <c r="L4552" t="s">
        <v>32</v>
      </c>
      <c r="M4552" t="s">
        <v>33</v>
      </c>
      <c r="P4552" t="s">
        <v>34</v>
      </c>
      <c r="Q4552" t="s">
        <v>35</v>
      </c>
      <c r="S4552" t="s">
        <v>30</v>
      </c>
      <c r="T4552" t="s">
        <v>3841</v>
      </c>
      <c r="U4552" t="s">
        <v>3842</v>
      </c>
      <c r="V4552" t="s">
        <v>39</v>
      </c>
      <c r="W4552" s="1">
        <v>6</v>
      </c>
    </row>
    <row r="4553" spans="1:23" x14ac:dyDescent="0.2">
      <c r="A4553" t="s">
        <v>2096</v>
      </c>
      <c r="B4553" t="s">
        <v>3333</v>
      </c>
      <c r="C4553" t="s">
        <v>3739</v>
      </c>
      <c r="D4553" t="s">
        <v>3752</v>
      </c>
      <c r="E4553" t="s">
        <v>3836</v>
      </c>
      <c r="F4553" t="s">
        <v>3837</v>
      </c>
      <c r="G4553" t="s">
        <v>49</v>
      </c>
      <c r="H4553" t="s">
        <v>30</v>
      </c>
      <c r="I4553" t="s">
        <v>30</v>
      </c>
      <c r="J4553" t="s">
        <v>128</v>
      </c>
      <c r="K4553" t="s">
        <v>181</v>
      </c>
      <c r="L4553" t="s">
        <v>32</v>
      </c>
      <c r="M4553" t="s">
        <v>33</v>
      </c>
      <c r="P4553" t="s">
        <v>34</v>
      </c>
      <c r="Q4553" t="s">
        <v>35</v>
      </c>
      <c r="S4553" t="s">
        <v>30</v>
      </c>
      <c r="T4553" t="s">
        <v>3841</v>
      </c>
      <c r="U4553" t="s">
        <v>3842</v>
      </c>
      <c r="V4553" t="s">
        <v>40</v>
      </c>
      <c r="W4553" s="1">
        <v>0</v>
      </c>
    </row>
    <row r="4554" spans="1:23" x14ac:dyDescent="0.2">
      <c r="A4554" t="s">
        <v>2096</v>
      </c>
      <c r="B4554" t="s">
        <v>3333</v>
      </c>
      <c r="C4554" t="s">
        <v>3739</v>
      </c>
      <c r="D4554" t="s">
        <v>3752</v>
      </c>
      <c r="E4554" t="s">
        <v>3836</v>
      </c>
      <c r="F4554" t="s">
        <v>3837</v>
      </c>
      <c r="G4554" t="s">
        <v>49</v>
      </c>
      <c r="H4554" t="s">
        <v>30</v>
      </c>
      <c r="I4554" t="s">
        <v>30</v>
      </c>
      <c r="J4554" t="s">
        <v>41</v>
      </c>
      <c r="K4554" t="s">
        <v>32</v>
      </c>
      <c r="L4554" t="s">
        <v>32</v>
      </c>
      <c r="M4554" t="s">
        <v>33</v>
      </c>
      <c r="N4554" t="s">
        <v>33</v>
      </c>
      <c r="O4554" t="s">
        <v>33</v>
      </c>
      <c r="P4554" t="s">
        <v>213</v>
      </c>
      <c r="Q4554" t="s">
        <v>2111</v>
      </c>
      <c r="S4554" t="s">
        <v>30</v>
      </c>
      <c r="T4554" t="s">
        <v>3843</v>
      </c>
      <c r="U4554" t="s">
        <v>3844</v>
      </c>
      <c r="V4554" t="s">
        <v>39</v>
      </c>
      <c r="W4554" s="1">
        <v>1</v>
      </c>
    </row>
    <row r="4555" spans="1:23" x14ac:dyDescent="0.2">
      <c r="A4555" t="s">
        <v>2096</v>
      </c>
      <c r="B4555" t="s">
        <v>3333</v>
      </c>
      <c r="C4555" t="s">
        <v>3739</v>
      </c>
      <c r="D4555" t="s">
        <v>3752</v>
      </c>
      <c r="E4555" t="s">
        <v>3836</v>
      </c>
      <c r="F4555" t="s">
        <v>3837</v>
      </c>
      <c r="G4555" t="s">
        <v>49</v>
      </c>
      <c r="H4555" t="s">
        <v>30</v>
      </c>
      <c r="I4555" t="s">
        <v>30</v>
      </c>
      <c r="J4555" t="s">
        <v>41</v>
      </c>
      <c r="K4555" t="s">
        <v>32</v>
      </c>
      <c r="L4555" t="s">
        <v>32</v>
      </c>
      <c r="M4555" t="s">
        <v>33</v>
      </c>
      <c r="N4555" t="s">
        <v>33</v>
      </c>
      <c r="O4555" t="s">
        <v>33</v>
      </c>
      <c r="P4555" t="s">
        <v>213</v>
      </c>
      <c r="Q4555" t="s">
        <v>2111</v>
      </c>
      <c r="S4555" t="s">
        <v>30</v>
      </c>
      <c r="T4555" t="s">
        <v>3843</v>
      </c>
      <c r="U4555" t="s">
        <v>3844</v>
      </c>
      <c r="V4555" t="s">
        <v>40</v>
      </c>
      <c r="W4555" s="1">
        <v>1599000</v>
      </c>
    </row>
    <row r="4556" spans="1:23" x14ac:dyDescent="0.2">
      <c r="A4556" t="s">
        <v>2096</v>
      </c>
      <c r="B4556" t="s">
        <v>3333</v>
      </c>
      <c r="C4556" t="s">
        <v>3739</v>
      </c>
      <c r="D4556" t="s">
        <v>3752</v>
      </c>
      <c r="E4556" t="s">
        <v>3836</v>
      </c>
      <c r="F4556" t="s">
        <v>3837</v>
      </c>
      <c r="G4556" t="s">
        <v>49</v>
      </c>
      <c r="H4556" t="s">
        <v>30</v>
      </c>
      <c r="I4556" t="s">
        <v>30</v>
      </c>
      <c r="J4556" t="s">
        <v>41</v>
      </c>
      <c r="K4556" t="s">
        <v>32</v>
      </c>
      <c r="L4556" t="s">
        <v>32</v>
      </c>
      <c r="M4556" t="s">
        <v>33</v>
      </c>
      <c r="P4556" t="s">
        <v>213</v>
      </c>
      <c r="Q4556" t="s">
        <v>2111</v>
      </c>
      <c r="S4556" t="s">
        <v>52</v>
      </c>
      <c r="T4556" t="s">
        <v>3843</v>
      </c>
      <c r="U4556" t="s">
        <v>3844</v>
      </c>
      <c r="V4556" t="s">
        <v>39</v>
      </c>
      <c r="W4556" s="1">
        <v>0</v>
      </c>
    </row>
    <row r="4557" spans="1:23" x14ac:dyDescent="0.2">
      <c r="A4557" t="s">
        <v>2096</v>
      </c>
      <c r="B4557" t="s">
        <v>3333</v>
      </c>
      <c r="C4557" t="s">
        <v>3739</v>
      </c>
      <c r="D4557" t="s">
        <v>3752</v>
      </c>
      <c r="E4557" t="s">
        <v>3836</v>
      </c>
      <c r="F4557" t="s">
        <v>3837</v>
      </c>
      <c r="G4557" t="s">
        <v>49</v>
      </c>
      <c r="H4557" t="s">
        <v>30</v>
      </c>
      <c r="I4557" t="s">
        <v>30</v>
      </c>
      <c r="J4557" t="s">
        <v>41</v>
      </c>
      <c r="K4557" t="s">
        <v>32</v>
      </c>
      <c r="L4557" t="s">
        <v>32</v>
      </c>
      <c r="M4557" t="s">
        <v>33</v>
      </c>
      <c r="P4557" t="s">
        <v>213</v>
      </c>
      <c r="Q4557" t="s">
        <v>2111</v>
      </c>
      <c r="S4557" t="s">
        <v>52</v>
      </c>
      <c r="T4557" t="s">
        <v>3843</v>
      </c>
      <c r="U4557" t="s">
        <v>3844</v>
      </c>
      <c r="V4557" t="s">
        <v>40</v>
      </c>
      <c r="W4557" s="1">
        <v>1599000</v>
      </c>
    </row>
    <row r="4558" spans="1:23" x14ac:dyDescent="0.2">
      <c r="A4558" t="s">
        <v>2096</v>
      </c>
      <c r="B4558" t="s">
        <v>3333</v>
      </c>
      <c r="C4558" t="s">
        <v>3739</v>
      </c>
      <c r="D4558" t="s">
        <v>3752</v>
      </c>
      <c r="E4558" t="s">
        <v>3836</v>
      </c>
      <c r="F4558" t="s">
        <v>3837</v>
      </c>
      <c r="G4558" t="s">
        <v>49</v>
      </c>
      <c r="H4558" t="s">
        <v>30</v>
      </c>
      <c r="I4558" t="s">
        <v>30</v>
      </c>
      <c r="J4558" t="s">
        <v>41</v>
      </c>
      <c r="K4558" t="s">
        <v>32</v>
      </c>
      <c r="L4558" t="s">
        <v>32</v>
      </c>
      <c r="M4558" t="s">
        <v>33</v>
      </c>
      <c r="P4558" t="s">
        <v>34</v>
      </c>
      <c r="Q4558" t="s">
        <v>35</v>
      </c>
      <c r="S4558" t="s">
        <v>52</v>
      </c>
      <c r="T4558" t="s">
        <v>3845</v>
      </c>
      <c r="U4558" t="s">
        <v>3846</v>
      </c>
      <c r="V4558" t="s">
        <v>39</v>
      </c>
      <c r="W4558" s="1">
        <v>0</v>
      </c>
    </row>
    <row r="4559" spans="1:23" x14ac:dyDescent="0.2">
      <c r="A4559" t="s">
        <v>2096</v>
      </c>
      <c r="B4559" t="s">
        <v>3333</v>
      </c>
      <c r="C4559" t="s">
        <v>3739</v>
      </c>
      <c r="D4559" t="s">
        <v>3752</v>
      </c>
      <c r="E4559" t="s">
        <v>3836</v>
      </c>
      <c r="F4559" t="s">
        <v>3837</v>
      </c>
      <c r="G4559" t="s">
        <v>49</v>
      </c>
      <c r="H4559" t="s">
        <v>30</v>
      </c>
      <c r="I4559" t="s">
        <v>30</v>
      </c>
      <c r="J4559" t="s">
        <v>41</v>
      </c>
      <c r="K4559" t="s">
        <v>32</v>
      </c>
      <c r="L4559" t="s">
        <v>32</v>
      </c>
      <c r="M4559" t="s">
        <v>33</v>
      </c>
      <c r="P4559" t="s">
        <v>34</v>
      </c>
      <c r="Q4559" t="s">
        <v>35</v>
      </c>
      <c r="S4559" t="s">
        <v>52</v>
      </c>
      <c r="T4559" t="s">
        <v>3845</v>
      </c>
      <c r="U4559" t="s">
        <v>3846</v>
      </c>
      <c r="V4559" t="s">
        <v>40</v>
      </c>
      <c r="W4559" s="1">
        <v>2115800</v>
      </c>
    </row>
    <row r="4560" spans="1:23" x14ac:dyDescent="0.2">
      <c r="A4560" t="s">
        <v>2096</v>
      </c>
      <c r="B4560" t="s">
        <v>3333</v>
      </c>
      <c r="C4560" t="s">
        <v>3739</v>
      </c>
      <c r="D4560" t="s">
        <v>3752</v>
      </c>
      <c r="E4560" t="s">
        <v>3836</v>
      </c>
      <c r="F4560" t="s">
        <v>3837</v>
      </c>
      <c r="G4560" t="s">
        <v>170</v>
      </c>
      <c r="H4560" t="s">
        <v>52</v>
      </c>
      <c r="I4560" t="s">
        <v>30</v>
      </c>
      <c r="J4560" t="s">
        <v>31</v>
      </c>
      <c r="K4560" t="s">
        <v>32</v>
      </c>
      <c r="L4560" t="s">
        <v>32</v>
      </c>
      <c r="M4560" t="s">
        <v>33</v>
      </c>
      <c r="P4560" t="s">
        <v>213</v>
      </c>
      <c r="Q4560" t="s">
        <v>2118</v>
      </c>
      <c r="S4560" t="s">
        <v>52</v>
      </c>
      <c r="T4560" t="s">
        <v>3847</v>
      </c>
      <c r="U4560" t="s">
        <v>3848</v>
      </c>
      <c r="V4560" t="s">
        <v>39</v>
      </c>
      <c r="W4560" s="1">
        <v>0</v>
      </c>
    </row>
    <row r="4561" spans="1:23" x14ac:dyDescent="0.2">
      <c r="A4561" t="s">
        <v>2096</v>
      </c>
      <c r="B4561" t="s">
        <v>3333</v>
      </c>
      <c r="C4561" t="s">
        <v>3739</v>
      </c>
      <c r="D4561" t="s">
        <v>3752</v>
      </c>
      <c r="E4561" t="s">
        <v>3836</v>
      </c>
      <c r="F4561" t="s">
        <v>3837</v>
      </c>
      <c r="G4561" t="s">
        <v>170</v>
      </c>
      <c r="H4561" t="s">
        <v>52</v>
      </c>
      <c r="I4561" t="s">
        <v>30</v>
      </c>
      <c r="J4561" t="s">
        <v>31</v>
      </c>
      <c r="K4561" t="s">
        <v>32</v>
      </c>
      <c r="L4561" t="s">
        <v>32</v>
      </c>
      <c r="M4561" t="s">
        <v>33</v>
      </c>
      <c r="P4561" t="s">
        <v>213</v>
      </c>
      <c r="Q4561" t="s">
        <v>2118</v>
      </c>
      <c r="S4561" t="s">
        <v>52</v>
      </c>
      <c r="T4561" t="s">
        <v>3847</v>
      </c>
      <c r="U4561" t="s">
        <v>3848</v>
      </c>
      <c r="V4561" t="s">
        <v>40</v>
      </c>
      <c r="W4561" s="1">
        <v>2268000</v>
      </c>
    </row>
    <row r="4562" spans="1:23" x14ac:dyDescent="0.2">
      <c r="A4562" t="s">
        <v>2096</v>
      </c>
      <c r="B4562" t="s">
        <v>3333</v>
      </c>
      <c r="C4562" t="s">
        <v>3739</v>
      </c>
      <c r="D4562" t="s">
        <v>3752</v>
      </c>
      <c r="E4562" t="s">
        <v>3836</v>
      </c>
      <c r="F4562" t="s">
        <v>3837</v>
      </c>
      <c r="G4562" t="s">
        <v>64</v>
      </c>
      <c r="H4562" t="s">
        <v>30</v>
      </c>
      <c r="I4562" t="s">
        <v>52</v>
      </c>
      <c r="J4562" t="s">
        <v>128</v>
      </c>
      <c r="K4562" t="s">
        <v>135</v>
      </c>
      <c r="L4562" t="s">
        <v>32</v>
      </c>
      <c r="M4562" t="s">
        <v>33</v>
      </c>
      <c r="P4562" t="s">
        <v>213</v>
      </c>
      <c r="Q4562" t="s">
        <v>2111</v>
      </c>
      <c r="R4562" t="s">
        <v>136</v>
      </c>
      <c r="S4562" t="s">
        <v>52</v>
      </c>
      <c r="T4562" t="s">
        <v>3849</v>
      </c>
      <c r="U4562" t="s">
        <v>3850</v>
      </c>
      <c r="V4562" t="s">
        <v>39</v>
      </c>
      <c r="W4562" s="1">
        <v>0</v>
      </c>
    </row>
    <row r="4563" spans="1:23" x14ac:dyDescent="0.2">
      <c r="A4563" t="s">
        <v>2096</v>
      </c>
      <c r="B4563" t="s">
        <v>3333</v>
      </c>
      <c r="C4563" t="s">
        <v>3739</v>
      </c>
      <c r="D4563" t="s">
        <v>3752</v>
      </c>
      <c r="E4563" t="s">
        <v>3836</v>
      </c>
      <c r="F4563" t="s">
        <v>3837</v>
      </c>
      <c r="G4563" t="s">
        <v>64</v>
      </c>
      <c r="H4563" t="s">
        <v>30</v>
      </c>
      <c r="I4563" t="s">
        <v>52</v>
      </c>
      <c r="J4563" t="s">
        <v>128</v>
      </c>
      <c r="K4563" t="s">
        <v>135</v>
      </c>
      <c r="L4563" t="s">
        <v>32</v>
      </c>
      <c r="M4563" t="s">
        <v>33</v>
      </c>
      <c r="P4563" t="s">
        <v>213</v>
      </c>
      <c r="Q4563" t="s">
        <v>2111</v>
      </c>
      <c r="R4563" t="s">
        <v>136</v>
      </c>
      <c r="S4563" t="s">
        <v>52</v>
      </c>
      <c r="T4563" t="s">
        <v>3849</v>
      </c>
      <c r="U4563" t="s">
        <v>3850</v>
      </c>
      <c r="V4563" t="s">
        <v>40</v>
      </c>
      <c r="W4563" s="1">
        <v>650900</v>
      </c>
    </row>
    <row r="4564" spans="1:23" x14ac:dyDescent="0.2">
      <c r="A4564" t="s">
        <v>2096</v>
      </c>
      <c r="B4564" t="s">
        <v>3333</v>
      </c>
      <c r="C4564" t="s">
        <v>3739</v>
      </c>
      <c r="D4564" t="s">
        <v>3752</v>
      </c>
      <c r="E4564" t="s">
        <v>3836</v>
      </c>
      <c r="F4564" t="s">
        <v>3837</v>
      </c>
      <c r="G4564" t="s">
        <v>64</v>
      </c>
      <c r="H4564" t="s">
        <v>30</v>
      </c>
      <c r="I4564" t="s">
        <v>52</v>
      </c>
      <c r="J4564" t="s">
        <v>128</v>
      </c>
      <c r="K4564" t="s">
        <v>135</v>
      </c>
      <c r="L4564" t="s">
        <v>32</v>
      </c>
      <c r="M4564" t="s">
        <v>33</v>
      </c>
      <c r="P4564" t="s">
        <v>34</v>
      </c>
      <c r="Q4564" t="s">
        <v>35</v>
      </c>
      <c r="R4564" t="s">
        <v>136</v>
      </c>
      <c r="S4564" t="s">
        <v>30</v>
      </c>
      <c r="T4564" t="s">
        <v>3851</v>
      </c>
      <c r="U4564" t="s">
        <v>3852</v>
      </c>
      <c r="V4564" t="s">
        <v>39</v>
      </c>
      <c r="W4564" s="1">
        <v>4</v>
      </c>
    </row>
    <row r="4565" spans="1:23" x14ac:dyDescent="0.2">
      <c r="A4565" t="s">
        <v>2096</v>
      </c>
      <c r="B4565" t="s">
        <v>3333</v>
      </c>
      <c r="C4565" t="s">
        <v>3739</v>
      </c>
      <c r="D4565" t="s">
        <v>3752</v>
      </c>
      <c r="E4565" t="s">
        <v>3836</v>
      </c>
      <c r="F4565" t="s">
        <v>3837</v>
      </c>
      <c r="G4565" t="s">
        <v>64</v>
      </c>
      <c r="H4565" t="s">
        <v>30</v>
      </c>
      <c r="I4565" t="s">
        <v>52</v>
      </c>
      <c r="J4565" t="s">
        <v>128</v>
      </c>
      <c r="K4565" t="s">
        <v>135</v>
      </c>
      <c r="L4565" t="s">
        <v>32</v>
      </c>
      <c r="M4565" t="s">
        <v>33</v>
      </c>
      <c r="P4565" t="s">
        <v>34</v>
      </c>
      <c r="Q4565" t="s">
        <v>35</v>
      </c>
      <c r="R4565" t="s">
        <v>136</v>
      </c>
      <c r="S4565" t="s">
        <v>30</v>
      </c>
      <c r="T4565" t="s">
        <v>3851</v>
      </c>
      <c r="U4565" t="s">
        <v>3852</v>
      </c>
      <c r="V4565" t="s">
        <v>40</v>
      </c>
      <c r="W4565" s="1">
        <v>5620400</v>
      </c>
    </row>
    <row r="4566" spans="1:23" x14ac:dyDescent="0.2">
      <c r="A4566" t="s">
        <v>2096</v>
      </c>
      <c r="B4566" t="s">
        <v>3333</v>
      </c>
      <c r="C4566" t="s">
        <v>3739</v>
      </c>
      <c r="D4566" t="s">
        <v>3752</v>
      </c>
      <c r="E4566" t="s">
        <v>3836</v>
      </c>
      <c r="F4566" t="s">
        <v>3837</v>
      </c>
      <c r="G4566" t="s">
        <v>64</v>
      </c>
      <c r="H4566" t="s">
        <v>30</v>
      </c>
      <c r="I4566" t="s">
        <v>52</v>
      </c>
      <c r="J4566" t="s">
        <v>128</v>
      </c>
      <c r="K4566" t="s">
        <v>135</v>
      </c>
      <c r="L4566" t="s">
        <v>32</v>
      </c>
      <c r="M4566" t="s">
        <v>33</v>
      </c>
      <c r="P4566" t="s">
        <v>34</v>
      </c>
      <c r="Q4566" t="s">
        <v>35</v>
      </c>
      <c r="R4566" t="s">
        <v>136</v>
      </c>
      <c r="S4566" t="s">
        <v>52</v>
      </c>
      <c r="T4566" t="s">
        <v>3853</v>
      </c>
      <c r="U4566" t="s">
        <v>3854</v>
      </c>
      <c r="V4566" t="s">
        <v>39</v>
      </c>
      <c r="W4566" s="1">
        <v>0</v>
      </c>
    </row>
    <row r="4567" spans="1:23" x14ac:dyDescent="0.2">
      <c r="A4567" t="s">
        <v>2096</v>
      </c>
      <c r="B4567" t="s">
        <v>3333</v>
      </c>
      <c r="C4567" t="s">
        <v>3739</v>
      </c>
      <c r="D4567" t="s">
        <v>3752</v>
      </c>
      <c r="E4567" t="s">
        <v>3836</v>
      </c>
      <c r="F4567" t="s">
        <v>3837</v>
      </c>
      <c r="G4567" t="s">
        <v>64</v>
      </c>
      <c r="H4567" t="s">
        <v>30</v>
      </c>
      <c r="I4567" t="s">
        <v>52</v>
      </c>
      <c r="J4567" t="s">
        <v>128</v>
      </c>
      <c r="K4567" t="s">
        <v>135</v>
      </c>
      <c r="L4567" t="s">
        <v>32</v>
      </c>
      <c r="M4567" t="s">
        <v>33</v>
      </c>
      <c r="P4567" t="s">
        <v>34</v>
      </c>
      <c r="Q4567" t="s">
        <v>35</v>
      </c>
      <c r="R4567" t="s">
        <v>136</v>
      </c>
      <c r="S4567" t="s">
        <v>52</v>
      </c>
      <c r="T4567" t="s">
        <v>3853</v>
      </c>
      <c r="U4567" t="s">
        <v>3854</v>
      </c>
      <c r="V4567" t="s">
        <v>40</v>
      </c>
      <c r="W4567" s="1">
        <v>587600</v>
      </c>
    </row>
    <row r="4568" spans="1:23" x14ac:dyDescent="0.2">
      <c r="A4568" t="s">
        <v>2096</v>
      </c>
      <c r="B4568" t="s">
        <v>3333</v>
      </c>
      <c r="C4568" t="s">
        <v>3739</v>
      </c>
      <c r="D4568" t="s">
        <v>3752</v>
      </c>
      <c r="E4568" t="s">
        <v>3836</v>
      </c>
      <c r="F4568" t="s">
        <v>3837</v>
      </c>
      <c r="G4568" t="s">
        <v>64</v>
      </c>
      <c r="H4568" t="s">
        <v>30</v>
      </c>
      <c r="I4568" t="s">
        <v>52</v>
      </c>
      <c r="J4568" t="s">
        <v>128</v>
      </c>
      <c r="K4568" t="s">
        <v>135</v>
      </c>
      <c r="L4568" t="s">
        <v>32</v>
      </c>
      <c r="M4568" t="s">
        <v>33</v>
      </c>
      <c r="P4568" t="s">
        <v>34</v>
      </c>
      <c r="Q4568" t="s">
        <v>35</v>
      </c>
      <c r="R4568" t="s">
        <v>136</v>
      </c>
      <c r="S4568" t="s">
        <v>52</v>
      </c>
      <c r="T4568" t="s">
        <v>3855</v>
      </c>
      <c r="U4568" t="s">
        <v>3856</v>
      </c>
      <c r="V4568" t="s">
        <v>39</v>
      </c>
      <c r="W4568" s="1">
        <v>0</v>
      </c>
    </row>
    <row r="4569" spans="1:23" x14ac:dyDescent="0.2">
      <c r="A4569" t="s">
        <v>2096</v>
      </c>
      <c r="B4569" t="s">
        <v>3333</v>
      </c>
      <c r="C4569" t="s">
        <v>3739</v>
      </c>
      <c r="D4569" t="s">
        <v>3752</v>
      </c>
      <c r="E4569" t="s">
        <v>3836</v>
      </c>
      <c r="F4569" t="s">
        <v>3837</v>
      </c>
      <c r="G4569" t="s">
        <v>64</v>
      </c>
      <c r="H4569" t="s">
        <v>30</v>
      </c>
      <c r="I4569" t="s">
        <v>52</v>
      </c>
      <c r="J4569" t="s">
        <v>128</v>
      </c>
      <c r="K4569" t="s">
        <v>135</v>
      </c>
      <c r="L4569" t="s">
        <v>32</v>
      </c>
      <c r="M4569" t="s">
        <v>33</v>
      </c>
      <c r="P4569" t="s">
        <v>34</v>
      </c>
      <c r="Q4569" t="s">
        <v>35</v>
      </c>
      <c r="R4569" t="s">
        <v>136</v>
      </c>
      <c r="S4569" t="s">
        <v>52</v>
      </c>
      <c r="T4569" t="s">
        <v>3855</v>
      </c>
      <c r="U4569" t="s">
        <v>3856</v>
      </c>
      <c r="V4569" t="s">
        <v>40</v>
      </c>
      <c r="W4569" s="1">
        <v>3107000</v>
      </c>
    </row>
    <row r="4570" spans="1:23" x14ac:dyDescent="0.2">
      <c r="A4570" t="s">
        <v>2096</v>
      </c>
      <c r="B4570" t="s">
        <v>3333</v>
      </c>
      <c r="C4570" t="s">
        <v>3739</v>
      </c>
      <c r="D4570" t="s">
        <v>3752</v>
      </c>
      <c r="E4570" t="s">
        <v>3836</v>
      </c>
      <c r="F4570" t="s">
        <v>3837</v>
      </c>
      <c r="G4570" t="s">
        <v>64</v>
      </c>
      <c r="H4570" t="s">
        <v>30</v>
      </c>
      <c r="I4570" t="s">
        <v>52</v>
      </c>
      <c r="J4570" t="s">
        <v>128</v>
      </c>
      <c r="K4570" t="s">
        <v>135</v>
      </c>
      <c r="L4570" t="s">
        <v>32</v>
      </c>
      <c r="M4570" t="s">
        <v>176</v>
      </c>
      <c r="P4570" t="s">
        <v>34</v>
      </c>
      <c r="Q4570" t="s">
        <v>35</v>
      </c>
      <c r="R4570" t="s">
        <v>136</v>
      </c>
      <c r="S4570" t="s">
        <v>30</v>
      </c>
      <c r="T4570" t="s">
        <v>3851</v>
      </c>
      <c r="U4570" t="s">
        <v>3852</v>
      </c>
      <c r="V4570" t="s">
        <v>39</v>
      </c>
      <c r="W4570" s="1">
        <v>2</v>
      </c>
    </row>
    <row r="4571" spans="1:23" x14ac:dyDescent="0.2">
      <c r="A4571" t="s">
        <v>2096</v>
      </c>
      <c r="B4571" t="s">
        <v>3333</v>
      </c>
      <c r="C4571" t="s">
        <v>3739</v>
      </c>
      <c r="D4571" t="s">
        <v>3752</v>
      </c>
      <c r="E4571" t="s">
        <v>3836</v>
      </c>
      <c r="F4571" t="s">
        <v>3837</v>
      </c>
      <c r="G4571" t="s">
        <v>64</v>
      </c>
      <c r="H4571" t="s">
        <v>30</v>
      </c>
      <c r="I4571" t="s">
        <v>52</v>
      </c>
      <c r="J4571" t="s">
        <v>128</v>
      </c>
      <c r="K4571" t="s">
        <v>135</v>
      </c>
      <c r="L4571" t="s">
        <v>32</v>
      </c>
      <c r="M4571" t="s">
        <v>176</v>
      </c>
      <c r="P4571" t="s">
        <v>34</v>
      </c>
      <c r="Q4571" t="s">
        <v>35</v>
      </c>
      <c r="R4571" t="s">
        <v>136</v>
      </c>
      <c r="S4571" t="s">
        <v>30</v>
      </c>
      <c r="T4571" t="s">
        <v>3851</v>
      </c>
      <c r="U4571" t="s">
        <v>3852</v>
      </c>
      <c r="V4571" t="s">
        <v>40</v>
      </c>
      <c r="W4571" s="1">
        <v>2521800</v>
      </c>
    </row>
    <row r="4572" spans="1:23" x14ac:dyDescent="0.2">
      <c r="A4572" t="s">
        <v>2096</v>
      </c>
      <c r="B4572" t="s">
        <v>3333</v>
      </c>
      <c r="C4572" t="s">
        <v>3739</v>
      </c>
      <c r="D4572" t="s">
        <v>3752</v>
      </c>
      <c r="E4572" t="s">
        <v>3836</v>
      </c>
      <c r="F4572" t="s">
        <v>3837</v>
      </c>
      <c r="G4572" t="s">
        <v>64</v>
      </c>
      <c r="H4572" t="s">
        <v>30</v>
      </c>
      <c r="I4572" t="s">
        <v>52</v>
      </c>
      <c r="J4572" t="s">
        <v>128</v>
      </c>
      <c r="K4572" t="s">
        <v>135</v>
      </c>
      <c r="L4572" t="s">
        <v>32</v>
      </c>
      <c r="M4572" t="s">
        <v>176</v>
      </c>
      <c r="P4572" t="s">
        <v>34</v>
      </c>
      <c r="Q4572" t="s">
        <v>35</v>
      </c>
      <c r="R4572" t="s">
        <v>136</v>
      </c>
      <c r="S4572" t="s">
        <v>52</v>
      </c>
      <c r="T4572" t="s">
        <v>3853</v>
      </c>
      <c r="U4572" t="s">
        <v>3854</v>
      </c>
      <c r="V4572" t="s">
        <v>39</v>
      </c>
      <c r="W4572" s="1">
        <v>0</v>
      </c>
    </row>
    <row r="4573" spans="1:23" x14ac:dyDescent="0.2">
      <c r="A4573" t="s">
        <v>2096</v>
      </c>
      <c r="B4573" t="s">
        <v>3333</v>
      </c>
      <c r="C4573" t="s">
        <v>3739</v>
      </c>
      <c r="D4573" t="s">
        <v>3752</v>
      </c>
      <c r="E4573" t="s">
        <v>3836</v>
      </c>
      <c r="F4573" t="s">
        <v>3837</v>
      </c>
      <c r="G4573" t="s">
        <v>64</v>
      </c>
      <c r="H4573" t="s">
        <v>30</v>
      </c>
      <c r="I4573" t="s">
        <v>52</v>
      </c>
      <c r="J4573" t="s">
        <v>128</v>
      </c>
      <c r="K4573" t="s">
        <v>135</v>
      </c>
      <c r="L4573" t="s">
        <v>32</v>
      </c>
      <c r="M4573" t="s">
        <v>176</v>
      </c>
      <c r="P4573" t="s">
        <v>34</v>
      </c>
      <c r="Q4573" t="s">
        <v>35</v>
      </c>
      <c r="R4573" t="s">
        <v>136</v>
      </c>
      <c r="S4573" t="s">
        <v>52</v>
      </c>
      <c r="T4573" t="s">
        <v>3853</v>
      </c>
      <c r="U4573" t="s">
        <v>3854</v>
      </c>
      <c r="V4573" t="s">
        <v>40</v>
      </c>
      <c r="W4573" s="1">
        <v>793260</v>
      </c>
    </row>
    <row r="4574" spans="1:23" x14ac:dyDescent="0.2">
      <c r="A4574" t="s">
        <v>2096</v>
      </c>
      <c r="B4574" t="s">
        <v>3333</v>
      </c>
      <c r="C4574" t="s">
        <v>3739</v>
      </c>
      <c r="D4574" t="s">
        <v>3752</v>
      </c>
      <c r="E4574" t="s">
        <v>3836</v>
      </c>
      <c r="F4574" t="s">
        <v>3837</v>
      </c>
      <c r="G4574" t="s">
        <v>64</v>
      </c>
      <c r="H4574" t="s">
        <v>30</v>
      </c>
      <c r="I4574" t="s">
        <v>52</v>
      </c>
      <c r="J4574" t="s">
        <v>31</v>
      </c>
      <c r="K4574" t="s">
        <v>32</v>
      </c>
      <c r="L4574" t="s">
        <v>32</v>
      </c>
      <c r="M4574" t="s">
        <v>33</v>
      </c>
      <c r="N4574" t="s">
        <v>33</v>
      </c>
      <c r="O4574" t="s">
        <v>33</v>
      </c>
      <c r="P4574" t="s">
        <v>34</v>
      </c>
      <c r="Q4574" t="s">
        <v>35</v>
      </c>
      <c r="R4574" t="s">
        <v>173</v>
      </c>
      <c r="S4574" t="s">
        <v>30</v>
      </c>
      <c r="T4574" t="s">
        <v>3839</v>
      </c>
      <c r="U4574" t="s">
        <v>3857</v>
      </c>
      <c r="V4574" t="s">
        <v>39</v>
      </c>
      <c r="W4574" s="1">
        <v>2</v>
      </c>
    </row>
    <row r="4575" spans="1:23" x14ac:dyDescent="0.2">
      <c r="A4575" t="s">
        <v>2096</v>
      </c>
      <c r="B4575" t="s">
        <v>3333</v>
      </c>
      <c r="C4575" t="s">
        <v>3739</v>
      </c>
      <c r="D4575" t="s">
        <v>3752</v>
      </c>
      <c r="E4575" t="s">
        <v>3836</v>
      </c>
      <c r="F4575" t="s">
        <v>3837</v>
      </c>
      <c r="G4575" t="s">
        <v>64</v>
      </c>
      <c r="H4575" t="s">
        <v>30</v>
      </c>
      <c r="I4575" t="s">
        <v>52</v>
      </c>
      <c r="J4575" t="s">
        <v>31</v>
      </c>
      <c r="K4575" t="s">
        <v>32</v>
      </c>
      <c r="L4575" t="s">
        <v>32</v>
      </c>
      <c r="M4575" t="s">
        <v>33</v>
      </c>
      <c r="N4575" t="s">
        <v>33</v>
      </c>
      <c r="O4575" t="s">
        <v>33</v>
      </c>
      <c r="P4575" t="s">
        <v>34</v>
      </c>
      <c r="Q4575" t="s">
        <v>35</v>
      </c>
      <c r="R4575" t="s">
        <v>173</v>
      </c>
      <c r="S4575" t="s">
        <v>30</v>
      </c>
      <c r="T4575" t="s">
        <v>3839</v>
      </c>
      <c r="U4575" t="s">
        <v>3857</v>
      </c>
      <c r="V4575" t="s">
        <v>40</v>
      </c>
      <c r="W4575" s="1">
        <v>2025200</v>
      </c>
    </row>
    <row r="4576" spans="1:23" x14ac:dyDescent="0.2">
      <c r="A4576" t="s">
        <v>2096</v>
      </c>
      <c r="B4576" t="s">
        <v>3333</v>
      </c>
      <c r="C4576" t="s">
        <v>3739</v>
      </c>
      <c r="D4576" t="s">
        <v>3752</v>
      </c>
      <c r="E4576" t="s">
        <v>3836</v>
      </c>
      <c r="F4576" t="s">
        <v>3837</v>
      </c>
      <c r="G4576" t="s">
        <v>64</v>
      </c>
      <c r="H4576" t="s">
        <v>30</v>
      </c>
      <c r="I4576" t="s">
        <v>52</v>
      </c>
      <c r="J4576" t="s">
        <v>41</v>
      </c>
      <c r="K4576" t="s">
        <v>32</v>
      </c>
      <c r="L4576" t="s">
        <v>32</v>
      </c>
      <c r="M4576" t="s">
        <v>33</v>
      </c>
      <c r="N4576" t="s">
        <v>33</v>
      </c>
      <c r="O4576" t="s">
        <v>33</v>
      </c>
      <c r="P4576" t="s">
        <v>34</v>
      </c>
      <c r="Q4576" t="s">
        <v>35</v>
      </c>
      <c r="R4576" t="s">
        <v>73</v>
      </c>
      <c r="S4576" t="s">
        <v>30</v>
      </c>
      <c r="T4576" t="s">
        <v>3858</v>
      </c>
      <c r="U4576" t="s">
        <v>3859</v>
      </c>
      <c r="V4576" t="s">
        <v>39</v>
      </c>
      <c r="W4576" s="1">
        <v>8</v>
      </c>
    </row>
    <row r="4577" spans="1:23" x14ac:dyDescent="0.2">
      <c r="A4577" t="s">
        <v>2096</v>
      </c>
      <c r="B4577" t="s">
        <v>3333</v>
      </c>
      <c r="C4577" t="s">
        <v>3739</v>
      </c>
      <c r="D4577" t="s">
        <v>3752</v>
      </c>
      <c r="E4577" t="s">
        <v>3836</v>
      </c>
      <c r="F4577" t="s">
        <v>3837</v>
      </c>
      <c r="G4577" t="s">
        <v>64</v>
      </c>
      <c r="H4577" t="s">
        <v>30</v>
      </c>
      <c r="I4577" t="s">
        <v>52</v>
      </c>
      <c r="J4577" t="s">
        <v>41</v>
      </c>
      <c r="K4577" t="s">
        <v>32</v>
      </c>
      <c r="L4577" t="s">
        <v>32</v>
      </c>
      <c r="M4577" t="s">
        <v>33</v>
      </c>
      <c r="N4577" t="s">
        <v>33</v>
      </c>
      <c r="O4577" t="s">
        <v>33</v>
      </c>
      <c r="P4577" t="s">
        <v>34</v>
      </c>
      <c r="Q4577" t="s">
        <v>35</v>
      </c>
      <c r="R4577" t="s">
        <v>73</v>
      </c>
      <c r="S4577" t="s">
        <v>30</v>
      </c>
      <c r="T4577" t="s">
        <v>3858</v>
      </c>
      <c r="U4577" t="s">
        <v>3859</v>
      </c>
      <c r="V4577" t="s">
        <v>40</v>
      </c>
      <c r="W4577" s="1">
        <v>13199200</v>
      </c>
    </row>
    <row r="4578" spans="1:23" x14ac:dyDescent="0.2">
      <c r="A4578" t="s">
        <v>2096</v>
      </c>
      <c r="B4578" t="s">
        <v>3333</v>
      </c>
      <c r="C4578" t="s">
        <v>3739</v>
      </c>
      <c r="D4578" t="s">
        <v>3752</v>
      </c>
      <c r="E4578" t="s">
        <v>3836</v>
      </c>
      <c r="F4578" t="s">
        <v>3837</v>
      </c>
      <c r="G4578" t="s">
        <v>64</v>
      </c>
      <c r="H4578" t="s">
        <v>30</v>
      </c>
      <c r="I4578" t="s">
        <v>52</v>
      </c>
      <c r="J4578" t="s">
        <v>41</v>
      </c>
      <c r="K4578" t="s">
        <v>32</v>
      </c>
      <c r="L4578" t="s">
        <v>32</v>
      </c>
      <c r="M4578" t="s">
        <v>33</v>
      </c>
      <c r="N4578" t="s">
        <v>33</v>
      </c>
      <c r="O4578" t="s">
        <v>33</v>
      </c>
      <c r="P4578" t="s">
        <v>34</v>
      </c>
      <c r="Q4578" t="s">
        <v>35</v>
      </c>
      <c r="S4578" t="s">
        <v>30</v>
      </c>
      <c r="T4578" t="s">
        <v>3845</v>
      </c>
      <c r="U4578" t="s">
        <v>3860</v>
      </c>
      <c r="V4578" t="s">
        <v>39</v>
      </c>
      <c r="W4578" s="1">
        <v>2</v>
      </c>
    </row>
    <row r="4579" spans="1:23" x14ac:dyDescent="0.2">
      <c r="A4579" t="s">
        <v>2096</v>
      </c>
      <c r="B4579" t="s">
        <v>3333</v>
      </c>
      <c r="C4579" t="s">
        <v>3739</v>
      </c>
      <c r="D4579" t="s">
        <v>3752</v>
      </c>
      <c r="E4579" t="s">
        <v>3836</v>
      </c>
      <c r="F4579" t="s">
        <v>3837</v>
      </c>
      <c r="G4579" t="s">
        <v>64</v>
      </c>
      <c r="H4579" t="s">
        <v>30</v>
      </c>
      <c r="I4579" t="s">
        <v>52</v>
      </c>
      <c r="J4579" t="s">
        <v>41</v>
      </c>
      <c r="K4579" t="s">
        <v>32</v>
      </c>
      <c r="L4579" t="s">
        <v>32</v>
      </c>
      <c r="M4579" t="s">
        <v>33</v>
      </c>
      <c r="N4579" t="s">
        <v>33</v>
      </c>
      <c r="O4579" t="s">
        <v>33</v>
      </c>
      <c r="P4579" t="s">
        <v>34</v>
      </c>
      <c r="Q4579" t="s">
        <v>35</v>
      </c>
      <c r="S4579" t="s">
        <v>30</v>
      </c>
      <c r="T4579" t="s">
        <v>3845</v>
      </c>
      <c r="U4579" t="s">
        <v>3860</v>
      </c>
      <c r="V4579" t="s">
        <v>40</v>
      </c>
      <c r="W4579" s="1">
        <v>2115800</v>
      </c>
    </row>
    <row r="4580" spans="1:23" x14ac:dyDescent="0.2">
      <c r="A4580" t="s">
        <v>2096</v>
      </c>
      <c r="B4580" t="s">
        <v>3333</v>
      </c>
      <c r="C4580" t="s">
        <v>3739</v>
      </c>
      <c r="D4580" t="s">
        <v>3752</v>
      </c>
      <c r="E4580" t="s">
        <v>3836</v>
      </c>
      <c r="F4580" t="s">
        <v>3837</v>
      </c>
      <c r="G4580" t="s">
        <v>64</v>
      </c>
      <c r="H4580" t="s">
        <v>30</v>
      </c>
      <c r="I4580" t="s">
        <v>52</v>
      </c>
      <c r="J4580" t="s">
        <v>41</v>
      </c>
      <c r="K4580" t="s">
        <v>32</v>
      </c>
      <c r="L4580" t="s">
        <v>32</v>
      </c>
      <c r="M4580" t="s">
        <v>33</v>
      </c>
      <c r="N4580" t="s">
        <v>33</v>
      </c>
      <c r="O4580" t="s">
        <v>33</v>
      </c>
      <c r="P4580" t="s">
        <v>34</v>
      </c>
      <c r="Q4580" t="s">
        <v>35</v>
      </c>
      <c r="S4580" t="s">
        <v>30</v>
      </c>
      <c r="T4580" t="s">
        <v>3861</v>
      </c>
      <c r="U4580" t="s">
        <v>3862</v>
      </c>
      <c r="V4580" t="s">
        <v>39</v>
      </c>
      <c r="W4580" s="1">
        <v>2</v>
      </c>
    </row>
    <row r="4581" spans="1:23" x14ac:dyDescent="0.2">
      <c r="A4581" t="s">
        <v>2096</v>
      </c>
      <c r="B4581" t="s">
        <v>3333</v>
      </c>
      <c r="C4581" t="s">
        <v>3739</v>
      </c>
      <c r="D4581" t="s">
        <v>3752</v>
      </c>
      <c r="E4581" t="s">
        <v>3836</v>
      </c>
      <c r="F4581" t="s">
        <v>3837</v>
      </c>
      <c r="G4581" t="s">
        <v>64</v>
      </c>
      <c r="H4581" t="s">
        <v>30</v>
      </c>
      <c r="I4581" t="s">
        <v>52</v>
      </c>
      <c r="J4581" t="s">
        <v>41</v>
      </c>
      <c r="K4581" t="s">
        <v>32</v>
      </c>
      <c r="L4581" t="s">
        <v>32</v>
      </c>
      <c r="M4581" t="s">
        <v>33</v>
      </c>
      <c r="N4581" t="s">
        <v>33</v>
      </c>
      <c r="O4581" t="s">
        <v>33</v>
      </c>
      <c r="P4581" t="s">
        <v>34</v>
      </c>
      <c r="Q4581" t="s">
        <v>35</v>
      </c>
      <c r="S4581" t="s">
        <v>30</v>
      </c>
      <c r="T4581" t="s">
        <v>3861</v>
      </c>
      <c r="U4581" t="s">
        <v>3862</v>
      </c>
      <c r="V4581" t="s">
        <v>40</v>
      </c>
      <c r="W4581" s="1">
        <v>3698000</v>
      </c>
    </row>
    <row r="4582" spans="1:23" x14ac:dyDescent="0.2">
      <c r="A4582" t="s">
        <v>2096</v>
      </c>
      <c r="B4582" t="s">
        <v>3333</v>
      </c>
      <c r="C4582" t="s">
        <v>3739</v>
      </c>
      <c r="D4582" t="s">
        <v>3752</v>
      </c>
      <c r="E4582" t="s">
        <v>3836</v>
      </c>
      <c r="F4582" t="s">
        <v>3837</v>
      </c>
      <c r="G4582" t="s">
        <v>64</v>
      </c>
      <c r="H4582" t="s">
        <v>30</v>
      </c>
      <c r="I4582" t="s">
        <v>52</v>
      </c>
      <c r="J4582" t="s">
        <v>41</v>
      </c>
      <c r="K4582" t="s">
        <v>32</v>
      </c>
      <c r="L4582" t="s">
        <v>32</v>
      </c>
      <c r="M4582" t="s">
        <v>33</v>
      </c>
      <c r="P4582" t="s">
        <v>34</v>
      </c>
      <c r="Q4582" t="s">
        <v>35</v>
      </c>
      <c r="R4582" t="s">
        <v>73</v>
      </c>
      <c r="S4582" t="s">
        <v>30</v>
      </c>
      <c r="T4582" t="s">
        <v>3858</v>
      </c>
      <c r="U4582" t="s">
        <v>3859</v>
      </c>
      <c r="V4582" t="s">
        <v>39</v>
      </c>
      <c r="W4582" s="1">
        <v>1</v>
      </c>
    </row>
    <row r="4583" spans="1:23" x14ac:dyDescent="0.2">
      <c r="A4583" t="s">
        <v>2096</v>
      </c>
      <c r="B4583" t="s">
        <v>3333</v>
      </c>
      <c r="C4583" t="s">
        <v>3739</v>
      </c>
      <c r="D4583" t="s">
        <v>3752</v>
      </c>
      <c r="E4583" t="s">
        <v>3836</v>
      </c>
      <c r="F4583" t="s">
        <v>3837</v>
      </c>
      <c r="G4583" t="s">
        <v>64</v>
      </c>
      <c r="H4583" t="s">
        <v>30</v>
      </c>
      <c r="I4583" t="s">
        <v>52</v>
      </c>
      <c r="J4583" t="s">
        <v>41</v>
      </c>
      <c r="K4583" t="s">
        <v>32</v>
      </c>
      <c r="L4583" t="s">
        <v>32</v>
      </c>
      <c r="M4583" t="s">
        <v>33</v>
      </c>
      <c r="P4583" t="s">
        <v>34</v>
      </c>
      <c r="Q4583" t="s">
        <v>35</v>
      </c>
      <c r="R4583" t="s">
        <v>73</v>
      </c>
      <c r="S4583" t="s">
        <v>30</v>
      </c>
      <c r="T4583" t="s">
        <v>3858</v>
      </c>
      <c r="U4583" t="s">
        <v>3859</v>
      </c>
      <c r="V4583" t="s">
        <v>40</v>
      </c>
      <c r="W4583" s="1">
        <v>1649900</v>
      </c>
    </row>
    <row r="4584" spans="1:23" x14ac:dyDescent="0.2">
      <c r="A4584" t="s">
        <v>2096</v>
      </c>
      <c r="B4584" t="s">
        <v>3333</v>
      </c>
      <c r="C4584" t="s">
        <v>3739</v>
      </c>
      <c r="D4584" t="s">
        <v>3752</v>
      </c>
      <c r="E4584" t="s">
        <v>3836</v>
      </c>
      <c r="F4584" t="s">
        <v>3837</v>
      </c>
      <c r="G4584" t="s">
        <v>64</v>
      </c>
      <c r="H4584" t="s">
        <v>30</v>
      </c>
      <c r="I4584" t="s">
        <v>52</v>
      </c>
      <c r="J4584" t="s">
        <v>41</v>
      </c>
      <c r="K4584" t="s">
        <v>32</v>
      </c>
      <c r="L4584" t="s">
        <v>32</v>
      </c>
      <c r="M4584" t="s">
        <v>33</v>
      </c>
      <c r="P4584" t="s">
        <v>34</v>
      </c>
      <c r="Q4584" t="s">
        <v>35</v>
      </c>
      <c r="S4584" t="s">
        <v>52</v>
      </c>
      <c r="T4584" t="s">
        <v>3596</v>
      </c>
      <c r="U4584" t="s">
        <v>3863</v>
      </c>
      <c r="V4584" t="s">
        <v>39</v>
      </c>
      <c r="W4584" s="1">
        <v>0</v>
      </c>
    </row>
    <row r="4585" spans="1:23" x14ac:dyDescent="0.2">
      <c r="A4585" t="s">
        <v>2096</v>
      </c>
      <c r="B4585" t="s">
        <v>3333</v>
      </c>
      <c r="C4585" t="s">
        <v>3739</v>
      </c>
      <c r="D4585" t="s">
        <v>3752</v>
      </c>
      <c r="E4585" t="s">
        <v>3836</v>
      </c>
      <c r="F4585" t="s">
        <v>3837</v>
      </c>
      <c r="G4585" t="s">
        <v>64</v>
      </c>
      <c r="H4585" t="s">
        <v>30</v>
      </c>
      <c r="I4585" t="s">
        <v>52</v>
      </c>
      <c r="J4585" t="s">
        <v>41</v>
      </c>
      <c r="K4585" t="s">
        <v>32</v>
      </c>
      <c r="L4585" t="s">
        <v>32</v>
      </c>
      <c r="M4585" t="s">
        <v>33</v>
      </c>
      <c r="P4585" t="s">
        <v>34</v>
      </c>
      <c r="Q4585" t="s">
        <v>35</v>
      </c>
      <c r="S4585" t="s">
        <v>52</v>
      </c>
      <c r="T4585" t="s">
        <v>3596</v>
      </c>
      <c r="U4585" t="s">
        <v>3863</v>
      </c>
      <c r="V4585" t="s">
        <v>40</v>
      </c>
      <c r="W4585" s="1">
        <v>5787000</v>
      </c>
    </row>
    <row r="4586" spans="1:23" x14ac:dyDescent="0.2">
      <c r="A4586" t="s">
        <v>2096</v>
      </c>
      <c r="B4586" t="s">
        <v>3333</v>
      </c>
      <c r="C4586" t="s">
        <v>3739</v>
      </c>
      <c r="D4586" t="s">
        <v>3752</v>
      </c>
      <c r="E4586" t="s">
        <v>3836</v>
      </c>
      <c r="F4586" t="s">
        <v>3837</v>
      </c>
      <c r="G4586" t="s">
        <v>64</v>
      </c>
      <c r="H4586" t="s">
        <v>30</v>
      </c>
      <c r="I4586" t="s">
        <v>52</v>
      </c>
      <c r="J4586" t="s">
        <v>41</v>
      </c>
      <c r="K4586" t="s">
        <v>32</v>
      </c>
      <c r="L4586" t="s">
        <v>32</v>
      </c>
      <c r="M4586" t="s">
        <v>33</v>
      </c>
      <c r="P4586" t="s">
        <v>34</v>
      </c>
      <c r="Q4586" t="s">
        <v>35</v>
      </c>
      <c r="S4586" t="s">
        <v>52</v>
      </c>
      <c r="T4586" t="s">
        <v>3861</v>
      </c>
      <c r="U4586" t="s">
        <v>3862</v>
      </c>
      <c r="V4586" t="s">
        <v>39</v>
      </c>
      <c r="W4586" s="1">
        <v>0</v>
      </c>
    </row>
    <row r="4587" spans="1:23" x14ac:dyDescent="0.2">
      <c r="A4587" t="s">
        <v>2096</v>
      </c>
      <c r="B4587" t="s">
        <v>3333</v>
      </c>
      <c r="C4587" t="s">
        <v>3739</v>
      </c>
      <c r="D4587" t="s">
        <v>3752</v>
      </c>
      <c r="E4587" t="s">
        <v>3836</v>
      </c>
      <c r="F4587" t="s">
        <v>3837</v>
      </c>
      <c r="G4587" t="s">
        <v>64</v>
      </c>
      <c r="H4587" t="s">
        <v>30</v>
      </c>
      <c r="I4587" t="s">
        <v>52</v>
      </c>
      <c r="J4587" t="s">
        <v>41</v>
      </c>
      <c r="K4587" t="s">
        <v>32</v>
      </c>
      <c r="L4587" t="s">
        <v>32</v>
      </c>
      <c r="M4587" t="s">
        <v>33</v>
      </c>
      <c r="P4587" t="s">
        <v>34</v>
      </c>
      <c r="Q4587" t="s">
        <v>35</v>
      </c>
      <c r="S4587" t="s">
        <v>52</v>
      </c>
      <c r="T4587" t="s">
        <v>3861</v>
      </c>
      <c r="U4587" t="s">
        <v>3862</v>
      </c>
      <c r="V4587" t="s">
        <v>40</v>
      </c>
      <c r="W4587" s="1">
        <v>1849000</v>
      </c>
    </row>
    <row r="4588" spans="1:23" x14ac:dyDescent="0.2">
      <c r="A4588" t="s">
        <v>2096</v>
      </c>
      <c r="B4588" t="s">
        <v>3333</v>
      </c>
      <c r="C4588" t="s">
        <v>3739</v>
      </c>
      <c r="D4588" t="s">
        <v>3752</v>
      </c>
      <c r="E4588" t="s">
        <v>3836</v>
      </c>
      <c r="F4588" t="s">
        <v>3837</v>
      </c>
      <c r="G4588" t="s">
        <v>64</v>
      </c>
      <c r="H4588" t="s">
        <v>30</v>
      </c>
      <c r="I4588" t="s">
        <v>52</v>
      </c>
      <c r="J4588" t="s">
        <v>57</v>
      </c>
      <c r="K4588" t="s">
        <v>32</v>
      </c>
      <c r="L4588" t="s">
        <v>32</v>
      </c>
      <c r="M4588" t="s">
        <v>33</v>
      </c>
      <c r="P4588" t="s">
        <v>34</v>
      </c>
      <c r="Q4588" t="s">
        <v>35</v>
      </c>
      <c r="R4588" t="s">
        <v>54</v>
      </c>
      <c r="S4588" t="s">
        <v>30</v>
      </c>
      <c r="T4588" t="s">
        <v>3864</v>
      </c>
      <c r="U4588" t="s">
        <v>3865</v>
      </c>
      <c r="V4588" t="s">
        <v>39</v>
      </c>
      <c r="W4588" s="1">
        <v>2</v>
      </c>
    </row>
    <row r="4589" spans="1:23" x14ac:dyDescent="0.2">
      <c r="A4589" t="s">
        <v>2096</v>
      </c>
      <c r="B4589" t="s">
        <v>3333</v>
      </c>
      <c r="C4589" t="s">
        <v>3739</v>
      </c>
      <c r="D4589" t="s">
        <v>3752</v>
      </c>
      <c r="E4589" t="s">
        <v>3836</v>
      </c>
      <c r="F4589" t="s">
        <v>3837</v>
      </c>
      <c r="G4589" t="s">
        <v>64</v>
      </c>
      <c r="H4589" t="s">
        <v>30</v>
      </c>
      <c r="I4589" t="s">
        <v>52</v>
      </c>
      <c r="J4589" t="s">
        <v>57</v>
      </c>
      <c r="K4589" t="s">
        <v>32</v>
      </c>
      <c r="L4589" t="s">
        <v>32</v>
      </c>
      <c r="M4589" t="s">
        <v>33</v>
      </c>
      <c r="P4589" t="s">
        <v>34</v>
      </c>
      <c r="Q4589" t="s">
        <v>35</v>
      </c>
      <c r="R4589" t="s">
        <v>54</v>
      </c>
      <c r="S4589" t="s">
        <v>30</v>
      </c>
      <c r="T4589" t="s">
        <v>3864</v>
      </c>
      <c r="U4589" t="s">
        <v>3865</v>
      </c>
      <c r="V4589" t="s">
        <v>40</v>
      </c>
      <c r="W4589" s="1">
        <v>4533200</v>
      </c>
    </row>
    <row r="4590" spans="1:23" x14ac:dyDescent="0.2">
      <c r="A4590" t="s">
        <v>2096</v>
      </c>
      <c r="B4590" t="s">
        <v>3333</v>
      </c>
      <c r="C4590" t="s">
        <v>3739</v>
      </c>
      <c r="D4590" t="s">
        <v>3752</v>
      </c>
      <c r="E4590" t="s">
        <v>3836</v>
      </c>
      <c r="F4590" t="s">
        <v>3837</v>
      </c>
      <c r="G4590" t="s">
        <v>67</v>
      </c>
      <c r="H4590" t="s">
        <v>30</v>
      </c>
      <c r="I4590" t="s">
        <v>30</v>
      </c>
      <c r="J4590" t="s">
        <v>211</v>
      </c>
      <c r="K4590" t="s">
        <v>212</v>
      </c>
      <c r="L4590" t="s">
        <v>32</v>
      </c>
      <c r="M4590" t="s">
        <v>33</v>
      </c>
      <c r="P4590" t="s">
        <v>34</v>
      </c>
      <c r="Q4590" t="s">
        <v>35</v>
      </c>
      <c r="R4590" t="s">
        <v>215</v>
      </c>
      <c r="S4590" t="s">
        <v>52</v>
      </c>
      <c r="T4590" t="s">
        <v>3866</v>
      </c>
      <c r="U4590" t="s">
        <v>3867</v>
      </c>
      <c r="V4590" t="s">
        <v>39</v>
      </c>
      <c r="W4590" s="1">
        <v>0</v>
      </c>
    </row>
    <row r="4591" spans="1:23" x14ac:dyDescent="0.2">
      <c r="A4591" t="s">
        <v>2096</v>
      </c>
      <c r="B4591" t="s">
        <v>3333</v>
      </c>
      <c r="C4591" t="s">
        <v>3739</v>
      </c>
      <c r="D4591" t="s">
        <v>3752</v>
      </c>
      <c r="E4591" t="s">
        <v>3836</v>
      </c>
      <c r="F4591" t="s">
        <v>3837</v>
      </c>
      <c r="G4591" t="s">
        <v>67</v>
      </c>
      <c r="H4591" t="s">
        <v>30</v>
      </c>
      <c r="I4591" t="s">
        <v>30</v>
      </c>
      <c r="J4591" t="s">
        <v>211</v>
      </c>
      <c r="K4591" t="s">
        <v>212</v>
      </c>
      <c r="L4591" t="s">
        <v>32</v>
      </c>
      <c r="M4591" t="s">
        <v>33</v>
      </c>
      <c r="P4591" t="s">
        <v>34</v>
      </c>
      <c r="Q4591" t="s">
        <v>35</v>
      </c>
      <c r="R4591" t="s">
        <v>215</v>
      </c>
      <c r="S4591" t="s">
        <v>52</v>
      </c>
      <c r="T4591" t="s">
        <v>3866</v>
      </c>
      <c r="U4591" t="s">
        <v>3867</v>
      </c>
      <c r="V4591" t="s">
        <v>40</v>
      </c>
      <c r="W4591" s="1">
        <v>3519800</v>
      </c>
    </row>
    <row r="4592" spans="1:23" x14ac:dyDescent="0.2">
      <c r="A4592" t="s">
        <v>2096</v>
      </c>
      <c r="B4592" t="s">
        <v>3333</v>
      </c>
      <c r="C4592" t="s">
        <v>3739</v>
      </c>
      <c r="D4592" t="s">
        <v>3752</v>
      </c>
      <c r="E4592" t="s">
        <v>3836</v>
      </c>
      <c r="F4592" t="s">
        <v>3837</v>
      </c>
      <c r="G4592" t="s">
        <v>67</v>
      </c>
      <c r="H4592" t="s">
        <v>30</v>
      </c>
      <c r="I4592" t="s">
        <v>30</v>
      </c>
      <c r="J4592" t="s">
        <v>31</v>
      </c>
      <c r="K4592" t="s">
        <v>32</v>
      </c>
      <c r="L4592" t="s">
        <v>32</v>
      </c>
      <c r="M4592" t="s">
        <v>33</v>
      </c>
      <c r="N4592" t="s">
        <v>33</v>
      </c>
      <c r="O4592" t="s">
        <v>33</v>
      </c>
      <c r="P4592" t="s">
        <v>34</v>
      </c>
      <c r="Q4592" t="s">
        <v>35</v>
      </c>
      <c r="R4592" t="s">
        <v>173</v>
      </c>
      <c r="S4592" t="s">
        <v>30</v>
      </c>
      <c r="T4592" t="s">
        <v>3839</v>
      </c>
      <c r="U4592" t="s">
        <v>3857</v>
      </c>
      <c r="V4592" t="s">
        <v>39</v>
      </c>
      <c r="W4592" s="1">
        <v>4</v>
      </c>
    </row>
    <row r="4593" spans="1:23" x14ac:dyDescent="0.2">
      <c r="A4593" t="s">
        <v>2096</v>
      </c>
      <c r="B4593" t="s">
        <v>3333</v>
      </c>
      <c r="C4593" t="s">
        <v>3739</v>
      </c>
      <c r="D4593" t="s">
        <v>3752</v>
      </c>
      <c r="E4593" t="s">
        <v>3836</v>
      </c>
      <c r="F4593" t="s">
        <v>3837</v>
      </c>
      <c r="G4593" t="s">
        <v>67</v>
      </c>
      <c r="H4593" t="s">
        <v>30</v>
      </c>
      <c r="I4593" t="s">
        <v>30</v>
      </c>
      <c r="J4593" t="s">
        <v>31</v>
      </c>
      <c r="K4593" t="s">
        <v>32</v>
      </c>
      <c r="L4593" t="s">
        <v>32</v>
      </c>
      <c r="M4593" t="s">
        <v>33</v>
      </c>
      <c r="N4593" t="s">
        <v>33</v>
      </c>
      <c r="O4593" t="s">
        <v>33</v>
      </c>
      <c r="P4593" t="s">
        <v>34</v>
      </c>
      <c r="Q4593" t="s">
        <v>35</v>
      </c>
      <c r="R4593" t="s">
        <v>173</v>
      </c>
      <c r="S4593" t="s">
        <v>30</v>
      </c>
      <c r="T4593" t="s">
        <v>3839</v>
      </c>
      <c r="U4593" t="s">
        <v>3857</v>
      </c>
      <c r="V4593" t="s">
        <v>40</v>
      </c>
      <c r="W4593" s="1">
        <v>4050400</v>
      </c>
    </row>
    <row r="4594" spans="1:23" x14ac:dyDescent="0.2">
      <c r="A4594" t="s">
        <v>2096</v>
      </c>
      <c r="B4594" t="s">
        <v>3333</v>
      </c>
      <c r="C4594" t="s">
        <v>3739</v>
      </c>
      <c r="D4594" t="s">
        <v>3752</v>
      </c>
      <c r="E4594" t="s">
        <v>3836</v>
      </c>
      <c r="F4594" t="s">
        <v>3837</v>
      </c>
      <c r="G4594" t="s">
        <v>67</v>
      </c>
      <c r="H4594" t="s">
        <v>30</v>
      </c>
      <c r="I4594" t="s">
        <v>30</v>
      </c>
      <c r="J4594" t="s">
        <v>31</v>
      </c>
      <c r="K4594" t="s">
        <v>32</v>
      </c>
      <c r="L4594" t="s">
        <v>32</v>
      </c>
      <c r="M4594" t="s">
        <v>176</v>
      </c>
      <c r="N4594" t="s">
        <v>176</v>
      </c>
      <c r="O4594" t="s">
        <v>176</v>
      </c>
      <c r="P4594" t="s">
        <v>34</v>
      </c>
      <c r="Q4594" t="s">
        <v>35</v>
      </c>
      <c r="R4594" t="s">
        <v>173</v>
      </c>
      <c r="S4594" t="s">
        <v>30</v>
      </c>
      <c r="T4594" t="s">
        <v>3839</v>
      </c>
      <c r="U4594" t="s">
        <v>3857</v>
      </c>
      <c r="V4594" t="s">
        <v>39</v>
      </c>
      <c r="W4594" s="1">
        <v>3</v>
      </c>
    </row>
    <row r="4595" spans="1:23" x14ac:dyDescent="0.2">
      <c r="A4595" t="s">
        <v>2096</v>
      </c>
      <c r="B4595" t="s">
        <v>3333</v>
      </c>
      <c r="C4595" t="s">
        <v>3739</v>
      </c>
      <c r="D4595" t="s">
        <v>3752</v>
      </c>
      <c r="E4595" t="s">
        <v>3836</v>
      </c>
      <c r="F4595" t="s">
        <v>3837</v>
      </c>
      <c r="G4595" t="s">
        <v>67</v>
      </c>
      <c r="H4595" t="s">
        <v>30</v>
      </c>
      <c r="I4595" t="s">
        <v>30</v>
      </c>
      <c r="J4595" t="s">
        <v>31</v>
      </c>
      <c r="K4595" t="s">
        <v>32</v>
      </c>
      <c r="L4595" t="s">
        <v>32</v>
      </c>
      <c r="M4595" t="s">
        <v>176</v>
      </c>
      <c r="N4595" t="s">
        <v>176</v>
      </c>
      <c r="O4595" t="s">
        <v>176</v>
      </c>
      <c r="P4595" t="s">
        <v>34</v>
      </c>
      <c r="Q4595" t="s">
        <v>35</v>
      </c>
      <c r="R4595" t="s">
        <v>173</v>
      </c>
      <c r="S4595" t="s">
        <v>30</v>
      </c>
      <c r="T4595" t="s">
        <v>3839</v>
      </c>
      <c r="U4595" t="s">
        <v>3857</v>
      </c>
      <c r="V4595" t="s">
        <v>40</v>
      </c>
      <c r="W4595" s="1">
        <v>2835280</v>
      </c>
    </row>
    <row r="4596" spans="1:23" x14ac:dyDescent="0.2">
      <c r="A4596" t="s">
        <v>2096</v>
      </c>
      <c r="B4596" t="s">
        <v>3333</v>
      </c>
      <c r="C4596" t="s">
        <v>3739</v>
      </c>
      <c r="D4596" t="s">
        <v>3752</v>
      </c>
      <c r="E4596" t="s">
        <v>3836</v>
      </c>
      <c r="F4596" t="s">
        <v>3837</v>
      </c>
      <c r="G4596" t="s">
        <v>67</v>
      </c>
      <c r="H4596" t="s">
        <v>30</v>
      </c>
      <c r="I4596" t="s">
        <v>30</v>
      </c>
      <c r="J4596" t="s">
        <v>41</v>
      </c>
      <c r="K4596" t="s">
        <v>32</v>
      </c>
      <c r="L4596" t="s">
        <v>32</v>
      </c>
      <c r="M4596" t="s">
        <v>33</v>
      </c>
      <c r="N4596" t="s">
        <v>33</v>
      </c>
      <c r="O4596" t="s">
        <v>33</v>
      </c>
      <c r="P4596" t="s">
        <v>34</v>
      </c>
      <c r="Q4596" t="s">
        <v>35</v>
      </c>
      <c r="S4596" t="s">
        <v>30</v>
      </c>
      <c r="T4596" t="s">
        <v>3868</v>
      </c>
      <c r="U4596" t="s">
        <v>3869</v>
      </c>
      <c r="V4596" t="s">
        <v>39</v>
      </c>
      <c r="W4596" s="1">
        <v>2</v>
      </c>
    </row>
    <row r="4597" spans="1:23" x14ac:dyDescent="0.2">
      <c r="A4597" t="s">
        <v>2096</v>
      </c>
      <c r="B4597" t="s">
        <v>3333</v>
      </c>
      <c r="C4597" t="s">
        <v>3739</v>
      </c>
      <c r="D4597" t="s">
        <v>3752</v>
      </c>
      <c r="E4597" t="s">
        <v>3836</v>
      </c>
      <c r="F4597" t="s">
        <v>3837</v>
      </c>
      <c r="G4597" t="s">
        <v>67</v>
      </c>
      <c r="H4597" t="s">
        <v>30</v>
      </c>
      <c r="I4597" t="s">
        <v>30</v>
      </c>
      <c r="J4597" t="s">
        <v>41</v>
      </c>
      <c r="K4597" t="s">
        <v>32</v>
      </c>
      <c r="L4597" t="s">
        <v>32</v>
      </c>
      <c r="M4597" t="s">
        <v>33</v>
      </c>
      <c r="N4597" t="s">
        <v>33</v>
      </c>
      <c r="O4597" t="s">
        <v>33</v>
      </c>
      <c r="P4597" t="s">
        <v>34</v>
      </c>
      <c r="Q4597" t="s">
        <v>35</v>
      </c>
      <c r="S4597" t="s">
        <v>30</v>
      </c>
      <c r="T4597" t="s">
        <v>3868</v>
      </c>
      <c r="U4597" t="s">
        <v>3869</v>
      </c>
      <c r="V4597" t="s">
        <v>40</v>
      </c>
      <c r="W4597" s="1">
        <v>32780000</v>
      </c>
    </row>
    <row r="4598" spans="1:23" x14ac:dyDescent="0.2">
      <c r="A4598" t="s">
        <v>2096</v>
      </c>
      <c r="B4598" t="s">
        <v>3333</v>
      </c>
      <c r="C4598" t="s">
        <v>3739</v>
      </c>
      <c r="D4598" t="s">
        <v>3752</v>
      </c>
      <c r="E4598" t="s">
        <v>3836</v>
      </c>
      <c r="F4598" t="s">
        <v>3837</v>
      </c>
      <c r="G4598" t="s">
        <v>89</v>
      </c>
      <c r="H4598" t="s">
        <v>30</v>
      </c>
      <c r="I4598" t="s">
        <v>30</v>
      </c>
      <c r="J4598" t="s">
        <v>41</v>
      </c>
      <c r="K4598" t="s">
        <v>32</v>
      </c>
      <c r="L4598" t="s">
        <v>32</v>
      </c>
      <c r="M4598" t="s">
        <v>33</v>
      </c>
      <c r="N4598" t="s">
        <v>33</v>
      </c>
      <c r="O4598" t="s">
        <v>33</v>
      </c>
      <c r="P4598" t="s">
        <v>213</v>
      </c>
      <c r="Q4598" t="s">
        <v>2118</v>
      </c>
      <c r="R4598" t="s">
        <v>54</v>
      </c>
      <c r="S4598" t="s">
        <v>30</v>
      </c>
      <c r="T4598" t="s">
        <v>3870</v>
      </c>
      <c r="U4598" t="s">
        <v>3871</v>
      </c>
      <c r="V4598" t="s">
        <v>39</v>
      </c>
      <c r="W4598" s="1">
        <v>1</v>
      </c>
    </row>
    <row r="4599" spans="1:23" x14ac:dyDescent="0.2">
      <c r="A4599" t="s">
        <v>2096</v>
      </c>
      <c r="B4599" t="s">
        <v>3333</v>
      </c>
      <c r="C4599" t="s">
        <v>3739</v>
      </c>
      <c r="D4599" t="s">
        <v>3752</v>
      </c>
      <c r="E4599" t="s">
        <v>3836</v>
      </c>
      <c r="F4599" t="s">
        <v>3837</v>
      </c>
      <c r="G4599" t="s">
        <v>89</v>
      </c>
      <c r="H4599" t="s">
        <v>30</v>
      </c>
      <c r="I4599" t="s">
        <v>30</v>
      </c>
      <c r="J4599" t="s">
        <v>41</v>
      </c>
      <c r="K4599" t="s">
        <v>32</v>
      </c>
      <c r="L4599" t="s">
        <v>32</v>
      </c>
      <c r="M4599" t="s">
        <v>33</v>
      </c>
      <c r="N4599" t="s">
        <v>33</v>
      </c>
      <c r="O4599" t="s">
        <v>33</v>
      </c>
      <c r="P4599" t="s">
        <v>213</v>
      </c>
      <c r="Q4599" t="s">
        <v>2118</v>
      </c>
      <c r="R4599" t="s">
        <v>54</v>
      </c>
      <c r="S4599" t="s">
        <v>30</v>
      </c>
      <c r="T4599" t="s">
        <v>3870</v>
      </c>
      <c r="U4599" t="s">
        <v>3871</v>
      </c>
      <c r="V4599" t="s">
        <v>40</v>
      </c>
      <c r="W4599" s="1">
        <v>736900</v>
      </c>
    </row>
    <row r="4600" spans="1:23" x14ac:dyDescent="0.2">
      <c r="A4600" t="s">
        <v>2096</v>
      </c>
      <c r="B4600" t="s">
        <v>3333</v>
      </c>
      <c r="C4600" t="s">
        <v>3739</v>
      </c>
      <c r="D4600" t="s">
        <v>3752</v>
      </c>
      <c r="E4600" t="s">
        <v>3836</v>
      </c>
      <c r="F4600" t="s">
        <v>3837</v>
      </c>
      <c r="G4600" t="s">
        <v>106</v>
      </c>
      <c r="H4600" t="s">
        <v>30</v>
      </c>
      <c r="I4600" t="s">
        <v>30</v>
      </c>
      <c r="J4600" t="s">
        <v>211</v>
      </c>
      <c r="K4600" t="s">
        <v>212</v>
      </c>
      <c r="L4600" t="s">
        <v>32</v>
      </c>
      <c r="M4600" t="s">
        <v>33</v>
      </c>
      <c r="P4600" t="s">
        <v>34</v>
      </c>
      <c r="Q4600" t="s">
        <v>35</v>
      </c>
      <c r="R4600" t="s">
        <v>215</v>
      </c>
      <c r="S4600" t="s">
        <v>52</v>
      </c>
      <c r="T4600" t="s">
        <v>3872</v>
      </c>
      <c r="U4600" t="s">
        <v>3873</v>
      </c>
      <c r="V4600" t="s">
        <v>39</v>
      </c>
      <c r="W4600" s="1">
        <v>0</v>
      </c>
    </row>
    <row r="4601" spans="1:23" x14ac:dyDescent="0.2">
      <c r="A4601" t="s">
        <v>2096</v>
      </c>
      <c r="B4601" t="s">
        <v>3333</v>
      </c>
      <c r="C4601" t="s">
        <v>3739</v>
      </c>
      <c r="D4601" t="s">
        <v>3752</v>
      </c>
      <c r="E4601" t="s">
        <v>3836</v>
      </c>
      <c r="F4601" t="s">
        <v>3837</v>
      </c>
      <c r="G4601" t="s">
        <v>106</v>
      </c>
      <c r="H4601" t="s">
        <v>30</v>
      </c>
      <c r="I4601" t="s">
        <v>30</v>
      </c>
      <c r="J4601" t="s">
        <v>211</v>
      </c>
      <c r="K4601" t="s">
        <v>212</v>
      </c>
      <c r="L4601" t="s">
        <v>32</v>
      </c>
      <c r="M4601" t="s">
        <v>33</v>
      </c>
      <c r="P4601" t="s">
        <v>34</v>
      </c>
      <c r="Q4601" t="s">
        <v>35</v>
      </c>
      <c r="R4601" t="s">
        <v>215</v>
      </c>
      <c r="S4601" t="s">
        <v>52</v>
      </c>
      <c r="T4601" t="s">
        <v>3872</v>
      </c>
      <c r="U4601" t="s">
        <v>3873</v>
      </c>
      <c r="V4601" t="s">
        <v>40</v>
      </c>
      <c r="W4601" s="1">
        <v>3559800</v>
      </c>
    </row>
    <row r="4602" spans="1:23" x14ac:dyDescent="0.2">
      <c r="A4602" t="s">
        <v>2096</v>
      </c>
      <c r="B4602" t="s">
        <v>3333</v>
      </c>
      <c r="C4602" t="s">
        <v>3739</v>
      </c>
      <c r="D4602" t="s">
        <v>3752</v>
      </c>
      <c r="E4602" t="s">
        <v>3836</v>
      </c>
      <c r="F4602" t="s">
        <v>3837</v>
      </c>
      <c r="G4602" t="s">
        <v>106</v>
      </c>
      <c r="H4602" t="s">
        <v>30</v>
      </c>
      <c r="I4602" t="s">
        <v>30</v>
      </c>
      <c r="J4602" t="s">
        <v>31</v>
      </c>
      <c r="K4602" t="s">
        <v>32</v>
      </c>
      <c r="L4602" t="s">
        <v>32</v>
      </c>
      <c r="M4602" t="s">
        <v>33</v>
      </c>
      <c r="P4602" t="s">
        <v>213</v>
      </c>
      <c r="Q4602" t="s">
        <v>2111</v>
      </c>
      <c r="S4602" t="s">
        <v>52</v>
      </c>
      <c r="T4602" t="s">
        <v>3874</v>
      </c>
      <c r="U4602" t="s">
        <v>3875</v>
      </c>
      <c r="V4602" t="s">
        <v>39</v>
      </c>
      <c r="W4602" s="1">
        <v>0</v>
      </c>
    </row>
    <row r="4603" spans="1:23" x14ac:dyDescent="0.2">
      <c r="A4603" t="s">
        <v>2096</v>
      </c>
      <c r="B4603" t="s">
        <v>3333</v>
      </c>
      <c r="C4603" t="s">
        <v>3739</v>
      </c>
      <c r="D4603" t="s">
        <v>3752</v>
      </c>
      <c r="E4603" t="s">
        <v>3836</v>
      </c>
      <c r="F4603" t="s">
        <v>3837</v>
      </c>
      <c r="G4603" t="s">
        <v>106</v>
      </c>
      <c r="H4603" t="s">
        <v>30</v>
      </c>
      <c r="I4603" t="s">
        <v>30</v>
      </c>
      <c r="J4603" t="s">
        <v>31</v>
      </c>
      <c r="K4603" t="s">
        <v>32</v>
      </c>
      <c r="L4603" t="s">
        <v>32</v>
      </c>
      <c r="M4603" t="s">
        <v>33</v>
      </c>
      <c r="P4603" t="s">
        <v>213</v>
      </c>
      <c r="Q4603" t="s">
        <v>2111</v>
      </c>
      <c r="S4603" t="s">
        <v>52</v>
      </c>
      <c r="T4603" t="s">
        <v>3874</v>
      </c>
      <c r="U4603" t="s">
        <v>3875</v>
      </c>
      <c r="V4603" t="s">
        <v>40</v>
      </c>
      <c r="W4603" s="1">
        <v>4230000</v>
      </c>
    </row>
    <row r="4604" spans="1:23" x14ac:dyDescent="0.2">
      <c r="A4604" t="s">
        <v>2096</v>
      </c>
      <c r="B4604" t="s">
        <v>3333</v>
      </c>
      <c r="C4604" t="s">
        <v>3739</v>
      </c>
      <c r="D4604" t="s">
        <v>3752</v>
      </c>
      <c r="E4604" t="s">
        <v>3836</v>
      </c>
      <c r="F4604" t="s">
        <v>3837</v>
      </c>
      <c r="G4604" t="s">
        <v>106</v>
      </c>
      <c r="H4604" t="s">
        <v>30</v>
      </c>
      <c r="I4604" t="s">
        <v>30</v>
      </c>
      <c r="J4604" t="s">
        <v>41</v>
      </c>
      <c r="K4604" t="s">
        <v>32</v>
      </c>
      <c r="L4604" t="s">
        <v>32</v>
      </c>
      <c r="M4604" t="s">
        <v>33</v>
      </c>
      <c r="N4604" t="s">
        <v>33</v>
      </c>
      <c r="O4604" t="s">
        <v>33</v>
      </c>
      <c r="P4604" t="s">
        <v>213</v>
      </c>
      <c r="Q4604" t="s">
        <v>2118</v>
      </c>
      <c r="S4604" t="s">
        <v>30</v>
      </c>
      <c r="T4604" t="s">
        <v>3876</v>
      </c>
      <c r="U4604" t="s">
        <v>3877</v>
      </c>
      <c r="V4604" t="s">
        <v>39</v>
      </c>
      <c r="W4604" s="1">
        <v>2</v>
      </c>
    </row>
    <row r="4605" spans="1:23" x14ac:dyDescent="0.2">
      <c r="A4605" t="s">
        <v>2096</v>
      </c>
      <c r="B4605" t="s">
        <v>3333</v>
      </c>
      <c r="C4605" t="s">
        <v>3739</v>
      </c>
      <c r="D4605" t="s">
        <v>3752</v>
      </c>
      <c r="E4605" t="s">
        <v>3836</v>
      </c>
      <c r="F4605" t="s">
        <v>3837</v>
      </c>
      <c r="G4605" t="s">
        <v>106</v>
      </c>
      <c r="H4605" t="s">
        <v>30</v>
      </c>
      <c r="I4605" t="s">
        <v>30</v>
      </c>
      <c r="J4605" t="s">
        <v>41</v>
      </c>
      <c r="K4605" t="s">
        <v>32</v>
      </c>
      <c r="L4605" t="s">
        <v>32</v>
      </c>
      <c r="M4605" t="s">
        <v>33</v>
      </c>
      <c r="N4605" t="s">
        <v>33</v>
      </c>
      <c r="O4605" t="s">
        <v>33</v>
      </c>
      <c r="P4605" t="s">
        <v>213</v>
      </c>
      <c r="Q4605" t="s">
        <v>2118</v>
      </c>
      <c r="S4605" t="s">
        <v>30</v>
      </c>
      <c r="T4605" t="s">
        <v>3876</v>
      </c>
      <c r="U4605" t="s">
        <v>3877</v>
      </c>
      <c r="V4605" t="s">
        <v>40</v>
      </c>
      <c r="W4605" s="1">
        <v>2196000</v>
      </c>
    </row>
    <row r="4606" spans="1:23" x14ac:dyDescent="0.2">
      <c r="A4606" t="s">
        <v>2096</v>
      </c>
      <c r="B4606" t="s">
        <v>3333</v>
      </c>
      <c r="C4606" t="s">
        <v>3739</v>
      </c>
      <c r="D4606" t="s">
        <v>3752</v>
      </c>
      <c r="E4606" t="s">
        <v>3836</v>
      </c>
      <c r="F4606" t="s">
        <v>3837</v>
      </c>
      <c r="G4606" t="s">
        <v>119</v>
      </c>
      <c r="H4606" t="s">
        <v>30</v>
      </c>
      <c r="I4606" t="s">
        <v>52</v>
      </c>
      <c r="J4606" t="s">
        <v>211</v>
      </c>
      <c r="K4606" t="s">
        <v>212</v>
      </c>
      <c r="L4606" t="s">
        <v>32</v>
      </c>
      <c r="M4606" t="s">
        <v>33</v>
      </c>
      <c r="N4606" t="s">
        <v>33</v>
      </c>
      <c r="O4606" t="s">
        <v>33</v>
      </c>
      <c r="P4606" t="s">
        <v>34</v>
      </c>
      <c r="Q4606" t="s">
        <v>35</v>
      </c>
      <c r="R4606" t="s">
        <v>215</v>
      </c>
      <c r="S4606" t="s">
        <v>30</v>
      </c>
      <c r="T4606" t="s">
        <v>3872</v>
      </c>
      <c r="U4606" t="s">
        <v>3878</v>
      </c>
      <c r="V4606" t="s">
        <v>39</v>
      </c>
      <c r="W4606" s="1">
        <v>2</v>
      </c>
    </row>
    <row r="4607" spans="1:23" x14ac:dyDescent="0.2">
      <c r="A4607" t="s">
        <v>2096</v>
      </c>
      <c r="B4607" t="s">
        <v>3333</v>
      </c>
      <c r="C4607" t="s">
        <v>3739</v>
      </c>
      <c r="D4607" t="s">
        <v>3752</v>
      </c>
      <c r="E4607" t="s">
        <v>3836</v>
      </c>
      <c r="F4607" t="s">
        <v>3837</v>
      </c>
      <c r="G4607" t="s">
        <v>119</v>
      </c>
      <c r="H4607" t="s">
        <v>30</v>
      </c>
      <c r="I4607" t="s">
        <v>52</v>
      </c>
      <c r="J4607" t="s">
        <v>211</v>
      </c>
      <c r="K4607" t="s">
        <v>212</v>
      </c>
      <c r="L4607" t="s">
        <v>32</v>
      </c>
      <c r="M4607" t="s">
        <v>33</v>
      </c>
      <c r="N4607" t="s">
        <v>33</v>
      </c>
      <c r="O4607" t="s">
        <v>33</v>
      </c>
      <c r="P4607" t="s">
        <v>34</v>
      </c>
      <c r="Q4607" t="s">
        <v>35</v>
      </c>
      <c r="R4607" t="s">
        <v>215</v>
      </c>
      <c r="S4607" t="s">
        <v>30</v>
      </c>
      <c r="T4607" t="s">
        <v>3872</v>
      </c>
      <c r="U4607" t="s">
        <v>3878</v>
      </c>
      <c r="V4607" t="s">
        <v>40</v>
      </c>
      <c r="W4607" s="1">
        <v>3559800</v>
      </c>
    </row>
    <row r="4608" spans="1:23" x14ac:dyDescent="0.2">
      <c r="A4608" t="s">
        <v>2096</v>
      </c>
      <c r="B4608" t="s">
        <v>3333</v>
      </c>
      <c r="C4608" t="s">
        <v>3739</v>
      </c>
      <c r="D4608" t="s">
        <v>3752</v>
      </c>
      <c r="E4608" t="s">
        <v>3836</v>
      </c>
      <c r="F4608" t="s">
        <v>3837</v>
      </c>
      <c r="G4608" t="s">
        <v>119</v>
      </c>
      <c r="H4608" t="s">
        <v>30</v>
      </c>
      <c r="I4608" t="s">
        <v>52</v>
      </c>
      <c r="J4608" t="s">
        <v>41</v>
      </c>
      <c r="K4608" t="s">
        <v>32</v>
      </c>
      <c r="L4608" t="s">
        <v>32</v>
      </c>
      <c r="M4608" t="s">
        <v>33</v>
      </c>
      <c r="P4608" t="s">
        <v>34</v>
      </c>
      <c r="Q4608" t="s">
        <v>35</v>
      </c>
      <c r="S4608" t="s">
        <v>30</v>
      </c>
      <c r="T4608" t="s">
        <v>3879</v>
      </c>
      <c r="U4608" t="s">
        <v>3880</v>
      </c>
      <c r="V4608" t="s">
        <v>39</v>
      </c>
      <c r="W4608" s="1">
        <v>9</v>
      </c>
    </row>
    <row r="4609" spans="1:23" x14ac:dyDescent="0.2">
      <c r="A4609" t="s">
        <v>2096</v>
      </c>
      <c r="B4609" t="s">
        <v>3333</v>
      </c>
      <c r="C4609" t="s">
        <v>3739</v>
      </c>
      <c r="D4609" t="s">
        <v>3752</v>
      </c>
      <c r="E4609" t="s">
        <v>3836</v>
      </c>
      <c r="F4609" t="s">
        <v>3837</v>
      </c>
      <c r="G4609" t="s">
        <v>119</v>
      </c>
      <c r="H4609" t="s">
        <v>30</v>
      </c>
      <c r="I4609" t="s">
        <v>52</v>
      </c>
      <c r="J4609" t="s">
        <v>41</v>
      </c>
      <c r="K4609" t="s">
        <v>32</v>
      </c>
      <c r="L4609" t="s">
        <v>32</v>
      </c>
      <c r="M4609" t="s">
        <v>33</v>
      </c>
      <c r="P4609" t="s">
        <v>34</v>
      </c>
      <c r="Q4609" t="s">
        <v>35</v>
      </c>
      <c r="S4609" t="s">
        <v>30</v>
      </c>
      <c r="T4609" t="s">
        <v>3879</v>
      </c>
      <c r="U4609" t="s">
        <v>3880</v>
      </c>
      <c r="V4609" t="s">
        <v>40</v>
      </c>
      <c r="W4609" s="1">
        <v>14661900</v>
      </c>
    </row>
    <row r="4610" spans="1:23" x14ac:dyDescent="0.2">
      <c r="A4610" t="s">
        <v>2096</v>
      </c>
      <c r="B4610" t="s">
        <v>3333</v>
      </c>
      <c r="C4610" t="s">
        <v>3739</v>
      </c>
      <c r="D4610" t="s">
        <v>3752</v>
      </c>
      <c r="E4610" t="s">
        <v>3836</v>
      </c>
      <c r="F4610" t="s">
        <v>3837</v>
      </c>
      <c r="G4610" t="s">
        <v>127</v>
      </c>
      <c r="H4610" t="s">
        <v>52</v>
      </c>
      <c r="I4610" t="s">
        <v>30</v>
      </c>
      <c r="J4610" t="s">
        <v>31</v>
      </c>
      <c r="K4610" t="s">
        <v>32</v>
      </c>
      <c r="L4610" t="s">
        <v>32</v>
      </c>
      <c r="M4610" t="s">
        <v>33</v>
      </c>
      <c r="N4610" t="s">
        <v>33</v>
      </c>
      <c r="O4610" t="s">
        <v>33</v>
      </c>
      <c r="P4610" t="s">
        <v>213</v>
      </c>
      <c r="Q4610" t="s">
        <v>2111</v>
      </c>
      <c r="R4610" t="s">
        <v>73</v>
      </c>
      <c r="S4610" t="s">
        <v>30</v>
      </c>
      <c r="T4610" t="s">
        <v>3881</v>
      </c>
      <c r="U4610" t="s">
        <v>3882</v>
      </c>
      <c r="V4610" t="s">
        <v>39</v>
      </c>
      <c r="W4610" s="1">
        <v>2</v>
      </c>
    </row>
    <row r="4611" spans="1:23" x14ac:dyDescent="0.2">
      <c r="A4611" t="s">
        <v>2096</v>
      </c>
      <c r="B4611" t="s">
        <v>3333</v>
      </c>
      <c r="C4611" t="s">
        <v>3739</v>
      </c>
      <c r="D4611" t="s">
        <v>3752</v>
      </c>
      <c r="E4611" t="s">
        <v>3836</v>
      </c>
      <c r="F4611" t="s">
        <v>3837</v>
      </c>
      <c r="G4611" t="s">
        <v>127</v>
      </c>
      <c r="H4611" t="s">
        <v>52</v>
      </c>
      <c r="I4611" t="s">
        <v>30</v>
      </c>
      <c r="J4611" t="s">
        <v>31</v>
      </c>
      <c r="K4611" t="s">
        <v>32</v>
      </c>
      <c r="L4611" t="s">
        <v>32</v>
      </c>
      <c r="M4611" t="s">
        <v>33</v>
      </c>
      <c r="N4611" t="s">
        <v>33</v>
      </c>
      <c r="O4611" t="s">
        <v>33</v>
      </c>
      <c r="P4611" t="s">
        <v>213</v>
      </c>
      <c r="Q4611" t="s">
        <v>2111</v>
      </c>
      <c r="R4611" t="s">
        <v>73</v>
      </c>
      <c r="S4611" t="s">
        <v>30</v>
      </c>
      <c r="T4611" t="s">
        <v>3881</v>
      </c>
      <c r="U4611" t="s">
        <v>3882</v>
      </c>
      <c r="V4611" t="s">
        <v>40</v>
      </c>
      <c r="W4611" s="1">
        <v>1999800</v>
      </c>
    </row>
    <row r="4612" spans="1:23" x14ac:dyDescent="0.2">
      <c r="A4612" t="s">
        <v>2096</v>
      </c>
      <c r="B4612" t="s">
        <v>3333</v>
      </c>
      <c r="C4612" t="s">
        <v>3739</v>
      </c>
      <c r="D4612" t="s">
        <v>3752</v>
      </c>
      <c r="E4612" t="s">
        <v>3836</v>
      </c>
      <c r="F4612" t="s">
        <v>3837</v>
      </c>
      <c r="G4612" t="s">
        <v>127</v>
      </c>
      <c r="H4612" t="s">
        <v>52</v>
      </c>
      <c r="I4612" t="s">
        <v>30</v>
      </c>
      <c r="J4612" t="s">
        <v>31</v>
      </c>
      <c r="K4612" t="s">
        <v>32</v>
      </c>
      <c r="L4612" t="s">
        <v>32</v>
      </c>
      <c r="M4612" t="s">
        <v>33</v>
      </c>
      <c r="N4612" t="s">
        <v>169</v>
      </c>
      <c r="O4612" t="s">
        <v>169</v>
      </c>
      <c r="P4612" t="s">
        <v>213</v>
      </c>
      <c r="Q4612" t="s">
        <v>2111</v>
      </c>
      <c r="R4612" t="s">
        <v>73</v>
      </c>
      <c r="S4612" t="s">
        <v>30</v>
      </c>
      <c r="T4612" t="s">
        <v>3881</v>
      </c>
      <c r="U4612" t="s">
        <v>3882</v>
      </c>
      <c r="V4612" t="s">
        <v>39</v>
      </c>
      <c r="W4612" s="1">
        <v>1</v>
      </c>
    </row>
    <row r="4613" spans="1:23" x14ac:dyDescent="0.2">
      <c r="A4613" t="s">
        <v>2096</v>
      </c>
      <c r="B4613" t="s">
        <v>3333</v>
      </c>
      <c r="C4613" t="s">
        <v>3739</v>
      </c>
      <c r="D4613" t="s">
        <v>3752</v>
      </c>
      <c r="E4613" t="s">
        <v>3836</v>
      </c>
      <c r="F4613" t="s">
        <v>3837</v>
      </c>
      <c r="G4613" t="s">
        <v>127</v>
      </c>
      <c r="H4613" t="s">
        <v>52</v>
      </c>
      <c r="I4613" t="s">
        <v>30</v>
      </c>
      <c r="J4613" t="s">
        <v>31</v>
      </c>
      <c r="K4613" t="s">
        <v>32</v>
      </c>
      <c r="L4613" t="s">
        <v>32</v>
      </c>
      <c r="M4613" t="s">
        <v>33</v>
      </c>
      <c r="N4613" t="s">
        <v>169</v>
      </c>
      <c r="O4613" t="s">
        <v>169</v>
      </c>
      <c r="P4613" t="s">
        <v>213</v>
      </c>
      <c r="Q4613" t="s">
        <v>2111</v>
      </c>
      <c r="R4613" t="s">
        <v>73</v>
      </c>
      <c r="S4613" t="s">
        <v>30</v>
      </c>
      <c r="T4613" t="s">
        <v>3881</v>
      </c>
      <c r="U4613" t="s">
        <v>3882</v>
      </c>
      <c r="V4613" t="s">
        <v>40</v>
      </c>
      <c r="W4613" s="1">
        <v>999900</v>
      </c>
    </row>
    <row r="4614" spans="1:23" x14ac:dyDescent="0.2">
      <c r="A4614" t="s">
        <v>2096</v>
      </c>
      <c r="B4614" t="s">
        <v>3333</v>
      </c>
      <c r="C4614" t="s">
        <v>3739</v>
      </c>
      <c r="D4614" t="s">
        <v>3752</v>
      </c>
      <c r="E4614" t="s">
        <v>3836</v>
      </c>
      <c r="F4614" t="s">
        <v>3837</v>
      </c>
      <c r="G4614" t="s">
        <v>139</v>
      </c>
      <c r="H4614" t="s">
        <v>30</v>
      </c>
      <c r="I4614" t="s">
        <v>30</v>
      </c>
      <c r="J4614" t="s">
        <v>128</v>
      </c>
      <c r="K4614" t="s">
        <v>135</v>
      </c>
      <c r="L4614" t="s">
        <v>32</v>
      </c>
      <c r="M4614" t="s">
        <v>33</v>
      </c>
      <c r="N4614" t="s">
        <v>33</v>
      </c>
      <c r="O4614" t="s">
        <v>33</v>
      </c>
      <c r="P4614" t="s">
        <v>213</v>
      </c>
      <c r="Q4614" t="s">
        <v>2111</v>
      </c>
      <c r="R4614" t="s">
        <v>3883</v>
      </c>
      <c r="S4614" t="s">
        <v>30</v>
      </c>
      <c r="T4614" t="s">
        <v>3884</v>
      </c>
      <c r="U4614" t="s">
        <v>3885</v>
      </c>
      <c r="V4614" t="s">
        <v>39</v>
      </c>
      <c r="W4614" s="1">
        <v>1</v>
      </c>
    </row>
    <row r="4615" spans="1:23" x14ac:dyDescent="0.2">
      <c r="A4615" t="s">
        <v>2096</v>
      </c>
      <c r="B4615" t="s">
        <v>3333</v>
      </c>
      <c r="C4615" t="s">
        <v>3739</v>
      </c>
      <c r="D4615" t="s">
        <v>3752</v>
      </c>
      <c r="E4615" t="s">
        <v>3836</v>
      </c>
      <c r="F4615" t="s">
        <v>3837</v>
      </c>
      <c r="G4615" t="s">
        <v>139</v>
      </c>
      <c r="H4615" t="s">
        <v>30</v>
      </c>
      <c r="I4615" t="s">
        <v>30</v>
      </c>
      <c r="J4615" t="s">
        <v>128</v>
      </c>
      <c r="K4615" t="s">
        <v>135</v>
      </c>
      <c r="L4615" t="s">
        <v>32</v>
      </c>
      <c r="M4615" t="s">
        <v>33</v>
      </c>
      <c r="N4615" t="s">
        <v>33</v>
      </c>
      <c r="O4615" t="s">
        <v>33</v>
      </c>
      <c r="P4615" t="s">
        <v>213</v>
      </c>
      <c r="Q4615" t="s">
        <v>2111</v>
      </c>
      <c r="R4615" t="s">
        <v>3883</v>
      </c>
      <c r="S4615" t="s">
        <v>30</v>
      </c>
      <c r="T4615" t="s">
        <v>3884</v>
      </c>
      <c r="U4615" t="s">
        <v>3885</v>
      </c>
      <c r="V4615" t="s">
        <v>40</v>
      </c>
      <c r="W4615" s="1">
        <v>206900</v>
      </c>
    </row>
    <row r="4616" spans="1:23" x14ac:dyDescent="0.2">
      <c r="A4616" t="s">
        <v>2096</v>
      </c>
      <c r="B4616" t="s">
        <v>3333</v>
      </c>
      <c r="C4616" t="s">
        <v>3739</v>
      </c>
      <c r="D4616" t="s">
        <v>3752</v>
      </c>
      <c r="E4616" t="s">
        <v>3836</v>
      </c>
      <c r="F4616" t="s">
        <v>3837</v>
      </c>
      <c r="G4616" t="s">
        <v>139</v>
      </c>
      <c r="H4616" t="s">
        <v>30</v>
      </c>
      <c r="I4616" t="s">
        <v>30</v>
      </c>
      <c r="J4616" t="s">
        <v>31</v>
      </c>
      <c r="K4616" t="s">
        <v>32</v>
      </c>
      <c r="L4616" t="s">
        <v>32</v>
      </c>
      <c r="M4616" t="s">
        <v>33</v>
      </c>
      <c r="P4616" t="s">
        <v>213</v>
      </c>
      <c r="Q4616" t="s">
        <v>2118</v>
      </c>
      <c r="S4616" t="s">
        <v>30</v>
      </c>
      <c r="T4616" t="s">
        <v>3886</v>
      </c>
      <c r="U4616" t="s">
        <v>3887</v>
      </c>
      <c r="V4616" t="s">
        <v>39</v>
      </c>
      <c r="W4616" s="1">
        <v>2</v>
      </c>
    </row>
    <row r="4617" spans="1:23" x14ac:dyDescent="0.2">
      <c r="A4617" t="s">
        <v>2096</v>
      </c>
      <c r="B4617" t="s">
        <v>3333</v>
      </c>
      <c r="C4617" t="s">
        <v>3739</v>
      </c>
      <c r="D4617" t="s">
        <v>3752</v>
      </c>
      <c r="E4617" t="s">
        <v>3836</v>
      </c>
      <c r="F4617" t="s">
        <v>3837</v>
      </c>
      <c r="G4617" t="s">
        <v>139</v>
      </c>
      <c r="H4617" t="s">
        <v>30</v>
      </c>
      <c r="I4617" t="s">
        <v>30</v>
      </c>
      <c r="J4617" t="s">
        <v>31</v>
      </c>
      <c r="K4617" t="s">
        <v>32</v>
      </c>
      <c r="L4617" t="s">
        <v>32</v>
      </c>
      <c r="M4617" t="s">
        <v>33</v>
      </c>
      <c r="P4617" t="s">
        <v>213</v>
      </c>
      <c r="Q4617" t="s">
        <v>2118</v>
      </c>
      <c r="S4617" t="s">
        <v>30</v>
      </c>
      <c r="T4617" t="s">
        <v>3886</v>
      </c>
      <c r="U4617" t="s">
        <v>3887</v>
      </c>
      <c r="V4617" t="s">
        <v>40</v>
      </c>
      <c r="W4617" s="1">
        <v>1215200</v>
      </c>
    </row>
    <row r="4618" spans="1:23" x14ac:dyDescent="0.2">
      <c r="A4618" t="s">
        <v>2096</v>
      </c>
      <c r="B4618" t="s">
        <v>3333</v>
      </c>
      <c r="C4618" t="s">
        <v>3739</v>
      </c>
      <c r="D4618" t="s">
        <v>3752</v>
      </c>
      <c r="E4618" t="s">
        <v>3836</v>
      </c>
      <c r="F4618" t="s">
        <v>3837</v>
      </c>
      <c r="G4618" t="s">
        <v>139</v>
      </c>
      <c r="H4618" t="s">
        <v>30</v>
      </c>
      <c r="I4618" t="s">
        <v>30</v>
      </c>
      <c r="J4618" t="s">
        <v>31</v>
      </c>
      <c r="K4618" t="s">
        <v>32</v>
      </c>
      <c r="L4618" t="s">
        <v>32</v>
      </c>
      <c r="M4618" t="s">
        <v>33</v>
      </c>
      <c r="P4618" t="s">
        <v>34</v>
      </c>
      <c r="Q4618" t="s">
        <v>35</v>
      </c>
      <c r="S4618" t="s">
        <v>30</v>
      </c>
      <c r="T4618" t="s">
        <v>3888</v>
      </c>
      <c r="U4618" t="s">
        <v>3889</v>
      </c>
      <c r="V4618" t="s">
        <v>39</v>
      </c>
      <c r="W4618" s="1">
        <v>2</v>
      </c>
    </row>
    <row r="4619" spans="1:23" x14ac:dyDescent="0.2">
      <c r="A4619" t="s">
        <v>2096</v>
      </c>
      <c r="B4619" t="s">
        <v>3333</v>
      </c>
      <c r="C4619" t="s">
        <v>3739</v>
      </c>
      <c r="D4619" t="s">
        <v>3752</v>
      </c>
      <c r="E4619" t="s">
        <v>3836</v>
      </c>
      <c r="F4619" t="s">
        <v>3837</v>
      </c>
      <c r="G4619" t="s">
        <v>139</v>
      </c>
      <c r="H4619" t="s">
        <v>30</v>
      </c>
      <c r="I4619" t="s">
        <v>30</v>
      </c>
      <c r="J4619" t="s">
        <v>31</v>
      </c>
      <c r="K4619" t="s">
        <v>32</v>
      </c>
      <c r="L4619" t="s">
        <v>32</v>
      </c>
      <c r="M4619" t="s">
        <v>33</v>
      </c>
      <c r="P4619" t="s">
        <v>34</v>
      </c>
      <c r="Q4619" t="s">
        <v>35</v>
      </c>
      <c r="S4619" t="s">
        <v>30</v>
      </c>
      <c r="T4619" t="s">
        <v>3888</v>
      </c>
      <c r="U4619" t="s">
        <v>3889</v>
      </c>
      <c r="V4619" t="s">
        <v>40</v>
      </c>
      <c r="W4619" s="1">
        <v>2649800</v>
      </c>
    </row>
    <row r="4620" spans="1:23" x14ac:dyDescent="0.2">
      <c r="A4620" t="s">
        <v>2096</v>
      </c>
      <c r="B4620" t="s">
        <v>3333</v>
      </c>
      <c r="C4620" t="s">
        <v>3739</v>
      </c>
      <c r="D4620" t="s">
        <v>3752</v>
      </c>
      <c r="E4620" t="s">
        <v>3836</v>
      </c>
      <c r="F4620" t="s">
        <v>3837</v>
      </c>
      <c r="G4620" t="s">
        <v>139</v>
      </c>
      <c r="H4620" t="s">
        <v>30</v>
      </c>
      <c r="I4620" t="s">
        <v>30</v>
      </c>
      <c r="J4620" t="s">
        <v>233</v>
      </c>
      <c r="K4620" t="s">
        <v>181</v>
      </c>
      <c r="L4620" t="s">
        <v>32</v>
      </c>
      <c r="M4620" t="s">
        <v>33</v>
      </c>
      <c r="N4620" t="s">
        <v>33</v>
      </c>
      <c r="O4620" t="s">
        <v>33</v>
      </c>
      <c r="P4620" t="s">
        <v>34</v>
      </c>
      <c r="Q4620" t="s">
        <v>35</v>
      </c>
      <c r="R4620" t="s">
        <v>693</v>
      </c>
      <c r="S4620" t="s">
        <v>30</v>
      </c>
      <c r="T4620" t="s">
        <v>3890</v>
      </c>
      <c r="U4620" t="s">
        <v>3891</v>
      </c>
      <c r="V4620" t="s">
        <v>39</v>
      </c>
      <c r="W4620" s="1">
        <v>2</v>
      </c>
    </row>
    <row r="4621" spans="1:23" x14ac:dyDescent="0.2">
      <c r="A4621" t="s">
        <v>2096</v>
      </c>
      <c r="B4621" t="s">
        <v>3333</v>
      </c>
      <c r="C4621" t="s">
        <v>3739</v>
      </c>
      <c r="D4621" t="s">
        <v>3752</v>
      </c>
      <c r="E4621" t="s">
        <v>3836</v>
      </c>
      <c r="F4621" t="s">
        <v>3837</v>
      </c>
      <c r="G4621" t="s">
        <v>139</v>
      </c>
      <c r="H4621" t="s">
        <v>30</v>
      </c>
      <c r="I4621" t="s">
        <v>30</v>
      </c>
      <c r="J4621" t="s">
        <v>233</v>
      </c>
      <c r="K4621" t="s">
        <v>181</v>
      </c>
      <c r="L4621" t="s">
        <v>32</v>
      </c>
      <c r="M4621" t="s">
        <v>33</v>
      </c>
      <c r="N4621" t="s">
        <v>33</v>
      </c>
      <c r="O4621" t="s">
        <v>33</v>
      </c>
      <c r="P4621" t="s">
        <v>34</v>
      </c>
      <c r="Q4621" t="s">
        <v>35</v>
      </c>
      <c r="R4621" t="s">
        <v>693</v>
      </c>
      <c r="S4621" t="s">
        <v>30</v>
      </c>
      <c r="T4621" t="s">
        <v>3890</v>
      </c>
      <c r="U4621" t="s">
        <v>3891</v>
      </c>
      <c r="V4621" t="s">
        <v>40</v>
      </c>
      <c r="W4621" s="1">
        <v>0</v>
      </c>
    </row>
    <row r="4622" spans="1:23" x14ac:dyDescent="0.2">
      <c r="A4622" t="s">
        <v>2096</v>
      </c>
      <c r="B4622" t="s">
        <v>3333</v>
      </c>
      <c r="C4622" t="s">
        <v>3739</v>
      </c>
      <c r="D4622" t="s">
        <v>3752</v>
      </c>
      <c r="E4622" t="s">
        <v>3892</v>
      </c>
      <c r="F4622" t="s">
        <v>3893</v>
      </c>
      <c r="G4622" t="s">
        <v>49</v>
      </c>
      <c r="H4622" t="s">
        <v>30</v>
      </c>
      <c r="I4622" t="s">
        <v>30</v>
      </c>
      <c r="J4622" t="s">
        <v>128</v>
      </c>
      <c r="K4622" t="s">
        <v>181</v>
      </c>
      <c r="L4622" t="s">
        <v>332</v>
      </c>
      <c r="M4622" t="s">
        <v>33</v>
      </c>
      <c r="N4622" t="s">
        <v>33</v>
      </c>
      <c r="O4622" t="s">
        <v>33</v>
      </c>
      <c r="P4622" t="s">
        <v>34</v>
      </c>
      <c r="Q4622" t="s">
        <v>35</v>
      </c>
      <c r="S4622" t="s">
        <v>30</v>
      </c>
      <c r="T4622" t="s">
        <v>3894</v>
      </c>
      <c r="U4622" t="s">
        <v>3895</v>
      </c>
      <c r="V4622" t="s">
        <v>39</v>
      </c>
      <c r="W4622" s="1">
        <v>1</v>
      </c>
    </row>
    <row r="4623" spans="1:23" x14ac:dyDescent="0.2">
      <c r="A4623" t="s">
        <v>2096</v>
      </c>
      <c r="B4623" t="s">
        <v>3333</v>
      </c>
      <c r="C4623" t="s">
        <v>3739</v>
      </c>
      <c r="D4623" t="s">
        <v>3752</v>
      </c>
      <c r="E4623" t="s">
        <v>3892</v>
      </c>
      <c r="F4623" t="s">
        <v>3893</v>
      </c>
      <c r="G4623" t="s">
        <v>49</v>
      </c>
      <c r="H4623" t="s">
        <v>30</v>
      </c>
      <c r="I4623" t="s">
        <v>30</v>
      </c>
      <c r="J4623" t="s">
        <v>128</v>
      </c>
      <c r="K4623" t="s">
        <v>181</v>
      </c>
      <c r="L4623" t="s">
        <v>332</v>
      </c>
      <c r="M4623" t="s">
        <v>33</v>
      </c>
      <c r="N4623" t="s">
        <v>33</v>
      </c>
      <c r="O4623" t="s">
        <v>33</v>
      </c>
      <c r="P4623" t="s">
        <v>34</v>
      </c>
      <c r="Q4623" t="s">
        <v>35</v>
      </c>
      <c r="S4623" t="s">
        <v>30</v>
      </c>
      <c r="T4623" t="s">
        <v>3894</v>
      </c>
      <c r="U4623" t="s">
        <v>3895</v>
      </c>
      <c r="V4623" t="s">
        <v>40</v>
      </c>
      <c r="W4623" s="1">
        <v>800000</v>
      </c>
    </row>
    <row r="4624" spans="1:23" x14ac:dyDescent="0.2">
      <c r="A4624" t="s">
        <v>2096</v>
      </c>
      <c r="B4624" t="s">
        <v>3333</v>
      </c>
      <c r="C4624" t="s">
        <v>3739</v>
      </c>
      <c r="D4624" t="s">
        <v>3752</v>
      </c>
      <c r="E4624" t="s">
        <v>3892</v>
      </c>
      <c r="F4624" t="s">
        <v>3893</v>
      </c>
      <c r="G4624" t="s">
        <v>89</v>
      </c>
      <c r="H4624" t="s">
        <v>30</v>
      </c>
      <c r="I4624" t="s">
        <v>30</v>
      </c>
      <c r="J4624" t="s">
        <v>31</v>
      </c>
      <c r="K4624" t="s">
        <v>32</v>
      </c>
      <c r="L4624" t="s">
        <v>32</v>
      </c>
      <c r="M4624" t="s">
        <v>33</v>
      </c>
      <c r="N4624" t="s">
        <v>33</v>
      </c>
      <c r="O4624" t="s">
        <v>33</v>
      </c>
      <c r="P4624" t="s">
        <v>34</v>
      </c>
      <c r="Q4624" t="s">
        <v>35</v>
      </c>
      <c r="S4624" t="s">
        <v>30</v>
      </c>
      <c r="T4624" t="s">
        <v>3896</v>
      </c>
      <c r="U4624" t="s">
        <v>3897</v>
      </c>
      <c r="V4624" t="s">
        <v>39</v>
      </c>
      <c r="W4624" s="1">
        <v>2</v>
      </c>
    </row>
    <row r="4625" spans="1:23" x14ac:dyDescent="0.2">
      <c r="A4625" t="s">
        <v>2096</v>
      </c>
      <c r="B4625" t="s">
        <v>3333</v>
      </c>
      <c r="C4625" t="s">
        <v>3739</v>
      </c>
      <c r="D4625" t="s">
        <v>3752</v>
      </c>
      <c r="E4625" t="s">
        <v>3892</v>
      </c>
      <c r="F4625" t="s">
        <v>3893</v>
      </c>
      <c r="G4625" t="s">
        <v>89</v>
      </c>
      <c r="H4625" t="s">
        <v>30</v>
      </c>
      <c r="I4625" t="s">
        <v>30</v>
      </c>
      <c r="J4625" t="s">
        <v>31</v>
      </c>
      <c r="K4625" t="s">
        <v>32</v>
      </c>
      <c r="L4625" t="s">
        <v>32</v>
      </c>
      <c r="M4625" t="s">
        <v>33</v>
      </c>
      <c r="N4625" t="s">
        <v>33</v>
      </c>
      <c r="O4625" t="s">
        <v>33</v>
      </c>
      <c r="P4625" t="s">
        <v>34</v>
      </c>
      <c r="Q4625" t="s">
        <v>35</v>
      </c>
      <c r="S4625" t="s">
        <v>30</v>
      </c>
      <c r="T4625" t="s">
        <v>3896</v>
      </c>
      <c r="U4625" t="s">
        <v>3897</v>
      </c>
      <c r="V4625" t="s">
        <v>40</v>
      </c>
      <c r="W4625" s="1">
        <v>7650000</v>
      </c>
    </row>
    <row r="4626" spans="1:23" x14ac:dyDescent="0.2">
      <c r="A4626" t="s">
        <v>2096</v>
      </c>
      <c r="B4626" t="s">
        <v>3333</v>
      </c>
      <c r="C4626" t="s">
        <v>3739</v>
      </c>
      <c r="D4626" t="s">
        <v>3752</v>
      </c>
      <c r="E4626" t="s">
        <v>3892</v>
      </c>
      <c r="F4626" t="s">
        <v>3893</v>
      </c>
      <c r="G4626" t="s">
        <v>106</v>
      </c>
      <c r="H4626" t="s">
        <v>30</v>
      </c>
      <c r="I4626" t="s">
        <v>30</v>
      </c>
      <c r="J4626" t="s">
        <v>128</v>
      </c>
      <c r="K4626" t="s">
        <v>181</v>
      </c>
      <c r="L4626" t="s">
        <v>332</v>
      </c>
      <c r="M4626" t="s">
        <v>33</v>
      </c>
      <c r="P4626" t="s">
        <v>34</v>
      </c>
      <c r="Q4626" t="s">
        <v>35</v>
      </c>
      <c r="S4626" t="s">
        <v>30</v>
      </c>
      <c r="T4626" t="s">
        <v>3894</v>
      </c>
      <c r="U4626" t="s">
        <v>3895</v>
      </c>
      <c r="V4626" t="s">
        <v>39</v>
      </c>
      <c r="W4626" s="1">
        <v>2</v>
      </c>
    </row>
    <row r="4627" spans="1:23" x14ac:dyDescent="0.2">
      <c r="A4627" t="s">
        <v>2096</v>
      </c>
      <c r="B4627" t="s">
        <v>3333</v>
      </c>
      <c r="C4627" t="s">
        <v>3739</v>
      </c>
      <c r="D4627" t="s">
        <v>3752</v>
      </c>
      <c r="E4627" t="s">
        <v>3892</v>
      </c>
      <c r="F4627" t="s">
        <v>3893</v>
      </c>
      <c r="G4627" t="s">
        <v>106</v>
      </c>
      <c r="H4627" t="s">
        <v>30</v>
      </c>
      <c r="I4627" t="s">
        <v>30</v>
      </c>
      <c r="J4627" t="s">
        <v>128</v>
      </c>
      <c r="K4627" t="s">
        <v>181</v>
      </c>
      <c r="L4627" t="s">
        <v>332</v>
      </c>
      <c r="M4627" t="s">
        <v>33</v>
      </c>
      <c r="P4627" t="s">
        <v>34</v>
      </c>
      <c r="Q4627" t="s">
        <v>35</v>
      </c>
      <c r="S4627" t="s">
        <v>30</v>
      </c>
      <c r="T4627" t="s">
        <v>3894</v>
      </c>
      <c r="U4627" t="s">
        <v>3895</v>
      </c>
      <c r="V4627" t="s">
        <v>40</v>
      </c>
      <c r="W4627" s="1">
        <v>1600000</v>
      </c>
    </row>
    <row r="4628" spans="1:23" x14ac:dyDescent="0.2">
      <c r="A4628" t="s">
        <v>2096</v>
      </c>
      <c r="B4628" t="s">
        <v>3333</v>
      </c>
      <c r="C4628" t="s">
        <v>3739</v>
      </c>
      <c r="D4628" t="s">
        <v>3752</v>
      </c>
      <c r="E4628" t="s">
        <v>3892</v>
      </c>
      <c r="F4628" t="s">
        <v>3893</v>
      </c>
      <c r="G4628" t="s">
        <v>139</v>
      </c>
      <c r="H4628" t="s">
        <v>30</v>
      </c>
      <c r="I4628" t="s">
        <v>30</v>
      </c>
      <c r="J4628" t="s">
        <v>31</v>
      </c>
      <c r="K4628" t="s">
        <v>32</v>
      </c>
      <c r="L4628" t="s">
        <v>32</v>
      </c>
      <c r="M4628" t="s">
        <v>33</v>
      </c>
      <c r="P4628" t="s">
        <v>34</v>
      </c>
      <c r="Q4628" t="s">
        <v>35</v>
      </c>
      <c r="S4628" t="s">
        <v>30</v>
      </c>
      <c r="T4628" t="s">
        <v>3898</v>
      </c>
      <c r="U4628" t="s">
        <v>3899</v>
      </c>
      <c r="V4628" t="s">
        <v>39</v>
      </c>
      <c r="W4628" s="1">
        <v>2</v>
      </c>
    </row>
    <row r="4629" spans="1:23" x14ac:dyDescent="0.2">
      <c r="A4629" t="s">
        <v>2096</v>
      </c>
      <c r="B4629" t="s">
        <v>3333</v>
      </c>
      <c r="C4629" t="s">
        <v>3739</v>
      </c>
      <c r="D4629" t="s">
        <v>3752</v>
      </c>
      <c r="E4629" t="s">
        <v>3892</v>
      </c>
      <c r="F4629" t="s">
        <v>3893</v>
      </c>
      <c r="G4629" t="s">
        <v>139</v>
      </c>
      <c r="H4629" t="s">
        <v>30</v>
      </c>
      <c r="I4629" t="s">
        <v>30</v>
      </c>
      <c r="J4629" t="s">
        <v>31</v>
      </c>
      <c r="K4629" t="s">
        <v>32</v>
      </c>
      <c r="L4629" t="s">
        <v>32</v>
      </c>
      <c r="M4629" t="s">
        <v>33</v>
      </c>
      <c r="P4629" t="s">
        <v>34</v>
      </c>
      <c r="Q4629" t="s">
        <v>35</v>
      </c>
      <c r="S4629" t="s">
        <v>30</v>
      </c>
      <c r="T4629" t="s">
        <v>3898</v>
      </c>
      <c r="U4629" t="s">
        <v>3899</v>
      </c>
      <c r="V4629" t="s">
        <v>40</v>
      </c>
      <c r="W4629" s="1">
        <v>3298000</v>
      </c>
    </row>
    <row r="4630" spans="1:23" x14ac:dyDescent="0.2">
      <c r="A4630" t="s">
        <v>2096</v>
      </c>
      <c r="B4630" t="s">
        <v>3333</v>
      </c>
      <c r="C4630" t="s">
        <v>3739</v>
      </c>
      <c r="D4630" t="s">
        <v>3752</v>
      </c>
      <c r="E4630" t="s">
        <v>3892</v>
      </c>
      <c r="F4630" t="s">
        <v>3893</v>
      </c>
      <c r="G4630" t="s">
        <v>139</v>
      </c>
      <c r="H4630" t="s">
        <v>30</v>
      </c>
      <c r="I4630" t="s">
        <v>30</v>
      </c>
      <c r="J4630" t="s">
        <v>41</v>
      </c>
      <c r="K4630" t="s">
        <v>32</v>
      </c>
      <c r="L4630" t="s">
        <v>32</v>
      </c>
      <c r="M4630" t="s">
        <v>33</v>
      </c>
      <c r="N4630" t="s">
        <v>33</v>
      </c>
      <c r="O4630" t="s">
        <v>33</v>
      </c>
      <c r="P4630" t="s">
        <v>34</v>
      </c>
      <c r="Q4630" t="s">
        <v>35</v>
      </c>
      <c r="S4630" t="s">
        <v>30</v>
      </c>
      <c r="T4630" t="s">
        <v>3900</v>
      </c>
      <c r="U4630" t="s">
        <v>3901</v>
      </c>
      <c r="V4630" t="s">
        <v>39</v>
      </c>
      <c r="W4630" s="1">
        <v>1</v>
      </c>
    </row>
    <row r="4631" spans="1:23" x14ac:dyDescent="0.2">
      <c r="A4631" t="s">
        <v>2096</v>
      </c>
      <c r="B4631" t="s">
        <v>3333</v>
      </c>
      <c r="C4631" t="s">
        <v>3739</v>
      </c>
      <c r="D4631" t="s">
        <v>3752</v>
      </c>
      <c r="E4631" t="s">
        <v>3892</v>
      </c>
      <c r="F4631" t="s">
        <v>3893</v>
      </c>
      <c r="G4631" t="s">
        <v>139</v>
      </c>
      <c r="H4631" t="s">
        <v>30</v>
      </c>
      <c r="I4631" t="s">
        <v>30</v>
      </c>
      <c r="J4631" t="s">
        <v>41</v>
      </c>
      <c r="K4631" t="s">
        <v>32</v>
      </c>
      <c r="L4631" t="s">
        <v>32</v>
      </c>
      <c r="M4631" t="s">
        <v>33</v>
      </c>
      <c r="N4631" t="s">
        <v>33</v>
      </c>
      <c r="O4631" t="s">
        <v>33</v>
      </c>
      <c r="P4631" t="s">
        <v>34</v>
      </c>
      <c r="Q4631" t="s">
        <v>35</v>
      </c>
      <c r="S4631" t="s">
        <v>30</v>
      </c>
      <c r="T4631" t="s">
        <v>3900</v>
      </c>
      <c r="U4631" t="s">
        <v>3901</v>
      </c>
      <c r="V4631" t="s">
        <v>40</v>
      </c>
      <c r="W4631" s="1">
        <v>929500</v>
      </c>
    </row>
    <row r="4632" spans="1:23" x14ac:dyDescent="0.2">
      <c r="A4632" t="s">
        <v>2096</v>
      </c>
      <c r="B4632" t="s">
        <v>3333</v>
      </c>
      <c r="C4632" t="s">
        <v>3739</v>
      </c>
      <c r="D4632" t="s">
        <v>3752</v>
      </c>
      <c r="E4632" t="s">
        <v>3892</v>
      </c>
      <c r="F4632" t="s">
        <v>3893</v>
      </c>
      <c r="G4632" t="s">
        <v>139</v>
      </c>
      <c r="H4632" t="s">
        <v>30</v>
      </c>
      <c r="I4632" t="s">
        <v>30</v>
      </c>
      <c r="J4632" t="s">
        <v>41</v>
      </c>
      <c r="K4632" t="s">
        <v>32</v>
      </c>
      <c r="L4632" t="s">
        <v>32</v>
      </c>
      <c r="M4632" t="s">
        <v>33</v>
      </c>
      <c r="P4632" t="s">
        <v>34</v>
      </c>
      <c r="Q4632" t="s">
        <v>35</v>
      </c>
      <c r="S4632" t="s">
        <v>30</v>
      </c>
      <c r="T4632" t="s">
        <v>3900</v>
      </c>
      <c r="U4632" t="s">
        <v>3901</v>
      </c>
      <c r="V4632" t="s">
        <v>39</v>
      </c>
      <c r="W4632" s="1">
        <v>1</v>
      </c>
    </row>
    <row r="4633" spans="1:23" x14ac:dyDescent="0.2">
      <c r="A4633" t="s">
        <v>2096</v>
      </c>
      <c r="B4633" t="s">
        <v>3333</v>
      </c>
      <c r="C4633" t="s">
        <v>3739</v>
      </c>
      <c r="D4633" t="s">
        <v>3752</v>
      </c>
      <c r="E4633" t="s">
        <v>3892</v>
      </c>
      <c r="F4633" t="s">
        <v>3893</v>
      </c>
      <c r="G4633" t="s">
        <v>139</v>
      </c>
      <c r="H4633" t="s">
        <v>30</v>
      </c>
      <c r="I4633" t="s">
        <v>30</v>
      </c>
      <c r="J4633" t="s">
        <v>41</v>
      </c>
      <c r="K4633" t="s">
        <v>32</v>
      </c>
      <c r="L4633" t="s">
        <v>32</v>
      </c>
      <c r="M4633" t="s">
        <v>33</v>
      </c>
      <c r="P4633" t="s">
        <v>34</v>
      </c>
      <c r="Q4633" t="s">
        <v>35</v>
      </c>
      <c r="S4633" t="s">
        <v>30</v>
      </c>
      <c r="T4633" t="s">
        <v>3900</v>
      </c>
      <c r="U4633" t="s">
        <v>3901</v>
      </c>
      <c r="V4633" t="s">
        <v>40</v>
      </c>
      <c r="W4633" s="1">
        <v>929500</v>
      </c>
    </row>
    <row r="4634" spans="1:23" x14ac:dyDescent="0.2">
      <c r="A4634" t="s">
        <v>2096</v>
      </c>
      <c r="B4634" t="s">
        <v>3333</v>
      </c>
      <c r="C4634" t="s">
        <v>3902</v>
      </c>
      <c r="D4634" t="s">
        <v>3903</v>
      </c>
      <c r="E4634" t="s">
        <v>3904</v>
      </c>
      <c r="F4634" t="s">
        <v>3905</v>
      </c>
      <c r="G4634" t="s">
        <v>49</v>
      </c>
      <c r="H4634" t="s">
        <v>30</v>
      </c>
      <c r="I4634" t="s">
        <v>30</v>
      </c>
      <c r="J4634" t="s">
        <v>41</v>
      </c>
      <c r="K4634" t="s">
        <v>32</v>
      </c>
      <c r="L4634" t="s">
        <v>32</v>
      </c>
      <c r="M4634" t="s">
        <v>33</v>
      </c>
      <c r="N4634" t="s">
        <v>33</v>
      </c>
      <c r="O4634" t="s">
        <v>33</v>
      </c>
      <c r="P4634" t="s">
        <v>34</v>
      </c>
      <c r="Q4634" t="s">
        <v>35</v>
      </c>
      <c r="R4634" t="s">
        <v>54</v>
      </c>
      <c r="S4634" t="s">
        <v>30</v>
      </c>
      <c r="T4634" t="s">
        <v>3906</v>
      </c>
      <c r="U4634" t="s">
        <v>3907</v>
      </c>
      <c r="V4634" t="s">
        <v>39</v>
      </c>
      <c r="W4634" s="1">
        <v>3</v>
      </c>
    </row>
    <row r="4635" spans="1:23" x14ac:dyDescent="0.2">
      <c r="A4635" t="s">
        <v>2096</v>
      </c>
      <c r="B4635" t="s">
        <v>3333</v>
      </c>
      <c r="C4635" t="s">
        <v>3902</v>
      </c>
      <c r="D4635" t="s">
        <v>3903</v>
      </c>
      <c r="E4635" t="s">
        <v>3904</v>
      </c>
      <c r="F4635" t="s">
        <v>3905</v>
      </c>
      <c r="G4635" t="s">
        <v>49</v>
      </c>
      <c r="H4635" t="s">
        <v>30</v>
      </c>
      <c r="I4635" t="s">
        <v>30</v>
      </c>
      <c r="J4635" t="s">
        <v>41</v>
      </c>
      <c r="K4635" t="s">
        <v>32</v>
      </c>
      <c r="L4635" t="s">
        <v>32</v>
      </c>
      <c r="M4635" t="s">
        <v>33</v>
      </c>
      <c r="N4635" t="s">
        <v>33</v>
      </c>
      <c r="O4635" t="s">
        <v>33</v>
      </c>
      <c r="P4635" t="s">
        <v>34</v>
      </c>
      <c r="Q4635" t="s">
        <v>35</v>
      </c>
      <c r="R4635" t="s">
        <v>54</v>
      </c>
      <c r="S4635" t="s">
        <v>30</v>
      </c>
      <c r="T4635" t="s">
        <v>3906</v>
      </c>
      <c r="U4635" t="s">
        <v>3907</v>
      </c>
      <c r="V4635" t="s">
        <v>40</v>
      </c>
      <c r="W4635" s="1">
        <v>4530300</v>
      </c>
    </row>
    <row r="4636" spans="1:23" x14ac:dyDescent="0.2">
      <c r="A4636" t="s">
        <v>2096</v>
      </c>
      <c r="B4636" t="s">
        <v>3333</v>
      </c>
      <c r="C4636" t="s">
        <v>3902</v>
      </c>
      <c r="D4636" t="s">
        <v>3903</v>
      </c>
      <c r="E4636" t="s">
        <v>3904</v>
      </c>
      <c r="F4636" t="s">
        <v>3905</v>
      </c>
      <c r="G4636" t="s">
        <v>49</v>
      </c>
      <c r="H4636" t="s">
        <v>30</v>
      </c>
      <c r="I4636" t="s">
        <v>30</v>
      </c>
      <c r="J4636" t="s">
        <v>41</v>
      </c>
      <c r="K4636" t="s">
        <v>32</v>
      </c>
      <c r="L4636" t="s">
        <v>32</v>
      </c>
      <c r="M4636" t="s">
        <v>33</v>
      </c>
      <c r="P4636" t="s">
        <v>34</v>
      </c>
      <c r="Q4636" t="s">
        <v>35</v>
      </c>
      <c r="S4636" t="s">
        <v>52</v>
      </c>
      <c r="T4636" t="s">
        <v>3908</v>
      </c>
      <c r="U4636" t="s">
        <v>3909</v>
      </c>
      <c r="V4636" t="s">
        <v>39</v>
      </c>
      <c r="W4636" s="1">
        <v>0</v>
      </c>
    </row>
    <row r="4637" spans="1:23" x14ac:dyDescent="0.2">
      <c r="A4637" t="s">
        <v>2096</v>
      </c>
      <c r="B4637" t="s">
        <v>3333</v>
      </c>
      <c r="C4637" t="s">
        <v>3902</v>
      </c>
      <c r="D4637" t="s">
        <v>3903</v>
      </c>
      <c r="E4637" t="s">
        <v>3904</v>
      </c>
      <c r="F4637" t="s">
        <v>3905</v>
      </c>
      <c r="G4637" t="s">
        <v>49</v>
      </c>
      <c r="H4637" t="s">
        <v>30</v>
      </c>
      <c r="I4637" t="s">
        <v>30</v>
      </c>
      <c r="J4637" t="s">
        <v>41</v>
      </c>
      <c r="K4637" t="s">
        <v>32</v>
      </c>
      <c r="L4637" t="s">
        <v>32</v>
      </c>
      <c r="M4637" t="s">
        <v>33</v>
      </c>
      <c r="P4637" t="s">
        <v>34</v>
      </c>
      <c r="Q4637" t="s">
        <v>35</v>
      </c>
      <c r="S4637" t="s">
        <v>52</v>
      </c>
      <c r="T4637" t="s">
        <v>3908</v>
      </c>
      <c r="U4637" t="s">
        <v>3909</v>
      </c>
      <c r="V4637" t="s">
        <v>40</v>
      </c>
      <c r="W4637" s="1">
        <v>6011000</v>
      </c>
    </row>
    <row r="4638" spans="1:23" x14ac:dyDescent="0.2">
      <c r="A4638" t="s">
        <v>2096</v>
      </c>
      <c r="B4638" t="s">
        <v>3333</v>
      </c>
      <c r="C4638" t="s">
        <v>3902</v>
      </c>
      <c r="D4638" t="s">
        <v>3903</v>
      </c>
      <c r="E4638" t="s">
        <v>3904</v>
      </c>
      <c r="F4638" t="s">
        <v>3905</v>
      </c>
      <c r="G4638" t="s">
        <v>49</v>
      </c>
      <c r="H4638" t="s">
        <v>30</v>
      </c>
      <c r="I4638" t="s">
        <v>30</v>
      </c>
      <c r="J4638" t="s">
        <v>41</v>
      </c>
      <c r="K4638" t="s">
        <v>32</v>
      </c>
      <c r="L4638" t="s">
        <v>32</v>
      </c>
      <c r="M4638" t="s">
        <v>33</v>
      </c>
      <c r="P4638" t="s">
        <v>34</v>
      </c>
      <c r="Q4638" t="s">
        <v>35</v>
      </c>
      <c r="S4638" t="s">
        <v>52</v>
      </c>
      <c r="T4638" t="s">
        <v>3910</v>
      </c>
      <c r="U4638" t="s">
        <v>3911</v>
      </c>
      <c r="V4638" t="s">
        <v>39</v>
      </c>
      <c r="W4638" s="1">
        <v>0</v>
      </c>
    </row>
    <row r="4639" spans="1:23" x14ac:dyDescent="0.2">
      <c r="A4639" t="s">
        <v>2096</v>
      </c>
      <c r="B4639" t="s">
        <v>3333</v>
      </c>
      <c r="C4639" t="s">
        <v>3902</v>
      </c>
      <c r="D4639" t="s">
        <v>3903</v>
      </c>
      <c r="E4639" t="s">
        <v>3904</v>
      </c>
      <c r="F4639" t="s">
        <v>3905</v>
      </c>
      <c r="G4639" t="s">
        <v>49</v>
      </c>
      <c r="H4639" t="s">
        <v>30</v>
      </c>
      <c r="I4639" t="s">
        <v>30</v>
      </c>
      <c r="J4639" t="s">
        <v>41</v>
      </c>
      <c r="K4639" t="s">
        <v>32</v>
      </c>
      <c r="L4639" t="s">
        <v>32</v>
      </c>
      <c r="M4639" t="s">
        <v>33</v>
      </c>
      <c r="P4639" t="s">
        <v>34</v>
      </c>
      <c r="Q4639" t="s">
        <v>35</v>
      </c>
      <c r="S4639" t="s">
        <v>52</v>
      </c>
      <c r="T4639" t="s">
        <v>3910</v>
      </c>
      <c r="U4639" t="s">
        <v>3911</v>
      </c>
      <c r="V4639" t="s">
        <v>40</v>
      </c>
      <c r="W4639" s="1">
        <v>5100000</v>
      </c>
    </row>
    <row r="4640" spans="1:23" x14ac:dyDescent="0.2">
      <c r="A4640" t="s">
        <v>2096</v>
      </c>
      <c r="B4640" t="s">
        <v>3333</v>
      </c>
      <c r="C4640" t="s">
        <v>3902</v>
      </c>
      <c r="D4640" t="s">
        <v>3903</v>
      </c>
      <c r="E4640" t="s">
        <v>3904</v>
      </c>
      <c r="F4640" t="s">
        <v>3905</v>
      </c>
      <c r="G4640" t="s">
        <v>49</v>
      </c>
      <c r="H4640" t="s">
        <v>30</v>
      </c>
      <c r="I4640" t="s">
        <v>30</v>
      </c>
      <c r="J4640" t="s">
        <v>41</v>
      </c>
      <c r="K4640" t="s">
        <v>32</v>
      </c>
      <c r="L4640" t="s">
        <v>32</v>
      </c>
      <c r="M4640" t="s">
        <v>176</v>
      </c>
      <c r="N4640" t="s">
        <v>176</v>
      </c>
      <c r="O4640" t="s">
        <v>176</v>
      </c>
      <c r="P4640" t="s">
        <v>34</v>
      </c>
      <c r="Q4640" t="s">
        <v>35</v>
      </c>
      <c r="R4640" t="s">
        <v>54</v>
      </c>
      <c r="S4640" t="s">
        <v>30</v>
      </c>
      <c r="T4640" t="s">
        <v>3906</v>
      </c>
      <c r="U4640" t="s">
        <v>3907</v>
      </c>
      <c r="V4640" t="s">
        <v>39</v>
      </c>
      <c r="W4640" s="1">
        <v>1</v>
      </c>
    </row>
    <row r="4641" spans="1:23" x14ac:dyDescent="0.2">
      <c r="A4641" t="s">
        <v>2096</v>
      </c>
      <c r="B4641" t="s">
        <v>3333</v>
      </c>
      <c r="C4641" t="s">
        <v>3902</v>
      </c>
      <c r="D4641" t="s">
        <v>3903</v>
      </c>
      <c r="E4641" t="s">
        <v>3904</v>
      </c>
      <c r="F4641" t="s">
        <v>3905</v>
      </c>
      <c r="G4641" t="s">
        <v>49</v>
      </c>
      <c r="H4641" t="s">
        <v>30</v>
      </c>
      <c r="I4641" t="s">
        <v>30</v>
      </c>
      <c r="J4641" t="s">
        <v>41</v>
      </c>
      <c r="K4641" t="s">
        <v>32</v>
      </c>
      <c r="L4641" t="s">
        <v>32</v>
      </c>
      <c r="M4641" t="s">
        <v>176</v>
      </c>
      <c r="N4641" t="s">
        <v>176</v>
      </c>
      <c r="O4641" t="s">
        <v>176</v>
      </c>
      <c r="P4641" t="s">
        <v>34</v>
      </c>
      <c r="Q4641" t="s">
        <v>35</v>
      </c>
      <c r="R4641" t="s">
        <v>54</v>
      </c>
      <c r="S4641" t="s">
        <v>30</v>
      </c>
      <c r="T4641" t="s">
        <v>3906</v>
      </c>
      <c r="U4641" t="s">
        <v>3907</v>
      </c>
      <c r="V4641" t="s">
        <v>40</v>
      </c>
      <c r="W4641" s="1">
        <v>1510100</v>
      </c>
    </row>
    <row r="4642" spans="1:23" x14ac:dyDescent="0.2">
      <c r="A4642" t="s">
        <v>2096</v>
      </c>
      <c r="B4642" t="s">
        <v>3333</v>
      </c>
      <c r="C4642" t="s">
        <v>3902</v>
      </c>
      <c r="D4642" t="s">
        <v>3903</v>
      </c>
      <c r="E4642" t="s">
        <v>3904</v>
      </c>
      <c r="F4642" t="s">
        <v>3905</v>
      </c>
      <c r="G4642" t="s">
        <v>67</v>
      </c>
      <c r="H4642" t="s">
        <v>30</v>
      </c>
      <c r="I4642" t="s">
        <v>30</v>
      </c>
      <c r="J4642" t="s">
        <v>41</v>
      </c>
      <c r="K4642" t="s">
        <v>32</v>
      </c>
      <c r="L4642" t="s">
        <v>32</v>
      </c>
      <c r="M4642" t="s">
        <v>33</v>
      </c>
      <c r="P4642" t="s">
        <v>34</v>
      </c>
      <c r="Q4642" t="s">
        <v>35</v>
      </c>
      <c r="R4642" t="s">
        <v>54</v>
      </c>
      <c r="S4642" t="s">
        <v>52</v>
      </c>
      <c r="T4642" t="s">
        <v>3912</v>
      </c>
      <c r="U4642" t="s">
        <v>3913</v>
      </c>
      <c r="V4642" t="s">
        <v>39</v>
      </c>
      <c r="W4642" s="1">
        <v>0</v>
      </c>
    </row>
    <row r="4643" spans="1:23" x14ac:dyDescent="0.2">
      <c r="A4643" t="s">
        <v>2096</v>
      </c>
      <c r="B4643" t="s">
        <v>3333</v>
      </c>
      <c r="C4643" t="s">
        <v>3902</v>
      </c>
      <c r="D4643" t="s">
        <v>3903</v>
      </c>
      <c r="E4643" t="s">
        <v>3904</v>
      </c>
      <c r="F4643" t="s">
        <v>3905</v>
      </c>
      <c r="G4643" t="s">
        <v>67</v>
      </c>
      <c r="H4643" t="s">
        <v>30</v>
      </c>
      <c r="I4643" t="s">
        <v>30</v>
      </c>
      <c r="J4643" t="s">
        <v>41</v>
      </c>
      <c r="K4643" t="s">
        <v>32</v>
      </c>
      <c r="L4643" t="s">
        <v>32</v>
      </c>
      <c r="M4643" t="s">
        <v>33</v>
      </c>
      <c r="P4643" t="s">
        <v>34</v>
      </c>
      <c r="Q4643" t="s">
        <v>35</v>
      </c>
      <c r="R4643" t="s">
        <v>54</v>
      </c>
      <c r="S4643" t="s">
        <v>52</v>
      </c>
      <c r="T4643" t="s">
        <v>3912</v>
      </c>
      <c r="U4643" t="s">
        <v>3913</v>
      </c>
      <c r="V4643" t="s">
        <v>40</v>
      </c>
      <c r="W4643" s="1">
        <v>1898000</v>
      </c>
    </row>
    <row r="4644" spans="1:23" x14ac:dyDescent="0.2">
      <c r="A4644" t="s">
        <v>2096</v>
      </c>
      <c r="B4644" t="s">
        <v>3333</v>
      </c>
      <c r="C4644" t="s">
        <v>3902</v>
      </c>
      <c r="D4644" t="s">
        <v>3903</v>
      </c>
      <c r="E4644" t="s">
        <v>3904</v>
      </c>
      <c r="F4644" t="s">
        <v>3905</v>
      </c>
      <c r="G4644" t="s">
        <v>89</v>
      </c>
      <c r="H4644" t="s">
        <v>30</v>
      </c>
      <c r="I4644" t="s">
        <v>30</v>
      </c>
      <c r="J4644" t="s">
        <v>31</v>
      </c>
      <c r="K4644" t="s">
        <v>32</v>
      </c>
      <c r="L4644" t="s">
        <v>332</v>
      </c>
      <c r="M4644" t="s">
        <v>33</v>
      </c>
      <c r="N4644" t="s">
        <v>33</v>
      </c>
      <c r="O4644" t="s">
        <v>33</v>
      </c>
      <c r="P4644" t="s">
        <v>34</v>
      </c>
      <c r="Q4644" t="s">
        <v>35</v>
      </c>
      <c r="S4644" t="s">
        <v>30</v>
      </c>
      <c r="T4644" t="s">
        <v>3914</v>
      </c>
      <c r="U4644" t="s">
        <v>3915</v>
      </c>
      <c r="V4644" t="s">
        <v>39</v>
      </c>
      <c r="W4644" s="1">
        <v>2</v>
      </c>
    </row>
    <row r="4645" spans="1:23" x14ac:dyDescent="0.2">
      <c r="A4645" t="s">
        <v>2096</v>
      </c>
      <c r="B4645" t="s">
        <v>3333</v>
      </c>
      <c r="C4645" t="s">
        <v>3902</v>
      </c>
      <c r="D4645" t="s">
        <v>3903</v>
      </c>
      <c r="E4645" t="s">
        <v>3904</v>
      </c>
      <c r="F4645" t="s">
        <v>3905</v>
      </c>
      <c r="G4645" t="s">
        <v>89</v>
      </c>
      <c r="H4645" t="s">
        <v>30</v>
      </c>
      <c r="I4645" t="s">
        <v>30</v>
      </c>
      <c r="J4645" t="s">
        <v>31</v>
      </c>
      <c r="K4645" t="s">
        <v>32</v>
      </c>
      <c r="L4645" t="s">
        <v>332</v>
      </c>
      <c r="M4645" t="s">
        <v>33</v>
      </c>
      <c r="N4645" t="s">
        <v>33</v>
      </c>
      <c r="O4645" t="s">
        <v>33</v>
      </c>
      <c r="P4645" t="s">
        <v>34</v>
      </c>
      <c r="Q4645" t="s">
        <v>35</v>
      </c>
      <c r="S4645" t="s">
        <v>30</v>
      </c>
      <c r="T4645" t="s">
        <v>3914</v>
      </c>
      <c r="U4645" t="s">
        <v>3915</v>
      </c>
      <c r="V4645" t="s">
        <v>40</v>
      </c>
      <c r="W4645" s="1">
        <v>1979800</v>
      </c>
    </row>
    <row r="4646" spans="1:23" x14ac:dyDescent="0.2">
      <c r="A4646" t="s">
        <v>2096</v>
      </c>
      <c r="B4646" t="s">
        <v>3333</v>
      </c>
      <c r="C4646" t="s">
        <v>3902</v>
      </c>
      <c r="D4646" t="s">
        <v>3903</v>
      </c>
      <c r="E4646" t="s">
        <v>3904</v>
      </c>
      <c r="F4646" t="s">
        <v>3905</v>
      </c>
      <c r="G4646" t="s">
        <v>89</v>
      </c>
      <c r="H4646" t="s">
        <v>30</v>
      </c>
      <c r="I4646" t="s">
        <v>30</v>
      </c>
      <c r="J4646" t="s">
        <v>41</v>
      </c>
      <c r="K4646" t="s">
        <v>32</v>
      </c>
      <c r="L4646" t="s">
        <v>32</v>
      </c>
      <c r="M4646" t="s">
        <v>33</v>
      </c>
      <c r="N4646" t="s">
        <v>33</v>
      </c>
      <c r="O4646" t="s">
        <v>33</v>
      </c>
      <c r="P4646" t="s">
        <v>34</v>
      </c>
      <c r="Q4646" t="s">
        <v>35</v>
      </c>
      <c r="R4646" t="s">
        <v>96</v>
      </c>
      <c r="S4646" t="s">
        <v>30</v>
      </c>
      <c r="T4646" t="s">
        <v>3916</v>
      </c>
      <c r="U4646" t="s">
        <v>3917</v>
      </c>
      <c r="V4646" t="s">
        <v>39</v>
      </c>
      <c r="W4646" s="1">
        <v>2</v>
      </c>
    </row>
    <row r="4647" spans="1:23" x14ac:dyDescent="0.2">
      <c r="A4647" t="s">
        <v>2096</v>
      </c>
      <c r="B4647" t="s">
        <v>3333</v>
      </c>
      <c r="C4647" t="s">
        <v>3902</v>
      </c>
      <c r="D4647" t="s">
        <v>3903</v>
      </c>
      <c r="E4647" t="s">
        <v>3904</v>
      </c>
      <c r="F4647" t="s">
        <v>3905</v>
      </c>
      <c r="G4647" t="s">
        <v>89</v>
      </c>
      <c r="H4647" t="s">
        <v>30</v>
      </c>
      <c r="I4647" t="s">
        <v>30</v>
      </c>
      <c r="J4647" t="s">
        <v>41</v>
      </c>
      <c r="K4647" t="s">
        <v>32</v>
      </c>
      <c r="L4647" t="s">
        <v>32</v>
      </c>
      <c r="M4647" t="s">
        <v>33</v>
      </c>
      <c r="N4647" t="s">
        <v>33</v>
      </c>
      <c r="O4647" t="s">
        <v>33</v>
      </c>
      <c r="P4647" t="s">
        <v>34</v>
      </c>
      <c r="Q4647" t="s">
        <v>35</v>
      </c>
      <c r="R4647" t="s">
        <v>96</v>
      </c>
      <c r="S4647" t="s">
        <v>30</v>
      </c>
      <c r="T4647" t="s">
        <v>3916</v>
      </c>
      <c r="U4647" t="s">
        <v>3917</v>
      </c>
      <c r="V4647" t="s">
        <v>40</v>
      </c>
      <c r="W4647" s="1">
        <v>9493200</v>
      </c>
    </row>
    <row r="4648" spans="1:23" x14ac:dyDescent="0.2">
      <c r="A4648" t="s">
        <v>2096</v>
      </c>
      <c r="B4648" t="s">
        <v>3333</v>
      </c>
      <c r="C4648" t="s">
        <v>3902</v>
      </c>
      <c r="D4648" t="s">
        <v>3903</v>
      </c>
      <c r="E4648" t="s">
        <v>3904</v>
      </c>
      <c r="F4648" t="s">
        <v>3905</v>
      </c>
      <c r="G4648" t="s">
        <v>106</v>
      </c>
      <c r="H4648" t="s">
        <v>30</v>
      </c>
      <c r="I4648" t="s">
        <v>30</v>
      </c>
      <c r="J4648" t="s">
        <v>41</v>
      </c>
      <c r="K4648" t="s">
        <v>181</v>
      </c>
      <c r="L4648" t="s">
        <v>32</v>
      </c>
      <c r="M4648" t="s">
        <v>33</v>
      </c>
      <c r="P4648" t="s">
        <v>34</v>
      </c>
      <c r="Q4648" t="s">
        <v>35</v>
      </c>
      <c r="S4648" t="s">
        <v>30</v>
      </c>
      <c r="T4648" t="s">
        <v>3918</v>
      </c>
      <c r="U4648" t="s">
        <v>3919</v>
      </c>
      <c r="V4648" t="s">
        <v>39</v>
      </c>
      <c r="W4648" s="1">
        <v>13</v>
      </c>
    </row>
    <row r="4649" spans="1:23" x14ac:dyDescent="0.2">
      <c r="A4649" t="s">
        <v>2096</v>
      </c>
      <c r="B4649" t="s">
        <v>3333</v>
      </c>
      <c r="C4649" t="s">
        <v>3902</v>
      </c>
      <c r="D4649" t="s">
        <v>3903</v>
      </c>
      <c r="E4649" t="s">
        <v>3904</v>
      </c>
      <c r="F4649" t="s">
        <v>3905</v>
      </c>
      <c r="G4649" t="s">
        <v>106</v>
      </c>
      <c r="H4649" t="s">
        <v>30</v>
      </c>
      <c r="I4649" t="s">
        <v>30</v>
      </c>
      <c r="J4649" t="s">
        <v>41</v>
      </c>
      <c r="K4649" t="s">
        <v>181</v>
      </c>
      <c r="L4649" t="s">
        <v>32</v>
      </c>
      <c r="M4649" t="s">
        <v>33</v>
      </c>
      <c r="P4649" t="s">
        <v>34</v>
      </c>
      <c r="Q4649" t="s">
        <v>35</v>
      </c>
      <c r="S4649" t="s">
        <v>30</v>
      </c>
      <c r="T4649" t="s">
        <v>3918</v>
      </c>
      <c r="U4649" t="s">
        <v>3919</v>
      </c>
      <c r="V4649" t="s">
        <v>40</v>
      </c>
      <c r="W4649" s="1">
        <v>0</v>
      </c>
    </row>
    <row r="4650" spans="1:23" x14ac:dyDescent="0.2">
      <c r="A4650" t="s">
        <v>2096</v>
      </c>
      <c r="B4650" t="s">
        <v>3333</v>
      </c>
      <c r="C4650" t="s">
        <v>3902</v>
      </c>
      <c r="D4650" t="s">
        <v>3920</v>
      </c>
      <c r="E4650" t="s">
        <v>3921</v>
      </c>
      <c r="F4650" t="s">
        <v>3922</v>
      </c>
      <c r="G4650" t="s">
        <v>29</v>
      </c>
      <c r="H4650" t="s">
        <v>30</v>
      </c>
      <c r="I4650" t="s">
        <v>30</v>
      </c>
      <c r="J4650" t="s">
        <v>41</v>
      </c>
      <c r="K4650" t="s">
        <v>32</v>
      </c>
      <c r="L4650" t="s">
        <v>32</v>
      </c>
      <c r="M4650" t="s">
        <v>33</v>
      </c>
      <c r="N4650" t="s">
        <v>33</v>
      </c>
      <c r="O4650" t="s">
        <v>33</v>
      </c>
      <c r="P4650" t="s">
        <v>34</v>
      </c>
      <c r="Q4650" t="s">
        <v>35</v>
      </c>
      <c r="S4650" t="s">
        <v>30</v>
      </c>
      <c r="T4650" t="s">
        <v>1649</v>
      </c>
      <c r="U4650" t="s">
        <v>3923</v>
      </c>
      <c r="V4650" t="s">
        <v>39</v>
      </c>
      <c r="W4650" s="1">
        <v>4</v>
      </c>
    </row>
    <row r="4651" spans="1:23" x14ac:dyDescent="0.2">
      <c r="A4651" t="s">
        <v>2096</v>
      </c>
      <c r="B4651" t="s">
        <v>3333</v>
      </c>
      <c r="C4651" t="s">
        <v>3902</v>
      </c>
      <c r="D4651" t="s">
        <v>3920</v>
      </c>
      <c r="E4651" t="s">
        <v>3921</v>
      </c>
      <c r="F4651" t="s">
        <v>3922</v>
      </c>
      <c r="G4651" t="s">
        <v>29</v>
      </c>
      <c r="H4651" t="s">
        <v>30</v>
      </c>
      <c r="I4651" t="s">
        <v>30</v>
      </c>
      <c r="J4651" t="s">
        <v>41</v>
      </c>
      <c r="K4651" t="s">
        <v>32</v>
      </c>
      <c r="L4651" t="s">
        <v>32</v>
      </c>
      <c r="M4651" t="s">
        <v>33</v>
      </c>
      <c r="N4651" t="s">
        <v>33</v>
      </c>
      <c r="O4651" t="s">
        <v>33</v>
      </c>
      <c r="P4651" t="s">
        <v>34</v>
      </c>
      <c r="Q4651" t="s">
        <v>35</v>
      </c>
      <c r="S4651" t="s">
        <v>30</v>
      </c>
      <c r="T4651" t="s">
        <v>1649</v>
      </c>
      <c r="U4651" t="s">
        <v>3923</v>
      </c>
      <c r="V4651" t="s">
        <v>40</v>
      </c>
      <c r="W4651" s="1">
        <v>4380000</v>
      </c>
    </row>
    <row r="4652" spans="1:23" x14ac:dyDescent="0.2">
      <c r="A4652" t="s">
        <v>2096</v>
      </c>
      <c r="B4652" t="s">
        <v>3333</v>
      </c>
      <c r="C4652" t="s">
        <v>3902</v>
      </c>
      <c r="D4652" t="s">
        <v>3920</v>
      </c>
      <c r="E4652" t="s">
        <v>3921</v>
      </c>
      <c r="F4652" t="s">
        <v>3922</v>
      </c>
      <c r="G4652" t="s">
        <v>61</v>
      </c>
      <c r="H4652" t="s">
        <v>52</v>
      </c>
      <c r="I4652" t="s">
        <v>52</v>
      </c>
      <c r="J4652" t="s">
        <v>128</v>
      </c>
      <c r="K4652" t="s">
        <v>181</v>
      </c>
      <c r="L4652" t="s">
        <v>32</v>
      </c>
      <c r="M4652" t="s">
        <v>33</v>
      </c>
      <c r="N4652" t="s">
        <v>33</v>
      </c>
      <c r="O4652" t="s">
        <v>33</v>
      </c>
      <c r="P4652" t="s">
        <v>34</v>
      </c>
      <c r="Q4652" t="s">
        <v>35</v>
      </c>
      <c r="S4652" t="s">
        <v>30</v>
      </c>
      <c r="T4652" t="s">
        <v>3924</v>
      </c>
      <c r="U4652" t="s">
        <v>3925</v>
      </c>
      <c r="V4652" t="s">
        <v>39</v>
      </c>
      <c r="W4652" s="1">
        <v>8</v>
      </c>
    </row>
    <row r="4653" spans="1:23" x14ac:dyDescent="0.2">
      <c r="A4653" t="s">
        <v>2096</v>
      </c>
      <c r="B4653" t="s">
        <v>3333</v>
      </c>
      <c r="C4653" t="s">
        <v>3902</v>
      </c>
      <c r="D4653" t="s">
        <v>3920</v>
      </c>
      <c r="E4653" t="s">
        <v>3921</v>
      </c>
      <c r="F4653" t="s">
        <v>3922</v>
      </c>
      <c r="G4653" t="s">
        <v>61</v>
      </c>
      <c r="H4653" t="s">
        <v>52</v>
      </c>
      <c r="I4653" t="s">
        <v>52</v>
      </c>
      <c r="J4653" t="s">
        <v>128</v>
      </c>
      <c r="K4653" t="s">
        <v>181</v>
      </c>
      <c r="L4653" t="s">
        <v>32</v>
      </c>
      <c r="M4653" t="s">
        <v>33</v>
      </c>
      <c r="N4653" t="s">
        <v>33</v>
      </c>
      <c r="O4653" t="s">
        <v>33</v>
      </c>
      <c r="P4653" t="s">
        <v>34</v>
      </c>
      <c r="Q4653" t="s">
        <v>35</v>
      </c>
      <c r="S4653" t="s">
        <v>30</v>
      </c>
      <c r="T4653" t="s">
        <v>3924</v>
      </c>
      <c r="U4653" t="s">
        <v>3925</v>
      </c>
      <c r="V4653" t="s">
        <v>40</v>
      </c>
      <c r="W4653" s="1">
        <v>9560000</v>
      </c>
    </row>
    <row r="4654" spans="1:23" x14ac:dyDescent="0.2">
      <c r="A4654" t="s">
        <v>2096</v>
      </c>
      <c r="B4654" t="s">
        <v>3333</v>
      </c>
      <c r="C4654" t="s">
        <v>3902</v>
      </c>
      <c r="D4654" t="s">
        <v>3920</v>
      </c>
      <c r="E4654" t="s">
        <v>3921</v>
      </c>
      <c r="F4654" t="s">
        <v>3922</v>
      </c>
      <c r="G4654" t="s">
        <v>61</v>
      </c>
      <c r="H4654" t="s">
        <v>52</v>
      </c>
      <c r="I4654" t="s">
        <v>52</v>
      </c>
      <c r="J4654" t="s">
        <v>128</v>
      </c>
      <c r="K4654" t="s">
        <v>181</v>
      </c>
      <c r="L4654" t="s">
        <v>32</v>
      </c>
      <c r="M4654" t="s">
        <v>33</v>
      </c>
      <c r="N4654" t="s">
        <v>169</v>
      </c>
      <c r="O4654" t="s">
        <v>169</v>
      </c>
      <c r="P4654" t="s">
        <v>34</v>
      </c>
      <c r="Q4654" t="s">
        <v>35</v>
      </c>
      <c r="S4654" t="s">
        <v>30</v>
      </c>
      <c r="T4654" t="s">
        <v>3924</v>
      </c>
      <c r="U4654" t="s">
        <v>3925</v>
      </c>
      <c r="V4654" t="s">
        <v>39</v>
      </c>
      <c r="W4654" s="1">
        <v>2</v>
      </c>
    </row>
    <row r="4655" spans="1:23" x14ac:dyDescent="0.2">
      <c r="A4655" t="s">
        <v>2096</v>
      </c>
      <c r="B4655" t="s">
        <v>3333</v>
      </c>
      <c r="C4655" t="s">
        <v>3902</v>
      </c>
      <c r="D4655" t="s">
        <v>3920</v>
      </c>
      <c r="E4655" t="s">
        <v>3921</v>
      </c>
      <c r="F4655" t="s">
        <v>3922</v>
      </c>
      <c r="G4655" t="s">
        <v>61</v>
      </c>
      <c r="H4655" t="s">
        <v>52</v>
      </c>
      <c r="I4655" t="s">
        <v>52</v>
      </c>
      <c r="J4655" t="s">
        <v>128</v>
      </c>
      <c r="K4655" t="s">
        <v>181</v>
      </c>
      <c r="L4655" t="s">
        <v>32</v>
      </c>
      <c r="M4655" t="s">
        <v>33</v>
      </c>
      <c r="N4655" t="s">
        <v>169</v>
      </c>
      <c r="O4655" t="s">
        <v>169</v>
      </c>
      <c r="P4655" t="s">
        <v>34</v>
      </c>
      <c r="Q4655" t="s">
        <v>35</v>
      </c>
      <c r="S4655" t="s">
        <v>30</v>
      </c>
      <c r="T4655" t="s">
        <v>3924</v>
      </c>
      <c r="U4655" t="s">
        <v>3925</v>
      </c>
      <c r="V4655" t="s">
        <v>40</v>
      </c>
      <c r="W4655" s="1">
        <v>2390000</v>
      </c>
    </row>
    <row r="4656" spans="1:23" x14ac:dyDescent="0.2">
      <c r="A4656" t="s">
        <v>2096</v>
      </c>
      <c r="B4656" t="s">
        <v>3333</v>
      </c>
      <c r="C4656" t="s">
        <v>3902</v>
      </c>
      <c r="D4656" t="s">
        <v>3920</v>
      </c>
      <c r="E4656" t="s">
        <v>3921</v>
      </c>
      <c r="F4656" t="s">
        <v>3922</v>
      </c>
      <c r="G4656" t="s">
        <v>61</v>
      </c>
      <c r="H4656" t="s">
        <v>52</v>
      </c>
      <c r="I4656" t="s">
        <v>52</v>
      </c>
      <c r="J4656" t="s">
        <v>128</v>
      </c>
      <c r="K4656" t="s">
        <v>181</v>
      </c>
      <c r="L4656" t="s">
        <v>32</v>
      </c>
      <c r="M4656" t="s">
        <v>176</v>
      </c>
      <c r="N4656" t="s">
        <v>176</v>
      </c>
      <c r="O4656" t="s">
        <v>176</v>
      </c>
      <c r="P4656" t="s">
        <v>34</v>
      </c>
      <c r="Q4656" t="s">
        <v>35</v>
      </c>
      <c r="S4656" t="s">
        <v>30</v>
      </c>
      <c r="T4656" t="s">
        <v>3924</v>
      </c>
      <c r="U4656" t="s">
        <v>3925</v>
      </c>
      <c r="V4656" t="s">
        <v>39</v>
      </c>
      <c r="W4656" s="1">
        <v>1</v>
      </c>
    </row>
    <row r="4657" spans="1:23" x14ac:dyDescent="0.2">
      <c r="A4657" t="s">
        <v>2096</v>
      </c>
      <c r="B4657" t="s">
        <v>3333</v>
      </c>
      <c r="C4657" t="s">
        <v>3902</v>
      </c>
      <c r="D4657" t="s">
        <v>3920</v>
      </c>
      <c r="E4657" t="s">
        <v>3921</v>
      </c>
      <c r="F4657" t="s">
        <v>3922</v>
      </c>
      <c r="G4657" t="s">
        <v>61</v>
      </c>
      <c r="H4657" t="s">
        <v>52</v>
      </c>
      <c r="I4657" t="s">
        <v>52</v>
      </c>
      <c r="J4657" t="s">
        <v>128</v>
      </c>
      <c r="K4657" t="s">
        <v>181</v>
      </c>
      <c r="L4657" t="s">
        <v>32</v>
      </c>
      <c r="M4657" t="s">
        <v>176</v>
      </c>
      <c r="N4657" t="s">
        <v>176</v>
      </c>
      <c r="O4657" t="s">
        <v>176</v>
      </c>
      <c r="P4657" t="s">
        <v>34</v>
      </c>
      <c r="Q4657" t="s">
        <v>35</v>
      </c>
      <c r="S4657" t="s">
        <v>30</v>
      </c>
      <c r="T4657" t="s">
        <v>3924</v>
      </c>
      <c r="U4657" t="s">
        <v>3925</v>
      </c>
      <c r="V4657" t="s">
        <v>40</v>
      </c>
      <c r="W4657" s="1">
        <v>0</v>
      </c>
    </row>
    <row r="4658" spans="1:23" x14ac:dyDescent="0.2">
      <c r="A4658" t="s">
        <v>2096</v>
      </c>
      <c r="B4658" t="s">
        <v>3333</v>
      </c>
      <c r="C4658" t="s">
        <v>3902</v>
      </c>
      <c r="D4658" t="s">
        <v>3920</v>
      </c>
      <c r="E4658" t="s">
        <v>3921</v>
      </c>
      <c r="F4658" t="s">
        <v>3922</v>
      </c>
      <c r="G4658" t="s">
        <v>61</v>
      </c>
      <c r="H4658" t="s">
        <v>52</v>
      </c>
      <c r="I4658" t="s">
        <v>52</v>
      </c>
      <c r="J4658" t="s">
        <v>41</v>
      </c>
      <c r="K4658" t="s">
        <v>32</v>
      </c>
      <c r="L4658" t="s">
        <v>32</v>
      </c>
      <c r="M4658" t="s">
        <v>33</v>
      </c>
      <c r="N4658" t="s">
        <v>33</v>
      </c>
      <c r="O4658" t="s">
        <v>33</v>
      </c>
      <c r="P4658" t="s">
        <v>34</v>
      </c>
      <c r="Q4658" t="s">
        <v>35</v>
      </c>
      <c r="R4658" t="s">
        <v>184</v>
      </c>
      <c r="S4658" t="s">
        <v>30</v>
      </c>
      <c r="T4658" t="s">
        <v>3926</v>
      </c>
      <c r="U4658" t="s">
        <v>3927</v>
      </c>
      <c r="V4658" t="s">
        <v>39</v>
      </c>
      <c r="W4658" s="1">
        <v>6</v>
      </c>
    </row>
    <row r="4659" spans="1:23" x14ac:dyDescent="0.2">
      <c r="A4659" t="s">
        <v>2096</v>
      </c>
      <c r="B4659" t="s">
        <v>3333</v>
      </c>
      <c r="C4659" t="s">
        <v>3902</v>
      </c>
      <c r="D4659" t="s">
        <v>3920</v>
      </c>
      <c r="E4659" t="s">
        <v>3921</v>
      </c>
      <c r="F4659" t="s">
        <v>3922</v>
      </c>
      <c r="G4659" t="s">
        <v>61</v>
      </c>
      <c r="H4659" t="s">
        <v>52</v>
      </c>
      <c r="I4659" t="s">
        <v>52</v>
      </c>
      <c r="J4659" t="s">
        <v>41</v>
      </c>
      <c r="K4659" t="s">
        <v>32</v>
      </c>
      <c r="L4659" t="s">
        <v>32</v>
      </c>
      <c r="M4659" t="s">
        <v>33</v>
      </c>
      <c r="N4659" t="s">
        <v>33</v>
      </c>
      <c r="O4659" t="s">
        <v>33</v>
      </c>
      <c r="P4659" t="s">
        <v>34</v>
      </c>
      <c r="Q4659" t="s">
        <v>35</v>
      </c>
      <c r="R4659" t="s">
        <v>184</v>
      </c>
      <c r="S4659" t="s">
        <v>30</v>
      </c>
      <c r="T4659" t="s">
        <v>3926</v>
      </c>
      <c r="U4659" t="s">
        <v>3927</v>
      </c>
      <c r="V4659" t="s">
        <v>40</v>
      </c>
      <c r="W4659" s="1">
        <v>8934000</v>
      </c>
    </row>
    <row r="4660" spans="1:23" x14ac:dyDescent="0.2">
      <c r="A4660" t="s">
        <v>2096</v>
      </c>
      <c r="B4660" t="s">
        <v>3333</v>
      </c>
      <c r="C4660" t="s">
        <v>3902</v>
      </c>
      <c r="D4660" t="s">
        <v>3920</v>
      </c>
      <c r="E4660" t="s">
        <v>3921</v>
      </c>
      <c r="F4660" t="s">
        <v>3922</v>
      </c>
      <c r="G4660" t="s">
        <v>89</v>
      </c>
      <c r="H4660" t="s">
        <v>30</v>
      </c>
      <c r="I4660" t="s">
        <v>30</v>
      </c>
      <c r="J4660" t="s">
        <v>41</v>
      </c>
      <c r="K4660" t="s">
        <v>32</v>
      </c>
      <c r="L4660" t="s">
        <v>32</v>
      </c>
      <c r="M4660" t="s">
        <v>33</v>
      </c>
      <c r="N4660" t="s">
        <v>33</v>
      </c>
      <c r="O4660" t="s">
        <v>33</v>
      </c>
      <c r="P4660" t="s">
        <v>34</v>
      </c>
      <c r="Q4660" t="s">
        <v>35</v>
      </c>
      <c r="R4660" t="s">
        <v>54</v>
      </c>
      <c r="S4660" t="s">
        <v>30</v>
      </c>
      <c r="T4660" t="s">
        <v>3928</v>
      </c>
      <c r="U4660" t="s">
        <v>3929</v>
      </c>
      <c r="V4660" t="s">
        <v>39</v>
      </c>
      <c r="W4660" s="1">
        <v>3</v>
      </c>
    </row>
    <row r="4661" spans="1:23" x14ac:dyDescent="0.2">
      <c r="A4661" t="s">
        <v>2096</v>
      </c>
      <c r="B4661" t="s">
        <v>3333</v>
      </c>
      <c r="C4661" t="s">
        <v>3902</v>
      </c>
      <c r="D4661" t="s">
        <v>3920</v>
      </c>
      <c r="E4661" t="s">
        <v>3921</v>
      </c>
      <c r="F4661" t="s">
        <v>3922</v>
      </c>
      <c r="G4661" t="s">
        <v>89</v>
      </c>
      <c r="H4661" t="s">
        <v>30</v>
      </c>
      <c r="I4661" t="s">
        <v>30</v>
      </c>
      <c r="J4661" t="s">
        <v>41</v>
      </c>
      <c r="K4661" t="s">
        <v>32</v>
      </c>
      <c r="L4661" t="s">
        <v>32</v>
      </c>
      <c r="M4661" t="s">
        <v>33</v>
      </c>
      <c r="N4661" t="s">
        <v>33</v>
      </c>
      <c r="O4661" t="s">
        <v>33</v>
      </c>
      <c r="P4661" t="s">
        <v>34</v>
      </c>
      <c r="Q4661" t="s">
        <v>35</v>
      </c>
      <c r="R4661" t="s">
        <v>54</v>
      </c>
      <c r="S4661" t="s">
        <v>30</v>
      </c>
      <c r="T4661" t="s">
        <v>3928</v>
      </c>
      <c r="U4661" t="s">
        <v>3929</v>
      </c>
      <c r="V4661" t="s">
        <v>40</v>
      </c>
      <c r="W4661" s="1">
        <v>3035700</v>
      </c>
    </row>
    <row r="4662" spans="1:23" x14ac:dyDescent="0.2">
      <c r="A4662" t="s">
        <v>2096</v>
      </c>
      <c r="B4662" t="s">
        <v>3333</v>
      </c>
      <c r="C4662" t="s">
        <v>3902</v>
      </c>
      <c r="D4662" t="s">
        <v>3920</v>
      </c>
      <c r="E4662" t="s">
        <v>3921</v>
      </c>
      <c r="F4662" t="s">
        <v>3922</v>
      </c>
      <c r="G4662" t="s">
        <v>89</v>
      </c>
      <c r="H4662" t="s">
        <v>30</v>
      </c>
      <c r="I4662" t="s">
        <v>30</v>
      </c>
      <c r="J4662" t="s">
        <v>41</v>
      </c>
      <c r="K4662" t="s">
        <v>32</v>
      </c>
      <c r="L4662" t="s">
        <v>32</v>
      </c>
      <c r="M4662" t="s">
        <v>33</v>
      </c>
      <c r="N4662" t="s">
        <v>33</v>
      </c>
      <c r="O4662" t="s">
        <v>33</v>
      </c>
      <c r="P4662" t="s">
        <v>34</v>
      </c>
      <c r="Q4662" t="s">
        <v>35</v>
      </c>
      <c r="S4662" t="s">
        <v>30</v>
      </c>
      <c r="T4662" t="s">
        <v>3606</v>
      </c>
      <c r="U4662" t="s">
        <v>3930</v>
      </c>
      <c r="V4662" t="s">
        <v>39</v>
      </c>
      <c r="W4662" s="1">
        <v>4</v>
      </c>
    </row>
    <row r="4663" spans="1:23" x14ac:dyDescent="0.2">
      <c r="A4663" t="s">
        <v>2096</v>
      </c>
      <c r="B4663" t="s">
        <v>3333</v>
      </c>
      <c r="C4663" t="s">
        <v>3902</v>
      </c>
      <c r="D4663" t="s">
        <v>3920</v>
      </c>
      <c r="E4663" t="s">
        <v>3921</v>
      </c>
      <c r="F4663" t="s">
        <v>3922</v>
      </c>
      <c r="G4663" t="s">
        <v>89</v>
      </c>
      <c r="H4663" t="s">
        <v>30</v>
      </c>
      <c r="I4663" t="s">
        <v>30</v>
      </c>
      <c r="J4663" t="s">
        <v>41</v>
      </c>
      <c r="K4663" t="s">
        <v>32</v>
      </c>
      <c r="L4663" t="s">
        <v>32</v>
      </c>
      <c r="M4663" t="s">
        <v>33</v>
      </c>
      <c r="N4663" t="s">
        <v>33</v>
      </c>
      <c r="O4663" t="s">
        <v>33</v>
      </c>
      <c r="P4663" t="s">
        <v>34</v>
      </c>
      <c r="Q4663" t="s">
        <v>35</v>
      </c>
      <c r="S4663" t="s">
        <v>30</v>
      </c>
      <c r="T4663" t="s">
        <v>3606</v>
      </c>
      <c r="U4663" t="s">
        <v>3930</v>
      </c>
      <c r="V4663" t="s">
        <v>40</v>
      </c>
      <c r="W4663" s="1">
        <v>4560800</v>
      </c>
    </row>
    <row r="4664" spans="1:23" x14ac:dyDescent="0.2">
      <c r="A4664" t="s">
        <v>2096</v>
      </c>
      <c r="B4664" t="s">
        <v>3333</v>
      </c>
      <c r="C4664" t="s">
        <v>3902</v>
      </c>
      <c r="D4664" t="s">
        <v>3920</v>
      </c>
      <c r="E4664" t="s">
        <v>3921</v>
      </c>
      <c r="F4664" t="s">
        <v>3922</v>
      </c>
      <c r="G4664" t="s">
        <v>106</v>
      </c>
      <c r="H4664" t="s">
        <v>30</v>
      </c>
      <c r="I4664" t="s">
        <v>30</v>
      </c>
      <c r="J4664" t="s">
        <v>41</v>
      </c>
      <c r="K4664" t="s">
        <v>32</v>
      </c>
      <c r="L4664" t="s">
        <v>32</v>
      </c>
      <c r="M4664" t="s">
        <v>33</v>
      </c>
      <c r="N4664" t="s">
        <v>33</v>
      </c>
      <c r="O4664" t="s">
        <v>33</v>
      </c>
      <c r="P4664" t="s">
        <v>34</v>
      </c>
      <c r="Q4664" t="s">
        <v>35</v>
      </c>
      <c r="R4664" t="s">
        <v>173</v>
      </c>
      <c r="S4664" t="s">
        <v>30</v>
      </c>
      <c r="T4664" t="s">
        <v>3931</v>
      </c>
      <c r="U4664" t="s">
        <v>3932</v>
      </c>
      <c r="V4664" t="s">
        <v>39</v>
      </c>
      <c r="W4664" s="1">
        <v>6</v>
      </c>
    </row>
    <row r="4665" spans="1:23" x14ac:dyDescent="0.2">
      <c r="A4665" t="s">
        <v>2096</v>
      </c>
      <c r="B4665" t="s">
        <v>3333</v>
      </c>
      <c r="C4665" t="s">
        <v>3902</v>
      </c>
      <c r="D4665" t="s">
        <v>3920</v>
      </c>
      <c r="E4665" t="s">
        <v>3921</v>
      </c>
      <c r="F4665" t="s">
        <v>3922</v>
      </c>
      <c r="G4665" t="s">
        <v>106</v>
      </c>
      <c r="H4665" t="s">
        <v>30</v>
      </c>
      <c r="I4665" t="s">
        <v>30</v>
      </c>
      <c r="J4665" t="s">
        <v>41</v>
      </c>
      <c r="K4665" t="s">
        <v>32</v>
      </c>
      <c r="L4665" t="s">
        <v>32</v>
      </c>
      <c r="M4665" t="s">
        <v>33</v>
      </c>
      <c r="N4665" t="s">
        <v>33</v>
      </c>
      <c r="O4665" t="s">
        <v>33</v>
      </c>
      <c r="P4665" t="s">
        <v>34</v>
      </c>
      <c r="Q4665" t="s">
        <v>35</v>
      </c>
      <c r="R4665" t="s">
        <v>173</v>
      </c>
      <c r="S4665" t="s">
        <v>30</v>
      </c>
      <c r="T4665" t="s">
        <v>3931</v>
      </c>
      <c r="U4665" t="s">
        <v>3932</v>
      </c>
      <c r="V4665" t="s">
        <v>40</v>
      </c>
      <c r="W4665" s="1">
        <v>10619400</v>
      </c>
    </row>
    <row r="4666" spans="1:23" x14ac:dyDescent="0.2">
      <c r="A4666" t="s">
        <v>2096</v>
      </c>
      <c r="B4666" t="s">
        <v>3333</v>
      </c>
      <c r="C4666" t="s">
        <v>3902</v>
      </c>
      <c r="D4666" t="s">
        <v>3920</v>
      </c>
      <c r="E4666" t="s">
        <v>3921</v>
      </c>
      <c r="F4666" t="s">
        <v>3922</v>
      </c>
      <c r="G4666" t="s">
        <v>106</v>
      </c>
      <c r="H4666" t="s">
        <v>30</v>
      </c>
      <c r="I4666" t="s">
        <v>30</v>
      </c>
      <c r="J4666" t="s">
        <v>41</v>
      </c>
      <c r="K4666" t="s">
        <v>32</v>
      </c>
      <c r="L4666" t="s">
        <v>32</v>
      </c>
      <c r="M4666" t="s">
        <v>33</v>
      </c>
      <c r="N4666" t="s">
        <v>33</v>
      </c>
      <c r="O4666" t="s">
        <v>33</v>
      </c>
      <c r="P4666" t="s">
        <v>34</v>
      </c>
      <c r="Q4666" t="s">
        <v>35</v>
      </c>
      <c r="R4666" t="s">
        <v>54</v>
      </c>
      <c r="S4666" t="s">
        <v>30</v>
      </c>
      <c r="T4666" t="s">
        <v>3933</v>
      </c>
      <c r="U4666" t="s">
        <v>3934</v>
      </c>
      <c r="V4666" t="s">
        <v>39</v>
      </c>
      <c r="W4666" s="1">
        <v>4</v>
      </c>
    </row>
    <row r="4667" spans="1:23" x14ac:dyDescent="0.2">
      <c r="A4667" t="s">
        <v>2096</v>
      </c>
      <c r="B4667" t="s">
        <v>3333</v>
      </c>
      <c r="C4667" t="s">
        <v>3902</v>
      </c>
      <c r="D4667" t="s">
        <v>3920</v>
      </c>
      <c r="E4667" t="s">
        <v>3921</v>
      </c>
      <c r="F4667" t="s">
        <v>3922</v>
      </c>
      <c r="G4667" t="s">
        <v>106</v>
      </c>
      <c r="H4667" t="s">
        <v>30</v>
      </c>
      <c r="I4667" t="s">
        <v>30</v>
      </c>
      <c r="J4667" t="s">
        <v>41</v>
      </c>
      <c r="K4667" t="s">
        <v>32</v>
      </c>
      <c r="L4667" t="s">
        <v>32</v>
      </c>
      <c r="M4667" t="s">
        <v>33</v>
      </c>
      <c r="N4667" t="s">
        <v>33</v>
      </c>
      <c r="O4667" t="s">
        <v>33</v>
      </c>
      <c r="P4667" t="s">
        <v>34</v>
      </c>
      <c r="Q4667" t="s">
        <v>35</v>
      </c>
      <c r="R4667" t="s">
        <v>54</v>
      </c>
      <c r="S4667" t="s">
        <v>30</v>
      </c>
      <c r="T4667" t="s">
        <v>3933</v>
      </c>
      <c r="U4667" t="s">
        <v>3934</v>
      </c>
      <c r="V4667" t="s">
        <v>40</v>
      </c>
      <c r="W4667" s="1">
        <v>4876000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81A81-359F-4257-A1A5-D45A4D947EC0}">
  <dimension ref="B2:N138"/>
  <sheetViews>
    <sheetView workbookViewId="0">
      <selection activeCell="B2" sqref="B2"/>
    </sheetView>
  </sheetViews>
  <sheetFormatPr defaultRowHeight="12.75" x14ac:dyDescent="0.2"/>
  <cols>
    <col min="2" max="2" width="6.28515625" bestFit="1" customWidth="1"/>
    <col min="3" max="3" width="18" bestFit="1" customWidth="1"/>
    <col min="4" max="4" width="15.140625" bestFit="1" customWidth="1"/>
    <col min="5" max="6" width="14" bestFit="1" customWidth="1"/>
    <col min="7" max="8" width="13" bestFit="1" customWidth="1"/>
    <col min="9" max="9" width="44" bestFit="1" customWidth="1"/>
    <col min="10" max="10" width="10.5703125" bestFit="1" customWidth="1"/>
    <col min="11" max="11" width="8.42578125" bestFit="1" customWidth="1"/>
    <col min="12" max="12" width="6.7109375" bestFit="1" customWidth="1"/>
    <col min="13" max="13" width="10.5703125" bestFit="1" customWidth="1"/>
    <col min="14" max="14" width="7.85546875" bestFit="1" customWidth="1"/>
  </cols>
  <sheetData>
    <row r="2" spans="2:14" ht="16.5" x14ac:dyDescent="0.2">
      <c r="B2" s="27" t="s">
        <v>3956</v>
      </c>
      <c r="C2" s="27" t="s">
        <v>3957</v>
      </c>
      <c r="D2" s="27" t="s">
        <v>3958</v>
      </c>
      <c r="E2" s="27" t="s">
        <v>3959</v>
      </c>
      <c r="F2" s="27" t="s">
        <v>3960</v>
      </c>
      <c r="G2" s="27" t="s">
        <v>3954</v>
      </c>
      <c r="H2" s="27" t="s">
        <v>5</v>
      </c>
      <c r="I2" s="27" t="s">
        <v>6</v>
      </c>
      <c r="J2" s="27" t="s">
        <v>3961</v>
      </c>
      <c r="K2" s="27" t="s">
        <v>3962</v>
      </c>
      <c r="L2" s="27" t="s">
        <v>3963</v>
      </c>
      <c r="M2" s="27" t="s">
        <v>3964</v>
      </c>
      <c r="N2" s="27" t="s">
        <v>3965</v>
      </c>
    </row>
    <row r="3" spans="2:14" ht="16.5" x14ac:dyDescent="0.2">
      <c r="B3" s="28">
        <v>1</v>
      </c>
      <c r="C3" s="29" t="s">
        <v>3966</v>
      </c>
      <c r="D3" s="30" t="s">
        <v>23</v>
      </c>
      <c r="E3" s="30" t="s">
        <v>24</v>
      </c>
      <c r="F3" s="30" t="s">
        <v>25</v>
      </c>
      <c r="G3" s="30" t="s">
        <v>26</v>
      </c>
      <c r="H3" s="30" t="s">
        <v>27</v>
      </c>
      <c r="I3" s="31" t="s">
        <v>28</v>
      </c>
      <c r="J3" s="29" t="s">
        <v>3967</v>
      </c>
      <c r="K3" s="28" t="s">
        <v>3968</v>
      </c>
      <c r="L3" s="32">
        <v>5000</v>
      </c>
      <c r="M3" s="28">
        <v>10</v>
      </c>
      <c r="N3" s="32">
        <v>50000</v>
      </c>
    </row>
    <row r="4" spans="2:14" ht="16.5" x14ac:dyDescent="0.2">
      <c r="B4" s="28">
        <v>2</v>
      </c>
      <c r="C4" s="29" t="s">
        <v>3966</v>
      </c>
      <c r="D4" s="30" t="s">
        <v>23</v>
      </c>
      <c r="E4" s="30" t="s">
        <v>24</v>
      </c>
      <c r="F4" s="30" t="s">
        <v>25</v>
      </c>
      <c r="G4" s="30" t="s">
        <v>26</v>
      </c>
      <c r="H4" s="30" t="s">
        <v>146</v>
      </c>
      <c r="I4" s="31" t="s">
        <v>147</v>
      </c>
      <c r="J4" s="29" t="s">
        <v>3967</v>
      </c>
      <c r="K4" s="28" t="s">
        <v>3968</v>
      </c>
      <c r="L4" s="32">
        <v>5000</v>
      </c>
      <c r="M4" s="28">
        <v>10</v>
      </c>
      <c r="N4" s="32">
        <v>50000</v>
      </c>
    </row>
    <row r="5" spans="2:14" ht="16.5" x14ac:dyDescent="0.2">
      <c r="B5" s="28">
        <v>3</v>
      </c>
      <c r="C5" s="33" t="s">
        <v>3969</v>
      </c>
      <c r="D5" s="30" t="s">
        <v>23</v>
      </c>
      <c r="E5" s="30" t="s">
        <v>24</v>
      </c>
      <c r="F5" s="30" t="s">
        <v>25</v>
      </c>
      <c r="G5" s="30" t="s">
        <v>26</v>
      </c>
      <c r="H5" s="30" t="s">
        <v>154</v>
      </c>
      <c r="I5" s="31" t="s">
        <v>155</v>
      </c>
      <c r="J5" s="29" t="s">
        <v>3967</v>
      </c>
      <c r="K5" s="28" t="s">
        <v>3970</v>
      </c>
      <c r="L5" s="32">
        <v>5000</v>
      </c>
      <c r="M5" s="28">
        <v>10</v>
      </c>
      <c r="N5" s="32">
        <v>50000</v>
      </c>
    </row>
    <row r="6" spans="2:14" ht="16.5" x14ac:dyDescent="0.2">
      <c r="B6" s="28">
        <v>4</v>
      </c>
      <c r="C6" s="34" t="s">
        <v>3971</v>
      </c>
      <c r="D6" s="30" t="s">
        <v>23</v>
      </c>
      <c r="E6" s="30" t="s">
        <v>24</v>
      </c>
      <c r="F6" s="30" t="s">
        <v>25</v>
      </c>
      <c r="G6" s="30" t="s">
        <v>208</v>
      </c>
      <c r="H6" s="30" t="s">
        <v>209</v>
      </c>
      <c r="I6" s="31" t="s">
        <v>210</v>
      </c>
      <c r="J6" s="29" t="s">
        <v>3967</v>
      </c>
      <c r="K6" s="28" t="s">
        <v>3972</v>
      </c>
      <c r="L6" s="32">
        <v>5000</v>
      </c>
      <c r="M6" s="28">
        <v>10</v>
      </c>
      <c r="N6" s="32">
        <v>50000</v>
      </c>
    </row>
    <row r="7" spans="2:14" ht="16.5" x14ac:dyDescent="0.2">
      <c r="B7" s="28">
        <v>5</v>
      </c>
      <c r="C7" s="29" t="s">
        <v>3966</v>
      </c>
      <c r="D7" s="30" t="s">
        <v>23</v>
      </c>
      <c r="E7" s="30" t="s">
        <v>24</v>
      </c>
      <c r="F7" s="30" t="s">
        <v>25</v>
      </c>
      <c r="G7" s="30" t="s">
        <v>208</v>
      </c>
      <c r="H7" s="30" t="s">
        <v>279</v>
      </c>
      <c r="I7" s="31" t="s">
        <v>280</v>
      </c>
      <c r="J7" s="29" t="s">
        <v>3967</v>
      </c>
      <c r="K7" s="28" t="s">
        <v>3968</v>
      </c>
      <c r="L7" s="32">
        <v>5000</v>
      </c>
      <c r="M7" s="28">
        <v>10</v>
      </c>
      <c r="N7" s="32">
        <v>50000</v>
      </c>
    </row>
    <row r="8" spans="2:14" ht="16.5" x14ac:dyDescent="0.2">
      <c r="B8" s="28">
        <v>6</v>
      </c>
      <c r="C8" s="35" t="s">
        <v>3973</v>
      </c>
      <c r="D8" s="30" t="s">
        <v>23</v>
      </c>
      <c r="E8" s="30" t="s">
        <v>24</v>
      </c>
      <c r="F8" s="30" t="s">
        <v>25</v>
      </c>
      <c r="G8" s="30" t="s">
        <v>208</v>
      </c>
      <c r="H8" s="30" t="s">
        <v>290</v>
      </c>
      <c r="I8" s="31" t="s">
        <v>291</v>
      </c>
      <c r="J8" s="29" t="s">
        <v>3974</v>
      </c>
      <c r="K8" s="28" t="s">
        <v>3972</v>
      </c>
      <c r="L8" s="32">
        <v>5000</v>
      </c>
      <c r="M8" s="28">
        <v>10</v>
      </c>
      <c r="N8" s="32">
        <v>50000</v>
      </c>
    </row>
    <row r="9" spans="2:14" ht="16.5" x14ac:dyDescent="0.2">
      <c r="B9" s="28">
        <v>7</v>
      </c>
      <c r="C9" s="29" t="s">
        <v>3966</v>
      </c>
      <c r="D9" s="30" t="s">
        <v>23</v>
      </c>
      <c r="E9" s="30" t="s">
        <v>24</v>
      </c>
      <c r="F9" s="30" t="s">
        <v>25</v>
      </c>
      <c r="G9" s="30" t="s">
        <v>208</v>
      </c>
      <c r="H9" s="30" t="s">
        <v>330</v>
      </c>
      <c r="I9" s="31" t="s">
        <v>331</v>
      </c>
      <c r="J9" s="29" t="s">
        <v>3967</v>
      </c>
      <c r="K9" s="28" t="s">
        <v>3968</v>
      </c>
      <c r="L9" s="32">
        <v>5000</v>
      </c>
      <c r="M9" s="28">
        <v>10</v>
      </c>
      <c r="N9" s="32">
        <v>50000</v>
      </c>
    </row>
    <row r="10" spans="2:14" ht="16.5" x14ac:dyDescent="0.2">
      <c r="B10" s="28">
        <v>8</v>
      </c>
      <c r="C10" s="29" t="s">
        <v>3966</v>
      </c>
      <c r="D10" s="30" t="s">
        <v>23</v>
      </c>
      <c r="E10" s="30" t="s">
        <v>24</v>
      </c>
      <c r="F10" s="30" t="s">
        <v>25</v>
      </c>
      <c r="G10" s="30" t="s">
        <v>208</v>
      </c>
      <c r="H10" s="30" t="s">
        <v>347</v>
      </c>
      <c r="I10" s="31" t="s">
        <v>348</v>
      </c>
      <c r="J10" s="29" t="s">
        <v>3967</v>
      </c>
      <c r="K10" s="28" t="s">
        <v>3968</v>
      </c>
      <c r="L10" s="32">
        <v>5000</v>
      </c>
      <c r="M10" s="28">
        <v>10</v>
      </c>
      <c r="N10" s="32">
        <v>50000</v>
      </c>
    </row>
    <row r="11" spans="2:14" ht="16.5" x14ac:dyDescent="0.2">
      <c r="B11" s="28">
        <v>9</v>
      </c>
      <c r="C11" s="29" t="s">
        <v>3975</v>
      </c>
      <c r="D11" s="30" t="s">
        <v>23</v>
      </c>
      <c r="E11" s="30" t="s">
        <v>24</v>
      </c>
      <c r="F11" s="30" t="s">
        <v>25</v>
      </c>
      <c r="G11" s="30" t="s">
        <v>208</v>
      </c>
      <c r="H11" s="30" t="s">
        <v>368</v>
      </c>
      <c r="I11" s="31" t="s">
        <v>369</v>
      </c>
      <c r="J11" s="29" t="s">
        <v>3967</v>
      </c>
      <c r="K11" s="28" t="s">
        <v>3970</v>
      </c>
      <c r="L11" s="32">
        <v>5000</v>
      </c>
      <c r="M11" s="28">
        <v>10</v>
      </c>
      <c r="N11" s="32">
        <v>50000</v>
      </c>
    </row>
    <row r="12" spans="2:14" ht="16.5" x14ac:dyDescent="0.2">
      <c r="B12" s="28">
        <v>10</v>
      </c>
      <c r="C12" s="34" t="s">
        <v>3971</v>
      </c>
      <c r="D12" s="30" t="s">
        <v>23</v>
      </c>
      <c r="E12" s="30" t="s">
        <v>24</v>
      </c>
      <c r="F12" s="30" t="s">
        <v>25</v>
      </c>
      <c r="G12" s="30" t="s">
        <v>208</v>
      </c>
      <c r="H12" s="30" t="s">
        <v>426</v>
      </c>
      <c r="I12" s="31" t="s">
        <v>427</v>
      </c>
      <c r="J12" s="29" t="s">
        <v>3967</v>
      </c>
      <c r="K12" s="28" t="s">
        <v>3972</v>
      </c>
      <c r="L12" s="32">
        <v>5000</v>
      </c>
      <c r="M12" s="28">
        <v>10</v>
      </c>
      <c r="N12" s="32">
        <v>50000</v>
      </c>
    </row>
    <row r="13" spans="2:14" ht="16.5" x14ac:dyDescent="0.2">
      <c r="B13" s="28">
        <v>11</v>
      </c>
      <c r="C13" s="35" t="s">
        <v>3973</v>
      </c>
      <c r="D13" s="30" t="s">
        <v>23</v>
      </c>
      <c r="E13" s="30" t="s">
        <v>24</v>
      </c>
      <c r="F13" s="30" t="s">
        <v>25</v>
      </c>
      <c r="G13" s="30" t="s">
        <v>208</v>
      </c>
      <c r="H13" s="30" t="s">
        <v>440</v>
      </c>
      <c r="I13" s="31" t="s">
        <v>441</v>
      </c>
      <c r="J13" s="29" t="s">
        <v>3974</v>
      </c>
      <c r="K13" s="28" t="s">
        <v>3972</v>
      </c>
      <c r="L13" s="32">
        <v>5000</v>
      </c>
      <c r="M13" s="28">
        <v>10</v>
      </c>
      <c r="N13" s="32">
        <v>50000</v>
      </c>
    </row>
    <row r="14" spans="2:14" ht="16.5" x14ac:dyDescent="0.2">
      <c r="B14" s="28">
        <v>12</v>
      </c>
      <c r="C14" s="29" t="s">
        <v>3976</v>
      </c>
      <c r="D14" s="30" t="s">
        <v>23</v>
      </c>
      <c r="E14" s="30" t="s">
        <v>24</v>
      </c>
      <c r="F14" s="30" t="s">
        <v>25</v>
      </c>
      <c r="G14" s="30" t="s">
        <v>454</v>
      </c>
      <c r="H14" s="30" t="s">
        <v>455</v>
      </c>
      <c r="I14" s="31" t="s">
        <v>456</v>
      </c>
      <c r="J14" s="29" t="s">
        <v>3967</v>
      </c>
      <c r="K14" s="28" t="s">
        <v>3970</v>
      </c>
      <c r="L14" s="32">
        <v>5000</v>
      </c>
      <c r="M14" s="28">
        <v>10</v>
      </c>
      <c r="N14" s="32">
        <v>50000</v>
      </c>
    </row>
    <row r="15" spans="2:14" ht="16.5" x14ac:dyDescent="0.2">
      <c r="B15" s="28">
        <v>13</v>
      </c>
      <c r="C15" s="35" t="s">
        <v>3977</v>
      </c>
      <c r="D15" s="30" t="s">
        <v>23</v>
      </c>
      <c r="E15" s="30" t="s">
        <v>24</v>
      </c>
      <c r="F15" s="30" t="s">
        <v>25</v>
      </c>
      <c r="G15" s="30" t="s">
        <v>454</v>
      </c>
      <c r="H15" s="30" t="s">
        <v>481</v>
      </c>
      <c r="I15" s="31" t="s">
        <v>482</v>
      </c>
      <c r="J15" s="29" t="s">
        <v>3974</v>
      </c>
      <c r="K15" s="28" t="s">
        <v>3972</v>
      </c>
      <c r="L15" s="32">
        <v>5000</v>
      </c>
      <c r="M15" s="28">
        <v>10</v>
      </c>
      <c r="N15" s="32">
        <v>50000</v>
      </c>
    </row>
    <row r="16" spans="2:14" ht="16.5" x14ac:dyDescent="0.2">
      <c r="B16" s="28">
        <v>14</v>
      </c>
      <c r="C16" s="29" t="s">
        <v>3966</v>
      </c>
      <c r="D16" s="30" t="s">
        <v>23</v>
      </c>
      <c r="E16" s="30" t="s">
        <v>24</v>
      </c>
      <c r="F16" s="30" t="s">
        <v>25</v>
      </c>
      <c r="G16" s="30" t="s">
        <v>454</v>
      </c>
      <c r="H16" s="30" t="s">
        <v>508</v>
      </c>
      <c r="I16" s="31" t="s">
        <v>509</v>
      </c>
      <c r="J16" s="29" t="s">
        <v>3967</v>
      </c>
      <c r="K16" s="28" t="s">
        <v>3968</v>
      </c>
      <c r="L16" s="32">
        <v>5000</v>
      </c>
      <c r="M16" s="28">
        <v>10</v>
      </c>
      <c r="N16" s="32">
        <v>50000</v>
      </c>
    </row>
    <row r="17" spans="2:14" ht="16.5" x14ac:dyDescent="0.2">
      <c r="B17" s="28">
        <v>15</v>
      </c>
      <c r="C17" s="29" t="s">
        <v>3976</v>
      </c>
      <c r="D17" s="30" t="s">
        <v>23</v>
      </c>
      <c r="E17" s="30" t="s">
        <v>24</v>
      </c>
      <c r="F17" s="30" t="s">
        <v>25</v>
      </c>
      <c r="G17" s="30" t="s">
        <v>3978</v>
      </c>
      <c r="H17" s="30" t="s">
        <v>3979</v>
      </c>
      <c r="I17" s="31" t="s">
        <v>3980</v>
      </c>
      <c r="J17" s="29" t="s">
        <v>3967</v>
      </c>
      <c r="K17" s="28" t="s">
        <v>3970</v>
      </c>
      <c r="L17" s="32">
        <v>5000</v>
      </c>
      <c r="M17" s="28">
        <v>10</v>
      </c>
      <c r="N17" s="32">
        <v>50000</v>
      </c>
    </row>
    <row r="18" spans="2:14" ht="16.5" x14ac:dyDescent="0.2">
      <c r="B18" s="28">
        <v>16</v>
      </c>
      <c r="C18" s="34" t="s">
        <v>3981</v>
      </c>
      <c r="D18" s="30" t="s">
        <v>23</v>
      </c>
      <c r="E18" s="30" t="s">
        <v>24</v>
      </c>
      <c r="F18" s="30" t="s">
        <v>25</v>
      </c>
      <c r="G18" s="30" t="s">
        <v>581</v>
      </c>
      <c r="H18" s="30" t="s">
        <v>582</v>
      </c>
      <c r="I18" s="31" t="s">
        <v>583</v>
      </c>
      <c r="J18" s="29" t="s">
        <v>3967</v>
      </c>
      <c r="K18" s="28" t="s">
        <v>3972</v>
      </c>
      <c r="L18" s="32">
        <v>5000</v>
      </c>
      <c r="M18" s="28">
        <v>10</v>
      </c>
      <c r="N18" s="32">
        <v>50000</v>
      </c>
    </row>
    <row r="19" spans="2:14" ht="16.5" x14ac:dyDescent="0.2">
      <c r="B19" s="28">
        <v>17</v>
      </c>
      <c r="C19" s="29" t="s">
        <v>3966</v>
      </c>
      <c r="D19" s="30" t="s">
        <v>23</v>
      </c>
      <c r="E19" s="30" t="s">
        <v>24</v>
      </c>
      <c r="F19" s="30" t="s">
        <v>25</v>
      </c>
      <c r="G19" s="30" t="s">
        <v>581</v>
      </c>
      <c r="H19" s="30" t="s">
        <v>594</v>
      </c>
      <c r="I19" s="31" t="s">
        <v>595</v>
      </c>
      <c r="J19" s="29" t="s">
        <v>3967</v>
      </c>
      <c r="K19" s="28" t="s">
        <v>3968</v>
      </c>
      <c r="L19" s="32">
        <v>5000</v>
      </c>
      <c r="M19" s="28">
        <v>10</v>
      </c>
      <c r="N19" s="32">
        <v>50000</v>
      </c>
    </row>
    <row r="20" spans="2:14" ht="16.5" x14ac:dyDescent="0.2">
      <c r="B20" s="28">
        <v>18</v>
      </c>
      <c r="C20" s="29" t="s">
        <v>3976</v>
      </c>
      <c r="D20" s="30" t="s">
        <v>23</v>
      </c>
      <c r="E20" s="30" t="s">
        <v>24</v>
      </c>
      <c r="F20" s="30" t="s">
        <v>25</v>
      </c>
      <c r="G20" s="30" t="s">
        <v>581</v>
      </c>
      <c r="H20" s="30" t="s">
        <v>606</v>
      </c>
      <c r="I20" s="31" t="s">
        <v>607</v>
      </c>
      <c r="J20" s="29" t="s">
        <v>3967</v>
      </c>
      <c r="K20" s="28" t="s">
        <v>3970</v>
      </c>
      <c r="L20" s="32">
        <v>5000</v>
      </c>
      <c r="M20" s="28">
        <v>10</v>
      </c>
      <c r="N20" s="32">
        <v>50000</v>
      </c>
    </row>
    <row r="21" spans="2:14" ht="16.5" x14ac:dyDescent="0.2">
      <c r="B21" s="28">
        <v>19</v>
      </c>
      <c r="C21" s="34" t="s">
        <v>3971</v>
      </c>
      <c r="D21" s="30" t="s">
        <v>23</v>
      </c>
      <c r="E21" s="30" t="s">
        <v>24</v>
      </c>
      <c r="F21" s="30" t="s">
        <v>25</v>
      </c>
      <c r="G21" s="30" t="s">
        <v>581</v>
      </c>
      <c r="H21" s="30" t="s">
        <v>637</v>
      </c>
      <c r="I21" s="31" t="s">
        <v>638</v>
      </c>
      <c r="J21" s="29" t="s">
        <v>3967</v>
      </c>
      <c r="K21" s="28" t="s">
        <v>3972</v>
      </c>
      <c r="L21" s="32">
        <v>5000</v>
      </c>
      <c r="M21" s="28">
        <v>10</v>
      </c>
      <c r="N21" s="32">
        <v>50000</v>
      </c>
    </row>
    <row r="22" spans="2:14" ht="16.5" x14ac:dyDescent="0.2">
      <c r="B22" s="28">
        <v>20</v>
      </c>
      <c r="C22" s="29" t="s">
        <v>3966</v>
      </c>
      <c r="D22" s="30" t="s">
        <v>23</v>
      </c>
      <c r="E22" s="30" t="s">
        <v>24</v>
      </c>
      <c r="F22" s="30" t="s">
        <v>25</v>
      </c>
      <c r="G22" s="30" t="s">
        <v>581</v>
      </c>
      <c r="H22" s="30" t="s">
        <v>643</v>
      </c>
      <c r="I22" s="31" t="s">
        <v>644</v>
      </c>
      <c r="J22" s="29" t="s">
        <v>3967</v>
      </c>
      <c r="K22" s="28" t="s">
        <v>3968</v>
      </c>
      <c r="L22" s="32">
        <v>5000</v>
      </c>
      <c r="M22" s="28">
        <v>10</v>
      </c>
      <c r="N22" s="32">
        <v>50000</v>
      </c>
    </row>
    <row r="23" spans="2:14" ht="16.5" x14ac:dyDescent="0.2">
      <c r="B23" s="28">
        <v>21</v>
      </c>
      <c r="C23" s="29" t="s">
        <v>3982</v>
      </c>
      <c r="D23" s="30" t="s">
        <v>23</v>
      </c>
      <c r="E23" s="30" t="s">
        <v>24</v>
      </c>
      <c r="F23" s="30" t="s">
        <v>25</v>
      </c>
      <c r="G23" s="30" t="s">
        <v>581</v>
      </c>
      <c r="H23" s="30" t="s">
        <v>653</v>
      </c>
      <c r="I23" s="31" t="s">
        <v>654</v>
      </c>
      <c r="J23" s="29" t="s">
        <v>3967</v>
      </c>
      <c r="K23" s="28" t="s">
        <v>3972</v>
      </c>
      <c r="L23" s="32">
        <v>5000</v>
      </c>
      <c r="M23" s="28">
        <v>10</v>
      </c>
      <c r="N23" s="32">
        <v>50000</v>
      </c>
    </row>
    <row r="24" spans="2:14" ht="16.5" x14ac:dyDescent="0.2">
      <c r="B24" s="28">
        <v>22</v>
      </c>
      <c r="C24" s="29" t="s">
        <v>3983</v>
      </c>
      <c r="D24" s="30" t="s">
        <v>23</v>
      </c>
      <c r="E24" s="30" t="s">
        <v>24</v>
      </c>
      <c r="F24" s="30" t="s">
        <v>25</v>
      </c>
      <c r="G24" s="30" t="s">
        <v>671</v>
      </c>
      <c r="H24" s="30" t="s">
        <v>672</v>
      </c>
      <c r="I24" s="31" t="s">
        <v>673</v>
      </c>
      <c r="J24" s="29" t="s">
        <v>3967</v>
      </c>
      <c r="K24" s="28" t="s">
        <v>3968</v>
      </c>
      <c r="L24" s="32">
        <v>5000</v>
      </c>
      <c r="M24" s="28">
        <v>10</v>
      </c>
      <c r="N24" s="32">
        <v>50000</v>
      </c>
    </row>
    <row r="25" spans="2:14" ht="16.5" x14ac:dyDescent="0.2">
      <c r="B25" s="28">
        <v>23</v>
      </c>
      <c r="C25" s="29" t="s">
        <v>3966</v>
      </c>
      <c r="D25" s="30" t="s">
        <v>23</v>
      </c>
      <c r="E25" s="30" t="s">
        <v>24</v>
      </c>
      <c r="F25" s="30" t="s">
        <v>25</v>
      </c>
      <c r="G25" s="30" t="s">
        <v>671</v>
      </c>
      <c r="H25" s="30" t="s">
        <v>707</v>
      </c>
      <c r="I25" s="31" t="s">
        <v>708</v>
      </c>
      <c r="J25" s="29" t="s">
        <v>3967</v>
      </c>
      <c r="K25" s="28" t="s">
        <v>3968</v>
      </c>
      <c r="L25" s="32">
        <v>5000</v>
      </c>
      <c r="M25" s="28">
        <v>10</v>
      </c>
      <c r="N25" s="32">
        <v>50000</v>
      </c>
    </row>
    <row r="26" spans="2:14" ht="16.5" x14ac:dyDescent="0.2">
      <c r="B26" s="28">
        <v>24</v>
      </c>
      <c r="C26" s="29" t="s">
        <v>3975</v>
      </c>
      <c r="D26" s="30" t="s">
        <v>23</v>
      </c>
      <c r="E26" s="30" t="s">
        <v>24</v>
      </c>
      <c r="F26" s="30" t="s">
        <v>25</v>
      </c>
      <c r="G26" s="30" t="s">
        <v>671</v>
      </c>
      <c r="H26" s="30" t="s">
        <v>721</v>
      </c>
      <c r="I26" s="31" t="s">
        <v>722</v>
      </c>
      <c r="J26" s="29" t="s">
        <v>3967</v>
      </c>
      <c r="K26" s="28" t="s">
        <v>3970</v>
      </c>
      <c r="L26" s="32">
        <v>5000</v>
      </c>
      <c r="M26" s="28">
        <v>10</v>
      </c>
      <c r="N26" s="32">
        <v>50000</v>
      </c>
    </row>
    <row r="27" spans="2:14" ht="16.5" x14ac:dyDescent="0.2">
      <c r="B27" s="28">
        <v>25</v>
      </c>
      <c r="C27" s="29" t="s">
        <v>3976</v>
      </c>
      <c r="D27" s="30" t="s">
        <v>23</v>
      </c>
      <c r="E27" s="30" t="s">
        <v>24</v>
      </c>
      <c r="F27" s="30" t="s">
        <v>25</v>
      </c>
      <c r="G27" s="30" t="s">
        <v>671</v>
      </c>
      <c r="H27" s="30" t="s">
        <v>735</v>
      </c>
      <c r="I27" s="31" t="s">
        <v>736</v>
      </c>
      <c r="J27" s="29" t="s">
        <v>3967</v>
      </c>
      <c r="K27" s="28" t="s">
        <v>3970</v>
      </c>
      <c r="L27" s="32">
        <v>5000</v>
      </c>
      <c r="M27" s="28">
        <v>10</v>
      </c>
      <c r="N27" s="32">
        <v>50000</v>
      </c>
    </row>
    <row r="28" spans="2:14" ht="16.5" x14ac:dyDescent="0.2">
      <c r="B28" s="28">
        <v>26</v>
      </c>
      <c r="C28" s="29" t="s">
        <v>3966</v>
      </c>
      <c r="D28" s="30" t="s">
        <v>23</v>
      </c>
      <c r="E28" s="30" t="s">
        <v>24</v>
      </c>
      <c r="F28" s="30" t="s">
        <v>25</v>
      </c>
      <c r="G28" s="30" t="s">
        <v>671</v>
      </c>
      <c r="H28" s="30" t="s">
        <v>749</v>
      </c>
      <c r="I28" s="31" t="s">
        <v>750</v>
      </c>
      <c r="J28" s="29" t="s">
        <v>3967</v>
      </c>
      <c r="K28" s="28" t="s">
        <v>3968</v>
      </c>
      <c r="L28" s="32">
        <v>5000</v>
      </c>
      <c r="M28" s="28">
        <v>10</v>
      </c>
      <c r="N28" s="32">
        <v>50000</v>
      </c>
    </row>
    <row r="29" spans="2:14" ht="16.5" x14ac:dyDescent="0.2">
      <c r="B29" s="28">
        <v>27</v>
      </c>
      <c r="C29" s="29" t="s">
        <v>3984</v>
      </c>
      <c r="D29" s="30" t="s">
        <v>23</v>
      </c>
      <c r="E29" s="30" t="s">
        <v>24</v>
      </c>
      <c r="F29" s="30" t="s">
        <v>25</v>
      </c>
      <c r="G29" s="30" t="s">
        <v>671</v>
      </c>
      <c r="H29" s="30" t="s">
        <v>786</v>
      </c>
      <c r="I29" s="31" t="s">
        <v>787</v>
      </c>
      <c r="J29" s="29" t="s">
        <v>3967</v>
      </c>
      <c r="K29" s="28" t="s">
        <v>3972</v>
      </c>
      <c r="L29" s="32">
        <v>5000</v>
      </c>
      <c r="M29" s="28">
        <v>10</v>
      </c>
      <c r="N29" s="32">
        <v>50000</v>
      </c>
    </row>
    <row r="30" spans="2:14" ht="16.5" x14ac:dyDescent="0.2">
      <c r="B30" s="28">
        <v>28</v>
      </c>
      <c r="C30" s="29" t="s">
        <v>3966</v>
      </c>
      <c r="D30" s="30" t="s">
        <v>23</v>
      </c>
      <c r="E30" s="30" t="s">
        <v>24</v>
      </c>
      <c r="F30" s="30" t="s">
        <v>25</v>
      </c>
      <c r="G30" s="30" t="s">
        <v>797</v>
      </c>
      <c r="H30" s="30" t="s">
        <v>798</v>
      </c>
      <c r="I30" s="31" t="s">
        <v>799</v>
      </c>
      <c r="J30" s="29" t="s">
        <v>3967</v>
      </c>
      <c r="K30" s="28" t="s">
        <v>3968</v>
      </c>
      <c r="L30" s="32">
        <v>5000</v>
      </c>
      <c r="M30" s="28">
        <v>10</v>
      </c>
      <c r="N30" s="32">
        <v>50000</v>
      </c>
    </row>
    <row r="31" spans="2:14" ht="16.5" x14ac:dyDescent="0.2">
      <c r="B31" s="28">
        <v>29</v>
      </c>
      <c r="C31" s="29" t="s">
        <v>3966</v>
      </c>
      <c r="D31" s="30" t="s">
        <v>23</v>
      </c>
      <c r="E31" s="30" t="s">
        <v>24</v>
      </c>
      <c r="F31" s="30" t="s">
        <v>25</v>
      </c>
      <c r="G31" s="30" t="s">
        <v>797</v>
      </c>
      <c r="H31" s="30" t="s">
        <v>808</v>
      </c>
      <c r="I31" s="31" t="s">
        <v>809</v>
      </c>
      <c r="J31" s="29" t="s">
        <v>3967</v>
      </c>
      <c r="K31" s="28" t="s">
        <v>3968</v>
      </c>
      <c r="L31" s="32">
        <v>5000</v>
      </c>
      <c r="M31" s="28">
        <v>10</v>
      </c>
      <c r="N31" s="32">
        <v>50000</v>
      </c>
    </row>
    <row r="32" spans="2:14" ht="16.5" x14ac:dyDescent="0.2">
      <c r="B32" s="28">
        <v>30</v>
      </c>
      <c r="C32" s="29" t="s">
        <v>3976</v>
      </c>
      <c r="D32" s="30" t="s">
        <v>23</v>
      </c>
      <c r="E32" s="30" t="s">
        <v>24</v>
      </c>
      <c r="F32" s="30" t="s">
        <v>25</v>
      </c>
      <c r="G32" s="30" t="s">
        <v>797</v>
      </c>
      <c r="H32" s="30" t="s">
        <v>818</v>
      </c>
      <c r="I32" s="31" t="s">
        <v>819</v>
      </c>
      <c r="J32" s="29" t="s">
        <v>3967</v>
      </c>
      <c r="K32" s="28" t="s">
        <v>3970</v>
      </c>
      <c r="L32" s="32">
        <v>5000</v>
      </c>
      <c r="M32" s="28">
        <v>10</v>
      </c>
      <c r="N32" s="32">
        <v>50000</v>
      </c>
    </row>
    <row r="33" spans="2:14" ht="16.5" x14ac:dyDescent="0.2">
      <c r="B33" s="28">
        <v>31</v>
      </c>
      <c r="C33" s="29" t="s">
        <v>3966</v>
      </c>
      <c r="D33" s="30" t="s">
        <v>23</v>
      </c>
      <c r="E33" s="30" t="s">
        <v>24</v>
      </c>
      <c r="F33" s="30" t="s">
        <v>25</v>
      </c>
      <c r="G33" s="30" t="s">
        <v>797</v>
      </c>
      <c r="H33" s="30" t="s">
        <v>832</v>
      </c>
      <c r="I33" s="31" t="s">
        <v>833</v>
      </c>
      <c r="J33" s="29" t="s">
        <v>3967</v>
      </c>
      <c r="K33" s="28" t="s">
        <v>3968</v>
      </c>
      <c r="L33" s="32">
        <v>5000</v>
      </c>
      <c r="M33" s="28">
        <v>10</v>
      </c>
      <c r="N33" s="32">
        <v>50000</v>
      </c>
    </row>
    <row r="34" spans="2:14" ht="16.5" x14ac:dyDescent="0.2">
      <c r="B34" s="28">
        <v>32</v>
      </c>
      <c r="C34" s="29" t="s">
        <v>3976</v>
      </c>
      <c r="D34" s="30" t="s">
        <v>23</v>
      </c>
      <c r="E34" s="30" t="s">
        <v>24</v>
      </c>
      <c r="F34" s="30" t="s">
        <v>25</v>
      </c>
      <c r="G34" s="30" t="s">
        <v>893</v>
      </c>
      <c r="H34" s="30" t="s">
        <v>894</v>
      </c>
      <c r="I34" s="31" t="s">
        <v>895</v>
      </c>
      <c r="J34" s="29" t="s">
        <v>3967</v>
      </c>
      <c r="K34" s="28" t="s">
        <v>3970</v>
      </c>
      <c r="L34" s="32">
        <v>5000</v>
      </c>
      <c r="M34" s="28">
        <v>10</v>
      </c>
      <c r="N34" s="32">
        <v>50000</v>
      </c>
    </row>
    <row r="35" spans="2:14" ht="16.5" x14ac:dyDescent="0.2">
      <c r="B35" s="28">
        <v>33</v>
      </c>
      <c r="C35" s="29" t="s">
        <v>3966</v>
      </c>
      <c r="D35" s="30" t="s">
        <v>23</v>
      </c>
      <c r="E35" s="30" t="s">
        <v>24</v>
      </c>
      <c r="F35" s="30" t="s">
        <v>978</v>
      </c>
      <c r="G35" s="30" t="s">
        <v>979</v>
      </c>
      <c r="H35" s="30" t="s">
        <v>980</v>
      </c>
      <c r="I35" s="31" t="s">
        <v>981</v>
      </c>
      <c r="J35" s="29" t="s">
        <v>3967</v>
      </c>
      <c r="K35" s="28" t="s">
        <v>3968</v>
      </c>
      <c r="L35" s="32">
        <v>5000</v>
      </c>
      <c r="M35" s="28">
        <v>10</v>
      </c>
      <c r="N35" s="32">
        <v>50000</v>
      </c>
    </row>
    <row r="36" spans="2:14" ht="16.5" x14ac:dyDescent="0.2">
      <c r="B36" s="28">
        <v>34</v>
      </c>
      <c r="C36" s="29" t="s">
        <v>3975</v>
      </c>
      <c r="D36" s="30" t="s">
        <v>23</v>
      </c>
      <c r="E36" s="30" t="s">
        <v>24</v>
      </c>
      <c r="F36" s="30" t="s">
        <v>978</v>
      </c>
      <c r="G36" s="30" t="s">
        <v>996</v>
      </c>
      <c r="H36" s="30" t="s">
        <v>997</v>
      </c>
      <c r="I36" s="31" t="s">
        <v>998</v>
      </c>
      <c r="J36" s="29" t="s">
        <v>3967</v>
      </c>
      <c r="K36" s="28" t="s">
        <v>3970</v>
      </c>
      <c r="L36" s="32">
        <v>5000</v>
      </c>
      <c r="M36" s="28">
        <v>10</v>
      </c>
      <c r="N36" s="32">
        <v>50000</v>
      </c>
    </row>
    <row r="37" spans="2:14" ht="16.5" x14ac:dyDescent="0.2">
      <c r="B37" s="28">
        <v>35</v>
      </c>
      <c r="C37" s="35" t="s">
        <v>3973</v>
      </c>
      <c r="D37" s="30" t="s">
        <v>23</v>
      </c>
      <c r="E37" s="30" t="s">
        <v>24</v>
      </c>
      <c r="F37" s="30" t="s">
        <v>978</v>
      </c>
      <c r="G37" s="30" t="s">
        <v>1006</v>
      </c>
      <c r="H37" s="30" t="s">
        <v>1007</v>
      </c>
      <c r="I37" s="31" t="s">
        <v>1008</v>
      </c>
      <c r="J37" s="29" t="s">
        <v>3974</v>
      </c>
      <c r="K37" s="28" t="s">
        <v>3972</v>
      </c>
      <c r="L37" s="32">
        <v>5000</v>
      </c>
      <c r="M37" s="28">
        <v>10</v>
      </c>
      <c r="N37" s="32">
        <v>50000</v>
      </c>
    </row>
    <row r="38" spans="2:14" ht="16.5" x14ac:dyDescent="0.2">
      <c r="B38" s="28">
        <v>36</v>
      </c>
      <c r="C38" s="29" t="s">
        <v>3966</v>
      </c>
      <c r="D38" s="30" t="s">
        <v>23</v>
      </c>
      <c r="E38" s="30" t="s">
        <v>24</v>
      </c>
      <c r="F38" s="30" t="s">
        <v>978</v>
      </c>
      <c r="G38" s="30" t="s">
        <v>1006</v>
      </c>
      <c r="H38" s="30" t="s">
        <v>1015</v>
      </c>
      <c r="I38" s="31" t="s">
        <v>1016</v>
      </c>
      <c r="J38" s="29" t="s">
        <v>3967</v>
      </c>
      <c r="K38" s="28" t="s">
        <v>3968</v>
      </c>
      <c r="L38" s="32">
        <v>5000</v>
      </c>
      <c r="M38" s="28">
        <v>10</v>
      </c>
      <c r="N38" s="32">
        <v>50000</v>
      </c>
    </row>
    <row r="39" spans="2:14" ht="16.5" x14ac:dyDescent="0.2">
      <c r="B39" s="28">
        <v>37</v>
      </c>
      <c r="C39" s="36" t="s">
        <v>3985</v>
      </c>
      <c r="D39" s="30" t="s">
        <v>23</v>
      </c>
      <c r="E39" s="30" t="s">
        <v>24</v>
      </c>
      <c r="F39" s="30" t="s">
        <v>978</v>
      </c>
      <c r="G39" s="30" t="s">
        <v>1006</v>
      </c>
      <c r="H39" s="30" t="s">
        <v>1035</v>
      </c>
      <c r="I39" s="31" t="s">
        <v>1036</v>
      </c>
      <c r="J39" s="29" t="s">
        <v>3967</v>
      </c>
      <c r="K39" s="28" t="s">
        <v>3970</v>
      </c>
      <c r="L39" s="32">
        <v>5000</v>
      </c>
      <c r="M39" s="28">
        <v>10</v>
      </c>
      <c r="N39" s="32">
        <v>50000</v>
      </c>
    </row>
    <row r="40" spans="2:14" ht="16.5" x14ac:dyDescent="0.2">
      <c r="B40" s="28">
        <v>38</v>
      </c>
      <c r="C40" s="29" t="s">
        <v>3966</v>
      </c>
      <c r="D40" s="30" t="s">
        <v>23</v>
      </c>
      <c r="E40" s="30" t="s">
        <v>24</v>
      </c>
      <c r="F40" s="30" t="s">
        <v>978</v>
      </c>
      <c r="G40" s="30" t="s">
        <v>3986</v>
      </c>
      <c r="H40" s="30" t="s">
        <v>3987</v>
      </c>
      <c r="I40" s="31" t="s">
        <v>3988</v>
      </c>
      <c r="J40" s="29" t="s">
        <v>3967</v>
      </c>
      <c r="K40" s="28" t="s">
        <v>3968</v>
      </c>
      <c r="L40" s="32">
        <v>5000</v>
      </c>
      <c r="M40" s="28">
        <v>10</v>
      </c>
      <c r="N40" s="32">
        <v>50000</v>
      </c>
    </row>
    <row r="41" spans="2:14" ht="16.5" x14ac:dyDescent="0.2">
      <c r="B41" s="28">
        <v>39</v>
      </c>
      <c r="C41" s="29" t="s">
        <v>3975</v>
      </c>
      <c r="D41" s="30" t="s">
        <v>23</v>
      </c>
      <c r="E41" s="30" t="s">
        <v>24</v>
      </c>
      <c r="F41" s="30" t="s">
        <v>978</v>
      </c>
      <c r="G41" s="30" t="s">
        <v>1041</v>
      </c>
      <c r="H41" s="30" t="s">
        <v>1042</v>
      </c>
      <c r="I41" s="31" t="s">
        <v>1043</v>
      </c>
      <c r="J41" s="29" t="s">
        <v>3967</v>
      </c>
      <c r="K41" s="28" t="s">
        <v>3970</v>
      </c>
      <c r="L41" s="32">
        <v>5000</v>
      </c>
      <c r="M41" s="28">
        <v>10</v>
      </c>
      <c r="N41" s="32">
        <v>50000</v>
      </c>
    </row>
    <row r="42" spans="2:14" ht="16.5" x14ac:dyDescent="0.2">
      <c r="B42" s="28">
        <v>40</v>
      </c>
      <c r="C42" s="29" t="s">
        <v>3966</v>
      </c>
      <c r="D42" s="30" t="s">
        <v>23</v>
      </c>
      <c r="E42" s="30" t="s">
        <v>24</v>
      </c>
      <c r="F42" s="30" t="s">
        <v>978</v>
      </c>
      <c r="G42" s="30" t="s">
        <v>1041</v>
      </c>
      <c r="H42" s="30" t="s">
        <v>1084</v>
      </c>
      <c r="I42" s="31" t="s">
        <v>1085</v>
      </c>
      <c r="J42" s="29" t="s">
        <v>3967</v>
      </c>
      <c r="K42" s="28" t="s">
        <v>3968</v>
      </c>
      <c r="L42" s="32">
        <v>5000</v>
      </c>
      <c r="M42" s="28">
        <v>10</v>
      </c>
      <c r="N42" s="32">
        <v>50000</v>
      </c>
    </row>
    <row r="43" spans="2:14" ht="16.5" x14ac:dyDescent="0.2">
      <c r="B43" s="28">
        <v>41</v>
      </c>
      <c r="C43" s="29" t="s">
        <v>3983</v>
      </c>
      <c r="D43" s="30" t="s">
        <v>23</v>
      </c>
      <c r="E43" s="30" t="s">
        <v>1108</v>
      </c>
      <c r="F43" s="30" t="s">
        <v>1725</v>
      </c>
      <c r="G43" s="30" t="s">
        <v>1726</v>
      </c>
      <c r="H43" s="30" t="s">
        <v>1727</v>
      </c>
      <c r="I43" s="31" t="s">
        <v>1728</v>
      </c>
      <c r="J43" s="29" t="s">
        <v>3967</v>
      </c>
      <c r="K43" s="28" t="s">
        <v>3968</v>
      </c>
      <c r="L43" s="32">
        <v>5000</v>
      </c>
      <c r="M43" s="28">
        <v>10</v>
      </c>
      <c r="N43" s="32">
        <v>50000</v>
      </c>
    </row>
    <row r="44" spans="2:14" ht="16.5" x14ac:dyDescent="0.2">
      <c r="B44" s="28">
        <v>42</v>
      </c>
      <c r="C44" s="29" t="s">
        <v>3976</v>
      </c>
      <c r="D44" s="30" t="s">
        <v>23</v>
      </c>
      <c r="E44" s="30" t="s">
        <v>1108</v>
      </c>
      <c r="F44" s="30" t="s">
        <v>1725</v>
      </c>
      <c r="G44" s="30" t="s">
        <v>1759</v>
      </c>
      <c r="H44" s="30" t="s">
        <v>1760</v>
      </c>
      <c r="I44" s="31" t="s">
        <v>1761</v>
      </c>
      <c r="J44" s="29" t="s">
        <v>3967</v>
      </c>
      <c r="K44" s="28" t="s">
        <v>3970</v>
      </c>
      <c r="L44" s="32">
        <v>5000</v>
      </c>
      <c r="M44" s="28">
        <v>10</v>
      </c>
      <c r="N44" s="32">
        <v>50000</v>
      </c>
    </row>
    <row r="45" spans="2:14" ht="16.5" x14ac:dyDescent="0.2">
      <c r="B45" s="28">
        <v>43</v>
      </c>
      <c r="C45" s="29" t="s">
        <v>3975</v>
      </c>
      <c r="D45" s="30" t="s">
        <v>23</v>
      </c>
      <c r="E45" s="30" t="s">
        <v>1108</v>
      </c>
      <c r="F45" s="30" t="s">
        <v>1808</v>
      </c>
      <c r="G45" s="30" t="s">
        <v>1809</v>
      </c>
      <c r="H45" s="30" t="s">
        <v>1810</v>
      </c>
      <c r="I45" s="31" t="s">
        <v>1811</v>
      </c>
      <c r="J45" s="29" t="s">
        <v>3967</v>
      </c>
      <c r="K45" s="28" t="s">
        <v>3970</v>
      </c>
      <c r="L45" s="32">
        <v>5000</v>
      </c>
      <c r="M45" s="28">
        <v>10</v>
      </c>
      <c r="N45" s="32">
        <v>50000</v>
      </c>
    </row>
    <row r="46" spans="2:14" ht="16.5" x14ac:dyDescent="0.2">
      <c r="B46" s="28">
        <v>44</v>
      </c>
      <c r="C46" s="29" t="s">
        <v>3966</v>
      </c>
      <c r="D46" s="30" t="s">
        <v>23</v>
      </c>
      <c r="E46" s="30" t="s">
        <v>1108</v>
      </c>
      <c r="F46" s="30" t="s">
        <v>1808</v>
      </c>
      <c r="G46" s="30" t="s">
        <v>1832</v>
      </c>
      <c r="H46" s="30" t="s">
        <v>1833</v>
      </c>
      <c r="I46" s="31" t="s">
        <v>1834</v>
      </c>
      <c r="J46" s="29" t="s">
        <v>3967</v>
      </c>
      <c r="K46" s="28" t="s">
        <v>3968</v>
      </c>
      <c r="L46" s="32">
        <v>5000</v>
      </c>
      <c r="M46" s="28">
        <v>10</v>
      </c>
      <c r="N46" s="32">
        <v>50000</v>
      </c>
    </row>
    <row r="47" spans="2:14" ht="16.5" x14ac:dyDescent="0.2">
      <c r="B47" s="28">
        <v>45</v>
      </c>
      <c r="C47" s="29" t="s">
        <v>3966</v>
      </c>
      <c r="D47" s="30" t="s">
        <v>23</v>
      </c>
      <c r="E47" s="30" t="s">
        <v>1108</v>
      </c>
      <c r="F47" s="30" t="s">
        <v>1808</v>
      </c>
      <c r="G47" s="30" t="s">
        <v>1832</v>
      </c>
      <c r="H47" s="30" t="s">
        <v>1848</v>
      </c>
      <c r="I47" s="31" t="s">
        <v>1849</v>
      </c>
      <c r="J47" s="29" t="s">
        <v>3967</v>
      </c>
      <c r="K47" s="28" t="s">
        <v>3968</v>
      </c>
      <c r="L47" s="32">
        <v>5000</v>
      </c>
      <c r="M47" s="28">
        <v>10</v>
      </c>
      <c r="N47" s="32">
        <v>50000</v>
      </c>
    </row>
    <row r="48" spans="2:14" ht="16.5" x14ac:dyDescent="0.2">
      <c r="B48" s="28">
        <v>46</v>
      </c>
      <c r="C48" s="34" t="s">
        <v>3971</v>
      </c>
      <c r="D48" s="30" t="s">
        <v>23</v>
      </c>
      <c r="E48" s="30" t="s">
        <v>1108</v>
      </c>
      <c r="F48" s="30" t="s">
        <v>1808</v>
      </c>
      <c r="G48" s="30" t="s">
        <v>1872</v>
      </c>
      <c r="H48" s="30" t="s">
        <v>1873</v>
      </c>
      <c r="I48" s="31" t="s">
        <v>1874</v>
      </c>
      <c r="J48" s="29" t="s">
        <v>3974</v>
      </c>
      <c r="K48" s="28" t="s">
        <v>3972</v>
      </c>
      <c r="L48" s="32">
        <v>5000</v>
      </c>
      <c r="M48" s="28">
        <v>10</v>
      </c>
      <c r="N48" s="32">
        <v>50000</v>
      </c>
    </row>
    <row r="49" spans="2:14" ht="16.5" x14ac:dyDescent="0.2">
      <c r="B49" s="28">
        <v>47</v>
      </c>
      <c r="C49" s="30" t="s">
        <v>3966</v>
      </c>
      <c r="D49" s="30" t="s">
        <v>23</v>
      </c>
      <c r="E49" s="30" t="s">
        <v>1108</v>
      </c>
      <c r="F49" s="30" t="s">
        <v>1893</v>
      </c>
      <c r="G49" s="30" t="s">
        <v>1894</v>
      </c>
      <c r="H49" s="30" t="s">
        <v>1895</v>
      </c>
      <c r="I49" s="31" t="s">
        <v>1896</v>
      </c>
      <c r="J49" s="30" t="s">
        <v>3967</v>
      </c>
      <c r="K49" s="30" t="s">
        <v>3968</v>
      </c>
      <c r="L49" s="30">
        <v>5000</v>
      </c>
      <c r="M49" s="30">
        <v>10</v>
      </c>
      <c r="N49" s="30">
        <v>50000</v>
      </c>
    </row>
    <row r="50" spans="2:14" ht="16.5" x14ac:dyDescent="0.2">
      <c r="B50" s="28">
        <v>48</v>
      </c>
      <c r="C50" s="30" t="s">
        <v>3989</v>
      </c>
      <c r="D50" s="30" t="s">
        <v>23</v>
      </c>
      <c r="E50" s="30" t="s">
        <v>1108</v>
      </c>
      <c r="F50" s="30" t="s">
        <v>1893</v>
      </c>
      <c r="G50" s="30" t="s">
        <v>1894</v>
      </c>
      <c r="H50" s="30" t="s">
        <v>1899</v>
      </c>
      <c r="I50" s="31" t="s">
        <v>1900</v>
      </c>
      <c r="J50" s="30" t="s">
        <v>3974</v>
      </c>
      <c r="K50" s="30" t="s">
        <v>3972</v>
      </c>
      <c r="L50" s="30">
        <v>5000</v>
      </c>
      <c r="M50" s="30">
        <v>10</v>
      </c>
      <c r="N50" s="30">
        <v>50000</v>
      </c>
    </row>
    <row r="51" spans="2:14" ht="16.5" x14ac:dyDescent="0.2">
      <c r="B51" s="28">
        <v>49</v>
      </c>
      <c r="C51" s="29" t="s">
        <v>3966</v>
      </c>
      <c r="D51" s="30" t="s">
        <v>23</v>
      </c>
      <c r="E51" s="30" t="s">
        <v>1108</v>
      </c>
      <c r="F51" s="30" t="s">
        <v>1893</v>
      </c>
      <c r="G51" s="30" t="s">
        <v>1894</v>
      </c>
      <c r="H51" s="30" t="s">
        <v>1936</v>
      </c>
      <c r="I51" s="31" t="s">
        <v>1937</v>
      </c>
      <c r="J51" s="29" t="s">
        <v>3967</v>
      </c>
      <c r="K51" s="28" t="s">
        <v>3968</v>
      </c>
      <c r="L51" s="32">
        <v>5000</v>
      </c>
      <c r="M51" s="28">
        <v>10</v>
      </c>
      <c r="N51" s="32">
        <v>50000</v>
      </c>
    </row>
    <row r="52" spans="2:14" ht="16.5" x14ac:dyDescent="0.2">
      <c r="B52" s="28">
        <v>50</v>
      </c>
      <c r="C52" s="29" t="s">
        <v>3966</v>
      </c>
      <c r="D52" s="30" t="s">
        <v>23</v>
      </c>
      <c r="E52" s="30" t="s">
        <v>1108</v>
      </c>
      <c r="F52" s="30" t="s">
        <v>1893</v>
      </c>
      <c r="G52" s="30" t="s">
        <v>1894</v>
      </c>
      <c r="H52" s="30" t="s">
        <v>1940</v>
      </c>
      <c r="I52" s="31" t="s">
        <v>1941</v>
      </c>
      <c r="J52" s="29" t="s">
        <v>3967</v>
      </c>
      <c r="K52" s="28" t="s">
        <v>3968</v>
      </c>
      <c r="L52" s="32">
        <v>5000</v>
      </c>
      <c r="M52" s="28">
        <v>10</v>
      </c>
      <c r="N52" s="32">
        <v>50000</v>
      </c>
    </row>
    <row r="53" spans="2:14" ht="16.5" x14ac:dyDescent="0.2">
      <c r="B53" s="28">
        <v>51</v>
      </c>
      <c r="C53" s="29" t="s">
        <v>3966</v>
      </c>
      <c r="D53" s="30" t="s">
        <v>23</v>
      </c>
      <c r="E53" s="30" t="s">
        <v>1108</v>
      </c>
      <c r="F53" s="30" t="s">
        <v>1893</v>
      </c>
      <c r="G53" s="30" t="s">
        <v>1962</v>
      </c>
      <c r="H53" s="30" t="s">
        <v>1963</v>
      </c>
      <c r="I53" s="31" t="s">
        <v>1964</v>
      </c>
      <c r="J53" s="29" t="s">
        <v>3967</v>
      </c>
      <c r="K53" s="28" t="s">
        <v>3968</v>
      </c>
      <c r="L53" s="32">
        <v>5000</v>
      </c>
      <c r="M53" s="28">
        <v>10</v>
      </c>
      <c r="N53" s="32">
        <v>50000</v>
      </c>
    </row>
    <row r="54" spans="2:14" ht="16.5" x14ac:dyDescent="0.2">
      <c r="B54" s="28">
        <v>52</v>
      </c>
      <c r="C54" s="29" t="s">
        <v>3966</v>
      </c>
      <c r="D54" s="30" t="s">
        <v>23</v>
      </c>
      <c r="E54" s="30" t="s">
        <v>1108</v>
      </c>
      <c r="F54" s="30" t="s">
        <v>1893</v>
      </c>
      <c r="G54" s="30" t="s">
        <v>1962</v>
      </c>
      <c r="H54" s="30" t="s">
        <v>1998</v>
      </c>
      <c r="I54" s="31" t="s">
        <v>1999</v>
      </c>
      <c r="J54" s="29" t="s">
        <v>3967</v>
      </c>
      <c r="K54" s="28" t="s">
        <v>3968</v>
      </c>
      <c r="L54" s="32">
        <v>5000</v>
      </c>
      <c r="M54" s="28">
        <v>10</v>
      </c>
      <c r="N54" s="32">
        <v>50000</v>
      </c>
    </row>
    <row r="55" spans="2:14" ht="16.5" x14ac:dyDescent="0.2">
      <c r="B55" s="28">
        <v>53</v>
      </c>
      <c r="C55" s="29" t="s">
        <v>3975</v>
      </c>
      <c r="D55" s="30" t="s">
        <v>23</v>
      </c>
      <c r="E55" s="30" t="s">
        <v>1108</v>
      </c>
      <c r="F55" s="30" t="s">
        <v>1893</v>
      </c>
      <c r="G55" s="30" t="s">
        <v>1962</v>
      </c>
      <c r="H55" s="30" t="s">
        <v>2028</v>
      </c>
      <c r="I55" s="31" t="s">
        <v>2029</v>
      </c>
      <c r="J55" s="29" t="s">
        <v>3967</v>
      </c>
      <c r="K55" s="28" t="s">
        <v>3970</v>
      </c>
      <c r="L55" s="32">
        <v>5000</v>
      </c>
      <c r="M55" s="28">
        <v>10</v>
      </c>
      <c r="N55" s="32">
        <v>50000</v>
      </c>
    </row>
    <row r="56" spans="2:14" ht="16.5" x14ac:dyDescent="0.2">
      <c r="B56" s="28">
        <v>54</v>
      </c>
      <c r="C56" s="29" t="s">
        <v>3966</v>
      </c>
      <c r="D56" s="30" t="s">
        <v>23</v>
      </c>
      <c r="E56" s="30" t="s">
        <v>1108</v>
      </c>
      <c r="F56" s="30" t="s">
        <v>1893</v>
      </c>
      <c r="G56" s="30" t="s">
        <v>1962</v>
      </c>
      <c r="H56" s="30" t="s">
        <v>2035</v>
      </c>
      <c r="I56" s="31" t="s">
        <v>2036</v>
      </c>
      <c r="J56" s="29" t="s">
        <v>3967</v>
      </c>
      <c r="K56" s="28" t="s">
        <v>3968</v>
      </c>
      <c r="L56" s="32">
        <v>5000</v>
      </c>
      <c r="M56" s="28">
        <v>10</v>
      </c>
      <c r="N56" s="32">
        <v>50000</v>
      </c>
    </row>
    <row r="57" spans="2:14" ht="16.5" x14ac:dyDescent="0.2">
      <c r="B57" s="28">
        <v>55</v>
      </c>
      <c r="C57" s="35" t="s">
        <v>3973</v>
      </c>
      <c r="D57" s="30" t="s">
        <v>23</v>
      </c>
      <c r="E57" s="30" t="s">
        <v>1108</v>
      </c>
      <c r="F57" s="30" t="s">
        <v>1893</v>
      </c>
      <c r="G57" s="30" t="s">
        <v>3990</v>
      </c>
      <c r="H57" s="30" t="s">
        <v>3991</v>
      </c>
      <c r="I57" s="31" t="s">
        <v>3992</v>
      </c>
      <c r="J57" s="29" t="s">
        <v>3974</v>
      </c>
      <c r="K57" s="28" t="s">
        <v>3972</v>
      </c>
      <c r="L57" s="32">
        <v>5000</v>
      </c>
      <c r="M57" s="28">
        <v>10</v>
      </c>
      <c r="N57" s="32">
        <v>50000</v>
      </c>
    </row>
    <row r="58" spans="2:14" ht="16.5" x14ac:dyDescent="0.2">
      <c r="B58" s="28">
        <v>56</v>
      </c>
      <c r="C58" s="30" t="s">
        <v>3966</v>
      </c>
      <c r="D58" s="30" t="s">
        <v>23</v>
      </c>
      <c r="E58" s="30" t="s">
        <v>1108</v>
      </c>
      <c r="F58" s="30" t="s">
        <v>1109</v>
      </c>
      <c r="G58" s="30" t="s">
        <v>1110</v>
      </c>
      <c r="H58" s="30" t="s">
        <v>3993</v>
      </c>
      <c r="I58" s="31" t="s">
        <v>3994</v>
      </c>
      <c r="J58" s="30" t="s">
        <v>3967</v>
      </c>
      <c r="K58" s="30" t="s">
        <v>3968</v>
      </c>
      <c r="L58" s="30">
        <v>5000</v>
      </c>
      <c r="M58" s="30">
        <v>10</v>
      </c>
      <c r="N58" s="30">
        <v>50000</v>
      </c>
    </row>
    <row r="59" spans="2:14" ht="16.5" x14ac:dyDescent="0.2">
      <c r="B59" s="28">
        <v>57</v>
      </c>
      <c r="C59" s="29" t="s">
        <v>3966</v>
      </c>
      <c r="D59" s="30" t="s">
        <v>23</v>
      </c>
      <c r="E59" s="30" t="s">
        <v>1108</v>
      </c>
      <c r="F59" s="30" t="s">
        <v>1109</v>
      </c>
      <c r="G59" s="30" t="s">
        <v>1110</v>
      </c>
      <c r="H59" s="30" t="s">
        <v>1111</v>
      </c>
      <c r="I59" s="31" t="s">
        <v>1112</v>
      </c>
      <c r="J59" s="29" t="s">
        <v>3967</v>
      </c>
      <c r="K59" s="28" t="s">
        <v>3968</v>
      </c>
      <c r="L59" s="32">
        <v>5000</v>
      </c>
      <c r="M59" s="28">
        <v>10</v>
      </c>
      <c r="N59" s="32">
        <v>50000</v>
      </c>
    </row>
    <row r="60" spans="2:14" ht="16.5" x14ac:dyDescent="0.2">
      <c r="B60" s="28">
        <v>58</v>
      </c>
      <c r="C60" s="29" t="s">
        <v>3966</v>
      </c>
      <c r="D60" s="30" t="s">
        <v>23</v>
      </c>
      <c r="E60" s="30" t="s">
        <v>1108</v>
      </c>
      <c r="F60" s="30" t="s">
        <v>1109</v>
      </c>
      <c r="G60" s="30" t="s">
        <v>1110</v>
      </c>
      <c r="H60" s="30" t="s">
        <v>1131</v>
      </c>
      <c r="I60" s="31" t="s">
        <v>1132</v>
      </c>
      <c r="J60" s="29" t="s">
        <v>3967</v>
      </c>
      <c r="K60" s="28" t="s">
        <v>3968</v>
      </c>
      <c r="L60" s="32">
        <v>5000</v>
      </c>
      <c r="M60" s="28">
        <v>10</v>
      </c>
      <c r="N60" s="32">
        <v>50000</v>
      </c>
    </row>
    <row r="61" spans="2:14" ht="16.5" x14ac:dyDescent="0.2">
      <c r="B61" s="28">
        <v>59</v>
      </c>
      <c r="C61" s="29" t="s">
        <v>3966</v>
      </c>
      <c r="D61" s="30" t="s">
        <v>23</v>
      </c>
      <c r="E61" s="30" t="s">
        <v>1108</v>
      </c>
      <c r="F61" s="30" t="s">
        <v>1109</v>
      </c>
      <c r="G61" s="30" t="s">
        <v>1110</v>
      </c>
      <c r="H61" s="30" t="s">
        <v>1192</v>
      </c>
      <c r="I61" s="31" t="s">
        <v>1193</v>
      </c>
      <c r="J61" s="29" t="s">
        <v>3967</v>
      </c>
      <c r="K61" s="28" t="s">
        <v>3968</v>
      </c>
      <c r="L61" s="32">
        <v>5000</v>
      </c>
      <c r="M61" s="28">
        <v>10</v>
      </c>
      <c r="N61" s="32">
        <v>50000</v>
      </c>
    </row>
    <row r="62" spans="2:14" ht="16.5" x14ac:dyDescent="0.2">
      <c r="B62" s="28">
        <v>60</v>
      </c>
      <c r="C62" s="37" t="s">
        <v>3989</v>
      </c>
      <c r="D62" s="30" t="s">
        <v>23</v>
      </c>
      <c r="E62" s="30" t="s">
        <v>1108</v>
      </c>
      <c r="F62" s="30" t="s">
        <v>1109</v>
      </c>
      <c r="G62" s="30" t="s">
        <v>3995</v>
      </c>
      <c r="H62" s="30" t="s">
        <v>3996</v>
      </c>
      <c r="I62" s="31" t="s">
        <v>1199</v>
      </c>
      <c r="J62" s="29" t="s">
        <v>3967</v>
      </c>
      <c r="K62" s="28" t="s">
        <v>3972</v>
      </c>
      <c r="L62" s="32">
        <v>5000</v>
      </c>
      <c r="M62" s="28">
        <v>10</v>
      </c>
      <c r="N62" s="32">
        <v>50000</v>
      </c>
    </row>
    <row r="63" spans="2:14" ht="16.5" x14ac:dyDescent="0.2">
      <c r="B63" s="28">
        <v>61</v>
      </c>
      <c r="C63" s="30" t="s">
        <v>3966</v>
      </c>
      <c r="D63" s="30" t="s">
        <v>23</v>
      </c>
      <c r="E63" s="30" t="s">
        <v>1108</v>
      </c>
      <c r="F63" s="30" t="s">
        <v>1109</v>
      </c>
      <c r="G63" s="30" t="s">
        <v>1234</v>
      </c>
      <c r="H63" s="30" t="s">
        <v>1235</v>
      </c>
      <c r="I63" s="31" t="s">
        <v>1236</v>
      </c>
      <c r="J63" s="30" t="s">
        <v>3967</v>
      </c>
      <c r="K63" s="30" t="s">
        <v>3968</v>
      </c>
      <c r="L63" s="30">
        <v>5000</v>
      </c>
      <c r="M63" s="30">
        <v>10</v>
      </c>
      <c r="N63" s="30">
        <v>50000</v>
      </c>
    </row>
    <row r="64" spans="2:14" ht="16.5" x14ac:dyDescent="0.2">
      <c r="B64" s="28">
        <v>62</v>
      </c>
      <c r="C64" s="29" t="s">
        <v>3966</v>
      </c>
      <c r="D64" s="30" t="s">
        <v>23</v>
      </c>
      <c r="E64" s="30" t="s">
        <v>1108</v>
      </c>
      <c r="F64" s="30" t="s">
        <v>1109</v>
      </c>
      <c r="G64" s="30" t="s">
        <v>1234</v>
      </c>
      <c r="H64" s="30" t="s">
        <v>1279</v>
      </c>
      <c r="I64" s="31" t="s">
        <v>1280</v>
      </c>
      <c r="J64" s="29" t="s">
        <v>3967</v>
      </c>
      <c r="K64" s="28" t="s">
        <v>3968</v>
      </c>
      <c r="L64" s="32">
        <v>5000</v>
      </c>
      <c r="M64" s="28">
        <v>10</v>
      </c>
      <c r="N64" s="32">
        <v>50000</v>
      </c>
    </row>
    <row r="65" spans="2:14" ht="16.5" x14ac:dyDescent="0.2">
      <c r="B65" s="28">
        <v>63</v>
      </c>
      <c r="C65" s="29" t="s">
        <v>3966</v>
      </c>
      <c r="D65" s="30" t="s">
        <v>23</v>
      </c>
      <c r="E65" s="30" t="s">
        <v>1108</v>
      </c>
      <c r="F65" s="30" t="s">
        <v>1109</v>
      </c>
      <c r="G65" s="30" t="s">
        <v>1234</v>
      </c>
      <c r="H65" s="30" t="s">
        <v>1291</v>
      </c>
      <c r="I65" s="31" t="s">
        <v>1292</v>
      </c>
      <c r="J65" s="29" t="s">
        <v>3967</v>
      </c>
      <c r="K65" s="28" t="s">
        <v>3968</v>
      </c>
      <c r="L65" s="32">
        <v>5000</v>
      </c>
      <c r="M65" s="28">
        <v>10</v>
      </c>
      <c r="N65" s="32">
        <v>50000</v>
      </c>
    </row>
    <row r="66" spans="2:14" ht="16.5" x14ac:dyDescent="0.2">
      <c r="B66" s="28">
        <v>64</v>
      </c>
      <c r="C66" s="29" t="s">
        <v>3976</v>
      </c>
      <c r="D66" s="30" t="s">
        <v>23</v>
      </c>
      <c r="E66" s="30" t="s">
        <v>1108</v>
      </c>
      <c r="F66" s="30" t="s">
        <v>1109</v>
      </c>
      <c r="G66" s="30" t="s">
        <v>1234</v>
      </c>
      <c r="H66" s="30" t="s">
        <v>1305</v>
      </c>
      <c r="I66" s="31" t="s">
        <v>1306</v>
      </c>
      <c r="J66" s="29" t="s">
        <v>3967</v>
      </c>
      <c r="K66" s="28" t="s">
        <v>3970</v>
      </c>
      <c r="L66" s="32">
        <v>5000</v>
      </c>
      <c r="M66" s="28">
        <v>10</v>
      </c>
      <c r="N66" s="32">
        <v>50000</v>
      </c>
    </row>
    <row r="67" spans="2:14" ht="16.5" x14ac:dyDescent="0.2">
      <c r="B67" s="28">
        <v>65</v>
      </c>
      <c r="C67" s="29" t="s">
        <v>3975</v>
      </c>
      <c r="D67" s="30" t="s">
        <v>23</v>
      </c>
      <c r="E67" s="30" t="s">
        <v>1108</v>
      </c>
      <c r="F67" s="30" t="s">
        <v>1109</v>
      </c>
      <c r="G67" s="30" t="s">
        <v>1234</v>
      </c>
      <c r="H67" s="30" t="s">
        <v>1327</v>
      </c>
      <c r="I67" s="31" t="s">
        <v>1328</v>
      </c>
      <c r="J67" s="29" t="s">
        <v>3967</v>
      </c>
      <c r="K67" s="28" t="s">
        <v>3970</v>
      </c>
      <c r="L67" s="32">
        <v>5000</v>
      </c>
      <c r="M67" s="28">
        <v>10</v>
      </c>
      <c r="N67" s="32">
        <v>50000</v>
      </c>
    </row>
    <row r="68" spans="2:14" ht="16.5" x14ac:dyDescent="0.2">
      <c r="B68" s="28">
        <v>66</v>
      </c>
      <c r="C68" s="29" t="s">
        <v>3966</v>
      </c>
      <c r="D68" s="30" t="s">
        <v>23</v>
      </c>
      <c r="E68" s="30" t="s">
        <v>1108</v>
      </c>
      <c r="F68" s="30" t="s">
        <v>1109</v>
      </c>
      <c r="G68" s="30" t="s">
        <v>1234</v>
      </c>
      <c r="H68" s="30" t="s">
        <v>1346</v>
      </c>
      <c r="I68" s="31" t="s">
        <v>1347</v>
      </c>
      <c r="J68" s="29" t="s">
        <v>3967</v>
      </c>
      <c r="K68" s="28" t="s">
        <v>3968</v>
      </c>
      <c r="L68" s="32">
        <v>5000</v>
      </c>
      <c r="M68" s="28">
        <v>10</v>
      </c>
      <c r="N68" s="32">
        <v>50000</v>
      </c>
    </row>
    <row r="69" spans="2:14" ht="16.5" x14ac:dyDescent="0.2">
      <c r="B69" s="28">
        <v>67</v>
      </c>
      <c r="C69" s="29" t="s">
        <v>3976</v>
      </c>
      <c r="D69" s="30" t="s">
        <v>23</v>
      </c>
      <c r="E69" s="30" t="s">
        <v>1108</v>
      </c>
      <c r="F69" s="30" t="s">
        <v>1109</v>
      </c>
      <c r="G69" s="30" t="s">
        <v>1234</v>
      </c>
      <c r="H69" s="30" t="s">
        <v>1385</v>
      </c>
      <c r="I69" s="31" t="s">
        <v>1386</v>
      </c>
      <c r="J69" s="29" t="s">
        <v>3967</v>
      </c>
      <c r="K69" s="28" t="s">
        <v>3970</v>
      </c>
      <c r="L69" s="32">
        <v>5000</v>
      </c>
      <c r="M69" s="28">
        <v>10</v>
      </c>
      <c r="N69" s="32">
        <v>50000</v>
      </c>
    </row>
    <row r="70" spans="2:14" ht="16.5" x14ac:dyDescent="0.2">
      <c r="B70" s="28">
        <v>68</v>
      </c>
      <c r="C70" s="29" t="s">
        <v>3966</v>
      </c>
      <c r="D70" s="30" t="s">
        <v>23</v>
      </c>
      <c r="E70" s="30" t="s">
        <v>1108</v>
      </c>
      <c r="F70" s="30" t="s">
        <v>1109</v>
      </c>
      <c r="G70" s="30" t="s">
        <v>1397</v>
      </c>
      <c r="H70" s="30" t="s">
        <v>1398</v>
      </c>
      <c r="I70" s="31" t="s">
        <v>1399</v>
      </c>
      <c r="J70" s="29" t="s">
        <v>3967</v>
      </c>
      <c r="K70" s="28" t="s">
        <v>3968</v>
      </c>
      <c r="L70" s="32">
        <v>5000</v>
      </c>
      <c r="M70" s="28">
        <v>10</v>
      </c>
      <c r="N70" s="32">
        <v>50000</v>
      </c>
    </row>
    <row r="71" spans="2:14" ht="16.5" x14ac:dyDescent="0.2">
      <c r="B71" s="28">
        <v>69</v>
      </c>
      <c r="C71" s="33" t="s">
        <v>3969</v>
      </c>
      <c r="D71" s="30" t="s">
        <v>23</v>
      </c>
      <c r="E71" s="30" t="s">
        <v>1108</v>
      </c>
      <c r="F71" s="30" t="s">
        <v>1109</v>
      </c>
      <c r="G71" s="30" t="s">
        <v>1397</v>
      </c>
      <c r="H71" s="30" t="s">
        <v>1417</v>
      </c>
      <c r="I71" s="31" t="s">
        <v>1418</v>
      </c>
      <c r="J71" s="29" t="s">
        <v>3967</v>
      </c>
      <c r="K71" s="28" t="s">
        <v>3970</v>
      </c>
      <c r="L71" s="32">
        <v>5000</v>
      </c>
      <c r="M71" s="28">
        <v>10</v>
      </c>
      <c r="N71" s="32">
        <v>50000</v>
      </c>
    </row>
    <row r="72" spans="2:14" ht="16.5" x14ac:dyDescent="0.2">
      <c r="B72" s="28">
        <v>70</v>
      </c>
      <c r="C72" s="29" t="s">
        <v>3966</v>
      </c>
      <c r="D72" s="30" t="s">
        <v>23</v>
      </c>
      <c r="E72" s="30" t="s">
        <v>1108</v>
      </c>
      <c r="F72" s="30" t="s">
        <v>1109</v>
      </c>
      <c r="G72" s="30" t="s">
        <v>1397</v>
      </c>
      <c r="H72" s="30" t="s">
        <v>1454</v>
      </c>
      <c r="I72" s="31" t="s">
        <v>1455</v>
      </c>
      <c r="J72" s="29" t="s">
        <v>3967</v>
      </c>
      <c r="K72" s="28" t="s">
        <v>3968</v>
      </c>
      <c r="L72" s="32">
        <v>5000</v>
      </c>
      <c r="M72" s="28">
        <v>10</v>
      </c>
      <c r="N72" s="32">
        <v>50000</v>
      </c>
    </row>
    <row r="73" spans="2:14" ht="16.5" x14ac:dyDescent="0.2">
      <c r="B73" s="28">
        <v>71</v>
      </c>
      <c r="C73" s="29" t="s">
        <v>3966</v>
      </c>
      <c r="D73" s="30" t="s">
        <v>23</v>
      </c>
      <c r="E73" s="30" t="s">
        <v>1108</v>
      </c>
      <c r="F73" s="30" t="s">
        <v>1109</v>
      </c>
      <c r="G73" s="30" t="s">
        <v>1397</v>
      </c>
      <c r="H73" s="30" t="s">
        <v>1470</v>
      </c>
      <c r="I73" s="31" t="s">
        <v>1471</v>
      </c>
      <c r="J73" s="29" t="s">
        <v>3967</v>
      </c>
      <c r="K73" s="28" t="s">
        <v>3968</v>
      </c>
      <c r="L73" s="32">
        <v>5000</v>
      </c>
      <c r="M73" s="28">
        <v>10</v>
      </c>
      <c r="N73" s="32">
        <v>50000</v>
      </c>
    </row>
    <row r="74" spans="2:14" ht="16.5" x14ac:dyDescent="0.2">
      <c r="B74" s="28">
        <v>72</v>
      </c>
      <c r="C74" s="30" t="s">
        <v>3976</v>
      </c>
      <c r="D74" s="30" t="s">
        <v>23</v>
      </c>
      <c r="E74" s="30" t="s">
        <v>1108</v>
      </c>
      <c r="F74" s="30" t="s">
        <v>1495</v>
      </c>
      <c r="G74" s="30" t="s">
        <v>1496</v>
      </c>
      <c r="H74" s="30" t="s">
        <v>1497</v>
      </c>
      <c r="I74" s="31" t="s">
        <v>1498</v>
      </c>
      <c r="J74" s="30" t="s">
        <v>3967</v>
      </c>
      <c r="K74" s="30" t="s">
        <v>3970</v>
      </c>
      <c r="L74" s="30">
        <v>5000</v>
      </c>
      <c r="M74" s="30">
        <v>10</v>
      </c>
      <c r="N74" s="30">
        <v>50000</v>
      </c>
    </row>
    <row r="75" spans="2:14" ht="16.5" x14ac:dyDescent="0.2">
      <c r="B75" s="28">
        <v>73</v>
      </c>
      <c r="C75" s="29" t="s">
        <v>3975</v>
      </c>
      <c r="D75" s="30" t="s">
        <v>23</v>
      </c>
      <c r="E75" s="30" t="s">
        <v>1108</v>
      </c>
      <c r="F75" s="30" t="s">
        <v>1495</v>
      </c>
      <c r="G75" s="30" t="s">
        <v>1496</v>
      </c>
      <c r="H75" s="30" t="s">
        <v>3997</v>
      </c>
      <c r="I75" s="31" t="s">
        <v>3998</v>
      </c>
      <c r="J75" s="29" t="s">
        <v>3967</v>
      </c>
      <c r="K75" s="28" t="s">
        <v>3970</v>
      </c>
      <c r="L75" s="32">
        <v>5000</v>
      </c>
      <c r="M75" s="28">
        <v>10</v>
      </c>
      <c r="N75" s="32">
        <v>50000</v>
      </c>
    </row>
    <row r="76" spans="2:14" ht="16.5" x14ac:dyDescent="0.2">
      <c r="B76" s="28">
        <v>74</v>
      </c>
      <c r="C76" s="29" t="s">
        <v>3966</v>
      </c>
      <c r="D76" s="30" t="s">
        <v>23</v>
      </c>
      <c r="E76" s="30" t="s">
        <v>1108</v>
      </c>
      <c r="F76" s="30" t="s">
        <v>1495</v>
      </c>
      <c r="G76" s="30" t="s">
        <v>1496</v>
      </c>
      <c r="H76" s="30" t="s">
        <v>1522</v>
      </c>
      <c r="I76" s="31" t="s">
        <v>1523</v>
      </c>
      <c r="J76" s="29" t="s">
        <v>3967</v>
      </c>
      <c r="K76" s="28" t="s">
        <v>3968</v>
      </c>
      <c r="L76" s="32">
        <v>5000</v>
      </c>
      <c r="M76" s="28">
        <v>10</v>
      </c>
      <c r="N76" s="32">
        <v>50000</v>
      </c>
    </row>
    <row r="77" spans="2:14" ht="16.5" x14ac:dyDescent="0.2">
      <c r="B77" s="28">
        <v>75</v>
      </c>
      <c r="C77" s="29" t="s">
        <v>3966</v>
      </c>
      <c r="D77" s="30" t="s">
        <v>23</v>
      </c>
      <c r="E77" s="30" t="s">
        <v>1108</v>
      </c>
      <c r="F77" s="30" t="s">
        <v>1495</v>
      </c>
      <c r="G77" s="30" t="s">
        <v>1637</v>
      </c>
      <c r="H77" s="30" t="s">
        <v>1638</v>
      </c>
      <c r="I77" s="31" t="s">
        <v>1639</v>
      </c>
      <c r="J77" s="29" t="s">
        <v>3967</v>
      </c>
      <c r="K77" s="28" t="s">
        <v>3968</v>
      </c>
      <c r="L77" s="32">
        <v>5000</v>
      </c>
      <c r="M77" s="28">
        <v>10</v>
      </c>
      <c r="N77" s="32">
        <v>50000</v>
      </c>
    </row>
    <row r="78" spans="2:14" ht="16.5" x14ac:dyDescent="0.2">
      <c r="B78" s="28">
        <v>76</v>
      </c>
      <c r="C78" s="35" t="s">
        <v>3973</v>
      </c>
      <c r="D78" s="30" t="s">
        <v>23</v>
      </c>
      <c r="E78" s="30" t="s">
        <v>1108</v>
      </c>
      <c r="F78" s="30" t="s">
        <v>1495</v>
      </c>
      <c r="G78" s="30" t="s">
        <v>1637</v>
      </c>
      <c r="H78" s="30" t="s">
        <v>1655</v>
      </c>
      <c r="I78" s="31" t="s">
        <v>1656</v>
      </c>
      <c r="J78" s="29" t="s">
        <v>3974</v>
      </c>
      <c r="K78" s="28" t="s">
        <v>3972</v>
      </c>
      <c r="L78" s="32">
        <v>5000</v>
      </c>
      <c r="M78" s="28">
        <v>10</v>
      </c>
      <c r="N78" s="32">
        <v>50000</v>
      </c>
    </row>
    <row r="79" spans="2:14" ht="16.5" x14ac:dyDescent="0.2">
      <c r="B79" s="28">
        <v>77</v>
      </c>
      <c r="C79" s="30" t="s">
        <v>3971</v>
      </c>
      <c r="D79" s="30" t="s">
        <v>23</v>
      </c>
      <c r="E79" s="30" t="s">
        <v>1108</v>
      </c>
      <c r="F79" s="30" t="s">
        <v>1495</v>
      </c>
      <c r="G79" s="30" t="s">
        <v>1667</v>
      </c>
      <c r="H79" s="30" t="s">
        <v>1668</v>
      </c>
      <c r="I79" s="31" t="s">
        <v>1669</v>
      </c>
      <c r="J79" s="30" t="s">
        <v>3974</v>
      </c>
      <c r="K79" s="30" t="s">
        <v>3972</v>
      </c>
      <c r="L79" s="30">
        <v>5000</v>
      </c>
      <c r="M79" s="30">
        <v>10</v>
      </c>
      <c r="N79" s="30">
        <v>50000</v>
      </c>
    </row>
    <row r="80" spans="2:14" ht="16.5" x14ac:dyDescent="0.2">
      <c r="B80" s="28">
        <v>78</v>
      </c>
      <c r="C80" s="34" t="s">
        <v>3971</v>
      </c>
      <c r="D80" s="30" t="s">
        <v>23</v>
      </c>
      <c r="E80" s="30" t="s">
        <v>1108</v>
      </c>
      <c r="F80" s="30" t="s">
        <v>1495</v>
      </c>
      <c r="G80" s="30" t="s">
        <v>1667</v>
      </c>
      <c r="H80" s="30" t="s">
        <v>1672</v>
      </c>
      <c r="I80" s="31" t="s">
        <v>1673</v>
      </c>
      <c r="J80" s="29" t="s">
        <v>3974</v>
      </c>
      <c r="K80" s="28" t="s">
        <v>3972</v>
      </c>
      <c r="L80" s="32">
        <v>5000</v>
      </c>
      <c r="M80" s="28">
        <v>10</v>
      </c>
      <c r="N80" s="32">
        <v>50000</v>
      </c>
    </row>
    <row r="81" spans="2:14" ht="16.5" x14ac:dyDescent="0.2">
      <c r="B81" s="28">
        <v>79</v>
      </c>
      <c r="C81" s="29" t="s">
        <v>3966</v>
      </c>
      <c r="D81" s="30" t="s">
        <v>23</v>
      </c>
      <c r="E81" s="30" t="s">
        <v>1108</v>
      </c>
      <c r="F81" s="30" t="s">
        <v>1495</v>
      </c>
      <c r="G81" s="30" t="s">
        <v>1667</v>
      </c>
      <c r="H81" s="30" t="s">
        <v>1702</v>
      </c>
      <c r="I81" s="31" t="s">
        <v>1703</v>
      </c>
      <c r="J81" s="29" t="s">
        <v>3967</v>
      </c>
      <c r="K81" s="28" t="s">
        <v>3968</v>
      </c>
      <c r="L81" s="32">
        <v>5000</v>
      </c>
      <c r="M81" s="28">
        <v>10</v>
      </c>
      <c r="N81" s="32">
        <v>50000</v>
      </c>
    </row>
    <row r="82" spans="2:14" ht="16.5" x14ac:dyDescent="0.2">
      <c r="B82" s="28">
        <v>80</v>
      </c>
      <c r="C82" s="29" t="s">
        <v>3975</v>
      </c>
      <c r="D82" s="30" t="s">
        <v>23</v>
      </c>
      <c r="E82" s="30" t="s">
        <v>1108</v>
      </c>
      <c r="F82" s="30" t="s">
        <v>1495</v>
      </c>
      <c r="G82" s="30" t="s">
        <v>1714</v>
      </c>
      <c r="H82" s="30" t="s">
        <v>1715</v>
      </c>
      <c r="I82" s="31" t="s">
        <v>1716</v>
      </c>
      <c r="J82" s="29" t="s">
        <v>3967</v>
      </c>
      <c r="K82" s="28" t="s">
        <v>3970</v>
      </c>
      <c r="L82" s="32">
        <v>5000</v>
      </c>
      <c r="M82" s="28">
        <v>10</v>
      </c>
      <c r="N82" s="32">
        <v>50000</v>
      </c>
    </row>
    <row r="83" spans="2:14" ht="16.5" x14ac:dyDescent="0.2">
      <c r="B83" s="28">
        <v>81</v>
      </c>
      <c r="C83" s="29" t="s">
        <v>3975</v>
      </c>
      <c r="D83" s="30" t="s">
        <v>2096</v>
      </c>
      <c r="E83" s="30" t="s">
        <v>2097</v>
      </c>
      <c r="F83" s="30" t="s">
        <v>2718</v>
      </c>
      <c r="G83" s="30" t="s">
        <v>2719</v>
      </c>
      <c r="H83" s="30" t="s">
        <v>2720</v>
      </c>
      <c r="I83" s="31" t="s">
        <v>2721</v>
      </c>
      <c r="J83" s="29" t="s">
        <v>3967</v>
      </c>
      <c r="K83" s="28" t="s">
        <v>3970</v>
      </c>
      <c r="L83" s="32">
        <v>5000</v>
      </c>
      <c r="M83" s="28">
        <v>10</v>
      </c>
      <c r="N83" s="32">
        <v>50000</v>
      </c>
    </row>
    <row r="84" spans="2:14" ht="16.5" x14ac:dyDescent="0.2">
      <c r="B84" s="28">
        <v>82</v>
      </c>
      <c r="C84" s="29" t="s">
        <v>3966</v>
      </c>
      <c r="D84" s="30" t="s">
        <v>2096</v>
      </c>
      <c r="E84" s="30" t="s">
        <v>2097</v>
      </c>
      <c r="F84" s="30" t="s">
        <v>2718</v>
      </c>
      <c r="G84" s="30" t="s">
        <v>2730</v>
      </c>
      <c r="H84" s="30" t="s">
        <v>2731</v>
      </c>
      <c r="I84" s="31" t="s">
        <v>2732</v>
      </c>
      <c r="J84" s="29" t="s">
        <v>3967</v>
      </c>
      <c r="K84" s="28" t="s">
        <v>3968</v>
      </c>
      <c r="L84" s="32">
        <v>5000</v>
      </c>
      <c r="M84" s="28">
        <v>10</v>
      </c>
      <c r="N84" s="32">
        <v>50000</v>
      </c>
    </row>
    <row r="85" spans="2:14" ht="16.5" x14ac:dyDescent="0.2">
      <c r="B85" s="28">
        <v>83</v>
      </c>
      <c r="C85" s="29" t="s">
        <v>3966</v>
      </c>
      <c r="D85" s="30" t="s">
        <v>2096</v>
      </c>
      <c r="E85" s="30" t="s">
        <v>2097</v>
      </c>
      <c r="F85" s="30" t="s">
        <v>2718</v>
      </c>
      <c r="G85" s="30" t="s">
        <v>2730</v>
      </c>
      <c r="H85" s="30" t="s">
        <v>2818</v>
      </c>
      <c r="I85" s="31" t="s">
        <v>2819</v>
      </c>
      <c r="J85" s="29" t="s">
        <v>3967</v>
      </c>
      <c r="K85" s="28" t="s">
        <v>3968</v>
      </c>
      <c r="L85" s="32">
        <v>5000</v>
      </c>
      <c r="M85" s="28">
        <v>10</v>
      </c>
      <c r="N85" s="32">
        <v>50000</v>
      </c>
    </row>
    <row r="86" spans="2:14" ht="16.5" x14ac:dyDescent="0.2">
      <c r="B86" s="28">
        <v>84</v>
      </c>
      <c r="C86" s="29" t="s">
        <v>3976</v>
      </c>
      <c r="D86" s="30" t="s">
        <v>2096</v>
      </c>
      <c r="E86" s="30" t="s">
        <v>2097</v>
      </c>
      <c r="F86" s="30" t="s">
        <v>2718</v>
      </c>
      <c r="G86" s="30" t="s">
        <v>2883</v>
      </c>
      <c r="H86" s="30" t="s">
        <v>2884</v>
      </c>
      <c r="I86" s="31" t="s">
        <v>2885</v>
      </c>
      <c r="J86" s="29" t="s">
        <v>3967</v>
      </c>
      <c r="K86" s="28" t="s">
        <v>3970</v>
      </c>
      <c r="L86" s="32">
        <v>5000</v>
      </c>
      <c r="M86" s="28">
        <v>10</v>
      </c>
      <c r="N86" s="32">
        <v>50000</v>
      </c>
    </row>
    <row r="87" spans="2:14" ht="16.5" x14ac:dyDescent="0.2">
      <c r="B87" s="28">
        <v>85</v>
      </c>
      <c r="C87" s="29" t="s">
        <v>3975</v>
      </c>
      <c r="D87" s="30" t="s">
        <v>2096</v>
      </c>
      <c r="E87" s="30" t="s">
        <v>2097</v>
      </c>
      <c r="F87" s="30" t="s">
        <v>2718</v>
      </c>
      <c r="G87" s="30" t="s">
        <v>2953</v>
      </c>
      <c r="H87" s="30" t="s">
        <v>2954</v>
      </c>
      <c r="I87" s="31" t="s">
        <v>2955</v>
      </c>
      <c r="J87" s="29" t="s">
        <v>3967</v>
      </c>
      <c r="K87" s="28" t="s">
        <v>3970</v>
      </c>
      <c r="L87" s="32">
        <v>5000</v>
      </c>
      <c r="M87" s="28">
        <v>10</v>
      </c>
      <c r="N87" s="32">
        <v>50000</v>
      </c>
    </row>
    <row r="88" spans="2:14" ht="16.5" x14ac:dyDescent="0.2">
      <c r="B88" s="28">
        <v>86</v>
      </c>
      <c r="C88" s="29" t="s">
        <v>3966</v>
      </c>
      <c r="D88" s="30" t="s">
        <v>2096</v>
      </c>
      <c r="E88" s="30" t="s">
        <v>2097</v>
      </c>
      <c r="F88" s="30" t="s">
        <v>2971</v>
      </c>
      <c r="G88" s="30" t="s">
        <v>2972</v>
      </c>
      <c r="H88" s="30" t="s">
        <v>2973</v>
      </c>
      <c r="I88" s="31" t="s">
        <v>2974</v>
      </c>
      <c r="J88" s="29" t="s">
        <v>3967</v>
      </c>
      <c r="K88" s="28" t="s">
        <v>3968</v>
      </c>
      <c r="L88" s="32">
        <v>5000</v>
      </c>
      <c r="M88" s="28">
        <v>10</v>
      </c>
      <c r="N88" s="32">
        <v>50000</v>
      </c>
    </row>
    <row r="89" spans="2:14" ht="16.5" x14ac:dyDescent="0.2">
      <c r="B89" s="28">
        <v>87</v>
      </c>
      <c r="C89" s="34" t="s">
        <v>3971</v>
      </c>
      <c r="D89" s="30" t="s">
        <v>2096</v>
      </c>
      <c r="E89" s="30" t="s">
        <v>2097</v>
      </c>
      <c r="F89" s="30" t="s">
        <v>2971</v>
      </c>
      <c r="G89" s="30" t="s">
        <v>2972</v>
      </c>
      <c r="H89" s="30" t="s">
        <v>3038</v>
      </c>
      <c r="I89" s="31" t="s">
        <v>3039</v>
      </c>
      <c r="J89" s="29" t="s">
        <v>3974</v>
      </c>
      <c r="K89" s="28" t="s">
        <v>3972</v>
      </c>
      <c r="L89" s="32">
        <v>5000</v>
      </c>
      <c r="M89" s="28">
        <v>10</v>
      </c>
      <c r="N89" s="32">
        <v>50000</v>
      </c>
    </row>
    <row r="90" spans="2:14" ht="16.5" x14ac:dyDescent="0.2">
      <c r="B90" s="28">
        <v>88</v>
      </c>
      <c r="C90" s="29" t="s">
        <v>3975</v>
      </c>
      <c r="D90" s="30" t="s">
        <v>2096</v>
      </c>
      <c r="E90" s="30" t="s">
        <v>2097</v>
      </c>
      <c r="F90" s="30" t="s">
        <v>2971</v>
      </c>
      <c r="G90" s="30" t="s">
        <v>2972</v>
      </c>
      <c r="H90" s="30" t="s">
        <v>3045</v>
      </c>
      <c r="I90" s="31" t="s">
        <v>3046</v>
      </c>
      <c r="J90" s="29" t="s">
        <v>3967</v>
      </c>
      <c r="K90" s="28" t="s">
        <v>3970</v>
      </c>
      <c r="L90" s="32">
        <v>5000</v>
      </c>
      <c r="M90" s="28">
        <v>10</v>
      </c>
      <c r="N90" s="32">
        <v>50000</v>
      </c>
    </row>
    <row r="91" spans="2:14" ht="16.5" x14ac:dyDescent="0.2">
      <c r="B91" s="28">
        <v>89</v>
      </c>
      <c r="C91" s="30" t="s">
        <v>3999</v>
      </c>
      <c r="D91" s="30" t="s">
        <v>2096</v>
      </c>
      <c r="E91" s="30" t="s">
        <v>2097</v>
      </c>
      <c r="F91" s="30" t="s">
        <v>2971</v>
      </c>
      <c r="G91" s="30" t="s">
        <v>3073</v>
      </c>
      <c r="H91" s="30" t="s">
        <v>3074</v>
      </c>
      <c r="I91" s="31" t="s">
        <v>3075</v>
      </c>
      <c r="J91" s="30" t="s">
        <v>3974</v>
      </c>
      <c r="K91" s="30" t="s">
        <v>3972</v>
      </c>
      <c r="L91" s="30">
        <v>5000</v>
      </c>
      <c r="M91" s="30">
        <v>10</v>
      </c>
      <c r="N91" s="30">
        <v>50000</v>
      </c>
    </row>
    <row r="92" spans="2:14" ht="16.5" x14ac:dyDescent="0.2">
      <c r="B92" s="28">
        <v>90</v>
      </c>
      <c r="C92" s="29" t="s">
        <v>3975</v>
      </c>
      <c r="D92" s="30" t="s">
        <v>2096</v>
      </c>
      <c r="E92" s="30" t="s">
        <v>2097</v>
      </c>
      <c r="F92" s="30" t="s">
        <v>2971</v>
      </c>
      <c r="G92" s="30" t="s">
        <v>3093</v>
      </c>
      <c r="H92" s="30" t="s">
        <v>3094</v>
      </c>
      <c r="I92" s="31" t="s">
        <v>3095</v>
      </c>
      <c r="J92" s="29" t="s">
        <v>3967</v>
      </c>
      <c r="K92" s="28" t="s">
        <v>3970</v>
      </c>
      <c r="L92" s="32">
        <v>5000</v>
      </c>
      <c r="M92" s="28">
        <v>10</v>
      </c>
      <c r="N92" s="32">
        <v>50000</v>
      </c>
    </row>
    <row r="93" spans="2:14" ht="16.5" x14ac:dyDescent="0.2">
      <c r="B93" s="28">
        <v>91</v>
      </c>
      <c r="C93" s="29" t="s">
        <v>3966</v>
      </c>
      <c r="D93" s="30" t="s">
        <v>2096</v>
      </c>
      <c r="E93" s="30" t="s">
        <v>2097</v>
      </c>
      <c r="F93" s="30" t="s">
        <v>2971</v>
      </c>
      <c r="G93" s="30" t="s">
        <v>3153</v>
      </c>
      <c r="H93" s="30" t="s">
        <v>3154</v>
      </c>
      <c r="I93" s="31" t="s">
        <v>3155</v>
      </c>
      <c r="J93" s="29" t="s">
        <v>3967</v>
      </c>
      <c r="K93" s="28" t="s">
        <v>3968</v>
      </c>
      <c r="L93" s="32">
        <v>5000</v>
      </c>
      <c r="M93" s="28">
        <v>10</v>
      </c>
      <c r="N93" s="32">
        <v>50000</v>
      </c>
    </row>
    <row r="94" spans="2:14" ht="16.5" x14ac:dyDescent="0.2">
      <c r="B94" s="28">
        <v>92</v>
      </c>
      <c r="C94" s="29" t="s">
        <v>3999</v>
      </c>
      <c r="D94" s="30" t="s">
        <v>2096</v>
      </c>
      <c r="E94" s="30" t="s">
        <v>2097</v>
      </c>
      <c r="F94" s="30" t="s">
        <v>4000</v>
      </c>
      <c r="G94" s="30" t="s">
        <v>4001</v>
      </c>
      <c r="H94" s="30" t="s">
        <v>4002</v>
      </c>
      <c r="I94" s="31" t="s">
        <v>4003</v>
      </c>
      <c r="J94" s="29" t="s">
        <v>3967</v>
      </c>
      <c r="K94" s="28" t="s">
        <v>3972</v>
      </c>
      <c r="L94" s="32">
        <v>5000</v>
      </c>
      <c r="M94" s="28">
        <v>10</v>
      </c>
      <c r="N94" s="32">
        <v>50000</v>
      </c>
    </row>
    <row r="95" spans="2:14" ht="16.5" x14ac:dyDescent="0.2">
      <c r="B95" s="28">
        <v>93</v>
      </c>
      <c r="C95" s="29" t="s">
        <v>3975</v>
      </c>
      <c r="D95" s="30" t="s">
        <v>2096</v>
      </c>
      <c r="E95" s="30" t="s">
        <v>2097</v>
      </c>
      <c r="F95" s="30" t="s">
        <v>3190</v>
      </c>
      <c r="G95" s="30" t="s">
        <v>3204</v>
      </c>
      <c r="H95" s="30" t="s">
        <v>3205</v>
      </c>
      <c r="I95" s="31" t="s">
        <v>3206</v>
      </c>
      <c r="J95" s="29" t="s">
        <v>3967</v>
      </c>
      <c r="K95" s="28" t="s">
        <v>3970</v>
      </c>
      <c r="L95" s="32">
        <v>5000</v>
      </c>
      <c r="M95" s="28">
        <v>10</v>
      </c>
      <c r="N95" s="32">
        <v>50000</v>
      </c>
    </row>
    <row r="96" spans="2:14" ht="16.5" x14ac:dyDescent="0.2">
      <c r="B96" s="28">
        <v>94</v>
      </c>
      <c r="C96" s="29" t="s">
        <v>3975</v>
      </c>
      <c r="D96" s="30" t="s">
        <v>2096</v>
      </c>
      <c r="E96" s="30" t="s">
        <v>2097</v>
      </c>
      <c r="F96" s="30" t="s">
        <v>3190</v>
      </c>
      <c r="G96" s="30" t="s">
        <v>3204</v>
      </c>
      <c r="H96" s="30" t="s">
        <v>3249</v>
      </c>
      <c r="I96" s="31" t="s">
        <v>3250</v>
      </c>
      <c r="J96" s="29" t="s">
        <v>3967</v>
      </c>
      <c r="K96" s="28" t="s">
        <v>3970</v>
      </c>
      <c r="L96" s="32">
        <v>5000</v>
      </c>
      <c r="M96" s="28">
        <v>10</v>
      </c>
      <c r="N96" s="32">
        <v>50000</v>
      </c>
    </row>
    <row r="97" spans="2:14" ht="16.5" x14ac:dyDescent="0.2">
      <c r="B97" s="28">
        <v>95</v>
      </c>
      <c r="C97" s="29" t="s">
        <v>3966</v>
      </c>
      <c r="D97" s="30" t="s">
        <v>2096</v>
      </c>
      <c r="E97" s="30" t="s">
        <v>2097</v>
      </c>
      <c r="F97" s="30" t="s">
        <v>3190</v>
      </c>
      <c r="G97" s="30" t="s">
        <v>3271</v>
      </c>
      <c r="H97" s="30" t="s">
        <v>3272</v>
      </c>
      <c r="I97" s="31" t="s">
        <v>3273</v>
      </c>
      <c r="J97" s="29" t="s">
        <v>3967</v>
      </c>
      <c r="K97" s="28" t="s">
        <v>3968</v>
      </c>
      <c r="L97" s="32">
        <v>5000</v>
      </c>
      <c r="M97" s="28">
        <v>10</v>
      </c>
      <c r="N97" s="32">
        <v>50000</v>
      </c>
    </row>
    <row r="98" spans="2:14" ht="16.5" x14ac:dyDescent="0.2">
      <c r="B98" s="28">
        <v>96</v>
      </c>
      <c r="C98" s="29" t="s">
        <v>3966</v>
      </c>
      <c r="D98" s="30" t="s">
        <v>2096</v>
      </c>
      <c r="E98" s="30" t="s">
        <v>2097</v>
      </c>
      <c r="F98" s="30" t="s">
        <v>2233</v>
      </c>
      <c r="G98" s="30" t="s">
        <v>2234</v>
      </c>
      <c r="H98" s="30" t="s">
        <v>2235</v>
      </c>
      <c r="I98" s="31" t="s">
        <v>2236</v>
      </c>
      <c r="J98" s="29" t="s">
        <v>3967</v>
      </c>
      <c r="K98" s="28" t="s">
        <v>3968</v>
      </c>
      <c r="L98" s="32">
        <v>5000</v>
      </c>
      <c r="M98" s="28">
        <v>10</v>
      </c>
      <c r="N98" s="32">
        <v>50000</v>
      </c>
    </row>
    <row r="99" spans="2:14" ht="16.5" x14ac:dyDescent="0.2">
      <c r="B99" s="28">
        <v>97</v>
      </c>
      <c r="C99" s="29" t="s">
        <v>3975</v>
      </c>
      <c r="D99" s="30" t="s">
        <v>2096</v>
      </c>
      <c r="E99" s="30" t="s">
        <v>2097</v>
      </c>
      <c r="F99" s="30" t="s">
        <v>2233</v>
      </c>
      <c r="G99" s="30" t="s">
        <v>4004</v>
      </c>
      <c r="H99" s="30" t="s">
        <v>4005</v>
      </c>
      <c r="I99" s="31" t="s">
        <v>4006</v>
      </c>
      <c r="J99" s="29" t="s">
        <v>3967</v>
      </c>
      <c r="K99" s="28" t="s">
        <v>3970</v>
      </c>
      <c r="L99" s="32">
        <v>5000</v>
      </c>
      <c r="M99" s="28">
        <v>10</v>
      </c>
      <c r="N99" s="32">
        <v>50000</v>
      </c>
    </row>
    <row r="100" spans="2:14" ht="16.5" x14ac:dyDescent="0.2">
      <c r="B100" s="28">
        <v>98</v>
      </c>
      <c r="C100" s="29" t="s">
        <v>3984</v>
      </c>
      <c r="D100" s="30" t="s">
        <v>2096</v>
      </c>
      <c r="E100" s="30" t="s">
        <v>2097</v>
      </c>
      <c r="F100" s="30" t="s">
        <v>2233</v>
      </c>
      <c r="G100" s="30" t="s">
        <v>2344</v>
      </c>
      <c r="H100" s="30" t="s">
        <v>4007</v>
      </c>
      <c r="I100" s="31" t="s">
        <v>4008</v>
      </c>
      <c r="J100" s="29" t="s">
        <v>3967</v>
      </c>
      <c r="K100" s="28" t="s">
        <v>3972</v>
      </c>
      <c r="L100" s="32">
        <v>5000</v>
      </c>
      <c r="M100" s="28">
        <v>10</v>
      </c>
      <c r="N100" s="32">
        <v>50000</v>
      </c>
    </row>
    <row r="101" spans="2:14" ht="16.5" x14ac:dyDescent="0.2">
      <c r="B101" s="28">
        <v>99</v>
      </c>
      <c r="C101" s="29" t="s">
        <v>3966</v>
      </c>
      <c r="D101" s="30" t="s">
        <v>2096</v>
      </c>
      <c r="E101" s="30" t="s">
        <v>2097</v>
      </c>
      <c r="F101" s="30" t="s">
        <v>2233</v>
      </c>
      <c r="G101" s="30" t="s">
        <v>2344</v>
      </c>
      <c r="H101" s="30" t="s">
        <v>2345</v>
      </c>
      <c r="I101" s="31" t="s">
        <v>2346</v>
      </c>
      <c r="J101" s="29" t="s">
        <v>3967</v>
      </c>
      <c r="K101" s="28" t="s">
        <v>3968</v>
      </c>
      <c r="L101" s="32">
        <v>5000</v>
      </c>
      <c r="M101" s="28">
        <v>10</v>
      </c>
      <c r="N101" s="32">
        <v>50000</v>
      </c>
    </row>
    <row r="102" spans="2:14" ht="16.5" x14ac:dyDescent="0.2">
      <c r="B102" s="28">
        <v>100</v>
      </c>
      <c r="C102" s="29" t="s">
        <v>3966</v>
      </c>
      <c r="D102" s="30" t="s">
        <v>2096</v>
      </c>
      <c r="E102" s="30" t="s">
        <v>2097</v>
      </c>
      <c r="F102" s="30" t="s">
        <v>2233</v>
      </c>
      <c r="G102" s="30" t="s">
        <v>2367</v>
      </c>
      <c r="H102" s="30" t="s">
        <v>2368</v>
      </c>
      <c r="I102" s="31" t="s">
        <v>2369</v>
      </c>
      <c r="J102" s="29" t="s">
        <v>3967</v>
      </c>
      <c r="K102" s="28" t="s">
        <v>3968</v>
      </c>
      <c r="L102" s="32">
        <v>5000</v>
      </c>
      <c r="M102" s="28">
        <v>10</v>
      </c>
      <c r="N102" s="32">
        <v>50000</v>
      </c>
    </row>
    <row r="103" spans="2:14" ht="16.5" x14ac:dyDescent="0.2">
      <c r="B103" s="28">
        <v>101</v>
      </c>
      <c r="C103" s="29" t="s">
        <v>4009</v>
      </c>
      <c r="D103" s="30" t="s">
        <v>2096</v>
      </c>
      <c r="E103" s="30" t="s">
        <v>2097</v>
      </c>
      <c r="F103" s="30" t="s">
        <v>2233</v>
      </c>
      <c r="G103" s="30" t="s">
        <v>2427</v>
      </c>
      <c r="H103" s="30" t="s">
        <v>2428</v>
      </c>
      <c r="I103" s="31" t="s">
        <v>2429</v>
      </c>
      <c r="J103" s="29" t="s">
        <v>3967</v>
      </c>
      <c r="K103" s="28" t="s">
        <v>3972</v>
      </c>
      <c r="L103" s="32">
        <v>5000</v>
      </c>
      <c r="M103" s="28">
        <v>10</v>
      </c>
      <c r="N103" s="32">
        <v>50000</v>
      </c>
    </row>
    <row r="104" spans="2:14" ht="16.5" x14ac:dyDescent="0.2">
      <c r="B104" s="28">
        <v>102</v>
      </c>
      <c r="C104" s="30" t="s">
        <v>3966</v>
      </c>
      <c r="D104" s="30" t="s">
        <v>2096</v>
      </c>
      <c r="E104" s="30" t="s">
        <v>2097</v>
      </c>
      <c r="F104" s="30" t="s">
        <v>2466</v>
      </c>
      <c r="G104" s="30" t="s">
        <v>2467</v>
      </c>
      <c r="H104" s="30" t="s">
        <v>2468</v>
      </c>
      <c r="I104" s="31" t="s">
        <v>2469</v>
      </c>
      <c r="J104" s="30" t="s">
        <v>3967</v>
      </c>
      <c r="K104" s="30" t="s">
        <v>3968</v>
      </c>
      <c r="L104" s="30">
        <v>5000</v>
      </c>
      <c r="M104" s="30">
        <v>10</v>
      </c>
      <c r="N104" s="30">
        <v>50000</v>
      </c>
    </row>
    <row r="105" spans="2:14" ht="16.5" x14ac:dyDescent="0.2">
      <c r="B105" s="28">
        <v>103</v>
      </c>
      <c r="C105" s="29" t="s">
        <v>3976</v>
      </c>
      <c r="D105" s="30" t="s">
        <v>2096</v>
      </c>
      <c r="E105" s="30" t="s">
        <v>2097</v>
      </c>
      <c r="F105" s="30" t="s">
        <v>2466</v>
      </c>
      <c r="G105" s="30" t="s">
        <v>2467</v>
      </c>
      <c r="H105" s="30" t="s">
        <v>2497</v>
      </c>
      <c r="I105" s="31" t="s">
        <v>2498</v>
      </c>
      <c r="J105" s="29" t="s">
        <v>3967</v>
      </c>
      <c r="K105" s="28" t="s">
        <v>3970</v>
      </c>
      <c r="L105" s="32">
        <v>5000</v>
      </c>
      <c r="M105" s="28">
        <v>10</v>
      </c>
      <c r="N105" s="32">
        <v>50000</v>
      </c>
    </row>
    <row r="106" spans="2:14" ht="16.5" x14ac:dyDescent="0.2">
      <c r="B106" s="28">
        <v>104</v>
      </c>
      <c r="C106" s="29" t="s">
        <v>3966</v>
      </c>
      <c r="D106" s="30" t="s">
        <v>2096</v>
      </c>
      <c r="E106" s="30" t="s">
        <v>2097</v>
      </c>
      <c r="F106" s="30" t="s">
        <v>2466</v>
      </c>
      <c r="G106" s="30" t="s">
        <v>2513</v>
      </c>
      <c r="H106" s="30" t="s">
        <v>2514</v>
      </c>
      <c r="I106" s="31" t="s">
        <v>2515</v>
      </c>
      <c r="J106" s="29" t="s">
        <v>3967</v>
      </c>
      <c r="K106" s="28" t="s">
        <v>3968</v>
      </c>
      <c r="L106" s="32">
        <v>5000</v>
      </c>
      <c r="M106" s="28">
        <v>10</v>
      </c>
      <c r="N106" s="32">
        <v>50000</v>
      </c>
    </row>
    <row r="107" spans="2:14" ht="16.5" x14ac:dyDescent="0.2">
      <c r="B107" s="28">
        <v>105</v>
      </c>
      <c r="C107" s="29" t="s">
        <v>3966</v>
      </c>
      <c r="D107" s="30" t="s">
        <v>2096</v>
      </c>
      <c r="E107" s="30" t="s">
        <v>2097</v>
      </c>
      <c r="F107" s="30" t="s">
        <v>2466</v>
      </c>
      <c r="G107" s="30" t="s">
        <v>2513</v>
      </c>
      <c r="H107" s="30" t="s">
        <v>2563</v>
      </c>
      <c r="I107" s="31" t="s">
        <v>2564</v>
      </c>
      <c r="J107" s="29" t="s">
        <v>3967</v>
      </c>
      <c r="K107" s="28" t="s">
        <v>3968</v>
      </c>
      <c r="L107" s="32">
        <v>5000</v>
      </c>
      <c r="M107" s="28">
        <v>10</v>
      </c>
      <c r="N107" s="32">
        <v>50000</v>
      </c>
    </row>
    <row r="108" spans="2:14" ht="16.5" x14ac:dyDescent="0.2">
      <c r="B108" s="28">
        <v>106</v>
      </c>
      <c r="C108" s="29" t="s">
        <v>3966</v>
      </c>
      <c r="D108" s="30" t="s">
        <v>2096</v>
      </c>
      <c r="E108" s="30" t="s">
        <v>2097</v>
      </c>
      <c r="F108" s="30" t="s">
        <v>2466</v>
      </c>
      <c r="G108" s="30" t="s">
        <v>2573</v>
      </c>
      <c r="H108" s="30" t="s">
        <v>2574</v>
      </c>
      <c r="I108" s="31" t="s">
        <v>2575</v>
      </c>
      <c r="J108" s="29" t="s">
        <v>3967</v>
      </c>
      <c r="K108" s="28" t="s">
        <v>3968</v>
      </c>
      <c r="L108" s="32">
        <v>5000</v>
      </c>
      <c r="M108" s="28">
        <v>10</v>
      </c>
      <c r="N108" s="32">
        <v>50000</v>
      </c>
    </row>
    <row r="109" spans="2:14" ht="16.5" x14ac:dyDescent="0.2">
      <c r="B109" s="28">
        <v>107</v>
      </c>
      <c r="C109" s="29" t="s">
        <v>3976</v>
      </c>
      <c r="D109" s="30" t="s">
        <v>2096</v>
      </c>
      <c r="E109" s="30" t="s">
        <v>2097</v>
      </c>
      <c r="F109" s="30" t="s">
        <v>2466</v>
      </c>
      <c r="G109" s="30" t="s">
        <v>2573</v>
      </c>
      <c r="H109" s="30" t="s">
        <v>2684</v>
      </c>
      <c r="I109" s="31" t="s">
        <v>2685</v>
      </c>
      <c r="J109" s="29" t="s">
        <v>3967</v>
      </c>
      <c r="K109" s="28" t="s">
        <v>3970</v>
      </c>
      <c r="L109" s="32">
        <v>5000</v>
      </c>
      <c r="M109" s="28">
        <v>10</v>
      </c>
      <c r="N109" s="32">
        <v>50000</v>
      </c>
    </row>
    <row r="110" spans="2:14" ht="16.5" x14ac:dyDescent="0.2">
      <c r="B110" s="28">
        <v>108</v>
      </c>
      <c r="C110" s="35" t="s">
        <v>4010</v>
      </c>
      <c r="D110" s="30" t="s">
        <v>2096</v>
      </c>
      <c r="E110" s="30" t="s">
        <v>2097</v>
      </c>
      <c r="F110" s="30" t="s">
        <v>2098</v>
      </c>
      <c r="G110" s="30" t="s">
        <v>2099</v>
      </c>
      <c r="H110" s="30" t="s">
        <v>2100</v>
      </c>
      <c r="I110" s="31" t="s">
        <v>2101</v>
      </c>
      <c r="J110" s="29" t="s">
        <v>3974</v>
      </c>
      <c r="K110" s="28" t="s">
        <v>3972</v>
      </c>
      <c r="L110" s="32">
        <v>5000</v>
      </c>
      <c r="M110" s="28">
        <v>10</v>
      </c>
      <c r="N110" s="32">
        <v>50000</v>
      </c>
    </row>
    <row r="111" spans="2:14" ht="16.5" x14ac:dyDescent="0.2">
      <c r="B111" s="28">
        <v>109</v>
      </c>
      <c r="C111" s="29" t="s">
        <v>3966</v>
      </c>
      <c r="D111" s="30" t="s">
        <v>2096</v>
      </c>
      <c r="E111" s="30" t="s">
        <v>2097</v>
      </c>
      <c r="F111" s="30" t="s">
        <v>2098</v>
      </c>
      <c r="G111" s="30" t="s">
        <v>2108</v>
      </c>
      <c r="H111" s="30" t="s">
        <v>2109</v>
      </c>
      <c r="I111" s="31" t="s">
        <v>2110</v>
      </c>
      <c r="J111" s="29" t="s">
        <v>3967</v>
      </c>
      <c r="K111" s="28" t="s">
        <v>3968</v>
      </c>
      <c r="L111" s="32">
        <v>5000</v>
      </c>
      <c r="M111" s="28">
        <v>10</v>
      </c>
      <c r="N111" s="32">
        <v>50000</v>
      </c>
    </row>
    <row r="112" spans="2:14" ht="16.5" x14ac:dyDescent="0.2">
      <c r="B112" s="28">
        <v>110</v>
      </c>
      <c r="C112" s="30" t="s">
        <v>3966</v>
      </c>
      <c r="D112" s="30" t="s">
        <v>2096</v>
      </c>
      <c r="E112" s="30" t="s">
        <v>2097</v>
      </c>
      <c r="F112" s="30" t="s">
        <v>2098</v>
      </c>
      <c r="G112" s="30" t="s">
        <v>2182</v>
      </c>
      <c r="H112" s="30" t="s">
        <v>2183</v>
      </c>
      <c r="I112" s="31" t="s">
        <v>2184</v>
      </c>
      <c r="J112" s="30" t="s">
        <v>3967</v>
      </c>
      <c r="K112" s="30" t="s">
        <v>3968</v>
      </c>
      <c r="L112" s="30">
        <v>5000</v>
      </c>
      <c r="M112" s="30">
        <v>10</v>
      </c>
      <c r="N112" s="30">
        <v>50000</v>
      </c>
    </row>
    <row r="113" spans="2:14" ht="16.5" x14ac:dyDescent="0.2">
      <c r="B113" s="28">
        <v>111</v>
      </c>
      <c r="C113" s="30" t="s">
        <v>3975</v>
      </c>
      <c r="D113" s="30" t="s">
        <v>2096</v>
      </c>
      <c r="E113" s="30" t="s">
        <v>3333</v>
      </c>
      <c r="F113" s="30" t="s">
        <v>3442</v>
      </c>
      <c r="G113" s="30" t="s">
        <v>3443</v>
      </c>
      <c r="H113" s="30" t="s">
        <v>3444</v>
      </c>
      <c r="I113" s="31" t="s">
        <v>3445</v>
      </c>
      <c r="J113" s="30" t="s">
        <v>3967</v>
      </c>
      <c r="K113" s="30" t="s">
        <v>3970</v>
      </c>
      <c r="L113" s="30">
        <v>5000</v>
      </c>
      <c r="M113" s="30">
        <v>10</v>
      </c>
      <c r="N113" s="30">
        <v>50000</v>
      </c>
    </row>
    <row r="114" spans="2:14" ht="16.5" x14ac:dyDescent="0.2">
      <c r="B114" s="28">
        <v>112</v>
      </c>
      <c r="C114" s="38" t="s">
        <v>4011</v>
      </c>
      <c r="D114" s="30" t="s">
        <v>2096</v>
      </c>
      <c r="E114" s="30" t="s">
        <v>3333</v>
      </c>
      <c r="F114" s="30" t="s">
        <v>3442</v>
      </c>
      <c r="G114" s="30" t="s">
        <v>3443</v>
      </c>
      <c r="H114" s="30" t="s">
        <v>3453</v>
      </c>
      <c r="I114" s="31" t="s">
        <v>3454</v>
      </c>
      <c r="J114" s="29" t="s">
        <v>3967</v>
      </c>
      <c r="K114" s="28" t="s">
        <v>3972</v>
      </c>
      <c r="L114" s="32">
        <v>5000</v>
      </c>
      <c r="M114" s="28">
        <v>10</v>
      </c>
      <c r="N114" s="32">
        <v>50000</v>
      </c>
    </row>
    <row r="115" spans="2:14" ht="16.5" x14ac:dyDescent="0.2">
      <c r="B115" s="28">
        <v>113</v>
      </c>
      <c r="C115" s="35" t="s">
        <v>3973</v>
      </c>
      <c r="D115" s="30" t="s">
        <v>2096</v>
      </c>
      <c r="E115" s="30" t="s">
        <v>3333</v>
      </c>
      <c r="F115" s="30" t="s">
        <v>3442</v>
      </c>
      <c r="G115" s="30" t="s">
        <v>4012</v>
      </c>
      <c r="H115" s="30" t="s">
        <v>3461</v>
      </c>
      <c r="I115" s="31" t="s">
        <v>3462</v>
      </c>
      <c r="J115" s="29" t="s">
        <v>3974</v>
      </c>
      <c r="K115" s="28" t="s">
        <v>3972</v>
      </c>
      <c r="L115" s="32">
        <v>5000</v>
      </c>
      <c r="M115" s="28">
        <v>10</v>
      </c>
      <c r="N115" s="32">
        <v>50000</v>
      </c>
    </row>
    <row r="116" spans="2:14" ht="16.5" x14ac:dyDescent="0.2">
      <c r="B116" s="28">
        <v>114</v>
      </c>
      <c r="C116" s="30" t="s">
        <v>3976</v>
      </c>
      <c r="D116" s="30" t="s">
        <v>2096</v>
      </c>
      <c r="E116" s="30" t="s">
        <v>3333</v>
      </c>
      <c r="F116" s="30" t="s">
        <v>3442</v>
      </c>
      <c r="G116" s="30" t="s">
        <v>3466</v>
      </c>
      <c r="H116" s="30" t="s">
        <v>3467</v>
      </c>
      <c r="I116" s="31" t="s">
        <v>3468</v>
      </c>
      <c r="J116" s="30" t="s">
        <v>3974</v>
      </c>
      <c r="K116" s="30" t="s">
        <v>3970</v>
      </c>
      <c r="L116" s="30">
        <v>5000</v>
      </c>
      <c r="M116" s="30">
        <v>10</v>
      </c>
      <c r="N116" s="30">
        <v>50000</v>
      </c>
    </row>
    <row r="117" spans="2:14" ht="16.5" x14ac:dyDescent="0.2">
      <c r="B117" s="28">
        <v>115</v>
      </c>
      <c r="C117" s="34" t="s">
        <v>3971</v>
      </c>
      <c r="D117" s="30" t="s">
        <v>2096</v>
      </c>
      <c r="E117" s="30" t="s">
        <v>3333</v>
      </c>
      <c r="F117" s="30" t="s">
        <v>3442</v>
      </c>
      <c r="G117" s="30" t="s">
        <v>3466</v>
      </c>
      <c r="H117" s="30" t="s">
        <v>3526</v>
      </c>
      <c r="I117" s="31" t="s">
        <v>3527</v>
      </c>
      <c r="J117" s="29" t="s">
        <v>3967</v>
      </c>
      <c r="K117" s="28" t="s">
        <v>3972</v>
      </c>
      <c r="L117" s="32">
        <v>5000</v>
      </c>
      <c r="M117" s="28">
        <v>10</v>
      </c>
      <c r="N117" s="32">
        <v>50000</v>
      </c>
    </row>
    <row r="118" spans="2:14" ht="16.5" x14ac:dyDescent="0.2">
      <c r="B118" s="28">
        <v>116</v>
      </c>
      <c r="C118" s="29" t="s">
        <v>3966</v>
      </c>
      <c r="D118" s="30" t="s">
        <v>2096</v>
      </c>
      <c r="E118" s="30" t="s">
        <v>3333</v>
      </c>
      <c r="F118" s="30" t="s">
        <v>3442</v>
      </c>
      <c r="G118" s="30" t="s">
        <v>3466</v>
      </c>
      <c r="H118" s="30" t="s">
        <v>3564</v>
      </c>
      <c r="I118" s="31" t="s">
        <v>3565</v>
      </c>
      <c r="J118" s="29" t="s">
        <v>3967</v>
      </c>
      <c r="K118" s="28" t="s">
        <v>3968</v>
      </c>
      <c r="L118" s="32">
        <v>5000</v>
      </c>
      <c r="M118" s="28">
        <v>10</v>
      </c>
      <c r="N118" s="32">
        <v>50000</v>
      </c>
    </row>
    <row r="119" spans="2:14" ht="16.5" x14ac:dyDescent="0.2">
      <c r="B119" s="28">
        <v>117</v>
      </c>
      <c r="C119" s="29" t="s">
        <v>3975</v>
      </c>
      <c r="D119" s="30" t="s">
        <v>2096</v>
      </c>
      <c r="E119" s="30" t="s">
        <v>3333</v>
      </c>
      <c r="F119" s="30" t="s">
        <v>3442</v>
      </c>
      <c r="G119" s="30" t="s">
        <v>3466</v>
      </c>
      <c r="H119" s="30" t="s">
        <v>3577</v>
      </c>
      <c r="I119" s="31" t="s">
        <v>3578</v>
      </c>
      <c r="J119" s="29" t="s">
        <v>3974</v>
      </c>
      <c r="K119" s="28" t="s">
        <v>3970</v>
      </c>
      <c r="L119" s="32">
        <v>5000</v>
      </c>
      <c r="M119" s="28">
        <v>10</v>
      </c>
      <c r="N119" s="32">
        <v>50000</v>
      </c>
    </row>
    <row r="120" spans="2:14" ht="16.5" x14ac:dyDescent="0.2">
      <c r="B120" s="28">
        <v>118</v>
      </c>
      <c r="C120" s="29" t="s">
        <v>3966</v>
      </c>
      <c r="D120" s="30" t="s">
        <v>2096</v>
      </c>
      <c r="E120" s="30" t="s">
        <v>3333</v>
      </c>
      <c r="F120" s="30" t="s">
        <v>3442</v>
      </c>
      <c r="G120" s="30" t="s">
        <v>3626</v>
      </c>
      <c r="H120" s="30" t="s">
        <v>4013</v>
      </c>
      <c r="I120" s="31" t="s">
        <v>4014</v>
      </c>
      <c r="J120" s="29" t="s">
        <v>3967</v>
      </c>
      <c r="K120" s="28" t="s">
        <v>3968</v>
      </c>
      <c r="L120" s="32">
        <v>5000</v>
      </c>
      <c r="M120" s="28">
        <v>10</v>
      </c>
      <c r="N120" s="32">
        <v>50000</v>
      </c>
    </row>
    <row r="121" spans="2:14" ht="16.5" x14ac:dyDescent="0.2">
      <c r="B121" s="28">
        <v>119</v>
      </c>
      <c r="C121" s="39" t="s">
        <v>4015</v>
      </c>
      <c r="D121" s="30" t="s">
        <v>2096</v>
      </c>
      <c r="E121" s="30" t="s">
        <v>3333</v>
      </c>
      <c r="F121" s="30" t="s">
        <v>3442</v>
      </c>
      <c r="G121" s="30" t="s">
        <v>3626</v>
      </c>
      <c r="H121" s="30" t="s">
        <v>3627</v>
      </c>
      <c r="I121" s="31" t="s">
        <v>3628</v>
      </c>
      <c r="J121" s="29" t="s">
        <v>3967</v>
      </c>
      <c r="K121" s="28" t="s">
        <v>3972</v>
      </c>
      <c r="L121" s="32">
        <v>5000</v>
      </c>
      <c r="M121" s="28">
        <v>10</v>
      </c>
      <c r="N121" s="32">
        <v>50000</v>
      </c>
    </row>
    <row r="122" spans="2:14" ht="16.5" x14ac:dyDescent="0.2">
      <c r="B122" s="28">
        <v>120</v>
      </c>
      <c r="C122" s="29" t="s">
        <v>4016</v>
      </c>
      <c r="D122" s="30" t="s">
        <v>2096</v>
      </c>
      <c r="E122" s="30" t="s">
        <v>3333</v>
      </c>
      <c r="F122" s="30" t="s">
        <v>3442</v>
      </c>
      <c r="G122" s="30" t="s">
        <v>3626</v>
      </c>
      <c r="H122" s="30" t="s">
        <v>3688</v>
      </c>
      <c r="I122" s="31" t="s">
        <v>3689</v>
      </c>
      <c r="J122" s="29" t="s">
        <v>3967</v>
      </c>
      <c r="K122" s="28" t="s">
        <v>3972</v>
      </c>
      <c r="L122" s="32">
        <v>5000</v>
      </c>
      <c r="M122" s="28">
        <v>10</v>
      </c>
      <c r="N122" s="32">
        <v>50000</v>
      </c>
    </row>
    <row r="123" spans="2:14" ht="16.5" x14ac:dyDescent="0.2">
      <c r="B123" s="28">
        <v>121</v>
      </c>
      <c r="C123" s="29" t="s">
        <v>3966</v>
      </c>
      <c r="D123" s="30" t="s">
        <v>2096</v>
      </c>
      <c r="E123" s="30" t="s">
        <v>3333</v>
      </c>
      <c r="F123" s="30" t="s">
        <v>3442</v>
      </c>
      <c r="G123" s="30" t="s">
        <v>3626</v>
      </c>
      <c r="H123" s="30" t="s">
        <v>3731</v>
      </c>
      <c r="I123" s="31" t="s">
        <v>3732</v>
      </c>
      <c r="J123" s="29" t="s">
        <v>3967</v>
      </c>
      <c r="K123" s="28" t="s">
        <v>3968</v>
      </c>
      <c r="L123" s="32">
        <v>5000</v>
      </c>
      <c r="M123" s="28">
        <v>10</v>
      </c>
      <c r="N123" s="32">
        <v>50000</v>
      </c>
    </row>
    <row r="124" spans="2:14" ht="16.5" x14ac:dyDescent="0.2">
      <c r="B124" s="28">
        <v>122</v>
      </c>
      <c r="C124" s="29" t="s">
        <v>3975</v>
      </c>
      <c r="D124" s="30" t="s">
        <v>2096</v>
      </c>
      <c r="E124" s="30" t="s">
        <v>3333</v>
      </c>
      <c r="F124" s="30" t="s">
        <v>3739</v>
      </c>
      <c r="G124" s="30" t="s">
        <v>3740</v>
      </c>
      <c r="H124" s="30" t="s">
        <v>3741</v>
      </c>
      <c r="I124" s="31" t="s">
        <v>3742</v>
      </c>
      <c r="J124" s="29" t="s">
        <v>3967</v>
      </c>
      <c r="K124" s="28" t="s">
        <v>3970</v>
      </c>
      <c r="L124" s="32">
        <v>5000</v>
      </c>
      <c r="M124" s="28">
        <v>10</v>
      </c>
      <c r="N124" s="32">
        <v>50000</v>
      </c>
    </row>
    <row r="125" spans="2:14" ht="16.5" x14ac:dyDescent="0.2">
      <c r="B125" s="28">
        <v>123</v>
      </c>
      <c r="C125" s="35" t="s">
        <v>3973</v>
      </c>
      <c r="D125" s="30" t="s">
        <v>2096</v>
      </c>
      <c r="E125" s="30" t="s">
        <v>3333</v>
      </c>
      <c r="F125" s="30" t="s">
        <v>3739</v>
      </c>
      <c r="G125" s="30" t="s">
        <v>3752</v>
      </c>
      <c r="H125" s="30" t="s">
        <v>3753</v>
      </c>
      <c r="I125" s="31" t="s">
        <v>3754</v>
      </c>
      <c r="J125" s="29" t="s">
        <v>3974</v>
      </c>
      <c r="K125" s="28" t="s">
        <v>3972</v>
      </c>
      <c r="L125" s="32">
        <v>5000</v>
      </c>
      <c r="M125" s="28">
        <v>10</v>
      </c>
      <c r="N125" s="32">
        <v>50000</v>
      </c>
    </row>
    <row r="126" spans="2:14" ht="16.5" x14ac:dyDescent="0.2">
      <c r="B126" s="28">
        <v>124</v>
      </c>
      <c r="C126" s="29" t="s">
        <v>3966</v>
      </c>
      <c r="D126" s="30" t="s">
        <v>2096</v>
      </c>
      <c r="E126" s="30" t="s">
        <v>3333</v>
      </c>
      <c r="F126" s="30" t="s">
        <v>3739</v>
      </c>
      <c r="G126" s="30" t="s">
        <v>3752</v>
      </c>
      <c r="H126" s="30" t="s">
        <v>3836</v>
      </c>
      <c r="I126" s="31" t="s">
        <v>3837</v>
      </c>
      <c r="J126" s="29" t="s">
        <v>3967</v>
      </c>
      <c r="K126" s="28" t="s">
        <v>3968</v>
      </c>
      <c r="L126" s="32">
        <v>5000</v>
      </c>
      <c r="M126" s="28">
        <v>10</v>
      </c>
      <c r="N126" s="32">
        <v>50000</v>
      </c>
    </row>
    <row r="127" spans="2:14" ht="16.5" x14ac:dyDescent="0.2">
      <c r="B127" s="28">
        <v>125</v>
      </c>
      <c r="C127" s="29" t="s">
        <v>3966</v>
      </c>
      <c r="D127" s="30" t="s">
        <v>2096</v>
      </c>
      <c r="E127" s="30" t="s">
        <v>3333</v>
      </c>
      <c r="F127" s="30" t="s">
        <v>3739</v>
      </c>
      <c r="G127" s="30" t="s">
        <v>3752</v>
      </c>
      <c r="H127" s="30" t="s">
        <v>3892</v>
      </c>
      <c r="I127" s="31" t="s">
        <v>3893</v>
      </c>
      <c r="J127" s="29" t="s">
        <v>3967</v>
      </c>
      <c r="K127" s="28" t="s">
        <v>3968</v>
      </c>
      <c r="L127" s="32">
        <v>5000</v>
      </c>
      <c r="M127" s="28">
        <v>10</v>
      </c>
      <c r="N127" s="32">
        <v>50000</v>
      </c>
    </row>
    <row r="128" spans="2:14" ht="16.5" x14ac:dyDescent="0.2">
      <c r="B128" s="28">
        <v>126</v>
      </c>
      <c r="C128" s="29" t="s">
        <v>3976</v>
      </c>
      <c r="D128" s="30" t="s">
        <v>2096</v>
      </c>
      <c r="E128" s="30" t="s">
        <v>3333</v>
      </c>
      <c r="F128" s="30" t="s">
        <v>3902</v>
      </c>
      <c r="G128" s="30" t="s">
        <v>3903</v>
      </c>
      <c r="H128" s="30" t="s">
        <v>3904</v>
      </c>
      <c r="I128" s="31" t="s">
        <v>3905</v>
      </c>
      <c r="J128" s="29" t="s">
        <v>3967</v>
      </c>
      <c r="K128" s="28" t="s">
        <v>3970</v>
      </c>
      <c r="L128" s="32">
        <v>5000</v>
      </c>
      <c r="M128" s="28">
        <v>10</v>
      </c>
      <c r="N128" s="32">
        <v>50000</v>
      </c>
    </row>
    <row r="129" spans="2:14" ht="16.5" x14ac:dyDescent="0.2">
      <c r="B129" s="28">
        <v>127</v>
      </c>
      <c r="C129" s="29" t="s">
        <v>3966</v>
      </c>
      <c r="D129" s="30" t="s">
        <v>2096</v>
      </c>
      <c r="E129" s="30" t="s">
        <v>3333</v>
      </c>
      <c r="F129" s="30" t="s">
        <v>3902</v>
      </c>
      <c r="G129" s="30" t="s">
        <v>3920</v>
      </c>
      <c r="H129" s="30" t="s">
        <v>4017</v>
      </c>
      <c r="I129" s="31" t="s">
        <v>4018</v>
      </c>
      <c r="J129" s="29" t="s">
        <v>3967</v>
      </c>
      <c r="K129" s="28" t="s">
        <v>3968</v>
      </c>
      <c r="L129" s="32">
        <v>5000</v>
      </c>
      <c r="M129" s="28">
        <v>10</v>
      </c>
      <c r="N129" s="32">
        <v>50000</v>
      </c>
    </row>
    <row r="130" spans="2:14" ht="16.5" x14ac:dyDescent="0.2">
      <c r="B130" s="28">
        <v>128</v>
      </c>
      <c r="C130" s="29" t="s">
        <v>3975</v>
      </c>
      <c r="D130" s="30" t="s">
        <v>2096</v>
      </c>
      <c r="E130" s="30" t="s">
        <v>3333</v>
      </c>
      <c r="F130" s="30" t="s">
        <v>3902</v>
      </c>
      <c r="G130" s="30" t="s">
        <v>3920</v>
      </c>
      <c r="H130" s="30" t="s">
        <v>3921</v>
      </c>
      <c r="I130" s="31" t="s">
        <v>3922</v>
      </c>
      <c r="J130" s="29" t="s">
        <v>3967</v>
      </c>
      <c r="K130" s="28" t="s">
        <v>3970</v>
      </c>
      <c r="L130" s="32">
        <v>5000</v>
      </c>
      <c r="M130" s="28">
        <v>10</v>
      </c>
      <c r="N130" s="32">
        <v>50000</v>
      </c>
    </row>
    <row r="131" spans="2:14" ht="16.5" x14ac:dyDescent="0.2">
      <c r="B131" s="28">
        <v>129</v>
      </c>
      <c r="C131" s="30" t="s">
        <v>3966</v>
      </c>
      <c r="D131" s="30" t="s">
        <v>2096</v>
      </c>
      <c r="E131" s="30" t="s">
        <v>3333</v>
      </c>
      <c r="F131" s="30" t="s">
        <v>3334</v>
      </c>
      <c r="G131" s="30" t="s">
        <v>3335</v>
      </c>
      <c r="H131" s="30" t="s">
        <v>3336</v>
      </c>
      <c r="I131" s="31" t="s">
        <v>3337</v>
      </c>
      <c r="J131" s="30" t="s">
        <v>3967</v>
      </c>
      <c r="K131" s="30" t="s">
        <v>3968</v>
      </c>
      <c r="L131" s="30">
        <v>5000</v>
      </c>
      <c r="M131" s="30">
        <v>10</v>
      </c>
      <c r="N131" s="30">
        <v>50000</v>
      </c>
    </row>
    <row r="132" spans="2:14" ht="16.5" x14ac:dyDescent="0.2">
      <c r="B132" s="28">
        <v>130</v>
      </c>
      <c r="C132" s="29" t="s">
        <v>3975</v>
      </c>
      <c r="D132" s="30" t="s">
        <v>2096</v>
      </c>
      <c r="E132" s="30" t="s">
        <v>3333</v>
      </c>
      <c r="F132" s="30" t="s">
        <v>3334</v>
      </c>
      <c r="G132" s="30" t="s">
        <v>3335</v>
      </c>
      <c r="H132" s="30" t="s">
        <v>3361</v>
      </c>
      <c r="I132" s="31" t="s">
        <v>3362</v>
      </c>
      <c r="J132" s="29" t="s">
        <v>3967</v>
      </c>
      <c r="K132" s="28" t="s">
        <v>3970</v>
      </c>
      <c r="L132" s="32">
        <v>5000</v>
      </c>
      <c r="M132" s="28">
        <v>10</v>
      </c>
      <c r="N132" s="32">
        <v>50000</v>
      </c>
    </row>
    <row r="133" spans="2:14" ht="16.5" x14ac:dyDescent="0.2">
      <c r="B133" s="28">
        <v>131</v>
      </c>
      <c r="C133" s="29" t="s">
        <v>3975</v>
      </c>
      <c r="D133" s="30" t="s">
        <v>2096</v>
      </c>
      <c r="E133" s="30" t="s">
        <v>3333</v>
      </c>
      <c r="F133" s="30" t="s">
        <v>3334</v>
      </c>
      <c r="G133" s="30" t="s">
        <v>3335</v>
      </c>
      <c r="H133" s="30" t="s">
        <v>3369</v>
      </c>
      <c r="I133" s="31" t="s">
        <v>3370</v>
      </c>
      <c r="J133" s="29" t="s">
        <v>3967</v>
      </c>
      <c r="K133" s="28" t="s">
        <v>3970</v>
      </c>
      <c r="L133" s="32">
        <v>5000</v>
      </c>
      <c r="M133" s="28">
        <v>10</v>
      </c>
      <c r="N133" s="32">
        <v>50000</v>
      </c>
    </row>
    <row r="134" spans="2:14" ht="16.5" x14ac:dyDescent="0.2">
      <c r="B134" s="28">
        <v>132</v>
      </c>
      <c r="C134" s="29" t="s">
        <v>3975</v>
      </c>
      <c r="D134" s="30" t="s">
        <v>2096</v>
      </c>
      <c r="E134" s="30" t="s">
        <v>3333</v>
      </c>
      <c r="F134" s="30" t="s">
        <v>3334</v>
      </c>
      <c r="G134" s="30" t="s">
        <v>3335</v>
      </c>
      <c r="H134" s="30" t="s">
        <v>3383</v>
      </c>
      <c r="I134" s="31" t="s">
        <v>3384</v>
      </c>
      <c r="J134" s="29" t="s">
        <v>3967</v>
      </c>
      <c r="K134" s="28" t="s">
        <v>3970</v>
      </c>
      <c r="L134" s="32">
        <v>5000</v>
      </c>
      <c r="M134" s="28">
        <v>10</v>
      </c>
      <c r="N134" s="32">
        <v>50000</v>
      </c>
    </row>
    <row r="135" spans="2:14" ht="16.5" x14ac:dyDescent="0.2">
      <c r="B135" s="28">
        <v>133</v>
      </c>
      <c r="C135" s="29" t="s">
        <v>3975</v>
      </c>
      <c r="D135" s="30" t="s">
        <v>2096</v>
      </c>
      <c r="E135" s="30" t="s">
        <v>3333</v>
      </c>
      <c r="F135" s="30" t="s">
        <v>3334</v>
      </c>
      <c r="G135" s="30" t="s">
        <v>3335</v>
      </c>
      <c r="H135" s="30" t="s">
        <v>3393</v>
      </c>
      <c r="I135" s="31" t="s">
        <v>3394</v>
      </c>
      <c r="J135" s="29" t="s">
        <v>3967</v>
      </c>
      <c r="K135" s="28" t="s">
        <v>3970</v>
      </c>
      <c r="L135" s="32">
        <v>5000</v>
      </c>
      <c r="M135" s="28">
        <v>10</v>
      </c>
      <c r="N135" s="32">
        <v>50000</v>
      </c>
    </row>
    <row r="136" spans="2:14" ht="16.5" x14ac:dyDescent="0.2">
      <c r="B136" s="28">
        <v>134</v>
      </c>
      <c r="C136" s="29" t="s">
        <v>3975</v>
      </c>
      <c r="D136" s="30" t="s">
        <v>2096</v>
      </c>
      <c r="E136" s="30" t="s">
        <v>3333</v>
      </c>
      <c r="F136" s="30" t="s">
        <v>3334</v>
      </c>
      <c r="G136" s="30" t="s">
        <v>3399</v>
      </c>
      <c r="H136" s="30" t="s">
        <v>3400</v>
      </c>
      <c r="I136" s="31" t="s">
        <v>3401</v>
      </c>
      <c r="J136" s="29" t="s">
        <v>3967</v>
      </c>
      <c r="K136" s="28" t="s">
        <v>3970</v>
      </c>
      <c r="L136" s="32">
        <v>5000</v>
      </c>
      <c r="M136" s="28">
        <v>10</v>
      </c>
      <c r="N136" s="32">
        <v>50000</v>
      </c>
    </row>
    <row r="137" spans="2:14" ht="16.5" x14ac:dyDescent="0.2">
      <c r="B137" s="28">
        <v>135</v>
      </c>
      <c r="C137" s="29" t="s">
        <v>3966</v>
      </c>
      <c r="D137" s="30" t="s">
        <v>2096</v>
      </c>
      <c r="E137" s="30" t="s">
        <v>3333</v>
      </c>
      <c r="F137" s="30" t="s">
        <v>3334</v>
      </c>
      <c r="G137" s="30" t="s">
        <v>3409</v>
      </c>
      <c r="H137" s="30" t="s">
        <v>3410</v>
      </c>
      <c r="I137" s="31" t="s">
        <v>3411</v>
      </c>
      <c r="J137" s="29" t="s">
        <v>3967</v>
      </c>
      <c r="K137" s="28" t="s">
        <v>3968</v>
      </c>
      <c r="L137" s="32">
        <v>5000</v>
      </c>
      <c r="M137" s="28">
        <v>10</v>
      </c>
      <c r="N137" s="32">
        <v>50000</v>
      </c>
    </row>
    <row r="138" spans="2:14" ht="16.5" x14ac:dyDescent="0.2">
      <c r="B138" s="28">
        <v>136</v>
      </c>
      <c r="C138" s="29" t="s">
        <v>3975</v>
      </c>
      <c r="D138" s="30" t="s">
        <v>2096</v>
      </c>
      <c r="E138" s="30" t="s">
        <v>3333</v>
      </c>
      <c r="F138" s="30" t="s">
        <v>3334</v>
      </c>
      <c r="G138" s="30" t="s">
        <v>3409</v>
      </c>
      <c r="H138" s="30" t="s">
        <v>3436</v>
      </c>
      <c r="I138" s="31" t="s">
        <v>3437</v>
      </c>
      <c r="J138" s="29" t="s">
        <v>3967</v>
      </c>
      <c r="K138" s="28" t="s">
        <v>3970</v>
      </c>
      <c r="L138" s="32">
        <v>5000</v>
      </c>
      <c r="M138" s="28">
        <v>10</v>
      </c>
      <c r="N138" s="32">
        <v>50000</v>
      </c>
    </row>
  </sheetData>
  <phoneticPr fontId="2" type="noConversion"/>
  <conditionalFormatting sqref="C3:C129">
    <cfRule type="cellIs" dxfId="10" priority="1" operator="equal">
      <formula>"투어라인"</formula>
    </cfRule>
    <cfRule type="cellIs" dxfId="9" priority="2" operator="equal">
      <formula>"에브리데이"</formula>
    </cfRule>
    <cfRule type="containsText" dxfId="8" priority="3" operator="containsText" text="현대">
      <formula>NOT(ISERROR(SEARCH("현대",C3)))</formula>
    </cfRule>
    <cfRule type="cellIs" dxfId="7" priority="4" operator="equal">
      <formula>"홈플러스"</formula>
    </cfRule>
    <cfRule type="cellIs" dxfId="6" priority="5" operator="equal">
      <formula>"롯데백화점"</formula>
    </cfRule>
    <cfRule type="cellIs" dxfId="5" priority="6" operator="equal">
      <formula>"롯데마트"</formula>
    </cfRule>
    <cfRule type="cellIs" dxfId="4" priority="7" operator="equal">
      <formula>"이마트"</formula>
    </cfRule>
    <cfRule type="expression" dxfId="3" priority="8">
      <formula>(#REF!="전환")</formula>
    </cfRule>
    <cfRule type="expression" dxfId="2" priority="9">
      <formula>(#REF!="퇴점")</formula>
    </cfRule>
  </conditionalFormatting>
  <conditionalFormatting sqref="J3:J138">
    <cfRule type="expression" dxfId="1" priority="10">
      <formula>(#REF!="전환")</formula>
    </cfRule>
    <cfRule type="expression" dxfId="0" priority="11">
      <formula>(#REF!="퇴점")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C4236-DA9B-43FE-91E9-FB05F964FCE2}">
  <dimension ref="B2:J139"/>
  <sheetViews>
    <sheetView workbookViewId="0">
      <selection activeCell="B2" sqref="B2"/>
    </sheetView>
  </sheetViews>
  <sheetFormatPr defaultRowHeight="12.75" x14ac:dyDescent="0.2"/>
  <cols>
    <col min="2" max="2" width="5.42578125" bestFit="1" customWidth="1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9" max="9" width="16.28515625" bestFit="1" customWidth="1"/>
    <col min="10" max="10" width="18" bestFit="1" customWidth="1"/>
  </cols>
  <sheetData>
    <row r="2" spans="2:10" ht="13.5" x14ac:dyDescent="0.2">
      <c r="B2" s="23" t="s">
        <v>3955</v>
      </c>
      <c r="C2" s="23" t="s">
        <v>3958</v>
      </c>
      <c r="D2" s="23" t="s">
        <v>3959</v>
      </c>
      <c r="E2" s="23" t="s">
        <v>3960</v>
      </c>
      <c r="F2" s="23" t="s">
        <v>3954</v>
      </c>
      <c r="G2" s="23" t="s">
        <v>5</v>
      </c>
      <c r="H2" s="23" t="s">
        <v>6</v>
      </c>
      <c r="I2" s="40" t="s">
        <v>4019</v>
      </c>
      <c r="J2" s="24" t="s">
        <v>4020</v>
      </c>
    </row>
    <row r="3" spans="2:10" ht="13.5" x14ac:dyDescent="0.2">
      <c r="B3" s="26">
        <v>1</v>
      </c>
      <c r="C3" s="49" t="s">
        <v>23</v>
      </c>
      <c r="D3" s="49" t="s">
        <v>24</v>
      </c>
      <c r="E3" s="49" t="s">
        <v>25</v>
      </c>
      <c r="F3" s="21" t="s">
        <v>26</v>
      </c>
      <c r="G3" s="21" t="s">
        <v>27</v>
      </c>
      <c r="H3" s="41" t="s">
        <v>28</v>
      </c>
      <c r="I3" s="42">
        <v>445907420</v>
      </c>
      <c r="J3" s="43"/>
    </row>
    <row r="4" spans="2:10" ht="13.5" x14ac:dyDescent="0.2">
      <c r="B4" s="26">
        <v>2</v>
      </c>
      <c r="C4" s="50"/>
      <c r="D4" s="50"/>
      <c r="E4" s="50"/>
      <c r="F4" s="21" t="s">
        <v>26</v>
      </c>
      <c r="G4" s="21" t="s">
        <v>146</v>
      </c>
      <c r="H4" s="41" t="s">
        <v>147</v>
      </c>
      <c r="I4" s="42">
        <v>1686600</v>
      </c>
      <c r="J4" s="43"/>
    </row>
    <row r="5" spans="2:10" ht="13.5" x14ac:dyDescent="0.2">
      <c r="B5" s="26">
        <v>3</v>
      </c>
      <c r="C5" s="50"/>
      <c r="D5" s="50"/>
      <c r="E5" s="50"/>
      <c r="F5" s="21" t="s">
        <v>26</v>
      </c>
      <c r="G5" s="21" t="s">
        <v>154</v>
      </c>
      <c r="H5" s="41" t="s">
        <v>155</v>
      </c>
      <c r="I5" s="42">
        <v>67026700</v>
      </c>
      <c r="J5" s="43"/>
    </row>
    <row r="6" spans="2:10" ht="13.5" x14ac:dyDescent="0.2">
      <c r="B6" s="26">
        <v>4</v>
      </c>
      <c r="C6" s="50"/>
      <c r="D6" s="50"/>
      <c r="E6" s="50"/>
      <c r="F6" s="21" t="s">
        <v>208</v>
      </c>
      <c r="G6" s="21" t="s">
        <v>209</v>
      </c>
      <c r="H6" s="41" t="s">
        <v>210</v>
      </c>
      <c r="I6" s="42">
        <v>237128000</v>
      </c>
      <c r="J6" s="43"/>
    </row>
    <row r="7" spans="2:10" ht="13.5" x14ac:dyDescent="0.2">
      <c r="B7" s="26">
        <v>5</v>
      </c>
      <c r="C7" s="50"/>
      <c r="D7" s="50"/>
      <c r="E7" s="50"/>
      <c r="F7" s="21" t="s">
        <v>208</v>
      </c>
      <c r="G7" s="21" t="s">
        <v>279</v>
      </c>
      <c r="H7" s="41" t="s">
        <v>280</v>
      </c>
      <c r="I7" s="42">
        <v>67283300</v>
      </c>
      <c r="J7" s="43"/>
    </row>
    <row r="8" spans="2:10" ht="13.5" x14ac:dyDescent="0.2">
      <c r="B8" s="26">
        <v>6</v>
      </c>
      <c r="C8" s="50"/>
      <c r="D8" s="50"/>
      <c r="E8" s="50"/>
      <c r="F8" s="21" t="s">
        <v>208</v>
      </c>
      <c r="G8" s="21" t="s">
        <v>290</v>
      </c>
      <c r="H8" s="41" t="s">
        <v>291</v>
      </c>
      <c r="I8" s="42">
        <v>187833000</v>
      </c>
      <c r="J8" s="43"/>
    </row>
    <row r="9" spans="2:10" ht="13.5" x14ac:dyDescent="0.2">
      <c r="B9" s="26">
        <v>7</v>
      </c>
      <c r="C9" s="50"/>
      <c r="D9" s="50"/>
      <c r="E9" s="50"/>
      <c r="F9" s="21" t="s">
        <v>208</v>
      </c>
      <c r="G9" s="21" t="s">
        <v>330</v>
      </c>
      <c r="H9" s="41" t="s">
        <v>331</v>
      </c>
      <c r="I9" s="42">
        <v>78338940</v>
      </c>
      <c r="J9" s="43"/>
    </row>
    <row r="10" spans="2:10" ht="13.5" x14ac:dyDescent="0.2">
      <c r="B10" s="26">
        <v>8</v>
      </c>
      <c r="C10" s="50"/>
      <c r="D10" s="50"/>
      <c r="E10" s="50"/>
      <c r="F10" s="21" t="s">
        <v>208</v>
      </c>
      <c r="G10" s="21" t="s">
        <v>347</v>
      </c>
      <c r="H10" s="41" t="s">
        <v>348</v>
      </c>
      <c r="I10" s="42">
        <v>63285900</v>
      </c>
      <c r="J10" s="43"/>
    </row>
    <row r="11" spans="2:10" ht="13.5" x14ac:dyDescent="0.2">
      <c r="B11" s="26">
        <v>9</v>
      </c>
      <c r="C11" s="50"/>
      <c r="D11" s="50"/>
      <c r="E11" s="50"/>
      <c r="F11" s="21" t="s">
        <v>208</v>
      </c>
      <c r="G11" s="21" t="s">
        <v>368</v>
      </c>
      <c r="H11" s="41" t="s">
        <v>369</v>
      </c>
      <c r="I11" s="42">
        <v>154785500</v>
      </c>
      <c r="J11" s="43"/>
    </row>
    <row r="12" spans="2:10" ht="13.5" x14ac:dyDescent="0.2">
      <c r="B12" s="26">
        <v>10</v>
      </c>
      <c r="C12" s="50"/>
      <c r="D12" s="50"/>
      <c r="E12" s="50"/>
      <c r="F12" s="21" t="s">
        <v>208</v>
      </c>
      <c r="G12" s="21" t="s">
        <v>426</v>
      </c>
      <c r="H12" s="41" t="s">
        <v>427</v>
      </c>
      <c r="I12" s="42">
        <v>75394100</v>
      </c>
      <c r="J12" s="43"/>
    </row>
    <row r="13" spans="2:10" ht="13.5" x14ac:dyDescent="0.2">
      <c r="B13" s="26">
        <v>11</v>
      </c>
      <c r="C13" s="50"/>
      <c r="D13" s="50"/>
      <c r="E13" s="50"/>
      <c r="F13" s="21" t="s">
        <v>208</v>
      </c>
      <c r="G13" s="21" t="s">
        <v>440</v>
      </c>
      <c r="H13" s="41" t="s">
        <v>441</v>
      </c>
      <c r="I13" s="42">
        <v>99345600</v>
      </c>
      <c r="J13" s="43"/>
    </row>
    <row r="14" spans="2:10" ht="13.5" x14ac:dyDescent="0.2">
      <c r="B14" s="26">
        <v>12</v>
      </c>
      <c r="C14" s="50"/>
      <c r="D14" s="50"/>
      <c r="E14" s="50"/>
      <c r="F14" s="21" t="s">
        <v>454</v>
      </c>
      <c r="G14" s="21" t="s">
        <v>455</v>
      </c>
      <c r="H14" s="41" t="s">
        <v>456</v>
      </c>
      <c r="I14" s="42">
        <v>121434500</v>
      </c>
      <c r="J14" s="43"/>
    </row>
    <row r="15" spans="2:10" ht="13.5" x14ac:dyDescent="0.2">
      <c r="B15" s="26">
        <v>13</v>
      </c>
      <c r="C15" s="50"/>
      <c r="D15" s="50"/>
      <c r="E15" s="50"/>
      <c r="F15" s="21" t="s">
        <v>454</v>
      </c>
      <c r="G15" s="21" t="s">
        <v>481</v>
      </c>
      <c r="H15" s="41" t="s">
        <v>482</v>
      </c>
      <c r="I15" s="42">
        <v>172943900</v>
      </c>
      <c r="J15" s="43"/>
    </row>
    <row r="16" spans="2:10" ht="13.5" x14ac:dyDescent="0.2">
      <c r="B16" s="26">
        <v>14</v>
      </c>
      <c r="C16" s="50"/>
      <c r="D16" s="50"/>
      <c r="E16" s="50"/>
      <c r="F16" s="21" t="s">
        <v>454</v>
      </c>
      <c r="G16" s="21" t="s">
        <v>508</v>
      </c>
      <c r="H16" s="41" t="s">
        <v>509</v>
      </c>
      <c r="I16" s="42">
        <v>184465370</v>
      </c>
      <c r="J16" s="43"/>
    </row>
    <row r="17" spans="2:10" ht="13.5" x14ac:dyDescent="0.2">
      <c r="B17" s="26">
        <v>15</v>
      </c>
      <c r="C17" s="50"/>
      <c r="D17" s="50"/>
      <c r="E17" s="50"/>
      <c r="F17" s="21" t="s">
        <v>3978</v>
      </c>
      <c r="G17" s="21" t="s">
        <v>3979</v>
      </c>
      <c r="H17" s="41" t="s">
        <v>3980</v>
      </c>
      <c r="I17" s="8">
        <v>0</v>
      </c>
      <c r="J17" s="43" t="s">
        <v>4021</v>
      </c>
    </row>
    <row r="18" spans="2:10" ht="13.5" x14ac:dyDescent="0.2">
      <c r="B18" s="26">
        <v>16</v>
      </c>
      <c r="C18" s="50"/>
      <c r="D18" s="50"/>
      <c r="E18" s="50"/>
      <c r="F18" s="21" t="s">
        <v>581</v>
      </c>
      <c r="G18" s="21" t="s">
        <v>582</v>
      </c>
      <c r="H18" s="41" t="s">
        <v>583</v>
      </c>
      <c r="I18" s="42">
        <v>70021200</v>
      </c>
      <c r="J18" s="43"/>
    </row>
    <row r="19" spans="2:10" ht="13.5" x14ac:dyDescent="0.2">
      <c r="B19" s="26">
        <v>17</v>
      </c>
      <c r="C19" s="50"/>
      <c r="D19" s="50"/>
      <c r="E19" s="50"/>
      <c r="F19" s="21" t="s">
        <v>581</v>
      </c>
      <c r="G19" s="21" t="s">
        <v>594</v>
      </c>
      <c r="H19" s="41" t="s">
        <v>595</v>
      </c>
      <c r="I19" s="42">
        <v>90985400</v>
      </c>
      <c r="J19" s="43"/>
    </row>
    <row r="20" spans="2:10" ht="13.5" x14ac:dyDescent="0.2">
      <c r="B20" s="26">
        <v>18</v>
      </c>
      <c r="C20" s="50"/>
      <c r="D20" s="50"/>
      <c r="E20" s="50"/>
      <c r="F20" s="21" t="s">
        <v>581</v>
      </c>
      <c r="G20" s="21" t="s">
        <v>606</v>
      </c>
      <c r="H20" s="41" t="s">
        <v>607</v>
      </c>
      <c r="I20" s="42">
        <v>212850030</v>
      </c>
      <c r="J20" s="43"/>
    </row>
    <row r="21" spans="2:10" ht="13.5" x14ac:dyDescent="0.2">
      <c r="B21" s="26">
        <v>19</v>
      </c>
      <c r="C21" s="50"/>
      <c r="D21" s="50"/>
      <c r="E21" s="50"/>
      <c r="F21" s="21" t="s">
        <v>581</v>
      </c>
      <c r="G21" s="21" t="s">
        <v>637</v>
      </c>
      <c r="H21" s="41" t="s">
        <v>638</v>
      </c>
      <c r="I21" s="42">
        <v>66768800</v>
      </c>
      <c r="J21" s="43"/>
    </row>
    <row r="22" spans="2:10" ht="13.5" x14ac:dyDescent="0.2">
      <c r="B22" s="26">
        <v>20</v>
      </c>
      <c r="C22" s="50"/>
      <c r="D22" s="50"/>
      <c r="E22" s="50"/>
      <c r="F22" s="21" t="s">
        <v>581</v>
      </c>
      <c r="G22" s="21" t="s">
        <v>643</v>
      </c>
      <c r="H22" s="41" t="s">
        <v>644</v>
      </c>
      <c r="I22" s="42">
        <v>55496900</v>
      </c>
      <c r="J22" s="43"/>
    </row>
    <row r="23" spans="2:10" ht="13.5" x14ac:dyDescent="0.2">
      <c r="B23" s="26">
        <v>21</v>
      </c>
      <c r="C23" s="50"/>
      <c r="D23" s="50"/>
      <c r="E23" s="50"/>
      <c r="F23" s="21" t="s">
        <v>581</v>
      </c>
      <c r="G23" s="21" t="s">
        <v>653</v>
      </c>
      <c r="H23" s="41" t="s">
        <v>654</v>
      </c>
      <c r="I23" s="42">
        <v>131756300</v>
      </c>
      <c r="J23" s="43"/>
    </row>
    <row r="24" spans="2:10" ht="13.5" x14ac:dyDescent="0.2">
      <c r="B24" s="26">
        <v>22</v>
      </c>
      <c r="C24" s="50"/>
      <c r="D24" s="50"/>
      <c r="E24" s="50"/>
      <c r="F24" s="21" t="s">
        <v>671</v>
      </c>
      <c r="G24" s="21" t="s">
        <v>672</v>
      </c>
      <c r="H24" s="41" t="s">
        <v>673</v>
      </c>
      <c r="I24" s="42">
        <v>102046700</v>
      </c>
      <c r="J24" s="43"/>
    </row>
    <row r="25" spans="2:10" ht="13.5" x14ac:dyDescent="0.2">
      <c r="B25" s="26">
        <v>23</v>
      </c>
      <c r="C25" s="50"/>
      <c r="D25" s="50"/>
      <c r="E25" s="50"/>
      <c r="F25" s="21" t="s">
        <v>671</v>
      </c>
      <c r="G25" s="21" t="s">
        <v>707</v>
      </c>
      <c r="H25" s="41" t="s">
        <v>708</v>
      </c>
      <c r="I25" s="42">
        <v>78957200</v>
      </c>
      <c r="J25" s="43"/>
    </row>
    <row r="26" spans="2:10" ht="13.5" x14ac:dyDescent="0.2">
      <c r="B26" s="26">
        <v>24</v>
      </c>
      <c r="C26" s="50"/>
      <c r="D26" s="50"/>
      <c r="E26" s="50"/>
      <c r="F26" s="21" t="s">
        <v>671</v>
      </c>
      <c r="G26" s="21" t="s">
        <v>721</v>
      </c>
      <c r="H26" s="41" t="s">
        <v>722</v>
      </c>
      <c r="I26" s="42">
        <v>106287900</v>
      </c>
      <c r="J26" s="43"/>
    </row>
    <row r="27" spans="2:10" ht="13.5" x14ac:dyDescent="0.2">
      <c r="B27" s="26">
        <v>25</v>
      </c>
      <c r="C27" s="50"/>
      <c r="D27" s="50"/>
      <c r="E27" s="50"/>
      <c r="F27" s="21" t="s">
        <v>671</v>
      </c>
      <c r="G27" s="21" t="s">
        <v>735</v>
      </c>
      <c r="H27" s="41" t="s">
        <v>736</v>
      </c>
      <c r="I27" s="42">
        <v>111331710</v>
      </c>
      <c r="J27" s="43"/>
    </row>
    <row r="28" spans="2:10" ht="13.5" x14ac:dyDescent="0.2">
      <c r="B28" s="26">
        <v>26</v>
      </c>
      <c r="C28" s="50"/>
      <c r="D28" s="50"/>
      <c r="E28" s="50"/>
      <c r="F28" s="21" t="s">
        <v>671</v>
      </c>
      <c r="G28" s="21" t="s">
        <v>749</v>
      </c>
      <c r="H28" s="41" t="s">
        <v>750</v>
      </c>
      <c r="I28" s="42">
        <v>215532700</v>
      </c>
      <c r="J28" s="43"/>
    </row>
    <row r="29" spans="2:10" ht="13.5" x14ac:dyDescent="0.2">
      <c r="B29" s="26">
        <v>27</v>
      </c>
      <c r="C29" s="50"/>
      <c r="D29" s="50"/>
      <c r="E29" s="50"/>
      <c r="F29" s="21" t="s">
        <v>671</v>
      </c>
      <c r="G29" s="21" t="s">
        <v>786</v>
      </c>
      <c r="H29" s="41" t="s">
        <v>787</v>
      </c>
      <c r="I29" s="42">
        <v>52305900</v>
      </c>
      <c r="J29" s="43"/>
    </row>
    <row r="30" spans="2:10" ht="13.5" x14ac:dyDescent="0.2">
      <c r="B30" s="26">
        <v>28</v>
      </c>
      <c r="C30" s="50"/>
      <c r="D30" s="50"/>
      <c r="E30" s="50"/>
      <c r="F30" s="21" t="s">
        <v>797</v>
      </c>
      <c r="G30" s="21" t="s">
        <v>798</v>
      </c>
      <c r="H30" s="41" t="s">
        <v>799</v>
      </c>
      <c r="I30" s="42">
        <v>57684200</v>
      </c>
      <c r="J30" s="43"/>
    </row>
    <row r="31" spans="2:10" ht="13.5" x14ac:dyDescent="0.2">
      <c r="B31" s="26">
        <v>29</v>
      </c>
      <c r="C31" s="50"/>
      <c r="D31" s="50"/>
      <c r="E31" s="50"/>
      <c r="F31" s="21" t="s">
        <v>797</v>
      </c>
      <c r="G31" s="21" t="s">
        <v>808</v>
      </c>
      <c r="H31" s="41" t="s">
        <v>809</v>
      </c>
      <c r="I31" s="42">
        <v>63349600</v>
      </c>
      <c r="J31" s="43"/>
    </row>
    <row r="32" spans="2:10" ht="13.5" x14ac:dyDescent="0.2">
      <c r="B32" s="26">
        <v>30</v>
      </c>
      <c r="C32" s="50"/>
      <c r="D32" s="50"/>
      <c r="E32" s="50"/>
      <c r="F32" s="21" t="s">
        <v>797</v>
      </c>
      <c r="G32" s="21" t="s">
        <v>818</v>
      </c>
      <c r="H32" s="41" t="s">
        <v>819</v>
      </c>
      <c r="I32" s="42">
        <v>46799800</v>
      </c>
      <c r="J32" s="43"/>
    </row>
    <row r="33" spans="2:10" ht="13.5" x14ac:dyDescent="0.2">
      <c r="B33" s="26">
        <v>31</v>
      </c>
      <c r="C33" s="50"/>
      <c r="D33" s="50"/>
      <c r="E33" s="50"/>
      <c r="F33" s="21" t="s">
        <v>797</v>
      </c>
      <c r="G33" s="21" t="s">
        <v>832</v>
      </c>
      <c r="H33" s="41" t="s">
        <v>833</v>
      </c>
      <c r="I33" s="42">
        <v>291314962</v>
      </c>
      <c r="J33" s="43"/>
    </row>
    <row r="34" spans="2:10" ht="13.5" x14ac:dyDescent="0.2">
      <c r="B34" s="26">
        <v>32</v>
      </c>
      <c r="C34" s="50"/>
      <c r="D34" s="50"/>
      <c r="E34" s="51"/>
      <c r="F34" s="21" t="s">
        <v>893</v>
      </c>
      <c r="G34" s="21" t="s">
        <v>894</v>
      </c>
      <c r="H34" s="41" t="s">
        <v>895</v>
      </c>
      <c r="I34" s="42">
        <v>313173020</v>
      </c>
      <c r="J34" s="43"/>
    </row>
    <row r="35" spans="2:10" ht="13.5" x14ac:dyDescent="0.2">
      <c r="B35" s="26">
        <v>33</v>
      </c>
      <c r="C35" s="50"/>
      <c r="D35" s="50"/>
      <c r="E35" s="49" t="s">
        <v>978</v>
      </c>
      <c r="F35" s="21" t="s">
        <v>979</v>
      </c>
      <c r="G35" s="21" t="s">
        <v>980</v>
      </c>
      <c r="H35" s="41" t="s">
        <v>981</v>
      </c>
      <c r="I35" s="42">
        <v>97520400</v>
      </c>
      <c r="J35" s="43"/>
    </row>
    <row r="36" spans="2:10" ht="13.5" x14ac:dyDescent="0.2">
      <c r="B36" s="26">
        <v>34</v>
      </c>
      <c r="C36" s="50"/>
      <c r="D36" s="50"/>
      <c r="E36" s="50"/>
      <c r="F36" s="21" t="s">
        <v>996</v>
      </c>
      <c r="G36" s="21" t="s">
        <v>997</v>
      </c>
      <c r="H36" s="41" t="s">
        <v>998</v>
      </c>
      <c r="I36" s="42">
        <v>57814000</v>
      </c>
      <c r="J36" s="43"/>
    </row>
    <row r="37" spans="2:10" ht="13.5" x14ac:dyDescent="0.2">
      <c r="B37" s="26">
        <v>35</v>
      </c>
      <c r="C37" s="50"/>
      <c r="D37" s="50"/>
      <c r="E37" s="50"/>
      <c r="F37" s="21" t="s">
        <v>1006</v>
      </c>
      <c r="G37" s="21" t="s">
        <v>1007</v>
      </c>
      <c r="H37" s="41" t="s">
        <v>1008</v>
      </c>
      <c r="I37" s="42">
        <v>130835940</v>
      </c>
      <c r="J37" s="43"/>
    </row>
    <row r="38" spans="2:10" ht="13.5" x14ac:dyDescent="0.2">
      <c r="B38" s="26">
        <v>36</v>
      </c>
      <c r="C38" s="50"/>
      <c r="D38" s="50"/>
      <c r="E38" s="50"/>
      <c r="F38" s="21" t="s">
        <v>1006</v>
      </c>
      <c r="G38" s="21" t="s">
        <v>1015</v>
      </c>
      <c r="H38" s="41" t="s">
        <v>1016</v>
      </c>
      <c r="I38" s="42">
        <v>135819220</v>
      </c>
      <c r="J38" s="43"/>
    </row>
    <row r="39" spans="2:10" ht="13.5" x14ac:dyDescent="0.2">
      <c r="B39" s="26">
        <v>37</v>
      </c>
      <c r="C39" s="50"/>
      <c r="D39" s="50"/>
      <c r="E39" s="50"/>
      <c r="F39" s="21" t="s">
        <v>1006</v>
      </c>
      <c r="G39" s="21" t="s">
        <v>1035</v>
      </c>
      <c r="H39" s="41" t="s">
        <v>1036</v>
      </c>
      <c r="I39" s="42">
        <v>89985100</v>
      </c>
      <c r="J39" s="43"/>
    </row>
    <row r="40" spans="2:10" ht="13.5" x14ac:dyDescent="0.2">
      <c r="B40" s="26">
        <v>38</v>
      </c>
      <c r="C40" s="50"/>
      <c r="D40" s="50"/>
      <c r="E40" s="50"/>
      <c r="F40" s="21" t="s">
        <v>3986</v>
      </c>
      <c r="G40" s="21" t="s">
        <v>3987</v>
      </c>
      <c r="H40" s="41" t="s">
        <v>3988</v>
      </c>
      <c r="I40" s="42">
        <v>31207180</v>
      </c>
      <c r="J40" s="43"/>
    </row>
    <row r="41" spans="2:10" ht="13.5" x14ac:dyDescent="0.2">
      <c r="B41" s="26">
        <v>39</v>
      </c>
      <c r="C41" s="50"/>
      <c r="D41" s="50"/>
      <c r="E41" s="50"/>
      <c r="F41" s="21" t="s">
        <v>1041</v>
      </c>
      <c r="G41" s="21" t="s">
        <v>1042</v>
      </c>
      <c r="H41" s="41" t="s">
        <v>1043</v>
      </c>
      <c r="I41" s="42">
        <v>252717310</v>
      </c>
      <c r="J41" s="43"/>
    </row>
    <row r="42" spans="2:10" ht="13.5" x14ac:dyDescent="0.2">
      <c r="B42" s="26">
        <v>40</v>
      </c>
      <c r="C42" s="50"/>
      <c r="D42" s="51"/>
      <c r="E42" s="51"/>
      <c r="F42" s="21" t="s">
        <v>1041</v>
      </c>
      <c r="G42" s="21" t="s">
        <v>1084</v>
      </c>
      <c r="H42" s="41" t="s">
        <v>1085</v>
      </c>
      <c r="I42" s="42">
        <v>93388370</v>
      </c>
      <c r="J42" s="43"/>
    </row>
    <row r="43" spans="2:10" ht="13.5" x14ac:dyDescent="0.2">
      <c r="B43" s="26">
        <v>41</v>
      </c>
      <c r="C43" s="50"/>
      <c r="D43" s="49" t="s">
        <v>1108</v>
      </c>
      <c r="E43" s="49" t="s">
        <v>1725</v>
      </c>
      <c r="F43" s="21" t="s">
        <v>1726</v>
      </c>
      <c r="G43" s="21" t="s">
        <v>1727</v>
      </c>
      <c r="H43" s="41" t="s">
        <v>1728</v>
      </c>
      <c r="I43" s="42">
        <v>169510600</v>
      </c>
      <c r="J43" s="43"/>
    </row>
    <row r="44" spans="2:10" ht="13.5" x14ac:dyDescent="0.2">
      <c r="B44" s="26">
        <v>42</v>
      </c>
      <c r="C44" s="50"/>
      <c r="D44" s="50"/>
      <c r="E44" s="51"/>
      <c r="F44" s="21" t="s">
        <v>1759</v>
      </c>
      <c r="G44" s="21" t="s">
        <v>1760</v>
      </c>
      <c r="H44" s="41" t="s">
        <v>1761</v>
      </c>
      <c r="I44" s="42">
        <v>207937700</v>
      </c>
      <c r="J44" s="43"/>
    </row>
    <row r="45" spans="2:10" ht="13.5" x14ac:dyDescent="0.2">
      <c r="B45" s="26">
        <v>43</v>
      </c>
      <c r="C45" s="50"/>
      <c r="D45" s="50"/>
      <c r="E45" s="49" t="s">
        <v>1808</v>
      </c>
      <c r="F45" s="21" t="s">
        <v>1809</v>
      </c>
      <c r="G45" s="21" t="s">
        <v>1810</v>
      </c>
      <c r="H45" s="41" t="s">
        <v>1811</v>
      </c>
      <c r="I45" s="42">
        <v>88392400</v>
      </c>
      <c r="J45" s="43"/>
    </row>
    <row r="46" spans="2:10" ht="13.5" x14ac:dyDescent="0.2">
      <c r="B46" s="26">
        <v>44</v>
      </c>
      <c r="C46" s="50"/>
      <c r="D46" s="50"/>
      <c r="E46" s="50"/>
      <c r="F46" s="21" t="s">
        <v>1832</v>
      </c>
      <c r="G46" s="21" t="s">
        <v>1833</v>
      </c>
      <c r="H46" s="41" t="s">
        <v>1834</v>
      </c>
      <c r="I46" s="42">
        <v>119764300</v>
      </c>
      <c r="J46" s="43"/>
    </row>
    <row r="47" spans="2:10" ht="13.5" x14ac:dyDescent="0.2">
      <c r="B47" s="26">
        <v>45</v>
      </c>
      <c r="C47" s="50"/>
      <c r="D47" s="50"/>
      <c r="E47" s="50"/>
      <c r="F47" s="21" t="s">
        <v>1832</v>
      </c>
      <c r="G47" s="21" t="s">
        <v>1848</v>
      </c>
      <c r="H47" s="41" t="s">
        <v>1849</v>
      </c>
      <c r="I47" s="42">
        <v>110103620</v>
      </c>
      <c r="J47" s="43"/>
    </row>
    <row r="48" spans="2:10" ht="13.5" x14ac:dyDescent="0.2">
      <c r="B48" s="26">
        <v>46</v>
      </c>
      <c r="C48" s="50"/>
      <c r="D48" s="50"/>
      <c r="E48" s="51"/>
      <c r="F48" s="21" t="s">
        <v>1872</v>
      </c>
      <c r="G48" s="21" t="s">
        <v>1873</v>
      </c>
      <c r="H48" s="41" t="s">
        <v>1874</v>
      </c>
      <c r="I48" s="42">
        <v>132926000</v>
      </c>
      <c r="J48" s="43"/>
    </row>
    <row r="49" spans="2:10" ht="13.5" x14ac:dyDescent="0.2">
      <c r="B49" s="26">
        <v>47</v>
      </c>
      <c r="C49" s="50"/>
      <c r="D49" s="50"/>
      <c r="E49" s="49" t="s">
        <v>1893</v>
      </c>
      <c r="F49" s="21" t="s">
        <v>1894</v>
      </c>
      <c r="G49" s="21" t="s">
        <v>1895</v>
      </c>
      <c r="H49" s="41" t="s">
        <v>1896</v>
      </c>
      <c r="I49" s="42">
        <v>26343300</v>
      </c>
      <c r="J49" s="43"/>
    </row>
    <row r="50" spans="2:10" ht="13.5" x14ac:dyDescent="0.2">
      <c r="B50" s="26">
        <v>48</v>
      </c>
      <c r="C50" s="50"/>
      <c r="D50" s="50"/>
      <c r="E50" s="50"/>
      <c r="F50" s="21" t="s">
        <v>1894</v>
      </c>
      <c r="G50" s="21" t="s">
        <v>1899</v>
      </c>
      <c r="H50" s="41" t="s">
        <v>1900</v>
      </c>
      <c r="I50" s="42">
        <v>346086400</v>
      </c>
      <c r="J50" s="43"/>
    </row>
    <row r="51" spans="2:10" ht="13.5" x14ac:dyDescent="0.2">
      <c r="B51" s="26">
        <v>49</v>
      </c>
      <c r="C51" s="50"/>
      <c r="D51" s="50"/>
      <c r="E51" s="50"/>
      <c r="F51" s="21" t="s">
        <v>1894</v>
      </c>
      <c r="G51" s="21" t="s">
        <v>1936</v>
      </c>
      <c r="H51" s="41" t="s">
        <v>1937</v>
      </c>
      <c r="I51" s="42">
        <v>99228540</v>
      </c>
      <c r="J51" s="43"/>
    </row>
    <row r="52" spans="2:10" ht="13.5" x14ac:dyDescent="0.2">
      <c r="B52" s="26">
        <v>50</v>
      </c>
      <c r="C52" s="50"/>
      <c r="D52" s="50"/>
      <c r="E52" s="50"/>
      <c r="F52" s="21" t="s">
        <v>1894</v>
      </c>
      <c r="G52" s="21" t="s">
        <v>1940</v>
      </c>
      <c r="H52" s="41" t="s">
        <v>1941</v>
      </c>
      <c r="I52" s="42">
        <v>174740950</v>
      </c>
      <c r="J52" s="43"/>
    </row>
    <row r="53" spans="2:10" ht="13.5" x14ac:dyDescent="0.2">
      <c r="B53" s="26">
        <v>51</v>
      </c>
      <c r="C53" s="50"/>
      <c r="D53" s="50"/>
      <c r="E53" s="50"/>
      <c r="F53" s="21" t="s">
        <v>1962</v>
      </c>
      <c r="G53" s="21" t="s">
        <v>1963</v>
      </c>
      <c r="H53" s="41" t="s">
        <v>1964</v>
      </c>
      <c r="I53" s="42">
        <v>48082200</v>
      </c>
      <c r="J53" s="43"/>
    </row>
    <row r="54" spans="2:10" ht="13.5" x14ac:dyDescent="0.2">
      <c r="B54" s="26">
        <v>52</v>
      </c>
      <c r="C54" s="50"/>
      <c r="D54" s="50"/>
      <c r="E54" s="50"/>
      <c r="F54" s="21" t="s">
        <v>1962</v>
      </c>
      <c r="G54" s="21" t="s">
        <v>1998</v>
      </c>
      <c r="H54" s="41" t="s">
        <v>1999</v>
      </c>
      <c r="I54" s="42">
        <v>51687500</v>
      </c>
      <c r="J54" s="43"/>
    </row>
    <row r="55" spans="2:10" ht="13.5" x14ac:dyDescent="0.2">
      <c r="B55" s="26">
        <v>53</v>
      </c>
      <c r="C55" s="50"/>
      <c r="D55" s="50"/>
      <c r="E55" s="50"/>
      <c r="F55" s="21" t="s">
        <v>1962</v>
      </c>
      <c r="G55" s="21" t="s">
        <v>2028</v>
      </c>
      <c r="H55" s="41" t="s">
        <v>2029</v>
      </c>
      <c r="I55" s="42">
        <v>45480260</v>
      </c>
      <c r="J55" s="43"/>
    </row>
    <row r="56" spans="2:10" ht="13.5" x14ac:dyDescent="0.2">
      <c r="B56" s="26">
        <v>54</v>
      </c>
      <c r="C56" s="50"/>
      <c r="D56" s="50"/>
      <c r="E56" s="50"/>
      <c r="F56" s="21" t="s">
        <v>1962</v>
      </c>
      <c r="G56" s="21" t="s">
        <v>2035</v>
      </c>
      <c r="H56" s="41" t="s">
        <v>2036</v>
      </c>
      <c r="I56" s="42">
        <v>220304720</v>
      </c>
      <c r="J56" s="43"/>
    </row>
    <row r="57" spans="2:10" ht="13.5" x14ac:dyDescent="0.2">
      <c r="B57" s="26">
        <v>55</v>
      </c>
      <c r="C57" s="50"/>
      <c r="D57" s="50"/>
      <c r="E57" s="51"/>
      <c r="F57" s="21" t="s">
        <v>3990</v>
      </c>
      <c r="G57" s="21" t="s">
        <v>3991</v>
      </c>
      <c r="H57" s="41" t="s">
        <v>3992</v>
      </c>
      <c r="I57" s="42">
        <v>48405500</v>
      </c>
      <c r="J57" s="43" t="s">
        <v>4022</v>
      </c>
    </row>
    <row r="58" spans="2:10" ht="13.5" x14ac:dyDescent="0.2">
      <c r="B58" s="26">
        <v>56</v>
      </c>
      <c r="C58" s="50"/>
      <c r="D58" s="50"/>
      <c r="E58" s="49" t="s">
        <v>1109</v>
      </c>
      <c r="F58" s="21" t="s">
        <v>1110</v>
      </c>
      <c r="G58" s="21" t="s">
        <v>3993</v>
      </c>
      <c r="H58" s="41" t="s">
        <v>3994</v>
      </c>
      <c r="I58" s="42">
        <v>29867000</v>
      </c>
      <c r="J58" s="43"/>
    </row>
    <row r="59" spans="2:10" ht="13.5" x14ac:dyDescent="0.2">
      <c r="B59" s="26">
        <v>57</v>
      </c>
      <c r="C59" s="50"/>
      <c r="D59" s="50"/>
      <c r="E59" s="50"/>
      <c r="F59" s="21" t="s">
        <v>1110</v>
      </c>
      <c r="G59" s="21" t="s">
        <v>1111</v>
      </c>
      <c r="H59" s="41" t="s">
        <v>1112</v>
      </c>
      <c r="I59" s="42">
        <v>116745200</v>
      </c>
      <c r="J59" s="43"/>
    </row>
    <row r="60" spans="2:10" ht="13.5" x14ac:dyDescent="0.2">
      <c r="B60" s="26">
        <v>58</v>
      </c>
      <c r="C60" s="50"/>
      <c r="D60" s="50"/>
      <c r="E60" s="50"/>
      <c r="F60" s="21" t="s">
        <v>1110</v>
      </c>
      <c r="G60" s="21" t="s">
        <v>1131</v>
      </c>
      <c r="H60" s="41" t="s">
        <v>1132</v>
      </c>
      <c r="I60" s="42">
        <v>307322080</v>
      </c>
      <c r="J60" s="43"/>
    </row>
    <row r="61" spans="2:10" ht="13.5" x14ac:dyDescent="0.2">
      <c r="B61" s="26">
        <v>59</v>
      </c>
      <c r="C61" s="50"/>
      <c r="D61" s="50"/>
      <c r="E61" s="50"/>
      <c r="F61" s="21" t="s">
        <v>1110</v>
      </c>
      <c r="G61" s="21" t="s">
        <v>1192</v>
      </c>
      <c r="H61" s="41" t="s">
        <v>1193</v>
      </c>
      <c r="I61" s="42">
        <v>22776200</v>
      </c>
      <c r="J61" s="43"/>
    </row>
    <row r="62" spans="2:10" ht="13.5" x14ac:dyDescent="0.2">
      <c r="B62" s="26">
        <v>60</v>
      </c>
      <c r="C62" s="50"/>
      <c r="D62" s="50"/>
      <c r="E62" s="50"/>
      <c r="F62" s="21" t="s">
        <v>3995</v>
      </c>
      <c r="G62" s="21" t="s">
        <v>3996</v>
      </c>
      <c r="H62" s="41" t="s">
        <v>1199</v>
      </c>
      <c r="I62" s="42">
        <v>0</v>
      </c>
      <c r="J62" s="43" t="s">
        <v>4021</v>
      </c>
    </row>
    <row r="63" spans="2:10" ht="13.5" x14ac:dyDescent="0.2">
      <c r="B63" s="26">
        <v>61</v>
      </c>
      <c r="C63" s="50"/>
      <c r="D63" s="50"/>
      <c r="E63" s="50"/>
      <c r="F63" s="21" t="s">
        <v>1234</v>
      </c>
      <c r="G63" s="21" t="s">
        <v>1235</v>
      </c>
      <c r="H63" s="41" t="s">
        <v>1236</v>
      </c>
      <c r="I63" s="42">
        <v>214218120</v>
      </c>
      <c r="J63" s="43"/>
    </row>
    <row r="64" spans="2:10" ht="13.5" x14ac:dyDescent="0.2">
      <c r="B64" s="26">
        <v>62</v>
      </c>
      <c r="C64" s="50"/>
      <c r="D64" s="50"/>
      <c r="E64" s="50"/>
      <c r="F64" s="21" t="s">
        <v>1234</v>
      </c>
      <c r="G64" s="21" t="s">
        <v>1279</v>
      </c>
      <c r="H64" s="41" t="s">
        <v>1280</v>
      </c>
      <c r="I64" s="42">
        <v>154409200</v>
      </c>
      <c r="J64" s="43"/>
    </row>
    <row r="65" spans="2:10" ht="13.5" x14ac:dyDescent="0.2">
      <c r="B65" s="26">
        <v>63</v>
      </c>
      <c r="C65" s="50"/>
      <c r="D65" s="50"/>
      <c r="E65" s="50"/>
      <c r="F65" s="21" t="s">
        <v>1234</v>
      </c>
      <c r="G65" s="21" t="s">
        <v>1291</v>
      </c>
      <c r="H65" s="41" t="s">
        <v>1292</v>
      </c>
      <c r="I65" s="42">
        <v>416654500</v>
      </c>
      <c r="J65" s="43"/>
    </row>
    <row r="66" spans="2:10" ht="13.5" x14ac:dyDescent="0.2">
      <c r="B66" s="26">
        <v>64</v>
      </c>
      <c r="C66" s="50"/>
      <c r="D66" s="50"/>
      <c r="E66" s="50"/>
      <c r="F66" s="21" t="s">
        <v>1234</v>
      </c>
      <c r="G66" s="21" t="s">
        <v>1305</v>
      </c>
      <c r="H66" s="41" t="s">
        <v>1306</v>
      </c>
      <c r="I66" s="42">
        <v>90732900</v>
      </c>
      <c r="J66" s="43"/>
    </row>
    <row r="67" spans="2:10" ht="13.5" x14ac:dyDescent="0.2">
      <c r="B67" s="26">
        <v>65</v>
      </c>
      <c r="C67" s="50"/>
      <c r="D67" s="50"/>
      <c r="E67" s="50"/>
      <c r="F67" s="21" t="s">
        <v>1234</v>
      </c>
      <c r="G67" s="21" t="s">
        <v>1327</v>
      </c>
      <c r="H67" s="41" t="s">
        <v>1328</v>
      </c>
      <c r="I67" s="42">
        <v>54339300</v>
      </c>
      <c r="J67" s="43"/>
    </row>
    <row r="68" spans="2:10" ht="13.5" x14ac:dyDescent="0.2">
      <c r="B68" s="26">
        <v>66</v>
      </c>
      <c r="C68" s="50"/>
      <c r="D68" s="50"/>
      <c r="E68" s="50"/>
      <c r="F68" s="21" t="s">
        <v>1234</v>
      </c>
      <c r="G68" s="21" t="s">
        <v>1346</v>
      </c>
      <c r="H68" s="41" t="s">
        <v>1347</v>
      </c>
      <c r="I68" s="42">
        <v>14090000</v>
      </c>
      <c r="J68" s="43"/>
    </row>
    <row r="69" spans="2:10" ht="13.5" x14ac:dyDescent="0.2">
      <c r="B69" s="26">
        <v>67</v>
      </c>
      <c r="C69" s="50"/>
      <c r="D69" s="50"/>
      <c r="E69" s="50"/>
      <c r="F69" s="21" t="s">
        <v>1234</v>
      </c>
      <c r="G69" s="21" t="s">
        <v>1385</v>
      </c>
      <c r="H69" s="41" t="s">
        <v>1386</v>
      </c>
      <c r="I69" s="42">
        <v>70718200</v>
      </c>
      <c r="J69" s="43"/>
    </row>
    <row r="70" spans="2:10" ht="13.5" x14ac:dyDescent="0.2">
      <c r="B70" s="26">
        <v>68</v>
      </c>
      <c r="C70" s="50"/>
      <c r="D70" s="50"/>
      <c r="E70" s="50"/>
      <c r="F70" s="21" t="s">
        <v>1397</v>
      </c>
      <c r="G70" s="21" t="s">
        <v>1398</v>
      </c>
      <c r="H70" s="41" t="s">
        <v>1399</v>
      </c>
      <c r="I70" s="42">
        <v>109568850</v>
      </c>
      <c r="J70" s="43"/>
    </row>
    <row r="71" spans="2:10" ht="13.5" x14ac:dyDescent="0.2">
      <c r="B71" s="26">
        <v>69</v>
      </c>
      <c r="C71" s="50"/>
      <c r="D71" s="50"/>
      <c r="E71" s="50"/>
      <c r="F71" s="21" t="s">
        <v>1397</v>
      </c>
      <c r="G71" s="21" t="s">
        <v>1417</v>
      </c>
      <c r="H71" s="41" t="s">
        <v>1418</v>
      </c>
      <c r="I71" s="42">
        <v>393107740</v>
      </c>
      <c r="J71" s="43"/>
    </row>
    <row r="72" spans="2:10" ht="13.5" x14ac:dyDescent="0.2">
      <c r="B72" s="26">
        <v>70</v>
      </c>
      <c r="C72" s="50"/>
      <c r="D72" s="50"/>
      <c r="E72" s="50"/>
      <c r="F72" s="21" t="s">
        <v>1397</v>
      </c>
      <c r="G72" s="21" t="s">
        <v>1454</v>
      </c>
      <c r="H72" s="41" t="s">
        <v>1455</v>
      </c>
      <c r="I72" s="42">
        <v>85186960</v>
      </c>
      <c r="J72" s="43"/>
    </row>
    <row r="73" spans="2:10" ht="13.5" x14ac:dyDescent="0.2">
      <c r="B73" s="26">
        <v>71</v>
      </c>
      <c r="C73" s="50"/>
      <c r="D73" s="50"/>
      <c r="E73" s="51"/>
      <c r="F73" s="21" t="s">
        <v>1397</v>
      </c>
      <c r="G73" s="21" t="s">
        <v>1470</v>
      </c>
      <c r="H73" s="41" t="s">
        <v>1471</v>
      </c>
      <c r="I73" s="42">
        <v>89428600</v>
      </c>
      <c r="J73" s="43"/>
    </row>
    <row r="74" spans="2:10" ht="13.5" x14ac:dyDescent="0.2">
      <c r="B74" s="26">
        <v>72</v>
      </c>
      <c r="C74" s="50"/>
      <c r="D74" s="50"/>
      <c r="E74" s="49" t="s">
        <v>1495</v>
      </c>
      <c r="F74" s="21" t="s">
        <v>1496</v>
      </c>
      <c r="G74" s="21" t="s">
        <v>1497</v>
      </c>
      <c r="H74" s="41" t="s">
        <v>1498</v>
      </c>
      <c r="I74" s="42">
        <v>137713590</v>
      </c>
      <c r="J74" s="43"/>
    </row>
    <row r="75" spans="2:10" ht="13.5" x14ac:dyDescent="0.2">
      <c r="B75" s="26">
        <v>73</v>
      </c>
      <c r="C75" s="50"/>
      <c r="D75" s="50"/>
      <c r="E75" s="50"/>
      <c r="F75" s="21" t="s">
        <v>1496</v>
      </c>
      <c r="G75" s="21" t="s">
        <v>3997</v>
      </c>
      <c r="H75" s="41" t="s">
        <v>3998</v>
      </c>
      <c r="I75" s="42">
        <v>45635220</v>
      </c>
      <c r="J75" s="43"/>
    </row>
    <row r="76" spans="2:10" ht="13.5" x14ac:dyDescent="0.2">
      <c r="B76" s="26">
        <v>74</v>
      </c>
      <c r="C76" s="50"/>
      <c r="D76" s="50"/>
      <c r="E76" s="50"/>
      <c r="F76" s="21" t="s">
        <v>1496</v>
      </c>
      <c r="G76" s="21" t="s">
        <v>1522</v>
      </c>
      <c r="H76" s="41" t="s">
        <v>1523</v>
      </c>
      <c r="I76" s="42">
        <v>304527000</v>
      </c>
      <c r="J76" s="43"/>
    </row>
    <row r="77" spans="2:10" ht="13.5" x14ac:dyDescent="0.2">
      <c r="B77" s="26">
        <v>75</v>
      </c>
      <c r="C77" s="50"/>
      <c r="D77" s="50"/>
      <c r="E77" s="50"/>
      <c r="F77" s="21" t="s">
        <v>1637</v>
      </c>
      <c r="G77" s="21" t="s">
        <v>1638</v>
      </c>
      <c r="H77" s="41" t="s">
        <v>1639</v>
      </c>
      <c r="I77" s="42">
        <v>113404770</v>
      </c>
      <c r="J77" s="43"/>
    </row>
    <row r="78" spans="2:10" ht="13.5" x14ac:dyDescent="0.2">
      <c r="B78" s="26">
        <v>76</v>
      </c>
      <c r="C78" s="50"/>
      <c r="D78" s="50"/>
      <c r="E78" s="50"/>
      <c r="F78" s="21" t="s">
        <v>1637</v>
      </c>
      <c r="G78" s="21" t="s">
        <v>1655</v>
      </c>
      <c r="H78" s="41" t="s">
        <v>1656</v>
      </c>
      <c r="I78" s="42">
        <v>25702400</v>
      </c>
      <c r="J78" s="43"/>
    </row>
    <row r="79" spans="2:10" ht="13.5" x14ac:dyDescent="0.2">
      <c r="B79" s="26">
        <v>77</v>
      </c>
      <c r="C79" s="50"/>
      <c r="D79" s="50"/>
      <c r="E79" s="50"/>
      <c r="F79" s="21" t="s">
        <v>1667</v>
      </c>
      <c r="G79" s="21" t="s">
        <v>1668</v>
      </c>
      <c r="H79" s="41" t="s">
        <v>1669</v>
      </c>
      <c r="I79" s="42">
        <v>54700000</v>
      </c>
      <c r="J79" s="43"/>
    </row>
    <row r="80" spans="2:10" ht="13.5" x14ac:dyDescent="0.2">
      <c r="B80" s="26">
        <v>78</v>
      </c>
      <c r="C80" s="50"/>
      <c r="D80" s="50"/>
      <c r="E80" s="50"/>
      <c r="F80" s="21" t="s">
        <v>1667</v>
      </c>
      <c r="G80" s="21" t="s">
        <v>1672</v>
      </c>
      <c r="H80" s="41" t="s">
        <v>1673</v>
      </c>
      <c r="I80" s="42">
        <v>186969960</v>
      </c>
      <c r="J80" s="43"/>
    </row>
    <row r="81" spans="2:10" ht="13.5" x14ac:dyDescent="0.2">
      <c r="B81" s="26">
        <v>79</v>
      </c>
      <c r="C81" s="50"/>
      <c r="D81" s="50"/>
      <c r="E81" s="50"/>
      <c r="F81" s="21" t="s">
        <v>1667</v>
      </c>
      <c r="G81" s="21" t="s">
        <v>1702</v>
      </c>
      <c r="H81" s="41" t="s">
        <v>1703</v>
      </c>
      <c r="I81" s="42">
        <v>19086100</v>
      </c>
      <c r="J81" s="43"/>
    </row>
    <row r="82" spans="2:10" ht="13.5" x14ac:dyDescent="0.2">
      <c r="B82" s="26">
        <v>80</v>
      </c>
      <c r="C82" s="51"/>
      <c r="D82" s="51"/>
      <c r="E82" s="51"/>
      <c r="F82" s="21" t="s">
        <v>1714</v>
      </c>
      <c r="G82" s="21" t="s">
        <v>1715</v>
      </c>
      <c r="H82" s="41" t="s">
        <v>1716</v>
      </c>
      <c r="I82" s="42">
        <v>33091800</v>
      </c>
      <c r="J82" s="43"/>
    </row>
    <row r="83" spans="2:10" ht="13.5" x14ac:dyDescent="0.2">
      <c r="B83" s="26">
        <v>81</v>
      </c>
      <c r="C83" s="49" t="s">
        <v>2096</v>
      </c>
      <c r="D83" s="49" t="s">
        <v>2097</v>
      </c>
      <c r="E83" s="49" t="s">
        <v>2718</v>
      </c>
      <c r="F83" s="21" t="s">
        <v>2719</v>
      </c>
      <c r="G83" s="21" t="s">
        <v>2720</v>
      </c>
      <c r="H83" s="41" t="s">
        <v>2721</v>
      </c>
      <c r="I83" s="42">
        <v>69846160</v>
      </c>
      <c r="J83" s="43"/>
    </row>
    <row r="84" spans="2:10" ht="13.5" x14ac:dyDescent="0.2">
      <c r="B84" s="26">
        <v>82</v>
      </c>
      <c r="C84" s="50"/>
      <c r="D84" s="50"/>
      <c r="E84" s="50"/>
      <c r="F84" s="21" t="s">
        <v>2730</v>
      </c>
      <c r="G84" s="21" t="s">
        <v>2731</v>
      </c>
      <c r="H84" s="41" t="s">
        <v>2732</v>
      </c>
      <c r="I84" s="42">
        <v>461829600</v>
      </c>
      <c r="J84" s="43"/>
    </row>
    <row r="85" spans="2:10" ht="13.5" x14ac:dyDescent="0.2">
      <c r="B85" s="26">
        <v>83</v>
      </c>
      <c r="C85" s="50"/>
      <c r="D85" s="50"/>
      <c r="E85" s="50"/>
      <c r="F85" s="21" t="s">
        <v>2730</v>
      </c>
      <c r="G85" s="21" t="s">
        <v>2818</v>
      </c>
      <c r="H85" s="41" t="s">
        <v>2819</v>
      </c>
      <c r="I85" s="42">
        <v>138727440</v>
      </c>
      <c r="J85" s="43"/>
    </row>
    <row r="86" spans="2:10" ht="13.5" x14ac:dyDescent="0.2">
      <c r="B86" s="26">
        <v>84</v>
      </c>
      <c r="C86" s="50"/>
      <c r="D86" s="50"/>
      <c r="E86" s="50"/>
      <c r="F86" s="21" t="s">
        <v>2883</v>
      </c>
      <c r="G86" s="21" t="s">
        <v>2884</v>
      </c>
      <c r="H86" s="41" t="s">
        <v>2885</v>
      </c>
      <c r="I86" s="42">
        <v>195682600</v>
      </c>
      <c r="J86" s="43"/>
    </row>
    <row r="87" spans="2:10" ht="13.5" x14ac:dyDescent="0.2">
      <c r="B87" s="26">
        <v>85</v>
      </c>
      <c r="C87" s="50"/>
      <c r="D87" s="50"/>
      <c r="E87" s="51"/>
      <c r="F87" s="21" t="s">
        <v>2953</v>
      </c>
      <c r="G87" s="21" t="s">
        <v>2954</v>
      </c>
      <c r="H87" s="41" t="s">
        <v>2955</v>
      </c>
      <c r="I87" s="42">
        <v>53909680</v>
      </c>
      <c r="J87" s="43"/>
    </row>
    <row r="88" spans="2:10" ht="13.5" x14ac:dyDescent="0.2">
      <c r="B88" s="26">
        <v>86</v>
      </c>
      <c r="C88" s="50"/>
      <c r="D88" s="50"/>
      <c r="E88" s="49" t="s">
        <v>2971</v>
      </c>
      <c r="F88" s="21" t="s">
        <v>2972</v>
      </c>
      <c r="G88" s="21" t="s">
        <v>2973</v>
      </c>
      <c r="H88" s="41" t="s">
        <v>2974</v>
      </c>
      <c r="I88" s="42">
        <v>114999100</v>
      </c>
      <c r="J88" s="43"/>
    </row>
    <row r="89" spans="2:10" ht="13.5" x14ac:dyDescent="0.2">
      <c r="B89" s="26">
        <v>87</v>
      </c>
      <c r="C89" s="50"/>
      <c r="D89" s="50"/>
      <c r="E89" s="50"/>
      <c r="F89" s="21" t="s">
        <v>2972</v>
      </c>
      <c r="G89" s="21" t="s">
        <v>3038</v>
      </c>
      <c r="H89" s="41" t="s">
        <v>3039</v>
      </c>
      <c r="I89" s="42">
        <v>16097100</v>
      </c>
      <c r="J89" s="43"/>
    </row>
    <row r="90" spans="2:10" ht="13.5" x14ac:dyDescent="0.2">
      <c r="B90" s="26">
        <v>88</v>
      </c>
      <c r="C90" s="50"/>
      <c r="D90" s="50"/>
      <c r="E90" s="50"/>
      <c r="F90" s="21" t="s">
        <v>2972</v>
      </c>
      <c r="G90" s="21" t="s">
        <v>3045</v>
      </c>
      <c r="H90" s="41" t="s">
        <v>3046</v>
      </c>
      <c r="I90" s="42">
        <v>120269610</v>
      </c>
      <c r="J90" s="43"/>
    </row>
    <row r="91" spans="2:10" ht="13.5" x14ac:dyDescent="0.2">
      <c r="B91" s="26">
        <v>89</v>
      </c>
      <c r="C91" s="50"/>
      <c r="D91" s="50"/>
      <c r="E91" s="50"/>
      <c r="F91" s="21" t="s">
        <v>3073</v>
      </c>
      <c r="G91" s="21" t="s">
        <v>3074</v>
      </c>
      <c r="H91" s="41" t="s">
        <v>3075</v>
      </c>
      <c r="I91" s="42">
        <v>5055600</v>
      </c>
      <c r="J91" s="43"/>
    </row>
    <row r="92" spans="2:10" ht="13.5" x14ac:dyDescent="0.2">
      <c r="B92" s="26">
        <v>90</v>
      </c>
      <c r="C92" s="50"/>
      <c r="D92" s="50"/>
      <c r="E92" s="50"/>
      <c r="F92" s="21" t="s">
        <v>3093</v>
      </c>
      <c r="G92" s="21" t="s">
        <v>3094</v>
      </c>
      <c r="H92" s="41" t="s">
        <v>3095</v>
      </c>
      <c r="I92" s="42">
        <v>159197570</v>
      </c>
      <c r="J92" s="43"/>
    </row>
    <row r="93" spans="2:10" ht="13.5" x14ac:dyDescent="0.2">
      <c r="B93" s="26">
        <v>91</v>
      </c>
      <c r="C93" s="50"/>
      <c r="D93" s="50"/>
      <c r="E93" s="51"/>
      <c r="F93" s="21" t="s">
        <v>3153</v>
      </c>
      <c r="G93" s="21" t="s">
        <v>3154</v>
      </c>
      <c r="H93" s="41" t="s">
        <v>3155</v>
      </c>
      <c r="I93" s="42">
        <v>67573710</v>
      </c>
      <c r="J93" s="43"/>
    </row>
    <row r="94" spans="2:10" ht="13.5" x14ac:dyDescent="0.2">
      <c r="B94" s="26">
        <v>92</v>
      </c>
      <c r="C94" s="50"/>
      <c r="D94" s="50"/>
      <c r="E94" s="49" t="s">
        <v>4000</v>
      </c>
      <c r="F94" s="21" t="s">
        <v>4001</v>
      </c>
      <c r="G94" s="21" t="s">
        <v>4002</v>
      </c>
      <c r="H94" s="41" t="s">
        <v>4003</v>
      </c>
      <c r="I94" s="42">
        <v>0</v>
      </c>
      <c r="J94" s="43" t="s">
        <v>4021</v>
      </c>
    </row>
    <row r="95" spans="2:10" ht="13.5" x14ac:dyDescent="0.2">
      <c r="B95" s="26">
        <v>93</v>
      </c>
      <c r="C95" s="50"/>
      <c r="D95" s="50"/>
      <c r="E95" s="50"/>
      <c r="F95" s="21" t="s">
        <v>3204</v>
      </c>
      <c r="G95" s="21" t="s">
        <v>3205</v>
      </c>
      <c r="H95" s="41" t="s">
        <v>3206</v>
      </c>
      <c r="I95" s="42">
        <v>172781310</v>
      </c>
      <c r="J95" s="43"/>
    </row>
    <row r="96" spans="2:10" ht="13.5" x14ac:dyDescent="0.2">
      <c r="B96" s="26">
        <v>94</v>
      </c>
      <c r="C96" s="50"/>
      <c r="D96" s="50"/>
      <c r="E96" s="50"/>
      <c r="F96" s="21" t="s">
        <v>3204</v>
      </c>
      <c r="G96" s="21" t="s">
        <v>3249</v>
      </c>
      <c r="H96" s="41" t="s">
        <v>3250</v>
      </c>
      <c r="I96" s="42">
        <v>116097350</v>
      </c>
      <c r="J96" s="43"/>
    </row>
    <row r="97" spans="2:10" ht="13.5" x14ac:dyDescent="0.2">
      <c r="B97" s="26">
        <v>95</v>
      </c>
      <c r="C97" s="50"/>
      <c r="D97" s="50"/>
      <c r="E97" s="51"/>
      <c r="F97" s="21" t="s">
        <v>3271</v>
      </c>
      <c r="G97" s="21" t="s">
        <v>3272</v>
      </c>
      <c r="H97" s="41" t="s">
        <v>3273</v>
      </c>
      <c r="I97" s="42">
        <v>113244580</v>
      </c>
      <c r="J97" s="43"/>
    </row>
    <row r="98" spans="2:10" ht="13.5" x14ac:dyDescent="0.2">
      <c r="B98" s="26">
        <v>96</v>
      </c>
      <c r="C98" s="50"/>
      <c r="D98" s="50"/>
      <c r="E98" s="49" t="s">
        <v>2233</v>
      </c>
      <c r="F98" s="21" t="s">
        <v>2234</v>
      </c>
      <c r="G98" s="21" t="s">
        <v>2235</v>
      </c>
      <c r="H98" s="41" t="s">
        <v>2236</v>
      </c>
      <c r="I98" s="42">
        <v>20983200</v>
      </c>
      <c r="J98" s="43"/>
    </row>
    <row r="99" spans="2:10" ht="13.5" x14ac:dyDescent="0.2">
      <c r="B99" s="26">
        <v>97</v>
      </c>
      <c r="C99" s="50"/>
      <c r="D99" s="50"/>
      <c r="E99" s="50"/>
      <c r="F99" s="21" t="s">
        <v>4004</v>
      </c>
      <c r="G99" s="21" t="s">
        <v>4005</v>
      </c>
      <c r="H99" s="41" t="s">
        <v>4006</v>
      </c>
      <c r="I99" s="42">
        <v>304718285</v>
      </c>
      <c r="J99" s="43" t="s">
        <v>4023</v>
      </c>
    </row>
    <row r="100" spans="2:10" ht="13.5" x14ac:dyDescent="0.2">
      <c r="B100" s="26">
        <v>98</v>
      </c>
      <c r="C100" s="50"/>
      <c r="D100" s="50"/>
      <c r="E100" s="50"/>
      <c r="F100" s="21" t="s">
        <v>2344</v>
      </c>
      <c r="G100" s="21" t="s">
        <v>4007</v>
      </c>
      <c r="H100" s="41" t="s">
        <v>4008</v>
      </c>
      <c r="I100" s="42">
        <v>58629600</v>
      </c>
      <c r="J100" s="43"/>
    </row>
    <row r="101" spans="2:10" ht="13.5" x14ac:dyDescent="0.2">
      <c r="B101" s="26">
        <v>99</v>
      </c>
      <c r="C101" s="50"/>
      <c r="D101" s="50"/>
      <c r="E101" s="50"/>
      <c r="F101" s="21" t="s">
        <v>2344</v>
      </c>
      <c r="G101" s="21" t="s">
        <v>2345</v>
      </c>
      <c r="H101" s="41" t="s">
        <v>2346</v>
      </c>
      <c r="I101" s="42">
        <v>57370110</v>
      </c>
      <c r="J101" s="43"/>
    </row>
    <row r="102" spans="2:10" ht="13.5" x14ac:dyDescent="0.2">
      <c r="B102" s="26">
        <v>100</v>
      </c>
      <c r="C102" s="50"/>
      <c r="D102" s="50"/>
      <c r="E102" s="50"/>
      <c r="F102" s="21" t="s">
        <v>2367</v>
      </c>
      <c r="G102" s="21" t="s">
        <v>2368</v>
      </c>
      <c r="H102" s="41" t="s">
        <v>2369</v>
      </c>
      <c r="I102" s="42">
        <v>338283625</v>
      </c>
      <c r="J102" s="43"/>
    </row>
    <row r="103" spans="2:10" ht="13.5" x14ac:dyDescent="0.2">
      <c r="B103" s="26">
        <v>101</v>
      </c>
      <c r="C103" s="50"/>
      <c r="D103" s="50"/>
      <c r="E103" s="51"/>
      <c r="F103" s="21" t="s">
        <v>2427</v>
      </c>
      <c r="G103" s="21" t="s">
        <v>2428</v>
      </c>
      <c r="H103" s="41" t="s">
        <v>2429</v>
      </c>
      <c r="I103" s="42">
        <v>134114710</v>
      </c>
      <c r="J103" s="43"/>
    </row>
    <row r="104" spans="2:10" ht="13.5" x14ac:dyDescent="0.2">
      <c r="B104" s="26">
        <v>102</v>
      </c>
      <c r="C104" s="50"/>
      <c r="D104" s="50"/>
      <c r="E104" s="49" t="s">
        <v>2466</v>
      </c>
      <c r="F104" s="21" t="s">
        <v>2467</v>
      </c>
      <c r="G104" s="21" t="s">
        <v>2468</v>
      </c>
      <c r="H104" s="41" t="s">
        <v>2469</v>
      </c>
      <c r="I104" s="42">
        <v>158664510</v>
      </c>
      <c r="J104" s="43"/>
    </row>
    <row r="105" spans="2:10" ht="13.5" x14ac:dyDescent="0.2">
      <c r="B105" s="26">
        <v>103</v>
      </c>
      <c r="C105" s="50"/>
      <c r="D105" s="50"/>
      <c r="E105" s="50"/>
      <c r="F105" s="21" t="s">
        <v>2467</v>
      </c>
      <c r="G105" s="21" t="s">
        <v>2497</v>
      </c>
      <c r="H105" s="41" t="s">
        <v>2498</v>
      </c>
      <c r="I105" s="42">
        <v>96750300</v>
      </c>
      <c r="J105" s="43"/>
    </row>
    <row r="106" spans="2:10" ht="13.5" x14ac:dyDescent="0.2">
      <c r="B106" s="26">
        <v>104</v>
      </c>
      <c r="C106" s="50"/>
      <c r="D106" s="50"/>
      <c r="E106" s="50"/>
      <c r="F106" s="21" t="s">
        <v>2513</v>
      </c>
      <c r="G106" s="21" t="s">
        <v>2514</v>
      </c>
      <c r="H106" s="41" t="s">
        <v>2515</v>
      </c>
      <c r="I106" s="42">
        <v>354929390</v>
      </c>
      <c r="J106" s="43"/>
    </row>
    <row r="107" spans="2:10" ht="13.5" x14ac:dyDescent="0.2">
      <c r="B107" s="26">
        <v>105</v>
      </c>
      <c r="C107" s="50"/>
      <c r="D107" s="50"/>
      <c r="E107" s="50"/>
      <c r="F107" s="21" t="s">
        <v>2513</v>
      </c>
      <c r="G107" s="21" t="s">
        <v>2563</v>
      </c>
      <c r="H107" s="41" t="s">
        <v>2564</v>
      </c>
      <c r="I107" s="42">
        <v>125628140</v>
      </c>
      <c r="J107" s="43"/>
    </row>
    <row r="108" spans="2:10" ht="13.5" x14ac:dyDescent="0.2">
      <c r="B108" s="26">
        <v>106</v>
      </c>
      <c r="C108" s="50"/>
      <c r="D108" s="50"/>
      <c r="E108" s="50"/>
      <c r="F108" s="21" t="s">
        <v>2573</v>
      </c>
      <c r="G108" s="21" t="s">
        <v>2574</v>
      </c>
      <c r="H108" s="41" t="s">
        <v>2575</v>
      </c>
      <c r="I108" s="42">
        <v>468026930</v>
      </c>
      <c r="J108" s="43"/>
    </row>
    <row r="109" spans="2:10" ht="13.5" x14ac:dyDescent="0.2">
      <c r="B109" s="26">
        <v>107</v>
      </c>
      <c r="C109" s="50"/>
      <c r="D109" s="50"/>
      <c r="E109" s="51"/>
      <c r="F109" s="21" t="s">
        <v>2573</v>
      </c>
      <c r="G109" s="21" t="s">
        <v>2684</v>
      </c>
      <c r="H109" s="41" t="s">
        <v>2685</v>
      </c>
      <c r="I109" s="42">
        <v>225411640</v>
      </c>
      <c r="J109" s="43"/>
    </row>
    <row r="110" spans="2:10" ht="13.5" x14ac:dyDescent="0.2">
      <c r="B110" s="26">
        <v>108</v>
      </c>
      <c r="C110" s="50"/>
      <c r="D110" s="50"/>
      <c r="E110" s="49" t="s">
        <v>2098</v>
      </c>
      <c r="F110" s="21" t="s">
        <v>2099</v>
      </c>
      <c r="G110" s="21" t="s">
        <v>2100</v>
      </c>
      <c r="H110" s="41" t="s">
        <v>2101</v>
      </c>
      <c r="I110" s="42">
        <v>23620900</v>
      </c>
      <c r="J110" s="43"/>
    </row>
    <row r="111" spans="2:10" ht="13.5" x14ac:dyDescent="0.2">
      <c r="B111" s="26">
        <v>109</v>
      </c>
      <c r="C111" s="50"/>
      <c r="D111" s="50"/>
      <c r="E111" s="50"/>
      <c r="F111" s="21" t="s">
        <v>2108</v>
      </c>
      <c r="G111" s="21" t="s">
        <v>2109</v>
      </c>
      <c r="H111" s="41" t="s">
        <v>2110</v>
      </c>
      <c r="I111" s="42">
        <v>191398495</v>
      </c>
      <c r="J111" s="43"/>
    </row>
    <row r="112" spans="2:10" ht="13.5" x14ac:dyDescent="0.2">
      <c r="B112" s="26">
        <v>110</v>
      </c>
      <c r="C112" s="50"/>
      <c r="D112" s="51"/>
      <c r="E112" s="51"/>
      <c r="F112" s="21" t="s">
        <v>2182</v>
      </c>
      <c r="G112" s="21" t="s">
        <v>2183</v>
      </c>
      <c r="H112" s="41" t="s">
        <v>2184</v>
      </c>
      <c r="I112" s="42">
        <v>152920610</v>
      </c>
      <c r="J112" s="43"/>
    </row>
    <row r="113" spans="2:10" ht="13.5" x14ac:dyDescent="0.2">
      <c r="B113" s="26">
        <v>111</v>
      </c>
      <c r="C113" s="50"/>
      <c r="D113" s="49" t="s">
        <v>3333</v>
      </c>
      <c r="E113" s="49" t="s">
        <v>3442</v>
      </c>
      <c r="F113" s="21" t="s">
        <v>3443</v>
      </c>
      <c r="G113" s="21" t="s">
        <v>3444</v>
      </c>
      <c r="H113" s="41" t="s">
        <v>3445</v>
      </c>
      <c r="I113" s="42">
        <v>57723890</v>
      </c>
      <c r="J113" s="43"/>
    </row>
    <row r="114" spans="2:10" ht="13.5" x14ac:dyDescent="0.2">
      <c r="B114" s="26">
        <v>112</v>
      </c>
      <c r="C114" s="50"/>
      <c r="D114" s="50"/>
      <c r="E114" s="50"/>
      <c r="F114" s="21" t="s">
        <v>3443</v>
      </c>
      <c r="G114" s="21" t="s">
        <v>3453</v>
      </c>
      <c r="H114" s="41" t="s">
        <v>3454</v>
      </c>
      <c r="I114" s="42">
        <v>25742400</v>
      </c>
      <c r="J114" s="43"/>
    </row>
    <row r="115" spans="2:10" ht="13.5" x14ac:dyDescent="0.2">
      <c r="B115" s="26">
        <v>113</v>
      </c>
      <c r="C115" s="50"/>
      <c r="D115" s="50"/>
      <c r="E115" s="50"/>
      <c r="F115" s="21" t="s">
        <v>4012</v>
      </c>
      <c r="G115" s="21" t="s">
        <v>3461</v>
      </c>
      <c r="H115" s="41" t="s">
        <v>3462</v>
      </c>
      <c r="I115" s="42">
        <v>0</v>
      </c>
      <c r="J115" s="43" t="s">
        <v>4021</v>
      </c>
    </row>
    <row r="116" spans="2:10" ht="13.5" x14ac:dyDescent="0.2">
      <c r="B116" s="26">
        <v>114</v>
      </c>
      <c r="C116" s="50"/>
      <c r="D116" s="50"/>
      <c r="E116" s="50"/>
      <c r="F116" s="21" t="s">
        <v>3466</v>
      </c>
      <c r="G116" s="21" t="s">
        <v>3467</v>
      </c>
      <c r="H116" s="41" t="s">
        <v>3468</v>
      </c>
      <c r="I116" s="42">
        <v>302767160</v>
      </c>
      <c r="J116" s="43"/>
    </row>
    <row r="117" spans="2:10" ht="13.5" x14ac:dyDescent="0.2">
      <c r="B117" s="26">
        <v>115</v>
      </c>
      <c r="C117" s="50"/>
      <c r="D117" s="50"/>
      <c r="E117" s="50"/>
      <c r="F117" s="21" t="s">
        <v>3466</v>
      </c>
      <c r="G117" s="21" t="s">
        <v>3526</v>
      </c>
      <c r="H117" s="41" t="s">
        <v>3527</v>
      </c>
      <c r="I117" s="42">
        <v>228824520</v>
      </c>
      <c r="J117" s="43"/>
    </row>
    <row r="118" spans="2:10" ht="13.5" x14ac:dyDescent="0.2">
      <c r="B118" s="26">
        <v>116</v>
      </c>
      <c r="C118" s="50"/>
      <c r="D118" s="50"/>
      <c r="E118" s="50"/>
      <c r="F118" s="21" t="s">
        <v>3466</v>
      </c>
      <c r="G118" s="21" t="s">
        <v>3564</v>
      </c>
      <c r="H118" s="41" t="s">
        <v>3565</v>
      </c>
      <c r="I118" s="42">
        <v>94094400</v>
      </c>
      <c r="J118" s="43"/>
    </row>
    <row r="119" spans="2:10" ht="13.5" x14ac:dyDescent="0.2">
      <c r="B119" s="26">
        <v>117</v>
      </c>
      <c r="C119" s="50"/>
      <c r="D119" s="50"/>
      <c r="E119" s="50"/>
      <c r="F119" s="21" t="s">
        <v>3466</v>
      </c>
      <c r="G119" s="21" t="s">
        <v>3577</v>
      </c>
      <c r="H119" s="41" t="s">
        <v>3578</v>
      </c>
      <c r="I119" s="42">
        <v>264819800</v>
      </c>
      <c r="J119" s="43"/>
    </row>
    <row r="120" spans="2:10" ht="13.5" x14ac:dyDescent="0.2">
      <c r="B120" s="26">
        <v>118</v>
      </c>
      <c r="C120" s="50"/>
      <c r="D120" s="50"/>
      <c r="E120" s="50"/>
      <c r="F120" s="21" t="s">
        <v>3626</v>
      </c>
      <c r="G120" s="21" t="s">
        <v>4013</v>
      </c>
      <c r="H120" s="41" t="s">
        <v>4014</v>
      </c>
      <c r="I120" s="42">
        <v>21364600</v>
      </c>
      <c r="J120" s="43"/>
    </row>
    <row r="121" spans="2:10" ht="13.5" x14ac:dyDescent="0.2">
      <c r="B121" s="26">
        <v>119</v>
      </c>
      <c r="C121" s="50"/>
      <c r="D121" s="50"/>
      <c r="E121" s="50"/>
      <c r="F121" s="21" t="s">
        <v>3626</v>
      </c>
      <c r="G121" s="21" t="s">
        <v>3627</v>
      </c>
      <c r="H121" s="41" t="s">
        <v>3628</v>
      </c>
      <c r="I121" s="42">
        <v>183531700</v>
      </c>
      <c r="J121" s="43"/>
    </row>
    <row r="122" spans="2:10" ht="13.5" x14ac:dyDescent="0.2">
      <c r="B122" s="26">
        <v>120</v>
      </c>
      <c r="C122" s="50"/>
      <c r="D122" s="50"/>
      <c r="E122" s="50"/>
      <c r="F122" s="21" t="s">
        <v>3626</v>
      </c>
      <c r="G122" s="21" t="s">
        <v>3688</v>
      </c>
      <c r="H122" s="41" t="s">
        <v>3689</v>
      </c>
      <c r="I122" s="42">
        <v>103526200</v>
      </c>
      <c r="J122" s="43"/>
    </row>
    <row r="123" spans="2:10" ht="13.5" x14ac:dyDescent="0.2">
      <c r="B123" s="26">
        <v>121</v>
      </c>
      <c r="C123" s="50"/>
      <c r="D123" s="50"/>
      <c r="E123" s="51"/>
      <c r="F123" s="21" t="s">
        <v>3626</v>
      </c>
      <c r="G123" s="21" t="s">
        <v>3731</v>
      </c>
      <c r="H123" s="41" t="s">
        <v>3732</v>
      </c>
      <c r="I123" s="42">
        <v>28583100</v>
      </c>
      <c r="J123" s="43"/>
    </row>
    <row r="124" spans="2:10" ht="13.5" x14ac:dyDescent="0.2">
      <c r="B124" s="26">
        <v>122</v>
      </c>
      <c r="C124" s="50"/>
      <c r="D124" s="50"/>
      <c r="E124" s="49" t="s">
        <v>3739</v>
      </c>
      <c r="F124" s="21" t="s">
        <v>3740</v>
      </c>
      <c r="G124" s="21" t="s">
        <v>3741</v>
      </c>
      <c r="H124" s="41" t="s">
        <v>3742</v>
      </c>
      <c r="I124" s="42">
        <v>116580880</v>
      </c>
      <c r="J124" s="43"/>
    </row>
    <row r="125" spans="2:10" ht="13.5" x14ac:dyDescent="0.2">
      <c r="B125" s="26">
        <v>123</v>
      </c>
      <c r="C125" s="50"/>
      <c r="D125" s="50"/>
      <c r="E125" s="50"/>
      <c r="F125" s="21" t="s">
        <v>3752</v>
      </c>
      <c r="G125" s="21" t="s">
        <v>3753</v>
      </c>
      <c r="H125" s="41" t="s">
        <v>3754</v>
      </c>
      <c r="I125" s="42">
        <v>617205600</v>
      </c>
      <c r="J125" s="43"/>
    </row>
    <row r="126" spans="2:10" ht="13.5" x14ac:dyDescent="0.2">
      <c r="B126" s="26">
        <v>124</v>
      </c>
      <c r="C126" s="50"/>
      <c r="D126" s="50"/>
      <c r="E126" s="50"/>
      <c r="F126" s="21" t="s">
        <v>3752</v>
      </c>
      <c r="G126" s="21" t="s">
        <v>3836</v>
      </c>
      <c r="H126" s="41" t="s">
        <v>3837</v>
      </c>
      <c r="I126" s="42">
        <v>265895890</v>
      </c>
      <c r="J126" s="43"/>
    </row>
    <row r="127" spans="2:10" ht="13.5" x14ac:dyDescent="0.2">
      <c r="B127" s="26">
        <v>125</v>
      </c>
      <c r="C127" s="50"/>
      <c r="D127" s="50"/>
      <c r="E127" s="51"/>
      <c r="F127" s="21" t="s">
        <v>3752</v>
      </c>
      <c r="G127" s="21" t="s">
        <v>3892</v>
      </c>
      <c r="H127" s="41" t="s">
        <v>3893</v>
      </c>
      <c r="I127" s="42">
        <v>84789380</v>
      </c>
      <c r="J127" s="43"/>
    </row>
    <row r="128" spans="2:10" ht="13.5" x14ac:dyDescent="0.2">
      <c r="B128" s="26">
        <v>126</v>
      </c>
      <c r="C128" s="50"/>
      <c r="D128" s="50"/>
      <c r="E128" s="49" t="s">
        <v>3902</v>
      </c>
      <c r="F128" s="21" t="s">
        <v>3903</v>
      </c>
      <c r="G128" s="21" t="s">
        <v>3904</v>
      </c>
      <c r="H128" s="41" t="s">
        <v>3905</v>
      </c>
      <c r="I128" s="42">
        <v>127205578</v>
      </c>
      <c r="J128" s="43"/>
    </row>
    <row r="129" spans="2:10" ht="13.5" x14ac:dyDescent="0.2">
      <c r="B129" s="26">
        <v>127</v>
      </c>
      <c r="C129" s="50"/>
      <c r="D129" s="50"/>
      <c r="E129" s="50"/>
      <c r="F129" s="21" t="s">
        <v>3920</v>
      </c>
      <c r="G129" s="21" t="s">
        <v>4017</v>
      </c>
      <c r="H129" s="41" t="s">
        <v>4018</v>
      </c>
      <c r="I129" s="42">
        <v>12952200</v>
      </c>
      <c r="J129" s="43"/>
    </row>
    <row r="130" spans="2:10" ht="13.5" x14ac:dyDescent="0.2">
      <c r="B130" s="26">
        <v>128</v>
      </c>
      <c r="C130" s="50"/>
      <c r="D130" s="50"/>
      <c r="E130" s="51"/>
      <c r="F130" s="21" t="s">
        <v>3920</v>
      </c>
      <c r="G130" s="21" t="s">
        <v>3921</v>
      </c>
      <c r="H130" s="41" t="s">
        <v>3922</v>
      </c>
      <c r="I130" s="42">
        <v>65168270</v>
      </c>
      <c r="J130" s="43"/>
    </row>
    <row r="131" spans="2:10" ht="13.5" x14ac:dyDescent="0.2">
      <c r="B131" s="26">
        <v>129</v>
      </c>
      <c r="C131" s="50"/>
      <c r="D131" s="50"/>
      <c r="E131" s="49" t="s">
        <v>3334</v>
      </c>
      <c r="F131" s="21" t="s">
        <v>3335</v>
      </c>
      <c r="G131" s="21" t="s">
        <v>3336</v>
      </c>
      <c r="H131" s="41" t="s">
        <v>3337</v>
      </c>
      <c r="I131" s="42">
        <v>150621200</v>
      </c>
      <c r="J131" s="43"/>
    </row>
    <row r="132" spans="2:10" ht="13.5" x14ac:dyDescent="0.2">
      <c r="B132" s="26">
        <v>130</v>
      </c>
      <c r="C132" s="50"/>
      <c r="D132" s="50"/>
      <c r="E132" s="50"/>
      <c r="F132" s="21" t="s">
        <v>3335</v>
      </c>
      <c r="G132" s="21" t="s">
        <v>3361</v>
      </c>
      <c r="H132" s="41" t="s">
        <v>3362</v>
      </c>
      <c r="I132" s="42">
        <v>43218300</v>
      </c>
      <c r="J132" s="43"/>
    </row>
    <row r="133" spans="2:10" ht="13.5" x14ac:dyDescent="0.2">
      <c r="B133" s="26">
        <v>131</v>
      </c>
      <c r="C133" s="50"/>
      <c r="D133" s="50"/>
      <c r="E133" s="50"/>
      <c r="F133" s="21" t="s">
        <v>3335</v>
      </c>
      <c r="G133" s="21" t="s">
        <v>3369</v>
      </c>
      <c r="H133" s="41" t="s">
        <v>3370</v>
      </c>
      <c r="I133" s="42">
        <v>87752162</v>
      </c>
      <c r="J133" s="43"/>
    </row>
    <row r="134" spans="2:10" ht="13.5" x14ac:dyDescent="0.2">
      <c r="B134" s="26">
        <v>132</v>
      </c>
      <c r="C134" s="50"/>
      <c r="D134" s="50"/>
      <c r="E134" s="50"/>
      <c r="F134" s="21" t="s">
        <v>3335</v>
      </c>
      <c r="G134" s="21" t="s">
        <v>3383</v>
      </c>
      <c r="H134" s="41" t="s">
        <v>3384</v>
      </c>
      <c r="I134" s="42">
        <v>57687700</v>
      </c>
      <c r="J134" s="43"/>
    </row>
    <row r="135" spans="2:10" ht="13.5" x14ac:dyDescent="0.2">
      <c r="B135" s="26">
        <v>133</v>
      </c>
      <c r="C135" s="50"/>
      <c r="D135" s="50"/>
      <c r="E135" s="50"/>
      <c r="F135" s="21" t="s">
        <v>3335</v>
      </c>
      <c r="G135" s="21" t="s">
        <v>3393</v>
      </c>
      <c r="H135" s="41" t="s">
        <v>3394</v>
      </c>
      <c r="I135" s="42">
        <v>98533400</v>
      </c>
      <c r="J135" s="43"/>
    </row>
    <row r="136" spans="2:10" ht="13.5" x14ac:dyDescent="0.2">
      <c r="B136" s="26">
        <v>134</v>
      </c>
      <c r="C136" s="50"/>
      <c r="D136" s="50"/>
      <c r="E136" s="50"/>
      <c r="F136" s="21" t="s">
        <v>3399</v>
      </c>
      <c r="G136" s="21" t="s">
        <v>3400</v>
      </c>
      <c r="H136" s="41" t="s">
        <v>3401</v>
      </c>
      <c r="I136" s="42">
        <v>109298680</v>
      </c>
      <c r="J136" s="43"/>
    </row>
    <row r="137" spans="2:10" ht="13.5" x14ac:dyDescent="0.2">
      <c r="B137" s="26">
        <v>135</v>
      </c>
      <c r="C137" s="50"/>
      <c r="D137" s="50"/>
      <c r="E137" s="50"/>
      <c r="F137" s="21" t="s">
        <v>3409</v>
      </c>
      <c r="G137" s="21" t="s">
        <v>3410</v>
      </c>
      <c r="H137" s="41" t="s">
        <v>3411</v>
      </c>
      <c r="I137" s="42">
        <v>175289350</v>
      </c>
      <c r="J137" s="43"/>
    </row>
    <row r="138" spans="2:10" ht="13.5" x14ac:dyDescent="0.2">
      <c r="B138" s="26">
        <v>136</v>
      </c>
      <c r="C138" s="51"/>
      <c r="D138" s="51"/>
      <c r="E138" s="51"/>
      <c r="F138" s="21" t="s">
        <v>3409</v>
      </c>
      <c r="G138" s="21" t="s">
        <v>3436</v>
      </c>
      <c r="H138" s="41" t="s">
        <v>3437</v>
      </c>
      <c r="I138" s="42">
        <v>167528100</v>
      </c>
      <c r="J138" s="43"/>
    </row>
    <row r="139" spans="2:10" ht="13.5" x14ac:dyDescent="0.2">
      <c r="B139" s="53" t="s">
        <v>3937</v>
      </c>
      <c r="C139" s="53"/>
      <c r="D139" s="53"/>
      <c r="E139" s="53"/>
      <c r="F139" s="53"/>
      <c r="G139" s="53"/>
      <c r="H139" s="53"/>
      <c r="I139" s="40">
        <f>SUM(I3:I138)</f>
        <v>17899264667</v>
      </c>
      <c r="J139" s="44">
        <f>I139*120%</f>
        <v>21479117600.399998</v>
      </c>
    </row>
  </sheetData>
  <mergeCells count="24">
    <mergeCell ref="E124:E127"/>
    <mergeCell ref="E128:E130"/>
    <mergeCell ref="E131:E138"/>
    <mergeCell ref="B139:H139"/>
    <mergeCell ref="C83:C138"/>
    <mergeCell ref="D83:D112"/>
    <mergeCell ref="E83:E87"/>
    <mergeCell ref="E88:E93"/>
    <mergeCell ref="E94:E97"/>
    <mergeCell ref="E98:E103"/>
    <mergeCell ref="E104:E109"/>
    <mergeCell ref="E110:E112"/>
    <mergeCell ref="D113:D138"/>
    <mergeCell ref="E113:E123"/>
    <mergeCell ref="C3:C82"/>
    <mergeCell ref="D3:D42"/>
    <mergeCell ref="E3:E34"/>
    <mergeCell ref="E35:E42"/>
    <mergeCell ref="D43:D82"/>
    <mergeCell ref="E43:E44"/>
    <mergeCell ref="E45:E48"/>
    <mergeCell ref="E49:E57"/>
    <mergeCell ref="E58:E73"/>
    <mergeCell ref="E74:E8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보정매출</vt:lpstr>
      <vt:lpstr>총보정매출 피벗</vt:lpstr>
      <vt:lpstr>매출 배수적용</vt:lpstr>
      <vt:lpstr>Sheet2</vt:lpstr>
      <vt:lpstr>실매출</vt:lpstr>
      <vt:lpstr>휴일예약</vt:lpstr>
      <vt:lpstr>피벗</vt:lpstr>
      <vt:lpstr>2026 유통점 프로모션(1)</vt:lpstr>
      <vt:lpstr>대리점 리스트</vt:lpstr>
      <vt:lpstr>2025매출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이강일B</dc:creator>
  <cp:lastModifiedBy>이강일B</cp:lastModifiedBy>
  <dcterms:created xsi:type="dcterms:W3CDTF">2026-10-13T08:07:03Z</dcterms:created>
  <dcterms:modified xsi:type="dcterms:W3CDTF">2026-10-15T07:42:51Z</dcterms:modified>
</cp:coreProperties>
</file>